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land\Desktop\Studium\07 SNA Inter-organizational_todo\00_Artikel\00_JSS_Journal_00_Revision_todo\00_upload_Vorb\Replication_Package\03_results\rq1_toporganizations\data\"/>
    </mc:Choice>
  </mc:AlternateContent>
  <xr:revisionPtr revIDLastSave="0" documentId="13_ncr:1_{C6A49367-19B1-4EB1-A6EA-218D7521C214}" xr6:coauthVersionLast="47" xr6:coauthVersionMax="47" xr10:uidLastSave="{00000000-0000-0000-0000-000000000000}"/>
  <bookViews>
    <workbookView xWindow="-109" yWindow="-109" windowWidth="26301" windowHeight="14305" xr2:uid="{00000000-000D-0000-FFFF-FFFF00000000}"/>
  </bookViews>
  <sheets>
    <sheet name="Org_Nodes_Lorenzkurv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2" l="1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" i="2"/>
  <c r="S3" i="2" s="1"/>
  <c r="S4" i="2" s="1"/>
  <c r="S5" i="2" s="1"/>
  <c r="S6" i="2" s="1"/>
  <c r="O2" i="2"/>
  <c r="O8" i="2"/>
  <c r="O10" i="2"/>
  <c r="O6" i="2"/>
  <c r="O13" i="2"/>
  <c r="O9" i="2"/>
  <c r="O7" i="2"/>
  <c r="O16" i="2"/>
  <c r="O11" i="2"/>
  <c r="O12" i="2"/>
  <c r="O20" i="2"/>
  <c r="O14" i="2"/>
  <c r="O15" i="2"/>
  <c r="O21" i="2"/>
  <c r="O24" i="2"/>
  <c r="O22" i="2"/>
  <c r="O17" i="2"/>
  <c r="O26" i="2"/>
  <c r="O23" i="2"/>
  <c r="O28" i="2"/>
  <c r="O18" i="2"/>
  <c r="O30" i="2"/>
  <c r="O33" i="2"/>
  <c r="O35" i="2"/>
  <c r="O25" i="2"/>
  <c r="O19" i="2"/>
  <c r="O37" i="2"/>
  <c r="O40" i="2"/>
  <c r="O39" i="2"/>
  <c r="O42" i="2"/>
  <c r="O38" i="2"/>
  <c r="O44" i="2"/>
  <c r="O45" i="2"/>
  <c r="O48" i="2"/>
  <c r="O43" i="2"/>
  <c r="O36" i="2"/>
  <c r="O51" i="2"/>
  <c r="O52" i="2"/>
  <c r="O31" i="2"/>
  <c r="O53" i="2"/>
  <c r="O56" i="2"/>
  <c r="O29" i="2"/>
  <c r="O46" i="2"/>
  <c r="O41" i="2"/>
  <c r="O47" i="2"/>
  <c r="O49" i="2"/>
  <c r="O27" i="2"/>
  <c r="O58" i="2"/>
  <c r="O59" i="2"/>
  <c r="O61" i="2"/>
  <c r="O62" i="2"/>
  <c r="O63" i="2"/>
  <c r="O67" i="2"/>
  <c r="O60" i="2"/>
  <c r="O68" i="2"/>
  <c r="O69" i="2"/>
  <c r="O32" i="2"/>
  <c r="O57" i="2"/>
  <c r="O72" i="2"/>
  <c r="O54" i="2"/>
  <c r="O64" i="2"/>
  <c r="O74" i="2"/>
  <c r="O65" i="2"/>
  <c r="O73" i="2"/>
  <c r="O55" i="2"/>
  <c r="O76" i="2"/>
  <c r="O34" i="2"/>
  <c r="O77" i="2"/>
  <c r="O78" i="2"/>
  <c r="O82" i="2"/>
  <c r="O83" i="2"/>
  <c r="O84" i="2"/>
  <c r="O88" i="2"/>
  <c r="O66" i="2"/>
  <c r="O70" i="2"/>
  <c r="O89" i="2"/>
  <c r="O79" i="2"/>
  <c r="O90" i="2"/>
  <c r="O71" i="2"/>
  <c r="O94" i="2"/>
  <c r="O95" i="2"/>
  <c r="O50" i="2"/>
  <c r="O99" i="2"/>
  <c r="O85" i="2"/>
  <c r="O100" i="2"/>
  <c r="O101" i="2"/>
  <c r="O91" i="2"/>
  <c r="O92" i="2"/>
  <c r="O107" i="2"/>
  <c r="O108" i="2"/>
  <c r="O109" i="2"/>
  <c r="O102" i="2"/>
  <c r="O110" i="2"/>
  <c r="O111" i="2"/>
  <c r="O112" i="2"/>
  <c r="O114" i="2"/>
  <c r="O115" i="2"/>
  <c r="O116" i="2"/>
  <c r="O117" i="2"/>
  <c r="O118" i="2"/>
  <c r="O119" i="2"/>
  <c r="O120" i="2"/>
  <c r="O121" i="2"/>
  <c r="O86" i="2"/>
  <c r="O122" i="2"/>
  <c r="O123" i="2"/>
  <c r="O96" i="2"/>
  <c r="O103" i="2"/>
  <c r="O93" i="2"/>
  <c r="O124" i="2"/>
  <c r="O125" i="2"/>
  <c r="O126" i="2"/>
  <c r="O97" i="2"/>
  <c r="O130" i="2"/>
  <c r="O131" i="2"/>
  <c r="O132" i="2"/>
  <c r="O133" i="2"/>
  <c r="O134" i="2"/>
  <c r="O87" i="2"/>
  <c r="O80" i="2"/>
  <c r="O135" i="2"/>
  <c r="O136" i="2"/>
  <c r="O137" i="2"/>
  <c r="O138" i="2"/>
  <c r="O139" i="2"/>
  <c r="O140" i="2"/>
  <c r="O104" i="2"/>
  <c r="O98" i="2"/>
  <c r="O141" i="2"/>
  <c r="O105" i="2"/>
  <c r="O142" i="2"/>
  <c r="O143" i="2"/>
  <c r="O144" i="2"/>
  <c r="O106" i="2"/>
  <c r="O145" i="2"/>
  <c r="O148" i="2"/>
  <c r="O149" i="2"/>
  <c r="O150" i="2"/>
  <c r="O151" i="2"/>
  <c r="O152" i="2"/>
  <c r="O153" i="2"/>
  <c r="O154" i="2"/>
  <c r="O155" i="2"/>
  <c r="O156" i="2"/>
  <c r="O157" i="2"/>
  <c r="O146" i="2"/>
  <c r="O158" i="2"/>
  <c r="O127" i="2"/>
  <c r="O159" i="2"/>
  <c r="O160" i="2"/>
  <c r="O161" i="2"/>
  <c r="O162" i="2"/>
  <c r="O163" i="2"/>
  <c r="O147" i="2"/>
  <c r="O81" i="2"/>
  <c r="O75" i="2"/>
  <c r="O164" i="2"/>
  <c r="O165" i="2"/>
  <c r="O169" i="2"/>
  <c r="O170" i="2"/>
  <c r="O171" i="2"/>
  <c r="O172" i="2"/>
  <c r="O173" i="2"/>
  <c r="O174" i="2"/>
  <c r="O113" i="2"/>
  <c r="O175" i="2"/>
  <c r="O176" i="2"/>
  <c r="O177" i="2"/>
  <c r="O178" i="2"/>
  <c r="O179" i="2"/>
  <c r="O180" i="2"/>
  <c r="O166" i="2"/>
  <c r="O181" i="2"/>
  <c r="O182" i="2"/>
  <c r="O128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129" i="2"/>
  <c r="O202" i="2"/>
  <c r="O203" i="2"/>
  <c r="O204" i="2"/>
  <c r="O205" i="2"/>
  <c r="O206" i="2"/>
  <c r="O207" i="2"/>
  <c r="O208" i="2"/>
  <c r="O209" i="2"/>
  <c r="O210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11" i="2"/>
  <c r="O232" i="2"/>
  <c r="O233" i="2"/>
  <c r="O234" i="2"/>
  <c r="O235" i="2"/>
  <c r="O236" i="2"/>
  <c r="O237" i="2"/>
  <c r="O212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167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13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214" i="2"/>
  <c r="O168" i="2"/>
  <c r="O301" i="2"/>
  <c r="O302" i="2"/>
  <c r="O215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216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217" i="2"/>
  <c r="O336" i="2"/>
  <c r="O337" i="2"/>
  <c r="O338" i="2"/>
  <c r="O339" i="2"/>
  <c r="O340" i="2"/>
  <c r="O341" i="2"/>
  <c r="O5" i="2"/>
  <c r="O3" i="2"/>
  <c r="O4" i="2"/>
  <c r="X4" i="2"/>
  <c r="G9048" i="2"/>
  <c r="H4" i="2" s="1"/>
  <c r="J9047" i="2"/>
  <c r="H9047" i="2"/>
  <c r="J9046" i="2"/>
  <c r="H9046" i="2"/>
  <c r="J9045" i="2"/>
  <c r="H9045" i="2"/>
  <c r="J9044" i="2"/>
  <c r="H9044" i="2"/>
  <c r="J9043" i="2"/>
  <c r="H9043" i="2"/>
  <c r="J9042" i="2"/>
  <c r="H9042" i="2"/>
  <c r="J9041" i="2"/>
  <c r="H9041" i="2"/>
  <c r="J9040" i="2"/>
  <c r="H9040" i="2"/>
  <c r="J9039" i="2"/>
  <c r="H9039" i="2"/>
  <c r="J9038" i="2"/>
  <c r="H9038" i="2"/>
  <c r="J9037" i="2"/>
  <c r="H9037" i="2"/>
  <c r="J9036" i="2"/>
  <c r="H9036" i="2"/>
  <c r="J9035" i="2"/>
  <c r="H9035" i="2"/>
  <c r="J9034" i="2"/>
  <c r="H9034" i="2"/>
  <c r="J9033" i="2"/>
  <c r="H9033" i="2"/>
  <c r="J9032" i="2"/>
  <c r="H9032" i="2"/>
  <c r="J9031" i="2"/>
  <c r="H9031" i="2"/>
  <c r="J9030" i="2"/>
  <c r="H9030" i="2"/>
  <c r="J9029" i="2"/>
  <c r="H9029" i="2"/>
  <c r="J9028" i="2"/>
  <c r="H9028" i="2"/>
  <c r="J9027" i="2"/>
  <c r="H9027" i="2"/>
  <c r="J9026" i="2"/>
  <c r="H9026" i="2"/>
  <c r="J9025" i="2"/>
  <c r="H9025" i="2"/>
  <c r="J9024" i="2"/>
  <c r="H9024" i="2"/>
  <c r="J9023" i="2"/>
  <c r="H9023" i="2"/>
  <c r="J9022" i="2"/>
  <c r="H9022" i="2"/>
  <c r="J9021" i="2"/>
  <c r="H9021" i="2"/>
  <c r="J9020" i="2"/>
  <c r="H9020" i="2"/>
  <c r="J9019" i="2"/>
  <c r="H9019" i="2"/>
  <c r="J9018" i="2"/>
  <c r="H9018" i="2"/>
  <c r="J9017" i="2"/>
  <c r="H9017" i="2"/>
  <c r="J9016" i="2"/>
  <c r="H9016" i="2"/>
  <c r="J9015" i="2"/>
  <c r="H9015" i="2"/>
  <c r="J9014" i="2"/>
  <c r="H9014" i="2"/>
  <c r="J9013" i="2"/>
  <c r="H9013" i="2"/>
  <c r="J9012" i="2"/>
  <c r="H9012" i="2"/>
  <c r="J9011" i="2"/>
  <c r="H9011" i="2"/>
  <c r="J9010" i="2"/>
  <c r="H9010" i="2"/>
  <c r="J9009" i="2"/>
  <c r="H9009" i="2"/>
  <c r="J9008" i="2"/>
  <c r="H9008" i="2"/>
  <c r="J9007" i="2"/>
  <c r="H9007" i="2"/>
  <c r="J9006" i="2"/>
  <c r="H9006" i="2"/>
  <c r="J9005" i="2"/>
  <c r="H9005" i="2"/>
  <c r="J9004" i="2"/>
  <c r="H9004" i="2"/>
  <c r="J9003" i="2"/>
  <c r="H9003" i="2"/>
  <c r="J9002" i="2"/>
  <c r="H9002" i="2"/>
  <c r="J9001" i="2"/>
  <c r="H9001" i="2"/>
  <c r="J9000" i="2"/>
  <c r="H9000" i="2"/>
  <c r="J8999" i="2"/>
  <c r="H8999" i="2"/>
  <c r="J8998" i="2"/>
  <c r="H8998" i="2"/>
  <c r="J8997" i="2"/>
  <c r="H8997" i="2"/>
  <c r="J8996" i="2"/>
  <c r="H8996" i="2"/>
  <c r="J8995" i="2"/>
  <c r="H8995" i="2"/>
  <c r="J8994" i="2"/>
  <c r="H8994" i="2"/>
  <c r="J8993" i="2"/>
  <c r="H8993" i="2"/>
  <c r="J8992" i="2"/>
  <c r="H8992" i="2"/>
  <c r="J8991" i="2"/>
  <c r="H8991" i="2"/>
  <c r="J8990" i="2"/>
  <c r="H8990" i="2"/>
  <c r="J8989" i="2"/>
  <c r="H8989" i="2"/>
  <c r="J8988" i="2"/>
  <c r="H8988" i="2"/>
  <c r="J8987" i="2"/>
  <c r="H8987" i="2"/>
  <c r="J8986" i="2"/>
  <c r="H8986" i="2"/>
  <c r="J8985" i="2"/>
  <c r="H8985" i="2"/>
  <c r="J8984" i="2"/>
  <c r="H8984" i="2"/>
  <c r="J8983" i="2"/>
  <c r="H8983" i="2"/>
  <c r="J8982" i="2"/>
  <c r="H8982" i="2"/>
  <c r="J8981" i="2"/>
  <c r="H8981" i="2"/>
  <c r="J8980" i="2"/>
  <c r="H8980" i="2"/>
  <c r="J8979" i="2"/>
  <c r="H8979" i="2"/>
  <c r="J8978" i="2"/>
  <c r="H8978" i="2"/>
  <c r="J8977" i="2"/>
  <c r="H8977" i="2"/>
  <c r="J8976" i="2"/>
  <c r="H8976" i="2"/>
  <c r="J8975" i="2"/>
  <c r="H8975" i="2"/>
  <c r="J8974" i="2"/>
  <c r="H8974" i="2"/>
  <c r="J8973" i="2"/>
  <c r="H8973" i="2"/>
  <c r="J8972" i="2"/>
  <c r="H8972" i="2"/>
  <c r="J8971" i="2"/>
  <c r="H8971" i="2"/>
  <c r="J8970" i="2"/>
  <c r="H8970" i="2"/>
  <c r="J8969" i="2"/>
  <c r="H8969" i="2"/>
  <c r="J8968" i="2"/>
  <c r="H8968" i="2"/>
  <c r="J8967" i="2"/>
  <c r="H8967" i="2"/>
  <c r="J8966" i="2"/>
  <c r="H8966" i="2"/>
  <c r="J8965" i="2"/>
  <c r="H8965" i="2"/>
  <c r="J8964" i="2"/>
  <c r="H8964" i="2"/>
  <c r="J8963" i="2"/>
  <c r="H8963" i="2"/>
  <c r="J8962" i="2"/>
  <c r="H8962" i="2"/>
  <c r="J8961" i="2"/>
  <c r="H8961" i="2"/>
  <c r="J8960" i="2"/>
  <c r="H8960" i="2"/>
  <c r="J8959" i="2"/>
  <c r="H8959" i="2"/>
  <c r="J8958" i="2"/>
  <c r="H8958" i="2"/>
  <c r="J8957" i="2"/>
  <c r="H8957" i="2"/>
  <c r="J8956" i="2"/>
  <c r="H8956" i="2"/>
  <c r="J8955" i="2"/>
  <c r="H8955" i="2"/>
  <c r="J8954" i="2"/>
  <c r="H8954" i="2"/>
  <c r="J8953" i="2"/>
  <c r="H8953" i="2"/>
  <c r="J8952" i="2"/>
  <c r="H8952" i="2"/>
  <c r="J8951" i="2"/>
  <c r="H8951" i="2"/>
  <c r="J8950" i="2"/>
  <c r="H8950" i="2"/>
  <c r="J8949" i="2"/>
  <c r="H8949" i="2"/>
  <c r="J8948" i="2"/>
  <c r="H8948" i="2"/>
  <c r="J8947" i="2"/>
  <c r="H8947" i="2"/>
  <c r="J8946" i="2"/>
  <c r="H8946" i="2"/>
  <c r="J8945" i="2"/>
  <c r="H8945" i="2"/>
  <c r="J8944" i="2"/>
  <c r="H8944" i="2"/>
  <c r="J8943" i="2"/>
  <c r="H8943" i="2"/>
  <c r="J8942" i="2"/>
  <c r="H8942" i="2"/>
  <c r="J8941" i="2"/>
  <c r="H8941" i="2"/>
  <c r="J8940" i="2"/>
  <c r="H8940" i="2"/>
  <c r="J8939" i="2"/>
  <c r="H8939" i="2"/>
  <c r="J8938" i="2"/>
  <c r="H8938" i="2"/>
  <c r="J8937" i="2"/>
  <c r="H8937" i="2"/>
  <c r="J8936" i="2"/>
  <c r="H8936" i="2"/>
  <c r="J8935" i="2"/>
  <c r="H8935" i="2"/>
  <c r="J8934" i="2"/>
  <c r="H8934" i="2"/>
  <c r="J8933" i="2"/>
  <c r="H8933" i="2"/>
  <c r="J8932" i="2"/>
  <c r="H8932" i="2"/>
  <c r="J8931" i="2"/>
  <c r="H8931" i="2"/>
  <c r="J8930" i="2"/>
  <c r="H8930" i="2"/>
  <c r="J8929" i="2"/>
  <c r="H8929" i="2"/>
  <c r="J8928" i="2"/>
  <c r="H8928" i="2"/>
  <c r="J8927" i="2"/>
  <c r="H8927" i="2"/>
  <c r="J8926" i="2"/>
  <c r="H8926" i="2"/>
  <c r="J8925" i="2"/>
  <c r="H8925" i="2"/>
  <c r="J8924" i="2"/>
  <c r="H8924" i="2"/>
  <c r="J8923" i="2"/>
  <c r="H8923" i="2"/>
  <c r="J8922" i="2"/>
  <c r="H8922" i="2"/>
  <c r="J8921" i="2"/>
  <c r="H8921" i="2"/>
  <c r="J8920" i="2"/>
  <c r="H8920" i="2"/>
  <c r="J8919" i="2"/>
  <c r="H8919" i="2"/>
  <c r="J8918" i="2"/>
  <c r="H8918" i="2"/>
  <c r="J8917" i="2"/>
  <c r="H8917" i="2"/>
  <c r="J8916" i="2"/>
  <c r="H8916" i="2"/>
  <c r="J8915" i="2"/>
  <c r="H8915" i="2"/>
  <c r="J8914" i="2"/>
  <c r="H8914" i="2"/>
  <c r="J8913" i="2"/>
  <c r="H8913" i="2"/>
  <c r="J8912" i="2"/>
  <c r="H8912" i="2"/>
  <c r="J8911" i="2"/>
  <c r="H8911" i="2"/>
  <c r="J8910" i="2"/>
  <c r="H8910" i="2"/>
  <c r="J8909" i="2"/>
  <c r="H8909" i="2"/>
  <c r="J8908" i="2"/>
  <c r="H8908" i="2"/>
  <c r="J8907" i="2"/>
  <c r="H8907" i="2"/>
  <c r="J8906" i="2"/>
  <c r="H8906" i="2"/>
  <c r="J8905" i="2"/>
  <c r="H8905" i="2"/>
  <c r="J8904" i="2"/>
  <c r="H8904" i="2"/>
  <c r="J8903" i="2"/>
  <c r="H8903" i="2"/>
  <c r="J8902" i="2"/>
  <c r="H8902" i="2"/>
  <c r="J8901" i="2"/>
  <c r="H8901" i="2"/>
  <c r="J8900" i="2"/>
  <c r="H8900" i="2"/>
  <c r="J8899" i="2"/>
  <c r="H8899" i="2"/>
  <c r="J8898" i="2"/>
  <c r="H8898" i="2"/>
  <c r="J8897" i="2"/>
  <c r="H8897" i="2"/>
  <c r="J8896" i="2"/>
  <c r="H8896" i="2"/>
  <c r="J8895" i="2"/>
  <c r="H8895" i="2"/>
  <c r="J8894" i="2"/>
  <c r="H8894" i="2"/>
  <c r="J8893" i="2"/>
  <c r="H8893" i="2"/>
  <c r="J8892" i="2"/>
  <c r="H8892" i="2"/>
  <c r="J8891" i="2"/>
  <c r="H8891" i="2"/>
  <c r="J8890" i="2"/>
  <c r="H8890" i="2"/>
  <c r="J8889" i="2"/>
  <c r="H8889" i="2"/>
  <c r="J8888" i="2"/>
  <c r="H8888" i="2"/>
  <c r="J8887" i="2"/>
  <c r="H8887" i="2"/>
  <c r="J8886" i="2"/>
  <c r="H8886" i="2"/>
  <c r="J8885" i="2"/>
  <c r="H8885" i="2"/>
  <c r="J8884" i="2"/>
  <c r="H8884" i="2"/>
  <c r="J8883" i="2"/>
  <c r="H8883" i="2"/>
  <c r="J8882" i="2"/>
  <c r="H8882" i="2"/>
  <c r="J8881" i="2"/>
  <c r="H8881" i="2"/>
  <c r="J8880" i="2"/>
  <c r="H8880" i="2"/>
  <c r="J8879" i="2"/>
  <c r="H8879" i="2"/>
  <c r="J8878" i="2"/>
  <c r="H8878" i="2"/>
  <c r="J8877" i="2"/>
  <c r="H8877" i="2"/>
  <c r="J8876" i="2"/>
  <c r="H8876" i="2"/>
  <c r="J8875" i="2"/>
  <c r="H8875" i="2"/>
  <c r="J8874" i="2"/>
  <c r="H8874" i="2"/>
  <c r="J8873" i="2"/>
  <c r="H8873" i="2"/>
  <c r="J8872" i="2"/>
  <c r="H8872" i="2"/>
  <c r="J8871" i="2"/>
  <c r="H8871" i="2"/>
  <c r="J8870" i="2"/>
  <c r="H8870" i="2"/>
  <c r="J8869" i="2"/>
  <c r="H8869" i="2"/>
  <c r="J8868" i="2"/>
  <c r="H8868" i="2"/>
  <c r="J8867" i="2"/>
  <c r="H8867" i="2"/>
  <c r="J8866" i="2"/>
  <c r="H8866" i="2"/>
  <c r="J8865" i="2"/>
  <c r="H8865" i="2"/>
  <c r="J8864" i="2"/>
  <c r="H8864" i="2"/>
  <c r="J8863" i="2"/>
  <c r="H8863" i="2"/>
  <c r="J8862" i="2"/>
  <c r="H8862" i="2"/>
  <c r="J8861" i="2"/>
  <c r="H8861" i="2"/>
  <c r="J8860" i="2"/>
  <c r="H8860" i="2"/>
  <c r="J8859" i="2"/>
  <c r="H8859" i="2"/>
  <c r="J8858" i="2"/>
  <c r="H8858" i="2"/>
  <c r="J8857" i="2"/>
  <c r="H8857" i="2"/>
  <c r="J8856" i="2"/>
  <c r="H8856" i="2"/>
  <c r="J8855" i="2"/>
  <c r="H8855" i="2"/>
  <c r="J8854" i="2"/>
  <c r="H8854" i="2"/>
  <c r="J8853" i="2"/>
  <c r="H8853" i="2"/>
  <c r="J8852" i="2"/>
  <c r="H8852" i="2"/>
  <c r="J8851" i="2"/>
  <c r="H8851" i="2"/>
  <c r="J8850" i="2"/>
  <c r="H8850" i="2"/>
  <c r="J8849" i="2"/>
  <c r="H8849" i="2"/>
  <c r="J8848" i="2"/>
  <c r="H8848" i="2"/>
  <c r="J8847" i="2"/>
  <c r="H8847" i="2"/>
  <c r="J8846" i="2"/>
  <c r="H8846" i="2"/>
  <c r="J8845" i="2"/>
  <c r="H8845" i="2"/>
  <c r="J8844" i="2"/>
  <c r="H8844" i="2"/>
  <c r="J8843" i="2"/>
  <c r="H8843" i="2"/>
  <c r="J8842" i="2"/>
  <c r="H8842" i="2"/>
  <c r="J8841" i="2"/>
  <c r="H8841" i="2"/>
  <c r="J8840" i="2"/>
  <c r="H8840" i="2"/>
  <c r="J8839" i="2"/>
  <c r="H8839" i="2"/>
  <c r="J8838" i="2"/>
  <c r="H8838" i="2"/>
  <c r="J8837" i="2"/>
  <c r="H8837" i="2"/>
  <c r="J8836" i="2"/>
  <c r="H8836" i="2"/>
  <c r="J8835" i="2"/>
  <c r="H8835" i="2"/>
  <c r="J8834" i="2"/>
  <c r="H8834" i="2"/>
  <c r="J8833" i="2"/>
  <c r="H8833" i="2"/>
  <c r="J8832" i="2"/>
  <c r="H8832" i="2"/>
  <c r="J8831" i="2"/>
  <c r="H8831" i="2"/>
  <c r="J8830" i="2"/>
  <c r="H8830" i="2"/>
  <c r="J8829" i="2"/>
  <c r="H8829" i="2"/>
  <c r="J8828" i="2"/>
  <c r="H8828" i="2"/>
  <c r="J8827" i="2"/>
  <c r="H8827" i="2"/>
  <c r="J8826" i="2"/>
  <c r="H8826" i="2"/>
  <c r="J8825" i="2"/>
  <c r="H8825" i="2"/>
  <c r="J8824" i="2"/>
  <c r="H8824" i="2"/>
  <c r="J8823" i="2"/>
  <c r="H8823" i="2"/>
  <c r="J8822" i="2"/>
  <c r="H8822" i="2"/>
  <c r="J8821" i="2"/>
  <c r="H8821" i="2"/>
  <c r="J8820" i="2"/>
  <c r="H8820" i="2"/>
  <c r="J8819" i="2"/>
  <c r="H8819" i="2"/>
  <c r="J8818" i="2"/>
  <c r="H8818" i="2"/>
  <c r="J8817" i="2"/>
  <c r="H8817" i="2"/>
  <c r="J8816" i="2"/>
  <c r="H8816" i="2"/>
  <c r="J8815" i="2"/>
  <c r="H8815" i="2"/>
  <c r="J8814" i="2"/>
  <c r="H8814" i="2"/>
  <c r="J8813" i="2"/>
  <c r="H8813" i="2"/>
  <c r="J8812" i="2"/>
  <c r="H8812" i="2"/>
  <c r="J8811" i="2"/>
  <c r="H8811" i="2"/>
  <c r="J8810" i="2"/>
  <c r="H8810" i="2"/>
  <c r="J8809" i="2"/>
  <c r="H8809" i="2"/>
  <c r="J8808" i="2"/>
  <c r="H8808" i="2"/>
  <c r="J8807" i="2"/>
  <c r="H8807" i="2"/>
  <c r="J8806" i="2"/>
  <c r="H8806" i="2"/>
  <c r="J8805" i="2"/>
  <c r="H8805" i="2"/>
  <c r="J8804" i="2"/>
  <c r="H8804" i="2"/>
  <c r="J8803" i="2"/>
  <c r="H8803" i="2"/>
  <c r="J8802" i="2"/>
  <c r="H8802" i="2"/>
  <c r="J8801" i="2"/>
  <c r="H8801" i="2"/>
  <c r="J8800" i="2"/>
  <c r="H8800" i="2"/>
  <c r="J8799" i="2"/>
  <c r="H8799" i="2"/>
  <c r="J8798" i="2"/>
  <c r="H8798" i="2"/>
  <c r="J8797" i="2"/>
  <c r="H8797" i="2"/>
  <c r="J8796" i="2"/>
  <c r="H8796" i="2"/>
  <c r="J8795" i="2"/>
  <c r="H8795" i="2"/>
  <c r="J8794" i="2"/>
  <c r="H8794" i="2"/>
  <c r="J8793" i="2"/>
  <c r="H8793" i="2"/>
  <c r="J8792" i="2"/>
  <c r="H8792" i="2"/>
  <c r="J8791" i="2"/>
  <c r="H8791" i="2"/>
  <c r="J8790" i="2"/>
  <c r="H8790" i="2"/>
  <c r="J8789" i="2"/>
  <c r="H8789" i="2"/>
  <c r="J8788" i="2"/>
  <c r="H8788" i="2"/>
  <c r="J8787" i="2"/>
  <c r="H8787" i="2"/>
  <c r="J8786" i="2"/>
  <c r="H8786" i="2"/>
  <c r="J8785" i="2"/>
  <c r="H8785" i="2"/>
  <c r="J8784" i="2"/>
  <c r="H8784" i="2"/>
  <c r="J8783" i="2"/>
  <c r="H8783" i="2"/>
  <c r="J8782" i="2"/>
  <c r="H8782" i="2"/>
  <c r="J8781" i="2"/>
  <c r="H8781" i="2"/>
  <c r="J8780" i="2"/>
  <c r="H8780" i="2"/>
  <c r="J8779" i="2"/>
  <c r="H8779" i="2"/>
  <c r="J8778" i="2"/>
  <c r="H8778" i="2"/>
  <c r="J8777" i="2"/>
  <c r="H8777" i="2"/>
  <c r="J8776" i="2"/>
  <c r="H8776" i="2"/>
  <c r="J8775" i="2"/>
  <c r="H8775" i="2"/>
  <c r="J8774" i="2"/>
  <c r="H8774" i="2"/>
  <c r="J8773" i="2"/>
  <c r="H8773" i="2"/>
  <c r="J8772" i="2"/>
  <c r="H8772" i="2"/>
  <c r="J8771" i="2"/>
  <c r="H8771" i="2"/>
  <c r="J8770" i="2"/>
  <c r="H8770" i="2"/>
  <c r="J8769" i="2"/>
  <c r="H8769" i="2"/>
  <c r="J8768" i="2"/>
  <c r="H8768" i="2"/>
  <c r="J8767" i="2"/>
  <c r="H8767" i="2"/>
  <c r="J8766" i="2"/>
  <c r="H8766" i="2"/>
  <c r="J8765" i="2"/>
  <c r="H8765" i="2"/>
  <c r="J8764" i="2"/>
  <c r="H8764" i="2"/>
  <c r="J8763" i="2"/>
  <c r="H8763" i="2"/>
  <c r="J8762" i="2"/>
  <c r="H8762" i="2"/>
  <c r="J8761" i="2"/>
  <c r="H8761" i="2"/>
  <c r="J8760" i="2"/>
  <c r="H8760" i="2"/>
  <c r="J8759" i="2"/>
  <c r="H8759" i="2"/>
  <c r="J8758" i="2"/>
  <c r="H8758" i="2"/>
  <c r="J8757" i="2"/>
  <c r="H8757" i="2"/>
  <c r="J8756" i="2"/>
  <c r="H8756" i="2"/>
  <c r="J8755" i="2"/>
  <c r="H8755" i="2"/>
  <c r="J8754" i="2"/>
  <c r="H8754" i="2"/>
  <c r="J8753" i="2"/>
  <c r="H8753" i="2"/>
  <c r="J8752" i="2"/>
  <c r="H8752" i="2"/>
  <c r="J8751" i="2"/>
  <c r="H8751" i="2"/>
  <c r="J8750" i="2"/>
  <c r="H8750" i="2"/>
  <c r="J8749" i="2"/>
  <c r="H8749" i="2"/>
  <c r="J8748" i="2"/>
  <c r="H8748" i="2"/>
  <c r="J8747" i="2"/>
  <c r="H8747" i="2"/>
  <c r="J8746" i="2"/>
  <c r="H8746" i="2"/>
  <c r="J8745" i="2"/>
  <c r="H8745" i="2"/>
  <c r="J8744" i="2"/>
  <c r="H8744" i="2"/>
  <c r="J8743" i="2"/>
  <c r="H8743" i="2"/>
  <c r="J8742" i="2"/>
  <c r="H8742" i="2"/>
  <c r="J8741" i="2"/>
  <c r="H8741" i="2"/>
  <c r="J8740" i="2"/>
  <c r="H8740" i="2"/>
  <c r="J8739" i="2"/>
  <c r="H8739" i="2"/>
  <c r="J8738" i="2"/>
  <c r="H8738" i="2"/>
  <c r="J8737" i="2"/>
  <c r="H8737" i="2"/>
  <c r="J8736" i="2"/>
  <c r="H8736" i="2"/>
  <c r="J8735" i="2"/>
  <c r="H8735" i="2"/>
  <c r="J8734" i="2"/>
  <c r="H8734" i="2"/>
  <c r="J8733" i="2"/>
  <c r="H8733" i="2"/>
  <c r="J8732" i="2"/>
  <c r="H8732" i="2"/>
  <c r="J8731" i="2"/>
  <c r="H8731" i="2"/>
  <c r="J8730" i="2"/>
  <c r="H8730" i="2"/>
  <c r="J8729" i="2"/>
  <c r="H8729" i="2"/>
  <c r="J8728" i="2"/>
  <c r="H8728" i="2"/>
  <c r="J8727" i="2"/>
  <c r="H8727" i="2"/>
  <c r="J8726" i="2"/>
  <c r="H8726" i="2"/>
  <c r="J8725" i="2"/>
  <c r="H8725" i="2"/>
  <c r="J8724" i="2"/>
  <c r="H8724" i="2"/>
  <c r="J8723" i="2"/>
  <c r="H8723" i="2"/>
  <c r="J8722" i="2"/>
  <c r="H8722" i="2"/>
  <c r="J8721" i="2"/>
  <c r="H8721" i="2"/>
  <c r="J8720" i="2"/>
  <c r="H8720" i="2"/>
  <c r="J8719" i="2"/>
  <c r="H8719" i="2"/>
  <c r="J8718" i="2"/>
  <c r="H8718" i="2"/>
  <c r="J8717" i="2"/>
  <c r="H8717" i="2"/>
  <c r="J8716" i="2"/>
  <c r="H8716" i="2"/>
  <c r="J8715" i="2"/>
  <c r="H8715" i="2"/>
  <c r="J8714" i="2"/>
  <c r="H8714" i="2"/>
  <c r="J8713" i="2"/>
  <c r="H8713" i="2"/>
  <c r="J8712" i="2"/>
  <c r="H8712" i="2"/>
  <c r="J8711" i="2"/>
  <c r="H8711" i="2"/>
  <c r="J8710" i="2"/>
  <c r="H8710" i="2"/>
  <c r="J8709" i="2"/>
  <c r="H8709" i="2"/>
  <c r="J8708" i="2"/>
  <c r="H8708" i="2"/>
  <c r="J8707" i="2"/>
  <c r="H8707" i="2"/>
  <c r="J8706" i="2"/>
  <c r="H8706" i="2"/>
  <c r="J8705" i="2"/>
  <c r="H8705" i="2"/>
  <c r="J8704" i="2"/>
  <c r="H8704" i="2"/>
  <c r="J8703" i="2"/>
  <c r="H8703" i="2"/>
  <c r="J8702" i="2"/>
  <c r="H8702" i="2"/>
  <c r="J8701" i="2"/>
  <c r="H8701" i="2"/>
  <c r="J8700" i="2"/>
  <c r="H8700" i="2"/>
  <c r="J8699" i="2"/>
  <c r="H8699" i="2"/>
  <c r="J8698" i="2"/>
  <c r="H8698" i="2"/>
  <c r="J8697" i="2"/>
  <c r="H8697" i="2"/>
  <c r="J8696" i="2"/>
  <c r="H8696" i="2"/>
  <c r="J8695" i="2"/>
  <c r="H8695" i="2"/>
  <c r="J8694" i="2"/>
  <c r="H8694" i="2"/>
  <c r="J8693" i="2"/>
  <c r="H8693" i="2"/>
  <c r="J8692" i="2"/>
  <c r="H8692" i="2"/>
  <c r="J8691" i="2"/>
  <c r="H8691" i="2"/>
  <c r="J8690" i="2"/>
  <c r="H8690" i="2"/>
  <c r="J8689" i="2"/>
  <c r="H8689" i="2"/>
  <c r="J8688" i="2"/>
  <c r="H8688" i="2"/>
  <c r="J8687" i="2"/>
  <c r="H8687" i="2"/>
  <c r="J8686" i="2"/>
  <c r="H8686" i="2"/>
  <c r="J8685" i="2"/>
  <c r="H8685" i="2"/>
  <c r="J8684" i="2"/>
  <c r="H8684" i="2"/>
  <c r="J8683" i="2"/>
  <c r="H8683" i="2"/>
  <c r="J8682" i="2"/>
  <c r="H8682" i="2"/>
  <c r="J8681" i="2"/>
  <c r="H8681" i="2"/>
  <c r="J8680" i="2"/>
  <c r="H8680" i="2"/>
  <c r="J8679" i="2"/>
  <c r="H8679" i="2"/>
  <c r="J8678" i="2"/>
  <c r="H8678" i="2"/>
  <c r="J8677" i="2"/>
  <c r="H8677" i="2"/>
  <c r="J8676" i="2"/>
  <c r="H8676" i="2"/>
  <c r="J8675" i="2"/>
  <c r="H8675" i="2"/>
  <c r="J8674" i="2"/>
  <c r="H8674" i="2"/>
  <c r="J8673" i="2"/>
  <c r="H8673" i="2"/>
  <c r="J8672" i="2"/>
  <c r="H8672" i="2"/>
  <c r="J8671" i="2"/>
  <c r="H8671" i="2"/>
  <c r="J8670" i="2"/>
  <c r="H8670" i="2"/>
  <c r="J8669" i="2"/>
  <c r="H8669" i="2"/>
  <c r="J8668" i="2"/>
  <c r="H8668" i="2"/>
  <c r="J8667" i="2"/>
  <c r="H8667" i="2"/>
  <c r="J8666" i="2"/>
  <c r="H8666" i="2"/>
  <c r="J8665" i="2"/>
  <c r="H8665" i="2"/>
  <c r="J8664" i="2"/>
  <c r="H8664" i="2"/>
  <c r="J8663" i="2"/>
  <c r="H8663" i="2"/>
  <c r="J8662" i="2"/>
  <c r="H8662" i="2"/>
  <c r="J8661" i="2"/>
  <c r="H8661" i="2"/>
  <c r="J8660" i="2"/>
  <c r="H8660" i="2"/>
  <c r="J8659" i="2"/>
  <c r="H8659" i="2"/>
  <c r="J8658" i="2"/>
  <c r="H8658" i="2"/>
  <c r="J8657" i="2"/>
  <c r="H8657" i="2"/>
  <c r="J8656" i="2"/>
  <c r="H8656" i="2"/>
  <c r="J8655" i="2"/>
  <c r="H8655" i="2"/>
  <c r="J8654" i="2"/>
  <c r="H8654" i="2"/>
  <c r="J8653" i="2"/>
  <c r="H8653" i="2"/>
  <c r="J8652" i="2"/>
  <c r="H8652" i="2"/>
  <c r="J8651" i="2"/>
  <c r="H8651" i="2"/>
  <c r="J8650" i="2"/>
  <c r="H8650" i="2"/>
  <c r="J8649" i="2"/>
  <c r="H8649" i="2"/>
  <c r="J8648" i="2"/>
  <c r="H8648" i="2"/>
  <c r="J8647" i="2"/>
  <c r="H8647" i="2"/>
  <c r="J8646" i="2"/>
  <c r="H8646" i="2"/>
  <c r="J8645" i="2"/>
  <c r="H8645" i="2"/>
  <c r="J8644" i="2"/>
  <c r="H8644" i="2"/>
  <c r="J8643" i="2"/>
  <c r="H8643" i="2"/>
  <c r="J8642" i="2"/>
  <c r="H8642" i="2"/>
  <c r="J8641" i="2"/>
  <c r="H8641" i="2"/>
  <c r="J8640" i="2"/>
  <c r="H8640" i="2"/>
  <c r="J8639" i="2"/>
  <c r="H8639" i="2"/>
  <c r="J8638" i="2"/>
  <c r="H8638" i="2"/>
  <c r="J8637" i="2"/>
  <c r="H8637" i="2"/>
  <c r="J8636" i="2"/>
  <c r="H8636" i="2"/>
  <c r="J8635" i="2"/>
  <c r="H8635" i="2"/>
  <c r="J8634" i="2"/>
  <c r="H8634" i="2"/>
  <c r="J8633" i="2"/>
  <c r="H8633" i="2"/>
  <c r="J8632" i="2"/>
  <c r="H8632" i="2"/>
  <c r="J8631" i="2"/>
  <c r="H8631" i="2"/>
  <c r="J8630" i="2"/>
  <c r="H8630" i="2"/>
  <c r="J8629" i="2"/>
  <c r="H8629" i="2"/>
  <c r="J8628" i="2"/>
  <c r="H8628" i="2"/>
  <c r="J8627" i="2"/>
  <c r="H8627" i="2"/>
  <c r="J8626" i="2"/>
  <c r="H8626" i="2"/>
  <c r="J8625" i="2"/>
  <c r="H8625" i="2"/>
  <c r="J8624" i="2"/>
  <c r="H8624" i="2"/>
  <c r="J8623" i="2"/>
  <c r="H8623" i="2"/>
  <c r="J8622" i="2"/>
  <c r="H8622" i="2"/>
  <c r="J8621" i="2"/>
  <c r="H8621" i="2"/>
  <c r="J8620" i="2"/>
  <c r="H8620" i="2"/>
  <c r="J8619" i="2"/>
  <c r="H8619" i="2"/>
  <c r="J8618" i="2"/>
  <c r="H8618" i="2"/>
  <c r="J8617" i="2"/>
  <c r="H8617" i="2"/>
  <c r="J8616" i="2"/>
  <c r="H8616" i="2"/>
  <c r="J8615" i="2"/>
  <c r="H8615" i="2"/>
  <c r="J8614" i="2"/>
  <c r="H8614" i="2"/>
  <c r="J8613" i="2"/>
  <c r="H8613" i="2"/>
  <c r="J8612" i="2"/>
  <c r="H8612" i="2"/>
  <c r="J8611" i="2"/>
  <c r="H8611" i="2"/>
  <c r="J8610" i="2"/>
  <c r="H8610" i="2"/>
  <c r="J8609" i="2"/>
  <c r="H8609" i="2"/>
  <c r="J8608" i="2"/>
  <c r="H8608" i="2"/>
  <c r="J8607" i="2"/>
  <c r="H8607" i="2"/>
  <c r="J8606" i="2"/>
  <c r="H8606" i="2"/>
  <c r="J8605" i="2"/>
  <c r="H8605" i="2"/>
  <c r="J8604" i="2"/>
  <c r="H8604" i="2"/>
  <c r="J8603" i="2"/>
  <c r="H8603" i="2"/>
  <c r="J8602" i="2"/>
  <c r="H8602" i="2"/>
  <c r="J8601" i="2"/>
  <c r="H8601" i="2"/>
  <c r="J8600" i="2"/>
  <c r="H8600" i="2"/>
  <c r="J8599" i="2"/>
  <c r="H8599" i="2"/>
  <c r="J8598" i="2"/>
  <c r="H8598" i="2"/>
  <c r="J8597" i="2"/>
  <c r="H8597" i="2"/>
  <c r="J8596" i="2"/>
  <c r="H8596" i="2"/>
  <c r="J8595" i="2"/>
  <c r="H8595" i="2"/>
  <c r="J8594" i="2"/>
  <c r="H8594" i="2"/>
  <c r="J8593" i="2"/>
  <c r="H8593" i="2"/>
  <c r="J8592" i="2"/>
  <c r="H8592" i="2"/>
  <c r="J8591" i="2"/>
  <c r="H8591" i="2"/>
  <c r="J8590" i="2"/>
  <c r="H8590" i="2"/>
  <c r="J8589" i="2"/>
  <c r="H8589" i="2"/>
  <c r="J8588" i="2"/>
  <c r="H8588" i="2"/>
  <c r="J8587" i="2"/>
  <c r="H8587" i="2"/>
  <c r="J8586" i="2"/>
  <c r="H8586" i="2"/>
  <c r="J8585" i="2"/>
  <c r="H8585" i="2"/>
  <c r="J8584" i="2"/>
  <c r="H8584" i="2"/>
  <c r="J8583" i="2"/>
  <c r="H8583" i="2"/>
  <c r="J8582" i="2"/>
  <c r="H8582" i="2"/>
  <c r="J8581" i="2"/>
  <c r="H8581" i="2"/>
  <c r="J8580" i="2"/>
  <c r="H8580" i="2"/>
  <c r="J8579" i="2"/>
  <c r="H8579" i="2"/>
  <c r="J8578" i="2"/>
  <c r="H8578" i="2"/>
  <c r="J8577" i="2"/>
  <c r="H8577" i="2"/>
  <c r="J8576" i="2"/>
  <c r="H8576" i="2"/>
  <c r="J8575" i="2"/>
  <c r="H8575" i="2"/>
  <c r="J8574" i="2"/>
  <c r="H8574" i="2"/>
  <c r="J8573" i="2"/>
  <c r="H8573" i="2"/>
  <c r="J8572" i="2"/>
  <c r="H8572" i="2"/>
  <c r="J8571" i="2"/>
  <c r="H8571" i="2"/>
  <c r="J8570" i="2"/>
  <c r="H8570" i="2"/>
  <c r="J8569" i="2"/>
  <c r="H8569" i="2"/>
  <c r="J8568" i="2"/>
  <c r="H8568" i="2"/>
  <c r="J8567" i="2"/>
  <c r="H8567" i="2"/>
  <c r="J8566" i="2"/>
  <c r="H8566" i="2"/>
  <c r="J8565" i="2"/>
  <c r="H8565" i="2"/>
  <c r="J8564" i="2"/>
  <c r="H8564" i="2"/>
  <c r="J8563" i="2"/>
  <c r="H8563" i="2"/>
  <c r="J8562" i="2"/>
  <c r="H8562" i="2"/>
  <c r="J8561" i="2"/>
  <c r="H8561" i="2"/>
  <c r="J8560" i="2"/>
  <c r="H8560" i="2"/>
  <c r="J8559" i="2"/>
  <c r="H8559" i="2"/>
  <c r="J8558" i="2"/>
  <c r="H8558" i="2"/>
  <c r="J8557" i="2"/>
  <c r="H8557" i="2"/>
  <c r="J8556" i="2"/>
  <c r="H8556" i="2"/>
  <c r="J8555" i="2"/>
  <c r="H8555" i="2"/>
  <c r="J8554" i="2"/>
  <c r="H8554" i="2"/>
  <c r="J8553" i="2"/>
  <c r="H8553" i="2"/>
  <c r="J8552" i="2"/>
  <c r="H8552" i="2"/>
  <c r="J8551" i="2"/>
  <c r="H8551" i="2"/>
  <c r="J8550" i="2"/>
  <c r="H8550" i="2"/>
  <c r="J8549" i="2"/>
  <c r="H8549" i="2"/>
  <c r="J8548" i="2"/>
  <c r="H8548" i="2"/>
  <c r="J8547" i="2"/>
  <c r="H8547" i="2"/>
  <c r="J8546" i="2"/>
  <c r="H8546" i="2"/>
  <c r="J8545" i="2"/>
  <c r="H8545" i="2"/>
  <c r="J8544" i="2"/>
  <c r="H8544" i="2"/>
  <c r="J8543" i="2"/>
  <c r="H8543" i="2"/>
  <c r="J8542" i="2"/>
  <c r="H8542" i="2"/>
  <c r="J8541" i="2"/>
  <c r="H8541" i="2"/>
  <c r="J8540" i="2"/>
  <c r="H8540" i="2"/>
  <c r="J8539" i="2"/>
  <c r="H8539" i="2"/>
  <c r="J8538" i="2"/>
  <c r="H8538" i="2"/>
  <c r="J8537" i="2"/>
  <c r="H8537" i="2"/>
  <c r="J8536" i="2"/>
  <c r="H8536" i="2"/>
  <c r="J8535" i="2"/>
  <c r="H8535" i="2"/>
  <c r="J8534" i="2"/>
  <c r="H8534" i="2"/>
  <c r="J8533" i="2"/>
  <c r="H8533" i="2"/>
  <c r="J8532" i="2"/>
  <c r="H8532" i="2"/>
  <c r="J8531" i="2"/>
  <c r="H8531" i="2"/>
  <c r="J8530" i="2"/>
  <c r="H8530" i="2"/>
  <c r="J8529" i="2"/>
  <c r="H8529" i="2"/>
  <c r="J8528" i="2"/>
  <c r="H8528" i="2"/>
  <c r="J8527" i="2"/>
  <c r="H8527" i="2"/>
  <c r="J8526" i="2"/>
  <c r="H8526" i="2"/>
  <c r="J8525" i="2"/>
  <c r="H8525" i="2"/>
  <c r="J8524" i="2"/>
  <c r="H8524" i="2"/>
  <c r="J8523" i="2"/>
  <c r="H8523" i="2"/>
  <c r="J8522" i="2"/>
  <c r="H8522" i="2"/>
  <c r="J8521" i="2"/>
  <c r="H8521" i="2"/>
  <c r="J8520" i="2"/>
  <c r="H8520" i="2"/>
  <c r="J8519" i="2"/>
  <c r="H8519" i="2"/>
  <c r="J8518" i="2"/>
  <c r="H8518" i="2"/>
  <c r="J8517" i="2"/>
  <c r="H8517" i="2"/>
  <c r="J8516" i="2"/>
  <c r="H8516" i="2"/>
  <c r="J8515" i="2"/>
  <c r="H8515" i="2"/>
  <c r="J8514" i="2"/>
  <c r="H8514" i="2"/>
  <c r="J8513" i="2"/>
  <c r="H8513" i="2"/>
  <c r="J8512" i="2"/>
  <c r="H8512" i="2"/>
  <c r="J8511" i="2"/>
  <c r="H8511" i="2"/>
  <c r="J8510" i="2"/>
  <c r="H8510" i="2"/>
  <c r="J8509" i="2"/>
  <c r="H8509" i="2"/>
  <c r="J8508" i="2"/>
  <c r="H8508" i="2"/>
  <c r="J8507" i="2"/>
  <c r="H8507" i="2"/>
  <c r="J8506" i="2"/>
  <c r="H8506" i="2"/>
  <c r="J8505" i="2"/>
  <c r="H8505" i="2"/>
  <c r="J8504" i="2"/>
  <c r="H8504" i="2"/>
  <c r="J8503" i="2"/>
  <c r="H8503" i="2"/>
  <c r="J8502" i="2"/>
  <c r="H8502" i="2"/>
  <c r="J8501" i="2"/>
  <c r="H8501" i="2"/>
  <c r="J8500" i="2"/>
  <c r="H8500" i="2"/>
  <c r="J8499" i="2"/>
  <c r="H8499" i="2"/>
  <c r="J8498" i="2"/>
  <c r="H8498" i="2"/>
  <c r="J8497" i="2"/>
  <c r="H8497" i="2"/>
  <c r="J8496" i="2"/>
  <c r="H8496" i="2"/>
  <c r="J8495" i="2"/>
  <c r="H8495" i="2"/>
  <c r="J8494" i="2"/>
  <c r="H8494" i="2"/>
  <c r="J8493" i="2"/>
  <c r="H8493" i="2"/>
  <c r="J8492" i="2"/>
  <c r="H8492" i="2"/>
  <c r="J8491" i="2"/>
  <c r="H8491" i="2"/>
  <c r="J8490" i="2"/>
  <c r="H8490" i="2"/>
  <c r="J8489" i="2"/>
  <c r="H8489" i="2"/>
  <c r="J8488" i="2"/>
  <c r="H8488" i="2"/>
  <c r="J8487" i="2"/>
  <c r="H8487" i="2"/>
  <c r="J8486" i="2"/>
  <c r="H8486" i="2"/>
  <c r="J8485" i="2"/>
  <c r="H8485" i="2"/>
  <c r="J8484" i="2"/>
  <c r="H8484" i="2"/>
  <c r="J8483" i="2"/>
  <c r="H8483" i="2"/>
  <c r="J8482" i="2"/>
  <c r="H8482" i="2"/>
  <c r="J8481" i="2"/>
  <c r="H8481" i="2"/>
  <c r="J8480" i="2"/>
  <c r="H8480" i="2"/>
  <c r="J8479" i="2"/>
  <c r="H8479" i="2"/>
  <c r="J8478" i="2"/>
  <c r="H8478" i="2"/>
  <c r="J8477" i="2"/>
  <c r="H8477" i="2"/>
  <c r="J8476" i="2"/>
  <c r="H8476" i="2"/>
  <c r="J8475" i="2"/>
  <c r="H8475" i="2"/>
  <c r="J8474" i="2"/>
  <c r="H8474" i="2"/>
  <c r="J8473" i="2"/>
  <c r="H8473" i="2"/>
  <c r="J8472" i="2"/>
  <c r="H8472" i="2"/>
  <c r="J8471" i="2"/>
  <c r="H8471" i="2"/>
  <c r="J8470" i="2"/>
  <c r="H8470" i="2"/>
  <c r="J8469" i="2"/>
  <c r="H8469" i="2"/>
  <c r="J8468" i="2"/>
  <c r="H8468" i="2"/>
  <c r="J8467" i="2"/>
  <c r="H8467" i="2"/>
  <c r="J8466" i="2"/>
  <c r="H8466" i="2"/>
  <c r="J8465" i="2"/>
  <c r="H8465" i="2"/>
  <c r="J8464" i="2"/>
  <c r="H8464" i="2"/>
  <c r="J8463" i="2"/>
  <c r="H8463" i="2"/>
  <c r="J8462" i="2"/>
  <c r="H8462" i="2"/>
  <c r="J8461" i="2"/>
  <c r="H8461" i="2"/>
  <c r="J8460" i="2"/>
  <c r="H8460" i="2"/>
  <c r="J8459" i="2"/>
  <c r="H8459" i="2"/>
  <c r="J8458" i="2"/>
  <c r="H8458" i="2"/>
  <c r="J8457" i="2"/>
  <c r="H8457" i="2"/>
  <c r="J8456" i="2"/>
  <c r="H8456" i="2"/>
  <c r="J8455" i="2"/>
  <c r="H8455" i="2"/>
  <c r="J8454" i="2"/>
  <c r="H8454" i="2"/>
  <c r="J8453" i="2"/>
  <c r="H8453" i="2"/>
  <c r="J8452" i="2"/>
  <c r="H8452" i="2"/>
  <c r="J8451" i="2"/>
  <c r="H8451" i="2"/>
  <c r="J8450" i="2"/>
  <c r="H8450" i="2"/>
  <c r="J8449" i="2"/>
  <c r="H8449" i="2"/>
  <c r="J8448" i="2"/>
  <c r="H8448" i="2"/>
  <c r="J8447" i="2"/>
  <c r="H8447" i="2"/>
  <c r="J8446" i="2"/>
  <c r="H8446" i="2"/>
  <c r="J8445" i="2"/>
  <c r="H8445" i="2"/>
  <c r="J8444" i="2"/>
  <c r="H8444" i="2"/>
  <c r="J8443" i="2"/>
  <c r="H8443" i="2"/>
  <c r="J8442" i="2"/>
  <c r="H8442" i="2"/>
  <c r="J8441" i="2"/>
  <c r="H8441" i="2"/>
  <c r="J8440" i="2"/>
  <c r="H8440" i="2"/>
  <c r="J8439" i="2"/>
  <c r="H8439" i="2"/>
  <c r="J8438" i="2"/>
  <c r="H8438" i="2"/>
  <c r="J8437" i="2"/>
  <c r="H8437" i="2"/>
  <c r="J8436" i="2"/>
  <c r="H8436" i="2"/>
  <c r="J8435" i="2"/>
  <c r="H8435" i="2"/>
  <c r="J8434" i="2"/>
  <c r="H8434" i="2"/>
  <c r="J8433" i="2"/>
  <c r="H8433" i="2"/>
  <c r="J8432" i="2"/>
  <c r="H8432" i="2"/>
  <c r="J8431" i="2"/>
  <c r="H8431" i="2"/>
  <c r="J8430" i="2"/>
  <c r="H8430" i="2"/>
  <c r="J8429" i="2"/>
  <c r="H8429" i="2"/>
  <c r="J8428" i="2"/>
  <c r="H8428" i="2"/>
  <c r="J8427" i="2"/>
  <c r="H8427" i="2"/>
  <c r="J8426" i="2"/>
  <c r="H8426" i="2"/>
  <c r="J8425" i="2"/>
  <c r="H8425" i="2"/>
  <c r="J8424" i="2"/>
  <c r="H8424" i="2"/>
  <c r="J8423" i="2"/>
  <c r="H8423" i="2"/>
  <c r="J8422" i="2"/>
  <c r="H8422" i="2"/>
  <c r="J8421" i="2"/>
  <c r="H8421" i="2"/>
  <c r="J8420" i="2"/>
  <c r="H8420" i="2"/>
  <c r="J8419" i="2"/>
  <c r="H8419" i="2"/>
  <c r="J8418" i="2"/>
  <c r="H8418" i="2"/>
  <c r="J8417" i="2"/>
  <c r="H8417" i="2"/>
  <c r="J8416" i="2"/>
  <c r="H8416" i="2"/>
  <c r="J8415" i="2"/>
  <c r="H8415" i="2"/>
  <c r="J8414" i="2"/>
  <c r="H8414" i="2"/>
  <c r="J8413" i="2"/>
  <c r="H8413" i="2"/>
  <c r="J8412" i="2"/>
  <c r="H8412" i="2"/>
  <c r="J8411" i="2"/>
  <c r="H8411" i="2"/>
  <c r="J8410" i="2"/>
  <c r="H8410" i="2"/>
  <c r="J8409" i="2"/>
  <c r="H8409" i="2"/>
  <c r="J8408" i="2"/>
  <c r="H8408" i="2"/>
  <c r="J8407" i="2"/>
  <c r="H8407" i="2"/>
  <c r="J8406" i="2"/>
  <c r="H8406" i="2"/>
  <c r="J8405" i="2"/>
  <c r="H8405" i="2"/>
  <c r="J8404" i="2"/>
  <c r="H8404" i="2"/>
  <c r="J8403" i="2"/>
  <c r="H8403" i="2"/>
  <c r="J8402" i="2"/>
  <c r="H8402" i="2"/>
  <c r="J8401" i="2"/>
  <c r="H8401" i="2"/>
  <c r="J8400" i="2"/>
  <c r="H8400" i="2"/>
  <c r="J8399" i="2"/>
  <c r="H8399" i="2"/>
  <c r="J8398" i="2"/>
  <c r="H8398" i="2"/>
  <c r="J8397" i="2"/>
  <c r="H8397" i="2"/>
  <c r="J8396" i="2"/>
  <c r="H8396" i="2"/>
  <c r="J8395" i="2"/>
  <c r="H8395" i="2"/>
  <c r="J8394" i="2"/>
  <c r="H8394" i="2"/>
  <c r="J8393" i="2"/>
  <c r="H8393" i="2"/>
  <c r="J8392" i="2"/>
  <c r="H8392" i="2"/>
  <c r="J8391" i="2"/>
  <c r="H8391" i="2"/>
  <c r="J8390" i="2"/>
  <c r="H8390" i="2"/>
  <c r="J8389" i="2"/>
  <c r="H8389" i="2"/>
  <c r="J8388" i="2"/>
  <c r="H8388" i="2"/>
  <c r="J8387" i="2"/>
  <c r="H8387" i="2"/>
  <c r="J8386" i="2"/>
  <c r="H8386" i="2"/>
  <c r="J8385" i="2"/>
  <c r="H8385" i="2"/>
  <c r="J8384" i="2"/>
  <c r="H8384" i="2"/>
  <c r="J8383" i="2"/>
  <c r="H8383" i="2"/>
  <c r="J8382" i="2"/>
  <c r="H8382" i="2"/>
  <c r="J8381" i="2"/>
  <c r="H8381" i="2"/>
  <c r="J8380" i="2"/>
  <c r="H8380" i="2"/>
  <c r="J8379" i="2"/>
  <c r="H8379" i="2"/>
  <c r="J8378" i="2"/>
  <c r="H8378" i="2"/>
  <c r="J8377" i="2"/>
  <c r="H8377" i="2"/>
  <c r="J8376" i="2"/>
  <c r="H8376" i="2"/>
  <c r="J8375" i="2"/>
  <c r="H8375" i="2"/>
  <c r="J8374" i="2"/>
  <c r="H8374" i="2"/>
  <c r="J8373" i="2"/>
  <c r="H8373" i="2"/>
  <c r="J8372" i="2"/>
  <c r="H8372" i="2"/>
  <c r="J8371" i="2"/>
  <c r="H8371" i="2"/>
  <c r="J8370" i="2"/>
  <c r="H8370" i="2"/>
  <c r="J8369" i="2"/>
  <c r="H8369" i="2"/>
  <c r="J8368" i="2"/>
  <c r="H8368" i="2"/>
  <c r="J8367" i="2"/>
  <c r="H8367" i="2"/>
  <c r="J8366" i="2"/>
  <c r="H8366" i="2"/>
  <c r="J8365" i="2"/>
  <c r="H8365" i="2"/>
  <c r="J8364" i="2"/>
  <c r="H8364" i="2"/>
  <c r="J8363" i="2"/>
  <c r="H8363" i="2"/>
  <c r="J8362" i="2"/>
  <c r="H8362" i="2"/>
  <c r="J8361" i="2"/>
  <c r="H8361" i="2"/>
  <c r="J8360" i="2"/>
  <c r="H8360" i="2"/>
  <c r="J8359" i="2"/>
  <c r="H8359" i="2"/>
  <c r="J8358" i="2"/>
  <c r="H8358" i="2"/>
  <c r="J8357" i="2"/>
  <c r="H8357" i="2"/>
  <c r="J8356" i="2"/>
  <c r="H8356" i="2"/>
  <c r="J8355" i="2"/>
  <c r="H8355" i="2"/>
  <c r="J8354" i="2"/>
  <c r="H8354" i="2"/>
  <c r="J8353" i="2"/>
  <c r="H8353" i="2"/>
  <c r="J8352" i="2"/>
  <c r="H8352" i="2"/>
  <c r="J8351" i="2"/>
  <c r="H8351" i="2"/>
  <c r="J8350" i="2"/>
  <c r="H8350" i="2"/>
  <c r="J8349" i="2"/>
  <c r="H8349" i="2"/>
  <c r="J8348" i="2"/>
  <c r="H8348" i="2"/>
  <c r="J8347" i="2"/>
  <c r="H8347" i="2"/>
  <c r="J8346" i="2"/>
  <c r="H8346" i="2"/>
  <c r="J8345" i="2"/>
  <c r="H8345" i="2"/>
  <c r="J8344" i="2"/>
  <c r="H8344" i="2"/>
  <c r="J8343" i="2"/>
  <c r="H8343" i="2"/>
  <c r="J8342" i="2"/>
  <c r="H8342" i="2"/>
  <c r="J8341" i="2"/>
  <c r="H8341" i="2"/>
  <c r="J8340" i="2"/>
  <c r="H8340" i="2"/>
  <c r="J8339" i="2"/>
  <c r="H8339" i="2"/>
  <c r="J8338" i="2"/>
  <c r="H8338" i="2"/>
  <c r="J8337" i="2"/>
  <c r="H8337" i="2"/>
  <c r="J8336" i="2"/>
  <c r="H8336" i="2"/>
  <c r="J8335" i="2"/>
  <c r="H8335" i="2"/>
  <c r="J8334" i="2"/>
  <c r="H8334" i="2"/>
  <c r="J8333" i="2"/>
  <c r="H8333" i="2"/>
  <c r="J8332" i="2"/>
  <c r="H8332" i="2"/>
  <c r="J8331" i="2"/>
  <c r="H8331" i="2"/>
  <c r="J8330" i="2"/>
  <c r="H8330" i="2"/>
  <c r="J8329" i="2"/>
  <c r="H8329" i="2"/>
  <c r="J8328" i="2"/>
  <c r="H8328" i="2"/>
  <c r="J8327" i="2"/>
  <c r="H8327" i="2"/>
  <c r="J8326" i="2"/>
  <c r="H8326" i="2"/>
  <c r="J8325" i="2"/>
  <c r="H8325" i="2"/>
  <c r="J8324" i="2"/>
  <c r="H8324" i="2"/>
  <c r="J8323" i="2"/>
  <c r="H8323" i="2"/>
  <c r="J8322" i="2"/>
  <c r="H8322" i="2"/>
  <c r="J8321" i="2"/>
  <c r="H8321" i="2"/>
  <c r="J8320" i="2"/>
  <c r="H8320" i="2"/>
  <c r="J8319" i="2"/>
  <c r="H8319" i="2"/>
  <c r="J8318" i="2"/>
  <c r="H8318" i="2"/>
  <c r="J8317" i="2"/>
  <c r="H8317" i="2"/>
  <c r="J8316" i="2"/>
  <c r="H8316" i="2"/>
  <c r="J8315" i="2"/>
  <c r="H8315" i="2"/>
  <c r="J8314" i="2"/>
  <c r="H8314" i="2"/>
  <c r="J8313" i="2"/>
  <c r="H8313" i="2"/>
  <c r="J8312" i="2"/>
  <c r="H8312" i="2"/>
  <c r="J8311" i="2"/>
  <c r="H8311" i="2"/>
  <c r="J8310" i="2"/>
  <c r="H8310" i="2"/>
  <c r="J8309" i="2"/>
  <c r="H8309" i="2"/>
  <c r="J8308" i="2"/>
  <c r="H8308" i="2"/>
  <c r="J8307" i="2"/>
  <c r="H8307" i="2"/>
  <c r="J8306" i="2"/>
  <c r="H8306" i="2"/>
  <c r="J8305" i="2"/>
  <c r="H8305" i="2"/>
  <c r="J8304" i="2"/>
  <c r="H8304" i="2"/>
  <c r="J8303" i="2"/>
  <c r="H8303" i="2"/>
  <c r="J8302" i="2"/>
  <c r="H8302" i="2"/>
  <c r="J8301" i="2"/>
  <c r="H8301" i="2"/>
  <c r="J8300" i="2"/>
  <c r="H8300" i="2"/>
  <c r="J8299" i="2"/>
  <c r="H8299" i="2"/>
  <c r="J8298" i="2"/>
  <c r="H8298" i="2"/>
  <c r="J8297" i="2"/>
  <c r="H8297" i="2"/>
  <c r="J8296" i="2"/>
  <c r="H8296" i="2"/>
  <c r="J8295" i="2"/>
  <c r="H8295" i="2"/>
  <c r="J8294" i="2"/>
  <c r="H8294" i="2"/>
  <c r="J8293" i="2"/>
  <c r="H8293" i="2"/>
  <c r="J8292" i="2"/>
  <c r="H8292" i="2"/>
  <c r="J8291" i="2"/>
  <c r="H8291" i="2"/>
  <c r="J8290" i="2"/>
  <c r="H8290" i="2"/>
  <c r="J8289" i="2"/>
  <c r="H8289" i="2"/>
  <c r="J8288" i="2"/>
  <c r="H8288" i="2"/>
  <c r="J8287" i="2"/>
  <c r="H8287" i="2"/>
  <c r="J8286" i="2"/>
  <c r="H8286" i="2"/>
  <c r="J8285" i="2"/>
  <c r="H8285" i="2"/>
  <c r="J8284" i="2"/>
  <c r="H8284" i="2"/>
  <c r="J8283" i="2"/>
  <c r="H8283" i="2"/>
  <c r="J8282" i="2"/>
  <c r="H8282" i="2"/>
  <c r="J8281" i="2"/>
  <c r="H8281" i="2"/>
  <c r="J8280" i="2"/>
  <c r="H8280" i="2"/>
  <c r="J8279" i="2"/>
  <c r="H8279" i="2"/>
  <c r="J8278" i="2"/>
  <c r="H8278" i="2"/>
  <c r="J8277" i="2"/>
  <c r="H8277" i="2"/>
  <c r="J8276" i="2"/>
  <c r="H8276" i="2"/>
  <c r="J8275" i="2"/>
  <c r="H8275" i="2"/>
  <c r="J8274" i="2"/>
  <c r="H8274" i="2"/>
  <c r="J8273" i="2"/>
  <c r="H8273" i="2"/>
  <c r="J8272" i="2"/>
  <c r="H8272" i="2"/>
  <c r="J8271" i="2"/>
  <c r="H8271" i="2"/>
  <c r="J8270" i="2"/>
  <c r="H8270" i="2"/>
  <c r="J8269" i="2"/>
  <c r="H8269" i="2"/>
  <c r="J8268" i="2"/>
  <c r="H8268" i="2"/>
  <c r="J8267" i="2"/>
  <c r="H8267" i="2"/>
  <c r="J8266" i="2"/>
  <c r="H8266" i="2"/>
  <c r="J8265" i="2"/>
  <c r="H8265" i="2"/>
  <c r="J8264" i="2"/>
  <c r="H8264" i="2"/>
  <c r="J8263" i="2"/>
  <c r="H8263" i="2"/>
  <c r="J8262" i="2"/>
  <c r="H8262" i="2"/>
  <c r="J8261" i="2"/>
  <c r="H8261" i="2"/>
  <c r="J8260" i="2"/>
  <c r="H8260" i="2"/>
  <c r="J8259" i="2"/>
  <c r="H8259" i="2"/>
  <c r="J8258" i="2"/>
  <c r="H8258" i="2"/>
  <c r="J8257" i="2"/>
  <c r="H8257" i="2"/>
  <c r="J8256" i="2"/>
  <c r="H8256" i="2"/>
  <c r="J8255" i="2"/>
  <c r="H8255" i="2"/>
  <c r="J8254" i="2"/>
  <c r="H8254" i="2"/>
  <c r="J8253" i="2"/>
  <c r="H8253" i="2"/>
  <c r="J8252" i="2"/>
  <c r="H8252" i="2"/>
  <c r="J8251" i="2"/>
  <c r="H8251" i="2"/>
  <c r="J8250" i="2"/>
  <c r="H8250" i="2"/>
  <c r="J8249" i="2"/>
  <c r="H8249" i="2"/>
  <c r="J8248" i="2"/>
  <c r="H8248" i="2"/>
  <c r="J8247" i="2"/>
  <c r="H8247" i="2"/>
  <c r="J8246" i="2"/>
  <c r="H8246" i="2"/>
  <c r="J8245" i="2"/>
  <c r="H8245" i="2"/>
  <c r="J8244" i="2"/>
  <c r="H8244" i="2"/>
  <c r="J8243" i="2"/>
  <c r="H8243" i="2"/>
  <c r="J8242" i="2"/>
  <c r="H8242" i="2"/>
  <c r="J8241" i="2"/>
  <c r="H8241" i="2"/>
  <c r="J8240" i="2"/>
  <c r="H8240" i="2"/>
  <c r="J8239" i="2"/>
  <c r="H8239" i="2"/>
  <c r="J8238" i="2"/>
  <c r="H8238" i="2"/>
  <c r="J8237" i="2"/>
  <c r="H8237" i="2"/>
  <c r="J8236" i="2"/>
  <c r="H8236" i="2"/>
  <c r="J8235" i="2"/>
  <c r="H8235" i="2"/>
  <c r="J8234" i="2"/>
  <c r="H8234" i="2"/>
  <c r="J8233" i="2"/>
  <c r="H8233" i="2"/>
  <c r="J8232" i="2"/>
  <c r="H8232" i="2"/>
  <c r="J8231" i="2"/>
  <c r="H8231" i="2"/>
  <c r="J8230" i="2"/>
  <c r="H8230" i="2"/>
  <c r="J8229" i="2"/>
  <c r="H8229" i="2"/>
  <c r="J8228" i="2"/>
  <c r="H8228" i="2"/>
  <c r="J8227" i="2"/>
  <c r="H8227" i="2"/>
  <c r="J8226" i="2"/>
  <c r="H8226" i="2"/>
  <c r="J8225" i="2"/>
  <c r="H8225" i="2"/>
  <c r="J8224" i="2"/>
  <c r="H8224" i="2"/>
  <c r="J8223" i="2"/>
  <c r="H8223" i="2"/>
  <c r="J8222" i="2"/>
  <c r="H8222" i="2"/>
  <c r="J8221" i="2"/>
  <c r="H8221" i="2"/>
  <c r="J8220" i="2"/>
  <c r="H8220" i="2"/>
  <c r="J8219" i="2"/>
  <c r="H8219" i="2"/>
  <c r="J8218" i="2"/>
  <c r="H8218" i="2"/>
  <c r="J8217" i="2"/>
  <c r="H8217" i="2"/>
  <c r="J8216" i="2"/>
  <c r="H8216" i="2"/>
  <c r="J8215" i="2"/>
  <c r="H8215" i="2"/>
  <c r="J8214" i="2"/>
  <c r="H8214" i="2"/>
  <c r="J8213" i="2"/>
  <c r="H8213" i="2"/>
  <c r="J8212" i="2"/>
  <c r="H8212" i="2"/>
  <c r="J8211" i="2"/>
  <c r="H8211" i="2"/>
  <c r="J8210" i="2"/>
  <c r="H8210" i="2"/>
  <c r="J8209" i="2"/>
  <c r="H8209" i="2"/>
  <c r="J8208" i="2"/>
  <c r="H8208" i="2"/>
  <c r="J8207" i="2"/>
  <c r="H8207" i="2"/>
  <c r="J8206" i="2"/>
  <c r="H8206" i="2"/>
  <c r="J8205" i="2"/>
  <c r="H8205" i="2"/>
  <c r="J8204" i="2"/>
  <c r="H8204" i="2"/>
  <c r="J8203" i="2"/>
  <c r="H8203" i="2"/>
  <c r="J8202" i="2"/>
  <c r="H8202" i="2"/>
  <c r="J8201" i="2"/>
  <c r="H8201" i="2"/>
  <c r="J8200" i="2"/>
  <c r="H8200" i="2"/>
  <c r="J8199" i="2"/>
  <c r="H8199" i="2"/>
  <c r="J8198" i="2"/>
  <c r="H8198" i="2"/>
  <c r="J8197" i="2"/>
  <c r="H8197" i="2"/>
  <c r="J8196" i="2"/>
  <c r="H8196" i="2"/>
  <c r="J8195" i="2"/>
  <c r="H8195" i="2"/>
  <c r="J8194" i="2"/>
  <c r="H8194" i="2"/>
  <c r="J8193" i="2"/>
  <c r="H8193" i="2"/>
  <c r="J8192" i="2"/>
  <c r="H8192" i="2"/>
  <c r="J8191" i="2"/>
  <c r="H8191" i="2"/>
  <c r="J8190" i="2"/>
  <c r="H8190" i="2"/>
  <c r="J8189" i="2"/>
  <c r="H8189" i="2"/>
  <c r="J8188" i="2"/>
  <c r="H8188" i="2"/>
  <c r="J8187" i="2"/>
  <c r="H8187" i="2"/>
  <c r="J8186" i="2"/>
  <c r="H8186" i="2"/>
  <c r="J8185" i="2"/>
  <c r="H8185" i="2"/>
  <c r="J8184" i="2"/>
  <c r="H8184" i="2"/>
  <c r="J8183" i="2"/>
  <c r="H8183" i="2"/>
  <c r="J8182" i="2"/>
  <c r="H8182" i="2"/>
  <c r="J8181" i="2"/>
  <c r="H8181" i="2"/>
  <c r="J8180" i="2"/>
  <c r="H8180" i="2"/>
  <c r="J8179" i="2"/>
  <c r="H8179" i="2"/>
  <c r="J8178" i="2"/>
  <c r="H8178" i="2"/>
  <c r="J8177" i="2"/>
  <c r="H8177" i="2"/>
  <c r="J8176" i="2"/>
  <c r="H8176" i="2"/>
  <c r="J8175" i="2"/>
  <c r="H8175" i="2"/>
  <c r="J8174" i="2"/>
  <c r="H8174" i="2"/>
  <c r="J8173" i="2"/>
  <c r="H8173" i="2"/>
  <c r="J8172" i="2"/>
  <c r="H8172" i="2"/>
  <c r="J8171" i="2"/>
  <c r="H8171" i="2"/>
  <c r="J8170" i="2"/>
  <c r="H8170" i="2"/>
  <c r="J8169" i="2"/>
  <c r="H8169" i="2"/>
  <c r="J8168" i="2"/>
  <c r="H8168" i="2"/>
  <c r="J8167" i="2"/>
  <c r="H8167" i="2"/>
  <c r="J8166" i="2"/>
  <c r="H8166" i="2"/>
  <c r="J8165" i="2"/>
  <c r="H8165" i="2"/>
  <c r="J8164" i="2"/>
  <c r="H8164" i="2"/>
  <c r="J8163" i="2"/>
  <c r="H8163" i="2"/>
  <c r="J8162" i="2"/>
  <c r="H8162" i="2"/>
  <c r="J8161" i="2"/>
  <c r="H8161" i="2"/>
  <c r="J8160" i="2"/>
  <c r="H8160" i="2"/>
  <c r="J8159" i="2"/>
  <c r="H8159" i="2"/>
  <c r="J8158" i="2"/>
  <c r="H8158" i="2"/>
  <c r="J8157" i="2"/>
  <c r="H8157" i="2"/>
  <c r="J8156" i="2"/>
  <c r="H8156" i="2"/>
  <c r="J8155" i="2"/>
  <c r="H8155" i="2"/>
  <c r="J8154" i="2"/>
  <c r="H8154" i="2"/>
  <c r="J8153" i="2"/>
  <c r="H8153" i="2"/>
  <c r="J8152" i="2"/>
  <c r="H8152" i="2"/>
  <c r="J8151" i="2"/>
  <c r="H8151" i="2"/>
  <c r="J8150" i="2"/>
  <c r="H8150" i="2"/>
  <c r="J8149" i="2"/>
  <c r="H8149" i="2"/>
  <c r="J8148" i="2"/>
  <c r="H8148" i="2"/>
  <c r="J8147" i="2"/>
  <c r="H8147" i="2"/>
  <c r="J8146" i="2"/>
  <c r="H8146" i="2"/>
  <c r="J8145" i="2"/>
  <c r="H8145" i="2"/>
  <c r="J8144" i="2"/>
  <c r="H8144" i="2"/>
  <c r="J8143" i="2"/>
  <c r="H8143" i="2"/>
  <c r="J8142" i="2"/>
  <c r="H8142" i="2"/>
  <c r="J8141" i="2"/>
  <c r="H8141" i="2"/>
  <c r="J8140" i="2"/>
  <c r="H8140" i="2"/>
  <c r="J8139" i="2"/>
  <c r="H8139" i="2"/>
  <c r="J8138" i="2"/>
  <c r="H8138" i="2"/>
  <c r="J8137" i="2"/>
  <c r="H8137" i="2"/>
  <c r="J8136" i="2"/>
  <c r="H8136" i="2"/>
  <c r="J8135" i="2"/>
  <c r="H8135" i="2"/>
  <c r="J8134" i="2"/>
  <c r="H8134" i="2"/>
  <c r="J8133" i="2"/>
  <c r="H8133" i="2"/>
  <c r="J8132" i="2"/>
  <c r="H8132" i="2"/>
  <c r="J8131" i="2"/>
  <c r="H8131" i="2"/>
  <c r="J8130" i="2"/>
  <c r="H8130" i="2"/>
  <c r="J8129" i="2"/>
  <c r="H8129" i="2"/>
  <c r="J8128" i="2"/>
  <c r="H8128" i="2"/>
  <c r="J8127" i="2"/>
  <c r="H8127" i="2"/>
  <c r="J8126" i="2"/>
  <c r="H8126" i="2"/>
  <c r="J8125" i="2"/>
  <c r="H8125" i="2"/>
  <c r="J8124" i="2"/>
  <c r="H8124" i="2"/>
  <c r="J8123" i="2"/>
  <c r="H8123" i="2"/>
  <c r="J8122" i="2"/>
  <c r="H8122" i="2"/>
  <c r="J8121" i="2"/>
  <c r="H8121" i="2"/>
  <c r="J8120" i="2"/>
  <c r="H8120" i="2"/>
  <c r="J8119" i="2"/>
  <c r="H8119" i="2"/>
  <c r="J8118" i="2"/>
  <c r="H8118" i="2"/>
  <c r="J8117" i="2"/>
  <c r="H8117" i="2"/>
  <c r="J8116" i="2"/>
  <c r="H8116" i="2"/>
  <c r="J8115" i="2"/>
  <c r="H8115" i="2"/>
  <c r="J8114" i="2"/>
  <c r="H8114" i="2"/>
  <c r="J8113" i="2"/>
  <c r="H8113" i="2"/>
  <c r="J8112" i="2"/>
  <c r="H8112" i="2"/>
  <c r="J8111" i="2"/>
  <c r="H8111" i="2"/>
  <c r="J8110" i="2"/>
  <c r="H8110" i="2"/>
  <c r="J8109" i="2"/>
  <c r="H8109" i="2"/>
  <c r="J8108" i="2"/>
  <c r="H8108" i="2"/>
  <c r="J8107" i="2"/>
  <c r="H8107" i="2"/>
  <c r="J8106" i="2"/>
  <c r="H8106" i="2"/>
  <c r="J8105" i="2"/>
  <c r="H8105" i="2"/>
  <c r="J8104" i="2"/>
  <c r="H8104" i="2"/>
  <c r="J8103" i="2"/>
  <c r="H8103" i="2"/>
  <c r="J8102" i="2"/>
  <c r="H8102" i="2"/>
  <c r="J8101" i="2"/>
  <c r="H8101" i="2"/>
  <c r="J8100" i="2"/>
  <c r="H8100" i="2"/>
  <c r="J8099" i="2"/>
  <c r="H8099" i="2"/>
  <c r="J8098" i="2"/>
  <c r="H8098" i="2"/>
  <c r="J8097" i="2"/>
  <c r="H8097" i="2"/>
  <c r="J8096" i="2"/>
  <c r="H8096" i="2"/>
  <c r="J8095" i="2"/>
  <c r="H8095" i="2"/>
  <c r="J8094" i="2"/>
  <c r="H8094" i="2"/>
  <c r="J8093" i="2"/>
  <c r="H8093" i="2"/>
  <c r="J8092" i="2"/>
  <c r="H8092" i="2"/>
  <c r="J8091" i="2"/>
  <c r="H8091" i="2"/>
  <c r="J8090" i="2"/>
  <c r="H8090" i="2"/>
  <c r="J8089" i="2"/>
  <c r="H8089" i="2"/>
  <c r="J8088" i="2"/>
  <c r="H8088" i="2"/>
  <c r="J8087" i="2"/>
  <c r="H8087" i="2"/>
  <c r="J8086" i="2"/>
  <c r="H8086" i="2"/>
  <c r="J8085" i="2"/>
  <c r="H8085" i="2"/>
  <c r="J8084" i="2"/>
  <c r="H8084" i="2"/>
  <c r="J8083" i="2"/>
  <c r="H8083" i="2"/>
  <c r="J8082" i="2"/>
  <c r="H8082" i="2"/>
  <c r="J8081" i="2"/>
  <c r="H8081" i="2"/>
  <c r="J8080" i="2"/>
  <c r="H8080" i="2"/>
  <c r="J8079" i="2"/>
  <c r="H8079" i="2"/>
  <c r="J8078" i="2"/>
  <c r="H8078" i="2"/>
  <c r="J8077" i="2"/>
  <c r="H8077" i="2"/>
  <c r="J8076" i="2"/>
  <c r="H8076" i="2"/>
  <c r="J8075" i="2"/>
  <c r="H8075" i="2"/>
  <c r="J8074" i="2"/>
  <c r="H8074" i="2"/>
  <c r="J8073" i="2"/>
  <c r="H8073" i="2"/>
  <c r="J8072" i="2"/>
  <c r="H8072" i="2"/>
  <c r="J8071" i="2"/>
  <c r="H8071" i="2"/>
  <c r="J8070" i="2"/>
  <c r="H8070" i="2"/>
  <c r="J8069" i="2"/>
  <c r="H8069" i="2"/>
  <c r="J8068" i="2"/>
  <c r="H8068" i="2"/>
  <c r="J8067" i="2"/>
  <c r="H8067" i="2"/>
  <c r="J8066" i="2"/>
  <c r="H8066" i="2"/>
  <c r="J8065" i="2"/>
  <c r="H8065" i="2"/>
  <c r="J8064" i="2"/>
  <c r="H8064" i="2"/>
  <c r="J8063" i="2"/>
  <c r="H8063" i="2"/>
  <c r="J8062" i="2"/>
  <c r="H8062" i="2"/>
  <c r="J8061" i="2"/>
  <c r="H8061" i="2"/>
  <c r="J8060" i="2"/>
  <c r="H8060" i="2"/>
  <c r="J8059" i="2"/>
  <c r="H8059" i="2"/>
  <c r="J8058" i="2"/>
  <c r="H8058" i="2"/>
  <c r="J8057" i="2"/>
  <c r="H8057" i="2"/>
  <c r="J8056" i="2"/>
  <c r="H8056" i="2"/>
  <c r="J8055" i="2"/>
  <c r="H8055" i="2"/>
  <c r="J8054" i="2"/>
  <c r="H8054" i="2"/>
  <c r="J8053" i="2"/>
  <c r="H8053" i="2"/>
  <c r="J8052" i="2"/>
  <c r="H8052" i="2"/>
  <c r="J8051" i="2"/>
  <c r="H8051" i="2"/>
  <c r="J8050" i="2"/>
  <c r="H8050" i="2"/>
  <c r="J8049" i="2"/>
  <c r="H8049" i="2"/>
  <c r="J8048" i="2"/>
  <c r="H8048" i="2"/>
  <c r="J8047" i="2"/>
  <c r="H8047" i="2"/>
  <c r="J8046" i="2"/>
  <c r="H8046" i="2"/>
  <c r="J8045" i="2"/>
  <c r="H8045" i="2"/>
  <c r="J8044" i="2"/>
  <c r="H8044" i="2"/>
  <c r="J8043" i="2"/>
  <c r="H8043" i="2"/>
  <c r="J8042" i="2"/>
  <c r="H8042" i="2"/>
  <c r="J8041" i="2"/>
  <c r="H8041" i="2"/>
  <c r="J8040" i="2"/>
  <c r="H8040" i="2"/>
  <c r="J8039" i="2"/>
  <c r="H8039" i="2"/>
  <c r="J8038" i="2"/>
  <c r="H8038" i="2"/>
  <c r="J8037" i="2"/>
  <c r="H8037" i="2"/>
  <c r="J8036" i="2"/>
  <c r="H8036" i="2"/>
  <c r="J8035" i="2"/>
  <c r="H8035" i="2"/>
  <c r="J8034" i="2"/>
  <c r="H8034" i="2"/>
  <c r="J8033" i="2"/>
  <c r="H8033" i="2"/>
  <c r="J8032" i="2"/>
  <c r="H8032" i="2"/>
  <c r="J8031" i="2"/>
  <c r="H8031" i="2"/>
  <c r="J8030" i="2"/>
  <c r="H8030" i="2"/>
  <c r="J8029" i="2"/>
  <c r="H8029" i="2"/>
  <c r="J8028" i="2"/>
  <c r="H8028" i="2"/>
  <c r="J8027" i="2"/>
  <c r="H8027" i="2"/>
  <c r="J8026" i="2"/>
  <c r="H8026" i="2"/>
  <c r="J8025" i="2"/>
  <c r="H8025" i="2"/>
  <c r="J8024" i="2"/>
  <c r="H8024" i="2"/>
  <c r="J8023" i="2"/>
  <c r="H8023" i="2"/>
  <c r="J8022" i="2"/>
  <c r="H8022" i="2"/>
  <c r="J8021" i="2"/>
  <c r="H8021" i="2"/>
  <c r="J8020" i="2"/>
  <c r="H8020" i="2"/>
  <c r="J8019" i="2"/>
  <c r="H8019" i="2"/>
  <c r="J8018" i="2"/>
  <c r="H8018" i="2"/>
  <c r="J8017" i="2"/>
  <c r="H8017" i="2"/>
  <c r="J8016" i="2"/>
  <c r="H8016" i="2"/>
  <c r="J8015" i="2"/>
  <c r="H8015" i="2"/>
  <c r="J8014" i="2"/>
  <c r="H8014" i="2"/>
  <c r="J8013" i="2"/>
  <c r="H8013" i="2"/>
  <c r="J8012" i="2"/>
  <c r="H8012" i="2"/>
  <c r="J8011" i="2"/>
  <c r="H8011" i="2"/>
  <c r="J8010" i="2"/>
  <c r="H8010" i="2"/>
  <c r="J8009" i="2"/>
  <c r="H8009" i="2"/>
  <c r="J8008" i="2"/>
  <c r="H8008" i="2"/>
  <c r="J8007" i="2"/>
  <c r="H8007" i="2"/>
  <c r="J8006" i="2"/>
  <c r="H8006" i="2"/>
  <c r="J8005" i="2"/>
  <c r="H8005" i="2"/>
  <c r="J8004" i="2"/>
  <c r="H8004" i="2"/>
  <c r="J8003" i="2"/>
  <c r="H8003" i="2"/>
  <c r="J8002" i="2"/>
  <c r="H8002" i="2"/>
  <c r="J8001" i="2"/>
  <c r="H8001" i="2"/>
  <c r="J8000" i="2"/>
  <c r="H8000" i="2"/>
  <c r="J7999" i="2"/>
  <c r="H7999" i="2"/>
  <c r="J7998" i="2"/>
  <c r="H7998" i="2"/>
  <c r="J7997" i="2"/>
  <c r="H7997" i="2"/>
  <c r="J7996" i="2"/>
  <c r="H7996" i="2"/>
  <c r="J7995" i="2"/>
  <c r="H7995" i="2"/>
  <c r="J7994" i="2"/>
  <c r="H7994" i="2"/>
  <c r="J7993" i="2"/>
  <c r="H7993" i="2"/>
  <c r="J7992" i="2"/>
  <c r="H7992" i="2"/>
  <c r="J7991" i="2"/>
  <c r="H7991" i="2"/>
  <c r="J7990" i="2"/>
  <c r="H7990" i="2"/>
  <c r="J7989" i="2"/>
  <c r="H7989" i="2"/>
  <c r="J7988" i="2"/>
  <c r="H7988" i="2"/>
  <c r="J7987" i="2"/>
  <c r="H7987" i="2"/>
  <c r="J7986" i="2"/>
  <c r="H7986" i="2"/>
  <c r="J7985" i="2"/>
  <c r="H7985" i="2"/>
  <c r="J7984" i="2"/>
  <c r="H7984" i="2"/>
  <c r="J7983" i="2"/>
  <c r="H7983" i="2"/>
  <c r="J7982" i="2"/>
  <c r="H7982" i="2"/>
  <c r="J7981" i="2"/>
  <c r="H7981" i="2"/>
  <c r="J7980" i="2"/>
  <c r="H7980" i="2"/>
  <c r="J7979" i="2"/>
  <c r="H7979" i="2"/>
  <c r="J7978" i="2"/>
  <c r="H7978" i="2"/>
  <c r="J7977" i="2"/>
  <c r="H7977" i="2"/>
  <c r="J7976" i="2"/>
  <c r="H7976" i="2"/>
  <c r="J7975" i="2"/>
  <c r="H7975" i="2"/>
  <c r="J7974" i="2"/>
  <c r="H7974" i="2"/>
  <c r="J7973" i="2"/>
  <c r="H7973" i="2"/>
  <c r="J7972" i="2"/>
  <c r="H7972" i="2"/>
  <c r="J7971" i="2"/>
  <c r="H7971" i="2"/>
  <c r="J7970" i="2"/>
  <c r="H7970" i="2"/>
  <c r="J7969" i="2"/>
  <c r="H7969" i="2"/>
  <c r="J7968" i="2"/>
  <c r="H7968" i="2"/>
  <c r="J7967" i="2"/>
  <c r="H7967" i="2"/>
  <c r="J7966" i="2"/>
  <c r="H7966" i="2"/>
  <c r="J7965" i="2"/>
  <c r="H7965" i="2"/>
  <c r="J7964" i="2"/>
  <c r="H7964" i="2"/>
  <c r="J7963" i="2"/>
  <c r="H7963" i="2"/>
  <c r="J7962" i="2"/>
  <c r="H7962" i="2"/>
  <c r="J7961" i="2"/>
  <c r="H7961" i="2"/>
  <c r="J7960" i="2"/>
  <c r="H7960" i="2"/>
  <c r="J7959" i="2"/>
  <c r="H7959" i="2"/>
  <c r="J7958" i="2"/>
  <c r="H7958" i="2"/>
  <c r="J7957" i="2"/>
  <c r="H7957" i="2"/>
  <c r="J7956" i="2"/>
  <c r="H7956" i="2"/>
  <c r="J7955" i="2"/>
  <c r="H7955" i="2"/>
  <c r="J7954" i="2"/>
  <c r="H7954" i="2"/>
  <c r="J7953" i="2"/>
  <c r="H7953" i="2"/>
  <c r="J7952" i="2"/>
  <c r="H7952" i="2"/>
  <c r="J7951" i="2"/>
  <c r="H7951" i="2"/>
  <c r="J7950" i="2"/>
  <c r="H7950" i="2"/>
  <c r="J7949" i="2"/>
  <c r="H7949" i="2"/>
  <c r="J7948" i="2"/>
  <c r="H7948" i="2"/>
  <c r="J7947" i="2"/>
  <c r="H7947" i="2"/>
  <c r="J7946" i="2"/>
  <c r="H7946" i="2"/>
  <c r="J7945" i="2"/>
  <c r="H7945" i="2"/>
  <c r="J7944" i="2"/>
  <c r="H7944" i="2"/>
  <c r="J7943" i="2"/>
  <c r="H7943" i="2"/>
  <c r="J7942" i="2"/>
  <c r="H7942" i="2"/>
  <c r="J7941" i="2"/>
  <c r="H7941" i="2"/>
  <c r="J7940" i="2"/>
  <c r="H7940" i="2"/>
  <c r="J7939" i="2"/>
  <c r="H7939" i="2"/>
  <c r="J7938" i="2"/>
  <c r="H7938" i="2"/>
  <c r="J7937" i="2"/>
  <c r="H7937" i="2"/>
  <c r="J7936" i="2"/>
  <c r="H7936" i="2"/>
  <c r="J7935" i="2"/>
  <c r="H7935" i="2"/>
  <c r="J7934" i="2"/>
  <c r="H7934" i="2"/>
  <c r="J7933" i="2"/>
  <c r="H7933" i="2"/>
  <c r="J7932" i="2"/>
  <c r="H7932" i="2"/>
  <c r="J7931" i="2"/>
  <c r="H7931" i="2"/>
  <c r="J7930" i="2"/>
  <c r="H7930" i="2"/>
  <c r="J7929" i="2"/>
  <c r="H7929" i="2"/>
  <c r="J7928" i="2"/>
  <c r="H7928" i="2"/>
  <c r="J7927" i="2"/>
  <c r="H7927" i="2"/>
  <c r="J7926" i="2"/>
  <c r="H7926" i="2"/>
  <c r="J7925" i="2"/>
  <c r="H7925" i="2"/>
  <c r="J7924" i="2"/>
  <c r="H7924" i="2"/>
  <c r="J7923" i="2"/>
  <c r="H7923" i="2"/>
  <c r="J7922" i="2"/>
  <c r="H7922" i="2"/>
  <c r="J7921" i="2"/>
  <c r="H7921" i="2"/>
  <c r="J7920" i="2"/>
  <c r="H7920" i="2"/>
  <c r="J7919" i="2"/>
  <c r="H7919" i="2"/>
  <c r="J7918" i="2"/>
  <c r="H7918" i="2"/>
  <c r="J7917" i="2"/>
  <c r="H7917" i="2"/>
  <c r="J7916" i="2"/>
  <c r="H7916" i="2"/>
  <c r="J7915" i="2"/>
  <c r="H7915" i="2"/>
  <c r="J7914" i="2"/>
  <c r="H7914" i="2"/>
  <c r="J7913" i="2"/>
  <c r="H7913" i="2"/>
  <c r="J7912" i="2"/>
  <c r="H7912" i="2"/>
  <c r="J7911" i="2"/>
  <c r="H7911" i="2"/>
  <c r="J7910" i="2"/>
  <c r="H7910" i="2"/>
  <c r="J7909" i="2"/>
  <c r="H7909" i="2"/>
  <c r="J7908" i="2"/>
  <c r="H7908" i="2"/>
  <c r="J7907" i="2"/>
  <c r="H7907" i="2"/>
  <c r="J7906" i="2"/>
  <c r="H7906" i="2"/>
  <c r="J7905" i="2"/>
  <c r="H7905" i="2"/>
  <c r="J7904" i="2"/>
  <c r="H7904" i="2"/>
  <c r="J7903" i="2"/>
  <c r="H7903" i="2"/>
  <c r="J7902" i="2"/>
  <c r="H7902" i="2"/>
  <c r="J7901" i="2"/>
  <c r="H7901" i="2"/>
  <c r="J7900" i="2"/>
  <c r="H7900" i="2"/>
  <c r="J7899" i="2"/>
  <c r="H7899" i="2"/>
  <c r="J7898" i="2"/>
  <c r="H7898" i="2"/>
  <c r="J7897" i="2"/>
  <c r="H7897" i="2"/>
  <c r="J7896" i="2"/>
  <c r="H7896" i="2"/>
  <c r="J7895" i="2"/>
  <c r="H7895" i="2"/>
  <c r="J7894" i="2"/>
  <c r="H7894" i="2"/>
  <c r="J7893" i="2"/>
  <c r="H7893" i="2"/>
  <c r="J7892" i="2"/>
  <c r="H7892" i="2"/>
  <c r="J7891" i="2"/>
  <c r="H7891" i="2"/>
  <c r="J7890" i="2"/>
  <c r="H7890" i="2"/>
  <c r="J7889" i="2"/>
  <c r="H7889" i="2"/>
  <c r="J7888" i="2"/>
  <c r="H7888" i="2"/>
  <c r="J7887" i="2"/>
  <c r="H7887" i="2"/>
  <c r="J7886" i="2"/>
  <c r="H7886" i="2"/>
  <c r="J7885" i="2"/>
  <c r="H7885" i="2"/>
  <c r="J7884" i="2"/>
  <c r="H7884" i="2"/>
  <c r="J7883" i="2"/>
  <c r="H7883" i="2"/>
  <c r="J7882" i="2"/>
  <c r="H7882" i="2"/>
  <c r="J7881" i="2"/>
  <c r="H7881" i="2"/>
  <c r="J7880" i="2"/>
  <c r="H7880" i="2"/>
  <c r="J7879" i="2"/>
  <c r="H7879" i="2"/>
  <c r="J7878" i="2"/>
  <c r="H7878" i="2"/>
  <c r="J7877" i="2"/>
  <c r="H7877" i="2"/>
  <c r="J7876" i="2"/>
  <c r="H7876" i="2"/>
  <c r="J7875" i="2"/>
  <c r="H7875" i="2"/>
  <c r="J7874" i="2"/>
  <c r="H7874" i="2"/>
  <c r="J7873" i="2"/>
  <c r="H7873" i="2"/>
  <c r="J7872" i="2"/>
  <c r="H7872" i="2"/>
  <c r="J7871" i="2"/>
  <c r="H7871" i="2"/>
  <c r="J7870" i="2"/>
  <c r="H7870" i="2"/>
  <c r="J7869" i="2"/>
  <c r="H7869" i="2"/>
  <c r="J7868" i="2"/>
  <c r="H7868" i="2"/>
  <c r="J7867" i="2"/>
  <c r="H7867" i="2"/>
  <c r="J7866" i="2"/>
  <c r="H7866" i="2"/>
  <c r="J7865" i="2"/>
  <c r="H7865" i="2"/>
  <c r="J7864" i="2"/>
  <c r="H7864" i="2"/>
  <c r="J7863" i="2"/>
  <c r="H7863" i="2"/>
  <c r="J7862" i="2"/>
  <c r="H7862" i="2"/>
  <c r="J7861" i="2"/>
  <c r="H7861" i="2"/>
  <c r="J7860" i="2"/>
  <c r="H7860" i="2"/>
  <c r="J7859" i="2"/>
  <c r="H7859" i="2"/>
  <c r="J7858" i="2"/>
  <c r="H7858" i="2"/>
  <c r="J7857" i="2"/>
  <c r="H7857" i="2"/>
  <c r="J7856" i="2"/>
  <c r="H7856" i="2"/>
  <c r="J7855" i="2"/>
  <c r="H7855" i="2"/>
  <c r="J7854" i="2"/>
  <c r="H7854" i="2"/>
  <c r="J7853" i="2"/>
  <c r="H7853" i="2"/>
  <c r="J7852" i="2"/>
  <c r="H7852" i="2"/>
  <c r="J7851" i="2"/>
  <c r="H7851" i="2"/>
  <c r="J7850" i="2"/>
  <c r="H7850" i="2"/>
  <c r="J7849" i="2"/>
  <c r="H7849" i="2"/>
  <c r="J7848" i="2"/>
  <c r="H7848" i="2"/>
  <c r="J7847" i="2"/>
  <c r="H7847" i="2"/>
  <c r="J7846" i="2"/>
  <c r="H7846" i="2"/>
  <c r="J7845" i="2"/>
  <c r="H7845" i="2"/>
  <c r="J7844" i="2"/>
  <c r="H7844" i="2"/>
  <c r="J7843" i="2"/>
  <c r="H7843" i="2"/>
  <c r="J7842" i="2"/>
  <c r="H7842" i="2"/>
  <c r="J7841" i="2"/>
  <c r="H7841" i="2"/>
  <c r="J7840" i="2"/>
  <c r="H7840" i="2"/>
  <c r="J7839" i="2"/>
  <c r="H7839" i="2"/>
  <c r="J7838" i="2"/>
  <c r="H7838" i="2"/>
  <c r="J7837" i="2"/>
  <c r="H7837" i="2"/>
  <c r="J7836" i="2"/>
  <c r="H7836" i="2"/>
  <c r="J7835" i="2"/>
  <c r="H7835" i="2"/>
  <c r="J7834" i="2"/>
  <c r="H7834" i="2"/>
  <c r="J7833" i="2"/>
  <c r="H7833" i="2"/>
  <c r="J7832" i="2"/>
  <c r="H7832" i="2"/>
  <c r="J7831" i="2"/>
  <c r="H7831" i="2"/>
  <c r="J7830" i="2"/>
  <c r="H7830" i="2"/>
  <c r="J7829" i="2"/>
  <c r="H7829" i="2"/>
  <c r="J7828" i="2"/>
  <c r="H7828" i="2"/>
  <c r="J7827" i="2"/>
  <c r="H7827" i="2"/>
  <c r="J7826" i="2"/>
  <c r="H7826" i="2"/>
  <c r="J7825" i="2"/>
  <c r="H7825" i="2"/>
  <c r="J7824" i="2"/>
  <c r="H7824" i="2"/>
  <c r="J7823" i="2"/>
  <c r="H7823" i="2"/>
  <c r="J7822" i="2"/>
  <c r="H7822" i="2"/>
  <c r="J7821" i="2"/>
  <c r="H7821" i="2"/>
  <c r="J7820" i="2"/>
  <c r="H7820" i="2"/>
  <c r="J7819" i="2"/>
  <c r="H7819" i="2"/>
  <c r="J7818" i="2"/>
  <c r="H7818" i="2"/>
  <c r="J7817" i="2"/>
  <c r="H7817" i="2"/>
  <c r="J7816" i="2"/>
  <c r="H7816" i="2"/>
  <c r="J7815" i="2"/>
  <c r="H7815" i="2"/>
  <c r="J7814" i="2"/>
  <c r="H7814" i="2"/>
  <c r="J7813" i="2"/>
  <c r="H7813" i="2"/>
  <c r="J7812" i="2"/>
  <c r="H7812" i="2"/>
  <c r="J7811" i="2"/>
  <c r="H7811" i="2"/>
  <c r="J7810" i="2"/>
  <c r="H7810" i="2"/>
  <c r="J7809" i="2"/>
  <c r="H7809" i="2"/>
  <c r="J7808" i="2"/>
  <c r="H7808" i="2"/>
  <c r="J7807" i="2"/>
  <c r="H7807" i="2"/>
  <c r="J7806" i="2"/>
  <c r="H7806" i="2"/>
  <c r="J7805" i="2"/>
  <c r="H7805" i="2"/>
  <c r="J7804" i="2"/>
  <c r="H7804" i="2"/>
  <c r="J7803" i="2"/>
  <c r="H7803" i="2"/>
  <c r="J7802" i="2"/>
  <c r="H7802" i="2"/>
  <c r="J7801" i="2"/>
  <c r="H7801" i="2"/>
  <c r="J7800" i="2"/>
  <c r="H7800" i="2"/>
  <c r="J7799" i="2"/>
  <c r="H7799" i="2"/>
  <c r="J7798" i="2"/>
  <c r="H7798" i="2"/>
  <c r="J7797" i="2"/>
  <c r="H7797" i="2"/>
  <c r="J7796" i="2"/>
  <c r="H7796" i="2"/>
  <c r="J7795" i="2"/>
  <c r="H7795" i="2"/>
  <c r="J7794" i="2"/>
  <c r="H7794" i="2"/>
  <c r="J7793" i="2"/>
  <c r="H7793" i="2"/>
  <c r="J7792" i="2"/>
  <c r="H7792" i="2"/>
  <c r="J7791" i="2"/>
  <c r="H7791" i="2"/>
  <c r="J7790" i="2"/>
  <c r="H7790" i="2"/>
  <c r="J7789" i="2"/>
  <c r="H7789" i="2"/>
  <c r="J7788" i="2"/>
  <c r="H7788" i="2"/>
  <c r="J7787" i="2"/>
  <c r="H7787" i="2"/>
  <c r="J7786" i="2"/>
  <c r="H7786" i="2"/>
  <c r="J7785" i="2"/>
  <c r="H7785" i="2"/>
  <c r="J7784" i="2"/>
  <c r="H7784" i="2"/>
  <c r="J7783" i="2"/>
  <c r="H7783" i="2"/>
  <c r="J7782" i="2"/>
  <c r="H7782" i="2"/>
  <c r="J7781" i="2"/>
  <c r="H7781" i="2"/>
  <c r="J7780" i="2"/>
  <c r="H7780" i="2"/>
  <c r="J7779" i="2"/>
  <c r="H7779" i="2"/>
  <c r="J7778" i="2"/>
  <c r="H7778" i="2"/>
  <c r="J7777" i="2"/>
  <c r="H7777" i="2"/>
  <c r="J7776" i="2"/>
  <c r="H7776" i="2"/>
  <c r="J7775" i="2"/>
  <c r="H7775" i="2"/>
  <c r="J7774" i="2"/>
  <c r="H7774" i="2"/>
  <c r="J7773" i="2"/>
  <c r="H7773" i="2"/>
  <c r="J7772" i="2"/>
  <c r="H7772" i="2"/>
  <c r="J7771" i="2"/>
  <c r="H7771" i="2"/>
  <c r="J7770" i="2"/>
  <c r="H7770" i="2"/>
  <c r="J7769" i="2"/>
  <c r="H7769" i="2"/>
  <c r="J7768" i="2"/>
  <c r="H7768" i="2"/>
  <c r="J7767" i="2"/>
  <c r="H7767" i="2"/>
  <c r="J7766" i="2"/>
  <c r="H7766" i="2"/>
  <c r="J7765" i="2"/>
  <c r="H7765" i="2"/>
  <c r="J7764" i="2"/>
  <c r="H7764" i="2"/>
  <c r="J7763" i="2"/>
  <c r="H7763" i="2"/>
  <c r="J7762" i="2"/>
  <c r="H7762" i="2"/>
  <c r="J7761" i="2"/>
  <c r="H7761" i="2"/>
  <c r="J7760" i="2"/>
  <c r="H7760" i="2"/>
  <c r="J7759" i="2"/>
  <c r="H7759" i="2"/>
  <c r="J7758" i="2"/>
  <c r="H7758" i="2"/>
  <c r="J7757" i="2"/>
  <c r="H7757" i="2"/>
  <c r="J7756" i="2"/>
  <c r="H7756" i="2"/>
  <c r="J7755" i="2"/>
  <c r="H7755" i="2"/>
  <c r="J7754" i="2"/>
  <c r="H7754" i="2"/>
  <c r="J7753" i="2"/>
  <c r="H7753" i="2"/>
  <c r="J7752" i="2"/>
  <c r="H7752" i="2"/>
  <c r="J7751" i="2"/>
  <c r="H7751" i="2"/>
  <c r="J7750" i="2"/>
  <c r="H7750" i="2"/>
  <c r="J7749" i="2"/>
  <c r="H7749" i="2"/>
  <c r="J7748" i="2"/>
  <c r="H7748" i="2"/>
  <c r="J7747" i="2"/>
  <c r="H7747" i="2"/>
  <c r="J7746" i="2"/>
  <c r="H7746" i="2"/>
  <c r="J7745" i="2"/>
  <c r="H7745" i="2"/>
  <c r="J7744" i="2"/>
  <c r="H7744" i="2"/>
  <c r="J7743" i="2"/>
  <c r="H7743" i="2"/>
  <c r="J7742" i="2"/>
  <c r="H7742" i="2"/>
  <c r="J7741" i="2"/>
  <c r="H7741" i="2"/>
  <c r="J7740" i="2"/>
  <c r="H7740" i="2"/>
  <c r="J7739" i="2"/>
  <c r="H7739" i="2"/>
  <c r="J7738" i="2"/>
  <c r="H7738" i="2"/>
  <c r="J7737" i="2"/>
  <c r="H7737" i="2"/>
  <c r="J7736" i="2"/>
  <c r="H7736" i="2"/>
  <c r="J7735" i="2"/>
  <c r="H7735" i="2"/>
  <c r="J7734" i="2"/>
  <c r="H7734" i="2"/>
  <c r="J7733" i="2"/>
  <c r="H7733" i="2"/>
  <c r="J7732" i="2"/>
  <c r="H7732" i="2"/>
  <c r="J7731" i="2"/>
  <c r="H7731" i="2"/>
  <c r="J7730" i="2"/>
  <c r="H7730" i="2"/>
  <c r="J7729" i="2"/>
  <c r="H7729" i="2"/>
  <c r="J7728" i="2"/>
  <c r="H7728" i="2"/>
  <c r="J7727" i="2"/>
  <c r="H7727" i="2"/>
  <c r="J7726" i="2"/>
  <c r="H7726" i="2"/>
  <c r="J7725" i="2"/>
  <c r="H7725" i="2"/>
  <c r="J7724" i="2"/>
  <c r="H7724" i="2"/>
  <c r="J7723" i="2"/>
  <c r="H7723" i="2"/>
  <c r="J7722" i="2"/>
  <c r="H7722" i="2"/>
  <c r="J7721" i="2"/>
  <c r="H7721" i="2"/>
  <c r="J7720" i="2"/>
  <c r="H7720" i="2"/>
  <c r="J7719" i="2"/>
  <c r="H7719" i="2"/>
  <c r="J7718" i="2"/>
  <c r="H7718" i="2"/>
  <c r="J7717" i="2"/>
  <c r="H7717" i="2"/>
  <c r="J7716" i="2"/>
  <c r="H7716" i="2"/>
  <c r="J7715" i="2"/>
  <c r="H7715" i="2"/>
  <c r="J7714" i="2"/>
  <c r="H7714" i="2"/>
  <c r="J7713" i="2"/>
  <c r="H7713" i="2"/>
  <c r="J7712" i="2"/>
  <c r="H7712" i="2"/>
  <c r="J7711" i="2"/>
  <c r="H7711" i="2"/>
  <c r="J7710" i="2"/>
  <c r="H7710" i="2"/>
  <c r="J7709" i="2"/>
  <c r="H7709" i="2"/>
  <c r="J7708" i="2"/>
  <c r="H7708" i="2"/>
  <c r="J7707" i="2"/>
  <c r="H7707" i="2"/>
  <c r="J7706" i="2"/>
  <c r="H7706" i="2"/>
  <c r="J7705" i="2"/>
  <c r="H7705" i="2"/>
  <c r="J7704" i="2"/>
  <c r="H7704" i="2"/>
  <c r="J7703" i="2"/>
  <c r="H7703" i="2"/>
  <c r="J7702" i="2"/>
  <c r="H7702" i="2"/>
  <c r="J7701" i="2"/>
  <c r="H7701" i="2"/>
  <c r="J7700" i="2"/>
  <c r="H7700" i="2"/>
  <c r="J7699" i="2"/>
  <c r="H7699" i="2"/>
  <c r="J7698" i="2"/>
  <c r="H7698" i="2"/>
  <c r="J7697" i="2"/>
  <c r="H7697" i="2"/>
  <c r="J7696" i="2"/>
  <c r="H7696" i="2"/>
  <c r="J7695" i="2"/>
  <c r="H7695" i="2"/>
  <c r="J7694" i="2"/>
  <c r="H7694" i="2"/>
  <c r="J7693" i="2"/>
  <c r="H7693" i="2"/>
  <c r="J7692" i="2"/>
  <c r="H7692" i="2"/>
  <c r="J7691" i="2"/>
  <c r="H7691" i="2"/>
  <c r="J7690" i="2"/>
  <c r="H7690" i="2"/>
  <c r="J7689" i="2"/>
  <c r="H7689" i="2"/>
  <c r="J7688" i="2"/>
  <c r="H7688" i="2"/>
  <c r="J7687" i="2"/>
  <c r="H7687" i="2"/>
  <c r="J7686" i="2"/>
  <c r="H7686" i="2"/>
  <c r="J7685" i="2"/>
  <c r="H7685" i="2"/>
  <c r="J7684" i="2"/>
  <c r="H7684" i="2"/>
  <c r="J7683" i="2"/>
  <c r="H7683" i="2"/>
  <c r="J7682" i="2"/>
  <c r="H7682" i="2"/>
  <c r="J7681" i="2"/>
  <c r="H7681" i="2"/>
  <c r="J7680" i="2"/>
  <c r="H7680" i="2"/>
  <c r="J7679" i="2"/>
  <c r="H7679" i="2"/>
  <c r="J7678" i="2"/>
  <c r="H7678" i="2"/>
  <c r="J7677" i="2"/>
  <c r="H7677" i="2"/>
  <c r="J7676" i="2"/>
  <c r="H7676" i="2"/>
  <c r="J7675" i="2"/>
  <c r="H7675" i="2"/>
  <c r="J7674" i="2"/>
  <c r="H7674" i="2"/>
  <c r="J7673" i="2"/>
  <c r="H7673" i="2"/>
  <c r="J7672" i="2"/>
  <c r="H7672" i="2"/>
  <c r="J7671" i="2"/>
  <c r="H7671" i="2"/>
  <c r="J7670" i="2"/>
  <c r="H7670" i="2"/>
  <c r="J7669" i="2"/>
  <c r="H7669" i="2"/>
  <c r="J7668" i="2"/>
  <c r="H7668" i="2"/>
  <c r="J7667" i="2"/>
  <c r="H7667" i="2"/>
  <c r="J7666" i="2"/>
  <c r="H7666" i="2"/>
  <c r="J7665" i="2"/>
  <c r="H7665" i="2"/>
  <c r="J7664" i="2"/>
  <c r="H7664" i="2"/>
  <c r="J7663" i="2"/>
  <c r="H7663" i="2"/>
  <c r="J7662" i="2"/>
  <c r="H7662" i="2"/>
  <c r="J7661" i="2"/>
  <c r="H7661" i="2"/>
  <c r="J7660" i="2"/>
  <c r="H7660" i="2"/>
  <c r="J7659" i="2"/>
  <c r="H7659" i="2"/>
  <c r="J7658" i="2"/>
  <c r="H7658" i="2"/>
  <c r="J7657" i="2"/>
  <c r="H7657" i="2"/>
  <c r="J7656" i="2"/>
  <c r="H7656" i="2"/>
  <c r="J7655" i="2"/>
  <c r="H7655" i="2"/>
  <c r="J7654" i="2"/>
  <c r="H7654" i="2"/>
  <c r="J7653" i="2"/>
  <c r="H7653" i="2"/>
  <c r="J7652" i="2"/>
  <c r="H7652" i="2"/>
  <c r="J7651" i="2"/>
  <c r="H7651" i="2"/>
  <c r="J7650" i="2"/>
  <c r="H7650" i="2"/>
  <c r="J7649" i="2"/>
  <c r="H7649" i="2"/>
  <c r="J7648" i="2"/>
  <c r="H7648" i="2"/>
  <c r="J7647" i="2"/>
  <c r="H7647" i="2"/>
  <c r="J7646" i="2"/>
  <c r="H7646" i="2"/>
  <c r="J7645" i="2"/>
  <c r="H7645" i="2"/>
  <c r="J7644" i="2"/>
  <c r="H7644" i="2"/>
  <c r="J7643" i="2"/>
  <c r="H7643" i="2"/>
  <c r="J7642" i="2"/>
  <c r="H7642" i="2"/>
  <c r="J7641" i="2"/>
  <c r="H7641" i="2"/>
  <c r="J7640" i="2"/>
  <c r="H7640" i="2"/>
  <c r="J7639" i="2"/>
  <c r="H7639" i="2"/>
  <c r="J7638" i="2"/>
  <c r="H7638" i="2"/>
  <c r="J7637" i="2"/>
  <c r="H7637" i="2"/>
  <c r="J7636" i="2"/>
  <c r="H7636" i="2"/>
  <c r="J7635" i="2"/>
  <c r="H7635" i="2"/>
  <c r="J7634" i="2"/>
  <c r="H7634" i="2"/>
  <c r="J7633" i="2"/>
  <c r="H7633" i="2"/>
  <c r="J7632" i="2"/>
  <c r="H7632" i="2"/>
  <c r="J7631" i="2"/>
  <c r="H7631" i="2"/>
  <c r="J7630" i="2"/>
  <c r="H7630" i="2"/>
  <c r="J7629" i="2"/>
  <c r="H7629" i="2"/>
  <c r="J7628" i="2"/>
  <c r="H7628" i="2"/>
  <c r="J7627" i="2"/>
  <c r="H7627" i="2"/>
  <c r="J7626" i="2"/>
  <c r="H7626" i="2"/>
  <c r="J7625" i="2"/>
  <c r="H7625" i="2"/>
  <c r="J7624" i="2"/>
  <c r="H7624" i="2"/>
  <c r="J7623" i="2"/>
  <c r="H7623" i="2"/>
  <c r="J7622" i="2"/>
  <c r="H7622" i="2"/>
  <c r="J7621" i="2"/>
  <c r="H7621" i="2"/>
  <c r="J7620" i="2"/>
  <c r="H7620" i="2"/>
  <c r="J7619" i="2"/>
  <c r="H7619" i="2"/>
  <c r="J7618" i="2"/>
  <c r="H7618" i="2"/>
  <c r="J7617" i="2"/>
  <c r="H7617" i="2"/>
  <c r="J7616" i="2"/>
  <c r="H7616" i="2"/>
  <c r="J7615" i="2"/>
  <c r="H7615" i="2"/>
  <c r="J7614" i="2"/>
  <c r="H7614" i="2"/>
  <c r="J7613" i="2"/>
  <c r="H7613" i="2"/>
  <c r="J7612" i="2"/>
  <c r="H7612" i="2"/>
  <c r="J7611" i="2"/>
  <c r="H7611" i="2"/>
  <c r="J7610" i="2"/>
  <c r="H7610" i="2"/>
  <c r="J7609" i="2"/>
  <c r="H7609" i="2"/>
  <c r="J7608" i="2"/>
  <c r="H7608" i="2"/>
  <c r="J7607" i="2"/>
  <c r="H7607" i="2"/>
  <c r="J7606" i="2"/>
  <c r="H7606" i="2"/>
  <c r="J7605" i="2"/>
  <c r="H7605" i="2"/>
  <c r="J7604" i="2"/>
  <c r="H7604" i="2"/>
  <c r="J7603" i="2"/>
  <c r="H7603" i="2"/>
  <c r="J7602" i="2"/>
  <c r="H7602" i="2"/>
  <c r="J7601" i="2"/>
  <c r="H7601" i="2"/>
  <c r="J7600" i="2"/>
  <c r="H7600" i="2"/>
  <c r="J7599" i="2"/>
  <c r="H7599" i="2"/>
  <c r="J7598" i="2"/>
  <c r="H7598" i="2"/>
  <c r="J7597" i="2"/>
  <c r="H7597" i="2"/>
  <c r="J7596" i="2"/>
  <c r="H7596" i="2"/>
  <c r="J7595" i="2"/>
  <c r="H7595" i="2"/>
  <c r="J7594" i="2"/>
  <c r="H7594" i="2"/>
  <c r="J7593" i="2"/>
  <c r="H7593" i="2"/>
  <c r="J7592" i="2"/>
  <c r="H7592" i="2"/>
  <c r="J7591" i="2"/>
  <c r="H7591" i="2"/>
  <c r="J7590" i="2"/>
  <c r="H7590" i="2"/>
  <c r="J7589" i="2"/>
  <c r="H7589" i="2"/>
  <c r="J7588" i="2"/>
  <c r="H7588" i="2"/>
  <c r="J7587" i="2"/>
  <c r="H7587" i="2"/>
  <c r="J7586" i="2"/>
  <c r="H7586" i="2"/>
  <c r="J7585" i="2"/>
  <c r="H7585" i="2"/>
  <c r="J7584" i="2"/>
  <c r="H7584" i="2"/>
  <c r="J7583" i="2"/>
  <c r="H7583" i="2"/>
  <c r="J7582" i="2"/>
  <c r="H7582" i="2"/>
  <c r="J7581" i="2"/>
  <c r="H7581" i="2"/>
  <c r="J7580" i="2"/>
  <c r="H7580" i="2"/>
  <c r="J7579" i="2"/>
  <c r="H7579" i="2"/>
  <c r="J7578" i="2"/>
  <c r="H7578" i="2"/>
  <c r="J7577" i="2"/>
  <c r="H7577" i="2"/>
  <c r="J7576" i="2"/>
  <c r="H7576" i="2"/>
  <c r="J7575" i="2"/>
  <c r="H7575" i="2"/>
  <c r="J7574" i="2"/>
  <c r="H7574" i="2"/>
  <c r="J7573" i="2"/>
  <c r="H7573" i="2"/>
  <c r="J7572" i="2"/>
  <c r="H7572" i="2"/>
  <c r="J7571" i="2"/>
  <c r="H7571" i="2"/>
  <c r="J7570" i="2"/>
  <c r="H7570" i="2"/>
  <c r="J7569" i="2"/>
  <c r="H7569" i="2"/>
  <c r="J7568" i="2"/>
  <c r="H7568" i="2"/>
  <c r="J7567" i="2"/>
  <c r="H7567" i="2"/>
  <c r="J7566" i="2"/>
  <c r="H7566" i="2"/>
  <c r="J7565" i="2"/>
  <c r="H7565" i="2"/>
  <c r="J7564" i="2"/>
  <c r="H7564" i="2"/>
  <c r="J7563" i="2"/>
  <c r="H7563" i="2"/>
  <c r="J7562" i="2"/>
  <c r="H7562" i="2"/>
  <c r="J7561" i="2"/>
  <c r="H7561" i="2"/>
  <c r="J7560" i="2"/>
  <c r="H7560" i="2"/>
  <c r="J7559" i="2"/>
  <c r="H7559" i="2"/>
  <c r="J7558" i="2"/>
  <c r="H7558" i="2"/>
  <c r="J7557" i="2"/>
  <c r="H7557" i="2"/>
  <c r="J7556" i="2"/>
  <c r="H7556" i="2"/>
  <c r="J7555" i="2"/>
  <c r="H7555" i="2"/>
  <c r="J7554" i="2"/>
  <c r="H7554" i="2"/>
  <c r="J7553" i="2"/>
  <c r="H7553" i="2"/>
  <c r="J7552" i="2"/>
  <c r="H7552" i="2"/>
  <c r="J7551" i="2"/>
  <c r="H7551" i="2"/>
  <c r="J7550" i="2"/>
  <c r="H7550" i="2"/>
  <c r="J7549" i="2"/>
  <c r="H7549" i="2"/>
  <c r="J7548" i="2"/>
  <c r="H7548" i="2"/>
  <c r="J7547" i="2"/>
  <c r="H7547" i="2"/>
  <c r="J7546" i="2"/>
  <c r="H7546" i="2"/>
  <c r="J7545" i="2"/>
  <c r="H7545" i="2"/>
  <c r="J7544" i="2"/>
  <c r="H7544" i="2"/>
  <c r="J7543" i="2"/>
  <c r="H7543" i="2"/>
  <c r="J7542" i="2"/>
  <c r="H7542" i="2"/>
  <c r="J7541" i="2"/>
  <c r="H7541" i="2"/>
  <c r="J7540" i="2"/>
  <c r="H7540" i="2"/>
  <c r="J7539" i="2"/>
  <c r="H7539" i="2"/>
  <c r="J7538" i="2"/>
  <c r="H7538" i="2"/>
  <c r="J7537" i="2"/>
  <c r="H7537" i="2"/>
  <c r="J7536" i="2"/>
  <c r="H7536" i="2"/>
  <c r="J7535" i="2"/>
  <c r="H7535" i="2"/>
  <c r="J7534" i="2"/>
  <c r="H7534" i="2"/>
  <c r="J7533" i="2"/>
  <c r="H7533" i="2"/>
  <c r="J7532" i="2"/>
  <c r="H7532" i="2"/>
  <c r="J7531" i="2"/>
  <c r="H7531" i="2"/>
  <c r="J7530" i="2"/>
  <c r="H7530" i="2"/>
  <c r="J7529" i="2"/>
  <c r="H7529" i="2"/>
  <c r="J7528" i="2"/>
  <c r="H7528" i="2"/>
  <c r="J7527" i="2"/>
  <c r="H7527" i="2"/>
  <c r="J7526" i="2"/>
  <c r="H7526" i="2"/>
  <c r="J7525" i="2"/>
  <c r="H7525" i="2"/>
  <c r="J7524" i="2"/>
  <c r="H7524" i="2"/>
  <c r="J7523" i="2"/>
  <c r="H7523" i="2"/>
  <c r="J7522" i="2"/>
  <c r="H7522" i="2"/>
  <c r="J7521" i="2"/>
  <c r="H7521" i="2"/>
  <c r="J7520" i="2"/>
  <c r="H7520" i="2"/>
  <c r="J7519" i="2"/>
  <c r="H7519" i="2"/>
  <c r="J7518" i="2"/>
  <c r="H7518" i="2"/>
  <c r="J7517" i="2"/>
  <c r="H7517" i="2"/>
  <c r="J7516" i="2"/>
  <c r="H7516" i="2"/>
  <c r="J7515" i="2"/>
  <c r="H7515" i="2"/>
  <c r="J7514" i="2"/>
  <c r="H7514" i="2"/>
  <c r="J7513" i="2"/>
  <c r="H7513" i="2"/>
  <c r="J7512" i="2"/>
  <c r="H7512" i="2"/>
  <c r="J7511" i="2"/>
  <c r="H7511" i="2"/>
  <c r="J7510" i="2"/>
  <c r="H7510" i="2"/>
  <c r="J7509" i="2"/>
  <c r="H7509" i="2"/>
  <c r="J7508" i="2"/>
  <c r="H7508" i="2"/>
  <c r="J7507" i="2"/>
  <c r="H7507" i="2"/>
  <c r="J7506" i="2"/>
  <c r="H7506" i="2"/>
  <c r="J7505" i="2"/>
  <c r="H7505" i="2"/>
  <c r="J7504" i="2"/>
  <c r="H7504" i="2"/>
  <c r="J7503" i="2"/>
  <c r="H7503" i="2"/>
  <c r="J7502" i="2"/>
  <c r="H7502" i="2"/>
  <c r="J7501" i="2"/>
  <c r="H7501" i="2"/>
  <c r="J7500" i="2"/>
  <c r="H7500" i="2"/>
  <c r="J7499" i="2"/>
  <c r="H7499" i="2"/>
  <c r="J7498" i="2"/>
  <c r="H7498" i="2"/>
  <c r="J7497" i="2"/>
  <c r="H7497" i="2"/>
  <c r="J7496" i="2"/>
  <c r="H7496" i="2"/>
  <c r="J7495" i="2"/>
  <c r="H7495" i="2"/>
  <c r="J7494" i="2"/>
  <c r="H7494" i="2"/>
  <c r="J7493" i="2"/>
  <c r="H7493" i="2"/>
  <c r="J7492" i="2"/>
  <c r="H7492" i="2"/>
  <c r="J7491" i="2"/>
  <c r="H7491" i="2"/>
  <c r="J7490" i="2"/>
  <c r="H7490" i="2"/>
  <c r="J7489" i="2"/>
  <c r="H7489" i="2"/>
  <c r="J7488" i="2"/>
  <c r="H7488" i="2"/>
  <c r="J7487" i="2"/>
  <c r="H7487" i="2"/>
  <c r="J7486" i="2"/>
  <c r="H7486" i="2"/>
  <c r="J7485" i="2"/>
  <c r="H7485" i="2"/>
  <c r="J7484" i="2"/>
  <c r="H7484" i="2"/>
  <c r="J7483" i="2"/>
  <c r="H7483" i="2"/>
  <c r="J7482" i="2"/>
  <c r="H7482" i="2"/>
  <c r="J7481" i="2"/>
  <c r="H7481" i="2"/>
  <c r="J7480" i="2"/>
  <c r="H7480" i="2"/>
  <c r="J7479" i="2"/>
  <c r="H7479" i="2"/>
  <c r="J7478" i="2"/>
  <c r="H7478" i="2"/>
  <c r="J7477" i="2"/>
  <c r="H7477" i="2"/>
  <c r="J7476" i="2"/>
  <c r="H7476" i="2"/>
  <c r="J7475" i="2"/>
  <c r="H7475" i="2"/>
  <c r="J7474" i="2"/>
  <c r="H7474" i="2"/>
  <c r="J7473" i="2"/>
  <c r="H7473" i="2"/>
  <c r="J7472" i="2"/>
  <c r="H7472" i="2"/>
  <c r="J7471" i="2"/>
  <c r="H7471" i="2"/>
  <c r="J7470" i="2"/>
  <c r="H7470" i="2"/>
  <c r="J7469" i="2"/>
  <c r="H7469" i="2"/>
  <c r="J7468" i="2"/>
  <c r="H7468" i="2"/>
  <c r="J7467" i="2"/>
  <c r="H7467" i="2"/>
  <c r="J7466" i="2"/>
  <c r="H7466" i="2"/>
  <c r="J7465" i="2"/>
  <c r="H7465" i="2"/>
  <c r="J7464" i="2"/>
  <c r="H7464" i="2"/>
  <c r="J7463" i="2"/>
  <c r="H7463" i="2"/>
  <c r="J7462" i="2"/>
  <c r="H7462" i="2"/>
  <c r="J7461" i="2"/>
  <c r="H7461" i="2"/>
  <c r="J7460" i="2"/>
  <c r="H7460" i="2"/>
  <c r="J7459" i="2"/>
  <c r="H7459" i="2"/>
  <c r="J7458" i="2"/>
  <c r="H7458" i="2"/>
  <c r="J7457" i="2"/>
  <c r="H7457" i="2"/>
  <c r="J7456" i="2"/>
  <c r="H7456" i="2"/>
  <c r="J7455" i="2"/>
  <c r="H7455" i="2"/>
  <c r="J7454" i="2"/>
  <c r="H7454" i="2"/>
  <c r="J7453" i="2"/>
  <c r="H7453" i="2"/>
  <c r="J7452" i="2"/>
  <c r="H7452" i="2"/>
  <c r="J7451" i="2"/>
  <c r="H7451" i="2"/>
  <c r="J7450" i="2"/>
  <c r="H7450" i="2"/>
  <c r="J7449" i="2"/>
  <c r="H7449" i="2"/>
  <c r="J7448" i="2"/>
  <c r="H7448" i="2"/>
  <c r="J7447" i="2"/>
  <c r="H7447" i="2"/>
  <c r="J7446" i="2"/>
  <c r="H7446" i="2"/>
  <c r="J7445" i="2"/>
  <c r="H7445" i="2"/>
  <c r="J7444" i="2"/>
  <c r="H7444" i="2"/>
  <c r="J7443" i="2"/>
  <c r="H7443" i="2"/>
  <c r="J7442" i="2"/>
  <c r="H7442" i="2"/>
  <c r="J7441" i="2"/>
  <c r="H7441" i="2"/>
  <c r="J7440" i="2"/>
  <c r="H7440" i="2"/>
  <c r="J7439" i="2"/>
  <c r="H7439" i="2"/>
  <c r="J7438" i="2"/>
  <c r="H7438" i="2"/>
  <c r="J7437" i="2"/>
  <c r="H7437" i="2"/>
  <c r="J7436" i="2"/>
  <c r="H7436" i="2"/>
  <c r="J7435" i="2"/>
  <c r="H7435" i="2"/>
  <c r="J7434" i="2"/>
  <c r="H7434" i="2"/>
  <c r="J7433" i="2"/>
  <c r="H7433" i="2"/>
  <c r="J7432" i="2"/>
  <c r="H7432" i="2"/>
  <c r="J7431" i="2"/>
  <c r="H7431" i="2"/>
  <c r="J7430" i="2"/>
  <c r="H7430" i="2"/>
  <c r="J7429" i="2"/>
  <c r="H7429" i="2"/>
  <c r="J7428" i="2"/>
  <c r="H7428" i="2"/>
  <c r="J7427" i="2"/>
  <c r="H7427" i="2"/>
  <c r="J7426" i="2"/>
  <c r="H7426" i="2"/>
  <c r="J7425" i="2"/>
  <c r="H7425" i="2"/>
  <c r="J7424" i="2"/>
  <c r="H7424" i="2"/>
  <c r="J7423" i="2"/>
  <c r="H7423" i="2"/>
  <c r="J7422" i="2"/>
  <c r="H7422" i="2"/>
  <c r="J7421" i="2"/>
  <c r="H7421" i="2"/>
  <c r="J7420" i="2"/>
  <c r="H7420" i="2"/>
  <c r="J7419" i="2"/>
  <c r="H7419" i="2"/>
  <c r="J7418" i="2"/>
  <c r="H7418" i="2"/>
  <c r="J7417" i="2"/>
  <c r="H7417" i="2"/>
  <c r="J7416" i="2"/>
  <c r="H7416" i="2"/>
  <c r="J7415" i="2"/>
  <c r="H7415" i="2"/>
  <c r="J7414" i="2"/>
  <c r="H7414" i="2"/>
  <c r="J7413" i="2"/>
  <c r="H7413" i="2"/>
  <c r="J7412" i="2"/>
  <c r="H7412" i="2"/>
  <c r="J7411" i="2"/>
  <c r="H7411" i="2"/>
  <c r="J7410" i="2"/>
  <c r="H7410" i="2"/>
  <c r="J7409" i="2"/>
  <c r="H7409" i="2"/>
  <c r="J7408" i="2"/>
  <c r="H7408" i="2"/>
  <c r="J7407" i="2"/>
  <c r="H7407" i="2"/>
  <c r="J7406" i="2"/>
  <c r="H7406" i="2"/>
  <c r="J7405" i="2"/>
  <c r="H7405" i="2"/>
  <c r="J7404" i="2"/>
  <c r="H7404" i="2"/>
  <c r="J7403" i="2"/>
  <c r="H7403" i="2"/>
  <c r="J7402" i="2"/>
  <c r="H7402" i="2"/>
  <c r="J7401" i="2"/>
  <c r="H7401" i="2"/>
  <c r="J7400" i="2"/>
  <c r="H7400" i="2"/>
  <c r="J7399" i="2"/>
  <c r="H7399" i="2"/>
  <c r="J7398" i="2"/>
  <c r="H7398" i="2"/>
  <c r="J7397" i="2"/>
  <c r="H7397" i="2"/>
  <c r="J7396" i="2"/>
  <c r="H7396" i="2"/>
  <c r="J7395" i="2"/>
  <c r="H7395" i="2"/>
  <c r="J7394" i="2"/>
  <c r="H7394" i="2"/>
  <c r="J7393" i="2"/>
  <c r="H7393" i="2"/>
  <c r="J7392" i="2"/>
  <c r="H7392" i="2"/>
  <c r="J7391" i="2"/>
  <c r="H7391" i="2"/>
  <c r="J7390" i="2"/>
  <c r="H7390" i="2"/>
  <c r="J7389" i="2"/>
  <c r="H7389" i="2"/>
  <c r="J7388" i="2"/>
  <c r="H7388" i="2"/>
  <c r="J7387" i="2"/>
  <c r="H7387" i="2"/>
  <c r="J7386" i="2"/>
  <c r="H7386" i="2"/>
  <c r="J7385" i="2"/>
  <c r="H7385" i="2"/>
  <c r="J7384" i="2"/>
  <c r="H7384" i="2"/>
  <c r="J7383" i="2"/>
  <c r="H7383" i="2"/>
  <c r="J7382" i="2"/>
  <c r="H7382" i="2"/>
  <c r="J7381" i="2"/>
  <c r="H7381" i="2"/>
  <c r="J7380" i="2"/>
  <c r="H7380" i="2"/>
  <c r="J7379" i="2"/>
  <c r="H7379" i="2"/>
  <c r="J7378" i="2"/>
  <c r="H7378" i="2"/>
  <c r="J7377" i="2"/>
  <c r="H7377" i="2"/>
  <c r="J7376" i="2"/>
  <c r="H7376" i="2"/>
  <c r="J7375" i="2"/>
  <c r="H7375" i="2"/>
  <c r="J7374" i="2"/>
  <c r="H7374" i="2"/>
  <c r="J7373" i="2"/>
  <c r="H7373" i="2"/>
  <c r="J7372" i="2"/>
  <c r="H7372" i="2"/>
  <c r="J7371" i="2"/>
  <c r="H7371" i="2"/>
  <c r="J7370" i="2"/>
  <c r="H7370" i="2"/>
  <c r="J7369" i="2"/>
  <c r="H7369" i="2"/>
  <c r="J7368" i="2"/>
  <c r="H7368" i="2"/>
  <c r="J7367" i="2"/>
  <c r="H7367" i="2"/>
  <c r="J7366" i="2"/>
  <c r="H7366" i="2"/>
  <c r="J7365" i="2"/>
  <c r="H7365" i="2"/>
  <c r="J7364" i="2"/>
  <c r="H7364" i="2"/>
  <c r="J7363" i="2"/>
  <c r="H7363" i="2"/>
  <c r="J7362" i="2"/>
  <c r="H7362" i="2"/>
  <c r="J7361" i="2"/>
  <c r="H7361" i="2"/>
  <c r="J7360" i="2"/>
  <c r="H7360" i="2"/>
  <c r="J7359" i="2"/>
  <c r="H7359" i="2"/>
  <c r="J7358" i="2"/>
  <c r="H7358" i="2"/>
  <c r="J7357" i="2"/>
  <c r="H7357" i="2"/>
  <c r="J7356" i="2"/>
  <c r="H7356" i="2"/>
  <c r="J7355" i="2"/>
  <c r="H7355" i="2"/>
  <c r="J7354" i="2"/>
  <c r="H7354" i="2"/>
  <c r="J7353" i="2"/>
  <c r="H7353" i="2"/>
  <c r="J7352" i="2"/>
  <c r="H7352" i="2"/>
  <c r="J7351" i="2"/>
  <c r="H7351" i="2"/>
  <c r="J7350" i="2"/>
  <c r="H7350" i="2"/>
  <c r="J7349" i="2"/>
  <c r="H7349" i="2"/>
  <c r="J7348" i="2"/>
  <c r="H7348" i="2"/>
  <c r="J7347" i="2"/>
  <c r="H7347" i="2"/>
  <c r="J7346" i="2"/>
  <c r="H7346" i="2"/>
  <c r="J7345" i="2"/>
  <c r="H7345" i="2"/>
  <c r="J7344" i="2"/>
  <c r="H7344" i="2"/>
  <c r="J7343" i="2"/>
  <c r="H7343" i="2"/>
  <c r="J7342" i="2"/>
  <c r="H7342" i="2"/>
  <c r="J7341" i="2"/>
  <c r="H7341" i="2"/>
  <c r="J7340" i="2"/>
  <c r="H7340" i="2"/>
  <c r="J7339" i="2"/>
  <c r="H7339" i="2"/>
  <c r="J7338" i="2"/>
  <c r="H7338" i="2"/>
  <c r="J7337" i="2"/>
  <c r="H7337" i="2"/>
  <c r="J7336" i="2"/>
  <c r="H7336" i="2"/>
  <c r="J7335" i="2"/>
  <c r="H7335" i="2"/>
  <c r="J7334" i="2"/>
  <c r="H7334" i="2"/>
  <c r="J7333" i="2"/>
  <c r="H7333" i="2"/>
  <c r="J7332" i="2"/>
  <c r="H7332" i="2"/>
  <c r="J7331" i="2"/>
  <c r="H7331" i="2"/>
  <c r="J7330" i="2"/>
  <c r="H7330" i="2"/>
  <c r="J7329" i="2"/>
  <c r="H7329" i="2"/>
  <c r="J7328" i="2"/>
  <c r="H7328" i="2"/>
  <c r="J7327" i="2"/>
  <c r="H7327" i="2"/>
  <c r="J7326" i="2"/>
  <c r="H7326" i="2"/>
  <c r="J7325" i="2"/>
  <c r="H7325" i="2"/>
  <c r="J7324" i="2"/>
  <c r="H7324" i="2"/>
  <c r="J7323" i="2"/>
  <c r="H7323" i="2"/>
  <c r="J7322" i="2"/>
  <c r="H7322" i="2"/>
  <c r="J7321" i="2"/>
  <c r="H7321" i="2"/>
  <c r="J7320" i="2"/>
  <c r="H7320" i="2"/>
  <c r="J7319" i="2"/>
  <c r="H7319" i="2"/>
  <c r="J7318" i="2"/>
  <c r="H7318" i="2"/>
  <c r="J7317" i="2"/>
  <c r="H7317" i="2"/>
  <c r="J7316" i="2"/>
  <c r="H7316" i="2"/>
  <c r="J7315" i="2"/>
  <c r="H7315" i="2"/>
  <c r="J7314" i="2"/>
  <c r="H7314" i="2"/>
  <c r="J7313" i="2"/>
  <c r="H7313" i="2"/>
  <c r="J7312" i="2"/>
  <c r="H7312" i="2"/>
  <c r="J7311" i="2"/>
  <c r="H7311" i="2"/>
  <c r="J7310" i="2"/>
  <c r="H7310" i="2"/>
  <c r="J7309" i="2"/>
  <c r="H7309" i="2"/>
  <c r="J7308" i="2"/>
  <c r="H7308" i="2"/>
  <c r="J7307" i="2"/>
  <c r="H7307" i="2"/>
  <c r="J7306" i="2"/>
  <c r="H7306" i="2"/>
  <c r="J7305" i="2"/>
  <c r="H7305" i="2"/>
  <c r="J7304" i="2"/>
  <c r="H7304" i="2"/>
  <c r="J7303" i="2"/>
  <c r="H7303" i="2"/>
  <c r="J7302" i="2"/>
  <c r="H7302" i="2"/>
  <c r="J7301" i="2"/>
  <c r="H7301" i="2"/>
  <c r="J7300" i="2"/>
  <c r="H7300" i="2"/>
  <c r="J7299" i="2"/>
  <c r="H7299" i="2"/>
  <c r="J7298" i="2"/>
  <c r="H7298" i="2"/>
  <c r="J7297" i="2"/>
  <c r="H7297" i="2"/>
  <c r="J7296" i="2"/>
  <c r="H7296" i="2"/>
  <c r="J7295" i="2"/>
  <c r="H7295" i="2"/>
  <c r="J7294" i="2"/>
  <c r="H7294" i="2"/>
  <c r="J7293" i="2"/>
  <c r="H7293" i="2"/>
  <c r="J7292" i="2"/>
  <c r="H7292" i="2"/>
  <c r="J7291" i="2"/>
  <c r="H7291" i="2"/>
  <c r="J7290" i="2"/>
  <c r="H7290" i="2"/>
  <c r="J7289" i="2"/>
  <c r="H7289" i="2"/>
  <c r="J7288" i="2"/>
  <c r="H7288" i="2"/>
  <c r="J7287" i="2"/>
  <c r="H7287" i="2"/>
  <c r="J7286" i="2"/>
  <c r="H7286" i="2"/>
  <c r="J7285" i="2"/>
  <c r="H7285" i="2"/>
  <c r="J7284" i="2"/>
  <c r="H7284" i="2"/>
  <c r="J7283" i="2"/>
  <c r="H7283" i="2"/>
  <c r="J7282" i="2"/>
  <c r="H7282" i="2"/>
  <c r="J7281" i="2"/>
  <c r="H7281" i="2"/>
  <c r="J7280" i="2"/>
  <c r="H7280" i="2"/>
  <c r="J7279" i="2"/>
  <c r="H7279" i="2"/>
  <c r="J7278" i="2"/>
  <c r="H7278" i="2"/>
  <c r="J7277" i="2"/>
  <c r="H7277" i="2"/>
  <c r="J7276" i="2"/>
  <c r="H7276" i="2"/>
  <c r="J7275" i="2"/>
  <c r="H7275" i="2"/>
  <c r="J7274" i="2"/>
  <c r="H7274" i="2"/>
  <c r="J7273" i="2"/>
  <c r="H7273" i="2"/>
  <c r="J7272" i="2"/>
  <c r="H7272" i="2"/>
  <c r="J7271" i="2"/>
  <c r="H7271" i="2"/>
  <c r="J7270" i="2"/>
  <c r="H7270" i="2"/>
  <c r="J7269" i="2"/>
  <c r="H7269" i="2"/>
  <c r="J7268" i="2"/>
  <c r="H7268" i="2"/>
  <c r="J7267" i="2"/>
  <c r="H7267" i="2"/>
  <c r="J7266" i="2"/>
  <c r="H7266" i="2"/>
  <c r="J7265" i="2"/>
  <c r="H7265" i="2"/>
  <c r="J7264" i="2"/>
  <c r="H7264" i="2"/>
  <c r="J7263" i="2"/>
  <c r="H7263" i="2"/>
  <c r="J7262" i="2"/>
  <c r="H7262" i="2"/>
  <c r="J7261" i="2"/>
  <c r="H7261" i="2"/>
  <c r="J7260" i="2"/>
  <c r="H7260" i="2"/>
  <c r="J7259" i="2"/>
  <c r="H7259" i="2"/>
  <c r="J7258" i="2"/>
  <c r="H7258" i="2"/>
  <c r="J7257" i="2"/>
  <c r="H7257" i="2"/>
  <c r="J7256" i="2"/>
  <c r="H7256" i="2"/>
  <c r="J7255" i="2"/>
  <c r="H7255" i="2"/>
  <c r="J7254" i="2"/>
  <c r="H7254" i="2"/>
  <c r="J7253" i="2"/>
  <c r="H7253" i="2"/>
  <c r="J7252" i="2"/>
  <c r="H7252" i="2"/>
  <c r="J7251" i="2"/>
  <c r="H7251" i="2"/>
  <c r="J7250" i="2"/>
  <c r="H7250" i="2"/>
  <c r="J7249" i="2"/>
  <c r="H7249" i="2"/>
  <c r="J7248" i="2"/>
  <c r="H7248" i="2"/>
  <c r="J7247" i="2"/>
  <c r="H7247" i="2"/>
  <c r="J7246" i="2"/>
  <c r="H7246" i="2"/>
  <c r="J7245" i="2"/>
  <c r="H7245" i="2"/>
  <c r="J7244" i="2"/>
  <c r="H7244" i="2"/>
  <c r="J7243" i="2"/>
  <c r="H7243" i="2"/>
  <c r="J7242" i="2"/>
  <c r="H7242" i="2"/>
  <c r="J7241" i="2"/>
  <c r="H7241" i="2"/>
  <c r="J7240" i="2"/>
  <c r="H7240" i="2"/>
  <c r="J7239" i="2"/>
  <c r="H7239" i="2"/>
  <c r="J7238" i="2"/>
  <c r="H7238" i="2"/>
  <c r="J7237" i="2"/>
  <c r="H7237" i="2"/>
  <c r="J7236" i="2"/>
  <c r="H7236" i="2"/>
  <c r="J7235" i="2"/>
  <c r="H7235" i="2"/>
  <c r="J7234" i="2"/>
  <c r="H7234" i="2"/>
  <c r="J7233" i="2"/>
  <c r="H7233" i="2"/>
  <c r="J7232" i="2"/>
  <c r="H7232" i="2"/>
  <c r="J7231" i="2"/>
  <c r="H7231" i="2"/>
  <c r="J7230" i="2"/>
  <c r="H7230" i="2"/>
  <c r="J7229" i="2"/>
  <c r="H7229" i="2"/>
  <c r="J7228" i="2"/>
  <c r="H7228" i="2"/>
  <c r="J7227" i="2"/>
  <c r="H7227" i="2"/>
  <c r="J7226" i="2"/>
  <c r="H7226" i="2"/>
  <c r="J7225" i="2"/>
  <c r="H7225" i="2"/>
  <c r="J7224" i="2"/>
  <c r="H7224" i="2"/>
  <c r="J7223" i="2"/>
  <c r="H7223" i="2"/>
  <c r="J7222" i="2"/>
  <c r="H7222" i="2"/>
  <c r="J7221" i="2"/>
  <c r="H7221" i="2"/>
  <c r="J7220" i="2"/>
  <c r="H7220" i="2"/>
  <c r="J7219" i="2"/>
  <c r="H7219" i="2"/>
  <c r="J7218" i="2"/>
  <c r="H7218" i="2"/>
  <c r="J7217" i="2"/>
  <c r="H7217" i="2"/>
  <c r="J7216" i="2"/>
  <c r="H7216" i="2"/>
  <c r="J7215" i="2"/>
  <c r="H7215" i="2"/>
  <c r="J7214" i="2"/>
  <c r="H7214" i="2"/>
  <c r="J7213" i="2"/>
  <c r="H7213" i="2"/>
  <c r="J7212" i="2"/>
  <c r="H7212" i="2"/>
  <c r="J7211" i="2"/>
  <c r="H7211" i="2"/>
  <c r="J7210" i="2"/>
  <c r="H7210" i="2"/>
  <c r="J7209" i="2"/>
  <c r="H7209" i="2"/>
  <c r="J7208" i="2"/>
  <c r="H7208" i="2"/>
  <c r="J7207" i="2"/>
  <c r="H7207" i="2"/>
  <c r="J7206" i="2"/>
  <c r="H7206" i="2"/>
  <c r="J7205" i="2"/>
  <c r="H7205" i="2"/>
  <c r="J7204" i="2"/>
  <c r="H7204" i="2"/>
  <c r="J7203" i="2"/>
  <c r="H7203" i="2"/>
  <c r="J7202" i="2"/>
  <c r="H7202" i="2"/>
  <c r="J7201" i="2"/>
  <c r="H7201" i="2"/>
  <c r="J7200" i="2"/>
  <c r="H7200" i="2"/>
  <c r="J7199" i="2"/>
  <c r="H7199" i="2"/>
  <c r="J7198" i="2"/>
  <c r="H7198" i="2"/>
  <c r="J7197" i="2"/>
  <c r="H7197" i="2"/>
  <c r="J7196" i="2"/>
  <c r="H7196" i="2"/>
  <c r="J7195" i="2"/>
  <c r="H7195" i="2"/>
  <c r="J7194" i="2"/>
  <c r="H7194" i="2"/>
  <c r="J7193" i="2"/>
  <c r="H7193" i="2"/>
  <c r="J7192" i="2"/>
  <c r="H7192" i="2"/>
  <c r="J7191" i="2"/>
  <c r="H7191" i="2"/>
  <c r="J7190" i="2"/>
  <c r="H7190" i="2"/>
  <c r="J7189" i="2"/>
  <c r="H7189" i="2"/>
  <c r="J7188" i="2"/>
  <c r="H7188" i="2"/>
  <c r="J7187" i="2"/>
  <c r="H7187" i="2"/>
  <c r="J7186" i="2"/>
  <c r="H7186" i="2"/>
  <c r="J7185" i="2"/>
  <c r="H7185" i="2"/>
  <c r="J7184" i="2"/>
  <c r="H7184" i="2"/>
  <c r="J7183" i="2"/>
  <c r="H7183" i="2"/>
  <c r="J7182" i="2"/>
  <c r="H7182" i="2"/>
  <c r="J7181" i="2"/>
  <c r="H7181" i="2"/>
  <c r="J7180" i="2"/>
  <c r="H7180" i="2"/>
  <c r="J7179" i="2"/>
  <c r="H7179" i="2"/>
  <c r="J7178" i="2"/>
  <c r="H7178" i="2"/>
  <c r="J7177" i="2"/>
  <c r="H7177" i="2"/>
  <c r="J7176" i="2"/>
  <c r="H7176" i="2"/>
  <c r="J7175" i="2"/>
  <c r="H7175" i="2"/>
  <c r="J7174" i="2"/>
  <c r="H7174" i="2"/>
  <c r="J7173" i="2"/>
  <c r="H7173" i="2"/>
  <c r="J7172" i="2"/>
  <c r="H7172" i="2"/>
  <c r="J7171" i="2"/>
  <c r="H7171" i="2"/>
  <c r="J7170" i="2"/>
  <c r="H7170" i="2"/>
  <c r="J7169" i="2"/>
  <c r="H7169" i="2"/>
  <c r="J7168" i="2"/>
  <c r="H7168" i="2"/>
  <c r="J7167" i="2"/>
  <c r="H7167" i="2"/>
  <c r="J7166" i="2"/>
  <c r="H7166" i="2"/>
  <c r="J7165" i="2"/>
  <c r="H7165" i="2"/>
  <c r="J7164" i="2"/>
  <c r="H7164" i="2"/>
  <c r="J7163" i="2"/>
  <c r="H7163" i="2"/>
  <c r="J7162" i="2"/>
  <c r="H7162" i="2"/>
  <c r="J7161" i="2"/>
  <c r="H7161" i="2"/>
  <c r="J7160" i="2"/>
  <c r="H7160" i="2"/>
  <c r="J7159" i="2"/>
  <c r="H7159" i="2"/>
  <c r="J7158" i="2"/>
  <c r="H7158" i="2"/>
  <c r="J7157" i="2"/>
  <c r="H7157" i="2"/>
  <c r="J7156" i="2"/>
  <c r="H7156" i="2"/>
  <c r="J7155" i="2"/>
  <c r="H7155" i="2"/>
  <c r="J7154" i="2"/>
  <c r="H7154" i="2"/>
  <c r="J7153" i="2"/>
  <c r="H7153" i="2"/>
  <c r="J7152" i="2"/>
  <c r="H7152" i="2"/>
  <c r="J7151" i="2"/>
  <c r="H7151" i="2"/>
  <c r="J7150" i="2"/>
  <c r="H7150" i="2"/>
  <c r="J7149" i="2"/>
  <c r="H7149" i="2"/>
  <c r="J7148" i="2"/>
  <c r="H7148" i="2"/>
  <c r="J7147" i="2"/>
  <c r="H7147" i="2"/>
  <c r="J7146" i="2"/>
  <c r="H7146" i="2"/>
  <c r="J7145" i="2"/>
  <c r="H7145" i="2"/>
  <c r="J7144" i="2"/>
  <c r="H7144" i="2"/>
  <c r="J7143" i="2"/>
  <c r="H7143" i="2"/>
  <c r="J7142" i="2"/>
  <c r="H7142" i="2"/>
  <c r="J7141" i="2"/>
  <c r="H7141" i="2"/>
  <c r="J7140" i="2"/>
  <c r="H7140" i="2"/>
  <c r="J7139" i="2"/>
  <c r="H7139" i="2"/>
  <c r="J7138" i="2"/>
  <c r="H7138" i="2"/>
  <c r="J7137" i="2"/>
  <c r="H7137" i="2"/>
  <c r="J7136" i="2"/>
  <c r="H7136" i="2"/>
  <c r="J7135" i="2"/>
  <c r="H7135" i="2"/>
  <c r="J7134" i="2"/>
  <c r="H7134" i="2"/>
  <c r="J7133" i="2"/>
  <c r="H7133" i="2"/>
  <c r="J7132" i="2"/>
  <c r="H7132" i="2"/>
  <c r="J7131" i="2"/>
  <c r="H7131" i="2"/>
  <c r="J7130" i="2"/>
  <c r="H7130" i="2"/>
  <c r="J7129" i="2"/>
  <c r="H7129" i="2"/>
  <c r="J7128" i="2"/>
  <c r="H7128" i="2"/>
  <c r="J7127" i="2"/>
  <c r="H7127" i="2"/>
  <c r="J7126" i="2"/>
  <c r="H7126" i="2"/>
  <c r="J7125" i="2"/>
  <c r="H7125" i="2"/>
  <c r="J7124" i="2"/>
  <c r="H7124" i="2"/>
  <c r="J7123" i="2"/>
  <c r="H7123" i="2"/>
  <c r="J7122" i="2"/>
  <c r="H7122" i="2"/>
  <c r="J7121" i="2"/>
  <c r="H7121" i="2"/>
  <c r="J7120" i="2"/>
  <c r="H7120" i="2"/>
  <c r="J7119" i="2"/>
  <c r="H7119" i="2"/>
  <c r="J7118" i="2"/>
  <c r="H7118" i="2"/>
  <c r="J7117" i="2"/>
  <c r="H7117" i="2"/>
  <c r="J7116" i="2"/>
  <c r="H7116" i="2"/>
  <c r="J7115" i="2"/>
  <c r="H7115" i="2"/>
  <c r="J7114" i="2"/>
  <c r="H7114" i="2"/>
  <c r="J7113" i="2"/>
  <c r="H7113" i="2"/>
  <c r="J7112" i="2"/>
  <c r="H7112" i="2"/>
  <c r="J7111" i="2"/>
  <c r="H7111" i="2"/>
  <c r="J7110" i="2"/>
  <c r="H7110" i="2"/>
  <c r="J7109" i="2"/>
  <c r="H7109" i="2"/>
  <c r="J7108" i="2"/>
  <c r="H7108" i="2"/>
  <c r="J7107" i="2"/>
  <c r="H7107" i="2"/>
  <c r="J7106" i="2"/>
  <c r="H7106" i="2"/>
  <c r="J7105" i="2"/>
  <c r="H7105" i="2"/>
  <c r="J7104" i="2"/>
  <c r="H7104" i="2"/>
  <c r="J7103" i="2"/>
  <c r="H7103" i="2"/>
  <c r="J7102" i="2"/>
  <c r="H7102" i="2"/>
  <c r="J7101" i="2"/>
  <c r="H7101" i="2"/>
  <c r="J7100" i="2"/>
  <c r="H7100" i="2"/>
  <c r="J7099" i="2"/>
  <c r="H7099" i="2"/>
  <c r="J7098" i="2"/>
  <c r="H7098" i="2"/>
  <c r="J7097" i="2"/>
  <c r="H7097" i="2"/>
  <c r="J7096" i="2"/>
  <c r="H7096" i="2"/>
  <c r="J7095" i="2"/>
  <c r="H7095" i="2"/>
  <c r="J7094" i="2"/>
  <c r="H7094" i="2"/>
  <c r="J7093" i="2"/>
  <c r="H7093" i="2"/>
  <c r="J7092" i="2"/>
  <c r="H7092" i="2"/>
  <c r="J7091" i="2"/>
  <c r="H7091" i="2"/>
  <c r="J7090" i="2"/>
  <c r="H7090" i="2"/>
  <c r="J7089" i="2"/>
  <c r="H7089" i="2"/>
  <c r="J7088" i="2"/>
  <c r="H7088" i="2"/>
  <c r="J7087" i="2"/>
  <c r="H7087" i="2"/>
  <c r="J7086" i="2"/>
  <c r="H7086" i="2"/>
  <c r="J7085" i="2"/>
  <c r="H7085" i="2"/>
  <c r="J7084" i="2"/>
  <c r="H7084" i="2"/>
  <c r="J7083" i="2"/>
  <c r="H7083" i="2"/>
  <c r="J7082" i="2"/>
  <c r="H7082" i="2"/>
  <c r="J7081" i="2"/>
  <c r="H7081" i="2"/>
  <c r="J7080" i="2"/>
  <c r="H7080" i="2"/>
  <c r="J7079" i="2"/>
  <c r="H7079" i="2"/>
  <c r="J7078" i="2"/>
  <c r="H7078" i="2"/>
  <c r="J7077" i="2"/>
  <c r="H7077" i="2"/>
  <c r="J7076" i="2"/>
  <c r="H7076" i="2"/>
  <c r="J7075" i="2"/>
  <c r="H7075" i="2"/>
  <c r="J7074" i="2"/>
  <c r="H7074" i="2"/>
  <c r="J7073" i="2"/>
  <c r="H7073" i="2"/>
  <c r="J7072" i="2"/>
  <c r="H7072" i="2"/>
  <c r="J7071" i="2"/>
  <c r="H7071" i="2"/>
  <c r="J7070" i="2"/>
  <c r="H7070" i="2"/>
  <c r="J7069" i="2"/>
  <c r="H7069" i="2"/>
  <c r="J7068" i="2"/>
  <c r="H7068" i="2"/>
  <c r="J7067" i="2"/>
  <c r="H7067" i="2"/>
  <c r="J7066" i="2"/>
  <c r="H7066" i="2"/>
  <c r="J7065" i="2"/>
  <c r="H7065" i="2"/>
  <c r="J7064" i="2"/>
  <c r="H7064" i="2"/>
  <c r="J7063" i="2"/>
  <c r="H7063" i="2"/>
  <c r="J7062" i="2"/>
  <c r="H7062" i="2"/>
  <c r="J7061" i="2"/>
  <c r="H7061" i="2"/>
  <c r="J7060" i="2"/>
  <c r="H7060" i="2"/>
  <c r="J7059" i="2"/>
  <c r="H7059" i="2"/>
  <c r="J7058" i="2"/>
  <c r="H7058" i="2"/>
  <c r="J7057" i="2"/>
  <c r="H7057" i="2"/>
  <c r="J7056" i="2"/>
  <c r="H7056" i="2"/>
  <c r="J7055" i="2"/>
  <c r="H7055" i="2"/>
  <c r="J7054" i="2"/>
  <c r="H7054" i="2"/>
  <c r="J7053" i="2"/>
  <c r="H7053" i="2"/>
  <c r="J7052" i="2"/>
  <c r="H7052" i="2"/>
  <c r="J7051" i="2"/>
  <c r="H7051" i="2"/>
  <c r="J7050" i="2"/>
  <c r="H7050" i="2"/>
  <c r="J7049" i="2"/>
  <c r="H7049" i="2"/>
  <c r="J7048" i="2"/>
  <c r="H7048" i="2"/>
  <c r="J7047" i="2"/>
  <c r="H7047" i="2"/>
  <c r="J7046" i="2"/>
  <c r="H7046" i="2"/>
  <c r="J7045" i="2"/>
  <c r="H7045" i="2"/>
  <c r="J7044" i="2"/>
  <c r="H7044" i="2"/>
  <c r="J7043" i="2"/>
  <c r="H7043" i="2"/>
  <c r="J7042" i="2"/>
  <c r="H7042" i="2"/>
  <c r="J7041" i="2"/>
  <c r="H7041" i="2"/>
  <c r="J7040" i="2"/>
  <c r="H7040" i="2"/>
  <c r="J7039" i="2"/>
  <c r="H7039" i="2"/>
  <c r="J7038" i="2"/>
  <c r="H7038" i="2"/>
  <c r="J7037" i="2"/>
  <c r="H7037" i="2"/>
  <c r="J7036" i="2"/>
  <c r="H7036" i="2"/>
  <c r="J7035" i="2"/>
  <c r="H7035" i="2"/>
  <c r="J7034" i="2"/>
  <c r="H7034" i="2"/>
  <c r="J7033" i="2"/>
  <c r="H7033" i="2"/>
  <c r="J7032" i="2"/>
  <c r="H7032" i="2"/>
  <c r="J7031" i="2"/>
  <c r="H7031" i="2"/>
  <c r="J7030" i="2"/>
  <c r="H7030" i="2"/>
  <c r="J7029" i="2"/>
  <c r="H7029" i="2"/>
  <c r="J7028" i="2"/>
  <c r="H7028" i="2"/>
  <c r="J7027" i="2"/>
  <c r="H7027" i="2"/>
  <c r="J7026" i="2"/>
  <c r="H7026" i="2"/>
  <c r="J7025" i="2"/>
  <c r="H7025" i="2"/>
  <c r="J7024" i="2"/>
  <c r="H7024" i="2"/>
  <c r="J7023" i="2"/>
  <c r="H7023" i="2"/>
  <c r="J7022" i="2"/>
  <c r="H7022" i="2"/>
  <c r="J7021" i="2"/>
  <c r="H7021" i="2"/>
  <c r="J7020" i="2"/>
  <c r="H7020" i="2"/>
  <c r="J7019" i="2"/>
  <c r="H7019" i="2"/>
  <c r="J7018" i="2"/>
  <c r="H7018" i="2"/>
  <c r="J7017" i="2"/>
  <c r="H7017" i="2"/>
  <c r="J7016" i="2"/>
  <c r="H7016" i="2"/>
  <c r="J7015" i="2"/>
  <c r="H7015" i="2"/>
  <c r="J7014" i="2"/>
  <c r="H7014" i="2"/>
  <c r="J7013" i="2"/>
  <c r="H7013" i="2"/>
  <c r="J7012" i="2"/>
  <c r="H7012" i="2"/>
  <c r="J7011" i="2"/>
  <c r="H7011" i="2"/>
  <c r="J7010" i="2"/>
  <c r="H7010" i="2"/>
  <c r="J7009" i="2"/>
  <c r="H7009" i="2"/>
  <c r="J7008" i="2"/>
  <c r="H7008" i="2"/>
  <c r="J7007" i="2"/>
  <c r="H7007" i="2"/>
  <c r="J7006" i="2"/>
  <c r="H7006" i="2"/>
  <c r="J7005" i="2"/>
  <c r="H7005" i="2"/>
  <c r="J7004" i="2"/>
  <c r="H7004" i="2"/>
  <c r="J7003" i="2"/>
  <c r="H7003" i="2"/>
  <c r="J7002" i="2"/>
  <c r="H7002" i="2"/>
  <c r="J7001" i="2"/>
  <c r="H7001" i="2"/>
  <c r="J7000" i="2"/>
  <c r="H7000" i="2"/>
  <c r="J6999" i="2"/>
  <c r="H6999" i="2"/>
  <c r="J6998" i="2"/>
  <c r="H6998" i="2"/>
  <c r="J6997" i="2"/>
  <c r="H6997" i="2"/>
  <c r="J6996" i="2"/>
  <c r="H6996" i="2"/>
  <c r="J6995" i="2"/>
  <c r="H6995" i="2"/>
  <c r="J6994" i="2"/>
  <c r="H6994" i="2"/>
  <c r="J6993" i="2"/>
  <c r="H6993" i="2"/>
  <c r="J6992" i="2"/>
  <c r="H6992" i="2"/>
  <c r="J6991" i="2"/>
  <c r="H6991" i="2"/>
  <c r="J6990" i="2"/>
  <c r="H6990" i="2"/>
  <c r="J6989" i="2"/>
  <c r="H6989" i="2"/>
  <c r="J6988" i="2"/>
  <c r="H6988" i="2"/>
  <c r="J6987" i="2"/>
  <c r="H6987" i="2"/>
  <c r="J6986" i="2"/>
  <c r="H6986" i="2"/>
  <c r="J6985" i="2"/>
  <c r="H6985" i="2"/>
  <c r="J6984" i="2"/>
  <c r="H6984" i="2"/>
  <c r="J6983" i="2"/>
  <c r="H6983" i="2"/>
  <c r="J6982" i="2"/>
  <c r="H6982" i="2"/>
  <c r="J6981" i="2"/>
  <c r="H6981" i="2"/>
  <c r="J6980" i="2"/>
  <c r="H6980" i="2"/>
  <c r="J6979" i="2"/>
  <c r="H6979" i="2"/>
  <c r="J6978" i="2"/>
  <c r="H6978" i="2"/>
  <c r="J6977" i="2"/>
  <c r="H6977" i="2"/>
  <c r="J6976" i="2"/>
  <c r="H6976" i="2"/>
  <c r="J6975" i="2"/>
  <c r="H6975" i="2"/>
  <c r="J6974" i="2"/>
  <c r="H6974" i="2"/>
  <c r="J6973" i="2"/>
  <c r="H6973" i="2"/>
  <c r="J6972" i="2"/>
  <c r="H6972" i="2"/>
  <c r="J6971" i="2"/>
  <c r="H6971" i="2"/>
  <c r="J6970" i="2"/>
  <c r="H6970" i="2"/>
  <c r="J6969" i="2"/>
  <c r="H6969" i="2"/>
  <c r="J6968" i="2"/>
  <c r="H6968" i="2"/>
  <c r="J6967" i="2"/>
  <c r="H6967" i="2"/>
  <c r="J6966" i="2"/>
  <c r="H6966" i="2"/>
  <c r="J6965" i="2"/>
  <c r="H6965" i="2"/>
  <c r="J6964" i="2"/>
  <c r="H6964" i="2"/>
  <c r="J6963" i="2"/>
  <c r="H6963" i="2"/>
  <c r="J6962" i="2"/>
  <c r="H6962" i="2"/>
  <c r="J6961" i="2"/>
  <c r="H6961" i="2"/>
  <c r="J6960" i="2"/>
  <c r="H6960" i="2"/>
  <c r="J6959" i="2"/>
  <c r="H6959" i="2"/>
  <c r="J6958" i="2"/>
  <c r="H6958" i="2"/>
  <c r="J6957" i="2"/>
  <c r="H6957" i="2"/>
  <c r="J6956" i="2"/>
  <c r="H6956" i="2"/>
  <c r="J6955" i="2"/>
  <c r="H6955" i="2"/>
  <c r="J6954" i="2"/>
  <c r="H6954" i="2"/>
  <c r="J6953" i="2"/>
  <c r="H6953" i="2"/>
  <c r="J6952" i="2"/>
  <c r="H6952" i="2"/>
  <c r="J6951" i="2"/>
  <c r="H6951" i="2"/>
  <c r="J6950" i="2"/>
  <c r="H6950" i="2"/>
  <c r="J6949" i="2"/>
  <c r="H6949" i="2"/>
  <c r="J6948" i="2"/>
  <c r="H6948" i="2"/>
  <c r="J6947" i="2"/>
  <c r="H6947" i="2"/>
  <c r="J6946" i="2"/>
  <c r="H6946" i="2"/>
  <c r="J6945" i="2"/>
  <c r="H6945" i="2"/>
  <c r="J6944" i="2"/>
  <c r="H6944" i="2"/>
  <c r="J6943" i="2"/>
  <c r="H6943" i="2"/>
  <c r="J6942" i="2"/>
  <c r="H6942" i="2"/>
  <c r="J6941" i="2"/>
  <c r="H6941" i="2"/>
  <c r="J6940" i="2"/>
  <c r="H6940" i="2"/>
  <c r="J6939" i="2"/>
  <c r="H6939" i="2"/>
  <c r="J6938" i="2"/>
  <c r="H6938" i="2"/>
  <c r="J6937" i="2"/>
  <c r="H6937" i="2"/>
  <c r="J6936" i="2"/>
  <c r="H6936" i="2"/>
  <c r="J6935" i="2"/>
  <c r="H6935" i="2"/>
  <c r="J6934" i="2"/>
  <c r="H6934" i="2"/>
  <c r="J6933" i="2"/>
  <c r="H6933" i="2"/>
  <c r="J6932" i="2"/>
  <c r="H6932" i="2"/>
  <c r="J6931" i="2"/>
  <c r="H6931" i="2"/>
  <c r="J6930" i="2"/>
  <c r="H6930" i="2"/>
  <c r="J6929" i="2"/>
  <c r="H6929" i="2"/>
  <c r="J6928" i="2"/>
  <c r="H6928" i="2"/>
  <c r="J6927" i="2"/>
  <c r="H6927" i="2"/>
  <c r="J6926" i="2"/>
  <c r="H6926" i="2"/>
  <c r="J6925" i="2"/>
  <c r="H6925" i="2"/>
  <c r="J6924" i="2"/>
  <c r="H6924" i="2"/>
  <c r="J6923" i="2"/>
  <c r="H6923" i="2"/>
  <c r="J6922" i="2"/>
  <c r="H6922" i="2"/>
  <c r="J6921" i="2"/>
  <c r="H6921" i="2"/>
  <c r="J6920" i="2"/>
  <c r="H6920" i="2"/>
  <c r="J6919" i="2"/>
  <c r="H6919" i="2"/>
  <c r="J6918" i="2"/>
  <c r="H6918" i="2"/>
  <c r="J6917" i="2"/>
  <c r="H6917" i="2"/>
  <c r="J6916" i="2"/>
  <c r="H6916" i="2"/>
  <c r="J6915" i="2"/>
  <c r="H6915" i="2"/>
  <c r="J6914" i="2"/>
  <c r="H6914" i="2"/>
  <c r="J6913" i="2"/>
  <c r="H6913" i="2"/>
  <c r="J6912" i="2"/>
  <c r="H6912" i="2"/>
  <c r="J6911" i="2"/>
  <c r="H6911" i="2"/>
  <c r="J6910" i="2"/>
  <c r="H6910" i="2"/>
  <c r="J6909" i="2"/>
  <c r="H6909" i="2"/>
  <c r="J6908" i="2"/>
  <c r="H6908" i="2"/>
  <c r="J6907" i="2"/>
  <c r="H6907" i="2"/>
  <c r="J6906" i="2"/>
  <c r="H6906" i="2"/>
  <c r="J6905" i="2"/>
  <c r="H6905" i="2"/>
  <c r="J6904" i="2"/>
  <c r="H6904" i="2"/>
  <c r="J6903" i="2"/>
  <c r="H6903" i="2"/>
  <c r="J6902" i="2"/>
  <c r="H6902" i="2"/>
  <c r="J6901" i="2"/>
  <c r="H6901" i="2"/>
  <c r="J6900" i="2"/>
  <c r="H6900" i="2"/>
  <c r="J6899" i="2"/>
  <c r="H6899" i="2"/>
  <c r="J6898" i="2"/>
  <c r="H6898" i="2"/>
  <c r="J6897" i="2"/>
  <c r="H6897" i="2"/>
  <c r="J6896" i="2"/>
  <c r="H6896" i="2"/>
  <c r="J6895" i="2"/>
  <c r="H6895" i="2"/>
  <c r="J6894" i="2"/>
  <c r="H6894" i="2"/>
  <c r="J6893" i="2"/>
  <c r="H6893" i="2"/>
  <c r="J6892" i="2"/>
  <c r="H6892" i="2"/>
  <c r="J6891" i="2"/>
  <c r="H6891" i="2"/>
  <c r="J6890" i="2"/>
  <c r="H6890" i="2"/>
  <c r="J6889" i="2"/>
  <c r="H6889" i="2"/>
  <c r="J6888" i="2"/>
  <c r="H6888" i="2"/>
  <c r="J6887" i="2"/>
  <c r="H6887" i="2"/>
  <c r="J6886" i="2"/>
  <c r="H6886" i="2"/>
  <c r="J6885" i="2"/>
  <c r="H6885" i="2"/>
  <c r="J6884" i="2"/>
  <c r="H6884" i="2"/>
  <c r="J6883" i="2"/>
  <c r="H6883" i="2"/>
  <c r="J6882" i="2"/>
  <c r="H6882" i="2"/>
  <c r="J6881" i="2"/>
  <c r="H6881" i="2"/>
  <c r="J6880" i="2"/>
  <c r="H6880" i="2"/>
  <c r="J6879" i="2"/>
  <c r="H6879" i="2"/>
  <c r="J6878" i="2"/>
  <c r="H6878" i="2"/>
  <c r="J6877" i="2"/>
  <c r="H6877" i="2"/>
  <c r="J6876" i="2"/>
  <c r="H6876" i="2"/>
  <c r="J6875" i="2"/>
  <c r="H6875" i="2"/>
  <c r="J6874" i="2"/>
  <c r="H6874" i="2"/>
  <c r="J6873" i="2"/>
  <c r="H6873" i="2"/>
  <c r="J6872" i="2"/>
  <c r="H6872" i="2"/>
  <c r="J6871" i="2"/>
  <c r="H6871" i="2"/>
  <c r="J6870" i="2"/>
  <c r="H6870" i="2"/>
  <c r="J6869" i="2"/>
  <c r="H6869" i="2"/>
  <c r="J6868" i="2"/>
  <c r="H6868" i="2"/>
  <c r="J6867" i="2"/>
  <c r="H6867" i="2"/>
  <c r="J6866" i="2"/>
  <c r="H6866" i="2"/>
  <c r="J6865" i="2"/>
  <c r="H6865" i="2"/>
  <c r="J6864" i="2"/>
  <c r="H6864" i="2"/>
  <c r="J6863" i="2"/>
  <c r="H6863" i="2"/>
  <c r="J6862" i="2"/>
  <c r="H6862" i="2"/>
  <c r="J6861" i="2"/>
  <c r="H6861" i="2"/>
  <c r="J6860" i="2"/>
  <c r="H6860" i="2"/>
  <c r="J6859" i="2"/>
  <c r="H6859" i="2"/>
  <c r="J6858" i="2"/>
  <c r="H6858" i="2"/>
  <c r="J6857" i="2"/>
  <c r="H6857" i="2"/>
  <c r="J6856" i="2"/>
  <c r="H6856" i="2"/>
  <c r="J6855" i="2"/>
  <c r="H6855" i="2"/>
  <c r="J6854" i="2"/>
  <c r="H6854" i="2"/>
  <c r="J6853" i="2"/>
  <c r="H6853" i="2"/>
  <c r="J6852" i="2"/>
  <c r="H6852" i="2"/>
  <c r="J6851" i="2"/>
  <c r="H6851" i="2"/>
  <c r="J6850" i="2"/>
  <c r="H6850" i="2"/>
  <c r="J6849" i="2"/>
  <c r="H6849" i="2"/>
  <c r="J6848" i="2"/>
  <c r="H6848" i="2"/>
  <c r="J6847" i="2"/>
  <c r="H6847" i="2"/>
  <c r="J6846" i="2"/>
  <c r="H6846" i="2"/>
  <c r="J6845" i="2"/>
  <c r="H6845" i="2"/>
  <c r="J6844" i="2"/>
  <c r="H6844" i="2"/>
  <c r="J6843" i="2"/>
  <c r="H6843" i="2"/>
  <c r="J6842" i="2"/>
  <c r="H6842" i="2"/>
  <c r="J6841" i="2"/>
  <c r="H6841" i="2"/>
  <c r="J6840" i="2"/>
  <c r="H6840" i="2"/>
  <c r="J6839" i="2"/>
  <c r="H6839" i="2"/>
  <c r="J6838" i="2"/>
  <c r="H6838" i="2"/>
  <c r="J6837" i="2"/>
  <c r="H6837" i="2"/>
  <c r="J6836" i="2"/>
  <c r="H6836" i="2"/>
  <c r="J6835" i="2"/>
  <c r="H6835" i="2"/>
  <c r="J6834" i="2"/>
  <c r="H6834" i="2"/>
  <c r="J6833" i="2"/>
  <c r="H6833" i="2"/>
  <c r="J6832" i="2"/>
  <c r="H6832" i="2"/>
  <c r="J6831" i="2"/>
  <c r="H6831" i="2"/>
  <c r="J6830" i="2"/>
  <c r="H6830" i="2"/>
  <c r="J6829" i="2"/>
  <c r="H6829" i="2"/>
  <c r="J6828" i="2"/>
  <c r="H6828" i="2"/>
  <c r="J6827" i="2"/>
  <c r="H6827" i="2"/>
  <c r="J6826" i="2"/>
  <c r="H6826" i="2"/>
  <c r="J6825" i="2"/>
  <c r="H6825" i="2"/>
  <c r="J6824" i="2"/>
  <c r="H6824" i="2"/>
  <c r="J6823" i="2"/>
  <c r="H6823" i="2"/>
  <c r="J6822" i="2"/>
  <c r="H6822" i="2"/>
  <c r="J6821" i="2"/>
  <c r="H6821" i="2"/>
  <c r="J6820" i="2"/>
  <c r="H6820" i="2"/>
  <c r="J6819" i="2"/>
  <c r="H6819" i="2"/>
  <c r="J6818" i="2"/>
  <c r="H6818" i="2"/>
  <c r="J6817" i="2"/>
  <c r="H6817" i="2"/>
  <c r="J6816" i="2"/>
  <c r="H6816" i="2"/>
  <c r="J6815" i="2"/>
  <c r="H6815" i="2"/>
  <c r="J6814" i="2"/>
  <c r="H6814" i="2"/>
  <c r="J6813" i="2"/>
  <c r="H6813" i="2"/>
  <c r="J6812" i="2"/>
  <c r="H6812" i="2"/>
  <c r="J6811" i="2"/>
  <c r="H6811" i="2"/>
  <c r="J6810" i="2"/>
  <c r="H6810" i="2"/>
  <c r="J6809" i="2"/>
  <c r="H6809" i="2"/>
  <c r="J6808" i="2"/>
  <c r="H6808" i="2"/>
  <c r="J6807" i="2"/>
  <c r="H6807" i="2"/>
  <c r="J6806" i="2"/>
  <c r="H6806" i="2"/>
  <c r="J6805" i="2"/>
  <c r="H6805" i="2"/>
  <c r="J6804" i="2"/>
  <c r="H6804" i="2"/>
  <c r="J6803" i="2"/>
  <c r="H6803" i="2"/>
  <c r="J6802" i="2"/>
  <c r="H6802" i="2"/>
  <c r="J6801" i="2"/>
  <c r="H6801" i="2"/>
  <c r="J6800" i="2"/>
  <c r="H6800" i="2"/>
  <c r="J6799" i="2"/>
  <c r="H6799" i="2"/>
  <c r="J6798" i="2"/>
  <c r="H6798" i="2"/>
  <c r="J6797" i="2"/>
  <c r="H6797" i="2"/>
  <c r="J6796" i="2"/>
  <c r="H6796" i="2"/>
  <c r="J6795" i="2"/>
  <c r="H6795" i="2"/>
  <c r="J6794" i="2"/>
  <c r="H6794" i="2"/>
  <c r="J6793" i="2"/>
  <c r="H6793" i="2"/>
  <c r="J6792" i="2"/>
  <c r="H6792" i="2"/>
  <c r="J6791" i="2"/>
  <c r="H6791" i="2"/>
  <c r="J6790" i="2"/>
  <c r="H6790" i="2"/>
  <c r="J6789" i="2"/>
  <c r="H6789" i="2"/>
  <c r="J6788" i="2"/>
  <c r="H6788" i="2"/>
  <c r="J6787" i="2"/>
  <c r="H6787" i="2"/>
  <c r="J6786" i="2"/>
  <c r="H6786" i="2"/>
  <c r="J6785" i="2"/>
  <c r="H6785" i="2"/>
  <c r="J6784" i="2"/>
  <c r="H6784" i="2"/>
  <c r="J6783" i="2"/>
  <c r="H6783" i="2"/>
  <c r="J6782" i="2"/>
  <c r="H6782" i="2"/>
  <c r="J6781" i="2"/>
  <c r="H6781" i="2"/>
  <c r="J6780" i="2"/>
  <c r="H6780" i="2"/>
  <c r="J6779" i="2"/>
  <c r="H6779" i="2"/>
  <c r="J6778" i="2"/>
  <c r="H6778" i="2"/>
  <c r="J6777" i="2"/>
  <c r="H6777" i="2"/>
  <c r="J6776" i="2"/>
  <c r="H6776" i="2"/>
  <c r="J6775" i="2"/>
  <c r="H6775" i="2"/>
  <c r="J6774" i="2"/>
  <c r="H6774" i="2"/>
  <c r="J6773" i="2"/>
  <c r="H6773" i="2"/>
  <c r="J6772" i="2"/>
  <c r="H6772" i="2"/>
  <c r="J6771" i="2"/>
  <c r="H6771" i="2"/>
  <c r="J6770" i="2"/>
  <c r="H6770" i="2"/>
  <c r="J6769" i="2"/>
  <c r="H6769" i="2"/>
  <c r="J6768" i="2"/>
  <c r="H6768" i="2"/>
  <c r="J6767" i="2"/>
  <c r="H6767" i="2"/>
  <c r="J6766" i="2"/>
  <c r="H6766" i="2"/>
  <c r="J6765" i="2"/>
  <c r="H6765" i="2"/>
  <c r="J6764" i="2"/>
  <c r="H6764" i="2"/>
  <c r="J6763" i="2"/>
  <c r="H6763" i="2"/>
  <c r="J6762" i="2"/>
  <c r="H6762" i="2"/>
  <c r="J6761" i="2"/>
  <c r="H6761" i="2"/>
  <c r="J6760" i="2"/>
  <c r="H6760" i="2"/>
  <c r="J6759" i="2"/>
  <c r="H6759" i="2"/>
  <c r="J6758" i="2"/>
  <c r="H6758" i="2"/>
  <c r="J6757" i="2"/>
  <c r="H6757" i="2"/>
  <c r="J6756" i="2"/>
  <c r="H6756" i="2"/>
  <c r="J6755" i="2"/>
  <c r="H6755" i="2"/>
  <c r="J6754" i="2"/>
  <c r="H6754" i="2"/>
  <c r="J6753" i="2"/>
  <c r="H6753" i="2"/>
  <c r="J6752" i="2"/>
  <c r="H6752" i="2"/>
  <c r="J6751" i="2"/>
  <c r="H6751" i="2"/>
  <c r="J6750" i="2"/>
  <c r="H6750" i="2"/>
  <c r="J6749" i="2"/>
  <c r="H6749" i="2"/>
  <c r="J6748" i="2"/>
  <c r="H6748" i="2"/>
  <c r="J6747" i="2"/>
  <c r="H6747" i="2"/>
  <c r="J6746" i="2"/>
  <c r="H6746" i="2"/>
  <c r="J6745" i="2"/>
  <c r="H6745" i="2"/>
  <c r="J6744" i="2"/>
  <c r="H6744" i="2"/>
  <c r="J6743" i="2"/>
  <c r="H6743" i="2"/>
  <c r="J6742" i="2"/>
  <c r="H6742" i="2"/>
  <c r="J6741" i="2"/>
  <c r="H6741" i="2"/>
  <c r="J6740" i="2"/>
  <c r="H6740" i="2"/>
  <c r="J6739" i="2"/>
  <c r="H6739" i="2"/>
  <c r="J6738" i="2"/>
  <c r="H6738" i="2"/>
  <c r="J6737" i="2"/>
  <c r="H6737" i="2"/>
  <c r="J6736" i="2"/>
  <c r="H6736" i="2"/>
  <c r="J6735" i="2"/>
  <c r="H6735" i="2"/>
  <c r="J6734" i="2"/>
  <c r="H6734" i="2"/>
  <c r="J6733" i="2"/>
  <c r="H6733" i="2"/>
  <c r="J6732" i="2"/>
  <c r="H6732" i="2"/>
  <c r="J6731" i="2"/>
  <c r="H6731" i="2"/>
  <c r="J6730" i="2"/>
  <c r="H6730" i="2"/>
  <c r="J6729" i="2"/>
  <c r="H6729" i="2"/>
  <c r="J6728" i="2"/>
  <c r="H6728" i="2"/>
  <c r="J6727" i="2"/>
  <c r="H6727" i="2"/>
  <c r="J6726" i="2"/>
  <c r="H6726" i="2"/>
  <c r="J6725" i="2"/>
  <c r="H6725" i="2"/>
  <c r="J6724" i="2"/>
  <c r="H6724" i="2"/>
  <c r="J6723" i="2"/>
  <c r="H6723" i="2"/>
  <c r="J6722" i="2"/>
  <c r="H6722" i="2"/>
  <c r="J6721" i="2"/>
  <c r="H6721" i="2"/>
  <c r="J6720" i="2"/>
  <c r="H6720" i="2"/>
  <c r="J6719" i="2"/>
  <c r="H6719" i="2"/>
  <c r="J6718" i="2"/>
  <c r="H6718" i="2"/>
  <c r="J6717" i="2"/>
  <c r="H6717" i="2"/>
  <c r="J6716" i="2"/>
  <c r="H6716" i="2"/>
  <c r="J6715" i="2"/>
  <c r="H6715" i="2"/>
  <c r="J6714" i="2"/>
  <c r="H6714" i="2"/>
  <c r="J6713" i="2"/>
  <c r="H6713" i="2"/>
  <c r="J6712" i="2"/>
  <c r="H6712" i="2"/>
  <c r="J6711" i="2"/>
  <c r="H6711" i="2"/>
  <c r="J6710" i="2"/>
  <c r="H6710" i="2"/>
  <c r="J6709" i="2"/>
  <c r="H6709" i="2"/>
  <c r="J6708" i="2"/>
  <c r="H6708" i="2"/>
  <c r="J6707" i="2"/>
  <c r="H6707" i="2"/>
  <c r="J6706" i="2"/>
  <c r="H6706" i="2"/>
  <c r="J6705" i="2"/>
  <c r="H6705" i="2"/>
  <c r="J6704" i="2"/>
  <c r="H6704" i="2"/>
  <c r="J6703" i="2"/>
  <c r="H6703" i="2"/>
  <c r="J6702" i="2"/>
  <c r="H6702" i="2"/>
  <c r="J6701" i="2"/>
  <c r="H6701" i="2"/>
  <c r="J6700" i="2"/>
  <c r="H6700" i="2"/>
  <c r="J6699" i="2"/>
  <c r="H6699" i="2"/>
  <c r="J6698" i="2"/>
  <c r="H6698" i="2"/>
  <c r="J6697" i="2"/>
  <c r="H6697" i="2"/>
  <c r="J6696" i="2"/>
  <c r="H6696" i="2"/>
  <c r="J6695" i="2"/>
  <c r="H6695" i="2"/>
  <c r="J6694" i="2"/>
  <c r="H6694" i="2"/>
  <c r="J6693" i="2"/>
  <c r="H6693" i="2"/>
  <c r="J6692" i="2"/>
  <c r="H6692" i="2"/>
  <c r="J6691" i="2"/>
  <c r="H6691" i="2"/>
  <c r="J6690" i="2"/>
  <c r="H6690" i="2"/>
  <c r="J6689" i="2"/>
  <c r="H6689" i="2"/>
  <c r="J6688" i="2"/>
  <c r="H6688" i="2"/>
  <c r="J6687" i="2"/>
  <c r="H6687" i="2"/>
  <c r="J6686" i="2"/>
  <c r="H6686" i="2"/>
  <c r="J6685" i="2"/>
  <c r="H6685" i="2"/>
  <c r="J6684" i="2"/>
  <c r="H6684" i="2"/>
  <c r="J6683" i="2"/>
  <c r="H6683" i="2"/>
  <c r="J6682" i="2"/>
  <c r="H6682" i="2"/>
  <c r="J6681" i="2"/>
  <c r="H6681" i="2"/>
  <c r="J6680" i="2"/>
  <c r="H6680" i="2"/>
  <c r="J6679" i="2"/>
  <c r="H6679" i="2"/>
  <c r="J6678" i="2"/>
  <c r="H6678" i="2"/>
  <c r="J6677" i="2"/>
  <c r="H6677" i="2"/>
  <c r="J6676" i="2"/>
  <c r="H6676" i="2"/>
  <c r="J6675" i="2"/>
  <c r="H6675" i="2"/>
  <c r="J6674" i="2"/>
  <c r="H6674" i="2"/>
  <c r="J6673" i="2"/>
  <c r="H6673" i="2"/>
  <c r="J6672" i="2"/>
  <c r="H6672" i="2"/>
  <c r="J6671" i="2"/>
  <c r="H6671" i="2"/>
  <c r="J6670" i="2"/>
  <c r="H6670" i="2"/>
  <c r="J6669" i="2"/>
  <c r="H6669" i="2"/>
  <c r="J6668" i="2"/>
  <c r="H6668" i="2"/>
  <c r="J6667" i="2"/>
  <c r="H6667" i="2"/>
  <c r="J6666" i="2"/>
  <c r="H6666" i="2"/>
  <c r="J6665" i="2"/>
  <c r="H6665" i="2"/>
  <c r="J6664" i="2"/>
  <c r="H6664" i="2"/>
  <c r="J6663" i="2"/>
  <c r="H6663" i="2"/>
  <c r="J6662" i="2"/>
  <c r="H6662" i="2"/>
  <c r="J6661" i="2"/>
  <c r="H6661" i="2"/>
  <c r="J6660" i="2"/>
  <c r="H6660" i="2"/>
  <c r="J6659" i="2"/>
  <c r="H6659" i="2"/>
  <c r="J6658" i="2"/>
  <c r="H6658" i="2"/>
  <c r="J6657" i="2"/>
  <c r="H6657" i="2"/>
  <c r="J6656" i="2"/>
  <c r="H6656" i="2"/>
  <c r="J6655" i="2"/>
  <c r="H6655" i="2"/>
  <c r="J6654" i="2"/>
  <c r="H6654" i="2"/>
  <c r="J6653" i="2"/>
  <c r="H6653" i="2"/>
  <c r="J6652" i="2"/>
  <c r="H6652" i="2"/>
  <c r="J6651" i="2"/>
  <c r="H6651" i="2"/>
  <c r="J6650" i="2"/>
  <c r="H6650" i="2"/>
  <c r="J6649" i="2"/>
  <c r="H6649" i="2"/>
  <c r="J6648" i="2"/>
  <c r="H6648" i="2"/>
  <c r="J6647" i="2"/>
  <c r="H6647" i="2"/>
  <c r="J6646" i="2"/>
  <c r="H6646" i="2"/>
  <c r="J6645" i="2"/>
  <c r="H6645" i="2"/>
  <c r="J6644" i="2"/>
  <c r="H6644" i="2"/>
  <c r="J6643" i="2"/>
  <c r="H6643" i="2"/>
  <c r="J6642" i="2"/>
  <c r="H6642" i="2"/>
  <c r="J6641" i="2"/>
  <c r="H6641" i="2"/>
  <c r="J6640" i="2"/>
  <c r="H6640" i="2"/>
  <c r="J6639" i="2"/>
  <c r="H6639" i="2"/>
  <c r="J6638" i="2"/>
  <c r="H6638" i="2"/>
  <c r="J6637" i="2"/>
  <c r="H6637" i="2"/>
  <c r="J6636" i="2"/>
  <c r="H6636" i="2"/>
  <c r="J6635" i="2"/>
  <c r="H6635" i="2"/>
  <c r="J6634" i="2"/>
  <c r="H6634" i="2"/>
  <c r="J6633" i="2"/>
  <c r="H6633" i="2"/>
  <c r="J6632" i="2"/>
  <c r="H6632" i="2"/>
  <c r="J6631" i="2"/>
  <c r="H6631" i="2"/>
  <c r="J6630" i="2"/>
  <c r="H6630" i="2"/>
  <c r="J6629" i="2"/>
  <c r="H6629" i="2"/>
  <c r="J6628" i="2"/>
  <c r="H6628" i="2"/>
  <c r="J6627" i="2"/>
  <c r="H6627" i="2"/>
  <c r="J6626" i="2"/>
  <c r="H6626" i="2"/>
  <c r="J6625" i="2"/>
  <c r="H6625" i="2"/>
  <c r="J6624" i="2"/>
  <c r="H6624" i="2"/>
  <c r="J6623" i="2"/>
  <c r="H6623" i="2"/>
  <c r="J6622" i="2"/>
  <c r="H6622" i="2"/>
  <c r="J6621" i="2"/>
  <c r="H6621" i="2"/>
  <c r="J6620" i="2"/>
  <c r="H6620" i="2"/>
  <c r="J6619" i="2"/>
  <c r="H6619" i="2"/>
  <c r="J6618" i="2"/>
  <c r="H6618" i="2"/>
  <c r="J6617" i="2"/>
  <c r="H6617" i="2"/>
  <c r="J6616" i="2"/>
  <c r="H6616" i="2"/>
  <c r="J6615" i="2"/>
  <c r="H6615" i="2"/>
  <c r="J6614" i="2"/>
  <c r="H6614" i="2"/>
  <c r="J6613" i="2"/>
  <c r="H6613" i="2"/>
  <c r="J6612" i="2"/>
  <c r="H6612" i="2"/>
  <c r="J6611" i="2"/>
  <c r="H6611" i="2"/>
  <c r="J6610" i="2"/>
  <c r="H6610" i="2"/>
  <c r="J6609" i="2"/>
  <c r="H6609" i="2"/>
  <c r="J6608" i="2"/>
  <c r="H6608" i="2"/>
  <c r="J6607" i="2"/>
  <c r="H6607" i="2"/>
  <c r="J6606" i="2"/>
  <c r="H6606" i="2"/>
  <c r="J6605" i="2"/>
  <c r="H6605" i="2"/>
  <c r="J6604" i="2"/>
  <c r="H6604" i="2"/>
  <c r="J6603" i="2"/>
  <c r="H6603" i="2"/>
  <c r="J6602" i="2"/>
  <c r="H6602" i="2"/>
  <c r="J6601" i="2"/>
  <c r="H6601" i="2"/>
  <c r="J6600" i="2"/>
  <c r="H6600" i="2"/>
  <c r="J6599" i="2"/>
  <c r="H6599" i="2"/>
  <c r="J6598" i="2"/>
  <c r="H6598" i="2"/>
  <c r="J6597" i="2"/>
  <c r="H6597" i="2"/>
  <c r="J6596" i="2"/>
  <c r="H6596" i="2"/>
  <c r="J6595" i="2"/>
  <c r="H6595" i="2"/>
  <c r="J6594" i="2"/>
  <c r="H6594" i="2"/>
  <c r="J6593" i="2"/>
  <c r="H6593" i="2"/>
  <c r="J6592" i="2"/>
  <c r="H6592" i="2"/>
  <c r="J6591" i="2"/>
  <c r="H6591" i="2"/>
  <c r="J6590" i="2"/>
  <c r="H6590" i="2"/>
  <c r="J6589" i="2"/>
  <c r="H6589" i="2"/>
  <c r="J6588" i="2"/>
  <c r="H6588" i="2"/>
  <c r="J6587" i="2"/>
  <c r="H6587" i="2"/>
  <c r="J6586" i="2"/>
  <c r="H6586" i="2"/>
  <c r="J6585" i="2"/>
  <c r="H6585" i="2"/>
  <c r="J6584" i="2"/>
  <c r="H6584" i="2"/>
  <c r="J6583" i="2"/>
  <c r="H6583" i="2"/>
  <c r="J6582" i="2"/>
  <c r="H6582" i="2"/>
  <c r="J6581" i="2"/>
  <c r="H6581" i="2"/>
  <c r="J6580" i="2"/>
  <c r="H6580" i="2"/>
  <c r="J6579" i="2"/>
  <c r="H6579" i="2"/>
  <c r="J6578" i="2"/>
  <c r="H6578" i="2"/>
  <c r="J6577" i="2"/>
  <c r="H6577" i="2"/>
  <c r="J6576" i="2"/>
  <c r="H6576" i="2"/>
  <c r="J6575" i="2"/>
  <c r="H6575" i="2"/>
  <c r="J6574" i="2"/>
  <c r="H6574" i="2"/>
  <c r="J6573" i="2"/>
  <c r="H6573" i="2"/>
  <c r="J6572" i="2"/>
  <c r="H6572" i="2"/>
  <c r="J6571" i="2"/>
  <c r="H6571" i="2"/>
  <c r="J6570" i="2"/>
  <c r="H6570" i="2"/>
  <c r="J6569" i="2"/>
  <c r="H6569" i="2"/>
  <c r="J6568" i="2"/>
  <c r="H6568" i="2"/>
  <c r="J6567" i="2"/>
  <c r="H6567" i="2"/>
  <c r="J6566" i="2"/>
  <c r="H6566" i="2"/>
  <c r="J6565" i="2"/>
  <c r="H6565" i="2"/>
  <c r="J6564" i="2"/>
  <c r="H6564" i="2"/>
  <c r="J6563" i="2"/>
  <c r="H6563" i="2"/>
  <c r="J6562" i="2"/>
  <c r="H6562" i="2"/>
  <c r="J6561" i="2"/>
  <c r="H6561" i="2"/>
  <c r="J6560" i="2"/>
  <c r="H6560" i="2"/>
  <c r="J6559" i="2"/>
  <c r="H6559" i="2"/>
  <c r="J6558" i="2"/>
  <c r="H6558" i="2"/>
  <c r="J6557" i="2"/>
  <c r="H6557" i="2"/>
  <c r="J6556" i="2"/>
  <c r="H6556" i="2"/>
  <c r="J6555" i="2"/>
  <c r="H6555" i="2"/>
  <c r="J6554" i="2"/>
  <c r="H6554" i="2"/>
  <c r="J6553" i="2"/>
  <c r="H6553" i="2"/>
  <c r="J6552" i="2"/>
  <c r="H6552" i="2"/>
  <c r="J6551" i="2"/>
  <c r="H6551" i="2"/>
  <c r="J6550" i="2"/>
  <c r="H6550" i="2"/>
  <c r="J6549" i="2"/>
  <c r="H6549" i="2"/>
  <c r="J6548" i="2"/>
  <c r="H6548" i="2"/>
  <c r="J6547" i="2"/>
  <c r="H6547" i="2"/>
  <c r="J6546" i="2"/>
  <c r="H6546" i="2"/>
  <c r="J6545" i="2"/>
  <c r="H6545" i="2"/>
  <c r="J6544" i="2"/>
  <c r="H6544" i="2"/>
  <c r="J6543" i="2"/>
  <c r="H6543" i="2"/>
  <c r="J6542" i="2"/>
  <c r="H6542" i="2"/>
  <c r="J6541" i="2"/>
  <c r="H6541" i="2"/>
  <c r="J6540" i="2"/>
  <c r="H6540" i="2"/>
  <c r="J6539" i="2"/>
  <c r="H6539" i="2"/>
  <c r="J6538" i="2"/>
  <c r="H6538" i="2"/>
  <c r="J6537" i="2"/>
  <c r="H6537" i="2"/>
  <c r="J6536" i="2"/>
  <c r="H6536" i="2"/>
  <c r="J6535" i="2"/>
  <c r="H6535" i="2"/>
  <c r="J6534" i="2"/>
  <c r="H6534" i="2"/>
  <c r="J6533" i="2"/>
  <c r="H6533" i="2"/>
  <c r="J6532" i="2"/>
  <c r="H6532" i="2"/>
  <c r="J6531" i="2"/>
  <c r="H6531" i="2"/>
  <c r="J6530" i="2"/>
  <c r="H6530" i="2"/>
  <c r="J6529" i="2"/>
  <c r="H6529" i="2"/>
  <c r="J6528" i="2"/>
  <c r="H6528" i="2"/>
  <c r="J6527" i="2"/>
  <c r="H6527" i="2"/>
  <c r="J6526" i="2"/>
  <c r="H6526" i="2"/>
  <c r="J6525" i="2"/>
  <c r="H6525" i="2"/>
  <c r="J6524" i="2"/>
  <c r="H6524" i="2"/>
  <c r="J6523" i="2"/>
  <c r="H6523" i="2"/>
  <c r="J6522" i="2"/>
  <c r="H6522" i="2"/>
  <c r="J6521" i="2"/>
  <c r="H6521" i="2"/>
  <c r="J6520" i="2"/>
  <c r="H6520" i="2"/>
  <c r="J6519" i="2"/>
  <c r="H6519" i="2"/>
  <c r="J6518" i="2"/>
  <c r="H6518" i="2"/>
  <c r="J6517" i="2"/>
  <c r="H6517" i="2"/>
  <c r="J6516" i="2"/>
  <c r="H6516" i="2"/>
  <c r="J6515" i="2"/>
  <c r="H6515" i="2"/>
  <c r="J6514" i="2"/>
  <c r="H6514" i="2"/>
  <c r="J6513" i="2"/>
  <c r="H6513" i="2"/>
  <c r="J6512" i="2"/>
  <c r="H6512" i="2"/>
  <c r="J6511" i="2"/>
  <c r="H6511" i="2"/>
  <c r="J6510" i="2"/>
  <c r="H6510" i="2"/>
  <c r="J6509" i="2"/>
  <c r="H6509" i="2"/>
  <c r="J6508" i="2"/>
  <c r="H6508" i="2"/>
  <c r="J6507" i="2"/>
  <c r="H6507" i="2"/>
  <c r="J6506" i="2"/>
  <c r="H6506" i="2"/>
  <c r="J6505" i="2"/>
  <c r="H6505" i="2"/>
  <c r="J6504" i="2"/>
  <c r="H6504" i="2"/>
  <c r="J6503" i="2"/>
  <c r="H6503" i="2"/>
  <c r="J6502" i="2"/>
  <c r="H6502" i="2"/>
  <c r="J6501" i="2"/>
  <c r="H6501" i="2"/>
  <c r="J6500" i="2"/>
  <c r="H6500" i="2"/>
  <c r="J6499" i="2"/>
  <c r="H6499" i="2"/>
  <c r="J6498" i="2"/>
  <c r="H6498" i="2"/>
  <c r="J6497" i="2"/>
  <c r="H6497" i="2"/>
  <c r="J6496" i="2"/>
  <c r="H6496" i="2"/>
  <c r="J6495" i="2"/>
  <c r="H6495" i="2"/>
  <c r="J6494" i="2"/>
  <c r="H6494" i="2"/>
  <c r="J6493" i="2"/>
  <c r="H6493" i="2"/>
  <c r="J6492" i="2"/>
  <c r="H6492" i="2"/>
  <c r="J6491" i="2"/>
  <c r="H6491" i="2"/>
  <c r="J6490" i="2"/>
  <c r="H6490" i="2"/>
  <c r="J6489" i="2"/>
  <c r="H6489" i="2"/>
  <c r="J6488" i="2"/>
  <c r="H6488" i="2"/>
  <c r="J6487" i="2"/>
  <c r="H6487" i="2"/>
  <c r="J6486" i="2"/>
  <c r="H6486" i="2"/>
  <c r="J6485" i="2"/>
  <c r="H6485" i="2"/>
  <c r="J6484" i="2"/>
  <c r="H6484" i="2"/>
  <c r="J6483" i="2"/>
  <c r="H6483" i="2"/>
  <c r="J6482" i="2"/>
  <c r="H6482" i="2"/>
  <c r="J6481" i="2"/>
  <c r="H6481" i="2"/>
  <c r="J6480" i="2"/>
  <c r="H6480" i="2"/>
  <c r="J6479" i="2"/>
  <c r="H6479" i="2"/>
  <c r="J6478" i="2"/>
  <c r="H6478" i="2"/>
  <c r="J6477" i="2"/>
  <c r="H6477" i="2"/>
  <c r="J6476" i="2"/>
  <c r="H6476" i="2"/>
  <c r="J6475" i="2"/>
  <c r="H6475" i="2"/>
  <c r="J6474" i="2"/>
  <c r="H6474" i="2"/>
  <c r="J6473" i="2"/>
  <c r="H6473" i="2"/>
  <c r="J6472" i="2"/>
  <c r="H6472" i="2"/>
  <c r="J6471" i="2"/>
  <c r="H6471" i="2"/>
  <c r="J6470" i="2"/>
  <c r="H6470" i="2"/>
  <c r="J6469" i="2"/>
  <c r="H6469" i="2"/>
  <c r="J6468" i="2"/>
  <c r="H6468" i="2"/>
  <c r="J6467" i="2"/>
  <c r="H6467" i="2"/>
  <c r="J6466" i="2"/>
  <c r="H6466" i="2"/>
  <c r="J6465" i="2"/>
  <c r="H6465" i="2"/>
  <c r="J6464" i="2"/>
  <c r="H6464" i="2"/>
  <c r="J6463" i="2"/>
  <c r="H6463" i="2"/>
  <c r="J6462" i="2"/>
  <c r="H6462" i="2"/>
  <c r="J6461" i="2"/>
  <c r="H6461" i="2"/>
  <c r="J6460" i="2"/>
  <c r="H6460" i="2"/>
  <c r="J6459" i="2"/>
  <c r="H6459" i="2"/>
  <c r="J6458" i="2"/>
  <c r="H6458" i="2"/>
  <c r="J6457" i="2"/>
  <c r="H6457" i="2"/>
  <c r="J6456" i="2"/>
  <c r="H6456" i="2"/>
  <c r="J6455" i="2"/>
  <c r="H6455" i="2"/>
  <c r="J6454" i="2"/>
  <c r="H6454" i="2"/>
  <c r="J6453" i="2"/>
  <c r="H6453" i="2"/>
  <c r="J6452" i="2"/>
  <c r="H6452" i="2"/>
  <c r="J6451" i="2"/>
  <c r="H6451" i="2"/>
  <c r="J6450" i="2"/>
  <c r="H6450" i="2"/>
  <c r="J6449" i="2"/>
  <c r="H6449" i="2"/>
  <c r="J6448" i="2"/>
  <c r="H6448" i="2"/>
  <c r="J6447" i="2"/>
  <c r="H6447" i="2"/>
  <c r="J6446" i="2"/>
  <c r="H6446" i="2"/>
  <c r="J6445" i="2"/>
  <c r="H6445" i="2"/>
  <c r="J6444" i="2"/>
  <c r="H6444" i="2"/>
  <c r="J6443" i="2"/>
  <c r="H6443" i="2"/>
  <c r="J6442" i="2"/>
  <c r="H6442" i="2"/>
  <c r="J6441" i="2"/>
  <c r="H6441" i="2"/>
  <c r="J6440" i="2"/>
  <c r="H6440" i="2"/>
  <c r="J6439" i="2"/>
  <c r="H6439" i="2"/>
  <c r="J6438" i="2"/>
  <c r="H6438" i="2"/>
  <c r="J6437" i="2"/>
  <c r="H6437" i="2"/>
  <c r="J6436" i="2"/>
  <c r="H6436" i="2"/>
  <c r="J6435" i="2"/>
  <c r="H6435" i="2"/>
  <c r="J6434" i="2"/>
  <c r="H6434" i="2"/>
  <c r="J6433" i="2"/>
  <c r="H6433" i="2"/>
  <c r="J6432" i="2"/>
  <c r="H6432" i="2"/>
  <c r="J6431" i="2"/>
  <c r="H6431" i="2"/>
  <c r="J6430" i="2"/>
  <c r="H6430" i="2"/>
  <c r="J6429" i="2"/>
  <c r="H6429" i="2"/>
  <c r="J6428" i="2"/>
  <c r="H6428" i="2"/>
  <c r="J6427" i="2"/>
  <c r="H6427" i="2"/>
  <c r="J6426" i="2"/>
  <c r="H6426" i="2"/>
  <c r="J6425" i="2"/>
  <c r="H6425" i="2"/>
  <c r="J6424" i="2"/>
  <c r="H6424" i="2"/>
  <c r="J6423" i="2"/>
  <c r="H6423" i="2"/>
  <c r="J6422" i="2"/>
  <c r="H6422" i="2"/>
  <c r="J6421" i="2"/>
  <c r="H6421" i="2"/>
  <c r="J6420" i="2"/>
  <c r="H6420" i="2"/>
  <c r="J6419" i="2"/>
  <c r="H6419" i="2"/>
  <c r="J6418" i="2"/>
  <c r="H6418" i="2"/>
  <c r="J6417" i="2"/>
  <c r="H6417" i="2"/>
  <c r="J6416" i="2"/>
  <c r="H6416" i="2"/>
  <c r="J6415" i="2"/>
  <c r="H6415" i="2"/>
  <c r="J6414" i="2"/>
  <c r="H6414" i="2"/>
  <c r="J6413" i="2"/>
  <c r="H6413" i="2"/>
  <c r="J6412" i="2"/>
  <c r="H6412" i="2"/>
  <c r="J6411" i="2"/>
  <c r="H6411" i="2"/>
  <c r="J6410" i="2"/>
  <c r="H6410" i="2"/>
  <c r="J6409" i="2"/>
  <c r="H6409" i="2"/>
  <c r="J6408" i="2"/>
  <c r="H6408" i="2"/>
  <c r="J6407" i="2"/>
  <c r="H6407" i="2"/>
  <c r="J6406" i="2"/>
  <c r="H6406" i="2"/>
  <c r="J6405" i="2"/>
  <c r="H6405" i="2"/>
  <c r="J6404" i="2"/>
  <c r="H6404" i="2"/>
  <c r="J6403" i="2"/>
  <c r="H6403" i="2"/>
  <c r="J6402" i="2"/>
  <c r="H6402" i="2"/>
  <c r="J6401" i="2"/>
  <c r="H6401" i="2"/>
  <c r="J6400" i="2"/>
  <c r="H6400" i="2"/>
  <c r="J6399" i="2"/>
  <c r="H6399" i="2"/>
  <c r="J6398" i="2"/>
  <c r="H6398" i="2"/>
  <c r="J6397" i="2"/>
  <c r="H6397" i="2"/>
  <c r="J6396" i="2"/>
  <c r="H6396" i="2"/>
  <c r="J6395" i="2"/>
  <c r="H6395" i="2"/>
  <c r="J6394" i="2"/>
  <c r="H6394" i="2"/>
  <c r="J6393" i="2"/>
  <c r="H6393" i="2"/>
  <c r="J6392" i="2"/>
  <c r="H6392" i="2"/>
  <c r="J6391" i="2"/>
  <c r="H6391" i="2"/>
  <c r="J6390" i="2"/>
  <c r="H6390" i="2"/>
  <c r="J6389" i="2"/>
  <c r="H6389" i="2"/>
  <c r="J6388" i="2"/>
  <c r="H6388" i="2"/>
  <c r="J6387" i="2"/>
  <c r="H6387" i="2"/>
  <c r="J6386" i="2"/>
  <c r="H6386" i="2"/>
  <c r="J6385" i="2"/>
  <c r="H6385" i="2"/>
  <c r="J6384" i="2"/>
  <c r="H6384" i="2"/>
  <c r="J6383" i="2"/>
  <c r="H6383" i="2"/>
  <c r="J6382" i="2"/>
  <c r="H6382" i="2"/>
  <c r="J6381" i="2"/>
  <c r="H6381" i="2"/>
  <c r="J6380" i="2"/>
  <c r="H6380" i="2"/>
  <c r="J6379" i="2"/>
  <c r="H6379" i="2"/>
  <c r="J6378" i="2"/>
  <c r="H6378" i="2"/>
  <c r="J6377" i="2"/>
  <c r="H6377" i="2"/>
  <c r="J6376" i="2"/>
  <c r="H6376" i="2"/>
  <c r="J6375" i="2"/>
  <c r="H6375" i="2"/>
  <c r="J6374" i="2"/>
  <c r="H6374" i="2"/>
  <c r="J6373" i="2"/>
  <c r="H6373" i="2"/>
  <c r="J6372" i="2"/>
  <c r="H6372" i="2"/>
  <c r="J6371" i="2"/>
  <c r="H6371" i="2"/>
  <c r="J6370" i="2"/>
  <c r="H6370" i="2"/>
  <c r="J6369" i="2"/>
  <c r="H6369" i="2"/>
  <c r="J6368" i="2"/>
  <c r="H6368" i="2"/>
  <c r="J6367" i="2"/>
  <c r="H6367" i="2"/>
  <c r="J6366" i="2"/>
  <c r="H6366" i="2"/>
  <c r="J6365" i="2"/>
  <c r="H6365" i="2"/>
  <c r="J6364" i="2"/>
  <c r="H6364" i="2"/>
  <c r="J6363" i="2"/>
  <c r="H6363" i="2"/>
  <c r="J6362" i="2"/>
  <c r="H6362" i="2"/>
  <c r="J6361" i="2"/>
  <c r="H6361" i="2"/>
  <c r="J6360" i="2"/>
  <c r="H6360" i="2"/>
  <c r="J6359" i="2"/>
  <c r="H6359" i="2"/>
  <c r="J6358" i="2"/>
  <c r="H6358" i="2"/>
  <c r="J6357" i="2"/>
  <c r="H6357" i="2"/>
  <c r="J6356" i="2"/>
  <c r="H6356" i="2"/>
  <c r="J6355" i="2"/>
  <c r="H6355" i="2"/>
  <c r="J6354" i="2"/>
  <c r="H6354" i="2"/>
  <c r="J6353" i="2"/>
  <c r="H6353" i="2"/>
  <c r="J6352" i="2"/>
  <c r="H6352" i="2"/>
  <c r="J6351" i="2"/>
  <c r="H6351" i="2"/>
  <c r="J6350" i="2"/>
  <c r="H6350" i="2"/>
  <c r="J6349" i="2"/>
  <c r="H6349" i="2"/>
  <c r="J6348" i="2"/>
  <c r="H6348" i="2"/>
  <c r="J6347" i="2"/>
  <c r="H6347" i="2"/>
  <c r="J6346" i="2"/>
  <c r="H6346" i="2"/>
  <c r="J6345" i="2"/>
  <c r="H6345" i="2"/>
  <c r="J6344" i="2"/>
  <c r="H6344" i="2"/>
  <c r="J6343" i="2"/>
  <c r="H6343" i="2"/>
  <c r="J6342" i="2"/>
  <c r="H6342" i="2"/>
  <c r="J6341" i="2"/>
  <c r="H6341" i="2"/>
  <c r="J6340" i="2"/>
  <c r="H6340" i="2"/>
  <c r="J6339" i="2"/>
  <c r="H6339" i="2"/>
  <c r="J6338" i="2"/>
  <c r="H6338" i="2"/>
  <c r="J6337" i="2"/>
  <c r="H6337" i="2"/>
  <c r="J6336" i="2"/>
  <c r="H6336" i="2"/>
  <c r="J6335" i="2"/>
  <c r="H6335" i="2"/>
  <c r="J6334" i="2"/>
  <c r="H6334" i="2"/>
  <c r="J6333" i="2"/>
  <c r="H6333" i="2"/>
  <c r="J6332" i="2"/>
  <c r="H6332" i="2"/>
  <c r="J6331" i="2"/>
  <c r="H6331" i="2"/>
  <c r="J6330" i="2"/>
  <c r="H6330" i="2"/>
  <c r="J6329" i="2"/>
  <c r="H6329" i="2"/>
  <c r="J6328" i="2"/>
  <c r="H6328" i="2"/>
  <c r="J6327" i="2"/>
  <c r="H6327" i="2"/>
  <c r="J6326" i="2"/>
  <c r="H6326" i="2"/>
  <c r="J6325" i="2"/>
  <c r="H6325" i="2"/>
  <c r="J6324" i="2"/>
  <c r="H6324" i="2"/>
  <c r="J6323" i="2"/>
  <c r="H6323" i="2"/>
  <c r="J6322" i="2"/>
  <c r="H6322" i="2"/>
  <c r="J6321" i="2"/>
  <c r="H6321" i="2"/>
  <c r="J6320" i="2"/>
  <c r="H6320" i="2"/>
  <c r="J6319" i="2"/>
  <c r="H6319" i="2"/>
  <c r="J6318" i="2"/>
  <c r="H6318" i="2"/>
  <c r="J6317" i="2"/>
  <c r="H6317" i="2"/>
  <c r="J6316" i="2"/>
  <c r="H6316" i="2"/>
  <c r="J6315" i="2"/>
  <c r="H6315" i="2"/>
  <c r="J6314" i="2"/>
  <c r="H6314" i="2"/>
  <c r="J6313" i="2"/>
  <c r="H6313" i="2"/>
  <c r="J6312" i="2"/>
  <c r="H6312" i="2"/>
  <c r="J6311" i="2"/>
  <c r="H6311" i="2"/>
  <c r="J6310" i="2"/>
  <c r="H6310" i="2"/>
  <c r="J6309" i="2"/>
  <c r="H6309" i="2"/>
  <c r="J6308" i="2"/>
  <c r="H6308" i="2"/>
  <c r="J6307" i="2"/>
  <c r="H6307" i="2"/>
  <c r="J6306" i="2"/>
  <c r="H6306" i="2"/>
  <c r="J6305" i="2"/>
  <c r="H6305" i="2"/>
  <c r="J6304" i="2"/>
  <c r="H6304" i="2"/>
  <c r="J6303" i="2"/>
  <c r="H6303" i="2"/>
  <c r="J6302" i="2"/>
  <c r="H6302" i="2"/>
  <c r="J6301" i="2"/>
  <c r="H6301" i="2"/>
  <c r="J6300" i="2"/>
  <c r="H6300" i="2"/>
  <c r="J6299" i="2"/>
  <c r="H6299" i="2"/>
  <c r="J6298" i="2"/>
  <c r="H6298" i="2"/>
  <c r="J6297" i="2"/>
  <c r="H6297" i="2"/>
  <c r="J6296" i="2"/>
  <c r="H6296" i="2"/>
  <c r="J6295" i="2"/>
  <c r="H6295" i="2"/>
  <c r="J6294" i="2"/>
  <c r="H6294" i="2"/>
  <c r="J6293" i="2"/>
  <c r="H6293" i="2"/>
  <c r="J6292" i="2"/>
  <c r="H6292" i="2"/>
  <c r="J6291" i="2"/>
  <c r="H6291" i="2"/>
  <c r="J6290" i="2"/>
  <c r="H6290" i="2"/>
  <c r="J6289" i="2"/>
  <c r="H6289" i="2"/>
  <c r="J6288" i="2"/>
  <c r="H6288" i="2"/>
  <c r="J6287" i="2"/>
  <c r="H6287" i="2"/>
  <c r="J6286" i="2"/>
  <c r="H6286" i="2"/>
  <c r="J6285" i="2"/>
  <c r="H6285" i="2"/>
  <c r="J6284" i="2"/>
  <c r="H6284" i="2"/>
  <c r="J6283" i="2"/>
  <c r="H6283" i="2"/>
  <c r="J6282" i="2"/>
  <c r="H6282" i="2"/>
  <c r="J6281" i="2"/>
  <c r="H6281" i="2"/>
  <c r="J6280" i="2"/>
  <c r="H6280" i="2"/>
  <c r="J6279" i="2"/>
  <c r="H6279" i="2"/>
  <c r="J6278" i="2"/>
  <c r="H6278" i="2"/>
  <c r="J6277" i="2"/>
  <c r="H6277" i="2"/>
  <c r="J6276" i="2"/>
  <c r="H6276" i="2"/>
  <c r="J6275" i="2"/>
  <c r="H6275" i="2"/>
  <c r="J6274" i="2"/>
  <c r="H6274" i="2"/>
  <c r="J6273" i="2"/>
  <c r="H6273" i="2"/>
  <c r="J6272" i="2"/>
  <c r="H6272" i="2"/>
  <c r="J6271" i="2"/>
  <c r="H6271" i="2"/>
  <c r="J6270" i="2"/>
  <c r="H6270" i="2"/>
  <c r="J6269" i="2"/>
  <c r="H6269" i="2"/>
  <c r="J6268" i="2"/>
  <c r="H6268" i="2"/>
  <c r="J6267" i="2"/>
  <c r="H6267" i="2"/>
  <c r="J6266" i="2"/>
  <c r="H6266" i="2"/>
  <c r="J6265" i="2"/>
  <c r="H6265" i="2"/>
  <c r="J6264" i="2"/>
  <c r="H6264" i="2"/>
  <c r="J6263" i="2"/>
  <c r="H6263" i="2"/>
  <c r="J6262" i="2"/>
  <c r="H6262" i="2"/>
  <c r="J6261" i="2"/>
  <c r="H6261" i="2"/>
  <c r="J6260" i="2"/>
  <c r="H6260" i="2"/>
  <c r="J6259" i="2"/>
  <c r="H6259" i="2"/>
  <c r="J6258" i="2"/>
  <c r="H6258" i="2"/>
  <c r="J6257" i="2"/>
  <c r="H6257" i="2"/>
  <c r="J6256" i="2"/>
  <c r="H6256" i="2"/>
  <c r="J6255" i="2"/>
  <c r="H6255" i="2"/>
  <c r="J6254" i="2"/>
  <c r="H6254" i="2"/>
  <c r="J6253" i="2"/>
  <c r="H6253" i="2"/>
  <c r="J6252" i="2"/>
  <c r="H6252" i="2"/>
  <c r="J6251" i="2"/>
  <c r="H6251" i="2"/>
  <c r="J6250" i="2"/>
  <c r="H6250" i="2"/>
  <c r="J6249" i="2"/>
  <c r="H6249" i="2"/>
  <c r="J6248" i="2"/>
  <c r="H6248" i="2"/>
  <c r="J6247" i="2"/>
  <c r="H6247" i="2"/>
  <c r="J6246" i="2"/>
  <c r="H6246" i="2"/>
  <c r="J6245" i="2"/>
  <c r="H6245" i="2"/>
  <c r="J6244" i="2"/>
  <c r="H6244" i="2"/>
  <c r="J6243" i="2"/>
  <c r="H6243" i="2"/>
  <c r="J6242" i="2"/>
  <c r="H6242" i="2"/>
  <c r="J6241" i="2"/>
  <c r="H6241" i="2"/>
  <c r="J6240" i="2"/>
  <c r="H6240" i="2"/>
  <c r="J6239" i="2"/>
  <c r="H6239" i="2"/>
  <c r="J6238" i="2"/>
  <c r="H6238" i="2"/>
  <c r="J6237" i="2"/>
  <c r="H6237" i="2"/>
  <c r="J6236" i="2"/>
  <c r="H6236" i="2"/>
  <c r="J6235" i="2"/>
  <c r="H6235" i="2"/>
  <c r="J6234" i="2"/>
  <c r="H6234" i="2"/>
  <c r="J6233" i="2"/>
  <c r="H6233" i="2"/>
  <c r="J6232" i="2"/>
  <c r="H6232" i="2"/>
  <c r="J6231" i="2"/>
  <c r="H6231" i="2"/>
  <c r="J6230" i="2"/>
  <c r="H6230" i="2"/>
  <c r="J6229" i="2"/>
  <c r="H6229" i="2"/>
  <c r="J6228" i="2"/>
  <c r="H6228" i="2"/>
  <c r="J6227" i="2"/>
  <c r="H6227" i="2"/>
  <c r="J6226" i="2"/>
  <c r="H6226" i="2"/>
  <c r="J6225" i="2"/>
  <c r="H6225" i="2"/>
  <c r="J6224" i="2"/>
  <c r="H6224" i="2"/>
  <c r="J6223" i="2"/>
  <c r="H6223" i="2"/>
  <c r="J6222" i="2"/>
  <c r="H6222" i="2"/>
  <c r="J6221" i="2"/>
  <c r="H6221" i="2"/>
  <c r="J6220" i="2"/>
  <c r="H6220" i="2"/>
  <c r="J6219" i="2"/>
  <c r="H6219" i="2"/>
  <c r="J6218" i="2"/>
  <c r="H6218" i="2"/>
  <c r="J6217" i="2"/>
  <c r="H6217" i="2"/>
  <c r="J6216" i="2"/>
  <c r="H6216" i="2"/>
  <c r="J6215" i="2"/>
  <c r="H6215" i="2"/>
  <c r="J6214" i="2"/>
  <c r="H6214" i="2"/>
  <c r="J6213" i="2"/>
  <c r="H6213" i="2"/>
  <c r="J6212" i="2"/>
  <c r="H6212" i="2"/>
  <c r="J6211" i="2"/>
  <c r="H6211" i="2"/>
  <c r="J6210" i="2"/>
  <c r="H6210" i="2"/>
  <c r="J6209" i="2"/>
  <c r="H6209" i="2"/>
  <c r="J6208" i="2"/>
  <c r="H6208" i="2"/>
  <c r="J6207" i="2"/>
  <c r="H6207" i="2"/>
  <c r="J6206" i="2"/>
  <c r="H6206" i="2"/>
  <c r="J6205" i="2"/>
  <c r="H6205" i="2"/>
  <c r="J6204" i="2"/>
  <c r="H6204" i="2"/>
  <c r="J6203" i="2"/>
  <c r="H6203" i="2"/>
  <c r="J6202" i="2"/>
  <c r="H6202" i="2"/>
  <c r="J6201" i="2"/>
  <c r="H6201" i="2"/>
  <c r="J6200" i="2"/>
  <c r="H6200" i="2"/>
  <c r="J6199" i="2"/>
  <c r="H6199" i="2"/>
  <c r="J6198" i="2"/>
  <c r="H6198" i="2"/>
  <c r="J6197" i="2"/>
  <c r="H6197" i="2"/>
  <c r="J6196" i="2"/>
  <c r="H6196" i="2"/>
  <c r="J6195" i="2"/>
  <c r="H6195" i="2"/>
  <c r="J6194" i="2"/>
  <c r="H6194" i="2"/>
  <c r="J6193" i="2"/>
  <c r="H6193" i="2"/>
  <c r="J6192" i="2"/>
  <c r="H6192" i="2"/>
  <c r="J6191" i="2"/>
  <c r="H6191" i="2"/>
  <c r="J6190" i="2"/>
  <c r="H6190" i="2"/>
  <c r="J6189" i="2"/>
  <c r="H6189" i="2"/>
  <c r="J6188" i="2"/>
  <c r="H6188" i="2"/>
  <c r="J6187" i="2"/>
  <c r="H6187" i="2"/>
  <c r="J6186" i="2"/>
  <c r="H6186" i="2"/>
  <c r="J6185" i="2"/>
  <c r="H6185" i="2"/>
  <c r="J6184" i="2"/>
  <c r="H6184" i="2"/>
  <c r="J6183" i="2"/>
  <c r="H6183" i="2"/>
  <c r="J6182" i="2"/>
  <c r="H6182" i="2"/>
  <c r="J6181" i="2"/>
  <c r="H6181" i="2"/>
  <c r="J6180" i="2"/>
  <c r="H6180" i="2"/>
  <c r="J6179" i="2"/>
  <c r="H6179" i="2"/>
  <c r="J6178" i="2"/>
  <c r="H6178" i="2"/>
  <c r="J6177" i="2"/>
  <c r="H6177" i="2"/>
  <c r="J6176" i="2"/>
  <c r="H6176" i="2"/>
  <c r="J6175" i="2"/>
  <c r="H6175" i="2"/>
  <c r="J6174" i="2"/>
  <c r="H6174" i="2"/>
  <c r="J6173" i="2"/>
  <c r="H6173" i="2"/>
  <c r="J6172" i="2"/>
  <c r="H6172" i="2"/>
  <c r="J6171" i="2"/>
  <c r="H6171" i="2"/>
  <c r="J6170" i="2"/>
  <c r="H6170" i="2"/>
  <c r="J6169" i="2"/>
  <c r="H6169" i="2"/>
  <c r="J6168" i="2"/>
  <c r="H6168" i="2"/>
  <c r="J6167" i="2"/>
  <c r="H6167" i="2"/>
  <c r="J6166" i="2"/>
  <c r="H6166" i="2"/>
  <c r="J6165" i="2"/>
  <c r="H6165" i="2"/>
  <c r="J6164" i="2"/>
  <c r="H6164" i="2"/>
  <c r="J6163" i="2"/>
  <c r="H6163" i="2"/>
  <c r="J6162" i="2"/>
  <c r="H6162" i="2"/>
  <c r="J6161" i="2"/>
  <c r="H6161" i="2"/>
  <c r="J6160" i="2"/>
  <c r="H6160" i="2"/>
  <c r="J6159" i="2"/>
  <c r="H6159" i="2"/>
  <c r="J6158" i="2"/>
  <c r="H6158" i="2"/>
  <c r="J6157" i="2"/>
  <c r="H6157" i="2"/>
  <c r="J6156" i="2"/>
  <c r="H6156" i="2"/>
  <c r="J6155" i="2"/>
  <c r="H6155" i="2"/>
  <c r="J6154" i="2"/>
  <c r="H6154" i="2"/>
  <c r="J6153" i="2"/>
  <c r="H6153" i="2"/>
  <c r="J6152" i="2"/>
  <c r="H6152" i="2"/>
  <c r="J6151" i="2"/>
  <c r="H6151" i="2"/>
  <c r="J6150" i="2"/>
  <c r="H6150" i="2"/>
  <c r="J6149" i="2"/>
  <c r="H6149" i="2"/>
  <c r="J6148" i="2"/>
  <c r="H6148" i="2"/>
  <c r="J6147" i="2"/>
  <c r="H6147" i="2"/>
  <c r="J6146" i="2"/>
  <c r="H6146" i="2"/>
  <c r="J6145" i="2"/>
  <c r="H6145" i="2"/>
  <c r="J6144" i="2"/>
  <c r="H6144" i="2"/>
  <c r="J6143" i="2"/>
  <c r="H6143" i="2"/>
  <c r="J6142" i="2"/>
  <c r="H6142" i="2"/>
  <c r="J6141" i="2"/>
  <c r="H6141" i="2"/>
  <c r="J6140" i="2"/>
  <c r="H6140" i="2"/>
  <c r="J6139" i="2"/>
  <c r="H6139" i="2"/>
  <c r="J6138" i="2"/>
  <c r="H6138" i="2"/>
  <c r="J6137" i="2"/>
  <c r="H6137" i="2"/>
  <c r="J6136" i="2"/>
  <c r="H6136" i="2"/>
  <c r="J6135" i="2"/>
  <c r="H6135" i="2"/>
  <c r="J6134" i="2"/>
  <c r="H6134" i="2"/>
  <c r="J6133" i="2"/>
  <c r="H6133" i="2"/>
  <c r="J6132" i="2"/>
  <c r="H6132" i="2"/>
  <c r="J6131" i="2"/>
  <c r="H6131" i="2"/>
  <c r="J6130" i="2"/>
  <c r="H6130" i="2"/>
  <c r="J6129" i="2"/>
  <c r="H6129" i="2"/>
  <c r="J6128" i="2"/>
  <c r="H6128" i="2"/>
  <c r="J6127" i="2"/>
  <c r="H6127" i="2"/>
  <c r="J6126" i="2"/>
  <c r="H6126" i="2"/>
  <c r="J6125" i="2"/>
  <c r="H6125" i="2"/>
  <c r="J6124" i="2"/>
  <c r="H6124" i="2"/>
  <c r="J6123" i="2"/>
  <c r="H6123" i="2"/>
  <c r="J6122" i="2"/>
  <c r="H6122" i="2"/>
  <c r="J6121" i="2"/>
  <c r="H6121" i="2"/>
  <c r="J6120" i="2"/>
  <c r="H6120" i="2"/>
  <c r="J6119" i="2"/>
  <c r="H6119" i="2"/>
  <c r="J6118" i="2"/>
  <c r="H6118" i="2"/>
  <c r="J6117" i="2"/>
  <c r="H6117" i="2"/>
  <c r="J6116" i="2"/>
  <c r="H6116" i="2"/>
  <c r="J6115" i="2"/>
  <c r="H6115" i="2"/>
  <c r="J6114" i="2"/>
  <c r="H6114" i="2"/>
  <c r="J6113" i="2"/>
  <c r="H6113" i="2"/>
  <c r="J6112" i="2"/>
  <c r="H6112" i="2"/>
  <c r="J6111" i="2"/>
  <c r="H6111" i="2"/>
  <c r="J6110" i="2"/>
  <c r="H6110" i="2"/>
  <c r="J6109" i="2"/>
  <c r="H6109" i="2"/>
  <c r="J6108" i="2"/>
  <c r="H6108" i="2"/>
  <c r="J6107" i="2"/>
  <c r="H6107" i="2"/>
  <c r="J6106" i="2"/>
  <c r="H6106" i="2"/>
  <c r="J6105" i="2"/>
  <c r="H6105" i="2"/>
  <c r="J6104" i="2"/>
  <c r="H6104" i="2"/>
  <c r="J6103" i="2"/>
  <c r="H6103" i="2"/>
  <c r="J6102" i="2"/>
  <c r="H6102" i="2"/>
  <c r="J6101" i="2"/>
  <c r="H6101" i="2"/>
  <c r="J6100" i="2"/>
  <c r="H6100" i="2"/>
  <c r="J6099" i="2"/>
  <c r="H6099" i="2"/>
  <c r="J6098" i="2"/>
  <c r="H6098" i="2"/>
  <c r="J6097" i="2"/>
  <c r="H6097" i="2"/>
  <c r="J6096" i="2"/>
  <c r="H6096" i="2"/>
  <c r="J6095" i="2"/>
  <c r="H6095" i="2"/>
  <c r="J6094" i="2"/>
  <c r="H6094" i="2"/>
  <c r="J6093" i="2"/>
  <c r="H6093" i="2"/>
  <c r="J6092" i="2"/>
  <c r="H6092" i="2"/>
  <c r="J6091" i="2"/>
  <c r="H6091" i="2"/>
  <c r="J6090" i="2"/>
  <c r="H6090" i="2"/>
  <c r="J6089" i="2"/>
  <c r="H6089" i="2"/>
  <c r="J6088" i="2"/>
  <c r="H6088" i="2"/>
  <c r="J6087" i="2"/>
  <c r="H6087" i="2"/>
  <c r="J6086" i="2"/>
  <c r="H6086" i="2"/>
  <c r="J6085" i="2"/>
  <c r="H6085" i="2"/>
  <c r="J6084" i="2"/>
  <c r="H6084" i="2"/>
  <c r="J6083" i="2"/>
  <c r="H6083" i="2"/>
  <c r="J6082" i="2"/>
  <c r="H6082" i="2"/>
  <c r="J6081" i="2"/>
  <c r="H6081" i="2"/>
  <c r="J6080" i="2"/>
  <c r="H6080" i="2"/>
  <c r="J6079" i="2"/>
  <c r="H6079" i="2"/>
  <c r="J6078" i="2"/>
  <c r="H6078" i="2"/>
  <c r="J6077" i="2"/>
  <c r="H6077" i="2"/>
  <c r="J6076" i="2"/>
  <c r="H6076" i="2"/>
  <c r="J6075" i="2"/>
  <c r="H6075" i="2"/>
  <c r="J6074" i="2"/>
  <c r="H6074" i="2"/>
  <c r="J6073" i="2"/>
  <c r="H6073" i="2"/>
  <c r="J6072" i="2"/>
  <c r="H6072" i="2"/>
  <c r="J6071" i="2"/>
  <c r="H6071" i="2"/>
  <c r="J6070" i="2"/>
  <c r="H6070" i="2"/>
  <c r="J6069" i="2"/>
  <c r="H6069" i="2"/>
  <c r="J6068" i="2"/>
  <c r="H6068" i="2"/>
  <c r="J6067" i="2"/>
  <c r="H6067" i="2"/>
  <c r="J6066" i="2"/>
  <c r="H6066" i="2"/>
  <c r="J6065" i="2"/>
  <c r="H6065" i="2"/>
  <c r="J6064" i="2"/>
  <c r="H6064" i="2"/>
  <c r="J6063" i="2"/>
  <c r="H6063" i="2"/>
  <c r="J6062" i="2"/>
  <c r="H6062" i="2"/>
  <c r="J6061" i="2"/>
  <c r="H6061" i="2"/>
  <c r="J6060" i="2"/>
  <c r="H6060" i="2"/>
  <c r="J6059" i="2"/>
  <c r="H6059" i="2"/>
  <c r="J6058" i="2"/>
  <c r="H6058" i="2"/>
  <c r="J6057" i="2"/>
  <c r="H6057" i="2"/>
  <c r="J6056" i="2"/>
  <c r="H6056" i="2"/>
  <c r="J6055" i="2"/>
  <c r="H6055" i="2"/>
  <c r="J6054" i="2"/>
  <c r="H6054" i="2"/>
  <c r="J6053" i="2"/>
  <c r="H6053" i="2"/>
  <c r="J6052" i="2"/>
  <c r="H6052" i="2"/>
  <c r="J6051" i="2"/>
  <c r="H6051" i="2"/>
  <c r="J6050" i="2"/>
  <c r="H6050" i="2"/>
  <c r="J6049" i="2"/>
  <c r="H6049" i="2"/>
  <c r="J6048" i="2"/>
  <c r="H6048" i="2"/>
  <c r="J6047" i="2"/>
  <c r="H6047" i="2"/>
  <c r="J6046" i="2"/>
  <c r="H6046" i="2"/>
  <c r="J6045" i="2"/>
  <c r="H6045" i="2"/>
  <c r="J6044" i="2"/>
  <c r="H6044" i="2"/>
  <c r="J6043" i="2"/>
  <c r="H6043" i="2"/>
  <c r="J6042" i="2"/>
  <c r="H6042" i="2"/>
  <c r="J6041" i="2"/>
  <c r="H6041" i="2"/>
  <c r="J6040" i="2"/>
  <c r="H6040" i="2"/>
  <c r="J6039" i="2"/>
  <c r="H6039" i="2"/>
  <c r="J6038" i="2"/>
  <c r="H6038" i="2"/>
  <c r="J6037" i="2"/>
  <c r="H6037" i="2"/>
  <c r="J6036" i="2"/>
  <c r="H6036" i="2"/>
  <c r="J6035" i="2"/>
  <c r="H6035" i="2"/>
  <c r="J6034" i="2"/>
  <c r="H6034" i="2"/>
  <c r="J6033" i="2"/>
  <c r="H6033" i="2"/>
  <c r="J6032" i="2"/>
  <c r="H6032" i="2"/>
  <c r="J6031" i="2"/>
  <c r="H6031" i="2"/>
  <c r="J6030" i="2"/>
  <c r="H6030" i="2"/>
  <c r="J6029" i="2"/>
  <c r="H6029" i="2"/>
  <c r="J6028" i="2"/>
  <c r="H6028" i="2"/>
  <c r="J6027" i="2"/>
  <c r="H6027" i="2"/>
  <c r="J6026" i="2"/>
  <c r="H6026" i="2"/>
  <c r="J6025" i="2"/>
  <c r="H6025" i="2"/>
  <c r="J6024" i="2"/>
  <c r="H6024" i="2"/>
  <c r="J6023" i="2"/>
  <c r="H6023" i="2"/>
  <c r="J6022" i="2"/>
  <c r="H6022" i="2"/>
  <c r="J6021" i="2"/>
  <c r="H6021" i="2"/>
  <c r="J6020" i="2"/>
  <c r="H6020" i="2"/>
  <c r="J6019" i="2"/>
  <c r="H6019" i="2"/>
  <c r="J6018" i="2"/>
  <c r="H6018" i="2"/>
  <c r="J6017" i="2"/>
  <c r="H6017" i="2"/>
  <c r="J6016" i="2"/>
  <c r="H6016" i="2"/>
  <c r="J6015" i="2"/>
  <c r="H6015" i="2"/>
  <c r="J6014" i="2"/>
  <c r="H6014" i="2"/>
  <c r="J6013" i="2"/>
  <c r="H6013" i="2"/>
  <c r="J6012" i="2"/>
  <c r="H6012" i="2"/>
  <c r="J6011" i="2"/>
  <c r="H6011" i="2"/>
  <c r="J6010" i="2"/>
  <c r="H6010" i="2"/>
  <c r="J6009" i="2"/>
  <c r="H6009" i="2"/>
  <c r="J6008" i="2"/>
  <c r="H6008" i="2"/>
  <c r="J6007" i="2"/>
  <c r="H6007" i="2"/>
  <c r="J6006" i="2"/>
  <c r="H6006" i="2"/>
  <c r="J6005" i="2"/>
  <c r="H6005" i="2"/>
  <c r="J6004" i="2"/>
  <c r="H6004" i="2"/>
  <c r="J6003" i="2"/>
  <c r="H6003" i="2"/>
  <c r="J6002" i="2"/>
  <c r="H6002" i="2"/>
  <c r="J6001" i="2"/>
  <c r="H6001" i="2"/>
  <c r="J6000" i="2"/>
  <c r="H6000" i="2"/>
  <c r="J5999" i="2"/>
  <c r="H5999" i="2"/>
  <c r="J5998" i="2"/>
  <c r="H5998" i="2"/>
  <c r="J5997" i="2"/>
  <c r="H5997" i="2"/>
  <c r="J5996" i="2"/>
  <c r="H5996" i="2"/>
  <c r="J5995" i="2"/>
  <c r="H5995" i="2"/>
  <c r="J5994" i="2"/>
  <c r="H5994" i="2"/>
  <c r="J5993" i="2"/>
  <c r="H5993" i="2"/>
  <c r="J5992" i="2"/>
  <c r="H5992" i="2"/>
  <c r="J5991" i="2"/>
  <c r="H5991" i="2"/>
  <c r="J5990" i="2"/>
  <c r="H5990" i="2"/>
  <c r="J5989" i="2"/>
  <c r="H5989" i="2"/>
  <c r="J5988" i="2"/>
  <c r="H5988" i="2"/>
  <c r="J5987" i="2"/>
  <c r="H5987" i="2"/>
  <c r="J5986" i="2"/>
  <c r="H5986" i="2"/>
  <c r="J5985" i="2"/>
  <c r="H5985" i="2"/>
  <c r="J5984" i="2"/>
  <c r="H5984" i="2"/>
  <c r="J5983" i="2"/>
  <c r="H5983" i="2"/>
  <c r="J5982" i="2"/>
  <c r="H5982" i="2"/>
  <c r="J5981" i="2"/>
  <c r="H5981" i="2"/>
  <c r="J5980" i="2"/>
  <c r="H5980" i="2"/>
  <c r="J5979" i="2"/>
  <c r="H5979" i="2"/>
  <c r="J5978" i="2"/>
  <c r="H5978" i="2"/>
  <c r="J5977" i="2"/>
  <c r="H5977" i="2"/>
  <c r="J5976" i="2"/>
  <c r="H5976" i="2"/>
  <c r="J5975" i="2"/>
  <c r="H5975" i="2"/>
  <c r="J5974" i="2"/>
  <c r="H5974" i="2"/>
  <c r="J5973" i="2"/>
  <c r="H5973" i="2"/>
  <c r="J5972" i="2"/>
  <c r="H5972" i="2"/>
  <c r="J5971" i="2"/>
  <c r="H5971" i="2"/>
  <c r="J5970" i="2"/>
  <c r="H5970" i="2"/>
  <c r="J5969" i="2"/>
  <c r="H5969" i="2"/>
  <c r="J5968" i="2"/>
  <c r="H5968" i="2"/>
  <c r="J5967" i="2"/>
  <c r="H5967" i="2"/>
  <c r="J5966" i="2"/>
  <c r="H5966" i="2"/>
  <c r="J5965" i="2"/>
  <c r="H5965" i="2"/>
  <c r="J5964" i="2"/>
  <c r="H5964" i="2"/>
  <c r="J5963" i="2"/>
  <c r="H5963" i="2"/>
  <c r="J5962" i="2"/>
  <c r="H5962" i="2"/>
  <c r="J5961" i="2"/>
  <c r="H5961" i="2"/>
  <c r="J5960" i="2"/>
  <c r="H5960" i="2"/>
  <c r="J5959" i="2"/>
  <c r="H5959" i="2"/>
  <c r="J5958" i="2"/>
  <c r="H5958" i="2"/>
  <c r="J5957" i="2"/>
  <c r="H5957" i="2"/>
  <c r="J5956" i="2"/>
  <c r="H5956" i="2"/>
  <c r="J5955" i="2"/>
  <c r="H5955" i="2"/>
  <c r="J5954" i="2"/>
  <c r="H5954" i="2"/>
  <c r="J5953" i="2"/>
  <c r="H5953" i="2"/>
  <c r="J5952" i="2"/>
  <c r="H5952" i="2"/>
  <c r="J5951" i="2"/>
  <c r="H5951" i="2"/>
  <c r="J5950" i="2"/>
  <c r="H5950" i="2"/>
  <c r="J5949" i="2"/>
  <c r="H5949" i="2"/>
  <c r="J5948" i="2"/>
  <c r="H5948" i="2"/>
  <c r="J5947" i="2"/>
  <c r="H5947" i="2"/>
  <c r="J5946" i="2"/>
  <c r="H5946" i="2"/>
  <c r="J5945" i="2"/>
  <c r="H5945" i="2"/>
  <c r="J5944" i="2"/>
  <c r="H5944" i="2"/>
  <c r="J5943" i="2"/>
  <c r="H5943" i="2"/>
  <c r="J5942" i="2"/>
  <c r="H5942" i="2"/>
  <c r="J5941" i="2"/>
  <c r="H5941" i="2"/>
  <c r="J5940" i="2"/>
  <c r="H5940" i="2"/>
  <c r="J5939" i="2"/>
  <c r="H5939" i="2"/>
  <c r="J5938" i="2"/>
  <c r="H5938" i="2"/>
  <c r="J5937" i="2"/>
  <c r="H5937" i="2"/>
  <c r="J5936" i="2"/>
  <c r="H5936" i="2"/>
  <c r="J5935" i="2"/>
  <c r="H5935" i="2"/>
  <c r="J5934" i="2"/>
  <c r="H5934" i="2"/>
  <c r="J5933" i="2"/>
  <c r="H5933" i="2"/>
  <c r="J5932" i="2"/>
  <c r="H5932" i="2"/>
  <c r="J5931" i="2"/>
  <c r="H5931" i="2"/>
  <c r="J5930" i="2"/>
  <c r="H5930" i="2"/>
  <c r="J5929" i="2"/>
  <c r="H5929" i="2"/>
  <c r="J5928" i="2"/>
  <c r="H5928" i="2"/>
  <c r="J5927" i="2"/>
  <c r="H5927" i="2"/>
  <c r="J5926" i="2"/>
  <c r="H5926" i="2"/>
  <c r="J5925" i="2"/>
  <c r="H5925" i="2"/>
  <c r="J5924" i="2"/>
  <c r="H5924" i="2"/>
  <c r="J5923" i="2"/>
  <c r="H5923" i="2"/>
  <c r="J5922" i="2"/>
  <c r="H5922" i="2"/>
  <c r="J5921" i="2"/>
  <c r="H5921" i="2"/>
  <c r="J5920" i="2"/>
  <c r="H5920" i="2"/>
  <c r="J5919" i="2"/>
  <c r="H5919" i="2"/>
  <c r="J5918" i="2"/>
  <c r="H5918" i="2"/>
  <c r="J5917" i="2"/>
  <c r="H5917" i="2"/>
  <c r="J5916" i="2"/>
  <c r="H5916" i="2"/>
  <c r="J5915" i="2"/>
  <c r="H5915" i="2"/>
  <c r="J5914" i="2"/>
  <c r="H5914" i="2"/>
  <c r="J5913" i="2"/>
  <c r="H5913" i="2"/>
  <c r="J5912" i="2"/>
  <c r="H5912" i="2"/>
  <c r="J5911" i="2"/>
  <c r="H5911" i="2"/>
  <c r="J5910" i="2"/>
  <c r="H5910" i="2"/>
  <c r="J5909" i="2"/>
  <c r="H5909" i="2"/>
  <c r="J5908" i="2"/>
  <c r="H5908" i="2"/>
  <c r="J5907" i="2"/>
  <c r="H5907" i="2"/>
  <c r="J5906" i="2"/>
  <c r="H5906" i="2"/>
  <c r="J5905" i="2"/>
  <c r="H5905" i="2"/>
  <c r="J5904" i="2"/>
  <c r="H5904" i="2"/>
  <c r="J5903" i="2"/>
  <c r="H5903" i="2"/>
  <c r="J5902" i="2"/>
  <c r="H5902" i="2"/>
  <c r="J5901" i="2"/>
  <c r="H5901" i="2"/>
  <c r="J5900" i="2"/>
  <c r="H5900" i="2"/>
  <c r="J5899" i="2"/>
  <c r="H5899" i="2"/>
  <c r="J5898" i="2"/>
  <c r="H5898" i="2"/>
  <c r="J5897" i="2"/>
  <c r="H5897" i="2"/>
  <c r="J5896" i="2"/>
  <c r="H5896" i="2"/>
  <c r="J5895" i="2"/>
  <c r="H5895" i="2"/>
  <c r="J5894" i="2"/>
  <c r="H5894" i="2"/>
  <c r="J5893" i="2"/>
  <c r="H5893" i="2"/>
  <c r="J5892" i="2"/>
  <c r="H5892" i="2"/>
  <c r="J5891" i="2"/>
  <c r="H5891" i="2"/>
  <c r="J5890" i="2"/>
  <c r="H5890" i="2"/>
  <c r="J5889" i="2"/>
  <c r="H5889" i="2"/>
  <c r="J5888" i="2"/>
  <c r="H5888" i="2"/>
  <c r="J5887" i="2"/>
  <c r="H5887" i="2"/>
  <c r="J5886" i="2"/>
  <c r="H5886" i="2"/>
  <c r="J5885" i="2"/>
  <c r="H5885" i="2"/>
  <c r="J5884" i="2"/>
  <c r="H5884" i="2"/>
  <c r="J5883" i="2"/>
  <c r="H5883" i="2"/>
  <c r="J5882" i="2"/>
  <c r="H5882" i="2"/>
  <c r="J5881" i="2"/>
  <c r="H5881" i="2"/>
  <c r="J5880" i="2"/>
  <c r="H5880" i="2"/>
  <c r="J5879" i="2"/>
  <c r="H5879" i="2"/>
  <c r="J5878" i="2"/>
  <c r="H5878" i="2"/>
  <c r="J5877" i="2"/>
  <c r="H5877" i="2"/>
  <c r="J5876" i="2"/>
  <c r="H5876" i="2"/>
  <c r="J5875" i="2"/>
  <c r="H5875" i="2"/>
  <c r="J5874" i="2"/>
  <c r="H5874" i="2"/>
  <c r="J5873" i="2"/>
  <c r="H5873" i="2"/>
  <c r="J5872" i="2"/>
  <c r="H5872" i="2"/>
  <c r="J5871" i="2"/>
  <c r="H5871" i="2"/>
  <c r="J5870" i="2"/>
  <c r="H5870" i="2"/>
  <c r="J5869" i="2"/>
  <c r="H5869" i="2"/>
  <c r="J5868" i="2"/>
  <c r="H5868" i="2"/>
  <c r="J5867" i="2"/>
  <c r="H5867" i="2"/>
  <c r="J5866" i="2"/>
  <c r="H5866" i="2"/>
  <c r="J5865" i="2"/>
  <c r="H5865" i="2"/>
  <c r="J5864" i="2"/>
  <c r="H5864" i="2"/>
  <c r="J5863" i="2"/>
  <c r="H5863" i="2"/>
  <c r="J5862" i="2"/>
  <c r="H5862" i="2"/>
  <c r="J5861" i="2"/>
  <c r="H5861" i="2"/>
  <c r="J5860" i="2"/>
  <c r="H5860" i="2"/>
  <c r="J5859" i="2"/>
  <c r="H5859" i="2"/>
  <c r="J5858" i="2"/>
  <c r="H5858" i="2"/>
  <c r="J5857" i="2"/>
  <c r="H5857" i="2"/>
  <c r="J5856" i="2"/>
  <c r="H5856" i="2"/>
  <c r="J5855" i="2"/>
  <c r="H5855" i="2"/>
  <c r="J5854" i="2"/>
  <c r="H5854" i="2"/>
  <c r="J5853" i="2"/>
  <c r="H5853" i="2"/>
  <c r="J5852" i="2"/>
  <c r="H5852" i="2"/>
  <c r="J5851" i="2"/>
  <c r="H5851" i="2"/>
  <c r="J5850" i="2"/>
  <c r="H5850" i="2"/>
  <c r="J5849" i="2"/>
  <c r="H5849" i="2"/>
  <c r="J5848" i="2"/>
  <c r="H5848" i="2"/>
  <c r="J5847" i="2"/>
  <c r="H5847" i="2"/>
  <c r="J5846" i="2"/>
  <c r="H5846" i="2"/>
  <c r="J5845" i="2"/>
  <c r="H5845" i="2"/>
  <c r="J5844" i="2"/>
  <c r="H5844" i="2"/>
  <c r="J5843" i="2"/>
  <c r="H5843" i="2"/>
  <c r="J5842" i="2"/>
  <c r="H5842" i="2"/>
  <c r="J5841" i="2"/>
  <c r="H5841" i="2"/>
  <c r="J5840" i="2"/>
  <c r="H5840" i="2"/>
  <c r="J5839" i="2"/>
  <c r="H5839" i="2"/>
  <c r="J5838" i="2"/>
  <c r="H5838" i="2"/>
  <c r="J5837" i="2"/>
  <c r="H5837" i="2"/>
  <c r="J5836" i="2"/>
  <c r="H5836" i="2"/>
  <c r="J5835" i="2"/>
  <c r="H5835" i="2"/>
  <c r="J5834" i="2"/>
  <c r="H5834" i="2"/>
  <c r="J5833" i="2"/>
  <c r="H5833" i="2"/>
  <c r="J5832" i="2"/>
  <c r="H5832" i="2"/>
  <c r="J5831" i="2"/>
  <c r="H5831" i="2"/>
  <c r="J5830" i="2"/>
  <c r="H5830" i="2"/>
  <c r="J5829" i="2"/>
  <c r="H5829" i="2"/>
  <c r="J5828" i="2"/>
  <c r="H5828" i="2"/>
  <c r="J5827" i="2"/>
  <c r="H5827" i="2"/>
  <c r="J5826" i="2"/>
  <c r="H5826" i="2"/>
  <c r="J5825" i="2"/>
  <c r="H5825" i="2"/>
  <c r="J5824" i="2"/>
  <c r="H5824" i="2"/>
  <c r="J5823" i="2"/>
  <c r="H5823" i="2"/>
  <c r="J5822" i="2"/>
  <c r="H5822" i="2"/>
  <c r="J5821" i="2"/>
  <c r="H5821" i="2"/>
  <c r="J5820" i="2"/>
  <c r="H5820" i="2"/>
  <c r="J5819" i="2"/>
  <c r="H5819" i="2"/>
  <c r="J5818" i="2"/>
  <c r="H5818" i="2"/>
  <c r="J5817" i="2"/>
  <c r="H5817" i="2"/>
  <c r="J5816" i="2"/>
  <c r="H5816" i="2"/>
  <c r="J5815" i="2"/>
  <c r="H5815" i="2"/>
  <c r="J5814" i="2"/>
  <c r="H5814" i="2"/>
  <c r="J5813" i="2"/>
  <c r="H5813" i="2"/>
  <c r="J5812" i="2"/>
  <c r="H5812" i="2"/>
  <c r="J5811" i="2"/>
  <c r="H5811" i="2"/>
  <c r="J5810" i="2"/>
  <c r="H5810" i="2"/>
  <c r="J5809" i="2"/>
  <c r="H5809" i="2"/>
  <c r="J5808" i="2"/>
  <c r="H5808" i="2"/>
  <c r="J5807" i="2"/>
  <c r="H5807" i="2"/>
  <c r="J5806" i="2"/>
  <c r="H5806" i="2"/>
  <c r="J5805" i="2"/>
  <c r="H5805" i="2"/>
  <c r="J5804" i="2"/>
  <c r="H5804" i="2"/>
  <c r="J5803" i="2"/>
  <c r="H5803" i="2"/>
  <c r="J5802" i="2"/>
  <c r="H5802" i="2"/>
  <c r="J5801" i="2"/>
  <c r="H5801" i="2"/>
  <c r="J5800" i="2"/>
  <c r="H5800" i="2"/>
  <c r="J5799" i="2"/>
  <c r="H5799" i="2"/>
  <c r="J5798" i="2"/>
  <c r="H5798" i="2"/>
  <c r="J5797" i="2"/>
  <c r="H5797" i="2"/>
  <c r="J5796" i="2"/>
  <c r="H5796" i="2"/>
  <c r="J5795" i="2"/>
  <c r="H5795" i="2"/>
  <c r="J5794" i="2"/>
  <c r="H5794" i="2"/>
  <c r="J5793" i="2"/>
  <c r="H5793" i="2"/>
  <c r="J5792" i="2"/>
  <c r="H5792" i="2"/>
  <c r="J5791" i="2"/>
  <c r="H5791" i="2"/>
  <c r="J5790" i="2"/>
  <c r="H5790" i="2"/>
  <c r="J5789" i="2"/>
  <c r="H5789" i="2"/>
  <c r="J5788" i="2"/>
  <c r="H5788" i="2"/>
  <c r="J5787" i="2"/>
  <c r="H5787" i="2"/>
  <c r="J5786" i="2"/>
  <c r="H5786" i="2"/>
  <c r="J5785" i="2"/>
  <c r="H5785" i="2"/>
  <c r="J5784" i="2"/>
  <c r="H5784" i="2"/>
  <c r="J5783" i="2"/>
  <c r="H5783" i="2"/>
  <c r="J5782" i="2"/>
  <c r="H5782" i="2"/>
  <c r="J5781" i="2"/>
  <c r="H5781" i="2"/>
  <c r="J5780" i="2"/>
  <c r="H5780" i="2"/>
  <c r="J5779" i="2"/>
  <c r="H5779" i="2"/>
  <c r="J5778" i="2"/>
  <c r="H5778" i="2"/>
  <c r="J5777" i="2"/>
  <c r="H5777" i="2"/>
  <c r="J5776" i="2"/>
  <c r="H5776" i="2"/>
  <c r="J5775" i="2"/>
  <c r="H5775" i="2"/>
  <c r="J5774" i="2"/>
  <c r="H5774" i="2"/>
  <c r="J5773" i="2"/>
  <c r="H5773" i="2"/>
  <c r="J5772" i="2"/>
  <c r="H5772" i="2"/>
  <c r="J5771" i="2"/>
  <c r="H5771" i="2"/>
  <c r="J5770" i="2"/>
  <c r="H5770" i="2"/>
  <c r="J5769" i="2"/>
  <c r="H5769" i="2"/>
  <c r="J5768" i="2"/>
  <c r="H5768" i="2"/>
  <c r="J5767" i="2"/>
  <c r="H5767" i="2"/>
  <c r="J5766" i="2"/>
  <c r="H5766" i="2"/>
  <c r="J5765" i="2"/>
  <c r="H5765" i="2"/>
  <c r="J5764" i="2"/>
  <c r="H5764" i="2"/>
  <c r="J5763" i="2"/>
  <c r="H5763" i="2"/>
  <c r="J5762" i="2"/>
  <c r="H5762" i="2"/>
  <c r="J5761" i="2"/>
  <c r="H5761" i="2"/>
  <c r="J5760" i="2"/>
  <c r="H5760" i="2"/>
  <c r="J5759" i="2"/>
  <c r="H5759" i="2"/>
  <c r="J5758" i="2"/>
  <c r="H5758" i="2"/>
  <c r="J5757" i="2"/>
  <c r="H5757" i="2"/>
  <c r="J5756" i="2"/>
  <c r="H5756" i="2"/>
  <c r="J5755" i="2"/>
  <c r="H5755" i="2"/>
  <c r="J5754" i="2"/>
  <c r="H5754" i="2"/>
  <c r="J5753" i="2"/>
  <c r="H5753" i="2"/>
  <c r="J5752" i="2"/>
  <c r="H5752" i="2"/>
  <c r="J5751" i="2"/>
  <c r="H5751" i="2"/>
  <c r="J5750" i="2"/>
  <c r="H5750" i="2"/>
  <c r="J5749" i="2"/>
  <c r="H5749" i="2"/>
  <c r="J5748" i="2"/>
  <c r="H5748" i="2"/>
  <c r="J5747" i="2"/>
  <c r="H5747" i="2"/>
  <c r="J5746" i="2"/>
  <c r="H5746" i="2"/>
  <c r="J5745" i="2"/>
  <c r="H5745" i="2"/>
  <c r="J5744" i="2"/>
  <c r="H5744" i="2"/>
  <c r="J5743" i="2"/>
  <c r="H5743" i="2"/>
  <c r="J5742" i="2"/>
  <c r="H5742" i="2"/>
  <c r="J5741" i="2"/>
  <c r="H5741" i="2"/>
  <c r="J5740" i="2"/>
  <c r="H5740" i="2"/>
  <c r="J5739" i="2"/>
  <c r="H5739" i="2"/>
  <c r="J5738" i="2"/>
  <c r="H5738" i="2"/>
  <c r="J5737" i="2"/>
  <c r="H5737" i="2"/>
  <c r="J5736" i="2"/>
  <c r="H5736" i="2"/>
  <c r="J5735" i="2"/>
  <c r="H5735" i="2"/>
  <c r="J5734" i="2"/>
  <c r="H5734" i="2"/>
  <c r="J5733" i="2"/>
  <c r="H5733" i="2"/>
  <c r="J5732" i="2"/>
  <c r="H5732" i="2"/>
  <c r="J5731" i="2"/>
  <c r="H5731" i="2"/>
  <c r="J5730" i="2"/>
  <c r="H5730" i="2"/>
  <c r="J5729" i="2"/>
  <c r="H5729" i="2"/>
  <c r="J5728" i="2"/>
  <c r="H5728" i="2"/>
  <c r="J5727" i="2"/>
  <c r="H5727" i="2"/>
  <c r="J5726" i="2"/>
  <c r="H5726" i="2"/>
  <c r="J5725" i="2"/>
  <c r="H5725" i="2"/>
  <c r="J5724" i="2"/>
  <c r="H5724" i="2"/>
  <c r="J5723" i="2"/>
  <c r="H5723" i="2"/>
  <c r="J5722" i="2"/>
  <c r="H5722" i="2"/>
  <c r="J5721" i="2"/>
  <c r="H5721" i="2"/>
  <c r="J5720" i="2"/>
  <c r="H5720" i="2"/>
  <c r="J5719" i="2"/>
  <c r="H5719" i="2"/>
  <c r="J5718" i="2"/>
  <c r="H5718" i="2"/>
  <c r="J5717" i="2"/>
  <c r="H5717" i="2"/>
  <c r="J5716" i="2"/>
  <c r="H5716" i="2"/>
  <c r="J5715" i="2"/>
  <c r="H5715" i="2"/>
  <c r="J5714" i="2"/>
  <c r="H5714" i="2"/>
  <c r="J5713" i="2"/>
  <c r="H5713" i="2"/>
  <c r="J5712" i="2"/>
  <c r="H5712" i="2"/>
  <c r="J5711" i="2"/>
  <c r="H5711" i="2"/>
  <c r="J5710" i="2"/>
  <c r="H5710" i="2"/>
  <c r="J5709" i="2"/>
  <c r="H5709" i="2"/>
  <c r="J5708" i="2"/>
  <c r="H5708" i="2"/>
  <c r="J5707" i="2"/>
  <c r="H5707" i="2"/>
  <c r="J5706" i="2"/>
  <c r="H5706" i="2"/>
  <c r="J5705" i="2"/>
  <c r="H5705" i="2"/>
  <c r="J5704" i="2"/>
  <c r="H5704" i="2"/>
  <c r="J5703" i="2"/>
  <c r="H5703" i="2"/>
  <c r="J5702" i="2"/>
  <c r="H5702" i="2"/>
  <c r="J5701" i="2"/>
  <c r="H5701" i="2"/>
  <c r="J5700" i="2"/>
  <c r="H5700" i="2"/>
  <c r="J5699" i="2"/>
  <c r="H5699" i="2"/>
  <c r="J5698" i="2"/>
  <c r="H5698" i="2"/>
  <c r="J5697" i="2"/>
  <c r="H5697" i="2"/>
  <c r="J5696" i="2"/>
  <c r="H5696" i="2"/>
  <c r="J5695" i="2"/>
  <c r="H5695" i="2"/>
  <c r="J5694" i="2"/>
  <c r="H5694" i="2"/>
  <c r="J5693" i="2"/>
  <c r="H5693" i="2"/>
  <c r="J5692" i="2"/>
  <c r="H5692" i="2"/>
  <c r="J5691" i="2"/>
  <c r="H5691" i="2"/>
  <c r="J5690" i="2"/>
  <c r="H5690" i="2"/>
  <c r="J5689" i="2"/>
  <c r="H5689" i="2"/>
  <c r="J5688" i="2"/>
  <c r="H5688" i="2"/>
  <c r="J5687" i="2"/>
  <c r="H5687" i="2"/>
  <c r="J5686" i="2"/>
  <c r="H5686" i="2"/>
  <c r="J5685" i="2"/>
  <c r="H5685" i="2"/>
  <c r="J5684" i="2"/>
  <c r="H5684" i="2"/>
  <c r="J5683" i="2"/>
  <c r="H5683" i="2"/>
  <c r="J5682" i="2"/>
  <c r="H5682" i="2"/>
  <c r="J5681" i="2"/>
  <c r="H5681" i="2"/>
  <c r="J5680" i="2"/>
  <c r="H5680" i="2"/>
  <c r="J5679" i="2"/>
  <c r="H5679" i="2"/>
  <c r="J5678" i="2"/>
  <c r="H5678" i="2"/>
  <c r="J5677" i="2"/>
  <c r="H5677" i="2"/>
  <c r="J5676" i="2"/>
  <c r="H5676" i="2"/>
  <c r="J5675" i="2"/>
  <c r="H5675" i="2"/>
  <c r="J5674" i="2"/>
  <c r="H5674" i="2"/>
  <c r="J5673" i="2"/>
  <c r="H5673" i="2"/>
  <c r="J5672" i="2"/>
  <c r="H5672" i="2"/>
  <c r="J5671" i="2"/>
  <c r="H5671" i="2"/>
  <c r="J5670" i="2"/>
  <c r="H5670" i="2"/>
  <c r="J5669" i="2"/>
  <c r="H5669" i="2"/>
  <c r="J5668" i="2"/>
  <c r="H5668" i="2"/>
  <c r="J5667" i="2"/>
  <c r="H5667" i="2"/>
  <c r="J5666" i="2"/>
  <c r="H5666" i="2"/>
  <c r="J5665" i="2"/>
  <c r="H5665" i="2"/>
  <c r="J5664" i="2"/>
  <c r="H5664" i="2"/>
  <c r="J5663" i="2"/>
  <c r="H5663" i="2"/>
  <c r="J5662" i="2"/>
  <c r="H5662" i="2"/>
  <c r="J5661" i="2"/>
  <c r="H5661" i="2"/>
  <c r="J5660" i="2"/>
  <c r="H5660" i="2"/>
  <c r="J5659" i="2"/>
  <c r="H5659" i="2"/>
  <c r="J5658" i="2"/>
  <c r="H5658" i="2"/>
  <c r="J5657" i="2"/>
  <c r="H5657" i="2"/>
  <c r="J5656" i="2"/>
  <c r="H5656" i="2"/>
  <c r="J5655" i="2"/>
  <c r="H5655" i="2"/>
  <c r="J5654" i="2"/>
  <c r="H5654" i="2"/>
  <c r="J5653" i="2"/>
  <c r="H5653" i="2"/>
  <c r="J5652" i="2"/>
  <c r="H5652" i="2"/>
  <c r="J5651" i="2"/>
  <c r="H5651" i="2"/>
  <c r="J5650" i="2"/>
  <c r="H5650" i="2"/>
  <c r="J5649" i="2"/>
  <c r="H5649" i="2"/>
  <c r="J5648" i="2"/>
  <c r="H5648" i="2"/>
  <c r="J5647" i="2"/>
  <c r="H5647" i="2"/>
  <c r="J5646" i="2"/>
  <c r="H5646" i="2"/>
  <c r="J5645" i="2"/>
  <c r="H5645" i="2"/>
  <c r="J5644" i="2"/>
  <c r="H5644" i="2"/>
  <c r="J5643" i="2"/>
  <c r="H5643" i="2"/>
  <c r="J5642" i="2"/>
  <c r="H5642" i="2"/>
  <c r="J5641" i="2"/>
  <c r="H5641" i="2"/>
  <c r="J5640" i="2"/>
  <c r="H5640" i="2"/>
  <c r="J5639" i="2"/>
  <c r="H5639" i="2"/>
  <c r="J5638" i="2"/>
  <c r="H5638" i="2"/>
  <c r="J5637" i="2"/>
  <c r="H5637" i="2"/>
  <c r="J5636" i="2"/>
  <c r="H5636" i="2"/>
  <c r="J5635" i="2"/>
  <c r="H5635" i="2"/>
  <c r="J5634" i="2"/>
  <c r="H5634" i="2"/>
  <c r="J5633" i="2"/>
  <c r="H5633" i="2"/>
  <c r="J5632" i="2"/>
  <c r="H5632" i="2"/>
  <c r="J5631" i="2"/>
  <c r="H5631" i="2"/>
  <c r="J5630" i="2"/>
  <c r="H5630" i="2"/>
  <c r="J5629" i="2"/>
  <c r="H5629" i="2"/>
  <c r="J5628" i="2"/>
  <c r="H5628" i="2"/>
  <c r="J5627" i="2"/>
  <c r="H5627" i="2"/>
  <c r="J5626" i="2"/>
  <c r="H5626" i="2"/>
  <c r="J5625" i="2"/>
  <c r="H5625" i="2"/>
  <c r="J5624" i="2"/>
  <c r="H5624" i="2"/>
  <c r="J5623" i="2"/>
  <c r="H5623" i="2"/>
  <c r="J5622" i="2"/>
  <c r="H5622" i="2"/>
  <c r="J5621" i="2"/>
  <c r="H5621" i="2"/>
  <c r="J5620" i="2"/>
  <c r="H5620" i="2"/>
  <c r="J5619" i="2"/>
  <c r="H5619" i="2"/>
  <c r="J5618" i="2"/>
  <c r="H5618" i="2"/>
  <c r="J5617" i="2"/>
  <c r="H5617" i="2"/>
  <c r="J5616" i="2"/>
  <c r="H5616" i="2"/>
  <c r="J5615" i="2"/>
  <c r="H5615" i="2"/>
  <c r="J5614" i="2"/>
  <c r="H5614" i="2"/>
  <c r="J5613" i="2"/>
  <c r="H5613" i="2"/>
  <c r="J5612" i="2"/>
  <c r="H5612" i="2"/>
  <c r="J5611" i="2"/>
  <c r="H5611" i="2"/>
  <c r="J5610" i="2"/>
  <c r="H5610" i="2"/>
  <c r="J5609" i="2"/>
  <c r="H5609" i="2"/>
  <c r="J5608" i="2"/>
  <c r="H5608" i="2"/>
  <c r="J5607" i="2"/>
  <c r="H5607" i="2"/>
  <c r="J5606" i="2"/>
  <c r="H5606" i="2"/>
  <c r="J5605" i="2"/>
  <c r="H5605" i="2"/>
  <c r="J5604" i="2"/>
  <c r="H5604" i="2"/>
  <c r="J5603" i="2"/>
  <c r="H5603" i="2"/>
  <c r="J5602" i="2"/>
  <c r="H5602" i="2"/>
  <c r="J5601" i="2"/>
  <c r="H5601" i="2"/>
  <c r="J5600" i="2"/>
  <c r="H5600" i="2"/>
  <c r="J5599" i="2"/>
  <c r="H5599" i="2"/>
  <c r="J5598" i="2"/>
  <c r="H5598" i="2"/>
  <c r="J5597" i="2"/>
  <c r="H5597" i="2"/>
  <c r="J5596" i="2"/>
  <c r="H5596" i="2"/>
  <c r="J5595" i="2"/>
  <c r="H5595" i="2"/>
  <c r="J5594" i="2"/>
  <c r="H5594" i="2"/>
  <c r="J5593" i="2"/>
  <c r="H5593" i="2"/>
  <c r="J5592" i="2"/>
  <c r="H5592" i="2"/>
  <c r="J5591" i="2"/>
  <c r="H5591" i="2"/>
  <c r="J5590" i="2"/>
  <c r="H5590" i="2"/>
  <c r="J5589" i="2"/>
  <c r="H5589" i="2"/>
  <c r="J5588" i="2"/>
  <c r="H5588" i="2"/>
  <c r="J5587" i="2"/>
  <c r="H5587" i="2"/>
  <c r="J5586" i="2"/>
  <c r="H5586" i="2"/>
  <c r="J5585" i="2"/>
  <c r="H5585" i="2"/>
  <c r="J5584" i="2"/>
  <c r="H5584" i="2"/>
  <c r="J5583" i="2"/>
  <c r="H5583" i="2"/>
  <c r="J5582" i="2"/>
  <c r="H5582" i="2"/>
  <c r="J5581" i="2"/>
  <c r="H5581" i="2"/>
  <c r="J5580" i="2"/>
  <c r="H5580" i="2"/>
  <c r="J5579" i="2"/>
  <c r="H5579" i="2"/>
  <c r="J5578" i="2"/>
  <c r="H5578" i="2"/>
  <c r="J5577" i="2"/>
  <c r="H5577" i="2"/>
  <c r="J5576" i="2"/>
  <c r="H5576" i="2"/>
  <c r="J5575" i="2"/>
  <c r="H5575" i="2"/>
  <c r="J5574" i="2"/>
  <c r="H5574" i="2"/>
  <c r="J5573" i="2"/>
  <c r="H5573" i="2"/>
  <c r="J5572" i="2"/>
  <c r="H5572" i="2"/>
  <c r="J5571" i="2"/>
  <c r="H5571" i="2"/>
  <c r="J5570" i="2"/>
  <c r="H5570" i="2"/>
  <c r="J5569" i="2"/>
  <c r="H5569" i="2"/>
  <c r="J5568" i="2"/>
  <c r="H5568" i="2"/>
  <c r="J5567" i="2"/>
  <c r="H5567" i="2"/>
  <c r="J5566" i="2"/>
  <c r="H5566" i="2"/>
  <c r="J5565" i="2"/>
  <c r="H5565" i="2"/>
  <c r="J5564" i="2"/>
  <c r="H5564" i="2"/>
  <c r="J5563" i="2"/>
  <c r="H5563" i="2"/>
  <c r="J5562" i="2"/>
  <c r="H5562" i="2"/>
  <c r="J5561" i="2"/>
  <c r="H5561" i="2"/>
  <c r="J5560" i="2"/>
  <c r="H5560" i="2"/>
  <c r="J5559" i="2"/>
  <c r="H5559" i="2"/>
  <c r="J5558" i="2"/>
  <c r="H5558" i="2"/>
  <c r="J5557" i="2"/>
  <c r="H5557" i="2"/>
  <c r="J5556" i="2"/>
  <c r="H5556" i="2"/>
  <c r="J5555" i="2"/>
  <c r="H5555" i="2"/>
  <c r="J5554" i="2"/>
  <c r="H5554" i="2"/>
  <c r="J5553" i="2"/>
  <c r="H5553" i="2"/>
  <c r="J5552" i="2"/>
  <c r="H5552" i="2"/>
  <c r="J5551" i="2"/>
  <c r="H5551" i="2"/>
  <c r="J5550" i="2"/>
  <c r="H5550" i="2"/>
  <c r="J5549" i="2"/>
  <c r="H5549" i="2"/>
  <c r="J5548" i="2"/>
  <c r="H5548" i="2"/>
  <c r="J5547" i="2"/>
  <c r="H5547" i="2"/>
  <c r="J5546" i="2"/>
  <c r="H5546" i="2"/>
  <c r="J5545" i="2"/>
  <c r="H5545" i="2"/>
  <c r="J5544" i="2"/>
  <c r="H5544" i="2"/>
  <c r="J5543" i="2"/>
  <c r="H5543" i="2"/>
  <c r="J5542" i="2"/>
  <c r="H5542" i="2"/>
  <c r="J5541" i="2"/>
  <c r="H5541" i="2"/>
  <c r="J5540" i="2"/>
  <c r="H5540" i="2"/>
  <c r="J5539" i="2"/>
  <c r="H5539" i="2"/>
  <c r="J5538" i="2"/>
  <c r="H5538" i="2"/>
  <c r="J5537" i="2"/>
  <c r="H5537" i="2"/>
  <c r="J5536" i="2"/>
  <c r="H5536" i="2"/>
  <c r="J5535" i="2"/>
  <c r="H5535" i="2"/>
  <c r="J5534" i="2"/>
  <c r="H5534" i="2"/>
  <c r="J5533" i="2"/>
  <c r="H5533" i="2"/>
  <c r="J5532" i="2"/>
  <c r="H5532" i="2"/>
  <c r="J5531" i="2"/>
  <c r="H5531" i="2"/>
  <c r="J5530" i="2"/>
  <c r="H5530" i="2"/>
  <c r="J5529" i="2"/>
  <c r="H5529" i="2"/>
  <c r="J5528" i="2"/>
  <c r="H5528" i="2"/>
  <c r="J5527" i="2"/>
  <c r="H5527" i="2"/>
  <c r="J5526" i="2"/>
  <c r="H5526" i="2"/>
  <c r="J5525" i="2"/>
  <c r="H5525" i="2"/>
  <c r="J5524" i="2"/>
  <c r="H5524" i="2"/>
  <c r="J5523" i="2"/>
  <c r="H5523" i="2"/>
  <c r="J5522" i="2"/>
  <c r="H5522" i="2"/>
  <c r="J5521" i="2"/>
  <c r="H5521" i="2"/>
  <c r="J5520" i="2"/>
  <c r="H5520" i="2"/>
  <c r="J5519" i="2"/>
  <c r="H5519" i="2"/>
  <c r="J5518" i="2"/>
  <c r="H5518" i="2"/>
  <c r="J5517" i="2"/>
  <c r="H5517" i="2"/>
  <c r="J5516" i="2"/>
  <c r="H5516" i="2"/>
  <c r="J5515" i="2"/>
  <c r="H5515" i="2"/>
  <c r="J5514" i="2"/>
  <c r="H5514" i="2"/>
  <c r="J5513" i="2"/>
  <c r="H5513" i="2"/>
  <c r="J5512" i="2"/>
  <c r="H5512" i="2"/>
  <c r="J5511" i="2"/>
  <c r="H5511" i="2"/>
  <c r="J5510" i="2"/>
  <c r="H5510" i="2"/>
  <c r="J5509" i="2"/>
  <c r="H5509" i="2"/>
  <c r="J5508" i="2"/>
  <c r="H5508" i="2"/>
  <c r="J5507" i="2"/>
  <c r="H5507" i="2"/>
  <c r="J5506" i="2"/>
  <c r="H5506" i="2"/>
  <c r="J5505" i="2"/>
  <c r="H5505" i="2"/>
  <c r="J5504" i="2"/>
  <c r="H5504" i="2"/>
  <c r="J5503" i="2"/>
  <c r="H5503" i="2"/>
  <c r="J5502" i="2"/>
  <c r="H5502" i="2"/>
  <c r="J5501" i="2"/>
  <c r="H5501" i="2"/>
  <c r="J5500" i="2"/>
  <c r="H5500" i="2"/>
  <c r="J5499" i="2"/>
  <c r="H5499" i="2"/>
  <c r="J5498" i="2"/>
  <c r="H5498" i="2"/>
  <c r="J5497" i="2"/>
  <c r="H5497" i="2"/>
  <c r="J5496" i="2"/>
  <c r="H5496" i="2"/>
  <c r="J5495" i="2"/>
  <c r="H5495" i="2"/>
  <c r="J5494" i="2"/>
  <c r="H5494" i="2"/>
  <c r="J5493" i="2"/>
  <c r="H5493" i="2"/>
  <c r="J5492" i="2"/>
  <c r="H5492" i="2"/>
  <c r="J5491" i="2"/>
  <c r="H5491" i="2"/>
  <c r="J5490" i="2"/>
  <c r="H5490" i="2"/>
  <c r="J5489" i="2"/>
  <c r="H5489" i="2"/>
  <c r="J5488" i="2"/>
  <c r="H5488" i="2"/>
  <c r="J5487" i="2"/>
  <c r="H5487" i="2"/>
  <c r="J5486" i="2"/>
  <c r="H5486" i="2"/>
  <c r="J5485" i="2"/>
  <c r="H5485" i="2"/>
  <c r="J5484" i="2"/>
  <c r="H5484" i="2"/>
  <c r="J5483" i="2"/>
  <c r="H5483" i="2"/>
  <c r="J5482" i="2"/>
  <c r="H5482" i="2"/>
  <c r="J5481" i="2"/>
  <c r="H5481" i="2"/>
  <c r="J5480" i="2"/>
  <c r="H5480" i="2"/>
  <c r="J5479" i="2"/>
  <c r="H5479" i="2"/>
  <c r="J5478" i="2"/>
  <c r="H5478" i="2"/>
  <c r="J5477" i="2"/>
  <c r="H5477" i="2"/>
  <c r="J5476" i="2"/>
  <c r="H5476" i="2"/>
  <c r="J5475" i="2"/>
  <c r="H5475" i="2"/>
  <c r="J5474" i="2"/>
  <c r="H5474" i="2"/>
  <c r="J5473" i="2"/>
  <c r="H5473" i="2"/>
  <c r="J5472" i="2"/>
  <c r="H5472" i="2"/>
  <c r="J5471" i="2"/>
  <c r="H5471" i="2"/>
  <c r="J5470" i="2"/>
  <c r="H5470" i="2"/>
  <c r="J5469" i="2"/>
  <c r="H5469" i="2"/>
  <c r="J5468" i="2"/>
  <c r="H5468" i="2"/>
  <c r="J5467" i="2"/>
  <c r="H5467" i="2"/>
  <c r="J5466" i="2"/>
  <c r="H5466" i="2"/>
  <c r="J5465" i="2"/>
  <c r="H5465" i="2"/>
  <c r="J5464" i="2"/>
  <c r="H5464" i="2"/>
  <c r="J5463" i="2"/>
  <c r="H5463" i="2"/>
  <c r="J5462" i="2"/>
  <c r="H5462" i="2"/>
  <c r="J5461" i="2"/>
  <c r="H5461" i="2"/>
  <c r="J5460" i="2"/>
  <c r="H5460" i="2"/>
  <c r="J5459" i="2"/>
  <c r="H5459" i="2"/>
  <c r="J5458" i="2"/>
  <c r="H5458" i="2"/>
  <c r="J5457" i="2"/>
  <c r="H5457" i="2"/>
  <c r="J5456" i="2"/>
  <c r="H5456" i="2"/>
  <c r="J5455" i="2"/>
  <c r="H5455" i="2"/>
  <c r="J5454" i="2"/>
  <c r="H5454" i="2"/>
  <c r="J5453" i="2"/>
  <c r="H5453" i="2"/>
  <c r="J5452" i="2"/>
  <c r="H5452" i="2"/>
  <c r="J5451" i="2"/>
  <c r="H5451" i="2"/>
  <c r="J5450" i="2"/>
  <c r="H5450" i="2"/>
  <c r="J5449" i="2"/>
  <c r="H5449" i="2"/>
  <c r="J5448" i="2"/>
  <c r="H5448" i="2"/>
  <c r="J5447" i="2"/>
  <c r="H5447" i="2"/>
  <c r="J5446" i="2"/>
  <c r="H5446" i="2"/>
  <c r="J5445" i="2"/>
  <c r="H5445" i="2"/>
  <c r="J5444" i="2"/>
  <c r="H5444" i="2"/>
  <c r="J5443" i="2"/>
  <c r="H5443" i="2"/>
  <c r="J5442" i="2"/>
  <c r="H5442" i="2"/>
  <c r="J5441" i="2"/>
  <c r="H5441" i="2"/>
  <c r="J5440" i="2"/>
  <c r="H5440" i="2"/>
  <c r="J5439" i="2"/>
  <c r="H5439" i="2"/>
  <c r="J5438" i="2"/>
  <c r="H5438" i="2"/>
  <c r="J5437" i="2"/>
  <c r="H5437" i="2"/>
  <c r="J5436" i="2"/>
  <c r="H5436" i="2"/>
  <c r="J5435" i="2"/>
  <c r="H5435" i="2"/>
  <c r="J5434" i="2"/>
  <c r="H5434" i="2"/>
  <c r="J5433" i="2"/>
  <c r="H5433" i="2"/>
  <c r="J5432" i="2"/>
  <c r="H5432" i="2"/>
  <c r="J5431" i="2"/>
  <c r="H5431" i="2"/>
  <c r="J5430" i="2"/>
  <c r="H5430" i="2"/>
  <c r="J5429" i="2"/>
  <c r="H5429" i="2"/>
  <c r="J5428" i="2"/>
  <c r="H5428" i="2"/>
  <c r="J5427" i="2"/>
  <c r="H5427" i="2"/>
  <c r="J5426" i="2"/>
  <c r="H5426" i="2"/>
  <c r="J5425" i="2"/>
  <c r="H5425" i="2"/>
  <c r="J5424" i="2"/>
  <c r="H5424" i="2"/>
  <c r="J5423" i="2"/>
  <c r="H5423" i="2"/>
  <c r="J5422" i="2"/>
  <c r="H5422" i="2"/>
  <c r="J5421" i="2"/>
  <c r="H5421" i="2"/>
  <c r="J5420" i="2"/>
  <c r="H5420" i="2"/>
  <c r="J5419" i="2"/>
  <c r="H5419" i="2"/>
  <c r="J5418" i="2"/>
  <c r="H5418" i="2"/>
  <c r="J5417" i="2"/>
  <c r="H5417" i="2"/>
  <c r="J5416" i="2"/>
  <c r="H5416" i="2"/>
  <c r="J5415" i="2"/>
  <c r="H5415" i="2"/>
  <c r="J5414" i="2"/>
  <c r="H5414" i="2"/>
  <c r="J5413" i="2"/>
  <c r="H5413" i="2"/>
  <c r="J5412" i="2"/>
  <c r="H5412" i="2"/>
  <c r="J5411" i="2"/>
  <c r="H5411" i="2"/>
  <c r="J5410" i="2"/>
  <c r="H5410" i="2"/>
  <c r="J5409" i="2"/>
  <c r="H5409" i="2"/>
  <c r="J5408" i="2"/>
  <c r="H5408" i="2"/>
  <c r="J5407" i="2"/>
  <c r="H5407" i="2"/>
  <c r="J5406" i="2"/>
  <c r="H5406" i="2"/>
  <c r="J5405" i="2"/>
  <c r="H5405" i="2"/>
  <c r="J5404" i="2"/>
  <c r="H5404" i="2"/>
  <c r="J5403" i="2"/>
  <c r="H5403" i="2"/>
  <c r="J5402" i="2"/>
  <c r="H5402" i="2"/>
  <c r="J5401" i="2"/>
  <c r="H5401" i="2"/>
  <c r="J5400" i="2"/>
  <c r="H5400" i="2"/>
  <c r="J5399" i="2"/>
  <c r="H5399" i="2"/>
  <c r="J5398" i="2"/>
  <c r="H5398" i="2"/>
  <c r="J5397" i="2"/>
  <c r="H5397" i="2"/>
  <c r="J5396" i="2"/>
  <c r="H5396" i="2"/>
  <c r="J5395" i="2"/>
  <c r="H5395" i="2"/>
  <c r="J5394" i="2"/>
  <c r="H5394" i="2"/>
  <c r="J5393" i="2"/>
  <c r="H5393" i="2"/>
  <c r="J5392" i="2"/>
  <c r="H5392" i="2"/>
  <c r="J5391" i="2"/>
  <c r="H5391" i="2"/>
  <c r="J5390" i="2"/>
  <c r="H5390" i="2"/>
  <c r="J5389" i="2"/>
  <c r="H5389" i="2"/>
  <c r="J5388" i="2"/>
  <c r="H5388" i="2"/>
  <c r="J5387" i="2"/>
  <c r="H5387" i="2"/>
  <c r="J5386" i="2"/>
  <c r="H5386" i="2"/>
  <c r="J5385" i="2"/>
  <c r="H5385" i="2"/>
  <c r="J5384" i="2"/>
  <c r="H5384" i="2"/>
  <c r="J5383" i="2"/>
  <c r="H5383" i="2"/>
  <c r="J5382" i="2"/>
  <c r="H5382" i="2"/>
  <c r="J5381" i="2"/>
  <c r="H5381" i="2"/>
  <c r="J5380" i="2"/>
  <c r="H5380" i="2"/>
  <c r="J5379" i="2"/>
  <c r="H5379" i="2"/>
  <c r="J5378" i="2"/>
  <c r="H5378" i="2"/>
  <c r="J5377" i="2"/>
  <c r="H5377" i="2"/>
  <c r="J5376" i="2"/>
  <c r="H5376" i="2"/>
  <c r="J5375" i="2"/>
  <c r="H5375" i="2"/>
  <c r="J5374" i="2"/>
  <c r="H5374" i="2"/>
  <c r="J5373" i="2"/>
  <c r="H5373" i="2"/>
  <c r="J5372" i="2"/>
  <c r="H5372" i="2"/>
  <c r="J5371" i="2"/>
  <c r="H5371" i="2"/>
  <c r="J5370" i="2"/>
  <c r="H5370" i="2"/>
  <c r="J5369" i="2"/>
  <c r="H5369" i="2"/>
  <c r="J5368" i="2"/>
  <c r="H5368" i="2"/>
  <c r="J5367" i="2"/>
  <c r="H5367" i="2"/>
  <c r="J5366" i="2"/>
  <c r="H5366" i="2"/>
  <c r="J5365" i="2"/>
  <c r="H5365" i="2"/>
  <c r="J5364" i="2"/>
  <c r="H5364" i="2"/>
  <c r="J5363" i="2"/>
  <c r="H5363" i="2"/>
  <c r="J5362" i="2"/>
  <c r="H5362" i="2"/>
  <c r="J5361" i="2"/>
  <c r="H5361" i="2"/>
  <c r="J5360" i="2"/>
  <c r="H5360" i="2"/>
  <c r="J5359" i="2"/>
  <c r="H5359" i="2"/>
  <c r="J5358" i="2"/>
  <c r="H5358" i="2"/>
  <c r="J5357" i="2"/>
  <c r="H5357" i="2"/>
  <c r="J5356" i="2"/>
  <c r="H5356" i="2"/>
  <c r="J5355" i="2"/>
  <c r="H5355" i="2"/>
  <c r="J5354" i="2"/>
  <c r="H5354" i="2"/>
  <c r="J5353" i="2"/>
  <c r="H5353" i="2"/>
  <c r="J5352" i="2"/>
  <c r="H5352" i="2"/>
  <c r="J5351" i="2"/>
  <c r="H5351" i="2"/>
  <c r="J5350" i="2"/>
  <c r="H5350" i="2"/>
  <c r="J5349" i="2"/>
  <c r="H5349" i="2"/>
  <c r="J5348" i="2"/>
  <c r="H5348" i="2"/>
  <c r="J5347" i="2"/>
  <c r="H5347" i="2"/>
  <c r="J5346" i="2"/>
  <c r="H5346" i="2"/>
  <c r="J5345" i="2"/>
  <c r="H5345" i="2"/>
  <c r="J5344" i="2"/>
  <c r="H5344" i="2"/>
  <c r="J5343" i="2"/>
  <c r="H5343" i="2"/>
  <c r="J5342" i="2"/>
  <c r="H5342" i="2"/>
  <c r="J5341" i="2"/>
  <c r="H5341" i="2"/>
  <c r="J5340" i="2"/>
  <c r="H5340" i="2"/>
  <c r="J5339" i="2"/>
  <c r="H5339" i="2"/>
  <c r="J5338" i="2"/>
  <c r="H5338" i="2"/>
  <c r="J5337" i="2"/>
  <c r="H5337" i="2"/>
  <c r="J5336" i="2"/>
  <c r="H5336" i="2"/>
  <c r="J5335" i="2"/>
  <c r="H5335" i="2"/>
  <c r="J5334" i="2"/>
  <c r="H5334" i="2"/>
  <c r="J5333" i="2"/>
  <c r="H5333" i="2"/>
  <c r="J5332" i="2"/>
  <c r="H5332" i="2"/>
  <c r="J5331" i="2"/>
  <c r="H5331" i="2"/>
  <c r="J5330" i="2"/>
  <c r="H5330" i="2"/>
  <c r="J5329" i="2"/>
  <c r="H5329" i="2"/>
  <c r="J5328" i="2"/>
  <c r="H5328" i="2"/>
  <c r="J5327" i="2"/>
  <c r="H5327" i="2"/>
  <c r="J5326" i="2"/>
  <c r="H5326" i="2"/>
  <c r="J5325" i="2"/>
  <c r="H5325" i="2"/>
  <c r="J5324" i="2"/>
  <c r="H5324" i="2"/>
  <c r="J5323" i="2"/>
  <c r="H5323" i="2"/>
  <c r="J5322" i="2"/>
  <c r="H5322" i="2"/>
  <c r="J5321" i="2"/>
  <c r="H5321" i="2"/>
  <c r="J5320" i="2"/>
  <c r="H5320" i="2"/>
  <c r="J5319" i="2"/>
  <c r="H5319" i="2"/>
  <c r="J5318" i="2"/>
  <c r="H5318" i="2"/>
  <c r="J5317" i="2"/>
  <c r="H5317" i="2"/>
  <c r="J5316" i="2"/>
  <c r="H5316" i="2"/>
  <c r="J5315" i="2"/>
  <c r="H5315" i="2"/>
  <c r="J5314" i="2"/>
  <c r="H5314" i="2"/>
  <c r="J5313" i="2"/>
  <c r="H5313" i="2"/>
  <c r="J5312" i="2"/>
  <c r="H5312" i="2"/>
  <c r="J5311" i="2"/>
  <c r="H5311" i="2"/>
  <c r="J5310" i="2"/>
  <c r="H5310" i="2"/>
  <c r="J5309" i="2"/>
  <c r="H5309" i="2"/>
  <c r="J5308" i="2"/>
  <c r="H5308" i="2"/>
  <c r="J5307" i="2"/>
  <c r="H5307" i="2"/>
  <c r="J5306" i="2"/>
  <c r="H5306" i="2"/>
  <c r="J5305" i="2"/>
  <c r="H5305" i="2"/>
  <c r="J5304" i="2"/>
  <c r="H5304" i="2"/>
  <c r="J5303" i="2"/>
  <c r="H5303" i="2"/>
  <c r="J5302" i="2"/>
  <c r="H5302" i="2"/>
  <c r="J5301" i="2"/>
  <c r="H5301" i="2"/>
  <c r="J5300" i="2"/>
  <c r="H5300" i="2"/>
  <c r="J5299" i="2"/>
  <c r="H5299" i="2"/>
  <c r="J5298" i="2"/>
  <c r="H5298" i="2"/>
  <c r="J5297" i="2"/>
  <c r="H5297" i="2"/>
  <c r="J5296" i="2"/>
  <c r="H5296" i="2"/>
  <c r="J5295" i="2"/>
  <c r="H5295" i="2"/>
  <c r="J5294" i="2"/>
  <c r="H5294" i="2"/>
  <c r="J5293" i="2"/>
  <c r="H5293" i="2"/>
  <c r="J5292" i="2"/>
  <c r="H5292" i="2"/>
  <c r="J5291" i="2"/>
  <c r="H5291" i="2"/>
  <c r="J5290" i="2"/>
  <c r="H5290" i="2"/>
  <c r="J5289" i="2"/>
  <c r="H5289" i="2"/>
  <c r="J5288" i="2"/>
  <c r="H5288" i="2"/>
  <c r="J5287" i="2"/>
  <c r="H5287" i="2"/>
  <c r="J5286" i="2"/>
  <c r="H5286" i="2"/>
  <c r="J5285" i="2"/>
  <c r="H5285" i="2"/>
  <c r="J5284" i="2"/>
  <c r="H5284" i="2"/>
  <c r="J5283" i="2"/>
  <c r="H5283" i="2"/>
  <c r="J5282" i="2"/>
  <c r="H5282" i="2"/>
  <c r="J5281" i="2"/>
  <c r="H5281" i="2"/>
  <c r="J5280" i="2"/>
  <c r="H5280" i="2"/>
  <c r="J5279" i="2"/>
  <c r="H5279" i="2"/>
  <c r="J5278" i="2"/>
  <c r="H5278" i="2"/>
  <c r="J5277" i="2"/>
  <c r="H5277" i="2"/>
  <c r="J5276" i="2"/>
  <c r="H5276" i="2"/>
  <c r="J5275" i="2"/>
  <c r="H5275" i="2"/>
  <c r="J5274" i="2"/>
  <c r="H5274" i="2"/>
  <c r="J5273" i="2"/>
  <c r="H5273" i="2"/>
  <c r="J5272" i="2"/>
  <c r="H5272" i="2"/>
  <c r="J5271" i="2"/>
  <c r="H5271" i="2"/>
  <c r="J5270" i="2"/>
  <c r="H5270" i="2"/>
  <c r="J5269" i="2"/>
  <c r="H5269" i="2"/>
  <c r="J5268" i="2"/>
  <c r="H5268" i="2"/>
  <c r="J5267" i="2"/>
  <c r="H5267" i="2"/>
  <c r="J5266" i="2"/>
  <c r="H5266" i="2"/>
  <c r="J5265" i="2"/>
  <c r="H5265" i="2"/>
  <c r="J5264" i="2"/>
  <c r="H5264" i="2"/>
  <c r="J5263" i="2"/>
  <c r="H5263" i="2"/>
  <c r="J5262" i="2"/>
  <c r="H5262" i="2"/>
  <c r="J5261" i="2"/>
  <c r="H5261" i="2"/>
  <c r="J5260" i="2"/>
  <c r="H5260" i="2"/>
  <c r="J5259" i="2"/>
  <c r="H5259" i="2"/>
  <c r="J5258" i="2"/>
  <c r="H5258" i="2"/>
  <c r="J5257" i="2"/>
  <c r="H5257" i="2"/>
  <c r="J5256" i="2"/>
  <c r="H5256" i="2"/>
  <c r="J5255" i="2"/>
  <c r="H5255" i="2"/>
  <c r="J5254" i="2"/>
  <c r="H5254" i="2"/>
  <c r="J5253" i="2"/>
  <c r="H5253" i="2"/>
  <c r="J5252" i="2"/>
  <c r="H5252" i="2"/>
  <c r="J5251" i="2"/>
  <c r="H5251" i="2"/>
  <c r="J5250" i="2"/>
  <c r="H5250" i="2"/>
  <c r="J5249" i="2"/>
  <c r="H5249" i="2"/>
  <c r="J5248" i="2"/>
  <c r="H5248" i="2"/>
  <c r="J5247" i="2"/>
  <c r="H5247" i="2"/>
  <c r="J5246" i="2"/>
  <c r="H5246" i="2"/>
  <c r="J5245" i="2"/>
  <c r="H5245" i="2"/>
  <c r="J5244" i="2"/>
  <c r="H5244" i="2"/>
  <c r="J5243" i="2"/>
  <c r="H5243" i="2"/>
  <c r="J5242" i="2"/>
  <c r="H5242" i="2"/>
  <c r="J5241" i="2"/>
  <c r="H5241" i="2"/>
  <c r="J5240" i="2"/>
  <c r="H5240" i="2"/>
  <c r="J5239" i="2"/>
  <c r="H5239" i="2"/>
  <c r="J5238" i="2"/>
  <c r="H5238" i="2"/>
  <c r="J5237" i="2"/>
  <c r="H5237" i="2"/>
  <c r="J5236" i="2"/>
  <c r="H5236" i="2"/>
  <c r="J5235" i="2"/>
  <c r="H5235" i="2"/>
  <c r="J5234" i="2"/>
  <c r="H5234" i="2"/>
  <c r="J5233" i="2"/>
  <c r="H5233" i="2"/>
  <c r="J5232" i="2"/>
  <c r="H5232" i="2"/>
  <c r="J5231" i="2"/>
  <c r="H5231" i="2"/>
  <c r="J5230" i="2"/>
  <c r="H5230" i="2"/>
  <c r="J5229" i="2"/>
  <c r="H5229" i="2"/>
  <c r="J5228" i="2"/>
  <c r="H5228" i="2"/>
  <c r="J5227" i="2"/>
  <c r="H5227" i="2"/>
  <c r="J5226" i="2"/>
  <c r="H5226" i="2"/>
  <c r="J5225" i="2"/>
  <c r="H5225" i="2"/>
  <c r="J5224" i="2"/>
  <c r="H5224" i="2"/>
  <c r="J5223" i="2"/>
  <c r="H5223" i="2"/>
  <c r="J5222" i="2"/>
  <c r="H5222" i="2"/>
  <c r="J5221" i="2"/>
  <c r="H5221" i="2"/>
  <c r="J5220" i="2"/>
  <c r="H5220" i="2"/>
  <c r="J5219" i="2"/>
  <c r="H5219" i="2"/>
  <c r="J5218" i="2"/>
  <c r="H5218" i="2"/>
  <c r="J5217" i="2"/>
  <c r="H5217" i="2"/>
  <c r="J5216" i="2"/>
  <c r="H5216" i="2"/>
  <c r="J5215" i="2"/>
  <c r="H5215" i="2"/>
  <c r="J5214" i="2"/>
  <c r="H5214" i="2"/>
  <c r="J5213" i="2"/>
  <c r="H5213" i="2"/>
  <c r="J5212" i="2"/>
  <c r="H5212" i="2"/>
  <c r="J5211" i="2"/>
  <c r="H5211" i="2"/>
  <c r="J5210" i="2"/>
  <c r="H5210" i="2"/>
  <c r="J5209" i="2"/>
  <c r="H5209" i="2"/>
  <c r="J5208" i="2"/>
  <c r="H5208" i="2"/>
  <c r="J5207" i="2"/>
  <c r="H5207" i="2"/>
  <c r="J5206" i="2"/>
  <c r="H5206" i="2"/>
  <c r="J5205" i="2"/>
  <c r="H5205" i="2"/>
  <c r="J5204" i="2"/>
  <c r="H5204" i="2"/>
  <c r="J5203" i="2"/>
  <c r="H5203" i="2"/>
  <c r="J5202" i="2"/>
  <c r="H5202" i="2"/>
  <c r="J5201" i="2"/>
  <c r="H5201" i="2"/>
  <c r="J5200" i="2"/>
  <c r="H5200" i="2"/>
  <c r="J5199" i="2"/>
  <c r="H5199" i="2"/>
  <c r="J5198" i="2"/>
  <c r="H5198" i="2"/>
  <c r="J5197" i="2"/>
  <c r="H5197" i="2"/>
  <c r="J5196" i="2"/>
  <c r="H5196" i="2"/>
  <c r="J5195" i="2"/>
  <c r="H5195" i="2"/>
  <c r="J5194" i="2"/>
  <c r="H5194" i="2"/>
  <c r="J5193" i="2"/>
  <c r="H5193" i="2"/>
  <c r="J5192" i="2"/>
  <c r="H5192" i="2"/>
  <c r="J5191" i="2"/>
  <c r="H5191" i="2"/>
  <c r="J5190" i="2"/>
  <c r="H5190" i="2"/>
  <c r="J5189" i="2"/>
  <c r="H5189" i="2"/>
  <c r="J5188" i="2"/>
  <c r="H5188" i="2"/>
  <c r="J5187" i="2"/>
  <c r="H5187" i="2"/>
  <c r="J5186" i="2"/>
  <c r="H5186" i="2"/>
  <c r="J5185" i="2"/>
  <c r="H5185" i="2"/>
  <c r="J5184" i="2"/>
  <c r="H5184" i="2"/>
  <c r="J5183" i="2"/>
  <c r="H5183" i="2"/>
  <c r="J5182" i="2"/>
  <c r="H5182" i="2"/>
  <c r="J5181" i="2"/>
  <c r="H5181" i="2"/>
  <c r="J5180" i="2"/>
  <c r="H5180" i="2"/>
  <c r="J5179" i="2"/>
  <c r="H5179" i="2"/>
  <c r="J5178" i="2"/>
  <c r="H5178" i="2"/>
  <c r="J5177" i="2"/>
  <c r="H5177" i="2"/>
  <c r="J5176" i="2"/>
  <c r="H5176" i="2"/>
  <c r="J5175" i="2"/>
  <c r="H5175" i="2"/>
  <c r="J5174" i="2"/>
  <c r="H5174" i="2"/>
  <c r="J5173" i="2"/>
  <c r="H5173" i="2"/>
  <c r="J5172" i="2"/>
  <c r="H5172" i="2"/>
  <c r="J5171" i="2"/>
  <c r="H5171" i="2"/>
  <c r="J5170" i="2"/>
  <c r="H5170" i="2"/>
  <c r="J5169" i="2"/>
  <c r="H5169" i="2"/>
  <c r="J5168" i="2"/>
  <c r="H5168" i="2"/>
  <c r="J5167" i="2"/>
  <c r="H5167" i="2"/>
  <c r="J5166" i="2"/>
  <c r="H5166" i="2"/>
  <c r="J5165" i="2"/>
  <c r="H5165" i="2"/>
  <c r="J5164" i="2"/>
  <c r="H5164" i="2"/>
  <c r="J5163" i="2"/>
  <c r="H5163" i="2"/>
  <c r="J5162" i="2"/>
  <c r="H5162" i="2"/>
  <c r="J5161" i="2"/>
  <c r="H5161" i="2"/>
  <c r="J5160" i="2"/>
  <c r="H5160" i="2"/>
  <c r="J5159" i="2"/>
  <c r="H5159" i="2"/>
  <c r="J5158" i="2"/>
  <c r="H5158" i="2"/>
  <c r="J5157" i="2"/>
  <c r="H5157" i="2"/>
  <c r="J5156" i="2"/>
  <c r="H5156" i="2"/>
  <c r="J5155" i="2"/>
  <c r="H5155" i="2"/>
  <c r="J5154" i="2"/>
  <c r="H5154" i="2"/>
  <c r="J5153" i="2"/>
  <c r="H5153" i="2"/>
  <c r="J5152" i="2"/>
  <c r="H5152" i="2"/>
  <c r="J5151" i="2"/>
  <c r="H5151" i="2"/>
  <c r="J5150" i="2"/>
  <c r="H5150" i="2"/>
  <c r="J5149" i="2"/>
  <c r="H5149" i="2"/>
  <c r="J5148" i="2"/>
  <c r="H5148" i="2"/>
  <c r="J5147" i="2"/>
  <c r="H5147" i="2"/>
  <c r="J5146" i="2"/>
  <c r="H5146" i="2"/>
  <c r="J5145" i="2"/>
  <c r="H5145" i="2"/>
  <c r="J5144" i="2"/>
  <c r="H5144" i="2"/>
  <c r="J5143" i="2"/>
  <c r="H5143" i="2"/>
  <c r="J5142" i="2"/>
  <c r="H5142" i="2"/>
  <c r="J5141" i="2"/>
  <c r="H5141" i="2"/>
  <c r="J5140" i="2"/>
  <c r="H5140" i="2"/>
  <c r="J5139" i="2"/>
  <c r="H5139" i="2"/>
  <c r="J5138" i="2"/>
  <c r="H5138" i="2"/>
  <c r="J5137" i="2"/>
  <c r="H5137" i="2"/>
  <c r="J5136" i="2"/>
  <c r="H5136" i="2"/>
  <c r="J5135" i="2"/>
  <c r="H5135" i="2"/>
  <c r="J5134" i="2"/>
  <c r="H5134" i="2"/>
  <c r="J5133" i="2"/>
  <c r="H5133" i="2"/>
  <c r="J5132" i="2"/>
  <c r="H5132" i="2"/>
  <c r="J5131" i="2"/>
  <c r="H5131" i="2"/>
  <c r="J5130" i="2"/>
  <c r="H5130" i="2"/>
  <c r="J5129" i="2"/>
  <c r="H5129" i="2"/>
  <c r="J5128" i="2"/>
  <c r="H5128" i="2"/>
  <c r="J5127" i="2"/>
  <c r="H5127" i="2"/>
  <c r="J5126" i="2"/>
  <c r="H5126" i="2"/>
  <c r="J5125" i="2"/>
  <c r="H5125" i="2"/>
  <c r="J5124" i="2"/>
  <c r="H5124" i="2"/>
  <c r="J5123" i="2"/>
  <c r="H5123" i="2"/>
  <c r="J5122" i="2"/>
  <c r="H5122" i="2"/>
  <c r="J5121" i="2"/>
  <c r="H5121" i="2"/>
  <c r="J5120" i="2"/>
  <c r="H5120" i="2"/>
  <c r="J5119" i="2"/>
  <c r="H5119" i="2"/>
  <c r="J5118" i="2"/>
  <c r="H5118" i="2"/>
  <c r="J5117" i="2"/>
  <c r="H5117" i="2"/>
  <c r="J5116" i="2"/>
  <c r="H5116" i="2"/>
  <c r="J5115" i="2"/>
  <c r="H5115" i="2"/>
  <c r="J5114" i="2"/>
  <c r="H5114" i="2"/>
  <c r="J5113" i="2"/>
  <c r="H5113" i="2"/>
  <c r="J5112" i="2"/>
  <c r="H5112" i="2"/>
  <c r="J5111" i="2"/>
  <c r="H5111" i="2"/>
  <c r="J5110" i="2"/>
  <c r="H5110" i="2"/>
  <c r="J5109" i="2"/>
  <c r="H5109" i="2"/>
  <c r="J5108" i="2"/>
  <c r="H5108" i="2"/>
  <c r="J5107" i="2"/>
  <c r="H5107" i="2"/>
  <c r="J5106" i="2"/>
  <c r="H5106" i="2"/>
  <c r="J5105" i="2"/>
  <c r="H5105" i="2"/>
  <c r="J5104" i="2"/>
  <c r="H5104" i="2"/>
  <c r="J5103" i="2"/>
  <c r="H5103" i="2"/>
  <c r="J5102" i="2"/>
  <c r="H5102" i="2"/>
  <c r="J5101" i="2"/>
  <c r="H5101" i="2"/>
  <c r="J5100" i="2"/>
  <c r="H5100" i="2"/>
  <c r="J5099" i="2"/>
  <c r="H5099" i="2"/>
  <c r="J5098" i="2"/>
  <c r="H5098" i="2"/>
  <c r="J5097" i="2"/>
  <c r="H5097" i="2"/>
  <c r="J5096" i="2"/>
  <c r="H5096" i="2"/>
  <c r="J5095" i="2"/>
  <c r="H5095" i="2"/>
  <c r="J5094" i="2"/>
  <c r="H5094" i="2"/>
  <c r="J5093" i="2"/>
  <c r="H5093" i="2"/>
  <c r="J5092" i="2"/>
  <c r="H5092" i="2"/>
  <c r="J5091" i="2"/>
  <c r="H5091" i="2"/>
  <c r="J5090" i="2"/>
  <c r="H5090" i="2"/>
  <c r="J5089" i="2"/>
  <c r="H5089" i="2"/>
  <c r="J5088" i="2"/>
  <c r="H5088" i="2"/>
  <c r="J5087" i="2"/>
  <c r="H5087" i="2"/>
  <c r="J5086" i="2"/>
  <c r="H5086" i="2"/>
  <c r="J5085" i="2"/>
  <c r="H5085" i="2"/>
  <c r="J5084" i="2"/>
  <c r="H5084" i="2"/>
  <c r="J5083" i="2"/>
  <c r="H5083" i="2"/>
  <c r="J5082" i="2"/>
  <c r="H5082" i="2"/>
  <c r="J5081" i="2"/>
  <c r="H5081" i="2"/>
  <c r="J5080" i="2"/>
  <c r="H5080" i="2"/>
  <c r="J5079" i="2"/>
  <c r="H5079" i="2"/>
  <c r="J5078" i="2"/>
  <c r="H5078" i="2"/>
  <c r="J5077" i="2"/>
  <c r="H5077" i="2"/>
  <c r="J5076" i="2"/>
  <c r="H5076" i="2"/>
  <c r="J5075" i="2"/>
  <c r="H5075" i="2"/>
  <c r="J5074" i="2"/>
  <c r="H5074" i="2"/>
  <c r="J5073" i="2"/>
  <c r="H5073" i="2"/>
  <c r="J5072" i="2"/>
  <c r="H5072" i="2"/>
  <c r="J5071" i="2"/>
  <c r="H5071" i="2"/>
  <c r="J5070" i="2"/>
  <c r="H5070" i="2"/>
  <c r="J5069" i="2"/>
  <c r="H5069" i="2"/>
  <c r="J5068" i="2"/>
  <c r="H5068" i="2"/>
  <c r="J5067" i="2"/>
  <c r="H5067" i="2"/>
  <c r="J5066" i="2"/>
  <c r="H5066" i="2"/>
  <c r="J5065" i="2"/>
  <c r="H5065" i="2"/>
  <c r="J5064" i="2"/>
  <c r="H5064" i="2"/>
  <c r="J5063" i="2"/>
  <c r="H5063" i="2"/>
  <c r="J5062" i="2"/>
  <c r="H5062" i="2"/>
  <c r="J5061" i="2"/>
  <c r="H5061" i="2"/>
  <c r="J5060" i="2"/>
  <c r="H5060" i="2"/>
  <c r="J5059" i="2"/>
  <c r="H5059" i="2"/>
  <c r="J5058" i="2"/>
  <c r="H5058" i="2"/>
  <c r="J5057" i="2"/>
  <c r="H5057" i="2"/>
  <c r="J5056" i="2"/>
  <c r="H5056" i="2"/>
  <c r="J5055" i="2"/>
  <c r="H5055" i="2"/>
  <c r="J5054" i="2"/>
  <c r="H5054" i="2"/>
  <c r="J5053" i="2"/>
  <c r="H5053" i="2"/>
  <c r="J5052" i="2"/>
  <c r="H5052" i="2"/>
  <c r="J5051" i="2"/>
  <c r="H5051" i="2"/>
  <c r="J5050" i="2"/>
  <c r="H5050" i="2"/>
  <c r="J5049" i="2"/>
  <c r="H5049" i="2"/>
  <c r="J5048" i="2"/>
  <c r="H5048" i="2"/>
  <c r="J5047" i="2"/>
  <c r="H5047" i="2"/>
  <c r="J5046" i="2"/>
  <c r="H5046" i="2"/>
  <c r="J5045" i="2"/>
  <c r="H5045" i="2"/>
  <c r="J5044" i="2"/>
  <c r="H5044" i="2"/>
  <c r="J5043" i="2"/>
  <c r="H5043" i="2"/>
  <c r="J5042" i="2"/>
  <c r="H5042" i="2"/>
  <c r="J5041" i="2"/>
  <c r="H5041" i="2"/>
  <c r="J5040" i="2"/>
  <c r="H5040" i="2"/>
  <c r="J5039" i="2"/>
  <c r="H5039" i="2"/>
  <c r="J5038" i="2"/>
  <c r="H5038" i="2"/>
  <c r="J5037" i="2"/>
  <c r="H5037" i="2"/>
  <c r="J5036" i="2"/>
  <c r="H5036" i="2"/>
  <c r="J5035" i="2"/>
  <c r="H5035" i="2"/>
  <c r="J5034" i="2"/>
  <c r="H5034" i="2"/>
  <c r="J5033" i="2"/>
  <c r="H5033" i="2"/>
  <c r="J5032" i="2"/>
  <c r="H5032" i="2"/>
  <c r="J5031" i="2"/>
  <c r="H5031" i="2"/>
  <c r="J5030" i="2"/>
  <c r="H5030" i="2"/>
  <c r="J5029" i="2"/>
  <c r="H5029" i="2"/>
  <c r="J5028" i="2"/>
  <c r="H5028" i="2"/>
  <c r="J5027" i="2"/>
  <c r="H5027" i="2"/>
  <c r="J5026" i="2"/>
  <c r="H5026" i="2"/>
  <c r="J5025" i="2"/>
  <c r="H5025" i="2"/>
  <c r="J5024" i="2"/>
  <c r="H5024" i="2"/>
  <c r="J5023" i="2"/>
  <c r="H5023" i="2"/>
  <c r="J5022" i="2"/>
  <c r="H5022" i="2"/>
  <c r="J5021" i="2"/>
  <c r="H5021" i="2"/>
  <c r="J5020" i="2"/>
  <c r="H5020" i="2"/>
  <c r="J5019" i="2"/>
  <c r="H5019" i="2"/>
  <c r="J5018" i="2"/>
  <c r="H5018" i="2"/>
  <c r="J5017" i="2"/>
  <c r="H5017" i="2"/>
  <c r="J5016" i="2"/>
  <c r="H5016" i="2"/>
  <c r="J5015" i="2"/>
  <c r="H5015" i="2"/>
  <c r="J5014" i="2"/>
  <c r="H5014" i="2"/>
  <c r="J5013" i="2"/>
  <c r="H5013" i="2"/>
  <c r="J5012" i="2"/>
  <c r="H5012" i="2"/>
  <c r="J5011" i="2"/>
  <c r="H5011" i="2"/>
  <c r="J5010" i="2"/>
  <c r="H5010" i="2"/>
  <c r="J5009" i="2"/>
  <c r="H5009" i="2"/>
  <c r="J5008" i="2"/>
  <c r="H5008" i="2"/>
  <c r="J5007" i="2"/>
  <c r="H5007" i="2"/>
  <c r="J5006" i="2"/>
  <c r="H5006" i="2"/>
  <c r="J5005" i="2"/>
  <c r="H5005" i="2"/>
  <c r="J5004" i="2"/>
  <c r="H5004" i="2"/>
  <c r="J5003" i="2"/>
  <c r="H5003" i="2"/>
  <c r="J5002" i="2"/>
  <c r="H5002" i="2"/>
  <c r="J5001" i="2"/>
  <c r="H5001" i="2"/>
  <c r="J5000" i="2"/>
  <c r="H5000" i="2"/>
  <c r="J4999" i="2"/>
  <c r="H4999" i="2"/>
  <c r="J4998" i="2"/>
  <c r="H4998" i="2"/>
  <c r="J4997" i="2"/>
  <c r="H4997" i="2"/>
  <c r="J4996" i="2"/>
  <c r="H4996" i="2"/>
  <c r="J4995" i="2"/>
  <c r="H4995" i="2"/>
  <c r="J4994" i="2"/>
  <c r="H4994" i="2"/>
  <c r="J4993" i="2"/>
  <c r="H4993" i="2"/>
  <c r="J4992" i="2"/>
  <c r="H4992" i="2"/>
  <c r="J4991" i="2"/>
  <c r="H4991" i="2"/>
  <c r="J4990" i="2"/>
  <c r="H4990" i="2"/>
  <c r="J4989" i="2"/>
  <c r="H4989" i="2"/>
  <c r="J4988" i="2"/>
  <c r="H4988" i="2"/>
  <c r="J4987" i="2"/>
  <c r="H4987" i="2"/>
  <c r="J4986" i="2"/>
  <c r="H4986" i="2"/>
  <c r="J4985" i="2"/>
  <c r="H4985" i="2"/>
  <c r="J4984" i="2"/>
  <c r="H4984" i="2"/>
  <c r="J4983" i="2"/>
  <c r="H4983" i="2"/>
  <c r="J4982" i="2"/>
  <c r="H4982" i="2"/>
  <c r="J4981" i="2"/>
  <c r="H4981" i="2"/>
  <c r="J4980" i="2"/>
  <c r="H4980" i="2"/>
  <c r="J4979" i="2"/>
  <c r="H4979" i="2"/>
  <c r="J4978" i="2"/>
  <c r="H4978" i="2"/>
  <c r="J4977" i="2"/>
  <c r="H4977" i="2"/>
  <c r="J4976" i="2"/>
  <c r="H4976" i="2"/>
  <c r="J4975" i="2"/>
  <c r="H4975" i="2"/>
  <c r="J4974" i="2"/>
  <c r="H4974" i="2"/>
  <c r="J4973" i="2"/>
  <c r="H4973" i="2"/>
  <c r="J4972" i="2"/>
  <c r="H4972" i="2"/>
  <c r="J4971" i="2"/>
  <c r="H4971" i="2"/>
  <c r="J4970" i="2"/>
  <c r="H4970" i="2"/>
  <c r="J4969" i="2"/>
  <c r="H4969" i="2"/>
  <c r="J4968" i="2"/>
  <c r="H4968" i="2"/>
  <c r="J4967" i="2"/>
  <c r="H4967" i="2"/>
  <c r="J4966" i="2"/>
  <c r="H4966" i="2"/>
  <c r="J4965" i="2"/>
  <c r="H4965" i="2"/>
  <c r="J4964" i="2"/>
  <c r="H4964" i="2"/>
  <c r="J4963" i="2"/>
  <c r="H4963" i="2"/>
  <c r="J4962" i="2"/>
  <c r="H4962" i="2"/>
  <c r="J4961" i="2"/>
  <c r="H4961" i="2"/>
  <c r="J4960" i="2"/>
  <c r="H4960" i="2"/>
  <c r="J4959" i="2"/>
  <c r="H4959" i="2"/>
  <c r="J4958" i="2"/>
  <c r="H4958" i="2"/>
  <c r="J4957" i="2"/>
  <c r="H4957" i="2"/>
  <c r="J4956" i="2"/>
  <c r="H4956" i="2"/>
  <c r="J4955" i="2"/>
  <c r="H4955" i="2"/>
  <c r="J4954" i="2"/>
  <c r="H4954" i="2"/>
  <c r="J4953" i="2"/>
  <c r="H4953" i="2"/>
  <c r="J4952" i="2"/>
  <c r="H4952" i="2"/>
  <c r="J4951" i="2"/>
  <c r="H4951" i="2"/>
  <c r="J4950" i="2"/>
  <c r="H4950" i="2"/>
  <c r="J4949" i="2"/>
  <c r="H4949" i="2"/>
  <c r="J4948" i="2"/>
  <c r="H4948" i="2"/>
  <c r="J4947" i="2"/>
  <c r="H4947" i="2"/>
  <c r="J4946" i="2"/>
  <c r="H4946" i="2"/>
  <c r="J4945" i="2"/>
  <c r="H4945" i="2"/>
  <c r="J4944" i="2"/>
  <c r="H4944" i="2"/>
  <c r="J4943" i="2"/>
  <c r="H4943" i="2"/>
  <c r="J4942" i="2"/>
  <c r="H4942" i="2"/>
  <c r="J4941" i="2"/>
  <c r="H4941" i="2"/>
  <c r="J4940" i="2"/>
  <c r="H4940" i="2"/>
  <c r="J4939" i="2"/>
  <c r="H4939" i="2"/>
  <c r="J4938" i="2"/>
  <c r="H4938" i="2"/>
  <c r="J4937" i="2"/>
  <c r="H4937" i="2"/>
  <c r="J4936" i="2"/>
  <c r="H4936" i="2"/>
  <c r="J4935" i="2"/>
  <c r="H4935" i="2"/>
  <c r="J4934" i="2"/>
  <c r="H4934" i="2"/>
  <c r="J4933" i="2"/>
  <c r="H4933" i="2"/>
  <c r="J4932" i="2"/>
  <c r="H4932" i="2"/>
  <c r="J4931" i="2"/>
  <c r="H4931" i="2"/>
  <c r="J4930" i="2"/>
  <c r="H4930" i="2"/>
  <c r="J4929" i="2"/>
  <c r="H4929" i="2"/>
  <c r="J4928" i="2"/>
  <c r="H4928" i="2"/>
  <c r="J4927" i="2"/>
  <c r="H4927" i="2"/>
  <c r="J4926" i="2"/>
  <c r="H4926" i="2"/>
  <c r="J4925" i="2"/>
  <c r="H4925" i="2"/>
  <c r="J4924" i="2"/>
  <c r="H4924" i="2"/>
  <c r="J4923" i="2"/>
  <c r="H4923" i="2"/>
  <c r="J4922" i="2"/>
  <c r="H4922" i="2"/>
  <c r="J4921" i="2"/>
  <c r="H4921" i="2"/>
  <c r="J4920" i="2"/>
  <c r="H4920" i="2"/>
  <c r="J4919" i="2"/>
  <c r="H4919" i="2"/>
  <c r="J4918" i="2"/>
  <c r="H4918" i="2"/>
  <c r="J4917" i="2"/>
  <c r="H4917" i="2"/>
  <c r="J4916" i="2"/>
  <c r="H4916" i="2"/>
  <c r="J4915" i="2"/>
  <c r="H4915" i="2"/>
  <c r="J4914" i="2"/>
  <c r="H4914" i="2"/>
  <c r="J4913" i="2"/>
  <c r="H4913" i="2"/>
  <c r="J4912" i="2"/>
  <c r="H4912" i="2"/>
  <c r="J4911" i="2"/>
  <c r="H4911" i="2"/>
  <c r="J4910" i="2"/>
  <c r="H4910" i="2"/>
  <c r="J4909" i="2"/>
  <c r="H4909" i="2"/>
  <c r="J4908" i="2"/>
  <c r="H4908" i="2"/>
  <c r="J4907" i="2"/>
  <c r="H4907" i="2"/>
  <c r="J4906" i="2"/>
  <c r="H4906" i="2"/>
  <c r="J4905" i="2"/>
  <c r="H4905" i="2"/>
  <c r="J4904" i="2"/>
  <c r="H4904" i="2"/>
  <c r="J4903" i="2"/>
  <c r="H4903" i="2"/>
  <c r="J4902" i="2"/>
  <c r="H4902" i="2"/>
  <c r="J4901" i="2"/>
  <c r="H4901" i="2"/>
  <c r="J4900" i="2"/>
  <c r="H4900" i="2"/>
  <c r="J4899" i="2"/>
  <c r="H4899" i="2"/>
  <c r="J4898" i="2"/>
  <c r="H4898" i="2"/>
  <c r="J4897" i="2"/>
  <c r="H4897" i="2"/>
  <c r="J4896" i="2"/>
  <c r="H4896" i="2"/>
  <c r="J4895" i="2"/>
  <c r="H4895" i="2"/>
  <c r="J4894" i="2"/>
  <c r="H4894" i="2"/>
  <c r="J4893" i="2"/>
  <c r="H4893" i="2"/>
  <c r="J4892" i="2"/>
  <c r="H4892" i="2"/>
  <c r="J4891" i="2"/>
  <c r="H4891" i="2"/>
  <c r="J4890" i="2"/>
  <c r="H4890" i="2"/>
  <c r="J4889" i="2"/>
  <c r="H4889" i="2"/>
  <c r="J4888" i="2"/>
  <c r="H4888" i="2"/>
  <c r="J4887" i="2"/>
  <c r="H4887" i="2"/>
  <c r="J4886" i="2"/>
  <c r="H4886" i="2"/>
  <c r="J4885" i="2"/>
  <c r="H4885" i="2"/>
  <c r="J4884" i="2"/>
  <c r="H4884" i="2"/>
  <c r="J4883" i="2"/>
  <c r="H4883" i="2"/>
  <c r="J4882" i="2"/>
  <c r="H4882" i="2"/>
  <c r="J4881" i="2"/>
  <c r="H4881" i="2"/>
  <c r="J4880" i="2"/>
  <c r="H4880" i="2"/>
  <c r="J4879" i="2"/>
  <c r="H4879" i="2"/>
  <c r="J4878" i="2"/>
  <c r="H4878" i="2"/>
  <c r="J4877" i="2"/>
  <c r="H4877" i="2"/>
  <c r="J4876" i="2"/>
  <c r="H4876" i="2"/>
  <c r="J4875" i="2"/>
  <c r="H4875" i="2"/>
  <c r="J4874" i="2"/>
  <c r="H4874" i="2"/>
  <c r="J4873" i="2"/>
  <c r="H4873" i="2"/>
  <c r="J4872" i="2"/>
  <c r="H4872" i="2"/>
  <c r="J4871" i="2"/>
  <c r="H4871" i="2"/>
  <c r="J4870" i="2"/>
  <c r="H4870" i="2"/>
  <c r="J4869" i="2"/>
  <c r="H4869" i="2"/>
  <c r="J4868" i="2"/>
  <c r="H4868" i="2"/>
  <c r="J4867" i="2"/>
  <c r="H4867" i="2"/>
  <c r="J4866" i="2"/>
  <c r="H4866" i="2"/>
  <c r="J4865" i="2"/>
  <c r="H4865" i="2"/>
  <c r="J4864" i="2"/>
  <c r="H4864" i="2"/>
  <c r="J4863" i="2"/>
  <c r="H4863" i="2"/>
  <c r="J4862" i="2"/>
  <c r="H4862" i="2"/>
  <c r="J4861" i="2"/>
  <c r="H4861" i="2"/>
  <c r="J4860" i="2"/>
  <c r="H4860" i="2"/>
  <c r="J4859" i="2"/>
  <c r="H4859" i="2"/>
  <c r="J4858" i="2"/>
  <c r="H4858" i="2"/>
  <c r="J4857" i="2"/>
  <c r="H4857" i="2"/>
  <c r="J4856" i="2"/>
  <c r="H4856" i="2"/>
  <c r="J4855" i="2"/>
  <c r="H4855" i="2"/>
  <c r="J4854" i="2"/>
  <c r="H4854" i="2"/>
  <c r="J4853" i="2"/>
  <c r="H4853" i="2"/>
  <c r="J4852" i="2"/>
  <c r="H4852" i="2"/>
  <c r="J4851" i="2"/>
  <c r="H4851" i="2"/>
  <c r="J4850" i="2"/>
  <c r="H4850" i="2"/>
  <c r="J4849" i="2"/>
  <c r="H4849" i="2"/>
  <c r="J4848" i="2"/>
  <c r="H4848" i="2"/>
  <c r="J4847" i="2"/>
  <c r="H4847" i="2"/>
  <c r="J4846" i="2"/>
  <c r="H4846" i="2"/>
  <c r="J4845" i="2"/>
  <c r="H4845" i="2"/>
  <c r="J4844" i="2"/>
  <c r="H4844" i="2"/>
  <c r="J4843" i="2"/>
  <c r="H4843" i="2"/>
  <c r="J4842" i="2"/>
  <c r="H4842" i="2"/>
  <c r="J4841" i="2"/>
  <c r="H4841" i="2"/>
  <c r="J4840" i="2"/>
  <c r="H4840" i="2"/>
  <c r="J4839" i="2"/>
  <c r="H4839" i="2"/>
  <c r="J4838" i="2"/>
  <c r="H4838" i="2"/>
  <c r="J4837" i="2"/>
  <c r="H4837" i="2"/>
  <c r="J4836" i="2"/>
  <c r="H4836" i="2"/>
  <c r="J4835" i="2"/>
  <c r="H4835" i="2"/>
  <c r="J4834" i="2"/>
  <c r="H4834" i="2"/>
  <c r="J4833" i="2"/>
  <c r="H4833" i="2"/>
  <c r="J4832" i="2"/>
  <c r="H4832" i="2"/>
  <c r="J4831" i="2"/>
  <c r="H4831" i="2"/>
  <c r="J4830" i="2"/>
  <c r="H4830" i="2"/>
  <c r="J4829" i="2"/>
  <c r="H4829" i="2"/>
  <c r="J4828" i="2"/>
  <c r="H4828" i="2"/>
  <c r="J4827" i="2"/>
  <c r="H4827" i="2"/>
  <c r="J4826" i="2"/>
  <c r="H4826" i="2"/>
  <c r="J4825" i="2"/>
  <c r="H4825" i="2"/>
  <c r="J4824" i="2"/>
  <c r="H4824" i="2"/>
  <c r="J4823" i="2"/>
  <c r="H4823" i="2"/>
  <c r="J4822" i="2"/>
  <c r="H4822" i="2"/>
  <c r="J4821" i="2"/>
  <c r="H4821" i="2"/>
  <c r="J4820" i="2"/>
  <c r="H4820" i="2"/>
  <c r="J4819" i="2"/>
  <c r="H4819" i="2"/>
  <c r="J4818" i="2"/>
  <c r="H4818" i="2"/>
  <c r="J4817" i="2"/>
  <c r="H4817" i="2"/>
  <c r="J4816" i="2"/>
  <c r="H4816" i="2"/>
  <c r="J4815" i="2"/>
  <c r="H4815" i="2"/>
  <c r="J4814" i="2"/>
  <c r="H4814" i="2"/>
  <c r="J4813" i="2"/>
  <c r="H4813" i="2"/>
  <c r="J4812" i="2"/>
  <c r="H4812" i="2"/>
  <c r="J4811" i="2"/>
  <c r="H4811" i="2"/>
  <c r="J4810" i="2"/>
  <c r="H4810" i="2"/>
  <c r="J4809" i="2"/>
  <c r="H4809" i="2"/>
  <c r="J4808" i="2"/>
  <c r="H4808" i="2"/>
  <c r="J4807" i="2"/>
  <c r="H4807" i="2"/>
  <c r="J4806" i="2"/>
  <c r="H4806" i="2"/>
  <c r="J4805" i="2"/>
  <c r="H4805" i="2"/>
  <c r="J4804" i="2"/>
  <c r="H4804" i="2"/>
  <c r="J4803" i="2"/>
  <c r="H4803" i="2"/>
  <c r="J4802" i="2"/>
  <c r="H4802" i="2"/>
  <c r="J4801" i="2"/>
  <c r="H4801" i="2"/>
  <c r="J4800" i="2"/>
  <c r="H4800" i="2"/>
  <c r="J4799" i="2"/>
  <c r="H4799" i="2"/>
  <c r="J4798" i="2"/>
  <c r="H4798" i="2"/>
  <c r="J4797" i="2"/>
  <c r="H4797" i="2"/>
  <c r="J4796" i="2"/>
  <c r="H4796" i="2"/>
  <c r="J4795" i="2"/>
  <c r="H4795" i="2"/>
  <c r="J4794" i="2"/>
  <c r="H4794" i="2"/>
  <c r="J4793" i="2"/>
  <c r="H4793" i="2"/>
  <c r="J4792" i="2"/>
  <c r="H4792" i="2"/>
  <c r="J4791" i="2"/>
  <c r="H4791" i="2"/>
  <c r="J4790" i="2"/>
  <c r="H4790" i="2"/>
  <c r="J4789" i="2"/>
  <c r="H4789" i="2"/>
  <c r="J4788" i="2"/>
  <c r="H4788" i="2"/>
  <c r="J4787" i="2"/>
  <c r="H4787" i="2"/>
  <c r="J4786" i="2"/>
  <c r="H4786" i="2"/>
  <c r="J4785" i="2"/>
  <c r="H4785" i="2"/>
  <c r="J4784" i="2"/>
  <c r="H4784" i="2"/>
  <c r="J4783" i="2"/>
  <c r="H4783" i="2"/>
  <c r="J4782" i="2"/>
  <c r="H4782" i="2"/>
  <c r="J4781" i="2"/>
  <c r="H4781" i="2"/>
  <c r="J4780" i="2"/>
  <c r="H4780" i="2"/>
  <c r="J4779" i="2"/>
  <c r="H4779" i="2"/>
  <c r="J4778" i="2"/>
  <c r="H4778" i="2"/>
  <c r="J4777" i="2"/>
  <c r="H4777" i="2"/>
  <c r="J4776" i="2"/>
  <c r="H4776" i="2"/>
  <c r="J4775" i="2"/>
  <c r="H4775" i="2"/>
  <c r="J4774" i="2"/>
  <c r="H4774" i="2"/>
  <c r="J4773" i="2"/>
  <c r="H4773" i="2"/>
  <c r="J4772" i="2"/>
  <c r="H4772" i="2"/>
  <c r="J4771" i="2"/>
  <c r="H4771" i="2"/>
  <c r="J4770" i="2"/>
  <c r="H4770" i="2"/>
  <c r="J4769" i="2"/>
  <c r="H4769" i="2"/>
  <c r="J4768" i="2"/>
  <c r="H4768" i="2"/>
  <c r="J4767" i="2"/>
  <c r="H4767" i="2"/>
  <c r="J4766" i="2"/>
  <c r="H4766" i="2"/>
  <c r="J4765" i="2"/>
  <c r="H4765" i="2"/>
  <c r="J4764" i="2"/>
  <c r="H4764" i="2"/>
  <c r="J4763" i="2"/>
  <c r="H4763" i="2"/>
  <c r="J4762" i="2"/>
  <c r="H4762" i="2"/>
  <c r="J4761" i="2"/>
  <c r="H4761" i="2"/>
  <c r="J4760" i="2"/>
  <c r="H4760" i="2"/>
  <c r="J4759" i="2"/>
  <c r="H4759" i="2"/>
  <c r="J4758" i="2"/>
  <c r="H4758" i="2"/>
  <c r="J4757" i="2"/>
  <c r="H4757" i="2"/>
  <c r="J4756" i="2"/>
  <c r="H4756" i="2"/>
  <c r="J4755" i="2"/>
  <c r="H4755" i="2"/>
  <c r="J4754" i="2"/>
  <c r="H4754" i="2"/>
  <c r="J4753" i="2"/>
  <c r="H4753" i="2"/>
  <c r="J4752" i="2"/>
  <c r="H4752" i="2"/>
  <c r="J4751" i="2"/>
  <c r="H4751" i="2"/>
  <c r="J4750" i="2"/>
  <c r="H4750" i="2"/>
  <c r="J4749" i="2"/>
  <c r="H4749" i="2"/>
  <c r="J4748" i="2"/>
  <c r="H4748" i="2"/>
  <c r="J4747" i="2"/>
  <c r="H4747" i="2"/>
  <c r="J4746" i="2"/>
  <c r="H4746" i="2"/>
  <c r="J4745" i="2"/>
  <c r="H4745" i="2"/>
  <c r="J4744" i="2"/>
  <c r="H4744" i="2"/>
  <c r="J4743" i="2"/>
  <c r="H4743" i="2"/>
  <c r="J4742" i="2"/>
  <c r="H4742" i="2"/>
  <c r="J4741" i="2"/>
  <c r="H4741" i="2"/>
  <c r="J4740" i="2"/>
  <c r="H4740" i="2"/>
  <c r="J4739" i="2"/>
  <c r="H4739" i="2"/>
  <c r="J4738" i="2"/>
  <c r="H4738" i="2"/>
  <c r="J4737" i="2"/>
  <c r="H4737" i="2"/>
  <c r="J4736" i="2"/>
  <c r="H4736" i="2"/>
  <c r="J4735" i="2"/>
  <c r="H4735" i="2"/>
  <c r="J4734" i="2"/>
  <c r="H4734" i="2"/>
  <c r="J4733" i="2"/>
  <c r="H4733" i="2"/>
  <c r="J4732" i="2"/>
  <c r="H4732" i="2"/>
  <c r="J4731" i="2"/>
  <c r="H4731" i="2"/>
  <c r="J4730" i="2"/>
  <c r="H4730" i="2"/>
  <c r="J4729" i="2"/>
  <c r="H4729" i="2"/>
  <c r="J4728" i="2"/>
  <c r="H4728" i="2"/>
  <c r="J4727" i="2"/>
  <c r="H4727" i="2"/>
  <c r="J4726" i="2"/>
  <c r="H4726" i="2"/>
  <c r="J4725" i="2"/>
  <c r="H4725" i="2"/>
  <c r="J4724" i="2"/>
  <c r="H4724" i="2"/>
  <c r="J4723" i="2"/>
  <c r="H4723" i="2"/>
  <c r="J4722" i="2"/>
  <c r="H4722" i="2"/>
  <c r="J4721" i="2"/>
  <c r="H4721" i="2"/>
  <c r="J4720" i="2"/>
  <c r="H4720" i="2"/>
  <c r="J4719" i="2"/>
  <c r="H4719" i="2"/>
  <c r="J4718" i="2"/>
  <c r="H4718" i="2"/>
  <c r="J4717" i="2"/>
  <c r="H4717" i="2"/>
  <c r="J4716" i="2"/>
  <c r="H4716" i="2"/>
  <c r="J4715" i="2"/>
  <c r="H4715" i="2"/>
  <c r="J4714" i="2"/>
  <c r="H4714" i="2"/>
  <c r="J4713" i="2"/>
  <c r="H4713" i="2"/>
  <c r="J4712" i="2"/>
  <c r="H4712" i="2"/>
  <c r="J4711" i="2"/>
  <c r="H4711" i="2"/>
  <c r="J4710" i="2"/>
  <c r="H4710" i="2"/>
  <c r="J4709" i="2"/>
  <c r="H4709" i="2"/>
  <c r="J4708" i="2"/>
  <c r="H4708" i="2"/>
  <c r="J4707" i="2"/>
  <c r="H4707" i="2"/>
  <c r="J4706" i="2"/>
  <c r="H4706" i="2"/>
  <c r="J4705" i="2"/>
  <c r="H4705" i="2"/>
  <c r="J4704" i="2"/>
  <c r="H4704" i="2"/>
  <c r="J4703" i="2"/>
  <c r="H4703" i="2"/>
  <c r="J4702" i="2"/>
  <c r="H4702" i="2"/>
  <c r="J4701" i="2"/>
  <c r="H4701" i="2"/>
  <c r="J4700" i="2"/>
  <c r="H4700" i="2"/>
  <c r="J4699" i="2"/>
  <c r="H4699" i="2"/>
  <c r="J4698" i="2"/>
  <c r="H4698" i="2"/>
  <c r="J4697" i="2"/>
  <c r="H4697" i="2"/>
  <c r="J4696" i="2"/>
  <c r="H4696" i="2"/>
  <c r="J4695" i="2"/>
  <c r="H4695" i="2"/>
  <c r="J4694" i="2"/>
  <c r="H4694" i="2"/>
  <c r="J4693" i="2"/>
  <c r="H4693" i="2"/>
  <c r="J4692" i="2"/>
  <c r="H4692" i="2"/>
  <c r="J4691" i="2"/>
  <c r="H4691" i="2"/>
  <c r="J4690" i="2"/>
  <c r="H4690" i="2"/>
  <c r="J4689" i="2"/>
  <c r="H4689" i="2"/>
  <c r="J4688" i="2"/>
  <c r="H4688" i="2"/>
  <c r="J4687" i="2"/>
  <c r="H4687" i="2"/>
  <c r="J4686" i="2"/>
  <c r="H4686" i="2"/>
  <c r="J4685" i="2"/>
  <c r="H4685" i="2"/>
  <c r="J4684" i="2"/>
  <c r="H4684" i="2"/>
  <c r="J4683" i="2"/>
  <c r="H4683" i="2"/>
  <c r="J4682" i="2"/>
  <c r="H4682" i="2"/>
  <c r="J4681" i="2"/>
  <c r="H4681" i="2"/>
  <c r="J4680" i="2"/>
  <c r="H4680" i="2"/>
  <c r="J4679" i="2"/>
  <c r="H4679" i="2"/>
  <c r="J4678" i="2"/>
  <c r="H4678" i="2"/>
  <c r="J4677" i="2"/>
  <c r="H4677" i="2"/>
  <c r="J4676" i="2"/>
  <c r="H4676" i="2"/>
  <c r="J4675" i="2"/>
  <c r="H4675" i="2"/>
  <c r="J4674" i="2"/>
  <c r="H4674" i="2"/>
  <c r="J4673" i="2"/>
  <c r="H4673" i="2"/>
  <c r="J4672" i="2"/>
  <c r="H4672" i="2"/>
  <c r="J4671" i="2"/>
  <c r="H4671" i="2"/>
  <c r="J4670" i="2"/>
  <c r="H4670" i="2"/>
  <c r="J4669" i="2"/>
  <c r="H4669" i="2"/>
  <c r="J4668" i="2"/>
  <c r="H4668" i="2"/>
  <c r="J4667" i="2"/>
  <c r="H4667" i="2"/>
  <c r="J4666" i="2"/>
  <c r="H4666" i="2"/>
  <c r="J4665" i="2"/>
  <c r="H4665" i="2"/>
  <c r="J4664" i="2"/>
  <c r="H4664" i="2"/>
  <c r="J4663" i="2"/>
  <c r="H4663" i="2"/>
  <c r="J4662" i="2"/>
  <c r="H4662" i="2"/>
  <c r="J4661" i="2"/>
  <c r="H4661" i="2"/>
  <c r="J4660" i="2"/>
  <c r="H4660" i="2"/>
  <c r="J4659" i="2"/>
  <c r="H4659" i="2"/>
  <c r="J4658" i="2"/>
  <c r="H4658" i="2"/>
  <c r="J4657" i="2"/>
  <c r="H4657" i="2"/>
  <c r="J4656" i="2"/>
  <c r="H4656" i="2"/>
  <c r="J4655" i="2"/>
  <c r="H4655" i="2"/>
  <c r="J4654" i="2"/>
  <c r="H4654" i="2"/>
  <c r="J4653" i="2"/>
  <c r="H4653" i="2"/>
  <c r="J4652" i="2"/>
  <c r="H4652" i="2"/>
  <c r="J4651" i="2"/>
  <c r="H4651" i="2"/>
  <c r="J4650" i="2"/>
  <c r="H4650" i="2"/>
  <c r="J4649" i="2"/>
  <c r="H4649" i="2"/>
  <c r="J4648" i="2"/>
  <c r="H4648" i="2"/>
  <c r="J4647" i="2"/>
  <c r="H4647" i="2"/>
  <c r="J4646" i="2"/>
  <c r="H4646" i="2"/>
  <c r="J4645" i="2"/>
  <c r="H4645" i="2"/>
  <c r="J4644" i="2"/>
  <c r="H4644" i="2"/>
  <c r="J4643" i="2"/>
  <c r="H4643" i="2"/>
  <c r="J4642" i="2"/>
  <c r="H4642" i="2"/>
  <c r="J4641" i="2"/>
  <c r="H4641" i="2"/>
  <c r="J4640" i="2"/>
  <c r="H4640" i="2"/>
  <c r="J4639" i="2"/>
  <c r="H4639" i="2"/>
  <c r="J4638" i="2"/>
  <c r="H4638" i="2"/>
  <c r="J4637" i="2"/>
  <c r="H4637" i="2"/>
  <c r="J4636" i="2"/>
  <c r="H4636" i="2"/>
  <c r="J4635" i="2"/>
  <c r="H4635" i="2"/>
  <c r="J4634" i="2"/>
  <c r="H4634" i="2"/>
  <c r="J4633" i="2"/>
  <c r="H4633" i="2"/>
  <c r="J4632" i="2"/>
  <c r="H4632" i="2"/>
  <c r="J4631" i="2"/>
  <c r="H4631" i="2"/>
  <c r="J4630" i="2"/>
  <c r="H4630" i="2"/>
  <c r="J4629" i="2"/>
  <c r="H4629" i="2"/>
  <c r="J4628" i="2"/>
  <c r="H4628" i="2"/>
  <c r="J4627" i="2"/>
  <c r="H4627" i="2"/>
  <c r="J4626" i="2"/>
  <c r="H4626" i="2"/>
  <c r="J4625" i="2"/>
  <c r="H4625" i="2"/>
  <c r="J4624" i="2"/>
  <c r="H4624" i="2"/>
  <c r="J4623" i="2"/>
  <c r="H4623" i="2"/>
  <c r="J4622" i="2"/>
  <c r="H4622" i="2"/>
  <c r="J4621" i="2"/>
  <c r="H4621" i="2"/>
  <c r="J4620" i="2"/>
  <c r="H4620" i="2"/>
  <c r="J4619" i="2"/>
  <c r="H4619" i="2"/>
  <c r="J4618" i="2"/>
  <c r="H4618" i="2"/>
  <c r="J4617" i="2"/>
  <c r="H4617" i="2"/>
  <c r="J4616" i="2"/>
  <c r="H4616" i="2"/>
  <c r="J4615" i="2"/>
  <c r="H4615" i="2"/>
  <c r="J4614" i="2"/>
  <c r="H4614" i="2"/>
  <c r="J4613" i="2"/>
  <c r="H4613" i="2"/>
  <c r="J4612" i="2"/>
  <c r="H4612" i="2"/>
  <c r="J4611" i="2"/>
  <c r="H4611" i="2"/>
  <c r="J4610" i="2"/>
  <c r="H4610" i="2"/>
  <c r="J4609" i="2"/>
  <c r="H4609" i="2"/>
  <c r="J4608" i="2"/>
  <c r="H4608" i="2"/>
  <c r="J4607" i="2"/>
  <c r="H4607" i="2"/>
  <c r="J4606" i="2"/>
  <c r="H4606" i="2"/>
  <c r="J4605" i="2"/>
  <c r="H4605" i="2"/>
  <c r="J4604" i="2"/>
  <c r="H4604" i="2"/>
  <c r="J4603" i="2"/>
  <c r="H4603" i="2"/>
  <c r="J4602" i="2"/>
  <c r="H4602" i="2"/>
  <c r="J4601" i="2"/>
  <c r="H4601" i="2"/>
  <c r="J4600" i="2"/>
  <c r="H4600" i="2"/>
  <c r="J4599" i="2"/>
  <c r="H4599" i="2"/>
  <c r="J4598" i="2"/>
  <c r="H4598" i="2"/>
  <c r="J4597" i="2"/>
  <c r="H4597" i="2"/>
  <c r="J4596" i="2"/>
  <c r="H4596" i="2"/>
  <c r="J4595" i="2"/>
  <c r="H4595" i="2"/>
  <c r="J4594" i="2"/>
  <c r="H4594" i="2"/>
  <c r="J4593" i="2"/>
  <c r="H4593" i="2"/>
  <c r="J4592" i="2"/>
  <c r="H4592" i="2"/>
  <c r="J4591" i="2"/>
  <c r="H4591" i="2"/>
  <c r="J4590" i="2"/>
  <c r="H4590" i="2"/>
  <c r="J4589" i="2"/>
  <c r="H4589" i="2"/>
  <c r="J4588" i="2"/>
  <c r="H4588" i="2"/>
  <c r="J4587" i="2"/>
  <c r="H4587" i="2"/>
  <c r="J4586" i="2"/>
  <c r="H4586" i="2"/>
  <c r="J4585" i="2"/>
  <c r="H4585" i="2"/>
  <c r="J4584" i="2"/>
  <c r="H4584" i="2"/>
  <c r="J4583" i="2"/>
  <c r="H4583" i="2"/>
  <c r="J4582" i="2"/>
  <c r="H4582" i="2"/>
  <c r="J4581" i="2"/>
  <c r="H4581" i="2"/>
  <c r="J4580" i="2"/>
  <c r="H4580" i="2"/>
  <c r="J4579" i="2"/>
  <c r="H4579" i="2"/>
  <c r="J4578" i="2"/>
  <c r="H4578" i="2"/>
  <c r="J4577" i="2"/>
  <c r="H4577" i="2"/>
  <c r="J4576" i="2"/>
  <c r="H4576" i="2"/>
  <c r="J4575" i="2"/>
  <c r="H4575" i="2"/>
  <c r="J4574" i="2"/>
  <c r="H4574" i="2"/>
  <c r="J4573" i="2"/>
  <c r="H4573" i="2"/>
  <c r="J4572" i="2"/>
  <c r="H4572" i="2"/>
  <c r="J4571" i="2"/>
  <c r="H4571" i="2"/>
  <c r="J4570" i="2"/>
  <c r="H4570" i="2"/>
  <c r="J4569" i="2"/>
  <c r="H4569" i="2"/>
  <c r="J4568" i="2"/>
  <c r="H4568" i="2"/>
  <c r="J4567" i="2"/>
  <c r="H4567" i="2"/>
  <c r="J4566" i="2"/>
  <c r="H4566" i="2"/>
  <c r="J4565" i="2"/>
  <c r="H4565" i="2"/>
  <c r="J4564" i="2"/>
  <c r="H4564" i="2"/>
  <c r="J4563" i="2"/>
  <c r="H4563" i="2"/>
  <c r="J4562" i="2"/>
  <c r="H4562" i="2"/>
  <c r="J4561" i="2"/>
  <c r="H4561" i="2"/>
  <c r="J4560" i="2"/>
  <c r="H4560" i="2"/>
  <c r="J4559" i="2"/>
  <c r="H4559" i="2"/>
  <c r="J4558" i="2"/>
  <c r="H4558" i="2"/>
  <c r="J4557" i="2"/>
  <c r="H4557" i="2"/>
  <c r="J4556" i="2"/>
  <c r="H4556" i="2"/>
  <c r="J4555" i="2"/>
  <c r="H4555" i="2"/>
  <c r="J4554" i="2"/>
  <c r="H4554" i="2"/>
  <c r="J4553" i="2"/>
  <c r="H4553" i="2"/>
  <c r="J4552" i="2"/>
  <c r="H4552" i="2"/>
  <c r="J4551" i="2"/>
  <c r="H4551" i="2"/>
  <c r="J4550" i="2"/>
  <c r="H4550" i="2"/>
  <c r="J4549" i="2"/>
  <c r="H4549" i="2"/>
  <c r="J4548" i="2"/>
  <c r="H4548" i="2"/>
  <c r="J4547" i="2"/>
  <c r="H4547" i="2"/>
  <c r="J4546" i="2"/>
  <c r="H4546" i="2"/>
  <c r="J4545" i="2"/>
  <c r="H4545" i="2"/>
  <c r="J4544" i="2"/>
  <c r="H4544" i="2"/>
  <c r="J4543" i="2"/>
  <c r="H4543" i="2"/>
  <c r="J4542" i="2"/>
  <c r="H4542" i="2"/>
  <c r="J4541" i="2"/>
  <c r="H4541" i="2"/>
  <c r="J4540" i="2"/>
  <c r="H4540" i="2"/>
  <c r="J4539" i="2"/>
  <c r="H4539" i="2"/>
  <c r="J4538" i="2"/>
  <c r="H4538" i="2"/>
  <c r="J4537" i="2"/>
  <c r="H4537" i="2"/>
  <c r="J4536" i="2"/>
  <c r="H4536" i="2"/>
  <c r="J4535" i="2"/>
  <c r="H4535" i="2"/>
  <c r="J4534" i="2"/>
  <c r="H4534" i="2"/>
  <c r="J4533" i="2"/>
  <c r="H4533" i="2"/>
  <c r="J4532" i="2"/>
  <c r="H4532" i="2"/>
  <c r="J4531" i="2"/>
  <c r="H4531" i="2"/>
  <c r="J4530" i="2"/>
  <c r="H4530" i="2"/>
  <c r="J4529" i="2"/>
  <c r="H4529" i="2"/>
  <c r="J4528" i="2"/>
  <c r="H4528" i="2"/>
  <c r="J4527" i="2"/>
  <c r="H4527" i="2"/>
  <c r="J4526" i="2"/>
  <c r="H4526" i="2"/>
  <c r="J4525" i="2"/>
  <c r="H4525" i="2"/>
  <c r="J4524" i="2"/>
  <c r="H4524" i="2"/>
  <c r="J4523" i="2"/>
  <c r="H4523" i="2"/>
  <c r="J4522" i="2"/>
  <c r="H4522" i="2"/>
  <c r="J4521" i="2"/>
  <c r="H4521" i="2"/>
  <c r="J4520" i="2"/>
  <c r="H4520" i="2"/>
  <c r="J4519" i="2"/>
  <c r="H4519" i="2"/>
  <c r="J4518" i="2"/>
  <c r="H4518" i="2"/>
  <c r="J4517" i="2"/>
  <c r="H4517" i="2"/>
  <c r="J4516" i="2"/>
  <c r="H4516" i="2"/>
  <c r="J4515" i="2"/>
  <c r="H4515" i="2"/>
  <c r="J4514" i="2"/>
  <c r="H4514" i="2"/>
  <c r="J4513" i="2"/>
  <c r="H4513" i="2"/>
  <c r="J4512" i="2"/>
  <c r="H4512" i="2"/>
  <c r="J4511" i="2"/>
  <c r="H4511" i="2"/>
  <c r="J4510" i="2"/>
  <c r="H4510" i="2"/>
  <c r="J4509" i="2"/>
  <c r="H4509" i="2"/>
  <c r="J4508" i="2"/>
  <c r="H4508" i="2"/>
  <c r="J4507" i="2"/>
  <c r="H4507" i="2"/>
  <c r="J4506" i="2"/>
  <c r="H4506" i="2"/>
  <c r="J4505" i="2"/>
  <c r="H4505" i="2"/>
  <c r="J4504" i="2"/>
  <c r="H4504" i="2"/>
  <c r="J4503" i="2"/>
  <c r="H4503" i="2"/>
  <c r="J4502" i="2"/>
  <c r="H4502" i="2"/>
  <c r="J4501" i="2"/>
  <c r="H4501" i="2"/>
  <c r="J4500" i="2"/>
  <c r="H4500" i="2"/>
  <c r="J4499" i="2"/>
  <c r="H4499" i="2"/>
  <c r="J4498" i="2"/>
  <c r="H4498" i="2"/>
  <c r="J4497" i="2"/>
  <c r="H4497" i="2"/>
  <c r="J4496" i="2"/>
  <c r="H4496" i="2"/>
  <c r="J4495" i="2"/>
  <c r="H4495" i="2"/>
  <c r="J4494" i="2"/>
  <c r="H4494" i="2"/>
  <c r="J4493" i="2"/>
  <c r="H4493" i="2"/>
  <c r="J4492" i="2"/>
  <c r="H4492" i="2"/>
  <c r="J4491" i="2"/>
  <c r="H4491" i="2"/>
  <c r="J4490" i="2"/>
  <c r="H4490" i="2"/>
  <c r="J4489" i="2"/>
  <c r="H4489" i="2"/>
  <c r="J4488" i="2"/>
  <c r="H4488" i="2"/>
  <c r="J4487" i="2"/>
  <c r="H4487" i="2"/>
  <c r="J4486" i="2"/>
  <c r="H4486" i="2"/>
  <c r="J4485" i="2"/>
  <c r="H4485" i="2"/>
  <c r="J4484" i="2"/>
  <c r="H4484" i="2"/>
  <c r="J4483" i="2"/>
  <c r="H4483" i="2"/>
  <c r="J4482" i="2"/>
  <c r="H4482" i="2"/>
  <c r="J4481" i="2"/>
  <c r="H4481" i="2"/>
  <c r="J4480" i="2"/>
  <c r="H4480" i="2"/>
  <c r="J4479" i="2"/>
  <c r="H4479" i="2"/>
  <c r="J4478" i="2"/>
  <c r="H4478" i="2"/>
  <c r="J4477" i="2"/>
  <c r="H4477" i="2"/>
  <c r="J4476" i="2"/>
  <c r="H4476" i="2"/>
  <c r="J4475" i="2"/>
  <c r="H4475" i="2"/>
  <c r="J4474" i="2"/>
  <c r="H4474" i="2"/>
  <c r="J4473" i="2"/>
  <c r="H4473" i="2"/>
  <c r="J4472" i="2"/>
  <c r="H4472" i="2"/>
  <c r="J4471" i="2"/>
  <c r="H4471" i="2"/>
  <c r="J4470" i="2"/>
  <c r="H4470" i="2"/>
  <c r="J4469" i="2"/>
  <c r="H4469" i="2"/>
  <c r="J4468" i="2"/>
  <c r="H4468" i="2"/>
  <c r="J4467" i="2"/>
  <c r="H4467" i="2"/>
  <c r="J4466" i="2"/>
  <c r="H4466" i="2"/>
  <c r="J4465" i="2"/>
  <c r="H4465" i="2"/>
  <c r="J4464" i="2"/>
  <c r="H4464" i="2"/>
  <c r="J4463" i="2"/>
  <c r="H4463" i="2"/>
  <c r="J4462" i="2"/>
  <c r="H4462" i="2"/>
  <c r="J4461" i="2"/>
  <c r="H4461" i="2"/>
  <c r="J4460" i="2"/>
  <c r="H4460" i="2"/>
  <c r="J4459" i="2"/>
  <c r="H4459" i="2"/>
  <c r="J4458" i="2"/>
  <c r="H4458" i="2"/>
  <c r="J4457" i="2"/>
  <c r="H4457" i="2"/>
  <c r="J4456" i="2"/>
  <c r="H4456" i="2"/>
  <c r="J4455" i="2"/>
  <c r="H4455" i="2"/>
  <c r="J4454" i="2"/>
  <c r="H4454" i="2"/>
  <c r="J4453" i="2"/>
  <c r="H4453" i="2"/>
  <c r="J4452" i="2"/>
  <c r="H4452" i="2"/>
  <c r="J4451" i="2"/>
  <c r="H4451" i="2"/>
  <c r="J4450" i="2"/>
  <c r="H4450" i="2"/>
  <c r="J4449" i="2"/>
  <c r="H4449" i="2"/>
  <c r="J4448" i="2"/>
  <c r="H4448" i="2"/>
  <c r="J4447" i="2"/>
  <c r="H4447" i="2"/>
  <c r="J4446" i="2"/>
  <c r="H4446" i="2"/>
  <c r="J4445" i="2"/>
  <c r="H4445" i="2"/>
  <c r="J4444" i="2"/>
  <c r="H4444" i="2"/>
  <c r="J4443" i="2"/>
  <c r="H4443" i="2"/>
  <c r="J4442" i="2"/>
  <c r="H4442" i="2"/>
  <c r="J4441" i="2"/>
  <c r="H4441" i="2"/>
  <c r="J4440" i="2"/>
  <c r="H4440" i="2"/>
  <c r="J4439" i="2"/>
  <c r="H4439" i="2"/>
  <c r="J4438" i="2"/>
  <c r="H4438" i="2"/>
  <c r="J4437" i="2"/>
  <c r="H4437" i="2"/>
  <c r="J4436" i="2"/>
  <c r="H4436" i="2"/>
  <c r="J4435" i="2"/>
  <c r="H4435" i="2"/>
  <c r="J4434" i="2"/>
  <c r="H4434" i="2"/>
  <c r="J4433" i="2"/>
  <c r="H4433" i="2"/>
  <c r="J4432" i="2"/>
  <c r="H4432" i="2"/>
  <c r="J4431" i="2"/>
  <c r="H4431" i="2"/>
  <c r="J4430" i="2"/>
  <c r="H4430" i="2"/>
  <c r="J4429" i="2"/>
  <c r="H4429" i="2"/>
  <c r="J4428" i="2"/>
  <c r="H4428" i="2"/>
  <c r="J4427" i="2"/>
  <c r="H4427" i="2"/>
  <c r="J4426" i="2"/>
  <c r="H4426" i="2"/>
  <c r="J4425" i="2"/>
  <c r="H4425" i="2"/>
  <c r="J4424" i="2"/>
  <c r="H4424" i="2"/>
  <c r="J4423" i="2"/>
  <c r="H4423" i="2"/>
  <c r="J4422" i="2"/>
  <c r="H4422" i="2"/>
  <c r="J4421" i="2"/>
  <c r="H4421" i="2"/>
  <c r="J4420" i="2"/>
  <c r="H4420" i="2"/>
  <c r="J4419" i="2"/>
  <c r="H4419" i="2"/>
  <c r="J4418" i="2"/>
  <c r="H4418" i="2"/>
  <c r="J4417" i="2"/>
  <c r="H4417" i="2"/>
  <c r="J4416" i="2"/>
  <c r="H4416" i="2"/>
  <c r="J4415" i="2"/>
  <c r="H4415" i="2"/>
  <c r="J4414" i="2"/>
  <c r="H4414" i="2"/>
  <c r="J4413" i="2"/>
  <c r="H4413" i="2"/>
  <c r="J4412" i="2"/>
  <c r="H4412" i="2"/>
  <c r="J4411" i="2"/>
  <c r="H4411" i="2"/>
  <c r="J4410" i="2"/>
  <c r="H4410" i="2"/>
  <c r="J4409" i="2"/>
  <c r="H4409" i="2"/>
  <c r="J4408" i="2"/>
  <c r="H4408" i="2"/>
  <c r="J4407" i="2"/>
  <c r="H4407" i="2"/>
  <c r="J4406" i="2"/>
  <c r="H4406" i="2"/>
  <c r="J4405" i="2"/>
  <c r="H4405" i="2"/>
  <c r="J4404" i="2"/>
  <c r="H4404" i="2"/>
  <c r="J4403" i="2"/>
  <c r="H4403" i="2"/>
  <c r="J4402" i="2"/>
  <c r="H4402" i="2"/>
  <c r="J4401" i="2"/>
  <c r="H4401" i="2"/>
  <c r="J4400" i="2"/>
  <c r="H4400" i="2"/>
  <c r="J4399" i="2"/>
  <c r="H4399" i="2"/>
  <c r="J4398" i="2"/>
  <c r="H4398" i="2"/>
  <c r="J4397" i="2"/>
  <c r="H4397" i="2"/>
  <c r="J4396" i="2"/>
  <c r="H4396" i="2"/>
  <c r="J4395" i="2"/>
  <c r="H4395" i="2"/>
  <c r="J4394" i="2"/>
  <c r="H4394" i="2"/>
  <c r="J4393" i="2"/>
  <c r="H4393" i="2"/>
  <c r="J4392" i="2"/>
  <c r="H4392" i="2"/>
  <c r="J4391" i="2"/>
  <c r="H4391" i="2"/>
  <c r="J4390" i="2"/>
  <c r="H4390" i="2"/>
  <c r="J4389" i="2"/>
  <c r="H4389" i="2"/>
  <c r="J4388" i="2"/>
  <c r="H4388" i="2"/>
  <c r="J4387" i="2"/>
  <c r="H4387" i="2"/>
  <c r="J4386" i="2"/>
  <c r="H4386" i="2"/>
  <c r="J4385" i="2"/>
  <c r="H4385" i="2"/>
  <c r="J4384" i="2"/>
  <c r="H4384" i="2"/>
  <c r="J4383" i="2"/>
  <c r="H4383" i="2"/>
  <c r="J4382" i="2"/>
  <c r="H4382" i="2"/>
  <c r="J4381" i="2"/>
  <c r="H4381" i="2"/>
  <c r="J4380" i="2"/>
  <c r="H4380" i="2"/>
  <c r="J4379" i="2"/>
  <c r="H4379" i="2"/>
  <c r="J4378" i="2"/>
  <c r="H4378" i="2"/>
  <c r="J4377" i="2"/>
  <c r="H4377" i="2"/>
  <c r="J4376" i="2"/>
  <c r="H4376" i="2"/>
  <c r="J4375" i="2"/>
  <c r="H4375" i="2"/>
  <c r="J4374" i="2"/>
  <c r="H4374" i="2"/>
  <c r="J4373" i="2"/>
  <c r="H4373" i="2"/>
  <c r="J4372" i="2"/>
  <c r="H4372" i="2"/>
  <c r="J4371" i="2"/>
  <c r="H4371" i="2"/>
  <c r="J4370" i="2"/>
  <c r="H4370" i="2"/>
  <c r="J4369" i="2"/>
  <c r="H4369" i="2"/>
  <c r="J4368" i="2"/>
  <c r="H4368" i="2"/>
  <c r="J4367" i="2"/>
  <c r="H4367" i="2"/>
  <c r="J4366" i="2"/>
  <c r="H4366" i="2"/>
  <c r="J4365" i="2"/>
  <c r="H4365" i="2"/>
  <c r="J4364" i="2"/>
  <c r="H4364" i="2"/>
  <c r="J4363" i="2"/>
  <c r="H4363" i="2"/>
  <c r="J4362" i="2"/>
  <c r="H4362" i="2"/>
  <c r="J4361" i="2"/>
  <c r="H4361" i="2"/>
  <c r="J4360" i="2"/>
  <c r="H4360" i="2"/>
  <c r="J4359" i="2"/>
  <c r="H4359" i="2"/>
  <c r="J4358" i="2"/>
  <c r="H4358" i="2"/>
  <c r="J4357" i="2"/>
  <c r="H4357" i="2"/>
  <c r="J4356" i="2"/>
  <c r="H4356" i="2"/>
  <c r="J4355" i="2"/>
  <c r="H4355" i="2"/>
  <c r="J4354" i="2"/>
  <c r="H4354" i="2"/>
  <c r="J4353" i="2"/>
  <c r="H4353" i="2"/>
  <c r="J4352" i="2"/>
  <c r="H4352" i="2"/>
  <c r="J4351" i="2"/>
  <c r="H4351" i="2"/>
  <c r="J4350" i="2"/>
  <c r="H4350" i="2"/>
  <c r="J4349" i="2"/>
  <c r="H4349" i="2"/>
  <c r="J4348" i="2"/>
  <c r="H4348" i="2"/>
  <c r="J4347" i="2"/>
  <c r="H4347" i="2"/>
  <c r="J4346" i="2"/>
  <c r="H4346" i="2"/>
  <c r="J4345" i="2"/>
  <c r="H4345" i="2"/>
  <c r="J4344" i="2"/>
  <c r="H4344" i="2"/>
  <c r="J4343" i="2"/>
  <c r="H4343" i="2"/>
  <c r="J4342" i="2"/>
  <c r="H4342" i="2"/>
  <c r="J4341" i="2"/>
  <c r="H4341" i="2"/>
  <c r="J4340" i="2"/>
  <c r="H4340" i="2"/>
  <c r="J4339" i="2"/>
  <c r="H4339" i="2"/>
  <c r="J4338" i="2"/>
  <c r="H4338" i="2"/>
  <c r="J4337" i="2"/>
  <c r="H4337" i="2"/>
  <c r="J4336" i="2"/>
  <c r="H4336" i="2"/>
  <c r="J4335" i="2"/>
  <c r="H4335" i="2"/>
  <c r="J4334" i="2"/>
  <c r="H4334" i="2"/>
  <c r="J4333" i="2"/>
  <c r="H4333" i="2"/>
  <c r="J4332" i="2"/>
  <c r="H4332" i="2"/>
  <c r="J4331" i="2"/>
  <c r="H4331" i="2"/>
  <c r="J4330" i="2"/>
  <c r="H4330" i="2"/>
  <c r="J4329" i="2"/>
  <c r="H4329" i="2"/>
  <c r="J4328" i="2"/>
  <c r="H4328" i="2"/>
  <c r="J4327" i="2"/>
  <c r="H4327" i="2"/>
  <c r="J4326" i="2"/>
  <c r="H4326" i="2"/>
  <c r="J4325" i="2"/>
  <c r="H4325" i="2"/>
  <c r="J4324" i="2"/>
  <c r="H4324" i="2"/>
  <c r="J4323" i="2"/>
  <c r="H4323" i="2"/>
  <c r="J4322" i="2"/>
  <c r="H4322" i="2"/>
  <c r="J4321" i="2"/>
  <c r="H4321" i="2"/>
  <c r="J4320" i="2"/>
  <c r="H4320" i="2"/>
  <c r="J4319" i="2"/>
  <c r="H4319" i="2"/>
  <c r="J4318" i="2"/>
  <c r="H4318" i="2"/>
  <c r="J4317" i="2"/>
  <c r="H4317" i="2"/>
  <c r="J4316" i="2"/>
  <c r="H4316" i="2"/>
  <c r="J4315" i="2"/>
  <c r="H4315" i="2"/>
  <c r="J4314" i="2"/>
  <c r="H4314" i="2"/>
  <c r="J4313" i="2"/>
  <c r="H4313" i="2"/>
  <c r="J4312" i="2"/>
  <c r="H4312" i="2"/>
  <c r="J4311" i="2"/>
  <c r="H4311" i="2"/>
  <c r="J4310" i="2"/>
  <c r="H4310" i="2"/>
  <c r="J4309" i="2"/>
  <c r="H4309" i="2"/>
  <c r="J4308" i="2"/>
  <c r="H4308" i="2"/>
  <c r="J4307" i="2"/>
  <c r="H4307" i="2"/>
  <c r="J4306" i="2"/>
  <c r="H4306" i="2"/>
  <c r="J4305" i="2"/>
  <c r="H4305" i="2"/>
  <c r="J4304" i="2"/>
  <c r="H4304" i="2"/>
  <c r="J4303" i="2"/>
  <c r="H4303" i="2"/>
  <c r="J4302" i="2"/>
  <c r="H4302" i="2"/>
  <c r="J4301" i="2"/>
  <c r="H4301" i="2"/>
  <c r="J4300" i="2"/>
  <c r="H4300" i="2"/>
  <c r="J4299" i="2"/>
  <c r="H4299" i="2"/>
  <c r="J4298" i="2"/>
  <c r="H4298" i="2"/>
  <c r="J4297" i="2"/>
  <c r="H4297" i="2"/>
  <c r="J4296" i="2"/>
  <c r="H4296" i="2"/>
  <c r="J4295" i="2"/>
  <c r="H4295" i="2"/>
  <c r="J4294" i="2"/>
  <c r="H4294" i="2"/>
  <c r="J4293" i="2"/>
  <c r="H4293" i="2"/>
  <c r="J4292" i="2"/>
  <c r="H4292" i="2"/>
  <c r="J4291" i="2"/>
  <c r="H4291" i="2"/>
  <c r="J4290" i="2"/>
  <c r="H4290" i="2"/>
  <c r="J4289" i="2"/>
  <c r="H4289" i="2"/>
  <c r="J4288" i="2"/>
  <c r="H4288" i="2"/>
  <c r="J4287" i="2"/>
  <c r="H4287" i="2"/>
  <c r="J4286" i="2"/>
  <c r="H4286" i="2"/>
  <c r="J4285" i="2"/>
  <c r="H4285" i="2"/>
  <c r="J4284" i="2"/>
  <c r="H4284" i="2"/>
  <c r="J4283" i="2"/>
  <c r="H4283" i="2"/>
  <c r="J4282" i="2"/>
  <c r="H4282" i="2"/>
  <c r="J4281" i="2"/>
  <c r="H4281" i="2"/>
  <c r="J4280" i="2"/>
  <c r="H4280" i="2"/>
  <c r="J4279" i="2"/>
  <c r="H4279" i="2"/>
  <c r="J4278" i="2"/>
  <c r="H4278" i="2"/>
  <c r="J4277" i="2"/>
  <c r="H4277" i="2"/>
  <c r="J4276" i="2"/>
  <c r="H4276" i="2"/>
  <c r="J4275" i="2"/>
  <c r="H4275" i="2"/>
  <c r="J4274" i="2"/>
  <c r="H4274" i="2"/>
  <c r="J4273" i="2"/>
  <c r="H4273" i="2"/>
  <c r="J4272" i="2"/>
  <c r="H4272" i="2"/>
  <c r="J4271" i="2"/>
  <c r="H4271" i="2"/>
  <c r="J4270" i="2"/>
  <c r="H4270" i="2"/>
  <c r="J4269" i="2"/>
  <c r="H4269" i="2"/>
  <c r="J4268" i="2"/>
  <c r="H4268" i="2"/>
  <c r="J4267" i="2"/>
  <c r="H4267" i="2"/>
  <c r="J4266" i="2"/>
  <c r="H4266" i="2"/>
  <c r="J4265" i="2"/>
  <c r="H4265" i="2"/>
  <c r="J4264" i="2"/>
  <c r="H4264" i="2"/>
  <c r="J4263" i="2"/>
  <c r="H4263" i="2"/>
  <c r="J4262" i="2"/>
  <c r="H4262" i="2"/>
  <c r="J4261" i="2"/>
  <c r="H4261" i="2"/>
  <c r="J4260" i="2"/>
  <c r="H4260" i="2"/>
  <c r="J4259" i="2"/>
  <c r="H4259" i="2"/>
  <c r="J4258" i="2"/>
  <c r="H4258" i="2"/>
  <c r="J4257" i="2"/>
  <c r="H4257" i="2"/>
  <c r="J4256" i="2"/>
  <c r="H4256" i="2"/>
  <c r="J4255" i="2"/>
  <c r="H4255" i="2"/>
  <c r="J4254" i="2"/>
  <c r="H4254" i="2"/>
  <c r="J4253" i="2"/>
  <c r="H4253" i="2"/>
  <c r="J4252" i="2"/>
  <c r="H4252" i="2"/>
  <c r="J4251" i="2"/>
  <c r="H4251" i="2"/>
  <c r="J4250" i="2"/>
  <c r="H4250" i="2"/>
  <c r="J4249" i="2"/>
  <c r="H4249" i="2"/>
  <c r="J4248" i="2"/>
  <c r="H4248" i="2"/>
  <c r="J4247" i="2"/>
  <c r="H4247" i="2"/>
  <c r="J4246" i="2"/>
  <c r="H4246" i="2"/>
  <c r="J4245" i="2"/>
  <c r="H4245" i="2"/>
  <c r="J4244" i="2"/>
  <c r="H4244" i="2"/>
  <c r="J4243" i="2"/>
  <c r="H4243" i="2"/>
  <c r="J4242" i="2"/>
  <c r="H4242" i="2"/>
  <c r="J4241" i="2"/>
  <c r="H4241" i="2"/>
  <c r="J4240" i="2"/>
  <c r="H4240" i="2"/>
  <c r="J4239" i="2"/>
  <c r="H4239" i="2"/>
  <c r="J4238" i="2"/>
  <c r="H4238" i="2"/>
  <c r="J4237" i="2"/>
  <c r="H4237" i="2"/>
  <c r="J4236" i="2"/>
  <c r="H4236" i="2"/>
  <c r="J4235" i="2"/>
  <c r="H4235" i="2"/>
  <c r="J4234" i="2"/>
  <c r="H4234" i="2"/>
  <c r="J4233" i="2"/>
  <c r="H4233" i="2"/>
  <c r="J4232" i="2"/>
  <c r="H4232" i="2"/>
  <c r="J4231" i="2"/>
  <c r="H4231" i="2"/>
  <c r="J4230" i="2"/>
  <c r="H4230" i="2"/>
  <c r="J4229" i="2"/>
  <c r="H4229" i="2"/>
  <c r="J4228" i="2"/>
  <c r="H4228" i="2"/>
  <c r="J4227" i="2"/>
  <c r="H4227" i="2"/>
  <c r="J4226" i="2"/>
  <c r="H4226" i="2"/>
  <c r="J4225" i="2"/>
  <c r="H4225" i="2"/>
  <c r="J4224" i="2"/>
  <c r="H4224" i="2"/>
  <c r="J4223" i="2"/>
  <c r="H4223" i="2"/>
  <c r="J4222" i="2"/>
  <c r="H4222" i="2"/>
  <c r="J4221" i="2"/>
  <c r="H4221" i="2"/>
  <c r="J4220" i="2"/>
  <c r="H4220" i="2"/>
  <c r="J4219" i="2"/>
  <c r="H4219" i="2"/>
  <c r="J4218" i="2"/>
  <c r="H4218" i="2"/>
  <c r="J4217" i="2"/>
  <c r="H4217" i="2"/>
  <c r="J4216" i="2"/>
  <c r="H4216" i="2"/>
  <c r="J4215" i="2"/>
  <c r="H4215" i="2"/>
  <c r="J4214" i="2"/>
  <c r="H4214" i="2"/>
  <c r="J4213" i="2"/>
  <c r="H4213" i="2"/>
  <c r="J4212" i="2"/>
  <c r="H4212" i="2"/>
  <c r="J4211" i="2"/>
  <c r="H4211" i="2"/>
  <c r="J4210" i="2"/>
  <c r="H4210" i="2"/>
  <c r="J4209" i="2"/>
  <c r="H4209" i="2"/>
  <c r="J4208" i="2"/>
  <c r="H4208" i="2"/>
  <c r="J4207" i="2"/>
  <c r="H4207" i="2"/>
  <c r="J4206" i="2"/>
  <c r="H4206" i="2"/>
  <c r="J4205" i="2"/>
  <c r="H4205" i="2"/>
  <c r="J4204" i="2"/>
  <c r="H4204" i="2"/>
  <c r="J4203" i="2"/>
  <c r="H4203" i="2"/>
  <c r="J4202" i="2"/>
  <c r="H4202" i="2"/>
  <c r="J4201" i="2"/>
  <c r="H4201" i="2"/>
  <c r="J4200" i="2"/>
  <c r="H4200" i="2"/>
  <c r="J4199" i="2"/>
  <c r="H4199" i="2"/>
  <c r="J4198" i="2"/>
  <c r="H4198" i="2"/>
  <c r="J4197" i="2"/>
  <c r="H4197" i="2"/>
  <c r="J4196" i="2"/>
  <c r="H4196" i="2"/>
  <c r="J4195" i="2"/>
  <c r="H4195" i="2"/>
  <c r="J4194" i="2"/>
  <c r="H4194" i="2"/>
  <c r="J4193" i="2"/>
  <c r="H4193" i="2"/>
  <c r="J4192" i="2"/>
  <c r="H4192" i="2"/>
  <c r="J4191" i="2"/>
  <c r="H4191" i="2"/>
  <c r="J4190" i="2"/>
  <c r="H4190" i="2"/>
  <c r="J4189" i="2"/>
  <c r="H4189" i="2"/>
  <c r="J4188" i="2"/>
  <c r="H4188" i="2"/>
  <c r="J4187" i="2"/>
  <c r="H4187" i="2"/>
  <c r="J4186" i="2"/>
  <c r="H4186" i="2"/>
  <c r="J4185" i="2"/>
  <c r="H4185" i="2"/>
  <c r="J4184" i="2"/>
  <c r="H4184" i="2"/>
  <c r="J4183" i="2"/>
  <c r="H4183" i="2"/>
  <c r="J4182" i="2"/>
  <c r="H4182" i="2"/>
  <c r="J4181" i="2"/>
  <c r="H4181" i="2"/>
  <c r="J4180" i="2"/>
  <c r="H4180" i="2"/>
  <c r="J4179" i="2"/>
  <c r="H4179" i="2"/>
  <c r="J4178" i="2"/>
  <c r="H4178" i="2"/>
  <c r="J4177" i="2"/>
  <c r="H4177" i="2"/>
  <c r="J4176" i="2"/>
  <c r="H4176" i="2"/>
  <c r="J4175" i="2"/>
  <c r="H4175" i="2"/>
  <c r="J4174" i="2"/>
  <c r="H4174" i="2"/>
  <c r="J4173" i="2"/>
  <c r="H4173" i="2"/>
  <c r="J4172" i="2"/>
  <c r="H4172" i="2"/>
  <c r="J4171" i="2"/>
  <c r="H4171" i="2"/>
  <c r="J4170" i="2"/>
  <c r="H4170" i="2"/>
  <c r="J4169" i="2"/>
  <c r="H4169" i="2"/>
  <c r="J4168" i="2"/>
  <c r="H4168" i="2"/>
  <c r="J4167" i="2"/>
  <c r="H4167" i="2"/>
  <c r="J4166" i="2"/>
  <c r="H4166" i="2"/>
  <c r="J4165" i="2"/>
  <c r="H4165" i="2"/>
  <c r="J4164" i="2"/>
  <c r="H4164" i="2"/>
  <c r="J4163" i="2"/>
  <c r="H4163" i="2"/>
  <c r="J4162" i="2"/>
  <c r="H4162" i="2"/>
  <c r="J4161" i="2"/>
  <c r="H4161" i="2"/>
  <c r="J4160" i="2"/>
  <c r="H4160" i="2"/>
  <c r="J4159" i="2"/>
  <c r="H4159" i="2"/>
  <c r="J4158" i="2"/>
  <c r="H4158" i="2"/>
  <c r="J4157" i="2"/>
  <c r="H4157" i="2"/>
  <c r="J4156" i="2"/>
  <c r="H4156" i="2"/>
  <c r="J4155" i="2"/>
  <c r="H4155" i="2"/>
  <c r="J4154" i="2"/>
  <c r="H4154" i="2"/>
  <c r="J4153" i="2"/>
  <c r="H4153" i="2"/>
  <c r="J4152" i="2"/>
  <c r="H4152" i="2"/>
  <c r="J4151" i="2"/>
  <c r="H4151" i="2"/>
  <c r="J4150" i="2"/>
  <c r="H4150" i="2"/>
  <c r="J4149" i="2"/>
  <c r="H4149" i="2"/>
  <c r="J4148" i="2"/>
  <c r="H4148" i="2"/>
  <c r="J4147" i="2"/>
  <c r="H4147" i="2"/>
  <c r="J4146" i="2"/>
  <c r="H4146" i="2"/>
  <c r="J4145" i="2"/>
  <c r="H4145" i="2"/>
  <c r="J4144" i="2"/>
  <c r="H4144" i="2"/>
  <c r="J4143" i="2"/>
  <c r="H4143" i="2"/>
  <c r="J4142" i="2"/>
  <c r="H4142" i="2"/>
  <c r="J4141" i="2"/>
  <c r="H4141" i="2"/>
  <c r="J4140" i="2"/>
  <c r="H4140" i="2"/>
  <c r="J4139" i="2"/>
  <c r="H4139" i="2"/>
  <c r="J4138" i="2"/>
  <c r="H4138" i="2"/>
  <c r="J4137" i="2"/>
  <c r="H4137" i="2"/>
  <c r="J4136" i="2"/>
  <c r="H4136" i="2"/>
  <c r="J4135" i="2"/>
  <c r="H4135" i="2"/>
  <c r="J4134" i="2"/>
  <c r="H4134" i="2"/>
  <c r="J4133" i="2"/>
  <c r="H4133" i="2"/>
  <c r="J4132" i="2"/>
  <c r="H4132" i="2"/>
  <c r="J4131" i="2"/>
  <c r="H4131" i="2"/>
  <c r="J4130" i="2"/>
  <c r="H4130" i="2"/>
  <c r="J4129" i="2"/>
  <c r="H4129" i="2"/>
  <c r="J4128" i="2"/>
  <c r="H4128" i="2"/>
  <c r="J4127" i="2"/>
  <c r="H4127" i="2"/>
  <c r="J4126" i="2"/>
  <c r="H4126" i="2"/>
  <c r="J4125" i="2"/>
  <c r="H4125" i="2"/>
  <c r="J4124" i="2"/>
  <c r="H4124" i="2"/>
  <c r="J4123" i="2"/>
  <c r="H4123" i="2"/>
  <c r="J4122" i="2"/>
  <c r="H4122" i="2"/>
  <c r="J4121" i="2"/>
  <c r="H4121" i="2"/>
  <c r="J4120" i="2"/>
  <c r="H4120" i="2"/>
  <c r="J4119" i="2"/>
  <c r="H4119" i="2"/>
  <c r="J4118" i="2"/>
  <c r="H4118" i="2"/>
  <c r="J4117" i="2"/>
  <c r="H4117" i="2"/>
  <c r="J4116" i="2"/>
  <c r="H4116" i="2"/>
  <c r="J4115" i="2"/>
  <c r="H4115" i="2"/>
  <c r="J4114" i="2"/>
  <c r="H4114" i="2"/>
  <c r="J4113" i="2"/>
  <c r="H4113" i="2"/>
  <c r="J4112" i="2"/>
  <c r="H4112" i="2"/>
  <c r="J4111" i="2"/>
  <c r="H4111" i="2"/>
  <c r="J4110" i="2"/>
  <c r="H4110" i="2"/>
  <c r="J4109" i="2"/>
  <c r="H4109" i="2"/>
  <c r="J4108" i="2"/>
  <c r="H4108" i="2"/>
  <c r="J4107" i="2"/>
  <c r="H4107" i="2"/>
  <c r="J4106" i="2"/>
  <c r="H4106" i="2"/>
  <c r="J4105" i="2"/>
  <c r="H4105" i="2"/>
  <c r="J4104" i="2"/>
  <c r="H4104" i="2"/>
  <c r="J4103" i="2"/>
  <c r="H4103" i="2"/>
  <c r="J4102" i="2"/>
  <c r="H4102" i="2"/>
  <c r="J4101" i="2"/>
  <c r="H4101" i="2"/>
  <c r="J4100" i="2"/>
  <c r="H4100" i="2"/>
  <c r="J4099" i="2"/>
  <c r="H4099" i="2"/>
  <c r="J4098" i="2"/>
  <c r="H4098" i="2"/>
  <c r="J4097" i="2"/>
  <c r="H4097" i="2"/>
  <c r="J4096" i="2"/>
  <c r="H4096" i="2"/>
  <c r="J4095" i="2"/>
  <c r="H4095" i="2"/>
  <c r="J4094" i="2"/>
  <c r="H4094" i="2"/>
  <c r="J4093" i="2"/>
  <c r="H4093" i="2"/>
  <c r="J4092" i="2"/>
  <c r="H4092" i="2"/>
  <c r="J4091" i="2"/>
  <c r="H4091" i="2"/>
  <c r="J4090" i="2"/>
  <c r="H4090" i="2"/>
  <c r="J4089" i="2"/>
  <c r="H4089" i="2"/>
  <c r="J4088" i="2"/>
  <c r="H4088" i="2"/>
  <c r="J4087" i="2"/>
  <c r="H4087" i="2"/>
  <c r="J4086" i="2"/>
  <c r="H4086" i="2"/>
  <c r="J4085" i="2"/>
  <c r="H4085" i="2"/>
  <c r="J4084" i="2"/>
  <c r="H4084" i="2"/>
  <c r="J4083" i="2"/>
  <c r="H4083" i="2"/>
  <c r="J4082" i="2"/>
  <c r="H4082" i="2"/>
  <c r="J4081" i="2"/>
  <c r="H4081" i="2"/>
  <c r="J4080" i="2"/>
  <c r="H4080" i="2"/>
  <c r="J4079" i="2"/>
  <c r="H4079" i="2"/>
  <c r="J4078" i="2"/>
  <c r="H4078" i="2"/>
  <c r="J4077" i="2"/>
  <c r="H4077" i="2"/>
  <c r="J4076" i="2"/>
  <c r="H4076" i="2"/>
  <c r="J4075" i="2"/>
  <c r="H4075" i="2"/>
  <c r="J4074" i="2"/>
  <c r="H4074" i="2"/>
  <c r="J4073" i="2"/>
  <c r="H4073" i="2"/>
  <c r="J4072" i="2"/>
  <c r="H4072" i="2"/>
  <c r="J4071" i="2"/>
  <c r="H4071" i="2"/>
  <c r="J4070" i="2"/>
  <c r="H4070" i="2"/>
  <c r="J4069" i="2"/>
  <c r="H4069" i="2"/>
  <c r="J4068" i="2"/>
  <c r="H4068" i="2"/>
  <c r="J4067" i="2"/>
  <c r="H4067" i="2"/>
  <c r="J4066" i="2"/>
  <c r="H4066" i="2"/>
  <c r="J4065" i="2"/>
  <c r="H4065" i="2"/>
  <c r="J4064" i="2"/>
  <c r="H4064" i="2"/>
  <c r="J4063" i="2"/>
  <c r="H4063" i="2"/>
  <c r="J4062" i="2"/>
  <c r="H4062" i="2"/>
  <c r="J4061" i="2"/>
  <c r="H4061" i="2"/>
  <c r="J4060" i="2"/>
  <c r="H4060" i="2"/>
  <c r="J4059" i="2"/>
  <c r="H4059" i="2"/>
  <c r="J4058" i="2"/>
  <c r="H4058" i="2"/>
  <c r="J4057" i="2"/>
  <c r="H4057" i="2"/>
  <c r="J4056" i="2"/>
  <c r="H4056" i="2"/>
  <c r="J4055" i="2"/>
  <c r="H4055" i="2"/>
  <c r="J4054" i="2"/>
  <c r="H4054" i="2"/>
  <c r="J4053" i="2"/>
  <c r="H4053" i="2"/>
  <c r="J4052" i="2"/>
  <c r="H4052" i="2"/>
  <c r="J4051" i="2"/>
  <c r="H4051" i="2"/>
  <c r="J4050" i="2"/>
  <c r="H4050" i="2"/>
  <c r="J4049" i="2"/>
  <c r="H4049" i="2"/>
  <c r="J4048" i="2"/>
  <c r="H4048" i="2"/>
  <c r="J4047" i="2"/>
  <c r="H4047" i="2"/>
  <c r="J4046" i="2"/>
  <c r="H4046" i="2"/>
  <c r="J4045" i="2"/>
  <c r="H4045" i="2"/>
  <c r="J4044" i="2"/>
  <c r="H4044" i="2"/>
  <c r="J4043" i="2"/>
  <c r="H4043" i="2"/>
  <c r="J4042" i="2"/>
  <c r="H4042" i="2"/>
  <c r="J4041" i="2"/>
  <c r="H4041" i="2"/>
  <c r="J4040" i="2"/>
  <c r="H4040" i="2"/>
  <c r="J4039" i="2"/>
  <c r="H4039" i="2"/>
  <c r="J4038" i="2"/>
  <c r="H4038" i="2"/>
  <c r="J4037" i="2"/>
  <c r="H4037" i="2"/>
  <c r="J4036" i="2"/>
  <c r="H4036" i="2"/>
  <c r="J4035" i="2"/>
  <c r="H4035" i="2"/>
  <c r="J4034" i="2"/>
  <c r="H4034" i="2"/>
  <c r="J4033" i="2"/>
  <c r="H4033" i="2"/>
  <c r="J4032" i="2"/>
  <c r="H4032" i="2"/>
  <c r="J4031" i="2"/>
  <c r="H4031" i="2"/>
  <c r="J4030" i="2"/>
  <c r="H4030" i="2"/>
  <c r="J4029" i="2"/>
  <c r="H4029" i="2"/>
  <c r="J4028" i="2"/>
  <c r="H4028" i="2"/>
  <c r="J4027" i="2"/>
  <c r="H4027" i="2"/>
  <c r="J4026" i="2"/>
  <c r="H4026" i="2"/>
  <c r="J4025" i="2"/>
  <c r="H4025" i="2"/>
  <c r="J4024" i="2"/>
  <c r="H4024" i="2"/>
  <c r="J4023" i="2"/>
  <c r="H4023" i="2"/>
  <c r="J4022" i="2"/>
  <c r="H4022" i="2"/>
  <c r="J4021" i="2"/>
  <c r="H4021" i="2"/>
  <c r="J4020" i="2"/>
  <c r="H4020" i="2"/>
  <c r="J4019" i="2"/>
  <c r="H4019" i="2"/>
  <c r="J4018" i="2"/>
  <c r="H4018" i="2"/>
  <c r="J4017" i="2"/>
  <c r="H4017" i="2"/>
  <c r="J4016" i="2"/>
  <c r="H4016" i="2"/>
  <c r="J4015" i="2"/>
  <c r="H4015" i="2"/>
  <c r="J4014" i="2"/>
  <c r="H4014" i="2"/>
  <c r="J4013" i="2"/>
  <c r="H4013" i="2"/>
  <c r="J4012" i="2"/>
  <c r="H4012" i="2"/>
  <c r="J4011" i="2"/>
  <c r="H4011" i="2"/>
  <c r="J4010" i="2"/>
  <c r="H4010" i="2"/>
  <c r="J4009" i="2"/>
  <c r="H4009" i="2"/>
  <c r="J4008" i="2"/>
  <c r="H4008" i="2"/>
  <c r="J4007" i="2"/>
  <c r="H4007" i="2"/>
  <c r="J4006" i="2"/>
  <c r="H4006" i="2"/>
  <c r="J4005" i="2"/>
  <c r="H4005" i="2"/>
  <c r="J4004" i="2"/>
  <c r="H4004" i="2"/>
  <c r="J4003" i="2"/>
  <c r="H4003" i="2"/>
  <c r="J4002" i="2"/>
  <c r="H4002" i="2"/>
  <c r="J4001" i="2"/>
  <c r="H4001" i="2"/>
  <c r="J4000" i="2"/>
  <c r="H4000" i="2"/>
  <c r="J3999" i="2"/>
  <c r="H3999" i="2"/>
  <c r="J3998" i="2"/>
  <c r="H3998" i="2"/>
  <c r="J3997" i="2"/>
  <c r="H3997" i="2"/>
  <c r="J3996" i="2"/>
  <c r="H3996" i="2"/>
  <c r="J3995" i="2"/>
  <c r="H3995" i="2"/>
  <c r="J3994" i="2"/>
  <c r="H3994" i="2"/>
  <c r="J3993" i="2"/>
  <c r="H3993" i="2"/>
  <c r="J3992" i="2"/>
  <c r="H3992" i="2"/>
  <c r="J3991" i="2"/>
  <c r="H3991" i="2"/>
  <c r="J3990" i="2"/>
  <c r="H3990" i="2"/>
  <c r="J3989" i="2"/>
  <c r="H3989" i="2"/>
  <c r="J3988" i="2"/>
  <c r="H3988" i="2"/>
  <c r="J3987" i="2"/>
  <c r="H3987" i="2"/>
  <c r="J3986" i="2"/>
  <c r="H3986" i="2"/>
  <c r="J3985" i="2"/>
  <c r="H3985" i="2"/>
  <c r="J3984" i="2"/>
  <c r="H3984" i="2"/>
  <c r="J3983" i="2"/>
  <c r="H3983" i="2"/>
  <c r="J3982" i="2"/>
  <c r="H3982" i="2"/>
  <c r="J3981" i="2"/>
  <c r="H3981" i="2"/>
  <c r="J3980" i="2"/>
  <c r="H3980" i="2"/>
  <c r="J3979" i="2"/>
  <c r="H3979" i="2"/>
  <c r="J3978" i="2"/>
  <c r="H3978" i="2"/>
  <c r="J3977" i="2"/>
  <c r="H3977" i="2"/>
  <c r="J3976" i="2"/>
  <c r="H3976" i="2"/>
  <c r="J3975" i="2"/>
  <c r="H3975" i="2"/>
  <c r="J3974" i="2"/>
  <c r="H3974" i="2"/>
  <c r="J3973" i="2"/>
  <c r="H3973" i="2"/>
  <c r="J3972" i="2"/>
  <c r="H3972" i="2"/>
  <c r="J3971" i="2"/>
  <c r="H3971" i="2"/>
  <c r="J3970" i="2"/>
  <c r="H3970" i="2"/>
  <c r="J3969" i="2"/>
  <c r="H3969" i="2"/>
  <c r="J3968" i="2"/>
  <c r="H3968" i="2"/>
  <c r="J3967" i="2"/>
  <c r="H3967" i="2"/>
  <c r="J3966" i="2"/>
  <c r="H3966" i="2"/>
  <c r="J3965" i="2"/>
  <c r="H3965" i="2"/>
  <c r="J3964" i="2"/>
  <c r="H3964" i="2"/>
  <c r="J3963" i="2"/>
  <c r="H3963" i="2"/>
  <c r="J3962" i="2"/>
  <c r="H3962" i="2"/>
  <c r="J3961" i="2"/>
  <c r="H3961" i="2"/>
  <c r="J3960" i="2"/>
  <c r="H3960" i="2"/>
  <c r="J3959" i="2"/>
  <c r="H3959" i="2"/>
  <c r="J3958" i="2"/>
  <c r="H3958" i="2"/>
  <c r="J3957" i="2"/>
  <c r="H3957" i="2"/>
  <c r="J3956" i="2"/>
  <c r="H3956" i="2"/>
  <c r="J3955" i="2"/>
  <c r="H3955" i="2"/>
  <c r="J3954" i="2"/>
  <c r="H3954" i="2"/>
  <c r="J3953" i="2"/>
  <c r="H3953" i="2"/>
  <c r="J3952" i="2"/>
  <c r="H3952" i="2"/>
  <c r="J3951" i="2"/>
  <c r="H3951" i="2"/>
  <c r="J3950" i="2"/>
  <c r="H3950" i="2"/>
  <c r="J3949" i="2"/>
  <c r="H3949" i="2"/>
  <c r="J3948" i="2"/>
  <c r="H3948" i="2"/>
  <c r="J3947" i="2"/>
  <c r="H3947" i="2"/>
  <c r="J3946" i="2"/>
  <c r="H3946" i="2"/>
  <c r="J3945" i="2"/>
  <c r="H3945" i="2"/>
  <c r="J3944" i="2"/>
  <c r="H3944" i="2"/>
  <c r="J3943" i="2"/>
  <c r="H3943" i="2"/>
  <c r="J3942" i="2"/>
  <c r="H3942" i="2"/>
  <c r="J3941" i="2"/>
  <c r="H3941" i="2"/>
  <c r="J3940" i="2"/>
  <c r="H3940" i="2"/>
  <c r="J3939" i="2"/>
  <c r="H3939" i="2"/>
  <c r="J3938" i="2"/>
  <c r="H3938" i="2"/>
  <c r="J3937" i="2"/>
  <c r="H3937" i="2"/>
  <c r="J3936" i="2"/>
  <c r="H3936" i="2"/>
  <c r="J3935" i="2"/>
  <c r="H3935" i="2"/>
  <c r="J3934" i="2"/>
  <c r="H3934" i="2"/>
  <c r="J3933" i="2"/>
  <c r="H3933" i="2"/>
  <c r="J3932" i="2"/>
  <c r="H3932" i="2"/>
  <c r="J3931" i="2"/>
  <c r="H3931" i="2"/>
  <c r="J3930" i="2"/>
  <c r="H3930" i="2"/>
  <c r="J3929" i="2"/>
  <c r="H3929" i="2"/>
  <c r="J3928" i="2"/>
  <c r="H3928" i="2"/>
  <c r="J3927" i="2"/>
  <c r="H3927" i="2"/>
  <c r="J3926" i="2"/>
  <c r="H3926" i="2"/>
  <c r="J3925" i="2"/>
  <c r="H3925" i="2"/>
  <c r="J3924" i="2"/>
  <c r="H3924" i="2"/>
  <c r="J3923" i="2"/>
  <c r="H3923" i="2"/>
  <c r="J3922" i="2"/>
  <c r="H3922" i="2"/>
  <c r="J3921" i="2"/>
  <c r="H3921" i="2"/>
  <c r="J3920" i="2"/>
  <c r="H3920" i="2"/>
  <c r="J3919" i="2"/>
  <c r="H3919" i="2"/>
  <c r="J3918" i="2"/>
  <c r="H3918" i="2"/>
  <c r="J3917" i="2"/>
  <c r="H3917" i="2"/>
  <c r="J3916" i="2"/>
  <c r="H3916" i="2"/>
  <c r="J3915" i="2"/>
  <c r="H3915" i="2"/>
  <c r="J3914" i="2"/>
  <c r="H3914" i="2"/>
  <c r="J3913" i="2"/>
  <c r="H3913" i="2"/>
  <c r="J3912" i="2"/>
  <c r="H3912" i="2"/>
  <c r="J3911" i="2"/>
  <c r="H3911" i="2"/>
  <c r="J3910" i="2"/>
  <c r="H3910" i="2"/>
  <c r="J3909" i="2"/>
  <c r="H3909" i="2"/>
  <c r="J3908" i="2"/>
  <c r="H3908" i="2"/>
  <c r="J3907" i="2"/>
  <c r="H3907" i="2"/>
  <c r="J3906" i="2"/>
  <c r="H3906" i="2"/>
  <c r="J3905" i="2"/>
  <c r="H3905" i="2"/>
  <c r="J3904" i="2"/>
  <c r="H3904" i="2"/>
  <c r="J3903" i="2"/>
  <c r="H3903" i="2"/>
  <c r="J3902" i="2"/>
  <c r="H3902" i="2"/>
  <c r="J3901" i="2"/>
  <c r="H3901" i="2"/>
  <c r="J3900" i="2"/>
  <c r="H3900" i="2"/>
  <c r="J3899" i="2"/>
  <c r="H3899" i="2"/>
  <c r="J3898" i="2"/>
  <c r="H3898" i="2"/>
  <c r="J3897" i="2"/>
  <c r="H3897" i="2"/>
  <c r="J3896" i="2"/>
  <c r="H3896" i="2"/>
  <c r="J3895" i="2"/>
  <c r="H3895" i="2"/>
  <c r="J3894" i="2"/>
  <c r="H3894" i="2"/>
  <c r="J3893" i="2"/>
  <c r="H3893" i="2"/>
  <c r="J3892" i="2"/>
  <c r="H3892" i="2"/>
  <c r="J3891" i="2"/>
  <c r="H3891" i="2"/>
  <c r="J3890" i="2"/>
  <c r="H3890" i="2"/>
  <c r="J3889" i="2"/>
  <c r="H3889" i="2"/>
  <c r="J3888" i="2"/>
  <c r="H3888" i="2"/>
  <c r="J3887" i="2"/>
  <c r="H3887" i="2"/>
  <c r="J3886" i="2"/>
  <c r="H3886" i="2"/>
  <c r="J3885" i="2"/>
  <c r="H3885" i="2"/>
  <c r="J3884" i="2"/>
  <c r="H3884" i="2"/>
  <c r="J3883" i="2"/>
  <c r="H3883" i="2"/>
  <c r="J3882" i="2"/>
  <c r="H3882" i="2"/>
  <c r="J3881" i="2"/>
  <c r="H3881" i="2"/>
  <c r="J3880" i="2"/>
  <c r="H3880" i="2"/>
  <c r="J3879" i="2"/>
  <c r="H3879" i="2"/>
  <c r="J3878" i="2"/>
  <c r="H3878" i="2"/>
  <c r="J3877" i="2"/>
  <c r="H3877" i="2"/>
  <c r="J3876" i="2"/>
  <c r="H3876" i="2"/>
  <c r="J3875" i="2"/>
  <c r="H3875" i="2"/>
  <c r="J3874" i="2"/>
  <c r="H3874" i="2"/>
  <c r="J3873" i="2"/>
  <c r="H3873" i="2"/>
  <c r="J3872" i="2"/>
  <c r="H3872" i="2"/>
  <c r="J3871" i="2"/>
  <c r="H3871" i="2"/>
  <c r="J3870" i="2"/>
  <c r="H3870" i="2"/>
  <c r="J3869" i="2"/>
  <c r="H3869" i="2"/>
  <c r="J3868" i="2"/>
  <c r="H3868" i="2"/>
  <c r="J3867" i="2"/>
  <c r="H3867" i="2"/>
  <c r="J3866" i="2"/>
  <c r="H3866" i="2"/>
  <c r="J3865" i="2"/>
  <c r="H3865" i="2"/>
  <c r="J3864" i="2"/>
  <c r="H3864" i="2"/>
  <c r="J3863" i="2"/>
  <c r="H3863" i="2"/>
  <c r="J3862" i="2"/>
  <c r="H3862" i="2"/>
  <c r="J3861" i="2"/>
  <c r="H3861" i="2"/>
  <c r="J3860" i="2"/>
  <c r="H3860" i="2"/>
  <c r="J3859" i="2"/>
  <c r="H3859" i="2"/>
  <c r="J3858" i="2"/>
  <c r="H3858" i="2"/>
  <c r="J3857" i="2"/>
  <c r="H3857" i="2"/>
  <c r="J3856" i="2"/>
  <c r="H3856" i="2"/>
  <c r="J3855" i="2"/>
  <c r="H3855" i="2"/>
  <c r="J3854" i="2"/>
  <c r="H3854" i="2"/>
  <c r="J3853" i="2"/>
  <c r="H3853" i="2"/>
  <c r="J3852" i="2"/>
  <c r="H3852" i="2"/>
  <c r="J3851" i="2"/>
  <c r="H3851" i="2"/>
  <c r="J3850" i="2"/>
  <c r="H3850" i="2"/>
  <c r="J3849" i="2"/>
  <c r="H3849" i="2"/>
  <c r="J3848" i="2"/>
  <c r="H3848" i="2"/>
  <c r="J3847" i="2"/>
  <c r="H3847" i="2"/>
  <c r="J3846" i="2"/>
  <c r="H3846" i="2"/>
  <c r="J3845" i="2"/>
  <c r="H3845" i="2"/>
  <c r="J3844" i="2"/>
  <c r="H3844" i="2"/>
  <c r="J3843" i="2"/>
  <c r="H3843" i="2"/>
  <c r="J3842" i="2"/>
  <c r="H3842" i="2"/>
  <c r="J3841" i="2"/>
  <c r="H3841" i="2"/>
  <c r="J3840" i="2"/>
  <c r="H3840" i="2"/>
  <c r="J3839" i="2"/>
  <c r="H3839" i="2"/>
  <c r="J3838" i="2"/>
  <c r="H3838" i="2"/>
  <c r="J3837" i="2"/>
  <c r="H3837" i="2"/>
  <c r="J3836" i="2"/>
  <c r="H3836" i="2"/>
  <c r="J3835" i="2"/>
  <c r="H3835" i="2"/>
  <c r="J3834" i="2"/>
  <c r="H3834" i="2"/>
  <c r="J3833" i="2"/>
  <c r="H3833" i="2"/>
  <c r="J3832" i="2"/>
  <c r="H3832" i="2"/>
  <c r="J3831" i="2"/>
  <c r="H3831" i="2"/>
  <c r="J3830" i="2"/>
  <c r="H3830" i="2"/>
  <c r="J3829" i="2"/>
  <c r="H3829" i="2"/>
  <c r="J3828" i="2"/>
  <c r="H3828" i="2"/>
  <c r="J3827" i="2"/>
  <c r="H3827" i="2"/>
  <c r="J3826" i="2"/>
  <c r="H3826" i="2"/>
  <c r="J3825" i="2"/>
  <c r="H3825" i="2"/>
  <c r="J3824" i="2"/>
  <c r="H3824" i="2"/>
  <c r="J3823" i="2"/>
  <c r="H3823" i="2"/>
  <c r="J3822" i="2"/>
  <c r="H3822" i="2"/>
  <c r="J3821" i="2"/>
  <c r="H3821" i="2"/>
  <c r="J3820" i="2"/>
  <c r="H3820" i="2"/>
  <c r="J3819" i="2"/>
  <c r="H3819" i="2"/>
  <c r="J3818" i="2"/>
  <c r="H3818" i="2"/>
  <c r="J3817" i="2"/>
  <c r="H3817" i="2"/>
  <c r="J3816" i="2"/>
  <c r="H3816" i="2"/>
  <c r="J3815" i="2"/>
  <c r="H3815" i="2"/>
  <c r="J3814" i="2"/>
  <c r="H3814" i="2"/>
  <c r="J3813" i="2"/>
  <c r="H3813" i="2"/>
  <c r="J3812" i="2"/>
  <c r="H3812" i="2"/>
  <c r="J3811" i="2"/>
  <c r="H3811" i="2"/>
  <c r="J3810" i="2"/>
  <c r="H3810" i="2"/>
  <c r="J3809" i="2"/>
  <c r="H3809" i="2"/>
  <c r="J3808" i="2"/>
  <c r="H3808" i="2"/>
  <c r="J3807" i="2"/>
  <c r="H3807" i="2"/>
  <c r="J3806" i="2"/>
  <c r="H3806" i="2"/>
  <c r="J3805" i="2"/>
  <c r="H3805" i="2"/>
  <c r="J3804" i="2"/>
  <c r="H3804" i="2"/>
  <c r="J3803" i="2"/>
  <c r="H3803" i="2"/>
  <c r="J3802" i="2"/>
  <c r="H3802" i="2"/>
  <c r="J3801" i="2"/>
  <c r="H3801" i="2"/>
  <c r="J3800" i="2"/>
  <c r="H3800" i="2"/>
  <c r="J3799" i="2"/>
  <c r="H3799" i="2"/>
  <c r="J3798" i="2"/>
  <c r="H3798" i="2"/>
  <c r="J3797" i="2"/>
  <c r="H3797" i="2"/>
  <c r="J3796" i="2"/>
  <c r="H3796" i="2"/>
  <c r="J3795" i="2"/>
  <c r="H3795" i="2"/>
  <c r="J3794" i="2"/>
  <c r="H3794" i="2"/>
  <c r="J3793" i="2"/>
  <c r="H3793" i="2"/>
  <c r="J3792" i="2"/>
  <c r="H3792" i="2"/>
  <c r="J3791" i="2"/>
  <c r="H3791" i="2"/>
  <c r="J3790" i="2"/>
  <c r="H3790" i="2"/>
  <c r="J3789" i="2"/>
  <c r="H3789" i="2"/>
  <c r="J3788" i="2"/>
  <c r="H3788" i="2"/>
  <c r="J3787" i="2"/>
  <c r="H3787" i="2"/>
  <c r="J3786" i="2"/>
  <c r="H3786" i="2"/>
  <c r="J3785" i="2"/>
  <c r="H3785" i="2"/>
  <c r="J3784" i="2"/>
  <c r="H3784" i="2"/>
  <c r="J3783" i="2"/>
  <c r="H3783" i="2"/>
  <c r="J3782" i="2"/>
  <c r="H3782" i="2"/>
  <c r="J3781" i="2"/>
  <c r="H3781" i="2"/>
  <c r="J3780" i="2"/>
  <c r="H3780" i="2"/>
  <c r="J3779" i="2"/>
  <c r="H3779" i="2"/>
  <c r="J3778" i="2"/>
  <c r="H3778" i="2"/>
  <c r="J3777" i="2"/>
  <c r="H3777" i="2"/>
  <c r="J3776" i="2"/>
  <c r="H3776" i="2"/>
  <c r="J3775" i="2"/>
  <c r="H3775" i="2"/>
  <c r="J3774" i="2"/>
  <c r="H3774" i="2"/>
  <c r="J3773" i="2"/>
  <c r="H3773" i="2"/>
  <c r="J3772" i="2"/>
  <c r="H3772" i="2"/>
  <c r="J3771" i="2"/>
  <c r="H3771" i="2"/>
  <c r="J3770" i="2"/>
  <c r="H3770" i="2"/>
  <c r="J3769" i="2"/>
  <c r="H3769" i="2"/>
  <c r="J3768" i="2"/>
  <c r="H3768" i="2"/>
  <c r="J3767" i="2"/>
  <c r="H3767" i="2"/>
  <c r="J3766" i="2"/>
  <c r="H3766" i="2"/>
  <c r="J3765" i="2"/>
  <c r="H3765" i="2"/>
  <c r="J3764" i="2"/>
  <c r="H3764" i="2"/>
  <c r="J3763" i="2"/>
  <c r="H3763" i="2"/>
  <c r="J3762" i="2"/>
  <c r="H3762" i="2"/>
  <c r="J3761" i="2"/>
  <c r="H3761" i="2"/>
  <c r="J3760" i="2"/>
  <c r="H3760" i="2"/>
  <c r="J3759" i="2"/>
  <c r="H3759" i="2"/>
  <c r="J3758" i="2"/>
  <c r="H3758" i="2"/>
  <c r="J3757" i="2"/>
  <c r="H3757" i="2"/>
  <c r="J3756" i="2"/>
  <c r="H3756" i="2"/>
  <c r="J3755" i="2"/>
  <c r="H3755" i="2"/>
  <c r="J3754" i="2"/>
  <c r="H3754" i="2"/>
  <c r="J3753" i="2"/>
  <c r="H3753" i="2"/>
  <c r="J3752" i="2"/>
  <c r="H3752" i="2"/>
  <c r="J3751" i="2"/>
  <c r="H3751" i="2"/>
  <c r="J3750" i="2"/>
  <c r="H3750" i="2"/>
  <c r="J3749" i="2"/>
  <c r="H3749" i="2"/>
  <c r="J3748" i="2"/>
  <c r="H3748" i="2"/>
  <c r="J3747" i="2"/>
  <c r="H3747" i="2"/>
  <c r="J3746" i="2"/>
  <c r="H3746" i="2"/>
  <c r="J3745" i="2"/>
  <c r="H3745" i="2"/>
  <c r="J3744" i="2"/>
  <c r="H3744" i="2"/>
  <c r="J3743" i="2"/>
  <c r="H3743" i="2"/>
  <c r="J3742" i="2"/>
  <c r="H3742" i="2"/>
  <c r="J3741" i="2"/>
  <c r="H3741" i="2"/>
  <c r="J3740" i="2"/>
  <c r="H3740" i="2"/>
  <c r="J3739" i="2"/>
  <c r="H3739" i="2"/>
  <c r="J3738" i="2"/>
  <c r="H3738" i="2"/>
  <c r="J3737" i="2"/>
  <c r="H3737" i="2"/>
  <c r="J3736" i="2"/>
  <c r="H3736" i="2"/>
  <c r="J3735" i="2"/>
  <c r="H3735" i="2"/>
  <c r="J3734" i="2"/>
  <c r="H3734" i="2"/>
  <c r="J3733" i="2"/>
  <c r="H3733" i="2"/>
  <c r="J3732" i="2"/>
  <c r="H3732" i="2"/>
  <c r="J3731" i="2"/>
  <c r="H3731" i="2"/>
  <c r="J3730" i="2"/>
  <c r="H3730" i="2"/>
  <c r="J3729" i="2"/>
  <c r="H3729" i="2"/>
  <c r="J3728" i="2"/>
  <c r="H3728" i="2"/>
  <c r="J3727" i="2"/>
  <c r="H3727" i="2"/>
  <c r="J3726" i="2"/>
  <c r="H3726" i="2"/>
  <c r="J3725" i="2"/>
  <c r="H3725" i="2"/>
  <c r="J3724" i="2"/>
  <c r="H3724" i="2"/>
  <c r="J3723" i="2"/>
  <c r="H3723" i="2"/>
  <c r="J3722" i="2"/>
  <c r="H3722" i="2"/>
  <c r="J3721" i="2"/>
  <c r="H3721" i="2"/>
  <c r="J3720" i="2"/>
  <c r="H3720" i="2"/>
  <c r="J3719" i="2"/>
  <c r="H3719" i="2"/>
  <c r="J3718" i="2"/>
  <c r="H3718" i="2"/>
  <c r="J3717" i="2"/>
  <c r="H3717" i="2"/>
  <c r="J3716" i="2"/>
  <c r="H3716" i="2"/>
  <c r="J3715" i="2"/>
  <c r="H3715" i="2"/>
  <c r="J3714" i="2"/>
  <c r="H3714" i="2"/>
  <c r="J3713" i="2"/>
  <c r="H3713" i="2"/>
  <c r="J3712" i="2"/>
  <c r="H3712" i="2"/>
  <c r="J3711" i="2"/>
  <c r="H3711" i="2"/>
  <c r="J3710" i="2"/>
  <c r="H3710" i="2"/>
  <c r="J3709" i="2"/>
  <c r="H3709" i="2"/>
  <c r="J3708" i="2"/>
  <c r="H3708" i="2"/>
  <c r="J3707" i="2"/>
  <c r="H3707" i="2"/>
  <c r="J3706" i="2"/>
  <c r="H3706" i="2"/>
  <c r="J3705" i="2"/>
  <c r="H3705" i="2"/>
  <c r="J3704" i="2"/>
  <c r="H3704" i="2"/>
  <c r="J3703" i="2"/>
  <c r="H3703" i="2"/>
  <c r="J3702" i="2"/>
  <c r="H3702" i="2"/>
  <c r="J3701" i="2"/>
  <c r="H3701" i="2"/>
  <c r="J3700" i="2"/>
  <c r="H3700" i="2"/>
  <c r="J3699" i="2"/>
  <c r="H3699" i="2"/>
  <c r="J3698" i="2"/>
  <c r="H3698" i="2"/>
  <c r="J3697" i="2"/>
  <c r="H3697" i="2"/>
  <c r="J3696" i="2"/>
  <c r="H3696" i="2"/>
  <c r="J3695" i="2"/>
  <c r="H3695" i="2"/>
  <c r="J3694" i="2"/>
  <c r="H3694" i="2"/>
  <c r="J3693" i="2"/>
  <c r="H3693" i="2"/>
  <c r="J3692" i="2"/>
  <c r="H3692" i="2"/>
  <c r="J3691" i="2"/>
  <c r="H3691" i="2"/>
  <c r="J3690" i="2"/>
  <c r="H3690" i="2"/>
  <c r="J3689" i="2"/>
  <c r="H3689" i="2"/>
  <c r="J3688" i="2"/>
  <c r="H3688" i="2"/>
  <c r="J3687" i="2"/>
  <c r="H3687" i="2"/>
  <c r="J3686" i="2"/>
  <c r="H3686" i="2"/>
  <c r="J3685" i="2"/>
  <c r="H3685" i="2"/>
  <c r="J3684" i="2"/>
  <c r="H3684" i="2"/>
  <c r="J3683" i="2"/>
  <c r="H3683" i="2"/>
  <c r="J3682" i="2"/>
  <c r="H3682" i="2"/>
  <c r="J3681" i="2"/>
  <c r="H3681" i="2"/>
  <c r="J3680" i="2"/>
  <c r="H3680" i="2"/>
  <c r="J3679" i="2"/>
  <c r="H3679" i="2"/>
  <c r="J3678" i="2"/>
  <c r="H3678" i="2"/>
  <c r="J3677" i="2"/>
  <c r="H3677" i="2"/>
  <c r="J3676" i="2"/>
  <c r="H3676" i="2"/>
  <c r="J3675" i="2"/>
  <c r="H3675" i="2"/>
  <c r="J3674" i="2"/>
  <c r="H3674" i="2"/>
  <c r="J3673" i="2"/>
  <c r="H3673" i="2"/>
  <c r="J3672" i="2"/>
  <c r="H3672" i="2"/>
  <c r="J3671" i="2"/>
  <c r="H3671" i="2"/>
  <c r="J3670" i="2"/>
  <c r="H3670" i="2"/>
  <c r="J3669" i="2"/>
  <c r="H3669" i="2"/>
  <c r="J3668" i="2"/>
  <c r="H3668" i="2"/>
  <c r="J3667" i="2"/>
  <c r="H3667" i="2"/>
  <c r="J3666" i="2"/>
  <c r="H3666" i="2"/>
  <c r="J3665" i="2"/>
  <c r="H3665" i="2"/>
  <c r="J3664" i="2"/>
  <c r="H3664" i="2"/>
  <c r="J3663" i="2"/>
  <c r="H3663" i="2"/>
  <c r="J3662" i="2"/>
  <c r="H3662" i="2"/>
  <c r="J3661" i="2"/>
  <c r="H3661" i="2"/>
  <c r="J3660" i="2"/>
  <c r="H3660" i="2"/>
  <c r="J3659" i="2"/>
  <c r="H3659" i="2"/>
  <c r="J3658" i="2"/>
  <c r="H3658" i="2"/>
  <c r="J3657" i="2"/>
  <c r="H3657" i="2"/>
  <c r="J3656" i="2"/>
  <c r="H3656" i="2"/>
  <c r="J3655" i="2"/>
  <c r="H3655" i="2"/>
  <c r="J3654" i="2"/>
  <c r="H3654" i="2"/>
  <c r="J3653" i="2"/>
  <c r="H3653" i="2"/>
  <c r="J3652" i="2"/>
  <c r="H3652" i="2"/>
  <c r="J3651" i="2"/>
  <c r="H3651" i="2"/>
  <c r="J3650" i="2"/>
  <c r="H3650" i="2"/>
  <c r="J3649" i="2"/>
  <c r="H3649" i="2"/>
  <c r="J3648" i="2"/>
  <c r="H3648" i="2"/>
  <c r="J3647" i="2"/>
  <c r="H3647" i="2"/>
  <c r="J3646" i="2"/>
  <c r="H3646" i="2"/>
  <c r="J3645" i="2"/>
  <c r="H3645" i="2"/>
  <c r="J3644" i="2"/>
  <c r="H3644" i="2"/>
  <c r="J3643" i="2"/>
  <c r="H3643" i="2"/>
  <c r="J3642" i="2"/>
  <c r="H3642" i="2"/>
  <c r="J3641" i="2"/>
  <c r="H3641" i="2"/>
  <c r="J3640" i="2"/>
  <c r="H3640" i="2"/>
  <c r="J3639" i="2"/>
  <c r="H3639" i="2"/>
  <c r="J3638" i="2"/>
  <c r="H3638" i="2"/>
  <c r="J3637" i="2"/>
  <c r="H3637" i="2"/>
  <c r="J3636" i="2"/>
  <c r="H3636" i="2"/>
  <c r="J3635" i="2"/>
  <c r="H3635" i="2"/>
  <c r="J3634" i="2"/>
  <c r="H3634" i="2"/>
  <c r="J3633" i="2"/>
  <c r="H3633" i="2"/>
  <c r="J3632" i="2"/>
  <c r="H3632" i="2"/>
  <c r="J3631" i="2"/>
  <c r="H3631" i="2"/>
  <c r="J3630" i="2"/>
  <c r="H3630" i="2"/>
  <c r="J3629" i="2"/>
  <c r="H3629" i="2"/>
  <c r="J3628" i="2"/>
  <c r="H3628" i="2"/>
  <c r="J3627" i="2"/>
  <c r="H3627" i="2"/>
  <c r="J3626" i="2"/>
  <c r="H3626" i="2"/>
  <c r="J3625" i="2"/>
  <c r="H3625" i="2"/>
  <c r="J3624" i="2"/>
  <c r="H3624" i="2"/>
  <c r="J3623" i="2"/>
  <c r="H3623" i="2"/>
  <c r="J3622" i="2"/>
  <c r="H3622" i="2"/>
  <c r="J3621" i="2"/>
  <c r="H3621" i="2"/>
  <c r="J3620" i="2"/>
  <c r="H3620" i="2"/>
  <c r="J3619" i="2"/>
  <c r="H3619" i="2"/>
  <c r="J3618" i="2"/>
  <c r="H3618" i="2"/>
  <c r="J3617" i="2"/>
  <c r="H3617" i="2"/>
  <c r="J3616" i="2"/>
  <c r="H3616" i="2"/>
  <c r="J3615" i="2"/>
  <c r="H3615" i="2"/>
  <c r="J3614" i="2"/>
  <c r="H3614" i="2"/>
  <c r="J3613" i="2"/>
  <c r="H3613" i="2"/>
  <c r="J3612" i="2"/>
  <c r="H3612" i="2"/>
  <c r="J3611" i="2"/>
  <c r="H3611" i="2"/>
  <c r="J3610" i="2"/>
  <c r="H3610" i="2"/>
  <c r="J3609" i="2"/>
  <c r="H3609" i="2"/>
  <c r="J3608" i="2"/>
  <c r="H3608" i="2"/>
  <c r="J3607" i="2"/>
  <c r="H3607" i="2"/>
  <c r="J3606" i="2"/>
  <c r="H3606" i="2"/>
  <c r="J3605" i="2"/>
  <c r="H3605" i="2"/>
  <c r="J3604" i="2"/>
  <c r="H3604" i="2"/>
  <c r="J3603" i="2"/>
  <c r="H3603" i="2"/>
  <c r="J3602" i="2"/>
  <c r="H3602" i="2"/>
  <c r="J3601" i="2"/>
  <c r="H3601" i="2"/>
  <c r="J3600" i="2"/>
  <c r="H3600" i="2"/>
  <c r="J3599" i="2"/>
  <c r="H3599" i="2"/>
  <c r="J3598" i="2"/>
  <c r="H3598" i="2"/>
  <c r="J3597" i="2"/>
  <c r="H3597" i="2"/>
  <c r="J3596" i="2"/>
  <c r="H3596" i="2"/>
  <c r="J3595" i="2"/>
  <c r="H3595" i="2"/>
  <c r="J3594" i="2"/>
  <c r="H3594" i="2"/>
  <c r="J3593" i="2"/>
  <c r="H3593" i="2"/>
  <c r="J3592" i="2"/>
  <c r="H3592" i="2"/>
  <c r="J3591" i="2"/>
  <c r="H3591" i="2"/>
  <c r="J3590" i="2"/>
  <c r="H3590" i="2"/>
  <c r="J3589" i="2"/>
  <c r="H3589" i="2"/>
  <c r="J3588" i="2"/>
  <c r="H3588" i="2"/>
  <c r="J3587" i="2"/>
  <c r="H3587" i="2"/>
  <c r="J3586" i="2"/>
  <c r="H3586" i="2"/>
  <c r="J3585" i="2"/>
  <c r="H3585" i="2"/>
  <c r="J3584" i="2"/>
  <c r="H3584" i="2"/>
  <c r="J3583" i="2"/>
  <c r="H3583" i="2"/>
  <c r="J3582" i="2"/>
  <c r="H3582" i="2"/>
  <c r="J3581" i="2"/>
  <c r="H3581" i="2"/>
  <c r="J3580" i="2"/>
  <c r="H3580" i="2"/>
  <c r="J3579" i="2"/>
  <c r="H3579" i="2"/>
  <c r="J3578" i="2"/>
  <c r="H3578" i="2"/>
  <c r="J3577" i="2"/>
  <c r="H3577" i="2"/>
  <c r="J3576" i="2"/>
  <c r="H3576" i="2"/>
  <c r="J3575" i="2"/>
  <c r="H3575" i="2"/>
  <c r="J3574" i="2"/>
  <c r="H3574" i="2"/>
  <c r="J3573" i="2"/>
  <c r="H3573" i="2"/>
  <c r="J3572" i="2"/>
  <c r="H3572" i="2"/>
  <c r="J3571" i="2"/>
  <c r="H3571" i="2"/>
  <c r="J3570" i="2"/>
  <c r="H3570" i="2"/>
  <c r="J3569" i="2"/>
  <c r="H3569" i="2"/>
  <c r="J3568" i="2"/>
  <c r="H3568" i="2"/>
  <c r="J3567" i="2"/>
  <c r="H3567" i="2"/>
  <c r="J3566" i="2"/>
  <c r="H3566" i="2"/>
  <c r="J3565" i="2"/>
  <c r="H3565" i="2"/>
  <c r="J3564" i="2"/>
  <c r="H3564" i="2"/>
  <c r="J3563" i="2"/>
  <c r="H3563" i="2"/>
  <c r="J3562" i="2"/>
  <c r="H3562" i="2"/>
  <c r="J3561" i="2"/>
  <c r="H3561" i="2"/>
  <c r="J3560" i="2"/>
  <c r="H3560" i="2"/>
  <c r="J3559" i="2"/>
  <c r="H3559" i="2"/>
  <c r="J3558" i="2"/>
  <c r="H3558" i="2"/>
  <c r="J3557" i="2"/>
  <c r="H3557" i="2"/>
  <c r="J3556" i="2"/>
  <c r="H3556" i="2"/>
  <c r="J3555" i="2"/>
  <c r="H3555" i="2"/>
  <c r="J3554" i="2"/>
  <c r="H3554" i="2"/>
  <c r="J3553" i="2"/>
  <c r="H3553" i="2"/>
  <c r="J3552" i="2"/>
  <c r="H3552" i="2"/>
  <c r="J3551" i="2"/>
  <c r="H3551" i="2"/>
  <c r="J3550" i="2"/>
  <c r="H3550" i="2"/>
  <c r="J3549" i="2"/>
  <c r="H3549" i="2"/>
  <c r="J3548" i="2"/>
  <c r="H3548" i="2"/>
  <c r="J3547" i="2"/>
  <c r="H3547" i="2"/>
  <c r="J3546" i="2"/>
  <c r="H3546" i="2"/>
  <c r="J3545" i="2"/>
  <c r="H3545" i="2"/>
  <c r="J3544" i="2"/>
  <c r="H3544" i="2"/>
  <c r="J3543" i="2"/>
  <c r="H3543" i="2"/>
  <c r="J3542" i="2"/>
  <c r="H3542" i="2"/>
  <c r="J3541" i="2"/>
  <c r="H3541" i="2"/>
  <c r="J3540" i="2"/>
  <c r="H3540" i="2"/>
  <c r="J3539" i="2"/>
  <c r="H3539" i="2"/>
  <c r="J3538" i="2"/>
  <c r="H3538" i="2"/>
  <c r="J3537" i="2"/>
  <c r="H3537" i="2"/>
  <c r="J3536" i="2"/>
  <c r="H3536" i="2"/>
  <c r="J3535" i="2"/>
  <c r="H3535" i="2"/>
  <c r="J3534" i="2"/>
  <c r="H3534" i="2"/>
  <c r="J3533" i="2"/>
  <c r="H3533" i="2"/>
  <c r="J3532" i="2"/>
  <c r="H3532" i="2"/>
  <c r="J3531" i="2"/>
  <c r="H3531" i="2"/>
  <c r="J3530" i="2"/>
  <c r="H3530" i="2"/>
  <c r="J3529" i="2"/>
  <c r="H3529" i="2"/>
  <c r="J3528" i="2"/>
  <c r="H3528" i="2"/>
  <c r="J3527" i="2"/>
  <c r="H3527" i="2"/>
  <c r="J3526" i="2"/>
  <c r="H3526" i="2"/>
  <c r="J3525" i="2"/>
  <c r="H3525" i="2"/>
  <c r="J3524" i="2"/>
  <c r="H3524" i="2"/>
  <c r="J3523" i="2"/>
  <c r="H3523" i="2"/>
  <c r="J3522" i="2"/>
  <c r="H3522" i="2"/>
  <c r="J3521" i="2"/>
  <c r="H3521" i="2"/>
  <c r="J3520" i="2"/>
  <c r="H3520" i="2"/>
  <c r="J3519" i="2"/>
  <c r="H3519" i="2"/>
  <c r="J3518" i="2"/>
  <c r="H3518" i="2"/>
  <c r="J3517" i="2"/>
  <c r="H3517" i="2"/>
  <c r="J3516" i="2"/>
  <c r="H3516" i="2"/>
  <c r="J3515" i="2"/>
  <c r="H3515" i="2"/>
  <c r="J3514" i="2"/>
  <c r="H3514" i="2"/>
  <c r="J3513" i="2"/>
  <c r="H3513" i="2"/>
  <c r="J3512" i="2"/>
  <c r="H3512" i="2"/>
  <c r="J3511" i="2"/>
  <c r="H3511" i="2"/>
  <c r="J3510" i="2"/>
  <c r="H3510" i="2"/>
  <c r="J3509" i="2"/>
  <c r="H3509" i="2"/>
  <c r="J3508" i="2"/>
  <c r="H3508" i="2"/>
  <c r="J3507" i="2"/>
  <c r="H3507" i="2"/>
  <c r="J3506" i="2"/>
  <c r="H3506" i="2"/>
  <c r="J3505" i="2"/>
  <c r="H3505" i="2"/>
  <c r="J3504" i="2"/>
  <c r="H3504" i="2"/>
  <c r="J3503" i="2"/>
  <c r="H3503" i="2"/>
  <c r="J3502" i="2"/>
  <c r="H3502" i="2"/>
  <c r="J3501" i="2"/>
  <c r="H3501" i="2"/>
  <c r="J3500" i="2"/>
  <c r="H3500" i="2"/>
  <c r="J3499" i="2"/>
  <c r="H3499" i="2"/>
  <c r="J3498" i="2"/>
  <c r="H3498" i="2"/>
  <c r="J3497" i="2"/>
  <c r="H3497" i="2"/>
  <c r="J3496" i="2"/>
  <c r="H3496" i="2"/>
  <c r="J3495" i="2"/>
  <c r="H3495" i="2"/>
  <c r="J3494" i="2"/>
  <c r="H3494" i="2"/>
  <c r="J3493" i="2"/>
  <c r="H3493" i="2"/>
  <c r="J3492" i="2"/>
  <c r="H3492" i="2"/>
  <c r="J3491" i="2"/>
  <c r="H3491" i="2"/>
  <c r="J3490" i="2"/>
  <c r="H3490" i="2"/>
  <c r="J3489" i="2"/>
  <c r="H3489" i="2"/>
  <c r="J3488" i="2"/>
  <c r="H3488" i="2"/>
  <c r="J3487" i="2"/>
  <c r="H3487" i="2"/>
  <c r="J3486" i="2"/>
  <c r="H3486" i="2"/>
  <c r="J3485" i="2"/>
  <c r="H3485" i="2"/>
  <c r="J3484" i="2"/>
  <c r="H3484" i="2"/>
  <c r="J3483" i="2"/>
  <c r="H3483" i="2"/>
  <c r="J3482" i="2"/>
  <c r="H3482" i="2"/>
  <c r="J3481" i="2"/>
  <c r="H3481" i="2"/>
  <c r="J3480" i="2"/>
  <c r="H3480" i="2"/>
  <c r="J3479" i="2"/>
  <c r="H3479" i="2"/>
  <c r="J3478" i="2"/>
  <c r="H3478" i="2"/>
  <c r="J3477" i="2"/>
  <c r="H3477" i="2"/>
  <c r="J3476" i="2"/>
  <c r="H3476" i="2"/>
  <c r="J3475" i="2"/>
  <c r="H3475" i="2"/>
  <c r="J3474" i="2"/>
  <c r="H3474" i="2"/>
  <c r="J3473" i="2"/>
  <c r="H3473" i="2"/>
  <c r="J3472" i="2"/>
  <c r="H3472" i="2"/>
  <c r="J3471" i="2"/>
  <c r="H3471" i="2"/>
  <c r="J3470" i="2"/>
  <c r="H3470" i="2"/>
  <c r="J3469" i="2"/>
  <c r="H3469" i="2"/>
  <c r="J3468" i="2"/>
  <c r="H3468" i="2"/>
  <c r="J3467" i="2"/>
  <c r="H3467" i="2"/>
  <c r="J3466" i="2"/>
  <c r="H3466" i="2"/>
  <c r="J3465" i="2"/>
  <c r="H3465" i="2"/>
  <c r="J3464" i="2"/>
  <c r="H3464" i="2"/>
  <c r="J3463" i="2"/>
  <c r="H3463" i="2"/>
  <c r="J3462" i="2"/>
  <c r="H3462" i="2"/>
  <c r="J3461" i="2"/>
  <c r="H3461" i="2"/>
  <c r="J3460" i="2"/>
  <c r="H3460" i="2"/>
  <c r="J3459" i="2"/>
  <c r="H3459" i="2"/>
  <c r="J3458" i="2"/>
  <c r="H3458" i="2"/>
  <c r="J3457" i="2"/>
  <c r="H3457" i="2"/>
  <c r="J3456" i="2"/>
  <c r="H3456" i="2"/>
  <c r="J3455" i="2"/>
  <c r="H3455" i="2"/>
  <c r="J3454" i="2"/>
  <c r="H3454" i="2"/>
  <c r="J3453" i="2"/>
  <c r="H3453" i="2"/>
  <c r="J3452" i="2"/>
  <c r="H3452" i="2"/>
  <c r="J3451" i="2"/>
  <c r="H3451" i="2"/>
  <c r="J3450" i="2"/>
  <c r="H3450" i="2"/>
  <c r="J3449" i="2"/>
  <c r="H3449" i="2"/>
  <c r="J3448" i="2"/>
  <c r="H3448" i="2"/>
  <c r="J3447" i="2"/>
  <c r="H3447" i="2"/>
  <c r="J3446" i="2"/>
  <c r="H3446" i="2"/>
  <c r="J3445" i="2"/>
  <c r="H3445" i="2"/>
  <c r="J3444" i="2"/>
  <c r="H3444" i="2"/>
  <c r="J3443" i="2"/>
  <c r="H3443" i="2"/>
  <c r="J3442" i="2"/>
  <c r="H3442" i="2"/>
  <c r="J3441" i="2"/>
  <c r="H3441" i="2"/>
  <c r="J3440" i="2"/>
  <c r="H3440" i="2"/>
  <c r="J3439" i="2"/>
  <c r="H3439" i="2"/>
  <c r="J3438" i="2"/>
  <c r="H3438" i="2"/>
  <c r="J3437" i="2"/>
  <c r="H3437" i="2"/>
  <c r="J3436" i="2"/>
  <c r="H3436" i="2"/>
  <c r="J3435" i="2"/>
  <c r="H3435" i="2"/>
  <c r="J3434" i="2"/>
  <c r="H3434" i="2"/>
  <c r="J3433" i="2"/>
  <c r="H3433" i="2"/>
  <c r="J3432" i="2"/>
  <c r="H3432" i="2"/>
  <c r="J3431" i="2"/>
  <c r="H3431" i="2"/>
  <c r="J3430" i="2"/>
  <c r="H3430" i="2"/>
  <c r="J3429" i="2"/>
  <c r="H3429" i="2"/>
  <c r="J3428" i="2"/>
  <c r="H3428" i="2"/>
  <c r="J3427" i="2"/>
  <c r="H3427" i="2"/>
  <c r="J3426" i="2"/>
  <c r="H3426" i="2"/>
  <c r="J3425" i="2"/>
  <c r="H3425" i="2"/>
  <c r="J3424" i="2"/>
  <c r="H3424" i="2"/>
  <c r="J3423" i="2"/>
  <c r="H3423" i="2"/>
  <c r="J3422" i="2"/>
  <c r="H3422" i="2"/>
  <c r="J3421" i="2"/>
  <c r="H3421" i="2"/>
  <c r="J3420" i="2"/>
  <c r="H3420" i="2"/>
  <c r="J3419" i="2"/>
  <c r="H3419" i="2"/>
  <c r="J3418" i="2"/>
  <c r="H3418" i="2"/>
  <c r="J3417" i="2"/>
  <c r="H3417" i="2"/>
  <c r="J3416" i="2"/>
  <c r="H3416" i="2"/>
  <c r="J3415" i="2"/>
  <c r="H3415" i="2"/>
  <c r="J3414" i="2"/>
  <c r="H3414" i="2"/>
  <c r="J3413" i="2"/>
  <c r="H3413" i="2"/>
  <c r="J3412" i="2"/>
  <c r="H3412" i="2"/>
  <c r="J3411" i="2"/>
  <c r="H3411" i="2"/>
  <c r="J3410" i="2"/>
  <c r="H3410" i="2"/>
  <c r="J3409" i="2"/>
  <c r="H3409" i="2"/>
  <c r="J3408" i="2"/>
  <c r="H3408" i="2"/>
  <c r="J3407" i="2"/>
  <c r="H3407" i="2"/>
  <c r="J3406" i="2"/>
  <c r="H3406" i="2"/>
  <c r="J3405" i="2"/>
  <c r="H3405" i="2"/>
  <c r="J3404" i="2"/>
  <c r="H3404" i="2"/>
  <c r="J3403" i="2"/>
  <c r="H3403" i="2"/>
  <c r="J3402" i="2"/>
  <c r="H3402" i="2"/>
  <c r="J3401" i="2"/>
  <c r="H3401" i="2"/>
  <c r="J3400" i="2"/>
  <c r="H3400" i="2"/>
  <c r="J3399" i="2"/>
  <c r="H3399" i="2"/>
  <c r="J3398" i="2"/>
  <c r="H3398" i="2"/>
  <c r="J3397" i="2"/>
  <c r="H3397" i="2"/>
  <c r="J3396" i="2"/>
  <c r="H3396" i="2"/>
  <c r="J3395" i="2"/>
  <c r="H3395" i="2"/>
  <c r="J3394" i="2"/>
  <c r="H3394" i="2"/>
  <c r="J3393" i="2"/>
  <c r="H3393" i="2"/>
  <c r="J3392" i="2"/>
  <c r="H3392" i="2"/>
  <c r="J3391" i="2"/>
  <c r="H3391" i="2"/>
  <c r="J3390" i="2"/>
  <c r="H3390" i="2"/>
  <c r="J3389" i="2"/>
  <c r="H3389" i="2"/>
  <c r="J3388" i="2"/>
  <c r="H3388" i="2"/>
  <c r="J3387" i="2"/>
  <c r="H3387" i="2"/>
  <c r="J3386" i="2"/>
  <c r="H3386" i="2"/>
  <c r="J3385" i="2"/>
  <c r="H3385" i="2"/>
  <c r="J3384" i="2"/>
  <c r="H3384" i="2"/>
  <c r="J3383" i="2"/>
  <c r="H3383" i="2"/>
  <c r="J3382" i="2"/>
  <c r="H3382" i="2"/>
  <c r="J3381" i="2"/>
  <c r="H3381" i="2"/>
  <c r="J3380" i="2"/>
  <c r="H3380" i="2"/>
  <c r="J3379" i="2"/>
  <c r="H3379" i="2"/>
  <c r="J3378" i="2"/>
  <c r="H3378" i="2"/>
  <c r="J3377" i="2"/>
  <c r="H3377" i="2"/>
  <c r="J3376" i="2"/>
  <c r="H3376" i="2"/>
  <c r="J3375" i="2"/>
  <c r="H3375" i="2"/>
  <c r="J3374" i="2"/>
  <c r="H3374" i="2"/>
  <c r="J3373" i="2"/>
  <c r="H3373" i="2"/>
  <c r="J3372" i="2"/>
  <c r="H3372" i="2"/>
  <c r="J3371" i="2"/>
  <c r="H3371" i="2"/>
  <c r="J3370" i="2"/>
  <c r="H3370" i="2"/>
  <c r="J3369" i="2"/>
  <c r="H3369" i="2"/>
  <c r="J3368" i="2"/>
  <c r="H3368" i="2"/>
  <c r="J3367" i="2"/>
  <c r="H3367" i="2"/>
  <c r="J3366" i="2"/>
  <c r="H3366" i="2"/>
  <c r="J3365" i="2"/>
  <c r="H3365" i="2"/>
  <c r="J3364" i="2"/>
  <c r="H3364" i="2"/>
  <c r="J3363" i="2"/>
  <c r="H3363" i="2"/>
  <c r="J3362" i="2"/>
  <c r="H3362" i="2"/>
  <c r="J3361" i="2"/>
  <c r="H3361" i="2"/>
  <c r="J3360" i="2"/>
  <c r="H3360" i="2"/>
  <c r="J3359" i="2"/>
  <c r="H3359" i="2"/>
  <c r="J3358" i="2"/>
  <c r="H3358" i="2"/>
  <c r="J3357" i="2"/>
  <c r="H3357" i="2"/>
  <c r="J3356" i="2"/>
  <c r="H3356" i="2"/>
  <c r="J3355" i="2"/>
  <c r="H3355" i="2"/>
  <c r="J3354" i="2"/>
  <c r="H3354" i="2"/>
  <c r="J3353" i="2"/>
  <c r="H3353" i="2"/>
  <c r="J3352" i="2"/>
  <c r="H3352" i="2"/>
  <c r="J3351" i="2"/>
  <c r="H3351" i="2"/>
  <c r="J3350" i="2"/>
  <c r="H3350" i="2"/>
  <c r="J3349" i="2"/>
  <c r="H3349" i="2"/>
  <c r="J3348" i="2"/>
  <c r="H3348" i="2"/>
  <c r="J3347" i="2"/>
  <c r="H3347" i="2"/>
  <c r="J3346" i="2"/>
  <c r="H3346" i="2"/>
  <c r="J3345" i="2"/>
  <c r="H3345" i="2"/>
  <c r="J3344" i="2"/>
  <c r="H3344" i="2"/>
  <c r="J3343" i="2"/>
  <c r="H3343" i="2"/>
  <c r="J3342" i="2"/>
  <c r="H3342" i="2"/>
  <c r="J3341" i="2"/>
  <c r="H3341" i="2"/>
  <c r="J3340" i="2"/>
  <c r="H3340" i="2"/>
  <c r="J3339" i="2"/>
  <c r="H3339" i="2"/>
  <c r="J3338" i="2"/>
  <c r="H3338" i="2"/>
  <c r="J3337" i="2"/>
  <c r="H3337" i="2"/>
  <c r="J3336" i="2"/>
  <c r="H3336" i="2"/>
  <c r="J3335" i="2"/>
  <c r="H3335" i="2"/>
  <c r="J3334" i="2"/>
  <c r="H3334" i="2"/>
  <c r="J3333" i="2"/>
  <c r="H3333" i="2"/>
  <c r="J3332" i="2"/>
  <c r="H3332" i="2"/>
  <c r="J3331" i="2"/>
  <c r="H3331" i="2"/>
  <c r="J3330" i="2"/>
  <c r="H3330" i="2"/>
  <c r="J3329" i="2"/>
  <c r="H3329" i="2"/>
  <c r="J3328" i="2"/>
  <c r="H3328" i="2"/>
  <c r="J3327" i="2"/>
  <c r="H3327" i="2"/>
  <c r="J3326" i="2"/>
  <c r="H3326" i="2"/>
  <c r="J3325" i="2"/>
  <c r="H3325" i="2"/>
  <c r="J3324" i="2"/>
  <c r="H3324" i="2"/>
  <c r="J3323" i="2"/>
  <c r="H3323" i="2"/>
  <c r="J3322" i="2"/>
  <c r="H3322" i="2"/>
  <c r="J3321" i="2"/>
  <c r="H3321" i="2"/>
  <c r="J3320" i="2"/>
  <c r="H3320" i="2"/>
  <c r="J3319" i="2"/>
  <c r="H3319" i="2"/>
  <c r="J3318" i="2"/>
  <c r="H3318" i="2"/>
  <c r="J3317" i="2"/>
  <c r="H3317" i="2"/>
  <c r="J3316" i="2"/>
  <c r="H3316" i="2"/>
  <c r="J3315" i="2"/>
  <c r="H3315" i="2"/>
  <c r="J3314" i="2"/>
  <c r="H3314" i="2"/>
  <c r="J3313" i="2"/>
  <c r="H3313" i="2"/>
  <c r="J3312" i="2"/>
  <c r="H3312" i="2"/>
  <c r="J3311" i="2"/>
  <c r="H3311" i="2"/>
  <c r="J3310" i="2"/>
  <c r="H3310" i="2"/>
  <c r="J3309" i="2"/>
  <c r="H3309" i="2"/>
  <c r="J3308" i="2"/>
  <c r="H3308" i="2"/>
  <c r="J3307" i="2"/>
  <c r="H3307" i="2"/>
  <c r="J3306" i="2"/>
  <c r="H3306" i="2"/>
  <c r="J3305" i="2"/>
  <c r="H3305" i="2"/>
  <c r="J3304" i="2"/>
  <c r="H3304" i="2"/>
  <c r="J3303" i="2"/>
  <c r="H3303" i="2"/>
  <c r="J3302" i="2"/>
  <c r="H3302" i="2"/>
  <c r="J3301" i="2"/>
  <c r="H3301" i="2"/>
  <c r="J3300" i="2"/>
  <c r="H3300" i="2"/>
  <c r="J3299" i="2"/>
  <c r="H3299" i="2"/>
  <c r="J3298" i="2"/>
  <c r="H3298" i="2"/>
  <c r="J3297" i="2"/>
  <c r="H3297" i="2"/>
  <c r="J3296" i="2"/>
  <c r="H3296" i="2"/>
  <c r="J3295" i="2"/>
  <c r="H3295" i="2"/>
  <c r="J3294" i="2"/>
  <c r="H3294" i="2"/>
  <c r="J3293" i="2"/>
  <c r="H3293" i="2"/>
  <c r="J3292" i="2"/>
  <c r="H3292" i="2"/>
  <c r="J3291" i="2"/>
  <c r="H3291" i="2"/>
  <c r="J3290" i="2"/>
  <c r="H3290" i="2"/>
  <c r="J3289" i="2"/>
  <c r="H3289" i="2"/>
  <c r="J3288" i="2"/>
  <c r="H3288" i="2"/>
  <c r="J3287" i="2"/>
  <c r="H3287" i="2"/>
  <c r="J3286" i="2"/>
  <c r="H3286" i="2"/>
  <c r="J3285" i="2"/>
  <c r="H3285" i="2"/>
  <c r="J3284" i="2"/>
  <c r="H3284" i="2"/>
  <c r="J3283" i="2"/>
  <c r="H3283" i="2"/>
  <c r="J3282" i="2"/>
  <c r="H3282" i="2"/>
  <c r="J3281" i="2"/>
  <c r="H3281" i="2"/>
  <c r="J3280" i="2"/>
  <c r="H3280" i="2"/>
  <c r="J3279" i="2"/>
  <c r="H3279" i="2"/>
  <c r="J3278" i="2"/>
  <c r="H3278" i="2"/>
  <c r="J3277" i="2"/>
  <c r="H3277" i="2"/>
  <c r="J3276" i="2"/>
  <c r="H3276" i="2"/>
  <c r="J3275" i="2"/>
  <c r="H3275" i="2"/>
  <c r="J3274" i="2"/>
  <c r="H3274" i="2"/>
  <c r="J3273" i="2"/>
  <c r="H3273" i="2"/>
  <c r="J3272" i="2"/>
  <c r="H3272" i="2"/>
  <c r="J3271" i="2"/>
  <c r="H3271" i="2"/>
  <c r="J3270" i="2"/>
  <c r="H3270" i="2"/>
  <c r="J3269" i="2"/>
  <c r="H3269" i="2"/>
  <c r="J3268" i="2"/>
  <c r="H3268" i="2"/>
  <c r="J3267" i="2"/>
  <c r="H3267" i="2"/>
  <c r="J3266" i="2"/>
  <c r="H3266" i="2"/>
  <c r="J3265" i="2"/>
  <c r="H3265" i="2"/>
  <c r="J3264" i="2"/>
  <c r="H3264" i="2"/>
  <c r="J3263" i="2"/>
  <c r="H3263" i="2"/>
  <c r="J3262" i="2"/>
  <c r="H3262" i="2"/>
  <c r="J3261" i="2"/>
  <c r="H3261" i="2"/>
  <c r="J3260" i="2"/>
  <c r="H3260" i="2"/>
  <c r="J3259" i="2"/>
  <c r="H3259" i="2"/>
  <c r="J3258" i="2"/>
  <c r="H3258" i="2"/>
  <c r="J3257" i="2"/>
  <c r="H3257" i="2"/>
  <c r="J3256" i="2"/>
  <c r="H3256" i="2"/>
  <c r="J3255" i="2"/>
  <c r="H3255" i="2"/>
  <c r="J3254" i="2"/>
  <c r="H3254" i="2"/>
  <c r="J3253" i="2"/>
  <c r="H3253" i="2"/>
  <c r="J3252" i="2"/>
  <c r="H3252" i="2"/>
  <c r="J3251" i="2"/>
  <c r="H3251" i="2"/>
  <c r="J3250" i="2"/>
  <c r="H3250" i="2"/>
  <c r="J3249" i="2"/>
  <c r="H3249" i="2"/>
  <c r="J3248" i="2"/>
  <c r="H3248" i="2"/>
  <c r="J3247" i="2"/>
  <c r="H3247" i="2"/>
  <c r="J3246" i="2"/>
  <c r="H3246" i="2"/>
  <c r="J3245" i="2"/>
  <c r="H3245" i="2"/>
  <c r="J3244" i="2"/>
  <c r="H3244" i="2"/>
  <c r="J3243" i="2"/>
  <c r="H3243" i="2"/>
  <c r="J3242" i="2"/>
  <c r="H3242" i="2"/>
  <c r="J3241" i="2"/>
  <c r="H3241" i="2"/>
  <c r="J3240" i="2"/>
  <c r="H3240" i="2"/>
  <c r="J3239" i="2"/>
  <c r="H3239" i="2"/>
  <c r="J3238" i="2"/>
  <c r="H3238" i="2"/>
  <c r="J3237" i="2"/>
  <c r="H3237" i="2"/>
  <c r="J3236" i="2"/>
  <c r="H3236" i="2"/>
  <c r="J3235" i="2"/>
  <c r="H3235" i="2"/>
  <c r="J3234" i="2"/>
  <c r="H3234" i="2"/>
  <c r="J3233" i="2"/>
  <c r="H3233" i="2"/>
  <c r="J3232" i="2"/>
  <c r="H3232" i="2"/>
  <c r="J3231" i="2"/>
  <c r="H3231" i="2"/>
  <c r="J3230" i="2"/>
  <c r="H3230" i="2"/>
  <c r="J3229" i="2"/>
  <c r="H3229" i="2"/>
  <c r="J3228" i="2"/>
  <c r="H3228" i="2"/>
  <c r="J3227" i="2"/>
  <c r="H3227" i="2"/>
  <c r="J3226" i="2"/>
  <c r="H3226" i="2"/>
  <c r="J3225" i="2"/>
  <c r="H3225" i="2"/>
  <c r="J3224" i="2"/>
  <c r="H3224" i="2"/>
  <c r="J3223" i="2"/>
  <c r="H3223" i="2"/>
  <c r="J3222" i="2"/>
  <c r="H3222" i="2"/>
  <c r="J3221" i="2"/>
  <c r="H3221" i="2"/>
  <c r="J3220" i="2"/>
  <c r="H3220" i="2"/>
  <c r="J3219" i="2"/>
  <c r="H3219" i="2"/>
  <c r="J3218" i="2"/>
  <c r="H3218" i="2"/>
  <c r="J3217" i="2"/>
  <c r="H3217" i="2"/>
  <c r="J3216" i="2"/>
  <c r="H3216" i="2"/>
  <c r="J3215" i="2"/>
  <c r="H3215" i="2"/>
  <c r="J3214" i="2"/>
  <c r="H3214" i="2"/>
  <c r="J3213" i="2"/>
  <c r="H3213" i="2"/>
  <c r="J3212" i="2"/>
  <c r="H3212" i="2"/>
  <c r="J3211" i="2"/>
  <c r="H3211" i="2"/>
  <c r="J3210" i="2"/>
  <c r="H3210" i="2"/>
  <c r="J3209" i="2"/>
  <c r="H3209" i="2"/>
  <c r="J3208" i="2"/>
  <c r="H3208" i="2"/>
  <c r="J3207" i="2"/>
  <c r="H3207" i="2"/>
  <c r="J3206" i="2"/>
  <c r="H3206" i="2"/>
  <c r="J3205" i="2"/>
  <c r="H3205" i="2"/>
  <c r="J3204" i="2"/>
  <c r="H3204" i="2"/>
  <c r="J3203" i="2"/>
  <c r="H3203" i="2"/>
  <c r="J3202" i="2"/>
  <c r="H3202" i="2"/>
  <c r="J3201" i="2"/>
  <c r="H3201" i="2"/>
  <c r="J3200" i="2"/>
  <c r="H3200" i="2"/>
  <c r="J3199" i="2"/>
  <c r="H3199" i="2"/>
  <c r="J3198" i="2"/>
  <c r="H3198" i="2"/>
  <c r="J3197" i="2"/>
  <c r="H3197" i="2"/>
  <c r="J3196" i="2"/>
  <c r="H3196" i="2"/>
  <c r="J3195" i="2"/>
  <c r="H3195" i="2"/>
  <c r="J3194" i="2"/>
  <c r="H3194" i="2"/>
  <c r="J3193" i="2"/>
  <c r="H3193" i="2"/>
  <c r="J3192" i="2"/>
  <c r="H3192" i="2"/>
  <c r="J3191" i="2"/>
  <c r="H3191" i="2"/>
  <c r="J3190" i="2"/>
  <c r="H3190" i="2"/>
  <c r="J3189" i="2"/>
  <c r="H3189" i="2"/>
  <c r="J3188" i="2"/>
  <c r="H3188" i="2"/>
  <c r="J3187" i="2"/>
  <c r="H3187" i="2"/>
  <c r="J3186" i="2"/>
  <c r="H3186" i="2"/>
  <c r="J3185" i="2"/>
  <c r="H3185" i="2"/>
  <c r="J3184" i="2"/>
  <c r="H3184" i="2"/>
  <c r="J3183" i="2"/>
  <c r="H3183" i="2"/>
  <c r="J3182" i="2"/>
  <c r="H3182" i="2"/>
  <c r="J3181" i="2"/>
  <c r="H3181" i="2"/>
  <c r="J3180" i="2"/>
  <c r="H3180" i="2"/>
  <c r="J3179" i="2"/>
  <c r="H3179" i="2"/>
  <c r="J3178" i="2"/>
  <c r="H3178" i="2"/>
  <c r="J3177" i="2"/>
  <c r="H3177" i="2"/>
  <c r="J3176" i="2"/>
  <c r="H3176" i="2"/>
  <c r="J3175" i="2"/>
  <c r="H3175" i="2"/>
  <c r="J3174" i="2"/>
  <c r="H3174" i="2"/>
  <c r="J3173" i="2"/>
  <c r="H3173" i="2"/>
  <c r="J3172" i="2"/>
  <c r="H3172" i="2"/>
  <c r="J3171" i="2"/>
  <c r="H3171" i="2"/>
  <c r="J3170" i="2"/>
  <c r="H3170" i="2"/>
  <c r="J3169" i="2"/>
  <c r="H3169" i="2"/>
  <c r="J3168" i="2"/>
  <c r="H3168" i="2"/>
  <c r="J3167" i="2"/>
  <c r="H3167" i="2"/>
  <c r="J3166" i="2"/>
  <c r="H3166" i="2"/>
  <c r="J3165" i="2"/>
  <c r="H3165" i="2"/>
  <c r="J3164" i="2"/>
  <c r="H3164" i="2"/>
  <c r="J3163" i="2"/>
  <c r="H3163" i="2"/>
  <c r="J3162" i="2"/>
  <c r="H3162" i="2"/>
  <c r="J3161" i="2"/>
  <c r="H3161" i="2"/>
  <c r="J3160" i="2"/>
  <c r="H3160" i="2"/>
  <c r="J3159" i="2"/>
  <c r="H3159" i="2"/>
  <c r="J3158" i="2"/>
  <c r="H3158" i="2"/>
  <c r="J3157" i="2"/>
  <c r="H3157" i="2"/>
  <c r="J3156" i="2"/>
  <c r="H3156" i="2"/>
  <c r="J3155" i="2"/>
  <c r="H3155" i="2"/>
  <c r="J3154" i="2"/>
  <c r="H3154" i="2"/>
  <c r="J3153" i="2"/>
  <c r="H3153" i="2"/>
  <c r="J3152" i="2"/>
  <c r="H3152" i="2"/>
  <c r="J3151" i="2"/>
  <c r="H3151" i="2"/>
  <c r="J3150" i="2"/>
  <c r="H3150" i="2"/>
  <c r="J3149" i="2"/>
  <c r="H3149" i="2"/>
  <c r="J3148" i="2"/>
  <c r="H3148" i="2"/>
  <c r="J3147" i="2"/>
  <c r="H3147" i="2"/>
  <c r="J3146" i="2"/>
  <c r="H3146" i="2"/>
  <c r="J3145" i="2"/>
  <c r="H3145" i="2"/>
  <c r="J3144" i="2"/>
  <c r="H3144" i="2"/>
  <c r="J3143" i="2"/>
  <c r="H3143" i="2"/>
  <c r="J3142" i="2"/>
  <c r="H3142" i="2"/>
  <c r="J3141" i="2"/>
  <c r="H3141" i="2"/>
  <c r="J3140" i="2"/>
  <c r="H3140" i="2"/>
  <c r="J3139" i="2"/>
  <c r="H3139" i="2"/>
  <c r="J3138" i="2"/>
  <c r="H3138" i="2"/>
  <c r="J3137" i="2"/>
  <c r="H3137" i="2"/>
  <c r="J3136" i="2"/>
  <c r="H3136" i="2"/>
  <c r="J3135" i="2"/>
  <c r="H3135" i="2"/>
  <c r="J3134" i="2"/>
  <c r="H3134" i="2"/>
  <c r="J3133" i="2"/>
  <c r="H3133" i="2"/>
  <c r="J3132" i="2"/>
  <c r="H3132" i="2"/>
  <c r="J3131" i="2"/>
  <c r="H3131" i="2"/>
  <c r="J3130" i="2"/>
  <c r="H3130" i="2"/>
  <c r="J3129" i="2"/>
  <c r="H3129" i="2"/>
  <c r="J3128" i="2"/>
  <c r="H3128" i="2"/>
  <c r="J3127" i="2"/>
  <c r="H3127" i="2"/>
  <c r="J3126" i="2"/>
  <c r="H3126" i="2"/>
  <c r="J3125" i="2"/>
  <c r="H3125" i="2"/>
  <c r="J3124" i="2"/>
  <c r="H3124" i="2"/>
  <c r="J3123" i="2"/>
  <c r="H3123" i="2"/>
  <c r="J3122" i="2"/>
  <c r="H3122" i="2"/>
  <c r="J3121" i="2"/>
  <c r="H3121" i="2"/>
  <c r="J3120" i="2"/>
  <c r="H3120" i="2"/>
  <c r="J3119" i="2"/>
  <c r="H3119" i="2"/>
  <c r="J3118" i="2"/>
  <c r="H3118" i="2"/>
  <c r="J3117" i="2"/>
  <c r="H3117" i="2"/>
  <c r="J3116" i="2"/>
  <c r="H3116" i="2"/>
  <c r="J3115" i="2"/>
  <c r="H3115" i="2"/>
  <c r="J3114" i="2"/>
  <c r="H3114" i="2"/>
  <c r="J3113" i="2"/>
  <c r="H3113" i="2"/>
  <c r="J3112" i="2"/>
  <c r="H3112" i="2"/>
  <c r="J3111" i="2"/>
  <c r="H3111" i="2"/>
  <c r="J3110" i="2"/>
  <c r="H3110" i="2"/>
  <c r="J3109" i="2"/>
  <c r="H3109" i="2"/>
  <c r="J3108" i="2"/>
  <c r="H3108" i="2"/>
  <c r="J3107" i="2"/>
  <c r="H3107" i="2"/>
  <c r="J3106" i="2"/>
  <c r="H3106" i="2"/>
  <c r="J3105" i="2"/>
  <c r="H3105" i="2"/>
  <c r="J3104" i="2"/>
  <c r="H3104" i="2"/>
  <c r="J3103" i="2"/>
  <c r="H3103" i="2"/>
  <c r="J3102" i="2"/>
  <c r="H3102" i="2"/>
  <c r="J3101" i="2"/>
  <c r="H3101" i="2"/>
  <c r="J3100" i="2"/>
  <c r="H3100" i="2"/>
  <c r="J3099" i="2"/>
  <c r="H3099" i="2"/>
  <c r="J3098" i="2"/>
  <c r="H3098" i="2"/>
  <c r="J3097" i="2"/>
  <c r="H3097" i="2"/>
  <c r="J3096" i="2"/>
  <c r="H3096" i="2"/>
  <c r="J3095" i="2"/>
  <c r="H3095" i="2"/>
  <c r="J3094" i="2"/>
  <c r="H3094" i="2"/>
  <c r="J3093" i="2"/>
  <c r="H3093" i="2"/>
  <c r="J3092" i="2"/>
  <c r="H3092" i="2"/>
  <c r="J3091" i="2"/>
  <c r="H3091" i="2"/>
  <c r="J3090" i="2"/>
  <c r="H3090" i="2"/>
  <c r="J3089" i="2"/>
  <c r="H3089" i="2"/>
  <c r="J3088" i="2"/>
  <c r="H3088" i="2"/>
  <c r="J3087" i="2"/>
  <c r="H3087" i="2"/>
  <c r="J3086" i="2"/>
  <c r="H3086" i="2"/>
  <c r="J3085" i="2"/>
  <c r="H3085" i="2"/>
  <c r="J3084" i="2"/>
  <c r="H3084" i="2"/>
  <c r="J3083" i="2"/>
  <c r="H3083" i="2"/>
  <c r="J3082" i="2"/>
  <c r="H3082" i="2"/>
  <c r="J3081" i="2"/>
  <c r="H3081" i="2"/>
  <c r="J3080" i="2"/>
  <c r="H3080" i="2"/>
  <c r="J3079" i="2"/>
  <c r="H3079" i="2"/>
  <c r="J3078" i="2"/>
  <c r="H3078" i="2"/>
  <c r="J3077" i="2"/>
  <c r="H3077" i="2"/>
  <c r="J3076" i="2"/>
  <c r="H3076" i="2"/>
  <c r="J3075" i="2"/>
  <c r="H3075" i="2"/>
  <c r="J3074" i="2"/>
  <c r="H3074" i="2"/>
  <c r="J3073" i="2"/>
  <c r="H3073" i="2"/>
  <c r="J3072" i="2"/>
  <c r="H3072" i="2"/>
  <c r="J3071" i="2"/>
  <c r="H3071" i="2"/>
  <c r="J3070" i="2"/>
  <c r="H3070" i="2"/>
  <c r="J3069" i="2"/>
  <c r="H3069" i="2"/>
  <c r="J3068" i="2"/>
  <c r="H3068" i="2"/>
  <c r="J3067" i="2"/>
  <c r="H3067" i="2"/>
  <c r="J3066" i="2"/>
  <c r="H3066" i="2"/>
  <c r="J3065" i="2"/>
  <c r="H3065" i="2"/>
  <c r="J3064" i="2"/>
  <c r="H3064" i="2"/>
  <c r="J3063" i="2"/>
  <c r="H3063" i="2"/>
  <c r="J3062" i="2"/>
  <c r="H3062" i="2"/>
  <c r="J3061" i="2"/>
  <c r="H3061" i="2"/>
  <c r="J3060" i="2"/>
  <c r="H3060" i="2"/>
  <c r="J3059" i="2"/>
  <c r="H3059" i="2"/>
  <c r="J3058" i="2"/>
  <c r="H3058" i="2"/>
  <c r="J3057" i="2"/>
  <c r="H3057" i="2"/>
  <c r="J3056" i="2"/>
  <c r="H3056" i="2"/>
  <c r="J3055" i="2"/>
  <c r="H3055" i="2"/>
  <c r="J3054" i="2"/>
  <c r="H3054" i="2"/>
  <c r="J3053" i="2"/>
  <c r="H3053" i="2"/>
  <c r="J3052" i="2"/>
  <c r="H3052" i="2"/>
  <c r="J3051" i="2"/>
  <c r="H3051" i="2"/>
  <c r="J3050" i="2"/>
  <c r="H3050" i="2"/>
  <c r="J3049" i="2"/>
  <c r="H3049" i="2"/>
  <c r="J3048" i="2"/>
  <c r="H3048" i="2"/>
  <c r="J3047" i="2"/>
  <c r="H3047" i="2"/>
  <c r="J3046" i="2"/>
  <c r="H3046" i="2"/>
  <c r="J3045" i="2"/>
  <c r="H3045" i="2"/>
  <c r="J3044" i="2"/>
  <c r="H3044" i="2"/>
  <c r="J3043" i="2"/>
  <c r="H3043" i="2"/>
  <c r="J3042" i="2"/>
  <c r="H3042" i="2"/>
  <c r="J3041" i="2"/>
  <c r="H3041" i="2"/>
  <c r="J3040" i="2"/>
  <c r="H3040" i="2"/>
  <c r="J3039" i="2"/>
  <c r="H3039" i="2"/>
  <c r="J3038" i="2"/>
  <c r="H3038" i="2"/>
  <c r="J3037" i="2"/>
  <c r="H3037" i="2"/>
  <c r="J3036" i="2"/>
  <c r="H3036" i="2"/>
  <c r="J3035" i="2"/>
  <c r="H3035" i="2"/>
  <c r="J3034" i="2"/>
  <c r="H3034" i="2"/>
  <c r="J3033" i="2"/>
  <c r="H3033" i="2"/>
  <c r="J3032" i="2"/>
  <c r="H3032" i="2"/>
  <c r="J3031" i="2"/>
  <c r="H3031" i="2"/>
  <c r="J3030" i="2"/>
  <c r="H3030" i="2"/>
  <c r="J3029" i="2"/>
  <c r="H3029" i="2"/>
  <c r="J3028" i="2"/>
  <c r="H3028" i="2"/>
  <c r="J3027" i="2"/>
  <c r="H3027" i="2"/>
  <c r="J3026" i="2"/>
  <c r="H3026" i="2"/>
  <c r="J3025" i="2"/>
  <c r="H3025" i="2"/>
  <c r="J3024" i="2"/>
  <c r="H3024" i="2"/>
  <c r="J3023" i="2"/>
  <c r="H3023" i="2"/>
  <c r="J3022" i="2"/>
  <c r="H3022" i="2"/>
  <c r="J3021" i="2"/>
  <c r="H3021" i="2"/>
  <c r="J3020" i="2"/>
  <c r="H3020" i="2"/>
  <c r="J3019" i="2"/>
  <c r="H3019" i="2"/>
  <c r="J3018" i="2"/>
  <c r="H3018" i="2"/>
  <c r="J3017" i="2"/>
  <c r="H3017" i="2"/>
  <c r="J3016" i="2"/>
  <c r="H3016" i="2"/>
  <c r="J3015" i="2"/>
  <c r="H3015" i="2"/>
  <c r="J3014" i="2"/>
  <c r="H3014" i="2"/>
  <c r="J3013" i="2"/>
  <c r="H3013" i="2"/>
  <c r="J3012" i="2"/>
  <c r="H3012" i="2"/>
  <c r="J3011" i="2"/>
  <c r="H3011" i="2"/>
  <c r="J3010" i="2"/>
  <c r="H3010" i="2"/>
  <c r="J3009" i="2"/>
  <c r="H3009" i="2"/>
  <c r="J3008" i="2"/>
  <c r="H3008" i="2"/>
  <c r="J3007" i="2"/>
  <c r="H3007" i="2"/>
  <c r="J3006" i="2"/>
  <c r="H3006" i="2"/>
  <c r="J3005" i="2"/>
  <c r="H3005" i="2"/>
  <c r="J3004" i="2"/>
  <c r="H3004" i="2"/>
  <c r="J3003" i="2"/>
  <c r="H3003" i="2"/>
  <c r="J3002" i="2"/>
  <c r="H3002" i="2"/>
  <c r="J3001" i="2"/>
  <c r="H3001" i="2"/>
  <c r="J3000" i="2"/>
  <c r="H3000" i="2"/>
  <c r="J2999" i="2"/>
  <c r="H2999" i="2"/>
  <c r="J2998" i="2"/>
  <c r="H2998" i="2"/>
  <c r="J2997" i="2"/>
  <c r="H2997" i="2"/>
  <c r="J2996" i="2"/>
  <c r="H2996" i="2"/>
  <c r="J2995" i="2"/>
  <c r="H2995" i="2"/>
  <c r="J2994" i="2"/>
  <c r="H2994" i="2"/>
  <c r="J2993" i="2"/>
  <c r="H2993" i="2"/>
  <c r="J2992" i="2"/>
  <c r="H2992" i="2"/>
  <c r="J2991" i="2"/>
  <c r="H2991" i="2"/>
  <c r="J2990" i="2"/>
  <c r="H2990" i="2"/>
  <c r="J2989" i="2"/>
  <c r="H2989" i="2"/>
  <c r="J2988" i="2"/>
  <c r="H2988" i="2"/>
  <c r="J2987" i="2"/>
  <c r="H2987" i="2"/>
  <c r="J2986" i="2"/>
  <c r="H2986" i="2"/>
  <c r="J2985" i="2"/>
  <c r="H2985" i="2"/>
  <c r="J2984" i="2"/>
  <c r="H2984" i="2"/>
  <c r="J2983" i="2"/>
  <c r="H2983" i="2"/>
  <c r="J2982" i="2"/>
  <c r="H2982" i="2"/>
  <c r="J2981" i="2"/>
  <c r="H2981" i="2"/>
  <c r="J2980" i="2"/>
  <c r="H2980" i="2"/>
  <c r="J2979" i="2"/>
  <c r="H2979" i="2"/>
  <c r="J2978" i="2"/>
  <c r="H2978" i="2"/>
  <c r="J2977" i="2"/>
  <c r="H2977" i="2"/>
  <c r="J2976" i="2"/>
  <c r="H2976" i="2"/>
  <c r="J2975" i="2"/>
  <c r="H2975" i="2"/>
  <c r="J2974" i="2"/>
  <c r="H2974" i="2"/>
  <c r="J2973" i="2"/>
  <c r="H2973" i="2"/>
  <c r="J2972" i="2"/>
  <c r="H2972" i="2"/>
  <c r="J2971" i="2"/>
  <c r="H2971" i="2"/>
  <c r="J2970" i="2"/>
  <c r="H2970" i="2"/>
  <c r="J2969" i="2"/>
  <c r="H2969" i="2"/>
  <c r="J2968" i="2"/>
  <c r="H2968" i="2"/>
  <c r="J2967" i="2"/>
  <c r="H2967" i="2"/>
  <c r="J2966" i="2"/>
  <c r="H2966" i="2"/>
  <c r="J2965" i="2"/>
  <c r="H2965" i="2"/>
  <c r="J2964" i="2"/>
  <c r="H2964" i="2"/>
  <c r="J2963" i="2"/>
  <c r="H2963" i="2"/>
  <c r="J2962" i="2"/>
  <c r="H2962" i="2"/>
  <c r="J2961" i="2"/>
  <c r="H2961" i="2"/>
  <c r="J2960" i="2"/>
  <c r="H2960" i="2"/>
  <c r="J2959" i="2"/>
  <c r="H2959" i="2"/>
  <c r="J2958" i="2"/>
  <c r="H2958" i="2"/>
  <c r="J2957" i="2"/>
  <c r="H2957" i="2"/>
  <c r="J2956" i="2"/>
  <c r="H2956" i="2"/>
  <c r="J2955" i="2"/>
  <c r="H2955" i="2"/>
  <c r="J2954" i="2"/>
  <c r="H2954" i="2"/>
  <c r="J2953" i="2"/>
  <c r="H2953" i="2"/>
  <c r="J2952" i="2"/>
  <c r="H2952" i="2"/>
  <c r="J2951" i="2"/>
  <c r="H2951" i="2"/>
  <c r="J2950" i="2"/>
  <c r="H2950" i="2"/>
  <c r="J2949" i="2"/>
  <c r="H2949" i="2"/>
  <c r="J2948" i="2"/>
  <c r="H2948" i="2"/>
  <c r="J2947" i="2"/>
  <c r="H2947" i="2"/>
  <c r="J2946" i="2"/>
  <c r="H2946" i="2"/>
  <c r="J2945" i="2"/>
  <c r="H2945" i="2"/>
  <c r="J2944" i="2"/>
  <c r="H2944" i="2"/>
  <c r="J2943" i="2"/>
  <c r="H2943" i="2"/>
  <c r="J2942" i="2"/>
  <c r="H2942" i="2"/>
  <c r="J2941" i="2"/>
  <c r="H2941" i="2"/>
  <c r="J2940" i="2"/>
  <c r="H2940" i="2"/>
  <c r="J2939" i="2"/>
  <c r="H2939" i="2"/>
  <c r="J2938" i="2"/>
  <c r="H2938" i="2"/>
  <c r="J2937" i="2"/>
  <c r="H2937" i="2"/>
  <c r="J2936" i="2"/>
  <c r="H2936" i="2"/>
  <c r="J2935" i="2"/>
  <c r="H2935" i="2"/>
  <c r="J2934" i="2"/>
  <c r="H2934" i="2"/>
  <c r="J2933" i="2"/>
  <c r="H2933" i="2"/>
  <c r="J2932" i="2"/>
  <c r="H2932" i="2"/>
  <c r="J2931" i="2"/>
  <c r="H2931" i="2"/>
  <c r="J2930" i="2"/>
  <c r="H2930" i="2"/>
  <c r="J2929" i="2"/>
  <c r="H2929" i="2"/>
  <c r="J2928" i="2"/>
  <c r="H2928" i="2"/>
  <c r="J2927" i="2"/>
  <c r="H2927" i="2"/>
  <c r="J2926" i="2"/>
  <c r="H2926" i="2"/>
  <c r="J2925" i="2"/>
  <c r="H2925" i="2"/>
  <c r="J2924" i="2"/>
  <c r="H2924" i="2"/>
  <c r="J2923" i="2"/>
  <c r="H2923" i="2"/>
  <c r="J2922" i="2"/>
  <c r="H2922" i="2"/>
  <c r="J2921" i="2"/>
  <c r="H2921" i="2"/>
  <c r="J2920" i="2"/>
  <c r="H2920" i="2"/>
  <c r="J2919" i="2"/>
  <c r="H2919" i="2"/>
  <c r="J2918" i="2"/>
  <c r="H2918" i="2"/>
  <c r="J2917" i="2"/>
  <c r="H2917" i="2"/>
  <c r="J2916" i="2"/>
  <c r="H2916" i="2"/>
  <c r="J2915" i="2"/>
  <c r="H2915" i="2"/>
  <c r="J2914" i="2"/>
  <c r="H2914" i="2"/>
  <c r="J2913" i="2"/>
  <c r="H2913" i="2"/>
  <c r="J2912" i="2"/>
  <c r="H2912" i="2"/>
  <c r="J2911" i="2"/>
  <c r="H2911" i="2"/>
  <c r="J2910" i="2"/>
  <c r="H2910" i="2"/>
  <c r="J2909" i="2"/>
  <c r="H2909" i="2"/>
  <c r="J2908" i="2"/>
  <c r="H2908" i="2"/>
  <c r="J2907" i="2"/>
  <c r="H2907" i="2"/>
  <c r="J2906" i="2"/>
  <c r="H2906" i="2"/>
  <c r="J2905" i="2"/>
  <c r="H2905" i="2"/>
  <c r="J2904" i="2"/>
  <c r="H2904" i="2"/>
  <c r="J2903" i="2"/>
  <c r="H2903" i="2"/>
  <c r="J2902" i="2"/>
  <c r="H2902" i="2"/>
  <c r="J2901" i="2"/>
  <c r="H2901" i="2"/>
  <c r="J2900" i="2"/>
  <c r="H2900" i="2"/>
  <c r="J2899" i="2"/>
  <c r="H2899" i="2"/>
  <c r="J2898" i="2"/>
  <c r="H2898" i="2"/>
  <c r="J2897" i="2"/>
  <c r="H2897" i="2"/>
  <c r="J2896" i="2"/>
  <c r="H2896" i="2"/>
  <c r="J2895" i="2"/>
  <c r="H2895" i="2"/>
  <c r="J2894" i="2"/>
  <c r="H2894" i="2"/>
  <c r="J2893" i="2"/>
  <c r="H2893" i="2"/>
  <c r="J2892" i="2"/>
  <c r="H2892" i="2"/>
  <c r="J2891" i="2"/>
  <c r="H2891" i="2"/>
  <c r="J2890" i="2"/>
  <c r="H2890" i="2"/>
  <c r="J2889" i="2"/>
  <c r="H2889" i="2"/>
  <c r="J2888" i="2"/>
  <c r="H2888" i="2"/>
  <c r="J2887" i="2"/>
  <c r="H2887" i="2"/>
  <c r="J2886" i="2"/>
  <c r="H2886" i="2"/>
  <c r="J2885" i="2"/>
  <c r="H2885" i="2"/>
  <c r="J2884" i="2"/>
  <c r="H2884" i="2"/>
  <c r="J2883" i="2"/>
  <c r="H2883" i="2"/>
  <c r="J2882" i="2"/>
  <c r="H2882" i="2"/>
  <c r="J2881" i="2"/>
  <c r="H2881" i="2"/>
  <c r="J2880" i="2"/>
  <c r="H2880" i="2"/>
  <c r="J2879" i="2"/>
  <c r="H2879" i="2"/>
  <c r="J2878" i="2"/>
  <c r="H2878" i="2"/>
  <c r="J2877" i="2"/>
  <c r="H2877" i="2"/>
  <c r="J2876" i="2"/>
  <c r="H2876" i="2"/>
  <c r="J2875" i="2"/>
  <c r="H2875" i="2"/>
  <c r="J2874" i="2"/>
  <c r="H2874" i="2"/>
  <c r="J2873" i="2"/>
  <c r="H2873" i="2"/>
  <c r="J2872" i="2"/>
  <c r="H2872" i="2"/>
  <c r="J2871" i="2"/>
  <c r="H2871" i="2"/>
  <c r="J2870" i="2"/>
  <c r="H2870" i="2"/>
  <c r="J2869" i="2"/>
  <c r="H2869" i="2"/>
  <c r="J2868" i="2"/>
  <c r="H2868" i="2"/>
  <c r="J2867" i="2"/>
  <c r="H2867" i="2"/>
  <c r="J2866" i="2"/>
  <c r="H2866" i="2"/>
  <c r="J2865" i="2"/>
  <c r="H2865" i="2"/>
  <c r="J2864" i="2"/>
  <c r="H2864" i="2"/>
  <c r="J2863" i="2"/>
  <c r="H2863" i="2"/>
  <c r="J2862" i="2"/>
  <c r="H2862" i="2"/>
  <c r="J2861" i="2"/>
  <c r="H2861" i="2"/>
  <c r="J2860" i="2"/>
  <c r="H2860" i="2"/>
  <c r="J2859" i="2"/>
  <c r="H2859" i="2"/>
  <c r="J2858" i="2"/>
  <c r="H2858" i="2"/>
  <c r="J2857" i="2"/>
  <c r="H2857" i="2"/>
  <c r="J2856" i="2"/>
  <c r="H2856" i="2"/>
  <c r="J2855" i="2"/>
  <c r="H2855" i="2"/>
  <c r="J2854" i="2"/>
  <c r="H2854" i="2"/>
  <c r="J2853" i="2"/>
  <c r="H2853" i="2"/>
  <c r="J2852" i="2"/>
  <c r="H2852" i="2"/>
  <c r="J2851" i="2"/>
  <c r="H2851" i="2"/>
  <c r="J2850" i="2"/>
  <c r="H2850" i="2"/>
  <c r="J2849" i="2"/>
  <c r="H2849" i="2"/>
  <c r="J2848" i="2"/>
  <c r="H2848" i="2"/>
  <c r="J2847" i="2"/>
  <c r="H2847" i="2"/>
  <c r="J2846" i="2"/>
  <c r="H2846" i="2"/>
  <c r="J2845" i="2"/>
  <c r="H2845" i="2"/>
  <c r="J2844" i="2"/>
  <c r="H2844" i="2"/>
  <c r="J2843" i="2"/>
  <c r="H2843" i="2"/>
  <c r="J2842" i="2"/>
  <c r="H2842" i="2"/>
  <c r="J2841" i="2"/>
  <c r="H2841" i="2"/>
  <c r="J2840" i="2"/>
  <c r="H2840" i="2"/>
  <c r="J2839" i="2"/>
  <c r="H2839" i="2"/>
  <c r="J2838" i="2"/>
  <c r="H2838" i="2"/>
  <c r="J2837" i="2"/>
  <c r="H2837" i="2"/>
  <c r="J2836" i="2"/>
  <c r="H2836" i="2"/>
  <c r="J2835" i="2"/>
  <c r="H2835" i="2"/>
  <c r="J2834" i="2"/>
  <c r="H2834" i="2"/>
  <c r="J2833" i="2"/>
  <c r="H2833" i="2"/>
  <c r="J2832" i="2"/>
  <c r="H2832" i="2"/>
  <c r="J2831" i="2"/>
  <c r="H2831" i="2"/>
  <c r="J2830" i="2"/>
  <c r="H2830" i="2"/>
  <c r="J2829" i="2"/>
  <c r="H2829" i="2"/>
  <c r="J2828" i="2"/>
  <c r="H2828" i="2"/>
  <c r="J2827" i="2"/>
  <c r="H2827" i="2"/>
  <c r="J2826" i="2"/>
  <c r="H2826" i="2"/>
  <c r="J2825" i="2"/>
  <c r="H2825" i="2"/>
  <c r="J2824" i="2"/>
  <c r="H2824" i="2"/>
  <c r="J2823" i="2"/>
  <c r="H2823" i="2"/>
  <c r="J2822" i="2"/>
  <c r="H2822" i="2"/>
  <c r="J2821" i="2"/>
  <c r="H2821" i="2"/>
  <c r="J2820" i="2"/>
  <c r="H2820" i="2"/>
  <c r="J2819" i="2"/>
  <c r="H2819" i="2"/>
  <c r="J2818" i="2"/>
  <c r="H2818" i="2"/>
  <c r="J2817" i="2"/>
  <c r="H2817" i="2"/>
  <c r="J2816" i="2"/>
  <c r="H2816" i="2"/>
  <c r="J2815" i="2"/>
  <c r="H2815" i="2"/>
  <c r="J2814" i="2"/>
  <c r="H2814" i="2"/>
  <c r="J2813" i="2"/>
  <c r="H2813" i="2"/>
  <c r="J2812" i="2"/>
  <c r="H2812" i="2"/>
  <c r="J2811" i="2"/>
  <c r="H2811" i="2"/>
  <c r="J2810" i="2"/>
  <c r="H2810" i="2"/>
  <c r="J2809" i="2"/>
  <c r="H2809" i="2"/>
  <c r="J2808" i="2"/>
  <c r="H2808" i="2"/>
  <c r="J2807" i="2"/>
  <c r="H2807" i="2"/>
  <c r="J2806" i="2"/>
  <c r="H2806" i="2"/>
  <c r="J2805" i="2"/>
  <c r="H2805" i="2"/>
  <c r="J2804" i="2"/>
  <c r="H2804" i="2"/>
  <c r="J2803" i="2"/>
  <c r="H2803" i="2"/>
  <c r="J2802" i="2"/>
  <c r="H2802" i="2"/>
  <c r="J2801" i="2"/>
  <c r="H2801" i="2"/>
  <c r="J2800" i="2"/>
  <c r="H2800" i="2"/>
  <c r="J2799" i="2"/>
  <c r="H2799" i="2"/>
  <c r="J2798" i="2"/>
  <c r="H2798" i="2"/>
  <c r="J2797" i="2"/>
  <c r="H2797" i="2"/>
  <c r="J2796" i="2"/>
  <c r="H2796" i="2"/>
  <c r="J2795" i="2"/>
  <c r="H2795" i="2"/>
  <c r="J2794" i="2"/>
  <c r="H2794" i="2"/>
  <c r="J2793" i="2"/>
  <c r="H2793" i="2"/>
  <c r="J2792" i="2"/>
  <c r="H2792" i="2"/>
  <c r="J2791" i="2"/>
  <c r="H2791" i="2"/>
  <c r="J2790" i="2"/>
  <c r="H2790" i="2"/>
  <c r="J2789" i="2"/>
  <c r="H2789" i="2"/>
  <c r="J2788" i="2"/>
  <c r="H2788" i="2"/>
  <c r="J2787" i="2"/>
  <c r="H2787" i="2"/>
  <c r="J2786" i="2"/>
  <c r="H2786" i="2"/>
  <c r="J2785" i="2"/>
  <c r="H2785" i="2"/>
  <c r="J2784" i="2"/>
  <c r="H2784" i="2"/>
  <c r="J2783" i="2"/>
  <c r="H2783" i="2"/>
  <c r="J2782" i="2"/>
  <c r="H2782" i="2"/>
  <c r="J2781" i="2"/>
  <c r="H2781" i="2"/>
  <c r="J2780" i="2"/>
  <c r="H2780" i="2"/>
  <c r="J2779" i="2"/>
  <c r="H2779" i="2"/>
  <c r="J2778" i="2"/>
  <c r="H2778" i="2"/>
  <c r="J2777" i="2"/>
  <c r="H2777" i="2"/>
  <c r="J2776" i="2"/>
  <c r="H2776" i="2"/>
  <c r="J2775" i="2"/>
  <c r="H2775" i="2"/>
  <c r="J2774" i="2"/>
  <c r="H2774" i="2"/>
  <c r="J2773" i="2"/>
  <c r="H2773" i="2"/>
  <c r="J2772" i="2"/>
  <c r="H2772" i="2"/>
  <c r="J2771" i="2"/>
  <c r="H2771" i="2"/>
  <c r="J2770" i="2"/>
  <c r="H2770" i="2"/>
  <c r="J2769" i="2"/>
  <c r="H2769" i="2"/>
  <c r="J2768" i="2"/>
  <c r="H2768" i="2"/>
  <c r="J2767" i="2"/>
  <c r="H2767" i="2"/>
  <c r="J2766" i="2"/>
  <c r="H2766" i="2"/>
  <c r="J2765" i="2"/>
  <c r="H2765" i="2"/>
  <c r="J2764" i="2"/>
  <c r="H2764" i="2"/>
  <c r="J2763" i="2"/>
  <c r="H2763" i="2"/>
  <c r="J2762" i="2"/>
  <c r="H2762" i="2"/>
  <c r="J2761" i="2"/>
  <c r="H2761" i="2"/>
  <c r="J2760" i="2"/>
  <c r="H2760" i="2"/>
  <c r="J2759" i="2"/>
  <c r="H2759" i="2"/>
  <c r="J2758" i="2"/>
  <c r="H2758" i="2"/>
  <c r="J2757" i="2"/>
  <c r="H2757" i="2"/>
  <c r="J2756" i="2"/>
  <c r="H2756" i="2"/>
  <c r="J2755" i="2"/>
  <c r="H2755" i="2"/>
  <c r="J2754" i="2"/>
  <c r="H2754" i="2"/>
  <c r="J2753" i="2"/>
  <c r="H2753" i="2"/>
  <c r="J2752" i="2"/>
  <c r="H2752" i="2"/>
  <c r="J2751" i="2"/>
  <c r="H2751" i="2"/>
  <c r="J2750" i="2"/>
  <c r="H2750" i="2"/>
  <c r="J2749" i="2"/>
  <c r="H2749" i="2"/>
  <c r="J2748" i="2"/>
  <c r="H2748" i="2"/>
  <c r="J2747" i="2"/>
  <c r="H2747" i="2"/>
  <c r="J2746" i="2"/>
  <c r="H2746" i="2"/>
  <c r="J2745" i="2"/>
  <c r="H2745" i="2"/>
  <c r="J2744" i="2"/>
  <c r="H2744" i="2"/>
  <c r="J2743" i="2"/>
  <c r="H2743" i="2"/>
  <c r="J2742" i="2"/>
  <c r="H2742" i="2"/>
  <c r="J2741" i="2"/>
  <c r="H2741" i="2"/>
  <c r="J2740" i="2"/>
  <c r="H2740" i="2"/>
  <c r="J2739" i="2"/>
  <c r="H2739" i="2"/>
  <c r="J2738" i="2"/>
  <c r="H2738" i="2"/>
  <c r="J2737" i="2"/>
  <c r="H2737" i="2"/>
  <c r="J2736" i="2"/>
  <c r="H2736" i="2"/>
  <c r="J2735" i="2"/>
  <c r="H2735" i="2"/>
  <c r="J2734" i="2"/>
  <c r="H2734" i="2"/>
  <c r="J2733" i="2"/>
  <c r="H2733" i="2"/>
  <c r="J2732" i="2"/>
  <c r="H2732" i="2"/>
  <c r="J2731" i="2"/>
  <c r="H2731" i="2"/>
  <c r="J2730" i="2"/>
  <c r="H2730" i="2"/>
  <c r="J2729" i="2"/>
  <c r="H2729" i="2"/>
  <c r="J2728" i="2"/>
  <c r="H2728" i="2"/>
  <c r="J2727" i="2"/>
  <c r="H2727" i="2"/>
  <c r="J2726" i="2"/>
  <c r="H2726" i="2"/>
  <c r="J2725" i="2"/>
  <c r="H2725" i="2"/>
  <c r="J2724" i="2"/>
  <c r="H2724" i="2"/>
  <c r="J2723" i="2"/>
  <c r="H2723" i="2"/>
  <c r="J2722" i="2"/>
  <c r="H2722" i="2"/>
  <c r="J2721" i="2"/>
  <c r="H2721" i="2"/>
  <c r="J2720" i="2"/>
  <c r="H2720" i="2"/>
  <c r="J2719" i="2"/>
  <c r="H2719" i="2"/>
  <c r="J2718" i="2"/>
  <c r="H2718" i="2"/>
  <c r="J2717" i="2"/>
  <c r="H2717" i="2"/>
  <c r="J2716" i="2"/>
  <c r="H2716" i="2"/>
  <c r="J2715" i="2"/>
  <c r="H2715" i="2"/>
  <c r="J2714" i="2"/>
  <c r="H2714" i="2"/>
  <c r="J2713" i="2"/>
  <c r="H2713" i="2"/>
  <c r="J2712" i="2"/>
  <c r="H2712" i="2"/>
  <c r="J2711" i="2"/>
  <c r="H2711" i="2"/>
  <c r="J2710" i="2"/>
  <c r="H2710" i="2"/>
  <c r="J2709" i="2"/>
  <c r="H2709" i="2"/>
  <c r="J2708" i="2"/>
  <c r="H2708" i="2"/>
  <c r="J2707" i="2"/>
  <c r="H2707" i="2"/>
  <c r="J2706" i="2"/>
  <c r="H2706" i="2"/>
  <c r="J2705" i="2"/>
  <c r="H2705" i="2"/>
  <c r="J2704" i="2"/>
  <c r="H2704" i="2"/>
  <c r="J2703" i="2"/>
  <c r="H2703" i="2"/>
  <c r="J2702" i="2"/>
  <c r="H2702" i="2"/>
  <c r="J2701" i="2"/>
  <c r="H2701" i="2"/>
  <c r="J2700" i="2"/>
  <c r="H2700" i="2"/>
  <c r="J2699" i="2"/>
  <c r="H2699" i="2"/>
  <c r="J2698" i="2"/>
  <c r="H2698" i="2"/>
  <c r="J2697" i="2"/>
  <c r="H2697" i="2"/>
  <c r="J2696" i="2"/>
  <c r="H2696" i="2"/>
  <c r="J2695" i="2"/>
  <c r="H2695" i="2"/>
  <c r="J2694" i="2"/>
  <c r="H2694" i="2"/>
  <c r="J2693" i="2"/>
  <c r="H2693" i="2"/>
  <c r="J2692" i="2"/>
  <c r="H2692" i="2"/>
  <c r="J2691" i="2"/>
  <c r="H2691" i="2"/>
  <c r="J2690" i="2"/>
  <c r="H2690" i="2"/>
  <c r="J2689" i="2"/>
  <c r="H2689" i="2"/>
  <c r="J2688" i="2"/>
  <c r="H2688" i="2"/>
  <c r="J2687" i="2"/>
  <c r="H2687" i="2"/>
  <c r="J2686" i="2"/>
  <c r="H2686" i="2"/>
  <c r="J2685" i="2"/>
  <c r="H2685" i="2"/>
  <c r="J2684" i="2"/>
  <c r="H2684" i="2"/>
  <c r="J2683" i="2"/>
  <c r="H2683" i="2"/>
  <c r="J2682" i="2"/>
  <c r="H2682" i="2"/>
  <c r="J2681" i="2"/>
  <c r="H2681" i="2"/>
  <c r="J2680" i="2"/>
  <c r="H2680" i="2"/>
  <c r="J2679" i="2"/>
  <c r="H2679" i="2"/>
  <c r="J2678" i="2"/>
  <c r="H2678" i="2"/>
  <c r="J2677" i="2"/>
  <c r="H2677" i="2"/>
  <c r="J2676" i="2"/>
  <c r="H2676" i="2"/>
  <c r="J2675" i="2"/>
  <c r="H2675" i="2"/>
  <c r="J2674" i="2"/>
  <c r="H2674" i="2"/>
  <c r="J2673" i="2"/>
  <c r="H2673" i="2"/>
  <c r="J2672" i="2"/>
  <c r="H2672" i="2"/>
  <c r="J2671" i="2"/>
  <c r="H2671" i="2"/>
  <c r="J2670" i="2"/>
  <c r="H2670" i="2"/>
  <c r="J2669" i="2"/>
  <c r="H2669" i="2"/>
  <c r="J2668" i="2"/>
  <c r="H2668" i="2"/>
  <c r="J2667" i="2"/>
  <c r="H2667" i="2"/>
  <c r="J2666" i="2"/>
  <c r="H2666" i="2"/>
  <c r="J2665" i="2"/>
  <c r="H2665" i="2"/>
  <c r="J2664" i="2"/>
  <c r="H2664" i="2"/>
  <c r="J2663" i="2"/>
  <c r="H2663" i="2"/>
  <c r="J2662" i="2"/>
  <c r="H2662" i="2"/>
  <c r="J2661" i="2"/>
  <c r="H2661" i="2"/>
  <c r="J2660" i="2"/>
  <c r="H2660" i="2"/>
  <c r="J2659" i="2"/>
  <c r="H2659" i="2"/>
  <c r="J2658" i="2"/>
  <c r="H2658" i="2"/>
  <c r="J2657" i="2"/>
  <c r="H2657" i="2"/>
  <c r="J2656" i="2"/>
  <c r="H2656" i="2"/>
  <c r="J2655" i="2"/>
  <c r="H2655" i="2"/>
  <c r="J2654" i="2"/>
  <c r="H2654" i="2"/>
  <c r="J2653" i="2"/>
  <c r="H2653" i="2"/>
  <c r="J2652" i="2"/>
  <c r="H2652" i="2"/>
  <c r="J2651" i="2"/>
  <c r="H2651" i="2"/>
  <c r="J2650" i="2"/>
  <c r="H2650" i="2"/>
  <c r="J2649" i="2"/>
  <c r="H2649" i="2"/>
  <c r="J2648" i="2"/>
  <c r="H2648" i="2"/>
  <c r="J2647" i="2"/>
  <c r="H2647" i="2"/>
  <c r="J2646" i="2"/>
  <c r="H2646" i="2"/>
  <c r="J2645" i="2"/>
  <c r="H2645" i="2"/>
  <c r="J2644" i="2"/>
  <c r="H2644" i="2"/>
  <c r="J2643" i="2"/>
  <c r="H2643" i="2"/>
  <c r="J2642" i="2"/>
  <c r="H2642" i="2"/>
  <c r="J2641" i="2"/>
  <c r="H2641" i="2"/>
  <c r="J2640" i="2"/>
  <c r="H2640" i="2"/>
  <c r="J2639" i="2"/>
  <c r="H2639" i="2"/>
  <c r="J2638" i="2"/>
  <c r="H2638" i="2"/>
  <c r="J2637" i="2"/>
  <c r="H2637" i="2"/>
  <c r="J2636" i="2"/>
  <c r="H2636" i="2"/>
  <c r="J2635" i="2"/>
  <c r="H2635" i="2"/>
  <c r="J2634" i="2"/>
  <c r="H2634" i="2"/>
  <c r="J2633" i="2"/>
  <c r="H2633" i="2"/>
  <c r="J2632" i="2"/>
  <c r="H2632" i="2"/>
  <c r="J2631" i="2"/>
  <c r="H2631" i="2"/>
  <c r="J2630" i="2"/>
  <c r="H2630" i="2"/>
  <c r="J2629" i="2"/>
  <c r="H2629" i="2"/>
  <c r="J2628" i="2"/>
  <c r="H2628" i="2"/>
  <c r="J2627" i="2"/>
  <c r="H2627" i="2"/>
  <c r="J2626" i="2"/>
  <c r="H2626" i="2"/>
  <c r="J2625" i="2"/>
  <c r="H2625" i="2"/>
  <c r="J2624" i="2"/>
  <c r="H2624" i="2"/>
  <c r="J2623" i="2"/>
  <c r="H2623" i="2"/>
  <c r="J2622" i="2"/>
  <c r="H2622" i="2"/>
  <c r="J2621" i="2"/>
  <c r="H2621" i="2"/>
  <c r="J2620" i="2"/>
  <c r="H2620" i="2"/>
  <c r="J2619" i="2"/>
  <c r="H2619" i="2"/>
  <c r="J2618" i="2"/>
  <c r="H2618" i="2"/>
  <c r="J2617" i="2"/>
  <c r="H2617" i="2"/>
  <c r="J2616" i="2"/>
  <c r="H2616" i="2"/>
  <c r="J2615" i="2"/>
  <c r="H2615" i="2"/>
  <c r="J2614" i="2"/>
  <c r="H2614" i="2"/>
  <c r="J2613" i="2"/>
  <c r="H2613" i="2"/>
  <c r="J2612" i="2"/>
  <c r="H2612" i="2"/>
  <c r="J2611" i="2"/>
  <c r="H2611" i="2"/>
  <c r="J2610" i="2"/>
  <c r="H2610" i="2"/>
  <c r="J2609" i="2"/>
  <c r="H2609" i="2"/>
  <c r="J2608" i="2"/>
  <c r="H2608" i="2"/>
  <c r="J2607" i="2"/>
  <c r="H2607" i="2"/>
  <c r="J2606" i="2"/>
  <c r="H2606" i="2"/>
  <c r="J2605" i="2"/>
  <c r="H2605" i="2"/>
  <c r="J2604" i="2"/>
  <c r="H2604" i="2"/>
  <c r="J2603" i="2"/>
  <c r="H2603" i="2"/>
  <c r="J2602" i="2"/>
  <c r="H2602" i="2"/>
  <c r="J2601" i="2"/>
  <c r="H2601" i="2"/>
  <c r="J2600" i="2"/>
  <c r="H2600" i="2"/>
  <c r="J2599" i="2"/>
  <c r="H2599" i="2"/>
  <c r="J2598" i="2"/>
  <c r="H2598" i="2"/>
  <c r="J2597" i="2"/>
  <c r="H2597" i="2"/>
  <c r="J2596" i="2"/>
  <c r="H2596" i="2"/>
  <c r="J2595" i="2"/>
  <c r="H2595" i="2"/>
  <c r="J2594" i="2"/>
  <c r="H2594" i="2"/>
  <c r="J2593" i="2"/>
  <c r="H2593" i="2"/>
  <c r="J2592" i="2"/>
  <c r="H2592" i="2"/>
  <c r="J2591" i="2"/>
  <c r="H2591" i="2"/>
  <c r="J2590" i="2"/>
  <c r="H2590" i="2"/>
  <c r="J2589" i="2"/>
  <c r="H2589" i="2"/>
  <c r="J2588" i="2"/>
  <c r="H2588" i="2"/>
  <c r="J2587" i="2"/>
  <c r="H2587" i="2"/>
  <c r="J2586" i="2"/>
  <c r="H2586" i="2"/>
  <c r="J2585" i="2"/>
  <c r="H2585" i="2"/>
  <c r="J2584" i="2"/>
  <c r="H2584" i="2"/>
  <c r="J2583" i="2"/>
  <c r="H2583" i="2"/>
  <c r="J2582" i="2"/>
  <c r="H2582" i="2"/>
  <c r="J2581" i="2"/>
  <c r="H2581" i="2"/>
  <c r="J2580" i="2"/>
  <c r="H2580" i="2"/>
  <c r="J2579" i="2"/>
  <c r="H2579" i="2"/>
  <c r="J2578" i="2"/>
  <c r="H2578" i="2"/>
  <c r="J2577" i="2"/>
  <c r="H2577" i="2"/>
  <c r="J2576" i="2"/>
  <c r="H2576" i="2"/>
  <c r="J2575" i="2"/>
  <c r="H2575" i="2"/>
  <c r="J2574" i="2"/>
  <c r="H2574" i="2"/>
  <c r="J2573" i="2"/>
  <c r="H2573" i="2"/>
  <c r="J2572" i="2"/>
  <c r="H2572" i="2"/>
  <c r="J2571" i="2"/>
  <c r="H2571" i="2"/>
  <c r="J2570" i="2"/>
  <c r="H2570" i="2"/>
  <c r="J2569" i="2"/>
  <c r="H2569" i="2"/>
  <c r="J2568" i="2"/>
  <c r="H2568" i="2"/>
  <c r="J2567" i="2"/>
  <c r="H2567" i="2"/>
  <c r="J2566" i="2"/>
  <c r="H2566" i="2"/>
  <c r="J2565" i="2"/>
  <c r="H2565" i="2"/>
  <c r="J2564" i="2"/>
  <c r="H2564" i="2"/>
  <c r="J2563" i="2"/>
  <c r="H2563" i="2"/>
  <c r="J2562" i="2"/>
  <c r="H2562" i="2"/>
  <c r="J2561" i="2"/>
  <c r="H2561" i="2"/>
  <c r="J2560" i="2"/>
  <c r="H2560" i="2"/>
  <c r="J2559" i="2"/>
  <c r="H2559" i="2"/>
  <c r="J2558" i="2"/>
  <c r="H2558" i="2"/>
  <c r="J2557" i="2"/>
  <c r="H2557" i="2"/>
  <c r="J2556" i="2"/>
  <c r="H2556" i="2"/>
  <c r="J2555" i="2"/>
  <c r="H2555" i="2"/>
  <c r="J2554" i="2"/>
  <c r="H2554" i="2"/>
  <c r="J2553" i="2"/>
  <c r="H2553" i="2"/>
  <c r="J2552" i="2"/>
  <c r="H2552" i="2"/>
  <c r="J2551" i="2"/>
  <c r="H2551" i="2"/>
  <c r="J2550" i="2"/>
  <c r="H2550" i="2"/>
  <c r="J2549" i="2"/>
  <c r="H2549" i="2"/>
  <c r="J2548" i="2"/>
  <c r="H2548" i="2"/>
  <c r="J2547" i="2"/>
  <c r="H2547" i="2"/>
  <c r="J2546" i="2"/>
  <c r="H2546" i="2"/>
  <c r="J2545" i="2"/>
  <c r="H2545" i="2"/>
  <c r="J2544" i="2"/>
  <c r="H2544" i="2"/>
  <c r="J2543" i="2"/>
  <c r="H2543" i="2"/>
  <c r="J2542" i="2"/>
  <c r="H2542" i="2"/>
  <c r="J2541" i="2"/>
  <c r="H2541" i="2"/>
  <c r="J2540" i="2"/>
  <c r="H2540" i="2"/>
  <c r="J2539" i="2"/>
  <c r="H2539" i="2"/>
  <c r="J2538" i="2"/>
  <c r="H2538" i="2"/>
  <c r="J2537" i="2"/>
  <c r="H2537" i="2"/>
  <c r="J2536" i="2"/>
  <c r="H2536" i="2"/>
  <c r="J2535" i="2"/>
  <c r="H2535" i="2"/>
  <c r="J2534" i="2"/>
  <c r="H2534" i="2"/>
  <c r="J2533" i="2"/>
  <c r="H2533" i="2"/>
  <c r="J2532" i="2"/>
  <c r="H2532" i="2"/>
  <c r="J2531" i="2"/>
  <c r="H2531" i="2"/>
  <c r="J2530" i="2"/>
  <c r="H2530" i="2"/>
  <c r="J2529" i="2"/>
  <c r="H2529" i="2"/>
  <c r="J2528" i="2"/>
  <c r="H2528" i="2"/>
  <c r="J2527" i="2"/>
  <c r="H2527" i="2"/>
  <c r="J2526" i="2"/>
  <c r="H2526" i="2"/>
  <c r="J2525" i="2"/>
  <c r="H2525" i="2"/>
  <c r="J2524" i="2"/>
  <c r="H2524" i="2"/>
  <c r="J2523" i="2"/>
  <c r="H2523" i="2"/>
  <c r="J2522" i="2"/>
  <c r="H2522" i="2"/>
  <c r="J2521" i="2"/>
  <c r="H2521" i="2"/>
  <c r="J2520" i="2"/>
  <c r="H2520" i="2"/>
  <c r="J2519" i="2"/>
  <c r="H2519" i="2"/>
  <c r="J2518" i="2"/>
  <c r="H2518" i="2"/>
  <c r="J2517" i="2"/>
  <c r="H2517" i="2"/>
  <c r="J2516" i="2"/>
  <c r="H2516" i="2"/>
  <c r="J2515" i="2"/>
  <c r="H2515" i="2"/>
  <c r="J2514" i="2"/>
  <c r="H2514" i="2"/>
  <c r="J2513" i="2"/>
  <c r="H2513" i="2"/>
  <c r="J2512" i="2"/>
  <c r="H2512" i="2"/>
  <c r="J2511" i="2"/>
  <c r="H2511" i="2"/>
  <c r="J2510" i="2"/>
  <c r="H2510" i="2"/>
  <c r="J2509" i="2"/>
  <c r="H2509" i="2"/>
  <c r="J2508" i="2"/>
  <c r="H2508" i="2"/>
  <c r="J2507" i="2"/>
  <c r="H2507" i="2"/>
  <c r="J2506" i="2"/>
  <c r="H2506" i="2"/>
  <c r="J2505" i="2"/>
  <c r="H2505" i="2"/>
  <c r="J2504" i="2"/>
  <c r="H2504" i="2"/>
  <c r="J2503" i="2"/>
  <c r="H2503" i="2"/>
  <c r="J2502" i="2"/>
  <c r="H2502" i="2"/>
  <c r="J2501" i="2"/>
  <c r="H2501" i="2"/>
  <c r="J2500" i="2"/>
  <c r="H2500" i="2"/>
  <c r="J2499" i="2"/>
  <c r="H2499" i="2"/>
  <c r="J2498" i="2"/>
  <c r="H2498" i="2"/>
  <c r="J2497" i="2"/>
  <c r="H2497" i="2"/>
  <c r="J2496" i="2"/>
  <c r="H2496" i="2"/>
  <c r="J2495" i="2"/>
  <c r="H2495" i="2"/>
  <c r="J2494" i="2"/>
  <c r="H2494" i="2"/>
  <c r="J2493" i="2"/>
  <c r="H2493" i="2"/>
  <c r="J2492" i="2"/>
  <c r="H2492" i="2"/>
  <c r="J2491" i="2"/>
  <c r="H2491" i="2"/>
  <c r="J2490" i="2"/>
  <c r="H2490" i="2"/>
  <c r="J2489" i="2"/>
  <c r="H2489" i="2"/>
  <c r="J2488" i="2"/>
  <c r="H2488" i="2"/>
  <c r="J2487" i="2"/>
  <c r="H2487" i="2"/>
  <c r="J2486" i="2"/>
  <c r="H2486" i="2"/>
  <c r="J2485" i="2"/>
  <c r="H2485" i="2"/>
  <c r="J2484" i="2"/>
  <c r="H2484" i="2"/>
  <c r="J2483" i="2"/>
  <c r="H2483" i="2"/>
  <c r="J2482" i="2"/>
  <c r="H2482" i="2"/>
  <c r="J2481" i="2"/>
  <c r="H2481" i="2"/>
  <c r="J2480" i="2"/>
  <c r="H2480" i="2"/>
  <c r="J2479" i="2"/>
  <c r="H2479" i="2"/>
  <c r="J2478" i="2"/>
  <c r="H2478" i="2"/>
  <c r="J2477" i="2"/>
  <c r="H2477" i="2"/>
  <c r="J2476" i="2"/>
  <c r="H2476" i="2"/>
  <c r="J2475" i="2"/>
  <c r="H2475" i="2"/>
  <c r="J2474" i="2"/>
  <c r="H2474" i="2"/>
  <c r="J2473" i="2"/>
  <c r="H2473" i="2"/>
  <c r="J2472" i="2"/>
  <c r="H2472" i="2"/>
  <c r="J2471" i="2"/>
  <c r="H2471" i="2"/>
  <c r="J2470" i="2"/>
  <c r="H2470" i="2"/>
  <c r="J2469" i="2"/>
  <c r="H2469" i="2"/>
  <c r="J2468" i="2"/>
  <c r="H2468" i="2"/>
  <c r="J2467" i="2"/>
  <c r="H2467" i="2"/>
  <c r="J2466" i="2"/>
  <c r="H2466" i="2"/>
  <c r="J2465" i="2"/>
  <c r="H2465" i="2"/>
  <c r="J2464" i="2"/>
  <c r="H2464" i="2"/>
  <c r="J2463" i="2"/>
  <c r="H2463" i="2"/>
  <c r="J2462" i="2"/>
  <c r="H2462" i="2"/>
  <c r="J2461" i="2"/>
  <c r="H2461" i="2"/>
  <c r="J2460" i="2"/>
  <c r="H2460" i="2"/>
  <c r="J2459" i="2"/>
  <c r="H2459" i="2"/>
  <c r="J2458" i="2"/>
  <c r="H2458" i="2"/>
  <c r="J2457" i="2"/>
  <c r="H2457" i="2"/>
  <c r="J2456" i="2"/>
  <c r="H2456" i="2"/>
  <c r="J2455" i="2"/>
  <c r="H2455" i="2"/>
  <c r="J2454" i="2"/>
  <c r="H2454" i="2"/>
  <c r="J2453" i="2"/>
  <c r="H2453" i="2"/>
  <c r="J2452" i="2"/>
  <c r="H2452" i="2"/>
  <c r="J2451" i="2"/>
  <c r="H2451" i="2"/>
  <c r="J2450" i="2"/>
  <c r="H2450" i="2"/>
  <c r="J2449" i="2"/>
  <c r="H2449" i="2"/>
  <c r="J2448" i="2"/>
  <c r="H2448" i="2"/>
  <c r="J2447" i="2"/>
  <c r="H2447" i="2"/>
  <c r="J2446" i="2"/>
  <c r="H2446" i="2"/>
  <c r="J2445" i="2"/>
  <c r="H2445" i="2"/>
  <c r="J2444" i="2"/>
  <c r="H2444" i="2"/>
  <c r="J2443" i="2"/>
  <c r="H2443" i="2"/>
  <c r="J2442" i="2"/>
  <c r="H2442" i="2"/>
  <c r="J2441" i="2"/>
  <c r="H2441" i="2"/>
  <c r="J2440" i="2"/>
  <c r="H2440" i="2"/>
  <c r="J2439" i="2"/>
  <c r="H2439" i="2"/>
  <c r="J2438" i="2"/>
  <c r="H2438" i="2"/>
  <c r="J2437" i="2"/>
  <c r="H2437" i="2"/>
  <c r="J2436" i="2"/>
  <c r="H2436" i="2"/>
  <c r="J2435" i="2"/>
  <c r="H2435" i="2"/>
  <c r="J2434" i="2"/>
  <c r="H2434" i="2"/>
  <c r="J2433" i="2"/>
  <c r="H2433" i="2"/>
  <c r="J2432" i="2"/>
  <c r="H2432" i="2"/>
  <c r="J2431" i="2"/>
  <c r="H2431" i="2"/>
  <c r="J2430" i="2"/>
  <c r="H2430" i="2"/>
  <c r="J2429" i="2"/>
  <c r="H2429" i="2"/>
  <c r="J2428" i="2"/>
  <c r="H2428" i="2"/>
  <c r="J2427" i="2"/>
  <c r="H2427" i="2"/>
  <c r="J2426" i="2"/>
  <c r="H2426" i="2"/>
  <c r="J2425" i="2"/>
  <c r="H2425" i="2"/>
  <c r="J2424" i="2"/>
  <c r="H2424" i="2"/>
  <c r="J2423" i="2"/>
  <c r="H2423" i="2"/>
  <c r="J2422" i="2"/>
  <c r="H2422" i="2"/>
  <c r="J2421" i="2"/>
  <c r="H2421" i="2"/>
  <c r="J2420" i="2"/>
  <c r="H2420" i="2"/>
  <c r="J2419" i="2"/>
  <c r="H2419" i="2"/>
  <c r="J2418" i="2"/>
  <c r="H2418" i="2"/>
  <c r="J2417" i="2"/>
  <c r="H2417" i="2"/>
  <c r="J2416" i="2"/>
  <c r="H2416" i="2"/>
  <c r="J2415" i="2"/>
  <c r="H2415" i="2"/>
  <c r="J2414" i="2"/>
  <c r="H2414" i="2"/>
  <c r="J2413" i="2"/>
  <c r="H2413" i="2"/>
  <c r="J2412" i="2"/>
  <c r="H2412" i="2"/>
  <c r="J2411" i="2"/>
  <c r="H2411" i="2"/>
  <c r="J2410" i="2"/>
  <c r="H2410" i="2"/>
  <c r="J2409" i="2"/>
  <c r="H2409" i="2"/>
  <c r="J2408" i="2"/>
  <c r="H2408" i="2"/>
  <c r="J2407" i="2"/>
  <c r="H2407" i="2"/>
  <c r="J2406" i="2"/>
  <c r="H2406" i="2"/>
  <c r="J2405" i="2"/>
  <c r="H2405" i="2"/>
  <c r="J2404" i="2"/>
  <c r="H2404" i="2"/>
  <c r="J2403" i="2"/>
  <c r="H2403" i="2"/>
  <c r="J2402" i="2"/>
  <c r="H2402" i="2"/>
  <c r="J2401" i="2"/>
  <c r="H2401" i="2"/>
  <c r="J2400" i="2"/>
  <c r="H2400" i="2"/>
  <c r="J2399" i="2"/>
  <c r="H2399" i="2"/>
  <c r="J2398" i="2"/>
  <c r="H2398" i="2"/>
  <c r="J2397" i="2"/>
  <c r="H2397" i="2"/>
  <c r="J2396" i="2"/>
  <c r="H2396" i="2"/>
  <c r="J2395" i="2"/>
  <c r="H2395" i="2"/>
  <c r="J2394" i="2"/>
  <c r="H2394" i="2"/>
  <c r="J2393" i="2"/>
  <c r="H2393" i="2"/>
  <c r="J2392" i="2"/>
  <c r="H2392" i="2"/>
  <c r="J2391" i="2"/>
  <c r="H2391" i="2"/>
  <c r="J2390" i="2"/>
  <c r="H2390" i="2"/>
  <c r="J2389" i="2"/>
  <c r="H2389" i="2"/>
  <c r="J2388" i="2"/>
  <c r="H2388" i="2"/>
  <c r="J2387" i="2"/>
  <c r="H2387" i="2"/>
  <c r="J2386" i="2"/>
  <c r="H2386" i="2"/>
  <c r="J2385" i="2"/>
  <c r="H2385" i="2"/>
  <c r="J2384" i="2"/>
  <c r="H2384" i="2"/>
  <c r="J2383" i="2"/>
  <c r="H2383" i="2"/>
  <c r="J2382" i="2"/>
  <c r="H2382" i="2"/>
  <c r="J2381" i="2"/>
  <c r="H2381" i="2"/>
  <c r="J2380" i="2"/>
  <c r="H2380" i="2"/>
  <c r="J2379" i="2"/>
  <c r="H2379" i="2"/>
  <c r="J2378" i="2"/>
  <c r="H2378" i="2"/>
  <c r="J2377" i="2"/>
  <c r="H2377" i="2"/>
  <c r="J2376" i="2"/>
  <c r="H2376" i="2"/>
  <c r="J2375" i="2"/>
  <c r="H2375" i="2"/>
  <c r="J2374" i="2"/>
  <c r="H2374" i="2"/>
  <c r="J2373" i="2"/>
  <c r="H2373" i="2"/>
  <c r="J2372" i="2"/>
  <c r="H2372" i="2"/>
  <c r="J2371" i="2"/>
  <c r="H2371" i="2"/>
  <c r="J2370" i="2"/>
  <c r="H2370" i="2"/>
  <c r="J2369" i="2"/>
  <c r="H2369" i="2"/>
  <c r="J2368" i="2"/>
  <c r="H2368" i="2"/>
  <c r="J2367" i="2"/>
  <c r="H2367" i="2"/>
  <c r="J2366" i="2"/>
  <c r="H2366" i="2"/>
  <c r="J2365" i="2"/>
  <c r="H2365" i="2"/>
  <c r="J2364" i="2"/>
  <c r="H2364" i="2"/>
  <c r="J2363" i="2"/>
  <c r="H2363" i="2"/>
  <c r="J2362" i="2"/>
  <c r="H2362" i="2"/>
  <c r="J2361" i="2"/>
  <c r="H2361" i="2"/>
  <c r="J2360" i="2"/>
  <c r="H2360" i="2"/>
  <c r="J2359" i="2"/>
  <c r="H2359" i="2"/>
  <c r="J2358" i="2"/>
  <c r="H2358" i="2"/>
  <c r="J2357" i="2"/>
  <c r="H2357" i="2"/>
  <c r="J2356" i="2"/>
  <c r="H2356" i="2"/>
  <c r="J2355" i="2"/>
  <c r="H2355" i="2"/>
  <c r="J2354" i="2"/>
  <c r="H2354" i="2"/>
  <c r="J2353" i="2"/>
  <c r="H2353" i="2"/>
  <c r="J2352" i="2"/>
  <c r="H2352" i="2"/>
  <c r="J2351" i="2"/>
  <c r="H2351" i="2"/>
  <c r="J2350" i="2"/>
  <c r="H2350" i="2"/>
  <c r="J2349" i="2"/>
  <c r="H2349" i="2"/>
  <c r="J2348" i="2"/>
  <c r="H2348" i="2"/>
  <c r="J2347" i="2"/>
  <c r="H2347" i="2"/>
  <c r="J2346" i="2"/>
  <c r="H2346" i="2"/>
  <c r="J2345" i="2"/>
  <c r="H2345" i="2"/>
  <c r="J2344" i="2"/>
  <c r="H2344" i="2"/>
  <c r="J2343" i="2"/>
  <c r="H2343" i="2"/>
  <c r="J2342" i="2"/>
  <c r="H2342" i="2"/>
  <c r="J2341" i="2"/>
  <c r="H2341" i="2"/>
  <c r="J2340" i="2"/>
  <c r="H2340" i="2"/>
  <c r="J2339" i="2"/>
  <c r="H2339" i="2"/>
  <c r="J2338" i="2"/>
  <c r="H2338" i="2"/>
  <c r="J2337" i="2"/>
  <c r="H2337" i="2"/>
  <c r="J2336" i="2"/>
  <c r="H2336" i="2"/>
  <c r="J2335" i="2"/>
  <c r="H2335" i="2"/>
  <c r="J2334" i="2"/>
  <c r="H2334" i="2"/>
  <c r="J2333" i="2"/>
  <c r="H2333" i="2"/>
  <c r="J2332" i="2"/>
  <c r="H2332" i="2"/>
  <c r="J2331" i="2"/>
  <c r="H2331" i="2"/>
  <c r="J2330" i="2"/>
  <c r="H2330" i="2"/>
  <c r="J2329" i="2"/>
  <c r="H2329" i="2"/>
  <c r="J2328" i="2"/>
  <c r="H2328" i="2"/>
  <c r="J2327" i="2"/>
  <c r="H2327" i="2"/>
  <c r="J2326" i="2"/>
  <c r="H2326" i="2"/>
  <c r="J2325" i="2"/>
  <c r="H2325" i="2"/>
  <c r="J2324" i="2"/>
  <c r="H2324" i="2"/>
  <c r="J2323" i="2"/>
  <c r="H2323" i="2"/>
  <c r="J2322" i="2"/>
  <c r="H2322" i="2"/>
  <c r="J2321" i="2"/>
  <c r="H2321" i="2"/>
  <c r="J2320" i="2"/>
  <c r="H2320" i="2"/>
  <c r="J2319" i="2"/>
  <c r="H2319" i="2"/>
  <c r="J2318" i="2"/>
  <c r="H2318" i="2"/>
  <c r="J2317" i="2"/>
  <c r="H2317" i="2"/>
  <c r="J2316" i="2"/>
  <c r="H2316" i="2"/>
  <c r="J2315" i="2"/>
  <c r="H2315" i="2"/>
  <c r="J2314" i="2"/>
  <c r="H2314" i="2"/>
  <c r="J2313" i="2"/>
  <c r="H2313" i="2"/>
  <c r="J2312" i="2"/>
  <c r="H2312" i="2"/>
  <c r="J2311" i="2"/>
  <c r="H2311" i="2"/>
  <c r="J2310" i="2"/>
  <c r="H2310" i="2"/>
  <c r="J2309" i="2"/>
  <c r="H2309" i="2"/>
  <c r="J2308" i="2"/>
  <c r="H2308" i="2"/>
  <c r="J2307" i="2"/>
  <c r="H2307" i="2"/>
  <c r="J2306" i="2"/>
  <c r="H2306" i="2"/>
  <c r="J2305" i="2"/>
  <c r="H2305" i="2"/>
  <c r="J2304" i="2"/>
  <c r="H2304" i="2"/>
  <c r="J2303" i="2"/>
  <c r="H2303" i="2"/>
  <c r="J2302" i="2"/>
  <c r="H2302" i="2"/>
  <c r="J2301" i="2"/>
  <c r="H2301" i="2"/>
  <c r="J2300" i="2"/>
  <c r="H2300" i="2"/>
  <c r="J2299" i="2"/>
  <c r="H2299" i="2"/>
  <c r="J2298" i="2"/>
  <c r="H2298" i="2"/>
  <c r="J2297" i="2"/>
  <c r="H2297" i="2"/>
  <c r="J2296" i="2"/>
  <c r="H2296" i="2"/>
  <c r="J2295" i="2"/>
  <c r="H2295" i="2"/>
  <c r="J2294" i="2"/>
  <c r="H2294" i="2"/>
  <c r="J2293" i="2"/>
  <c r="H2293" i="2"/>
  <c r="J2292" i="2"/>
  <c r="H2292" i="2"/>
  <c r="J2291" i="2"/>
  <c r="H2291" i="2"/>
  <c r="J2290" i="2"/>
  <c r="H2290" i="2"/>
  <c r="J2289" i="2"/>
  <c r="H2289" i="2"/>
  <c r="J2288" i="2"/>
  <c r="H2288" i="2"/>
  <c r="J2287" i="2"/>
  <c r="H2287" i="2"/>
  <c r="J2286" i="2"/>
  <c r="H2286" i="2"/>
  <c r="J2285" i="2"/>
  <c r="H2285" i="2"/>
  <c r="J2284" i="2"/>
  <c r="H2284" i="2"/>
  <c r="J2283" i="2"/>
  <c r="H2283" i="2"/>
  <c r="J2282" i="2"/>
  <c r="H2282" i="2"/>
  <c r="J2281" i="2"/>
  <c r="H2281" i="2"/>
  <c r="J2280" i="2"/>
  <c r="H2280" i="2"/>
  <c r="J2279" i="2"/>
  <c r="H2279" i="2"/>
  <c r="J2278" i="2"/>
  <c r="H2278" i="2"/>
  <c r="J2277" i="2"/>
  <c r="H2277" i="2"/>
  <c r="J2276" i="2"/>
  <c r="H2276" i="2"/>
  <c r="J2275" i="2"/>
  <c r="H2275" i="2"/>
  <c r="J2274" i="2"/>
  <c r="H2274" i="2"/>
  <c r="J2273" i="2"/>
  <c r="H2273" i="2"/>
  <c r="J2272" i="2"/>
  <c r="H2272" i="2"/>
  <c r="J2271" i="2"/>
  <c r="H2271" i="2"/>
  <c r="J2270" i="2"/>
  <c r="H2270" i="2"/>
  <c r="J2269" i="2"/>
  <c r="H2269" i="2"/>
  <c r="J2268" i="2"/>
  <c r="H2268" i="2"/>
  <c r="J2267" i="2"/>
  <c r="H2267" i="2"/>
  <c r="J2266" i="2"/>
  <c r="H2266" i="2"/>
  <c r="J2265" i="2"/>
  <c r="H2265" i="2"/>
  <c r="J2264" i="2"/>
  <c r="H2264" i="2"/>
  <c r="J2263" i="2"/>
  <c r="H2263" i="2"/>
  <c r="J2262" i="2"/>
  <c r="H2262" i="2"/>
  <c r="J2261" i="2"/>
  <c r="H2261" i="2"/>
  <c r="J2260" i="2"/>
  <c r="H2260" i="2"/>
  <c r="J2259" i="2"/>
  <c r="H2259" i="2"/>
  <c r="J2258" i="2"/>
  <c r="H2258" i="2"/>
  <c r="J2257" i="2"/>
  <c r="H2257" i="2"/>
  <c r="J2256" i="2"/>
  <c r="H2256" i="2"/>
  <c r="J2255" i="2"/>
  <c r="H2255" i="2"/>
  <c r="J2254" i="2"/>
  <c r="H2254" i="2"/>
  <c r="J2253" i="2"/>
  <c r="H2253" i="2"/>
  <c r="J2252" i="2"/>
  <c r="H2252" i="2"/>
  <c r="J2251" i="2"/>
  <c r="H2251" i="2"/>
  <c r="J2250" i="2"/>
  <c r="H2250" i="2"/>
  <c r="J2249" i="2"/>
  <c r="H2249" i="2"/>
  <c r="J2248" i="2"/>
  <c r="H2248" i="2"/>
  <c r="J2247" i="2"/>
  <c r="H2247" i="2"/>
  <c r="J2246" i="2"/>
  <c r="H2246" i="2"/>
  <c r="J2245" i="2"/>
  <c r="H2245" i="2"/>
  <c r="J2244" i="2"/>
  <c r="H2244" i="2"/>
  <c r="J2243" i="2"/>
  <c r="H2243" i="2"/>
  <c r="J2242" i="2"/>
  <c r="H2242" i="2"/>
  <c r="J2241" i="2"/>
  <c r="H2241" i="2"/>
  <c r="J2240" i="2"/>
  <c r="H2240" i="2"/>
  <c r="J2239" i="2"/>
  <c r="H2239" i="2"/>
  <c r="J2238" i="2"/>
  <c r="H2238" i="2"/>
  <c r="J2237" i="2"/>
  <c r="H2237" i="2"/>
  <c r="J2236" i="2"/>
  <c r="H2236" i="2"/>
  <c r="J2235" i="2"/>
  <c r="H2235" i="2"/>
  <c r="J2234" i="2"/>
  <c r="H2234" i="2"/>
  <c r="J2233" i="2"/>
  <c r="H2233" i="2"/>
  <c r="J2232" i="2"/>
  <c r="H2232" i="2"/>
  <c r="J2231" i="2"/>
  <c r="H2231" i="2"/>
  <c r="J2230" i="2"/>
  <c r="H2230" i="2"/>
  <c r="J2229" i="2"/>
  <c r="H2229" i="2"/>
  <c r="J2228" i="2"/>
  <c r="H2228" i="2"/>
  <c r="J2227" i="2"/>
  <c r="H2227" i="2"/>
  <c r="J2226" i="2"/>
  <c r="H2226" i="2"/>
  <c r="J2225" i="2"/>
  <c r="H2225" i="2"/>
  <c r="J2224" i="2"/>
  <c r="H2224" i="2"/>
  <c r="J2223" i="2"/>
  <c r="H2223" i="2"/>
  <c r="J2222" i="2"/>
  <c r="H2222" i="2"/>
  <c r="J2221" i="2"/>
  <c r="H2221" i="2"/>
  <c r="J2220" i="2"/>
  <c r="H2220" i="2"/>
  <c r="J2219" i="2"/>
  <c r="H2219" i="2"/>
  <c r="J2218" i="2"/>
  <c r="H2218" i="2"/>
  <c r="J2217" i="2"/>
  <c r="H2217" i="2"/>
  <c r="J2216" i="2"/>
  <c r="H2216" i="2"/>
  <c r="J2215" i="2"/>
  <c r="H2215" i="2"/>
  <c r="J2214" i="2"/>
  <c r="H2214" i="2"/>
  <c r="J2213" i="2"/>
  <c r="H2213" i="2"/>
  <c r="J2212" i="2"/>
  <c r="H2212" i="2"/>
  <c r="J2211" i="2"/>
  <c r="H2211" i="2"/>
  <c r="J2210" i="2"/>
  <c r="H2210" i="2"/>
  <c r="J2209" i="2"/>
  <c r="H2209" i="2"/>
  <c r="J2208" i="2"/>
  <c r="H2208" i="2"/>
  <c r="J2207" i="2"/>
  <c r="H2207" i="2"/>
  <c r="J2206" i="2"/>
  <c r="H2206" i="2"/>
  <c r="J2205" i="2"/>
  <c r="H2205" i="2"/>
  <c r="J2204" i="2"/>
  <c r="H2204" i="2"/>
  <c r="J2203" i="2"/>
  <c r="H2203" i="2"/>
  <c r="J2202" i="2"/>
  <c r="H2202" i="2"/>
  <c r="J2201" i="2"/>
  <c r="H2201" i="2"/>
  <c r="J2200" i="2"/>
  <c r="H2200" i="2"/>
  <c r="J2199" i="2"/>
  <c r="H2199" i="2"/>
  <c r="J2198" i="2"/>
  <c r="H2198" i="2"/>
  <c r="J2197" i="2"/>
  <c r="H2197" i="2"/>
  <c r="J2196" i="2"/>
  <c r="H2196" i="2"/>
  <c r="J2195" i="2"/>
  <c r="H2195" i="2"/>
  <c r="J2194" i="2"/>
  <c r="H2194" i="2"/>
  <c r="J2193" i="2"/>
  <c r="H2193" i="2"/>
  <c r="J2192" i="2"/>
  <c r="H2192" i="2"/>
  <c r="J2191" i="2"/>
  <c r="H2191" i="2"/>
  <c r="J2190" i="2"/>
  <c r="H2190" i="2"/>
  <c r="J2189" i="2"/>
  <c r="H2189" i="2"/>
  <c r="J2188" i="2"/>
  <c r="H2188" i="2"/>
  <c r="J2187" i="2"/>
  <c r="H2187" i="2"/>
  <c r="J2186" i="2"/>
  <c r="H2186" i="2"/>
  <c r="J2185" i="2"/>
  <c r="H2185" i="2"/>
  <c r="J2184" i="2"/>
  <c r="H2184" i="2"/>
  <c r="J2183" i="2"/>
  <c r="H2183" i="2"/>
  <c r="J2182" i="2"/>
  <c r="H2182" i="2"/>
  <c r="J2181" i="2"/>
  <c r="H2181" i="2"/>
  <c r="J2180" i="2"/>
  <c r="H2180" i="2"/>
  <c r="J2179" i="2"/>
  <c r="H2179" i="2"/>
  <c r="J2178" i="2"/>
  <c r="H2178" i="2"/>
  <c r="J2177" i="2"/>
  <c r="H2177" i="2"/>
  <c r="J2176" i="2"/>
  <c r="H2176" i="2"/>
  <c r="J2175" i="2"/>
  <c r="H2175" i="2"/>
  <c r="J2174" i="2"/>
  <c r="H2174" i="2"/>
  <c r="J2173" i="2"/>
  <c r="H2173" i="2"/>
  <c r="J2172" i="2"/>
  <c r="H2172" i="2"/>
  <c r="J2171" i="2"/>
  <c r="H2171" i="2"/>
  <c r="J2170" i="2"/>
  <c r="H2170" i="2"/>
  <c r="J2169" i="2"/>
  <c r="H2169" i="2"/>
  <c r="J2168" i="2"/>
  <c r="H2168" i="2"/>
  <c r="J2167" i="2"/>
  <c r="H2167" i="2"/>
  <c r="J2166" i="2"/>
  <c r="H2166" i="2"/>
  <c r="J2165" i="2"/>
  <c r="H2165" i="2"/>
  <c r="J2164" i="2"/>
  <c r="H2164" i="2"/>
  <c r="J2163" i="2"/>
  <c r="H2163" i="2"/>
  <c r="J2162" i="2"/>
  <c r="H2162" i="2"/>
  <c r="J2161" i="2"/>
  <c r="H2161" i="2"/>
  <c r="J2160" i="2"/>
  <c r="H2160" i="2"/>
  <c r="J2159" i="2"/>
  <c r="H2159" i="2"/>
  <c r="J2158" i="2"/>
  <c r="H2158" i="2"/>
  <c r="J2157" i="2"/>
  <c r="H2157" i="2"/>
  <c r="J2156" i="2"/>
  <c r="H2156" i="2"/>
  <c r="J2155" i="2"/>
  <c r="H2155" i="2"/>
  <c r="J2154" i="2"/>
  <c r="H2154" i="2"/>
  <c r="J2153" i="2"/>
  <c r="H2153" i="2"/>
  <c r="J2152" i="2"/>
  <c r="H2152" i="2"/>
  <c r="J2151" i="2"/>
  <c r="H2151" i="2"/>
  <c r="J2150" i="2"/>
  <c r="H2150" i="2"/>
  <c r="J2149" i="2"/>
  <c r="H2149" i="2"/>
  <c r="J2148" i="2"/>
  <c r="H2148" i="2"/>
  <c r="J2147" i="2"/>
  <c r="H2147" i="2"/>
  <c r="J2146" i="2"/>
  <c r="H2146" i="2"/>
  <c r="J2145" i="2"/>
  <c r="H2145" i="2"/>
  <c r="J2144" i="2"/>
  <c r="H2144" i="2"/>
  <c r="J2143" i="2"/>
  <c r="H2143" i="2"/>
  <c r="J2142" i="2"/>
  <c r="H2142" i="2"/>
  <c r="J2141" i="2"/>
  <c r="H2141" i="2"/>
  <c r="J2140" i="2"/>
  <c r="H2140" i="2"/>
  <c r="J2139" i="2"/>
  <c r="H2139" i="2"/>
  <c r="J2138" i="2"/>
  <c r="H2138" i="2"/>
  <c r="J2137" i="2"/>
  <c r="H2137" i="2"/>
  <c r="J2136" i="2"/>
  <c r="H2136" i="2"/>
  <c r="J2135" i="2"/>
  <c r="H2135" i="2"/>
  <c r="J2134" i="2"/>
  <c r="H2134" i="2"/>
  <c r="J2133" i="2"/>
  <c r="H2133" i="2"/>
  <c r="J2132" i="2"/>
  <c r="H2132" i="2"/>
  <c r="J2131" i="2"/>
  <c r="H2131" i="2"/>
  <c r="J2130" i="2"/>
  <c r="H2130" i="2"/>
  <c r="J2129" i="2"/>
  <c r="H2129" i="2"/>
  <c r="J2128" i="2"/>
  <c r="H2128" i="2"/>
  <c r="J2127" i="2"/>
  <c r="H2127" i="2"/>
  <c r="J2126" i="2"/>
  <c r="H2126" i="2"/>
  <c r="J2125" i="2"/>
  <c r="H2125" i="2"/>
  <c r="J2124" i="2"/>
  <c r="H2124" i="2"/>
  <c r="J2123" i="2"/>
  <c r="H2123" i="2"/>
  <c r="J2122" i="2"/>
  <c r="H2122" i="2"/>
  <c r="J2121" i="2"/>
  <c r="H2121" i="2"/>
  <c r="J2120" i="2"/>
  <c r="H2120" i="2"/>
  <c r="J2119" i="2"/>
  <c r="H2119" i="2"/>
  <c r="J2118" i="2"/>
  <c r="H2118" i="2"/>
  <c r="J2117" i="2"/>
  <c r="H2117" i="2"/>
  <c r="J2116" i="2"/>
  <c r="H2116" i="2"/>
  <c r="J2115" i="2"/>
  <c r="H2115" i="2"/>
  <c r="J2114" i="2"/>
  <c r="H2114" i="2"/>
  <c r="J2113" i="2"/>
  <c r="H2113" i="2"/>
  <c r="J2112" i="2"/>
  <c r="H2112" i="2"/>
  <c r="J2111" i="2"/>
  <c r="H2111" i="2"/>
  <c r="J2110" i="2"/>
  <c r="H2110" i="2"/>
  <c r="J2109" i="2"/>
  <c r="H2109" i="2"/>
  <c r="J2108" i="2"/>
  <c r="H2108" i="2"/>
  <c r="J2107" i="2"/>
  <c r="H2107" i="2"/>
  <c r="J2106" i="2"/>
  <c r="H2106" i="2"/>
  <c r="J2105" i="2"/>
  <c r="H2105" i="2"/>
  <c r="J2104" i="2"/>
  <c r="H2104" i="2"/>
  <c r="J2103" i="2"/>
  <c r="H2103" i="2"/>
  <c r="J2102" i="2"/>
  <c r="H2102" i="2"/>
  <c r="J2101" i="2"/>
  <c r="H2101" i="2"/>
  <c r="J2100" i="2"/>
  <c r="H2100" i="2"/>
  <c r="J2099" i="2"/>
  <c r="H2099" i="2"/>
  <c r="J2098" i="2"/>
  <c r="H2098" i="2"/>
  <c r="J2097" i="2"/>
  <c r="H2097" i="2"/>
  <c r="J2096" i="2"/>
  <c r="H2096" i="2"/>
  <c r="J2095" i="2"/>
  <c r="H2095" i="2"/>
  <c r="J2094" i="2"/>
  <c r="H2094" i="2"/>
  <c r="J2093" i="2"/>
  <c r="H2093" i="2"/>
  <c r="J2092" i="2"/>
  <c r="H2092" i="2"/>
  <c r="J2091" i="2"/>
  <c r="H2091" i="2"/>
  <c r="J2090" i="2"/>
  <c r="H2090" i="2"/>
  <c r="J2089" i="2"/>
  <c r="H2089" i="2"/>
  <c r="J2088" i="2"/>
  <c r="H2088" i="2"/>
  <c r="J2087" i="2"/>
  <c r="H2087" i="2"/>
  <c r="J2086" i="2"/>
  <c r="H2086" i="2"/>
  <c r="J2085" i="2"/>
  <c r="H2085" i="2"/>
  <c r="J2084" i="2"/>
  <c r="H2084" i="2"/>
  <c r="J2083" i="2"/>
  <c r="H2083" i="2"/>
  <c r="J2082" i="2"/>
  <c r="H2082" i="2"/>
  <c r="J2081" i="2"/>
  <c r="H2081" i="2"/>
  <c r="J2080" i="2"/>
  <c r="H2080" i="2"/>
  <c r="J2079" i="2"/>
  <c r="H2079" i="2"/>
  <c r="J2078" i="2"/>
  <c r="H2078" i="2"/>
  <c r="J2077" i="2"/>
  <c r="H2077" i="2"/>
  <c r="J2076" i="2"/>
  <c r="H2076" i="2"/>
  <c r="J2075" i="2"/>
  <c r="H2075" i="2"/>
  <c r="J2074" i="2"/>
  <c r="H2074" i="2"/>
  <c r="J2073" i="2"/>
  <c r="H2073" i="2"/>
  <c r="J2072" i="2"/>
  <c r="H2072" i="2"/>
  <c r="J2071" i="2"/>
  <c r="H2071" i="2"/>
  <c r="J2070" i="2"/>
  <c r="H2070" i="2"/>
  <c r="J2069" i="2"/>
  <c r="H2069" i="2"/>
  <c r="J2068" i="2"/>
  <c r="H2068" i="2"/>
  <c r="J2067" i="2"/>
  <c r="H2067" i="2"/>
  <c r="J2066" i="2"/>
  <c r="H2066" i="2"/>
  <c r="J2065" i="2"/>
  <c r="H2065" i="2"/>
  <c r="J2064" i="2"/>
  <c r="H2064" i="2"/>
  <c r="J2063" i="2"/>
  <c r="H2063" i="2"/>
  <c r="J2062" i="2"/>
  <c r="H2062" i="2"/>
  <c r="J2061" i="2"/>
  <c r="H2061" i="2"/>
  <c r="J2060" i="2"/>
  <c r="H2060" i="2"/>
  <c r="J2059" i="2"/>
  <c r="H2059" i="2"/>
  <c r="J2058" i="2"/>
  <c r="H2058" i="2"/>
  <c r="J2057" i="2"/>
  <c r="H2057" i="2"/>
  <c r="J2056" i="2"/>
  <c r="H2056" i="2"/>
  <c r="J2055" i="2"/>
  <c r="H2055" i="2"/>
  <c r="J2054" i="2"/>
  <c r="H2054" i="2"/>
  <c r="J2053" i="2"/>
  <c r="H2053" i="2"/>
  <c r="J2052" i="2"/>
  <c r="H2052" i="2"/>
  <c r="J2051" i="2"/>
  <c r="H2051" i="2"/>
  <c r="J2050" i="2"/>
  <c r="H2050" i="2"/>
  <c r="J2049" i="2"/>
  <c r="H2049" i="2"/>
  <c r="J2048" i="2"/>
  <c r="H2048" i="2"/>
  <c r="J2047" i="2"/>
  <c r="H2047" i="2"/>
  <c r="J2046" i="2"/>
  <c r="H2046" i="2"/>
  <c r="J2045" i="2"/>
  <c r="H2045" i="2"/>
  <c r="J2044" i="2"/>
  <c r="H2044" i="2"/>
  <c r="J2043" i="2"/>
  <c r="H2043" i="2"/>
  <c r="J2042" i="2"/>
  <c r="H2042" i="2"/>
  <c r="J2041" i="2"/>
  <c r="H2041" i="2"/>
  <c r="J2040" i="2"/>
  <c r="H2040" i="2"/>
  <c r="J2039" i="2"/>
  <c r="H2039" i="2"/>
  <c r="J2038" i="2"/>
  <c r="H2038" i="2"/>
  <c r="J2037" i="2"/>
  <c r="H2037" i="2"/>
  <c r="J2036" i="2"/>
  <c r="H2036" i="2"/>
  <c r="J2035" i="2"/>
  <c r="H2035" i="2"/>
  <c r="J2034" i="2"/>
  <c r="H2034" i="2"/>
  <c r="J2033" i="2"/>
  <c r="H2033" i="2"/>
  <c r="J2032" i="2"/>
  <c r="H2032" i="2"/>
  <c r="J2031" i="2"/>
  <c r="H2031" i="2"/>
  <c r="J2030" i="2"/>
  <c r="H2030" i="2"/>
  <c r="J2029" i="2"/>
  <c r="H2029" i="2"/>
  <c r="J2028" i="2"/>
  <c r="H2028" i="2"/>
  <c r="J2027" i="2"/>
  <c r="H2027" i="2"/>
  <c r="J2026" i="2"/>
  <c r="H2026" i="2"/>
  <c r="J2025" i="2"/>
  <c r="H2025" i="2"/>
  <c r="J2024" i="2"/>
  <c r="H2024" i="2"/>
  <c r="J2023" i="2"/>
  <c r="H2023" i="2"/>
  <c r="J2022" i="2"/>
  <c r="H2022" i="2"/>
  <c r="J2021" i="2"/>
  <c r="H2021" i="2"/>
  <c r="J2020" i="2"/>
  <c r="H2020" i="2"/>
  <c r="J2019" i="2"/>
  <c r="H2019" i="2"/>
  <c r="J2018" i="2"/>
  <c r="H2018" i="2"/>
  <c r="J2017" i="2"/>
  <c r="H2017" i="2"/>
  <c r="J2016" i="2"/>
  <c r="H2016" i="2"/>
  <c r="J2015" i="2"/>
  <c r="H2015" i="2"/>
  <c r="J2014" i="2"/>
  <c r="H2014" i="2"/>
  <c r="J2013" i="2"/>
  <c r="H2013" i="2"/>
  <c r="J2012" i="2"/>
  <c r="H2012" i="2"/>
  <c r="J2011" i="2"/>
  <c r="H2011" i="2"/>
  <c r="J2010" i="2"/>
  <c r="H2010" i="2"/>
  <c r="J2009" i="2"/>
  <c r="H2009" i="2"/>
  <c r="J2008" i="2"/>
  <c r="H2008" i="2"/>
  <c r="J2007" i="2"/>
  <c r="H2007" i="2"/>
  <c r="J2006" i="2"/>
  <c r="H2006" i="2"/>
  <c r="J2005" i="2"/>
  <c r="H2005" i="2"/>
  <c r="J2004" i="2"/>
  <c r="H2004" i="2"/>
  <c r="J2003" i="2"/>
  <c r="H2003" i="2"/>
  <c r="J2002" i="2"/>
  <c r="H2002" i="2"/>
  <c r="J2001" i="2"/>
  <c r="H2001" i="2"/>
  <c r="J2000" i="2"/>
  <c r="H2000" i="2"/>
  <c r="J1999" i="2"/>
  <c r="H1999" i="2"/>
  <c r="J1998" i="2"/>
  <c r="H1998" i="2"/>
  <c r="J1997" i="2"/>
  <c r="H1997" i="2"/>
  <c r="J1996" i="2"/>
  <c r="H1996" i="2"/>
  <c r="J1995" i="2"/>
  <c r="H1995" i="2"/>
  <c r="J1994" i="2"/>
  <c r="H1994" i="2"/>
  <c r="J1993" i="2"/>
  <c r="H1993" i="2"/>
  <c r="J1992" i="2"/>
  <c r="H1992" i="2"/>
  <c r="J1991" i="2"/>
  <c r="H1991" i="2"/>
  <c r="J1990" i="2"/>
  <c r="H1990" i="2"/>
  <c r="J1989" i="2"/>
  <c r="H1989" i="2"/>
  <c r="J1988" i="2"/>
  <c r="H1988" i="2"/>
  <c r="J1987" i="2"/>
  <c r="H1987" i="2"/>
  <c r="J1986" i="2"/>
  <c r="H1986" i="2"/>
  <c r="J1985" i="2"/>
  <c r="H1985" i="2"/>
  <c r="J1984" i="2"/>
  <c r="H1984" i="2"/>
  <c r="J1983" i="2"/>
  <c r="H1983" i="2"/>
  <c r="J1982" i="2"/>
  <c r="H1982" i="2"/>
  <c r="J1981" i="2"/>
  <c r="H1981" i="2"/>
  <c r="J1980" i="2"/>
  <c r="H1980" i="2"/>
  <c r="J1979" i="2"/>
  <c r="H1979" i="2"/>
  <c r="J1978" i="2"/>
  <c r="H1978" i="2"/>
  <c r="J1977" i="2"/>
  <c r="H1977" i="2"/>
  <c r="J1976" i="2"/>
  <c r="H1976" i="2"/>
  <c r="J1975" i="2"/>
  <c r="H1975" i="2"/>
  <c r="J1974" i="2"/>
  <c r="H1974" i="2"/>
  <c r="J1973" i="2"/>
  <c r="H1973" i="2"/>
  <c r="J1972" i="2"/>
  <c r="H1972" i="2"/>
  <c r="J1971" i="2"/>
  <c r="H1971" i="2"/>
  <c r="J1970" i="2"/>
  <c r="H1970" i="2"/>
  <c r="J1969" i="2"/>
  <c r="H1969" i="2"/>
  <c r="J1968" i="2"/>
  <c r="H1968" i="2"/>
  <c r="J1967" i="2"/>
  <c r="H1967" i="2"/>
  <c r="J1966" i="2"/>
  <c r="H1966" i="2"/>
  <c r="J1965" i="2"/>
  <c r="H1965" i="2"/>
  <c r="J1964" i="2"/>
  <c r="H1964" i="2"/>
  <c r="J1963" i="2"/>
  <c r="H1963" i="2"/>
  <c r="J1962" i="2"/>
  <c r="H1962" i="2"/>
  <c r="J1961" i="2"/>
  <c r="H1961" i="2"/>
  <c r="J1960" i="2"/>
  <c r="H1960" i="2"/>
  <c r="J1959" i="2"/>
  <c r="H1959" i="2"/>
  <c r="J1958" i="2"/>
  <c r="H1958" i="2"/>
  <c r="J1957" i="2"/>
  <c r="H1957" i="2"/>
  <c r="J1956" i="2"/>
  <c r="H1956" i="2"/>
  <c r="J1955" i="2"/>
  <c r="H1955" i="2"/>
  <c r="J1954" i="2"/>
  <c r="H1954" i="2"/>
  <c r="J1953" i="2"/>
  <c r="H1953" i="2"/>
  <c r="J1952" i="2"/>
  <c r="H1952" i="2"/>
  <c r="J1951" i="2"/>
  <c r="H1951" i="2"/>
  <c r="J1950" i="2"/>
  <c r="H1950" i="2"/>
  <c r="J1949" i="2"/>
  <c r="H1949" i="2"/>
  <c r="J1948" i="2"/>
  <c r="H1948" i="2"/>
  <c r="J1947" i="2"/>
  <c r="H1947" i="2"/>
  <c r="J1946" i="2"/>
  <c r="H1946" i="2"/>
  <c r="J1945" i="2"/>
  <c r="H1945" i="2"/>
  <c r="J1944" i="2"/>
  <c r="H1944" i="2"/>
  <c r="J1943" i="2"/>
  <c r="H1943" i="2"/>
  <c r="J1942" i="2"/>
  <c r="H1942" i="2"/>
  <c r="J1941" i="2"/>
  <c r="H1941" i="2"/>
  <c r="J1940" i="2"/>
  <c r="H1940" i="2"/>
  <c r="J1939" i="2"/>
  <c r="H1939" i="2"/>
  <c r="J1938" i="2"/>
  <c r="H1938" i="2"/>
  <c r="J1937" i="2"/>
  <c r="H1937" i="2"/>
  <c r="J1936" i="2"/>
  <c r="H1936" i="2"/>
  <c r="J1935" i="2"/>
  <c r="H1935" i="2"/>
  <c r="J1934" i="2"/>
  <c r="H1934" i="2"/>
  <c r="J1933" i="2"/>
  <c r="H1933" i="2"/>
  <c r="J1932" i="2"/>
  <c r="H1932" i="2"/>
  <c r="J1931" i="2"/>
  <c r="H1931" i="2"/>
  <c r="J1930" i="2"/>
  <c r="H1930" i="2"/>
  <c r="J1929" i="2"/>
  <c r="H1929" i="2"/>
  <c r="J1928" i="2"/>
  <c r="H1928" i="2"/>
  <c r="J1927" i="2"/>
  <c r="H1927" i="2"/>
  <c r="J1926" i="2"/>
  <c r="H1926" i="2"/>
  <c r="J1925" i="2"/>
  <c r="H1925" i="2"/>
  <c r="J1924" i="2"/>
  <c r="H1924" i="2"/>
  <c r="J1923" i="2"/>
  <c r="H1923" i="2"/>
  <c r="J1922" i="2"/>
  <c r="H1922" i="2"/>
  <c r="J1921" i="2"/>
  <c r="H1921" i="2"/>
  <c r="J1920" i="2"/>
  <c r="H1920" i="2"/>
  <c r="J1919" i="2"/>
  <c r="H1919" i="2"/>
  <c r="J1918" i="2"/>
  <c r="H1918" i="2"/>
  <c r="J1917" i="2"/>
  <c r="H1917" i="2"/>
  <c r="J1916" i="2"/>
  <c r="H1916" i="2"/>
  <c r="J1915" i="2"/>
  <c r="H1915" i="2"/>
  <c r="J1914" i="2"/>
  <c r="H1914" i="2"/>
  <c r="J1913" i="2"/>
  <c r="H1913" i="2"/>
  <c r="J1912" i="2"/>
  <c r="H1912" i="2"/>
  <c r="J1911" i="2"/>
  <c r="H1911" i="2"/>
  <c r="J1910" i="2"/>
  <c r="H1910" i="2"/>
  <c r="J1909" i="2"/>
  <c r="H1909" i="2"/>
  <c r="J1908" i="2"/>
  <c r="H1908" i="2"/>
  <c r="J1907" i="2"/>
  <c r="H1907" i="2"/>
  <c r="J1906" i="2"/>
  <c r="H1906" i="2"/>
  <c r="J1905" i="2"/>
  <c r="H1905" i="2"/>
  <c r="J1904" i="2"/>
  <c r="H1904" i="2"/>
  <c r="J1903" i="2"/>
  <c r="H1903" i="2"/>
  <c r="J1902" i="2"/>
  <c r="H1902" i="2"/>
  <c r="J1901" i="2"/>
  <c r="H1901" i="2"/>
  <c r="J1900" i="2"/>
  <c r="H1900" i="2"/>
  <c r="J1899" i="2"/>
  <c r="H1899" i="2"/>
  <c r="J1898" i="2"/>
  <c r="H1898" i="2"/>
  <c r="J1897" i="2"/>
  <c r="H1897" i="2"/>
  <c r="J1896" i="2"/>
  <c r="H1896" i="2"/>
  <c r="J1895" i="2"/>
  <c r="H1895" i="2"/>
  <c r="J1894" i="2"/>
  <c r="H1894" i="2"/>
  <c r="J1893" i="2"/>
  <c r="H1893" i="2"/>
  <c r="J1892" i="2"/>
  <c r="H1892" i="2"/>
  <c r="J1891" i="2"/>
  <c r="H1891" i="2"/>
  <c r="J1890" i="2"/>
  <c r="H1890" i="2"/>
  <c r="J1889" i="2"/>
  <c r="H1889" i="2"/>
  <c r="J1888" i="2"/>
  <c r="H1888" i="2"/>
  <c r="J1887" i="2"/>
  <c r="H1887" i="2"/>
  <c r="J1886" i="2"/>
  <c r="H1886" i="2"/>
  <c r="J1885" i="2"/>
  <c r="H1885" i="2"/>
  <c r="J1884" i="2"/>
  <c r="H1884" i="2"/>
  <c r="J1883" i="2"/>
  <c r="H1883" i="2"/>
  <c r="J1882" i="2"/>
  <c r="H1882" i="2"/>
  <c r="J1881" i="2"/>
  <c r="H1881" i="2"/>
  <c r="J1880" i="2"/>
  <c r="H1880" i="2"/>
  <c r="J1879" i="2"/>
  <c r="H1879" i="2"/>
  <c r="J1878" i="2"/>
  <c r="H1878" i="2"/>
  <c r="J1877" i="2"/>
  <c r="H1877" i="2"/>
  <c r="J1876" i="2"/>
  <c r="H1876" i="2"/>
  <c r="J1875" i="2"/>
  <c r="H1875" i="2"/>
  <c r="J1874" i="2"/>
  <c r="H1874" i="2"/>
  <c r="J1873" i="2"/>
  <c r="H1873" i="2"/>
  <c r="J1872" i="2"/>
  <c r="H1872" i="2"/>
  <c r="J1871" i="2"/>
  <c r="H1871" i="2"/>
  <c r="J1870" i="2"/>
  <c r="H1870" i="2"/>
  <c r="J1869" i="2"/>
  <c r="H1869" i="2"/>
  <c r="J1868" i="2"/>
  <c r="H1868" i="2"/>
  <c r="J1867" i="2"/>
  <c r="H1867" i="2"/>
  <c r="J1866" i="2"/>
  <c r="H1866" i="2"/>
  <c r="J1865" i="2"/>
  <c r="H1865" i="2"/>
  <c r="J1864" i="2"/>
  <c r="H1864" i="2"/>
  <c r="J1863" i="2"/>
  <c r="H1863" i="2"/>
  <c r="J1862" i="2"/>
  <c r="H1862" i="2"/>
  <c r="J1861" i="2"/>
  <c r="H1861" i="2"/>
  <c r="J1860" i="2"/>
  <c r="H1860" i="2"/>
  <c r="J1859" i="2"/>
  <c r="H1859" i="2"/>
  <c r="J1858" i="2"/>
  <c r="H1858" i="2"/>
  <c r="J1857" i="2"/>
  <c r="H1857" i="2"/>
  <c r="J1856" i="2"/>
  <c r="H1856" i="2"/>
  <c r="J1855" i="2"/>
  <c r="H1855" i="2"/>
  <c r="J1854" i="2"/>
  <c r="H1854" i="2"/>
  <c r="J1853" i="2"/>
  <c r="H1853" i="2"/>
  <c r="J1852" i="2"/>
  <c r="H1852" i="2"/>
  <c r="J1851" i="2"/>
  <c r="H1851" i="2"/>
  <c r="J1850" i="2"/>
  <c r="H1850" i="2"/>
  <c r="J1849" i="2"/>
  <c r="H1849" i="2"/>
  <c r="J1848" i="2"/>
  <c r="H1848" i="2"/>
  <c r="J1847" i="2"/>
  <c r="H1847" i="2"/>
  <c r="J1846" i="2"/>
  <c r="H1846" i="2"/>
  <c r="J1845" i="2"/>
  <c r="H1845" i="2"/>
  <c r="J1844" i="2"/>
  <c r="H1844" i="2"/>
  <c r="J1843" i="2"/>
  <c r="H1843" i="2"/>
  <c r="J1842" i="2"/>
  <c r="H1842" i="2"/>
  <c r="J1841" i="2"/>
  <c r="H1841" i="2"/>
  <c r="J1840" i="2"/>
  <c r="H1840" i="2"/>
  <c r="J1839" i="2"/>
  <c r="H1839" i="2"/>
  <c r="J1838" i="2"/>
  <c r="H1838" i="2"/>
  <c r="J1837" i="2"/>
  <c r="H1837" i="2"/>
  <c r="J1836" i="2"/>
  <c r="H1836" i="2"/>
  <c r="J1835" i="2"/>
  <c r="H1835" i="2"/>
  <c r="J1834" i="2"/>
  <c r="H1834" i="2"/>
  <c r="J1833" i="2"/>
  <c r="H1833" i="2"/>
  <c r="J1832" i="2"/>
  <c r="H1832" i="2"/>
  <c r="J1831" i="2"/>
  <c r="H1831" i="2"/>
  <c r="J1830" i="2"/>
  <c r="H1830" i="2"/>
  <c r="J1829" i="2"/>
  <c r="H1829" i="2"/>
  <c r="J1828" i="2"/>
  <c r="H1828" i="2"/>
  <c r="J1827" i="2"/>
  <c r="H1827" i="2"/>
  <c r="J1826" i="2"/>
  <c r="H1826" i="2"/>
  <c r="J1825" i="2"/>
  <c r="H1825" i="2"/>
  <c r="J1824" i="2"/>
  <c r="H1824" i="2"/>
  <c r="J1823" i="2"/>
  <c r="H1823" i="2"/>
  <c r="J1822" i="2"/>
  <c r="H1822" i="2"/>
  <c r="J1821" i="2"/>
  <c r="H1821" i="2"/>
  <c r="J1820" i="2"/>
  <c r="H1820" i="2"/>
  <c r="J1819" i="2"/>
  <c r="H1819" i="2"/>
  <c r="J1818" i="2"/>
  <c r="H1818" i="2"/>
  <c r="J1817" i="2"/>
  <c r="H1817" i="2"/>
  <c r="J1816" i="2"/>
  <c r="H1816" i="2"/>
  <c r="J1815" i="2"/>
  <c r="H1815" i="2"/>
  <c r="J1814" i="2"/>
  <c r="H1814" i="2"/>
  <c r="J1813" i="2"/>
  <c r="H1813" i="2"/>
  <c r="J1812" i="2"/>
  <c r="H1812" i="2"/>
  <c r="J1811" i="2"/>
  <c r="H1811" i="2"/>
  <c r="J1810" i="2"/>
  <c r="H1810" i="2"/>
  <c r="J1809" i="2"/>
  <c r="H1809" i="2"/>
  <c r="J1808" i="2"/>
  <c r="H1808" i="2"/>
  <c r="J1807" i="2"/>
  <c r="H1807" i="2"/>
  <c r="J1806" i="2"/>
  <c r="H1806" i="2"/>
  <c r="J1805" i="2"/>
  <c r="H1805" i="2"/>
  <c r="J1804" i="2"/>
  <c r="H1804" i="2"/>
  <c r="J1803" i="2"/>
  <c r="H1803" i="2"/>
  <c r="J1802" i="2"/>
  <c r="H1802" i="2"/>
  <c r="J1801" i="2"/>
  <c r="H1801" i="2"/>
  <c r="J1800" i="2"/>
  <c r="H1800" i="2"/>
  <c r="J1799" i="2"/>
  <c r="H1799" i="2"/>
  <c r="J1798" i="2"/>
  <c r="H1798" i="2"/>
  <c r="J1797" i="2"/>
  <c r="H1797" i="2"/>
  <c r="J1796" i="2"/>
  <c r="H1796" i="2"/>
  <c r="J1795" i="2"/>
  <c r="H1795" i="2"/>
  <c r="J1794" i="2"/>
  <c r="H1794" i="2"/>
  <c r="J1793" i="2"/>
  <c r="H1793" i="2"/>
  <c r="J1792" i="2"/>
  <c r="H1792" i="2"/>
  <c r="J1791" i="2"/>
  <c r="H1791" i="2"/>
  <c r="J1790" i="2"/>
  <c r="H1790" i="2"/>
  <c r="J1789" i="2"/>
  <c r="H1789" i="2"/>
  <c r="J1788" i="2"/>
  <c r="H1788" i="2"/>
  <c r="J1787" i="2"/>
  <c r="H1787" i="2"/>
  <c r="J1786" i="2"/>
  <c r="H1786" i="2"/>
  <c r="J1785" i="2"/>
  <c r="H1785" i="2"/>
  <c r="J1784" i="2"/>
  <c r="H1784" i="2"/>
  <c r="J1783" i="2"/>
  <c r="H1783" i="2"/>
  <c r="J1782" i="2"/>
  <c r="H1782" i="2"/>
  <c r="J1781" i="2"/>
  <c r="H1781" i="2"/>
  <c r="J1780" i="2"/>
  <c r="H1780" i="2"/>
  <c r="J1779" i="2"/>
  <c r="H1779" i="2"/>
  <c r="J1778" i="2"/>
  <c r="H1778" i="2"/>
  <c r="J1777" i="2"/>
  <c r="H1777" i="2"/>
  <c r="J1776" i="2"/>
  <c r="H1776" i="2"/>
  <c r="J1775" i="2"/>
  <c r="H1775" i="2"/>
  <c r="J1774" i="2"/>
  <c r="H1774" i="2"/>
  <c r="J1773" i="2"/>
  <c r="H1773" i="2"/>
  <c r="J1772" i="2"/>
  <c r="H1772" i="2"/>
  <c r="J1771" i="2"/>
  <c r="H1771" i="2"/>
  <c r="J1770" i="2"/>
  <c r="H1770" i="2"/>
  <c r="J1769" i="2"/>
  <c r="H1769" i="2"/>
  <c r="J1768" i="2"/>
  <c r="H1768" i="2"/>
  <c r="J1767" i="2"/>
  <c r="H1767" i="2"/>
  <c r="J1766" i="2"/>
  <c r="H1766" i="2"/>
  <c r="J1765" i="2"/>
  <c r="H1765" i="2"/>
  <c r="J1764" i="2"/>
  <c r="H1764" i="2"/>
  <c r="J1763" i="2"/>
  <c r="H1763" i="2"/>
  <c r="J1762" i="2"/>
  <c r="H1762" i="2"/>
  <c r="J1761" i="2"/>
  <c r="H1761" i="2"/>
  <c r="J1760" i="2"/>
  <c r="H1760" i="2"/>
  <c r="J1759" i="2"/>
  <c r="H1759" i="2"/>
  <c r="J1758" i="2"/>
  <c r="H1758" i="2"/>
  <c r="J1757" i="2"/>
  <c r="H1757" i="2"/>
  <c r="J1756" i="2"/>
  <c r="H1756" i="2"/>
  <c r="J1755" i="2"/>
  <c r="H1755" i="2"/>
  <c r="J1754" i="2"/>
  <c r="H1754" i="2"/>
  <c r="J1753" i="2"/>
  <c r="H1753" i="2"/>
  <c r="J1752" i="2"/>
  <c r="H1752" i="2"/>
  <c r="J1751" i="2"/>
  <c r="H1751" i="2"/>
  <c r="J1750" i="2"/>
  <c r="H1750" i="2"/>
  <c r="J1749" i="2"/>
  <c r="H1749" i="2"/>
  <c r="J1748" i="2"/>
  <c r="H1748" i="2"/>
  <c r="J1747" i="2"/>
  <c r="H1747" i="2"/>
  <c r="J1746" i="2"/>
  <c r="H1746" i="2"/>
  <c r="J1745" i="2"/>
  <c r="H1745" i="2"/>
  <c r="J1744" i="2"/>
  <c r="H1744" i="2"/>
  <c r="J1743" i="2"/>
  <c r="H1743" i="2"/>
  <c r="J1742" i="2"/>
  <c r="H1742" i="2"/>
  <c r="J1741" i="2"/>
  <c r="H1741" i="2"/>
  <c r="J1740" i="2"/>
  <c r="H1740" i="2"/>
  <c r="J1739" i="2"/>
  <c r="H1739" i="2"/>
  <c r="J1738" i="2"/>
  <c r="H1738" i="2"/>
  <c r="J1737" i="2"/>
  <c r="H1737" i="2"/>
  <c r="J1736" i="2"/>
  <c r="H1736" i="2"/>
  <c r="J1735" i="2"/>
  <c r="H1735" i="2"/>
  <c r="J1734" i="2"/>
  <c r="H1734" i="2"/>
  <c r="J1733" i="2"/>
  <c r="H1733" i="2"/>
  <c r="J1732" i="2"/>
  <c r="H1732" i="2"/>
  <c r="J1731" i="2"/>
  <c r="H1731" i="2"/>
  <c r="J1730" i="2"/>
  <c r="H1730" i="2"/>
  <c r="J1729" i="2"/>
  <c r="H1729" i="2"/>
  <c r="J1728" i="2"/>
  <c r="H1728" i="2"/>
  <c r="J1727" i="2"/>
  <c r="H1727" i="2"/>
  <c r="J1726" i="2"/>
  <c r="H1726" i="2"/>
  <c r="J1725" i="2"/>
  <c r="H1725" i="2"/>
  <c r="J1724" i="2"/>
  <c r="H1724" i="2"/>
  <c r="J1723" i="2"/>
  <c r="H1723" i="2"/>
  <c r="J1722" i="2"/>
  <c r="H1722" i="2"/>
  <c r="J1721" i="2"/>
  <c r="H1721" i="2"/>
  <c r="J1720" i="2"/>
  <c r="H1720" i="2"/>
  <c r="J1719" i="2"/>
  <c r="H1719" i="2"/>
  <c r="J1718" i="2"/>
  <c r="H1718" i="2"/>
  <c r="J1717" i="2"/>
  <c r="H1717" i="2"/>
  <c r="J1716" i="2"/>
  <c r="H1716" i="2"/>
  <c r="J1715" i="2"/>
  <c r="H1715" i="2"/>
  <c r="J1714" i="2"/>
  <c r="H1714" i="2"/>
  <c r="J1713" i="2"/>
  <c r="H1713" i="2"/>
  <c r="J1712" i="2"/>
  <c r="H1712" i="2"/>
  <c r="J1711" i="2"/>
  <c r="H1711" i="2"/>
  <c r="J1710" i="2"/>
  <c r="H1710" i="2"/>
  <c r="J1709" i="2"/>
  <c r="H1709" i="2"/>
  <c r="J1708" i="2"/>
  <c r="H1708" i="2"/>
  <c r="J1707" i="2"/>
  <c r="H1707" i="2"/>
  <c r="J1706" i="2"/>
  <c r="H1706" i="2"/>
  <c r="J1705" i="2"/>
  <c r="H1705" i="2"/>
  <c r="J1704" i="2"/>
  <c r="H1704" i="2"/>
  <c r="J1703" i="2"/>
  <c r="H1703" i="2"/>
  <c r="J1702" i="2"/>
  <c r="H1702" i="2"/>
  <c r="J1701" i="2"/>
  <c r="H1701" i="2"/>
  <c r="J1700" i="2"/>
  <c r="H1700" i="2"/>
  <c r="J1699" i="2"/>
  <c r="H1699" i="2"/>
  <c r="J1698" i="2"/>
  <c r="H1698" i="2"/>
  <c r="J1697" i="2"/>
  <c r="H1697" i="2"/>
  <c r="J1696" i="2"/>
  <c r="H1696" i="2"/>
  <c r="J1695" i="2"/>
  <c r="H1695" i="2"/>
  <c r="J1694" i="2"/>
  <c r="H1694" i="2"/>
  <c r="J1693" i="2"/>
  <c r="H1693" i="2"/>
  <c r="J1692" i="2"/>
  <c r="H1692" i="2"/>
  <c r="J1691" i="2"/>
  <c r="H1691" i="2"/>
  <c r="J1690" i="2"/>
  <c r="H1690" i="2"/>
  <c r="J1689" i="2"/>
  <c r="H1689" i="2"/>
  <c r="J1688" i="2"/>
  <c r="H1688" i="2"/>
  <c r="J1687" i="2"/>
  <c r="H1687" i="2"/>
  <c r="J1686" i="2"/>
  <c r="H1686" i="2"/>
  <c r="J1685" i="2"/>
  <c r="H1685" i="2"/>
  <c r="J1684" i="2"/>
  <c r="H1684" i="2"/>
  <c r="J1683" i="2"/>
  <c r="H1683" i="2"/>
  <c r="J1682" i="2"/>
  <c r="H1682" i="2"/>
  <c r="J1681" i="2"/>
  <c r="H1681" i="2"/>
  <c r="J1680" i="2"/>
  <c r="H1680" i="2"/>
  <c r="J1679" i="2"/>
  <c r="H1679" i="2"/>
  <c r="J1678" i="2"/>
  <c r="H1678" i="2"/>
  <c r="J1677" i="2"/>
  <c r="H1677" i="2"/>
  <c r="J1676" i="2"/>
  <c r="H1676" i="2"/>
  <c r="J1675" i="2"/>
  <c r="H1675" i="2"/>
  <c r="J1674" i="2"/>
  <c r="H1674" i="2"/>
  <c r="J1673" i="2"/>
  <c r="H1673" i="2"/>
  <c r="J1672" i="2"/>
  <c r="H1672" i="2"/>
  <c r="J1671" i="2"/>
  <c r="H1671" i="2"/>
  <c r="J1670" i="2"/>
  <c r="H1670" i="2"/>
  <c r="J1669" i="2"/>
  <c r="H1669" i="2"/>
  <c r="J1668" i="2"/>
  <c r="H1668" i="2"/>
  <c r="J1667" i="2"/>
  <c r="H1667" i="2"/>
  <c r="J1666" i="2"/>
  <c r="H1666" i="2"/>
  <c r="J1665" i="2"/>
  <c r="H1665" i="2"/>
  <c r="J1664" i="2"/>
  <c r="H1664" i="2"/>
  <c r="J1663" i="2"/>
  <c r="H1663" i="2"/>
  <c r="J1662" i="2"/>
  <c r="H1662" i="2"/>
  <c r="J1661" i="2"/>
  <c r="H1661" i="2"/>
  <c r="J1660" i="2"/>
  <c r="H1660" i="2"/>
  <c r="J1659" i="2"/>
  <c r="H1659" i="2"/>
  <c r="J1658" i="2"/>
  <c r="H1658" i="2"/>
  <c r="J1657" i="2"/>
  <c r="H1657" i="2"/>
  <c r="J1656" i="2"/>
  <c r="H1656" i="2"/>
  <c r="J1655" i="2"/>
  <c r="H1655" i="2"/>
  <c r="J1654" i="2"/>
  <c r="H1654" i="2"/>
  <c r="J1653" i="2"/>
  <c r="H1653" i="2"/>
  <c r="J1652" i="2"/>
  <c r="H1652" i="2"/>
  <c r="J1651" i="2"/>
  <c r="H1651" i="2"/>
  <c r="J1650" i="2"/>
  <c r="H1650" i="2"/>
  <c r="J1649" i="2"/>
  <c r="H1649" i="2"/>
  <c r="J1648" i="2"/>
  <c r="H1648" i="2"/>
  <c r="J1647" i="2"/>
  <c r="H1647" i="2"/>
  <c r="J1646" i="2"/>
  <c r="H1646" i="2"/>
  <c r="J1645" i="2"/>
  <c r="H1645" i="2"/>
  <c r="J1644" i="2"/>
  <c r="H1644" i="2"/>
  <c r="J1643" i="2"/>
  <c r="H1643" i="2"/>
  <c r="J1642" i="2"/>
  <c r="H1642" i="2"/>
  <c r="J1641" i="2"/>
  <c r="H1641" i="2"/>
  <c r="J1640" i="2"/>
  <c r="H1640" i="2"/>
  <c r="J1639" i="2"/>
  <c r="H1639" i="2"/>
  <c r="J1638" i="2"/>
  <c r="H1638" i="2"/>
  <c r="J1637" i="2"/>
  <c r="H1637" i="2"/>
  <c r="J1636" i="2"/>
  <c r="H1636" i="2"/>
  <c r="J1635" i="2"/>
  <c r="H1635" i="2"/>
  <c r="J1634" i="2"/>
  <c r="H1634" i="2"/>
  <c r="J1633" i="2"/>
  <c r="H1633" i="2"/>
  <c r="J1632" i="2"/>
  <c r="H1632" i="2"/>
  <c r="J1631" i="2"/>
  <c r="H1631" i="2"/>
  <c r="J1630" i="2"/>
  <c r="H1630" i="2"/>
  <c r="J1629" i="2"/>
  <c r="H1629" i="2"/>
  <c r="J1628" i="2"/>
  <c r="H1628" i="2"/>
  <c r="J1627" i="2"/>
  <c r="H1627" i="2"/>
  <c r="J1626" i="2"/>
  <c r="H1626" i="2"/>
  <c r="J1625" i="2"/>
  <c r="H1625" i="2"/>
  <c r="J1624" i="2"/>
  <c r="H1624" i="2"/>
  <c r="J1623" i="2"/>
  <c r="H1623" i="2"/>
  <c r="J1622" i="2"/>
  <c r="H1622" i="2"/>
  <c r="J1621" i="2"/>
  <c r="H1621" i="2"/>
  <c r="J1620" i="2"/>
  <c r="H1620" i="2"/>
  <c r="J1619" i="2"/>
  <c r="H1619" i="2"/>
  <c r="J1618" i="2"/>
  <c r="H1618" i="2"/>
  <c r="J1617" i="2"/>
  <c r="H1617" i="2"/>
  <c r="J1616" i="2"/>
  <c r="H1616" i="2"/>
  <c r="J1615" i="2"/>
  <c r="H1615" i="2"/>
  <c r="J1614" i="2"/>
  <c r="H1614" i="2"/>
  <c r="J1613" i="2"/>
  <c r="H1613" i="2"/>
  <c r="J1612" i="2"/>
  <c r="H1612" i="2"/>
  <c r="J1611" i="2"/>
  <c r="H1611" i="2"/>
  <c r="J1610" i="2"/>
  <c r="H1610" i="2"/>
  <c r="J1609" i="2"/>
  <c r="H1609" i="2"/>
  <c r="J1608" i="2"/>
  <c r="H1608" i="2"/>
  <c r="J1607" i="2"/>
  <c r="H1607" i="2"/>
  <c r="J1606" i="2"/>
  <c r="H1606" i="2"/>
  <c r="J1605" i="2"/>
  <c r="H1605" i="2"/>
  <c r="J1604" i="2"/>
  <c r="H1604" i="2"/>
  <c r="J1603" i="2"/>
  <c r="H1603" i="2"/>
  <c r="J1602" i="2"/>
  <c r="H1602" i="2"/>
  <c r="J1601" i="2"/>
  <c r="H1601" i="2"/>
  <c r="J1600" i="2"/>
  <c r="H1600" i="2"/>
  <c r="J1599" i="2"/>
  <c r="H1599" i="2"/>
  <c r="J1598" i="2"/>
  <c r="H1598" i="2"/>
  <c r="J1597" i="2"/>
  <c r="H1597" i="2"/>
  <c r="J1596" i="2"/>
  <c r="H1596" i="2"/>
  <c r="J1595" i="2"/>
  <c r="H1595" i="2"/>
  <c r="J1594" i="2"/>
  <c r="H1594" i="2"/>
  <c r="J1593" i="2"/>
  <c r="H1593" i="2"/>
  <c r="J1592" i="2"/>
  <c r="H1592" i="2"/>
  <c r="J1591" i="2"/>
  <c r="H1591" i="2"/>
  <c r="J1590" i="2"/>
  <c r="H1590" i="2"/>
  <c r="J1589" i="2"/>
  <c r="H1589" i="2"/>
  <c r="J1588" i="2"/>
  <c r="H1588" i="2"/>
  <c r="J1587" i="2"/>
  <c r="H1587" i="2"/>
  <c r="J1586" i="2"/>
  <c r="H1586" i="2"/>
  <c r="J1585" i="2"/>
  <c r="H1585" i="2"/>
  <c r="J1584" i="2"/>
  <c r="H1584" i="2"/>
  <c r="J1583" i="2"/>
  <c r="H1583" i="2"/>
  <c r="J1582" i="2"/>
  <c r="H1582" i="2"/>
  <c r="J1581" i="2"/>
  <c r="H1581" i="2"/>
  <c r="J1580" i="2"/>
  <c r="H1580" i="2"/>
  <c r="J1579" i="2"/>
  <c r="H1579" i="2"/>
  <c r="J1578" i="2"/>
  <c r="H1578" i="2"/>
  <c r="J1577" i="2"/>
  <c r="H1577" i="2"/>
  <c r="J1576" i="2"/>
  <c r="H1576" i="2"/>
  <c r="J1575" i="2"/>
  <c r="H1575" i="2"/>
  <c r="J1574" i="2"/>
  <c r="H1574" i="2"/>
  <c r="J1573" i="2"/>
  <c r="H1573" i="2"/>
  <c r="J1572" i="2"/>
  <c r="H1572" i="2"/>
  <c r="J1571" i="2"/>
  <c r="H1571" i="2"/>
  <c r="J1570" i="2"/>
  <c r="H1570" i="2"/>
  <c r="J1569" i="2"/>
  <c r="H1569" i="2"/>
  <c r="J1568" i="2"/>
  <c r="H1568" i="2"/>
  <c r="J1567" i="2"/>
  <c r="H1567" i="2"/>
  <c r="J1566" i="2"/>
  <c r="H1566" i="2"/>
  <c r="J1565" i="2"/>
  <c r="H1565" i="2"/>
  <c r="J1564" i="2"/>
  <c r="H1564" i="2"/>
  <c r="J1563" i="2"/>
  <c r="H1563" i="2"/>
  <c r="J1562" i="2"/>
  <c r="H1562" i="2"/>
  <c r="J1561" i="2"/>
  <c r="H1561" i="2"/>
  <c r="J1560" i="2"/>
  <c r="H1560" i="2"/>
  <c r="J1559" i="2"/>
  <c r="H1559" i="2"/>
  <c r="J1558" i="2"/>
  <c r="H1558" i="2"/>
  <c r="J1557" i="2"/>
  <c r="H1557" i="2"/>
  <c r="J1556" i="2"/>
  <c r="H1556" i="2"/>
  <c r="J1555" i="2"/>
  <c r="H1555" i="2"/>
  <c r="J1554" i="2"/>
  <c r="H1554" i="2"/>
  <c r="J1553" i="2"/>
  <c r="H1553" i="2"/>
  <c r="J1552" i="2"/>
  <c r="H1552" i="2"/>
  <c r="J1551" i="2"/>
  <c r="H1551" i="2"/>
  <c r="J1550" i="2"/>
  <c r="H1550" i="2"/>
  <c r="J1549" i="2"/>
  <c r="H1549" i="2"/>
  <c r="J1548" i="2"/>
  <c r="H1548" i="2"/>
  <c r="J1547" i="2"/>
  <c r="H1547" i="2"/>
  <c r="J1546" i="2"/>
  <c r="H1546" i="2"/>
  <c r="J1545" i="2"/>
  <c r="H1545" i="2"/>
  <c r="J1544" i="2"/>
  <c r="H1544" i="2"/>
  <c r="J1543" i="2"/>
  <c r="H1543" i="2"/>
  <c r="J1542" i="2"/>
  <c r="H1542" i="2"/>
  <c r="J1541" i="2"/>
  <c r="H1541" i="2"/>
  <c r="J1540" i="2"/>
  <c r="H1540" i="2"/>
  <c r="J1539" i="2"/>
  <c r="H1539" i="2"/>
  <c r="J1538" i="2"/>
  <c r="H1538" i="2"/>
  <c r="J1537" i="2"/>
  <c r="H1537" i="2"/>
  <c r="J1536" i="2"/>
  <c r="H1536" i="2"/>
  <c r="J1535" i="2"/>
  <c r="H1535" i="2"/>
  <c r="J1534" i="2"/>
  <c r="H1534" i="2"/>
  <c r="J1533" i="2"/>
  <c r="H1533" i="2"/>
  <c r="J1532" i="2"/>
  <c r="H1532" i="2"/>
  <c r="J1531" i="2"/>
  <c r="H1531" i="2"/>
  <c r="J1530" i="2"/>
  <c r="H1530" i="2"/>
  <c r="J1529" i="2"/>
  <c r="H1529" i="2"/>
  <c r="J1528" i="2"/>
  <c r="H1528" i="2"/>
  <c r="J1527" i="2"/>
  <c r="H1527" i="2"/>
  <c r="J1526" i="2"/>
  <c r="H1526" i="2"/>
  <c r="J1525" i="2"/>
  <c r="H1525" i="2"/>
  <c r="J1524" i="2"/>
  <c r="H1524" i="2"/>
  <c r="J1523" i="2"/>
  <c r="H1523" i="2"/>
  <c r="J1522" i="2"/>
  <c r="H1522" i="2"/>
  <c r="J1521" i="2"/>
  <c r="H1521" i="2"/>
  <c r="J1520" i="2"/>
  <c r="H1520" i="2"/>
  <c r="J1519" i="2"/>
  <c r="H1519" i="2"/>
  <c r="J1518" i="2"/>
  <c r="H1518" i="2"/>
  <c r="J1517" i="2"/>
  <c r="H1517" i="2"/>
  <c r="J1516" i="2"/>
  <c r="H1516" i="2"/>
  <c r="J1515" i="2"/>
  <c r="H1515" i="2"/>
  <c r="J1514" i="2"/>
  <c r="H1514" i="2"/>
  <c r="J1513" i="2"/>
  <c r="H1513" i="2"/>
  <c r="J1512" i="2"/>
  <c r="H1512" i="2"/>
  <c r="J1511" i="2"/>
  <c r="H1511" i="2"/>
  <c r="J1510" i="2"/>
  <c r="H1510" i="2"/>
  <c r="J1509" i="2"/>
  <c r="H1509" i="2"/>
  <c r="J1508" i="2"/>
  <c r="H1508" i="2"/>
  <c r="J1507" i="2"/>
  <c r="H1507" i="2"/>
  <c r="J1506" i="2"/>
  <c r="H1506" i="2"/>
  <c r="J1505" i="2"/>
  <c r="H1505" i="2"/>
  <c r="J1504" i="2"/>
  <c r="H1504" i="2"/>
  <c r="J1503" i="2"/>
  <c r="H1503" i="2"/>
  <c r="J1502" i="2"/>
  <c r="H1502" i="2"/>
  <c r="J1501" i="2"/>
  <c r="H1501" i="2"/>
  <c r="J1500" i="2"/>
  <c r="H1500" i="2"/>
  <c r="J1499" i="2"/>
  <c r="H1499" i="2"/>
  <c r="J1498" i="2"/>
  <c r="H1498" i="2"/>
  <c r="J1497" i="2"/>
  <c r="H1497" i="2"/>
  <c r="J1496" i="2"/>
  <c r="H1496" i="2"/>
  <c r="J1495" i="2"/>
  <c r="H1495" i="2"/>
  <c r="J1494" i="2"/>
  <c r="H1494" i="2"/>
  <c r="J1493" i="2"/>
  <c r="H1493" i="2"/>
  <c r="J1492" i="2"/>
  <c r="H1492" i="2"/>
  <c r="J1491" i="2"/>
  <c r="H1491" i="2"/>
  <c r="J1490" i="2"/>
  <c r="H1490" i="2"/>
  <c r="J1489" i="2"/>
  <c r="H1489" i="2"/>
  <c r="J1488" i="2"/>
  <c r="H1488" i="2"/>
  <c r="J1487" i="2"/>
  <c r="H1487" i="2"/>
  <c r="J1486" i="2"/>
  <c r="H1486" i="2"/>
  <c r="J1485" i="2"/>
  <c r="H1485" i="2"/>
  <c r="J1484" i="2"/>
  <c r="H1484" i="2"/>
  <c r="J1483" i="2"/>
  <c r="H1483" i="2"/>
  <c r="J1482" i="2"/>
  <c r="H1482" i="2"/>
  <c r="J1481" i="2"/>
  <c r="H1481" i="2"/>
  <c r="J1480" i="2"/>
  <c r="H1480" i="2"/>
  <c r="J1479" i="2"/>
  <c r="H1479" i="2"/>
  <c r="J1478" i="2"/>
  <c r="H1478" i="2"/>
  <c r="J1477" i="2"/>
  <c r="H1477" i="2"/>
  <c r="J1476" i="2"/>
  <c r="H1476" i="2"/>
  <c r="J1475" i="2"/>
  <c r="H1475" i="2"/>
  <c r="J1474" i="2"/>
  <c r="H1474" i="2"/>
  <c r="J1473" i="2"/>
  <c r="H1473" i="2"/>
  <c r="J1472" i="2"/>
  <c r="H1472" i="2"/>
  <c r="J1471" i="2"/>
  <c r="H1471" i="2"/>
  <c r="J1470" i="2"/>
  <c r="H1470" i="2"/>
  <c r="J1469" i="2"/>
  <c r="H1469" i="2"/>
  <c r="J1468" i="2"/>
  <c r="H1468" i="2"/>
  <c r="J1467" i="2"/>
  <c r="H1467" i="2"/>
  <c r="J1466" i="2"/>
  <c r="H1466" i="2"/>
  <c r="J1465" i="2"/>
  <c r="H1465" i="2"/>
  <c r="J1464" i="2"/>
  <c r="H1464" i="2"/>
  <c r="J1463" i="2"/>
  <c r="H1463" i="2"/>
  <c r="J1462" i="2"/>
  <c r="H1462" i="2"/>
  <c r="J1461" i="2"/>
  <c r="H1461" i="2"/>
  <c r="J1460" i="2"/>
  <c r="H1460" i="2"/>
  <c r="J1459" i="2"/>
  <c r="H1459" i="2"/>
  <c r="J1458" i="2"/>
  <c r="H1458" i="2"/>
  <c r="J1457" i="2"/>
  <c r="H1457" i="2"/>
  <c r="J1456" i="2"/>
  <c r="H1456" i="2"/>
  <c r="J1455" i="2"/>
  <c r="H1455" i="2"/>
  <c r="J1454" i="2"/>
  <c r="H1454" i="2"/>
  <c r="J1453" i="2"/>
  <c r="H1453" i="2"/>
  <c r="J1452" i="2"/>
  <c r="H1452" i="2"/>
  <c r="J1451" i="2"/>
  <c r="H1451" i="2"/>
  <c r="J1450" i="2"/>
  <c r="H1450" i="2"/>
  <c r="J1449" i="2"/>
  <c r="H1449" i="2"/>
  <c r="J1448" i="2"/>
  <c r="H1448" i="2"/>
  <c r="J1447" i="2"/>
  <c r="H1447" i="2"/>
  <c r="J1446" i="2"/>
  <c r="H1446" i="2"/>
  <c r="J1445" i="2"/>
  <c r="H1445" i="2"/>
  <c r="J1444" i="2"/>
  <c r="H1444" i="2"/>
  <c r="J1443" i="2"/>
  <c r="H1443" i="2"/>
  <c r="J1442" i="2"/>
  <c r="H1442" i="2"/>
  <c r="J1441" i="2"/>
  <c r="H1441" i="2"/>
  <c r="J1440" i="2"/>
  <c r="H1440" i="2"/>
  <c r="J1439" i="2"/>
  <c r="H1439" i="2"/>
  <c r="J1438" i="2"/>
  <c r="H1438" i="2"/>
  <c r="J1437" i="2"/>
  <c r="H1437" i="2"/>
  <c r="J1436" i="2"/>
  <c r="H1436" i="2"/>
  <c r="J1435" i="2"/>
  <c r="H1435" i="2"/>
  <c r="J1434" i="2"/>
  <c r="H1434" i="2"/>
  <c r="J1433" i="2"/>
  <c r="H1433" i="2"/>
  <c r="J1432" i="2"/>
  <c r="H1432" i="2"/>
  <c r="J1431" i="2"/>
  <c r="H1431" i="2"/>
  <c r="J1430" i="2"/>
  <c r="H1430" i="2"/>
  <c r="J1429" i="2"/>
  <c r="H1429" i="2"/>
  <c r="J1428" i="2"/>
  <c r="H1428" i="2"/>
  <c r="J1427" i="2"/>
  <c r="H1427" i="2"/>
  <c r="J1426" i="2"/>
  <c r="H1426" i="2"/>
  <c r="J1425" i="2"/>
  <c r="H1425" i="2"/>
  <c r="J1424" i="2"/>
  <c r="H1424" i="2"/>
  <c r="J1423" i="2"/>
  <c r="H1423" i="2"/>
  <c r="J1422" i="2"/>
  <c r="H1422" i="2"/>
  <c r="J1421" i="2"/>
  <c r="H1421" i="2"/>
  <c r="J1420" i="2"/>
  <c r="H1420" i="2"/>
  <c r="J1419" i="2"/>
  <c r="H1419" i="2"/>
  <c r="J1418" i="2"/>
  <c r="H1418" i="2"/>
  <c r="J1417" i="2"/>
  <c r="H1417" i="2"/>
  <c r="J1416" i="2"/>
  <c r="H1416" i="2"/>
  <c r="J1415" i="2"/>
  <c r="H1415" i="2"/>
  <c r="J1414" i="2"/>
  <c r="H1414" i="2"/>
  <c r="J1413" i="2"/>
  <c r="H1413" i="2"/>
  <c r="J1412" i="2"/>
  <c r="H1412" i="2"/>
  <c r="J1411" i="2"/>
  <c r="H1411" i="2"/>
  <c r="J1410" i="2"/>
  <c r="H1410" i="2"/>
  <c r="J1409" i="2"/>
  <c r="H1409" i="2"/>
  <c r="J1408" i="2"/>
  <c r="H1408" i="2"/>
  <c r="J1407" i="2"/>
  <c r="H1407" i="2"/>
  <c r="J1406" i="2"/>
  <c r="H1406" i="2"/>
  <c r="J1405" i="2"/>
  <c r="H1405" i="2"/>
  <c r="J1404" i="2"/>
  <c r="H1404" i="2"/>
  <c r="J1403" i="2"/>
  <c r="H1403" i="2"/>
  <c r="J1402" i="2"/>
  <c r="H1402" i="2"/>
  <c r="J1401" i="2"/>
  <c r="H1401" i="2"/>
  <c r="J1400" i="2"/>
  <c r="H1400" i="2"/>
  <c r="J1399" i="2"/>
  <c r="H1399" i="2"/>
  <c r="J1398" i="2"/>
  <c r="H1398" i="2"/>
  <c r="J1397" i="2"/>
  <c r="H1397" i="2"/>
  <c r="J1396" i="2"/>
  <c r="H1396" i="2"/>
  <c r="J1395" i="2"/>
  <c r="H1395" i="2"/>
  <c r="J1394" i="2"/>
  <c r="H1394" i="2"/>
  <c r="J1393" i="2"/>
  <c r="H1393" i="2"/>
  <c r="J1392" i="2"/>
  <c r="H1392" i="2"/>
  <c r="J1391" i="2"/>
  <c r="H1391" i="2"/>
  <c r="J1390" i="2"/>
  <c r="H1390" i="2"/>
  <c r="J1389" i="2"/>
  <c r="H1389" i="2"/>
  <c r="J1388" i="2"/>
  <c r="H1388" i="2"/>
  <c r="J1387" i="2"/>
  <c r="H1387" i="2"/>
  <c r="J1386" i="2"/>
  <c r="H1386" i="2"/>
  <c r="J1385" i="2"/>
  <c r="H1385" i="2"/>
  <c r="J1384" i="2"/>
  <c r="H1384" i="2"/>
  <c r="J1383" i="2"/>
  <c r="H1383" i="2"/>
  <c r="J1382" i="2"/>
  <c r="H1382" i="2"/>
  <c r="J1381" i="2"/>
  <c r="H1381" i="2"/>
  <c r="J1380" i="2"/>
  <c r="H1380" i="2"/>
  <c r="J1379" i="2"/>
  <c r="H1379" i="2"/>
  <c r="J1378" i="2"/>
  <c r="H1378" i="2"/>
  <c r="J1377" i="2"/>
  <c r="H1377" i="2"/>
  <c r="J1376" i="2"/>
  <c r="H1376" i="2"/>
  <c r="J1375" i="2"/>
  <c r="H1375" i="2"/>
  <c r="J1374" i="2"/>
  <c r="H1374" i="2"/>
  <c r="J1373" i="2"/>
  <c r="H1373" i="2"/>
  <c r="J1372" i="2"/>
  <c r="H1372" i="2"/>
  <c r="J1371" i="2"/>
  <c r="H1371" i="2"/>
  <c r="J1370" i="2"/>
  <c r="H1370" i="2"/>
  <c r="J1369" i="2"/>
  <c r="H1369" i="2"/>
  <c r="J1368" i="2"/>
  <c r="H1368" i="2"/>
  <c r="J1367" i="2"/>
  <c r="H1367" i="2"/>
  <c r="J1366" i="2"/>
  <c r="H1366" i="2"/>
  <c r="J1365" i="2"/>
  <c r="H1365" i="2"/>
  <c r="J1364" i="2"/>
  <c r="H1364" i="2"/>
  <c r="J1363" i="2"/>
  <c r="H1363" i="2"/>
  <c r="J1362" i="2"/>
  <c r="H1362" i="2"/>
  <c r="J1361" i="2"/>
  <c r="H1361" i="2"/>
  <c r="J1360" i="2"/>
  <c r="H1360" i="2"/>
  <c r="J1359" i="2"/>
  <c r="H1359" i="2"/>
  <c r="J1358" i="2"/>
  <c r="H1358" i="2"/>
  <c r="J1357" i="2"/>
  <c r="H1357" i="2"/>
  <c r="J1356" i="2"/>
  <c r="H1356" i="2"/>
  <c r="J1355" i="2"/>
  <c r="H1355" i="2"/>
  <c r="J1354" i="2"/>
  <c r="H1354" i="2"/>
  <c r="J1353" i="2"/>
  <c r="H1353" i="2"/>
  <c r="J1352" i="2"/>
  <c r="H1352" i="2"/>
  <c r="J1351" i="2"/>
  <c r="H1351" i="2"/>
  <c r="J1350" i="2"/>
  <c r="H1350" i="2"/>
  <c r="J1349" i="2"/>
  <c r="H1349" i="2"/>
  <c r="J1348" i="2"/>
  <c r="H1348" i="2"/>
  <c r="J1347" i="2"/>
  <c r="H1347" i="2"/>
  <c r="J1346" i="2"/>
  <c r="H1346" i="2"/>
  <c r="J1345" i="2"/>
  <c r="H1345" i="2"/>
  <c r="J1344" i="2"/>
  <c r="H1344" i="2"/>
  <c r="J1343" i="2"/>
  <c r="H1343" i="2"/>
  <c r="J1342" i="2"/>
  <c r="H1342" i="2"/>
  <c r="J1341" i="2"/>
  <c r="H1341" i="2"/>
  <c r="J1340" i="2"/>
  <c r="H1340" i="2"/>
  <c r="J1339" i="2"/>
  <c r="H1339" i="2"/>
  <c r="J1338" i="2"/>
  <c r="H1338" i="2"/>
  <c r="J1337" i="2"/>
  <c r="H1337" i="2"/>
  <c r="J1336" i="2"/>
  <c r="H1336" i="2"/>
  <c r="J1335" i="2"/>
  <c r="H1335" i="2"/>
  <c r="J1334" i="2"/>
  <c r="H1334" i="2"/>
  <c r="J1333" i="2"/>
  <c r="H1333" i="2"/>
  <c r="J1332" i="2"/>
  <c r="H1332" i="2"/>
  <c r="J1331" i="2"/>
  <c r="H1331" i="2"/>
  <c r="J1330" i="2"/>
  <c r="H1330" i="2"/>
  <c r="J1329" i="2"/>
  <c r="H1329" i="2"/>
  <c r="J1328" i="2"/>
  <c r="H1328" i="2"/>
  <c r="J1327" i="2"/>
  <c r="H1327" i="2"/>
  <c r="J1326" i="2"/>
  <c r="H1326" i="2"/>
  <c r="J1325" i="2"/>
  <c r="H1325" i="2"/>
  <c r="J1324" i="2"/>
  <c r="H1324" i="2"/>
  <c r="J1323" i="2"/>
  <c r="H1323" i="2"/>
  <c r="J1322" i="2"/>
  <c r="H1322" i="2"/>
  <c r="J1321" i="2"/>
  <c r="H1321" i="2"/>
  <c r="J1320" i="2"/>
  <c r="H1320" i="2"/>
  <c r="J1319" i="2"/>
  <c r="H1319" i="2"/>
  <c r="J1318" i="2"/>
  <c r="H1318" i="2"/>
  <c r="J1317" i="2"/>
  <c r="H1317" i="2"/>
  <c r="J1316" i="2"/>
  <c r="H1316" i="2"/>
  <c r="J1315" i="2"/>
  <c r="H1315" i="2"/>
  <c r="J1314" i="2"/>
  <c r="H1314" i="2"/>
  <c r="J1313" i="2"/>
  <c r="H1313" i="2"/>
  <c r="J1312" i="2"/>
  <c r="H1312" i="2"/>
  <c r="J1311" i="2"/>
  <c r="H1311" i="2"/>
  <c r="J1310" i="2"/>
  <c r="H1310" i="2"/>
  <c r="J1309" i="2"/>
  <c r="H1309" i="2"/>
  <c r="J1308" i="2"/>
  <c r="H1308" i="2"/>
  <c r="J1307" i="2"/>
  <c r="H1307" i="2"/>
  <c r="J1306" i="2"/>
  <c r="H1306" i="2"/>
  <c r="J1305" i="2"/>
  <c r="H1305" i="2"/>
  <c r="J1304" i="2"/>
  <c r="H1304" i="2"/>
  <c r="J1303" i="2"/>
  <c r="H1303" i="2"/>
  <c r="J1302" i="2"/>
  <c r="H1302" i="2"/>
  <c r="J1301" i="2"/>
  <c r="H1301" i="2"/>
  <c r="J1300" i="2"/>
  <c r="H1300" i="2"/>
  <c r="J1299" i="2"/>
  <c r="H1299" i="2"/>
  <c r="J1298" i="2"/>
  <c r="H1298" i="2"/>
  <c r="J1297" i="2"/>
  <c r="H1297" i="2"/>
  <c r="J1296" i="2"/>
  <c r="H1296" i="2"/>
  <c r="J1295" i="2"/>
  <c r="H1295" i="2"/>
  <c r="J1294" i="2"/>
  <c r="H1294" i="2"/>
  <c r="J1293" i="2"/>
  <c r="H1293" i="2"/>
  <c r="J1292" i="2"/>
  <c r="H1292" i="2"/>
  <c r="J1291" i="2"/>
  <c r="H1291" i="2"/>
  <c r="J1290" i="2"/>
  <c r="H1290" i="2"/>
  <c r="J1289" i="2"/>
  <c r="H1289" i="2"/>
  <c r="J1288" i="2"/>
  <c r="H1288" i="2"/>
  <c r="J1287" i="2"/>
  <c r="H1287" i="2"/>
  <c r="J1286" i="2"/>
  <c r="H1286" i="2"/>
  <c r="J1285" i="2"/>
  <c r="H1285" i="2"/>
  <c r="J1284" i="2"/>
  <c r="H1284" i="2"/>
  <c r="J1283" i="2"/>
  <c r="H1283" i="2"/>
  <c r="J1282" i="2"/>
  <c r="H1282" i="2"/>
  <c r="J1281" i="2"/>
  <c r="H1281" i="2"/>
  <c r="J1280" i="2"/>
  <c r="H1280" i="2"/>
  <c r="J1279" i="2"/>
  <c r="H1279" i="2"/>
  <c r="J1278" i="2"/>
  <c r="H1278" i="2"/>
  <c r="J1277" i="2"/>
  <c r="H1277" i="2"/>
  <c r="J1276" i="2"/>
  <c r="H1276" i="2"/>
  <c r="J1275" i="2"/>
  <c r="H1275" i="2"/>
  <c r="J1274" i="2"/>
  <c r="H1274" i="2"/>
  <c r="J1273" i="2"/>
  <c r="H1273" i="2"/>
  <c r="J1272" i="2"/>
  <c r="H1272" i="2"/>
  <c r="J1271" i="2"/>
  <c r="H1271" i="2"/>
  <c r="J1270" i="2"/>
  <c r="H1270" i="2"/>
  <c r="J1269" i="2"/>
  <c r="H1269" i="2"/>
  <c r="J1268" i="2"/>
  <c r="H1268" i="2"/>
  <c r="J1267" i="2"/>
  <c r="H1267" i="2"/>
  <c r="J1266" i="2"/>
  <c r="H1266" i="2"/>
  <c r="J1265" i="2"/>
  <c r="H1265" i="2"/>
  <c r="J1264" i="2"/>
  <c r="H1264" i="2"/>
  <c r="J1263" i="2"/>
  <c r="H1263" i="2"/>
  <c r="J1262" i="2"/>
  <c r="H1262" i="2"/>
  <c r="J1261" i="2"/>
  <c r="H1261" i="2"/>
  <c r="J1260" i="2"/>
  <c r="H1260" i="2"/>
  <c r="J1259" i="2"/>
  <c r="H1259" i="2"/>
  <c r="J1258" i="2"/>
  <c r="H1258" i="2"/>
  <c r="J1257" i="2"/>
  <c r="H1257" i="2"/>
  <c r="J1256" i="2"/>
  <c r="H1256" i="2"/>
  <c r="J1255" i="2"/>
  <c r="H1255" i="2"/>
  <c r="J1254" i="2"/>
  <c r="H1254" i="2"/>
  <c r="J1253" i="2"/>
  <c r="H1253" i="2"/>
  <c r="J1252" i="2"/>
  <c r="H1252" i="2"/>
  <c r="J1251" i="2"/>
  <c r="H1251" i="2"/>
  <c r="J1250" i="2"/>
  <c r="H1250" i="2"/>
  <c r="J1249" i="2"/>
  <c r="H1249" i="2"/>
  <c r="J1248" i="2"/>
  <c r="H1248" i="2"/>
  <c r="J1247" i="2"/>
  <c r="H1247" i="2"/>
  <c r="J1246" i="2"/>
  <c r="H1246" i="2"/>
  <c r="J1245" i="2"/>
  <c r="H1245" i="2"/>
  <c r="J1244" i="2"/>
  <c r="H1244" i="2"/>
  <c r="J1243" i="2"/>
  <c r="H1243" i="2"/>
  <c r="J1242" i="2"/>
  <c r="H1242" i="2"/>
  <c r="J1241" i="2"/>
  <c r="H1241" i="2"/>
  <c r="J1240" i="2"/>
  <c r="H1240" i="2"/>
  <c r="J1239" i="2"/>
  <c r="H1239" i="2"/>
  <c r="J1238" i="2"/>
  <c r="H1238" i="2"/>
  <c r="J1237" i="2"/>
  <c r="H1237" i="2"/>
  <c r="J1236" i="2"/>
  <c r="H1236" i="2"/>
  <c r="J1235" i="2"/>
  <c r="H1235" i="2"/>
  <c r="J1234" i="2"/>
  <c r="H1234" i="2"/>
  <c r="J1233" i="2"/>
  <c r="H1233" i="2"/>
  <c r="J1232" i="2"/>
  <c r="H1232" i="2"/>
  <c r="J1231" i="2"/>
  <c r="H1231" i="2"/>
  <c r="J1230" i="2"/>
  <c r="H1230" i="2"/>
  <c r="J1229" i="2"/>
  <c r="H1229" i="2"/>
  <c r="J1228" i="2"/>
  <c r="H1228" i="2"/>
  <c r="J1227" i="2"/>
  <c r="H1227" i="2"/>
  <c r="J1226" i="2"/>
  <c r="H1226" i="2"/>
  <c r="J1225" i="2"/>
  <c r="H1225" i="2"/>
  <c r="J1224" i="2"/>
  <c r="H1224" i="2"/>
  <c r="J1223" i="2"/>
  <c r="H1223" i="2"/>
  <c r="J1222" i="2"/>
  <c r="H1222" i="2"/>
  <c r="J1221" i="2"/>
  <c r="H1221" i="2"/>
  <c r="J1220" i="2"/>
  <c r="H1220" i="2"/>
  <c r="J1219" i="2"/>
  <c r="H1219" i="2"/>
  <c r="J1218" i="2"/>
  <c r="H1218" i="2"/>
  <c r="J1217" i="2"/>
  <c r="H1217" i="2"/>
  <c r="J1216" i="2"/>
  <c r="H1216" i="2"/>
  <c r="J1215" i="2"/>
  <c r="H1215" i="2"/>
  <c r="J1214" i="2"/>
  <c r="H1214" i="2"/>
  <c r="J1213" i="2"/>
  <c r="H1213" i="2"/>
  <c r="J1212" i="2"/>
  <c r="H1212" i="2"/>
  <c r="J1211" i="2"/>
  <c r="H1211" i="2"/>
  <c r="J1210" i="2"/>
  <c r="H1210" i="2"/>
  <c r="J1209" i="2"/>
  <c r="H1209" i="2"/>
  <c r="J1208" i="2"/>
  <c r="H1208" i="2"/>
  <c r="J1207" i="2"/>
  <c r="H1207" i="2"/>
  <c r="J1206" i="2"/>
  <c r="H1206" i="2"/>
  <c r="J1205" i="2"/>
  <c r="H1205" i="2"/>
  <c r="J1204" i="2"/>
  <c r="H1204" i="2"/>
  <c r="J1203" i="2"/>
  <c r="H1203" i="2"/>
  <c r="J1202" i="2"/>
  <c r="H1202" i="2"/>
  <c r="J1201" i="2"/>
  <c r="H1201" i="2"/>
  <c r="J1200" i="2"/>
  <c r="H1200" i="2"/>
  <c r="J1199" i="2"/>
  <c r="H1199" i="2"/>
  <c r="J1198" i="2"/>
  <c r="H1198" i="2"/>
  <c r="J1197" i="2"/>
  <c r="H1197" i="2"/>
  <c r="J1196" i="2"/>
  <c r="H1196" i="2"/>
  <c r="J1195" i="2"/>
  <c r="H1195" i="2"/>
  <c r="J1194" i="2"/>
  <c r="H1194" i="2"/>
  <c r="J1193" i="2"/>
  <c r="H1193" i="2"/>
  <c r="J1192" i="2"/>
  <c r="H1192" i="2"/>
  <c r="J1191" i="2"/>
  <c r="H1191" i="2"/>
  <c r="J1190" i="2"/>
  <c r="H1190" i="2"/>
  <c r="J1189" i="2"/>
  <c r="H1189" i="2"/>
  <c r="J1188" i="2"/>
  <c r="H1188" i="2"/>
  <c r="J1187" i="2"/>
  <c r="H1187" i="2"/>
  <c r="J1186" i="2"/>
  <c r="H1186" i="2"/>
  <c r="J1185" i="2"/>
  <c r="H1185" i="2"/>
  <c r="J1184" i="2"/>
  <c r="H1184" i="2"/>
  <c r="J1183" i="2"/>
  <c r="H1183" i="2"/>
  <c r="J1182" i="2"/>
  <c r="H1182" i="2"/>
  <c r="J1181" i="2"/>
  <c r="H1181" i="2"/>
  <c r="J1180" i="2"/>
  <c r="H1180" i="2"/>
  <c r="J1179" i="2"/>
  <c r="H1179" i="2"/>
  <c r="J1178" i="2"/>
  <c r="H1178" i="2"/>
  <c r="J1177" i="2"/>
  <c r="H1177" i="2"/>
  <c r="J1176" i="2"/>
  <c r="H1176" i="2"/>
  <c r="J1175" i="2"/>
  <c r="H1175" i="2"/>
  <c r="J1174" i="2"/>
  <c r="H1174" i="2"/>
  <c r="J1173" i="2"/>
  <c r="H1173" i="2"/>
  <c r="J1172" i="2"/>
  <c r="H1172" i="2"/>
  <c r="J1171" i="2"/>
  <c r="H1171" i="2"/>
  <c r="J1170" i="2"/>
  <c r="H1170" i="2"/>
  <c r="J1169" i="2"/>
  <c r="H1169" i="2"/>
  <c r="J1168" i="2"/>
  <c r="H1168" i="2"/>
  <c r="J1167" i="2"/>
  <c r="H1167" i="2"/>
  <c r="J1166" i="2"/>
  <c r="H1166" i="2"/>
  <c r="J1165" i="2"/>
  <c r="H1165" i="2"/>
  <c r="J1164" i="2"/>
  <c r="H1164" i="2"/>
  <c r="J1163" i="2"/>
  <c r="H1163" i="2"/>
  <c r="J1162" i="2"/>
  <c r="H1162" i="2"/>
  <c r="J1161" i="2"/>
  <c r="H1161" i="2"/>
  <c r="J1160" i="2"/>
  <c r="H1160" i="2"/>
  <c r="J1159" i="2"/>
  <c r="H1159" i="2"/>
  <c r="J1158" i="2"/>
  <c r="H1158" i="2"/>
  <c r="J1157" i="2"/>
  <c r="H1157" i="2"/>
  <c r="J1156" i="2"/>
  <c r="H1156" i="2"/>
  <c r="J1155" i="2"/>
  <c r="H1155" i="2"/>
  <c r="J1154" i="2"/>
  <c r="H1154" i="2"/>
  <c r="J1153" i="2"/>
  <c r="H1153" i="2"/>
  <c r="J1152" i="2"/>
  <c r="H1152" i="2"/>
  <c r="J1151" i="2"/>
  <c r="H1151" i="2"/>
  <c r="J1150" i="2"/>
  <c r="H1150" i="2"/>
  <c r="J1149" i="2"/>
  <c r="H1149" i="2"/>
  <c r="J1148" i="2"/>
  <c r="H1148" i="2"/>
  <c r="J1147" i="2"/>
  <c r="H1147" i="2"/>
  <c r="J1146" i="2"/>
  <c r="H1146" i="2"/>
  <c r="J1145" i="2"/>
  <c r="H1145" i="2"/>
  <c r="J1144" i="2"/>
  <c r="H1144" i="2"/>
  <c r="J1143" i="2"/>
  <c r="H1143" i="2"/>
  <c r="J1142" i="2"/>
  <c r="H1142" i="2"/>
  <c r="J1141" i="2"/>
  <c r="H1141" i="2"/>
  <c r="J1140" i="2"/>
  <c r="H1140" i="2"/>
  <c r="J1139" i="2"/>
  <c r="H1139" i="2"/>
  <c r="J1138" i="2"/>
  <c r="H1138" i="2"/>
  <c r="J1137" i="2"/>
  <c r="H1137" i="2"/>
  <c r="J1136" i="2"/>
  <c r="H1136" i="2"/>
  <c r="J1135" i="2"/>
  <c r="H1135" i="2"/>
  <c r="J1134" i="2"/>
  <c r="H1134" i="2"/>
  <c r="J1133" i="2"/>
  <c r="H1133" i="2"/>
  <c r="J1132" i="2"/>
  <c r="H1132" i="2"/>
  <c r="J1131" i="2"/>
  <c r="H1131" i="2"/>
  <c r="J1130" i="2"/>
  <c r="H1130" i="2"/>
  <c r="J1129" i="2"/>
  <c r="H1129" i="2"/>
  <c r="J1128" i="2"/>
  <c r="H1128" i="2"/>
  <c r="J1127" i="2"/>
  <c r="H1127" i="2"/>
  <c r="J1126" i="2"/>
  <c r="H1126" i="2"/>
  <c r="J1125" i="2"/>
  <c r="H1125" i="2"/>
  <c r="J1124" i="2"/>
  <c r="H1124" i="2"/>
  <c r="J1123" i="2"/>
  <c r="H1123" i="2"/>
  <c r="J1122" i="2"/>
  <c r="H1122" i="2"/>
  <c r="J1121" i="2"/>
  <c r="H1121" i="2"/>
  <c r="J1120" i="2"/>
  <c r="H1120" i="2"/>
  <c r="J1119" i="2"/>
  <c r="H1119" i="2"/>
  <c r="J1118" i="2"/>
  <c r="H1118" i="2"/>
  <c r="J1117" i="2"/>
  <c r="H1117" i="2"/>
  <c r="J1116" i="2"/>
  <c r="H1116" i="2"/>
  <c r="J1115" i="2"/>
  <c r="H1115" i="2"/>
  <c r="J1114" i="2"/>
  <c r="H1114" i="2"/>
  <c r="J1113" i="2"/>
  <c r="H1113" i="2"/>
  <c r="J1112" i="2"/>
  <c r="H1112" i="2"/>
  <c r="J1111" i="2"/>
  <c r="H1111" i="2"/>
  <c r="J1110" i="2"/>
  <c r="H1110" i="2"/>
  <c r="J1109" i="2"/>
  <c r="H1109" i="2"/>
  <c r="J1108" i="2"/>
  <c r="H1108" i="2"/>
  <c r="J1107" i="2"/>
  <c r="H1107" i="2"/>
  <c r="J1106" i="2"/>
  <c r="H1106" i="2"/>
  <c r="J1105" i="2"/>
  <c r="H1105" i="2"/>
  <c r="J1104" i="2"/>
  <c r="H1104" i="2"/>
  <c r="J1103" i="2"/>
  <c r="H1103" i="2"/>
  <c r="J1102" i="2"/>
  <c r="H1102" i="2"/>
  <c r="J1101" i="2"/>
  <c r="H1101" i="2"/>
  <c r="J1100" i="2"/>
  <c r="H1100" i="2"/>
  <c r="J1099" i="2"/>
  <c r="H1099" i="2"/>
  <c r="J1098" i="2"/>
  <c r="H1098" i="2"/>
  <c r="J1097" i="2"/>
  <c r="H1097" i="2"/>
  <c r="J1096" i="2"/>
  <c r="H1096" i="2"/>
  <c r="J1095" i="2"/>
  <c r="H1095" i="2"/>
  <c r="J1094" i="2"/>
  <c r="H1094" i="2"/>
  <c r="J1093" i="2"/>
  <c r="H1093" i="2"/>
  <c r="J1092" i="2"/>
  <c r="H1092" i="2"/>
  <c r="J1091" i="2"/>
  <c r="H1091" i="2"/>
  <c r="J1090" i="2"/>
  <c r="H1090" i="2"/>
  <c r="J1089" i="2"/>
  <c r="H1089" i="2"/>
  <c r="J1088" i="2"/>
  <c r="H1088" i="2"/>
  <c r="J1087" i="2"/>
  <c r="H1087" i="2"/>
  <c r="J1086" i="2"/>
  <c r="H1086" i="2"/>
  <c r="J1085" i="2"/>
  <c r="H1085" i="2"/>
  <c r="J1084" i="2"/>
  <c r="H1084" i="2"/>
  <c r="J1083" i="2"/>
  <c r="H1083" i="2"/>
  <c r="J1082" i="2"/>
  <c r="H1082" i="2"/>
  <c r="J1081" i="2"/>
  <c r="H1081" i="2"/>
  <c r="J1080" i="2"/>
  <c r="H1080" i="2"/>
  <c r="J1079" i="2"/>
  <c r="H1079" i="2"/>
  <c r="J1078" i="2"/>
  <c r="H1078" i="2"/>
  <c r="J1077" i="2"/>
  <c r="H1077" i="2"/>
  <c r="J1076" i="2"/>
  <c r="H1076" i="2"/>
  <c r="J1075" i="2"/>
  <c r="H1075" i="2"/>
  <c r="J1074" i="2"/>
  <c r="H1074" i="2"/>
  <c r="J1073" i="2"/>
  <c r="H1073" i="2"/>
  <c r="J1072" i="2"/>
  <c r="H1072" i="2"/>
  <c r="J1071" i="2"/>
  <c r="H1071" i="2"/>
  <c r="J1070" i="2"/>
  <c r="H1070" i="2"/>
  <c r="J1069" i="2"/>
  <c r="H1069" i="2"/>
  <c r="J1068" i="2"/>
  <c r="H1068" i="2"/>
  <c r="J1067" i="2"/>
  <c r="H1067" i="2"/>
  <c r="J1066" i="2"/>
  <c r="H1066" i="2"/>
  <c r="J1065" i="2"/>
  <c r="H1065" i="2"/>
  <c r="J1064" i="2"/>
  <c r="H1064" i="2"/>
  <c r="J1063" i="2"/>
  <c r="H1063" i="2"/>
  <c r="J1062" i="2"/>
  <c r="H1062" i="2"/>
  <c r="J1061" i="2"/>
  <c r="H1061" i="2"/>
  <c r="J1060" i="2"/>
  <c r="H1060" i="2"/>
  <c r="J1059" i="2"/>
  <c r="H1059" i="2"/>
  <c r="J1058" i="2"/>
  <c r="H1058" i="2"/>
  <c r="J1057" i="2"/>
  <c r="H1057" i="2"/>
  <c r="J1056" i="2"/>
  <c r="H1056" i="2"/>
  <c r="J1055" i="2"/>
  <c r="H1055" i="2"/>
  <c r="J1054" i="2"/>
  <c r="H1054" i="2"/>
  <c r="J1053" i="2"/>
  <c r="H1053" i="2"/>
  <c r="J1052" i="2"/>
  <c r="H1052" i="2"/>
  <c r="J1051" i="2"/>
  <c r="H1051" i="2"/>
  <c r="J1050" i="2"/>
  <c r="H1050" i="2"/>
  <c r="J1049" i="2"/>
  <c r="H1049" i="2"/>
  <c r="J1048" i="2"/>
  <c r="H1048" i="2"/>
  <c r="J1047" i="2"/>
  <c r="H1047" i="2"/>
  <c r="J1046" i="2"/>
  <c r="H1046" i="2"/>
  <c r="J1045" i="2"/>
  <c r="H1045" i="2"/>
  <c r="J1044" i="2"/>
  <c r="H1044" i="2"/>
  <c r="J1043" i="2"/>
  <c r="H1043" i="2"/>
  <c r="J1042" i="2"/>
  <c r="H1042" i="2"/>
  <c r="J1041" i="2"/>
  <c r="H1041" i="2"/>
  <c r="J1040" i="2"/>
  <c r="H1040" i="2"/>
  <c r="J1039" i="2"/>
  <c r="H1039" i="2"/>
  <c r="J1038" i="2"/>
  <c r="H1038" i="2"/>
  <c r="J1037" i="2"/>
  <c r="H1037" i="2"/>
  <c r="J1036" i="2"/>
  <c r="H1036" i="2"/>
  <c r="J1035" i="2"/>
  <c r="H1035" i="2"/>
  <c r="J1034" i="2"/>
  <c r="H1034" i="2"/>
  <c r="J1033" i="2"/>
  <c r="H1033" i="2"/>
  <c r="J1032" i="2"/>
  <c r="H1032" i="2"/>
  <c r="J1031" i="2"/>
  <c r="H1031" i="2"/>
  <c r="J1030" i="2"/>
  <c r="H1030" i="2"/>
  <c r="J1029" i="2"/>
  <c r="H1029" i="2"/>
  <c r="J1028" i="2"/>
  <c r="H1028" i="2"/>
  <c r="J1027" i="2"/>
  <c r="H1027" i="2"/>
  <c r="J1026" i="2"/>
  <c r="H1026" i="2"/>
  <c r="J1025" i="2"/>
  <c r="H1025" i="2"/>
  <c r="J1024" i="2"/>
  <c r="H1024" i="2"/>
  <c r="J1023" i="2"/>
  <c r="H1023" i="2"/>
  <c r="J1022" i="2"/>
  <c r="H1022" i="2"/>
  <c r="J1021" i="2"/>
  <c r="H1021" i="2"/>
  <c r="J1020" i="2"/>
  <c r="H1020" i="2"/>
  <c r="J1019" i="2"/>
  <c r="H1019" i="2"/>
  <c r="J1018" i="2"/>
  <c r="H1018" i="2"/>
  <c r="J1017" i="2"/>
  <c r="H1017" i="2"/>
  <c r="J1016" i="2"/>
  <c r="H1016" i="2"/>
  <c r="J1015" i="2"/>
  <c r="H1015" i="2"/>
  <c r="J1014" i="2"/>
  <c r="H1014" i="2"/>
  <c r="J1013" i="2"/>
  <c r="H1013" i="2"/>
  <c r="J1012" i="2"/>
  <c r="H1012" i="2"/>
  <c r="J1011" i="2"/>
  <c r="H1011" i="2"/>
  <c r="J1010" i="2"/>
  <c r="H1010" i="2"/>
  <c r="J1009" i="2"/>
  <c r="H1009" i="2"/>
  <c r="J1008" i="2"/>
  <c r="H1008" i="2"/>
  <c r="J1007" i="2"/>
  <c r="H1007" i="2"/>
  <c r="J1006" i="2"/>
  <c r="H1006" i="2"/>
  <c r="J1005" i="2"/>
  <c r="H1005" i="2"/>
  <c r="J1004" i="2"/>
  <c r="H1004" i="2"/>
  <c r="J1003" i="2"/>
  <c r="H1003" i="2"/>
  <c r="J1002" i="2"/>
  <c r="H1002" i="2"/>
  <c r="J1001" i="2"/>
  <c r="H1001" i="2"/>
  <c r="J1000" i="2"/>
  <c r="H1000" i="2"/>
  <c r="J999" i="2"/>
  <c r="H999" i="2"/>
  <c r="J998" i="2"/>
  <c r="H998" i="2"/>
  <c r="J997" i="2"/>
  <c r="H997" i="2"/>
  <c r="J996" i="2"/>
  <c r="H996" i="2"/>
  <c r="J995" i="2"/>
  <c r="H995" i="2"/>
  <c r="J994" i="2"/>
  <c r="H994" i="2"/>
  <c r="J993" i="2"/>
  <c r="H993" i="2"/>
  <c r="J992" i="2"/>
  <c r="H992" i="2"/>
  <c r="J991" i="2"/>
  <c r="H991" i="2"/>
  <c r="J990" i="2"/>
  <c r="H990" i="2"/>
  <c r="J989" i="2"/>
  <c r="H989" i="2"/>
  <c r="J988" i="2"/>
  <c r="H988" i="2"/>
  <c r="J987" i="2"/>
  <c r="H987" i="2"/>
  <c r="J986" i="2"/>
  <c r="H986" i="2"/>
  <c r="J985" i="2"/>
  <c r="H985" i="2"/>
  <c r="J984" i="2"/>
  <c r="H984" i="2"/>
  <c r="J983" i="2"/>
  <c r="H983" i="2"/>
  <c r="J982" i="2"/>
  <c r="H982" i="2"/>
  <c r="J981" i="2"/>
  <c r="H981" i="2"/>
  <c r="J980" i="2"/>
  <c r="H980" i="2"/>
  <c r="J979" i="2"/>
  <c r="H979" i="2"/>
  <c r="J978" i="2"/>
  <c r="H978" i="2"/>
  <c r="J977" i="2"/>
  <c r="H977" i="2"/>
  <c r="J976" i="2"/>
  <c r="H976" i="2"/>
  <c r="J975" i="2"/>
  <c r="H975" i="2"/>
  <c r="J974" i="2"/>
  <c r="H974" i="2"/>
  <c r="J973" i="2"/>
  <c r="H973" i="2"/>
  <c r="J972" i="2"/>
  <c r="H972" i="2"/>
  <c r="J971" i="2"/>
  <c r="H971" i="2"/>
  <c r="J970" i="2"/>
  <c r="H970" i="2"/>
  <c r="J969" i="2"/>
  <c r="H969" i="2"/>
  <c r="J968" i="2"/>
  <c r="H968" i="2"/>
  <c r="J967" i="2"/>
  <c r="H967" i="2"/>
  <c r="J966" i="2"/>
  <c r="H966" i="2"/>
  <c r="J965" i="2"/>
  <c r="H965" i="2"/>
  <c r="J964" i="2"/>
  <c r="H964" i="2"/>
  <c r="J963" i="2"/>
  <c r="H963" i="2"/>
  <c r="J962" i="2"/>
  <c r="H962" i="2"/>
  <c r="J961" i="2"/>
  <c r="H961" i="2"/>
  <c r="J960" i="2"/>
  <c r="H960" i="2"/>
  <c r="J959" i="2"/>
  <c r="H959" i="2"/>
  <c r="J958" i="2"/>
  <c r="H958" i="2"/>
  <c r="J957" i="2"/>
  <c r="H957" i="2"/>
  <c r="J956" i="2"/>
  <c r="H956" i="2"/>
  <c r="J955" i="2"/>
  <c r="H955" i="2"/>
  <c r="J954" i="2"/>
  <c r="H954" i="2"/>
  <c r="J953" i="2"/>
  <c r="H953" i="2"/>
  <c r="J952" i="2"/>
  <c r="H952" i="2"/>
  <c r="J951" i="2"/>
  <c r="H951" i="2"/>
  <c r="J950" i="2"/>
  <c r="H950" i="2"/>
  <c r="J949" i="2"/>
  <c r="H949" i="2"/>
  <c r="J948" i="2"/>
  <c r="H948" i="2"/>
  <c r="J947" i="2"/>
  <c r="H947" i="2"/>
  <c r="J946" i="2"/>
  <c r="H946" i="2"/>
  <c r="J945" i="2"/>
  <c r="H945" i="2"/>
  <c r="J944" i="2"/>
  <c r="H944" i="2"/>
  <c r="J943" i="2"/>
  <c r="H943" i="2"/>
  <c r="J942" i="2"/>
  <c r="H942" i="2"/>
  <c r="J941" i="2"/>
  <c r="H941" i="2"/>
  <c r="J940" i="2"/>
  <c r="H940" i="2"/>
  <c r="J939" i="2"/>
  <c r="H939" i="2"/>
  <c r="J938" i="2"/>
  <c r="H938" i="2"/>
  <c r="J937" i="2"/>
  <c r="H937" i="2"/>
  <c r="J936" i="2"/>
  <c r="H936" i="2"/>
  <c r="J935" i="2"/>
  <c r="H935" i="2"/>
  <c r="J934" i="2"/>
  <c r="H934" i="2"/>
  <c r="J933" i="2"/>
  <c r="H933" i="2"/>
  <c r="J932" i="2"/>
  <c r="H932" i="2"/>
  <c r="J931" i="2"/>
  <c r="H931" i="2"/>
  <c r="J930" i="2"/>
  <c r="H930" i="2"/>
  <c r="J929" i="2"/>
  <c r="H929" i="2"/>
  <c r="J928" i="2"/>
  <c r="H928" i="2"/>
  <c r="J927" i="2"/>
  <c r="H927" i="2"/>
  <c r="J926" i="2"/>
  <c r="H926" i="2"/>
  <c r="J925" i="2"/>
  <c r="H925" i="2"/>
  <c r="J924" i="2"/>
  <c r="H924" i="2"/>
  <c r="J923" i="2"/>
  <c r="H923" i="2"/>
  <c r="J922" i="2"/>
  <c r="H922" i="2"/>
  <c r="J921" i="2"/>
  <c r="H921" i="2"/>
  <c r="J920" i="2"/>
  <c r="H920" i="2"/>
  <c r="J919" i="2"/>
  <c r="H919" i="2"/>
  <c r="J918" i="2"/>
  <c r="H918" i="2"/>
  <c r="J917" i="2"/>
  <c r="H917" i="2"/>
  <c r="J916" i="2"/>
  <c r="H916" i="2"/>
  <c r="J915" i="2"/>
  <c r="H915" i="2"/>
  <c r="J914" i="2"/>
  <c r="H914" i="2"/>
  <c r="J913" i="2"/>
  <c r="H913" i="2"/>
  <c r="J912" i="2"/>
  <c r="H912" i="2"/>
  <c r="J911" i="2"/>
  <c r="H911" i="2"/>
  <c r="J910" i="2"/>
  <c r="H910" i="2"/>
  <c r="J909" i="2"/>
  <c r="H909" i="2"/>
  <c r="J908" i="2"/>
  <c r="H908" i="2"/>
  <c r="J907" i="2"/>
  <c r="H907" i="2"/>
  <c r="J906" i="2"/>
  <c r="H906" i="2"/>
  <c r="J905" i="2"/>
  <c r="H905" i="2"/>
  <c r="J904" i="2"/>
  <c r="H904" i="2"/>
  <c r="J903" i="2"/>
  <c r="H903" i="2"/>
  <c r="J902" i="2"/>
  <c r="H902" i="2"/>
  <c r="J901" i="2"/>
  <c r="H901" i="2"/>
  <c r="J900" i="2"/>
  <c r="H900" i="2"/>
  <c r="J899" i="2"/>
  <c r="H899" i="2"/>
  <c r="J898" i="2"/>
  <c r="H898" i="2"/>
  <c r="J897" i="2"/>
  <c r="H897" i="2"/>
  <c r="J896" i="2"/>
  <c r="H896" i="2"/>
  <c r="J895" i="2"/>
  <c r="H895" i="2"/>
  <c r="J894" i="2"/>
  <c r="H894" i="2"/>
  <c r="J893" i="2"/>
  <c r="H893" i="2"/>
  <c r="J892" i="2"/>
  <c r="H892" i="2"/>
  <c r="J891" i="2"/>
  <c r="H891" i="2"/>
  <c r="J890" i="2"/>
  <c r="H890" i="2"/>
  <c r="J889" i="2"/>
  <c r="H889" i="2"/>
  <c r="J888" i="2"/>
  <c r="H888" i="2"/>
  <c r="J887" i="2"/>
  <c r="H887" i="2"/>
  <c r="J886" i="2"/>
  <c r="H886" i="2"/>
  <c r="J885" i="2"/>
  <c r="H885" i="2"/>
  <c r="J884" i="2"/>
  <c r="H884" i="2"/>
  <c r="J883" i="2"/>
  <c r="H883" i="2"/>
  <c r="J882" i="2"/>
  <c r="H882" i="2"/>
  <c r="J881" i="2"/>
  <c r="H881" i="2"/>
  <c r="J880" i="2"/>
  <c r="H880" i="2"/>
  <c r="J879" i="2"/>
  <c r="H879" i="2"/>
  <c r="J878" i="2"/>
  <c r="H878" i="2"/>
  <c r="J877" i="2"/>
  <c r="H877" i="2"/>
  <c r="J876" i="2"/>
  <c r="H876" i="2"/>
  <c r="J875" i="2"/>
  <c r="H875" i="2"/>
  <c r="J874" i="2"/>
  <c r="H874" i="2"/>
  <c r="J873" i="2"/>
  <c r="H873" i="2"/>
  <c r="J872" i="2"/>
  <c r="H872" i="2"/>
  <c r="J871" i="2"/>
  <c r="H871" i="2"/>
  <c r="J870" i="2"/>
  <c r="H870" i="2"/>
  <c r="J869" i="2"/>
  <c r="H869" i="2"/>
  <c r="J868" i="2"/>
  <c r="H868" i="2"/>
  <c r="J867" i="2"/>
  <c r="H867" i="2"/>
  <c r="J866" i="2"/>
  <c r="H866" i="2"/>
  <c r="J865" i="2"/>
  <c r="H865" i="2"/>
  <c r="J864" i="2"/>
  <c r="H864" i="2"/>
  <c r="J863" i="2"/>
  <c r="H863" i="2"/>
  <c r="J862" i="2"/>
  <c r="H862" i="2"/>
  <c r="J861" i="2"/>
  <c r="H861" i="2"/>
  <c r="J860" i="2"/>
  <c r="H860" i="2"/>
  <c r="J859" i="2"/>
  <c r="H859" i="2"/>
  <c r="J858" i="2"/>
  <c r="H858" i="2"/>
  <c r="J857" i="2"/>
  <c r="H857" i="2"/>
  <c r="J856" i="2"/>
  <c r="H856" i="2"/>
  <c r="J855" i="2"/>
  <c r="H855" i="2"/>
  <c r="J854" i="2"/>
  <c r="H854" i="2"/>
  <c r="J853" i="2"/>
  <c r="H853" i="2"/>
  <c r="J852" i="2"/>
  <c r="H852" i="2"/>
  <c r="J851" i="2"/>
  <c r="H851" i="2"/>
  <c r="J850" i="2"/>
  <c r="H850" i="2"/>
  <c r="J849" i="2"/>
  <c r="H849" i="2"/>
  <c r="J848" i="2"/>
  <c r="H848" i="2"/>
  <c r="J847" i="2"/>
  <c r="H847" i="2"/>
  <c r="J846" i="2"/>
  <c r="H846" i="2"/>
  <c r="J845" i="2"/>
  <c r="H845" i="2"/>
  <c r="J844" i="2"/>
  <c r="H844" i="2"/>
  <c r="J843" i="2"/>
  <c r="H843" i="2"/>
  <c r="J842" i="2"/>
  <c r="H842" i="2"/>
  <c r="J841" i="2"/>
  <c r="H841" i="2"/>
  <c r="J840" i="2"/>
  <c r="H840" i="2"/>
  <c r="J839" i="2"/>
  <c r="H839" i="2"/>
  <c r="J838" i="2"/>
  <c r="H838" i="2"/>
  <c r="J837" i="2"/>
  <c r="H837" i="2"/>
  <c r="J836" i="2"/>
  <c r="H836" i="2"/>
  <c r="J835" i="2"/>
  <c r="H835" i="2"/>
  <c r="J834" i="2"/>
  <c r="H834" i="2"/>
  <c r="J833" i="2"/>
  <c r="H833" i="2"/>
  <c r="J832" i="2"/>
  <c r="H832" i="2"/>
  <c r="J831" i="2"/>
  <c r="H831" i="2"/>
  <c r="J830" i="2"/>
  <c r="H830" i="2"/>
  <c r="J829" i="2"/>
  <c r="H829" i="2"/>
  <c r="J828" i="2"/>
  <c r="H828" i="2"/>
  <c r="J827" i="2"/>
  <c r="H827" i="2"/>
  <c r="J826" i="2"/>
  <c r="H826" i="2"/>
  <c r="J825" i="2"/>
  <c r="H825" i="2"/>
  <c r="J824" i="2"/>
  <c r="H824" i="2"/>
  <c r="J823" i="2"/>
  <c r="H823" i="2"/>
  <c r="J822" i="2"/>
  <c r="H822" i="2"/>
  <c r="J821" i="2"/>
  <c r="H821" i="2"/>
  <c r="J820" i="2"/>
  <c r="H820" i="2"/>
  <c r="J819" i="2"/>
  <c r="H819" i="2"/>
  <c r="J818" i="2"/>
  <c r="H818" i="2"/>
  <c r="J817" i="2"/>
  <c r="H817" i="2"/>
  <c r="J816" i="2"/>
  <c r="H816" i="2"/>
  <c r="J815" i="2"/>
  <c r="H815" i="2"/>
  <c r="J814" i="2"/>
  <c r="H814" i="2"/>
  <c r="J813" i="2"/>
  <c r="H813" i="2"/>
  <c r="J812" i="2"/>
  <c r="H812" i="2"/>
  <c r="J811" i="2"/>
  <c r="H811" i="2"/>
  <c r="J810" i="2"/>
  <c r="H810" i="2"/>
  <c r="J809" i="2"/>
  <c r="H809" i="2"/>
  <c r="J808" i="2"/>
  <c r="H808" i="2"/>
  <c r="J807" i="2"/>
  <c r="H807" i="2"/>
  <c r="J806" i="2"/>
  <c r="H806" i="2"/>
  <c r="J805" i="2"/>
  <c r="H805" i="2"/>
  <c r="J804" i="2"/>
  <c r="H804" i="2"/>
  <c r="J803" i="2"/>
  <c r="H803" i="2"/>
  <c r="J802" i="2"/>
  <c r="H802" i="2"/>
  <c r="J801" i="2"/>
  <c r="H801" i="2"/>
  <c r="J800" i="2"/>
  <c r="H800" i="2"/>
  <c r="J799" i="2"/>
  <c r="H799" i="2"/>
  <c r="J798" i="2"/>
  <c r="H798" i="2"/>
  <c r="J797" i="2"/>
  <c r="H797" i="2"/>
  <c r="J796" i="2"/>
  <c r="H796" i="2"/>
  <c r="J795" i="2"/>
  <c r="H795" i="2"/>
  <c r="J794" i="2"/>
  <c r="H794" i="2"/>
  <c r="J793" i="2"/>
  <c r="H793" i="2"/>
  <c r="J792" i="2"/>
  <c r="H792" i="2"/>
  <c r="J791" i="2"/>
  <c r="H791" i="2"/>
  <c r="J790" i="2"/>
  <c r="H790" i="2"/>
  <c r="J789" i="2"/>
  <c r="H789" i="2"/>
  <c r="J788" i="2"/>
  <c r="H788" i="2"/>
  <c r="J787" i="2"/>
  <c r="H787" i="2"/>
  <c r="J786" i="2"/>
  <c r="H786" i="2"/>
  <c r="J785" i="2"/>
  <c r="H785" i="2"/>
  <c r="J784" i="2"/>
  <c r="H784" i="2"/>
  <c r="J783" i="2"/>
  <c r="H783" i="2"/>
  <c r="J782" i="2"/>
  <c r="H782" i="2"/>
  <c r="J781" i="2"/>
  <c r="H781" i="2"/>
  <c r="J780" i="2"/>
  <c r="H780" i="2"/>
  <c r="J779" i="2"/>
  <c r="H779" i="2"/>
  <c r="J778" i="2"/>
  <c r="H778" i="2"/>
  <c r="J777" i="2"/>
  <c r="H777" i="2"/>
  <c r="J776" i="2"/>
  <c r="H776" i="2"/>
  <c r="J775" i="2"/>
  <c r="H775" i="2"/>
  <c r="J774" i="2"/>
  <c r="H774" i="2"/>
  <c r="J773" i="2"/>
  <c r="H773" i="2"/>
  <c r="J772" i="2"/>
  <c r="H772" i="2"/>
  <c r="J771" i="2"/>
  <c r="H771" i="2"/>
  <c r="J770" i="2"/>
  <c r="H770" i="2"/>
  <c r="J769" i="2"/>
  <c r="H769" i="2"/>
  <c r="J768" i="2"/>
  <c r="H768" i="2"/>
  <c r="J767" i="2"/>
  <c r="H767" i="2"/>
  <c r="J766" i="2"/>
  <c r="H766" i="2"/>
  <c r="J765" i="2"/>
  <c r="H765" i="2"/>
  <c r="J764" i="2"/>
  <c r="H764" i="2"/>
  <c r="J763" i="2"/>
  <c r="H763" i="2"/>
  <c r="J762" i="2"/>
  <c r="H762" i="2"/>
  <c r="J761" i="2"/>
  <c r="H761" i="2"/>
  <c r="J760" i="2"/>
  <c r="H760" i="2"/>
  <c r="J759" i="2"/>
  <c r="H759" i="2"/>
  <c r="J758" i="2"/>
  <c r="H758" i="2"/>
  <c r="J757" i="2"/>
  <c r="H757" i="2"/>
  <c r="J756" i="2"/>
  <c r="H756" i="2"/>
  <c r="J755" i="2"/>
  <c r="H755" i="2"/>
  <c r="J754" i="2"/>
  <c r="H754" i="2"/>
  <c r="J753" i="2"/>
  <c r="H753" i="2"/>
  <c r="J752" i="2"/>
  <c r="H752" i="2"/>
  <c r="J751" i="2"/>
  <c r="H751" i="2"/>
  <c r="J750" i="2"/>
  <c r="H750" i="2"/>
  <c r="J749" i="2"/>
  <c r="H749" i="2"/>
  <c r="J748" i="2"/>
  <c r="H748" i="2"/>
  <c r="J747" i="2"/>
  <c r="H747" i="2"/>
  <c r="J746" i="2"/>
  <c r="H746" i="2"/>
  <c r="J745" i="2"/>
  <c r="H745" i="2"/>
  <c r="J744" i="2"/>
  <c r="H744" i="2"/>
  <c r="J743" i="2"/>
  <c r="H743" i="2"/>
  <c r="J742" i="2"/>
  <c r="H742" i="2"/>
  <c r="J741" i="2"/>
  <c r="H741" i="2"/>
  <c r="J740" i="2"/>
  <c r="H740" i="2"/>
  <c r="J739" i="2"/>
  <c r="H739" i="2"/>
  <c r="J738" i="2"/>
  <c r="H738" i="2"/>
  <c r="J737" i="2"/>
  <c r="H737" i="2"/>
  <c r="J736" i="2"/>
  <c r="H736" i="2"/>
  <c r="J735" i="2"/>
  <c r="H735" i="2"/>
  <c r="J734" i="2"/>
  <c r="H734" i="2"/>
  <c r="J733" i="2"/>
  <c r="H733" i="2"/>
  <c r="J732" i="2"/>
  <c r="H732" i="2"/>
  <c r="J731" i="2"/>
  <c r="H731" i="2"/>
  <c r="J730" i="2"/>
  <c r="H730" i="2"/>
  <c r="J729" i="2"/>
  <c r="H729" i="2"/>
  <c r="J728" i="2"/>
  <c r="H728" i="2"/>
  <c r="J727" i="2"/>
  <c r="H727" i="2"/>
  <c r="J726" i="2"/>
  <c r="H726" i="2"/>
  <c r="J725" i="2"/>
  <c r="H725" i="2"/>
  <c r="J724" i="2"/>
  <c r="H724" i="2"/>
  <c r="J723" i="2"/>
  <c r="H723" i="2"/>
  <c r="J722" i="2"/>
  <c r="H722" i="2"/>
  <c r="J721" i="2"/>
  <c r="H721" i="2"/>
  <c r="J720" i="2"/>
  <c r="H720" i="2"/>
  <c r="J719" i="2"/>
  <c r="H719" i="2"/>
  <c r="J718" i="2"/>
  <c r="H718" i="2"/>
  <c r="J717" i="2"/>
  <c r="H717" i="2"/>
  <c r="J716" i="2"/>
  <c r="H716" i="2"/>
  <c r="J715" i="2"/>
  <c r="H715" i="2"/>
  <c r="J714" i="2"/>
  <c r="H714" i="2"/>
  <c r="J713" i="2"/>
  <c r="H713" i="2"/>
  <c r="J712" i="2"/>
  <c r="H712" i="2"/>
  <c r="J711" i="2"/>
  <c r="H711" i="2"/>
  <c r="J710" i="2"/>
  <c r="H710" i="2"/>
  <c r="J709" i="2"/>
  <c r="H709" i="2"/>
  <c r="J708" i="2"/>
  <c r="H708" i="2"/>
  <c r="J707" i="2"/>
  <c r="H707" i="2"/>
  <c r="J706" i="2"/>
  <c r="H706" i="2"/>
  <c r="J705" i="2"/>
  <c r="H705" i="2"/>
  <c r="J704" i="2"/>
  <c r="H704" i="2"/>
  <c r="J703" i="2"/>
  <c r="H703" i="2"/>
  <c r="J702" i="2"/>
  <c r="H702" i="2"/>
  <c r="J701" i="2"/>
  <c r="H701" i="2"/>
  <c r="J700" i="2"/>
  <c r="H700" i="2"/>
  <c r="J699" i="2"/>
  <c r="H699" i="2"/>
  <c r="J698" i="2"/>
  <c r="H698" i="2"/>
  <c r="J697" i="2"/>
  <c r="H697" i="2"/>
  <c r="J696" i="2"/>
  <c r="H696" i="2"/>
  <c r="J695" i="2"/>
  <c r="H695" i="2"/>
  <c r="J694" i="2"/>
  <c r="H694" i="2"/>
  <c r="J693" i="2"/>
  <c r="H693" i="2"/>
  <c r="J692" i="2"/>
  <c r="H692" i="2"/>
  <c r="J691" i="2"/>
  <c r="H691" i="2"/>
  <c r="J690" i="2"/>
  <c r="H690" i="2"/>
  <c r="J689" i="2"/>
  <c r="H689" i="2"/>
  <c r="J688" i="2"/>
  <c r="H688" i="2"/>
  <c r="J687" i="2"/>
  <c r="H687" i="2"/>
  <c r="J686" i="2"/>
  <c r="H686" i="2"/>
  <c r="J685" i="2"/>
  <c r="H685" i="2"/>
  <c r="J684" i="2"/>
  <c r="H684" i="2"/>
  <c r="J683" i="2"/>
  <c r="H683" i="2"/>
  <c r="J682" i="2"/>
  <c r="H682" i="2"/>
  <c r="J681" i="2"/>
  <c r="H681" i="2"/>
  <c r="J680" i="2"/>
  <c r="H680" i="2"/>
  <c r="J679" i="2"/>
  <c r="H679" i="2"/>
  <c r="J678" i="2"/>
  <c r="H678" i="2"/>
  <c r="J677" i="2"/>
  <c r="H677" i="2"/>
  <c r="J676" i="2"/>
  <c r="H676" i="2"/>
  <c r="J675" i="2"/>
  <c r="H675" i="2"/>
  <c r="J674" i="2"/>
  <c r="H674" i="2"/>
  <c r="J673" i="2"/>
  <c r="H673" i="2"/>
  <c r="J672" i="2"/>
  <c r="H672" i="2"/>
  <c r="J671" i="2"/>
  <c r="H671" i="2"/>
  <c r="J670" i="2"/>
  <c r="H670" i="2"/>
  <c r="J669" i="2"/>
  <c r="H669" i="2"/>
  <c r="J668" i="2"/>
  <c r="H668" i="2"/>
  <c r="J667" i="2"/>
  <c r="H667" i="2"/>
  <c r="J666" i="2"/>
  <c r="H666" i="2"/>
  <c r="J665" i="2"/>
  <c r="H665" i="2"/>
  <c r="J664" i="2"/>
  <c r="H664" i="2"/>
  <c r="J663" i="2"/>
  <c r="H663" i="2"/>
  <c r="J662" i="2"/>
  <c r="H662" i="2"/>
  <c r="J661" i="2"/>
  <c r="H661" i="2"/>
  <c r="J660" i="2"/>
  <c r="H660" i="2"/>
  <c r="J659" i="2"/>
  <c r="H659" i="2"/>
  <c r="J658" i="2"/>
  <c r="H658" i="2"/>
  <c r="J657" i="2"/>
  <c r="H657" i="2"/>
  <c r="J656" i="2"/>
  <c r="H656" i="2"/>
  <c r="J655" i="2"/>
  <c r="H655" i="2"/>
  <c r="J654" i="2"/>
  <c r="H654" i="2"/>
  <c r="J653" i="2"/>
  <c r="H653" i="2"/>
  <c r="J652" i="2"/>
  <c r="H652" i="2"/>
  <c r="J651" i="2"/>
  <c r="H651" i="2"/>
  <c r="J650" i="2"/>
  <c r="H650" i="2"/>
  <c r="J649" i="2"/>
  <c r="H649" i="2"/>
  <c r="J648" i="2"/>
  <c r="H648" i="2"/>
  <c r="J647" i="2"/>
  <c r="H647" i="2"/>
  <c r="J646" i="2"/>
  <c r="H646" i="2"/>
  <c r="J645" i="2"/>
  <c r="H645" i="2"/>
  <c r="J644" i="2"/>
  <c r="H644" i="2"/>
  <c r="J643" i="2"/>
  <c r="H643" i="2"/>
  <c r="J642" i="2"/>
  <c r="H642" i="2"/>
  <c r="J641" i="2"/>
  <c r="H641" i="2"/>
  <c r="J640" i="2"/>
  <c r="H640" i="2"/>
  <c r="J639" i="2"/>
  <c r="H639" i="2"/>
  <c r="J638" i="2"/>
  <c r="H638" i="2"/>
  <c r="J637" i="2"/>
  <c r="H637" i="2"/>
  <c r="J636" i="2"/>
  <c r="H636" i="2"/>
  <c r="J635" i="2"/>
  <c r="H635" i="2"/>
  <c r="J634" i="2"/>
  <c r="H634" i="2"/>
  <c r="J633" i="2"/>
  <c r="H633" i="2"/>
  <c r="J632" i="2"/>
  <c r="H632" i="2"/>
  <c r="J631" i="2"/>
  <c r="H631" i="2"/>
  <c r="J630" i="2"/>
  <c r="H630" i="2"/>
  <c r="J629" i="2"/>
  <c r="H629" i="2"/>
  <c r="J628" i="2"/>
  <c r="H628" i="2"/>
  <c r="J627" i="2"/>
  <c r="H627" i="2"/>
  <c r="J626" i="2"/>
  <c r="H626" i="2"/>
  <c r="J625" i="2"/>
  <c r="H625" i="2"/>
  <c r="J624" i="2"/>
  <c r="H624" i="2"/>
  <c r="J623" i="2"/>
  <c r="H623" i="2"/>
  <c r="J622" i="2"/>
  <c r="H622" i="2"/>
  <c r="J621" i="2"/>
  <c r="H621" i="2"/>
  <c r="J620" i="2"/>
  <c r="H620" i="2"/>
  <c r="J619" i="2"/>
  <c r="H619" i="2"/>
  <c r="J618" i="2"/>
  <c r="H618" i="2"/>
  <c r="J617" i="2"/>
  <c r="H617" i="2"/>
  <c r="J616" i="2"/>
  <c r="H616" i="2"/>
  <c r="J615" i="2"/>
  <c r="H615" i="2"/>
  <c r="J614" i="2"/>
  <c r="H614" i="2"/>
  <c r="J613" i="2"/>
  <c r="H613" i="2"/>
  <c r="J612" i="2"/>
  <c r="H612" i="2"/>
  <c r="J611" i="2"/>
  <c r="H611" i="2"/>
  <c r="J610" i="2"/>
  <c r="H610" i="2"/>
  <c r="J609" i="2"/>
  <c r="H609" i="2"/>
  <c r="J608" i="2"/>
  <c r="H608" i="2"/>
  <c r="J607" i="2"/>
  <c r="H607" i="2"/>
  <c r="J606" i="2"/>
  <c r="H606" i="2"/>
  <c r="J605" i="2"/>
  <c r="H605" i="2"/>
  <c r="J604" i="2"/>
  <c r="H604" i="2"/>
  <c r="J603" i="2"/>
  <c r="H603" i="2"/>
  <c r="J602" i="2"/>
  <c r="H602" i="2"/>
  <c r="J601" i="2"/>
  <c r="H601" i="2"/>
  <c r="J600" i="2"/>
  <c r="H600" i="2"/>
  <c r="J599" i="2"/>
  <c r="H599" i="2"/>
  <c r="J598" i="2"/>
  <c r="H598" i="2"/>
  <c r="J597" i="2"/>
  <c r="H597" i="2"/>
  <c r="J596" i="2"/>
  <c r="H596" i="2"/>
  <c r="J595" i="2"/>
  <c r="H595" i="2"/>
  <c r="J594" i="2"/>
  <c r="H594" i="2"/>
  <c r="J593" i="2"/>
  <c r="H593" i="2"/>
  <c r="J592" i="2"/>
  <c r="H592" i="2"/>
  <c r="J591" i="2"/>
  <c r="H591" i="2"/>
  <c r="J590" i="2"/>
  <c r="H590" i="2"/>
  <c r="J589" i="2"/>
  <c r="H589" i="2"/>
  <c r="J588" i="2"/>
  <c r="H588" i="2"/>
  <c r="J587" i="2"/>
  <c r="H587" i="2"/>
  <c r="J586" i="2"/>
  <c r="H586" i="2"/>
  <c r="J585" i="2"/>
  <c r="H585" i="2"/>
  <c r="J584" i="2"/>
  <c r="H584" i="2"/>
  <c r="J583" i="2"/>
  <c r="H583" i="2"/>
  <c r="J582" i="2"/>
  <c r="H582" i="2"/>
  <c r="J581" i="2"/>
  <c r="H581" i="2"/>
  <c r="J580" i="2"/>
  <c r="H580" i="2"/>
  <c r="J579" i="2"/>
  <c r="H579" i="2"/>
  <c r="J578" i="2"/>
  <c r="H578" i="2"/>
  <c r="J577" i="2"/>
  <c r="H577" i="2"/>
  <c r="J576" i="2"/>
  <c r="H576" i="2"/>
  <c r="J575" i="2"/>
  <c r="H575" i="2"/>
  <c r="J574" i="2"/>
  <c r="H574" i="2"/>
  <c r="J573" i="2"/>
  <c r="H573" i="2"/>
  <c r="J572" i="2"/>
  <c r="H572" i="2"/>
  <c r="J571" i="2"/>
  <c r="H571" i="2"/>
  <c r="J570" i="2"/>
  <c r="H570" i="2"/>
  <c r="J569" i="2"/>
  <c r="H569" i="2"/>
  <c r="J568" i="2"/>
  <c r="H568" i="2"/>
  <c r="J567" i="2"/>
  <c r="H567" i="2"/>
  <c r="J566" i="2"/>
  <c r="H566" i="2"/>
  <c r="J565" i="2"/>
  <c r="H565" i="2"/>
  <c r="J564" i="2"/>
  <c r="H564" i="2"/>
  <c r="J563" i="2"/>
  <c r="H563" i="2"/>
  <c r="J562" i="2"/>
  <c r="H562" i="2"/>
  <c r="J561" i="2"/>
  <c r="H561" i="2"/>
  <c r="J560" i="2"/>
  <c r="H560" i="2"/>
  <c r="J559" i="2"/>
  <c r="H559" i="2"/>
  <c r="J558" i="2"/>
  <c r="H558" i="2"/>
  <c r="J557" i="2"/>
  <c r="H557" i="2"/>
  <c r="J556" i="2"/>
  <c r="H556" i="2"/>
  <c r="J555" i="2"/>
  <c r="H555" i="2"/>
  <c r="J554" i="2"/>
  <c r="H554" i="2"/>
  <c r="J553" i="2"/>
  <c r="H553" i="2"/>
  <c r="J552" i="2"/>
  <c r="H552" i="2"/>
  <c r="J551" i="2"/>
  <c r="H551" i="2"/>
  <c r="J550" i="2"/>
  <c r="H550" i="2"/>
  <c r="J549" i="2"/>
  <c r="H549" i="2"/>
  <c r="J548" i="2"/>
  <c r="H548" i="2"/>
  <c r="J547" i="2"/>
  <c r="H547" i="2"/>
  <c r="J546" i="2"/>
  <c r="H546" i="2"/>
  <c r="J545" i="2"/>
  <c r="H545" i="2"/>
  <c r="J544" i="2"/>
  <c r="H544" i="2"/>
  <c r="J543" i="2"/>
  <c r="H543" i="2"/>
  <c r="J542" i="2"/>
  <c r="H542" i="2"/>
  <c r="J541" i="2"/>
  <c r="H541" i="2"/>
  <c r="J540" i="2"/>
  <c r="H540" i="2"/>
  <c r="J539" i="2"/>
  <c r="H539" i="2"/>
  <c r="J538" i="2"/>
  <c r="H538" i="2"/>
  <c r="J537" i="2"/>
  <c r="H537" i="2"/>
  <c r="J536" i="2"/>
  <c r="H536" i="2"/>
  <c r="J535" i="2"/>
  <c r="H535" i="2"/>
  <c r="J534" i="2"/>
  <c r="H534" i="2"/>
  <c r="J533" i="2"/>
  <c r="H533" i="2"/>
  <c r="J532" i="2"/>
  <c r="H532" i="2"/>
  <c r="J531" i="2"/>
  <c r="H531" i="2"/>
  <c r="J530" i="2"/>
  <c r="H530" i="2"/>
  <c r="J529" i="2"/>
  <c r="H529" i="2"/>
  <c r="J528" i="2"/>
  <c r="H528" i="2"/>
  <c r="J527" i="2"/>
  <c r="H527" i="2"/>
  <c r="J526" i="2"/>
  <c r="H526" i="2"/>
  <c r="J525" i="2"/>
  <c r="H525" i="2"/>
  <c r="J524" i="2"/>
  <c r="H524" i="2"/>
  <c r="J523" i="2"/>
  <c r="H523" i="2"/>
  <c r="J522" i="2"/>
  <c r="H522" i="2"/>
  <c r="J521" i="2"/>
  <c r="H521" i="2"/>
  <c r="J520" i="2"/>
  <c r="H520" i="2"/>
  <c r="J519" i="2"/>
  <c r="H519" i="2"/>
  <c r="J518" i="2"/>
  <c r="H518" i="2"/>
  <c r="J517" i="2"/>
  <c r="H517" i="2"/>
  <c r="J516" i="2"/>
  <c r="H516" i="2"/>
  <c r="J515" i="2"/>
  <c r="H515" i="2"/>
  <c r="J514" i="2"/>
  <c r="H514" i="2"/>
  <c r="J513" i="2"/>
  <c r="H513" i="2"/>
  <c r="J512" i="2"/>
  <c r="H512" i="2"/>
  <c r="J511" i="2"/>
  <c r="H511" i="2"/>
  <c r="J510" i="2"/>
  <c r="H510" i="2"/>
  <c r="J509" i="2"/>
  <c r="H509" i="2"/>
  <c r="J508" i="2"/>
  <c r="H508" i="2"/>
  <c r="J507" i="2"/>
  <c r="H507" i="2"/>
  <c r="J506" i="2"/>
  <c r="H506" i="2"/>
  <c r="J505" i="2"/>
  <c r="H505" i="2"/>
  <c r="J504" i="2"/>
  <c r="H504" i="2"/>
  <c r="J503" i="2"/>
  <c r="H503" i="2"/>
  <c r="J502" i="2"/>
  <c r="H502" i="2"/>
  <c r="J501" i="2"/>
  <c r="H501" i="2"/>
  <c r="J500" i="2"/>
  <c r="H500" i="2"/>
  <c r="J499" i="2"/>
  <c r="H499" i="2"/>
  <c r="J498" i="2"/>
  <c r="H498" i="2"/>
  <c r="J497" i="2"/>
  <c r="H497" i="2"/>
  <c r="J496" i="2"/>
  <c r="H496" i="2"/>
  <c r="J495" i="2"/>
  <c r="H495" i="2"/>
  <c r="J494" i="2"/>
  <c r="H494" i="2"/>
  <c r="J493" i="2"/>
  <c r="H493" i="2"/>
  <c r="J492" i="2"/>
  <c r="H492" i="2"/>
  <c r="J491" i="2"/>
  <c r="H491" i="2"/>
  <c r="J490" i="2"/>
  <c r="H490" i="2"/>
  <c r="J489" i="2"/>
  <c r="H489" i="2"/>
  <c r="J488" i="2"/>
  <c r="H488" i="2"/>
  <c r="J487" i="2"/>
  <c r="H487" i="2"/>
  <c r="J486" i="2"/>
  <c r="H486" i="2"/>
  <c r="J485" i="2"/>
  <c r="H485" i="2"/>
  <c r="J484" i="2"/>
  <c r="H484" i="2"/>
  <c r="J483" i="2"/>
  <c r="H483" i="2"/>
  <c r="J482" i="2"/>
  <c r="H482" i="2"/>
  <c r="J481" i="2"/>
  <c r="H481" i="2"/>
  <c r="J480" i="2"/>
  <c r="H480" i="2"/>
  <c r="J479" i="2"/>
  <c r="H479" i="2"/>
  <c r="J478" i="2"/>
  <c r="H478" i="2"/>
  <c r="J477" i="2"/>
  <c r="H477" i="2"/>
  <c r="J476" i="2"/>
  <c r="H476" i="2"/>
  <c r="J475" i="2"/>
  <c r="H475" i="2"/>
  <c r="J474" i="2"/>
  <c r="H474" i="2"/>
  <c r="J473" i="2"/>
  <c r="H473" i="2"/>
  <c r="J472" i="2"/>
  <c r="H472" i="2"/>
  <c r="J471" i="2"/>
  <c r="H471" i="2"/>
  <c r="J470" i="2"/>
  <c r="H470" i="2"/>
  <c r="J469" i="2"/>
  <c r="H469" i="2"/>
  <c r="J468" i="2"/>
  <c r="H468" i="2"/>
  <c r="J467" i="2"/>
  <c r="H467" i="2"/>
  <c r="J466" i="2"/>
  <c r="H466" i="2"/>
  <c r="J465" i="2"/>
  <c r="H465" i="2"/>
  <c r="J464" i="2"/>
  <c r="H464" i="2"/>
  <c r="J463" i="2"/>
  <c r="H463" i="2"/>
  <c r="J462" i="2"/>
  <c r="H462" i="2"/>
  <c r="J461" i="2"/>
  <c r="H461" i="2"/>
  <c r="J460" i="2"/>
  <c r="H460" i="2"/>
  <c r="J459" i="2"/>
  <c r="H459" i="2"/>
  <c r="J458" i="2"/>
  <c r="H458" i="2"/>
  <c r="J457" i="2"/>
  <c r="H457" i="2"/>
  <c r="J456" i="2"/>
  <c r="H456" i="2"/>
  <c r="J455" i="2"/>
  <c r="H455" i="2"/>
  <c r="J454" i="2"/>
  <c r="H454" i="2"/>
  <c r="J453" i="2"/>
  <c r="H453" i="2"/>
  <c r="J452" i="2"/>
  <c r="H452" i="2"/>
  <c r="J451" i="2"/>
  <c r="H451" i="2"/>
  <c r="J450" i="2"/>
  <c r="H450" i="2"/>
  <c r="J449" i="2"/>
  <c r="H449" i="2"/>
  <c r="J448" i="2"/>
  <c r="H448" i="2"/>
  <c r="J447" i="2"/>
  <c r="H447" i="2"/>
  <c r="J446" i="2"/>
  <c r="H446" i="2"/>
  <c r="J445" i="2"/>
  <c r="H445" i="2"/>
  <c r="J444" i="2"/>
  <c r="H444" i="2"/>
  <c r="J443" i="2"/>
  <c r="H443" i="2"/>
  <c r="J442" i="2"/>
  <c r="H442" i="2"/>
  <c r="J441" i="2"/>
  <c r="H441" i="2"/>
  <c r="J440" i="2"/>
  <c r="H440" i="2"/>
  <c r="J439" i="2"/>
  <c r="H439" i="2"/>
  <c r="J438" i="2"/>
  <c r="H438" i="2"/>
  <c r="J437" i="2"/>
  <c r="H437" i="2"/>
  <c r="J436" i="2"/>
  <c r="H436" i="2"/>
  <c r="J435" i="2"/>
  <c r="H435" i="2"/>
  <c r="J434" i="2"/>
  <c r="H434" i="2"/>
  <c r="J433" i="2"/>
  <c r="H433" i="2"/>
  <c r="J432" i="2"/>
  <c r="H432" i="2"/>
  <c r="J431" i="2"/>
  <c r="H431" i="2"/>
  <c r="J430" i="2"/>
  <c r="H430" i="2"/>
  <c r="J429" i="2"/>
  <c r="H429" i="2"/>
  <c r="J428" i="2"/>
  <c r="H428" i="2"/>
  <c r="J427" i="2"/>
  <c r="H427" i="2"/>
  <c r="J426" i="2"/>
  <c r="H426" i="2"/>
  <c r="J425" i="2"/>
  <c r="H425" i="2"/>
  <c r="J424" i="2"/>
  <c r="H424" i="2"/>
  <c r="J423" i="2"/>
  <c r="H423" i="2"/>
  <c r="J422" i="2"/>
  <c r="H422" i="2"/>
  <c r="J421" i="2"/>
  <c r="H421" i="2"/>
  <c r="J420" i="2"/>
  <c r="H420" i="2"/>
  <c r="J419" i="2"/>
  <c r="H419" i="2"/>
  <c r="J418" i="2"/>
  <c r="H418" i="2"/>
  <c r="J417" i="2"/>
  <c r="H417" i="2"/>
  <c r="J416" i="2"/>
  <c r="H416" i="2"/>
  <c r="J415" i="2"/>
  <c r="H415" i="2"/>
  <c r="J414" i="2"/>
  <c r="H414" i="2"/>
  <c r="J413" i="2"/>
  <c r="H413" i="2"/>
  <c r="J412" i="2"/>
  <c r="H412" i="2"/>
  <c r="J411" i="2"/>
  <c r="H411" i="2"/>
  <c r="J410" i="2"/>
  <c r="H410" i="2"/>
  <c r="J409" i="2"/>
  <c r="H409" i="2"/>
  <c r="J408" i="2"/>
  <c r="H408" i="2"/>
  <c r="J407" i="2"/>
  <c r="H407" i="2"/>
  <c r="J406" i="2"/>
  <c r="H406" i="2"/>
  <c r="J405" i="2"/>
  <c r="H405" i="2"/>
  <c r="J404" i="2"/>
  <c r="H404" i="2"/>
  <c r="J403" i="2"/>
  <c r="H403" i="2"/>
  <c r="J402" i="2"/>
  <c r="H402" i="2"/>
  <c r="J401" i="2"/>
  <c r="H401" i="2"/>
  <c r="J400" i="2"/>
  <c r="H400" i="2"/>
  <c r="J399" i="2"/>
  <c r="H399" i="2"/>
  <c r="J398" i="2"/>
  <c r="H398" i="2"/>
  <c r="J397" i="2"/>
  <c r="H397" i="2"/>
  <c r="J396" i="2"/>
  <c r="H396" i="2"/>
  <c r="J395" i="2"/>
  <c r="H395" i="2"/>
  <c r="J394" i="2"/>
  <c r="H394" i="2"/>
  <c r="J393" i="2"/>
  <c r="H393" i="2"/>
  <c r="J392" i="2"/>
  <c r="H392" i="2"/>
  <c r="J391" i="2"/>
  <c r="H391" i="2"/>
  <c r="J390" i="2"/>
  <c r="H390" i="2"/>
  <c r="J389" i="2"/>
  <c r="H389" i="2"/>
  <c r="J388" i="2"/>
  <c r="H388" i="2"/>
  <c r="J387" i="2"/>
  <c r="H387" i="2"/>
  <c r="J386" i="2"/>
  <c r="H386" i="2"/>
  <c r="J385" i="2"/>
  <c r="H385" i="2"/>
  <c r="J384" i="2"/>
  <c r="H384" i="2"/>
  <c r="J383" i="2"/>
  <c r="H383" i="2"/>
  <c r="J382" i="2"/>
  <c r="H382" i="2"/>
  <c r="J381" i="2"/>
  <c r="H381" i="2"/>
  <c r="J380" i="2"/>
  <c r="H380" i="2"/>
  <c r="J379" i="2"/>
  <c r="H379" i="2"/>
  <c r="J378" i="2"/>
  <c r="H378" i="2"/>
  <c r="J377" i="2"/>
  <c r="H377" i="2"/>
  <c r="J376" i="2"/>
  <c r="H376" i="2"/>
  <c r="J375" i="2"/>
  <c r="H375" i="2"/>
  <c r="J374" i="2"/>
  <c r="H374" i="2"/>
  <c r="J373" i="2"/>
  <c r="H373" i="2"/>
  <c r="J372" i="2"/>
  <c r="H372" i="2"/>
  <c r="J371" i="2"/>
  <c r="H371" i="2"/>
  <c r="J370" i="2"/>
  <c r="H370" i="2"/>
  <c r="J369" i="2"/>
  <c r="H369" i="2"/>
  <c r="J368" i="2"/>
  <c r="H368" i="2"/>
  <c r="J367" i="2"/>
  <c r="H367" i="2"/>
  <c r="J366" i="2"/>
  <c r="H366" i="2"/>
  <c r="J365" i="2"/>
  <c r="H365" i="2"/>
  <c r="J364" i="2"/>
  <c r="H364" i="2"/>
  <c r="J363" i="2"/>
  <c r="H363" i="2"/>
  <c r="J362" i="2"/>
  <c r="H362" i="2"/>
  <c r="J361" i="2"/>
  <c r="H361" i="2"/>
  <c r="J360" i="2"/>
  <c r="H360" i="2"/>
  <c r="J359" i="2"/>
  <c r="H359" i="2"/>
  <c r="J358" i="2"/>
  <c r="H358" i="2"/>
  <c r="J357" i="2"/>
  <c r="H357" i="2"/>
  <c r="J356" i="2"/>
  <c r="H356" i="2"/>
  <c r="J355" i="2"/>
  <c r="H355" i="2"/>
  <c r="J354" i="2"/>
  <c r="H354" i="2"/>
  <c r="J353" i="2"/>
  <c r="H353" i="2"/>
  <c r="J352" i="2"/>
  <c r="H352" i="2"/>
  <c r="J351" i="2"/>
  <c r="H351" i="2"/>
  <c r="J350" i="2"/>
  <c r="H350" i="2"/>
  <c r="J349" i="2"/>
  <c r="H349" i="2"/>
  <c r="J348" i="2"/>
  <c r="H348" i="2"/>
  <c r="J347" i="2"/>
  <c r="H347" i="2"/>
  <c r="J346" i="2"/>
  <c r="H346" i="2"/>
  <c r="J345" i="2"/>
  <c r="H345" i="2"/>
  <c r="J344" i="2"/>
  <c r="H344" i="2"/>
  <c r="J343" i="2"/>
  <c r="H343" i="2"/>
  <c r="J342" i="2"/>
  <c r="H342" i="2"/>
  <c r="J341" i="2"/>
  <c r="H341" i="2"/>
  <c r="J340" i="2"/>
  <c r="H340" i="2"/>
  <c r="J339" i="2"/>
  <c r="H339" i="2"/>
  <c r="J338" i="2"/>
  <c r="H338" i="2"/>
  <c r="J337" i="2"/>
  <c r="H337" i="2"/>
  <c r="J336" i="2"/>
  <c r="H336" i="2"/>
  <c r="J335" i="2"/>
  <c r="H335" i="2"/>
  <c r="J334" i="2"/>
  <c r="H334" i="2"/>
  <c r="J333" i="2"/>
  <c r="H333" i="2"/>
  <c r="J332" i="2"/>
  <c r="H332" i="2"/>
  <c r="J331" i="2"/>
  <c r="H331" i="2"/>
  <c r="J330" i="2"/>
  <c r="H330" i="2"/>
  <c r="J329" i="2"/>
  <c r="H329" i="2"/>
  <c r="J328" i="2"/>
  <c r="H328" i="2"/>
  <c r="J327" i="2"/>
  <c r="H327" i="2"/>
  <c r="J326" i="2"/>
  <c r="H326" i="2"/>
  <c r="J325" i="2"/>
  <c r="H325" i="2"/>
  <c r="J324" i="2"/>
  <c r="H324" i="2"/>
  <c r="J323" i="2"/>
  <c r="H323" i="2"/>
  <c r="J322" i="2"/>
  <c r="H322" i="2"/>
  <c r="J321" i="2"/>
  <c r="H321" i="2"/>
  <c r="J320" i="2"/>
  <c r="H320" i="2"/>
  <c r="J319" i="2"/>
  <c r="H319" i="2"/>
  <c r="J318" i="2"/>
  <c r="H318" i="2"/>
  <c r="J317" i="2"/>
  <c r="H317" i="2"/>
  <c r="J316" i="2"/>
  <c r="H316" i="2"/>
  <c r="J315" i="2"/>
  <c r="H315" i="2"/>
  <c r="J314" i="2"/>
  <c r="H314" i="2"/>
  <c r="J313" i="2"/>
  <c r="H313" i="2"/>
  <c r="J312" i="2"/>
  <c r="H312" i="2"/>
  <c r="J311" i="2"/>
  <c r="H311" i="2"/>
  <c r="J310" i="2"/>
  <c r="H310" i="2"/>
  <c r="J309" i="2"/>
  <c r="H309" i="2"/>
  <c r="J308" i="2"/>
  <c r="H308" i="2"/>
  <c r="J307" i="2"/>
  <c r="H307" i="2"/>
  <c r="J306" i="2"/>
  <c r="H306" i="2"/>
  <c r="J305" i="2"/>
  <c r="H305" i="2"/>
  <c r="J304" i="2"/>
  <c r="H304" i="2"/>
  <c r="J303" i="2"/>
  <c r="H303" i="2"/>
  <c r="J302" i="2"/>
  <c r="H302" i="2"/>
  <c r="J301" i="2"/>
  <c r="H301" i="2"/>
  <c r="J300" i="2"/>
  <c r="H300" i="2"/>
  <c r="J299" i="2"/>
  <c r="H299" i="2"/>
  <c r="J298" i="2"/>
  <c r="H298" i="2"/>
  <c r="J297" i="2"/>
  <c r="H297" i="2"/>
  <c r="J296" i="2"/>
  <c r="H296" i="2"/>
  <c r="J295" i="2"/>
  <c r="H295" i="2"/>
  <c r="J294" i="2"/>
  <c r="H294" i="2"/>
  <c r="J293" i="2"/>
  <c r="H293" i="2"/>
  <c r="J292" i="2"/>
  <c r="H292" i="2"/>
  <c r="J291" i="2"/>
  <c r="H291" i="2"/>
  <c r="J290" i="2"/>
  <c r="H290" i="2"/>
  <c r="J289" i="2"/>
  <c r="H289" i="2"/>
  <c r="J288" i="2"/>
  <c r="H288" i="2"/>
  <c r="J287" i="2"/>
  <c r="H287" i="2"/>
  <c r="J286" i="2"/>
  <c r="H286" i="2"/>
  <c r="J285" i="2"/>
  <c r="H285" i="2"/>
  <c r="J284" i="2"/>
  <c r="H284" i="2"/>
  <c r="J283" i="2"/>
  <c r="H283" i="2"/>
  <c r="J282" i="2"/>
  <c r="H282" i="2"/>
  <c r="J281" i="2"/>
  <c r="H281" i="2"/>
  <c r="J280" i="2"/>
  <c r="H280" i="2"/>
  <c r="J279" i="2"/>
  <c r="H279" i="2"/>
  <c r="J278" i="2"/>
  <c r="H278" i="2"/>
  <c r="J277" i="2"/>
  <c r="H277" i="2"/>
  <c r="J276" i="2"/>
  <c r="H276" i="2"/>
  <c r="J275" i="2"/>
  <c r="H275" i="2"/>
  <c r="J274" i="2"/>
  <c r="H274" i="2"/>
  <c r="J273" i="2"/>
  <c r="H273" i="2"/>
  <c r="J272" i="2"/>
  <c r="H272" i="2"/>
  <c r="J271" i="2"/>
  <c r="H271" i="2"/>
  <c r="J270" i="2"/>
  <c r="H270" i="2"/>
  <c r="J269" i="2"/>
  <c r="H269" i="2"/>
  <c r="J268" i="2"/>
  <c r="H268" i="2"/>
  <c r="J267" i="2"/>
  <c r="H267" i="2"/>
  <c r="J266" i="2"/>
  <c r="H266" i="2"/>
  <c r="J265" i="2"/>
  <c r="H265" i="2"/>
  <c r="J264" i="2"/>
  <c r="H264" i="2"/>
  <c r="J263" i="2"/>
  <c r="H263" i="2"/>
  <c r="J262" i="2"/>
  <c r="H262" i="2"/>
  <c r="J261" i="2"/>
  <c r="H261" i="2"/>
  <c r="J260" i="2"/>
  <c r="H260" i="2"/>
  <c r="J259" i="2"/>
  <c r="H259" i="2"/>
  <c r="J258" i="2"/>
  <c r="H258" i="2"/>
  <c r="J257" i="2"/>
  <c r="H257" i="2"/>
  <c r="J256" i="2"/>
  <c r="H256" i="2"/>
  <c r="J255" i="2"/>
  <c r="H255" i="2"/>
  <c r="J254" i="2"/>
  <c r="H254" i="2"/>
  <c r="J253" i="2"/>
  <c r="H253" i="2"/>
  <c r="J252" i="2"/>
  <c r="H252" i="2"/>
  <c r="J251" i="2"/>
  <c r="H251" i="2"/>
  <c r="J250" i="2"/>
  <c r="H250" i="2"/>
  <c r="J249" i="2"/>
  <c r="H249" i="2"/>
  <c r="J248" i="2"/>
  <c r="H248" i="2"/>
  <c r="J247" i="2"/>
  <c r="H247" i="2"/>
  <c r="J246" i="2"/>
  <c r="H246" i="2"/>
  <c r="J245" i="2"/>
  <c r="H245" i="2"/>
  <c r="J244" i="2"/>
  <c r="H244" i="2"/>
  <c r="J243" i="2"/>
  <c r="H243" i="2"/>
  <c r="J242" i="2"/>
  <c r="H242" i="2"/>
  <c r="J241" i="2"/>
  <c r="H241" i="2"/>
  <c r="J240" i="2"/>
  <c r="H240" i="2"/>
  <c r="J239" i="2"/>
  <c r="H239" i="2"/>
  <c r="J238" i="2"/>
  <c r="H238" i="2"/>
  <c r="J237" i="2"/>
  <c r="H237" i="2"/>
  <c r="J236" i="2"/>
  <c r="H236" i="2"/>
  <c r="J235" i="2"/>
  <c r="H235" i="2"/>
  <c r="J234" i="2"/>
  <c r="H234" i="2"/>
  <c r="J233" i="2"/>
  <c r="H233" i="2"/>
  <c r="J232" i="2"/>
  <c r="H232" i="2"/>
  <c r="J231" i="2"/>
  <c r="H231" i="2"/>
  <c r="J230" i="2"/>
  <c r="H230" i="2"/>
  <c r="J229" i="2"/>
  <c r="H229" i="2"/>
  <c r="J228" i="2"/>
  <c r="H228" i="2"/>
  <c r="J227" i="2"/>
  <c r="H227" i="2"/>
  <c r="J226" i="2"/>
  <c r="H226" i="2"/>
  <c r="J225" i="2"/>
  <c r="H225" i="2"/>
  <c r="J224" i="2"/>
  <c r="H224" i="2"/>
  <c r="J223" i="2"/>
  <c r="H223" i="2"/>
  <c r="J222" i="2"/>
  <c r="H222" i="2"/>
  <c r="J221" i="2"/>
  <c r="H221" i="2"/>
  <c r="J220" i="2"/>
  <c r="H220" i="2"/>
  <c r="J219" i="2"/>
  <c r="H219" i="2"/>
  <c r="J218" i="2"/>
  <c r="H218" i="2"/>
  <c r="J217" i="2"/>
  <c r="H217" i="2"/>
  <c r="J216" i="2"/>
  <c r="H216" i="2"/>
  <c r="J215" i="2"/>
  <c r="H215" i="2"/>
  <c r="J214" i="2"/>
  <c r="H214" i="2"/>
  <c r="J213" i="2"/>
  <c r="H213" i="2"/>
  <c r="J212" i="2"/>
  <c r="H212" i="2"/>
  <c r="J211" i="2"/>
  <c r="H211" i="2"/>
  <c r="J210" i="2"/>
  <c r="H210" i="2"/>
  <c r="J209" i="2"/>
  <c r="H209" i="2"/>
  <c r="J208" i="2"/>
  <c r="H208" i="2"/>
  <c r="J207" i="2"/>
  <c r="H207" i="2"/>
  <c r="J206" i="2"/>
  <c r="H206" i="2"/>
  <c r="J205" i="2"/>
  <c r="H205" i="2"/>
  <c r="J204" i="2"/>
  <c r="H204" i="2"/>
  <c r="J203" i="2"/>
  <c r="H203" i="2"/>
  <c r="J202" i="2"/>
  <c r="H202" i="2"/>
  <c r="J201" i="2"/>
  <c r="H201" i="2"/>
  <c r="J200" i="2"/>
  <c r="H200" i="2"/>
  <c r="J199" i="2"/>
  <c r="H199" i="2"/>
  <c r="J198" i="2"/>
  <c r="H198" i="2"/>
  <c r="J197" i="2"/>
  <c r="H197" i="2"/>
  <c r="J196" i="2"/>
  <c r="H196" i="2"/>
  <c r="J195" i="2"/>
  <c r="H195" i="2"/>
  <c r="J194" i="2"/>
  <c r="H194" i="2"/>
  <c r="J193" i="2"/>
  <c r="H193" i="2"/>
  <c r="J192" i="2"/>
  <c r="H192" i="2"/>
  <c r="J191" i="2"/>
  <c r="H191" i="2"/>
  <c r="J190" i="2"/>
  <c r="H190" i="2"/>
  <c r="J189" i="2"/>
  <c r="H189" i="2"/>
  <c r="J188" i="2"/>
  <c r="H188" i="2"/>
  <c r="J187" i="2"/>
  <c r="H187" i="2"/>
  <c r="J186" i="2"/>
  <c r="H186" i="2"/>
  <c r="J185" i="2"/>
  <c r="H185" i="2"/>
  <c r="J184" i="2"/>
  <c r="H184" i="2"/>
  <c r="J183" i="2"/>
  <c r="H183" i="2"/>
  <c r="J182" i="2"/>
  <c r="H182" i="2"/>
  <c r="J181" i="2"/>
  <c r="H181" i="2"/>
  <c r="J180" i="2"/>
  <c r="H180" i="2"/>
  <c r="J179" i="2"/>
  <c r="H179" i="2"/>
  <c r="J178" i="2"/>
  <c r="H178" i="2"/>
  <c r="J177" i="2"/>
  <c r="H177" i="2"/>
  <c r="J176" i="2"/>
  <c r="H176" i="2"/>
  <c r="J175" i="2"/>
  <c r="H175" i="2"/>
  <c r="J174" i="2"/>
  <c r="H174" i="2"/>
  <c r="J173" i="2"/>
  <c r="H173" i="2"/>
  <c r="J172" i="2"/>
  <c r="H172" i="2"/>
  <c r="J171" i="2"/>
  <c r="H171" i="2"/>
  <c r="J170" i="2"/>
  <c r="H170" i="2"/>
  <c r="J169" i="2"/>
  <c r="H169" i="2"/>
  <c r="J168" i="2"/>
  <c r="H168" i="2"/>
  <c r="J167" i="2"/>
  <c r="H167" i="2"/>
  <c r="J166" i="2"/>
  <c r="H166" i="2"/>
  <c r="J165" i="2"/>
  <c r="H165" i="2"/>
  <c r="J164" i="2"/>
  <c r="H164" i="2"/>
  <c r="J163" i="2"/>
  <c r="H163" i="2"/>
  <c r="J162" i="2"/>
  <c r="H162" i="2"/>
  <c r="J161" i="2"/>
  <c r="H161" i="2"/>
  <c r="J160" i="2"/>
  <c r="H160" i="2"/>
  <c r="J159" i="2"/>
  <c r="H159" i="2"/>
  <c r="J158" i="2"/>
  <c r="H158" i="2"/>
  <c r="J157" i="2"/>
  <c r="H157" i="2"/>
  <c r="J156" i="2"/>
  <c r="H156" i="2"/>
  <c r="J155" i="2"/>
  <c r="H155" i="2"/>
  <c r="J154" i="2"/>
  <c r="H154" i="2"/>
  <c r="J153" i="2"/>
  <c r="H153" i="2"/>
  <c r="J152" i="2"/>
  <c r="H152" i="2"/>
  <c r="J151" i="2"/>
  <c r="H151" i="2"/>
  <c r="J150" i="2"/>
  <c r="H150" i="2"/>
  <c r="J149" i="2"/>
  <c r="H149" i="2"/>
  <c r="J148" i="2"/>
  <c r="H148" i="2"/>
  <c r="J147" i="2"/>
  <c r="H147" i="2"/>
  <c r="J146" i="2"/>
  <c r="H146" i="2"/>
  <c r="J145" i="2"/>
  <c r="H145" i="2"/>
  <c r="J144" i="2"/>
  <c r="H144" i="2"/>
  <c r="J143" i="2"/>
  <c r="H143" i="2"/>
  <c r="J142" i="2"/>
  <c r="H142" i="2"/>
  <c r="J141" i="2"/>
  <c r="H141" i="2"/>
  <c r="J140" i="2"/>
  <c r="H140" i="2"/>
  <c r="J139" i="2"/>
  <c r="H139" i="2"/>
  <c r="J138" i="2"/>
  <c r="H138" i="2"/>
  <c r="J137" i="2"/>
  <c r="H137" i="2"/>
  <c r="J136" i="2"/>
  <c r="H136" i="2"/>
  <c r="J135" i="2"/>
  <c r="H135" i="2"/>
  <c r="J134" i="2"/>
  <c r="H134" i="2"/>
  <c r="J133" i="2"/>
  <c r="H133" i="2"/>
  <c r="J132" i="2"/>
  <c r="H132" i="2"/>
  <c r="J131" i="2"/>
  <c r="H131" i="2"/>
  <c r="J130" i="2"/>
  <c r="H130" i="2"/>
  <c r="J129" i="2"/>
  <c r="H129" i="2"/>
  <c r="J128" i="2"/>
  <c r="H128" i="2"/>
  <c r="J127" i="2"/>
  <c r="H127" i="2"/>
  <c r="J126" i="2"/>
  <c r="H126" i="2"/>
  <c r="J125" i="2"/>
  <c r="H125" i="2"/>
  <c r="J124" i="2"/>
  <c r="H124" i="2"/>
  <c r="J123" i="2"/>
  <c r="H123" i="2"/>
  <c r="J122" i="2"/>
  <c r="H122" i="2"/>
  <c r="J121" i="2"/>
  <c r="H121" i="2"/>
  <c r="J120" i="2"/>
  <c r="H120" i="2"/>
  <c r="J119" i="2"/>
  <c r="H119" i="2"/>
  <c r="J118" i="2"/>
  <c r="H118" i="2"/>
  <c r="J117" i="2"/>
  <c r="H117" i="2"/>
  <c r="J116" i="2"/>
  <c r="H116" i="2"/>
  <c r="J115" i="2"/>
  <c r="H115" i="2"/>
  <c r="J114" i="2"/>
  <c r="H114" i="2"/>
  <c r="J113" i="2"/>
  <c r="H113" i="2"/>
  <c r="J112" i="2"/>
  <c r="H112" i="2"/>
  <c r="J111" i="2"/>
  <c r="H111" i="2"/>
  <c r="J110" i="2"/>
  <c r="H110" i="2"/>
  <c r="J109" i="2"/>
  <c r="H109" i="2"/>
  <c r="J108" i="2"/>
  <c r="H108" i="2"/>
  <c r="J107" i="2"/>
  <c r="H107" i="2"/>
  <c r="J106" i="2"/>
  <c r="H106" i="2"/>
  <c r="J105" i="2"/>
  <c r="H105" i="2"/>
  <c r="J104" i="2"/>
  <c r="H104" i="2"/>
  <c r="J103" i="2"/>
  <c r="H103" i="2"/>
  <c r="J102" i="2"/>
  <c r="H102" i="2"/>
  <c r="J101" i="2"/>
  <c r="H101" i="2"/>
  <c r="J100" i="2"/>
  <c r="H100" i="2"/>
  <c r="J99" i="2"/>
  <c r="H99" i="2"/>
  <c r="J98" i="2"/>
  <c r="H98" i="2"/>
  <c r="J97" i="2"/>
  <c r="H97" i="2"/>
  <c r="J96" i="2"/>
  <c r="H96" i="2"/>
  <c r="J95" i="2"/>
  <c r="H95" i="2"/>
  <c r="J94" i="2"/>
  <c r="H94" i="2"/>
  <c r="J93" i="2"/>
  <c r="H93" i="2"/>
  <c r="J92" i="2"/>
  <c r="H92" i="2"/>
  <c r="J91" i="2"/>
  <c r="H91" i="2"/>
  <c r="J90" i="2"/>
  <c r="H90" i="2"/>
  <c r="J89" i="2"/>
  <c r="H89" i="2"/>
  <c r="J88" i="2"/>
  <c r="H88" i="2"/>
  <c r="J87" i="2"/>
  <c r="H87" i="2"/>
  <c r="J86" i="2"/>
  <c r="H86" i="2"/>
  <c r="J85" i="2"/>
  <c r="H85" i="2"/>
  <c r="J84" i="2"/>
  <c r="H84" i="2"/>
  <c r="J83" i="2"/>
  <c r="H83" i="2"/>
  <c r="J82" i="2"/>
  <c r="H82" i="2"/>
  <c r="J81" i="2"/>
  <c r="H81" i="2"/>
  <c r="J80" i="2"/>
  <c r="H80" i="2"/>
  <c r="J79" i="2"/>
  <c r="H79" i="2"/>
  <c r="J78" i="2"/>
  <c r="H78" i="2"/>
  <c r="J77" i="2"/>
  <c r="H77" i="2"/>
  <c r="J76" i="2"/>
  <c r="H76" i="2"/>
  <c r="J75" i="2"/>
  <c r="H75" i="2"/>
  <c r="J74" i="2"/>
  <c r="H74" i="2"/>
  <c r="J73" i="2"/>
  <c r="H73" i="2"/>
  <c r="J72" i="2"/>
  <c r="H72" i="2"/>
  <c r="J71" i="2"/>
  <c r="H71" i="2"/>
  <c r="J70" i="2"/>
  <c r="H70" i="2"/>
  <c r="J69" i="2"/>
  <c r="H69" i="2"/>
  <c r="J68" i="2"/>
  <c r="H68" i="2"/>
  <c r="J67" i="2"/>
  <c r="H67" i="2"/>
  <c r="J66" i="2"/>
  <c r="H66" i="2"/>
  <c r="J65" i="2"/>
  <c r="H65" i="2"/>
  <c r="J64" i="2"/>
  <c r="H64" i="2"/>
  <c r="J63" i="2"/>
  <c r="H63" i="2"/>
  <c r="J62" i="2"/>
  <c r="H62" i="2"/>
  <c r="J61" i="2"/>
  <c r="H61" i="2"/>
  <c r="J60" i="2"/>
  <c r="H60" i="2"/>
  <c r="J59" i="2"/>
  <c r="H59" i="2"/>
  <c r="J58" i="2"/>
  <c r="H58" i="2"/>
  <c r="J57" i="2"/>
  <c r="H57" i="2"/>
  <c r="J56" i="2"/>
  <c r="H56" i="2"/>
  <c r="J55" i="2"/>
  <c r="H55" i="2"/>
  <c r="J54" i="2"/>
  <c r="H54" i="2"/>
  <c r="J53" i="2"/>
  <c r="H53" i="2"/>
  <c r="J52" i="2"/>
  <c r="H52" i="2"/>
  <c r="J51" i="2"/>
  <c r="H51" i="2"/>
  <c r="J50" i="2"/>
  <c r="H50" i="2"/>
  <c r="J49" i="2"/>
  <c r="H49" i="2"/>
  <c r="J48" i="2"/>
  <c r="H48" i="2"/>
  <c r="J47" i="2"/>
  <c r="H47" i="2"/>
  <c r="J46" i="2"/>
  <c r="H46" i="2"/>
  <c r="J45" i="2"/>
  <c r="H45" i="2"/>
  <c r="J44" i="2"/>
  <c r="H44" i="2"/>
  <c r="J43" i="2"/>
  <c r="H43" i="2"/>
  <c r="J42" i="2"/>
  <c r="H42" i="2"/>
  <c r="J41" i="2"/>
  <c r="H41" i="2"/>
  <c r="J40" i="2"/>
  <c r="H40" i="2"/>
  <c r="J39" i="2"/>
  <c r="H39" i="2"/>
  <c r="J38" i="2"/>
  <c r="H38" i="2"/>
  <c r="J37" i="2"/>
  <c r="H37" i="2"/>
  <c r="J36" i="2"/>
  <c r="H36" i="2"/>
  <c r="J35" i="2"/>
  <c r="H35" i="2"/>
  <c r="J34" i="2"/>
  <c r="H34" i="2"/>
  <c r="J33" i="2"/>
  <c r="H33" i="2"/>
  <c r="J32" i="2"/>
  <c r="H32" i="2"/>
  <c r="J31" i="2"/>
  <c r="H31" i="2"/>
  <c r="J30" i="2"/>
  <c r="H30" i="2"/>
  <c r="J29" i="2"/>
  <c r="H29" i="2"/>
  <c r="J28" i="2"/>
  <c r="H28" i="2"/>
  <c r="J27" i="2"/>
  <c r="H27" i="2"/>
  <c r="J26" i="2"/>
  <c r="H26" i="2"/>
  <c r="J25" i="2"/>
  <c r="H25" i="2"/>
  <c r="J24" i="2"/>
  <c r="H24" i="2"/>
  <c r="J23" i="2"/>
  <c r="H23" i="2"/>
  <c r="J22" i="2"/>
  <c r="H22" i="2"/>
  <c r="J21" i="2"/>
  <c r="H21" i="2"/>
  <c r="J20" i="2"/>
  <c r="H20" i="2"/>
  <c r="J19" i="2"/>
  <c r="H19" i="2"/>
  <c r="J18" i="2"/>
  <c r="H18" i="2"/>
  <c r="J17" i="2"/>
  <c r="H17" i="2"/>
  <c r="J16" i="2"/>
  <c r="H16" i="2"/>
  <c r="J15" i="2"/>
  <c r="H15" i="2"/>
  <c r="J14" i="2"/>
  <c r="H14" i="2"/>
  <c r="J13" i="2"/>
  <c r="H13" i="2"/>
  <c r="J12" i="2"/>
  <c r="H12" i="2"/>
  <c r="J11" i="2"/>
  <c r="H11" i="2"/>
  <c r="J10" i="2"/>
  <c r="H10" i="2"/>
  <c r="J9" i="2"/>
  <c r="H9" i="2"/>
  <c r="J8" i="2"/>
  <c r="H8" i="2"/>
  <c r="J7" i="2"/>
  <c r="H7" i="2"/>
  <c r="J6" i="2"/>
  <c r="H6" i="2"/>
  <c r="J5" i="2"/>
  <c r="H5" i="2"/>
  <c r="J4" i="2"/>
  <c r="J3" i="2"/>
  <c r="K3" i="2" s="1"/>
  <c r="S7" i="2" l="1"/>
  <c r="S8" i="2" s="1"/>
  <c r="S9" i="2" s="1"/>
  <c r="S10" i="2" s="1"/>
  <c r="S11" i="2" s="1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S38" i="2" s="1"/>
  <c r="S39" i="2" s="1"/>
  <c r="S40" i="2" s="1"/>
  <c r="S41" i="2" s="1"/>
  <c r="S42" i="2" s="1"/>
  <c r="S43" i="2" s="1"/>
  <c r="S44" i="2" s="1"/>
  <c r="S45" i="2" s="1"/>
  <c r="S46" i="2" s="1"/>
  <c r="S47" i="2" s="1"/>
  <c r="S48" i="2" s="1"/>
  <c r="S49" i="2" s="1"/>
  <c r="S50" i="2" s="1"/>
  <c r="S51" i="2" s="1"/>
  <c r="S52" i="2" s="1"/>
  <c r="S53" i="2" s="1"/>
  <c r="S54" i="2" s="1"/>
  <c r="S55" i="2" s="1"/>
  <c r="S56" i="2" s="1"/>
  <c r="S57" i="2" s="1"/>
  <c r="S58" i="2" s="1"/>
  <c r="S59" i="2" s="1"/>
  <c r="S60" i="2" s="1"/>
  <c r="S61" i="2" s="1"/>
  <c r="S62" i="2" s="1"/>
  <c r="S63" i="2" s="1"/>
  <c r="S64" i="2" s="1"/>
  <c r="S65" i="2" s="1"/>
  <c r="S66" i="2" s="1"/>
  <c r="S67" i="2" s="1"/>
  <c r="S68" i="2" s="1"/>
  <c r="S69" i="2" s="1"/>
  <c r="S70" i="2" s="1"/>
  <c r="S71" i="2" s="1"/>
  <c r="S72" i="2" s="1"/>
  <c r="S73" i="2" s="1"/>
  <c r="S74" i="2" s="1"/>
  <c r="S75" i="2" s="1"/>
  <c r="S76" i="2" s="1"/>
  <c r="S77" i="2" s="1"/>
  <c r="S78" i="2" s="1"/>
  <c r="S79" i="2" s="1"/>
  <c r="S80" i="2" s="1"/>
  <c r="S81" i="2" s="1"/>
  <c r="S82" i="2" s="1"/>
  <c r="S83" i="2" s="1"/>
  <c r="S84" i="2" s="1"/>
  <c r="S85" i="2" s="1"/>
  <c r="S86" i="2" s="1"/>
  <c r="S87" i="2" s="1"/>
  <c r="S88" i="2" s="1"/>
  <c r="S89" i="2" s="1"/>
  <c r="S90" i="2" s="1"/>
  <c r="S91" i="2" s="1"/>
  <c r="S92" i="2" s="1"/>
  <c r="S93" i="2" s="1"/>
  <c r="S94" i="2" s="1"/>
  <c r="S95" i="2" s="1"/>
  <c r="S96" i="2" s="1"/>
  <c r="S97" i="2" s="1"/>
  <c r="S98" i="2" s="1"/>
  <c r="S99" i="2" s="1"/>
  <c r="S100" i="2" s="1"/>
  <c r="S101" i="2" s="1"/>
  <c r="S102" i="2" s="1"/>
  <c r="S103" i="2" s="1"/>
  <c r="S104" i="2" s="1"/>
  <c r="S105" i="2" s="1"/>
  <c r="S106" i="2" s="1"/>
  <c r="S107" i="2" s="1"/>
  <c r="S108" i="2" s="1"/>
  <c r="S109" i="2" s="1"/>
  <c r="S110" i="2" s="1"/>
  <c r="S111" i="2" s="1"/>
  <c r="S112" i="2" s="1"/>
  <c r="S113" i="2" s="1"/>
  <c r="S114" i="2" s="1"/>
  <c r="S115" i="2" s="1"/>
  <c r="S116" i="2" s="1"/>
  <c r="S117" i="2" s="1"/>
  <c r="S118" i="2" s="1"/>
  <c r="S119" i="2" s="1"/>
  <c r="S120" i="2" s="1"/>
  <c r="S121" i="2" s="1"/>
  <c r="S122" i="2" s="1"/>
  <c r="S123" i="2" s="1"/>
  <c r="S124" i="2" s="1"/>
  <c r="S125" i="2" s="1"/>
  <c r="S126" i="2" s="1"/>
  <c r="S127" i="2" s="1"/>
  <c r="S128" i="2" s="1"/>
  <c r="S129" i="2" s="1"/>
  <c r="S130" i="2" s="1"/>
  <c r="S131" i="2" s="1"/>
  <c r="S132" i="2" s="1"/>
  <c r="S133" i="2" s="1"/>
  <c r="S134" i="2" s="1"/>
  <c r="S135" i="2" s="1"/>
  <c r="S136" i="2" s="1"/>
  <c r="S137" i="2" s="1"/>
  <c r="S138" i="2" s="1"/>
  <c r="S139" i="2" s="1"/>
  <c r="S140" i="2" s="1"/>
  <c r="S141" i="2" s="1"/>
  <c r="S142" i="2" s="1"/>
  <c r="S143" i="2" s="1"/>
  <c r="S144" i="2" s="1"/>
  <c r="S145" i="2" s="1"/>
  <c r="S146" i="2" s="1"/>
  <c r="S147" i="2" s="1"/>
  <c r="S148" i="2" s="1"/>
  <c r="S149" i="2" s="1"/>
  <c r="S150" i="2" s="1"/>
  <c r="S151" i="2" s="1"/>
  <c r="S152" i="2" s="1"/>
  <c r="S153" i="2" s="1"/>
  <c r="S154" i="2" s="1"/>
  <c r="S155" i="2" s="1"/>
  <c r="S156" i="2" s="1"/>
  <c r="S157" i="2" s="1"/>
  <c r="S158" i="2" s="1"/>
  <c r="S159" i="2" s="1"/>
  <c r="S160" i="2" s="1"/>
  <c r="S161" i="2" s="1"/>
  <c r="S162" i="2" s="1"/>
  <c r="S163" i="2" s="1"/>
  <c r="S164" i="2" s="1"/>
  <c r="S165" i="2" s="1"/>
  <c r="S166" i="2" s="1"/>
  <c r="S167" i="2" s="1"/>
  <c r="S168" i="2" s="1"/>
  <c r="S169" i="2" s="1"/>
  <c r="S170" i="2" s="1"/>
  <c r="S171" i="2" s="1"/>
  <c r="S172" i="2" s="1"/>
  <c r="S173" i="2" s="1"/>
  <c r="S174" i="2" s="1"/>
  <c r="S175" i="2" s="1"/>
  <c r="S176" i="2" s="1"/>
  <c r="S177" i="2" s="1"/>
  <c r="S178" i="2" s="1"/>
  <c r="S179" i="2" s="1"/>
  <c r="S180" i="2" s="1"/>
  <c r="S181" i="2" s="1"/>
  <c r="S182" i="2" s="1"/>
  <c r="S183" i="2" s="1"/>
  <c r="S184" i="2" s="1"/>
  <c r="S185" i="2" s="1"/>
  <c r="S186" i="2" s="1"/>
  <c r="S187" i="2" s="1"/>
  <c r="S188" i="2" s="1"/>
  <c r="S189" i="2" s="1"/>
  <c r="S190" i="2" s="1"/>
  <c r="S191" i="2" s="1"/>
  <c r="S192" i="2" s="1"/>
  <c r="S193" i="2" s="1"/>
  <c r="S194" i="2" s="1"/>
  <c r="S195" i="2" s="1"/>
  <c r="S196" i="2" s="1"/>
  <c r="S197" i="2" s="1"/>
  <c r="S198" i="2" s="1"/>
  <c r="S199" i="2" s="1"/>
  <c r="S200" i="2" s="1"/>
  <c r="S201" i="2" s="1"/>
  <c r="S202" i="2" s="1"/>
  <c r="S203" i="2" s="1"/>
  <c r="S204" i="2" s="1"/>
  <c r="S205" i="2" s="1"/>
  <c r="S206" i="2" s="1"/>
  <c r="S207" i="2" s="1"/>
  <c r="S208" i="2" s="1"/>
  <c r="S209" i="2" s="1"/>
  <c r="S210" i="2" s="1"/>
  <c r="S211" i="2" s="1"/>
  <c r="S212" i="2" s="1"/>
  <c r="S213" i="2" s="1"/>
  <c r="S214" i="2" s="1"/>
  <c r="S215" i="2" s="1"/>
  <c r="S216" i="2" s="1"/>
  <c r="S217" i="2" s="1"/>
  <c r="S218" i="2" s="1"/>
  <c r="S219" i="2" s="1"/>
  <c r="S220" i="2" s="1"/>
  <c r="S221" i="2" s="1"/>
  <c r="S222" i="2" s="1"/>
  <c r="S223" i="2" s="1"/>
  <c r="S224" i="2" s="1"/>
  <c r="S225" i="2" s="1"/>
  <c r="S226" i="2" s="1"/>
  <c r="S227" i="2" s="1"/>
  <c r="S228" i="2" s="1"/>
  <c r="S229" i="2" s="1"/>
  <c r="S230" i="2" s="1"/>
  <c r="S231" i="2" s="1"/>
  <c r="S232" i="2" s="1"/>
  <c r="S233" i="2" s="1"/>
  <c r="S234" i="2" s="1"/>
  <c r="S235" i="2" s="1"/>
  <c r="S236" i="2" s="1"/>
  <c r="S237" i="2" s="1"/>
  <c r="S238" i="2" s="1"/>
  <c r="S239" i="2" s="1"/>
  <c r="S240" i="2" s="1"/>
  <c r="S241" i="2" s="1"/>
  <c r="S242" i="2" s="1"/>
  <c r="S243" i="2" s="1"/>
  <c r="S244" i="2" s="1"/>
  <c r="S245" i="2" s="1"/>
  <c r="S246" i="2" s="1"/>
  <c r="S247" i="2" s="1"/>
  <c r="S248" i="2" s="1"/>
  <c r="S249" i="2" s="1"/>
  <c r="S250" i="2" s="1"/>
  <c r="S251" i="2" s="1"/>
  <c r="S252" i="2" s="1"/>
  <c r="S253" i="2" s="1"/>
  <c r="S254" i="2" s="1"/>
  <c r="S255" i="2" s="1"/>
  <c r="S256" i="2" s="1"/>
  <c r="S257" i="2" s="1"/>
  <c r="S258" i="2" s="1"/>
  <c r="S259" i="2" s="1"/>
  <c r="S260" i="2" s="1"/>
  <c r="S261" i="2" s="1"/>
  <c r="S262" i="2" s="1"/>
  <c r="S263" i="2" s="1"/>
  <c r="S264" i="2" s="1"/>
  <c r="S265" i="2" s="1"/>
  <c r="S266" i="2" s="1"/>
  <c r="S267" i="2" s="1"/>
  <c r="S268" i="2" s="1"/>
  <c r="S269" i="2" s="1"/>
  <c r="S270" i="2" s="1"/>
  <c r="S271" i="2" s="1"/>
  <c r="S272" i="2" s="1"/>
  <c r="S273" i="2" s="1"/>
  <c r="S274" i="2" s="1"/>
  <c r="S275" i="2" s="1"/>
  <c r="S276" i="2" s="1"/>
  <c r="S277" i="2" s="1"/>
  <c r="S278" i="2" s="1"/>
  <c r="S279" i="2" s="1"/>
  <c r="S280" i="2" s="1"/>
  <c r="S281" i="2" s="1"/>
  <c r="S282" i="2" s="1"/>
  <c r="S283" i="2" s="1"/>
  <c r="S284" i="2" s="1"/>
  <c r="S285" i="2" s="1"/>
  <c r="S286" i="2" s="1"/>
  <c r="S287" i="2" s="1"/>
  <c r="S288" i="2" s="1"/>
  <c r="S289" i="2" s="1"/>
  <c r="S290" i="2" s="1"/>
  <c r="S291" i="2" s="1"/>
  <c r="S292" i="2" s="1"/>
  <c r="S293" i="2" s="1"/>
  <c r="S294" i="2" s="1"/>
  <c r="S295" i="2" s="1"/>
  <c r="S296" i="2" s="1"/>
  <c r="S297" i="2" s="1"/>
  <c r="S298" i="2" s="1"/>
  <c r="S299" i="2" s="1"/>
  <c r="S300" i="2" s="1"/>
  <c r="S301" i="2" s="1"/>
  <c r="S302" i="2" s="1"/>
  <c r="S303" i="2" s="1"/>
  <c r="S304" i="2" s="1"/>
  <c r="S305" i="2" s="1"/>
  <c r="S306" i="2" s="1"/>
  <c r="S307" i="2" s="1"/>
  <c r="S308" i="2" s="1"/>
  <c r="S309" i="2" s="1"/>
  <c r="S310" i="2" s="1"/>
  <c r="S311" i="2" s="1"/>
  <c r="S312" i="2" s="1"/>
  <c r="S313" i="2" s="1"/>
  <c r="S314" i="2" s="1"/>
  <c r="S315" i="2" s="1"/>
  <c r="S316" i="2" s="1"/>
  <c r="S317" i="2" s="1"/>
  <c r="S318" i="2" s="1"/>
  <c r="S319" i="2" s="1"/>
  <c r="S320" i="2" s="1"/>
  <c r="S321" i="2" s="1"/>
  <c r="S322" i="2" s="1"/>
  <c r="S323" i="2" s="1"/>
  <c r="S324" i="2" s="1"/>
  <c r="S325" i="2" s="1"/>
  <c r="S326" i="2" s="1"/>
  <c r="S327" i="2" s="1"/>
  <c r="S328" i="2" s="1"/>
  <c r="S329" i="2" s="1"/>
  <c r="S330" i="2" s="1"/>
  <c r="S331" i="2" s="1"/>
  <c r="S332" i="2" s="1"/>
  <c r="S333" i="2" s="1"/>
  <c r="S334" i="2" s="1"/>
  <c r="S335" i="2" s="1"/>
  <c r="S336" i="2" s="1"/>
  <c r="S337" i="2" s="1"/>
  <c r="S338" i="2" s="1"/>
  <c r="S339" i="2" s="1"/>
  <c r="S340" i="2" s="1"/>
  <c r="S341" i="2" s="1"/>
  <c r="H3" i="2"/>
  <c r="I4" i="2" s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I128" i="2" s="1"/>
  <c r="I129" i="2" s="1"/>
  <c r="I130" i="2" s="1"/>
  <c r="I131" i="2" s="1"/>
  <c r="I132" i="2" s="1"/>
  <c r="I133" i="2" s="1"/>
  <c r="I134" i="2" s="1"/>
  <c r="I135" i="2" s="1"/>
  <c r="I136" i="2" s="1"/>
  <c r="I137" i="2" s="1"/>
  <c r="I138" i="2" s="1"/>
  <c r="I139" i="2" s="1"/>
  <c r="I140" i="2" s="1"/>
  <c r="I141" i="2" s="1"/>
  <c r="I142" i="2" s="1"/>
  <c r="I143" i="2" s="1"/>
  <c r="I144" i="2" s="1"/>
  <c r="I145" i="2" s="1"/>
  <c r="I146" i="2" s="1"/>
  <c r="I147" i="2" s="1"/>
  <c r="I148" i="2" s="1"/>
  <c r="I149" i="2" s="1"/>
  <c r="I150" i="2" s="1"/>
  <c r="I151" i="2" s="1"/>
  <c r="I152" i="2" s="1"/>
  <c r="I153" i="2" s="1"/>
  <c r="I154" i="2" s="1"/>
  <c r="I155" i="2" s="1"/>
  <c r="I156" i="2" s="1"/>
  <c r="I157" i="2" s="1"/>
  <c r="I158" i="2" s="1"/>
  <c r="I159" i="2" s="1"/>
  <c r="I160" i="2" s="1"/>
  <c r="I161" i="2" s="1"/>
  <c r="I162" i="2" s="1"/>
  <c r="I163" i="2" s="1"/>
  <c r="I164" i="2" s="1"/>
  <c r="I165" i="2" s="1"/>
  <c r="I166" i="2" s="1"/>
  <c r="I167" i="2" s="1"/>
  <c r="I168" i="2" s="1"/>
  <c r="I169" i="2" s="1"/>
  <c r="I170" i="2" s="1"/>
  <c r="I171" i="2" s="1"/>
  <c r="I172" i="2" s="1"/>
  <c r="I173" i="2" s="1"/>
  <c r="I174" i="2" s="1"/>
  <c r="I175" i="2" s="1"/>
  <c r="I176" i="2" s="1"/>
  <c r="I177" i="2" s="1"/>
  <c r="I178" i="2" s="1"/>
  <c r="I179" i="2" s="1"/>
  <c r="I180" i="2" s="1"/>
  <c r="I181" i="2" s="1"/>
  <c r="I182" i="2" s="1"/>
  <c r="I183" i="2" s="1"/>
  <c r="I184" i="2" s="1"/>
  <c r="I185" i="2" s="1"/>
  <c r="I186" i="2" s="1"/>
  <c r="I187" i="2" s="1"/>
  <c r="I188" i="2" s="1"/>
  <c r="I189" i="2" s="1"/>
  <c r="I190" i="2" s="1"/>
  <c r="I191" i="2" s="1"/>
  <c r="I192" i="2" s="1"/>
  <c r="I193" i="2" s="1"/>
  <c r="I194" i="2" s="1"/>
  <c r="I195" i="2" s="1"/>
  <c r="I196" i="2" s="1"/>
  <c r="I197" i="2" s="1"/>
  <c r="I198" i="2" s="1"/>
  <c r="I199" i="2" s="1"/>
  <c r="I200" i="2" s="1"/>
  <c r="I201" i="2" s="1"/>
  <c r="I202" i="2" s="1"/>
  <c r="I203" i="2" s="1"/>
  <c r="I204" i="2" s="1"/>
  <c r="I205" i="2" s="1"/>
  <c r="I206" i="2" s="1"/>
  <c r="I207" i="2" s="1"/>
  <c r="I208" i="2" s="1"/>
  <c r="I209" i="2" s="1"/>
  <c r="I210" i="2" s="1"/>
  <c r="I211" i="2" s="1"/>
  <c r="I212" i="2" s="1"/>
  <c r="I213" i="2" s="1"/>
  <c r="I214" i="2" s="1"/>
  <c r="I215" i="2" s="1"/>
  <c r="I216" i="2" s="1"/>
  <c r="I217" i="2" s="1"/>
  <c r="I218" i="2" s="1"/>
  <c r="I219" i="2" s="1"/>
  <c r="I220" i="2" s="1"/>
  <c r="I221" i="2" s="1"/>
  <c r="I222" i="2" s="1"/>
  <c r="I223" i="2" s="1"/>
  <c r="I224" i="2" s="1"/>
  <c r="I225" i="2" s="1"/>
  <c r="I226" i="2" s="1"/>
  <c r="I227" i="2" s="1"/>
  <c r="I228" i="2" s="1"/>
  <c r="I229" i="2" s="1"/>
  <c r="I230" i="2" s="1"/>
  <c r="I231" i="2" s="1"/>
  <c r="I232" i="2" s="1"/>
  <c r="I233" i="2" s="1"/>
  <c r="I234" i="2" s="1"/>
  <c r="I235" i="2" s="1"/>
  <c r="I236" i="2" s="1"/>
  <c r="I237" i="2" s="1"/>
  <c r="I238" i="2" s="1"/>
  <c r="I239" i="2" s="1"/>
  <c r="I240" i="2" s="1"/>
  <c r="I241" i="2" s="1"/>
  <c r="I242" i="2" s="1"/>
  <c r="I243" i="2" s="1"/>
  <c r="I244" i="2" s="1"/>
  <c r="I245" i="2" s="1"/>
  <c r="I246" i="2" s="1"/>
  <c r="I247" i="2" s="1"/>
  <c r="I248" i="2" s="1"/>
  <c r="I249" i="2" s="1"/>
  <c r="I250" i="2" s="1"/>
  <c r="I251" i="2" s="1"/>
  <c r="I252" i="2" s="1"/>
  <c r="I253" i="2" s="1"/>
  <c r="I254" i="2" s="1"/>
  <c r="I255" i="2" s="1"/>
  <c r="I256" i="2" s="1"/>
  <c r="I257" i="2" s="1"/>
  <c r="I258" i="2" s="1"/>
  <c r="I259" i="2" s="1"/>
  <c r="I260" i="2" s="1"/>
  <c r="I261" i="2" s="1"/>
  <c r="I262" i="2" s="1"/>
  <c r="I263" i="2" s="1"/>
  <c r="I264" i="2" s="1"/>
  <c r="I265" i="2" s="1"/>
  <c r="I266" i="2" s="1"/>
  <c r="I267" i="2" s="1"/>
  <c r="I268" i="2" s="1"/>
  <c r="I269" i="2" s="1"/>
  <c r="I270" i="2" s="1"/>
  <c r="I271" i="2" s="1"/>
  <c r="I272" i="2" s="1"/>
  <c r="I273" i="2" s="1"/>
  <c r="I274" i="2" s="1"/>
  <c r="I275" i="2" s="1"/>
  <c r="I276" i="2" s="1"/>
  <c r="I277" i="2" s="1"/>
  <c r="I278" i="2" s="1"/>
  <c r="I279" i="2" s="1"/>
  <c r="I280" i="2" s="1"/>
  <c r="I281" i="2" s="1"/>
  <c r="I282" i="2" s="1"/>
  <c r="I283" i="2" s="1"/>
  <c r="I284" i="2" s="1"/>
  <c r="I285" i="2" s="1"/>
  <c r="I286" i="2" s="1"/>
  <c r="I287" i="2" s="1"/>
  <c r="I288" i="2" s="1"/>
  <c r="I289" i="2" s="1"/>
  <c r="I290" i="2" s="1"/>
  <c r="I291" i="2" s="1"/>
  <c r="I292" i="2" s="1"/>
  <c r="I293" i="2" s="1"/>
  <c r="I294" i="2" s="1"/>
  <c r="I295" i="2" s="1"/>
  <c r="I296" i="2" s="1"/>
  <c r="I297" i="2" s="1"/>
  <c r="I298" i="2" s="1"/>
  <c r="I299" i="2" s="1"/>
  <c r="I300" i="2" s="1"/>
  <c r="I301" i="2" s="1"/>
  <c r="I302" i="2" s="1"/>
  <c r="I303" i="2" s="1"/>
  <c r="I304" i="2" s="1"/>
  <c r="I305" i="2" s="1"/>
  <c r="I306" i="2" s="1"/>
  <c r="I307" i="2" s="1"/>
  <c r="I308" i="2" s="1"/>
  <c r="I309" i="2" s="1"/>
  <c r="I310" i="2" s="1"/>
  <c r="I311" i="2" s="1"/>
  <c r="I312" i="2" s="1"/>
  <c r="I313" i="2" s="1"/>
  <c r="I314" i="2" s="1"/>
  <c r="I315" i="2" s="1"/>
  <c r="I316" i="2" s="1"/>
  <c r="I317" i="2" s="1"/>
  <c r="I318" i="2" s="1"/>
  <c r="I319" i="2" s="1"/>
  <c r="I320" i="2" s="1"/>
  <c r="I321" i="2" s="1"/>
  <c r="I322" i="2" s="1"/>
  <c r="I323" i="2" s="1"/>
  <c r="I324" i="2" s="1"/>
  <c r="I325" i="2" s="1"/>
  <c r="I326" i="2" s="1"/>
  <c r="I327" i="2" s="1"/>
  <c r="I328" i="2" s="1"/>
  <c r="I329" i="2" s="1"/>
  <c r="I330" i="2" s="1"/>
  <c r="I331" i="2" s="1"/>
  <c r="I332" i="2" s="1"/>
  <c r="I333" i="2" s="1"/>
  <c r="I334" i="2" s="1"/>
  <c r="I335" i="2" s="1"/>
  <c r="I336" i="2" s="1"/>
  <c r="I337" i="2" s="1"/>
  <c r="I338" i="2" s="1"/>
  <c r="I339" i="2" s="1"/>
  <c r="I340" i="2" s="1"/>
  <c r="I341" i="2" s="1"/>
  <c r="I342" i="2" s="1"/>
  <c r="I343" i="2" s="1"/>
  <c r="I344" i="2" s="1"/>
  <c r="I345" i="2" s="1"/>
  <c r="I346" i="2" s="1"/>
  <c r="I347" i="2" s="1"/>
  <c r="I348" i="2" s="1"/>
  <c r="I349" i="2" s="1"/>
  <c r="I350" i="2" s="1"/>
  <c r="I351" i="2" s="1"/>
  <c r="I352" i="2" s="1"/>
  <c r="I353" i="2" s="1"/>
  <c r="I354" i="2" s="1"/>
  <c r="I355" i="2" s="1"/>
  <c r="I356" i="2" s="1"/>
  <c r="I357" i="2" s="1"/>
  <c r="I358" i="2" s="1"/>
  <c r="I359" i="2" s="1"/>
  <c r="I360" i="2" s="1"/>
  <c r="I361" i="2" s="1"/>
  <c r="I362" i="2" s="1"/>
  <c r="I363" i="2" s="1"/>
  <c r="I364" i="2" s="1"/>
  <c r="I365" i="2" s="1"/>
  <c r="I366" i="2" s="1"/>
  <c r="I367" i="2" s="1"/>
  <c r="I368" i="2" s="1"/>
  <c r="I369" i="2" s="1"/>
  <c r="I370" i="2" s="1"/>
  <c r="I371" i="2" s="1"/>
  <c r="I372" i="2" s="1"/>
  <c r="I373" i="2" s="1"/>
  <c r="I374" i="2" s="1"/>
  <c r="I375" i="2" s="1"/>
  <c r="I376" i="2" s="1"/>
  <c r="I377" i="2" s="1"/>
  <c r="I378" i="2" s="1"/>
  <c r="I379" i="2" s="1"/>
  <c r="I380" i="2" s="1"/>
  <c r="I381" i="2" s="1"/>
  <c r="I382" i="2" s="1"/>
  <c r="I383" i="2" s="1"/>
  <c r="I384" i="2" s="1"/>
  <c r="I385" i="2" s="1"/>
  <c r="I386" i="2" s="1"/>
  <c r="I387" i="2" s="1"/>
  <c r="I388" i="2" s="1"/>
  <c r="I389" i="2" s="1"/>
  <c r="I390" i="2" s="1"/>
  <c r="I391" i="2" s="1"/>
  <c r="I392" i="2" s="1"/>
  <c r="I393" i="2" s="1"/>
  <c r="I394" i="2" s="1"/>
  <c r="I395" i="2" s="1"/>
  <c r="I396" i="2" s="1"/>
  <c r="I397" i="2" s="1"/>
  <c r="I398" i="2" s="1"/>
  <c r="I399" i="2" s="1"/>
  <c r="I400" i="2" s="1"/>
  <c r="I401" i="2" s="1"/>
  <c r="I402" i="2" s="1"/>
  <c r="I403" i="2" s="1"/>
  <c r="I404" i="2" s="1"/>
  <c r="I405" i="2" s="1"/>
  <c r="I406" i="2" s="1"/>
  <c r="I407" i="2" s="1"/>
  <c r="I408" i="2" s="1"/>
  <c r="I409" i="2" s="1"/>
  <c r="I410" i="2" s="1"/>
  <c r="I411" i="2" s="1"/>
  <c r="I412" i="2" s="1"/>
  <c r="I413" i="2" s="1"/>
  <c r="I414" i="2" s="1"/>
  <c r="I415" i="2" s="1"/>
  <c r="I416" i="2" s="1"/>
  <c r="I417" i="2" s="1"/>
  <c r="I418" i="2" s="1"/>
  <c r="I419" i="2" s="1"/>
  <c r="I420" i="2" s="1"/>
  <c r="I421" i="2" s="1"/>
  <c r="I422" i="2" s="1"/>
  <c r="I423" i="2" s="1"/>
  <c r="I424" i="2" s="1"/>
  <c r="I425" i="2" s="1"/>
  <c r="I426" i="2" s="1"/>
  <c r="I427" i="2" s="1"/>
  <c r="I428" i="2" s="1"/>
  <c r="I429" i="2" s="1"/>
  <c r="I430" i="2" s="1"/>
  <c r="I431" i="2" s="1"/>
  <c r="I432" i="2" s="1"/>
  <c r="I433" i="2" s="1"/>
  <c r="I434" i="2" s="1"/>
  <c r="I435" i="2" s="1"/>
  <c r="I436" i="2" s="1"/>
  <c r="I437" i="2" s="1"/>
  <c r="I438" i="2" s="1"/>
  <c r="I439" i="2" s="1"/>
  <c r="I440" i="2" s="1"/>
  <c r="I441" i="2" s="1"/>
  <c r="I442" i="2" s="1"/>
  <c r="I443" i="2" s="1"/>
  <c r="I444" i="2" s="1"/>
  <c r="I445" i="2" s="1"/>
  <c r="I446" i="2" s="1"/>
  <c r="I447" i="2" s="1"/>
  <c r="I448" i="2" s="1"/>
  <c r="I449" i="2" s="1"/>
  <c r="I450" i="2" s="1"/>
  <c r="I451" i="2" s="1"/>
  <c r="I452" i="2" s="1"/>
  <c r="I453" i="2" s="1"/>
  <c r="I454" i="2" s="1"/>
  <c r="I455" i="2" s="1"/>
  <c r="I456" i="2" s="1"/>
  <c r="I457" i="2" s="1"/>
  <c r="I458" i="2" s="1"/>
  <c r="I459" i="2" s="1"/>
  <c r="I460" i="2" s="1"/>
  <c r="I461" i="2" s="1"/>
  <c r="I462" i="2" s="1"/>
  <c r="I463" i="2" s="1"/>
  <c r="I464" i="2" s="1"/>
  <c r="I465" i="2" s="1"/>
  <c r="I466" i="2" s="1"/>
  <c r="I467" i="2" s="1"/>
  <c r="I468" i="2" s="1"/>
  <c r="I469" i="2" s="1"/>
  <c r="I470" i="2" s="1"/>
  <c r="I471" i="2" s="1"/>
  <c r="I472" i="2" s="1"/>
  <c r="I473" i="2" s="1"/>
  <c r="I474" i="2" s="1"/>
  <c r="I475" i="2" s="1"/>
  <c r="I476" i="2" s="1"/>
  <c r="I477" i="2" s="1"/>
  <c r="I478" i="2" s="1"/>
  <c r="I479" i="2" s="1"/>
  <c r="I480" i="2" s="1"/>
  <c r="I481" i="2" s="1"/>
  <c r="I482" i="2" s="1"/>
  <c r="I483" i="2" s="1"/>
  <c r="I484" i="2" s="1"/>
  <c r="I485" i="2" s="1"/>
  <c r="I486" i="2" s="1"/>
  <c r="I487" i="2" s="1"/>
  <c r="I488" i="2" s="1"/>
  <c r="I489" i="2" s="1"/>
  <c r="I490" i="2" s="1"/>
  <c r="I491" i="2" s="1"/>
  <c r="I492" i="2" s="1"/>
  <c r="I493" i="2" s="1"/>
  <c r="I494" i="2" s="1"/>
  <c r="I495" i="2" s="1"/>
  <c r="I496" i="2" s="1"/>
  <c r="I497" i="2" s="1"/>
  <c r="I498" i="2" s="1"/>
  <c r="I499" i="2" s="1"/>
  <c r="I500" i="2" s="1"/>
  <c r="I501" i="2" s="1"/>
  <c r="I502" i="2" s="1"/>
  <c r="I503" i="2" s="1"/>
  <c r="I504" i="2" s="1"/>
  <c r="I505" i="2" s="1"/>
  <c r="I506" i="2" s="1"/>
  <c r="I507" i="2" s="1"/>
  <c r="I508" i="2" s="1"/>
  <c r="I509" i="2" s="1"/>
  <c r="I510" i="2" s="1"/>
  <c r="I511" i="2" s="1"/>
  <c r="I512" i="2" s="1"/>
  <c r="I513" i="2" s="1"/>
  <c r="I514" i="2" s="1"/>
  <c r="I515" i="2" s="1"/>
  <c r="I516" i="2" s="1"/>
  <c r="I517" i="2" s="1"/>
  <c r="I518" i="2" s="1"/>
  <c r="I519" i="2" s="1"/>
  <c r="I520" i="2" s="1"/>
  <c r="I521" i="2" s="1"/>
  <c r="I522" i="2" s="1"/>
  <c r="I523" i="2" s="1"/>
  <c r="I524" i="2" s="1"/>
  <c r="I525" i="2" s="1"/>
  <c r="I526" i="2" s="1"/>
  <c r="I527" i="2" s="1"/>
  <c r="I528" i="2" s="1"/>
  <c r="I529" i="2" s="1"/>
  <c r="I530" i="2" s="1"/>
  <c r="I531" i="2" s="1"/>
  <c r="I532" i="2" s="1"/>
  <c r="I533" i="2" s="1"/>
  <c r="I534" i="2" s="1"/>
  <c r="I535" i="2" s="1"/>
  <c r="I536" i="2" s="1"/>
  <c r="I537" i="2" s="1"/>
  <c r="I538" i="2" s="1"/>
  <c r="I539" i="2" s="1"/>
  <c r="I540" i="2" s="1"/>
  <c r="I541" i="2" s="1"/>
  <c r="I542" i="2" s="1"/>
  <c r="I543" i="2" s="1"/>
  <c r="I544" i="2" s="1"/>
  <c r="I545" i="2" s="1"/>
  <c r="I546" i="2" s="1"/>
  <c r="I547" i="2" s="1"/>
  <c r="I548" i="2" s="1"/>
  <c r="I549" i="2" s="1"/>
  <c r="I550" i="2" s="1"/>
  <c r="I551" i="2" s="1"/>
  <c r="I552" i="2" s="1"/>
  <c r="I553" i="2" s="1"/>
  <c r="I554" i="2" s="1"/>
  <c r="I555" i="2" s="1"/>
  <c r="I556" i="2" s="1"/>
  <c r="I557" i="2" s="1"/>
  <c r="I558" i="2" s="1"/>
  <c r="I559" i="2" s="1"/>
  <c r="I560" i="2" s="1"/>
  <c r="I561" i="2" s="1"/>
  <c r="I562" i="2" s="1"/>
  <c r="I563" i="2" s="1"/>
  <c r="I564" i="2" s="1"/>
  <c r="I565" i="2" s="1"/>
  <c r="I566" i="2" s="1"/>
  <c r="I567" i="2" s="1"/>
  <c r="I568" i="2" s="1"/>
  <c r="I569" i="2" s="1"/>
  <c r="I570" i="2" s="1"/>
  <c r="I571" i="2" s="1"/>
  <c r="I572" i="2" s="1"/>
  <c r="I573" i="2" s="1"/>
  <c r="I574" i="2" s="1"/>
  <c r="I575" i="2" s="1"/>
  <c r="I576" i="2" s="1"/>
  <c r="I577" i="2" s="1"/>
  <c r="I578" i="2" s="1"/>
  <c r="I579" i="2" s="1"/>
  <c r="I580" i="2" s="1"/>
  <c r="I581" i="2" s="1"/>
  <c r="I582" i="2" s="1"/>
  <c r="I583" i="2" s="1"/>
  <c r="I584" i="2" s="1"/>
  <c r="I585" i="2" s="1"/>
  <c r="I586" i="2" s="1"/>
  <c r="I587" i="2" s="1"/>
  <c r="I588" i="2" s="1"/>
  <c r="I589" i="2" s="1"/>
  <c r="I590" i="2" s="1"/>
  <c r="I591" i="2" s="1"/>
  <c r="I592" i="2" s="1"/>
  <c r="I593" i="2" s="1"/>
  <c r="I594" i="2" s="1"/>
  <c r="I595" i="2" s="1"/>
  <c r="I596" i="2" s="1"/>
  <c r="I597" i="2" s="1"/>
  <c r="I598" i="2" s="1"/>
  <c r="I599" i="2" s="1"/>
  <c r="I600" i="2" s="1"/>
  <c r="I601" i="2" s="1"/>
  <c r="I602" i="2" s="1"/>
  <c r="I603" i="2" s="1"/>
  <c r="I604" i="2" s="1"/>
  <c r="I605" i="2" s="1"/>
  <c r="I606" i="2" s="1"/>
  <c r="I607" i="2" s="1"/>
  <c r="I608" i="2" s="1"/>
  <c r="I609" i="2" s="1"/>
  <c r="I610" i="2" s="1"/>
  <c r="I611" i="2" s="1"/>
  <c r="I612" i="2" s="1"/>
  <c r="I613" i="2" s="1"/>
  <c r="I614" i="2" s="1"/>
  <c r="I615" i="2" s="1"/>
  <c r="I616" i="2" s="1"/>
  <c r="I617" i="2" s="1"/>
  <c r="I618" i="2" s="1"/>
  <c r="I619" i="2" s="1"/>
  <c r="I620" i="2" s="1"/>
  <c r="I621" i="2" s="1"/>
  <c r="I622" i="2" s="1"/>
  <c r="I623" i="2" s="1"/>
  <c r="I624" i="2" s="1"/>
  <c r="I625" i="2" s="1"/>
  <c r="I626" i="2" s="1"/>
  <c r="I627" i="2" s="1"/>
  <c r="I628" i="2" s="1"/>
  <c r="I629" i="2" s="1"/>
  <c r="I630" i="2" s="1"/>
  <c r="I631" i="2" s="1"/>
  <c r="I632" i="2" s="1"/>
  <c r="I633" i="2" s="1"/>
  <c r="I634" i="2" s="1"/>
  <c r="I635" i="2" s="1"/>
  <c r="I636" i="2" s="1"/>
  <c r="I637" i="2" s="1"/>
  <c r="I638" i="2" s="1"/>
  <c r="I639" i="2" s="1"/>
  <c r="I640" i="2" s="1"/>
  <c r="I641" i="2" s="1"/>
  <c r="I642" i="2" s="1"/>
  <c r="I643" i="2" s="1"/>
  <c r="I644" i="2" s="1"/>
  <c r="I645" i="2" s="1"/>
  <c r="I646" i="2" s="1"/>
  <c r="I647" i="2" s="1"/>
  <c r="I648" i="2" s="1"/>
  <c r="I649" i="2" s="1"/>
  <c r="I650" i="2" s="1"/>
  <c r="I651" i="2" s="1"/>
  <c r="I652" i="2" s="1"/>
  <c r="I653" i="2" s="1"/>
  <c r="I654" i="2" s="1"/>
  <c r="I655" i="2" s="1"/>
  <c r="I656" i="2" s="1"/>
  <c r="I657" i="2" s="1"/>
  <c r="I658" i="2" s="1"/>
  <c r="I659" i="2" s="1"/>
  <c r="I660" i="2" s="1"/>
  <c r="I661" i="2" s="1"/>
  <c r="I662" i="2" s="1"/>
  <c r="I663" i="2" s="1"/>
  <c r="I664" i="2" s="1"/>
  <c r="I665" i="2" s="1"/>
  <c r="I666" i="2" s="1"/>
  <c r="I667" i="2" s="1"/>
  <c r="I668" i="2" s="1"/>
  <c r="I669" i="2" s="1"/>
  <c r="I670" i="2" s="1"/>
  <c r="I671" i="2" s="1"/>
  <c r="I672" i="2" s="1"/>
  <c r="I673" i="2" s="1"/>
  <c r="I674" i="2" s="1"/>
  <c r="I675" i="2" s="1"/>
  <c r="I676" i="2" s="1"/>
  <c r="I677" i="2" s="1"/>
  <c r="I678" i="2" s="1"/>
  <c r="I679" i="2" s="1"/>
  <c r="I680" i="2" s="1"/>
  <c r="I681" i="2" s="1"/>
  <c r="I682" i="2" s="1"/>
  <c r="I683" i="2" s="1"/>
  <c r="I684" i="2" s="1"/>
  <c r="I685" i="2" s="1"/>
  <c r="I686" i="2" s="1"/>
  <c r="I687" i="2" s="1"/>
  <c r="I688" i="2" s="1"/>
  <c r="I689" i="2" s="1"/>
  <c r="I690" i="2" s="1"/>
  <c r="I691" i="2" s="1"/>
  <c r="I692" i="2" s="1"/>
  <c r="I693" i="2" s="1"/>
  <c r="I694" i="2" s="1"/>
  <c r="I695" i="2" s="1"/>
  <c r="I696" i="2" s="1"/>
  <c r="I697" i="2" s="1"/>
  <c r="I698" i="2" s="1"/>
  <c r="I699" i="2" s="1"/>
  <c r="I700" i="2" s="1"/>
  <c r="I701" i="2" s="1"/>
  <c r="I702" i="2" s="1"/>
  <c r="I703" i="2" s="1"/>
  <c r="I704" i="2" s="1"/>
  <c r="I705" i="2" s="1"/>
  <c r="I706" i="2" s="1"/>
  <c r="I707" i="2" s="1"/>
  <c r="I708" i="2" s="1"/>
  <c r="I709" i="2" s="1"/>
  <c r="I710" i="2" s="1"/>
  <c r="I711" i="2" s="1"/>
  <c r="I712" i="2" s="1"/>
  <c r="I713" i="2" s="1"/>
  <c r="I714" i="2" s="1"/>
  <c r="I715" i="2" s="1"/>
  <c r="I716" i="2" s="1"/>
  <c r="I717" i="2" s="1"/>
  <c r="I718" i="2" s="1"/>
  <c r="I719" i="2" s="1"/>
  <c r="I720" i="2" s="1"/>
  <c r="I721" i="2" s="1"/>
  <c r="I722" i="2" s="1"/>
  <c r="I723" i="2" s="1"/>
  <c r="I724" i="2" s="1"/>
  <c r="I725" i="2" s="1"/>
  <c r="I726" i="2" s="1"/>
  <c r="I727" i="2" s="1"/>
  <c r="I728" i="2" s="1"/>
  <c r="I729" i="2" s="1"/>
  <c r="I730" i="2" s="1"/>
  <c r="I731" i="2" s="1"/>
  <c r="I732" i="2" s="1"/>
  <c r="I733" i="2" s="1"/>
  <c r="I734" i="2" s="1"/>
  <c r="I735" i="2" s="1"/>
  <c r="I736" i="2" s="1"/>
  <c r="I737" i="2" s="1"/>
  <c r="I738" i="2" s="1"/>
  <c r="I739" i="2" s="1"/>
  <c r="I740" i="2" s="1"/>
  <c r="I741" i="2" s="1"/>
  <c r="I742" i="2" s="1"/>
  <c r="I743" i="2" s="1"/>
  <c r="I744" i="2" s="1"/>
  <c r="I745" i="2" s="1"/>
  <c r="I746" i="2" s="1"/>
  <c r="I747" i="2" s="1"/>
  <c r="I748" i="2" s="1"/>
  <c r="I749" i="2" s="1"/>
  <c r="I750" i="2" s="1"/>
  <c r="I751" i="2" s="1"/>
  <c r="I752" i="2" s="1"/>
  <c r="I753" i="2" s="1"/>
  <c r="I754" i="2" s="1"/>
  <c r="I755" i="2" s="1"/>
  <c r="I756" i="2" s="1"/>
  <c r="I757" i="2" s="1"/>
  <c r="I758" i="2" s="1"/>
  <c r="I759" i="2" s="1"/>
  <c r="I760" i="2" s="1"/>
  <c r="I761" i="2" s="1"/>
  <c r="I762" i="2" s="1"/>
  <c r="I763" i="2" s="1"/>
  <c r="I764" i="2" s="1"/>
  <c r="I765" i="2" s="1"/>
  <c r="I766" i="2" s="1"/>
  <c r="I767" i="2" s="1"/>
  <c r="I768" i="2" s="1"/>
  <c r="I769" i="2" s="1"/>
  <c r="I770" i="2" s="1"/>
  <c r="I771" i="2" s="1"/>
  <c r="I772" i="2" s="1"/>
  <c r="I773" i="2" s="1"/>
  <c r="I774" i="2" s="1"/>
  <c r="I775" i="2" s="1"/>
  <c r="I776" i="2" s="1"/>
  <c r="I777" i="2" s="1"/>
  <c r="I778" i="2" s="1"/>
  <c r="I779" i="2" s="1"/>
  <c r="I780" i="2" s="1"/>
  <c r="I781" i="2" s="1"/>
  <c r="I782" i="2" s="1"/>
  <c r="I783" i="2" s="1"/>
  <c r="I784" i="2" s="1"/>
  <c r="I785" i="2" s="1"/>
  <c r="I786" i="2" s="1"/>
  <c r="I787" i="2" s="1"/>
  <c r="I788" i="2" s="1"/>
  <c r="I789" i="2" s="1"/>
  <c r="I790" i="2" s="1"/>
  <c r="I791" i="2" s="1"/>
  <c r="I792" i="2" s="1"/>
  <c r="I793" i="2" s="1"/>
  <c r="I794" i="2" s="1"/>
  <c r="I795" i="2" s="1"/>
  <c r="I796" i="2" s="1"/>
  <c r="I797" i="2" s="1"/>
  <c r="I798" i="2" s="1"/>
  <c r="I799" i="2" s="1"/>
  <c r="I800" i="2" s="1"/>
  <c r="I801" i="2" s="1"/>
  <c r="I802" i="2" s="1"/>
  <c r="I803" i="2" s="1"/>
  <c r="I804" i="2" s="1"/>
  <c r="I805" i="2" s="1"/>
  <c r="I806" i="2" s="1"/>
  <c r="I807" i="2" s="1"/>
  <c r="I808" i="2" s="1"/>
  <c r="I809" i="2" s="1"/>
  <c r="I810" i="2" s="1"/>
  <c r="I811" i="2" s="1"/>
  <c r="I812" i="2" s="1"/>
  <c r="I813" i="2" s="1"/>
  <c r="I814" i="2" s="1"/>
  <c r="I815" i="2" s="1"/>
  <c r="I816" i="2" s="1"/>
  <c r="I817" i="2" s="1"/>
  <c r="I818" i="2" s="1"/>
  <c r="I819" i="2" s="1"/>
  <c r="I820" i="2" s="1"/>
  <c r="I821" i="2" s="1"/>
  <c r="I822" i="2" s="1"/>
  <c r="I823" i="2" s="1"/>
  <c r="I824" i="2" s="1"/>
  <c r="I825" i="2" s="1"/>
  <c r="I826" i="2" s="1"/>
  <c r="I827" i="2" s="1"/>
  <c r="I828" i="2" s="1"/>
  <c r="I829" i="2" s="1"/>
  <c r="I830" i="2" s="1"/>
  <c r="I831" i="2" s="1"/>
  <c r="I832" i="2" s="1"/>
  <c r="I833" i="2" s="1"/>
  <c r="I834" i="2" s="1"/>
  <c r="I835" i="2" s="1"/>
  <c r="I836" i="2" s="1"/>
  <c r="I837" i="2" s="1"/>
  <c r="I838" i="2" s="1"/>
  <c r="I839" i="2" s="1"/>
  <c r="I840" i="2" s="1"/>
  <c r="I841" i="2" s="1"/>
  <c r="I842" i="2" s="1"/>
  <c r="I843" i="2" s="1"/>
  <c r="I844" i="2" s="1"/>
  <c r="I845" i="2" s="1"/>
  <c r="I846" i="2" s="1"/>
  <c r="I847" i="2" s="1"/>
  <c r="I848" i="2" s="1"/>
  <c r="I849" i="2" s="1"/>
  <c r="I850" i="2" s="1"/>
  <c r="I851" i="2" s="1"/>
  <c r="I852" i="2" s="1"/>
  <c r="I853" i="2" s="1"/>
  <c r="I854" i="2" s="1"/>
  <c r="I855" i="2" s="1"/>
  <c r="I856" i="2" s="1"/>
  <c r="I857" i="2" s="1"/>
  <c r="I858" i="2" s="1"/>
  <c r="I859" i="2" s="1"/>
  <c r="I860" i="2" s="1"/>
  <c r="I861" i="2" s="1"/>
  <c r="I862" i="2" s="1"/>
  <c r="I863" i="2" s="1"/>
  <c r="I864" i="2" s="1"/>
  <c r="I865" i="2" s="1"/>
  <c r="I866" i="2" s="1"/>
  <c r="I867" i="2" s="1"/>
  <c r="I868" i="2" s="1"/>
  <c r="I869" i="2" s="1"/>
  <c r="I870" i="2" s="1"/>
  <c r="I871" i="2" s="1"/>
  <c r="I872" i="2" s="1"/>
  <c r="I873" i="2" s="1"/>
  <c r="I874" i="2" s="1"/>
  <c r="I875" i="2" s="1"/>
  <c r="I876" i="2" s="1"/>
  <c r="I877" i="2" s="1"/>
  <c r="I878" i="2" s="1"/>
  <c r="I879" i="2" s="1"/>
  <c r="I880" i="2" s="1"/>
  <c r="I881" i="2" s="1"/>
  <c r="I882" i="2" s="1"/>
  <c r="I883" i="2" s="1"/>
  <c r="I884" i="2" s="1"/>
  <c r="I885" i="2" s="1"/>
  <c r="I886" i="2" s="1"/>
  <c r="I887" i="2" s="1"/>
  <c r="I888" i="2" s="1"/>
  <c r="I889" i="2" s="1"/>
  <c r="I890" i="2" s="1"/>
  <c r="I891" i="2" s="1"/>
  <c r="I892" i="2" s="1"/>
  <c r="I893" i="2" s="1"/>
  <c r="I894" i="2" s="1"/>
  <c r="I895" i="2" s="1"/>
  <c r="I896" i="2" s="1"/>
  <c r="I897" i="2" s="1"/>
  <c r="I898" i="2" s="1"/>
  <c r="I899" i="2" s="1"/>
  <c r="I900" i="2" s="1"/>
  <c r="I901" i="2" s="1"/>
  <c r="I902" i="2" s="1"/>
  <c r="I903" i="2" s="1"/>
  <c r="I904" i="2" s="1"/>
  <c r="I905" i="2" s="1"/>
  <c r="I906" i="2" s="1"/>
  <c r="I907" i="2" s="1"/>
  <c r="I908" i="2" s="1"/>
  <c r="I909" i="2" s="1"/>
  <c r="I910" i="2" s="1"/>
  <c r="I911" i="2" s="1"/>
  <c r="I912" i="2" s="1"/>
  <c r="I913" i="2" s="1"/>
  <c r="I914" i="2" s="1"/>
  <c r="I915" i="2" s="1"/>
  <c r="I916" i="2" s="1"/>
  <c r="I917" i="2" s="1"/>
  <c r="I918" i="2" s="1"/>
  <c r="I919" i="2" s="1"/>
  <c r="I920" i="2" s="1"/>
  <c r="I921" i="2" s="1"/>
  <c r="I922" i="2" s="1"/>
  <c r="I923" i="2" s="1"/>
  <c r="I924" i="2" s="1"/>
  <c r="I925" i="2" s="1"/>
  <c r="I926" i="2" s="1"/>
  <c r="I927" i="2" s="1"/>
  <c r="I928" i="2" s="1"/>
  <c r="I929" i="2" s="1"/>
  <c r="I930" i="2" s="1"/>
  <c r="I931" i="2" s="1"/>
  <c r="I932" i="2" s="1"/>
  <c r="I933" i="2" s="1"/>
  <c r="I934" i="2" s="1"/>
  <c r="I935" i="2" s="1"/>
  <c r="I936" i="2" s="1"/>
  <c r="I937" i="2" s="1"/>
  <c r="I938" i="2" s="1"/>
  <c r="I939" i="2" s="1"/>
  <c r="I940" i="2" s="1"/>
  <c r="I941" i="2" s="1"/>
  <c r="I942" i="2" s="1"/>
  <c r="I943" i="2" s="1"/>
  <c r="I944" i="2" s="1"/>
  <c r="I945" i="2" s="1"/>
  <c r="I946" i="2" s="1"/>
  <c r="I947" i="2" s="1"/>
  <c r="I948" i="2" s="1"/>
  <c r="I949" i="2" s="1"/>
  <c r="I950" i="2" s="1"/>
  <c r="I951" i="2" s="1"/>
  <c r="I952" i="2" s="1"/>
  <c r="I953" i="2" s="1"/>
  <c r="I954" i="2" s="1"/>
  <c r="I955" i="2" s="1"/>
  <c r="I956" i="2" s="1"/>
  <c r="I957" i="2" s="1"/>
  <c r="I958" i="2" s="1"/>
  <c r="I959" i="2" s="1"/>
  <c r="I960" i="2" s="1"/>
  <c r="I961" i="2" s="1"/>
  <c r="I962" i="2" s="1"/>
  <c r="I963" i="2" s="1"/>
  <c r="I964" i="2" s="1"/>
  <c r="I965" i="2" s="1"/>
  <c r="I966" i="2" s="1"/>
  <c r="I967" i="2" s="1"/>
  <c r="I968" i="2" s="1"/>
  <c r="I969" i="2" s="1"/>
  <c r="I970" i="2" s="1"/>
  <c r="I971" i="2" s="1"/>
  <c r="I972" i="2" s="1"/>
  <c r="I973" i="2" s="1"/>
  <c r="I974" i="2" s="1"/>
  <c r="I975" i="2" s="1"/>
  <c r="I976" i="2" s="1"/>
  <c r="I977" i="2" s="1"/>
  <c r="I978" i="2" s="1"/>
  <c r="I979" i="2" s="1"/>
  <c r="I980" i="2" s="1"/>
  <c r="I981" i="2" s="1"/>
  <c r="I982" i="2" s="1"/>
  <c r="I983" i="2" s="1"/>
  <c r="I984" i="2" s="1"/>
  <c r="I985" i="2" s="1"/>
  <c r="I986" i="2" s="1"/>
  <c r="I987" i="2" s="1"/>
  <c r="I988" i="2" s="1"/>
  <c r="I989" i="2" s="1"/>
  <c r="I990" i="2" s="1"/>
  <c r="I991" i="2" s="1"/>
  <c r="I992" i="2" s="1"/>
  <c r="I993" i="2" s="1"/>
  <c r="I994" i="2" s="1"/>
  <c r="I995" i="2" s="1"/>
  <c r="I996" i="2" s="1"/>
  <c r="I997" i="2" s="1"/>
  <c r="I998" i="2" s="1"/>
  <c r="I999" i="2" s="1"/>
  <c r="I1000" i="2" s="1"/>
  <c r="I1001" i="2" s="1"/>
  <c r="I1002" i="2" s="1"/>
  <c r="I1003" i="2" s="1"/>
  <c r="I1004" i="2" s="1"/>
  <c r="I1005" i="2" s="1"/>
  <c r="I1006" i="2" s="1"/>
  <c r="I1007" i="2" s="1"/>
  <c r="I1008" i="2" s="1"/>
  <c r="I1009" i="2" s="1"/>
  <c r="I1010" i="2" s="1"/>
  <c r="I1011" i="2" s="1"/>
  <c r="I1012" i="2" s="1"/>
  <c r="I1013" i="2" s="1"/>
  <c r="I1014" i="2" s="1"/>
  <c r="I1015" i="2" s="1"/>
  <c r="I1016" i="2" s="1"/>
  <c r="I1017" i="2" s="1"/>
  <c r="I1018" i="2" s="1"/>
  <c r="I1019" i="2" s="1"/>
  <c r="I1020" i="2" s="1"/>
  <c r="I1021" i="2" s="1"/>
  <c r="I1022" i="2" s="1"/>
  <c r="I1023" i="2" s="1"/>
  <c r="I1024" i="2" s="1"/>
  <c r="I1025" i="2" s="1"/>
  <c r="I1026" i="2" s="1"/>
  <c r="I1027" i="2" s="1"/>
  <c r="I1028" i="2" s="1"/>
  <c r="I1029" i="2" s="1"/>
  <c r="I1030" i="2" s="1"/>
  <c r="I1031" i="2" s="1"/>
  <c r="I1032" i="2" s="1"/>
  <c r="I1033" i="2" s="1"/>
  <c r="I1034" i="2" s="1"/>
  <c r="I1035" i="2" s="1"/>
  <c r="I1036" i="2" s="1"/>
  <c r="I1037" i="2" s="1"/>
  <c r="I1038" i="2" s="1"/>
  <c r="I1039" i="2" s="1"/>
  <c r="I1040" i="2" s="1"/>
  <c r="I1041" i="2" s="1"/>
  <c r="I1042" i="2" s="1"/>
  <c r="I1043" i="2" s="1"/>
  <c r="I1044" i="2" s="1"/>
  <c r="I1045" i="2" s="1"/>
  <c r="I1046" i="2" s="1"/>
  <c r="I1047" i="2" s="1"/>
  <c r="I1048" i="2" s="1"/>
  <c r="I1049" i="2" s="1"/>
  <c r="I1050" i="2" s="1"/>
  <c r="I1051" i="2" s="1"/>
  <c r="I1052" i="2" s="1"/>
  <c r="I1053" i="2" s="1"/>
  <c r="I1054" i="2" s="1"/>
  <c r="I1055" i="2" s="1"/>
  <c r="I1056" i="2" s="1"/>
  <c r="I1057" i="2" s="1"/>
  <c r="I1058" i="2" s="1"/>
  <c r="I1059" i="2" s="1"/>
  <c r="I1060" i="2" s="1"/>
  <c r="I1061" i="2" s="1"/>
  <c r="I1062" i="2" s="1"/>
  <c r="I1063" i="2" s="1"/>
  <c r="I1064" i="2" s="1"/>
  <c r="I1065" i="2" s="1"/>
  <c r="I1066" i="2" s="1"/>
  <c r="I1067" i="2" s="1"/>
  <c r="I1068" i="2" s="1"/>
  <c r="I1069" i="2" s="1"/>
  <c r="I1070" i="2" s="1"/>
  <c r="I1071" i="2" s="1"/>
  <c r="I1072" i="2" s="1"/>
  <c r="I1073" i="2" s="1"/>
  <c r="I1074" i="2" s="1"/>
  <c r="I1075" i="2" s="1"/>
  <c r="I1076" i="2" s="1"/>
  <c r="I1077" i="2" s="1"/>
  <c r="I1078" i="2" s="1"/>
  <c r="I1079" i="2" s="1"/>
  <c r="I1080" i="2" s="1"/>
  <c r="I1081" i="2" s="1"/>
  <c r="I1082" i="2" s="1"/>
  <c r="I1083" i="2" s="1"/>
  <c r="I1084" i="2" s="1"/>
  <c r="I1085" i="2" s="1"/>
  <c r="I1086" i="2" s="1"/>
  <c r="I1087" i="2" s="1"/>
  <c r="I1088" i="2" s="1"/>
  <c r="I1089" i="2" s="1"/>
  <c r="I1090" i="2" s="1"/>
  <c r="I1091" i="2" s="1"/>
  <c r="I1092" i="2" s="1"/>
  <c r="I1093" i="2" s="1"/>
  <c r="I1094" i="2" s="1"/>
  <c r="I1095" i="2" s="1"/>
  <c r="I1096" i="2" s="1"/>
  <c r="I1097" i="2" s="1"/>
  <c r="I1098" i="2" s="1"/>
  <c r="I1099" i="2" s="1"/>
  <c r="I1100" i="2" s="1"/>
  <c r="I1101" i="2" s="1"/>
  <c r="I1102" i="2" s="1"/>
  <c r="I1103" i="2" s="1"/>
  <c r="I1104" i="2" s="1"/>
  <c r="I1105" i="2" s="1"/>
  <c r="I1106" i="2" s="1"/>
  <c r="I1107" i="2" s="1"/>
  <c r="I1108" i="2" s="1"/>
  <c r="I1109" i="2" s="1"/>
  <c r="I1110" i="2" s="1"/>
  <c r="I1111" i="2" s="1"/>
  <c r="I1112" i="2" s="1"/>
  <c r="I1113" i="2" s="1"/>
  <c r="I1114" i="2" s="1"/>
  <c r="I1115" i="2" s="1"/>
  <c r="I1116" i="2" s="1"/>
  <c r="I1117" i="2" s="1"/>
  <c r="I1118" i="2" s="1"/>
  <c r="I1119" i="2" s="1"/>
  <c r="I1120" i="2" s="1"/>
  <c r="I1121" i="2" s="1"/>
  <c r="I1122" i="2" s="1"/>
  <c r="I1123" i="2" s="1"/>
  <c r="I1124" i="2" s="1"/>
  <c r="I1125" i="2" s="1"/>
  <c r="I1126" i="2" s="1"/>
  <c r="I1127" i="2" s="1"/>
  <c r="I1128" i="2" s="1"/>
  <c r="I1129" i="2" s="1"/>
  <c r="I1130" i="2" s="1"/>
  <c r="I1131" i="2" s="1"/>
  <c r="I1132" i="2" s="1"/>
  <c r="I1133" i="2" s="1"/>
  <c r="I1134" i="2" s="1"/>
  <c r="I1135" i="2" s="1"/>
  <c r="I1136" i="2" s="1"/>
  <c r="I1137" i="2" s="1"/>
  <c r="I1138" i="2" s="1"/>
  <c r="I1139" i="2" s="1"/>
  <c r="I1140" i="2" s="1"/>
  <c r="I1141" i="2" s="1"/>
  <c r="I1142" i="2" s="1"/>
  <c r="I1143" i="2" s="1"/>
  <c r="I1144" i="2" s="1"/>
  <c r="I1145" i="2" s="1"/>
  <c r="I1146" i="2" s="1"/>
  <c r="I1147" i="2" s="1"/>
  <c r="I1148" i="2" s="1"/>
  <c r="I1149" i="2" s="1"/>
  <c r="I1150" i="2" s="1"/>
  <c r="I1151" i="2" s="1"/>
  <c r="I1152" i="2" s="1"/>
  <c r="I1153" i="2" s="1"/>
  <c r="I1154" i="2" s="1"/>
  <c r="I1155" i="2" s="1"/>
  <c r="I1156" i="2" s="1"/>
  <c r="I1157" i="2" s="1"/>
  <c r="I1158" i="2" s="1"/>
  <c r="I1159" i="2" s="1"/>
  <c r="I1160" i="2" s="1"/>
  <c r="I1161" i="2" s="1"/>
  <c r="I1162" i="2" s="1"/>
  <c r="I1163" i="2" s="1"/>
  <c r="I1164" i="2" s="1"/>
  <c r="I1165" i="2" s="1"/>
  <c r="I1166" i="2" s="1"/>
  <c r="I1167" i="2" s="1"/>
  <c r="I1168" i="2" s="1"/>
  <c r="I1169" i="2" s="1"/>
  <c r="I1170" i="2" s="1"/>
  <c r="I1171" i="2" s="1"/>
  <c r="I1172" i="2" s="1"/>
  <c r="I1173" i="2" s="1"/>
  <c r="I1174" i="2" s="1"/>
  <c r="I1175" i="2" s="1"/>
  <c r="I1176" i="2" s="1"/>
  <c r="I1177" i="2" s="1"/>
  <c r="I1178" i="2" s="1"/>
  <c r="I1179" i="2" s="1"/>
  <c r="I1180" i="2" s="1"/>
  <c r="I1181" i="2" s="1"/>
  <c r="I1182" i="2" s="1"/>
  <c r="I1183" i="2" s="1"/>
  <c r="I1184" i="2" s="1"/>
  <c r="I1185" i="2" s="1"/>
  <c r="I1186" i="2" s="1"/>
  <c r="I1187" i="2" s="1"/>
  <c r="I1188" i="2" s="1"/>
  <c r="I1189" i="2" s="1"/>
  <c r="I1190" i="2" s="1"/>
  <c r="I1191" i="2" s="1"/>
  <c r="I1192" i="2" s="1"/>
  <c r="I1193" i="2" s="1"/>
  <c r="I1194" i="2" s="1"/>
  <c r="I1195" i="2" s="1"/>
  <c r="I1196" i="2" s="1"/>
  <c r="I1197" i="2" s="1"/>
  <c r="I1198" i="2" s="1"/>
  <c r="I1199" i="2" s="1"/>
  <c r="I1200" i="2" s="1"/>
  <c r="I1201" i="2" s="1"/>
  <c r="I1202" i="2" s="1"/>
  <c r="I1203" i="2" s="1"/>
  <c r="I1204" i="2" s="1"/>
  <c r="I1205" i="2" s="1"/>
  <c r="I1206" i="2" s="1"/>
  <c r="I1207" i="2" s="1"/>
  <c r="I1208" i="2" s="1"/>
  <c r="I1209" i="2" s="1"/>
  <c r="I1210" i="2" s="1"/>
  <c r="I1211" i="2" s="1"/>
  <c r="I1212" i="2" s="1"/>
  <c r="I1213" i="2" s="1"/>
  <c r="I1214" i="2" s="1"/>
  <c r="I1215" i="2" s="1"/>
  <c r="I1216" i="2" s="1"/>
  <c r="I1217" i="2" s="1"/>
  <c r="I1218" i="2" s="1"/>
  <c r="I1219" i="2" s="1"/>
  <c r="I1220" i="2" s="1"/>
  <c r="I1221" i="2" s="1"/>
  <c r="I1222" i="2" s="1"/>
  <c r="I1223" i="2" s="1"/>
  <c r="I1224" i="2" s="1"/>
  <c r="I1225" i="2" s="1"/>
  <c r="I1226" i="2" s="1"/>
  <c r="I1227" i="2" s="1"/>
  <c r="I1228" i="2" s="1"/>
  <c r="I1229" i="2" s="1"/>
  <c r="I1230" i="2" s="1"/>
  <c r="I1231" i="2" s="1"/>
  <c r="I1232" i="2" s="1"/>
  <c r="I1233" i="2" s="1"/>
  <c r="I1234" i="2" s="1"/>
  <c r="I1235" i="2" s="1"/>
  <c r="I1236" i="2" s="1"/>
  <c r="I1237" i="2" s="1"/>
  <c r="I1238" i="2" s="1"/>
  <c r="I1239" i="2" s="1"/>
  <c r="I1240" i="2" s="1"/>
  <c r="I1241" i="2" s="1"/>
  <c r="I1242" i="2" s="1"/>
  <c r="I1243" i="2" s="1"/>
  <c r="I1244" i="2" s="1"/>
  <c r="I1245" i="2" s="1"/>
  <c r="I1246" i="2" s="1"/>
  <c r="I1247" i="2" s="1"/>
  <c r="I1248" i="2" s="1"/>
  <c r="I1249" i="2" s="1"/>
  <c r="I1250" i="2" s="1"/>
  <c r="I1251" i="2" s="1"/>
  <c r="I1252" i="2" s="1"/>
  <c r="I1253" i="2" s="1"/>
  <c r="I1254" i="2" s="1"/>
  <c r="I1255" i="2" s="1"/>
  <c r="I1256" i="2" s="1"/>
  <c r="I1257" i="2" s="1"/>
  <c r="I1258" i="2" s="1"/>
  <c r="I1259" i="2" s="1"/>
  <c r="I1260" i="2" s="1"/>
  <c r="I1261" i="2" s="1"/>
  <c r="I1262" i="2" s="1"/>
  <c r="I1263" i="2" s="1"/>
  <c r="I1264" i="2" s="1"/>
  <c r="I1265" i="2" s="1"/>
  <c r="I1266" i="2" s="1"/>
  <c r="I1267" i="2" s="1"/>
  <c r="I1268" i="2" s="1"/>
  <c r="I1269" i="2" s="1"/>
  <c r="I1270" i="2" s="1"/>
  <c r="I1271" i="2" s="1"/>
  <c r="I1272" i="2" s="1"/>
  <c r="I1273" i="2" s="1"/>
  <c r="I1274" i="2" s="1"/>
  <c r="I1275" i="2" s="1"/>
  <c r="I1276" i="2" s="1"/>
  <c r="I1277" i="2" s="1"/>
  <c r="I1278" i="2" s="1"/>
  <c r="I1279" i="2" s="1"/>
  <c r="I1280" i="2" s="1"/>
  <c r="I1281" i="2" s="1"/>
  <c r="I1282" i="2" s="1"/>
  <c r="I1283" i="2" s="1"/>
  <c r="I1284" i="2" s="1"/>
  <c r="I1285" i="2" s="1"/>
  <c r="I1286" i="2" s="1"/>
  <c r="I1287" i="2" s="1"/>
  <c r="I1288" i="2" s="1"/>
  <c r="I1289" i="2" s="1"/>
  <c r="I1290" i="2" s="1"/>
  <c r="I1291" i="2" s="1"/>
  <c r="I1292" i="2" s="1"/>
  <c r="I1293" i="2" s="1"/>
  <c r="I1294" i="2" s="1"/>
  <c r="I1295" i="2" s="1"/>
  <c r="I1296" i="2" s="1"/>
  <c r="I1297" i="2" s="1"/>
  <c r="I1298" i="2" s="1"/>
  <c r="I1299" i="2" s="1"/>
  <c r="I1300" i="2" s="1"/>
  <c r="I1301" i="2" s="1"/>
  <c r="I1302" i="2" s="1"/>
  <c r="I1303" i="2" s="1"/>
  <c r="I1304" i="2" s="1"/>
  <c r="I1305" i="2" s="1"/>
  <c r="I1306" i="2" s="1"/>
  <c r="I1307" i="2" s="1"/>
  <c r="I1308" i="2" s="1"/>
  <c r="I1309" i="2" s="1"/>
  <c r="I1310" i="2" s="1"/>
  <c r="I1311" i="2" s="1"/>
  <c r="I1312" i="2" s="1"/>
  <c r="I1313" i="2" s="1"/>
  <c r="I1314" i="2" s="1"/>
  <c r="I1315" i="2" s="1"/>
  <c r="I1316" i="2" s="1"/>
  <c r="I1317" i="2" s="1"/>
  <c r="I1318" i="2" s="1"/>
  <c r="I1319" i="2" s="1"/>
  <c r="I1320" i="2" s="1"/>
  <c r="I1321" i="2" s="1"/>
  <c r="I1322" i="2" s="1"/>
  <c r="I1323" i="2" s="1"/>
  <c r="I1324" i="2" s="1"/>
  <c r="I1325" i="2" s="1"/>
  <c r="I1326" i="2" s="1"/>
  <c r="I1327" i="2" s="1"/>
  <c r="I1328" i="2" s="1"/>
  <c r="I1329" i="2" s="1"/>
  <c r="I1330" i="2" s="1"/>
  <c r="I1331" i="2" s="1"/>
  <c r="I1332" i="2" s="1"/>
  <c r="I1333" i="2" s="1"/>
  <c r="I1334" i="2" s="1"/>
  <c r="I1335" i="2" s="1"/>
  <c r="I1336" i="2" s="1"/>
  <c r="I1337" i="2" s="1"/>
  <c r="I1338" i="2" s="1"/>
  <c r="I1339" i="2" s="1"/>
  <c r="I1340" i="2" s="1"/>
  <c r="I1341" i="2" s="1"/>
  <c r="I1342" i="2" s="1"/>
  <c r="I1343" i="2" s="1"/>
  <c r="I1344" i="2" s="1"/>
  <c r="I1345" i="2" s="1"/>
  <c r="I1346" i="2" s="1"/>
  <c r="I1347" i="2" s="1"/>
  <c r="I1348" i="2" s="1"/>
  <c r="I1349" i="2" s="1"/>
  <c r="I1350" i="2" s="1"/>
  <c r="I1351" i="2" s="1"/>
  <c r="I1352" i="2" s="1"/>
  <c r="I1353" i="2" s="1"/>
  <c r="I1354" i="2" s="1"/>
  <c r="I1355" i="2" s="1"/>
  <c r="I1356" i="2" s="1"/>
  <c r="I1357" i="2" s="1"/>
  <c r="I1358" i="2" s="1"/>
  <c r="I1359" i="2" s="1"/>
  <c r="I1360" i="2" s="1"/>
  <c r="I1361" i="2" s="1"/>
  <c r="I1362" i="2" s="1"/>
  <c r="I1363" i="2" s="1"/>
  <c r="I1364" i="2" s="1"/>
  <c r="I1365" i="2" s="1"/>
  <c r="I1366" i="2" s="1"/>
  <c r="I1367" i="2" s="1"/>
  <c r="I1368" i="2" s="1"/>
  <c r="I1369" i="2" s="1"/>
  <c r="I1370" i="2" s="1"/>
  <c r="I1371" i="2" s="1"/>
  <c r="I1372" i="2" s="1"/>
  <c r="I1373" i="2" s="1"/>
  <c r="I1374" i="2" s="1"/>
  <c r="I1375" i="2" s="1"/>
  <c r="I1376" i="2" s="1"/>
  <c r="I1377" i="2" s="1"/>
  <c r="I1378" i="2" s="1"/>
  <c r="I1379" i="2" s="1"/>
  <c r="I1380" i="2" s="1"/>
  <c r="I1381" i="2" s="1"/>
  <c r="I1382" i="2" s="1"/>
  <c r="I1383" i="2" s="1"/>
  <c r="I1384" i="2" s="1"/>
  <c r="I1385" i="2" s="1"/>
  <c r="I1386" i="2" s="1"/>
  <c r="I1387" i="2" s="1"/>
  <c r="I1388" i="2" s="1"/>
  <c r="I1389" i="2" s="1"/>
  <c r="I1390" i="2" s="1"/>
  <c r="I1391" i="2" s="1"/>
  <c r="I1392" i="2" s="1"/>
  <c r="I1393" i="2" s="1"/>
  <c r="I1394" i="2" s="1"/>
  <c r="I1395" i="2" s="1"/>
  <c r="I1396" i="2" s="1"/>
  <c r="I1397" i="2" s="1"/>
  <c r="I1398" i="2" s="1"/>
  <c r="I1399" i="2" s="1"/>
  <c r="I1400" i="2" s="1"/>
  <c r="I1401" i="2" s="1"/>
  <c r="I1402" i="2" s="1"/>
  <c r="I1403" i="2" s="1"/>
  <c r="I1404" i="2" s="1"/>
  <c r="I1405" i="2" s="1"/>
  <c r="I1406" i="2" s="1"/>
  <c r="I1407" i="2" s="1"/>
  <c r="I1408" i="2" s="1"/>
  <c r="I1409" i="2" s="1"/>
  <c r="I1410" i="2" s="1"/>
  <c r="I1411" i="2" s="1"/>
  <c r="I1412" i="2" s="1"/>
  <c r="I1413" i="2" s="1"/>
  <c r="I1414" i="2" s="1"/>
  <c r="I1415" i="2" s="1"/>
  <c r="I1416" i="2" s="1"/>
  <c r="I1417" i="2" s="1"/>
  <c r="I1418" i="2" s="1"/>
  <c r="I1419" i="2" s="1"/>
  <c r="I1420" i="2" s="1"/>
  <c r="I1421" i="2" s="1"/>
  <c r="I1422" i="2" s="1"/>
  <c r="I1423" i="2" s="1"/>
  <c r="I1424" i="2" s="1"/>
  <c r="I1425" i="2" s="1"/>
  <c r="I1426" i="2" s="1"/>
  <c r="I1427" i="2" s="1"/>
  <c r="I1428" i="2" s="1"/>
  <c r="I1429" i="2" s="1"/>
  <c r="I1430" i="2" s="1"/>
  <c r="I1431" i="2" s="1"/>
  <c r="I1432" i="2" s="1"/>
  <c r="I1433" i="2" s="1"/>
  <c r="I1434" i="2" s="1"/>
  <c r="I1435" i="2" s="1"/>
  <c r="I1436" i="2" s="1"/>
  <c r="I1437" i="2" s="1"/>
  <c r="I1438" i="2" s="1"/>
  <c r="I1439" i="2" s="1"/>
  <c r="I1440" i="2" s="1"/>
  <c r="I1441" i="2" s="1"/>
  <c r="I1442" i="2" s="1"/>
  <c r="I1443" i="2" s="1"/>
  <c r="I1444" i="2" s="1"/>
  <c r="I1445" i="2" s="1"/>
  <c r="I1446" i="2" s="1"/>
  <c r="I1447" i="2" s="1"/>
  <c r="I1448" i="2" s="1"/>
  <c r="I1449" i="2" s="1"/>
  <c r="I1450" i="2" s="1"/>
  <c r="I1451" i="2" s="1"/>
  <c r="I1452" i="2" s="1"/>
  <c r="I1453" i="2" s="1"/>
  <c r="I1454" i="2" s="1"/>
  <c r="I1455" i="2" s="1"/>
  <c r="I1456" i="2" s="1"/>
  <c r="I1457" i="2" s="1"/>
  <c r="I1458" i="2" s="1"/>
  <c r="I1459" i="2" s="1"/>
  <c r="I1460" i="2" s="1"/>
  <c r="I1461" i="2" s="1"/>
  <c r="I1462" i="2" s="1"/>
  <c r="I1463" i="2" s="1"/>
  <c r="I1464" i="2" s="1"/>
  <c r="I1465" i="2" s="1"/>
  <c r="I1466" i="2" s="1"/>
  <c r="I1467" i="2" s="1"/>
  <c r="I1468" i="2" s="1"/>
  <c r="I1469" i="2" s="1"/>
  <c r="I1470" i="2" s="1"/>
  <c r="I1471" i="2" s="1"/>
  <c r="I1472" i="2" s="1"/>
  <c r="I1473" i="2" s="1"/>
  <c r="I1474" i="2" s="1"/>
  <c r="I1475" i="2" s="1"/>
  <c r="I1476" i="2" s="1"/>
  <c r="I1477" i="2" s="1"/>
  <c r="I1478" i="2" s="1"/>
  <c r="I1479" i="2" s="1"/>
  <c r="I1480" i="2" s="1"/>
  <c r="I1481" i="2" s="1"/>
  <c r="I1482" i="2" s="1"/>
  <c r="I1483" i="2" s="1"/>
  <c r="I1484" i="2" s="1"/>
  <c r="I1485" i="2" s="1"/>
  <c r="I1486" i="2" s="1"/>
  <c r="I1487" i="2" s="1"/>
  <c r="I1488" i="2" s="1"/>
  <c r="I1489" i="2" s="1"/>
  <c r="I1490" i="2" s="1"/>
  <c r="I1491" i="2" s="1"/>
  <c r="I1492" i="2" s="1"/>
  <c r="I1493" i="2" s="1"/>
  <c r="I1494" i="2" s="1"/>
  <c r="I1495" i="2" s="1"/>
  <c r="I1496" i="2" s="1"/>
  <c r="I1497" i="2" s="1"/>
  <c r="I1498" i="2" s="1"/>
  <c r="I1499" i="2" s="1"/>
  <c r="I1500" i="2" s="1"/>
  <c r="I1501" i="2" s="1"/>
  <c r="I1502" i="2" s="1"/>
  <c r="I1503" i="2" s="1"/>
  <c r="I1504" i="2" s="1"/>
  <c r="I1505" i="2" s="1"/>
  <c r="I1506" i="2" s="1"/>
  <c r="I1507" i="2" s="1"/>
  <c r="I1508" i="2" s="1"/>
  <c r="I1509" i="2" s="1"/>
  <c r="I1510" i="2" s="1"/>
  <c r="I1511" i="2" s="1"/>
  <c r="I1512" i="2" s="1"/>
  <c r="I1513" i="2" s="1"/>
  <c r="I1514" i="2" s="1"/>
  <c r="I1515" i="2" s="1"/>
  <c r="I1516" i="2" s="1"/>
  <c r="I1517" i="2" s="1"/>
  <c r="I1518" i="2" s="1"/>
  <c r="I1519" i="2" s="1"/>
  <c r="I1520" i="2" s="1"/>
  <c r="I1521" i="2" s="1"/>
  <c r="I1522" i="2" s="1"/>
  <c r="I1523" i="2" s="1"/>
  <c r="I1524" i="2" s="1"/>
  <c r="I1525" i="2" s="1"/>
  <c r="I1526" i="2" s="1"/>
  <c r="I1527" i="2" s="1"/>
  <c r="I1528" i="2" s="1"/>
  <c r="I1529" i="2" s="1"/>
  <c r="I1530" i="2" s="1"/>
  <c r="I1531" i="2" s="1"/>
  <c r="I1532" i="2" s="1"/>
  <c r="I1533" i="2" s="1"/>
  <c r="I1534" i="2" s="1"/>
  <c r="I1535" i="2" s="1"/>
  <c r="I1536" i="2" s="1"/>
  <c r="I1537" i="2" s="1"/>
  <c r="I1538" i="2" s="1"/>
  <c r="I1539" i="2" s="1"/>
  <c r="I1540" i="2" s="1"/>
  <c r="I1541" i="2" s="1"/>
  <c r="I1542" i="2" s="1"/>
  <c r="I1543" i="2" s="1"/>
  <c r="I1544" i="2" s="1"/>
  <c r="I1545" i="2" s="1"/>
  <c r="I1546" i="2" s="1"/>
  <c r="I1547" i="2" s="1"/>
  <c r="I1548" i="2" s="1"/>
  <c r="I1549" i="2" s="1"/>
  <c r="I1550" i="2" s="1"/>
  <c r="I1551" i="2" s="1"/>
  <c r="I1552" i="2" s="1"/>
  <c r="I1553" i="2" s="1"/>
  <c r="I1554" i="2" s="1"/>
  <c r="I1555" i="2" s="1"/>
  <c r="I1556" i="2" s="1"/>
  <c r="I1557" i="2" s="1"/>
  <c r="I1558" i="2" s="1"/>
  <c r="I1559" i="2" s="1"/>
  <c r="I1560" i="2" s="1"/>
  <c r="I1561" i="2" s="1"/>
  <c r="I1562" i="2" s="1"/>
  <c r="I1563" i="2" s="1"/>
  <c r="I1564" i="2" s="1"/>
  <c r="I1565" i="2" s="1"/>
  <c r="I1566" i="2" s="1"/>
  <c r="I1567" i="2" s="1"/>
  <c r="I1568" i="2" s="1"/>
  <c r="I1569" i="2" s="1"/>
  <c r="I1570" i="2" s="1"/>
  <c r="I1571" i="2" s="1"/>
  <c r="I1572" i="2" s="1"/>
  <c r="I1573" i="2" s="1"/>
  <c r="I1574" i="2" s="1"/>
  <c r="I1575" i="2" s="1"/>
  <c r="I1576" i="2" s="1"/>
  <c r="I1577" i="2" s="1"/>
  <c r="I1578" i="2" s="1"/>
  <c r="I1579" i="2" s="1"/>
  <c r="I1580" i="2" s="1"/>
  <c r="I1581" i="2" s="1"/>
  <c r="I1582" i="2" s="1"/>
  <c r="I1583" i="2" s="1"/>
  <c r="I1584" i="2" s="1"/>
  <c r="I1585" i="2" s="1"/>
  <c r="I1586" i="2" s="1"/>
  <c r="I1587" i="2" s="1"/>
  <c r="I1588" i="2" s="1"/>
  <c r="I1589" i="2" s="1"/>
  <c r="I1590" i="2" s="1"/>
  <c r="I1591" i="2" s="1"/>
  <c r="I1592" i="2" s="1"/>
  <c r="I1593" i="2" s="1"/>
  <c r="I1594" i="2" s="1"/>
  <c r="I1595" i="2" s="1"/>
  <c r="I1596" i="2" s="1"/>
  <c r="I1597" i="2" s="1"/>
  <c r="I1598" i="2" s="1"/>
  <c r="I1599" i="2" s="1"/>
  <c r="I1600" i="2" s="1"/>
  <c r="I1601" i="2" s="1"/>
  <c r="I1602" i="2" s="1"/>
  <c r="I1603" i="2" s="1"/>
  <c r="I1604" i="2" s="1"/>
  <c r="I1605" i="2" s="1"/>
  <c r="I1606" i="2" s="1"/>
  <c r="I1607" i="2" s="1"/>
  <c r="I1608" i="2" s="1"/>
  <c r="I1609" i="2" s="1"/>
  <c r="I1610" i="2" s="1"/>
  <c r="I1611" i="2" s="1"/>
  <c r="I1612" i="2" s="1"/>
  <c r="I1613" i="2" s="1"/>
  <c r="I1614" i="2" s="1"/>
  <c r="I1615" i="2" s="1"/>
  <c r="I1616" i="2" s="1"/>
  <c r="I1617" i="2" s="1"/>
  <c r="I1618" i="2" s="1"/>
  <c r="I1619" i="2" s="1"/>
  <c r="I1620" i="2" s="1"/>
  <c r="I1621" i="2" s="1"/>
  <c r="I1622" i="2" s="1"/>
  <c r="I1623" i="2" s="1"/>
  <c r="I1624" i="2" s="1"/>
  <c r="I1625" i="2" s="1"/>
  <c r="I1626" i="2" s="1"/>
  <c r="I1627" i="2" s="1"/>
  <c r="I1628" i="2" s="1"/>
  <c r="I1629" i="2" s="1"/>
  <c r="I1630" i="2" s="1"/>
  <c r="I1631" i="2" s="1"/>
  <c r="I1632" i="2" s="1"/>
  <c r="I1633" i="2" s="1"/>
  <c r="I1634" i="2" s="1"/>
  <c r="I1635" i="2" s="1"/>
  <c r="I1636" i="2" s="1"/>
  <c r="I1637" i="2" s="1"/>
  <c r="I1638" i="2" s="1"/>
  <c r="I1639" i="2" s="1"/>
  <c r="I1640" i="2" s="1"/>
  <c r="I1641" i="2" s="1"/>
  <c r="I1642" i="2" s="1"/>
  <c r="I1643" i="2" s="1"/>
  <c r="I1644" i="2" s="1"/>
  <c r="I1645" i="2" s="1"/>
  <c r="I1646" i="2" s="1"/>
  <c r="I1647" i="2" s="1"/>
  <c r="I1648" i="2" s="1"/>
  <c r="I1649" i="2" s="1"/>
  <c r="I1650" i="2" s="1"/>
  <c r="I1651" i="2" s="1"/>
  <c r="I1652" i="2" s="1"/>
  <c r="I1653" i="2" s="1"/>
  <c r="I1654" i="2" s="1"/>
  <c r="I1655" i="2" s="1"/>
  <c r="I1656" i="2" s="1"/>
  <c r="I1657" i="2" s="1"/>
  <c r="I1658" i="2" s="1"/>
  <c r="I1659" i="2" s="1"/>
  <c r="I1660" i="2" s="1"/>
  <c r="I1661" i="2" s="1"/>
  <c r="I1662" i="2" s="1"/>
  <c r="I1663" i="2" s="1"/>
  <c r="I1664" i="2" s="1"/>
  <c r="I1665" i="2" s="1"/>
  <c r="I1666" i="2" s="1"/>
  <c r="I1667" i="2" s="1"/>
  <c r="I1668" i="2" s="1"/>
  <c r="I1669" i="2" s="1"/>
  <c r="I1670" i="2" s="1"/>
  <c r="I1671" i="2" s="1"/>
  <c r="I1672" i="2" s="1"/>
  <c r="I1673" i="2" s="1"/>
  <c r="I1674" i="2" s="1"/>
  <c r="I1675" i="2" s="1"/>
  <c r="I1676" i="2" s="1"/>
  <c r="I1677" i="2" s="1"/>
  <c r="I1678" i="2" s="1"/>
  <c r="I1679" i="2" s="1"/>
  <c r="I1680" i="2" s="1"/>
  <c r="I1681" i="2" s="1"/>
  <c r="I1682" i="2" s="1"/>
  <c r="I1683" i="2" s="1"/>
  <c r="I1684" i="2" s="1"/>
  <c r="I1685" i="2" s="1"/>
  <c r="I1686" i="2" s="1"/>
  <c r="I1687" i="2" s="1"/>
  <c r="I1688" i="2" s="1"/>
  <c r="I1689" i="2" s="1"/>
  <c r="I1690" i="2" s="1"/>
  <c r="I1691" i="2" s="1"/>
  <c r="I1692" i="2" s="1"/>
  <c r="I1693" i="2" s="1"/>
  <c r="I1694" i="2" s="1"/>
  <c r="I1695" i="2" s="1"/>
  <c r="I1696" i="2" s="1"/>
  <c r="I1697" i="2" s="1"/>
  <c r="I1698" i="2" s="1"/>
  <c r="I1699" i="2" s="1"/>
  <c r="I1700" i="2" s="1"/>
  <c r="I1701" i="2" s="1"/>
  <c r="I1702" i="2" s="1"/>
  <c r="I1703" i="2" s="1"/>
  <c r="I1704" i="2" s="1"/>
  <c r="I1705" i="2" s="1"/>
  <c r="I1706" i="2" s="1"/>
  <c r="I1707" i="2" s="1"/>
  <c r="I1708" i="2" s="1"/>
  <c r="I1709" i="2" s="1"/>
  <c r="I1710" i="2" s="1"/>
  <c r="I1711" i="2" s="1"/>
  <c r="I1712" i="2" s="1"/>
  <c r="I1713" i="2" s="1"/>
  <c r="I1714" i="2" s="1"/>
  <c r="I1715" i="2" s="1"/>
  <c r="I1716" i="2" s="1"/>
  <c r="I1717" i="2" s="1"/>
  <c r="I1718" i="2" s="1"/>
  <c r="I1719" i="2" s="1"/>
  <c r="I1720" i="2" s="1"/>
  <c r="I1721" i="2" s="1"/>
  <c r="I1722" i="2" s="1"/>
  <c r="I1723" i="2" s="1"/>
  <c r="I1724" i="2" s="1"/>
  <c r="I1725" i="2" s="1"/>
  <c r="I1726" i="2" s="1"/>
  <c r="I1727" i="2" s="1"/>
  <c r="I1728" i="2" s="1"/>
  <c r="I1729" i="2" s="1"/>
  <c r="I1730" i="2" s="1"/>
  <c r="I1731" i="2" s="1"/>
  <c r="I1732" i="2" s="1"/>
  <c r="I1733" i="2" s="1"/>
  <c r="I1734" i="2" s="1"/>
  <c r="I1735" i="2" s="1"/>
  <c r="I1736" i="2" s="1"/>
  <c r="I1737" i="2" s="1"/>
  <c r="I1738" i="2" s="1"/>
  <c r="I1739" i="2" s="1"/>
  <c r="I1740" i="2" s="1"/>
  <c r="I1741" i="2" s="1"/>
  <c r="I1742" i="2" s="1"/>
  <c r="I1743" i="2" s="1"/>
  <c r="I1744" i="2" s="1"/>
  <c r="I1745" i="2" s="1"/>
  <c r="I1746" i="2" s="1"/>
  <c r="I1747" i="2" s="1"/>
  <c r="I1748" i="2" s="1"/>
  <c r="I1749" i="2" s="1"/>
  <c r="I1750" i="2" s="1"/>
  <c r="I1751" i="2" s="1"/>
  <c r="I1752" i="2" s="1"/>
  <c r="I1753" i="2" s="1"/>
  <c r="I1754" i="2" s="1"/>
  <c r="I1755" i="2" s="1"/>
  <c r="I1756" i="2" s="1"/>
  <c r="I1757" i="2" s="1"/>
  <c r="I1758" i="2" s="1"/>
  <c r="I1759" i="2" s="1"/>
  <c r="I1760" i="2" s="1"/>
  <c r="I1761" i="2" s="1"/>
  <c r="I1762" i="2" s="1"/>
  <c r="I1763" i="2" s="1"/>
  <c r="I1764" i="2" s="1"/>
  <c r="I1765" i="2" s="1"/>
  <c r="I1766" i="2" s="1"/>
  <c r="I1767" i="2" s="1"/>
  <c r="I1768" i="2" s="1"/>
  <c r="I1769" i="2" s="1"/>
  <c r="I1770" i="2" s="1"/>
  <c r="I1771" i="2" s="1"/>
  <c r="I1772" i="2" s="1"/>
  <c r="I1773" i="2" s="1"/>
  <c r="I1774" i="2" s="1"/>
  <c r="I1775" i="2" s="1"/>
  <c r="I1776" i="2" s="1"/>
  <c r="I1777" i="2" s="1"/>
  <c r="I1778" i="2" s="1"/>
  <c r="I1779" i="2" s="1"/>
  <c r="I1780" i="2" s="1"/>
  <c r="I1781" i="2" s="1"/>
  <c r="I1782" i="2" s="1"/>
  <c r="I1783" i="2" s="1"/>
  <c r="I1784" i="2" s="1"/>
  <c r="I1785" i="2" s="1"/>
  <c r="I1786" i="2" s="1"/>
  <c r="I1787" i="2" s="1"/>
  <c r="I1788" i="2" s="1"/>
  <c r="I1789" i="2" s="1"/>
  <c r="I1790" i="2" s="1"/>
  <c r="I1791" i="2" s="1"/>
  <c r="I1792" i="2" s="1"/>
  <c r="I1793" i="2" s="1"/>
  <c r="I1794" i="2" s="1"/>
  <c r="I1795" i="2" s="1"/>
  <c r="I1796" i="2" s="1"/>
  <c r="I1797" i="2" s="1"/>
  <c r="I1798" i="2" s="1"/>
  <c r="I1799" i="2" s="1"/>
  <c r="I1800" i="2" s="1"/>
  <c r="I1801" i="2" s="1"/>
  <c r="I1802" i="2" s="1"/>
  <c r="I1803" i="2" s="1"/>
  <c r="I1804" i="2" s="1"/>
  <c r="I1805" i="2" s="1"/>
  <c r="I1806" i="2" s="1"/>
  <c r="I1807" i="2" s="1"/>
  <c r="I1808" i="2" s="1"/>
  <c r="I1809" i="2" s="1"/>
  <c r="I1810" i="2" s="1"/>
  <c r="I1811" i="2" s="1"/>
  <c r="I1812" i="2" s="1"/>
  <c r="I1813" i="2" s="1"/>
  <c r="I1814" i="2" s="1"/>
  <c r="I1815" i="2" s="1"/>
  <c r="I1816" i="2" s="1"/>
  <c r="I1817" i="2" s="1"/>
  <c r="I1818" i="2" s="1"/>
  <c r="I1819" i="2" s="1"/>
  <c r="I1820" i="2" s="1"/>
  <c r="I1821" i="2" s="1"/>
  <c r="I1822" i="2" s="1"/>
  <c r="I1823" i="2" s="1"/>
  <c r="I1824" i="2" s="1"/>
  <c r="I1825" i="2" s="1"/>
  <c r="I1826" i="2" s="1"/>
  <c r="I1827" i="2" s="1"/>
  <c r="I1828" i="2" s="1"/>
  <c r="I1829" i="2" s="1"/>
  <c r="I1830" i="2" s="1"/>
  <c r="I1831" i="2" s="1"/>
  <c r="I1832" i="2" s="1"/>
  <c r="I1833" i="2" s="1"/>
  <c r="I1834" i="2" s="1"/>
  <c r="I1835" i="2" s="1"/>
  <c r="I1836" i="2" s="1"/>
  <c r="I1837" i="2" s="1"/>
  <c r="I1838" i="2" s="1"/>
  <c r="I1839" i="2" s="1"/>
  <c r="I1840" i="2" s="1"/>
  <c r="I1841" i="2" s="1"/>
  <c r="I1842" i="2" s="1"/>
  <c r="I1843" i="2" s="1"/>
  <c r="I1844" i="2" s="1"/>
  <c r="I1845" i="2" s="1"/>
  <c r="I1846" i="2" s="1"/>
  <c r="I1847" i="2" s="1"/>
  <c r="I1848" i="2" s="1"/>
  <c r="I1849" i="2" s="1"/>
  <c r="I1850" i="2" s="1"/>
  <c r="I1851" i="2" s="1"/>
  <c r="I1852" i="2" s="1"/>
  <c r="I1853" i="2" s="1"/>
  <c r="I1854" i="2" s="1"/>
  <c r="I1855" i="2" s="1"/>
  <c r="I1856" i="2" s="1"/>
  <c r="I1857" i="2" s="1"/>
  <c r="I1858" i="2" s="1"/>
  <c r="I1859" i="2" s="1"/>
  <c r="I1860" i="2" s="1"/>
  <c r="I1861" i="2" s="1"/>
  <c r="I1862" i="2" s="1"/>
  <c r="I1863" i="2" s="1"/>
  <c r="I1864" i="2" s="1"/>
  <c r="I1865" i="2" s="1"/>
  <c r="I1866" i="2" s="1"/>
  <c r="I1867" i="2" s="1"/>
  <c r="I1868" i="2" s="1"/>
  <c r="I1869" i="2" s="1"/>
  <c r="I1870" i="2" s="1"/>
  <c r="I1871" i="2" s="1"/>
  <c r="I1872" i="2" s="1"/>
  <c r="I1873" i="2" s="1"/>
  <c r="I1874" i="2" s="1"/>
  <c r="I1875" i="2" s="1"/>
  <c r="I1876" i="2" s="1"/>
  <c r="I1877" i="2" s="1"/>
  <c r="I1878" i="2" s="1"/>
  <c r="I1879" i="2" s="1"/>
  <c r="I1880" i="2" s="1"/>
  <c r="I1881" i="2" s="1"/>
  <c r="I1882" i="2" s="1"/>
  <c r="I1883" i="2" s="1"/>
  <c r="I1884" i="2" s="1"/>
  <c r="I1885" i="2" s="1"/>
  <c r="I1886" i="2" s="1"/>
  <c r="I1887" i="2" s="1"/>
  <c r="I1888" i="2" s="1"/>
  <c r="I1889" i="2" s="1"/>
  <c r="I1890" i="2" s="1"/>
  <c r="I1891" i="2" s="1"/>
  <c r="I1892" i="2" s="1"/>
  <c r="I1893" i="2" s="1"/>
  <c r="I1894" i="2" s="1"/>
  <c r="I1895" i="2" s="1"/>
  <c r="I1896" i="2" s="1"/>
  <c r="I1897" i="2" s="1"/>
  <c r="I1898" i="2" s="1"/>
  <c r="I1899" i="2" s="1"/>
  <c r="I1900" i="2" s="1"/>
  <c r="I1901" i="2" s="1"/>
  <c r="I1902" i="2" s="1"/>
  <c r="I1903" i="2" s="1"/>
  <c r="I1904" i="2" s="1"/>
  <c r="I1905" i="2" s="1"/>
  <c r="I1906" i="2" s="1"/>
  <c r="I1907" i="2" s="1"/>
  <c r="I1908" i="2" s="1"/>
  <c r="I1909" i="2" s="1"/>
  <c r="I1910" i="2" s="1"/>
  <c r="I1911" i="2" s="1"/>
  <c r="I1912" i="2" s="1"/>
  <c r="I1913" i="2" s="1"/>
  <c r="I1914" i="2" s="1"/>
  <c r="I1915" i="2" s="1"/>
  <c r="I1916" i="2" s="1"/>
  <c r="I1917" i="2" s="1"/>
  <c r="I1918" i="2" s="1"/>
  <c r="I1919" i="2" s="1"/>
  <c r="I1920" i="2" s="1"/>
  <c r="I1921" i="2" s="1"/>
  <c r="I1922" i="2" s="1"/>
  <c r="I1923" i="2" s="1"/>
  <c r="I1924" i="2" s="1"/>
  <c r="I1925" i="2" s="1"/>
  <c r="I1926" i="2" s="1"/>
  <c r="I1927" i="2" s="1"/>
  <c r="I1928" i="2" s="1"/>
  <c r="I1929" i="2" s="1"/>
  <c r="I1930" i="2" s="1"/>
  <c r="I1931" i="2" s="1"/>
  <c r="I1932" i="2" s="1"/>
  <c r="I1933" i="2" s="1"/>
  <c r="I1934" i="2" s="1"/>
  <c r="I1935" i="2" s="1"/>
  <c r="I1936" i="2" s="1"/>
  <c r="I1937" i="2" s="1"/>
  <c r="I1938" i="2" s="1"/>
  <c r="I1939" i="2" s="1"/>
  <c r="I1940" i="2" s="1"/>
  <c r="I1941" i="2" s="1"/>
  <c r="I1942" i="2" s="1"/>
  <c r="I1943" i="2" s="1"/>
  <c r="I1944" i="2" s="1"/>
  <c r="I1945" i="2" s="1"/>
  <c r="I1946" i="2" s="1"/>
  <c r="I1947" i="2" s="1"/>
  <c r="I1948" i="2" s="1"/>
  <c r="I1949" i="2" s="1"/>
  <c r="I1950" i="2" s="1"/>
  <c r="I1951" i="2" s="1"/>
  <c r="I1952" i="2" s="1"/>
  <c r="I1953" i="2" s="1"/>
  <c r="I1954" i="2" s="1"/>
  <c r="I1955" i="2" s="1"/>
  <c r="I1956" i="2" s="1"/>
  <c r="I1957" i="2" s="1"/>
  <c r="I1958" i="2" s="1"/>
  <c r="I1959" i="2" s="1"/>
  <c r="I1960" i="2" s="1"/>
  <c r="I1961" i="2" s="1"/>
  <c r="I1962" i="2" s="1"/>
  <c r="I1963" i="2" s="1"/>
  <c r="I1964" i="2" s="1"/>
  <c r="I1965" i="2" s="1"/>
  <c r="I1966" i="2" s="1"/>
  <c r="I1967" i="2" s="1"/>
  <c r="I1968" i="2" s="1"/>
  <c r="I1969" i="2" s="1"/>
  <c r="I1970" i="2" s="1"/>
  <c r="I1971" i="2" s="1"/>
  <c r="I1972" i="2" s="1"/>
  <c r="I1973" i="2" s="1"/>
  <c r="I1974" i="2" s="1"/>
  <c r="I1975" i="2" s="1"/>
  <c r="I1976" i="2" s="1"/>
  <c r="I1977" i="2" s="1"/>
  <c r="I1978" i="2" s="1"/>
  <c r="I1979" i="2" s="1"/>
  <c r="I1980" i="2" s="1"/>
  <c r="I1981" i="2" s="1"/>
  <c r="I1982" i="2" s="1"/>
  <c r="I1983" i="2" s="1"/>
  <c r="I1984" i="2" s="1"/>
  <c r="I1985" i="2" s="1"/>
  <c r="I1986" i="2" s="1"/>
  <c r="I1987" i="2" s="1"/>
  <c r="I1988" i="2" s="1"/>
  <c r="I1989" i="2" s="1"/>
  <c r="I1990" i="2" s="1"/>
  <c r="I1991" i="2" s="1"/>
  <c r="I1992" i="2" s="1"/>
  <c r="I1993" i="2" s="1"/>
  <c r="I1994" i="2" s="1"/>
  <c r="I1995" i="2" s="1"/>
  <c r="I1996" i="2" s="1"/>
  <c r="I1997" i="2" s="1"/>
  <c r="I1998" i="2" s="1"/>
  <c r="I1999" i="2" s="1"/>
  <c r="I2000" i="2" s="1"/>
  <c r="I2001" i="2" s="1"/>
  <c r="I2002" i="2" s="1"/>
  <c r="I2003" i="2" s="1"/>
  <c r="I2004" i="2" s="1"/>
  <c r="I2005" i="2" s="1"/>
  <c r="I2006" i="2" s="1"/>
  <c r="I2007" i="2" s="1"/>
  <c r="I2008" i="2" s="1"/>
  <c r="I2009" i="2" s="1"/>
  <c r="I2010" i="2" s="1"/>
  <c r="I2011" i="2" s="1"/>
  <c r="I2012" i="2" s="1"/>
  <c r="I2013" i="2" s="1"/>
  <c r="I2014" i="2" s="1"/>
  <c r="I2015" i="2" s="1"/>
  <c r="I2016" i="2" s="1"/>
  <c r="I2017" i="2" s="1"/>
  <c r="I2018" i="2" s="1"/>
  <c r="I2019" i="2" s="1"/>
  <c r="I2020" i="2" s="1"/>
  <c r="I2021" i="2" s="1"/>
  <c r="I2022" i="2" s="1"/>
  <c r="I2023" i="2" s="1"/>
  <c r="I2024" i="2" s="1"/>
  <c r="I2025" i="2" s="1"/>
  <c r="I2026" i="2" s="1"/>
  <c r="I2027" i="2" s="1"/>
  <c r="I2028" i="2" s="1"/>
  <c r="I2029" i="2" s="1"/>
  <c r="I2030" i="2" s="1"/>
  <c r="I2031" i="2" s="1"/>
  <c r="I2032" i="2" s="1"/>
  <c r="I2033" i="2" s="1"/>
  <c r="I2034" i="2" s="1"/>
  <c r="I2035" i="2" s="1"/>
  <c r="I2036" i="2" s="1"/>
  <c r="I2037" i="2" s="1"/>
  <c r="I2038" i="2" s="1"/>
  <c r="I2039" i="2" s="1"/>
  <c r="I2040" i="2" s="1"/>
  <c r="I2041" i="2" s="1"/>
  <c r="I2042" i="2" s="1"/>
  <c r="I2043" i="2" s="1"/>
  <c r="I2044" i="2" s="1"/>
  <c r="I2045" i="2" s="1"/>
  <c r="I2046" i="2" s="1"/>
  <c r="I2047" i="2" s="1"/>
  <c r="I2048" i="2" s="1"/>
  <c r="I2049" i="2" s="1"/>
  <c r="I2050" i="2" s="1"/>
  <c r="I2051" i="2" s="1"/>
  <c r="I2052" i="2" s="1"/>
  <c r="I2053" i="2" s="1"/>
  <c r="I2054" i="2" s="1"/>
  <c r="I2055" i="2" s="1"/>
  <c r="I2056" i="2" s="1"/>
  <c r="I2057" i="2" s="1"/>
  <c r="I2058" i="2" s="1"/>
  <c r="I2059" i="2" s="1"/>
  <c r="I2060" i="2" s="1"/>
  <c r="I2061" i="2" s="1"/>
  <c r="I2062" i="2" s="1"/>
  <c r="I2063" i="2" s="1"/>
  <c r="I2064" i="2" s="1"/>
  <c r="I2065" i="2" s="1"/>
  <c r="I2066" i="2" s="1"/>
  <c r="I2067" i="2" s="1"/>
  <c r="I2068" i="2" s="1"/>
  <c r="I2069" i="2" s="1"/>
  <c r="I2070" i="2" s="1"/>
  <c r="I2071" i="2" s="1"/>
  <c r="I2072" i="2" s="1"/>
  <c r="I2073" i="2" s="1"/>
  <c r="I2074" i="2" s="1"/>
  <c r="I2075" i="2" s="1"/>
  <c r="I2076" i="2" s="1"/>
  <c r="I2077" i="2" s="1"/>
  <c r="I2078" i="2" s="1"/>
  <c r="I2079" i="2" s="1"/>
  <c r="I2080" i="2" s="1"/>
  <c r="I2081" i="2" s="1"/>
  <c r="I2082" i="2" s="1"/>
  <c r="I2083" i="2" s="1"/>
  <c r="I2084" i="2" s="1"/>
  <c r="I2085" i="2" s="1"/>
  <c r="I2086" i="2" s="1"/>
  <c r="I2087" i="2" s="1"/>
  <c r="I2088" i="2" s="1"/>
  <c r="I2089" i="2" s="1"/>
  <c r="I2090" i="2" s="1"/>
  <c r="I2091" i="2" s="1"/>
  <c r="I2092" i="2" s="1"/>
  <c r="I2093" i="2" s="1"/>
  <c r="I2094" i="2" s="1"/>
  <c r="I2095" i="2" s="1"/>
  <c r="I2096" i="2" s="1"/>
  <c r="I2097" i="2" s="1"/>
  <c r="I2098" i="2" s="1"/>
  <c r="I2099" i="2" s="1"/>
  <c r="I2100" i="2" s="1"/>
  <c r="I2101" i="2" s="1"/>
  <c r="I2102" i="2" s="1"/>
  <c r="I2103" i="2" s="1"/>
  <c r="I2104" i="2" s="1"/>
  <c r="I2105" i="2" s="1"/>
  <c r="I2106" i="2" s="1"/>
  <c r="I2107" i="2" s="1"/>
  <c r="I2108" i="2" s="1"/>
  <c r="I2109" i="2" s="1"/>
  <c r="I2110" i="2" s="1"/>
  <c r="I2111" i="2" s="1"/>
  <c r="I2112" i="2" s="1"/>
  <c r="I2113" i="2" s="1"/>
  <c r="I2114" i="2" s="1"/>
  <c r="I2115" i="2" s="1"/>
  <c r="I2116" i="2" s="1"/>
  <c r="I2117" i="2" s="1"/>
  <c r="I2118" i="2" s="1"/>
  <c r="I2119" i="2" s="1"/>
  <c r="I2120" i="2" s="1"/>
  <c r="I2121" i="2" s="1"/>
  <c r="I2122" i="2" s="1"/>
  <c r="I2123" i="2" s="1"/>
  <c r="I2124" i="2" s="1"/>
  <c r="I2125" i="2" s="1"/>
  <c r="I2126" i="2" s="1"/>
  <c r="I2127" i="2" s="1"/>
  <c r="I2128" i="2" s="1"/>
  <c r="I2129" i="2" s="1"/>
  <c r="I2130" i="2" s="1"/>
  <c r="I2131" i="2" s="1"/>
  <c r="I2132" i="2" s="1"/>
  <c r="I2133" i="2" s="1"/>
  <c r="I2134" i="2" s="1"/>
  <c r="I2135" i="2" s="1"/>
  <c r="I2136" i="2" s="1"/>
  <c r="I2137" i="2" s="1"/>
  <c r="I2138" i="2" s="1"/>
  <c r="I2139" i="2" s="1"/>
  <c r="I2140" i="2" s="1"/>
  <c r="I2141" i="2" s="1"/>
  <c r="I2142" i="2" s="1"/>
  <c r="I2143" i="2" s="1"/>
  <c r="I2144" i="2" s="1"/>
  <c r="I2145" i="2" s="1"/>
  <c r="I2146" i="2" s="1"/>
  <c r="I2147" i="2" s="1"/>
  <c r="I2148" i="2" s="1"/>
  <c r="I2149" i="2" s="1"/>
  <c r="I2150" i="2" s="1"/>
  <c r="I2151" i="2" s="1"/>
  <c r="I2152" i="2" s="1"/>
  <c r="I2153" i="2" s="1"/>
  <c r="I2154" i="2" s="1"/>
  <c r="I2155" i="2" s="1"/>
  <c r="I2156" i="2" s="1"/>
  <c r="I2157" i="2" s="1"/>
  <c r="I2158" i="2" s="1"/>
  <c r="I2159" i="2" s="1"/>
  <c r="I2160" i="2" s="1"/>
  <c r="I2161" i="2" s="1"/>
  <c r="I2162" i="2" s="1"/>
  <c r="I2163" i="2" s="1"/>
  <c r="I2164" i="2" s="1"/>
  <c r="I2165" i="2" s="1"/>
  <c r="I2166" i="2" s="1"/>
  <c r="I2167" i="2" s="1"/>
  <c r="I2168" i="2" s="1"/>
  <c r="I2169" i="2" s="1"/>
  <c r="I2170" i="2" s="1"/>
  <c r="I2171" i="2" s="1"/>
  <c r="I2172" i="2" s="1"/>
  <c r="I2173" i="2" s="1"/>
  <c r="I2174" i="2" s="1"/>
  <c r="I2175" i="2" s="1"/>
  <c r="I2176" i="2" s="1"/>
  <c r="I2177" i="2" s="1"/>
  <c r="I2178" i="2" s="1"/>
  <c r="I2179" i="2" s="1"/>
  <c r="I2180" i="2" s="1"/>
  <c r="I2181" i="2" s="1"/>
  <c r="I2182" i="2" s="1"/>
  <c r="I2183" i="2" s="1"/>
  <c r="I2184" i="2" s="1"/>
  <c r="I2185" i="2" s="1"/>
  <c r="I2186" i="2" s="1"/>
  <c r="I2187" i="2" s="1"/>
  <c r="I2188" i="2" s="1"/>
  <c r="I2189" i="2" s="1"/>
  <c r="I2190" i="2" s="1"/>
  <c r="I2191" i="2" s="1"/>
  <c r="I2192" i="2" s="1"/>
  <c r="I2193" i="2" s="1"/>
  <c r="I2194" i="2" s="1"/>
  <c r="I2195" i="2" s="1"/>
  <c r="I2196" i="2" s="1"/>
  <c r="I2197" i="2" s="1"/>
  <c r="I2198" i="2" s="1"/>
  <c r="I2199" i="2" s="1"/>
  <c r="I2200" i="2" s="1"/>
  <c r="I2201" i="2" s="1"/>
  <c r="I2202" i="2" s="1"/>
  <c r="I2203" i="2" s="1"/>
  <c r="I2204" i="2" s="1"/>
  <c r="I2205" i="2" s="1"/>
  <c r="I2206" i="2" s="1"/>
  <c r="I2207" i="2" s="1"/>
  <c r="I2208" i="2" s="1"/>
  <c r="I2209" i="2" s="1"/>
  <c r="I2210" i="2" s="1"/>
  <c r="I2211" i="2" s="1"/>
  <c r="I2212" i="2" s="1"/>
  <c r="I2213" i="2" s="1"/>
  <c r="I2214" i="2" s="1"/>
  <c r="I2215" i="2" s="1"/>
  <c r="I2216" i="2" s="1"/>
  <c r="I2217" i="2" s="1"/>
  <c r="I2218" i="2" s="1"/>
  <c r="I2219" i="2" s="1"/>
  <c r="I2220" i="2" s="1"/>
  <c r="I2221" i="2" s="1"/>
  <c r="I2222" i="2" s="1"/>
  <c r="I2223" i="2" s="1"/>
  <c r="I2224" i="2" s="1"/>
  <c r="I2225" i="2" s="1"/>
  <c r="I2226" i="2" s="1"/>
  <c r="I2227" i="2" s="1"/>
  <c r="I2228" i="2" s="1"/>
  <c r="I2229" i="2" s="1"/>
  <c r="I2230" i="2" s="1"/>
  <c r="I2231" i="2" s="1"/>
  <c r="I2232" i="2" s="1"/>
  <c r="I2233" i="2" s="1"/>
  <c r="I2234" i="2" s="1"/>
  <c r="I2235" i="2" s="1"/>
  <c r="I2236" i="2" s="1"/>
  <c r="I2237" i="2" s="1"/>
  <c r="I2238" i="2" s="1"/>
  <c r="I2239" i="2" s="1"/>
  <c r="I2240" i="2" s="1"/>
  <c r="I2241" i="2" s="1"/>
  <c r="I2242" i="2" s="1"/>
  <c r="I2243" i="2" s="1"/>
  <c r="I2244" i="2" s="1"/>
  <c r="I2245" i="2" s="1"/>
  <c r="I2246" i="2" s="1"/>
  <c r="I2247" i="2" s="1"/>
  <c r="I2248" i="2" s="1"/>
  <c r="I2249" i="2" s="1"/>
  <c r="I2250" i="2" s="1"/>
  <c r="I2251" i="2" s="1"/>
  <c r="I2252" i="2" s="1"/>
  <c r="I2253" i="2" s="1"/>
  <c r="I2254" i="2" s="1"/>
  <c r="I2255" i="2" s="1"/>
  <c r="I2256" i="2" s="1"/>
  <c r="I2257" i="2" s="1"/>
  <c r="I2258" i="2" s="1"/>
  <c r="I2259" i="2" s="1"/>
  <c r="I2260" i="2" s="1"/>
  <c r="I2261" i="2" s="1"/>
  <c r="I2262" i="2" s="1"/>
  <c r="I2263" i="2" s="1"/>
  <c r="I2264" i="2" s="1"/>
  <c r="I2265" i="2" s="1"/>
  <c r="I2266" i="2" s="1"/>
  <c r="I2267" i="2" s="1"/>
  <c r="I2268" i="2" s="1"/>
  <c r="I2269" i="2" s="1"/>
  <c r="I2270" i="2" s="1"/>
  <c r="I2271" i="2" s="1"/>
  <c r="I2272" i="2" s="1"/>
  <c r="I2273" i="2" s="1"/>
  <c r="I2274" i="2" s="1"/>
  <c r="I2275" i="2" s="1"/>
  <c r="I2276" i="2" s="1"/>
  <c r="I2277" i="2" s="1"/>
  <c r="I2278" i="2" s="1"/>
  <c r="I2279" i="2" s="1"/>
  <c r="I2280" i="2" s="1"/>
  <c r="I2281" i="2" s="1"/>
  <c r="I2282" i="2" s="1"/>
  <c r="I2283" i="2" s="1"/>
  <c r="I2284" i="2" s="1"/>
  <c r="I2285" i="2" s="1"/>
  <c r="I2286" i="2" s="1"/>
  <c r="I2287" i="2" s="1"/>
  <c r="I2288" i="2" s="1"/>
  <c r="I2289" i="2" s="1"/>
  <c r="I2290" i="2" s="1"/>
  <c r="I2291" i="2" s="1"/>
  <c r="I2292" i="2" s="1"/>
  <c r="I2293" i="2" s="1"/>
  <c r="I2294" i="2" s="1"/>
  <c r="I2295" i="2" s="1"/>
  <c r="I2296" i="2" s="1"/>
  <c r="I2297" i="2" s="1"/>
  <c r="I2298" i="2" s="1"/>
  <c r="I2299" i="2" s="1"/>
  <c r="I2300" i="2" s="1"/>
  <c r="I2301" i="2" s="1"/>
  <c r="I2302" i="2" s="1"/>
  <c r="I2303" i="2" s="1"/>
  <c r="I2304" i="2" s="1"/>
  <c r="I2305" i="2" s="1"/>
  <c r="I2306" i="2" s="1"/>
  <c r="I2307" i="2" s="1"/>
  <c r="I2308" i="2" s="1"/>
  <c r="I2309" i="2" s="1"/>
  <c r="I2310" i="2" s="1"/>
  <c r="I2311" i="2" s="1"/>
  <c r="I2312" i="2" s="1"/>
  <c r="I2313" i="2" s="1"/>
  <c r="I2314" i="2" s="1"/>
  <c r="I2315" i="2" s="1"/>
  <c r="I2316" i="2" s="1"/>
  <c r="I2317" i="2" s="1"/>
  <c r="I2318" i="2" s="1"/>
  <c r="I2319" i="2" s="1"/>
  <c r="I2320" i="2" s="1"/>
  <c r="I2321" i="2" s="1"/>
  <c r="I2322" i="2" s="1"/>
  <c r="I2323" i="2" s="1"/>
  <c r="I2324" i="2" s="1"/>
  <c r="I2325" i="2" s="1"/>
  <c r="I2326" i="2" s="1"/>
  <c r="I2327" i="2" s="1"/>
  <c r="I2328" i="2" s="1"/>
  <c r="I2329" i="2" s="1"/>
  <c r="I2330" i="2" s="1"/>
  <c r="I2331" i="2" s="1"/>
  <c r="I2332" i="2" s="1"/>
  <c r="I2333" i="2" s="1"/>
  <c r="I2334" i="2" s="1"/>
  <c r="I2335" i="2" s="1"/>
  <c r="I2336" i="2" s="1"/>
  <c r="I2337" i="2" s="1"/>
  <c r="I2338" i="2" s="1"/>
  <c r="I2339" i="2" s="1"/>
  <c r="I2340" i="2" s="1"/>
  <c r="I2341" i="2" s="1"/>
  <c r="I2342" i="2" s="1"/>
  <c r="I2343" i="2" s="1"/>
  <c r="I2344" i="2" s="1"/>
  <c r="I2345" i="2" s="1"/>
  <c r="I2346" i="2" s="1"/>
  <c r="I2347" i="2" s="1"/>
  <c r="I2348" i="2" s="1"/>
  <c r="I2349" i="2" s="1"/>
  <c r="I2350" i="2" s="1"/>
  <c r="I2351" i="2" s="1"/>
  <c r="I2352" i="2" s="1"/>
  <c r="I2353" i="2" s="1"/>
  <c r="I2354" i="2" s="1"/>
  <c r="I2355" i="2" s="1"/>
  <c r="I2356" i="2" s="1"/>
  <c r="I2357" i="2" s="1"/>
  <c r="I2358" i="2" s="1"/>
  <c r="I2359" i="2" s="1"/>
  <c r="I2360" i="2" s="1"/>
  <c r="I2361" i="2" s="1"/>
  <c r="I2362" i="2" s="1"/>
  <c r="I2363" i="2" s="1"/>
  <c r="I2364" i="2" s="1"/>
  <c r="I2365" i="2" s="1"/>
  <c r="I2366" i="2" s="1"/>
  <c r="I2367" i="2" s="1"/>
  <c r="I2368" i="2" s="1"/>
  <c r="I2369" i="2" s="1"/>
  <c r="I2370" i="2" s="1"/>
  <c r="I2371" i="2" s="1"/>
  <c r="I2372" i="2" s="1"/>
  <c r="I2373" i="2" s="1"/>
  <c r="I2374" i="2" s="1"/>
  <c r="I2375" i="2" s="1"/>
  <c r="I2376" i="2" s="1"/>
  <c r="I2377" i="2" s="1"/>
  <c r="I2378" i="2" s="1"/>
  <c r="I2379" i="2" s="1"/>
  <c r="I2380" i="2" s="1"/>
  <c r="I2381" i="2" s="1"/>
  <c r="I2382" i="2" s="1"/>
  <c r="I2383" i="2" s="1"/>
  <c r="I2384" i="2" s="1"/>
  <c r="I2385" i="2" s="1"/>
  <c r="I2386" i="2" s="1"/>
  <c r="I2387" i="2" s="1"/>
  <c r="I2388" i="2" s="1"/>
  <c r="I2389" i="2" s="1"/>
  <c r="I2390" i="2" s="1"/>
  <c r="I2391" i="2" s="1"/>
  <c r="I2392" i="2" s="1"/>
  <c r="I2393" i="2" s="1"/>
  <c r="I2394" i="2" s="1"/>
  <c r="I2395" i="2" s="1"/>
  <c r="I2396" i="2" s="1"/>
  <c r="I2397" i="2" s="1"/>
  <c r="I2398" i="2" s="1"/>
  <c r="I2399" i="2" s="1"/>
  <c r="I2400" i="2" s="1"/>
  <c r="I2401" i="2" s="1"/>
  <c r="I2402" i="2" s="1"/>
  <c r="I2403" i="2" s="1"/>
  <c r="I2404" i="2" s="1"/>
  <c r="I2405" i="2" s="1"/>
  <c r="I2406" i="2" s="1"/>
  <c r="I2407" i="2" s="1"/>
  <c r="I2408" i="2" s="1"/>
  <c r="I2409" i="2" s="1"/>
  <c r="I2410" i="2" s="1"/>
  <c r="I2411" i="2" s="1"/>
  <c r="I2412" i="2" s="1"/>
  <c r="I2413" i="2" s="1"/>
  <c r="I2414" i="2" s="1"/>
  <c r="I2415" i="2" s="1"/>
  <c r="I2416" i="2" s="1"/>
  <c r="I2417" i="2" s="1"/>
  <c r="I2418" i="2" s="1"/>
  <c r="I2419" i="2" s="1"/>
  <c r="I2420" i="2" s="1"/>
  <c r="I2421" i="2" s="1"/>
  <c r="I2422" i="2" s="1"/>
  <c r="I2423" i="2" s="1"/>
  <c r="I2424" i="2" s="1"/>
  <c r="I2425" i="2" s="1"/>
  <c r="I2426" i="2" s="1"/>
  <c r="I2427" i="2" s="1"/>
  <c r="I2428" i="2" s="1"/>
  <c r="I2429" i="2" s="1"/>
  <c r="I2430" i="2" s="1"/>
  <c r="I2431" i="2" s="1"/>
  <c r="I2432" i="2" s="1"/>
  <c r="I2433" i="2" s="1"/>
  <c r="I2434" i="2" s="1"/>
  <c r="I2435" i="2" s="1"/>
  <c r="I2436" i="2" s="1"/>
  <c r="I2437" i="2" s="1"/>
  <c r="I2438" i="2" s="1"/>
  <c r="I2439" i="2" s="1"/>
  <c r="I2440" i="2" s="1"/>
  <c r="I2441" i="2" s="1"/>
  <c r="I2442" i="2" s="1"/>
  <c r="I2443" i="2" s="1"/>
  <c r="I2444" i="2" s="1"/>
  <c r="I2445" i="2" s="1"/>
  <c r="I2446" i="2" s="1"/>
  <c r="I2447" i="2" s="1"/>
  <c r="I2448" i="2" s="1"/>
  <c r="I2449" i="2" s="1"/>
  <c r="I2450" i="2" s="1"/>
  <c r="I2451" i="2" s="1"/>
  <c r="I2452" i="2" s="1"/>
  <c r="I2453" i="2" s="1"/>
  <c r="I2454" i="2" s="1"/>
  <c r="I2455" i="2" s="1"/>
  <c r="I2456" i="2" s="1"/>
  <c r="I2457" i="2" s="1"/>
  <c r="I2458" i="2" s="1"/>
  <c r="I2459" i="2" s="1"/>
  <c r="I2460" i="2" s="1"/>
  <c r="I2461" i="2" s="1"/>
  <c r="I2462" i="2" s="1"/>
  <c r="I2463" i="2" s="1"/>
  <c r="I2464" i="2" s="1"/>
  <c r="I2465" i="2" s="1"/>
  <c r="I2466" i="2" s="1"/>
  <c r="I2467" i="2" s="1"/>
  <c r="I2468" i="2" s="1"/>
  <c r="I2469" i="2" s="1"/>
  <c r="I2470" i="2" s="1"/>
  <c r="I2471" i="2" s="1"/>
  <c r="I2472" i="2" s="1"/>
  <c r="I2473" i="2" s="1"/>
  <c r="I2474" i="2" s="1"/>
  <c r="I2475" i="2" s="1"/>
  <c r="I2476" i="2" s="1"/>
  <c r="I2477" i="2" s="1"/>
  <c r="I2478" i="2" s="1"/>
  <c r="I2479" i="2" s="1"/>
  <c r="I2480" i="2" s="1"/>
  <c r="I2481" i="2" s="1"/>
  <c r="I2482" i="2" s="1"/>
  <c r="I2483" i="2" s="1"/>
  <c r="I2484" i="2" s="1"/>
  <c r="I2485" i="2" s="1"/>
  <c r="I2486" i="2" s="1"/>
  <c r="I2487" i="2" s="1"/>
  <c r="I2488" i="2" s="1"/>
  <c r="I2489" i="2" s="1"/>
  <c r="I2490" i="2" s="1"/>
  <c r="I2491" i="2" s="1"/>
  <c r="I2492" i="2" s="1"/>
  <c r="I2493" i="2" s="1"/>
  <c r="I2494" i="2" s="1"/>
  <c r="I2495" i="2" s="1"/>
  <c r="I2496" i="2" s="1"/>
  <c r="I2497" i="2" s="1"/>
  <c r="I2498" i="2" s="1"/>
  <c r="I2499" i="2" s="1"/>
  <c r="I2500" i="2" s="1"/>
  <c r="I2501" i="2" s="1"/>
  <c r="I2502" i="2" s="1"/>
  <c r="I2503" i="2" s="1"/>
  <c r="I2504" i="2" s="1"/>
  <c r="I2505" i="2" s="1"/>
  <c r="I2506" i="2" s="1"/>
  <c r="I2507" i="2" s="1"/>
  <c r="I2508" i="2" s="1"/>
  <c r="I2509" i="2" s="1"/>
  <c r="I2510" i="2" s="1"/>
  <c r="I2511" i="2" s="1"/>
  <c r="I2512" i="2" s="1"/>
  <c r="I2513" i="2" s="1"/>
  <c r="I2514" i="2" s="1"/>
  <c r="I2515" i="2" s="1"/>
  <c r="I2516" i="2" s="1"/>
  <c r="I2517" i="2" s="1"/>
  <c r="I2518" i="2" s="1"/>
  <c r="I2519" i="2" s="1"/>
  <c r="I2520" i="2" s="1"/>
  <c r="I2521" i="2" s="1"/>
  <c r="I2522" i="2" s="1"/>
  <c r="I2523" i="2" s="1"/>
  <c r="I2524" i="2" s="1"/>
  <c r="I2525" i="2" s="1"/>
  <c r="I2526" i="2" s="1"/>
  <c r="I2527" i="2" s="1"/>
  <c r="I2528" i="2" s="1"/>
  <c r="I2529" i="2" s="1"/>
  <c r="I2530" i="2" s="1"/>
  <c r="I2531" i="2" s="1"/>
  <c r="I2532" i="2" s="1"/>
  <c r="I2533" i="2" s="1"/>
  <c r="I2534" i="2" s="1"/>
  <c r="I2535" i="2" s="1"/>
  <c r="I2536" i="2" s="1"/>
  <c r="I2537" i="2" s="1"/>
  <c r="I2538" i="2" s="1"/>
  <c r="I2539" i="2" s="1"/>
  <c r="I2540" i="2" s="1"/>
  <c r="I2541" i="2" s="1"/>
  <c r="I2542" i="2" s="1"/>
  <c r="I2543" i="2" s="1"/>
  <c r="I2544" i="2" s="1"/>
  <c r="I2545" i="2" s="1"/>
  <c r="I2546" i="2" s="1"/>
  <c r="I2547" i="2" s="1"/>
  <c r="I2548" i="2" s="1"/>
  <c r="I2549" i="2" s="1"/>
  <c r="I2550" i="2" s="1"/>
  <c r="I2551" i="2" s="1"/>
  <c r="I2552" i="2" s="1"/>
  <c r="I2553" i="2" s="1"/>
  <c r="I2554" i="2" s="1"/>
  <c r="I2555" i="2" s="1"/>
  <c r="I2556" i="2" s="1"/>
  <c r="I2557" i="2" s="1"/>
  <c r="I2558" i="2" s="1"/>
  <c r="I2559" i="2" s="1"/>
  <c r="I2560" i="2" s="1"/>
  <c r="I2561" i="2" s="1"/>
  <c r="I2562" i="2" s="1"/>
  <c r="I2563" i="2" s="1"/>
  <c r="I2564" i="2" s="1"/>
  <c r="I2565" i="2" s="1"/>
  <c r="I2566" i="2" s="1"/>
  <c r="I2567" i="2" s="1"/>
  <c r="I2568" i="2" s="1"/>
  <c r="I2569" i="2" s="1"/>
  <c r="I2570" i="2" s="1"/>
  <c r="I2571" i="2" s="1"/>
  <c r="I2572" i="2" s="1"/>
  <c r="I2573" i="2" s="1"/>
  <c r="I2574" i="2" s="1"/>
  <c r="I2575" i="2" s="1"/>
  <c r="I2576" i="2" s="1"/>
  <c r="I2577" i="2" s="1"/>
  <c r="I2578" i="2" s="1"/>
  <c r="I2579" i="2" s="1"/>
  <c r="I2580" i="2" s="1"/>
  <c r="I2581" i="2" s="1"/>
  <c r="I2582" i="2" s="1"/>
  <c r="I2583" i="2" s="1"/>
  <c r="I2584" i="2" s="1"/>
  <c r="I2585" i="2" s="1"/>
  <c r="I2586" i="2" s="1"/>
  <c r="I2587" i="2" s="1"/>
  <c r="I2588" i="2" s="1"/>
  <c r="I2589" i="2" s="1"/>
  <c r="I2590" i="2" s="1"/>
  <c r="I2591" i="2" s="1"/>
  <c r="I2592" i="2" s="1"/>
  <c r="I2593" i="2" s="1"/>
  <c r="I2594" i="2" s="1"/>
  <c r="I2595" i="2" s="1"/>
  <c r="I2596" i="2" s="1"/>
  <c r="I2597" i="2" s="1"/>
  <c r="I2598" i="2" s="1"/>
  <c r="I2599" i="2" s="1"/>
  <c r="I2600" i="2" s="1"/>
  <c r="I2601" i="2" s="1"/>
  <c r="I2602" i="2" s="1"/>
  <c r="I2603" i="2" s="1"/>
  <c r="I2604" i="2" s="1"/>
  <c r="I2605" i="2" s="1"/>
  <c r="I2606" i="2" s="1"/>
  <c r="I2607" i="2" s="1"/>
  <c r="I2608" i="2" s="1"/>
  <c r="I2609" i="2" s="1"/>
  <c r="I2610" i="2" s="1"/>
  <c r="I2611" i="2" s="1"/>
  <c r="I2612" i="2" s="1"/>
  <c r="I2613" i="2" s="1"/>
  <c r="I2614" i="2" s="1"/>
  <c r="I2615" i="2" s="1"/>
  <c r="I2616" i="2" s="1"/>
  <c r="I2617" i="2" s="1"/>
  <c r="I2618" i="2" s="1"/>
  <c r="I2619" i="2" s="1"/>
  <c r="I2620" i="2" s="1"/>
  <c r="I2621" i="2" s="1"/>
  <c r="I2622" i="2" s="1"/>
  <c r="I2623" i="2" s="1"/>
  <c r="I2624" i="2" s="1"/>
  <c r="I2625" i="2" s="1"/>
  <c r="I2626" i="2" s="1"/>
  <c r="I2627" i="2" s="1"/>
  <c r="I2628" i="2" s="1"/>
  <c r="I2629" i="2" s="1"/>
  <c r="I2630" i="2" s="1"/>
  <c r="I2631" i="2" s="1"/>
  <c r="I2632" i="2" s="1"/>
  <c r="I2633" i="2" s="1"/>
  <c r="I2634" i="2" s="1"/>
  <c r="I2635" i="2" s="1"/>
  <c r="I2636" i="2" s="1"/>
  <c r="I2637" i="2" s="1"/>
  <c r="I2638" i="2" s="1"/>
  <c r="I2639" i="2" s="1"/>
  <c r="I2640" i="2" s="1"/>
  <c r="I2641" i="2" s="1"/>
  <c r="I2642" i="2" s="1"/>
  <c r="I2643" i="2" s="1"/>
  <c r="I2644" i="2" s="1"/>
  <c r="I2645" i="2" s="1"/>
  <c r="I2646" i="2" s="1"/>
  <c r="I2647" i="2" s="1"/>
  <c r="I2648" i="2" s="1"/>
  <c r="I2649" i="2" s="1"/>
  <c r="I2650" i="2" s="1"/>
  <c r="I2651" i="2" s="1"/>
  <c r="I2652" i="2" s="1"/>
  <c r="I2653" i="2" s="1"/>
  <c r="I2654" i="2" s="1"/>
  <c r="I2655" i="2" s="1"/>
  <c r="I2656" i="2" s="1"/>
  <c r="I2657" i="2" s="1"/>
  <c r="I2658" i="2" s="1"/>
  <c r="I2659" i="2" s="1"/>
  <c r="I2660" i="2" s="1"/>
  <c r="I2661" i="2" s="1"/>
  <c r="I2662" i="2" s="1"/>
  <c r="I2663" i="2" s="1"/>
  <c r="I2664" i="2" s="1"/>
  <c r="I2665" i="2" s="1"/>
  <c r="I2666" i="2" s="1"/>
  <c r="I2667" i="2" s="1"/>
  <c r="I2668" i="2" s="1"/>
  <c r="I2669" i="2" s="1"/>
  <c r="I2670" i="2" s="1"/>
  <c r="I2671" i="2" s="1"/>
  <c r="I2672" i="2" s="1"/>
  <c r="I2673" i="2" s="1"/>
  <c r="I2674" i="2" s="1"/>
  <c r="I2675" i="2" s="1"/>
  <c r="I2676" i="2" s="1"/>
  <c r="I2677" i="2" s="1"/>
  <c r="I2678" i="2" s="1"/>
  <c r="I2679" i="2" s="1"/>
  <c r="I2680" i="2" s="1"/>
  <c r="I2681" i="2" s="1"/>
  <c r="I2682" i="2" s="1"/>
  <c r="I2683" i="2" s="1"/>
  <c r="I2684" i="2" s="1"/>
  <c r="I2685" i="2" s="1"/>
  <c r="I2686" i="2" s="1"/>
  <c r="I2687" i="2" s="1"/>
  <c r="I2688" i="2" s="1"/>
  <c r="I2689" i="2" s="1"/>
  <c r="I2690" i="2" s="1"/>
  <c r="I2691" i="2" s="1"/>
  <c r="I2692" i="2" s="1"/>
  <c r="I2693" i="2" s="1"/>
  <c r="I2694" i="2" s="1"/>
  <c r="I2695" i="2" s="1"/>
  <c r="I2696" i="2" s="1"/>
  <c r="I2697" i="2" s="1"/>
  <c r="I2698" i="2" s="1"/>
  <c r="I2699" i="2" s="1"/>
  <c r="I2700" i="2" s="1"/>
  <c r="I2701" i="2" s="1"/>
  <c r="I2702" i="2" s="1"/>
  <c r="I2703" i="2" s="1"/>
  <c r="I2704" i="2" s="1"/>
  <c r="I2705" i="2" s="1"/>
  <c r="I2706" i="2" s="1"/>
  <c r="I2707" i="2" s="1"/>
  <c r="I2708" i="2" s="1"/>
  <c r="I2709" i="2" s="1"/>
  <c r="I2710" i="2" s="1"/>
  <c r="I2711" i="2" s="1"/>
  <c r="I2712" i="2" s="1"/>
  <c r="I2713" i="2" s="1"/>
  <c r="I2714" i="2" s="1"/>
  <c r="I2715" i="2" s="1"/>
  <c r="I2716" i="2" s="1"/>
  <c r="I2717" i="2" s="1"/>
  <c r="I2718" i="2" s="1"/>
  <c r="I2719" i="2" s="1"/>
  <c r="I2720" i="2" s="1"/>
  <c r="I2721" i="2" s="1"/>
  <c r="I2722" i="2" s="1"/>
  <c r="I2723" i="2" s="1"/>
  <c r="I2724" i="2" s="1"/>
  <c r="I2725" i="2" s="1"/>
  <c r="I2726" i="2" s="1"/>
  <c r="I2727" i="2" s="1"/>
  <c r="I2728" i="2" s="1"/>
  <c r="I2729" i="2" s="1"/>
  <c r="I2730" i="2" s="1"/>
  <c r="I2731" i="2" s="1"/>
  <c r="I2732" i="2" s="1"/>
  <c r="I2733" i="2" s="1"/>
  <c r="I2734" i="2" s="1"/>
  <c r="I2735" i="2" s="1"/>
  <c r="I2736" i="2" s="1"/>
  <c r="I2737" i="2" s="1"/>
  <c r="I2738" i="2" s="1"/>
  <c r="I2739" i="2" s="1"/>
  <c r="I2740" i="2" s="1"/>
  <c r="I2741" i="2" s="1"/>
  <c r="I2742" i="2" s="1"/>
  <c r="I2743" i="2" s="1"/>
  <c r="I2744" i="2" s="1"/>
  <c r="I2745" i="2" s="1"/>
  <c r="I2746" i="2" s="1"/>
  <c r="I2747" i="2" s="1"/>
  <c r="I2748" i="2" s="1"/>
  <c r="I2749" i="2" s="1"/>
  <c r="I2750" i="2" s="1"/>
  <c r="I2751" i="2" s="1"/>
  <c r="I2752" i="2" s="1"/>
  <c r="I2753" i="2" s="1"/>
  <c r="I2754" i="2" s="1"/>
  <c r="I2755" i="2" s="1"/>
  <c r="I2756" i="2" s="1"/>
  <c r="I2757" i="2" s="1"/>
  <c r="I2758" i="2" s="1"/>
  <c r="I2759" i="2" s="1"/>
  <c r="I2760" i="2" s="1"/>
  <c r="I2761" i="2" s="1"/>
  <c r="I2762" i="2" s="1"/>
  <c r="I2763" i="2" s="1"/>
  <c r="I2764" i="2" s="1"/>
  <c r="I2765" i="2" s="1"/>
  <c r="I2766" i="2" s="1"/>
  <c r="I2767" i="2" s="1"/>
  <c r="I2768" i="2" s="1"/>
  <c r="I2769" i="2" s="1"/>
  <c r="I2770" i="2" s="1"/>
  <c r="I2771" i="2" s="1"/>
  <c r="I2772" i="2" s="1"/>
  <c r="I2773" i="2" s="1"/>
  <c r="I2774" i="2" s="1"/>
  <c r="I2775" i="2" s="1"/>
  <c r="I2776" i="2" s="1"/>
  <c r="I2777" i="2" s="1"/>
  <c r="I2778" i="2" s="1"/>
  <c r="I2779" i="2" s="1"/>
  <c r="I2780" i="2" s="1"/>
  <c r="I2781" i="2" s="1"/>
  <c r="I2782" i="2" s="1"/>
  <c r="I2783" i="2" s="1"/>
  <c r="I2784" i="2" s="1"/>
  <c r="I2785" i="2" s="1"/>
  <c r="I2786" i="2" s="1"/>
  <c r="I2787" i="2" s="1"/>
  <c r="I2788" i="2" s="1"/>
  <c r="I2789" i="2" s="1"/>
  <c r="I2790" i="2" s="1"/>
  <c r="I2791" i="2" s="1"/>
  <c r="I2792" i="2" s="1"/>
  <c r="I2793" i="2" s="1"/>
  <c r="I2794" i="2" s="1"/>
  <c r="I2795" i="2" s="1"/>
  <c r="I2796" i="2" s="1"/>
  <c r="I2797" i="2" s="1"/>
  <c r="I2798" i="2" s="1"/>
  <c r="I2799" i="2" s="1"/>
  <c r="I2800" i="2" s="1"/>
  <c r="I2801" i="2" s="1"/>
  <c r="I2802" i="2" s="1"/>
  <c r="I2803" i="2" s="1"/>
  <c r="I2804" i="2" s="1"/>
  <c r="I2805" i="2" s="1"/>
  <c r="I2806" i="2" s="1"/>
  <c r="I2807" i="2" s="1"/>
  <c r="I2808" i="2" s="1"/>
  <c r="I2809" i="2" s="1"/>
  <c r="I2810" i="2" s="1"/>
  <c r="I2811" i="2" s="1"/>
  <c r="I2812" i="2" s="1"/>
  <c r="I2813" i="2" s="1"/>
  <c r="I2814" i="2" s="1"/>
  <c r="I2815" i="2" s="1"/>
  <c r="I2816" i="2" s="1"/>
  <c r="I2817" i="2" s="1"/>
  <c r="I2818" i="2" s="1"/>
  <c r="I2819" i="2" s="1"/>
  <c r="I2820" i="2" s="1"/>
  <c r="I2821" i="2" s="1"/>
  <c r="I2822" i="2" s="1"/>
  <c r="I2823" i="2" s="1"/>
  <c r="I2824" i="2" s="1"/>
  <c r="I2825" i="2" s="1"/>
  <c r="I2826" i="2" s="1"/>
  <c r="I2827" i="2" s="1"/>
  <c r="I2828" i="2" s="1"/>
  <c r="I2829" i="2" s="1"/>
  <c r="I2830" i="2" s="1"/>
  <c r="I2831" i="2" s="1"/>
  <c r="I2832" i="2" s="1"/>
  <c r="I2833" i="2" s="1"/>
  <c r="I2834" i="2" s="1"/>
  <c r="I2835" i="2" s="1"/>
  <c r="I2836" i="2" s="1"/>
  <c r="I2837" i="2" s="1"/>
  <c r="I2838" i="2" s="1"/>
  <c r="I2839" i="2" s="1"/>
  <c r="I2840" i="2" s="1"/>
  <c r="I2841" i="2" s="1"/>
  <c r="I2842" i="2" s="1"/>
  <c r="I2843" i="2" s="1"/>
  <c r="I2844" i="2" s="1"/>
  <c r="I2845" i="2" s="1"/>
  <c r="I2846" i="2" s="1"/>
  <c r="I2847" i="2" s="1"/>
  <c r="I2848" i="2" s="1"/>
  <c r="I2849" i="2" s="1"/>
  <c r="I2850" i="2" s="1"/>
  <c r="I2851" i="2" s="1"/>
  <c r="I2852" i="2" s="1"/>
  <c r="I2853" i="2" s="1"/>
  <c r="I2854" i="2" s="1"/>
  <c r="I2855" i="2" s="1"/>
  <c r="I2856" i="2" s="1"/>
  <c r="I2857" i="2" s="1"/>
  <c r="I2858" i="2" s="1"/>
  <c r="I2859" i="2" s="1"/>
  <c r="I2860" i="2" s="1"/>
  <c r="I2861" i="2" s="1"/>
  <c r="I2862" i="2" s="1"/>
  <c r="I2863" i="2" s="1"/>
  <c r="I2864" i="2" s="1"/>
  <c r="I2865" i="2" s="1"/>
  <c r="I2866" i="2" s="1"/>
  <c r="I2867" i="2" s="1"/>
  <c r="I2868" i="2" s="1"/>
  <c r="I2869" i="2" s="1"/>
  <c r="I2870" i="2" s="1"/>
  <c r="I2871" i="2" s="1"/>
  <c r="I2872" i="2" s="1"/>
  <c r="I2873" i="2" s="1"/>
  <c r="I2874" i="2" s="1"/>
  <c r="I2875" i="2" s="1"/>
  <c r="I2876" i="2" s="1"/>
  <c r="I2877" i="2" s="1"/>
  <c r="I2878" i="2" s="1"/>
  <c r="I2879" i="2" s="1"/>
  <c r="I2880" i="2" s="1"/>
  <c r="I2881" i="2" s="1"/>
  <c r="I2882" i="2" s="1"/>
  <c r="I2883" i="2" s="1"/>
  <c r="I2884" i="2" s="1"/>
  <c r="I2885" i="2" s="1"/>
  <c r="I2886" i="2" s="1"/>
  <c r="I2887" i="2" s="1"/>
  <c r="I2888" i="2" s="1"/>
  <c r="I2889" i="2" s="1"/>
  <c r="I2890" i="2" s="1"/>
  <c r="I2891" i="2" s="1"/>
  <c r="I2892" i="2" s="1"/>
  <c r="I2893" i="2" s="1"/>
  <c r="I2894" i="2" s="1"/>
  <c r="I2895" i="2" s="1"/>
  <c r="I2896" i="2" s="1"/>
  <c r="I2897" i="2" s="1"/>
  <c r="I2898" i="2" s="1"/>
  <c r="I2899" i="2" s="1"/>
  <c r="I2900" i="2" s="1"/>
  <c r="I2901" i="2" s="1"/>
  <c r="I2902" i="2" s="1"/>
  <c r="I2903" i="2" s="1"/>
  <c r="I2904" i="2" s="1"/>
  <c r="I2905" i="2" s="1"/>
  <c r="I2906" i="2" s="1"/>
  <c r="I2907" i="2" s="1"/>
  <c r="I2908" i="2" s="1"/>
  <c r="I2909" i="2" s="1"/>
  <c r="I2910" i="2" s="1"/>
  <c r="I2911" i="2" s="1"/>
  <c r="I2912" i="2" s="1"/>
  <c r="I2913" i="2" s="1"/>
  <c r="I2914" i="2" s="1"/>
  <c r="I2915" i="2" s="1"/>
  <c r="I2916" i="2" s="1"/>
  <c r="I2917" i="2" s="1"/>
  <c r="I2918" i="2" s="1"/>
  <c r="I2919" i="2" s="1"/>
  <c r="I2920" i="2" s="1"/>
  <c r="I2921" i="2" s="1"/>
  <c r="I2922" i="2" s="1"/>
  <c r="I2923" i="2" s="1"/>
  <c r="I2924" i="2" s="1"/>
  <c r="I2925" i="2" s="1"/>
  <c r="I2926" i="2" s="1"/>
  <c r="I2927" i="2" s="1"/>
  <c r="I2928" i="2" s="1"/>
  <c r="I2929" i="2" s="1"/>
  <c r="I2930" i="2" s="1"/>
  <c r="I2931" i="2" s="1"/>
  <c r="I2932" i="2" s="1"/>
  <c r="I2933" i="2" s="1"/>
  <c r="I2934" i="2" s="1"/>
  <c r="I2935" i="2" s="1"/>
  <c r="I2936" i="2" s="1"/>
  <c r="I2937" i="2" s="1"/>
  <c r="I2938" i="2" s="1"/>
  <c r="I2939" i="2" s="1"/>
  <c r="I2940" i="2" s="1"/>
  <c r="I2941" i="2" s="1"/>
  <c r="I2942" i="2" s="1"/>
  <c r="I2943" i="2" s="1"/>
  <c r="I2944" i="2" s="1"/>
  <c r="I2945" i="2" s="1"/>
  <c r="I2946" i="2" s="1"/>
  <c r="I2947" i="2" s="1"/>
  <c r="I2948" i="2" s="1"/>
  <c r="I2949" i="2" s="1"/>
  <c r="I2950" i="2" s="1"/>
  <c r="I2951" i="2" s="1"/>
  <c r="I2952" i="2" s="1"/>
  <c r="I2953" i="2" s="1"/>
  <c r="I2954" i="2" s="1"/>
  <c r="I2955" i="2" s="1"/>
  <c r="I2956" i="2" s="1"/>
  <c r="I2957" i="2" s="1"/>
  <c r="I2958" i="2" s="1"/>
  <c r="I2959" i="2" s="1"/>
  <c r="I2960" i="2" s="1"/>
  <c r="I2961" i="2" s="1"/>
  <c r="I2962" i="2" s="1"/>
  <c r="I2963" i="2" s="1"/>
  <c r="I2964" i="2" s="1"/>
  <c r="I2965" i="2" s="1"/>
  <c r="I2966" i="2" s="1"/>
  <c r="I2967" i="2" s="1"/>
  <c r="I2968" i="2" s="1"/>
  <c r="I2969" i="2" s="1"/>
  <c r="I2970" i="2" s="1"/>
  <c r="I2971" i="2" s="1"/>
  <c r="I2972" i="2" s="1"/>
  <c r="I2973" i="2" s="1"/>
  <c r="I2974" i="2" s="1"/>
  <c r="I2975" i="2" s="1"/>
  <c r="I2976" i="2" s="1"/>
  <c r="I2977" i="2" s="1"/>
  <c r="I2978" i="2" s="1"/>
  <c r="I2979" i="2" s="1"/>
  <c r="I2980" i="2" s="1"/>
  <c r="I2981" i="2" s="1"/>
  <c r="I2982" i="2" s="1"/>
  <c r="I2983" i="2" s="1"/>
  <c r="I2984" i="2" s="1"/>
  <c r="I2985" i="2" s="1"/>
  <c r="I2986" i="2" s="1"/>
  <c r="I2987" i="2" s="1"/>
  <c r="I2988" i="2" s="1"/>
  <c r="I2989" i="2" s="1"/>
  <c r="I2990" i="2" s="1"/>
  <c r="I2991" i="2" s="1"/>
  <c r="I2992" i="2" s="1"/>
  <c r="I2993" i="2" s="1"/>
  <c r="I2994" i="2" s="1"/>
  <c r="I2995" i="2" s="1"/>
  <c r="I2996" i="2" s="1"/>
  <c r="I2997" i="2" s="1"/>
  <c r="I2998" i="2" s="1"/>
  <c r="I2999" i="2" s="1"/>
  <c r="I3000" i="2" s="1"/>
  <c r="I3001" i="2" s="1"/>
  <c r="I3002" i="2" s="1"/>
  <c r="I3003" i="2" s="1"/>
  <c r="I3004" i="2" s="1"/>
  <c r="I3005" i="2" s="1"/>
  <c r="I3006" i="2" s="1"/>
  <c r="I3007" i="2" s="1"/>
  <c r="I3008" i="2" s="1"/>
  <c r="I3009" i="2" s="1"/>
  <c r="I3010" i="2" s="1"/>
  <c r="I3011" i="2" s="1"/>
  <c r="I3012" i="2" s="1"/>
  <c r="I3013" i="2" s="1"/>
  <c r="I3014" i="2" s="1"/>
  <c r="I3015" i="2" s="1"/>
  <c r="I3016" i="2" s="1"/>
  <c r="I3017" i="2" s="1"/>
  <c r="I3018" i="2" s="1"/>
  <c r="I3019" i="2" s="1"/>
  <c r="I3020" i="2" s="1"/>
  <c r="I3021" i="2" s="1"/>
  <c r="I3022" i="2" s="1"/>
  <c r="I3023" i="2" s="1"/>
  <c r="I3024" i="2" s="1"/>
  <c r="I3025" i="2" s="1"/>
  <c r="I3026" i="2" s="1"/>
  <c r="I3027" i="2" s="1"/>
  <c r="I3028" i="2" s="1"/>
  <c r="I3029" i="2" s="1"/>
  <c r="I3030" i="2" s="1"/>
  <c r="I3031" i="2" s="1"/>
  <c r="I3032" i="2" s="1"/>
  <c r="I3033" i="2" s="1"/>
  <c r="I3034" i="2" s="1"/>
  <c r="I3035" i="2" s="1"/>
  <c r="I3036" i="2" s="1"/>
  <c r="I3037" i="2" s="1"/>
  <c r="I3038" i="2" s="1"/>
  <c r="I3039" i="2" s="1"/>
  <c r="I3040" i="2" s="1"/>
  <c r="I3041" i="2" s="1"/>
  <c r="I3042" i="2" s="1"/>
  <c r="I3043" i="2" s="1"/>
  <c r="I3044" i="2" s="1"/>
  <c r="I3045" i="2" s="1"/>
  <c r="I3046" i="2" s="1"/>
  <c r="I3047" i="2" s="1"/>
  <c r="I3048" i="2" s="1"/>
  <c r="I3049" i="2" s="1"/>
  <c r="I3050" i="2" s="1"/>
  <c r="I3051" i="2" s="1"/>
  <c r="I3052" i="2" s="1"/>
  <c r="I3053" i="2" s="1"/>
  <c r="I3054" i="2" s="1"/>
  <c r="I3055" i="2" s="1"/>
  <c r="I3056" i="2" s="1"/>
  <c r="I3057" i="2" s="1"/>
  <c r="I3058" i="2" s="1"/>
  <c r="I3059" i="2" s="1"/>
  <c r="I3060" i="2" s="1"/>
  <c r="I3061" i="2" s="1"/>
  <c r="I3062" i="2" s="1"/>
  <c r="I3063" i="2" s="1"/>
  <c r="I3064" i="2" s="1"/>
  <c r="I3065" i="2" s="1"/>
  <c r="I3066" i="2" s="1"/>
  <c r="I3067" i="2" s="1"/>
  <c r="I3068" i="2" s="1"/>
  <c r="I3069" i="2" s="1"/>
  <c r="I3070" i="2" s="1"/>
  <c r="I3071" i="2" s="1"/>
  <c r="I3072" i="2" s="1"/>
  <c r="I3073" i="2" s="1"/>
  <c r="I3074" i="2" s="1"/>
  <c r="I3075" i="2" s="1"/>
  <c r="I3076" i="2" s="1"/>
  <c r="I3077" i="2" s="1"/>
  <c r="I3078" i="2" s="1"/>
  <c r="I3079" i="2" s="1"/>
  <c r="I3080" i="2" s="1"/>
  <c r="I3081" i="2" s="1"/>
  <c r="I3082" i="2" s="1"/>
  <c r="I3083" i="2" s="1"/>
  <c r="I3084" i="2" s="1"/>
  <c r="I3085" i="2" s="1"/>
  <c r="I3086" i="2" s="1"/>
  <c r="I3087" i="2" s="1"/>
  <c r="I3088" i="2" s="1"/>
  <c r="I3089" i="2" s="1"/>
  <c r="I3090" i="2" s="1"/>
  <c r="I3091" i="2" s="1"/>
  <c r="I3092" i="2" s="1"/>
  <c r="I3093" i="2" s="1"/>
  <c r="I3094" i="2" s="1"/>
  <c r="I3095" i="2" s="1"/>
  <c r="I3096" i="2" s="1"/>
  <c r="I3097" i="2" s="1"/>
  <c r="I3098" i="2" s="1"/>
  <c r="I3099" i="2" s="1"/>
  <c r="I3100" i="2" s="1"/>
  <c r="I3101" i="2" s="1"/>
  <c r="I3102" i="2" s="1"/>
  <c r="I3103" i="2" s="1"/>
  <c r="I3104" i="2" s="1"/>
  <c r="I3105" i="2" s="1"/>
  <c r="I3106" i="2" s="1"/>
  <c r="I3107" i="2" s="1"/>
  <c r="I3108" i="2" s="1"/>
  <c r="I3109" i="2" s="1"/>
  <c r="I3110" i="2" s="1"/>
  <c r="I3111" i="2" s="1"/>
  <c r="I3112" i="2" s="1"/>
  <c r="I3113" i="2" s="1"/>
  <c r="I3114" i="2" s="1"/>
  <c r="I3115" i="2" s="1"/>
  <c r="I3116" i="2" s="1"/>
  <c r="I3117" i="2" s="1"/>
  <c r="I3118" i="2" s="1"/>
  <c r="I3119" i="2" s="1"/>
  <c r="I3120" i="2" s="1"/>
  <c r="I3121" i="2" s="1"/>
  <c r="I3122" i="2" s="1"/>
  <c r="I3123" i="2" s="1"/>
  <c r="I3124" i="2" s="1"/>
  <c r="I3125" i="2" s="1"/>
  <c r="I3126" i="2" s="1"/>
  <c r="I3127" i="2" s="1"/>
  <c r="I3128" i="2" s="1"/>
  <c r="I3129" i="2" s="1"/>
  <c r="I3130" i="2" s="1"/>
  <c r="I3131" i="2" s="1"/>
  <c r="I3132" i="2" s="1"/>
  <c r="I3133" i="2" s="1"/>
  <c r="I3134" i="2" s="1"/>
  <c r="I3135" i="2" s="1"/>
  <c r="I3136" i="2" s="1"/>
  <c r="I3137" i="2" s="1"/>
  <c r="I3138" i="2" s="1"/>
  <c r="I3139" i="2" s="1"/>
  <c r="I3140" i="2" s="1"/>
  <c r="I3141" i="2" s="1"/>
  <c r="I3142" i="2" s="1"/>
  <c r="I3143" i="2" s="1"/>
  <c r="I3144" i="2" s="1"/>
  <c r="I3145" i="2" s="1"/>
  <c r="I3146" i="2" s="1"/>
  <c r="I3147" i="2" s="1"/>
  <c r="I3148" i="2" s="1"/>
  <c r="I3149" i="2" s="1"/>
  <c r="I3150" i="2" s="1"/>
  <c r="I3151" i="2" s="1"/>
  <c r="I3152" i="2" s="1"/>
  <c r="I3153" i="2" s="1"/>
  <c r="I3154" i="2" s="1"/>
  <c r="I3155" i="2" s="1"/>
  <c r="I3156" i="2" s="1"/>
  <c r="I3157" i="2" s="1"/>
  <c r="I3158" i="2" s="1"/>
  <c r="I3159" i="2" s="1"/>
  <c r="I3160" i="2" s="1"/>
  <c r="I3161" i="2" s="1"/>
  <c r="I3162" i="2" s="1"/>
  <c r="I3163" i="2" s="1"/>
  <c r="I3164" i="2" s="1"/>
  <c r="I3165" i="2" s="1"/>
  <c r="I3166" i="2" s="1"/>
  <c r="I3167" i="2" s="1"/>
  <c r="I3168" i="2" s="1"/>
  <c r="I3169" i="2" s="1"/>
  <c r="I3170" i="2" s="1"/>
  <c r="I3171" i="2" s="1"/>
  <c r="I3172" i="2" s="1"/>
  <c r="I3173" i="2" s="1"/>
  <c r="I3174" i="2" s="1"/>
  <c r="I3175" i="2" s="1"/>
  <c r="I3176" i="2" s="1"/>
  <c r="I3177" i="2" s="1"/>
  <c r="I3178" i="2" s="1"/>
  <c r="I3179" i="2" s="1"/>
  <c r="I3180" i="2" s="1"/>
  <c r="I3181" i="2" s="1"/>
  <c r="I3182" i="2" s="1"/>
  <c r="I3183" i="2" s="1"/>
  <c r="I3184" i="2" s="1"/>
  <c r="I3185" i="2" s="1"/>
  <c r="I3186" i="2" s="1"/>
  <c r="I3187" i="2" s="1"/>
  <c r="I3188" i="2" s="1"/>
  <c r="I3189" i="2" s="1"/>
  <c r="I3190" i="2" s="1"/>
  <c r="I3191" i="2" s="1"/>
  <c r="I3192" i="2" s="1"/>
  <c r="I3193" i="2" s="1"/>
  <c r="I3194" i="2" s="1"/>
  <c r="I3195" i="2" s="1"/>
  <c r="I3196" i="2" s="1"/>
  <c r="I3197" i="2" s="1"/>
  <c r="I3198" i="2" s="1"/>
  <c r="I3199" i="2" s="1"/>
  <c r="I3200" i="2" s="1"/>
  <c r="I3201" i="2" s="1"/>
  <c r="I3202" i="2" s="1"/>
  <c r="I3203" i="2" s="1"/>
  <c r="I3204" i="2" s="1"/>
  <c r="I3205" i="2" s="1"/>
  <c r="I3206" i="2" s="1"/>
  <c r="I3207" i="2" s="1"/>
  <c r="I3208" i="2" s="1"/>
  <c r="I3209" i="2" s="1"/>
  <c r="I3210" i="2" s="1"/>
  <c r="I3211" i="2" s="1"/>
  <c r="I3212" i="2" s="1"/>
  <c r="I3213" i="2" s="1"/>
  <c r="I3214" i="2" s="1"/>
  <c r="I3215" i="2" s="1"/>
  <c r="I3216" i="2" s="1"/>
  <c r="I3217" i="2" s="1"/>
  <c r="I3218" i="2" s="1"/>
  <c r="I3219" i="2" s="1"/>
  <c r="I3220" i="2" s="1"/>
  <c r="I3221" i="2" s="1"/>
  <c r="I3222" i="2" s="1"/>
  <c r="I3223" i="2" s="1"/>
  <c r="I3224" i="2" s="1"/>
  <c r="I3225" i="2" s="1"/>
  <c r="I3226" i="2" s="1"/>
  <c r="I3227" i="2" s="1"/>
  <c r="I3228" i="2" s="1"/>
  <c r="I3229" i="2" s="1"/>
  <c r="I3230" i="2" s="1"/>
  <c r="I3231" i="2" s="1"/>
  <c r="I3232" i="2" s="1"/>
  <c r="I3233" i="2" s="1"/>
  <c r="I3234" i="2" s="1"/>
  <c r="I3235" i="2" s="1"/>
  <c r="I3236" i="2" s="1"/>
  <c r="I3237" i="2" s="1"/>
  <c r="I3238" i="2" s="1"/>
  <c r="I3239" i="2" s="1"/>
  <c r="I3240" i="2" s="1"/>
  <c r="I3241" i="2" s="1"/>
  <c r="I3242" i="2" s="1"/>
  <c r="I3243" i="2" s="1"/>
  <c r="I3244" i="2" s="1"/>
  <c r="I3245" i="2" s="1"/>
  <c r="I3246" i="2" s="1"/>
  <c r="I3247" i="2" s="1"/>
  <c r="I3248" i="2" s="1"/>
  <c r="I3249" i="2" s="1"/>
  <c r="I3250" i="2" s="1"/>
  <c r="I3251" i="2" s="1"/>
  <c r="I3252" i="2" s="1"/>
  <c r="I3253" i="2" s="1"/>
  <c r="I3254" i="2" s="1"/>
  <c r="I3255" i="2" s="1"/>
  <c r="I3256" i="2" s="1"/>
  <c r="I3257" i="2" s="1"/>
  <c r="I3258" i="2" s="1"/>
  <c r="I3259" i="2" s="1"/>
  <c r="I3260" i="2" s="1"/>
  <c r="I3261" i="2" s="1"/>
  <c r="I3262" i="2" s="1"/>
  <c r="I3263" i="2" s="1"/>
  <c r="I3264" i="2" s="1"/>
  <c r="I3265" i="2" s="1"/>
  <c r="I3266" i="2" s="1"/>
  <c r="I3267" i="2" s="1"/>
  <c r="I3268" i="2" s="1"/>
  <c r="I3269" i="2" s="1"/>
  <c r="I3270" i="2" s="1"/>
  <c r="I3271" i="2" s="1"/>
  <c r="I3272" i="2" s="1"/>
  <c r="I3273" i="2" s="1"/>
  <c r="I3274" i="2" s="1"/>
  <c r="I3275" i="2" s="1"/>
  <c r="I3276" i="2" s="1"/>
  <c r="I3277" i="2" s="1"/>
  <c r="I3278" i="2" s="1"/>
  <c r="I3279" i="2" s="1"/>
  <c r="I3280" i="2" s="1"/>
  <c r="I3281" i="2" s="1"/>
  <c r="I3282" i="2" s="1"/>
  <c r="I3283" i="2" s="1"/>
  <c r="I3284" i="2" s="1"/>
  <c r="I3285" i="2" s="1"/>
  <c r="I3286" i="2" s="1"/>
  <c r="I3287" i="2" s="1"/>
  <c r="I3288" i="2" s="1"/>
  <c r="I3289" i="2" s="1"/>
  <c r="I3290" i="2" s="1"/>
  <c r="I3291" i="2" s="1"/>
  <c r="I3292" i="2" s="1"/>
  <c r="I3293" i="2" s="1"/>
  <c r="I3294" i="2" s="1"/>
  <c r="I3295" i="2" s="1"/>
  <c r="I3296" i="2" s="1"/>
  <c r="I3297" i="2" s="1"/>
  <c r="I3298" i="2" s="1"/>
  <c r="I3299" i="2" s="1"/>
  <c r="I3300" i="2" s="1"/>
  <c r="I3301" i="2" s="1"/>
  <c r="I3302" i="2" s="1"/>
  <c r="I3303" i="2" s="1"/>
  <c r="I3304" i="2" s="1"/>
  <c r="I3305" i="2" s="1"/>
  <c r="I3306" i="2" s="1"/>
  <c r="I3307" i="2" s="1"/>
  <c r="I3308" i="2" s="1"/>
  <c r="I3309" i="2" s="1"/>
  <c r="I3310" i="2" s="1"/>
  <c r="I3311" i="2" s="1"/>
  <c r="I3312" i="2" s="1"/>
  <c r="I3313" i="2" s="1"/>
  <c r="I3314" i="2" s="1"/>
  <c r="I3315" i="2" s="1"/>
  <c r="I3316" i="2" s="1"/>
  <c r="I3317" i="2" s="1"/>
  <c r="I3318" i="2" s="1"/>
  <c r="I3319" i="2" s="1"/>
  <c r="I3320" i="2" s="1"/>
  <c r="I3321" i="2" s="1"/>
  <c r="I3322" i="2" s="1"/>
  <c r="I3323" i="2" s="1"/>
  <c r="I3324" i="2" s="1"/>
  <c r="I3325" i="2" s="1"/>
  <c r="I3326" i="2" s="1"/>
  <c r="I3327" i="2" s="1"/>
  <c r="I3328" i="2" s="1"/>
  <c r="I3329" i="2" s="1"/>
  <c r="I3330" i="2" s="1"/>
  <c r="I3331" i="2" s="1"/>
  <c r="I3332" i="2" s="1"/>
  <c r="I3333" i="2" s="1"/>
  <c r="I3334" i="2" s="1"/>
  <c r="I3335" i="2" s="1"/>
  <c r="I3336" i="2" s="1"/>
  <c r="I3337" i="2" s="1"/>
  <c r="I3338" i="2" s="1"/>
  <c r="I3339" i="2" s="1"/>
  <c r="I3340" i="2" s="1"/>
  <c r="I3341" i="2" s="1"/>
  <c r="I3342" i="2" s="1"/>
  <c r="I3343" i="2" s="1"/>
  <c r="I3344" i="2" s="1"/>
  <c r="I3345" i="2" s="1"/>
  <c r="I3346" i="2" s="1"/>
  <c r="I3347" i="2" s="1"/>
  <c r="I3348" i="2" s="1"/>
  <c r="I3349" i="2" s="1"/>
  <c r="I3350" i="2" s="1"/>
  <c r="I3351" i="2" s="1"/>
  <c r="I3352" i="2" s="1"/>
  <c r="I3353" i="2" s="1"/>
  <c r="I3354" i="2" s="1"/>
  <c r="I3355" i="2" s="1"/>
  <c r="I3356" i="2" s="1"/>
  <c r="I3357" i="2" s="1"/>
  <c r="I3358" i="2" s="1"/>
  <c r="I3359" i="2" s="1"/>
  <c r="I3360" i="2" s="1"/>
  <c r="I3361" i="2" s="1"/>
  <c r="I3362" i="2" s="1"/>
  <c r="I3363" i="2" s="1"/>
  <c r="I3364" i="2" s="1"/>
  <c r="I3365" i="2" s="1"/>
  <c r="I3366" i="2" s="1"/>
  <c r="I3367" i="2" s="1"/>
  <c r="I3368" i="2" s="1"/>
  <c r="I3369" i="2" s="1"/>
  <c r="I3370" i="2" s="1"/>
  <c r="I3371" i="2" s="1"/>
  <c r="I3372" i="2" s="1"/>
  <c r="I3373" i="2" s="1"/>
  <c r="I3374" i="2" s="1"/>
  <c r="I3375" i="2" s="1"/>
  <c r="I3376" i="2" s="1"/>
  <c r="I3377" i="2" s="1"/>
  <c r="I3378" i="2" s="1"/>
  <c r="I3379" i="2" s="1"/>
  <c r="I3380" i="2" s="1"/>
  <c r="I3381" i="2" s="1"/>
  <c r="I3382" i="2" s="1"/>
  <c r="I3383" i="2" s="1"/>
  <c r="I3384" i="2" s="1"/>
  <c r="I3385" i="2" s="1"/>
  <c r="I3386" i="2" s="1"/>
  <c r="I3387" i="2" s="1"/>
  <c r="I3388" i="2" s="1"/>
  <c r="I3389" i="2" s="1"/>
  <c r="I3390" i="2" s="1"/>
  <c r="I3391" i="2" s="1"/>
  <c r="I3392" i="2" s="1"/>
  <c r="I3393" i="2" s="1"/>
  <c r="I3394" i="2" s="1"/>
  <c r="I3395" i="2" s="1"/>
  <c r="I3396" i="2" s="1"/>
  <c r="I3397" i="2" s="1"/>
  <c r="I3398" i="2" s="1"/>
  <c r="I3399" i="2" s="1"/>
  <c r="I3400" i="2" s="1"/>
  <c r="I3401" i="2" s="1"/>
  <c r="I3402" i="2" s="1"/>
  <c r="I3403" i="2" s="1"/>
  <c r="I3404" i="2" s="1"/>
  <c r="I3405" i="2" s="1"/>
  <c r="I3406" i="2" s="1"/>
  <c r="I3407" i="2" s="1"/>
  <c r="I3408" i="2" s="1"/>
  <c r="I3409" i="2" s="1"/>
  <c r="I3410" i="2" s="1"/>
  <c r="I3411" i="2" s="1"/>
  <c r="I3412" i="2" s="1"/>
  <c r="I3413" i="2" s="1"/>
  <c r="I3414" i="2" s="1"/>
  <c r="I3415" i="2" s="1"/>
  <c r="I3416" i="2" s="1"/>
  <c r="I3417" i="2" s="1"/>
  <c r="I3418" i="2" s="1"/>
  <c r="I3419" i="2" s="1"/>
  <c r="I3420" i="2" s="1"/>
  <c r="I3421" i="2" s="1"/>
  <c r="I3422" i="2" s="1"/>
  <c r="I3423" i="2" s="1"/>
  <c r="I3424" i="2" s="1"/>
  <c r="I3425" i="2" s="1"/>
  <c r="I3426" i="2" s="1"/>
  <c r="I3427" i="2" s="1"/>
  <c r="I3428" i="2" s="1"/>
  <c r="I3429" i="2" s="1"/>
  <c r="I3430" i="2" s="1"/>
  <c r="I3431" i="2" s="1"/>
  <c r="I3432" i="2" s="1"/>
  <c r="I3433" i="2" s="1"/>
  <c r="I3434" i="2" s="1"/>
  <c r="I3435" i="2" s="1"/>
  <c r="I3436" i="2" s="1"/>
  <c r="I3437" i="2" s="1"/>
  <c r="I3438" i="2" s="1"/>
  <c r="I3439" i="2" s="1"/>
  <c r="I3440" i="2" s="1"/>
  <c r="I3441" i="2" s="1"/>
  <c r="I3442" i="2" s="1"/>
  <c r="I3443" i="2" s="1"/>
  <c r="I3444" i="2" s="1"/>
  <c r="I3445" i="2" s="1"/>
  <c r="I3446" i="2" s="1"/>
  <c r="I3447" i="2" s="1"/>
  <c r="I3448" i="2" s="1"/>
  <c r="I3449" i="2" s="1"/>
  <c r="I3450" i="2" s="1"/>
  <c r="I3451" i="2" s="1"/>
  <c r="I3452" i="2" s="1"/>
  <c r="I3453" i="2" s="1"/>
  <c r="I3454" i="2" s="1"/>
  <c r="I3455" i="2" s="1"/>
  <c r="I3456" i="2" s="1"/>
  <c r="I3457" i="2" s="1"/>
  <c r="I3458" i="2" s="1"/>
  <c r="I3459" i="2" s="1"/>
  <c r="I3460" i="2" s="1"/>
  <c r="I3461" i="2" s="1"/>
  <c r="I3462" i="2" s="1"/>
  <c r="I3463" i="2" s="1"/>
  <c r="I3464" i="2" s="1"/>
  <c r="I3465" i="2" s="1"/>
  <c r="I3466" i="2" s="1"/>
  <c r="I3467" i="2" s="1"/>
  <c r="I3468" i="2" s="1"/>
  <c r="I3469" i="2" s="1"/>
  <c r="I3470" i="2" s="1"/>
  <c r="I3471" i="2" s="1"/>
  <c r="I3472" i="2" s="1"/>
  <c r="I3473" i="2" s="1"/>
  <c r="I3474" i="2" s="1"/>
  <c r="I3475" i="2" s="1"/>
  <c r="I3476" i="2" s="1"/>
  <c r="I3477" i="2" s="1"/>
  <c r="I3478" i="2" s="1"/>
  <c r="I3479" i="2" s="1"/>
  <c r="I3480" i="2" s="1"/>
  <c r="I3481" i="2" s="1"/>
  <c r="I3482" i="2" s="1"/>
  <c r="I3483" i="2" s="1"/>
  <c r="I3484" i="2" s="1"/>
  <c r="I3485" i="2" s="1"/>
  <c r="I3486" i="2" s="1"/>
  <c r="I3487" i="2" s="1"/>
  <c r="I3488" i="2" s="1"/>
  <c r="I3489" i="2" s="1"/>
  <c r="I3490" i="2" s="1"/>
  <c r="I3491" i="2" s="1"/>
  <c r="I3492" i="2" s="1"/>
  <c r="I3493" i="2" s="1"/>
  <c r="I3494" i="2" s="1"/>
  <c r="I3495" i="2" s="1"/>
  <c r="I3496" i="2" s="1"/>
  <c r="I3497" i="2" s="1"/>
  <c r="I3498" i="2" s="1"/>
  <c r="I3499" i="2" s="1"/>
  <c r="I3500" i="2" s="1"/>
  <c r="I3501" i="2" s="1"/>
  <c r="I3502" i="2" s="1"/>
  <c r="I3503" i="2" s="1"/>
  <c r="I3504" i="2" s="1"/>
  <c r="I3505" i="2" s="1"/>
  <c r="I3506" i="2" s="1"/>
  <c r="I3507" i="2" s="1"/>
  <c r="I3508" i="2" s="1"/>
  <c r="I3509" i="2" s="1"/>
  <c r="I3510" i="2" s="1"/>
  <c r="I3511" i="2" s="1"/>
  <c r="I3512" i="2" s="1"/>
  <c r="I3513" i="2" s="1"/>
  <c r="I3514" i="2" s="1"/>
  <c r="I3515" i="2" s="1"/>
  <c r="I3516" i="2" s="1"/>
  <c r="I3517" i="2" s="1"/>
  <c r="I3518" i="2" s="1"/>
  <c r="I3519" i="2" s="1"/>
  <c r="I3520" i="2" s="1"/>
  <c r="I3521" i="2" s="1"/>
  <c r="I3522" i="2" s="1"/>
  <c r="I3523" i="2" s="1"/>
  <c r="I3524" i="2" s="1"/>
  <c r="I3525" i="2" s="1"/>
  <c r="I3526" i="2" s="1"/>
  <c r="I3527" i="2" s="1"/>
  <c r="I3528" i="2" s="1"/>
  <c r="I3529" i="2" s="1"/>
  <c r="I3530" i="2" s="1"/>
  <c r="I3531" i="2" s="1"/>
  <c r="I3532" i="2" s="1"/>
  <c r="I3533" i="2" s="1"/>
  <c r="I3534" i="2" s="1"/>
  <c r="I3535" i="2" s="1"/>
  <c r="I3536" i="2" s="1"/>
  <c r="I3537" i="2" s="1"/>
  <c r="I3538" i="2" s="1"/>
  <c r="I3539" i="2" s="1"/>
  <c r="I3540" i="2" s="1"/>
  <c r="I3541" i="2" s="1"/>
  <c r="I3542" i="2" s="1"/>
  <c r="I3543" i="2" s="1"/>
  <c r="I3544" i="2" s="1"/>
  <c r="I3545" i="2" s="1"/>
  <c r="I3546" i="2" s="1"/>
  <c r="I3547" i="2" s="1"/>
  <c r="I3548" i="2" s="1"/>
  <c r="I3549" i="2" s="1"/>
  <c r="I3550" i="2" s="1"/>
  <c r="I3551" i="2" s="1"/>
  <c r="I3552" i="2" s="1"/>
  <c r="I3553" i="2" s="1"/>
  <c r="I3554" i="2" s="1"/>
  <c r="I3555" i="2" s="1"/>
  <c r="I3556" i="2" s="1"/>
  <c r="I3557" i="2" s="1"/>
  <c r="I3558" i="2" s="1"/>
  <c r="I3559" i="2" s="1"/>
  <c r="I3560" i="2" s="1"/>
  <c r="I3561" i="2" s="1"/>
  <c r="I3562" i="2" s="1"/>
  <c r="I3563" i="2" s="1"/>
  <c r="I3564" i="2" s="1"/>
  <c r="I3565" i="2" s="1"/>
  <c r="I3566" i="2" s="1"/>
  <c r="I3567" i="2" s="1"/>
  <c r="I3568" i="2" s="1"/>
  <c r="I3569" i="2" s="1"/>
  <c r="I3570" i="2" s="1"/>
  <c r="I3571" i="2" s="1"/>
  <c r="I3572" i="2" s="1"/>
  <c r="I3573" i="2" s="1"/>
  <c r="I3574" i="2" s="1"/>
  <c r="I3575" i="2" s="1"/>
  <c r="I3576" i="2" s="1"/>
  <c r="I3577" i="2" s="1"/>
  <c r="I3578" i="2" s="1"/>
  <c r="I3579" i="2" s="1"/>
  <c r="I3580" i="2" s="1"/>
  <c r="I3581" i="2" s="1"/>
  <c r="I3582" i="2" s="1"/>
  <c r="I3583" i="2" s="1"/>
  <c r="I3584" i="2" s="1"/>
  <c r="I3585" i="2" s="1"/>
  <c r="I3586" i="2" s="1"/>
  <c r="I3587" i="2" s="1"/>
  <c r="I3588" i="2" s="1"/>
  <c r="I3589" i="2" s="1"/>
  <c r="I3590" i="2" s="1"/>
  <c r="I3591" i="2" s="1"/>
  <c r="I3592" i="2" s="1"/>
  <c r="I3593" i="2" s="1"/>
  <c r="I3594" i="2" s="1"/>
  <c r="I3595" i="2" s="1"/>
  <c r="I3596" i="2" s="1"/>
  <c r="I3597" i="2" s="1"/>
  <c r="I3598" i="2" s="1"/>
  <c r="I3599" i="2" s="1"/>
  <c r="I3600" i="2" s="1"/>
  <c r="I3601" i="2" s="1"/>
  <c r="I3602" i="2" s="1"/>
  <c r="I3603" i="2" s="1"/>
  <c r="I3604" i="2" s="1"/>
  <c r="I3605" i="2" s="1"/>
  <c r="I3606" i="2" s="1"/>
  <c r="I3607" i="2" s="1"/>
  <c r="I3608" i="2" s="1"/>
  <c r="I3609" i="2" s="1"/>
  <c r="I3610" i="2" s="1"/>
  <c r="I3611" i="2" s="1"/>
  <c r="I3612" i="2" s="1"/>
  <c r="I3613" i="2" s="1"/>
  <c r="I3614" i="2" s="1"/>
  <c r="I3615" i="2" s="1"/>
  <c r="I3616" i="2" s="1"/>
  <c r="I3617" i="2" s="1"/>
  <c r="I3618" i="2" s="1"/>
  <c r="I3619" i="2" s="1"/>
  <c r="I3620" i="2" s="1"/>
  <c r="I3621" i="2" s="1"/>
  <c r="I3622" i="2" s="1"/>
  <c r="I3623" i="2" s="1"/>
  <c r="I3624" i="2" s="1"/>
  <c r="I3625" i="2" s="1"/>
  <c r="I3626" i="2" s="1"/>
  <c r="I3627" i="2" s="1"/>
  <c r="I3628" i="2" s="1"/>
  <c r="I3629" i="2" s="1"/>
  <c r="I3630" i="2" s="1"/>
  <c r="I3631" i="2" s="1"/>
  <c r="I3632" i="2" s="1"/>
  <c r="I3633" i="2" s="1"/>
  <c r="I3634" i="2" s="1"/>
  <c r="I3635" i="2" s="1"/>
  <c r="I3636" i="2" s="1"/>
  <c r="I3637" i="2" s="1"/>
  <c r="I3638" i="2" s="1"/>
  <c r="I3639" i="2" s="1"/>
  <c r="I3640" i="2" s="1"/>
  <c r="I3641" i="2" s="1"/>
  <c r="I3642" i="2" s="1"/>
  <c r="I3643" i="2" s="1"/>
  <c r="I3644" i="2" s="1"/>
  <c r="I3645" i="2" s="1"/>
  <c r="I3646" i="2" s="1"/>
  <c r="I3647" i="2" s="1"/>
  <c r="I3648" i="2" s="1"/>
  <c r="I3649" i="2" s="1"/>
  <c r="I3650" i="2" s="1"/>
  <c r="I3651" i="2" s="1"/>
  <c r="I3652" i="2" s="1"/>
  <c r="I3653" i="2" s="1"/>
  <c r="I3654" i="2" s="1"/>
  <c r="I3655" i="2" s="1"/>
  <c r="I3656" i="2" s="1"/>
  <c r="I3657" i="2" s="1"/>
  <c r="I3658" i="2" s="1"/>
  <c r="I3659" i="2" s="1"/>
  <c r="I3660" i="2" s="1"/>
  <c r="I3661" i="2" s="1"/>
  <c r="I3662" i="2" s="1"/>
  <c r="I3663" i="2" s="1"/>
  <c r="I3664" i="2" s="1"/>
  <c r="I3665" i="2" s="1"/>
  <c r="I3666" i="2" s="1"/>
  <c r="I3667" i="2" s="1"/>
  <c r="I3668" i="2" s="1"/>
  <c r="I3669" i="2" s="1"/>
  <c r="I3670" i="2" s="1"/>
  <c r="I3671" i="2" s="1"/>
  <c r="I3672" i="2" s="1"/>
  <c r="I3673" i="2" s="1"/>
  <c r="I3674" i="2" s="1"/>
  <c r="I3675" i="2" s="1"/>
  <c r="I3676" i="2" s="1"/>
  <c r="I3677" i="2" s="1"/>
  <c r="I3678" i="2" s="1"/>
  <c r="I3679" i="2" s="1"/>
  <c r="I3680" i="2" s="1"/>
  <c r="I3681" i="2" s="1"/>
  <c r="I3682" i="2" s="1"/>
  <c r="I3683" i="2" s="1"/>
  <c r="I3684" i="2" s="1"/>
  <c r="I3685" i="2" s="1"/>
  <c r="I3686" i="2" s="1"/>
  <c r="I3687" i="2" s="1"/>
  <c r="I3688" i="2" s="1"/>
  <c r="I3689" i="2" s="1"/>
  <c r="I3690" i="2" s="1"/>
  <c r="I3691" i="2" s="1"/>
  <c r="I3692" i="2" s="1"/>
  <c r="I3693" i="2" s="1"/>
  <c r="I3694" i="2" s="1"/>
  <c r="I3695" i="2" s="1"/>
  <c r="I3696" i="2" s="1"/>
  <c r="I3697" i="2" s="1"/>
  <c r="I3698" i="2" s="1"/>
  <c r="I3699" i="2" s="1"/>
  <c r="I3700" i="2" s="1"/>
  <c r="I3701" i="2" s="1"/>
  <c r="I3702" i="2" s="1"/>
  <c r="I3703" i="2" s="1"/>
  <c r="I3704" i="2" s="1"/>
  <c r="I3705" i="2" s="1"/>
  <c r="I3706" i="2" s="1"/>
  <c r="I3707" i="2" s="1"/>
  <c r="I3708" i="2" s="1"/>
  <c r="I3709" i="2" s="1"/>
  <c r="I3710" i="2" s="1"/>
  <c r="I3711" i="2" s="1"/>
  <c r="I3712" i="2" s="1"/>
  <c r="I3713" i="2" s="1"/>
  <c r="I3714" i="2" s="1"/>
  <c r="I3715" i="2" s="1"/>
  <c r="I3716" i="2" s="1"/>
  <c r="I3717" i="2" s="1"/>
  <c r="I3718" i="2" s="1"/>
  <c r="I3719" i="2" s="1"/>
  <c r="I3720" i="2" s="1"/>
  <c r="I3721" i="2" s="1"/>
  <c r="I3722" i="2" s="1"/>
  <c r="I3723" i="2" s="1"/>
  <c r="I3724" i="2" s="1"/>
  <c r="I3725" i="2" s="1"/>
  <c r="I3726" i="2" s="1"/>
  <c r="I3727" i="2" s="1"/>
  <c r="I3728" i="2" s="1"/>
  <c r="I3729" i="2" s="1"/>
  <c r="I3730" i="2" s="1"/>
  <c r="I3731" i="2" s="1"/>
  <c r="I3732" i="2" s="1"/>
  <c r="I3733" i="2" s="1"/>
  <c r="I3734" i="2" s="1"/>
  <c r="I3735" i="2" s="1"/>
  <c r="I3736" i="2" s="1"/>
  <c r="I3737" i="2" s="1"/>
  <c r="I3738" i="2" s="1"/>
  <c r="I3739" i="2" s="1"/>
  <c r="I3740" i="2" s="1"/>
  <c r="I3741" i="2" s="1"/>
  <c r="I3742" i="2" s="1"/>
  <c r="I3743" i="2" s="1"/>
  <c r="I3744" i="2" s="1"/>
  <c r="I3745" i="2" s="1"/>
  <c r="I3746" i="2" s="1"/>
  <c r="I3747" i="2" s="1"/>
  <c r="I3748" i="2" s="1"/>
  <c r="I3749" i="2" s="1"/>
  <c r="I3750" i="2" s="1"/>
  <c r="I3751" i="2" s="1"/>
  <c r="I3752" i="2" s="1"/>
  <c r="I3753" i="2" s="1"/>
  <c r="I3754" i="2" s="1"/>
  <c r="I3755" i="2" s="1"/>
  <c r="I3756" i="2" s="1"/>
  <c r="I3757" i="2" s="1"/>
  <c r="I3758" i="2" s="1"/>
  <c r="I3759" i="2" s="1"/>
  <c r="I3760" i="2" s="1"/>
  <c r="I3761" i="2" s="1"/>
  <c r="I3762" i="2" s="1"/>
  <c r="I3763" i="2" s="1"/>
  <c r="I3764" i="2" s="1"/>
  <c r="I3765" i="2" s="1"/>
  <c r="I3766" i="2" s="1"/>
  <c r="I3767" i="2" s="1"/>
  <c r="I3768" i="2" s="1"/>
  <c r="I3769" i="2" s="1"/>
  <c r="I3770" i="2" s="1"/>
  <c r="I3771" i="2" s="1"/>
  <c r="I3772" i="2" s="1"/>
  <c r="I3773" i="2" s="1"/>
  <c r="I3774" i="2" s="1"/>
  <c r="I3775" i="2" s="1"/>
  <c r="I3776" i="2" s="1"/>
  <c r="I3777" i="2" s="1"/>
  <c r="I3778" i="2" s="1"/>
  <c r="I3779" i="2" s="1"/>
  <c r="I3780" i="2" s="1"/>
  <c r="I3781" i="2" s="1"/>
  <c r="I3782" i="2" s="1"/>
  <c r="I3783" i="2" s="1"/>
  <c r="I3784" i="2" s="1"/>
  <c r="I3785" i="2" s="1"/>
  <c r="I3786" i="2" s="1"/>
  <c r="I3787" i="2" s="1"/>
  <c r="I3788" i="2" s="1"/>
  <c r="I3789" i="2" s="1"/>
  <c r="I3790" i="2" s="1"/>
  <c r="I3791" i="2" s="1"/>
  <c r="I3792" i="2" s="1"/>
  <c r="I3793" i="2" s="1"/>
  <c r="I3794" i="2" s="1"/>
  <c r="I3795" i="2" s="1"/>
  <c r="I3796" i="2" s="1"/>
  <c r="I3797" i="2" s="1"/>
  <c r="I3798" i="2" s="1"/>
  <c r="I3799" i="2" s="1"/>
  <c r="I3800" i="2" s="1"/>
  <c r="I3801" i="2" s="1"/>
  <c r="I3802" i="2" s="1"/>
  <c r="I3803" i="2" s="1"/>
  <c r="I3804" i="2" s="1"/>
  <c r="I3805" i="2" s="1"/>
  <c r="I3806" i="2" s="1"/>
  <c r="I3807" i="2" s="1"/>
  <c r="I3808" i="2" s="1"/>
  <c r="I3809" i="2" s="1"/>
  <c r="I3810" i="2" s="1"/>
  <c r="I3811" i="2" s="1"/>
  <c r="I3812" i="2" s="1"/>
  <c r="I3813" i="2" s="1"/>
  <c r="I3814" i="2" s="1"/>
  <c r="I3815" i="2" s="1"/>
  <c r="I3816" i="2" s="1"/>
  <c r="I3817" i="2" s="1"/>
  <c r="I3818" i="2" s="1"/>
  <c r="I3819" i="2" s="1"/>
  <c r="I3820" i="2" s="1"/>
  <c r="I3821" i="2" s="1"/>
  <c r="I3822" i="2" s="1"/>
  <c r="I3823" i="2" s="1"/>
  <c r="I3824" i="2" s="1"/>
  <c r="I3825" i="2" s="1"/>
  <c r="I3826" i="2" s="1"/>
  <c r="I3827" i="2" s="1"/>
  <c r="I3828" i="2" s="1"/>
  <c r="I3829" i="2" s="1"/>
  <c r="I3830" i="2" s="1"/>
  <c r="I3831" i="2" s="1"/>
  <c r="I3832" i="2" s="1"/>
  <c r="I3833" i="2" s="1"/>
  <c r="I3834" i="2" s="1"/>
  <c r="I3835" i="2" s="1"/>
  <c r="I3836" i="2" s="1"/>
  <c r="I3837" i="2" s="1"/>
  <c r="I3838" i="2" s="1"/>
  <c r="I3839" i="2" s="1"/>
  <c r="I3840" i="2" s="1"/>
  <c r="I3841" i="2" s="1"/>
  <c r="I3842" i="2" s="1"/>
  <c r="I3843" i="2" s="1"/>
  <c r="I3844" i="2" s="1"/>
  <c r="I3845" i="2" s="1"/>
  <c r="I3846" i="2" s="1"/>
  <c r="I3847" i="2" s="1"/>
  <c r="I3848" i="2" s="1"/>
  <c r="I3849" i="2" s="1"/>
  <c r="I3850" i="2" s="1"/>
  <c r="I3851" i="2" s="1"/>
  <c r="I3852" i="2" s="1"/>
  <c r="I3853" i="2" s="1"/>
  <c r="I3854" i="2" s="1"/>
  <c r="I3855" i="2" s="1"/>
  <c r="I3856" i="2" s="1"/>
  <c r="I3857" i="2" s="1"/>
  <c r="I3858" i="2" s="1"/>
  <c r="I3859" i="2" s="1"/>
  <c r="I3860" i="2" s="1"/>
  <c r="I3861" i="2" s="1"/>
  <c r="I3862" i="2" s="1"/>
  <c r="I3863" i="2" s="1"/>
  <c r="I3864" i="2" s="1"/>
  <c r="I3865" i="2" s="1"/>
  <c r="I3866" i="2" s="1"/>
  <c r="I3867" i="2" s="1"/>
  <c r="I3868" i="2" s="1"/>
  <c r="I3869" i="2" s="1"/>
  <c r="I3870" i="2" s="1"/>
  <c r="I3871" i="2" s="1"/>
  <c r="I3872" i="2" s="1"/>
  <c r="I3873" i="2" s="1"/>
  <c r="I3874" i="2" s="1"/>
  <c r="I3875" i="2" s="1"/>
  <c r="I3876" i="2" s="1"/>
  <c r="I3877" i="2" s="1"/>
  <c r="I3878" i="2" s="1"/>
  <c r="I3879" i="2" s="1"/>
  <c r="I3880" i="2" s="1"/>
  <c r="I3881" i="2" s="1"/>
  <c r="I3882" i="2" s="1"/>
  <c r="I3883" i="2" s="1"/>
  <c r="I3884" i="2" s="1"/>
  <c r="I3885" i="2" s="1"/>
  <c r="I3886" i="2" s="1"/>
  <c r="I3887" i="2" s="1"/>
  <c r="I3888" i="2" s="1"/>
  <c r="I3889" i="2" s="1"/>
  <c r="I3890" i="2" s="1"/>
  <c r="I3891" i="2" s="1"/>
  <c r="I3892" i="2" s="1"/>
  <c r="I3893" i="2" s="1"/>
  <c r="I3894" i="2" s="1"/>
  <c r="I3895" i="2" s="1"/>
  <c r="I3896" i="2" s="1"/>
  <c r="I3897" i="2" s="1"/>
  <c r="I3898" i="2" s="1"/>
  <c r="I3899" i="2" s="1"/>
  <c r="I3900" i="2" s="1"/>
  <c r="I3901" i="2" s="1"/>
  <c r="I3902" i="2" s="1"/>
  <c r="I3903" i="2" s="1"/>
  <c r="I3904" i="2" s="1"/>
  <c r="I3905" i="2" s="1"/>
  <c r="I3906" i="2" s="1"/>
  <c r="I3907" i="2" s="1"/>
  <c r="I3908" i="2" s="1"/>
  <c r="I3909" i="2" s="1"/>
  <c r="I3910" i="2" s="1"/>
  <c r="I3911" i="2" s="1"/>
  <c r="I3912" i="2" s="1"/>
  <c r="I3913" i="2" s="1"/>
  <c r="I3914" i="2" s="1"/>
  <c r="I3915" i="2" s="1"/>
  <c r="I3916" i="2" s="1"/>
  <c r="I3917" i="2" s="1"/>
  <c r="I3918" i="2" s="1"/>
  <c r="I3919" i="2" s="1"/>
  <c r="I3920" i="2" s="1"/>
  <c r="I3921" i="2" s="1"/>
  <c r="I3922" i="2" s="1"/>
  <c r="I3923" i="2" s="1"/>
  <c r="I3924" i="2" s="1"/>
  <c r="I3925" i="2" s="1"/>
  <c r="I3926" i="2" s="1"/>
  <c r="I3927" i="2" s="1"/>
  <c r="I3928" i="2" s="1"/>
  <c r="I3929" i="2" s="1"/>
  <c r="I3930" i="2" s="1"/>
  <c r="I3931" i="2" s="1"/>
  <c r="I3932" i="2" s="1"/>
  <c r="I3933" i="2" s="1"/>
  <c r="I3934" i="2" s="1"/>
  <c r="I3935" i="2" s="1"/>
  <c r="I3936" i="2" s="1"/>
  <c r="I3937" i="2" s="1"/>
  <c r="I3938" i="2" s="1"/>
  <c r="I3939" i="2" s="1"/>
  <c r="I3940" i="2" s="1"/>
  <c r="I3941" i="2" s="1"/>
  <c r="I3942" i="2" s="1"/>
  <c r="I3943" i="2" s="1"/>
  <c r="I3944" i="2" s="1"/>
  <c r="I3945" i="2" s="1"/>
  <c r="I3946" i="2" s="1"/>
  <c r="I3947" i="2" s="1"/>
  <c r="I3948" i="2" s="1"/>
  <c r="I3949" i="2" s="1"/>
  <c r="I3950" i="2" s="1"/>
  <c r="I3951" i="2" s="1"/>
  <c r="I3952" i="2" s="1"/>
  <c r="I3953" i="2" s="1"/>
  <c r="I3954" i="2" s="1"/>
  <c r="I3955" i="2" s="1"/>
  <c r="I3956" i="2" s="1"/>
  <c r="I3957" i="2" s="1"/>
  <c r="I3958" i="2" s="1"/>
  <c r="I3959" i="2" s="1"/>
  <c r="I3960" i="2" s="1"/>
  <c r="I3961" i="2" s="1"/>
  <c r="I3962" i="2" s="1"/>
  <c r="I3963" i="2" s="1"/>
  <c r="I3964" i="2" s="1"/>
  <c r="I3965" i="2" s="1"/>
  <c r="I3966" i="2" s="1"/>
  <c r="I3967" i="2" s="1"/>
  <c r="I3968" i="2" s="1"/>
  <c r="I3969" i="2" s="1"/>
  <c r="I3970" i="2" s="1"/>
  <c r="I3971" i="2" s="1"/>
  <c r="I3972" i="2" s="1"/>
  <c r="I3973" i="2" s="1"/>
  <c r="I3974" i="2" s="1"/>
  <c r="I3975" i="2" s="1"/>
  <c r="I3976" i="2" s="1"/>
  <c r="I3977" i="2" s="1"/>
  <c r="I3978" i="2" s="1"/>
  <c r="I3979" i="2" s="1"/>
  <c r="I3980" i="2" s="1"/>
  <c r="I3981" i="2" s="1"/>
  <c r="I3982" i="2" s="1"/>
  <c r="I3983" i="2" s="1"/>
  <c r="I3984" i="2" s="1"/>
  <c r="I3985" i="2" s="1"/>
  <c r="I3986" i="2" s="1"/>
  <c r="I3987" i="2" s="1"/>
  <c r="I3988" i="2" s="1"/>
  <c r="I3989" i="2" s="1"/>
  <c r="I3990" i="2" s="1"/>
  <c r="I3991" i="2" s="1"/>
  <c r="I3992" i="2" s="1"/>
  <c r="I3993" i="2" s="1"/>
  <c r="I3994" i="2" s="1"/>
  <c r="I3995" i="2" s="1"/>
  <c r="I3996" i="2" s="1"/>
  <c r="I3997" i="2" s="1"/>
  <c r="I3998" i="2" s="1"/>
  <c r="I3999" i="2" s="1"/>
  <c r="I4000" i="2" s="1"/>
  <c r="I4001" i="2" s="1"/>
  <c r="I4002" i="2" s="1"/>
  <c r="I4003" i="2" s="1"/>
  <c r="I4004" i="2" s="1"/>
  <c r="I4005" i="2" s="1"/>
  <c r="I4006" i="2" s="1"/>
  <c r="I4007" i="2" s="1"/>
  <c r="I4008" i="2" s="1"/>
  <c r="I4009" i="2" s="1"/>
  <c r="I4010" i="2" s="1"/>
  <c r="I4011" i="2" s="1"/>
  <c r="I4012" i="2" s="1"/>
  <c r="I4013" i="2" s="1"/>
  <c r="I4014" i="2" s="1"/>
  <c r="I4015" i="2" s="1"/>
  <c r="I4016" i="2" s="1"/>
  <c r="I4017" i="2" s="1"/>
  <c r="I4018" i="2" s="1"/>
  <c r="I4019" i="2" s="1"/>
  <c r="I4020" i="2" s="1"/>
  <c r="I4021" i="2" s="1"/>
  <c r="I4022" i="2" s="1"/>
  <c r="I4023" i="2" s="1"/>
  <c r="I4024" i="2" s="1"/>
  <c r="I4025" i="2" s="1"/>
  <c r="I4026" i="2" s="1"/>
  <c r="I4027" i="2" s="1"/>
  <c r="I4028" i="2" s="1"/>
  <c r="I4029" i="2" s="1"/>
  <c r="I4030" i="2" s="1"/>
  <c r="I4031" i="2" s="1"/>
  <c r="I4032" i="2" s="1"/>
  <c r="I4033" i="2" s="1"/>
  <c r="I4034" i="2" s="1"/>
  <c r="I4035" i="2" s="1"/>
  <c r="I4036" i="2" s="1"/>
  <c r="I4037" i="2" s="1"/>
  <c r="I4038" i="2" s="1"/>
  <c r="I4039" i="2" s="1"/>
  <c r="I4040" i="2" s="1"/>
  <c r="I4041" i="2" s="1"/>
  <c r="I4042" i="2" s="1"/>
  <c r="I4043" i="2" s="1"/>
  <c r="I4044" i="2" s="1"/>
  <c r="I4045" i="2" s="1"/>
  <c r="I4046" i="2" s="1"/>
  <c r="I4047" i="2" s="1"/>
  <c r="I4048" i="2" s="1"/>
  <c r="I4049" i="2" s="1"/>
  <c r="I4050" i="2" s="1"/>
  <c r="I4051" i="2" s="1"/>
  <c r="I4052" i="2" s="1"/>
  <c r="I4053" i="2" s="1"/>
  <c r="I4054" i="2" s="1"/>
  <c r="I4055" i="2" s="1"/>
  <c r="I4056" i="2" s="1"/>
  <c r="I4057" i="2" s="1"/>
  <c r="I4058" i="2" s="1"/>
  <c r="I4059" i="2" s="1"/>
  <c r="I4060" i="2" s="1"/>
  <c r="I4061" i="2" s="1"/>
  <c r="I4062" i="2" s="1"/>
  <c r="I4063" i="2" s="1"/>
  <c r="I4064" i="2" s="1"/>
  <c r="I4065" i="2" s="1"/>
  <c r="I4066" i="2" s="1"/>
  <c r="I4067" i="2" s="1"/>
  <c r="I4068" i="2" s="1"/>
  <c r="I4069" i="2" s="1"/>
  <c r="I4070" i="2" s="1"/>
  <c r="I4071" i="2" s="1"/>
  <c r="I4072" i="2" s="1"/>
  <c r="I4073" i="2" s="1"/>
  <c r="I4074" i="2" s="1"/>
  <c r="I4075" i="2" s="1"/>
  <c r="I4076" i="2" s="1"/>
  <c r="I4077" i="2" s="1"/>
  <c r="I4078" i="2" s="1"/>
  <c r="I4079" i="2" s="1"/>
  <c r="I4080" i="2" s="1"/>
  <c r="I4081" i="2" s="1"/>
  <c r="I4082" i="2" s="1"/>
  <c r="I4083" i="2" s="1"/>
  <c r="I4084" i="2" s="1"/>
  <c r="I4085" i="2" s="1"/>
  <c r="I4086" i="2" s="1"/>
  <c r="I4087" i="2" s="1"/>
  <c r="I4088" i="2" s="1"/>
  <c r="I4089" i="2" s="1"/>
  <c r="I4090" i="2" s="1"/>
  <c r="I4091" i="2" s="1"/>
  <c r="I4092" i="2" s="1"/>
  <c r="I4093" i="2" s="1"/>
  <c r="I4094" i="2" s="1"/>
  <c r="I4095" i="2" s="1"/>
  <c r="I4096" i="2" s="1"/>
  <c r="I4097" i="2" s="1"/>
  <c r="I4098" i="2" s="1"/>
  <c r="I4099" i="2" s="1"/>
  <c r="I4100" i="2" s="1"/>
  <c r="I4101" i="2" s="1"/>
  <c r="I4102" i="2" s="1"/>
  <c r="I4103" i="2" s="1"/>
  <c r="I4104" i="2" s="1"/>
  <c r="I4105" i="2" s="1"/>
  <c r="I4106" i="2" s="1"/>
  <c r="I4107" i="2" s="1"/>
  <c r="I4108" i="2" s="1"/>
  <c r="I4109" i="2" s="1"/>
  <c r="I4110" i="2" s="1"/>
  <c r="I4111" i="2" s="1"/>
  <c r="I4112" i="2" s="1"/>
  <c r="I4113" i="2" s="1"/>
  <c r="I4114" i="2" s="1"/>
  <c r="I4115" i="2" s="1"/>
  <c r="I4116" i="2" s="1"/>
  <c r="I4117" i="2" s="1"/>
  <c r="I4118" i="2" s="1"/>
  <c r="I4119" i="2" s="1"/>
  <c r="I4120" i="2" s="1"/>
  <c r="I4121" i="2" s="1"/>
  <c r="I4122" i="2" s="1"/>
  <c r="I4123" i="2" s="1"/>
  <c r="I4124" i="2" s="1"/>
  <c r="I4125" i="2" s="1"/>
  <c r="I4126" i="2" s="1"/>
  <c r="I4127" i="2" s="1"/>
  <c r="I4128" i="2" s="1"/>
  <c r="I4129" i="2" s="1"/>
  <c r="I4130" i="2" s="1"/>
  <c r="I4131" i="2" s="1"/>
  <c r="I4132" i="2" s="1"/>
  <c r="I4133" i="2" s="1"/>
  <c r="I4134" i="2" s="1"/>
  <c r="I4135" i="2" s="1"/>
  <c r="I4136" i="2" s="1"/>
  <c r="I4137" i="2" s="1"/>
  <c r="I4138" i="2" s="1"/>
  <c r="I4139" i="2" s="1"/>
  <c r="I4140" i="2" s="1"/>
  <c r="I4141" i="2" s="1"/>
  <c r="I4142" i="2" s="1"/>
  <c r="I4143" i="2" s="1"/>
  <c r="I4144" i="2" s="1"/>
  <c r="I4145" i="2" s="1"/>
  <c r="I4146" i="2" s="1"/>
  <c r="I4147" i="2" s="1"/>
  <c r="I4148" i="2" s="1"/>
  <c r="I4149" i="2" s="1"/>
  <c r="I4150" i="2" s="1"/>
  <c r="I4151" i="2" s="1"/>
  <c r="I4152" i="2" s="1"/>
  <c r="I4153" i="2" s="1"/>
  <c r="I4154" i="2" s="1"/>
  <c r="I4155" i="2" s="1"/>
  <c r="I4156" i="2" s="1"/>
  <c r="I4157" i="2" s="1"/>
  <c r="I4158" i="2" s="1"/>
  <c r="I4159" i="2" s="1"/>
  <c r="I4160" i="2" s="1"/>
  <c r="I4161" i="2" s="1"/>
  <c r="I4162" i="2" s="1"/>
  <c r="I4163" i="2" s="1"/>
  <c r="I4164" i="2" s="1"/>
  <c r="I4165" i="2" s="1"/>
  <c r="I4166" i="2" s="1"/>
  <c r="I4167" i="2" s="1"/>
  <c r="I4168" i="2" s="1"/>
  <c r="I4169" i="2" s="1"/>
  <c r="I4170" i="2" s="1"/>
  <c r="I4171" i="2" s="1"/>
  <c r="I4172" i="2" s="1"/>
  <c r="I4173" i="2" s="1"/>
  <c r="I4174" i="2" s="1"/>
  <c r="I4175" i="2" s="1"/>
  <c r="I4176" i="2" s="1"/>
  <c r="I4177" i="2" s="1"/>
  <c r="I4178" i="2" s="1"/>
  <c r="I4179" i="2" s="1"/>
  <c r="I4180" i="2" s="1"/>
  <c r="I4181" i="2" s="1"/>
  <c r="I4182" i="2" s="1"/>
  <c r="I4183" i="2" s="1"/>
  <c r="I4184" i="2" s="1"/>
  <c r="I4185" i="2" s="1"/>
  <c r="I4186" i="2" s="1"/>
  <c r="I4187" i="2" s="1"/>
  <c r="I4188" i="2" s="1"/>
  <c r="I4189" i="2" s="1"/>
  <c r="I4190" i="2" s="1"/>
  <c r="I4191" i="2" s="1"/>
  <c r="I4192" i="2" s="1"/>
  <c r="I4193" i="2" s="1"/>
  <c r="I4194" i="2" s="1"/>
  <c r="I4195" i="2" s="1"/>
  <c r="I4196" i="2" s="1"/>
  <c r="I4197" i="2" s="1"/>
  <c r="I4198" i="2" s="1"/>
  <c r="I4199" i="2" s="1"/>
  <c r="I4200" i="2" s="1"/>
  <c r="I4201" i="2" s="1"/>
  <c r="I4202" i="2" s="1"/>
  <c r="I4203" i="2" s="1"/>
  <c r="I4204" i="2" s="1"/>
  <c r="I4205" i="2" s="1"/>
  <c r="I4206" i="2" s="1"/>
  <c r="I4207" i="2" s="1"/>
  <c r="I4208" i="2" s="1"/>
  <c r="I4209" i="2" s="1"/>
  <c r="I4210" i="2" s="1"/>
  <c r="I4211" i="2" s="1"/>
  <c r="I4212" i="2" s="1"/>
  <c r="I4213" i="2" s="1"/>
  <c r="I4214" i="2" s="1"/>
  <c r="I4215" i="2" s="1"/>
  <c r="I4216" i="2" s="1"/>
  <c r="I4217" i="2" s="1"/>
  <c r="I4218" i="2" s="1"/>
  <c r="I4219" i="2" s="1"/>
  <c r="I4220" i="2" s="1"/>
  <c r="I4221" i="2" s="1"/>
  <c r="I4222" i="2" s="1"/>
  <c r="I4223" i="2" s="1"/>
  <c r="I4224" i="2" s="1"/>
  <c r="I4225" i="2" s="1"/>
  <c r="I4226" i="2" s="1"/>
  <c r="I4227" i="2" s="1"/>
  <c r="I4228" i="2" s="1"/>
  <c r="I4229" i="2" s="1"/>
  <c r="I4230" i="2" s="1"/>
  <c r="I4231" i="2" s="1"/>
  <c r="I4232" i="2" s="1"/>
  <c r="I4233" i="2" s="1"/>
  <c r="I4234" i="2" s="1"/>
  <c r="I4235" i="2" s="1"/>
  <c r="I4236" i="2" s="1"/>
  <c r="I4237" i="2" s="1"/>
  <c r="I4238" i="2" s="1"/>
  <c r="I4239" i="2" s="1"/>
  <c r="I4240" i="2" s="1"/>
  <c r="I4241" i="2" s="1"/>
  <c r="I4242" i="2" s="1"/>
  <c r="I4243" i="2" s="1"/>
  <c r="I4244" i="2" s="1"/>
  <c r="I4245" i="2" s="1"/>
  <c r="I4246" i="2" s="1"/>
  <c r="I4247" i="2" s="1"/>
  <c r="I4248" i="2" s="1"/>
  <c r="I4249" i="2" s="1"/>
  <c r="I4250" i="2" s="1"/>
  <c r="I4251" i="2" s="1"/>
  <c r="I4252" i="2" s="1"/>
  <c r="I4253" i="2" s="1"/>
  <c r="I4254" i="2" s="1"/>
  <c r="I4255" i="2" s="1"/>
  <c r="I4256" i="2" s="1"/>
  <c r="I4257" i="2" s="1"/>
  <c r="I4258" i="2" s="1"/>
  <c r="I4259" i="2" s="1"/>
  <c r="I4260" i="2" s="1"/>
  <c r="I4261" i="2" s="1"/>
  <c r="I4262" i="2" s="1"/>
  <c r="I4263" i="2" s="1"/>
  <c r="I4264" i="2" s="1"/>
  <c r="I4265" i="2" s="1"/>
  <c r="I4266" i="2" s="1"/>
  <c r="I4267" i="2" s="1"/>
  <c r="I4268" i="2" s="1"/>
  <c r="I4269" i="2" s="1"/>
  <c r="I4270" i="2" s="1"/>
  <c r="I4271" i="2" s="1"/>
  <c r="I4272" i="2" s="1"/>
  <c r="I4273" i="2" s="1"/>
  <c r="I4274" i="2" s="1"/>
  <c r="I4275" i="2" s="1"/>
  <c r="I4276" i="2" s="1"/>
  <c r="I4277" i="2" s="1"/>
  <c r="I4278" i="2" s="1"/>
  <c r="I4279" i="2" s="1"/>
  <c r="I4280" i="2" s="1"/>
  <c r="I4281" i="2" s="1"/>
  <c r="I4282" i="2" s="1"/>
  <c r="I4283" i="2" s="1"/>
  <c r="I4284" i="2" s="1"/>
  <c r="I4285" i="2" s="1"/>
  <c r="I4286" i="2" s="1"/>
  <c r="I4287" i="2" s="1"/>
  <c r="I4288" i="2" s="1"/>
  <c r="I4289" i="2" s="1"/>
  <c r="I4290" i="2" s="1"/>
  <c r="I4291" i="2" s="1"/>
  <c r="I4292" i="2" s="1"/>
  <c r="I4293" i="2" s="1"/>
  <c r="I4294" i="2" s="1"/>
  <c r="I4295" i="2" s="1"/>
  <c r="I4296" i="2" s="1"/>
  <c r="I4297" i="2" s="1"/>
  <c r="I4298" i="2" s="1"/>
  <c r="I4299" i="2" s="1"/>
  <c r="I4300" i="2" s="1"/>
  <c r="I4301" i="2" s="1"/>
  <c r="I4302" i="2" s="1"/>
  <c r="I4303" i="2" s="1"/>
  <c r="I4304" i="2" s="1"/>
  <c r="I4305" i="2" s="1"/>
  <c r="I4306" i="2" s="1"/>
  <c r="I4307" i="2" s="1"/>
  <c r="I4308" i="2" s="1"/>
  <c r="I4309" i="2" s="1"/>
  <c r="I4310" i="2" s="1"/>
  <c r="I4311" i="2" s="1"/>
  <c r="I4312" i="2" s="1"/>
  <c r="I4313" i="2" s="1"/>
  <c r="I4314" i="2" s="1"/>
  <c r="I4315" i="2" s="1"/>
  <c r="I4316" i="2" s="1"/>
  <c r="I4317" i="2" s="1"/>
  <c r="I4318" i="2" s="1"/>
  <c r="I4319" i="2" s="1"/>
  <c r="I4320" i="2" s="1"/>
  <c r="I4321" i="2" s="1"/>
  <c r="I4322" i="2" s="1"/>
  <c r="I4323" i="2" s="1"/>
  <c r="I4324" i="2" s="1"/>
  <c r="I4325" i="2" s="1"/>
  <c r="I4326" i="2" s="1"/>
  <c r="I4327" i="2" s="1"/>
  <c r="I4328" i="2" s="1"/>
  <c r="I4329" i="2" s="1"/>
  <c r="I4330" i="2" s="1"/>
  <c r="I4331" i="2" s="1"/>
  <c r="I4332" i="2" s="1"/>
  <c r="I4333" i="2" s="1"/>
  <c r="I4334" i="2" s="1"/>
  <c r="I4335" i="2" s="1"/>
  <c r="I4336" i="2" s="1"/>
  <c r="I4337" i="2" s="1"/>
  <c r="I4338" i="2" s="1"/>
  <c r="I4339" i="2" s="1"/>
  <c r="I4340" i="2" s="1"/>
  <c r="I4341" i="2" s="1"/>
  <c r="I4342" i="2" s="1"/>
  <c r="I4343" i="2" s="1"/>
  <c r="I4344" i="2" s="1"/>
  <c r="I4345" i="2" s="1"/>
  <c r="I4346" i="2" s="1"/>
  <c r="I4347" i="2" s="1"/>
  <c r="I4348" i="2" s="1"/>
  <c r="I4349" i="2" s="1"/>
  <c r="I4350" i="2" s="1"/>
  <c r="I4351" i="2" s="1"/>
  <c r="I4352" i="2" s="1"/>
  <c r="I4353" i="2" s="1"/>
  <c r="I4354" i="2" s="1"/>
  <c r="I4355" i="2" s="1"/>
  <c r="I4356" i="2" s="1"/>
  <c r="I4357" i="2" s="1"/>
  <c r="I4358" i="2" s="1"/>
  <c r="I4359" i="2" s="1"/>
  <c r="I4360" i="2" s="1"/>
  <c r="I4361" i="2" s="1"/>
  <c r="I4362" i="2" s="1"/>
  <c r="I4363" i="2" s="1"/>
  <c r="I4364" i="2" s="1"/>
  <c r="I4365" i="2" s="1"/>
  <c r="I4366" i="2" s="1"/>
  <c r="I4367" i="2" s="1"/>
  <c r="I4368" i="2" s="1"/>
  <c r="I4369" i="2" s="1"/>
  <c r="I4370" i="2" s="1"/>
  <c r="I4371" i="2" s="1"/>
  <c r="I4372" i="2" s="1"/>
  <c r="I4373" i="2" s="1"/>
  <c r="I4374" i="2" s="1"/>
  <c r="I4375" i="2" s="1"/>
  <c r="I4376" i="2" s="1"/>
  <c r="I4377" i="2" s="1"/>
  <c r="I4378" i="2" s="1"/>
  <c r="I4379" i="2" s="1"/>
  <c r="I4380" i="2" s="1"/>
  <c r="I4381" i="2" s="1"/>
  <c r="I4382" i="2" s="1"/>
  <c r="I4383" i="2" s="1"/>
  <c r="I4384" i="2" s="1"/>
  <c r="I4385" i="2" s="1"/>
  <c r="I4386" i="2" s="1"/>
  <c r="I4387" i="2" s="1"/>
  <c r="I4388" i="2" s="1"/>
  <c r="I4389" i="2" s="1"/>
  <c r="I4390" i="2" s="1"/>
  <c r="I4391" i="2" s="1"/>
  <c r="I4392" i="2" s="1"/>
  <c r="I4393" i="2" s="1"/>
  <c r="I4394" i="2" s="1"/>
  <c r="I4395" i="2" s="1"/>
  <c r="I4396" i="2" s="1"/>
  <c r="I4397" i="2" s="1"/>
  <c r="I4398" i="2" s="1"/>
  <c r="I4399" i="2" s="1"/>
  <c r="I4400" i="2" s="1"/>
  <c r="I4401" i="2" s="1"/>
  <c r="I4402" i="2" s="1"/>
  <c r="I4403" i="2" s="1"/>
  <c r="I4404" i="2" s="1"/>
  <c r="I4405" i="2" s="1"/>
  <c r="I4406" i="2" s="1"/>
  <c r="I4407" i="2" s="1"/>
  <c r="I4408" i="2" s="1"/>
  <c r="I4409" i="2" s="1"/>
  <c r="I4410" i="2" s="1"/>
  <c r="I4411" i="2" s="1"/>
  <c r="I4412" i="2" s="1"/>
  <c r="I4413" i="2" s="1"/>
  <c r="I4414" i="2" s="1"/>
  <c r="I4415" i="2" s="1"/>
  <c r="I4416" i="2" s="1"/>
  <c r="I4417" i="2" s="1"/>
  <c r="I4418" i="2" s="1"/>
  <c r="I4419" i="2" s="1"/>
  <c r="I4420" i="2" s="1"/>
  <c r="I4421" i="2" s="1"/>
  <c r="I4422" i="2" s="1"/>
  <c r="I4423" i="2" s="1"/>
  <c r="I4424" i="2" s="1"/>
  <c r="I4425" i="2" s="1"/>
  <c r="I4426" i="2" s="1"/>
  <c r="I4427" i="2" s="1"/>
  <c r="I4428" i="2" s="1"/>
  <c r="I4429" i="2" s="1"/>
  <c r="I4430" i="2" s="1"/>
  <c r="I4431" i="2" s="1"/>
  <c r="I4432" i="2" s="1"/>
  <c r="I4433" i="2" s="1"/>
  <c r="I4434" i="2" s="1"/>
  <c r="I4435" i="2" s="1"/>
  <c r="I4436" i="2" s="1"/>
  <c r="I4437" i="2" s="1"/>
  <c r="I4438" i="2" s="1"/>
  <c r="I4439" i="2" s="1"/>
  <c r="I4440" i="2" s="1"/>
  <c r="I4441" i="2" s="1"/>
  <c r="I4442" i="2" s="1"/>
  <c r="I4443" i="2" s="1"/>
  <c r="I4444" i="2" s="1"/>
  <c r="I4445" i="2" s="1"/>
  <c r="I4446" i="2" s="1"/>
  <c r="I4447" i="2" s="1"/>
  <c r="I4448" i="2" s="1"/>
  <c r="I4449" i="2" s="1"/>
  <c r="I4450" i="2" s="1"/>
  <c r="I4451" i="2" s="1"/>
  <c r="I4452" i="2" s="1"/>
  <c r="I4453" i="2" s="1"/>
  <c r="I4454" i="2" s="1"/>
  <c r="I4455" i="2" s="1"/>
  <c r="I4456" i="2" s="1"/>
  <c r="I4457" i="2" s="1"/>
  <c r="I4458" i="2" s="1"/>
  <c r="I4459" i="2" s="1"/>
  <c r="I4460" i="2" s="1"/>
  <c r="I4461" i="2" s="1"/>
  <c r="I4462" i="2" s="1"/>
  <c r="I4463" i="2" s="1"/>
  <c r="I4464" i="2" s="1"/>
  <c r="I4465" i="2" s="1"/>
  <c r="I4466" i="2" s="1"/>
  <c r="I4467" i="2" s="1"/>
  <c r="I4468" i="2" s="1"/>
  <c r="I4469" i="2" s="1"/>
  <c r="I4470" i="2" s="1"/>
  <c r="I4471" i="2" s="1"/>
  <c r="I4472" i="2" s="1"/>
  <c r="I4473" i="2" s="1"/>
  <c r="I4474" i="2" s="1"/>
  <c r="I4475" i="2" s="1"/>
  <c r="I4476" i="2" s="1"/>
  <c r="I4477" i="2" s="1"/>
  <c r="I4478" i="2" s="1"/>
  <c r="I4479" i="2" s="1"/>
  <c r="I4480" i="2" s="1"/>
  <c r="I4481" i="2" s="1"/>
  <c r="I4482" i="2" s="1"/>
  <c r="I4483" i="2" s="1"/>
  <c r="I4484" i="2" s="1"/>
  <c r="I4485" i="2" s="1"/>
  <c r="I4486" i="2" s="1"/>
  <c r="I4487" i="2" s="1"/>
  <c r="I4488" i="2" s="1"/>
  <c r="I4489" i="2" s="1"/>
  <c r="I4490" i="2" s="1"/>
  <c r="I4491" i="2" s="1"/>
  <c r="I4492" i="2" s="1"/>
  <c r="I4493" i="2" s="1"/>
  <c r="I4494" i="2" s="1"/>
  <c r="I4495" i="2" s="1"/>
  <c r="I4496" i="2" s="1"/>
  <c r="I4497" i="2" s="1"/>
  <c r="I4498" i="2" s="1"/>
  <c r="I4499" i="2" s="1"/>
  <c r="I4500" i="2" s="1"/>
  <c r="I4501" i="2" s="1"/>
  <c r="I4502" i="2" s="1"/>
  <c r="I4503" i="2" s="1"/>
  <c r="I4504" i="2" s="1"/>
  <c r="I4505" i="2" s="1"/>
  <c r="I4506" i="2" s="1"/>
  <c r="I4507" i="2" s="1"/>
  <c r="I4508" i="2" s="1"/>
  <c r="I4509" i="2" s="1"/>
  <c r="I4510" i="2" s="1"/>
  <c r="I4511" i="2" s="1"/>
  <c r="I4512" i="2" s="1"/>
  <c r="I4513" i="2" s="1"/>
  <c r="I4514" i="2" s="1"/>
  <c r="I4515" i="2" s="1"/>
  <c r="I4516" i="2" s="1"/>
  <c r="I4517" i="2" s="1"/>
  <c r="I4518" i="2" s="1"/>
  <c r="I4519" i="2" s="1"/>
  <c r="I4520" i="2" s="1"/>
  <c r="I4521" i="2" s="1"/>
  <c r="I4522" i="2" s="1"/>
  <c r="I4523" i="2" s="1"/>
  <c r="I4524" i="2" s="1"/>
  <c r="I4525" i="2" s="1"/>
  <c r="I4526" i="2" s="1"/>
  <c r="I4527" i="2" s="1"/>
  <c r="I4528" i="2" s="1"/>
  <c r="I4529" i="2" s="1"/>
  <c r="I4530" i="2" s="1"/>
  <c r="I4531" i="2" s="1"/>
  <c r="I4532" i="2" s="1"/>
  <c r="I4533" i="2" s="1"/>
  <c r="I4534" i="2" s="1"/>
  <c r="I4535" i="2" s="1"/>
  <c r="I4536" i="2" s="1"/>
  <c r="I4537" i="2" s="1"/>
  <c r="I4538" i="2" s="1"/>
  <c r="I4539" i="2" s="1"/>
  <c r="I4540" i="2" s="1"/>
  <c r="I4541" i="2" s="1"/>
  <c r="I4542" i="2" s="1"/>
  <c r="I4543" i="2" s="1"/>
  <c r="I4544" i="2" s="1"/>
  <c r="I4545" i="2" s="1"/>
  <c r="I4546" i="2" s="1"/>
  <c r="I4547" i="2" s="1"/>
  <c r="I4548" i="2" s="1"/>
  <c r="I4549" i="2" s="1"/>
  <c r="I4550" i="2" s="1"/>
  <c r="I4551" i="2" s="1"/>
  <c r="I4552" i="2" s="1"/>
  <c r="I4553" i="2" s="1"/>
  <c r="I4554" i="2" s="1"/>
  <c r="I4555" i="2" s="1"/>
  <c r="I4556" i="2" s="1"/>
  <c r="I4557" i="2" s="1"/>
  <c r="I4558" i="2" s="1"/>
  <c r="I4559" i="2" s="1"/>
  <c r="I4560" i="2" s="1"/>
  <c r="I4561" i="2" s="1"/>
  <c r="I4562" i="2" s="1"/>
  <c r="I4563" i="2" s="1"/>
  <c r="I4564" i="2" s="1"/>
  <c r="I4565" i="2" s="1"/>
  <c r="I4566" i="2" s="1"/>
  <c r="I4567" i="2" s="1"/>
  <c r="I4568" i="2" s="1"/>
  <c r="I4569" i="2" s="1"/>
  <c r="I4570" i="2" s="1"/>
  <c r="I4571" i="2" s="1"/>
  <c r="I4572" i="2" s="1"/>
  <c r="I4573" i="2" s="1"/>
  <c r="I4574" i="2" s="1"/>
  <c r="I4575" i="2" s="1"/>
  <c r="I4576" i="2" s="1"/>
  <c r="I4577" i="2" s="1"/>
  <c r="I4578" i="2" s="1"/>
  <c r="I4579" i="2" s="1"/>
  <c r="I4580" i="2" s="1"/>
  <c r="I4581" i="2" s="1"/>
  <c r="I4582" i="2" s="1"/>
  <c r="I4583" i="2" s="1"/>
  <c r="I4584" i="2" s="1"/>
  <c r="I4585" i="2" s="1"/>
  <c r="I4586" i="2" s="1"/>
  <c r="I4587" i="2" s="1"/>
  <c r="I4588" i="2" s="1"/>
  <c r="I4589" i="2" s="1"/>
  <c r="I4590" i="2" s="1"/>
  <c r="I4591" i="2" s="1"/>
  <c r="I4592" i="2" s="1"/>
  <c r="I4593" i="2" s="1"/>
  <c r="I4594" i="2" s="1"/>
  <c r="I4595" i="2" s="1"/>
  <c r="I4596" i="2" s="1"/>
  <c r="I4597" i="2" s="1"/>
  <c r="I4598" i="2" s="1"/>
  <c r="I4599" i="2" s="1"/>
  <c r="I4600" i="2" s="1"/>
  <c r="I4601" i="2" s="1"/>
  <c r="I4602" i="2" s="1"/>
  <c r="I4603" i="2" s="1"/>
  <c r="I4604" i="2" s="1"/>
  <c r="I4605" i="2" s="1"/>
  <c r="I4606" i="2" s="1"/>
  <c r="I4607" i="2" s="1"/>
  <c r="I4608" i="2" s="1"/>
  <c r="I4609" i="2" s="1"/>
  <c r="I4610" i="2" s="1"/>
  <c r="I4611" i="2" s="1"/>
  <c r="I4612" i="2" s="1"/>
  <c r="I4613" i="2" s="1"/>
  <c r="I4614" i="2" s="1"/>
  <c r="I4615" i="2" s="1"/>
  <c r="I4616" i="2" s="1"/>
  <c r="I4617" i="2" s="1"/>
  <c r="I4618" i="2" s="1"/>
  <c r="I4619" i="2" s="1"/>
  <c r="I4620" i="2" s="1"/>
  <c r="I4621" i="2" s="1"/>
  <c r="I4622" i="2" s="1"/>
  <c r="I4623" i="2" s="1"/>
  <c r="I4624" i="2" s="1"/>
  <c r="I4625" i="2" s="1"/>
  <c r="I4626" i="2" s="1"/>
  <c r="I4627" i="2" s="1"/>
  <c r="I4628" i="2" s="1"/>
  <c r="I4629" i="2" s="1"/>
  <c r="I4630" i="2" s="1"/>
  <c r="I4631" i="2" s="1"/>
  <c r="I4632" i="2" s="1"/>
  <c r="I4633" i="2" s="1"/>
  <c r="I4634" i="2" s="1"/>
  <c r="I4635" i="2" s="1"/>
  <c r="I4636" i="2" s="1"/>
  <c r="I4637" i="2" s="1"/>
  <c r="I4638" i="2" s="1"/>
  <c r="I4639" i="2" s="1"/>
  <c r="I4640" i="2" s="1"/>
  <c r="I4641" i="2" s="1"/>
  <c r="I4642" i="2" s="1"/>
  <c r="I4643" i="2" s="1"/>
  <c r="I4644" i="2" s="1"/>
  <c r="I4645" i="2" s="1"/>
  <c r="I4646" i="2" s="1"/>
  <c r="I4647" i="2" s="1"/>
  <c r="I4648" i="2" s="1"/>
  <c r="I4649" i="2" s="1"/>
  <c r="I4650" i="2" s="1"/>
  <c r="I4651" i="2" s="1"/>
  <c r="I4652" i="2" s="1"/>
  <c r="I4653" i="2" s="1"/>
  <c r="I4654" i="2" s="1"/>
  <c r="I4655" i="2" s="1"/>
  <c r="I4656" i="2" s="1"/>
  <c r="I4657" i="2" s="1"/>
  <c r="I4658" i="2" s="1"/>
  <c r="I4659" i="2" s="1"/>
  <c r="I4660" i="2" s="1"/>
  <c r="I4661" i="2" s="1"/>
  <c r="I4662" i="2" s="1"/>
  <c r="I4663" i="2" s="1"/>
  <c r="I4664" i="2" s="1"/>
  <c r="I4665" i="2" s="1"/>
  <c r="I4666" i="2" s="1"/>
  <c r="I4667" i="2" s="1"/>
  <c r="I4668" i="2" s="1"/>
  <c r="I4669" i="2" s="1"/>
  <c r="I4670" i="2" s="1"/>
  <c r="I4671" i="2" s="1"/>
  <c r="I4672" i="2" s="1"/>
  <c r="I4673" i="2" s="1"/>
  <c r="I4674" i="2" s="1"/>
  <c r="I4675" i="2" s="1"/>
  <c r="I4676" i="2" s="1"/>
  <c r="I4677" i="2" s="1"/>
  <c r="I4678" i="2" s="1"/>
  <c r="I4679" i="2" s="1"/>
  <c r="I4680" i="2" s="1"/>
  <c r="I4681" i="2" s="1"/>
  <c r="I4682" i="2" s="1"/>
  <c r="I4683" i="2" s="1"/>
  <c r="I4684" i="2" s="1"/>
  <c r="I4685" i="2" s="1"/>
  <c r="I4686" i="2" s="1"/>
  <c r="I4687" i="2" s="1"/>
  <c r="I4688" i="2" s="1"/>
  <c r="I4689" i="2" s="1"/>
  <c r="I4690" i="2" s="1"/>
  <c r="I4691" i="2" s="1"/>
  <c r="I4692" i="2" s="1"/>
  <c r="I4693" i="2" s="1"/>
  <c r="I4694" i="2" s="1"/>
  <c r="I4695" i="2" s="1"/>
  <c r="I4696" i="2" s="1"/>
  <c r="I4697" i="2" s="1"/>
  <c r="I4698" i="2" s="1"/>
  <c r="I4699" i="2" s="1"/>
  <c r="I4700" i="2" s="1"/>
  <c r="I4701" i="2" s="1"/>
  <c r="I4702" i="2" s="1"/>
  <c r="I4703" i="2" s="1"/>
  <c r="I4704" i="2" s="1"/>
  <c r="I4705" i="2" s="1"/>
  <c r="I4706" i="2" s="1"/>
  <c r="I4707" i="2" s="1"/>
  <c r="I4708" i="2" s="1"/>
  <c r="I4709" i="2" s="1"/>
  <c r="I4710" i="2" s="1"/>
  <c r="I4711" i="2" s="1"/>
  <c r="I4712" i="2" s="1"/>
  <c r="I4713" i="2" s="1"/>
  <c r="I4714" i="2" s="1"/>
  <c r="I4715" i="2" s="1"/>
  <c r="I4716" i="2" s="1"/>
  <c r="I4717" i="2" s="1"/>
  <c r="I4718" i="2" s="1"/>
  <c r="I4719" i="2" s="1"/>
  <c r="I4720" i="2" s="1"/>
  <c r="I4721" i="2" s="1"/>
  <c r="I4722" i="2" s="1"/>
  <c r="I4723" i="2" s="1"/>
  <c r="I4724" i="2" s="1"/>
  <c r="I4725" i="2" s="1"/>
  <c r="I4726" i="2" s="1"/>
  <c r="I4727" i="2" s="1"/>
  <c r="I4728" i="2" s="1"/>
  <c r="I4729" i="2" s="1"/>
  <c r="I4730" i="2" s="1"/>
  <c r="I4731" i="2" s="1"/>
  <c r="I4732" i="2" s="1"/>
  <c r="I4733" i="2" s="1"/>
  <c r="I4734" i="2" s="1"/>
  <c r="I4735" i="2" s="1"/>
  <c r="I4736" i="2" s="1"/>
  <c r="I4737" i="2" s="1"/>
  <c r="I4738" i="2" s="1"/>
  <c r="I4739" i="2" s="1"/>
  <c r="I4740" i="2" s="1"/>
  <c r="I4741" i="2" s="1"/>
  <c r="I4742" i="2" s="1"/>
  <c r="I4743" i="2" s="1"/>
  <c r="I4744" i="2" s="1"/>
  <c r="I4745" i="2" s="1"/>
  <c r="I4746" i="2" s="1"/>
  <c r="I4747" i="2" s="1"/>
  <c r="I4748" i="2" s="1"/>
  <c r="I4749" i="2" s="1"/>
  <c r="I4750" i="2" s="1"/>
  <c r="I4751" i="2" s="1"/>
  <c r="I4752" i="2" s="1"/>
  <c r="I4753" i="2" s="1"/>
  <c r="I4754" i="2" s="1"/>
  <c r="I4755" i="2" s="1"/>
  <c r="I4756" i="2" s="1"/>
  <c r="I4757" i="2" s="1"/>
  <c r="I4758" i="2" s="1"/>
  <c r="I4759" i="2" s="1"/>
  <c r="I4760" i="2" s="1"/>
  <c r="I4761" i="2" s="1"/>
  <c r="I4762" i="2" s="1"/>
  <c r="I4763" i="2" s="1"/>
  <c r="I4764" i="2" s="1"/>
  <c r="I4765" i="2" s="1"/>
  <c r="I4766" i="2" s="1"/>
  <c r="I4767" i="2" s="1"/>
  <c r="I4768" i="2" s="1"/>
  <c r="I4769" i="2" s="1"/>
  <c r="I4770" i="2" s="1"/>
  <c r="I4771" i="2" s="1"/>
  <c r="I4772" i="2" s="1"/>
  <c r="I4773" i="2" s="1"/>
  <c r="I4774" i="2" s="1"/>
  <c r="I4775" i="2" s="1"/>
  <c r="I4776" i="2" s="1"/>
  <c r="I4777" i="2" s="1"/>
  <c r="I4778" i="2" s="1"/>
  <c r="I4779" i="2" s="1"/>
  <c r="I4780" i="2" s="1"/>
  <c r="I4781" i="2" s="1"/>
  <c r="I4782" i="2" s="1"/>
  <c r="I4783" i="2" s="1"/>
  <c r="I4784" i="2" s="1"/>
  <c r="I4785" i="2" s="1"/>
  <c r="I4786" i="2" s="1"/>
  <c r="I4787" i="2" s="1"/>
  <c r="I4788" i="2" s="1"/>
  <c r="I4789" i="2" s="1"/>
  <c r="I4790" i="2" s="1"/>
  <c r="I4791" i="2" s="1"/>
  <c r="I4792" i="2" s="1"/>
  <c r="I4793" i="2" s="1"/>
  <c r="I4794" i="2" s="1"/>
  <c r="I4795" i="2" s="1"/>
  <c r="I4796" i="2" s="1"/>
  <c r="I4797" i="2" s="1"/>
  <c r="I4798" i="2" s="1"/>
  <c r="I4799" i="2" s="1"/>
  <c r="I4800" i="2" s="1"/>
  <c r="I4801" i="2" s="1"/>
  <c r="I4802" i="2" s="1"/>
  <c r="I4803" i="2" s="1"/>
  <c r="I4804" i="2" s="1"/>
  <c r="I4805" i="2" s="1"/>
  <c r="I4806" i="2" s="1"/>
  <c r="I4807" i="2" s="1"/>
  <c r="I4808" i="2" s="1"/>
  <c r="I4809" i="2" s="1"/>
  <c r="I4810" i="2" s="1"/>
  <c r="I4811" i="2" s="1"/>
  <c r="I4812" i="2" s="1"/>
  <c r="I4813" i="2" s="1"/>
  <c r="I4814" i="2" s="1"/>
  <c r="I4815" i="2" s="1"/>
  <c r="I4816" i="2" s="1"/>
  <c r="I4817" i="2" s="1"/>
  <c r="I4818" i="2" s="1"/>
  <c r="I4819" i="2" s="1"/>
  <c r="I4820" i="2" s="1"/>
  <c r="I4821" i="2" s="1"/>
  <c r="I4822" i="2" s="1"/>
  <c r="I4823" i="2" s="1"/>
  <c r="I4824" i="2" s="1"/>
  <c r="I4825" i="2" s="1"/>
  <c r="I4826" i="2" s="1"/>
  <c r="I4827" i="2" s="1"/>
  <c r="I4828" i="2" s="1"/>
  <c r="I4829" i="2" s="1"/>
  <c r="I4830" i="2" s="1"/>
  <c r="I4831" i="2" s="1"/>
  <c r="I4832" i="2" s="1"/>
  <c r="I4833" i="2" s="1"/>
  <c r="I4834" i="2" s="1"/>
  <c r="I4835" i="2" s="1"/>
  <c r="I4836" i="2" s="1"/>
  <c r="I4837" i="2" s="1"/>
  <c r="I4838" i="2" s="1"/>
  <c r="I4839" i="2" s="1"/>
  <c r="I4840" i="2" s="1"/>
  <c r="I4841" i="2" s="1"/>
  <c r="I4842" i="2" s="1"/>
  <c r="I4843" i="2" s="1"/>
  <c r="I4844" i="2" s="1"/>
  <c r="I4845" i="2" s="1"/>
  <c r="I4846" i="2" s="1"/>
  <c r="I4847" i="2" s="1"/>
  <c r="I4848" i="2" s="1"/>
  <c r="I4849" i="2" s="1"/>
  <c r="I4850" i="2" s="1"/>
  <c r="I4851" i="2" s="1"/>
  <c r="I4852" i="2" s="1"/>
  <c r="I4853" i="2" s="1"/>
  <c r="I4854" i="2" s="1"/>
  <c r="I4855" i="2" s="1"/>
  <c r="I4856" i="2" s="1"/>
  <c r="I4857" i="2" s="1"/>
  <c r="I4858" i="2" s="1"/>
  <c r="I4859" i="2" s="1"/>
  <c r="I4860" i="2" s="1"/>
  <c r="I4861" i="2" s="1"/>
  <c r="I4862" i="2" s="1"/>
  <c r="I4863" i="2" s="1"/>
  <c r="I4864" i="2" s="1"/>
  <c r="I4865" i="2" s="1"/>
  <c r="I4866" i="2" s="1"/>
  <c r="I4867" i="2" s="1"/>
  <c r="I4868" i="2" s="1"/>
  <c r="I4869" i="2" s="1"/>
  <c r="I4870" i="2" s="1"/>
  <c r="I4871" i="2" s="1"/>
  <c r="I4872" i="2" s="1"/>
  <c r="I4873" i="2" s="1"/>
  <c r="I4874" i="2" s="1"/>
  <c r="I4875" i="2" s="1"/>
  <c r="I4876" i="2" s="1"/>
  <c r="I4877" i="2" s="1"/>
  <c r="I4878" i="2" s="1"/>
  <c r="I4879" i="2" s="1"/>
  <c r="I4880" i="2" s="1"/>
  <c r="I4881" i="2" s="1"/>
  <c r="I4882" i="2" s="1"/>
  <c r="I4883" i="2" s="1"/>
  <c r="I4884" i="2" s="1"/>
  <c r="I4885" i="2" s="1"/>
  <c r="I4886" i="2" s="1"/>
  <c r="I4887" i="2" s="1"/>
  <c r="I4888" i="2" s="1"/>
  <c r="I4889" i="2" s="1"/>
  <c r="I4890" i="2" s="1"/>
  <c r="I4891" i="2" s="1"/>
  <c r="I4892" i="2" s="1"/>
  <c r="I4893" i="2" s="1"/>
  <c r="I4894" i="2" s="1"/>
  <c r="I4895" i="2" s="1"/>
  <c r="I4896" i="2" s="1"/>
  <c r="I4897" i="2" s="1"/>
  <c r="I4898" i="2" s="1"/>
  <c r="I4899" i="2" s="1"/>
  <c r="I4900" i="2" s="1"/>
  <c r="I4901" i="2" s="1"/>
  <c r="I4902" i="2" s="1"/>
  <c r="I4903" i="2" s="1"/>
  <c r="I4904" i="2" s="1"/>
  <c r="I4905" i="2" s="1"/>
  <c r="I4906" i="2" s="1"/>
  <c r="I4907" i="2" s="1"/>
  <c r="I4908" i="2" s="1"/>
  <c r="I4909" i="2" s="1"/>
  <c r="I4910" i="2" s="1"/>
  <c r="I4911" i="2" s="1"/>
  <c r="I4912" i="2" s="1"/>
  <c r="I4913" i="2" s="1"/>
  <c r="I4914" i="2" s="1"/>
  <c r="I4915" i="2" s="1"/>
  <c r="I4916" i="2" s="1"/>
  <c r="I4917" i="2" s="1"/>
  <c r="I4918" i="2" s="1"/>
  <c r="I4919" i="2" s="1"/>
  <c r="I4920" i="2" s="1"/>
  <c r="I4921" i="2" s="1"/>
  <c r="I4922" i="2" s="1"/>
  <c r="I4923" i="2" s="1"/>
  <c r="I4924" i="2" s="1"/>
  <c r="I4925" i="2" s="1"/>
  <c r="I4926" i="2" s="1"/>
  <c r="I4927" i="2" s="1"/>
  <c r="I4928" i="2" s="1"/>
  <c r="I4929" i="2" s="1"/>
  <c r="I4930" i="2" s="1"/>
  <c r="I4931" i="2" s="1"/>
  <c r="I4932" i="2" s="1"/>
  <c r="I4933" i="2" s="1"/>
  <c r="I4934" i="2" s="1"/>
  <c r="I4935" i="2" s="1"/>
  <c r="I4936" i="2" s="1"/>
  <c r="I4937" i="2" s="1"/>
  <c r="I4938" i="2" s="1"/>
  <c r="I4939" i="2" s="1"/>
  <c r="I4940" i="2" s="1"/>
  <c r="I4941" i="2" s="1"/>
  <c r="I4942" i="2" s="1"/>
  <c r="I4943" i="2" s="1"/>
  <c r="I4944" i="2" s="1"/>
  <c r="I4945" i="2" s="1"/>
  <c r="I4946" i="2" s="1"/>
  <c r="I4947" i="2" s="1"/>
  <c r="I4948" i="2" s="1"/>
  <c r="I4949" i="2" s="1"/>
  <c r="I4950" i="2" s="1"/>
  <c r="I4951" i="2" s="1"/>
  <c r="I4952" i="2" s="1"/>
  <c r="I4953" i="2" s="1"/>
  <c r="I4954" i="2" s="1"/>
  <c r="I4955" i="2" s="1"/>
  <c r="I4956" i="2" s="1"/>
  <c r="I4957" i="2" s="1"/>
  <c r="I4958" i="2" s="1"/>
  <c r="I4959" i="2" s="1"/>
  <c r="I4960" i="2" s="1"/>
  <c r="I4961" i="2" s="1"/>
  <c r="I4962" i="2" s="1"/>
  <c r="I4963" i="2" s="1"/>
  <c r="I4964" i="2" s="1"/>
  <c r="I4965" i="2" s="1"/>
  <c r="I4966" i="2" s="1"/>
  <c r="I4967" i="2" s="1"/>
  <c r="I4968" i="2" s="1"/>
  <c r="I4969" i="2" s="1"/>
  <c r="I4970" i="2" s="1"/>
  <c r="I4971" i="2" s="1"/>
  <c r="I4972" i="2" s="1"/>
  <c r="I4973" i="2" s="1"/>
  <c r="I4974" i="2" s="1"/>
  <c r="I4975" i="2" s="1"/>
  <c r="I4976" i="2" s="1"/>
  <c r="I4977" i="2" s="1"/>
  <c r="I4978" i="2" s="1"/>
  <c r="I4979" i="2" s="1"/>
  <c r="I4980" i="2" s="1"/>
  <c r="I4981" i="2" s="1"/>
  <c r="I4982" i="2" s="1"/>
  <c r="I4983" i="2" s="1"/>
  <c r="I4984" i="2" s="1"/>
  <c r="I4985" i="2" s="1"/>
  <c r="I4986" i="2" s="1"/>
  <c r="I4987" i="2" s="1"/>
  <c r="I4988" i="2" s="1"/>
  <c r="I4989" i="2" s="1"/>
  <c r="I4990" i="2" s="1"/>
  <c r="I4991" i="2" s="1"/>
  <c r="I4992" i="2" s="1"/>
  <c r="I4993" i="2" s="1"/>
  <c r="I4994" i="2" s="1"/>
  <c r="I4995" i="2" s="1"/>
  <c r="I4996" i="2" s="1"/>
  <c r="I4997" i="2" s="1"/>
  <c r="I4998" i="2" s="1"/>
  <c r="I4999" i="2" s="1"/>
  <c r="I5000" i="2" s="1"/>
  <c r="I5001" i="2" s="1"/>
  <c r="I5002" i="2" s="1"/>
  <c r="I5003" i="2" s="1"/>
  <c r="I5004" i="2" s="1"/>
  <c r="I5005" i="2" s="1"/>
  <c r="I5006" i="2" s="1"/>
  <c r="I5007" i="2" s="1"/>
  <c r="I5008" i="2" s="1"/>
  <c r="I5009" i="2" s="1"/>
  <c r="I5010" i="2" s="1"/>
  <c r="I5011" i="2" s="1"/>
  <c r="I5012" i="2" s="1"/>
  <c r="I5013" i="2" s="1"/>
  <c r="I5014" i="2" s="1"/>
  <c r="I5015" i="2" s="1"/>
  <c r="I5016" i="2" s="1"/>
  <c r="I5017" i="2" s="1"/>
  <c r="I5018" i="2" s="1"/>
  <c r="I5019" i="2" s="1"/>
  <c r="I5020" i="2" s="1"/>
  <c r="I5021" i="2" s="1"/>
  <c r="I5022" i="2" s="1"/>
  <c r="I5023" i="2" s="1"/>
  <c r="I5024" i="2" s="1"/>
  <c r="I5025" i="2" s="1"/>
  <c r="I5026" i="2" s="1"/>
  <c r="I5027" i="2" s="1"/>
  <c r="I5028" i="2" s="1"/>
  <c r="I5029" i="2" s="1"/>
  <c r="I5030" i="2" s="1"/>
  <c r="I5031" i="2" s="1"/>
  <c r="I5032" i="2" s="1"/>
  <c r="I5033" i="2" s="1"/>
  <c r="I5034" i="2" s="1"/>
  <c r="I5035" i="2" s="1"/>
  <c r="I5036" i="2" s="1"/>
  <c r="I5037" i="2" s="1"/>
  <c r="I5038" i="2" s="1"/>
  <c r="I5039" i="2" s="1"/>
  <c r="I5040" i="2" s="1"/>
  <c r="I5041" i="2" s="1"/>
  <c r="I5042" i="2" s="1"/>
  <c r="I5043" i="2" s="1"/>
  <c r="I5044" i="2" s="1"/>
  <c r="I5045" i="2" s="1"/>
  <c r="I5046" i="2" s="1"/>
  <c r="I5047" i="2" s="1"/>
  <c r="I5048" i="2" s="1"/>
  <c r="I5049" i="2" s="1"/>
  <c r="I5050" i="2" s="1"/>
  <c r="I5051" i="2" s="1"/>
  <c r="I5052" i="2" s="1"/>
  <c r="I5053" i="2" s="1"/>
  <c r="I5054" i="2" s="1"/>
  <c r="I5055" i="2" s="1"/>
  <c r="I5056" i="2" s="1"/>
  <c r="I5057" i="2" s="1"/>
  <c r="I5058" i="2" s="1"/>
  <c r="I5059" i="2" s="1"/>
  <c r="I5060" i="2" s="1"/>
  <c r="I5061" i="2" s="1"/>
  <c r="I5062" i="2" s="1"/>
  <c r="I5063" i="2" s="1"/>
  <c r="I5064" i="2" s="1"/>
  <c r="I5065" i="2" s="1"/>
  <c r="I5066" i="2" s="1"/>
  <c r="I5067" i="2" s="1"/>
  <c r="I5068" i="2" s="1"/>
  <c r="I5069" i="2" s="1"/>
  <c r="I5070" i="2" s="1"/>
  <c r="I5071" i="2" s="1"/>
  <c r="I5072" i="2" s="1"/>
  <c r="I5073" i="2" s="1"/>
  <c r="I5074" i="2" s="1"/>
  <c r="I5075" i="2" s="1"/>
  <c r="I5076" i="2" s="1"/>
  <c r="I5077" i="2" s="1"/>
  <c r="I5078" i="2" s="1"/>
  <c r="I5079" i="2" s="1"/>
  <c r="I5080" i="2" s="1"/>
  <c r="I5081" i="2" s="1"/>
  <c r="I5082" i="2" s="1"/>
  <c r="I5083" i="2" s="1"/>
  <c r="I5084" i="2" s="1"/>
  <c r="I5085" i="2" s="1"/>
  <c r="I5086" i="2" s="1"/>
  <c r="I5087" i="2" s="1"/>
  <c r="I5088" i="2" s="1"/>
  <c r="I5089" i="2" s="1"/>
  <c r="I5090" i="2" s="1"/>
  <c r="I5091" i="2" s="1"/>
  <c r="I5092" i="2" s="1"/>
  <c r="I5093" i="2" s="1"/>
  <c r="I5094" i="2" s="1"/>
  <c r="I5095" i="2" s="1"/>
  <c r="I5096" i="2" s="1"/>
  <c r="I5097" i="2" s="1"/>
  <c r="I5098" i="2" s="1"/>
  <c r="I5099" i="2" s="1"/>
  <c r="I5100" i="2" s="1"/>
  <c r="I5101" i="2" s="1"/>
  <c r="I5102" i="2" s="1"/>
  <c r="I5103" i="2" s="1"/>
  <c r="I5104" i="2" s="1"/>
  <c r="I5105" i="2" s="1"/>
  <c r="I5106" i="2" s="1"/>
  <c r="I5107" i="2" s="1"/>
  <c r="I5108" i="2" s="1"/>
  <c r="I5109" i="2" s="1"/>
  <c r="I5110" i="2" s="1"/>
  <c r="I5111" i="2" s="1"/>
  <c r="I5112" i="2" s="1"/>
  <c r="I5113" i="2" s="1"/>
  <c r="I5114" i="2" s="1"/>
  <c r="I5115" i="2" s="1"/>
  <c r="I5116" i="2" s="1"/>
  <c r="I5117" i="2" s="1"/>
  <c r="I5118" i="2" s="1"/>
  <c r="I5119" i="2" s="1"/>
  <c r="I5120" i="2" s="1"/>
  <c r="I5121" i="2" s="1"/>
  <c r="I5122" i="2" s="1"/>
  <c r="I5123" i="2" s="1"/>
  <c r="I5124" i="2" s="1"/>
  <c r="I5125" i="2" s="1"/>
  <c r="I5126" i="2" s="1"/>
  <c r="I5127" i="2" s="1"/>
  <c r="I5128" i="2" s="1"/>
  <c r="I5129" i="2" s="1"/>
  <c r="I5130" i="2" s="1"/>
  <c r="I5131" i="2" s="1"/>
  <c r="I5132" i="2" s="1"/>
  <c r="I5133" i="2" s="1"/>
  <c r="I5134" i="2" s="1"/>
  <c r="I5135" i="2" s="1"/>
  <c r="I5136" i="2" s="1"/>
  <c r="I5137" i="2" s="1"/>
  <c r="I5138" i="2" s="1"/>
  <c r="I5139" i="2" s="1"/>
  <c r="I5140" i="2" s="1"/>
  <c r="I5141" i="2" s="1"/>
  <c r="I5142" i="2" s="1"/>
  <c r="I5143" i="2" s="1"/>
  <c r="I5144" i="2" s="1"/>
  <c r="I5145" i="2" s="1"/>
  <c r="I5146" i="2" s="1"/>
  <c r="I5147" i="2" s="1"/>
  <c r="I5148" i="2" s="1"/>
  <c r="I5149" i="2" s="1"/>
  <c r="I5150" i="2" s="1"/>
  <c r="I5151" i="2" s="1"/>
  <c r="I5152" i="2" s="1"/>
  <c r="I5153" i="2" s="1"/>
  <c r="I5154" i="2" s="1"/>
  <c r="I5155" i="2" s="1"/>
  <c r="I5156" i="2" s="1"/>
  <c r="I5157" i="2" s="1"/>
  <c r="I5158" i="2" s="1"/>
  <c r="I5159" i="2" s="1"/>
  <c r="I5160" i="2" s="1"/>
  <c r="I5161" i="2" s="1"/>
  <c r="I5162" i="2" s="1"/>
  <c r="I5163" i="2" s="1"/>
  <c r="I5164" i="2" s="1"/>
  <c r="I5165" i="2" s="1"/>
  <c r="I5166" i="2" s="1"/>
  <c r="I5167" i="2" s="1"/>
  <c r="I5168" i="2" s="1"/>
  <c r="I5169" i="2" s="1"/>
  <c r="I5170" i="2" s="1"/>
  <c r="I5171" i="2" s="1"/>
  <c r="I5172" i="2" s="1"/>
  <c r="I5173" i="2" s="1"/>
  <c r="I5174" i="2" s="1"/>
  <c r="I5175" i="2" s="1"/>
  <c r="I5176" i="2" s="1"/>
  <c r="I5177" i="2" s="1"/>
  <c r="I5178" i="2" s="1"/>
  <c r="I5179" i="2" s="1"/>
  <c r="I5180" i="2" s="1"/>
  <c r="I5181" i="2" s="1"/>
  <c r="I5182" i="2" s="1"/>
  <c r="I5183" i="2" s="1"/>
  <c r="I5184" i="2" s="1"/>
  <c r="I5185" i="2" s="1"/>
  <c r="I5186" i="2" s="1"/>
  <c r="I5187" i="2" s="1"/>
  <c r="I5188" i="2" s="1"/>
  <c r="I5189" i="2" s="1"/>
  <c r="I5190" i="2" s="1"/>
  <c r="I5191" i="2" s="1"/>
  <c r="I5192" i="2" s="1"/>
  <c r="I5193" i="2" s="1"/>
  <c r="I5194" i="2" s="1"/>
  <c r="I5195" i="2" s="1"/>
  <c r="I5196" i="2" s="1"/>
  <c r="I5197" i="2" s="1"/>
  <c r="I5198" i="2" s="1"/>
  <c r="I5199" i="2" s="1"/>
  <c r="I5200" i="2" s="1"/>
  <c r="I5201" i="2" s="1"/>
  <c r="I5202" i="2" s="1"/>
  <c r="I5203" i="2" s="1"/>
  <c r="I5204" i="2" s="1"/>
  <c r="I5205" i="2" s="1"/>
  <c r="I5206" i="2" s="1"/>
  <c r="I5207" i="2" s="1"/>
  <c r="I5208" i="2" s="1"/>
  <c r="I5209" i="2" s="1"/>
  <c r="I5210" i="2" s="1"/>
  <c r="I5211" i="2" s="1"/>
  <c r="I5212" i="2" s="1"/>
  <c r="I5213" i="2" s="1"/>
  <c r="I5214" i="2" s="1"/>
  <c r="I5215" i="2" s="1"/>
  <c r="I5216" i="2" s="1"/>
  <c r="I5217" i="2" s="1"/>
  <c r="I5218" i="2" s="1"/>
  <c r="I5219" i="2" s="1"/>
  <c r="I5220" i="2" s="1"/>
  <c r="I5221" i="2" s="1"/>
  <c r="I5222" i="2" s="1"/>
  <c r="I5223" i="2" s="1"/>
  <c r="I5224" i="2" s="1"/>
  <c r="I5225" i="2" s="1"/>
  <c r="I5226" i="2" s="1"/>
  <c r="I5227" i="2" s="1"/>
  <c r="I5228" i="2" s="1"/>
  <c r="I5229" i="2" s="1"/>
  <c r="I5230" i="2" s="1"/>
  <c r="I5231" i="2" s="1"/>
  <c r="I5232" i="2" s="1"/>
  <c r="I5233" i="2" s="1"/>
  <c r="I5234" i="2" s="1"/>
  <c r="I5235" i="2" s="1"/>
  <c r="I5236" i="2" s="1"/>
  <c r="I5237" i="2" s="1"/>
  <c r="I5238" i="2" s="1"/>
  <c r="I5239" i="2" s="1"/>
  <c r="I5240" i="2" s="1"/>
  <c r="I5241" i="2" s="1"/>
  <c r="I5242" i="2" s="1"/>
  <c r="I5243" i="2" s="1"/>
  <c r="I5244" i="2" s="1"/>
  <c r="I5245" i="2" s="1"/>
  <c r="I5246" i="2" s="1"/>
  <c r="I5247" i="2" s="1"/>
  <c r="I5248" i="2" s="1"/>
  <c r="I5249" i="2" s="1"/>
  <c r="I5250" i="2" s="1"/>
  <c r="I5251" i="2" s="1"/>
  <c r="I5252" i="2" s="1"/>
  <c r="I5253" i="2" s="1"/>
  <c r="I5254" i="2" s="1"/>
  <c r="I5255" i="2" s="1"/>
  <c r="I5256" i="2" s="1"/>
  <c r="I5257" i="2" s="1"/>
  <c r="I5258" i="2" s="1"/>
  <c r="I5259" i="2" s="1"/>
  <c r="I5260" i="2" s="1"/>
  <c r="I5261" i="2" s="1"/>
  <c r="I5262" i="2" s="1"/>
  <c r="I5263" i="2" s="1"/>
  <c r="I5264" i="2" s="1"/>
  <c r="I5265" i="2" s="1"/>
  <c r="I5266" i="2" s="1"/>
  <c r="I5267" i="2" s="1"/>
  <c r="I5268" i="2" s="1"/>
  <c r="I5269" i="2" s="1"/>
  <c r="I5270" i="2" s="1"/>
  <c r="I5271" i="2" s="1"/>
  <c r="I5272" i="2" s="1"/>
  <c r="I5273" i="2" s="1"/>
  <c r="I5274" i="2" s="1"/>
  <c r="I5275" i="2" s="1"/>
  <c r="I5276" i="2" s="1"/>
  <c r="I5277" i="2" s="1"/>
  <c r="I5278" i="2" s="1"/>
  <c r="I5279" i="2" s="1"/>
  <c r="I5280" i="2" s="1"/>
  <c r="I5281" i="2" s="1"/>
  <c r="I5282" i="2" s="1"/>
  <c r="I5283" i="2" s="1"/>
  <c r="I5284" i="2" s="1"/>
  <c r="I5285" i="2" s="1"/>
  <c r="I5286" i="2" s="1"/>
  <c r="I5287" i="2" s="1"/>
  <c r="I5288" i="2" s="1"/>
  <c r="I5289" i="2" s="1"/>
  <c r="I5290" i="2" s="1"/>
  <c r="I5291" i="2" s="1"/>
  <c r="I5292" i="2" s="1"/>
  <c r="I5293" i="2" s="1"/>
  <c r="I5294" i="2" s="1"/>
  <c r="I5295" i="2" s="1"/>
  <c r="I5296" i="2" s="1"/>
  <c r="I5297" i="2" s="1"/>
  <c r="I5298" i="2" s="1"/>
  <c r="I5299" i="2" s="1"/>
  <c r="I5300" i="2" s="1"/>
  <c r="I5301" i="2" s="1"/>
  <c r="I5302" i="2" s="1"/>
  <c r="I5303" i="2" s="1"/>
  <c r="I5304" i="2" s="1"/>
  <c r="I5305" i="2" s="1"/>
  <c r="I5306" i="2" s="1"/>
  <c r="I5307" i="2" s="1"/>
  <c r="I5308" i="2" s="1"/>
  <c r="I5309" i="2" s="1"/>
  <c r="I5310" i="2" s="1"/>
  <c r="I5311" i="2" s="1"/>
  <c r="I5312" i="2" s="1"/>
  <c r="I5313" i="2" s="1"/>
  <c r="I5314" i="2" s="1"/>
  <c r="I5315" i="2" s="1"/>
  <c r="I5316" i="2" s="1"/>
  <c r="I5317" i="2" s="1"/>
  <c r="I5318" i="2" s="1"/>
  <c r="I5319" i="2" s="1"/>
  <c r="I5320" i="2" s="1"/>
  <c r="I5321" i="2" s="1"/>
  <c r="I5322" i="2" s="1"/>
  <c r="I5323" i="2" s="1"/>
  <c r="I5324" i="2" s="1"/>
  <c r="I5325" i="2" s="1"/>
  <c r="I5326" i="2" s="1"/>
  <c r="I5327" i="2" s="1"/>
  <c r="I5328" i="2" s="1"/>
  <c r="I5329" i="2" s="1"/>
  <c r="I5330" i="2" s="1"/>
  <c r="I5331" i="2" s="1"/>
  <c r="I5332" i="2" s="1"/>
  <c r="I5333" i="2" s="1"/>
  <c r="I5334" i="2" s="1"/>
  <c r="I5335" i="2" s="1"/>
  <c r="I5336" i="2" s="1"/>
  <c r="I5337" i="2" s="1"/>
  <c r="I5338" i="2" s="1"/>
  <c r="I5339" i="2" s="1"/>
  <c r="I5340" i="2" s="1"/>
  <c r="I5341" i="2" s="1"/>
  <c r="I5342" i="2" s="1"/>
  <c r="I5343" i="2" s="1"/>
  <c r="I5344" i="2" s="1"/>
  <c r="I5345" i="2" s="1"/>
  <c r="I5346" i="2" s="1"/>
  <c r="I5347" i="2" s="1"/>
  <c r="I5348" i="2" s="1"/>
  <c r="I5349" i="2" s="1"/>
  <c r="I5350" i="2" s="1"/>
  <c r="I5351" i="2" s="1"/>
  <c r="I5352" i="2" s="1"/>
  <c r="I5353" i="2" s="1"/>
  <c r="I5354" i="2" s="1"/>
  <c r="I5355" i="2" s="1"/>
  <c r="I5356" i="2" s="1"/>
  <c r="I5357" i="2" s="1"/>
  <c r="I5358" i="2" s="1"/>
  <c r="I5359" i="2" s="1"/>
  <c r="I5360" i="2" s="1"/>
  <c r="I5361" i="2" s="1"/>
  <c r="I5362" i="2" s="1"/>
  <c r="I5363" i="2" s="1"/>
  <c r="I5364" i="2" s="1"/>
  <c r="I5365" i="2" s="1"/>
  <c r="I5366" i="2" s="1"/>
  <c r="I5367" i="2" s="1"/>
  <c r="I5368" i="2" s="1"/>
  <c r="I5369" i="2" s="1"/>
  <c r="I5370" i="2" s="1"/>
  <c r="I5371" i="2" s="1"/>
  <c r="I5372" i="2" s="1"/>
  <c r="I5373" i="2" s="1"/>
  <c r="I5374" i="2" s="1"/>
  <c r="I5375" i="2" s="1"/>
  <c r="I5376" i="2" s="1"/>
  <c r="I5377" i="2" s="1"/>
  <c r="I5378" i="2" s="1"/>
  <c r="I5379" i="2" s="1"/>
  <c r="I5380" i="2" s="1"/>
  <c r="I5381" i="2" s="1"/>
  <c r="I5382" i="2" s="1"/>
  <c r="I5383" i="2" s="1"/>
  <c r="I5384" i="2" s="1"/>
  <c r="I5385" i="2" s="1"/>
  <c r="I5386" i="2" s="1"/>
  <c r="I5387" i="2" s="1"/>
  <c r="I5388" i="2" s="1"/>
  <c r="I5389" i="2" s="1"/>
  <c r="I5390" i="2" s="1"/>
  <c r="I5391" i="2" s="1"/>
  <c r="I5392" i="2" s="1"/>
  <c r="I5393" i="2" s="1"/>
  <c r="I5394" i="2" s="1"/>
  <c r="I5395" i="2" s="1"/>
  <c r="I5396" i="2" s="1"/>
  <c r="I5397" i="2" s="1"/>
  <c r="I5398" i="2" s="1"/>
  <c r="I5399" i="2" s="1"/>
  <c r="I5400" i="2" s="1"/>
  <c r="I5401" i="2" s="1"/>
  <c r="I5402" i="2" s="1"/>
  <c r="I5403" i="2" s="1"/>
  <c r="I5404" i="2" s="1"/>
  <c r="I5405" i="2" s="1"/>
  <c r="I5406" i="2" s="1"/>
  <c r="I5407" i="2" s="1"/>
  <c r="I5408" i="2" s="1"/>
  <c r="I5409" i="2" s="1"/>
  <c r="I5410" i="2" s="1"/>
  <c r="I5411" i="2" s="1"/>
  <c r="I5412" i="2" s="1"/>
  <c r="I5413" i="2" s="1"/>
  <c r="I5414" i="2" s="1"/>
  <c r="I5415" i="2" s="1"/>
  <c r="I5416" i="2" s="1"/>
  <c r="I5417" i="2" s="1"/>
  <c r="I5418" i="2" s="1"/>
  <c r="I5419" i="2" s="1"/>
  <c r="I5420" i="2" s="1"/>
  <c r="I5421" i="2" s="1"/>
  <c r="I5422" i="2" s="1"/>
  <c r="I5423" i="2" s="1"/>
  <c r="I5424" i="2" s="1"/>
  <c r="I5425" i="2" s="1"/>
  <c r="I5426" i="2" s="1"/>
  <c r="I5427" i="2" s="1"/>
  <c r="I5428" i="2" s="1"/>
  <c r="I5429" i="2" s="1"/>
  <c r="I5430" i="2" s="1"/>
  <c r="I5431" i="2" s="1"/>
  <c r="I5432" i="2" s="1"/>
  <c r="I5433" i="2" s="1"/>
  <c r="I5434" i="2" s="1"/>
  <c r="I5435" i="2" s="1"/>
  <c r="I5436" i="2" s="1"/>
  <c r="I5437" i="2" s="1"/>
  <c r="I5438" i="2" s="1"/>
  <c r="I5439" i="2" s="1"/>
  <c r="I5440" i="2" s="1"/>
  <c r="I5441" i="2" s="1"/>
  <c r="I5442" i="2" s="1"/>
  <c r="I5443" i="2" s="1"/>
  <c r="I5444" i="2" s="1"/>
  <c r="I5445" i="2" s="1"/>
  <c r="I5446" i="2" s="1"/>
  <c r="I5447" i="2" s="1"/>
  <c r="I5448" i="2" s="1"/>
  <c r="I5449" i="2" s="1"/>
  <c r="I5450" i="2" s="1"/>
  <c r="I5451" i="2" s="1"/>
  <c r="I5452" i="2" s="1"/>
  <c r="I5453" i="2" s="1"/>
  <c r="I5454" i="2" s="1"/>
  <c r="I5455" i="2" s="1"/>
  <c r="I5456" i="2" s="1"/>
  <c r="I5457" i="2" s="1"/>
  <c r="I5458" i="2" s="1"/>
  <c r="I5459" i="2" s="1"/>
  <c r="I5460" i="2" s="1"/>
  <c r="I5461" i="2" s="1"/>
  <c r="I5462" i="2" s="1"/>
  <c r="I5463" i="2" s="1"/>
  <c r="I5464" i="2" s="1"/>
  <c r="I5465" i="2" s="1"/>
  <c r="I5466" i="2" s="1"/>
  <c r="I5467" i="2" s="1"/>
  <c r="I5468" i="2" s="1"/>
  <c r="I5469" i="2" s="1"/>
  <c r="I5470" i="2" s="1"/>
  <c r="I5471" i="2" s="1"/>
  <c r="I5472" i="2" s="1"/>
  <c r="I5473" i="2" s="1"/>
  <c r="I5474" i="2" s="1"/>
  <c r="I5475" i="2" s="1"/>
  <c r="I5476" i="2" s="1"/>
  <c r="I5477" i="2" s="1"/>
  <c r="I5478" i="2" s="1"/>
  <c r="I5479" i="2" s="1"/>
  <c r="I5480" i="2" s="1"/>
  <c r="I5481" i="2" s="1"/>
  <c r="I5482" i="2" s="1"/>
  <c r="I5483" i="2" s="1"/>
  <c r="I5484" i="2" s="1"/>
  <c r="I5485" i="2" s="1"/>
  <c r="I5486" i="2" s="1"/>
  <c r="I5487" i="2" s="1"/>
  <c r="I5488" i="2" s="1"/>
  <c r="I5489" i="2" s="1"/>
  <c r="I5490" i="2" s="1"/>
  <c r="I5491" i="2" s="1"/>
  <c r="I5492" i="2" s="1"/>
  <c r="I5493" i="2" s="1"/>
  <c r="I5494" i="2" s="1"/>
  <c r="I5495" i="2" s="1"/>
  <c r="I5496" i="2" s="1"/>
  <c r="I5497" i="2" s="1"/>
  <c r="I5498" i="2" s="1"/>
  <c r="I5499" i="2" s="1"/>
  <c r="I5500" i="2" s="1"/>
  <c r="I5501" i="2" s="1"/>
  <c r="I5502" i="2" s="1"/>
  <c r="I5503" i="2" s="1"/>
  <c r="I5504" i="2" s="1"/>
  <c r="I5505" i="2" s="1"/>
  <c r="I5506" i="2" s="1"/>
  <c r="I5507" i="2" s="1"/>
  <c r="I5508" i="2" s="1"/>
  <c r="I5509" i="2" s="1"/>
  <c r="I5510" i="2" s="1"/>
  <c r="I5511" i="2" s="1"/>
  <c r="I5512" i="2" s="1"/>
  <c r="I5513" i="2" s="1"/>
  <c r="I5514" i="2" s="1"/>
  <c r="I5515" i="2" s="1"/>
  <c r="I5516" i="2" s="1"/>
  <c r="I5517" i="2" s="1"/>
  <c r="I5518" i="2" s="1"/>
  <c r="I5519" i="2" s="1"/>
  <c r="I5520" i="2" s="1"/>
  <c r="I5521" i="2" s="1"/>
  <c r="I5522" i="2" s="1"/>
  <c r="I5523" i="2" s="1"/>
  <c r="I5524" i="2" s="1"/>
  <c r="I5525" i="2" s="1"/>
  <c r="I5526" i="2" s="1"/>
  <c r="I5527" i="2" s="1"/>
  <c r="I5528" i="2" s="1"/>
  <c r="I5529" i="2" s="1"/>
  <c r="I5530" i="2" s="1"/>
  <c r="I5531" i="2" s="1"/>
  <c r="I5532" i="2" s="1"/>
  <c r="I5533" i="2" s="1"/>
  <c r="I5534" i="2" s="1"/>
  <c r="I5535" i="2" s="1"/>
  <c r="I5536" i="2" s="1"/>
  <c r="I5537" i="2" s="1"/>
  <c r="I5538" i="2" s="1"/>
  <c r="I5539" i="2" s="1"/>
  <c r="I5540" i="2" s="1"/>
  <c r="I5541" i="2" s="1"/>
  <c r="I5542" i="2" s="1"/>
  <c r="I5543" i="2" s="1"/>
  <c r="I5544" i="2" s="1"/>
  <c r="I5545" i="2" s="1"/>
  <c r="I5546" i="2" s="1"/>
  <c r="I5547" i="2" s="1"/>
  <c r="I5548" i="2" s="1"/>
  <c r="I5549" i="2" s="1"/>
  <c r="I5550" i="2" s="1"/>
  <c r="I5551" i="2" s="1"/>
  <c r="I5552" i="2" s="1"/>
  <c r="I5553" i="2" s="1"/>
  <c r="I5554" i="2" s="1"/>
  <c r="I5555" i="2" s="1"/>
  <c r="I5556" i="2" s="1"/>
  <c r="I5557" i="2" s="1"/>
  <c r="I5558" i="2" s="1"/>
  <c r="I5559" i="2" s="1"/>
  <c r="I5560" i="2" s="1"/>
  <c r="I5561" i="2" s="1"/>
  <c r="I5562" i="2" s="1"/>
  <c r="I5563" i="2" s="1"/>
  <c r="I5564" i="2" s="1"/>
  <c r="I5565" i="2" s="1"/>
  <c r="I5566" i="2" s="1"/>
  <c r="I5567" i="2" s="1"/>
  <c r="I5568" i="2" s="1"/>
  <c r="I5569" i="2" s="1"/>
  <c r="I5570" i="2" s="1"/>
  <c r="I5571" i="2" s="1"/>
  <c r="I5572" i="2" s="1"/>
  <c r="I5573" i="2" s="1"/>
  <c r="I5574" i="2" s="1"/>
  <c r="I5575" i="2" s="1"/>
  <c r="I5576" i="2" s="1"/>
  <c r="I5577" i="2" s="1"/>
  <c r="I5578" i="2" s="1"/>
  <c r="I5579" i="2" s="1"/>
  <c r="I5580" i="2" s="1"/>
  <c r="I5581" i="2" s="1"/>
  <c r="I5582" i="2" s="1"/>
  <c r="I5583" i="2" s="1"/>
  <c r="I5584" i="2" s="1"/>
  <c r="I5585" i="2" s="1"/>
  <c r="I5586" i="2" s="1"/>
  <c r="I5587" i="2" s="1"/>
  <c r="I5588" i="2" s="1"/>
  <c r="I5589" i="2" s="1"/>
  <c r="I5590" i="2" s="1"/>
  <c r="I5591" i="2" s="1"/>
  <c r="I5592" i="2" s="1"/>
  <c r="I5593" i="2" s="1"/>
  <c r="I5594" i="2" s="1"/>
  <c r="I5595" i="2" s="1"/>
  <c r="I5596" i="2" s="1"/>
  <c r="I5597" i="2" s="1"/>
  <c r="I5598" i="2" s="1"/>
  <c r="I5599" i="2" s="1"/>
  <c r="I5600" i="2" s="1"/>
  <c r="I5601" i="2" s="1"/>
  <c r="I5602" i="2" s="1"/>
  <c r="I5603" i="2" s="1"/>
  <c r="I5604" i="2" s="1"/>
  <c r="I5605" i="2" s="1"/>
  <c r="I5606" i="2" s="1"/>
  <c r="I5607" i="2" s="1"/>
  <c r="I5608" i="2" s="1"/>
  <c r="I5609" i="2" s="1"/>
  <c r="I5610" i="2" s="1"/>
  <c r="I5611" i="2" s="1"/>
  <c r="I5612" i="2" s="1"/>
  <c r="I5613" i="2" s="1"/>
  <c r="I5614" i="2" s="1"/>
  <c r="I5615" i="2" s="1"/>
  <c r="I5616" i="2" s="1"/>
  <c r="I5617" i="2" s="1"/>
  <c r="I5618" i="2" s="1"/>
  <c r="I5619" i="2" s="1"/>
  <c r="I5620" i="2" s="1"/>
  <c r="I5621" i="2" s="1"/>
  <c r="I5622" i="2" s="1"/>
  <c r="I5623" i="2" s="1"/>
  <c r="I5624" i="2" s="1"/>
  <c r="I5625" i="2" s="1"/>
  <c r="I5626" i="2" s="1"/>
  <c r="I5627" i="2" s="1"/>
  <c r="I5628" i="2" s="1"/>
  <c r="I5629" i="2" s="1"/>
  <c r="I5630" i="2" s="1"/>
  <c r="I5631" i="2" s="1"/>
  <c r="I5632" i="2" s="1"/>
  <c r="I5633" i="2" s="1"/>
  <c r="I5634" i="2" s="1"/>
  <c r="I5635" i="2" s="1"/>
  <c r="I5636" i="2" s="1"/>
  <c r="I5637" i="2" s="1"/>
  <c r="I5638" i="2" s="1"/>
  <c r="I5639" i="2" s="1"/>
  <c r="I5640" i="2" s="1"/>
  <c r="I5641" i="2" s="1"/>
  <c r="I5642" i="2" s="1"/>
  <c r="I5643" i="2" s="1"/>
  <c r="I5644" i="2" s="1"/>
  <c r="I5645" i="2" s="1"/>
  <c r="I5646" i="2" s="1"/>
  <c r="I5647" i="2" s="1"/>
  <c r="I5648" i="2" s="1"/>
  <c r="I5649" i="2" s="1"/>
  <c r="I5650" i="2" s="1"/>
  <c r="I5651" i="2" s="1"/>
  <c r="I5652" i="2" s="1"/>
  <c r="I5653" i="2" s="1"/>
  <c r="I5654" i="2" s="1"/>
  <c r="I5655" i="2" s="1"/>
  <c r="I5656" i="2" s="1"/>
  <c r="I5657" i="2" s="1"/>
  <c r="I5658" i="2" s="1"/>
  <c r="I5659" i="2" s="1"/>
  <c r="I5660" i="2" s="1"/>
  <c r="I5661" i="2" s="1"/>
  <c r="I5662" i="2" s="1"/>
  <c r="I5663" i="2" s="1"/>
  <c r="I5664" i="2" s="1"/>
  <c r="I5665" i="2" s="1"/>
  <c r="I5666" i="2" s="1"/>
  <c r="I5667" i="2" s="1"/>
  <c r="I5668" i="2" s="1"/>
  <c r="I5669" i="2" s="1"/>
  <c r="I5670" i="2" s="1"/>
  <c r="I5671" i="2" s="1"/>
  <c r="I5672" i="2" s="1"/>
  <c r="I5673" i="2" s="1"/>
  <c r="I5674" i="2" s="1"/>
  <c r="I5675" i="2" s="1"/>
  <c r="I5676" i="2" s="1"/>
  <c r="I5677" i="2" s="1"/>
  <c r="I5678" i="2" s="1"/>
  <c r="I5679" i="2" s="1"/>
  <c r="I5680" i="2" s="1"/>
  <c r="I5681" i="2" s="1"/>
  <c r="I5682" i="2" s="1"/>
  <c r="I5683" i="2" s="1"/>
  <c r="I5684" i="2" s="1"/>
  <c r="I5685" i="2" s="1"/>
  <c r="I5686" i="2" s="1"/>
  <c r="I5687" i="2" s="1"/>
  <c r="I5688" i="2" s="1"/>
  <c r="I5689" i="2" s="1"/>
  <c r="I5690" i="2" s="1"/>
  <c r="I5691" i="2" s="1"/>
  <c r="I5692" i="2" s="1"/>
  <c r="I5693" i="2" s="1"/>
  <c r="I5694" i="2" s="1"/>
  <c r="I5695" i="2" s="1"/>
  <c r="I5696" i="2" s="1"/>
  <c r="I5697" i="2" s="1"/>
  <c r="I5698" i="2" s="1"/>
  <c r="I5699" i="2" s="1"/>
  <c r="I5700" i="2" s="1"/>
  <c r="I5701" i="2" s="1"/>
  <c r="I5702" i="2" s="1"/>
  <c r="I5703" i="2" s="1"/>
  <c r="I5704" i="2" s="1"/>
  <c r="I5705" i="2" s="1"/>
  <c r="I5706" i="2" s="1"/>
  <c r="I5707" i="2" s="1"/>
  <c r="I5708" i="2" s="1"/>
  <c r="I5709" i="2" s="1"/>
  <c r="I5710" i="2" s="1"/>
  <c r="I5711" i="2" s="1"/>
  <c r="I5712" i="2" s="1"/>
  <c r="I5713" i="2" s="1"/>
  <c r="I5714" i="2" s="1"/>
  <c r="I5715" i="2" s="1"/>
  <c r="I5716" i="2" s="1"/>
  <c r="I5717" i="2" s="1"/>
  <c r="I5718" i="2" s="1"/>
  <c r="I5719" i="2" s="1"/>
  <c r="I5720" i="2" s="1"/>
  <c r="I5721" i="2" s="1"/>
  <c r="I5722" i="2" s="1"/>
  <c r="I5723" i="2" s="1"/>
  <c r="I5724" i="2" s="1"/>
  <c r="I5725" i="2" s="1"/>
  <c r="I5726" i="2" s="1"/>
  <c r="I5727" i="2" s="1"/>
  <c r="I5728" i="2" s="1"/>
  <c r="I5729" i="2" s="1"/>
  <c r="I5730" i="2" s="1"/>
  <c r="I5731" i="2" s="1"/>
  <c r="I5732" i="2" s="1"/>
  <c r="I5733" i="2" s="1"/>
  <c r="I5734" i="2" s="1"/>
  <c r="I5735" i="2" s="1"/>
  <c r="I5736" i="2" s="1"/>
  <c r="I5737" i="2" s="1"/>
  <c r="I5738" i="2" s="1"/>
  <c r="I5739" i="2" s="1"/>
  <c r="I5740" i="2" s="1"/>
  <c r="I5741" i="2" s="1"/>
  <c r="I5742" i="2" s="1"/>
  <c r="I5743" i="2" s="1"/>
  <c r="I5744" i="2" s="1"/>
  <c r="I5745" i="2" s="1"/>
  <c r="I5746" i="2" s="1"/>
  <c r="I5747" i="2" s="1"/>
  <c r="I5748" i="2" s="1"/>
  <c r="I5749" i="2" s="1"/>
  <c r="I5750" i="2" s="1"/>
  <c r="I5751" i="2" s="1"/>
  <c r="I5752" i="2" s="1"/>
  <c r="I5753" i="2" s="1"/>
  <c r="I5754" i="2" s="1"/>
  <c r="I5755" i="2" s="1"/>
  <c r="I5756" i="2" s="1"/>
  <c r="I5757" i="2" s="1"/>
  <c r="I5758" i="2" s="1"/>
  <c r="I5759" i="2" s="1"/>
  <c r="I5760" i="2" s="1"/>
  <c r="I5761" i="2" s="1"/>
  <c r="I5762" i="2" s="1"/>
  <c r="I5763" i="2" s="1"/>
  <c r="I5764" i="2" s="1"/>
  <c r="I5765" i="2" s="1"/>
  <c r="I5766" i="2" s="1"/>
  <c r="I5767" i="2" s="1"/>
  <c r="I5768" i="2" s="1"/>
  <c r="I5769" i="2" s="1"/>
  <c r="I5770" i="2" s="1"/>
  <c r="I5771" i="2" s="1"/>
  <c r="I5772" i="2" s="1"/>
  <c r="I5773" i="2" s="1"/>
  <c r="I5774" i="2" s="1"/>
  <c r="I5775" i="2" s="1"/>
  <c r="I5776" i="2" s="1"/>
  <c r="I5777" i="2" s="1"/>
  <c r="I5778" i="2" s="1"/>
  <c r="I5779" i="2" s="1"/>
  <c r="I5780" i="2" s="1"/>
  <c r="I5781" i="2" s="1"/>
  <c r="I5782" i="2" s="1"/>
  <c r="I5783" i="2" s="1"/>
  <c r="I5784" i="2" s="1"/>
  <c r="I5785" i="2" s="1"/>
  <c r="I5786" i="2" s="1"/>
  <c r="I5787" i="2" s="1"/>
  <c r="I5788" i="2" s="1"/>
  <c r="I5789" i="2" s="1"/>
  <c r="I5790" i="2" s="1"/>
  <c r="I5791" i="2" s="1"/>
  <c r="I5792" i="2" s="1"/>
  <c r="I5793" i="2" s="1"/>
  <c r="I5794" i="2" s="1"/>
  <c r="I5795" i="2" s="1"/>
  <c r="I5796" i="2" s="1"/>
  <c r="I5797" i="2" s="1"/>
  <c r="I5798" i="2" s="1"/>
  <c r="I5799" i="2" s="1"/>
  <c r="I5800" i="2" s="1"/>
  <c r="I5801" i="2" s="1"/>
  <c r="I5802" i="2" s="1"/>
  <c r="I5803" i="2" s="1"/>
  <c r="I5804" i="2" s="1"/>
  <c r="I5805" i="2" s="1"/>
  <c r="I5806" i="2" s="1"/>
  <c r="I5807" i="2" s="1"/>
  <c r="I5808" i="2" s="1"/>
  <c r="I5809" i="2" s="1"/>
  <c r="I5810" i="2" s="1"/>
  <c r="I5811" i="2" s="1"/>
  <c r="I5812" i="2" s="1"/>
  <c r="I5813" i="2" s="1"/>
  <c r="I5814" i="2" s="1"/>
  <c r="I5815" i="2" s="1"/>
  <c r="I5816" i="2" s="1"/>
  <c r="I5817" i="2" s="1"/>
  <c r="I5818" i="2" s="1"/>
  <c r="I5819" i="2" s="1"/>
  <c r="I5820" i="2" s="1"/>
  <c r="I5821" i="2" s="1"/>
  <c r="I5822" i="2" s="1"/>
  <c r="I5823" i="2" s="1"/>
  <c r="I5824" i="2" s="1"/>
  <c r="I5825" i="2" s="1"/>
  <c r="I5826" i="2" s="1"/>
  <c r="I5827" i="2" s="1"/>
  <c r="I5828" i="2" s="1"/>
  <c r="I5829" i="2" s="1"/>
  <c r="I5830" i="2" s="1"/>
  <c r="I5831" i="2" s="1"/>
  <c r="I5832" i="2" s="1"/>
  <c r="I5833" i="2" s="1"/>
  <c r="I5834" i="2" s="1"/>
  <c r="I5835" i="2" s="1"/>
  <c r="I5836" i="2" s="1"/>
  <c r="I5837" i="2" s="1"/>
  <c r="I5838" i="2" s="1"/>
  <c r="I5839" i="2" s="1"/>
  <c r="I5840" i="2" s="1"/>
  <c r="I5841" i="2" s="1"/>
  <c r="I5842" i="2" s="1"/>
  <c r="I5843" i="2" s="1"/>
  <c r="I5844" i="2" s="1"/>
  <c r="I5845" i="2" s="1"/>
  <c r="I5846" i="2" s="1"/>
  <c r="I5847" i="2" s="1"/>
  <c r="I5848" i="2" s="1"/>
  <c r="I5849" i="2" s="1"/>
  <c r="I5850" i="2" s="1"/>
  <c r="I5851" i="2" s="1"/>
  <c r="I5852" i="2" s="1"/>
  <c r="I5853" i="2" s="1"/>
  <c r="I5854" i="2" s="1"/>
  <c r="I5855" i="2" s="1"/>
  <c r="I5856" i="2" s="1"/>
  <c r="I5857" i="2" s="1"/>
  <c r="I5858" i="2" s="1"/>
  <c r="I5859" i="2" s="1"/>
  <c r="I5860" i="2" s="1"/>
  <c r="I5861" i="2" s="1"/>
  <c r="I5862" i="2" s="1"/>
  <c r="I5863" i="2" s="1"/>
  <c r="I5864" i="2" s="1"/>
  <c r="I5865" i="2" s="1"/>
  <c r="I5866" i="2" s="1"/>
  <c r="I5867" i="2" s="1"/>
  <c r="I5868" i="2" s="1"/>
  <c r="I5869" i="2" s="1"/>
  <c r="I5870" i="2" s="1"/>
  <c r="I5871" i="2" s="1"/>
  <c r="I5872" i="2" s="1"/>
  <c r="I5873" i="2" s="1"/>
  <c r="I5874" i="2" s="1"/>
  <c r="I5875" i="2" s="1"/>
  <c r="I5876" i="2" s="1"/>
  <c r="I5877" i="2" s="1"/>
  <c r="I5878" i="2" s="1"/>
  <c r="I5879" i="2" s="1"/>
  <c r="I5880" i="2" s="1"/>
  <c r="I5881" i="2" s="1"/>
  <c r="I5882" i="2" s="1"/>
  <c r="I5883" i="2" s="1"/>
  <c r="I5884" i="2" s="1"/>
  <c r="I5885" i="2" s="1"/>
  <c r="I5886" i="2" s="1"/>
  <c r="I5887" i="2" s="1"/>
  <c r="I5888" i="2" s="1"/>
  <c r="I5889" i="2" s="1"/>
  <c r="I5890" i="2" s="1"/>
  <c r="I5891" i="2" s="1"/>
  <c r="I5892" i="2" s="1"/>
  <c r="I5893" i="2" s="1"/>
  <c r="I5894" i="2" s="1"/>
  <c r="I5895" i="2" s="1"/>
  <c r="I5896" i="2" s="1"/>
  <c r="I5897" i="2" s="1"/>
  <c r="I5898" i="2" s="1"/>
  <c r="I5899" i="2" s="1"/>
  <c r="I5900" i="2" s="1"/>
  <c r="I5901" i="2" s="1"/>
  <c r="I5902" i="2" s="1"/>
  <c r="I5903" i="2" s="1"/>
  <c r="I5904" i="2" s="1"/>
  <c r="I5905" i="2" s="1"/>
  <c r="I5906" i="2" s="1"/>
  <c r="I5907" i="2" s="1"/>
  <c r="I5908" i="2" s="1"/>
  <c r="I5909" i="2" s="1"/>
  <c r="I5910" i="2" s="1"/>
  <c r="I5911" i="2" s="1"/>
  <c r="I5912" i="2" s="1"/>
  <c r="I5913" i="2" s="1"/>
  <c r="I5914" i="2" s="1"/>
  <c r="I5915" i="2" s="1"/>
  <c r="I5916" i="2" s="1"/>
  <c r="I5917" i="2" s="1"/>
  <c r="I5918" i="2" s="1"/>
  <c r="I5919" i="2" s="1"/>
  <c r="I5920" i="2" s="1"/>
  <c r="I5921" i="2" s="1"/>
  <c r="I5922" i="2" s="1"/>
  <c r="I5923" i="2" s="1"/>
  <c r="I5924" i="2" s="1"/>
  <c r="I5925" i="2" s="1"/>
  <c r="I5926" i="2" s="1"/>
  <c r="I5927" i="2" s="1"/>
  <c r="I5928" i="2" s="1"/>
  <c r="I5929" i="2" s="1"/>
  <c r="I5930" i="2" s="1"/>
  <c r="I5931" i="2" s="1"/>
  <c r="I5932" i="2" s="1"/>
  <c r="I5933" i="2" s="1"/>
  <c r="I5934" i="2" s="1"/>
  <c r="I5935" i="2" s="1"/>
  <c r="I5936" i="2" s="1"/>
  <c r="I5937" i="2" s="1"/>
  <c r="I5938" i="2" s="1"/>
  <c r="I5939" i="2" s="1"/>
  <c r="I5940" i="2" s="1"/>
  <c r="I5941" i="2" s="1"/>
  <c r="I5942" i="2" s="1"/>
  <c r="I5943" i="2" s="1"/>
  <c r="I5944" i="2" s="1"/>
  <c r="I5945" i="2" s="1"/>
  <c r="I5946" i="2" s="1"/>
  <c r="I5947" i="2" s="1"/>
  <c r="I5948" i="2" s="1"/>
  <c r="I5949" i="2" s="1"/>
  <c r="I5950" i="2" s="1"/>
  <c r="I5951" i="2" s="1"/>
  <c r="I5952" i="2" s="1"/>
  <c r="I5953" i="2" s="1"/>
  <c r="I5954" i="2" s="1"/>
  <c r="I5955" i="2" s="1"/>
  <c r="I5956" i="2" s="1"/>
  <c r="I5957" i="2" s="1"/>
  <c r="I5958" i="2" s="1"/>
  <c r="I5959" i="2" s="1"/>
  <c r="I5960" i="2" s="1"/>
  <c r="I5961" i="2" s="1"/>
  <c r="I5962" i="2" s="1"/>
  <c r="I5963" i="2" s="1"/>
  <c r="I5964" i="2" s="1"/>
  <c r="I5965" i="2" s="1"/>
  <c r="I5966" i="2" s="1"/>
  <c r="I5967" i="2" s="1"/>
  <c r="I5968" i="2" s="1"/>
  <c r="I5969" i="2" s="1"/>
  <c r="I5970" i="2" s="1"/>
  <c r="I5971" i="2" s="1"/>
  <c r="I5972" i="2" s="1"/>
  <c r="I5973" i="2" s="1"/>
  <c r="I5974" i="2" s="1"/>
  <c r="I5975" i="2" s="1"/>
  <c r="I5976" i="2" s="1"/>
  <c r="I5977" i="2" s="1"/>
  <c r="I5978" i="2" s="1"/>
  <c r="I5979" i="2" s="1"/>
  <c r="I5980" i="2" s="1"/>
  <c r="I5981" i="2" s="1"/>
  <c r="I5982" i="2" s="1"/>
  <c r="I5983" i="2" s="1"/>
  <c r="I5984" i="2" s="1"/>
  <c r="I5985" i="2" s="1"/>
  <c r="I5986" i="2" s="1"/>
  <c r="I5987" i="2" s="1"/>
  <c r="I5988" i="2" s="1"/>
  <c r="I5989" i="2" s="1"/>
  <c r="I5990" i="2" s="1"/>
  <c r="I5991" i="2" s="1"/>
  <c r="I5992" i="2" s="1"/>
  <c r="I5993" i="2" s="1"/>
  <c r="I5994" i="2" s="1"/>
  <c r="I5995" i="2" s="1"/>
  <c r="I5996" i="2" s="1"/>
  <c r="I5997" i="2" s="1"/>
  <c r="I5998" i="2" s="1"/>
  <c r="I5999" i="2" s="1"/>
  <c r="I6000" i="2" s="1"/>
  <c r="I6001" i="2" s="1"/>
  <c r="I6002" i="2" s="1"/>
  <c r="I6003" i="2" s="1"/>
  <c r="I6004" i="2" s="1"/>
  <c r="I6005" i="2" s="1"/>
  <c r="I6006" i="2" s="1"/>
  <c r="I6007" i="2" s="1"/>
  <c r="I6008" i="2" s="1"/>
  <c r="I6009" i="2" s="1"/>
  <c r="I6010" i="2" s="1"/>
  <c r="I6011" i="2" s="1"/>
  <c r="I6012" i="2" s="1"/>
  <c r="I6013" i="2" s="1"/>
  <c r="I6014" i="2" s="1"/>
  <c r="I6015" i="2" s="1"/>
  <c r="I6016" i="2" s="1"/>
  <c r="I6017" i="2" s="1"/>
  <c r="I6018" i="2" s="1"/>
  <c r="I6019" i="2" s="1"/>
  <c r="I6020" i="2" s="1"/>
  <c r="I6021" i="2" s="1"/>
  <c r="I6022" i="2" s="1"/>
  <c r="I6023" i="2" s="1"/>
  <c r="I6024" i="2" s="1"/>
  <c r="I6025" i="2" s="1"/>
  <c r="I6026" i="2" s="1"/>
  <c r="I6027" i="2" s="1"/>
  <c r="I6028" i="2" s="1"/>
  <c r="I6029" i="2" s="1"/>
  <c r="I6030" i="2" s="1"/>
  <c r="I6031" i="2" s="1"/>
  <c r="I6032" i="2" s="1"/>
  <c r="I6033" i="2" s="1"/>
  <c r="I6034" i="2" s="1"/>
  <c r="I6035" i="2" s="1"/>
  <c r="I6036" i="2" s="1"/>
  <c r="I6037" i="2" s="1"/>
  <c r="I6038" i="2" s="1"/>
  <c r="I6039" i="2" s="1"/>
  <c r="I6040" i="2" s="1"/>
  <c r="I6041" i="2" s="1"/>
  <c r="I6042" i="2" s="1"/>
  <c r="I6043" i="2" s="1"/>
  <c r="I6044" i="2" s="1"/>
  <c r="I6045" i="2" s="1"/>
  <c r="I6046" i="2" s="1"/>
  <c r="I6047" i="2" s="1"/>
  <c r="I6048" i="2" s="1"/>
  <c r="I6049" i="2" s="1"/>
  <c r="I6050" i="2" s="1"/>
  <c r="I6051" i="2" s="1"/>
  <c r="I6052" i="2" s="1"/>
  <c r="I6053" i="2" s="1"/>
  <c r="I6054" i="2" s="1"/>
  <c r="I6055" i="2" s="1"/>
  <c r="I6056" i="2" s="1"/>
  <c r="I6057" i="2" s="1"/>
  <c r="I6058" i="2" s="1"/>
  <c r="I6059" i="2" s="1"/>
  <c r="I6060" i="2" s="1"/>
  <c r="I6061" i="2" s="1"/>
  <c r="I6062" i="2" s="1"/>
  <c r="I6063" i="2" s="1"/>
  <c r="I6064" i="2" s="1"/>
  <c r="I6065" i="2" s="1"/>
  <c r="I6066" i="2" s="1"/>
  <c r="I6067" i="2" s="1"/>
  <c r="I6068" i="2" s="1"/>
  <c r="I6069" i="2" s="1"/>
  <c r="I6070" i="2" s="1"/>
  <c r="I6071" i="2" s="1"/>
  <c r="I6072" i="2" s="1"/>
  <c r="I6073" i="2" s="1"/>
  <c r="I6074" i="2" s="1"/>
  <c r="I6075" i="2" s="1"/>
  <c r="I6076" i="2" s="1"/>
  <c r="I6077" i="2" s="1"/>
  <c r="I6078" i="2" s="1"/>
  <c r="I6079" i="2" s="1"/>
  <c r="I6080" i="2" s="1"/>
  <c r="I6081" i="2" s="1"/>
  <c r="I6082" i="2" s="1"/>
  <c r="I6083" i="2" s="1"/>
  <c r="I6084" i="2" s="1"/>
  <c r="I6085" i="2" s="1"/>
  <c r="I6086" i="2" s="1"/>
  <c r="I6087" i="2" s="1"/>
  <c r="I6088" i="2" s="1"/>
  <c r="I6089" i="2" s="1"/>
  <c r="I6090" i="2" s="1"/>
  <c r="I6091" i="2" s="1"/>
  <c r="I6092" i="2" s="1"/>
  <c r="I6093" i="2" s="1"/>
  <c r="I6094" i="2" s="1"/>
  <c r="I6095" i="2" s="1"/>
  <c r="I6096" i="2" s="1"/>
  <c r="I6097" i="2" s="1"/>
  <c r="I6098" i="2" s="1"/>
  <c r="I6099" i="2" s="1"/>
  <c r="I6100" i="2" s="1"/>
  <c r="I6101" i="2" s="1"/>
  <c r="I6102" i="2" s="1"/>
  <c r="I6103" i="2" s="1"/>
  <c r="I6104" i="2" s="1"/>
  <c r="I6105" i="2" s="1"/>
  <c r="I6106" i="2" s="1"/>
  <c r="I6107" i="2" s="1"/>
  <c r="I6108" i="2" s="1"/>
  <c r="I6109" i="2" s="1"/>
  <c r="I6110" i="2" s="1"/>
  <c r="I6111" i="2" s="1"/>
  <c r="I6112" i="2" s="1"/>
  <c r="I6113" i="2" s="1"/>
  <c r="I6114" i="2" s="1"/>
  <c r="I6115" i="2" s="1"/>
  <c r="I6116" i="2" s="1"/>
  <c r="I6117" i="2" s="1"/>
  <c r="I6118" i="2" s="1"/>
  <c r="I6119" i="2" s="1"/>
  <c r="I6120" i="2" s="1"/>
  <c r="I6121" i="2" s="1"/>
  <c r="I6122" i="2" s="1"/>
  <c r="I6123" i="2" s="1"/>
  <c r="I6124" i="2" s="1"/>
  <c r="I6125" i="2" s="1"/>
  <c r="I6126" i="2" s="1"/>
  <c r="I6127" i="2" s="1"/>
  <c r="I6128" i="2" s="1"/>
  <c r="I6129" i="2" s="1"/>
  <c r="I6130" i="2" s="1"/>
  <c r="I6131" i="2" s="1"/>
  <c r="I6132" i="2" s="1"/>
  <c r="I6133" i="2" s="1"/>
  <c r="I6134" i="2" s="1"/>
  <c r="I6135" i="2" s="1"/>
  <c r="I6136" i="2" s="1"/>
  <c r="I6137" i="2" s="1"/>
  <c r="I6138" i="2" s="1"/>
  <c r="I6139" i="2" s="1"/>
  <c r="I6140" i="2" s="1"/>
  <c r="I6141" i="2" s="1"/>
  <c r="I6142" i="2" s="1"/>
  <c r="I6143" i="2" s="1"/>
  <c r="I6144" i="2" s="1"/>
  <c r="I6145" i="2" s="1"/>
  <c r="I6146" i="2" s="1"/>
  <c r="I6147" i="2" s="1"/>
  <c r="I6148" i="2" s="1"/>
  <c r="I6149" i="2" s="1"/>
  <c r="I6150" i="2" s="1"/>
  <c r="I6151" i="2" s="1"/>
  <c r="I6152" i="2" s="1"/>
  <c r="I6153" i="2" s="1"/>
  <c r="I6154" i="2" s="1"/>
  <c r="I6155" i="2" s="1"/>
  <c r="I6156" i="2" s="1"/>
  <c r="I6157" i="2" s="1"/>
  <c r="I6158" i="2" s="1"/>
  <c r="I6159" i="2" s="1"/>
  <c r="I6160" i="2" s="1"/>
  <c r="I6161" i="2" s="1"/>
  <c r="I6162" i="2" s="1"/>
  <c r="I6163" i="2" s="1"/>
  <c r="I6164" i="2" s="1"/>
  <c r="I6165" i="2" s="1"/>
  <c r="I6166" i="2" s="1"/>
  <c r="I6167" i="2" s="1"/>
  <c r="I6168" i="2" s="1"/>
  <c r="I6169" i="2" s="1"/>
  <c r="I6170" i="2" s="1"/>
  <c r="I6171" i="2" s="1"/>
  <c r="I6172" i="2" s="1"/>
  <c r="I6173" i="2" s="1"/>
  <c r="I6174" i="2" s="1"/>
  <c r="I6175" i="2" s="1"/>
  <c r="I6176" i="2" s="1"/>
  <c r="I6177" i="2" s="1"/>
  <c r="I6178" i="2" s="1"/>
  <c r="I6179" i="2" s="1"/>
  <c r="I6180" i="2" s="1"/>
  <c r="I6181" i="2" s="1"/>
  <c r="I6182" i="2" s="1"/>
  <c r="I6183" i="2" s="1"/>
  <c r="I6184" i="2" s="1"/>
  <c r="I6185" i="2" s="1"/>
  <c r="I6186" i="2" s="1"/>
  <c r="I6187" i="2" s="1"/>
  <c r="I6188" i="2" s="1"/>
  <c r="I6189" i="2" s="1"/>
  <c r="I6190" i="2" s="1"/>
  <c r="I6191" i="2" s="1"/>
  <c r="I6192" i="2" s="1"/>
  <c r="I6193" i="2" s="1"/>
  <c r="I6194" i="2" s="1"/>
  <c r="I6195" i="2" s="1"/>
  <c r="I6196" i="2" s="1"/>
  <c r="I6197" i="2" s="1"/>
  <c r="I6198" i="2" s="1"/>
  <c r="I6199" i="2" s="1"/>
  <c r="I6200" i="2" s="1"/>
  <c r="I6201" i="2" s="1"/>
  <c r="I6202" i="2" s="1"/>
  <c r="I6203" i="2" s="1"/>
  <c r="I6204" i="2" s="1"/>
  <c r="I6205" i="2" s="1"/>
  <c r="I6206" i="2" s="1"/>
  <c r="I6207" i="2" s="1"/>
  <c r="I6208" i="2" s="1"/>
  <c r="I6209" i="2" s="1"/>
  <c r="I6210" i="2" s="1"/>
  <c r="I6211" i="2" s="1"/>
  <c r="I6212" i="2" s="1"/>
  <c r="I6213" i="2" s="1"/>
  <c r="I6214" i="2" s="1"/>
  <c r="I6215" i="2" s="1"/>
  <c r="I6216" i="2" s="1"/>
  <c r="I6217" i="2" s="1"/>
  <c r="I6218" i="2" s="1"/>
  <c r="I6219" i="2" s="1"/>
  <c r="I6220" i="2" s="1"/>
  <c r="I6221" i="2" s="1"/>
  <c r="I6222" i="2" s="1"/>
  <c r="I6223" i="2" s="1"/>
  <c r="I6224" i="2" s="1"/>
  <c r="I6225" i="2" s="1"/>
  <c r="I6226" i="2" s="1"/>
  <c r="I6227" i="2" s="1"/>
  <c r="I6228" i="2" s="1"/>
  <c r="I6229" i="2" s="1"/>
  <c r="I6230" i="2" s="1"/>
  <c r="I6231" i="2" s="1"/>
  <c r="I6232" i="2" s="1"/>
  <c r="I6233" i="2" s="1"/>
  <c r="I6234" i="2" s="1"/>
  <c r="I6235" i="2" s="1"/>
  <c r="I6236" i="2" s="1"/>
  <c r="I6237" i="2" s="1"/>
  <c r="I6238" i="2" s="1"/>
  <c r="I6239" i="2" s="1"/>
  <c r="I6240" i="2" s="1"/>
  <c r="I6241" i="2" s="1"/>
  <c r="I6242" i="2" s="1"/>
  <c r="I6243" i="2" s="1"/>
  <c r="I6244" i="2" s="1"/>
  <c r="I6245" i="2" s="1"/>
  <c r="I6246" i="2" s="1"/>
  <c r="I6247" i="2" s="1"/>
  <c r="I6248" i="2" s="1"/>
  <c r="I6249" i="2" s="1"/>
  <c r="I6250" i="2" s="1"/>
  <c r="I6251" i="2" s="1"/>
  <c r="I6252" i="2" s="1"/>
  <c r="I6253" i="2" s="1"/>
  <c r="I6254" i="2" s="1"/>
  <c r="I6255" i="2" s="1"/>
  <c r="I6256" i="2" s="1"/>
  <c r="I6257" i="2" s="1"/>
  <c r="I6258" i="2" s="1"/>
  <c r="I6259" i="2" s="1"/>
  <c r="I6260" i="2" s="1"/>
  <c r="I6261" i="2" s="1"/>
  <c r="I6262" i="2" s="1"/>
  <c r="I6263" i="2" s="1"/>
  <c r="I6264" i="2" s="1"/>
  <c r="I6265" i="2" s="1"/>
  <c r="I6266" i="2" s="1"/>
  <c r="I6267" i="2" s="1"/>
  <c r="I6268" i="2" s="1"/>
  <c r="I6269" i="2" s="1"/>
  <c r="I6270" i="2" s="1"/>
  <c r="I6271" i="2" s="1"/>
  <c r="I6272" i="2" s="1"/>
  <c r="I6273" i="2" s="1"/>
  <c r="I6274" i="2" s="1"/>
  <c r="I6275" i="2" s="1"/>
  <c r="I6276" i="2" s="1"/>
  <c r="I6277" i="2" s="1"/>
  <c r="I6278" i="2" s="1"/>
  <c r="I6279" i="2" s="1"/>
  <c r="I6280" i="2" s="1"/>
  <c r="I6281" i="2" s="1"/>
  <c r="I6282" i="2" s="1"/>
  <c r="I6283" i="2" s="1"/>
  <c r="I6284" i="2" s="1"/>
  <c r="I6285" i="2" s="1"/>
  <c r="I6286" i="2" s="1"/>
  <c r="I6287" i="2" s="1"/>
  <c r="I6288" i="2" s="1"/>
  <c r="I6289" i="2" s="1"/>
  <c r="I6290" i="2" s="1"/>
  <c r="I6291" i="2" s="1"/>
  <c r="I6292" i="2" s="1"/>
  <c r="I6293" i="2" s="1"/>
  <c r="I6294" i="2" s="1"/>
  <c r="I6295" i="2" s="1"/>
  <c r="I6296" i="2" s="1"/>
  <c r="I6297" i="2" s="1"/>
  <c r="I6298" i="2" s="1"/>
  <c r="I6299" i="2" s="1"/>
  <c r="I6300" i="2" s="1"/>
  <c r="I6301" i="2" s="1"/>
  <c r="I6302" i="2" s="1"/>
  <c r="I6303" i="2" s="1"/>
  <c r="I6304" i="2" s="1"/>
  <c r="I6305" i="2" s="1"/>
  <c r="I6306" i="2" s="1"/>
  <c r="I6307" i="2" s="1"/>
  <c r="I6308" i="2" s="1"/>
  <c r="I6309" i="2" s="1"/>
  <c r="I6310" i="2" s="1"/>
  <c r="I6311" i="2" s="1"/>
  <c r="I6312" i="2" s="1"/>
  <c r="I6313" i="2" s="1"/>
  <c r="I6314" i="2" s="1"/>
  <c r="I6315" i="2" s="1"/>
  <c r="I6316" i="2" s="1"/>
  <c r="I6317" i="2" s="1"/>
  <c r="I6318" i="2" s="1"/>
  <c r="I6319" i="2" s="1"/>
  <c r="I6320" i="2" s="1"/>
  <c r="I6321" i="2" s="1"/>
  <c r="I6322" i="2" s="1"/>
  <c r="I6323" i="2" s="1"/>
  <c r="I6324" i="2" s="1"/>
  <c r="I6325" i="2" s="1"/>
  <c r="I6326" i="2" s="1"/>
  <c r="I6327" i="2" s="1"/>
  <c r="I6328" i="2" s="1"/>
  <c r="I6329" i="2" s="1"/>
  <c r="I6330" i="2" s="1"/>
  <c r="I6331" i="2" s="1"/>
  <c r="I6332" i="2" s="1"/>
  <c r="I6333" i="2" s="1"/>
  <c r="I6334" i="2" s="1"/>
  <c r="I6335" i="2" s="1"/>
  <c r="I6336" i="2" s="1"/>
  <c r="I6337" i="2" s="1"/>
  <c r="I6338" i="2" s="1"/>
  <c r="I6339" i="2" s="1"/>
  <c r="I6340" i="2" s="1"/>
  <c r="I6341" i="2" s="1"/>
  <c r="I6342" i="2" s="1"/>
  <c r="I6343" i="2" s="1"/>
  <c r="I6344" i="2" s="1"/>
  <c r="I6345" i="2" s="1"/>
  <c r="I6346" i="2" s="1"/>
  <c r="I6347" i="2" s="1"/>
  <c r="I6348" i="2" s="1"/>
  <c r="I6349" i="2" s="1"/>
  <c r="I6350" i="2" s="1"/>
  <c r="I6351" i="2" s="1"/>
  <c r="I6352" i="2" s="1"/>
  <c r="I6353" i="2" s="1"/>
  <c r="I6354" i="2" s="1"/>
  <c r="I6355" i="2" s="1"/>
  <c r="I6356" i="2" s="1"/>
  <c r="I6357" i="2" s="1"/>
  <c r="I6358" i="2" s="1"/>
  <c r="I6359" i="2" s="1"/>
  <c r="I6360" i="2" s="1"/>
  <c r="I6361" i="2" s="1"/>
  <c r="I6362" i="2" s="1"/>
  <c r="I6363" i="2" s="1"/>
  <c r="I6364" i="2" s="1"/>
  <c r="I6365" i="2" s="1"/>
  <c r="I6366" i="2" s="1"/>
  <c r="I6367" i="2" s="1"/>
  <c r="I6368" i="2" s="1"/>
  <c r="I6369" i="2" s="1"/>
  <c r="I6370" i="2" s="1"/>
  <c r="I6371" i="2" s="1"/>
  <c r="I6372" i="2" s="1"/>
  <c r="I6373" i="2" s="1"/>
  <c r="I6374" i="2" s="1"/>
  <c r="I6375" i="2" s="1"/>
  <c r="I6376" i="2" s="1"/>
  <c r="I6377" i="2" s="1"/>
  <c r="I6378" i="2" s="1"/>
  <c r="I6379" i="2" s="1"/>
  <c r="I6380" i="2" s="1"/>
  <c r="I6381" i="2" s="1"/>
  <c r="I6382" i="2" s="1"/>
  <c r="I6383" i="2" s="1"/>
  <c r="I6384" i="2" s="1"/>
  <c r="I6385" i="2" s="1"/>
  <c r="I6386" i="2" s="1"/>
  <c r="I6387" i="2" s="1"/>
  <c r="I6388" i="2" s="1"/>
  <c r="I6389" i="2" s="1"/>
  <c r="I6390" i="2" s="1"/>
  <c r="I6391" i="2" s="1"/>
  <c r="I6392" i="2" s="1"/>
  <c r="I6393" i="2" s="1"/>
  <c r="I6394" i="2" s="1"/>
  <c r="I6395" i="2" s="1"/>
  <c r="I6396" i="2" s="1"/>
  <c r="I6397" i="2" s="1"/>
  <c r="I6398" i="2" s="1"/>
  <c r="I6399" i="2" s="1"/>
  <c r="I6400" i="2" s="1"/>
  <c r="I6401" i="2" s="1"/>
  <c r="I6402" i="2" s="1"/>
  <c r="I6403" i="2" s="1"/>
  <c r="I6404" i="2" s="1"/>
  <c r="I6405" i="2" s="1"/>
  <c r="I6406" i="2" s="1"/>
  <c r="I6407" i="2" s="1"/>
  <c r="I6408" i="2" s="1"/>
  <c r="I6409" i="2" s="1"/>
  <c r="I6410" i="2" s="1"/>
  <c r="I6411" i="2" s="1"/>
  <c r="I6412" i="2" s="1"/>
  <c r="I6413" i="2" s="1"/>
  <c r="I6414" i="2" s="1"/>
  <c r="I6415" i="2" s="1"/>
  <c r="I6416" i="2" s="1"/>
  <c r="I6417" i="2" s="1"/>
  <c r="I6418" i="2" s="1"/>
  <c r="I6419" i="2" s="1"/>
  <c r="I6420" i="2" s="1"/>
  <c r="I6421" i="2" s="1"/>
  <c r="I6422" i="2" s="1"/>
  <c r="I6423" i="2" s="1"/>
  <c r="I6424" i="2" s="1"/>
  <c r="I6425" i="2" s="1"/>
  <c r="I6426" i="2" s="1"/>
  <c r="I6427" i="2" s="1"/>
  <c r="I6428" i="2" s="1"/>
  <c r="I6429" i="2" s="1"/>
  <c r="I6430" i="2" s="1"/>
  <c r="I6431" i="2" s="1"/>
  <c r="I6432" i="2" s="1"/>
  <c r="I6433" i="2" s="1"/>
  <c r="I6434" i="2" s="1"/>
  <c r="I6435" i="2" s="1"/>
  <c r="I6436" i="2" s="1"/>
  <c r="I6437" i="2" s="1"/>
  <c r="I6438" i="2" s="1"/>
  <c r="I6439" i="2" s="1"/>
  <c r="I6440" i="2" s="1"/>
  <c r="I6441" i="2" s="1"/>
  <c r="I6442" i="2" s="1"/>
  <c r="I6443" i="2" s="1"/>
  <c r="I6444" i="2" s="1"/>
  <c r="I6445" i="2" s="1"/>
  <c r="I6446" i="2" s="1"/>
  <c r="I6447" i="2" s="1"/>
  <c r="I6448" i="2" s="1"/>
  <c r="I6449" i="2" s="1"/>
  <c r="I6450" i="2" s="1"/>
  <c r="I6451" i="2" s="1"/>
  <c r="I6452" i="2" s="1"/>
  <c r="I6453" i="2" s="1"/>
  <c r="I6454" i="2" s="1"/>
  <c r="I6455" i="2" s="1"/>
  <c r="I6456" i="2" s="1"/>
  <c r="I6457" i="2" s="1"/>
  <c r="I6458" i="2" s="1"/>
  <c r="I6459" i="2" s="1"/>
  <c r="I6460" i="2" s="1"/>
  <c r="I6461" i="2" s="1"/>
  <c r="I6462" i="2" s="1"/>
  <c r="I6463" i="2" s="1"/>
  <c r="I6464" i="2" s="1"/>
  <c r="I6465" i="2" s="1"/>
  <c r="I6466" i="2" s="1"/>
  <c r="I6467" i="2" s="1"/>
  <c r="I6468" i="2" s="1"/>
  <c r="I6469" i="2" s="1"/>
  <c r="I6470" i="2" s="1"/>
  <c r="I6471" i="2" s="1"/>
  <c r="I6472" i="2" s="1"/>
  <c r="I6473" i="2" s="1"/>
  <c r="I6474" i="2" s="1"/>
  <c r="I6475" i="2" s="1"/>
  <c r="I6476" i="2" s="1"/>
  <c r="I6477" i="2" s="1"/>
  <c r="I6478" i="2" s="1"/>
  <c r="I6479" i="2" s="1"/>
  <c r="I6480" i="2" s="1"/>
  <c r="I6481" i="2" s="1"/>
  <c r="I6482" i="2" s="1"/>
  <c r="I6483" i="2" s="1"/>
  <c r="I6484" i="2" s="1"/>
  <c r="I6485" i="2" s="1"/>
  <c r="I6486" i="2" s="1"/>
  <c r="I6487" i="2" s="1"/>
  <c r="I6488" i="2" s="1"/>
  <c r="I6489" i="2" s="1"/>
  <c r="I6490" i="2" s="1"/>
  <c r="I6491" i="2" s="1"/>
  <c r="I6492" i="2" s="1"/>
  <c r="I6493" i="2" s="1"/>
  <c r="I6494" i="2" s="1"/>
  <c r="I6495" i="2" s="1"/>
  <c r="I6496" i="2" s="1"/>
  <c r="I6497" i="2" s="1"/>
  <c r="I6498" i="2" s="1"/>
  <c r="I6499" i="2" s="1"/>
  <c r="I6500" i="2" s="1"/>
  <c r="I6501" i="2" s="1"/>
  <c r="I6502" i="2" s="1"/>
  <c r="I6503" i="2" s="1"/>
  <c r="I6504" i="2" s="1"/>
  <c r="I6505" i="2" s="1"/>
  <c r="I6506" i="2" s="1"/>
  <c r="I6507" i="2" s="1"/>
  <c r="I6508" i="2" s="1"/>
  <c r="I6509" i="2" s="1"/>
  <c r="I6510" i="2" s="1"/>
  <c r="I6511" i="2" s="1"/>
  <c r="I6512" i="2" s="1"/>
  <c r="I6513" i="2" s="1"/>
  <c r="I6514" i="2" s="1"/>
  <c r="I6515" i="2" s="1"/>
  <c r="I6516" i="2" s="1"/>
  <c r="I6517" i="2" s="1"/>
  <c r="I6518" i="2" s="1"/>
  <c r="I6519" i="2" s="1"/>
  <c r="I6520" i="2" s="1"/>
  <c r="I6521" i="2" s="1"/>
  <c r="I6522" i="2" s="1"/>
  <c r="I6523" i="2" s="1"/>
  <c r="I6524" i="2" s="1"/>
  <c r="I6525" i="2" s="1"/>
  <c r="I6526" i="2" s="1"/>
  <c r="I6527" i="2" s="1"/>
  <c r="I6528" i="2" s="1"/>
  <c r="I6529" i="2" s="1"/>
  <c r="I6530" i="2" s="1"/>
  <c r="I6531" i="2" s="1"/>
  <c r="I6532" i="2" s="1"/>
  <c r="I6533" i="2" s="1"/>
  <c r="I6534" i="2" s="1"/>
  <c r="I6535" i="2" s="1"/>
  <c r="I6536" i="2" s="1"/>
  <c r="I6537" i="2" s="1"/>
  <c r="I6538" i="2" s="1"/>
  <c r="I6539" i="2" s="1"/>
  <c r="I6540" i="2" s="1"/>
  <c r="I6541" i="2" s="1"/>
  <c r="I6542" i="2" s="1"/>
  <c r="I6543" i="2" s="1"/>
  <c r="I6544" i="2" s="1"/>
  <c r="I6545" i="2" s="1"/>
  <c r="I6546" i="2" s="1"/>
  <c r="I6547" i="2" s="1"/>
  <c r="I6548" i="2" s="1"/>
  <c r="I6549" i="2" s="1"/>
  <c r="I6550" i="2" s="1"/>
  <c r="I6551" i="2" s="1"/>
  <c r="I6552" i="2" s="1"/>
  <c r="I6553" i="2" s="1"/>
  <c r="I6554" i="2" s="1"/>
  <c r="I6555" i="2" s="1"/>
  <c r="I6556" i="2" s="1"/>
  <c r="I6557" i="2" s="1"/>
  <c r="I6558" i="2" s="1"/>
  <c r="I6559" i="2" s="1"/>
  <c r="I6560" i="2" s="1"/>
  <c r="I6561" i="2" s="1"/>
  <c r="I6562" i="2" s="1"/>
  <c r="I6563" i="2" s="1"/>
  <c r="I6564" i="2" s="1"/>
  <c r="I6565" i="2" s="1"/>
  <c r="I6566" i="2" s="1"/>
  <c r="I6567" i="2" s="1"/>
  <c r="I6568" i="2" s="1"/>
  <c r="I6569" i="2" s="1"/>
  <c r="I6570" i="2" s="1"/>
  <c r="I6571" i="2" s="1"/>
  <c r="I6572" i="2" s="1"/>
  <c r="I6573" i="2" s="1"/>
  <c r="I6574" i="2" s="1"/>
  <c r="I6575" i="2" s="1"/>
  <c r="I6576" i="2" s="1"/>
  <c r="I6577" i="2" s="1"/>
  <c r="I6578" i="2" s="1"/>
  <c r="I6579" i="2" s="1"/>
  <c r="I6580" i="2" s="1"/>
  <c r="I6581" i="2" s="1"/>
  <c r="I6582" i="2" s="1"/>
  <c r="I6583" i="2" s="1"/>
  <c r="I6584" i="2" s="1"/>
  <c r="I6585" i="2" s="1"/>
  <c r="I6586" i="2" s="1"/>
  <c r="I6587" i="2" s="1"/>
  <c r="I6588" i="2" s="1"/>
  <c r="I6589" i="2" s="1"/>
  <c r="I6590" i="2" s="1"/>
  <c r="I6591" i="2" s="1"/>
  <c r="I6592" i="2" s="1"/>
  <c r="I6593" i="2" s="1"/>
  <c r="I6594" i="2" s="1"/>
  <c r="I6595" i="2" s="1"/>
  <c r="I6596" i="2" s="1"/>
  <c r="I6597" i="2" s="1"/>
  <c r="I6598" i="2" s="1"/>
  <c r="I6599" i="2" s="1"/>
  <c r="I6600" i="2" s="1"/>
  <c r="I6601" i="2" s="1"/>
  <c r="I6602" i="2" s="1"/>
  <c r="I6603" i="2" s="1"/>
  <c r="I6604" i="2" s="1"/>
  <c r="I6605" i="2" s="1"/>
  <c r="I6606" i="2" s="1"/>
  <c r="I6607" i="2" s="1"/>
  <c r="I6608" i="2" s="1"/>
  <c r="I6609" i="2" s="1"/>
  <c r="I6610" i="2" s="1"/>
  <c r="I6611" i="2" s="1"/>
  <c r="I6612" i="2" s="1"/>
  <c r="I6613" i="2" s="1"/>
  <c r="I6614" i="2" s="1"/>
  <c r="I6615" i="2" s="1"/>
  <c r="I6616" i="2" s="1"/>
  <c r="I6617" i="2" s="1"/>
  <c r="I6618" i="2" s="1"/>
  <c r="I6619" i="2" s="1"/>
  <c r="I6620" i="2" s="1"/>
  <c r="I6621" i="2" s="1"/>
  <c r="I6622" i="2" s="1"/>
  <c r="I6623" i="2" s="1"/>
  <c r="I6624" i="2" s="1"/>
  <c r="I6625" i="2" s="1"/>
  <c r="I6626" i="2" s="1"/>
  <c r="I6627" i="2" s="1"/>
  <c r="I6628" i="2" s="1"/>
  <c r="I6629" i="2" s="1"/>
  <c r="I6630" i="2" s="1"/>
  <c r="I6631" i="2" s="1"/>
  <c r="I6632" i="2" s="1"/>
  <c r="I6633" i="2" s="1"/>
  <c r="I6634" i="2" s="1"/>
  <c r="I6635" i="2" s="1"/>
  <c r="I6636" i="2" s="1"/>
  <c r="I6637" i="2" s="1"/>
  <c r="I6638" i="2" s="1"/>
  <c r="I6639" i="2" s="1"/>
  <c r="I6640" i="2" s="1"/>
  <c r="I6641" i="2" s="1"/>
  <c r="I6642" i="2" s="1"/>
  <c r="I6643" i="2" s="1"/>
  <c r="I6644" i="2" s="1"/>
  <c r="I6645" i="2" s="1"/>
  <c r="I6646" i="2" s="1"/>
  <c r="I6647" i="2" s="1"/>
  <c r="I6648" i="2" s="1"/>
  <c r="I6649" i="2" s="1"/>
  <c r="I6650" i="2" s="1"/>
  <c r="I6651" i="2" s="1"/>
  <c r="I6652" i="2" s="1"/>
  <c r="I6653" i="2" s="1"/>
  <c r="I6654" i="2" s="1"/>
  <c r="I6655" i="2" s="1"/>
  <c r="I6656" i="2" s="1"/>
  <c r="I6657" i="2" s="1"/>
  <c r="I6658" i="2" s="1"/>
  <c r="I6659" i="2" s="1"/>
  <c r="I6660" i="2" s="1"/>
  <c r="I6661" i="2" s="1"/>
  <c r="I6662" i="2" s="1"/>
  <c r="I6663" i="2" s="1"/>
  <c r="I6664" i="2" s="1"/>
  <c r="I6665" i="2" s="1"/>
  <c r="I6666" i="2" s="1"/>
  <c r="I6667" i="2" s="1"/>
  <c r="I6668" i="2" s="1"/>
  <c r="I6669" i="2" s="1"/>
  <c r="I6670" i="2" s="1"/>
  <c r="I6671" i="2" s="1"/>
  <c r="I6672" i="2" s="1"/>
  <c r="I6673" i="2" s="1"/>
  <c r="I6674" i="2" s="1"/>
  <c r="I6675" i="2" s="1"/>
  <c r="I6676" i="2" s="1"/>
  <c r="I6677" i="2" s="1"/>
  <c r="I6678" i="2" s="1"/>
  <c r="I6679" i="2" s="1"/>
  <c r="I6680" i="2" s="1"/>
  <c r="I6681" i="2" s="1"/>
  <c r="I6682" i="2" s="1"/>
  <c r="I6683" i="2" s="1"/>
  <c r="I6684" i="2" s="1"/>
  <c r="I6685" i="2" s="1"/>
  <c r="I6686" i="2" s="1"/>
  <c r="I6687" i="2" s="1"/>
  <c r="I6688" i="2" s="1"/>
  <c r="I6689" i="2" s="1"/>
  <c r="I6690" i="2" s="1"/>
  <c r="I6691" i="2" s="1"/>
  <c r="I6692" i="2" s="1"/>
  <c r="I6693" i="2" s="1"/>
  <c r="I6694" i="2" s="1"/>
  <c r="I6695" i="2" s="1"/>
  <c r="I6696" i="2" s="1"/>
  <c r="I6697" i="2" s="1"/>
  <c r="I6698" i="2" s="1"/>
  <c r="I6699" i="2" s="1"/>
  <c r="I6700" i="2" s="1"/>
  <c r="I6701" i="2" s="1"/>
  <c r="I6702" i="2" s="1"/>
  <c r="I6703" i="2" s="1"/>
  <c r="I6704" i="2" s="1"/>
  <c r="I6705" i="2" s="1"/>
  <c r="I6706" i="2" s="1"/>
  <c r="I6707" i="2" s="1"/>
  <c r="I6708" i="2" s="1"/>
  <c r="I6709" i="2" s="1"/>
  <c r="I6710" i="2" s="1"/>
  <c r="I6711" i="2" s="1"/>
  <c r="I6712" i="2" s="1"/>
  <c r="I6713" i="2" s="1"/>
  <c r="I6714" i="2" s="1"/>
  <c r="I6715" i="2" s="1"/>
  <c r="I6716" i="2" s="1"/>
  <c r="I6717" i="2" s="1"/>
  <c r="I6718" i="2" s="1"/>
  <c r="I6719" i="2" s="1"/>
  <c r="I6720" i="2" s="1"/>
  <c r="I6721" i="2" s="1"/>
  <c r="I6722" i="2" s="1"/>
  <c r="I6723" i="2" s="1"/>
  <c r="I6724" i="2" s="1"/>
  <c r="I6725" i="2" s="1"/>
  <c r="I6726" i="2" s="1"/>
  <c r="I6727" i="2" s="1"/>
  <c r="I6728" i="2" s="1"/>
  <c r="I6729" i="2" s="1"/>
  <c r="I6730" i="2" s="1"/>
  <c r="I6731" i="2" s="1"/>
  <c r="I6732" i="2" s="1"/>
  <c r="I6733" i="2" s="1"/>
  <c r="I6734" i="2" s="1"/>
  <c r="I6735" i="2" s="1"/>
  <c r="I6736" i="2" s="1"/>
  <c r="I6737" i="2" s="1"/>
  <c r="I6738" i="2" s="1"/>
  <c r="I6739" i="2" s="1"/>
  <c r="I6740" i="2" s="1"/>
  <c r="I6741" i="2" s="1"/>
  <c r="I6742" i="2" s="1"/>
  <c r="I6743" i="2" s="1"/>
  <c r="I6744" i="2" s="1"/>
  <c r="I6745" i="2" s="1"/>
  <c r="I6746" i="2" s="1"/>
  <c r="I6747" i="2" s="1"/>
  <c r="I6748" i="2" s="1"/>
  <c r="I6749" i="2" s="1"/>
  <c r="I6750" i="2" s="1"/>
  <c r="I6751" i="2" s="1"/>
  <c r="I6752" i="2" s="1"/>
  <c r="I6753" i="2" s="1"/>
  <c r="I6754" i="2" s="1"/>
  <c r="I6755" i="2" s="1"/>
  <c r="I6756" i="2" s="1"/>
  <c r="I6757" i="2" s="1"/>
  <c r="I6758" i="2" s="1"/>
  <c r="I6759" i="2" s="1"/>
  <c r="I6760" i="2" s="1"/>
  <c r="I6761" i="2" s="1"/>
  <c r="I6762" i="2" s="1"/>
  <c r="I6763" i="2" s="1"/>
  <c r="I6764" i="2" s="1"/>
  <c r="I6765" i="2" s="1"/>
  <c r="I6766" i="2" s="1"/>
  <c r="I6767" i="2" s="1"/>
  <c r="I6768" i="2" s="1"/>
  <c r="I6769" i="2" s="1"/>
  <c r="I6770" i="2" s="1"/>
  <c r="I6771" i="2" s="1"/>
  <c r="I6772" i="2" s="1"/>
  <c r="I6773" i="2" s="1"/>
  <c r="I6774" i="2" s="1"/>
  <c r="I6775" i="2" s="1"/>
  <c r="I6776" i="2" s="1"/>
  <c r="I6777" i="2" s="1"/>
  <c r="I6778" i="2" s="1"/>
  <c r="I6779" i="2" s="1"/>
  <c r="I6780" i="2" s="1"/>
  <c r="I6781" i="2" s="1"/>
  <c r="I6782" i="2" s="1"/>
  <c r="I6783" i="2" s="1"/>
  <c r="I6784" i="2" s="1"/>
  <c r="I6785" i="2" s="1"/>
  <c r="I6786" i="2" s="1"/>
  <c r="I6787" i="2" s="1"/>
  <c r="I6788" i="2" s="1"/>
  <c r="I6789" i="2" s="1"/>
  <c r="I6790" i="2" s="1"/>
  <c r="I6791" i="2" s="1"/>
  <c r="I6792" i="2" s="1"/>
  <c r="I6793" i="2" s="1"/>
  <c r="I6794" i="2" s="1"/>
  <c r="I6795" i="2" s="1"/>
  <c r="I6796" i="2" s="1"/>
  <c r="I6797" i="2" s="1"/>
  <c r="I6798" i="2" s="1"/>
  <c r="I6799" i="2" s="1"/>
  <c r="I6800" i="2" s="1"/>
  <c r="I6801" i="2" s="1"/>
  <c r="I6802" i="2" s="1"/>
  <c r="I6803" i="2" s="1"/>
  <c r="I6804" i="2" s="1"/>
  <c r="I6805" i="2" s="1"/>
  <c r="I6806" i="2" s="1"/>
  <c r="I6807" i="2" s="1"/>
  <c r="I6808" i="2" s="1"/>
  <c r="I6809" i="2" s="1"/>
  <c r="I6810" i="2" s="1"/>
  <c r="I6811" i="2" s="1"/>
  <c r="I6812" i="2" s="1"/>
  <c r="I6813" i="2" s="1"/>
  <c r="I6814" i="2" s="1"/>
  <c r="I6815" i="2" s="1"/>
  <c r="I6816" i="2" s="1"/>
  <c r="I6817" i="2" s="1"/>
  <c r="I6818" i="2" s="1"/>
  <c r="I6819" i="2" s="1"/>
  <c r="I6820" i="2" s="1"/>
  <c r="I6821" i="2" s="1"/>
  <c r="I6822" i="2" s="1"/>
  <c r="I6823" i="2" s="1"/>
  <c r="I6824" i="2" s="1"/>
  <c r="I6825" i="2" s="1"/>
  <c r="I6826" i="2" s="1"/>
  <c r="I6827" i="2" s="1"/>
  <c r="I6828" i="2" s="1"/>
  <c r="I6829" i="2" s="1"/>
  <c r="I6830" i="2" s="1"/>
  <c r="I6831" i="2" s="1"/>
  <c r="I6832" i="2" s="1"/>
  <c r="I6833" i="2" s="1"/>
  <c r="I6834" i="2" s="1"/>
  <c r="I6835" i="2" s="1"/>
  <c r="I6836" i="2" s="1"/>
  <c r="I6837" i="2" s="1"/>
  <c r="I6838" i="2" s="1"/>
  <c r="I6839" i="2" s="1"/>
  <c r="I6840" i="2" s="1"/>
  <c r="I6841" i="2" s="1"/>
  <c r="I6842" i="2" s="1"/>
  <c r="I6843" i="2" s="1"/>
  <c r="I6844" i="2" s="1"/>
  <c r="I6845" i="2" s="1"/>
  <c r="I6846" i="2" s="1"/>
  <c r="I6847" i="2" s="1"/>
  <c r="I6848" i="2" s="1"/>
  <c r="I6849" i="2" s="1"/>
  <c r="I6850" i="2" s="1"/>
  <c r="I6851" i="2" s="1"/>
  <c r="I6852" i="2" s="1"/>
  <c r="I6853" i="2" s="1"/>
  <c r="I6854" i="2" s="1"/>
  <c r="I6855" i="2" s="1"/>
  <c r="I6856" i="2" s="1"/>
  <c r="I6857" i="2" s="1"/>
  <c r="I6858" i="2" s="1"/>
  <c r="I6859" i="2" s="1"/>
  <c r="I6860" i="2" s="1"/>
  <c r="I6861" i="2" s="1"/>
  <c r="I6862" i="2" s="1"/>
  <c r="I6863" i="2" s="1"/>
  <c r="I6864" i="2" s="1"/>
  <c r="I6865" i="2" s="1"/>
  <c r="I6866" i="2" s="1"/>
  <c r="I6867" i="2" s="1"/>
  <c r="I6868" i="2" s="1"/>
  <c r="I6869" i="2" s="1"/>
  <c r="I6870" i="2" s="1"/>
  <c r="I6871" i="2" s="1"/>
  <c r="I6872" i="2" s="1"/>
  <c r="I6873" i="2" s="1"/>
  <c r="I6874" i="2" s="1"/>
  <c r="I6875" i="2" s="1"/>
  <c r="I6876" i="2" s="1"/>
  <c r="I6877" i="2" s="1"/>
  <c r="I6878" i="2" s="1"/>
  <c r="I6879" i="2" s="1"/>
  <c r="I6880" i="2" s="1"/>
  <c r="I6881" i="2" s="1"/>
  <c r="I6882" i="2" s="1"/>
  <c r="I6883" i="2" s="1"/>
  <c r="I6884" i="2" s="1"/>
  <c r="I6885" i="2" s="1"/>
  <c r="I6886" i="2" s="1"/>
  <c r="I6887" i="2" s="1"/>
  <c r="I6888" i="2" s="1"/>
  <c r="I6889" i="2" s="1"/>
  <c r="I6890" i="2" s="1"/>
  <c r="I6891" i="2" s="1"/>
  <c r="I6892" i="2" s="1"/>
  <c r="I6893" i="2" s="1"/>
  <c r="I6894" i="2" s="1"/>
  <c r="I6895" i="2" s="1"/>
  <c r="I6896" i="2" s="1"/>
  <c r="I6897" i="2" s="1"/>
  <c r="I6898" i="2" s="1"/>
  <c r="I6899" i="2" s="1"/>
  <c r="I6900" i="2" s="1"/>
  <c r="I6901" i="2" s="1"/>
  <c r="I6902" i="2" s="1"/>
  <c r="I6903" i="2" s="1"/>
  <c r="I6904" i="2" s="1"/>
  <c r="I6905" i="2" s="1"/>
  <c r="I6906" i="2" s="1"/>
  <c r="I6907" i="2" s="1"/>
  <c r="I6908" i="2" s="1"/>
  <c r="I6909" i="2" s="1"/>
  <c r="I6910" i="2" s="1"/>
  <c r="I6911" i="2" s="1"/>
  <c r="I6912" i="2" s="1"/>
  <c r="I6913" i="2" s="1"/>
  <c r="I6914" i="2" s="1"/>
  <c r="I6915" i="2" s="1"/>
  <c r="I6916" i="2" s="1"/>
  <c r="I6917" i="2" s="1"/>
  <c r="I6918" i="2" s="1"/>
  <c r="I6919" i="2" s="1"/>
  <c r="I6920" i="2" s="1"/>
  <c r="I6921" i="2" s="1"/>
  <c r="I6922" i="2" s="1"/>
  <c r="I6923" i="2" s="1"/>
  <c r="I6924" i="2" s="1"/>
  <c r="I6925" i="2" s="1"/>
  <c r="I6926" i="2" s="1"/>
  <c r="I6927" i="2" s="1"/>
  <c r="I6928" i="2" s="1"/>
  <c r="I6929" i="2" s="1"/>
  <c r="I6930" i="2" s="1"/>
  <c r="I6931" i="2" s="1"/>
  <c r="I6932" i="2" s="1"/>
  <c r="I6933" i="2" s="1"/>
  <c r="I6934" i="2" s="1"/>
  <c r="I6935" i="2" s="1"/>
  <c r="I6936" i="2" s="1"/>
  <c r="I6937" i="2" s="1"/>
  <c r="I6938" i="2" s="1"/>
  <c r="I6939" i="2" s="1"/>
  <c r="I6940" i="2" s="1"/>
  <c r="I6941" i="2" s="1"/>
  <c r="I6942" i="2" s="1"/>
  <c r="I6943" i="2" s="1"/>
  <c r="I6944" i="2" s="1"/>
  <c r="I6945" i="2" s="1"/>
  <c r="I6946" i="2" s="1"/>
  <c r="I6947" i="2" s="1"/>
  <c r="I6948" i="2" s="1"/>
  <c r="I6949" i="2" s="1"/>
  <c r="I6950" i="2" s="1"/>
  <c r="I6951" i="2" s="1"/>
  <c r="I6952" i="2" s="1"/>
  <c r="I6953" i="2" s="1"/>
  <c r="I6954" i="2" s="1"/>
  <c r="I6955" i="2" s="1"/>
  <c r="I6956" i="2" s="1"/>
  <c r="I6957" i="2" s="1"/>
  <c r="I6958" i="2" s="1"/>
  <c r="I6959" i="2" s="1"/>
  <c r="I6960" i="2" s="1"/>
  <c r="I6961" i="2" s="1"/>
  <c r="I6962" i="2" s="1"/>
  <c r="I6963" i="2" s="1"/>
  <c r="I6964" i="2" s="1"/>
  <c r="I6965" i="2" s="1"/>
  <c r="I6966" i="2" s="1"/>
  <c r="I6967" i="2" s="1"/>
  <c r="I6968" i="2" s="1"/>
  <c r="I6969" i="2" s="1"/>
  <c r="I6970" i="2" s="1"/>
  <c r="I6971" i="2" s="1"/>
  <c r="I6972" i="2" s="1"/>
  <c r="I6973" i="2" s="1"/>
  <c r="I6974" i="2" s="1"/>
  <c r="I6975" i="2" s="1"/>
  <c r="I6976" i="2" s="1"/>
  <c r="I6977" i="2" s="1"/>
  <c r="I6978" i="2" s="1"/>
  <c r="I6979" i="2" s="1"/>
  <c r="I6980" i="2" s="1"/>
  <c r="I6981" i="2" s="1"/>
  <c r="I6982" i="2" s="1"/>
  <c r="I6983" i="2" s="1"/>
  <c r="I6984" i="2" s="1"/>
  <c r="I6985" i="2" s="1"/>
  <c r="I6986" i="2" s="1"/>
  <c r="I6987" i="2" s="1"/>
  <c r="I6988" i="2" s="1"/>
  <c r="I6989" i="2" s="1"/>
  <c r="I6990" i="2" s="1"/>
  <c r="I6991" i="2" s="1"/>
  <c r="I6992" i="2" s="1"/>
  <c r="I6993" i="2" s="1"/>
  <c r="I6994" i="2" s="1"/>
  <c r="I6995" i="2" s="1"/>
  <c r="I6996" i="2" s="1"/>
  <c r="I6997" i="2" s="1"/>
  <c r="I6998" i="2" s="1"/>
  <c r="I6999" i="2" s="1"/>
  <c r="I7000" i="2" s="1"/>
  <c r="I7001" i="2" s="1"/>
  <c r="I7002" i="2" s="1"/>
  <c r="I7003" i="2" s="1"/>
  <c r="I7004" i="2" s="1"/>
  <c r="I7005" i="2" s="1"/>
  <c r="I7006" i="2" s="1"/>
  <c r="I7007" i="2" s="1"/>
  <c r="I7008" i="2" s="1"/>
  <c r="I7009" i="2" s="1"/>
  <c r="I7010" i="2" s="1"/>
  <c r="I7011" i="2" s="1"/>
  <c r="I7012" i="2" s="1"/>
  <c r="I7013" i="2" s="1"/>
  <c r="I7014" i="2" s="1"/>
  <c r="I7015" i="2" s="1"/>
  <c r="I7016" i="2" s="1"/>
  <c r="I7017" i="2" s="1"/>
  <c r="I7018" i="2" s="1"/>
  <c r="I7019" i="2" s="1"/>
  <c r="I7020" i="2" s="1"/>
  <c r="I7021" i="2" s="1"/>
  <c r="I7022" i="2" s="1"/>
  <c r="I7023" i="2" s="1"/>
  <c r="I7024" i="2" s="1"/>
  <c r="I7025" i="2" s="1"/>
  <c r="I7026" i="2" s="1"/>
  <c r="I7027" i="2" s="1"/>
  <c r="I7028" i="2" s="1"/>
  <c r="I7029" i="2" s="1"/>
  <c r="I7030" i="2" s="1"/>
  <c r="I7031" i="2" s="1"/>
  <c r="I7032" i="2" s="1"/>
  <c r="I7033" i="2" s="1"/>
  <c r="I7034" i="2" s="1"/>
  <c r="I7035" i="2" s="1"/>
  <c r="I7036" i="2" s="1"/>
  <c r="I7037" i="2" s="1"/>
  <c r="I7038" i="2" s="1"/>
  <c r="I7039" i="2" s="1"/>
  <c r="I7040" i="2" s="1"/>
  <c r="I7041" i="2" s="1"/>
  <c r="I7042" i="2" s="1"/>
  <c r="I7043" i="2" s="1"/>
  <c r="I7044" i="2" s="1"/>
  <c r="I7045" i="2" s="1"/>
  <c r="I7046" i="2" s="1"/>
  <c r="I7047" i="2" s="1"/>
  <c r="I7048" i="2" s="1"/>
  <c r="I7049" i="2" s="1"/>
  <c r="I7050" i="2" s="1"/>
  <c r="I7051" i="2" s="1"/>
  <c r="I7052" i="2" s="1"/>
  <c r="I7053" i="2" s="1"/>
  <c r="I7054" i="2" s="1"/>
  <c r="I7055" i="2" s="1"/>
  <c r="I7056" i="2" s="1"/>
  <c r="I7057" i="2" s="1"/>
  <c r="I7058" i="2" s="1"/>
  <c r="I7059" i="2" s="1"/>
  <c r="I7060" i="2" s="1"/>
  <c r="I7061" i="2" s="1"/>
  <c r="I7062" i="2" s="1"/>
  <c r="I7063" i="2" s="1"/>
  <c r="I7064" i="2" s="1"/>
  <c r="I7065" i="2" s="1"/>
  <c r="I7066" i="2" s="1"/>
  <c r="I7067" i="2" s="1"/>
  <c r="I7068" i="2" s="1"/>
  <c r="I7069" i="2" s="1"/>
  <c r="I7070" i="2" s="1"/>
  <c r="I7071" i="2" s="1"/>
  <c r="I7072" i="2" s="1"/>
  <c r="I7073" i="2" s="1"/>
  <c r="I7074" i="2" s="1"/>
  <c r="I7075" i="2" s="1"/>
  <c r="I7076" i="2" s="1"/>
  <c r="I7077" i="2" s="1"/>
  <c r="I7078" i="2" s="1"/>
  <c r="I7079" i="2" s="1"/>
  <c r="I7080" i="2" s="1"/>
  <c r="I7081" i="2" s="1"/>
  <c r="I7082" i="2" s="1"/>
  <c r="I7083" i="2" s="1"/>
  <c r="I7084" i="2" s="1"/>
  <c r="I7085" i="2" s="1"/>
  <c r="I7086" i="2" s="1"/>
  <c r="I7087" i="2" s="1"/>
  <c r="I7088" i="2" s="1"/>
  <c r="I7089" i="2" s="1"/>
  <c r="I7090" i="2" s="1"/>
  <c r="I7091" i="2" s="1"/>
  <c r="I7092" i="2" s="1"/>
  <c r="I7093" i="2" s="1"/>
  <c r="I7094" i="2" s="1"/>
  <c r="I7095" i="2" s="1"/>
  <c r="I7096" i="2" s="1"/>
  <c r="I7097" i="2" s="1"/>
  <c r="I7098" i="2" s="1"/>
  <c r="I7099" i="2" s="1"/>
  <c r="I7100" i="2" s="1"/>
  <c r="I7101" i="2" s="1"/>
  <c r="I7102" i="2" s="1"/>
  <c r="I7103" i="2" s="1"/>
  <c r="I7104" i="2" s="1"/>
  <c r="I7105" i="2" s="1"/>
  <c r="I7106" i="2" s="1"/>
  <c r="I7107" i="2" s="1"/>
  <c r="I7108" i="2" s="1"/>
  <c r="I7109" i="2" s="1"/>
  <c r="I7110" i="2" s="1"/>
  <c r="I7111" i="2" s="1"/>
  <c r="I7112" i="2" s="1"/>
  <c r="I7113" i="2" s="1"/>
  <c r="I7114" i="2" s="1"/>
  <c r="I7115" i="2" s="1"/>
  <c r="I7116" i="2" s="1"/>
  <c r="I7117" i="2" s="1"/>
  <c r="I7118" i="2" s="1"/>
  <c r="I7119" i="2" s="1"/>
  <c r="I7120" i="2" s="1"/>
  <c r="I7121" i="2" s="1"/>
  <c r="I7122" i="2" s="1"/>
  <c r="I7123" i="2" s="1"/>
  <c r="I7124" i="2" s="1"/>
  <c r="I7125" i="2" s="1"/>
  <c r="I7126" i="2" s="1"/>
  <c r="I7127" i="2" s="1"/>
  <c r="I7128" i="2" s="1"/>
  <c r="I7129" i="2" s="1"/>
  <c r="I7130" i="2" s="1"/>
  <c r="I7131" i="2" s="1"/>
  <c r="I7132" i="2" s="1"/>
  <c r="I7133" i="2" s="1"/>
  <c r="I7134" i="2" s="1"/>
  <c r="I7135" i="2" s="1"/>
  <c r="I7136" i="2" s="1"/>
  <c r="I7137" i="2" s="1"/>
  <c r="I7138" i="2" s="1"/>
  <c r="I7139" i="2" s="1"/>
  <c r="I7140" i="2" s="1"/>
  <c r="I7141" i="2" s="1"/>
  <c r="I7142" i="2" s="1"/>
  <c r="I7143" i="2" s="1"/>
  <c r="I7144" i="2" s="1"/>
  <c r="I7145" i="2" s="1"/>
  <c r="I7146" i="2" s="1"/>
  <c r="I7147" i="2" s="1"/>
  <c r="I7148" i="2" s="1"/>
  <c r="I7149" i="2" s="1"/>
  <c r="I7150" i="2" s="1"/>
  <c r="I7151" i="2" s="1"/>
  <c r="I7152" i="2" s="1"/>
  <c r="I7153" i="2" s="1"/>
  <c r="I7154" i="2" s="1"/>
  <c r="I7155" i="2" s="1"/>
  <c r="I7156" i="2" s="1"/>
  <c r="I7157" i="2" s="1"/>
  <c r="I7158" i="2" s="1"/>
  <c r="I7159" i="2" s="1"/>
  <c r="I7160" i="2" s="1"/>
  <c r="I7161" i="2" s="1"/>
  <c r="I7162" i="2" s="1"/>
  <c r="I7163" i="2" s="1"/>
  <c r="I7164" i="2" s="1"/>
  <c r="I7165" i="2" s="1"/>
  <c r="I7166" i="2" s="1"/>
  <c r="I7167" i="2" s="1"/>
  <c r="I7168" i="2" s="1"/>
  <c r="I7169" i="2" s="1"/>
  <c r="I7170" i="2" s="1"/>
  <c r="I7171" i="2" s="1"/>
  <c r="I7172" i="2" s="1"/>
  <c r="I7173" i="2" s="1"/>
  <c r="I7174" i="2" s="1"/>
  <c r="I7175" i="2" s="1"/>
  <c r="I7176" i="2" s="1"/>
  <c r="I7177" i="2" s="1"/>
  <c r="I7178" i="2" s="1"/>
  <c r="I7179" i="2" s="1"/>
  <c r="I7180" i="2" s="1"/>
  <c r="I7181" i="2" s="1"/>
  <c r="I7182" i="2" s="1"/>
  <c r="I7183" i="2" s="1"/>
  <c r="I7184" i="2" s="1"/>
  <c r="I7185" i="2" s="1"/>
  <c r="I7186" i="2" s="1"/>
  <c r="I7187" i="2" s="1"/>
  <c r="I7188" i="2" s="1"/>
  <c r="I7189" i="2" s="1"/>
  <c r="I7190" i="2" s="1"/>
  <c r="I7191" i="2" s="1"/>
  <c r="I7192" i="2" s="1"/>
  <c r="I7193" i="2" s="1"/>
  <c r="I7194" i="2" s="1"/>
  <c r="I7195" i="2" s="1"/>
  <c r="I7196" i="2" s="1"/>
  <c r="I7197" i="2" s="1"/>
  <c r="I7198" i="2" s="1"/>
  <c r="I7199" i="2" s="1"/>
  <c r="I7200" i="2" s="1"/>
  <c r="I7201" i="2" s="1"/>
  <c r="I7202" i="2" s="1"/>
  <c r="I7203" i="2" s="1"/>
  <c r="I7204" i="2" s="1"/>
  <c r="I7205" i="2" s="1"/>
  <c r="I7206" i="2" s="1"/>
  <c r="I7207" i="2" s="1"/>
  <c r="I7208" i="2" s="1"/>
  <c r="I7209" i="2" s="1"/>
  <c r="I7210" i="2" s="1"/>
  <c r="I7211" i="2" s="1"/>
  <c r="I7212" i="2" s="1"/>
  <c r="I7213" i="2" s="1"/>
  <c r="I7214" i="2" s="1"/>
  <c r="I7215" i="2" s="1"/>
  <c r="I7216" i="2" s="1"/>
  <c r="I7217" i="2" s="1"/>
  <c r="I7218" i="2" s="1"/>
  <c r="I7219" i="2" s="1"/>
  <c r="I7220" i="2" s="1"/>
  <c r="I7221" i="2" s="1"/>
  <c r="I7222" i="2" s="1"/>
  <c r="I7223" i="2" s="1"/>
  <c r="I7224" i="2" s="1"/>
  <c r="I7225" i="2" s="1"/>
  <c r="I7226" i="2" s="1"/>
  <c r="I7227" i="2" s="1"/>
  <c r="I7228" i="2" s="1"/>
  <c r="I7229" i="2" s="1"/>
  <c r="I7230" i="2" s="1"/>
  <c r="I7231" i="2" s="1"/>
  <c r="I7232" i="2" s="1"/>
  <c r="I7233" i="2" s="1"/>
  <c r="I7234" i="2" s="1"/>
  <c r="I7235" i="2" s="1"/>
  <c r="I7236" i="2" s="1"/>
  <c r="I7237" i="2" s="1"/>
  <c r="I7238" i="2" s="1"/>
  <c r="I7239" i="2" s="1"/>
  <c r="I7240" i="2" s="1"/>
  <c r="I7241" i="2" s="1"/>
  <c r="I7242" i="2" s="1"/>
  <c r="I7243" i="2" s="1"/>
  <c r="I7244" i="2" s="1"/>
  <c r="I7245" i="2" s="1"/>
  <c r="I7246" i="2" s="1"/>
  <c r="I7247" i="2" s="1"/>
  <c r="I7248" i="2" s="1"/>
  <c r="I7249" i="2" s="1"/>
  <c r="I7250" i="2" s="1"/>
  <c r="I7251" i="2" s="1"/>
  <c r="I7252" i="2" s="1"/>
  <c r="I7253" i="2" s="1"/>
  <c r="I7254" i="2" s="1"/>
  <c r="I7255" i="2" s="1"/>
  <c r="I7256" i="2" s="1"/>
  <c r="I7257" i="2" s="1"/>
  <c r="I7258" i="2" s="1"/>
  <c r="I7259" i="2" s="1"/>
  <c r="I7260" i="2" s="1"/>
  <c r="I7261" i="2" s="1"/>
  <c r="I7262" i="2" s="1"/>
  <c r="I7263" i="2" s="1"/>
  <c r="I7264" i="2" s="1"/>
  <c r="I7265" i="2" s="1"/>
  <c r="I7266" i="2" s="1"/>
  <c r="I7267" i="2" s="1"/>
  <c r="I7268" i="2" s="1"/>
  <c r="I7269" i="2" s="1"/>
  <c r="I7270" i="2" s="1"/>
  <c r="I7271" i="2" s="1"/>
  <c r="I7272" i="2" s="1"/>
  <c r="I7273" i="2" s="1"/>
  <c r="I7274" i="2" s="1"/>
  <c r="I7275" i="2" s="1"/>
  <c r="I7276" i="2" s="1"/>
  <c r="I7277" i="2" s="1"/>
  <c r="I7278" i="2" s="1"/>
  <c r="I7279" i="2" s="1"/>
  <c r="I7280" i="2" s="1"/>
  <c r="I7281" i="2" s="1"/>
  <c r="I7282" i="2" s="1"/>
  <c r="I7283" i="2" s="1"/>
  <c r="I7284" i="2" s="1"/>
  <c r="I7285" i="2" s="1"/>
  <c r="I7286" i="2" s="1"/>
  <c r="I7287" i="2" s="1"/>
  <c r="I7288" i="2" s="1"/>
  <c r="I7289" i="2" s="1"/>
  <c r="I7290" i="2" s="1"/>
  <c r="I7291" i="2" s="1"/>
  <c r="I7292" i="2" s="1"/>
  <c r="I7293" i="2" s="1"/>
  <c r="I7294" i="2" s="1"/>
  <c r="I7295" i="2" s="1"/>
  <c r="I7296" i="2" s="1"/>
  <c r="I7297" i="2" s="1"/>
  <c r="I7298" i="2" s="1"/>
  <c r="I7299" i="2" s="1"/>
  <c r="I7300" i="2" s="1"/>
  <c r="I7301" i="2" s="1"/>
  <c r="I7302" i="2" s="1"/>
  <c r="I7303" i="2" s="1"/>
  <c r="I7304" i="2" s="1"/>
  <c r="I7305" i="2" s="1"/>
  <c r="I7306" i="2" s="1"/>
  <c r="I7307" i="2" s="1"/>
  <c r="I7308" i="2" s="1"/>
  <c r="I7309" i="2" s="1"/>
  <c r="I7310" i="2" s="1"/>
  <c r="I7311" i="2" s="1"/>
  <c r="I7312" i="2" s="1"/>
  <c r="I7313" i="2" s="1"/>
  <c r="I7314" i="2" s="1"/>
  <c r="I7315" i="2" s="1"/>
  <c r="I7316" i="2" s="1"/>
  <c r="I7317" i="2" s="1"/>
  <c r="I7318" i="2" s="1"/>
  <c r="I7319" i="2" s="1"/>
  <c r="I7320" i="2" s="1"/>
  <c r="I7321" i="2" s="1"/>
  <c r="I7322" i="2" s="1"/>
  <c r="I7323" i="2" s="1"/>
  <c r="I7324" i="2" s="1"/>
  <c r="I7325" i="2" s="1"/>
  <c r="I7326" i="2" s="1"/>
  <c r="I7327" i="2" s="1"/>
  <c r="I7328" i="2" s="1"/>
  <c r="I7329" i="2" s="1"/>
  <c r="I7330" i="2" s="1"/>
  <c r="I7331" i="2" s="1"/>
  <c r="I7332" i="2" s="1"/>
  <c r="I7333" i="2" s="1"/>
  <c r="I7334" i="2" s="1"/>
  <c r="I7335" i="2" s="1"/>
  <c r="I7336" i="2" s="1"/>
  <c r="I7337" i="2" s="1"/>
  <c r="I7338" i="2" s="1"/>
  <c r="I7339" i="2" s="1"/>
  <c r="I7340" i="2" s="1"/>
  <c r="I7341" i="2" s="1"/>
  <c r="I7342" i="2" s="1"/>
  <c r="I7343" i="2" s="1"/>
  <c r="I7344" i="2" s="1"/>
  <c r="I7345" i="2" s="1"/>
  <c r="I7346" i="2" s="1"/>
  <c r="I7347" i="2" s="1"/>
  <c r="I7348" i="2" s="1"/>
  <c r="I7349" i="2" s="1"/>
  <c r="I7350" i="2" s="1"/>
  <c r="I7351" i="2" s="1"/>
  <c r="I7352" i="2" s="1"/>
  <c r="I7353" i="2" s="1"/>
  <c r="I7354" i="2" s="1"/>
  <c r="I7355" i="2" s="1"/>
  <c r="I7356" i="2" s="1"/>
  <c r="I7357" i="2" s="1"/>
  <c r="I7358" i="2" s="1"/>
  <c r="I7359" i="2" s="1"/>
  <c r="I7360" i="2" s="1"/>
  <c r="I7361" i="2" s="1"/>
  <c r="I7362" i="2" s="1"/>
  <c r="I7363" i="2" s="1"/>
  <c r="I7364" i="2" s="1"/>
  <c r="I7365" i="2" s="1"/>
  <c r="I7366" i="2" s="1"/>
  <c r="I7367" i="2" s="1"/>
  <c r="I7368" i="2" s="1"/>
  <c r="I7369" i="2" s="1"/>
  <c r="I7370" i="2" s="1"/>
  <c r="I7371" i="2" s="1"/>
  <c r="I7372" i="2" s="1"/>
  <c r="I7373" i="2" s="1"/>
  <c r="I7374" i="2" s="1"/>
  <c r="I7375" i="2" s="1"/>
  <c r="I7376" i="2" s="1"/>
  <c r="I7377" i="2" s="1"/>
  <c r="I7378" i="2" s="1"/>
  <c r="I7379" i="2" s="1"/>
  <c r="I7380" i="2" s="1"/>
  <c r="I7381" i="2" s="1"/>
  <c r="I7382" i="2" s="1"/>
  <c r="I7383" i="2" s="1"/>
  <c r="I7384" i="2" s="1"/>
  <c r="I7385" i="2" s="1"/>
  <c r="I7386" i="2" s="1"/>
  <c r="I7387" i="2" s="1"/>
  <c r="I7388" i="2" s="1"/>
  <c r="I7389" i="2" s="1"/>
  <c r="I7390" i="2" s="1"/>
  <c r="I7391" i="2" s="1"/>
  <c r="I7392" i="2" s="1"/>
  <c r="I7393" i="2" s="1"/>
  <c r="I7394" i="2" s="1"/>
  <c r="I7395" i="2" s="1"/>
  <c r="I7396" i="2" s="1"/>
  <c r="I7397" i="2" s="1"/>
  <c r="I7398" i="2" s="1"/>
  <c r="I7399" i="2" s="1"/>
  <c r="I7400" i="2" s="1"/>
  <c r="I7401" i="2" s="1"/>
  <c r="I7402" i="2" s="1"/>
  <c r="I7403" i="2" s="1"/>
  <c r="I7404" i="2" s="1"/>
  <c r="I7405" i="2" s="1"/>
  <c r="I7406" i="2" s="1"/>
  <c r="I7407" i="2" s="1"/>
  <c r="I7408" i="2" s="1"/>
  <c r="I7409" i="2" s="1"/>
  <c r="I7410" i="2" s="1"/>
  <c r="I7411" i="2" s="1"/>
  <c r="I7412" i="2" s="1"/>
  <c r="I7413" i="2" s="1"/>
  <c r="I7414" i="2" s="1"/>
  <c r="I7415" i="2" s="1"/>
  <c r="I7416" i="2" s="1"/>
  <c r="I7417" i="2" s="1"/>
  <c r="I7418" i="2" s="1"/>
  <c r="I7419" i="2" s="1"/>
  <c r="I7420" i="2" s="1"/>
  <c r="I7421" i="2" s="1"/>
  <c r="I7422" i="2" s="1"/>
  <c r="I7423" i="2" s="1"/>
  <c r="I7424" i="2" s="1"/>
  <c r="I7425" i="2" s="1"/>
  <c r="I7426" i="2" s="1"/>
  <c r="I7427" i="2" s="1"/>
  <c r="I7428" i="2" s="1"/>
  <c r="I7429" i="2" s="1"/>
  <c r="I7430" i="2" s="1"/>
  <c r="I7431" i="2" s="1"/>
  <c r="I7432" i="2" s="1"/>
  <c r="I7433" i="2" s="1"/>
  <c r="I7434" i="2" s="1"/>
  <c r="I7435" i="2" s="1"/>
  <c r="I7436" i="2" s="1"/>
  <c r="I7437" i="2" s="1"/>
  <c r="I7438" i="2" s="1"/>
  <c r="I7439" i="2" s="1"/>
  <c r="I7440" i="2" s="1"/>
  <c r="I7441" i="2" s="1"/>
  <c r="I7442" i="2" s="1"/>
  <c r="I7443" i="2" s="1"/>
  <c r="I7444" i="2" s="1"/>
  <c r="I7445" i="2" s="1"/>
  <c r="I7446" i="2" s="1"/>
  <c r="I7447" i="2" s="1"/>
  <c r="I7448" i="2" s="1"/>
  <c r="I7449" i="2" s="1"/>
  <c r="I7450" i="2" s="1"/>
  <c r="I7451" i="2" s="1"/>
  <c r="I7452" i="2" s="1"/>
  <c r="I7453" i="2" s="1"/>
  <c r="I7454" i="2" s="1"/>
  <c r="I7455" i="2" s="1"/>
  <c r="I7456" i="2" s="1"/>
  <c r="I7457" i="2" s="1"/>
  <c r="I7458" i="2" s="1"/>
  <c r="I7459" i="2" s="1"/>
  <c r="I7460" i="2" s="1"/>
  <c r="I7461" i="2" s="1"/>
  <c r="I7462" i="2" s="1"/>
  <c r="I7463" i="2" s="1"/>
  <c r="I7464" i="2" s="1"/>
  <c r="I7465" i="2" s="1"/>
  <c r="I7466" i="2" s="1"/>
  <c r="I7467" i="2" s="1"/>
  <c r="I7468" i="2" s="1"/>
  <c r="I7469" i="2" s="1"/>
  <c r="I7470" i="2" s="1"/>
  <c r="I7471" i="2" s="1"/>
  <c r="I7472" i="2" s="1"/>
  <c r="I7473" i="2" s="1"/>
  <c r="I7474" i="2" s="1"/>
  <c r="I7475" i="2" s="1"/>
  <c r="I7476" i="2" s="1"/>
  <c r="I7477" i="2" s="1"/>
  <c r="I7478" i="2" s="1"/>
  <c r="I7479" i="2" s="1"/>
  <c r="I7480" i="2" s="1"/>
  <c r="I7481" i="2" s="1"/>
  <c r="I7482" i="2" s="1"/>
  <c r="I7483" i="2" s="1"/>
  <c r="I7484" i="2" s="1"/>
  <c r="I7485" i="2" s="1"/>
  <c r="I7486" i="2" s="1"/>
  <c r="I7487" i="2" s="1"/>
  <c r="I7488" i="2" s="1"/>
  <c r="I7489" i="2" s="1"/>
  <c r="I7490" i="2" s="1"/>
  <c r="I7491" i="2" s="1"/>
  <c r="I7492" i="2" s="1"/>
  <c r="I7493" i="2" s="1"/>
  <c r="I7494" i="2" s="1"/>
  <c r="I7495" i="2" s="1"/>
  <c r="I7496" i="2" s="1"/>
  <c r="I7497" i="2" s="1"/>
  <c r="I7498" i="2" s="1"/>
  <c r="I7499" i="2" s="1"/>
  <c r="I7500" i="2" s="1"/>
  <c r="I7501" i="2" s="1"/>
  <c r="I7502" i="2" s="1"/>
  <c r="I7503" i="2" s="1"/>
  <c r="I7504" i="2" s="1"/>
  <c r="I7505" i="2" s="1"/>
  <c r="I7506" i="2" s="1"/>
  <c r="I7507" i="2" s="1"/>
  <c r="I7508" i="2" s="1"/>
  <c r="I7509" i="2" s="1"/>
  <c r="I7510" i="2" s="1"/>
  <c r="I7511" i="2" s="1"/>
  <c r="I7512" i="2" s="1"/>
  <c r="I7513" i="2" s="1"/>
  <c r="I7514" i="2" s="1"/>
  <c r="I7515" i="2" s="1"/>
  <c r="I7516" i="2" s="1"/>
  <c r="I7517" i="2" s="1"/>
  <c r="I7518" i="2" s="1"/>
  <c r="I7519" i="2" s="1"/>
  <c r="I7520" i="2" s="1"/>
  <c r="I7521" i="2" s="1"/>
  <c r="I7522" i="2" s="1"/>
  <c r="I7523" i="2" s="1"/>
  <c r="I7524" i="2" s="1"/>
  <c r="I7525" i="2" s="1"/>
  <c r="I7526" i="2" s="1"/>
  <c r="I7527" i="2" s="1"/>
  <c r="I7528" i="2" s="1"/>
  <c r="I7529" i="2" s="1"/>
  <c r="I7530" i="2" s="1"/>
  <c r="I7531" i="2" s="1"/>
  <c r="I7532" i="2" s="1"/>
  <c r="I7533" i="2" s="1"/>
  <c r="I7534" i="2" s="1"/>
  <c r="I7535" i="2" s="1"/>
  <c r="I7536" i="2" s="1"/>
  <c r="I7537" i="2" s="1"/>
  <c r="I7538" i="2" s="1"/>
  <c r="I7539" i="2" s="1"/>
  <c r="I7540" i="2" s="1"/>
  <c r="I7541" i="2" s="1"/>
  <c r="I7542" i="2" s="1"/>
  <c r="I7543" i="2" s="1"/>
  <c r="I7544" i="2" s="1"/>
  <c r="I7545" i="2" s="1"/>
  <c r="I7546" i="2" s="1"/>
  <c r="I7547" i="2" s="1"/>
  <c r="I7548" i="2" s="1"/>
  <c r="I7549" i="2" s="1"/>
  <c r="I7550" i="2" s="1"/>
  <c r="I7551" i="2" s="1"/>
  <c r="I7552" i="2" s="1"/>
  <c r="I7553" i="2" s="1"/>
  <c r="I7554" i="2" s="1"/>
  <c r="I7555" i="2" s="1"/>
  <c r="I7556" i="2" s="1"/>
  <c r="I7557" i="2" s="1"/>
  <c r="I7558" i="2" s="1"/>
  <c r="I7559" i="2" s="1"/>
  <c r="I7560" i="2" s="1"/>
  <c r="I7561" i="2" s="1"/>
  <c r="I7562" i="2" s="1"/>
  <c r="I7563" i="2" s="1"/>
  <c r="I7564" i="2" s="1"/>
  <c r="I7565" i="2" s="1"/>
  <c r="I7566" i="2" s="1"/>
  <c r="I7567" i="2" s="1"/>
  <c r="I7568" i="2" s="1"/>
  <c r="I7569" i="2" s="1"/>
  <c r="I7570" i="2" s="1"/>
  <c r="I7571" i="2" s="1"/>
  <c r="I7572" i="2" s="1"/>
  <c r="I7573" i="2" s="1"/>
  <c r="I7574" i="2" s="1"/>
  <c r="I7575" i="2" s="1"/>
  <c r="I7576" i="2" s="1"/>
  <c r="I7577" i="2" s="1"/>
  <c r="I7578" i="2" s="1"/>
  <c r="I7579" i="2" s="1"/>
  <c r="I7580" i="2" s="1"/>
  <c r="I7581" i="2" s="1"/>
  <c r="I7582" i="2" s="1"/>
  <c r="I7583" i="2" s="1"/>
  <c r="I7584" i="2" s="1"/>
  <c r="I7585" i="2" s="1"/>
  <c r="I7586" i="2" s="1"/>
  <c r="I7587" i="2" s="1"/>
  <c r="I7588" i="2" s="1"/>
  <c r="I7589" i="2" s="1"/>
  <c r="I7590" i="2" s="1"/>
  <c r="I7591" i="2" s="1"/>
  <c r="I7592" i="2" s="1"/>
  <c r="I7593" i="2" s="1"/>
  <c r="I7594" i="2" s="1"/>
  <c r="I7595" i="2" s="1"/>
  <c r="I7596" i="2" s="1"/>
  <c r="I7597" i="2" s="1"/>
  <c r="I7598" i="2" s="1"/>
  <c r="I7599" i="2" s="1"/>
  <c r="I7600" i="2" s="1"/>
  <c r="I7601" i="2" s="1"/>
  <c r="I7602" i="2" s="1"/>
  <c r="I7603" i="2" s="1"/>
  <c r="I7604" i="2" s="1"/>
  <c r="I7605" i="2" s="1"/>
  <c r="I7606" i="2" s="1"/>
  <c r="I7607" i="2" s="1"/>
  <c r="I7608" i="2" s="1"/>
  <c r="I7609" i="2" s="1"/>
  <c r="I7610" i="2" s="1"/>
  <c r="I7611" i="2" s="1"/>
  <c r="I7612" i="2" s="1"/>
  <c r="I7613" i="2" s="1"/>
  <c r="I7614" i="2" s="1"/>
  <c r="I7615" i="2" s="1"/>
  <c r="I7616" i="2" s="1"/>
  <c r="I7617" i="2" s="1"/>
  <c r="I7618" i="2" s="1"/>
  <c r="I7619" i="2" s="1"/>
  <c r="I7620" i="2" s="1"/>
  <c r="I7621" i="2" s="1"/>
  <c r="I7622" i="2" s="1"/>
  <c r="I7623" i="2" s="1"/>
  <c r="I7624" i="2" s="1"/>
  <c r="I7625" i="2" s="1"/>
  <c r="I7626" i="2" s="1"/>
  <c r="I7627" i="2" s="1"/>
  <c r="I7628" i="2" s="1"/>
  <c r="I7629" i="2" s="1"/>
  <c r="I7630" i="2" s="1"/>
  <c r="I7631" i="2" s="1"/>
  <c r="I7632" i="2" s="1"/>
  <c r="I7633" i="2" s="1"/>
  <c r="I7634" i="2" s="1"/>
  <c r="I7635" i="2" s="1"/>
  <c r="I7636" i="2" s="1"/>
  <c r="I7637" i="2" s="1"/>
  <c r="I7638" i="2" s="1"/>
  <c r="I7639" i="2" s="1"/>
  <c r="I7640" i="2" s="1"/>
  <c r="I7641" i="2" s="1"/>
  <c r="I7642" i="2" s="1"/>
  <c r="I7643" i="2" s="1"/>
  <c r="I7644" i="2" s="1"/>
  <c r="I7645" i="2" s="1"/>
  <c r="I7646" i="2" s="1"/>
  <c r="I7647" i="2" s="1"/>
  <c r="I7648" i="2" s="1"/>
  <c r="I7649" i="2" s="1"/>
  <c r="I7650" i="2" s="1"/>
  <c r="I7651" i="2" s="1"/>
  <c r="I7652" i="2" s="1"/>
  <c r="I7653" i="2" s="1"/>
  <c r="I7654" i="2" s="1"/>
  <c r="I7655" i="2" s="1"/>
  <c r="I7656" i="2" s="1"/>
  <c r="I7657" i="2" s="1"/>
  <c r="I7658" i="2" s="1"/>
  <c r="I7659" i="2" s="1"/>
  <c r="I7660" i="2" s="1"/>
  <c r="I7661" i="2" s="1"/>
  <c r="I7662" i="2" s="1"/>
  <c r="I7663" i="2" s="1"/>
  <c r="I7664" i="2" s="1"/>
  <c r="I7665" i="2" s="1"/>
  <c r="I7666" i="2" s="1"/>
  <c r="I7667" i="2" s="1"/>
  <c r="I7668" i="2" s="1"/>
  <c r="I7669" i="2" s="1"/>
  <c r="I7670" i="2" s="1"/>
  <c r="I7671" i="2" s="1"/>
  <c r="I7672" i="2" s="1"/>
  <c r="I7673" i="2" s="1"/>
  <c r="I7674" i="2" s="1"/>
  <c r="I7675" i="2" s="1"/>
  <c r="I7676" i="2" s="1"/>
  <c r="I7677" i="2" s="1"/>
  <c r="I7678" i="2" s="1"/>
  <c r="I7679" i="2" s="1"/>
  <c r="I7680" i="2" s="1"/>
  <c r="I7681" i="2" s="1"/>
  <c r="I7682" i="2" s="1"/>
  <c r="I7683" i="2" s="1"/>
  <c r="I7684" i="2" s="1"/>
  <c r="I7685" i="2" s="1"/>
  <c r="I7686" i="2" s="1"/>
  <c r="I7687" i="2" s="1"/>
  <c r="I7688" i="2" s="1"/>
  <c r="I7689" i="2" s="1"/>
  <c r="I7690" i="2" s="1"/>
  <c r="I7691" i="2" s="1"/>
  <c r="I7692" i="2" s="1"/>
  <c r="I7693" i="2" s="1"/>
  <c r="I7694" i="2" s="1"/>
  <c r="I7695" i="2" s="1"/>
  <c r="I7696" i="2" s="1"/>
  <c r="I7697" i="2" s="1"/>
  <c r="I7698" i="2" s="1"/>
  <c r="I7699" i="2" s="1"/>
  <c r="I7700" i="2" s="1"/>
  <c r="I7701" i="2" s="1"/>
  <c r="I7702" i="2" s="1"/>
  <c r="I7703" i="2" s="1"/>
  <c r="I7704" i="2" s="1"/>
  <c r="I7705" i="2" s="1"/>
  <c r="I7706" i="2" s="1"/>
  <c r="I7707" i="2" s="1"/>
  <c r="I7708" i="2" s="1"/>
  <c r="I7709" i="2" s="1"/>
  <c r="I7710" i="2" s="1"/>
  <c r="I7711" i="2" s="1"/>
  <c r="I7712" i="2" s="1"/>
  <c r="I7713" i="2" s="1"/>
  <c r="I7714" i="2" s="1"/>
  <c r="I7715" i="2" s="1"/>
  <c r="I7716" i="2" s="1"/>
  <c r="I7717" i="2" s="1"/>
  <c r="I7718" i="2" s="1"/>
  <c r="I7719" i="2" s="1"/>
  <c r="I7720" i="2" s="1"/>
  <c r="I7721" i="2" s="1"/>
  <c r="I7722" i="2" s="1"/>
  <c r="I7723" i="2" s="1"/>
  <c r="I7724" i="2" s="1"/>
  <c r="I7725" i="2" s="1"/>
  <c r="I7726" i="2" s="1"/>
  <c r="I7727" i="2" s="1"/>
  <c r="I7728" i="2" s="1"/>
  <c r="I7729" i="2" s="1"/>
  <c r="I7730" i="2" s="1"/>
  <c r="I7731" i="2" s="1"/>
  <c r="I7732" i="2" s="1"/>
  <c r="I7733" i="2" s="1"/>
  <c r="I7734" i="2" s="1"/>
  <c r="I7735" i="2" s="1"/>
  <c r="I7736" i="2" s="1"/>
  <c r="I7737" i="2" s="1"/>
  <c r="I7738" i="2" s="1"/>
  <c r="I7739" i="2" s="1"/>
  <c r="I7740" i="2" s="1"/>
  <c r="I7741" i="2" s="1"/>
  <c r="I7742" i="2" s="1"/>
  <c r="I7743" i="2" s="1"/>
  <c r="I7744" i="2" s="1"/>
  <c r="I7745" i="2" s="1"/>
  <c r="I7746" i="2" s="1"/>
  <c r="I7747" i="2" s="1"/>
  <c r="I7748" i="2" s="1"/>
  <c r="I7749" i="2" s="1"/>
  <c r="I7750" i="2" s="1"/>
  <c r="I7751" i="2" s="1"/>
  <c r="I7752" i="2" s="1"/>
  <c r="I7753" i="2" s="1"/>
  <c r="I7754" i="2" s="1"/>
  <c r="I7755" i="2" s="1"/>
  <c r="I7756" i="2" s="1"/>
  <c r="I7757" i="2" s="1"/>
  <c r="I7758" i="2" s="1"/>
  <c r="I7759" i="2" s="1"/>
  <c r="I7760" i="2" s="1"/>
  <c r="I7761" i="2" s="1"/>
  <c r="I7762" i="2" s="1"/>
  <c r="I7763" i="2" s="1"/>
  <c r="I7764" i="2" s="1"/>
  <c r="I7765" i="2" s="1"/>
  <c r="I7766" i="2" s="1"/>
  <c r="I7767" i="2" s="1"/>
  <c r="I7768" i="2" s="1"/>
  <c r="I7769" i="2" s="1"/>
  <c r="I7770" i="2" s="1"/>
  <c r="I7771" i="2" s="1"/>
  <c r="I7772" i="2" s="1"/>
  <c r="I7773" i="2" s="1"/>
  <c r="I7774" i="2" s="1"/>
  <c r="I7775" i="2" s="1"/>
  <c r="I7776" i="2" s="1"/>
  <c r="I7777" i="2" s="1"/>
  <c r="I7778" i="2" s="1"/>
  <c r="I7779" i="2" s="1"/>
  <c r="I7780" i="2" s="1"/>
  <c r="I7781" i="2" s="1"/>
  <c r="I7782" i="2" s="1"/>
  <c r="I7783" i="2" s="1"/>
  <c r="I7784" i="2" s="1"/>
  <c r="I7785" i="2" s="1"/>
  <c r="I7786" i="2" s="1"/>
  <c r="I7787" i="2" s="1"/>
  <c r="I7788" i="2" s="1"/>
  <c r="I7789" i="2" s="1"/>
  <c r="I7790" i="2" s="1"/>
  <c r="I7791" i="2" s="1"/>
  <c r="I7792" i="2" s="1"/>
  <c r="I7793" i="2" s="1"/>
  <c r="I7794" i="2" s="1"/>
  <c r="I7795" i="2" s="1"/>
  <c r="I7796" i="2" s="1"/>
  <c r="I7797" i="2" s="1"/>
  <c r="I7798" i="2" s="1"/>
  <c r="I7799" i="2" s="1"/>
  <c r="I7800" i="2" s="1"/>
  <c r="I7801" i="2" s="1"/>
  <c r="I7802" i="2" s="1"/>
  <c r="I7803" i="2" s="1"/>
  <c r="I7804" i="2" s="1"/>
  <c r="I7805" i="2" s="1"/>
  <c r="I7806" i="2" s="1"/>
  <c r="I7807" i="2" s="1"/>
  <c r="I7808" i="2" s="1"/>
  <c r="I7809" i="2" s="1"/>
  <c r="I7810" i="2" s="1"/>
  <c r="I7811" i="2" s="1"/>
  <c r="I7812" i="2" s="1"/>
  <c r="I7813" i="2" s="1"/>
  <c r="I7814" i="2" s="1"/>
  <c r="I7815" i="2" s="1"/>
  <c r="I7816" i="2" s="1"/>
  <c r="I7817" i="2" s="1"/>
  <c r="I7818" i="2" s="1"/>
  <c r="I7819" i="2" s="1"/>
  <c r="I7820" i="2" s="1"/>
  <c r="I7821" i="2" s="1"/>
  <c r="I7822" i="2" s="1"/>
  <c r="I7823" i="2" s="1"/>
  <c r="I7824" i="2" s="1"/>
  <c r="I7825" i="2" s="1"/>
  <c r="I7826" i="2" s="1"/>
  <c r="I7827" i="2" s="1"/>
  <c r="I7828" i="2" s="1"/>
  <c r="I7829" i="2" s="1"/>
  <c r="I7830" i="2" s="1"/>
  <c r="I7831" i="2" s="1"/>
  <c r="I7832" i="2" s="1"/>
  <c r="I7833" i="2" s="1"/>
  <c r="I7834" i="2" s="1"/>
  <c r="I7835" i="2" s="1"/>
  <c r="I7836" i="2" s="1"/>
  <c r="I7837" i="2" s="1"/>
  <c r="I7838" i="2" s="1"/>
  <c r="I7839" i="2" s="1"/>
  <c r="I7840" i="2" s="1"/>
  <c r="I7841" i="2" s="1"/>
  <c r="I7842" i="2" s="1"/>
  <c r="I7843" i="2" s="1"/>
  <c r="I7844" i="2" s="1"/>
  <c r="I7845" i="2" s="1"/>
  <c r="I7846" i="2" s="1"/>
  <c r="I7847" i="2" s="1"/>
  <c r="I7848" i="2" s="1"/>
  <c r="I7849" i="2" s="1"/>
  <c r="I7850" i="2" s="1"/>
  <c r="I7851" i="2" s="1"/>
  <c r="I7852" i="2" s="1"/>
  <c r="I7853" i="2" s="1"/>
  <c r="I7854" i="2" s="1"/>
  <c r="I7855" i="2" s="1"/>
  <c r="I7856" i="2" s="1"/>
  <c r="I7857" i="2" s="1"/>
  <c r="I7858" i="2" s="1"/>
  <c r="I7859" i="2" s="1"/>
  <c r="I7860" i="2" s="1"/>
  <c r="I7861" i="2" s="1"/>
  <c r="I7862" i="2" s="1"/>
  <c r="I7863" i="2" s="1"/>
  <c r="I7864" i="2" s="1"/>
  <c r="I7865" i="2" s="1"/>
  <c r="I7866" i="2" s="1"/>
  <c r="I7867" i="2" s="1"/>
  <c r="I7868" i="2" s="1"/>
  <c r="I7869" i="2" s="1"/>
  <c r="I7870" i="2" s="1"/>
  <c r="I7871" i="2" s="1"/>
  <c r="I7872" i="2" s="1"/>
  <c r="I7873" i="2" s="1"/>
  <c r="I7874" i="2" s="1"/>
  <c r="I7875" i="2" s="1"/>
  <c r="I7876" i="2" s="1"/>
  <c r="I7877" i="2" s="1"/>
  <c r="I7878" i="2" s="1"/>
  <c r="I7879" i="2" s="1"/>
  <c r="I7880" i="2" s="1"/>
  <c r="I7881" i="2" s="1"/>
  <c r="I7882" i="2" s="1"/>
  <c r="I7883" i="2" s="1"/>
  <c r="I7884" i="2" s="1"/>
  <c r="I7885" i="2" s="1"/>
  <c r="I7886" i="2" s="1"/>
  <c r="I7887" i="2" s="1"/>
  <c r="I7888" i="2" s="1"/>
  <c r="I7889" i="2" s="1"/>
  <c r="I7890" i="2" s="1"/>
  <c r="I7891" i="2" s="1"/>
  <c r="I7892" i="2" s="1"/>
  <c r="I7893" i="2" s="1"/>
  <c r="I7894" i="2" s="1"/>
  <c r="I7895" i="2" s="1"/>
  <c r="I7896" i="2" s="1"/>
  <c r="I7897" i="2" s="1"/>
  <c r="I7898" i="2" s="1"/>
  <c r="I7899" i="2" s="1"/>
  <c r="I7900" i="2" s="1"/>
  <c r="I7901" i="2" s="1"/>
  <c r="I7902" i="2" s="1"/>
  <c r="I7903" i="2" s="1"/>
  <c r="I7904" i="2" s="1"/>
  <c r="I7905" i="2" s="1"/>
  <c r="I7906" i="2" s="1"/>
  <c r="I7907" i="2" s="1"/>
  <c r="I7908" i="2" s="1"/>
  <c r="I7909" i="2" s="1"/>
  <c r="I7910" i="2" s="1"/>
  <c r="I7911" i="2" s="1"/>
  <c r="I7912" i="2" s="1"/>
  <c r="I7913" i="2" s="1"/>
  <c r="I7914" i="2" s="1"/>
  <c r="I7915" i="2" s="1"/>
  <c r="I7916" i="2" s="1"/>
  <c r="I7917" i="2" s="1"/>
  <c r="I7918" i="2" s="1"/>
  <c r="I7919" i="2" s="1"/>
  <c r="I7920" i="2" s="1"/>
  <c r="I7921" i="2" s="1"/>
  <c r="I7922" i="2" s="1"/>
  <c r="I7923" i="2" s="1"/>
  <c r="I7924" i="2" s="1"/>
  <c r="I7925" i="2" s="1"/>
  <c r="I7926" i="2" s="1"/>
  <c r="I7927" i="2" s="1"/>
  <c r="I7928" i="2" s="1"/>
  <c r="I7929" i="2" s="1"/>
  <c r="I7930" i="2" s="1"/>
  <c r="I7931" i="2" s="1"/>
  <c r="I7932" i="2" s="1"/>
  <c r="I7933" i="2" s="1"/>
  <c r="I7934" i="2" s="1"/>
  <c r="I7935" i="2" s="1"/>
  <c r="I7936" i="2" s="1"/>
  <c r="I7937" i="2" s="1"/>
  <c r="I7938" i="2" s="1"/>
  <c r="I7939" i="2" s="1"/>
  <c r="I7940" i="2" s="1"/>
  <c r="I7941" i="2" s="1"/>
  <c r="I7942" i="2" s="1"/>
  <c r="I7943" i="2" s="1"/>
  <c r="I7944" i="2" s="1"/>
  <c r="I7945" i="2" s="1"/>
  <c r="I7946" i="2" s="1"/>
  <c r="I7947" i="2" s="1"/>
  <c r="I7948" i="2" s="1"/>
  <c r="I7949" i="2" s="1"/>
  <c r="I7950" i="2" s="1"/>
  <c r="I7951" i="2" s="1"/>
  <c r="I7952" i="2" s="1"/>
  <c r="I7953" i="2" s="1"/>
  <c r="I7954" i="2" s="1"/>
  <c r="I7955" i="2" s="1"/>
  <c r="I7956" i="2" s="1"/>
  <c r="I7957" i="2" s="1"/>
  <c r="I7958" i="2" s="1"/>
  <c r="I7959" i="2" s="1"/>
  <c r="I7960" i="2" s="1"/>
  <c r="I7961" i="2" s="1"/>
  <c r="I7962" i="2" s="1"/>
  <c r="I7963" i="2" s="1"/>
  <c r="I7964" i="2" s="1"/>
  <c r="I7965" i="2" s="1"/>
  <c r="I7966" i="2" s="1"/>
  <c r="I7967" i="2" s="1"/>
  <c r="I7968" i="2" s="1"/>
  <c r="I7969" i="2" s="1"/>
  <c r="I7970" i="2" s="1"/>
  <c r="I7971" i="2" s="1"/>
  <c r="I7972" i="2" s="1"/>
  <c r="I7973" i="2" s="1"/>
  <c r="I7974" i="2" s="1"/>
  <c r="I7975" i="2" s="1"/>
  <c r="I7976" i="2" s="1"/>
  <c r="I7977" i="2" s="1"/>
  <c r="I7978" i="2" s="1"/>
  <c r="I7979" i="2" s="1"/>
  <c r="I7980" i="2" s="1"/>
  <c r="I7981" i="2" s="1"/>
  <c r="I7982" i="2" s="1"/>
  <c r="I7983" i="2" s="1"/>
  <c r="I7984" i="2" s="1"/>
  <c r="I7985" i="2" s="1"/>
  <c r="I7986" i="2" s="1"/>
  <c r="I7987" i="2" s="1"/>
  <c r="I7988" i="2" s="1"/>
  <c r="I7989" i="2" s="1"/>
  <c r="I7990" i="2" s="1"/>
  <c r="I7991" i="2" s="1"/>
  <c r="I7992" i="2" s="1"/>
  <c r="I7993" i="2" s="1"/>
  <c r="I7994" i="2" s="1"/>
  <c r="I7995" i="2" s="1"/>
  <c r="I7996" i="2" s="1"/>
  <c r="I7997" i="2" s="1"/>
  <c r="I7998" i="2" s="1"/>
  <c r="I7999" i="2" s="1"/>
  <c r="I8000" i="2" s="1"/>
  <c r="I8001" i="2" s="1"/>
  <c r="I8002" i="2" s="1"/>
  <c r="I8003" i="2" s="1"/>
  <c r="I8004" i="2" s="1"/>
  <c r="I8005" i="2" s="1"/>
  <c r="I8006" i="2" s="1"/>
  <c r="I8007" i="2" s="1"/>
  <c r="I8008" i="2" s="1"/>
  <c r="I8009" i="2" s="1"/>
  <c r="I8010" i="2" s="1"/>
  <c r="I8011" i="2" s="1"/>
  <c r="I8012" i="2" s="1"/>
  <c r="I8013" i="2" s="1"/>
  <c r="I8014" i="2" s="1"/>
  <c r="I8015" i="2" s="1"/>
  <c r="I8016" i="2" s="1"/>
  <c r="I8017" i="2" s="1"/>
  <c r="I8018" i="2" s="1"/>
  <c r="I8019" i="2" s="1"/>
  <c r="I8020" i="2" s="1"/>
  <c r="I8021" i="2" s="1"/>
  <c r="I8022" i="2" s="1"/>
  <c r="I8023" i="2" s="1"/>
  <c r="I8024" i="2" s="1"/>
  <c r="I8025" i="2" s="1"/>
  <c r="I8026" i="2" s="1"/>
  <c r="I8027" i="2" s="1"/>
  <c r="I8028" i="2" s="1"/>
  <c r="I8029" i="2" s="1"/>
  <c r="I8030" i="2" s="1"/>
  <c r="I8031" i="2" s="1"/>
  <c r="I8032" i="2" s="1"/>
  <c r="I8033" i="2" s="1"/>
  <c r="I8034" i="2" s="1"/>
  <c r="I8035" i="2" s="1"/>
  <c r="I8036" i="2" s="1"/>
  <c r="I8037" i="2" s="1"/>
  <c r="I8038" i="2" s="1"/>
  <c r="I8039" i="2" s="1"/>
  <c r="I8040" i="2" s="1"/>
  <c r="I8041" i="2" s="1"/>
  <c r="I8042" i="2" s="1"/>
  <c r="I8043" i="2" s="1"/>
  <c r="I8044" i="2" s="1"/>
  <c r="I8045" i="2" s="1"/>
  <c r="I8046" i="2" s="1"/>
  <c r="I8047" i="2" s="1"/>
  <c r="I8048" i="2" s="1"/>
  <c r="I8049" i="2" s="1"/>
  <c r="I8050" i="2" s="1"/>
  <c r="I8051" i="2" s="1"/>
  <c r="I8052" i="2" s="1"/>
  <c r="I8053" i="2" s="1"/>
  <c r="I8054" i="2" s="1"/>
  <c r="I8055" i="2" s="1"/>
  <c r="I8056" i="2" s="1"/>
  <c r="I8057" i="2" s="1"/>
  <c r="I8058" i="2" s="1"/>
  <c r="I8059" i="2" s="1"/>
  <c r="I8060" i="2" s="1"/>
  <c r="I8061" i="2" s="1"/>
  <c r="I8062" i="2" s="1"/>
  <c r="I8063" i="2" s="1"/>
  <c r="I8064" i="2" s="1"/>
  <c r="I8065" i="2" s="1"/>
  <c r="I8066" i="2" s="1"/>
  <c r="I8067" i="2" s="1"/>
  <c r="I8068" i="2" s="1"/>
  <c r="I8069" i="2" s="1"/>
  <c r="I8070" i="2" s="1"/>
  <c r="I8071" i="2" s="1"/>
  <c r="I8072" i="2" s="1"/>
  <c r="I8073" i="2" s="1"/>
  <c r="I8074" i="2" s="1"/>
  <c r="I8075" i="2" s="1"/>
  <c r="I8076" i="2" s="1"/>
  <c r="I8077" i="2" s="1"/>
  <c r="I8078" i="2" s="1"/>
  <c r="I8079" i="2" s="1"/>
  <c r="I8080" i="2" s="1"/>
  <c r="I8081" i="2" s="1"/>
  <c r="I8082" i="2" s="1"/>
  <c r="I8083" i="2" s="1"/>
  <c r="I8084" i="2" s="1"/>
  <c r="I8085" i="2" s="1"/>
  <c r="I8086" i="2" s="1"/>
  <c r="I8087" i="2" s="1"/>
  <c r="I8088" i="2" s="1"/>
  <c r="I8089" i="2" s="1"/>
  <c r="I8090" i="2" s="1"/>
  <c r="I8091" i="2" s="1"/>
  <c r="I8092" i="2" s="1"/>
  <c r="I8093" i="2" s="1"/>
  <c r="I8094" i="2" s="1"/>
  <c r="I8095" i="2" s="1"/>
  <c r="I8096" i="2" s="1"/>
  <c r="I8097" i="2" s="1"/>
  <c r="I8098" i="2" s="1"/>
  <c r="I8099" i="2" s="1"/>
  <c r="I8100" i="2" s="1"/>
  <c r="I8101" i="2" s="1"/>
  <c r="I8102" i="2" s="1"/>
  <c r="I8103" i="2" s="1"/>
  <c r="I8104" i="2" s="1"/>
  <c r="I8105" i="2" s="1"/>
  <c r="I8106" i="2" s="1"/>
  <c r="I8107" i="2" s="1"/>
  <c r="I8108" i="2" s="1"/>
  <c r="I8109" i="2" s="1"/>
  <c r="I8110" i="2" s="1"/>
  <c r="I8111" i="2" s="1"/>
  <c r="I8112" i="2" s="1"/>
  <c r="I8113" i="2" s="1"/>
  <c r="I8114" i="2" s="1"/>
  <c r="I8115" i="2" s="1"/>
  <c r="I8116" i="2" s="1"/>
  <c r="I8117" i="2" s="1"/>
  <c r="I8118" i="2" s="1"/>
  <c r="I8119" i="2" s="1"/>
  <c r="I8120" i="2" s="1"/>
  <c r="I8121" i="2" s="1"/>
  <c r="I8122" i="2" s="1"/>
  <c r="I8123" i="2" s="1"/>
  <c r="I8124" i="2" s="1"/>
  <c r="I8125" i="2" s="1"/>
  <c r="I8126" i="2" s="1"/>
  <c r="I8127" i="2" s="1"/>
  <c r="I8128" i="2" s="1"/>
  <c r="I8129" i="2" s="1"/>
  <c r="I8130" i="2" s="1"/>
  <c r="I8131" i="2" s="1"/>
  <c r="I8132" i="2" s="1"/>
  <c r="I8133" i="2" s="1"/>
  <c r="I8134" i="2" s="1"/>
  <c r="I8135" i="2" s="1"/>
  <c r="I8136" i="2" s="1"/>
  <c r="I8137" i="2" s="1"/>
  <c r="I8138" i="2" s="1"/>
  <c r="I8139" i="2" s="1"/>
  <c r="I8140" i="2" s="1"/>
  <c r="I8141" i="2" s="1"/>
  <c r="I8142" i="2" s="1"/>
  <c r="I8143" i="2" s="1"/>
  <c r="I8144" i="2" s="1"/>
  <c r="I8145" i="2" s="1"/>
  <c r="I8146" i="2" s="1"/>
  <c r="I8147" i="2" s="1"/>
  <c r="I8148" i="2" s="1"/>
  <c r="I8149" i="2" s="1"/>
  <c r="I8150" i="2" s="1"/>
  <c r="I8151" i="2" s="1"/>
  <c r="I8152" i="2" s="1"/>
  <c r="I8153" i="2" s="1"/>
  <c r="I8154" i="2" s="1"/>
  <c r="I8155" i="2" s="1"/>
  <c r="I8156" i="2" s="1"/>
  <c r="I8157" i="2" s="1"/>
  <c r="I8158" i="2" s="1"/>
  <c r="I8159" i="2" s="1"/>
  <c r="I8160" i="2" s="1"/>
  <c r="I8161" i="2" s="1"/>
  <c r="I8162" i="2" s="1"/>
  <c r="I8163" i="2" s="1"/>
  <c r="I8164" i="2" s="1"/>
  <c r="I8165" i="2" s="1"/>
  <c r="I8166" i="2" s="1"/>
  <c r="I8167" i="2" s="1"/>
  <c r="I8168" i="2" s="1"/>
  <c r="I8169" i="2" s="1"/>
  <c r="I8170" i="2" s="1"/>
  <c r="I8171" i="2" s="1"/>
  <c r="I8172" i="2" s="1"/>
  <c r="I8173" i="2" s="1"/>
  <c r="I8174" i="2" s="1"/>
  <c r="I8175" i="2" s="1"/>
  <c r="I8176" i="2" s="1"/>
  <c r="I8177" i="2" s="1"/>
  <c r="I8178" i="2" s="1"/>
  <c r="I8179" i="2" s="1"/>
  <c r="I8180" i="2" s="1"/>
  <c r="I8181" i="2" s="1"/>
  <c r="I8182" i="2" s="1"/>
  <c r="I8183" i="2" s="1"/>
  <c r="I8184" i="2" s="1"/>
  <c r="I8185" i="2" s="1"/>
  <c r="I8186" i="2" s="1"/>
  <c r="I8187" i="2" s="1"/>
  <c r="I8188" i="2" s="1"/>
  <c r="I8189" i="2" s="1"/>
  <c r="I8190" i="2" s="1"/>
  <c r="I8191" i="2" s="1"/>
  <c r="I8192" i="2" s="1"/>
  <c r="I8193" i="2" s="1"/>
  <c r="I8194" i="2" s="1"/>
  <c r="I8195" i="2" s="1"/>
  <c r="I8196" i="2" s="1"/>
  <c r="I8197" i="2" s="1"/>
  <c r="I8198" i="2" s="1"/>
  <c r="I8199" i="2" s="1"/>
  <c r="I8200" i="2" s="1"/>
  <c r="I8201" i="2" s="1"/>
  <c r="I8202" i="2" s="1"/>
  <c r="I8203" i="2" s="1"/>
  <c r="I8204" i="2" s="1"/>
  <c r="I8205" i="2" s="1"/>
  <c r="I8206" i="2" s="1"/>
  <c r="I8207" i="2" s="1"/>
  <c r="I8208" i="2" s="1"/>
  <c r="I8209" i="2" s="1"/>
  <c r="I8210" i="2" s="1"/>
  <c r="I8211" i="2" s="1"/>
  <c r="I8212" i="2" s="1"/>
  <c r="I8213" i="2" s="1"/>
  <c r="I8214" i="2" s="1"/>
  <c r="I8215" i="2" s="1"/>
  <c r="I8216" i="2" s="1"/>
  <c r="I8217" i="2" s="1"/>
  <c r="I8218" i="2" s="1"/>
  <c r="I8219" i="2" s="1"/>
  <c r="I8220" i="2" s="1"/>
  <c r="I8221" i="2" s="1"/>
  <c r="I8222" i="2" s="1"/>
  <c r="I8223" i="2" s="1"/>
  <c r="I8224" i="2" s="1"/>
  <c r="I8225" i="2" s="1"/>
  <c r="I8226" i="2" s="1"/>
  <c r="I8227" i="2" s="1"/>
  <c r="I8228" i="2" s="1"/>
  <c r="I8229" i="2" s="1"/>
  <c r="I8230" i="2" s="1"/>
  <c r="I8231" i="2" s="1"/>
  <c r="I8232" i="2" s="1"/>
  <c r="I8233" i="2" s="1"/>
  <c r="I8234" i="2" s="1"/>
  <c r="I8235" i="2" s="1"/>
  <c r="I8236" i="2" s="1"/>
  <c r="I8237" i="2" s="1"/>
  <c r="I8238" i="2" s="1"/>
  <c r="I8239" i="2" s="1"/>
  <c r="I8240" i="2" s="1"/>
  <c r="I8241" i="2" s="1"/>
  <c r="I8242" i="2" s="1"/>
  <c r="I8243" i="2" s="1"/>
  <c r="I8244" i="2" s="1"/>
  <c r="I8245" i="2" s="1"/>
  <c r="I8246" i="2" s="1"/>
  <c r="I8247" i="2" s="1"/>
  <c r="I8248" i="2" s="1"/>
  <c r="I8249" i="2" s="1"/>
  <c r="I8250" i="2" s="1"/>
  <c r="I8251" i="2" s="1"/>
  <c r="I8252" i="2" s="1"/>
  <c r="I8253" i="2" s="1"/>
  <c r="I8254" i="2" s="1"/>
  <c r="I8255" i="2" s="1"/>
  <c r="I8256" i="2" s="1"/>
  <c r="I8257" i="2" s="1"/>
  <c r="I8258" i="2" s="1"/>
  <c r="I8259" i="2" s="1"/>
  <c r="I8260" i="2" s="1"/>
  <c r="I8261" i="2" s="1"/>
  <c r="I8262" i="2" s="1"/>
  <c r="I8263" i="2" s="1"/>
  <c r="I8264" i="2" s="1"/>
  <c r="I8265" i="2" s="1"/>
  <c r="I8266" i="2" s="1"/>
  <c r="I8267" i="2" s="1"/>
  <c r="I8268" i="2" s="1"/>
  <c r="I8269" i="2" s="1"/>
  <c r="I8270" i="2" s="1"/>
  <c r="I8271" i="2" s="1"/>
  <c r="I8272" i="2" s="1"/>
  <c r="I8273" i="2" s="1"/>
  <c r="I8274" i="2" s="1"/>
  <c r="I8275" i="2" s="1"/>
  <c r="I8276" i="2" s="1"/>
  <c r="I8277" i="2" s="1"/>
  <c r="I8278" i="2" s="1"/>
  <c r="I8279" i="2" s="1"/>
  <c r="I8280" i="2" s="1"/>
  <c r="I8281" i="2" s="1"/>
  <c r="I8282" i="2" s="1"/>
  <c r="I8283" i="2" s="1"/>
  <c r="I8284" i="2" s="1"/>
  <c r="I8285" i="2" s="1"/>
  <c r="I8286" i="2" s="1"/>
  <c r="I8287" i="2" s="1"/>
  <c r="I8288" i="2" s="1"/>
  <c r="I8289" i="2" s="1"/>
  <c r="I8290" i="2" s="1"/>
  <c r="I8291" i="2" s="1"/>
  <c r="I8292" i="2" s="1"/>
  <c r="I8293" i="2" s="1"/>
  <c r="I8294" i="2" s="1"/>
  <c r="I8295" i="2" s="1"/>
  <c r="I8296" i="2" s="1"/>
  <c r="I8297" i="2" s="1"/>
  <c r="I8298" i="2" s="1"/>
  <c r="I8299" i="2" s="1"/>
  <c r="I8300" i="2" s="1"/>
  <c r="I8301" i="2" s="1"/>
  <c r="I8302" i="2" s="1"/>
  <c r="I8303" i="2" s="1"/>
  <c r="I8304" i="2" s="1"/>
  <c r="I8305" i="2" s="1"/>
  <c r="I8306" i="2" s="1"/>
  <c r="I8307" i="2" s="1"/>
  <c r="I8308" i="2" s="1"/>
  <c r="I8309" i="2" s="1"/>
  <c r="I8310" i="2" s="1"/>
  <c r="I8311" i="2" s="1"/>
  <c r="I8312" i="2" s="1"/>
  <c r="I8313" i="2" s="1"/>
  <c r="I8314" i="2" s="1"/>
  <c r="I8315" i="2" s="1"/>
  <c r="I8316" i="2" s="1"/>
  <c r="I8317" i="2" s="1"/>
  <c r="I8318" i="2" s="1"/>
  <c r="I8319" i="2" s="1"/>
  <c r="I8320" i="2" s="1"/>
  <c r="I8321" i="2" s="1"/>
  <c r="I8322" i="2" s="1"/>
  <c r="I8323" i="2" s="1"/>
  <c r="I8324" i="2" s="1"/>
  <c r="I8325" i="2" s="1"/>
  <c r="I8326" i="2" s="1"/>
  <c r="I8327" i="2" s="1"/>
  <c r="I8328" i="2" s="1"/>
  <c r="I8329" i="2" s="1"/>
  <c r="I8330" i="2" s="1"/>
  <c r="I8331" i="2" s="1"/>
  <c r="I8332" i="2" s="1"/>
  <c r="I8333" i="2" s="1"/>
  <c r="I8334" i="2" s="1"/>
  <c r="I8335" i="2" s="1"/>
  <c r="I8336" i="2" s="1"/>
  <c r="I8337" i="2" s="1"/>
  <c r="I8338" i="2" s="1"/>
  <c r="I8339" i="2" s="1"/>
  <c r="I8340" i="2" s="1"/>
  <c r="I8341" i="2" s="1"/>
  <c r="I8342" i="2" s="1"/>
  <c r="I8343" i="2" s="1"/>
  <c r="I8344" i="2" s="1"/>
  <c r="I8345" i="2" s="1"/>
  <c r="I8346" i="2" s="1"/>
  <c r="I8347" i="2" s="1"/>
  <c r="I8348" i="2" s="1"/>
  <c r="I8349" i="2" s="1"/>
  <c r="I8350" i="2" s="1"/>
  <c r="I8351" i="2" s="1"/>
  <c r="I8352" i="2" s="1"/>
  <c r="I8353" i="2" s="1"/>
  <c r="I8354" i="2" s="1"/>
  <c r="I8355" i="2" s="1"/>
  <c r="I8356" i="2" s="1"/>
  <c r="I8357" i="2" s="1"/>
  <c r="I8358" i="2" s="1"/>
  <c r="I8359" i="2" s="1"/>
  <c r="I8360" i="2" s="1"/>
  <c r="I8361" i="2" s="1"/>
  <c r="I8362" i="2" s="1"/>
  <c r="I8363" i="2" s="1"/>
  <c r="I8364" i="2" s="1"/>
  <c r="I8365" i="2" s="1"/>
  <c r="I8366" i="2" s="1"/>
  <c r="I8367" i="2" s="1"/>
  <c r="I8368" i="2" s="1"/>
  <c r="I8369" i="2" s="1"/>
  <c r="I8370" i="2" s="1"/>
  <c r="I8371" i="2" s="1"/>
  <c r="I8372" i="2" s="1"/>
  <c r="I8373" i="2" s="1"/>
  <c r="I8374" i="2" s="1"/>
  <c r="I8375" i="2" s="1"/>
  <c r="I8376" i="2" s="1"/>
  <c r="I8377" i="2" s="1"/>
  <c r="I8378" i="2" s="1"/>
  <c r="I8379" i="2" s="1"/>
  <c r="I8380" i="2" s="1"/>
  <c r="I8381" i="2" s="1"/>
  <c r="I8382" i="2" s="1"/>
  <c r="I8383" i="2" s="1"/>
  <c r="I8384" i="2" s="1"/>
  <c r="I8385" i="2" s="1"/>
  <c r="I8386" i="2" s="1"/>
  <c r="I8387" i="2" s="1"/>
  <c r="I8388" i="2" s="1"/>
  <c r="I8389" i="2" s="1"/>
  <c r="I8390" i="2" s="1"/>
  <c r="I8391" i="2" s="1"/>
  <c r="I8392" i="2" s="1"/>
  <c r="I8393" i="2" s="1"/>
  <c r="I8394" i="2" s="1"/>
  <c r="I8395" i="2" s="1"/>
  <c r="I8396" i="2" s="1"/>
  <c r="I8397" i="2" s="1"/>
  <c r="I8398" i="2" s="1"/>
  <c r="I8399" i="2" s="1"/>
  <c r="I8400" i="2" s="1"/>
  <c r="I8401" i="2" s="1"/>
  <c r="I8402" i="2" s="1"/>
  <c r="I8403" i="2" s="1"/>
  <c r="I8404" i="2" s="1"/>
  <c r="I8405" i="2" s="1"/>
  <c r="I8406" i="2" s="1"/>
  <c r="I8407" i="2" s="1"/>
  <c r="I8408" i="2" s="1"/>
  <c r="I8409" i="2" s="1"/>
  <c r="I8410" i="2" s="1"/>
  <c r="I8411" i="2" s="1"/>
  <c r="I8412" i="2" s="1"/>
  <c r="I8413" i="2" s="1"/>
  <c r="I8414" i="2" s="1"/>
  <c r="I8415" i="2" s="1"/>
  <c r="I8416" i="2" s="1"/>
  <c r="I8417" i="2" s="1"/>
  <c r="I8418" i="2" s="1"/>
  <c r="I8419" i="2" s="1"/>
  <c r="I8420" i="2" s="1"/>
  <c r="I8421" i="2" s="1"/>
  <c r="I8422" i="2" s="1"/>
  <c r="I8423" i="2" s="1"/>
  <c r="I8424" i="2" s="1"/>
  <c r="I8425" i="2" s="1"/>
  <c r="I8426" i="2" s="1"/>
  <c r="I8427" i="2" s="1"/>
  <c r="I8428" i="2" s="1"/>
  <c r="I8429" i="2" s="1"/>
  <c r="I8430" i="2" s="1"/>
  <c r="I8431" i="2" s="1"/>
  <c r="I8432" i="2" s="1"/>
  <c r="I8433" i="2" s="1"/>
  <c r="I8434" i="2" s="1"/>
  <c r="I8435" i="2" s="1"/>
  <c r="I8436" i="2" s="1"/>
  <c r="I8437" i="2" s="1"/>
  <c r="I8438" i="2" s="1"/>
  <c r="I8439" i="2" s="1"/>
  <c r="I8440" i="2" s="1"/>
  <c r="I8441" i="2" s="1"/>
  <c r="I8442" i="2" s="1"/>
  <c r="I8443" i="2" s="1"/>
  <c r="I8444" i="2" s="1"/>
  <c r="I8445" i="2" s="1"/>
  <c r="I8446" i="2" s="1"/>
  <c r="I8447" i="2" s="1"/>
  <c r="I8448" i="2" s="1"/>
  <c r="I8449" i="2" s="1"/>
  <c r="I8450" i="2" s="1"/>
  <c r="I8451" i="2" s="1"/>
  <c r="I8452" i="2" s="1"/>
  <c r="I8453" i="2" s="1"/>
  <c r="I8454" i="2" s="1"/>
  <c r="I8455" i="2" s="1"/>
  <c r="I8456" i="2" s="1"/>
  <c r="I8457" i="2" s="1"/>
  <c r="I8458" i="2" s="1"/>
  <c r="I8459" i="2" s="1"/>
  <c r="I8460" i="2" s="1"/>
  <c r="I8461" i="2" s="1"/>
  <c r="I8462" i="2" s="1"/>
  <c r="I8463" i="2" s="1"/>
  <c r="I8464" i="2" s="1"/>
  <c r="I8465" i="2" s="1"/>
  <c r="I8466" i="2" s="1"/>
  <c r="I8467" i="2" s="1"/>
  <c r="I8468" i="2" s="1"/>
  <c r="I8469" i="2" s="1"/>
  <c r="I8470" i="2" s="1"/>
  <c r="I8471" i="2" s="1"/>
  <c r="I8472" i="2" s="1"/>
  <c r="I8473" i="2" s="1"/>
  <c r="I8474" i="2" s="1"/>
  <c r="I8475" i="2" s="1"/>
  <c r="I8476" i="2" s="1"/>
  <c r="I8477" i="2" s="1"/>
  <c r="I8478" i="2" s="1"/>
  <c r="I8479" i="2" s="1"/>
  <c r="I8480" i="2" s="1"/>
  <c r="I8481" i="2" s="1"/>
  <c r="I8482" i="2" s="1"/>
  <c r="I8483" i="2" s="1"/>
  <c r="I8484" i="2" s="1"/>
  <c r="I8485" i="2" s="1"/>
  <c r="I8486" i="2" s="1"/>
  <c r="I8487" i="2" s="1"/>
  <c r="I8488" i="2" s="1"/>
  <c r="I8489" i="2" s="1"/>
  <c r="I8490" i="2" s="1"/>
  <c r="I8491" i="2" s="1"/>
  <c r="I8492" i="2" s="1"/>
  <c r="I8493" i="2" s="1"/>
  <c r="I8494" i="2" s="1"/>
  <c r="I8495" i="2" s="1"/>
  <c r="I8496" i="2" s="1"/>
  <c r="I8497" i="2" s="1"/>
  <c r="I8498" i="2" s="1"/>
  <c r="I8499" i="2" s="1"/>
  <c r="I8500" i="2" s="1"/>
  <c r="I8501" i="2" s="1"/>
  <c r="I8502" i="2" s="1"/>
  <c r="I8503" i="2" s="1"/>
  <c r="I8504" i="2" s="1"/>
  <c r="I8505" i="2" s="1"/>
  <c r="I8506" i="2" s="1"/>
  <c r="I8507" i="2" s="1"/>
  <c r="I8508" i="2" s="1"/>
  <c r="I8509" i="2" s="1"/>
  <c r="I8510" i="2" s="1"/>
  <c r="I8511" i="2" s="1"/>
  <c r="I8512" i="2" s="1"/>
  <c r="I8513" i="2" s="1"/>
  <c r="I8514" i="2" s="1"/>
  <c r="I8515" i="2" s="1"/>
  <c r="I8516" i="2" s="1"/>
  <c r="I8517" i="2" s="1"/>
  <c r="I8518" i="2" s="1"/>
  <c r="I8519" i="2" s="1"/>
  <c r="I8520" i="2" s="1"/>
  <c r="I8521" i="2" s="1"/>
  <c r="I8522" i="2" s="1"/>
  <c r="I8523" i="2" s="1"/>
  <c r="I8524" i="2" s="1"/>
  <c r="I8525" i="2" s="1"/>
  <c r="I8526" i="2" s="1"/>
  <c r="I8527" i="2" s="1"/>
  <c r="I8528" i="2" s="1"/>
  <c r="I8529" i="2" s="1"/>
  <c r="I8530" i="2" s="1"/>
  <c r="I8531" i="2" s="1"/>
  <c r="I8532" i="2" s="1"/>
  <c r="I8533" i="2" s="1"/>
  <c r="I8534" i="2" s="1"/>
  <c r="I8535" i="2" s="1"/>
  <c r="I8536" i="2" s="1"/>
  <c r="I8537" i="2" s="1"/>
  <c r="I8538" i="2" s="1"/>
  <c r="I8539" i="2" s="1"/>
  <c r="I8540" i="2" s="1"/>
  <c r="I8541" i="2" s="1"/>
  <c r="I8542" i="2" s="1"/>
  <c r="I8543" i="2" s="1"/>
  <c r="I8544" i="2" s="1"/>
  <c r="I8545" i="2" s="1"/>
  <c r="I8546" i="2" s="1"/>
  <c r="I8547" i="2" s="1"/>
  <c r="I8548" i="2" s="1"/>
  <c r="I8549" i="2" s="1"/>
  <c r="I8550" i="2" s="1"/>
  <c r="I8551" i="2" s="1"/>
  <c r="I8552" i="2" s="1"/>
  <c r="I8553" i="2" s="1"/>
  <c r="I8554" i="2" s="1"/>
  <c r="I8555" i="2" s="1"/>
  <c r="I8556" i="2" s="1"/>
  <c r="I8557" i="2" s="1"/>
  <c r="I8558" i="2" s="1"/>
  <c r="I8559" i="2" s="1"/>
  <c r="I8560" i="2" s="1"/>
  <c r="I8561" i="2" s="1"/>
  <c r="I8562" i="2" s="1"/>
  <c r="I8563" i="2" s="1"/>
  <c r="I8564" i="2" s="1"/>
  <c r="I8565" i="2" s="1"/>
  <c r="I8566" i="2" s="1"/>
  <c r="I8567" i="2" s="1"/>
  <c r="I8568" i="2" s="1"/>
  <c r="I8569" i="2" s="1"/>
  <c r="I8570" i="2" s="1"/>
  <c r="I8571" i="2" s="1"/>
  <c r="I8572" i="2" s="1"/>
  <c r="I8573" i="2" s="1"/>
  <c r="I8574" i="2" s="1"/>
  <c r="I8575" i="2" s="1"/>
  <c r="I8576" i="2" s="1"/>
  <c r="I8577" i="2" s="1"/>
  <c r="I8578" i="2" s="1"/>
  <c r="I8579" i="2" s="1"/>
  <c r="I8580" i="2" s="1"/>
  <c r="I8581" i="2" s="1"/>
  <c r="I8582" i="2" s="1"/>
  <c r="I8583" i="2" s="1"/>
  <c r="I8584" i="2" s="1"/>
  <c r="I8585" i="2" s="1"/>
  <c r="I8586" i="2" s="1"/>
  <c r="I8587" i="2" s="1"/>
  <c r="I8588" i="2" s="1"/>
  <c r="I8589" i="2" s="1"/>
  <c r="I8590" i="2" s="1"/>
  <c r="I8591" i="2" s="1"/>
  <c r="I8592" i="2" s="1"/>
  <c r="I8593" i="2" s="1"/>
  <c r="I8594" i="2" s="1"/>
  <c r="I8595" i="2" s="1"/>
  <c r="I8596" i="2" s="1"/>
  <c r="I8597" i="2" s="1"/>
  <c r="I8598" i="2" s="1"/>
  <c r="I8599" i="2" s="1"/>
  <c r="I8600" i="2" s="1"/>
  <c r="I8601" i="2" s="1"/>
  <c r="I8602" i="2" s="1"/>
  <c r="I8603" i="2" s="1"/>
  <c r="I8604" i="2" s="1"/>
  <c r="I8605" i="2" s="1"/>
  <c r="I8606" i="2" s="1"/>
  <c r="I8607" i="2" s="1"/>
  <c r="I8608" i="2" s="1"/>
  <c r="I8609" i="2" s="1"/>
  <c r="I8610" i="2" s="1"/>
  <c r="I8611" i="2" s="1"/>
  <c r="I8612" i="2" s="1"/>
  <c r="I8613" i="2" s="1"/>
  <c r="I8614" i="2" s="1"/>
  <c r="I8615" i="2" s="1"/>
  <c r="I8616" i="2" s="1"/>
  <c r="I8617" i="2" s="1"/>
  <c r="I8618" i="2" s="1"/>
  <c r="I8619" i="2" s="1"/>
  <c r="I8620" i="2" s="1"/>
  <c r="I8621" i="2" s="1"/>
  <c r="I8622" i="2" s="1"/>
  <c r="I8623" i="2" s="1"/>
  <c r="I8624" i="2" s="1"/>
  <c r="I8625" i="2" s="1"/>
  <c r="I8626" i="2" s="1"/>
  <c r="I8627" i="2" s="1"/>
  <c r="I8628" i="2" s="1"/>
  <c r="I8629" i="2" s="1"/>
  <c r="I8630" i="2" s="1"/>
  <c r="I8631" i="2" s="1"/>
  <c r="I8632" i="2" s="1"/>
  <c r="I8633" i="2" s="1"/>
  <c r="I8634" i="2" s="1"/>
  <c r="I8635" i="2" s="1"/>
  <c r="I8636" i="2" s="1"/>
  <c r="I8637" i="2" s="1"/>
  <c r="I8638" i="2" s="1"/>
  <c r="I8639" i="2" s="1"/>
  <c r="I8640" i="2" s="1"/>
  <c r="I8641" i="2" s="1"/>
  <c r="I8642" i="2" s="1"/>
  <c r="I8643" i="2" s="1"/>
  <c r="I8644" i="2" s="1"/>
  <c r="I8645" i="2" s="1"/>
  <c r="I8646" i="2" s="1"/>
  <c r="I8647" i="2" s="1"/>
  <c r="I8648" i="2" s="1"/>
  <c r="I8649" i="2" s="1"/>
  <c r="I8650" i="2" s="1"/>
  <c r="I8651" i="2" s="1"/>
  <c r="I8652" i="2" s="1"/>
  <c r="I8653" i="2" s="1"/>
  <c r="I8654" i="2" s="1"/>
  <c r="I8655" i="2" s="1"/>
  <c r="I8656" i="2" s="1"/>
  <c r="I8657" i="2" s="1"/>
  <c r="I8658" i="2" s="1"/>
  <c r="I8659" i="2" s="1"/>
  <c r="I8660" i="2" s="1"/>
  <c r="I8661" i="2" s="1"/>
  <c r="I8662" i="2" s="1"/>
  <c r="I8663" i="2" s="1"/>
  <c r="I8664" i="2" s="1"/>
  <c r="I8665" i="2" s="1"/>
  <c r="I8666" i="2" s="1"/>
  <c r="I8667" i="2" s="1"/>
  <c r="I8668" i="2" s="1"/>
  <c r="I8669" i="2" s="1"/>
  <c r="I8670" i="2" s="1"/>
  <c r="I8671" i="2" s="1"/>
  <c r="I8672" i="2" s="1"/>
  <c r="I8673" i="2" s="1"/>
  <c r="I8674" i="2" s="1"/>
  <c r="I8675" i="2" s="1"/>
  <c r="I8676" i="2" s="1"/>
  <c r="I8677" i="2" s="1"/>
  <c r="I8678" i="2" s="1"/>
  <c r="I8679" i="2" s="1"/>
  <c r="I8680" i="2" s="1"/>
  <c r="I8681" i="2" s="1"/>
  <c r="I8682" i="2" s="1"/>
  <c r="I8683" i="2" s="1"/>
  <c r="I8684" i="2" s="1"/>
  <c r="I8685" i="2" s="1"/>
  <c r="I8686" i="2" s="1"/>
  <c r="I8687" i="2" s="1"/>
  <c r="I8688" i="2" s="1"/>
  <c r="I8689" i="2" s="1"/>
  <c r="I8690" i="2" s="1"/>
  <c r="I8691" i="2" s="1"/>
  <c r="I8692" i="2" s="1"/>
  <c r="I8693" i="2" s="1"/>
  <c r="I8694" i="2" s="1"/>
  <c r="I8695" i="2" s="1"/>
  <c r="I8696" i="2" s="1"/>
  <c r="I8697" i="2" s="1"/>
  <c r="I8698" i="2" s="1"/>
  <c r="I8699" i="2" s="1"/>
  <c r="I8700" i="2" s="1"/>
  <c r="I8701" i="2" s="1"/>
  <c r="I8702" i="2" s="1"/>
  <c r="I8703" i="2" s="1"/>
  <c r="I8704" i="2" s="1"/>
  <c r="I8705" i="2" s="1"/>
  <c r="I8706" i="2" s="1"/>
  <c r="I8707" i="2" s="1"/>
  <c r="I8708" i="2" s="1"/>
  <c r="I8709" i="2" s="1"/>
  <c r="I8710" i="2" s="1"/>
  <c r="I8711" i="2" s="1"/>
  <c r="I8712" i="2" s="1"/>
  <c r="I8713" i="2" s="1"/>
  <c r="I8714" i="2" s="1"/>
  <c r="I8715" i="2" s="1"/>
  <c r="I8716" i="2" s="1"/>
  <c r="I8717" i="2" s="1"/>
  <c r="I8718" i="2" s="1"/>
  <c r="I8719" i="2" s="1"/>
  <c r="I8720" i="2" s="1"/>
  <c r="I8721" i="2" s="1"/>
  <c r="I8722" i="2" s="1"/>
  <c r="I8723" i="2" s="1"/>
  <c r="I8724" i="2" s="1"/>
  <c r="I8725" i="2" s="1"/>
  <c r="I8726" i="2" s="1"/>
  <c r="I8727" i="2" s="1"/>
  <c r="I8728" i="2" s="1"/>
  <c r="I8729" i="2" s="1"/>
  <c r="I8730" i="2" s="1"/>
  <c r="I8731" i="2" s="1"/>
  <c r="I8732" i="2" s="1"/>
  <c r="I8733" i="2" s="1"/>
  <c r="I8734" i="2" s="1"/>
  <c r="I8735" i="2" s="1"/>
  <c r="I8736" i="2" s="1"/>
  <c r="I8737" i="2" s="1"/>
  <c r="I8738" i="2" s="1"/>
  <c r="I8739" i="2" s="1"/>
  <c r="I8740" i="2" s="1"/>
  <c r="I8741" i="2" s="1"/>
  <c r="I8742" i="2" s="1"/>
  <c r="I8743" i="2" s="1"/>
  <c r="I8744" i="2" s="1"/>
  <c r="I8745" i="2" s="1"/>
  <c r="I8746" i="2" s="1"/>
  <c r="I8747" i="2" s="1"/>
  <c r="I8748" i="2" s="1"/>
  <c r="I8749" i="2" s="1"/>
  <c r="I8750" i="2" s="1"/>
  <c r="I8751" i="2" s="1"/>
  <c r="I8752" i="2" s="1"/>
  <c r="I8753" i="2" s="1"/>
  <c r="I8754" i="2" s="1"/>
  <c r="I8755" i="2" s="1"/>
  <c r="I8756" i="2" s="1"/>
  <c r="I8757" i="2" s="1"/>
  <c r="I8758" i="2" s="1"/>
  <c r="I8759" i="2" s="1"/>
  <c r="I8760" i="2" s="1"/>
  <c r="I8761" i="2" s="1"/>
  <c r="I8762" i="2" s="1"/>
  <c r="I8763" i="2" s="1"/>
  <c r="I8764" i="2" s="1"/>
  <c r="I8765" i="2" s="1"/>
  <c r="I8766" i="2" s="1"/>
  <c r="I8767" i="2" s="1"/>
  <c r="I8768" i="2" s="1"/>
  <c r="I8769" i="2" s="1"/>
  <c r="I8770" i="2" s="1"/>
  <c r="I8771" i="2" s="1"/>
  <c r="I8772" i="2" s="1"/>
  <c r="I8773" i="2" s="1"/>
  <c r="I8774" i="2" s="1"/>
  <c r="I8775" i="2" s="1"/>
  <c r="I8776" i="2" s="1"/>
  <c r="I8777" i="2" s="1"/>
  <c r="I8778" i="2" s="1"/>
  <c r="I8779" i="2" s="1"/>
  <c r="I8780" i="2" s="1"/>
  <c r="I8781" i="2" s="1"/>
  <c r="I8782" i="2" s="1"/>
  <c r="I8783" i="2" s="1"/>
  <c r="I8784" i="2" s="1"/>
  <c r="I8785" i="2" s="1"/>
  <c r="I8786" i="2" s="1"/>
  <c r="I8787" i="2" s="1"/>
  <c r="I8788" i="2" s="1"/>
  <c r="I8789" i="2" s="1"/>
  <c r="I8790" i="2" s="1"/>
  <c r="I8791" i="2" s="1"/>
  <c r="I8792" i="2" s="1"/>
  <c r="I8793" i="2" s="1"/>
  <c r="I8794" i="2" s="1"/>
  <c r="I8795" i="2" s="1"/>
  <c r="I8796" i="2" s="1"/>
  <c r="I8797" i="2" s="1"/>
  <c r="I8798" i="2" s="1"/>
  <c r="I8799" i="2" s="1"/>
  <c r="I8800" i="2" s="1"/>
  <c r="I8801" i="2" s="1"/>
  <c r="I8802" i="2" s="1"/>
  <c r="I8803" i="2" s="1"/>
  <c r="I8804" i="2" s="1"/>
  <c r="I8805" i="2" s="1"/>
  <c r="I8806" i="2" s="1"/>
  <c r="I8807" i="2" s="1"/>
  <c r="I8808" i="2" s="1"/>
  <c r="I8809" i="2" s="1"/>
  <c r="I8810" i="2" s="1"/>
  <c r="I8811" i="2" s="1"/>
  <c r="I8812" i="2" s="1"/>
  <c r="I8813" i="2" s="1"/>
  <c r="I8814" i="2" s="1"/>
  <c r="I8815" i="2" s="1"/>
  <c r="I8816" i="2" s="1"/>
  <c r="I8817" i="2" s="1"/>
  <c r="I8818" i="2" s="1"/>
  <c r="I8819" i="2" s="1"/>
  <c r="I8820" i="2" s="1"/>
  <c r="I8821" i="2" s="1"/>
  <c r="I8822" i="2" s="1"/>
  <c r="I8823" i="2" s="1"/>
  <c r="I8824" i="2" s="1"/>
  <c r="I8825" i="2" s="1"/>
  <c r="I8826" i="2" s="1"/>
  <c r="I8827" i="2" s="1"/>
  <c r="I8828" i="2" s="1"/>
  <c r="I8829" i="2" s="1"/>
  <c r="I8830" i="2" s="1"/>
  <c r="I8831" i="2" s="1"/>
  <c r="I8832" i="2" s="1"/>
  <c r="I8833" i="2" s="1"/>
  <c r="I8834" i="2" s="1"/>
  <c r="I8835" i="2" s="1"/>
  <c r="I8836" i="2" s="1"/>
  <c r="I8837" i="2" s="1"/>
  <c r="I8838" i="2" s="1"/>
  <c r="I8839" i="2" s="1"/>
  <c r="I8840" i="2" s="1"/>
  <c r="I8841" i="2" s="1"/>
  <c r="I8842" i="2" s="1"/>
  <c r="I8843" i="2" s="1"/>
  <c r="I8844" i="2" s="1"/>
  <c r="I8845" i="2" s="1"/>
  <c r="I8846" i="2" s="1"/>
  <c r="I8847" i="2" s="1"/>
  <c r="I8848" i="2" s="1"/>
  <c r="I8849" i="2" s="1"/>
  <c r="I8850" i="2" s="1"/>
  <c r="I8851" i="2" s="1"/>
  <c r="I8852" i="2" s="1"/>
  <c r="I8853" i="2" s="1"/>
  <c r="I8854" i="2" s="1"/>
  <c r="I8855" i="2" s="1"/>
  <c r="I8856" i="2" s="1"/>
  <c r="I8857" i="2" s="1"/>
  <c r="I8858" i="2" s="1"/>
  <c r="I8859" i="2" s="1"/>
  <c r="I8860" i="2" s="1"/>
  <c r="I8861" i="2" s="1"/>
  <c r="I8862" i="2" s="1"/>
  <c r="I8863" i="2" s="1"/>
  <c r="I8864" i="2" s="1"/>
  <c r="I8865" i="2" s="1"/>
  <c r="I8866" i="2" s="1"/>
  <c r="I8867" i="2" s="1"/>
  <c r="I8868" i="2" s="1"/>
  <c r="I8869" i="2" s="1"/>
  <c r="I8870" i="2" s="1"/>
  <c r="I8871" i="2" s="1"/>
  <c r="I8872" i="2" s="1"/>
  <c r="I8873" i="2" s="1"/>
  <c r="I8874" i="2" s="1"/>
  <c r="I8875" i="2" s="1"/>
  <c r="I8876" i="2" s="1"/>
  <c r="I8877" i="2" s="1"/>
  <c r="I8878" i="2" s="1"/>
  <c r="I8879" i="2" s="1"/>
  <c r="I8880" i="2" s="1"/>
  <c r="I8881" i="2" s="1"/>
  <c r="I8882" i="2" s="1"/>
  <c r="I8883" i="2" s="1"/>
  <c r="I8884" i="2" s="1"/>
  <c r="I8885" i="2" s="1"/>
  <c r="I8886" i="2" s="1"/>
  <c r="I8887" i="2" s="1"/>
  <c r="I8888" i="2" s="1"/>
  <c r="I8889" i="2" s="1"/>
  <c r="I8890" i="2" s="1"/>
  <c r="I8891" i="2" s="1"/>
  <c r="I8892" i="2" s="1"/>
  <c r="I8893" i="2" s="1"/>
  <c r="I8894" i="2" s="1"/>
  <c r="I8895" i="2" s="1"/>
  <c r="I8896" i="2" s="1"/>
  <c r="I8897" i="2" s="1"/>
  <c r="I8898" i="2" s="1"/>
  <c r="I8899" i="2" s="1"/>
  <c r="I8900" i="2" s="1"/>
  <c r="I8901" i="2" s="1"/>
  <c r="I8902" i="2" s="1"/>
  <c r="I8903" i="2" s="1"/>
  <c r="I8904" i="2" s="1"/>
  <c r="I8905" i="2" s="1"/>
  <c r="I8906" i="2" s="1"/>
  <c r="I8907" i="2" s="1"/>
  <c r="I8908" i="2" s="1"/>
  <c r="I8909" i="2" s="1"/>
  <c r="I8910" i="2" s="1"/>
  <c r="I8911" i="2" s="1"/>
  <c r="I8912" i="2" s="1"/>
  <c r="I8913" i="2" s="1"/>
  <c r="I8914" i="2" s="1"/>
  <c r="I8915" i="2" s="1"/>
  <c r="I8916" i="2" s="1"/>
  <c r="I8917" i="2" s="1"/>
  <c r="I8918" i="2" s="1"/>
  <c r="I8919" i="2" s="1"/>
  <c r="I8920" i="2" s="1"/>
  <c r="I8921" i="2" s="1"/>
  <c r="I8922" i="2" s="1"/>
  <c r="I8923" i="2" s="1"/>
  <c r="I8924" i="2" s="1"/>
  <c r="I8925" i="2" s="1"/>
  <c r="I8926" i="2" s="1"/>
  <c r="I8927" i="2" s="1"/>
  <c r="I8928" i="2" s="1"/>
  <c r="I8929" i="2" s="1"/>
  <c r="I8930" i="2" s="1"/>
  <c r="I8931" i="2" s="1"/>
  <c r="I8932" i="2" s="1"/>
  <c r="I8933" i="2" s="1"/>
  <c r="I8934" i="2" s="1"/>
  <c r="I8935" i="2" s="1"/>
  <c r="I8936" i="2" s="1"/>
  <c r="I8937" i="2" s="1"/>
  <c r="I8938" i="2" s="1"/>
  <c r="I8939" i="2" s="1"/>
  <c r="I8940" i="2" s="1"/>
  <c r="I8941" i="2" s="1"/>
  <c r="I8942" i="2" s="1"/>
  <c r="I8943" i="2" s="1"/>
  <c r="I8944" i="2" s="1"/>
  <c r="I8945" i="2" s="1"/>
  <c r="I8946" i="2" s="1"/>
  <c r="I8947" i="2" s="1"/>
  <c r="I8948" i="2" s="1"/>
  <c r="I8949" i="2" s="1"/>
  <c r="I8950" i="2" s="1"/>
  <c r="I8951" i="2" s="1"/>
  <c r="I8952" i="2" s="1"/>
  <c r="I8953" i="2" s="1"/>
  <c r="I8954" i="2" s="1"/>
  <c r="I8955" i="2" s="1"/>
  <c r="I8956" i="2" s="1"/>
  <c r="I8957" i="2" s="1"/>
  <c r="I8958" i="2" s="1"/>
  <c r="I8959" i="2" s="1"/>
  <c r="I8960" i="2" s="1"/>
  <c r="I8961" i="2" s="1"/>
  <c r="I8962" i="2" s="1"/>
  <c r="I8963" i="2" s="1"/>
  <c r="I8964" i="2" s="1"/>
  <c r="I8965" i="2" s="1"/>
  <c r="I8966" i="2" s="1"/>
  <c r="I8967" i="2" s="1"/>
  <c r="I8968" i="2" s="1"/>
  <c r="I8969" i="2" s="1"/>
  <c r="I8970" i="2" s="1"/>
  <c r="I8971" i="2" s="1"/>
  <c r="I8972" i="2" s="1"/>
  <c r="I8973" i="2" s="1"/>
  <c r="I8974" i="2" s="1"/>
  <c r="I8975" i="2" s="1"/>
  <c r="I8976" i="2" s="1"/>
  <c r="I8977" i="2" s="1"/>
  <c r="I8978" i="2" s="1"/>
  <c r="I8979" i="2" s="1"/>
  <c r="I8980" i="2" s="1"/>
  <c r="I8981" i="2" s="1"/>
  <c r="I8982" i="2" s="1"/>
  <c r="I8983" i="2" s="1"/>
  <c r="I8984" i="2" s="1"/>
  <c r="I8985" i="2" s="1"/>
  <c r="I8986" i="2" s="1"/>
  <c r="I8987" i="2" s="1"/>
  <c r="I8988" i="2" s="1"/>
  <c r="I8989" i="2" s="1"/>
  <c r="I8990" i="2" s="1"/>
  <c r="I8991" i="2" s="1"/>
  <c r="I8992" i="2" s="1"/>
  <c r="I8993" i="2" s="1"/>
  <c r="I8994" i="2" s="1"/>
  <c r="I8995" i="2" s="1"/>
  <c r="I8996" i="2" s="1"/>
  <c r="I8997" i="2" s="1"/>
  <c r="I8998" i="2" s="1"/>
  <c r="I8999" i="2" s="1"/>
  <c r="I9000" i="2" s="1"/>
  <c r="I9001" i="2" s="1"/>
  <c r="I9002" i="2" s="1"/>
  <c r="I9003" i="2" s="1"/>
  <c r="I9004" i="2" s="1"/>
  <c r="I9005" i="2" s="1"/>
  <c r="I9006" i="2" s="1"/>
  <c r="I9007" i="2" s="1"/>
  <c r="I9008" i="2" s="1"/>
  <c r="I9009" i="2" s="1"/>
  <c r="I9010" i="2" s="1"/>
  <c r="I9011" i="2" s="1"/>
  <c r="I9012" i="2" s="1"/>
  <c r="I9013" i="2" s="1"/>
  <c r="I9014" i="2" s="1"/>
  <c r="I9015" i="2" s="1"/>
  <c r="I9016" i="2" s="1"/>
  <c r="I9017" i="2" s="1"/>
  <c r="I9018" i="2" s="1"/>
  <c r="I9019" i="2" s="1"/>
  <c r="I9020" i="2" s="1"/>
  <c r="I9021" i="2" s="1"/>
  <c r="I9022" i="2" s="1"/>
  <c r="I9023" i="2" s="1"/>
  <c r="I9024" i="2" s="1"/>
  <c r="I9025" i="2" s="1"/>
  <c r="I9026" i="2" s="1"/>
  <c r="I9027" i="2" s="1"/>
  <c r="I9028" i="2" s="1"/>
  <c r="I9029" i="2" s="1"/>
  <c r="I9030" i="2" s="1"/>
  <c r="I9031" i="2" s="1"/>
  <c r="I9032" i="2" s="1"/>
  <c r="I9033" i="2" s="1"/>
  <c r="I9034" i="2" s="1"/>
  <c r="I9035" i="2" s="1"/>
  <c r="I9036" i="2" s="1"/>
  <c r="I9037" i="2" s="1"/>
  <c r="I9038" i="2" s="1"/>
  <c r="I9039" i="2" s="1"/>
  <c r="I9040" i="2" s="1"/>
  <c r="I9041" i="2" s="1"/>
  <c r="I9042" i="2" s="1"/>
  <c r="I9043" i="2" s="1"/>
  <c r="I9044" i="2" s="1"/>
  <c r="I9045" i="2" s="1"/>
  <c r="I9046" i="2" s="1"/>
  <c r="I9047" i="2" s="1"/>
  <c r="K4" i="2"/>
  <c r="K5" i="2" s="1"/>
  <c r="K6" i="2" s="1"/>
  <c r="K7" i="2" s="1"/>
  <c r="K8" i="2" s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K47" i="2" s="1"/>
  <c r="K48" i="2" s="1"/>
  <c r="K49" i="2" s="1"/>
  <c r="K50" i="2" s="1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O343" i="2"/>
  <c r="I3" i="2"/>
  <c r="K1544" i="2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K2694" i="2" s="1"/>
  <c r="K2695" i="2" s="1"/>
  <c r="K2696" i="2" s="1"/>
  <c r="K2697" i="2" s="1"/>
  <c r="K2698" i="2" s="1"/>
  <c r="K2699" i="2" s="1"/>
  <c r="K2700" i="2" s="1"/>
  <c r="K2701" i="2" s="1"/>
  <c r="K2702" i="2" s="1"/>
  <c r="K2703" i="2" s="1"/>
  <c r="K2704" i="2" s="1"/>
  <c r="K2705" i="2" s="1"/>
  <c r="K2706" i="2" s="1"/>
  <c r="K2707" i="2" s="1"/>
  <c r="K2708" i="2" s="1"/>
  <c r="K2709" i="2" s="1"/>
  <c r="K2710" i="2" s="1"/>
  <c r="K2711" i="2" s="1"/>
  <c r="K2712" i="2" s="1"/>
  <c r="K2713" i="2" s="1"/>
  <c r="K2714" i="2" s="1"/>
  <c r="K2715" i="2" s="1"/>
  <c r="K2716" i="2" s="1"/>
  <c r="K2717" i="2" s="1"/>
  <c r="K2718" i="2" s="1"/>
  <c r="K2719" i="2" s="1"/>
  <c r="K2720" i="2" s="1"/>
  <c r="K2721" i="2" s="1"/>
  <c r="K2722" i="2" s="1"/>
  <c r="K2723" i="2" s="1"/>
  <c r="K2724" i="2" s="1"/>
  <c r="K2725" i="2" s="1"/>
  <c r="K2726" i="2" s="1"/>
  <c r="K2727" i="2" s="1"/>
  <c r="K2728" i="2" s="1"/>
  <c r="K2729" i="2" s="1"/>
  <c r="K2730" i="2" s="1"/>
  <c r="K2731" i="2" s="1"/>
  <c r="K2732" i="2" s="1"/>
  <c r="K2733" i="2" s="1"/>
  <c r="K2734" i="2" s="1"/>
  <c r="K2735" i="2" s="1"/>
  <c r="K2736" i="2" s="1"/>
  <c r="K2737" i="2" s="1"/>
  <c r="K2738" i="2" s="1"/>
  <c r="K2739" i="2" s="1"/>
  <c r="K2740" i="2" s="1"/>
  <c r="K2741" i="2" s="1"/>
  <c r="K2742" i="2" s="1"/>
  <c r="K2743" i="2" s="1"/>
  <c r="K2744" i="2" s="1"/>
  <c r="K2745" i="2" s="1"/>
  <c r="K2746" i="2" s="1"/>
  <c r="K2747" i="2" s="1"/>
  <c r="K2748" i="2" s="1"/>
  <c r="K2749" i="2" s="1"/>
  <c r="K2750" i="2" s="1"/>
  <c r="K2751" i="2" s="1"/>
  <c r="K2752" i="2" s="1"/>
  <c r="K2753" i="2" s="1"/>
  <c r="K2754" i="2" s="1"/>
  <c r="K2755" i="2" s="1"/>
  <c r="K2756" i="2" s="1"/>
  <c r="K2757" i="2" s="1"/>
  <c r="K2758" i="2" s="1"/>
  <c r="K2759" i="2" s="1"/>
  <c r="K2760" i="2" s="1"/>
  <c r="K2761" i="2" s="1"/>
  <c r="K2762" i="2" s="1"/>
  <c r="K2763" i="2" s="1"/>
  <c r="K2764" i="2" s="1"/>
  <c r="K2765" i="2" s="1"/>
  <c r="K2766" i="2" s="1"/>
  <c r="K2767" i="2" s="1"/>
  <c r="K2768" i="2" s="1"/>
  <c r="K2769" i="2" s="1"/>
  <c r="K2770" i="2" s="1"/>
  <c r="K2771" i="2" s="1"/>
  <c r="K2772" i="2" s="1"/>
  <c r="K2773" i="2" s="1"/>
  <c r="K2774" i="2" s="1"/>
  <c r="K2775" i="2" s="1"/>
  <c r="K2776" i="2" s="1"/>
  <c r="K2777" i="2" s="1"/>
  <c r="K2778" i="2" s="1"/>
  <c r="K2779" i="2" s="1"/>
  <c r="K2780" i="2" s="1"/>
  <c r="K2781" i="2" s="1"/>
  <c r="K2782" i="2" s="1"/>
  <c r="K2783" i="2" s="1"/>
  <c r="K2784" i="2" s="1"/>
  <c r="K2785" i="2" s="1"/>
  <c r="K2786" i="2" s="1"/>
  <c r="K2787" i="2" s="1"/>
  <c r="K2788" i="2" s="1"/>
  <c r="K2789" i="2" s="1"/>
  <c r="K2790" i="2" s="1"/>
  <c r="K2791" i="2" s="1"/>
  <c r="K2792" i="2" s="1"/>
  <c r="K2793" i="2" s="1"/>
  <c r="K2794" i="2" s="1"/>
  <c r="K2795" i="2" s="1"/>
  <c r="K2796" i="2" s="1"/>
  <c r="K2797" i="2" s="1"/>
  <c r="K2798" i="2" s="1"/>
  <c r="K2799" i="2" s="1"/>
  <c r="K2800" i="2" s="1"/>
  <c r="K2801" i="2" s="1"/>
  <c r="K2802" i="2" s="1"/>
  <c r="K2803" i="2" s="1"/>
  <c r="K2804" i="2" s="1"/>
  <c r="K2805" i="2" s="1"/>
  <c r="K2806" i="2" s="1"/>
  <c r="K2807" i="2" s="1"/>
  <c r="K2808" i="2" s="1"/>
  <c r="K2809" i="2" s="1"/>
  <c r="K2810" i="2" s="1"/>
  <c r="K2811" i="2" s="1"/>
  <c r="K2812" i="2" s="1"/>
  <c r="K2813" i="2" s="1"/>
  <c r="K2814" i="2" s="1"/>
  <c r="K2815" i="2" s="1"/>
  <c r="K2816" i="2" s="1"/>
  <c r="K2817" i="2" s="1"/>
  <c r="K2818" i="2" s="1"/>
  <c r="K2819" i="2" s="1"/>
  <c r="K2820" i="2" s="1"/>
  <c r="K2821" i="2" s="1"/>
  <c r="K2822" i="2" s="1"/>
  <c r="K2823" i="2" s="1"/>
  <c r="K2824" i="2" s="1"/>
  <c r="K2825" i="2" s="1"/>
  <c r="K2826" i="2" s="1"/>
  <c r="K2827" i="2" s="1"/>
  <c r="K2828" i="2" s="1"/>
  <c r="K2829" i="2" s="1"/>
  <c r="K2830" i="2" s="1"/>
  <c r="K2831" i="2" s="1"/>
  <c r="K2832" i="2" s="1"/>
  <c r="K2833" i="2" s="1"/>
  <c r="K2834" i="2" s="1"/>
  <c r="K2835" i="2" s="1"/>
  <c r="K2836" i="2" s="1"/>
  <c r="K2837" i="2" s="1"/>
  <c r="K2838" i="2" s="1"/>
  <c r="K2839" i="2" s="1"/>
  <c r="K2840" i="2" s="1"/>
  <c r="K2841" i="2" s="1"/>
  <c r="K2842" i="2" s="1"/>
  <c r="K2843" i="2" s="1"/>
  <c r="K2844" i="2" s="1"/>
  <c r="K2845" i="2" s="1"/>
  <c r="K2846" i="2" s="1"/>
  <c r="K2847" i="2" s="1"/>
  <c r="K2848" i="2" s="1"/>
  <c r="K2849" i="2" s="1"/>
  <c r="K2850" i="2" s="1"/>
  <c r="K2851" i="2" s="1"/>
  <c r="K2852" i="2" s="1"/>
  <c r="K2853" i="2" s="1"/>
  <c r="K2854" i="2" s="1"/>
  <c r="K2855" i="2" s="1"/>
  <c r="K2856" i="2" s="1"/>
  <c r="K2857" i="2" s="1"/>
  <c r="K2858" i="2" s="1"/>
  <c r="K2859" i="2" s="1"/>
  <c r="K2860" i="2" s="1"/>
  <c r="K2861" i="2" s="1"/>
  <c r="K2862" i="2" s="1"/>
  <c r="K2863" i="2" s="1"/>
  <c r="K2864" i="2" s="1"/>
  <c r="K2865" i="2" s="1"/>
  <c r="K2866" i="2" s="1"/>
  <c r="K2867" i="2" s="1"/>
  <c r="K2868" i="2" s="1"/>
  <c r="K2869" i="2" s="1"/>
  <c r="K2870" i="2" s="1"/>
  <c r="K2871" i="2" s="1"/>
  <c r="K2872" i="2" s="1"/>
  <c r="K2873" i="2" s="1"/>
  <c r="K2874" i="2" s="1"/>
  <c r="K2875" i="2" s="1"/>
  <c r="K2876" i="2" s="1"/>
  <c r="K2877" i="2" s="1"/>
  <c r="K2878" i="2" s="1"/>
  <c r="K2879" i="2" s="1"/>
  <c r="K2880" i="2" s="1"/>
  <c r="K2881" i="2" s="1"/>
  <c r="K2882" i="2" s="1"/>
  <c r="K2883" i="2" s="1"/>
  <c r="K2884" i="2" s="1"/>
  <c r="K2885" i="2" s="1"/>
  <c r="K2886" i="2" s="1"/>
  <c r="K2887" i="2" s="1"/>
  <c r="K2888" i="2" s="1"/>
  <c r="K2889" i="2" s="1"/>
  <c r="K2890" i="2" s="1"/>
  <c r="K2891" i="2" s="1"/>
  <c r="K2892" i="2" s="1"/>
  <c r="K2893" i="2" s="1"/>
  <c r="K2894" i="2" s="1"/>
  <c r="K2895" i="2" s="1"/>
  <c r="K2896" i="2" s="1"/>
  <c r="K2897" i="2" s="1"/>
  <c r="K2898" i="2" s="1"/>
  <c r="K2899" i="2" s="1"/>
  <c r="K2900" i="2" s="1"/>
  <c r="K2901" i="2" s="1"/>
  <c r="K2902" i="2" s="1"/>
  <c r="K2903" i="2" s="1"/>
  <c r="K2904" i="2" s="1"/>
  <c r="K2905" i="2" s="1"/>
  <c r="K2906" i="2" s="1"/>
  <c r="K2907" i="2" s="1"/>
  <c r="K2908" i="2" s="1"/>
  <c r="K2909" i="2" s="1"/>
  <c r="K2910" i="2" s="1"/>
  <c r="K2911" i="2" s="1"/>
  <c r="K2912" i="2" s="1"/>
  <c r="K2913" i="2" s="1"/>
  <c r="K2914" i="2" s="1"/>
  <c r="K2915" i="2" s="1"/>
  <c r="K2916" i="2" s="1"/>
  <c r="K2917" i="2" s="1"/>
  <c r="K2918" i="2" s="1"/>
  <c r="K2919" i="2" s="1"/>
  <c r="K2920" i="2" s="1"/>
  <c r="K2921" i="2" s="1"/>
  <c r="K2922" i="2" s="1"/>
  <c r="K2923" i="2" s="1"/>
  <c r="K2924" i="2" s="1"/>
  <c r="K2925" i="2" s="1"/>
  <c r="K2926" i="2" s="1"/>
  <c r="K2927" i="2" s="1"/>
  <c r="K2928" i="2" s="1"/>
  <c r="K2929" i="2" s="1"/>
  <c r="K2930" i="2" s="1"/>
  <c r="K2931" i="2" s="1"/>
  <c r="K2932" i="2" s="1"/>
  <c r="K2933" i="2" s="1"/>
  <c r="K2934" i="2" s="1"/>
  <c r="K2935" i="2" s="1"/>
  <c r="K2936" i="2" s="1"/>
  <c r="K2937" i="2" s="1"/>
  <c r="K2938" i="2" s="1"/>
  <c r="K2939" i="2" s="1"/>
  <c r="K2940" i="2" s="1"/>
  <c r="K2941" i="2" s="1"/>
  <c r="K2942" i="2" s="1"/>
  <c r="K2943" i="2" s="1"/>
  <c r="K2944" i="2" s="1"/>
  <c r="K2945" i="2" s="1"/>
  <c r="K2946" i="2" s="1"/>
  <c r="K2947" i="2" s="1"/>
  <c r="K2948" i="2" s="1"/>
  <c r="K2949" i="2" s="1"/>
  <c r="K2950" i="2" s="1"/>
  <c r="K2951" i="2" s="1"/>
  <c r="K2952" i="2" s="1"/>
  <c r="K2953" i="2" s="1"/>
  <c r="K2954" i="2" s="1"/>
  <c r="K2955" i="2" s="1"/>
  <c r="K2956" i="2" s="1"/>
  <c r="K2957" i="2" s="1"/>
  <c r="K2958" i="2" s="1"/>
  <c r="K2959" i="2" s="1"/>
  <c r="K2960" i="2" s="1"/>
  <c r="K2961" i="2" s="1"/>
  <c r="K2962" i="2" s="1"/>
  <c r="K2963" i="2" s="1"/>
  <c r="K2964" i="2" s="1"/>
  <c r="K2965" i="2" s="1"/>
  <c r="K2966" i="2" s="1"/>
  <c r="K2967" i="2" s="1"/>
  <c r="K2968" i="2" s="1"/>
  <c r="K2969" i="2" s="1"/>
  <c r="K2970" i="2" s="1"/>
  <c r="K2971" i="2" s="1"/>
  <c r="K2972" i="2" s="1"/>
  <c r="K2973" i="2" s="1"/>
  <c r="K2974" i="2" s="1"/>
  <c r="K2975" i="2" s="1"/>
  <c r="K2976" i="2" s="1"/>
  <c r="K2977" i="2" s="1"/>
  <c r="K2978" i="2" s="1"/>
  <c r="K2979" i="2" s="1"/>
  <c r="K2980" i="2" s="1"/>
  <c r="K2981" i="2" s="1"/>
  <c r="K2982" i="2" s="1"/>
  <c r="K2983" i="2" s="1"/>
  <c r="K2984" i="2" s="1"/>
  <c r="K2985" i="2" s="1"/>
  <c r="K2986" i="2" s="1"/>
  <c r="K2987" i="2" s="1"/>
  <c r="K2988" i="2" s="1"/>
  <c r="K2989" i="2" s="1"/>
  <c r="K2990" i="2" s="1"/>
  <c r="K2991" i="2" s="1"/>
  <c r="K2992" i="2" s="1"/>
  <c r="K2993" i="2" s="1"/>
  <c r="K2994" i="2" s="1"/>
  <c r="K2995" i="2" s="1"/>
  <c r="K2996" i="2" s="1"/>
  <c r="K2997" i="2" s="1"/>
  <c r="K2998" i="2" s="1"/>
  <c r="K2999" i="2" s="1"/>
  <c r="K3000" i="2" s="1"/>
  <c r="K3001" i="2" s="1"/>
  <c r="K3002" i="2" s="1"/>
  <c r="K3003" i="2" s="1"/>
  <c r="K3004" i="2" s="1"/>
  <c r="K3005" i="2" s="1"/>
  <c r="K3006" i="2" s="1"/>
  <c r="K3007" i="2" s="1"/>
  <c r="K3008" i="2" s="1"/>
  <c r="K3009" i="2" s="1"/>
  <c r="K3010" i="2" s="1"/>
  <c r="K3011" i="2" s="1"/>
  <c r="K3012" i="2" s="1"/>
  <c r="K3013" i="2" s="1"/>
  <c r="K3014" i="2" s="1"/>
  <c r="K3015" i="2" s="1"/>
  <c r="K3016" i="2" s="1"/>
  <c r="K3017" i="2" s="1"/>
  <c r="K3018" i="2" s="1"/>
  <c r="K3019" i="2" s="1"/>
  <c r="K3020" i="2" s="1"/>
  <c r="K3021" i="2" s="1"/>
  <c r="K3022" i="2" s="1"/>
  <c r="K3023" i="2" s="1"/>
  <c r="K3024" i="2" s="1"/>
  <c r="K3025" i="2" s="1"/>
  <c r="K3026" i="2" s="1"/>
  <c r="K3027" i="2" s="1"/>
  <c r="K3028" i="2" s="1"/>
  <c r="K3029" i="2" s="1"/>
  <c r="K3030" i="2" s="1"/>
  <c r="K3031" i="2" s="1"/>
  <c r="K3032" i="2" s="1"/>
  <c r="K3033" i="2" s="1"/>
  <c r="K3034" i="2" s="1"/>
  <c r="K3035" i="2" s="1"/>
  <c r="K3036" i="2" s="1"/>
  <c r="K3037" i="2" s="1"/>
  <c r="K3038" i="2" s="1"/>
  <c r="K3039" i="2" s="1"/>
  <c r="K3040" i="2" s="1"/>
  <c r="K3041" i="2" s="1"/>
  <c r="K3042" i="2" s="1"/>
  <c r="K3043" i="2" s="1"/>
  <c r="K3044" i="2" s="1"/>
  <c r="K3045" i="2" s="1"/>
  <c r="K3046" i="2" s="1"/>
  <c r="K3047" i="2" s="1"/>
  <c r="K3048" i="2" s="1"/>
  <c r="K3049" i="2" s="1"/>
  <c r="K3050" i="2" s="1"/>
  <c r="K3051" i="2" s="1"/>
  <c r="K3052" i="2" s="1"/>
  <c r="K3053" i="2" s="1"/>
  <c r="K3054" i="2" s="1"/>
  <c r="K3055" i="2" s="1"/>
  <c r="K3056" i="2" s="1"/>
  <c r="K3057" i="2" s="1"/>
  <c r="K3058" i="2" s="1"/>
  <c r="K3059" i="2" s="1"/>
  <c r="K3060" i="2" s="1"/>
  <c r="K3061" i="2" s="1"/>
  <c r="K3062" i="2" s="1"/>
  <c r="K3063" i="2" s="1"/>
  <c r="K3064" i="2" s="1"/>
  <c r="K3065" i="2" s="1"/>
  <c r="K3066" i="2" s="1"/>
  <c r="K3067" i="2" s="1"/>
  <c r="K3068" i="2" s="1"/>
  <c r="K3069" i="2" s="1"/>
  <c r="K3070" i="2" s="1"/>
  <c r="K3071" i="2" s="1"/>
  <c r="K3072" i="2" s="1"/>
  <c r="K3073" i="2" s="1"/>
  <c r="K3074" i="2" s="1"/>
  <c r="K3075" i="2" s="1"/>
  <c r="K3076" i="2" s="1"/>
  <c r="K3077" i="2" s="1"/>
  <c r="K3078" i="2" s="1"/>
  <c r="K3079" i="2" s="1"/>
  <c r="K3080" i="2" s="1"/>
  <c r="K3081" i="2" s="1"/>
  <c r="K3082" i="2" s="1"/>
  <c r="K3083" i="2" s="1"/>
  <c r="K3084" i="2" s="1"/>
  <c r="K3085" i="2" s="1"/>
  <c r="K3086" i="2" s="1"/>
  <c r="K3087" i="2" s="1"/>
  <c r="K3088" i="2" s="1"/>
  <c r="K3089" i="2" s="1"/>
  <c r="K3090" i="2" s="1"/>
  <c r="K3091" i="2" s="1"/>
  <c r="K3092" i="2" s="1"/>
  <c r="K3093" i="2" s="1"/>
  <c r="K3094" i="2" s="1"/>
  <c r="K3095" i="2" s="1"/>
  <c r="K3096" i="2" s="1"/>
  <c r="K3097" i="2" s="1"/>
  <c r="K3098" i="2" s="1"/>
  <c r="K3099" i="2" s="1"/>
  <c r="K3100" i="2" s="1"/>
  <c r="K3101" i="2" s="1"/>
  <c r="K3102" i="2" s="1"/>
  <c r="K3103" i="2" s="1"/>
  <c r="K3104" i="2" s="1"/>
  <c r="K3105" i="2" s="1"/>
  <c r="K3106" i="2" s="1"/>
  <c r="K3107" i="2" s="1"/>
  <c r="K3108" i="2" s="1"/>
  <c r="K3109" i="2" s="1"/>
  <c r="K3110" i="2" s="1"/>
  <c r="K3111" i="2" s="1"/>
  <c r="K3112" i="2" s="1"/>
  <c r="K3113" i="2" s="1"/>
  <c r="K3114" i="2" s="1"/>
  <c r="K3115" i="2" s="1"/>
  <c r="K3116" i="2" s="1"/>
  <c r="K3117" i="2" s="1"/>
  <c r="K3118" i="2" s="1"/>
  <c r="K3119" i="2" s="1"/>
  <c r="K3120" i="2" s="1"/>
  <c r="K3121" i="2" s="1"/>
  <c r="K3122" i="2" s="1"/>
  <c r="K3123" i="2" s="1"/>
  <c r="K3124" i="2" s="1"/>
  <c r="K3125" i="2" s="1"/>
  <c r="K3126" i="2" s="1"/>
  <c r="K3127" i="2" s="1"/>
  <c r="K3128" i="2" s="1"/>
  <c r="K3129" i="2" s="1"/>
  <c r="K3130" i="2" s="1"/>
  <c r="K3131" i="2" s="1"/>
  <c r="K3132" i="2" s="1"/>
  <c r="K3133" i="2" s="1"/>
  <c r="K3134" i="2" s="1"/>
  <c r="K3135" i="2" s="1"/>
  <c r="K3136" i="2" s="1"/>
  <c r="K3137" i="2" s="1"/>
  <c r="K3138" i="2" s="1"/>
  <c r="K3139" i="2" s="1"/>
  <c r="K3140" i="2" s="1"/>
  <c r="K3141" i="2" s="1"/>
  <c r="K3142" i="2" s="1"/>
  <c r="K3143" i="2" s="1"/>
  <c r="K3144" i="2" s="1"/>
  <c r="K3145" i="2" s="1"/>
  <c r="K3146" i="2" s="1"/>
  <c r="K3147" i="2" s="1"/>
  <c r="K3148" i="2" s="1"/>
  <c r="K3149" i="2" s="1"/>
  <c r="K3150" i="2" s="1"/>
  <c r="K3151" i="2" s="1"/>
  <c r="K3152" i="2" s="1"/>
  <c r="K3153" i="2" s="1"/>
  <c r="K3154" i="2" s="1"/>
  <c r="K3155" i="2" s="1"/>
  <c r="K3156" i="2" s="1"/>
  <c r="K3157" i="2" s="1"/>
  <c r="K3158" i="2" s="1"/>
  <c r="K3159" i="2" s="1"/>
  <c r="K3160" i="2" s="1"/>
  <c r="K3161" i="2" s="1"/>
  <c r="K3162" i="2" s="1"/>
  <c r="K3163" i="2" s="1"/>
  <c r="K3164" i="2" s="1"/>
  <c r="K3165" i="2" s="1"/>
  <c r="K3166" i="2" s="1"/>
  <c r="K3167" i="2" s="1"/>
  <c r="K3168" i="2" s="1"/>
  <c r="K3169" i="2" s="1"/>
  <c r="K3170" i="2" s="1"/>
  <c r="K3171" i="2" s="1"/>
  <c r="K3172" i="2" s="1"/>
  <c r="K3173" i="2" s="1"/>
  <c r="K3174" i="2" s="1"/>
  <c r="K3175" i="2" s="1"/>
  <c r="K3176" i="2" s="1"/>
  <c r="K3177" i="2" s="1"/>
  <c r="K3178" i="2" s="1"/>
  <c r="K3179" i="2" s="1"/>
  <c r="K3180" i="2" s="1"/>
  <c r="K3181" i="2" s="1"/>
  <c r="K3182" i="2" s="1"/>
  <c r="K3183" i="2" s="1"/>
  <c r="K3184" i="2" s="1"/>
  <c r="K3185" i="2" s="1"/>
  <c r="K3186" i="2" s="1"/>
  <c r="K3187" i="2" s="1"/>
  <c r="K3188" i="2" s="1"/>
  <c r="K3189" i="2" s="1"/>
  <c r="K3190" i="2" s="1"/>
  <c r="K3191" i="2" s="1"/>
  <c r="K3192" i="2" s="1"/>
  <c r="K3193" i="2" s="1"/>
  <c r="K3194" i="2" s="1"/>
  <c r="K3195" i="2" s="1"/>
  <c r="K3196" i="2" s="1"/>
  <c r="K3197" i="2" s="1"/>
  <c r="K3198" i="2" s="1"/>
  <c r="K3199" i="2" s="1"/>
  <c r="K3200" i="2" s="1"/>
  <c r="K3201" i="2" s="1"/>
  <c r="K3202" i="2" s="1"/>
  <c r="K3203" i="2" s="1"/>
  <c r="K3204" i="2" s="1"/>
  <c r="K3205" i="2" s="1"/>
  <c r="K3206" i="2" s="1"/>
  <c r="K3207" i="2" s="1"/>
  <c r="K3208" i="2" s="1"/>
  <c r="K3209" i="2" s="1"/>
  <c r="K3210" i="2" s="1"/>
  <c r="K3211" i="2" s="1"/>
  <c r="K3212" i="2" s="1"/>
  <c r="K3213" i="2" s="1"/>
  <c r="K3214" i="2" s="1"/>
  <c r="K3215" i="2" s="1"/>
  <c r="K3216" i="2" s="1"/>
  <c r="K3217" i="2" s="1"/>
  <c r="K3218" i="2" s="1"/>
  <c r="K3219" i="2" s="1"/>
  <c r="K3220" i="2" s="1"/>
  <c r="K3221" i="2" s="1"/>
  <c r="K3222" i="2" s="1"/>
  <c r="K3223" i="2" s="1"/>
  <c r="K3224" i="2" s="1"/>
  <c r="K3225" i="2" s="1"/>
  <c r="K3226" i="2" s="1"/>
  <c r="K3227" i="2" s="1"/>
  <c r="K3228" i="2" s="1"/>
  <c r="K3229" i="2" s="1"/>
  <c r="K3230" i="2" s="1"/>
  <c r="K3231" i="2" s="1"/>
  <c r="K3232" i="2" s="1"/>
  <c r="K3233" i="2" s="1"/>
  <c r="K3234" i="2" s="1"/>
  <c r="K3235" i="2" s="1"/>
  <c r="K3236" i="2" s="1"/>
  <c r="K3237" i="2" s="1"/>
  <c r="K3238" i="2" s="1"/>
  <c r="K3239" i="2" s="1"/>
  <c r="K3240" i="2" s="1"/>
  <c r="K3241" i="2" s="1"/>
  <c r="K3242" i="2" s="1"/>
  <c r="K3243" i="2" s="1"/>
  <c r="K3244" i="2" s="1"/>
  <c r="K3245" i="2" s="1"/>
  <c r="K3246" i="2" s="1"/>
  <c r="K3247" i="2" s="1"/>
  <c r="K3248" i="2" s="1"/>
  <c r="K3249" i="2" s="1"/>
  <c r="K3250" i="2" s="1"/>
  <c r="K3251" i="2" s="1"/>
  <c r="K3252" i="2" s="1"/>
  <c r="K3253" i="2" s="1"/>
  <c r="K3254" i="2" s="1"/>
  <c r="K3255" i="2" s="1"/>
  <c r="K3256" i="2" s="1"/>
  <c r="K3257" i="2" s="1"/>
  <c r="K3258" i="2" s="1"/>
  <c r="K3259" i="2" s="1"/>
  <c r="K3260" i="2" s="1"/>
  <c r="K3261" i="2" s="1"/>
  <c r="K3262" i="2" s="1"/>
  <c r="K3263" i="2" s="1"/>
  <c r="K3264" i="2" s="1"/>
  <c r="K3265" i="2" s="1"/>
  <c r="K3266" i="2" s="1"/>
  <c r="K3267" i="2" s="1"/>
  <c r="K3268" i="2" s="1"/>
  <c r="K3269" i="2" s="1"/>
  <c r="K3270" i="2" s="1"/>
  <c r="K3271" i="2" s="1"/>
  <c r="K3272" i="2" s="1"/>
  <c r="K3273" i="2" s="1"/>
  <c r="K3274" i="2" s="1"/>
  <c r="K3275" i="2" s="1"/>
  <c r="K3276" i="2" s="1"/>
  <c r="K3277" i="2" s="1"/>
  <c r="K3278" i="2" s="1"/>
  <c r="K3279" i="2" s="1"/>
  <c r="K3280" i="2" s="1"/>
  <c r="K3281" i="2" s="1"/>
  <c r="K3282" i="2" s="1"/>
  <c r="K3283" i="2" s="1"/>
  <c r="K3284" i="2" s="1"/>
  <c r="K3285" i="2" s="1"/>
  <c r="K3286" i="2" s="1"/>
  <c r="K3287" i="2" s="1"/>
  <c r="K3288" i="2" s="1"/>
  <c r="K3289" i="2" s="1"/>
  <c r="K3290" i="2" s="1"/>
  <c r="K3291" i="2" s="1"/>
  <c r="K3292" i="2" s="1"/>
  <c r="K3293" i="2" s="1"/>
  <c r="K3294" i="2" s="1"/>
  <c r="K3295" i="2" s="1"/>
  <c r="K3296" i="2" s="1"/>
  <c r="K3297" i="2" s="1"/>
  <c r="K3298" i="2" s="1"/>
  <c r="K3299" i="2" s="1"/>
  <c r="K3300" i="2" s="1"/>
  <c r="K3301" i="2" s="1"/>
  <c r="K3302" i="2" s="1"/>
  <c r="K3303" i="2" s="1"/>
  <c r="K3304" i="2" s="1"/>
  <c r="K3305" i="2" s="1"/>
  <c r="K3306" i="2" s="1"/>
  <c r="K3307" i="2" s="1"/>
  <c r="K3308" i="2" s="1"/>
  <c r="K3309" i="2" s="1"/>
  <c r="K3310" i="2" s="1"/>
  <c r="K3311" i="2" s="1"/>
  <c r="K3312" i="2" s="1"/>
  <c r="K3313" i="2" s="1"/>
  <c r="K3314" i="2" s="1"/>
  <c r="K3315" i="2" s="1"/>
  <c r="K3316" i="2" s="1"/>
  <c r="K3317" i="2" s="1"/>
  <c r="K3318" i="2" s="1"/>
  <c r="K3319" i="2" s="1"/>
  <c r="K3320" i="2" s="1"/>
  <c r="K3321" i="2" s="1"/>
  <c r="K3322" i="2" s="1"/>
  <c r="K3323" i="2" s="1"/>
  <c r="K3324" i="2" s="1"/>
  <c r="K3325" i="2" s="1"/>
  <c r="K3326" i="2" s="1"/>
  <c r="K3327" i="2" s="1"/>
  <c r="K3328" i="2" s="1"/>
  <c r="K3329" i="2" s="1"/>
  <c r="K3330" i="2" s="1"/>
  <c r="K3331" i="2" s="1"/>
  <c r="K3332" i="2" s="1"/>
  <c r="K3333" i="2" s="1"/>
  <c r="K3334" i="2" s="1"/>
  <c r="K3335" i="2" s="1"/>
  <c r="K3336" i="2" s="1"/>
  <c r="K3337" i="2" s="1"/>
  <c r="K3338" i="2" s="1"/>
  <c r="K3339" i="2" s="1"/>
  <c r="K3340" i="2" s="1"/>
  <c r="K3341" i="2" s="1"/>
  <c r="K3342" i="2" s="1"/>
  <c r="K3343" i="2" s="1"/>
  <c r="K3344" i="2" s="1"/>
  <c r="K3345" i="2" s="1"/>
  <c r="K3346" i="2" s="1"/>
  <c r="K3347" i="2" s="1"/>
  <c r="K3348" i="2" s="1"/>
  <c r="K3349" i="2" s="1"/>
  <c r="K3350" i="2" s="1"/>
  <c r="K3351" i="2" s="1"/>
  <c r="K3352" i="2" s="1"/>
  <c r="K3353" i="2" s="1"/>
  <c r="K3354" i="2" s="1"/>
  <c r="K3355" i="2" s="1"/>
  <c r="K3356" i="2" s="1"/>
  <c r="K3357" i="2" s="1"/>
  <c r="K3358" i="2" s="1"/>
  <c r="K3359" i="2" s="1"/>
  <c r="K3360" i="2" s="1"/>
  <c r="K3361" i="2" s="1"/>
  <c r="K3362" i="2" s="1"/>
  <c r="K3363" i="2" s="1"/>
  <c r="K3364" i="2" s="1"/>
  <c r="K3365" i="2" s="1"/>
  <c r="K3366" i="2" s="1"/>
  <c r="K3367" i="2" s="1"/>
  <c r="K3368" i="2" s="1"/>
  <c r="K3369" i="2" s="1"/>
  <c r="K3370" i="2" s="1"/>
  <c r="K3371" i="2" s="1"/>
  <c r="K3372" i="2" s="1"/>
  <c r="K3373" i="2" s="1"/>
  <c r="K3374" i="2" s="1"/>
  <c r="K3375" i="2" s="1"/>
  <c r="K3376" i="2" s="1"/>
  <c r="K3377" i="2" s="1"/>
  <c r="K3378" i="2" s="1"/>
  <c r="K3379" i="2" s="1"/>
  <c r="K3380" i="2" s="1"/>
  <c r="K3381" i="2" s="1"/>
  <c r="K3382" i="2" s="1"/>
  <c r="K3383" i="2" s="1"/>
  <c r="K3384" i="2" s="1"/>
  <c r="K3385" i="2" s="1"/>
  <c r="K3386" i="2" s="1"/>
  <c r="K3387" i="2" s="1"/>
  <c r="K3388" i="2" s="1"/>
  <c r="K3389" i="2" s="1"/>
  <c r="K3390" i="2" s="1"/>
  <c r="K3391" i="2" s="1"/>
  <c r="K3392" i="2" s="1"/>
  <c r="K3393" i="2" s="1"/>
  <c r="K3394" i="2" s="1"/>
  <c r="K3395" i="2" s="1"/>
  <c r="K3396" i="2" s="1"/>
  <c r="K3397" i="2" s="1"/>
  <c r="K3398" i="2" s="1"/>
  <c r="K3399" i="2" s="1"/>
  <c r="K3400" i="2" s="1"/>
  <c r="K3401" i="2" s="1"/>
  <c r="K3402" i="2" s="1"/>
  <c r="K3403" i="2" s="1"/>
  <c r="K3404" i="2" s="1"/>
  <c r="K3405" i="2" s="1"/>
  <c r="K3406" i="2" s="1"/>
  <c r="K3407" i="2" s="1"/>
  <c r="K3408" i="2" s="1"/>
  <c r="K3409" i="2" s="1"/>
  <c r="K3410" i="2" s="1"/>
  <c r="K3411" i="2" s="1"/>
  <c r="K3412" i="2" s="1"/>
  <c r="K3413" i="2" s="1"/>
  <c r="K3414" i="2" s="1"/>
  <c r="K3415" i="2" s="1"/>
  <c r="K3416" i="2" s="1"/>
  <c r="K3417" i="2" s="1"/>
  <c r="K3418" i="2" s="1"/>
  <c r="K3419" i="2" s="1"/>
  <c r="K3420" i="2" s="1"/>
  <c r="K3421" i="2" s="1"/>
  <c r="K3422" i="2" s="1"/>
  <c r="K3423" i="2" s="1"/>
  <c r="K3424" i="2" s="1"/>
  <c r="K3425" i="2" s="1"/>
  <c r="K3426" i="2" s="1"/>
  <c r="K3427" i="2" s="1"/>
  <c r="K3428" i="2" s="1"/>
  <c r="K3429" i="2" s="1"/>
  <c r="K3430" i="2" s="1"/>
  <c r="K3431" i="2" s="1"/>
  <c r="K3432" i="2" s="1"/>
  <c r="K3433" i="2" s="1"/>
  <c r="K3434" i="2" s="1"/>
  <c r="K3435" i="2" s="1"/>
  <c r="K3436" i="2" s="1"/>
  <c r="K3437" i="2" s="1"/>
  <c r="K3438" i="2" s="1"/>
  <c r="K3439" i="2" s="1"/>
  <c r="K3440" i="2" s="1"/>
  <c r="K3441" i="2" s="1"/>
  <c r="K3442" i="2" s="1"/>
  <c r="K3443" i="2" s="1"/>
  <c r="K3444" i="2" s="1"/>
  <c r="K3445" i="2" s="1"/>
  <c r="K3446" i="2" s="1"/>
  <c r="K3447" i="2" s="1"/>
  <c r="K3448" i="2" s="1"/>
  <c r="K3449" i="2" s="1"/>
  <c r="K3450" i="2" s="1"/>
  <c r="K3451" i="2" s="1"/>
  <c r="K3452" i="2" s="1"/>
  <c r="K3453" i="2" s="1"/>
  <c r="K3454" i="2" s="1"/>
  <c r="K3455" i="2" s="1"/>
  <c r="K3456" i="2" s="1"/>
  <c r="K3457" i="2" s="1"/>
  <c r="K3458" i="2" s="1"/>
  <c r="K3459" i="2" s="1"/>
  <c r="K3460" i="2" s="1"/>
  <c r="K3461" i="2" s="1"/>
  <c r="K3462" i="2" s="1"/>
  <c r="K3463" i="2" s="1"/>
  <c r="K3464" i="2" s="1"/>
  <c r="K3465" i="2" s="1"/>
  <c r="K3466" i="2" s="1"/>
  <c r="K3467" i="2" s="1"/>
  <c r="K3468" i="2" s="1"/>
  <c r="K3469" i="2" s="1"/>
  <c r="K3470" i="2" s="1"/>
  <c r="K3471" i="2" s="1"/>
  <c r="K3472" i="2" s="1"/>
  <c r="K3473" i="2" s="1"/>
  <c r="K3474" i="2" s="1"/>
  <c r="K3475" i="2" s="1"/>
  <c r="K3476" i="2" s="1"/>
  <c r="K3477" i="2" s="1"/>
  <c r="K3478" i="2" s="1"/>
  <c r="K3479" i="2" s="1"/>
  <c r="K3480" i="2" s="1"/>
  <c r="K3481" i="2" s="1"/>
  <c r="K3482" i="2" s="1"/>
  <c r="K3483" i="2" s="1"/>
  <c r="K3484" i="2" s="1"/>
  <c r="K3485" i="2" s="1"/>
  <c r="K3486" i="2" s="1"/>
  <c r="K3487" i="2" s="1"/>
  <c r="K3488" i="2" s="1"/>
  <c r="K3489" i="2" s="1"/>
  <c r="K3490" i="2" s="1"/>
  <c r="K3491" i="2" s="1"/>
  <c r="K3492" i="2" s="1"/>
  <c r="K3493" i="2" s="1"/>
  <c r="K3494" i="2" s="1"/>
  <c r="K3495" i="2" s="1"/>
  <c r="K3496" i="2" s="1"/>
  <c r="K3497" i="2" s="1"/>
  <c r="K3498" i="2" s="1"/>
  <c r="K3499" i="2" s="1"/>
  <c r="K3500" i="2" s="1"/>
  <c r="K3501" i="2" s="1"/>
  <c r="K3502" i="2" s="1"/>
  <c r="K3503" i="2" s="1"/>
  <c r="K3504" i="2" s="1"/>
  <c r="K3505" i="2" s="1"/>
  <c r="K3506" i="2" s="1"/>
  <c r="K3507" i="2" s="1"/>
  <c r="K3508" i="2" s="1"/>
  <c r="K3509" i="2" s="1"/>
  <c r="K3510" i="2" s="1"/>
  <c r="K3511" i="2" s="1"/>
  <c r="K3512" i="2" s="1"/>
  <c r="K3513" i="2" s="1"/>
  <c r="K3514" i="2" s="1"/>
  <c r="K3515" i="2" s="1"/>
  <c r="K3516" i="2" s="1"/>
  <c r="K3517" i="2" s="1"/>
  <c r="K3518" i="2" s="1"/>
  <c r="K3519" i="2" s="1"/>
  <c r="K3520" i="2" s="1"/>
  <c r="K3521" i="2" s="1"/>
  <c r="K3522" i="2" s="1"/>
  <c r="K3523" i="2" s="1"/>
  <c r="K3524" i="2" s="1"/>
  <c r="K3525" i="2" s="1"/>
  <c r="K3526" i="2" s="1"/>
  <c r="K3527" i="2" s="1"/>
  <c r="K3528" i="2" s="1"/>
  <c r="K3529" i="2" s="1"/>
  <c r="K3530" i="2" s="1"/>
  <c r="K3531" i="2" s="1"/>
  <c r="K3532" i="2" s="1"/>
  <c r="K3533" i="2" s="1"/>
  <c r="K3534" i="2" s="1"/>
  <c r="K3535" i="2" s="1"/>
  <c r="K3536" i="2" s="1"/>
  <c r="K3537" i="2" s="1"/>
  <c r="K3538" i="2" s="1"/>
  <c r="K3539" i="2" s="1"/>
  <c r="K3540" i="2" s="1"/>
  <c r="K3541" i="2" s="1"/>
  <c r="K3542" i="2" s="1"/>
  <c r="K3543" i="2" s="1"/>
  <c r="K3544" i="2" s="1"/>
  <c r="K3545" i="2" s="1"/>
  <c r="K3546" i="2" s="1"/>
  <c r="K3547" i="2" s="1"/>
  <c r="K3548" i="2" s="1"/>
  <c r="K3549" i="2" s="1"/>
  <c r="K3550" i="2" s="1"/>
  <c r="K3551" i="2" s="1"/>
  <c r="K3552" i="2" s="1"/>
  <c r="K3553" i="2" s="1"/>
  <c r="K3554" i="2" s="1"/>
  <c r="K3555" i="2" s="1"/>
  <c r="K3556" i="2" s="1"/>
  <c r="K3557" i="2" s="1"/>
  <c r="K3558" i="2" s="1"/>
  <c r="K3559" i="2" s="1"/>
  <c r="K3560" i="2" s="1"/>
  <c r="K3561" i="2" s="1"/>
  <c r="K3562" i="2" s="1"/>
  <c r="K3563" i="2" s="1"/>
  <c r="K3564" i="2" s="1"/>
  <c r="K3565" i="2" s="1"/>
  <c r="K3566" i="2" s="1"/>
  <c r="K3567" i="2" s="1"/>
  <c r="K3568" i="2" s="1"/>
  <c r="K3569" i="2" s="1"/>
  <c r="K3570" i="2" s="1"/>
  <c r="K3571" i="2" s="1"/>
  <c r="K3572" i="2" s="1"/>
  <c r="K3573" i="2" s="1"/>
  <c r="K3574" i="2" s="1"/>
  <c r="K3575" i="2" s="1"/>
  <c r="K3576" i="2" s="1"/>
  <c r="K3577" i="2" s="1"/>
  <c r="K3578" i="2" s="1"/>
  <c r="K3579" i="2" s="1"/>
  <c r="K3580" i="2" s="1"/>
  <c r="K3581" i="2" s="1"/>
  <c r="K3582" i="2" s="1"/>
  <c r="K3583" i="2" s="1"/>
  <c r="K3584" i="2" s="1"/>
  <c r="K3585" i="2" s="1"/>
  <c r="K3586" i="2" s="1"/>
  <c r="K3587" i="2" s="1"/>
  <c r="K3588" i="2" s="1"/>
  <c r="K3589" i="2" s="1"/>
  <c r="K3590" i="2" s="1"/>
  <c r="K3591" i="2" s="1"/>
  <c r="K3592" i="2" s="1"/>
  <c r="K3593" i="2" s="1"/>
  <c r="K3594" i="2" s="1"/>
  <c r="K3595" i="2" s="1"/>
  <c r="K3596" i="2" s="1"/>
  <c r="K3597" i="2" s="1"/>
  <c r="K3598" i="2" s="1"/>
  <c r="K3599" i="2" s="1"/>
  <c r="K3600" i="2" s="1"/>
  <c r="K3601" i="2" s="1"/>
  <c r="K3602" i="2" s="1"/>
  <c r="K3603" i="2" s="1"/>
  <c r="K3604" i="2" s="1"/>
  <c r="K3605" i="2" s="1"/>
  <c r="K3606" i="2" s="1"/>
  <c r="K3607" i="2" s="1"/>
  <c r="K3608" i="2" s="1"/>
  <c r="K3609" i="2" s="1"/>
  <c r="K3610" i="2" s="1"/>
  <c r="K3611" i="2" s="1"/>
  <c r="K3612" i="2" s="1"/>
  <c r="K3613" i="2" s="1"/>
  <c r="K3614" i="2" s="1"/>
  <c r="K3615" i="2" s="1"/>
  <c r="K3616" i="2" s="1"/>
  <c r="K3617" i="2" s="1"/>
  <c r="K3618" i="2" s="1"/>
  <c r="K3619" i="2" s="1"/>
  <c r="K3620" i="2" s="1"/>
  <c r="K3621" i="2" s="1"/>
  <c r="K3622" i="2" s="1"/>
  <c r="K3623" i="2" s="1"/>
  <c r="K3624" i="2" s="1"/>
  <c r="K3625" i="2" s="1"/>
  <c r="K3626" i="2" s="1"/>
  <c r="K3627" i="2" s="1"/>
  <c r="K3628" i="2" s="1"/>
  <c r="K3629" i="2" s="1"/>
  <c r="K3630" i="2" s="1"/>
  <c r="K3631" i="2" s="1"/>
  <c r="K3632" i="2" s="1"/>
  <c r="K3633" i="2" s="1"/>
  <c r="K3634" i="2" s="1"/>
  <c r="K3635" i="2" s="1"/>
  <c r="K3636" i="2" s="1"/>
  <c r="K3637" i="2" s="1"/>
  <c r="K3638" i="2" s="1"/>
  <c r="K3639" i="2" s="1"/>
  <c r="K3640" i="2" s="1"/>
  <c r="K3641" i="2" s="1"/>
  <c r="K3642" i="2" s="1"/>
  <c r="K3643" i="2" s="1"/>
  <c r="K3644" i="2" s="1"/>
  <c r="K3645" i="2" s="1"/>
  <c r="K3646" i="2" s="1"/>
  <c r="K3647" i="2" s="1"/>
  <c r="K3648" i="2" s="1"/>
  <c r="K3649" i="2" s="1"/>
  <c r="K3650" i="2" s="1"/>
  <c r="K3651" i="2" s="1"/>
  <c r="K3652" i="2" s="1"/>
  <c r="K3653" i="2" s="1"/>
  <c r="K3654" i="2" s="1"/>
  <c r="K3655" i="2" s="1"/>
  <c r="K3656" i="2" s="1"/>
  <c r="K3657" i="2" s="1"/>
  <c r="K3658" i="2" s="1"/>
  <c r="K3659" i="2" s="1"/>
  <c r="K3660" i="2" s="1"/>
  <c r="K3661" i="2" s="1"/>
  <c r="K3662" i="2" s="1"/>
  <c r="K3663" i="2" s="1"/>
  <c r="K3664" i="2" s="1"/>
  <c r="K3665" i="2" s="1"/>
  <c r="K3666" i="2" s="1"/>
  <c r="K3667" i="2" s="1"/>
  <c r="K3668" i="2" s="1"/>
  <c r="K3669" i="2" s="1"/>
  <c r="K3670" i="2" s="1"/>
  <c r="K3671" i="2" s="1"/>
  <c r="K3672" i="2" s="1"/>
  <c r="K3673" i="2" s="1"/>
  <c r="K3674" i="2" s="1"/>
  <c r="K3675" i="2" s="1"/>
  <c r="K3676" i="2" s="1"/>
  <c r="K3677" i="2" s="1"/>
  <c r="K3678" i="2" s="1"/>
  <c r="K3679" i="2" s="1"/>
  <c r="K3680" i="2" s="1"/>
  <c r="K3681" i="2" s="1"/>
  <c r="K3682" i="2" s="1"/>
  <c r="K3683" i="2" s="1"/>
  <c r="K3684" i="2" s="1"/>
  <c r="K3685" i="2" s="1"/>
  <c r="K3686" i="2" s="1"/>
  <c r="K3687" i="2" s="1"/>
  <c r="K3688" i="2" s="1"/>
  <c r="K3689" i="2" s="1"/>
  <c r="K3690" i="2" s="1"/>
  <c r="K3691" i="2" s="1"/>
  <c r="K3692" i="2" s="1"/>
  <c r="K3693" i="2" s="1"/>
  <c r="K3694" i="2" s="1"/>
  <c r="K3695" i="2" s="1"/>
  <c r="K3696" i="2" s="1"/>
  <c r="K3697" i="2" s="1"/>
  <c r="K3698" i="2" s="1"/>
  <c r="K3699" i="2" s="1"/>
  <c r="K3700" i="2" s="1"/>
  <c r="K3701" i="2" s="1"/>
  <c r="K3702" i="2" s="1"/>
  <c r="K3703" i="2" s="1"/>
  <c r="K3704" i="2" s="1"/>
  <c r="K3705" i="2" s="1"/>
  <c r="K3706" i="2" s="1"/>
  <c r="K3707" i="2" s="1"/>
  <c r="K3708" i="2" s="1"/>
  <c r="K3709" i="2" s="1"/>
  <c r="K3710" i="2" s="1"/>
  <c r="K3711" i="2" s="1"/>
  <c r="K3712" i="2" s="1"/>
  <c r="K3713" i="2" s="1"/>
  <c r="K3714" i="2" s="1"/>
  <c r="K3715" i="2" s="1"/>
  <c r="K3716" i="2" s="1"/>
  <c r="K3717" i="2" s="1"/>
  <c r="K3718" i="2" s="1"/>
  <c r="K3719" i="2" s="1"/>
  <c r="K3720" i="2" s="1"/>
  <c r="K3721" i="2" s="1"/>
  <c r="K3722" i="2" s="1"/>
  <c r="K3723" i="2" s="1"/>
  <c r="K3724" i="2" s="1"/>
  <c r="K3725" i="2" s="1"/>
  <c r="K3726" i="2" s="1"/>
  <c r="K3727" i="2" s="1"/>
  <c r="K3728" i="2" s="1"/>
  <c r="K3729" i="2" s="1"/>
  <c r="K3730" i="2" s="1"/>
  <c r="K3731" i="2" s="1"/>
  <c r="K3732" i="2" s="1"/>
  <c r="K3733" i="2" s="1"/>
  <c r="K3734" i="2" s="1"/>
  <c r="K3735" i="2" s="1"/>
  <c r="K3736" i="2" s="1"/>
  <c r="K3737" i="2" s="1"/>
  <c r="K3738" i="2" s="1"/>
  <c r="K3739" i="2" s="1"/>
  <c r="K3740" i="2" s="1"/>
  <c r="K3741" i="2" s="1"/>
  <c r="K3742" i="2" s="1"/>
  <c r="K3743" i="2" s="1"/>
  <c r="K3744" i="2" s="1"/>
  <c r="K3745" i="2" s="1"/>
  <c r="K3746" i="2" s="1"/>
  <c r="K3747" i="2" s="1"/>
  <c r="K3748" i="2" s="1"/>
  <c r="K3749" i="2" s="1"/>
  <c r="K3750" i="2" s="1"/>
  <c r="K3751" i="2" s="1"/>
  <c r="K3752" i="2" s="1"/>
  <c r="K3753" i="2" s="1"/>
  <c r="K3754" i="2" s="1"/>
  <c r="K3755" i="2" s="1"/>
  <c r="K3756" i="2" s="1"/>
  <c r="K3757" i="2" s="1"/>
  <c r="K3758" i="2" s="1"/>
  <c r="K3759" i="2" s="1"/>
  <c r="K3760" i="2" s="1"/>
  <c r="K3761" i="2" s="1"/>
  <c r="K3762" i="2" s="1"/>
  <c r="K3763" i="2" s="1"/>
  <c r="K3764" i="2" s="1"/>
  <c r="K3765" i="2" s="1"/>
  <c r="K3766" i="2" s="1"/>
  <c r="K3767" i="2" s="1"/>
  <c r="K3768" i="2" s="1"/>
  <c r="K3769" i="2" s="1"/>
  <c r="K3770" i="2" s="1"/>
  <c r="K3771" i="2" s="1"/>
  <c r="K3772" i="2" s="1"/>
  <c r="K3773" i="2" s="1"/>
  <c r="K3774" i="2" s="1"/>
  <c r="K3775" i="2" s="1"/>
  <c r="K3776" i="2" s="1"/>
  <c r="K3777" i="2" s="1"/>
  <c r="K3778" i="2" s="1"/>
  <c r="K3779" i="2" s="1"/>
  <c r="K3780" i="2" s="1"/>
  <c r="K3781" i="2" s="1"/>
  <c r="K3782" i="2" s="1"/>
  <c r="K3783" i="2" s="1"/>
  <c r="K3784" i="2" s="1"/>
  <c r="K3785" i="2" s="1"/>
  <c r="K3786" i="2" s="1"/>
  <c r="K3787" i="2" s="1"/>
  <c r="K3788" i="2" s="1"/>
  <c r="K3789" i="2" s="1"/>
  <c r="K3790" i="2" s="1"/>
  <c r="K3791" i="2" s="1"/>
  <c r="K3792" i="2" s="1"/>
  <c r="K3793" i="2" s="1"/>
  <c r="K3794" i="2" s="1"/>
  <c r="K3795" i="2" s="1"/>
  <c r="K3796" i="2" s="1"/>
  <c r="K3797" i="2" s="1"/>
  <c r="K3798" i="2" s="1"/>
  <c r="K3799" i="2" s="1"/>
  <c r="K3800" i="2" s="1"/>
  <c r="K3801" i="2" s="1"/>
  <c r="K3802" i="2" s="1"/>
  <c r="K3803" i="2" s="1"/>
  <c r="K3804" i="2" s="1"/>
  <c r="K3805" i="2" s="1"/>
  <c r="K3806" i="2" s="1"/>
  <c r="K3807" i="2" s="1"/>
  <c r="K3808" i="2" s="1"/>
  <c r="K3809" i="2" s="1"/>
  <c r="K3810" i="2" s="1"/>
  <c r="K3811" i="2" s="1"/>
  <c r="K3812" i="2" s="1"/>
  <c r="K3813" i="2" s="1"/>
  <c r="K3814" i="2" s="1"/>
  <c r="K3815" i="2" s="1"/>
  <c r="K3816" i="2" s="1"/>
  <c r="K3817" i="2" s="1"/>
  <c r="K3818" i="2" s="1"/>
  <c r="K3819" i="2" s="1"/>
  <c r="K3820" i="2" s="1"/>
  <c r="K3821" i="2" s="1"/>
  <c r="K3822" i="2" s="1"/>
  <c r="K3823" i="2" s="1"/>
  <c r="K3824" i="2" s="1"/>
  <c r="K3825" i="2" s="1"/>
  <c r="K3826" i="2" s="1"/>
  <c r="K3827" i="2" s="1"/>
  <c r="K3828" i="2" s="1"/>
  <c r="K3829" i="2" s="1"/>
  <c r="K3830" i="2" s="1"/>
  <c r="K3831" i="2" s="1"/>
  <c r="K3832" i="2" s="1"/>
  <c r="K3833" i="2" s="1"/>
  <c r="K3834" i="2" s="1"/>
  <c r="K3835" i="2" s="1"/>
  <c r="K3836" i="2" s="1"/>
  <c r="K3837" i="2" s="1"/>
  <c r="K3838" i="2" s="1"/>
  <c r="K3839" i="2" s="1"/>
  <c r="K3840" i="2" s="1"/>
  <c r="K3841" i="2" s="1"/>
  <c r="K3842" i="2" s="1"/>
  <c r="K3843" i="2" s="1"/>
  <c r="K3844" i="2" s="1"/>
  <c r="K3845" i="2" s="1"/>
  <c r="K3846" i="2" s="1"/>
  <c r="K3847" i="2" s="1"/>
  <c r="K3848" i="2" s="1"/>
  <c r="K3849" i="2" s="1"/>
  <c r="K3850" i="2" s="1"/>
  <c r="K3851" i="2" s="1"/>
  <c r="K3852" i="2" s="1"/>
  <c r="K3853" i="2" s="1"/>
  <c r="K3854" i="2" s="1"/>
  <c r="K3855" i="2" s="1"/>
  <c r="K3856" i="2" s="1"/>
  <c r="K3857" i="2" s="1"/>
  <c r="K3858" i="2" s="1"/>
  <c r="K3859" i="2" s="1"/>
  <c r="K3860" i="2" s="1"/>
  <c r="K3861" i="2" s="1"/>
  <c r="K3862" i="2" s="1"/>
  <c r="K3863" i="2" s="1"/>
  <c r="K3864" i="2" s="1"/>
  <c r="K3865" i="2" s="1"/>
  <c r="K3866" i="2" s="1"/>
  <c r="K3867" i="2" s="1"/>
  <c r="K3868" i="2" s="1"/>
  <c r="K3869" i="2" s="1"/>
  <c r="K3870" i="2" s="1"/>
  <c r="K3871" i="2" s="1"/>
  <c r="K3872" i="2" s="1"/>
  <c r="K3873" i="2" s="1"/>
  <c r="K3874" i="2" s="1"/>
  <c r="K3875" i="2" s="1"/>
  <c r="K3876" i="2" s="1"/>
  <c r="K3877" i="2" s="1"/>
  <c r="K3878" i="2" s="1"/>
  <c r="K3879" i="2" s="1"/>
  <c r="K3880" i="2" s="1"/>
  <c r="K3881" i="2" s="1"/>
  <c r="K3882" i="2" s="1"/>
  <c r="K3883" i="2" s="1"/>
  <c r="K3884" i="2" s="1"/>
  <c r="K3885" i="2" s="1"/>
  <c r="K3886" i="2" s="1"/>
  <c r="K3887" i="2" s="1"/>
  <c r="K3888" i="2" s="1"/>
  <c r="K3889" i="2" s="1"/>
  <c r="K3890" i="2" s="1"/>
  <c r="K3891" i="2" s="1"/>
  <c r="K3892" i="2" s="1"/>
  <c r="K3893" i="2" s="1"/>
  <c r="K3894" i="2" s="1"/>
  <c r="K3895" i="2" s="1"/>
  <c r="K3896" i="2" s="1"/>
  <c r="K3897" i="2" s="1"/>
  <c r="K3898" i="2" s="1"/>
  <c r="K3899" i="2" s="1"/>
  <c r="K3900" i="2" s="1"/>
  <c r="K3901" i="2" s="1"/>
  <c r="K3902" i="2" s="1"/>
  <c r="K3903" i="2" s="1"/>
  <c r="K3904" i="2" s="1"/>
  <c r="K3905" i="2" s="1"/>
  <c r="K3906" i="2" s="1"/>
  <c r="K3907" i="2" s="1"/>
  <c r="K3908" i="2" s="1"/>
  <c r="K3909" i="2" s="1"/>
  <c r="K3910" i="2" s="1"/>
  <c r="K3911" i="2" s="1"/>
  <c r="K3912" i="2" s="1"/>
  <c r="K3913" i="2" s="1"/>
  <c r="K3914" i="2" s="1"/>
  <c r="K3915" i="2" s="1"/>
  <c r="K3916" i="2" s="1"/>
  <c r="K3917" i="2" s="1"/>
  <c r="K3918" i="2" s="1"/>
  <c r="K3919" i="2" s="1"/>
  <c r="K3920" i="2" s="1"/>
  <c r="K3921" i="2" s="1"/>
  <c r="K3922" i="2" s="1"/>
  <c r="K3923" i="2" s="1"/>
  <c r="K3924" i="2" s="1"/>
  <c r="K3925" i="2" s="1"/>
  <c r="K3926" i="2" s="1"/>
  <c r="K3927" i="2" s="1"/>
  <c r="K3928" i="2" s="1"/>
  <c r="K3929" i="2" s="1"/>
  <c r="K3930" i="2" s="1"/>
  <c r="K3931" i="2" s="1"/>
  <c r="K3932" i="2" s="1"/>
  <c r="K3933" i="2" s="1"/>
  <c r="K3934" i="2" s="1"/>
  <c r="K3935" i="2" s="1"/>
  <c r="K3936" i="2" s="1"/>
  <c r="K3937" i="2" s="1"/>
  <c r="K3938" i="2" s="1"/>
  <c r="K3939" i="2" s="1"/>
  <c r="K3940" i="2" s="1"/>
  <c r="K3941" i="2" s="1"/>
  <c r="K3942" i="2" s="1"/>
  <c r="K3943" i="2" s="1"/>
  <c r="K3944" i="2" s="1"/>
  <c r="K3945" i="2" s="1"/>
  <c r="K3946" i="2" s="1"/>
  <c r="K3947" i="2" s="1"/>
  <c r="K3948" i="2" s="1"/>
  <c r="K3949" i="2" s="1"/>
  <c r="K3950" i="2" s="1"/>
  <c r="K3951" i="2" s="1"/>
  <c r="K3952" i="2" s="1"/>
  <c r="K3953" i="2" s="1"/>
  <c r="K3954" i="2" s="1"/>
  <c r="K3955" i="2" s="1"/>
  <c r="K3956" i="2" s="1"/>
  <c r="K3957" i="2" s="1"/>
  <c r="K3958" i="2" s="1"/>
  <c r="K3959" i="2" s="1"/>
  <c r="K3960" i="2" s="1"/>
  <c r="K3961" i="2" s="1"/>
  <c r="K3962" i="2" s="1"/>
  <c r="K3963" i="2" s="1"/>
  <c r="K3964" i="2" s="1"/>
  <c r="K3965" i="2" s="1"/>
  <c r="K3966" i="2" s="1"/>
  <c r="K3967" i="2" s="1"/>
  <c r="K3968" i="2" s="1"/>
  <c r="K3969" i="2" s="1"/>
  <c r="K3970" i="2" s="1"/>
  <c r="K3971" i="2" s="1"/>
  <c r="K3972" i="2" s="1"/>
  <c r="K3973" i="2" s="1"/>
  <c r="K3974" i="2" s="1"/>
  <c r="K3975" i="2" s="1"/>
  <c r="K3976" i="2" s="1"/>
  <c r="K3977" i="2" s="1"/>
  <c r="K3978" i="2" s="1"/>
  <c r="K3979" i="2" s="1"/>
  <c r="K3980" i="2" s="1"/>
  <c r="K3981" i="2" s="1"/>
  <c r="K3982" i="2" s="1"/>
  <c r="K3983" i="2" s="1"/>
  <c r="K3984" i="2" s="1"/>
  <c r="K3985" i="2" s="1"/>
  <c r="K3986" i="2" s="1"/>
  <c r="K3987" i="2" s="1"/>
  <c r="K3988" i="2" s="1"/>
  <c r="K3989" i="2" s="1"/>
  <c r="K3990" i="2" s="1"/>
  <c r="K3991" i="2" s="1"/>
  <c r="K3992" i="2" s="1"/>
  <c r="K3993" i="2" s="1"/>
  <c r="K3994" i="2" s="1"/>
  <c r="K3995" i="2" s="1"/>
  <c r="K3996" i="2" s="1"/>
  <c r="K3997" i="2" s="1"/>
  <c r="K3998" i="2" s="1"/>
  <c r="K3999" i="2" s="1"/>
  <c r="K4000" i="2" s="1"/>
  <c r="K4001" i="2" s="1"/>
  <c r="K4002" i="2" s="1"/>
  <c r="K4003" i="2" s="1"/>
  <c r="K4004" i="2" s="1"/>
  <c r="K4005" i="2" s="1"/>
  <c r="K4006" i="2" s="1"/>
  <c r="K4007" i="2" s="1"/>
  <c r="K4008" i="2" s="1"/>
  <c r="K4009" i="2" s="1"/>
  <c r="K4010" i="2" s="1"/>
  <c r="K4011" i="2" s="1"/>
  <c r="K4012" i="2" s="1"/>
  <c r="K4013" i="2" s="1"/>
  <c r="K4014" i="2" s="1"/>
  <c r="K4015" i="2" s="1"/>
  <c r="K4016" i="2" s="1"/>
  <c r="K4017" i="2" s="1"/>
  <c r="K4018" i="2" s="1"/>
  <c r="K4019" i="2" s="1"/>
  <c r="K4020" i="2" s="1"/>
  <c r="K4021" i="2" s="1"/>
  <c r="K4022" i="2" s="1"/>
  <c r="K4023" i="2" s="1"/>
  <c r="K4024" i="2" s="1"/>
  <c r="K4025" i="2" s="1"/>
  <c r="K4026" i="2" s="1"/>
  <c r="K4027" i="2" s="1"/>
  <c r="K4028" i="2" s="1"/>
  <c r="K4029" i="2" s="1"/>
  <c r="K4030" i="2" s="1"/>
  <c r="K4031" i="2" s="1"/>
  <c r="K4032" i="2" s="1"/>
  <c r="K4033" i="2" s="1"/>
  <c r="K4034" i="2" s="1"/>
  <c r="K4035" i="2" s="1"/>
  <c r="K4036" i="2" s="1"/>
  <c r="K4037" i="2" s="1"/>
  <c r="K4038" i="2" s="1"/>
  <c r="K4039" i="2" s="1"/>
  <c r="K4040" i="2" s="1"/>
  <c r="K4041" i="2" s="1"/>
  <c r="K4042" i="2" s="1"/>
  <c r="K4043" i="2" s="1"/>
  <c r="K4044" i="2" s="1"/>
  <c r="K4045" i="2" s="1"/>
  <c r="K4046" i="2" s="1"/>
  <c r="K4047" i="2" s="1"/>
  <c r="K4048" i="2" s="1"/>
  <c r="K4049" i="2" s="1"/>
  <c r="K4050" i="2" s="1"/>
  <c r="K4051" i="2" s="1"/>
  <c r="K4052" i="2" s="1"/>
  <c r="K4053" i="2" s="1"/>
  <c r="K4054" i="2" s="1"/>
  <c r="K4055" i="2" s="1"/>
  <c r="K4056" i="2" s="1"/>
  <c r="K4057" i="2" s="1"/>
  <c r="K4058" i="2" s="1"/>
  <c r="K4059" i="2" s="1"/>
  <c r="K4060" i="2" s="1"/>
  <c r="K4061" i="2" s="1"/>
  <c r="K4062" i="2" s="1"/>
  <c r="K4063" i="2" s="1"/>
  <c r="K4064" i="2" s="1"/>
  <c r="K4065" i="2" s="1"/>
  <c r="K4066" i="2" s="1"/>
  <c r="K4067" i="2" s="1"/>
  <c r="K4068" i="2" s="1"/>
  <c r="K4069" i="2" s="1"/>
  <c r="K4070" i="2" s="1"/>
  <c r="K4071" i="2" s="1"/>
  <c r="K4072" i="2" s="1"/>
  <c r="K4073" i="2" s="1"/>
  <c r="K4074" i="2" s="1"/>
  <c r="K4075" i="2" s="1"/>
  <c r="K4076" i="2" s="1"/>
  <c r="K4077" i="2" s="1"/>
  <c r="K4078" i="2" s="1"/>
  <c r="K4079" i="2" s="1"/>
  <c r="K4080" i="2" s="1"/>
  <c r="K4081" i="2" s="1"/>
  <c r="K4082" i="2" s="1"/>
  <c r="K4083" i="2" s="1"/>
  <c r="K4084" i="2" s="1"/>
  <c r="K4085" i="2" s="1"/>
  <c r="K4086" i="2" s="1"/>
  <c r="K4087" i="2" s="1"/>
  <c r="K4088" i="2" s="1"/>
  <c r="K4089" i="2" s="1"/>
  <c r="K4090" i="2" s="1"/>
  <c r="K4091" i="2" s="1"/>
  <c r="K4092" i="2" s="1"/>
  <c r="K4093" i="2" s="1"/>
  <c r="K4094" i="2" s="1"/>
  <c r="K4095" i="2" s="1"/>
  <c r="K4096" i="2" s="1"/>
  <c r="K4097" i="2" s="1"/>
  <c r="K4098" i="2" s="1"/>
  <c r="K4099" i="2" s="1"/>
  <c r="K4100" i="2" s="1"/>
  <c r="K4101" i="2" s="1"/>
  <c r="K4102" i="2" s="1"/>
  <c r="K4103" i="2" s="1"/>
  <c r="K4104" i="2" s="1"/>
  <c r="K4105" i="2" s="1"/>
  <c r="K4106" i="2" s="1"/>
  <c r="K4107" i="2" s="1"/>
  <c r="K4108" i="2" s="1"/>
  <c r="K4109" i="2" s="1"/>
  <c r="K4110" i="2" s="1"/>
  <c r="K4111" i="2" s="1"/>
  <c r="K4112" i="2" s="1"/>
  <c r="K4113" i="2" s="1"/>
  <c r="K4114" i="2" s="1"/>
  <c r="K4115" i="2" s="1"/>
  <c r="K4116" i="2" s="1"/>
  <c r="K4117" i="2" s="1"/>
  <c r="K4118" i="2" s="1"/>
  <c r="K4119" i="2" s="1"/>
  <c r="K4120" i="2" s="1"/>
  <c r="K4121" i="2" s="1"/>
  <c r="K4122" i="2" s="1"/>
  <c r="K4123" i="2" s="1"/>
  <c r="K4124" i="2" s="1"/>
  <c r="K4125" i="2" s="1"/>
  <c r="K4126" i="2" s="1"/>
  <c r="K4127" i="2" s="1"/>
  <c r="K4128" i="2" s="1"/>
  <c r="K4129" i="2" s="1"/>
  <c r="K4130" i="2" s="1"/>
  <c r="K4131" i="2" s="1"/>
  <c r="K4132" i="2" s="1"/>
  <c r="K4133" i="2" s="1"/>
  <c r="K4134" i="2" s="1"/>
  <c r="K4135" i="2" s="1"/>
  <c r="K4136" i="2" s="1"/>
  <c r="K4137" i="2" s="1"/>
  <c r="K4138" i="2" s="1"/>
  <c r="K4139" i="2" s="1"/>
  <c r="K4140" i="2" s="1"/>
  <c r="K4141" i="2" s="1"/>
  <c r="K4142" i="2" s="1"/>
  <c r="K4143" i="2" s="1"/>
  <c r="K4144" i="2" s="1"/>
  <c r="K4145" i="2" s="1"/>
  <c r="K4146" i="2" s="1"/>
  <c r="K4147" i="2" s="1"/>
  <c r="K4148" i="2" s="1"/>
  <c r="K4149" i="2" s="1"/>
  <c r="K4150" i="2" s="1"/>
  <c r="K4151" i="2" s="1"/>
  <c r="K4152" i="2" s="1"/>
  <c r="K4153" i="2" s="1"/>
  <c r="K4154" i="2" s="1"/>
  <c r="K4155" i="2" s="1"/>
  <c r="K4156" i="2" s="1"/>
  <c r="K4157" i="2" s="1"/>
  <c r="K4158" i="2" s="1"/>
  <c r="K4159" i="2" s="1"/>
  <c r="K4160" i="2" s="1"/>
  <c r="K4161" i="2" s="1"/>
  <c r="K4162" i="2" s="1"/>
  <c r="K4163" i="2" s="1"/>
  <c r="K4164" i="2" s="1"/>
  <c r="K4165" i="2" s="1"/>
  <c r="K4166" i="2" s="1"/>
  <c r="K4167" i="2" s="1"/>
  <c r="K4168" i="2" s="1"/>
  <c r="K4169" i="2" s="1"/>
  <c r="K4170" i="2" s="1"/>
  <c r="K4171" i="2" s="1"/>
  <c r="K4172" i="2" s="1"/>
  <c r="K4173" i="2" s="1"/>
  <c r="K4174" i="2" s="1"/>
  <c r="K4175" i="2" s="1"/>
  <c r="K4176" i="2" s="1"/>
  <c r="K4177" i="2" s="1"/>
  <c r="K4178" i="2" s="1"/>
  <c r="K4179" i="2" s="1"/>
  <c r="K4180" i="2" s="1"/>
  <c r="K4181" i="2" s="1"/>
  <c r="K4182" i="2" s="1"/>
  <c r="K4183" i="2" s="1"/>
  <c r="K4184" i="2" s="1"/>
  <c r="K4185" i="2" s="1"/>
  <c r="K4186" i="2" s="1"/>
  <c r="K4187" i="2" s="1"/>
  <c r="K4188" i="2" s="1"/>
  <c r="K4189" i="2" s="1"/>
  <c r="K4190" i="2" s="1"/>
  <c r="K4191" i="2" s="1"/>
  <c r="K4192" i="2" s="1"/>
  <c r="K4193" i="2" s="1"/>
  <c r="K4194" i="2" s="1"/>
  <c r="K4195" i="2" s="1"/>
  <c r="K4196" i="2" s="1"/>
  <c r="K4197" i="2" s="1"/>
  <c r="K4198" i="2" s="1"/>
  <c r="K4199" i="2" s="1"/>
  <c r="K4200" i="2" s="1"/>
  <c r="K4201" i="2" s="1"/>
  <c r="K4202" i="2" s="1"/>
  <c r="K4203" i="2" s="1"/>
  <c r="K4204" i="2" s="1"/>
  <c r="K4205" i="2" s="1"/>
  <c r="K4206" i="2" s="1"/>
  <c r="K4207" i="2" s="1"/>
  <c r="K4208" i="2" s="1"/>
  <c r="K4209" i="2" s="1"/>
  <c r="K4210" i="2" s="1"/>
  <c r="K4211" i="2" s="1"/>
  <c r="K4212" i="2" s="1"/>
  <c r="K4213" i="2" s="1"/>
  <c r="K4214" i="2" s="1"/>
  <c r="K4215" i="2" s="1"/>
  <c r="K4216" i="2" s="1"/>
  <c r="K4217" i="2" s="1"/>
  <c r="K4218" i="2" s="1"/>
  <c r="K4219" i="2" s="1"/>
  <c r="K4220" i="2" s="1"/>
  <c r="K4221" i="2" s="1"/>
  <c r="K4222" i="2" s="1"/>
  <c r="K4223" i="2" s="1"/>
  <c r="K4224" i="2" s="1"/>
  <c r="K4225" i="2" s="1"/>
  <c r="K4226" i="2" s="1"/>
  <c r="K4227" i="2" s="1"/>
  <c r="K4228" i="2" s="1"/>
  <c r="K4229" i="2" s="1"/>
  <c r="K4230" i="2" s="1"/>
  <c r="K4231" i="2" s="1"/>
  <c r="K4232" i="2" s="1"/>
  <c r="K4233" i="2" s="1"/>
  <c r="K4234" i="2" s="1"/>
  <c r="K4235" i="2" s="1"/>
  <c r="K4236" i="2" s="1"/>
  <c r="K4237" i="2" s="1"/>
  <c r="K4238" i="2" s="1"/>
  <c r="K4239" i="2" s="1"/>
  <c r="K4240" i="2" s="1"/>
  <c r="K4241" i="2" s="1"/>
  <c r="K4242" i="2" s="1"/>
  <c r="K4243" i="2" s="1"/>
  <c r="K4244" i="2" s="1"/>
  <c r="K4245" i="2" s="1"/>
  <c r="K4246" i="2" s="1"/>
  <c r="K4247" i="2" s="1"/>
  <c r="K4248" i="2" s="1"/>
  <c r="K4249" i="2" s="1"/>
  <c r="K4250" i="2" s="1"/>
  <c r="K4251" i="2" s="1"/>
  <c r="K4252" i="2" s="1"/>
  <c r="K4253" i="2" s="1"/>
  <c r="K4254" i="2" s="1"/>
  <c r="K4255" i="2" s="1"/>
  <c r="K4256" i="2" s="1"/>
  <c r="K4257" i="2" s="1"/>
  <c r="K4258" i="2" s="1"/>
  <c r="K4259" i="2" s="1"/>
  <c r="K4260" i="2" s="1"/>
  <c r="K4261" i="2" s="1"/>
  <c r="K4262" i="2" s="1"/>
  <c r="K4263" i="2" s="1"/>
  <c r="K4264" i="2" s="1"/>
  <c r="K4265" i="2" s="1"/>
  <c r="K4266" i="2" s="1"/>
  <c r="K4267" i="2" s="1"/>
  <c r="K4268" i="2" s="1"/>
  <c r="K4269" i="2" s="1"/>
  <c r="K4270" i="2" s="1"/>
  <c r="K4271" i="2" s="1"/>
  <c r="K4272" i="2" s="1"/>
  <c r="K4273" i="2" s="1"/>
  <c r="K4274" i="2" s="1"/>
  <c r="K4275" i="2" s="1"/>
  <c r="K4276" i="2" s="1"/>
  <c r="K4277" i="2" s="1"/>
  <c r="K4278" i="2" s="1"/>
  <c r="K4279" i="2" s="1"/>
  <c r="K4280" i="2" s="1"/>
  <c r="K4281" i="2" s="1"/>
  <c r="K4282" i="2" s="1"/>
  <c r="K4283" i="2" s="1"/>
  <c r="K4284" i="2" s="1"/>
  <c r="K4285" i="2" s="1"/>
  <c r="K4286" i="2" s="1"/>
  <c r="K4287" i="2" s="1"/>
  <c r="K4288" i="2" s="1"/>
  <c r="K4289" i="2" s="1"/>
  <c r="K4290" i="2" s="1"/>
  <c r="K4291" i="2" s="1"/>
  <c r="K4292" i="2" s="1"/>
  <c r="K4293" i="2" s="1"/>
  <c r="K4294" i="2" s="1"/>
  <c r="K4295" i="2" s="1"/>
  <c r="K4296" i="2" s="1"/>
  <c r="K4297" i="2" s="1"/>
  <c r="K4298" i="2" s="1"/>
  <c r="K4299" i="2" s="1"/>
  <c r="K4300" i="2" s="1"/>
  <c r="K4301" i="2" s="1"/>
  <c r="K4302" i="2" s="1"/>
  <c r="K4303" i="2" s="1"/>
  <c r="K4304" i="2" s="1"/>
  <c r="K4305" i="2" s="1"/>
  <c r="K4306" i="2" s="1"/>
  <c r="K4307" i="2" s="1"/>
  <c r="K4308" i="2" s="1"/>
  <c r="K4309" i="2" s="1"/>
  <c r="K4310" i="2" s="1"/>
  <c r="K4311" i="2" s="1"/>
  <c r="K4312" i="2" s="1"/>
  <c r="K4313" i="2" s="1"/>
  <c r="K4314" i="2" s="1"/>
  <c r="K4315" i="2" s="1"/>
  <c r="K4316" i="2" s="1"/>
  <c r="K4317" i="2" s="1"/>
  <c r="K4318" i="2" s="1"/>
  <c r="K4319" i="2" s="1"/>
  <c r="K4320" i="2" s="1"/>
  <c r="K4321" i="2" s="1"/>
  <c r="K4322" i="2" s="1"/>
  <c r="K4323" i="2" s="1"/>
  <c r="K4324" i="2" s="1"/>
  <c r="K4325" i="2" s="1"/>
  <c r="K4326" i="2" s="1"/>
  <c r="K4327" i="2" s="1"/>
  <c r="K4328" i="2" s="1"/>
  <c r="K4329" i="2" s="1"/>
  <c r="K4330" i="2" s="1"/>
  <c r="K4331" i="2" s="1"/>
  <c r="K4332" i="2" s="1"/>
  <c r="K4333" i="2" s="1"/>
  <c r="K4334" i="2" s="1"/>
  <c r="K4335" i="2" s="1"/>
  <c r="K4336" i="2" s="1"/>
  <c r="K4337" i="2" s="1"/>
  <c r="K4338" i="2" s="1"/>
  <c r="K4339" i="2" s="1"/>
  <c r="K4340" i="2" s="1"/>
  <c r="K4341" i="2" s="1"/>
  <c r="K4342" i="2" s="1"/>
  <c r="K4343" i="2" s="1"/>
  <c r="K4344" i="2" s="1"/>
  <c r="K4345" i="2" s="1"/>
  <c r="K4346" i="2" s="1"/>
  <c r="K4347" i="2" s="1"/>
  <c r="K4348" i="2" s="1"/>
  <c r="K4349" i="2" s="1"/>
  <c r="K4350" i="2" s="1"/>
  <c r="K4351" i="2" s="1"/>
  <c r="K4352" i="2" s="1"/>
  <c r="K4353" i="2" s="1"/>
  <c r="K4354" i="2" s="1"/>
  <c r="K4355" i="2" s="1"/>
  <c r="K4356" i="2" s="1"/>
  <c r="K4357" i="2" s="1"/>
  <c r="K4358" i="2" s="1"/>
  <c r="K4359" i="2" s="1"/>
  <c r="K4360" i="2" s="1"/>
  <c r="K4361" i="2" s="1"/>
  <c r="K4362" i="2" s="1"/>
  <c r="K4363" i="2" s="1"/>
  <c r="K4364" i="2" s="1"/>
  <c r="K4365" i="2" s="1"/>
  <c r="K4366" i="2" s="1"/>
  <c r="K4367" i="2" s="1"/>
  <c r="K4368" i="2" s="1"/>
  <c r="K4369" i="2" s="1"/>
  <c r="K4370" i="2" s="1"/>
  <c r="K4371" i="2" s="1"/>
  <c r="K4372" i="2" s="1"/>
  <c r="K4373" i="2" s="1"/>
  <c r="K4374" i="2" s="1"/>
  <c r="K4375" i="2" s="1"/>
  <c r="K4376" i="2" s="1"/>
  <c r="K4377" i="2" s="1"/>
  <c r="K4378" i="2" s="1"/>
  <c r="K4379" i="2" s="1"/>
  <c r="K4380" i="2" s="1"/>
  <c r="K4381" i="2" s="1"/>
  <c r="K4382" i="2" s="1"/>
  <c r="K4383" i="2" s="1"/>
  <c r="K4384" i="2" s="1"/>
  <c r="K4385" i="2" s="1"/>
  <c r="K4386" i="2" s="1"/>
  <c r="K4387" i="2" s="1"/>
  <c r="K4388" i="2" s="1"/>
  <c r="K4389" i="2" s="1"/>
  <c r="K4390" i="2" s="1"/>
  <c r="K4391" i="2" s="1"/>
  <c r="K4392" i="2" s="1"/>
  <c r="K4393" i="2" s="1"/>
  <c r="K4394" i="2" s="1"/>
  <c r="K4395" i="2" s="1"/>
  <c r="K4396" i="2" s="1"/>
  <c r="K4397" i="2" s="1"/>
  <c r="K4398" i="2" s="1"/>
  <c r="K4399" i="2" s="1"/>
  <c r="K4400" i="2" s="1"/>
  <c r="K4401" i="2" s="1"/>
  <c r="K4402" i="2" s="1"/>
  <c r="K4403" i="2" s="1"/>
  <c r="K4404" i="2" s="1"/>
  <c r="K4405" i="2" s="1"/>
  <c r="K4406" i="2" s="1"/>
  <c r="K4407" i="2" s="1"/>
  <c r="K4408" i="2" s="1"/>
  <c r="K4409" i="2" s="1"/>
  <c r="K4410" i="2" s="1"/>
  <c r="K4411" i="2" s="1"/>
  <c r="K4412" i="2" s="1"/>
  <c r="K4413" i="2" s="1"/>
  <c r="K4414" i="2" s="1"/>
  <c r="K4415" i="2" s="1"/>
  <c r="K4416" i="2" s="1"/>
  <c r="K4417" i="2" s="1"/>
  <c r="K4418" i="2" s="1"/>
  <c r="K4419" i="2" s="1"/>
  <c r="K4420" i="2" s="1"/>
  <c r="K4421" i="2" s="1"/>
  <c r="K4422" i="2" s="1"/>
  <c r="K4423" i="2" s="1"/>
  <c r="K4424" i="2" s="1"/>
  <c r="K4425" i="2" s="1"/>
  <c r="K4426" i="2" s="1"/>
  <c r="K4427" i="2" s="1"/>
  <c r="K4428" i="2" s="1"/>
  <c r="K4429" i="2" s="1"/>
  <c r="K4430" i="2" s="1"/>
  <c r="K4431" i="2" s="1"/>
  <c r="K4432" i="2" s="1"/>
  <c r="K4433" i="2" s="1"/>
  <c r="K4434" i="2" s="1"/>
  <c r="K4435" i="2" s="1"/>
  <c r="K4436" i="2" s="1"/>
  <c r="K4437" i="2" s="1"/>
  <c r="K4438" i="2" s="1"/>
  <c r="K4439" i="2" s="1"/>
  <c r="K4440" i="2" s="1"/>
  <c r="K4441" i="2" s="1"/>
  <c r="K4442" i="2" s="1"/>
  <c r="K4443" i="2" s="1"/>
  <c r="K4444" i="2" s="1"/>
  <c r="K4445" i="2" s="1"/>
  <c r="K4446" i="2" s="1"/>
  <c r="K4447" i="2" s="1"/>
  <c r="K4448" i="2" s="1"/>
  <c r="K4449" i="2" s="1"/>
  <c r="K4450" i="2" s="1"/>
  <c r="K4451" i="2" s="1"/>
  <c r="K4452" i="2" s="1"/>
  <c r="K4453" i="2" s="1"/>
  <c r="K4454" i="2" s="1"/>
  <c r="K4455" i="2" s="1"/>
  <c r="K4456" i="2" s="1"/>
  <c r="K4457" i="2" s="1"/>
  <c r="K4458" i="2" s="1"/>
  <c r="K4459" i="2" s="1"/>
  <c r="K4460" i="2" s="1"/>
  <c r="K4461" i="2" s="1"/>
  <c r="K4462" i="2" s="1"/>
  <c r="K4463" i="2" s="1"/>
  <c r="K4464" i="2" s="1"/>
  <c r="K4465" i="2" s="1"/>
  <c r="K4466" i="2" s="1"/>
  <c r="K4467" i="2" s="1"/>
  <c r="K4468" i="2" s="1"/>
  <c r="K4469" i="2" s="1"/>
  <c r="K4470" i="2" s="1"/>
  <c r="K4471" i="2" s="1"/>
  <c r="K4472" i="2" s="1"/>
  <c r="K4473" i="2" s="1"/>
  <c r="K4474" i="2" s="1"/>
  <c r="K4475" i="2" s="1"/>
  <c r="K4476" i="2" s="1"/>
  <c r="K4477" i="2" s="1"/>
  <c r="K4478" i="2" s="1"/>
  <c r="K4479" i="2" s="1"/>
  <c r="K4480" i="2" s="1"/>
  <c r="K4481" i="2" s="1"/>
  <c r="K4482" i="2" s="1"/>
  <c r="K4483" i="2" s="1"/>
  <c r="K4484" i="2" s="1"/>
  <c r="K4485" i="2" s="1"/>
  <c r="K4486" i="2" s="1"/>
  <c r="K4487" i="2" s="1"/>
  <c r="K4488" i="2" s="1"/>
  <c r="K4489" i="2" s="1"/>
  <c r="K4490" i="2" s="1"/>
  <c r="K4491" i="2" s="1"/>
  <c r="K4492" i="2" s="1"/>
  <c r="K4493" i="2" s="1"/>
  <c r="K4494" i="2" s="1"/>
  <c r="K4495" i="2" s="1"/>
  <c r="K4496" i="2" s="1"/>
  <c r="K4497" i="2" s="1"/>
  <c r="K4498" i="2" s="1"/>
  <c r="K4499" i="2" s="1"/>
  <c r="K4500" i="2" s="1"/>
  <c r="K4501" i="2" s="1"/>
  <c r="K4502" i="2" s="1"/>
  <c r="K4503" i="2" s="1"/>
  <c r="K4504" i="2" s="1"/>
  <c r="K4505" i="2" s="1"/>
  <c r="K4506" i="2" s="1"/>
  <c r="K4507" i="2" s="1"/>
  <c r="K4508" i="2" s="1"/>
  <c r="K4509" i="2" s="1"/>
  <c r="K4510" i="2" s="1"/>
  <c r="K4511" i="2" s="1"/>
  <c r="K4512" i="2" s="1"/>
  <c r="K4513" i="2" s="1"/>
  <c r="K4514" i="2" s="1"/>
  <c r="K4515" i="2" s="1"/>
  <c r="K4516" i="2" s="1"/>
  <c r="K4517" i="2" s="1"/>
  <c r="K4518" i="2" s="1"/>
  <c r="K4519" i="2" s="1"/>
  <c r="K4520" i="2" s="1"/>
  <c r="K4521" i="2" s="1"/>
  <c r="K4522" i="2" s="1"/>
  <c r="K4523" i="2" s="1"/>
  <c r="K4524" i="2" s="1"/>
  <c r="K4525" i="2" s="1"/>
  <c r="K4526" i="2" s="1"/>
  <c r="K4527" i="2" s="1"/>
  <c r="K4528" i="2" s="1"/>
  <c r="K4529" i="2" s="1"/>
  <c r="K4530" i="2" s="1"/>
  <c r="K4531" i="2" s="1"/>
  <c r="K4532" i="2" s="1"/>
  <c r="K4533" i="2" s="1"/>
  <c r="K4534" i="2" s="1"/>
  <c r="K4535" i="2" s="1"/>
  <c r="K4536" i="2" s="1"/>
  <c r="K4537" i="2" s="1"/>
  <c r="K4538" i="2" s="1"/>
  <c r="K4539" i="2" s="1"/>
  <c r="K4540" i="2" s="1"/>
  <c r="K4541" i="2" s="1"/>
  <c r="K4542" i="2" s="1"/>
  <c r="K4543" i="2" s="1"/>
  <c r="K4544" i="2" s="1"/>
  <c r="K4545" i="2" s="1"/>
  <c r="K4546" i="2" s="1"/>
  <c r="K4547" i="2" s="1"/>
  <c r="K4548" i="2" s="1"/>
  <c r="K4549" i="2" s="1"/>
  <c r="K4550" i="2" s="1"/>
  <c r="K4551" i="2" s="1"/>
  <c r="K4552" i="2" s="1"/>
  <c r="K4553" i="2" s="1"/>
  <c r="K4554" i="2" s="1"/>
  <c r="K4555" i="2" s="1"/>
  <c r="K4556" i="2" s="1"/>
  <c r="K4557" i="2" s="1"/>
  <c r="K4558" i="2" s="1"/>
  <c r="K4559" i="2" s="1"/>
  <c r="K4560" i="2" s="1"/>
  <c r="K4561" i="2" s="1"/>
  <c r="K4562" i="2" s="1"/>
  <c r="K4563" i="2" s="1"/>
  <c r="K4564" i="2" s="1"/>
  <c r="K4565" i="2" s="1"/>
  <c r="K4566" i="2" s="1"/>
  <c r="K4567" i="2" s="1"/>
  <c r="K4568" i="2" s="1"/>
  <c r="K4569" i="2" s="1"/>
  <c r="K4570" i="2" s="1"/>
  <c r="K4571" i="2" s="1"/>
  <c r="K4572" i="2" s="1"/>
  <c r="K4573" i="2" s="1"/>
  <c r="K4574" i="2" s="1"/>
  <c r="K4575" i="2" s="1"/>
  <c r="K4576" i="2" s="1"/>
  <c r="K4577" i="2" s="1"/>
  <c r="K4578" i="2" s="1"/>
  <c r="K4579" i="2" s="1"/>
  <c r="K4580" i="2" s="1"/>
  <c r="K4581" i="2" s="1"/>
  <c r="K4582" i="2" s="1"/>
  <c r="K4583" i="2" s="1"/>
  <c r="K4584" i="2" s="1"/>
  <c r="K4585" i="2" s="1"/>
  <c r="K4586" i="2" s="1"/>
  <c r="K4587" i="2" s="1"/>
  <c r="K4588" i="2" s="1"/>
  <c r="K4589" i="2" s="1"/>
  <c r="K4590" i="2" s="1"/>
  <c r="K4591" i="2" s="1"/>
  <c r="K4592" i="2" s="1"/>
  <c r="K4593" i="2" s="1"/>
  <c r="K4594" i="2" s="1"/>
  <c r="K4595" i="2" s="1"/>
  <c r="K4596" i="2" s="1"/>
  <c r="K4597" i="2" s="1"/>
  <c r="K4598" i="2" s="1"/>
  <c r="K4599" i="2" s="1"/>
  <c r="K4600" i="2" s="1"/>
  <c r="K4601" i="2" s="1"/>
  <c r="K4602" i="2" s="1"/>
  <c r="K4603" i="2" s="1"/>
  <c r="K4604" i="2" s="1"/>
  <c r="K4605" i="2" s="1"/>
  <c r="K4606" i="2" s="1"/>
  <c r="K4607" i="2" s="1"/>
  <c r="K4608" i="2" s="1"/>
  <c r="K4609" i="2" s="1"/>
  <c r="K4610" i="2" s="1"/>
  <c r="K4611" i="2" s="1"/>
  <c r="K4612" i="2" s="1"/>
  <c r="K4613" i="2" s="1"/>
  <c r="K4614" i="2" s="1"/>
  <c r="K4615" i="2" s="1"/>
  <c r="K4616" i="2" s="1"/>
  <c r="K4617" i="2" s="1"/>
  <c r="K4618" i="2" s="1"/>
  <c r="K4619" i="2" s="1"/>
  <c r="K4620" i="2" s="1"/>
  <c r="K4621" i="2" s="1"/>
  <c r="K4622" i="2" s="1"/>
  <c r="K4623" i="2" s="1"/>
  <c r="K4624" i="2" s="1"/>
  <c r="K4625" i="2" s="1"/>
  <c r="K4626" i="2" s="1"/>
  <c r="K4627" i="2" s="1"/>
  <c r="K4628" i="2" s="1"/>
  <c r="K4629" i="2" s="1"/>
  <c r="K4630" i="2" s="1"/>
  <c r="K4631" i="2" s="1"/>
  <c r="K4632" i="2" s="1"/>
  <c r="K4633" i="2" s="1"/>
  <c r="K4634" i="2" s="1"/>
  <c r="K4635" i="2" s="1"/>
  <c r="K4636" i="2" s="1"/>
  <c r="K4637" i="2" s="1"/>
  <c r="K4638" i="2" s="1"/>
  <c r="K4639" i="2" s="1"/>
  <c r="K4640" i="2" s="1"/>
  <c r="K4641" i="2" s="1"/>
  <c r="K4642" i="2" s="1"/>
  <c r="K4643" i="2" s="1"/>
  <c r="K4644" i="2" s="1"/>
  <c r="K4645" i="2" s="1"/>
  <c r="K4646" i="2" s="1"/>
  <c r="K4647" i="2" s="1"/>
  <c r="K4648" i="2" s="1"/>
  <c r="K4649" i="2" s="1"/>
  <c r="K4650" i="2" s="1"/>
  <c r="K4651" i="2" s="1"/>
  <c r="K4652" i="2" s="1"/>
  <c r="K4653" i="2" s="1"/>
  <c r="K4654" i="2" s="1"/>
  <c r="K4655" i="2" s="1"/>
  <c r="K4656" i="2" s="1"/>
  <c r="K4657" i="2" s="1"/>
  <c r="K4658" i="2" s="1"/>
  <c r="K4659" i="2" s="1"/>
  <c r="K4660" i="2" s="1"/>
  <c r="K4661" i="2" s="1"/>
  <c r="K4662" i="2" s="1"/>
  <c r="K4663" i="2" s="1"/>
  <c r="K4664" i="2" s="1"/>
  <c r="K4665" i="2" s="1"/>
  <c r="K4666" i="2" s="1"/>
  <c r="K4667" i="2" s="1"/>
  <c r="K4668" i="2" s="1"/>
  <c r="K4669" i="2" s="1"/>
  <c r="K4670" i="2" s="1"/>
  <c r="K4671" i="2" s="1"/>
  <c r="K4672" i="2" s="1"/>
  <c r="K4673" i="2" s="1"/>
  <c r="K4674" i="2" s="1"/>
  <c r="K4675" i="2" s="1"/>
  <c r="K4676" i="2" s="1"/>
  <c r="K4677" i="2" s="1"/>
  <c r="K4678" i="2" s="1"/>
  <c r="K4679" i="2" s="1"/>
  <c r="K4680" i="2" s="1"/>
  <c r="K4681" i="2" s="1"/>
  <c r="K4682" i="2" s="1"/>
  <c r="K4683" i="2" s="1"/>
  <c r="K4684" i="2" s="1"/>
  <c r="K4685" i="2" s="1"/>
  <c r="K4686" i="2" s="1"/>
  <c r="K4687" i="2" s="1"/>
  <c r="K4688" i="2" s="1"/>
  <c r="K4689" i="2" s="1"/>
  <c r="K4690" i="2" s="1"/>
  <c r="K4691" i="2" s="1"/>
  <c r="K4692" i="2" s="1"/>
  <c r="K4693" i="2" s="1"/>
  <c r="K4694" i="2" s="1"/>
  <c r="K4695" i="2" s="1"/>
  <c r="K4696" i="2" s="1"/>
  <c r="K4697" i="2" s="1"/>
  <c r="K4698" i="2" s="1"/>
  <c r="K4699" i="2" s="1"/>
  <c r="K4700" i="2" s="1"/>
  <c r="K4701" i="2" s="1"/>
  <c r="K4702" i="2" s="1"/>
  <c r="K4703" i="2" s="1"/>
  <c r="K4704" i="2" s="1"/>
  <c r="K4705" i="2" s="1"/>
  <c r="K4706" i="2" s="1"/>
  <c r="K4707" i="2" s="1"/>
  <c r="K4708" i="2" s="1"/>
  <c r="K4709" i="2" s="1"/>
  <c r="K4710" i="2" s="1"/>
  <c r="K4711" i="2" s="1"/>
  <c r="K4712" i="2" s="1"/>
  <c r="K4713" i="2" s="1"/>
  <c r="K4714" i="2" s="1"/>
  <c r="K4715" i="2" s="1"/>
  <c r="K4716" i="2" s="1"/>
  <c r="K4717" i="2" s="1"/>
  <c r="K4718" i="2" s="1"/>
  <c r="K4719" i="2" s="1"/>
  <c r="K4720" i="2" s="1"/>
  <c r="K4721" i="2" s="1"/>
  <c r="K4722" i="2" s="1"/>
  <c r="K4723" i="2" s="1"/>
  <c r="K4724" i="2" s="1"/>
  <c r="K4725" i="2" s="1"/>
  <c r="K4726" i="2" s="1"/>
  <c r="K4727" i="2" s="1"/>
  <c r="K4728" i="2" s="1"/>
  <c r="K4729" i="2" s="1"/>
  <c r="K4730" i="2" s="1"/>
  <c r="K4731" i="2" s="1"/>
  <c r="K4732" i="2" s="1"/>
  <c r="K4733" i="2" s="1"/>
  <c r="K4734" i="2" s="1"/>
  <c r="K4735" i="2" s="1"/>
  <c r="K4736" i="2" s="1"/>
  <c r="K4737" i="2" s="1"/>
  <c r="K4738" i="2" s="1"/>
  <c r="K4739" i="2" s="1"/>
  <c r="K4740" i="2" s="1"/>
  <c r="K4741" i="2" s="1"/>
  <c r="K4742" i="2" s="1"/>
  <c r="K4743" i="2" s="1"/>
  <c r="K4744" i="2" s="1"/>
  <c r="K4745" i="2" s="1"/>
  <c r="K4746" i="2" s="1"/>
  <c r="K4747" i="2" s="1"/>
  <c r="K4748" i="2" s="1"/>
  <c r="K4749" i="2" s="1"/>
  <c r="K4750" i="2" s="1"/>
  <c r="K4751" i="2" s="1"/>
  <c r="K4752" i="2" s="1"/>
  <c r="K4753" i="2" s="1"/>
  <c r="K4754" i="2" s="1"/>
  <c r="K4755" i="2" s="1"/>
  <c r="K4756" i="2" s="1"/>
  <c r="K4757" i="2" s="1"/>
  <c r="K4758" i="2" s="1"/>
  <c r="K4759" i="2" s="1"/>
  <c r="K4760" i="2" s="1"/>
  <c r="K4761" i="2" s="1"/>
  <c r="K4762" i="2" s="1"/>
  <c r="K4763" i="2" s="1"/>
  <c r="K4764" i="2" s="1"/>
  <c r="K4765" i="2" s="1"/>
  <c r="K4766" i="2" s="1"/>
  <c r="K4767" i="2" s="1"/>
  <c r="K4768" i="2" s="1"/>
  <c r="K4769" i="2" s="1"/>
  <c r="K4770" i="2" s="1"/>
  <c r="K4771" i="2" s="1"/>
  <c r="K4772" i="2" s="1"/>
  <c r="K4773" i="2" s="1"/>
  <c r="K4774" i="2" s="1"/>
  <c r="K4775" i="2" s="1"/>
  <c r="K4776" i="2" s="1"/>
  <c r="K4777" i="2" s="1"/>
  <c r="K4778" i="2" s="1"/>
  <c r="K4779" i="2" s="1"/>
  <c r="K4780" i="2" s="1"/>
  <c r="K4781" i="2" s="1"/>
  <c r="K4782" i="2" s="1"/>
  <c r="K4783" i="2" s="1"/>
  <c r="K4784" i="2" s="1"/>
  <c r="K4785" i="2" s="1"/>
  <c r="K4786" i="2" s="1"/>
  <c r="K4787" i="2" s="1"/>
  <c r="K4788" i="2" s="1"/>
  <c r="K4789" i="2" s="1"/>
  <c r="K4790" i="2" s="1"/>
  <c r="K4791" i="2" s="1"/>
  <c r="K4792" i="2" s="1"/>
  <c r="K4793" i="2" s="1"/>
  <c r="K4794" i="2" s="1"/>
  <c r="K4795" i="2" s="1"/>
  <c r="K4796" i="2" s="1"/>
  <c r="K4797" i="2" s="1"/>
  <c r="K4798" i="2" s="1"/>
  <c r="K4799" i="2" s="1"/>
  <c r="K4800" i="2" s="1"/>
  <c r="K4801" i="2" s="1"/>
  <c r="K4802" i="2" s="1"/>
  <c r="K4803" i="2" s="1"/>
  <c r="K4804" i="2" s="1"/>
  <c r="K4805" i="2" s="1"/>
  <c r="K4806" i="2" s="1"/>
  <c r="K4807" i="2" s="1"/>
  <c r="K4808" i="2" s="1"/>
  <c r="K4809" i="2" s="1"/>
  <c r="K4810" i="2" s="1"/>
  <c r="K4811" i="2" s="1"/>
  <c r="K4812" i="2" s="1"/>
  <c r="K4813" i="2" s="1"/>
  <c r="K4814" i="2" s="1"/>
  <c r="K4815" i="2" s="1"/>
  <c r="K4816" i="2" s="1"/>
  <c r="K4817" i="2" s="1"/>
  <c r="K4818" i="2" s="1"/>
  <c r="K4819" i="2" s="1"/>
  <c r="K4820" i="2" s="1"/>
  <c r="K4821" i="2" s="1"/>
  <c r="K4822" i="2" s="1"/>
  <c r="K4823" i="2" s="1"/>
  <c r="K4824" i="2" s="1"/>
  <c r="K4825" i="2" s="1"/>
  <c r="K4826" i="2" s="1"/>
  <c r="K4827" i="2" s="1"/>
  <c r="K4828" i="2" s="1"/>
  <c r="K4829" i="2" s="1"/>
  <c r="K4830" i="2" s="1"/>
  <c r="K4831" i="2" s="1"/>
  <c r="K4832" i="2" s="1"/>
  <c r="K4833" i="2" s="1"/>
  <c r="K4834" i="2" s="1"/>
  <c r="K4835" i="2" s="1"/>
  <c r="K4836" i="2" s="1"/>
  <c r="K4837" i="2" s="1"/>
  <c r="K4838" i="2" s="1"/>
  <c r="K4839" i="2" s="1"/>
  <c r="K4840" i="2" s="1"/>
  <c r="K4841" i="2" s="1"/>
  <c r="K4842" i="2" s="1"/>
  <c r="K4843" i="2" s="1"/>
  <c r="K4844" i="2" s="1"/>
  <c r="K4845" i="2" s="1"/>
  <c r="K4846" i="2" s="1"/>
  <c r="K4847" i="2" s="1"/>
  <c r="K4848" i="2" s="1"/>
  <c r="K4849" i="2" s="1"/>
  <c r="K4850" i="2" s="1"/>
  <c r="K4851" i="2" s="1"/>
  <c r="K4852" i="2" s="1"/>
  <c r="K4853" i="2" s="1"/>
  <c r="K4854" i="2" s="1"/>
  <c r="K4855" i="2" s="1"/>
  <c r="K4856" i="2" s="1"/>
  <c r="K4857" i="2" s="1"/>
  <c r="K4858" i="2" s="1"/>
  <c r="K4859" i="2" s="1"/>
  <c r="K4860" i="2" s="1"/>
  <c r="K4861" i="2" s="1"/>
  <c r="K4862" i="2" s="1"/>
  <c r="K4863" i="2" s="1"/>
  <c r="K4864" i="2" s="1"/>
  <c r="K4865" i="2" s="1"/>
  <c r="K4866" i="2" s="1"/>
  <c r="K4867" i="2" s="1"/>
  <c r="K4868" i="2" s="1"/>
  <c r="K4869" i="2" s="1"/>
  <c r="K4870" i="2" s="1"/>
  <c r="K4871" i="2" s="1"/>
  <c r="K4872" i="2" s="1"/>
  <c r="K4873" i="2" s="1"/>
  <c r="K4874" i="2" s="1"/>
  <c r="K4875" i="2" s="1"/>
  <c r="K4876" i="2" s="1"/>
  <c r="K4877" i="2" s="1"/>
  <c r="K4878" i="2" s="1"/>
  <c r="K4879" i="2" s="1"/>
  <c r="K4880" i="2" s="1"/>
  <c r="K4881" i="2" s="1"/>
  <c r="K4882" i="2" s="1"/>
  <c r="K4883" i="2" s="1"/>
  <c r="K4884" i="2" s="1"/>
  <c r="K4885" i="2" s="1"/>
  <c r="K4886" i="2" s="1"/>
  <c r="K4887" i="2" s="1"/>
  <c r="K4888" i="2" s="1"/>
  <c r="K4889" i="2" s="1"/>
  <c r="K4890" i="2" s="1"/>
  <c r="K4891" i="2" s="1"/>
  <c r="K4892" i="2" s="1"/>
  <c r="K4893" i="2" s="1"/>
  <c r="K4894" i="2" s="1"/>
  <c r="K4895" i="2" s="1"/>
  <c r="K4896" i="2" s="1"/>
  <c r="K4897" i="2" s="1"/>
  <c r="K4898" i="2" s="1"/>
  <c r="K4899" i="2" s="1"/>
  <c r="K4900" i="2" s="1"/>
  <c r="K4901" i="2" s="1"/>
  <c r="K4902" i="2" s="1"/>
  <c r="K4903" i="2" s="1"/>
  <c r="K4904" i="2" s="1"/>
  <c r="K4905" i="2" s="1"/>
  <c r="K4906" i="2" s="1"/>
  <c r="K4907" i="2" s="1"/>
  <c r="K4908" i="2" s="1"/>
  <c r="K4909" i="2" s="1"/>
  <c r="K4910" i="2" s="1"/>
  <c r="K4911" i="2" s="1"/>
  <c r="K4912" i="2" s="1"/>
  <c r="K4913" i="2" s="1"/>
  <c r="K4914" i="2" s="1"/>
  <c r="K4915" i="2" s="1"/>
  <c r="K4916" i="2" s="1"/>
  <c r="K4917" i="2" s="1"/>
  <c r="K4918" i="2" s="1"/>
  <c r="K4919" i="2" s="1"/>
  <c r="K4920" i="2" s="1"/>
  <c r="K4921" i="2" s="1"/>
  <c r="K4922" i="2" s="1"/>
  <c r="K4923" i="2" s="1"/>
  <c r="K4924" i="2" s="1"/>
  <c r="K4925" i="2" s="1"/>
  <c r="K4926" i="2" s="1"/>
  <c r="K4927" i="2" s="1"/>
  <c r="K4928" i="2" s="1"/>
  <c r="K4929" i="2" s="1"/>
  <c r="K4930" i="2" s="1"/>
  <c r="K4931" i="2" s="1"/>
  <c r="K4932" i="2" s="1"/>
  <c r="K4933" i="2" s="1"/>
  <c r="K4934" i="2" s="1"/>
  <c r="K4935" i="2" s="1"/>
  <c r="K4936" i="2" s="1"/>
  <c r="K4937" i="2" s="1"/>
  <c r="K4938" i="2" s="1"/>
  <c r="K4939" i="2" s="1"/>
  <c r="K4940" i="2" s="1"/>
  <c r="K4941" i="2" s="1"/>
  <c r="K4942" i="2" s="1"/>
  <c r="K4943" i="2" s="1"/>
  <c r="K4944" i="2" s="1"/>
  <c r="K4945" i="2" s="1"/>
  <c r="K4946" i="2" s="1"/>
  <c r="K4947" i="2" s="1"/>
  <c r="K4948" i="2" s="1"/>
  <c r="K4949" i="2" s="1"/>
  <c r="K4950" i="2" s="1"/>
  <c r="K4951" i="2" s="1"/>
  <c r="K4952" i="2" s="1"/>
  <c r="K4953" i="2" s="1"/>
  <c r="K4954" i="2" s="1"/>
  <c r="K4955" i="2" s="1"/>
  <c r="K4956" i="2" s="1"/>
  <c r="K4957" i="2" s="1"/>
  <c r="K4958" i="2" s="1"/>
  <c r="K4959" i="2" s="1"/>
  <c r="K4960" i="2" s="1"/>
  <c r="K4961" i="2" s="1"/>
  <c r="K4962" i="2" s="1"/>
  <c r="K4963" i="2" s="1"/>
  <c r="K4964" i="2" s="1"/>
  <c r="K4965" i="2" s="1"/>
  <c r="K4966" i="2" s="1"/>
  <c r="K4967" i="2" s="1"/>
  <c r="K4968" i="2" s="1"/>
  <c r="K4969" i="2" s="1"/>
  <c r="K4970" i="2" s="1"/>
  <c r="K4971" i="2" s="1"/>
  <c r="K4972" i="2" s="1"/>
  <c r="K4973" i="2" s="1"/>
  <c r="K4974" i="2" s="1"/>
  <c r="K4975" i="2" s="1"/>
  <c r="K4976" i="2" s="1"/>
  <c r="K4977" i="2" s="1"/>
  <c r="K4978" i="2" s="1"/>
  <c r="K4979" i="2" s="1"/>
  <c r="K4980" i="2" s="1"/>
  <c r="K4981" i="2" s="1"/>
  <c r="K4982" i="2" s="1"/>
  <c r="K4983" i="2" s="1"/>
  <c r="K4984" i="2" s="1"/>
  <c r="K4985" i="2" s="1"/>
  <c r="K4986" i="2" s="1"/>
  <c r="K4987" i="2" s="1"/>
  <c r="K4988" i="2" s="1"/>
  <c r="K4989" i="2" s="1"/>
  <c r="K4990" i="2" s="1"/>
  <c r="K4991" i="2" s="1"/>
  <c r="K4992" i="2" s="1"/>
  <c r="K4993" i="2" s="1"/>
  <c r="K4994" i="2" s="1"/>
  <c r="K4995" i="2" s="1"/>
  <c r="K4996" i="2" s="1"/>
  <c r="K4997" i="2" s="1"/>
  <c r="K4998" i="2" s="1"/>
  <c r="K4999" i="2" s="1"/>
  <c r="K5000" i="2" s="1"/>
  <c r="K5001" i="2" s="1"/>
  <c r="K5002" i="2" s="1"/>
  <c r="K5003" i="2" s="1"/>
  <c r="K5004" i="2" s="1"/>
  <c r="K5005" i="2" s="1"/>
  <c r="K5006" i="2" s="1"/>
  <c r="K5007" i="2" s="1"/>
  <c r="K5008" i="2" s="1"/>
  <c r="K5009" i="2" s="1"/>
  <c r="K5010" i="2" s="1"/>
  <c r="K5011" i="2" s="1"/>
  <c r="K5012" i="2" s="1"/>
  <c r="K5013" i="2" s="1"/>
  <c r="K5014" i="2" s="1"/>
  <c r="K5015" i="2" s="1"/>
  <c r="K5016" i="2" s="1"/>
  <c r="K5017" i="2" s="1"/>
  <c r="K5018" i="2" s="1"/>
  <c r="K5019" i="2" s="1"/>
  <c r="K5020" i="2" s="1"/>
  <c r="K5021" i="2" s="1"/>
  <c r="K5022" i="2" s="1"/>
  <c r="K5023" i="2" s="1"/>
  <c r="K5024" i="2" s="1"/>
  <c r="K5025" i="2" s="1"/>
  <c r="K5026" i="2" s="1"/>
  <c r="K5027" i="2" s="1"/>
  <c r="K5028" i="2" s="1"/>
  <c r="K5029" i="2" s="1"/>
  <c r="K5030" i="2" s="1"/>
  <c r="K5031" i="2" s="1"/>
  <c r="K5032" i="2" s="1"/>
  <c r="K5033" i="2" s="1"/>
  <c r="K5034" i="2" s="1"/>
  <c r="K5035" i="2" s="1"/>
  <c r="K5036" i="2" s="1"/>
  <c r="K5037" i="2" s="1"/>
  <c r="K5038" i="2" s="1"/>
  <c r="K5039" i="2" s="1"/>
  <c r="K5040" i="2" s="1"/>
  <c r="K5041" i="2" s="1"/>
  <c r="K5042" i="2" s="1"/>
  <c r="K5043" i="2" s="1"/>
  <c r="K5044" i="2" s="1"/>
  <c r="K5045" i="2" s="1"/>
  <c r="K5046" i="2" s="1"/>
  <c r="K5047" i="2" s="1"/>
  <c r="K5048" i="2" s="1"/>
  <c r="K5049" i="2" s="1"/>
  <c r="K5050" i="2" s="1"/>
  <c r="K5051" i="2" s="1"/>
  <c r="K5052" i="2" s="1"/>
  <c r="K5053" i="2" s="1"/>
  <c r="K5054" i="2" s="1"/>
  <c r="K5055" i="2" s="1"/>
  <c r="K5056" i="2" s="1"/>
  <c r="K5057" i="2" s="1"/>
  <c r="K5058" i="2" s="1"/>
  <c r="K5059" i="2" s="1"/>
  <c r="K5060" i="2" s="1"/>
  <c r="K5061" i="2" s="1"/>
  <c r="K5062" i="2" s="1"/>
  <c r="K5063" i="2" s="1"/>
  <c r="K5064" i="2" s="1"/>
  <c r="K5065" i="2" s="1"/>
  <c r="K5066" i="2" s="1"/>
  <c r="K5067" i="2" s="1"/>
  <c r="K5068" i="2" s="1"/>
  <c r="K5069" i="2" s="1"/>
  <c r="K5070" i="2" s="1"/>
  <c r="K5071" i="2" s="1"/>
  <c r="K5072" i="2" s="1"/>
  <c r="K5073" i="2" s="1"/>
  <c r="K5074" i="2" s="1"/>
  <c r="K5075" i="2" s="1"/>
  <c r="K5076" i="2" s="1"/>
  <c r="K5077" i="2" s="1"/>
  <c r="K5078" i="2" s="1"/>
  <c r="K5079" i="2" s="1"/>
  <c r="K5080" i="2" s="1"/>
  <c r="K5081" i="2" s="1"/>
  <c r="K5082" i="2" s="1"/>
  <c r="K5083" i="2" s="1"/>
  <c r="K5084" i="2" s="1"/>
  <c r="K5085" i="2" s="1"/>
  <c r="K5086" i="2" s="1"/>
  <c r="K5087" i="2" s="1"/>
  <c r="K5088" i="2" s="1"/>
  <c r="K5089" i="2" s="1"/>
  <c r="K5090" i="2" s="1"/>
  <c r="K5091" i="2" s="1"/>
  <c r="K5092" i="2" s="1"/>
  <c r="K5093" i="2" s="1"/>
  <c r="K5094" i="2" s="1"/>
  <c r="K5095" i="2" s="1"/>
  <c r="K5096" i="2" s="1"/>
  <c r="K5097" i="2" s="1"/>
  <c r="K5098" i="2" s="1"/>
  <c r="K5099" i="2" s="1"/>
  <c r="K5100" i="2" s="1"/>
  <c r="K5101" i="2" s="1"/>
  <c r="K5102" i="2" s="1"/>
  <c r="K5103" i="2" s="1"/>
  <c r="K5104" i="2" s="1"/>
  <c r="K5105" i="2" s="1"/>
  <c r="K5106" i="2" s="1"/>
  <c r="K5107" i="2" s="1"/>
  <c r="K5108" i="2" s="1"/>
  <c r="K5109" i="2" s="1"/>
  <c r="K5110" i="2" s="1"/>
  <c r="K5111" i="2" s="1"/>
  <c r="K5112" i="2" s="1"/>
  <c r="K5113" i="2" s="1"/>
  <c r="K5114" i="2" s="1"/>
  <c r="K5115" i="2" s="1"/>
  <c r="K5116" i="2" s="1"/>
  <c r="K5117" i="2" s="1"/>
  <c r="K5118" i="2" s="1"/>
  <c r="K5119" i="2" s="1"/>
  <c r="K5120" i="2" s="1"/>
  <c r="K5121" i="2" s="1"/>
  <c r="K5122" i="2" s="1"/>
  <c r="K5123" i="2" s="1"/>
  <c r="K5124" i="2" s="1"/>
  <c r="K5125" i="2" s="1"/>
  <c r="K5126" i="2" s="1"/>
  <c r="K5127" i="2" s="1"/>
  <c r="K5128" i="2" s="1"/>
  <c r="K5129" i="2" s="1"/>
  <c r="K5130" i="2" s="1"/>
  <c r="K5131" i="2" s="1"/>
  <c r="K5132" i="2" s="1"/>
  <c r="K5133" i="2" s="1"/>
  <c r="K5134" i="2" s="1"/>
  <c r="K5135" i="2" s="1"/>
  <c r="K5136" i="2" s="1"/>
  <c r="K5137" i="2" s="1"/>
  <c r="K5138" i="2" s="1"/>
  <c r="K5139" i="2" s="1"/>
  <c r="K5140" i="2" s="1"/>
  <c r="K5141" i="2" s="1"/>
  <c r="K5142" i="2" s="1"/>
  <c r="K5143" i="2" s="1"/>
  <c r="K5144" i="2" s="1"/>
  <c r="K5145" i="2" s="1"/>
  <c r="K5146" i="2" s="1"/>
  <c r="K5147" i="2" s="1"/>
  <c r="K5148" i="2" s="1"/>
  <c r="K5149" i="2" s="1"/>
  <c r="K5150" i="2" s="1"/>
  <c r="K5151" i="2" s="1"/>
  <c r="K5152" i="2" s="1"/>
  <c r="K5153" i="2" s="1"/>
  <c r="K5154" i="2" s="1"/>
  <c r="K5155" i="2" s="1"/>
  <c r="K5156" i="2" s="1"/>
  <c r="K5157" i="2" s="1"/>
  <c r="K5158" i="2" s="1"/>
  <c r="K5159" i="2" s="1"/>
  <c r="K5160" i="2" s="1"/>
  <c r="K5161" i="2" s="1"/>
  <c r="K5162" i="2" s="1"/>
  <c r="K5163" i="2" s="1"/>
  <c r="K5164" i="2" s="1"/>
  <c r="K5165" i="2" s="1"/>
  <c r="K5166" i="2" s="1"/>
  <c r="K5167" i="2" s="1"/>
  <c r="K5168" i="2" s="1"/>
  <c r="K5169" i="2" s="1"/>
  <c r="K5170" i="2" s="1"/>
  <c r="K5171" i="2" s="1"/>
  <c r="K5172" i="2" s="1"/>
  <c r="K5173" i="2" s="1"/>
  <c r="K5174" i="2" s="1"/>
  <c r="K5175" i="2" s="1"/>
  <c r="K5176" i="2" s="1"/>
  <c r="K5177" i="2" s="1"/>
  <c r="K5178" i="2" s="1"/>
  <c r="K5179" i="2" s="1"/>
  <c r="K5180" i="2" s="1"/>
  <c r="K5181" i="2" s="1"/>
  <c r="K5182" i="2" s="1"/>
  <c r="K5183" i="2" s="1"/>
  <c r="K5184" i="2" s="1"/>
  <c r="K5185" i="2" s="1"/>
  <c r="K5186" i="2" s="1"/>
  <c r="K5187" i="2" s="1"/>
  <c r="K5188" i="2" s="1"/>
  <c r="K5189" i="2" s="1"/>
  <c r="K5190" i="2" s="1"/>
  <c r="K5191" i="2" s="1"/>
  <c r="K5192" i="2" s="1"/>
  <c r="K5193" i="2" s="1"/>
  <c r="K5194" i="2" s="1"/>
  <c r="K5195" i="2" s="1"/>
  <c r="K5196" i="2" s="1"/>
  <c r="K5197" i="2" s="1"/>
  <c r="K5198" i="2" s="1"/>
  <c r="K5199" i="2" s="1"/>
  <c r="K5200" i="2" s="1"/>
  <c r="K5201" i="2" s="1"/>
  <c r="K5202" i="2" s="1"/>
  <c r="K5203" i="2" s="1"/>
  <c r="K5204" i="2" s="1"/>
  <c r="K5205" i="2" s="1"/>
  <c r="K5206" i="2" s="1"/>
  <c r="K5207" i="2" s="1"/>
  <c r="K5208" i="2" s="1"/>
  <c r="K5209" i="2" s="1"/>
  <c r="K5210" i="2" s="1"/>
  <c r="K5211" i="2" s="1"/>
  <c r="K5212" i="2" s="1"/>
  <c r="K5213" i="2" s="1"/>
  <c r="K5214" i="2" s="1"/>
  <c r="K5215" i="2" s="1"/>
  <c r="K5216" i="2" s="1"/>
  <c r="K5217" i="2" s="1"/>
  <c r="K5218" i="2" s="1"/>
  <c r="K5219" i="2" s="1"/>
  <c r="K5220" i="2" s="1"/>
  <c r="K5221" i="2" s="1"/>
  <c r="K5222" i="2" s="1"/>
  <c r="K5223" i="2" s="1"/>
  <c r="K5224" i="2" s="1"/>
  <c r="K5225" i="2" s="1"/>
  <c r="K5226" i="2" s="1"/>
  <c r="K5227" i="2" s="1"/>
  <c r="K5228" i="2" s="1"/>
  <c r="K5229" i="2" s="1"/>
  <c r="K5230" i="2" s="1"/>
  <c r="K5231" i="2" s="1"/>
  <c r="K5232" i="2" s="1"/>
  <c r="K5233" i="2" s="1"/>
  <c r="K5234" i="2" s="1"/>
  <c r="K5235" i="2" s="1"/>
  <c r="K5236" i="2" s="1"/>
  <c r="K5237" i="2" s="1"/>
  <c r="K5238" i="2" s="1"/>
  <c r="K5239" i="2" s="1"/>
  <c r="K5240" i="2" s="1"/>
  <c r="K5241" i="2" s="1"/>
  <c r="K5242" i="2" s="1"/>
  <c r="K5243" i="2" s="1"/>
  <c r="K5244" i="2" s="1"/>
  <c r="K5245" i="2" s="1"/>
  <c r="K5246" i="2" s="1"/>
  <c r="K5247" i="2" s="1"/>
  <c r="K5248" i="2" s="1"/>
  <c r="K5249" i="2" s="1"/>
  <c r="K5250" i="2" s="1"/>
  <c r="K5251" i="2" s="1"/>
  <c r="K5252" i="2" s="1"/>
  <c r="K5253" i="2" s="1"/>
  <c r="K5254" i="2" s="1"/>
  <c r="K5255" i="2" s="1"/>
  <c r="K5256" i="2" s="1"/>
  <c r="K5257" i="2" s="1"/>
  <c r="K5258" i="2" s="1"/>
  <c r="K5259" i="2" s="1"/>
  <c r="K5260" i="2" s="1"/>
  <c r="K5261" i="2" s="1"/>
  <c r="K5262" i="2" s="1"/>
  <c r="K5263" i="2" s="1"/>
  <c r="K5264" i="2" s="1"/>
  <c r="K5265" i="2" s="1"/>
  <c r="K5266" i="2" s="1"/>
  <c r="K5267" i="2" s="1"/>
  <c r="K5268" i="2" s="1"/>
  <c r="K5269" i="2" s="1"/>
  <c r="K5270" i="2" s="1"/>
  <c r="K5271" i="2" s="1"/>
  <c r="K5272" i="2" s="1"/>
  <c r="K5273" i="2" s="1"/>
  <c r="K5274" i="2" s="1"/>
  <c r="K5275" i="2" s="1"/>
  <c r="K5276" i="2" s="1"/>
  <c r="K5277" i="2" s="1"/>
  <c r="K5278" i="2" s="1"/>
  <c r="K5279" i="2" s="1"/>
  <c r="K5280" i="2" s="1"/>
  <c r="K5281" i="2" s="1"/>
  <c r="K5282" i="2" s="1"/>
  <c r="K5283" i="2" s="1"/>
  <c r="K5284" i="2" s="1"/>
  <c r="K5285" i="2" s="1"/>
  <c r="K5286" i="2" s="1"/>
  <c r="K5287" i="2" s="1"/>
  <c r="K5288" i="2" s="1"/>
  <c r="K5289" i="2" s="1"/>
  <c r="K5290" i="2" s="1"/>
  <c r="K5291" i="2" s="1"/>
  <c r="K5292" i="2" s="1"/>
  <c r="K5293" i="2" s="1"/>
  <c r="K5294" i="2" s="1"/>
  <c r="K5295" i="2" s="1"/>
  <c r="K5296" i="2" s="1"/>
  <c r="K5297" i="2" s="1"/>
  <c r="K5298" i="2" s="1"/>
  <c r="K5299" i="2" s="1"/>
  <c r="K5300" i="2" s="1"/>
  <c r="K5301" i="2" s="1"/>
  <c r="K5302" i="2" s="1"/>
  <c r="K5303" i="2" s="1"/>
  <c r="K5304" i="2" s="1"/>
  <c r="K5305" i="2" s="1"/>
  <c r="K5306" i="2" s="1"/>
  <c r="K5307" i="2" s="1"/>
  <c r="K5308" i="2" s="1"/>
  <c r="K5309" i="2" s="1"/>
  <c r="K5310" i="2" s="1"/>
  <c r="K5311" i="2" s="1"/>
  <c r="K5312" i="2" s="1"/>
  <c r="K5313" i="2" s="1"/>
  <c r="K5314" i="2" s="1"/>
  <c r="K5315" i="2" s="1"/>
  <c r="K5316" i="2" s="1"/>
  <c r="K5317" i="2" s="1"/>
  <c r="K5318" i="2" s="1"/>
  <c r="K5319" i="2" s="1"/>
  <c r="K5320" i="2" s="1"/>
  <c r="K5321" i="2" s="1"/>
  <c r="K5322" i="2" s="1"/>
  <c r="K5323" i="2" s="1"/>
  <c r="K5324" i="2" s="1"/>
  <c r="K5325" i="2" s="1"/>
  <c r="K5326" i="2" s="1"/>
  <c r="K5327" i="2" s="1"/>
  <c r="K5328" i="2" s="1"/>
  <c r="K5329" i="2" s="1"/>
  <c r="K5330" i="2" s="1"/>
  <c r="K5331" i="2" s="1"/>
  <c r="K5332" i="2" s="1"/>
  <c r="K5333" i="2" s="1"/>
  <c r="K5334" i="2" s="1"/>
  <c r="K5335" i="2" s="1"/>
  <c r="K5336" i="2" s="1"/>
  <c r="K5337" i="2" s="1"/>
  <c r="K5338" i="2" s="1"/>
  <c r="K5339" i="2" s="1"/>
  <c r="K5340" i="2" s="1"/>
  <c r="K5341" i="2" s="1"/>
  <c r="K5342" i="2" s="1"/>
  <c r="K5343" i="2" s="1"/>
  <c r="K5344" i="2" s="1"/>
  <c r="K5345" i="2" s="1"/>
  <c r="K5346" i="2" s="1"/>
  <c r="K5347" i="2" s="1"/>
  <c r="K5348" i="2" s="1"/>
  <c r="K5349" i="2" s="1"/>
  <c r="K5350" i="2" s="1"/>
  <c r="K5351" i="2" s="1"/>
  <c r="K5352" i="2" s="1"/>
  <c r="K5353" i="2" s="1"/>
  <c r="K5354" i="2" s="1"/>
  <c r="K5355" i="2" s="1"/>
  <c r="K5356" i="2" s="1"/>
  <c r="K5357" i="2" s="1"/>
  <c r="K5358" i="2" s="1"/>
  <c r="K5359" i="2" s="1"/>
  <c r="K5360" i="2" s="1"/>
  <c r="K5361" i="2" s="1"/>
  <c r="K5362" i="2" s="1"/>
  <c r="K5363" i="2" s="1"/>
  <c r="K5364" i="2" s="1"/>
  <c r="K5365" i="2" s="1"/>
  <c r="K5366" i="2" s="1"/>
  <c r="K5367" i="2" s="1"/>
  <c r="K5368" i="2" s="1"/>
  <c r="K5369" i="2" s="1"/>
  <c r="K5370" i="2" s="1"/>
  <c r="K5371" i="2" s="1"/>
  <c r="K5372" i="2" s="1"/>
  <c r="K5373" i="2" s="1"/>
  <c r="K5374" i="2" s="1"/>
  <c r="K5375" i="2" s="1"/>
  <c r="K5376" i="2" s="1"/>
  <c r="K5377" i="2" s="1"/>
  <c r="K5378" i="2" s="1"/>
  <c r="K5379" i="2" s="1"/>
  <c r="K5380" i="2" s="1"/>
  <c r="K5381" i="2" s="1"/>
  <c r="K5382" i="2" s="1"/>
  <c r="K5383" i="2" s="1"/>
  <c r="K5384" i="2" s="1"/>
  <c r="K5385" i="2" s="1"/>
  <c r="K5386" i="2" s="1"/>
  <c r="K5387" i="2" s="1"/>
  <c r="K5388" i="2" s="1"/>
  <c r="K5389" i="2" s="1"/>
  <c r="K5390" i="2" s="1"/>
  <c r="K5391" i="2" s="1"/>
  <c r="K5392" i="2" s="1"/>
  <c r="K5393" i="2" s="1"/>
  <c r="K5394" i="2" s="1"/>
  <c r="K5395" i="2" s="1"/>
  <c r="K5396" i="2" s="1"/>
  <c r="K5397" i="2" s="1"/>
  <c r="K5398" i="2" s="1"/>
  <c r="K5399" i="2" s="1"/>
  <c r="K5400" i="2" s="1"/>
  <c r="K5401" i="2" s="1"/>
  <c r="K5402" i="2" s="1"/>
  <c r="K5403" i="2" s="1"/>
  <c r="K5404" i="2" s="1"/>
  <c r="K5405" i="2" s="1"/>
  <c r="K5406" i="2" s="1"/>
  <c r="K5407" i="2" s="1"/>
  <c r="K5408" i="2" s="1"/>
  <c r="K5409" i="2" s="1"/>
  <c r="K5410" i="2" s="1"/>
  <c r="K5411" i="2" s="1"/>
  <c r="K5412" i="2" s="1"/>
  <c r="K5413" i="2" s="1"/>
  <c r="K5414" i="2" s="1"/>
  <c r="K5415" i="2" s="1"/>
  <c r="K5416" i="2" s="1"/>
  <c r="K5417" i="2" s="1"/>
  <c r="K5418" i="2" s="1"/>
  <c r="K5419" i="2" s="1"/>
  <c r="K5420" i="2" s="1"/>
  <c r="K5421" i="2" s="1"/>
  <c r="K5422" i="2" s="1"/>
  <c r="K5423" i="2" s="1"/>
  <c r="K5424" i="2" s="1"/>
  <c r="K5425" i="2" s="1"/>
  <c r="K5426" i="2" s="1"/>
  <c r="K5427" i="2" s="1"/>
  <c r="K5428" i="2" s="1"/>
  <c r="K5429" i="2" s="1"/>
  <c r="K5430" i="2" s="1"/>
  <c r="K5431" i="2" s="1"/>
  <c r="K5432" i="2" s="1"/>
  <c r="K5433" i="2" s="1"/>
  <c r="K5434" i="2" s="1"/>
  <c r="K5435" i="2" s="1"/>
  <c r="K5436" i="2" s="1"/>
  <c r="K5437" i="2" s="1"/>
  <c r="K5438" i="2" s="1"/>
  <c r="K5439" i="2" s="1"/>
  <c r="K5440" i="2" s="1"/>
  <c r="K5441" i="2" s="1"/>
  <c r="K5442" i="2" s="1"/>
  <c r="K5443" i="2" s="1"/>
  <c r="K5444" i="2" s="1"/>
  <c r="K5445" i="2" s="1"/>
  <c r="K5446" i="2" s="1"/>
  <c r="K5447" i="2" s="1"/>
  <c r="K5448" i="2" s="1"/>
  <c r="K5449" i="2" s="1"/>
  <c r="K5450" i="2" s="1"/>
  <c r="K5451" i="2" s="1"/>
  <c r="K5452" i="2" s="1"/>
  <c r="K5453" i="2" s="1"/>
  <c r="K5454" i="2" s="1"/>
  <c r="K5455" i="2" s="1"/>
  <c r="K5456" i="2" s="1"/>
  <c r="K5457" i="2" s="1"/>
  <c r="K5458" i="2" s="1"/>
  <c r="K5459" i="2" s="1"/>
  <c r="K5460" i="2" s="1"/>
  <c r="K5461" i="2" s="1"/>
  <c r="K5462" i="2" s="1"/>
  <c r="K5463" i="2" s="1"/>
  <c r="K5464" i="2" s="1"/>
  <c r="K5465" i="2" s="1"/>
  <c r="K5466" i="2" s="1"/>
  <c r="K5467" i="2" s="1"/>
  <c r="K5468" i="2" s="1"/>
  <c r="K5469" i="2" s="1"/>
  <c r="K5470" i="2" s="1"/>
  <c r="K5471" i="2" s="1"/>
  <c r="K5472" i="2" s="1"/>
  <c r="K5473" i="2" s="1"/>
  <c r="K5474" i="2" s="1"/>
  <c r="K5475" i="2" s="1"/>
  <c r="K5476" i="2" s="1"/>
  <c r="K5477" i="2" s="1"/>
  <c r="K5478" i="2" s="1"/>
  <c r="K5479" i="2" s="1"/>
  <c r="K5480" i="2" s="1"/>
  <c r="K5481" i="2" s="1"/>
  <c r="K5482" i="2" s="1"/>
  <c r="K5483" i="2" s="1"/>
  <c r="K5484" i="2" s="1"/>
  <c r="K5485" i="2" s="1"/>
  <c r="K5486" i="2" s="1"/>
  <c r="K5487" i="2" s="1"/>
  <c r="K5488" i="2" s="1"/>
  <c r="K5489" i="2" s="1"/>
  <c r="K5490" i="2" s="1"/>
  <c r="K5491" i="2" s="1"/>
  <c r="K5492" i="2" s="1"/>
  <c r="K5493" i="2" s="1"/>
  <c r="K5494" i="2" s="1"/>
  <c r="K5495" i="2" s="1"/>
  <c r="K5496" i="2" s="1"/>
  <c r="K5497" i="2" s="1"/>
  <c r="K5498" i="2" s="1"/>
  <c r="K5499" i="2" s="1"/>
  <c r="K5500" i="2" s="1"/>
  <c r="K5501" i="2" s="1"/>
  <c r="K5502" i="2" s="1"/>
  <c r="K5503" i="2" s="1"/>
  <c r="K5504" i="2" s="1"/>
  <c r="K5505" i="2" s="1"/>
  <c r="K5506" i="2" s="1"/>
  <c r="K5507" i="2" s="1"/>
  <c r="K5508" i="2" s="1"/>
  <c r="K5509" i="2" s="1"/>
  <c r="K5510" i="2" s="1"/>
  <c r="K5511" i="2" s="1"/>
  <c r="K5512" i="2" s="1"/>
  <c r="K5513" i="2" s="1"/>
  <c r="K5514" i="2" s="1"/>
  <c r="K5515" i="2" s="1"/>
  <c r="K5516" i="2" s="1"/>
  <c r="K5517" i="2" s="1"/>
  <c r="K5518" i="2" s="1"/>
  <c r="K5519" i="2" s="1"/>
  <c r="K5520" i="2" s="1"/>
  <c r="K5521" i="2" s="1"/>
  <c r="K5522" i="2" s="1"/>
  <c r="K5523" i="2" s="1"/>
  <c r="K5524" i="2" s="1"/>
  <c r="K5525" i="2" s="1"/>
  <c r="K5526" i="2" s="1"/>
  <c r="K5527" i="2" s="1"/>
  <c r="K5528" i="2" s="1"/>
  <c r="K5529" i="2" s="1"/>
  <c r="K5530" i="2" s="1"/>
  <c r="K5531" i="2" s="1"/>
  <c r="K5532" i="2" s="1"/>
  <c r="K5533" i="2" s="1"/>
  <c r="K5534" i="2" s="1"/>
  <c r="K5535" i="2" s="1"/>
  <c r="K5536" i="2" s="1"/>
  <c r="K5537" i="2" s="1"/>
  <c r="K5538" i="2" s="1"/>
  <c r="K5539" i="2" s="1"/>
  <c r="K5540" i="2" s="1"/>
  <c r="K5541" i="2" s="1"/>
  <c r="K5542" i="2" s="1"/>
  <c r="K5543" i="2" s="1"/>
  <c r="K5544" i="2" s="1"/>
  <c r="K5545" i="2" s="1"/>
  <c r="K5546" i="2" s="1"/>
  <c r="K5547" i="2" s="1"/>
  <c r="K5548" i="2" s="1"/>
  <c r="K5549" i="2" s="1"/>
  <c r="K5550" i="2" s="1"/>
  <c r="K5551" i="2" s="1"/>
  <c r="K5552" i="2" s="1"/>
  <c r="K5553" i="2" s="1"/>
  <c r="K5554" i="2" s="1"/>
  <c r="K5555" i="2" s="1"/>
  <c r="K5556" i="2" s="1"/>
  <c r="K5557" i="2" s="1"/>
  <c r="K5558" i="2" s="1"/>
  <c r="K5559" i="2" s="1"/>
  <c r="K5560" i="2" s="1"/>
  <c r="K5561" i="2" s="1"/>
  <c r="K5562" i="2" s="1"/>
  <c r="K5563" i="2" s="1"/>
  <c r="K5564" i="2" s="1"/>
  <c r="K5565" i="2" s="1"/>
  <c r="K5566" i="2" s="1"/>
  <c r="K5567" i="2" s="1"/>
  <c r="K5568" i="2" s="1"/>
  <c r="K5569" i="2" s="1"/>
  <c r="K5570" i="2" s="1"/>
  <c r="K5571" i="2" s="1"/>
  <c r="K5572" i="2" s="1"/>
  <c r="K5573" i="2" s="1"/>
  <c r="K5574" i="2" s="1"/>
  <c r="K5575" i="2" s="1"/>
  <c r="K5576" i="2" s="1"/>
  <c r="K5577" i="2" s="1"/>
  <c r="K5578" i="2" s="1"/>
  <c r="K5579" i="2" s="1"/>
  <c r="K5580" i="2" s="1"/>
  <c r="K5581" i="2" s="1"/>
  <c r="K5582" i="2" s="1"/>
  <c r="K5583" i="2" s="1"/>
  <c r="K5584" i="2" s="1"/>
  <c r="K5585" i="2" s="1"/>
  <c r="K5586" i="2" s="1"/>
  <c r="K5587" i="2" s="1"/>
  <c r="K5588" i="2" s="1"/>
  <c r="K5589" i="2" s="1"/>
  <c r="K5590" i="2" s="1"/>
  <c r="K5591" i="2" s="1"/>
  <c r="K5592" i="2" s="1"/>
  <c r="K5593" i="2" s="1"/>
  <c r="K5594" i="2" s="1"/>
  <c r="K5595" i="2" s="1"/>
  <c r="K5596" i="2" s="1"/>
  <c r="K5597" i="2" s="1"/>
  <c r="K5598" i="2" s="1"/>
  <c r="K5599" i="2" s="1"/>
  <c r="K5600" i="2" s="1"/>
  <c r="K5601" i="2" s="1"/>
  <c r="K5602" i="2" s="1"/>
  <c r="K5603" i="2" s="1"/>
  <c r="K5604" i="2" s="1"/>
  <c r="K5605" i="2" s="1"/>
  <c r="K5606" i="2" s="1"/>
  <c r="K5607" i="2" s="1"/>
  <c r="K5608" i="2" s="1"/>
  <c r="K5609" i="2" s="1"/>
  <c r="K5610" i="2" s="1"/>
  <c r="K5611" i="2" s="1"/>
  <c r="K5612" i="2" s="1"/>
  <c r="K5613" i="2" s="1"/>
  <c r="K5614" i="2" s="1"/>
  <c r="K5615" i="2" s="1"/>
  <c r="K5616" i="2" s="1"/>
  <c r="K5617" i="2" s="1"/>
  <c r="K5618" i="2" s="1"/>
  <c r="K5619" i="2" s="1"/>
  <c r="K5620" i="2" s="1"/>
  <c r="K5621" i="2" s="1"/>
  <c r="K5622" i="2" s="1"/>
  <c r="K5623" i="2" s="1"/>
  <c r="K5624" i="2" s="1"/>
  <c r="K5625" i="2" s="1"/>
  <c r="K5626" i="2" s="1"/>
  <c r="K5627" i="2" s="1"/>
  <c r="K5628" i="2" s="1"/>
  <c r="K5629" i="2" s="1"/>
  <c r="K5630" i="2" s="1"/>
  <c r="K5631" i="2" s="1"/>
  <c r="K5632" i="2" s="1"/>
  <c r="K5633" i="2" s="1"/>
  <c r="K5634" i="2" s="1"/>
  <c r="K5635" i="2" s="1"/>
  <c r="K5636" i="2" s="1"/>
  <c r="K5637" i="2" s="1"/>
  <c r="K5638" i="2" s="1"/>
  <c r="K5639" i="2" s="1"/>
  <c r="K5640" i="2" s="1"/>
  <c r="K5641" i="2" s="1"/>
  <c r="K5642" i="2" s="1"/>
  <c r="K5643" i="2" s="1"/>
  <c r="K5644" i="2" s="1"/>
  <c r="K5645" i="2" s="1"/>
  <c r="K5646" i="2" s="1"/>
  <c r="K5647" i="2" s="1"/>
  <c r="K5648" i="2" s="1"/>
  <c r="K5649" i="2" s="1"/>
  <c r="K5650" i="2" s="1"/>
  <c r="K5651" i="2" s="1"/>
  <c r="K5652" i="2" s="1"/>
  <c r="K5653" i="2" s="1"/>
  <c r="K5654" i="2" s="1"/>
  <c r="K5655" i="2" s="1"/>
  <c r="K5656" i="2" s="1"/>
  <c r="K5657" i="2" s="1"/>
  <c r="K5658" i="2" s="1"/>
  <c r="K5659" i="2" s="1"/>
  <c r="K5660" i="2" s="1"/>
  <c r="K5661" i="2" s="1"/>
  <c r="K5662" i="2" s="1"/>
  <c r="K5663" i="2" s="1"/>
  <c r="K5664" i="2" s="1"/>
  <c r="K5665" i="2" s="1"/>
  <c r="K5666" i="2" s="1"/>
  <c r="K5667" i="2" s="1"/>
  <c r="K5668" i="2" s="1"/>
  <c r="K5669" i="2" s="1"/>
  <c r="K5670" i="2" s="1"/>
  <c r="K5671" i="2" s="1"/>
  <c r="K5672" i="2" s="1"/>
  <c r="K5673" i="2" s="1"/>
  <c r="K5674" i="2" s="1"/>
  <c r="K5675" i="2" s="1"/>
  <c r="K5676" i="2" s="1"/>
  <c r="K5677" i="2" s="1"/>
  <c r="K5678" i="2" s="1"/>
  <c r="K5679" i="2" s="1"/>
  <c r="K5680" i="2" s="1"/>
  <c r="K5681" i="2" s="1"/>
  <c r="K5682" i="2" s="1"/>
  <c r="K5683" i="2" s="1"/>
  <c r="K5684" i="2" s="1"/>
  <c r="K5685" i="2" s="1"/>
  <c r="K5686" i="2" s="1"/>
  <c r="K5687" i="2" s="1"/>
  <c r="K5688" i="2" s="1"/>
  <c r="K5689" i="2" s="1"/>
  <c r="K5690" i="2" s="1"/>
  <c r="K5691" i="2" s="1"/>
  <c r="K5692" i="2" s="1"/>
  <c r="K5693" i="2" s="1"/>
  <c r="K5694" i="2" s="1"/>
  <c r="K5695" i="2" s="1"/>
  <c r="K5696" i="2" s="1"/>
  <c r="K5697" i="2" s="1"/>
  <c r="K5698" i="2" s="1"/>
  <c r="K5699" i="2" s="1"/>
  <c r="K5700" i="2" s="1"/>
  <c r="K5701" i="2" s="1"/>
  <c r="K5702" i="2" s="1"/>
  <c r="K5703" i="2" s="1"/>
  <c r="K5704" i="2" s="1"/>
  <c r="K5705" i="2" s="1"/>
  <c r="K5706" i="2" s="1"/>
  <c r="K5707" i="2" s="1"/>
  <c r="K5708" i="2" s="1"/>
  <c r="K5709" i="2" s="1"/>
  <c r="K5710" i="2" s="1"/>
  <c r="K5711" i="2" s="1"/>
  <c r="K5712" i="2" s="1"/>
  <c r="K5713" i="2" s="1"/>
  <c r="K5714" i="2" s="1"/>
  <c r="K5715" i="2" s="1"/>
  <c r="K5716" i="2" s="1"/>
  <c r="K5717" i="2" s="1"/>
  <c r="K5718" i="2" s="1"/>
  <c r="K5719" i="2" s="1"/>
  <c r="K5720" i="2" s="1"/>
  <c r="K5721" i="2" s="1"/>
  <c r="K5722" i="2" s="1"/>
  <c r="K5723" i="2" s="1"/>
  <c r="K5724" i="2" s="1"/>
  <c r="K5725" i="2" s="1"/>
  <c r="K5726" i="2" s="1"/>
  <c r="K5727" i="2" s="1"/>
  <c r="K5728" i="2" s="1"/>
  <c r="K5729" i="2" s="1"/>
  <c r="K5730" i="2" s="1"/>
  <c r="K5731" i="2" s="1"/>
  <c r="K5732" i="2" s="1"/>
  <c r="K5733" i="2" s="1"/>
  <c r="K5734" i="2" s="1"/>
  <c r="K5735" i="2" s="1"/>
  <c r="K5736" i="2" s="1"/>
  <c r="K5737" i="2" s="1"/>
  <c r="K5738" i="2" s="1"/>
  <c r="K5739" i="2" s="1"/>
  <c r="K5740" i="2" s="1"/>
  <c r="K5741" i="2" s="1"/>
  <c r="K5742" i="2" s="1"/>
  <c r="K5743" i="2" s="1"/>
  <c r="K5744" i="2" s="1"/>
  <c r="K5745" i="2" s="1"/>
  <c r="K5746" i="2" s="1"/>
  <c r="K5747" i="2" s="1"/>
  <c r="K5748" i="2" s="1"/>
  <c r="K5749" i="2" s="1"/>
  <c r="K5750" i="2" s="1"/>
  <c r="K5751" i="2" s="1"/>
  <c r="K5752" i="2" s="1"/>
  <c r="K5753" i="2" s="1"/>
  <c r="K5754" i="2" s="1"/>
  <c r="K5755" i="2" s="1"/>
  <c r="K5756" i="2" s="1"/>
  <c r="K5757" i="2" s="1"/>
  <c r="K5758" i="2" s="1"/>
  <c r="K5759" i="2" s="1"/>
  <c r="K5760" i="2" s="1"/>
  <c r="K5761" i="2" s="1"/>
  <c r="K5762" i="2" s="1"/>
  <c r="K5763" i="2" s="1"/>
  <c r="K5764" i="2" s="1"/>
  <c r="K5765" i="2" s="1"/>
  <c r="K5766" i="2" s="1"/>
  <c r="K5767" i="2" s="1"/>
  <c r="K5768" i="2" s="1"/>
  <c r="K5769" i="2" s="1"/>
  <c r="K5770" i="2" s="1"/>
  <c r="K5771" i="2" s="1"/>
  <c r="K5772" i="2" s="1"/>
  <c r="K5773" i="2" s="1"/>
  <c r="K5774" i="2" s="1"/>
  <c r="K5775" i="2" s="1"/>
  <c r="K5776" i="2" s="1"/>
  <c r="K5777" i="2" s="1"/>
  <c r="K5778" i="2" s="1"/>
  <c r="K5779" i="2" s="1"/>
  <c r="K5780" i="2" s="1"/>
  <c r="K5781" i="2" s="1"/>
  <c r="K5782" i="2" s="1"/>
  <c r="K5783" i="2" s="1"/>
  <c r="K5784" i="2" s="1"/>
  <c r="K5785" i="2" s="1"/>
  <c r="K5786" i="2" s="1"/>
  <c r="K5787" i="2" s="1"/>
  <c r="K5788" i="2" s="1"/>
  <c r="K5789" i="2" s="1"/>
  <c r="K5790" i="2" s="1"/>
  <c r="K5791" i="2" s="1"/>
  <c r="K5792" i="2" s="1"/>
  <c r="K5793" i="2" s="1"/>
  <c r="K5794" i="2" s="1"/>
  <c r="K5795" i="2" s="1"/>
  <c r="K5796" i="2" s="1"/>
  <c r="K5797" i="2" s="1"/>
  <c r="K5798" i="2" s="1"/>
  <c r="K5799" i="2" s="1"/>
  <c r="K5800" i="2" s="1"/>
  <c r="K5801" i="2" s="1"/>
  <c r="K5802" i="2" s="1"/>
  <c r="K5803" i="2" s="1"/>
  <c r="K5804" i="2" s="1"/>
  <c r="K5805" i="2" s="1"/>
  <c r="K5806" i="2" s="1"/>
  <c r="K5807" i="2" s="1"/>
  <c r="K5808" i="2" s="1"/>
  <c r="K5809" i="2" s="1"/>
  <c r="K5810" i="2" s="1"/>
  <c r="K5811" i="2" s="1"/>
  <c r="K5812" i="2" s="1"/>
  <c r="K5813" i="2" s="1"/>
  <c r="K5814" i="2" s="1"/>
  <c r="K5815" i="2" s="1"/>
  <c r="K5816" i="2" s="1"/>
  <c r="K5817" i="2" s="1"/>
  <c r="K5818" i="2" s="1"/>
  <c r="K5819" i="2" s="1"/>
  <c r="K5820" i="2" s="1"/>
  <c r="K5821" i="2" s="1"/>
  <c r="K5822" i="2" s="1"/>
  <c r="K5823" i="2" s="1"/>
  <c r="K5824" i="2" s="1"/>
  <c r="K5825" i="2" s="1"/>
  <c r="K5826" i="2" s="1"/>
  <c r="K5827" i="2" s="1"/>
  <c r="K5828" i="2" s="1"/>
  <c r="K5829" i="2" s="1"/>
  <c r="K5830" i="2" s="1"/>
  <c r="K5831" i="2" s="1"/>
  <c r="K5832" i="2" s="1"/>
  <c r="K5833" i="2" s="1"/>
  <c r="K5834" i="2" s="1"/>
  <c r="K5835" i="2" s="1"/>
  <c r="K5836" i="2" s="1"/>
  <c r="K5837" i="2" s="1"/>
  <c r="K5838" i="2" s="1"/>
  <c r="K5839" i="2" s="1"/>
  <c r="K5840" i="2" s="1"/>
  <c r="K5841" i="2" s="1"/>
  <c r="K5842" i="2" s="1"/>
  <c r="K5843" i="2" s="1"/>
  <c r="K5844" i="2" s="1"/>
  <c r="K5845" i="2" s="1"/>
  <c r="K5846" i="2" s="1"/>
  <c r="K5847" i="2" s="1"/>
  <c r="K5848" i="2" s="1"/>
  <c r="K5849" i="2" s="1"/>
  <c r="K5850" i="2" s="1"/>
  <c r="K5851" i="2" s="1"/>
  <c r="K5852" i="2" s="1"/>
  <c r="K5853" i="2" s="1"/>
  <c r="K5854" i="2" s="1"/>
  <c r="K5855" i="2" s="1"/>
  <c r="K5856" i="2" s="1"/>
  <c r="K5857" i="2" s="1"/>
  <c r="K5858" i="2" s="1"/>
  <c r="K5859" i="2" s="1"/>
  <c r="K5860" i="2" s="1"/>
  <c r="K5861" i="2" s="1"/>
  <c r="K5862" i="2" s="1"/>
  <c r="K5863" i="2" s="1"/>
  <c r="K5864" i="2" s="1"/>
  <c r="K5865" i="2" s="1"/>
  <c r="K5866" i="2" s="1"/>
  <c r="K5867" i="2" s="1"/>
  <c r="K5868" i="2" s="1"/>
  <c r="K5869" i="2" s="1"/>
  <c r="K5870" i="2" s="1"/>
  <c r="K5871" i="2" s="1"/>
  <c r="K5872" i="2" s="1"/>
  <c r="K5873" i="2" s="1"/>
  <c r="K5874" i="2" s="1"/>
  <c r="K5875" i="2" s="1"/>
  <c r="K5876" i="2" s="1"/>
  <c r="K5877" i="2" s="1"/>
  <c r="K5878" i="2" s="1"/>
  <c r="K5879" i="2" s="1"/>
  <c r="K5880" i="2" s="1"/>
  <c r="K5881" i="2" s="1"/>
  <c r="K5882" i="2" s="1"/>
  <c r="K5883" i="2" s="1"/>
  <c r="K5884" i="2" s="1"/>
  <c r="K5885" i="2" s="1"/>
  <c r="K5886" i="2" s="1"/>
  <c r="K5887" i="2" s="1"/>
  <c r="K5888" i="2" s="1"/>
  <c r="K5889" i="2" s="1"/>
  <c r="K5890" i="2" s="1"/>
  <c r="K5891" i="2" s="1"/>
  <c r="K5892" i="2" s="1"/>
  <c r="K5893" i="2" s="1"/>
  <c r="K5894" i="2" s="1"/>
  <c r="K5895" i="2" s="1"/>
  <c r="K5896" i="2" s="1"/>
  <c r="K5897" i="2" s="1"/>
  <c r="K5898" i="2" s="1"/>
  <c r="K5899" i="2" s="1"/>
  <c r="K5900" i="2" s="1"/>
  <c r="K5901" i="2" s="1"/>
  <c r="K5902" i="2" s="1"/>
  <c r="K5903" i="2" s="1"/>
  <c r="K5904" i="2" s="1"/>
  <c r="K5905" i="2" s="1"/>
  <c r="K5906" i="2" s="1"/>
  <c r="K5907" i="2" s="1"/>
  <c r="K5908" i="2" s="1"/>
  <c r="K5909" i="2" s="1"/>
  <c r="K5910" i="2" s="1"/>
  <c r="K5911" i="2" s="1"/>
  <c r="K5912" i="2" s="1"/>
  <c r="K5913" i="2" s="1"/>
  <c r="K5914" i="2" s="1"/>
  <c r="K5915" i="2" s="1"/>
  <c r="K5916" i="2" s="1"/>
  <c r="K5917" i="2" s="1"/>
  <c r="K5918" i="2" s="1"/>
  <c r="K5919" i="2" s="1"/>
  <c r="K5920" i="2" s="1"/>
  <c r="K5921" i="2" s="1"/>
  <c r="K5922" i="2" s="1"/>
  <c r="K5923" i="2" s="1"/>
  <c r="K5924" i="2" s="1"/>
  <c r="K5925" i="2" s="1"/>
  <c r="K5926" i="2" s="1"/>
  <c r="K5927" i="2" s="1"/>
  <c r="K5928" i="2" s="1"/>
  <c r="K5929" i="2" s="1"/>
  <c r="K5930" i="2" s="1"/>
  <c r="K5931" i="2" s="1"/>
  <c r="K5932" i="2" s="1"/>
  <c r="K5933" i="2" s="1"/>
  <c r="K5934" i="2" s="1"/>
  <c r="K5935" i="2" s="1"/>
  <c r="K5936" i="2" s="1"/>
  <c r="K5937" i="2" s="1"/>
  <c r="K5938" i="2" s="1"/>
  <c r="K5939" i="2" s="1"/>
  <c r="K5940" i="2" s="1"/>
  <c r="K5941" i="2" s="1"/>
  <c r="K5942" i="2" s="1"/>
  <c r="K5943" i="2" s="1"/>
  <c r="K5944" i="2" s="1"/>
  <c r="K5945" i="2" s="1"/>
  <c r="K5946" i="2" s="1"/>
  <c r="K5947" i="2" s="1"/>
  <c r="K5948" i="2" s="1"/>
  <c r="K5949" i="2" s="1"/>
  <c r="K5950" i="2" s="1"/>
  <c r="K5951" i="2" s="1"/>
  <c r="K5952" i="2" s="1"/>
  <c r="K5953" i="2" s="1"/>
  <c r="K5954" i="2" s="1"/>
  <c r="K5955" i="2" s="1"/>
  <c r="K5956" i="2" s="1"/>
  <c r="K5957" i="2" s="1"/>
  <c r="K5958" i="2" s="1"/>
  <c r="K5959" i="2" s="1"/>
  <c r="K5960" i="2" s="1"/>
  <c r="K5961" i="2" s="1"/>
  <c r="K5962" i="2" s="1"/>
  <c r="K5963" i="2" s="1"/>
  <c r="K5964" i="2" s="1"/>
  <c r="K5965" i="2" s="1"/>
  <c r="K5966" i="2" s="1"/>
  <c r="K5967" i="2" s="1"/>
  <c r="K5968" i="2" s="1"/>
  <c r="K5969" i="2" s="1"/>
  <c r="K5970" i="2" s="1"/>
  <c r="K5971" i="2" s="1"/>
  <c r="K5972" i="2" s="1"/>
  <c r="K5973" i="2" s="1"/>
  <c r="K5974" i="2" s="1"/>
  <c r="K5975" i="2" s="1"/>
  <c r="K5976" i="2" s="1"/>
  <c r="K5977" i="2" s="1"/>
  <c r="K5978" i="2" s="1"/>
  <c r="K5979" i="2" s="1"/>
  <c r="K5980" i="2" s="1"/>
  <c r="K5981" i="2" s="1"/>
  <c r="K5982" i="2" s="1"/>
  <c r="K5983" i="2" s="1"/>
  <c r="K5984" i="2" s="1"/>
  <c r="K5985" i="2" s="1"/>
  <c r="K5986" i="2" s="1"/>
  <c r="K5987" i="2" s="1"/>
  <c r="K5988" i="2" s="1"/>
  <c r="K5989" i="2" s="1"/>
  <c r="K5990" i="2" s="1"/>
  <c r="K5991" i="2" s="1"/>
  <c r="K5992" i="2" s="1"/>
  <c r="K5993" i="2" s="1"/>
  <c r="K5994" i="2" s="1"/>
  <c r="K5995" i="2" s="1"/>
  <c r="K5996" i="2" s="1"/>
  <c r="K5997" i="2" s="1"/>
  <c r="K5998" i="2" s="1"/>
  <c r="K5999" i="2" s="1"/>
  <c r="K6000" i="2" s="1"/>
  <c r="K6001" i="2" s="1"/>
  <c r="K6002" i="2" s="1"/>
  <c r="K6003" i="2" s="1"/>
  <c r="K6004" i="2" s="1"/>
  <c r="K6005" i="2" s="1"/>
  <c r="K6006" i="2" s="1"/>
  <c r="K6007" i="2" s="1"/>
  <c r="K6008" i="2" s="1"/>
  <c r="K6009" i="2" s="1"/>
  <c r="K6010" i="2" s="1"/>
  <c r="K6011" i="2" s="1"/>
  <c r="K6012" i="2" s="1"/>
  <c r="K6013" i="2" s="1"/>
  <c r="K6014" i="2" s="1"/>
  <c r="K6015" i="2" s="1"/>
  <c r="K6016" i="2" s="1"/>
  <c r="K6017" i="2" s="1"/>
  <c r="K6018" i="2" s="1"/>
  <c r="K6019" i="2" s="1"/>
  <c r="K6020" i="2" s="1"/>
  <c r="K6021" i="2" s="1"/>
  <c r="K6022" i="2" s="1"/>
  <c r="K6023" i="2" s="1"/>
  <c r="K6024" i="2" s="1"/>
  <c r="K6025" i="2" s="1"/>
  <c r="K6026" i="2" s="1"/>
  <c r="K6027" i="2" s="1"/>
  <c r="K6028" i="2" s="1"/>
  <c r="K6029" i="2" s="1"/>
  <c r="K6030" i="2" s="1"/>
  <c r="K6031" i="2" s="1"/>
  <c r="K6032" i="2" s="1"/>
  <c r="K6033" i="2" s="1"/>
  <c r="K6034" i="2" s="1"/>
  <c r="K6035" i="2" s="1"/>
  <c r="K6036" i="2" s="1"/>
  <c r="K6037" i="2" s="1"/>
  <c r="K6038" i="2" s="1"/>
  <c r="K6039" i="2" s="1"/>
  <c r="K6040" i="2" s="1"/>
  <c r="K6041" i="2" s="1"/>
  <c r="K6042" i="2" s="1"/>
  <c r="K6043" i="2" s="1"/>
  <c r="K6044" i="2" s="1"/>
  <c r="K6045" i="2" s="1"/>
  <c r="K6046" i="2" s="1"/>
  <c r="K6047" i="2" s="1"/>
  <c r="K6048" i="2" s="1"/>
  <c r="K6049" i="2" s="1"/>
  <c r="K6050" i="2" s="1"/>
  <c r="K6051" i="2" s="1"/>
  <c r="K6052" i="2" s="1"/>
  <c r="K6053" i="2" s="1"/>
  <c r="K6054" i="2" s="1"/>
  <c r="K6055" i="2" s="1"/>
  <c r="K6056" i="2" s="1"/>
  <c r="K6057" i="2" s="1"/>
  <c r="K6058" i="2" s="1"/>
  <c r="K6059" i="2" s="1"/>
  <c r="K6060" i="2" s="1"/>
  <c r="K6061" i="2" s="1"/>
  <c r="K6062" i="2" s="1"/>
  <c r="K6063" i="2" s="1"/>
  <c r="K6064" i="2" s="1"/>
  <c r="K6065" i="2" s="1"/>
  <c r="K6066" i="2" s="1"/>
  <c r="K6067" i="2" s="1"/>
  <c r="K6068" i="2" s="1"/>
  <c r="K6069" i="2" s="1"/>
  <c r="K6070" i="2" s="1"/>
  <c r="K6071" i="2" s="1"/>
  <c r="K6072" i="2" s="1"/>
  <c r="K6073" i="2" s="1"/>
  <c r="K6074" i="2" s="1"/>
  <c r="K6075" i="2" s="1"/>
  <c r="K6076" i="2" s="1"/>
  <c r="K6077" i="2" s="1"/>
  <c r="K6078" i="2" s="1"/>
  <c r="K6079" i="2" s="1"/>
  <c r="K6080" i="2" s="1"/>
  <c r="K6081" i="2" s="1"/>
  <c r="K6082" i="2" s="1"/>
  <c r="K6083" i="2" s="1"/>
  <c r="K6084" i="2" s="1"/>
  <c r="K6085" i="2" s="1"/>
  <c r="K6086" i="2" s="1"/>
  <c r="K6087" i="2" s="1"/>
  <c r="K6088" i="2" s="1"/>
  <c r="K6089" i="2" s="1"/>
  <c r="K6090" i="2" s="1"/>
  <c r="K6091" i="2" s="1"/>
  <c r="K6092" i="2" s="1"/>
  <c r="K6093" i="2" s="1"/>
  <c r="K6094" i="2" s="1"/>
  <c r="K6095" i="2" s="1"/>
  <c r="K6096" i="2" s="1"/>
  <c r="K6097" i="2" s="1"/>
  <c r="K6098" i="2" s="1"/>
  <c r="K6099" i="2" s="1"/>
  <c r="K6100" i="2" s="1"/>
  <c r="K6101" i="2" s="1"/>
  <c r="K6102" i="2" s="1"/>
  <c r="K6103" i="2" s="1"/>
  <c r="K6104" i="2" s="1"/>
  <c r="K6105" i="2" s="1"/>
  <c r="K6106" i="2" s="1"/>
  <c r="K6107" i="2" s="1"/>
  <c r="K6108" i="2" s="1"/>
  <c r="K6109" i="2" s="1"/>
  <c r="K6110" i="2" s="1"/>
  <c r="K6111" i="2" s="1"/>
  <c r="K6112" i="2" s="1"/>
  <c r="K6113" i="2" s="1"/>
  <c r="K6114" i="2" s="1"/>
  <c r="K6115" i="2" s="1"/>
  <c r="K6116" i="2" s="1"/>
  <c r="K6117" i="2" s="1"/>
  <c r="K6118" i="2" s="1"/>
  <c r="K6119" i="2" s="1"/>
  <c r="K6120" i="2" s="1"/>
  <c r="K6121" i="2" s="1"/>
  <c r="K6122" i="2" s="1"/>
  <c r="K6123" i="2" s="1"/>
  <c r="K6124" i="2" s="1"/>
  <c r="K6125" i="2" s="1"/>
  <c r="K6126" i="2" s="1"/>
  <c r="K6127" i="2" s="1"/>
  <c r="K6128" i="2" s="1"/>
  <c r="K6129" i="2" s="1"/>
  <c r="K6130" i="2" s="1"/>
  <c r="K6131" i="2" s="1"/>
  <c r="K6132" i="2" s="1"/>
  <c r="K6133" i="2" s="1"/>
  <c r="K6134" i="2" s="1"/>
  <c r="K6135" i="2" s="1"/>
  <c r="K6136" i="2" s="1"/>
  <c r="K6137" i="2" s="1"/>
  <c r="K6138" i="2" s="1"/>
  <c r="K6139" i="2" s="1"/>
  <c r="K6140" i="2" s="1"/>
  <c r="K6141" i="2" s="1"/>
  <c r="K6142" i="2" s="1"/>
  <c r="K6143" i="2" s="1"/>
  <c r="K6144" i="2" s="1"/>
  <c r="K6145" i="2" s="1"/>
  <c r="K6146" i="2" s="1"/>
  <c r="K6147" i="2" s="1"/>
  <c r="K6148" i="2" s="1"/>
  <c r="K6149" i="2" s="1"/>
  <c r="K6150" i="2" s="1"/>
  <c r="K6151" i="2" s="1"/>
  <c r="K6152" i="2" s="1"/>
  <c r="K6153" i="2" s="1"/>
  <c r="K6154" i="2" s="1"/>
  <c r="K6155" i="2" s="1"/>
  <c r="K6156" i="2" s="1"/>
  <c r="K6157" i="2" s="1"/>
  <c r="K6158" i="2" s="1"/>
  <c r="K6159" i="2" s="1"/>
  <c r="K6160" i="2" s="1"/>
  <c r="K6161" i="2" s="1"/>
  <c r="K6162" i="2" s="1"/>
  <c r="K6163" i="2" s="1"/>
  <c r="K6164" i="2" s="1"/>
  <c r="K6165" i="2" s="1"/>
  <c r="K6166" i="2" s="1"/>
  <c r="K6167" i="2" s="1"/>
  <c r="K6168" i="2" s="1"/>
  <c r="K6169" i="2" s="1"/>
  <c r="K6170" i="2" s="1"/>
  <c r="K6171" i="2" s="1"/>
  <c r="K6172" i="2" s="1"/>
  <c r="K6173" i="2" s="1"/>
  <c r="K6174" i="2" s="1"/>
  <c r="K6175" i="2" s="1"/>
  <c r="K6176" i="2" s="1"/>
  <c r="K6177" i="2" s="1"/>
  <c r="K6178" i="2" s="1"/>
  <c r="K6179" i="2" s="1"/>
  <c r="K6180" i="2" s="1"/>
  <c r="K6181" i="2" s="1"/>
  <c r="K6182" i="2" s="1"/>
  <c r="K6183" i="2" s="1"/>
  <c r="K6184" i="2" s="1"/>
  <c r="K6185" i="2" s="1"/>
  <c r="K6186" i="2" s="1"/>
  <c r="K6187" i="2" s="1"/>
  <c r="K6188" i="2" s="1"/>
  <c r="K6189" i="2" s="1"/>
  <c r="K6190" i="2" s="1"/>
  <c r="K6191" i="2" s="1"/>
  <c r="K6192" i="2" s="1"/>
  <c r="K6193" i="2" s="1"/>
  <c r="K6194" i="2" s="1"/>
  <c r="K6195" i="2" s="1"/>
  <c r="K6196" i="2" s="1"/>
  <c r="K6197" i="2" s="1"/>
  <c r="K6198" i="2" s="1"/>
  <c r="K6199" i="2" s="1"/>
  <c r="K6200" i="2" s="1"/>
  <c r="K6201" i="2" s="1"/>
  <c r="K6202" i="2" s="1"/>
  <c r="K6203" i="2" s="1"/>
  <c r="K6204" i="2" s="1"/>
  <c r="K6205" i="2" s="1"/>
  <c r="K6206" i="2" s="1"/>
  <c r="K6207" i="2" s="1"/>
  <c r="K6208" i="2" s="1"/>
  <c r="K6209" i="2" s="1"/>
  <c r="K6210" i="2" s="1"/>
  <c r="K6211" i="2" s="1"/>
  <c r="K6212" i="2" s="1"/>
  <c r="K6213" i="2" s="1"/>
  <c r="K6214" i="2" s="1"/>
  <c r="K6215" i="2" s="1"/>
  <c r="K6216" i="2" s="1"/>
  <c r="K6217" i="2" s="1"/>
  <c r="K6218" i="2" s="1"/>
  <c r="K6219" i="2" s="1"/>
  <c r="K6220" i="2" s="1"/>
  <c r="K6221" i="2" s="1"/>
  <c r="K6222" i="2" s="1"/>
  <c r="K6223" i="2" s="1"/>
  <c r="K6224" i="2" s="1"/>
  <c r="K6225" i="2" s="1"/>
  <c r="K6226" i="2" s="1"/>
  <c r="K6227" i="2" s="1"/>
  <c r="K6228" i="2" s="1"/>
  <c r="K6229" i="2" s="1"/>
  <c r="K6230" i="2" s="1"/>
  <c r="K6231" i="2" s="1"/>
  <c r="K6232" i="2" s="1"/>
  <c r="K6233" i="2" s="1"/>
  <c r="K6234" i="2" s="1"/>
  <c r="K6235" i="2" s="1"/>
  <c r="K6236" i="2" s="1"/>
  <c r="K6237" i="2" s="1"/>
  <c r="K6238" i="2" s="1"/>
  <c r="K6239" i="2" s="1"/>
  <c r="K6240" i="2" s="1"/>
  <c r="K6241" i="2" s="1"/>
  <c r="K6242" i="2" s="1"/>
  <c r="K6243" i="2" s="1"/>
  <c r="K6244" i="2" s="1"/>
  <c r="K6245" i="2" s="1"/>
  <c r="K6246" i="2" s="1"/>
  <c r="K6247" i="2" s="1"/>
  <c r="K6248" i="2" s="1"/>
  <c r="K6249" i="2" s="1"/>
  <c r="K6250" i="2" s="1"/>
  <c r="K6251" i="2" s="1"/>
  <c r="K6252" i="2" s="1"/>
  <c r="K6253" i="2" s="1"/>
  <c r="K6254" i="2" s="1"/>
  <c r="K6255" i="2" s="1"/>
  <c r="K6256" i="2" s="1"/>
  <c r="K6257" i="2" s="1"/>
  <c r="K6258" i="2" s="1"/>
  <c r="K6259" i="2" s="1"/>
  <c r="K6260" i="2" s="1"/>
  <c r="K6261" i="2" s="1"/>
  <c r="K6262" i="2" s="1"/>
  <c r="K6263" i="2" s="1"/>
  <c r="K6264" i="2" s="1"/>
  <c r="K6265" i="2" s="1"/>
  <c r="K6266" i="2" s="1"/>
  <c r="K6267" i="2" s="1"/>
  <c r="K6268" i="2" s="1"/>
  <c r="K6269" i="2" s="1"/>
  <c r="K6270" i="2" s="1"/>
  <c r="K6271" i="2" s="1"/>
  <c r="K6272" i="2" s="1"/>
  <c r="K6273" i="2" s="1"/>
  <c r="K6274" i="2" s="1"/>
  <c r="K6275" i="2" s="1"/>
  <c r="K6276" i="2" s="1"/>
  <c r="K6277" i="2" s="1"/>
  <c r="K6278" i="2" s="1"/>
  <c r="K6279" i="2" s="1"/>
  <c r="K6280" i="2" s="1"/>
  <c r="K6281" i="2" s="1"/>
  <c r="K6282" i="2" s="1"/>
  <c r="K6283" i="2" s="1"/>
  <c r="K6284" i="2" s="1"/>
  <c r="K6285" i="2" s="1"/>
  <c r="K6286" i="2" s="1"/>
  <c r="K6287" i="2" s="1"/>
  <c r="K6288" i="2" s="1"/>
  <c r="K6289" i="2" s="1"/>
  <c r="K6290" i="2" s="1"/>
  <c r="K6291" i="2" s="1"/>
  <c r="K6292" i="2" s="1"/>
  <c r="K6293" i="2" s="1"/>
  <c r="K6294" i="2" s="1"/>
  <c r="K6295" i="2" s="1"/>
  <c r="K6296" i="2" s="1"/>
  <c r="K6297" i="2" s="1"/>
  <c r="K6298" i="2" s="1"/>
  <c r="K6299" i="2" s="1"/>
  <c r="K6300" i="2" s="1"/>
  <c r="K6301" i="2" s="1"/>
  <c r="K6302" i="2" s="1"/>
  <c r="K6303" i="2" s="1"/>
  <c r="K6304" i="2" s="1"/>
  <c r="K6305" i="2" s="1"/>
  <c r="K6306" i="2" s="1"/>
  <c r="K6307" i="2" s="1"/>
  <c r="K6308" i="2" s="1"/>
  <c r="K6309" i="2" s="1"/>
  <c r="K6310" i="2" s="1"/>
  <c r="K6311" i="2" s="1"/>
  <c r="K6312" i="2" s="1"/>
  <c r="K6313" i="2" s="1"/>
  <c r="K6314" i="2" s="1"/>
  <c r="K6315" i="2" s="1"/>
  <c r="K6316" i="2" s="1"/>
  <c r="K6317" i="2" s="1"/>
  <c r="K6318" i="2" s="1"/>
  <c r="K6319" i="2" s="1"/>
  <c r="K6320" i="2" s="1"/>
  <c r="K6321" i="2" s="1"/>
  <c r="K6322" i="2" s="1"/>
  <c r="K6323" i="2" s="1"/>
  <c r="K6324" i="2" s="1"/>
  <c r="K6325" i="2" s="1"/>
  <c r="K6326" i="2" s="1"/>
  <c r="K6327" i="2" s="1"/>
  <c r="K6328" i="2" s="1"/>
  <c r="K6329" i="2" s="1"/>
  <c r="K6330" i="2" s="1"/>
  <c r="K6331" i="2" s="1"/>
  <c r="K6332" i="2" s="1"/>
  <c r="K6333" i="2" s="1"/>
  <c r="K6334" i="2" s="1"/>
  <c r="K6335" i="2" s="1"/>
  <c r="K6336" i="2" s="1"/>
  <c r="K6337" i="2" s="1"/>
  <c r="K6338" i="2" s="1"/>
  <c r="K6339" i="2" s="1"/>
  <c r="K6340" i="2" s="1"/>
  <c r="K6341" i="2" s="1"/>
  <c r="K6342" i="2" s="1"/>
  <c r="K6343" i="2" s="1"/>
  <c r="K6344" i="2" s="1"/>
  <c r="K6345" i="2" s="1"/>
  <c r="K6346" i="2" s="1"/>
  <c r="K6347" i="2" s="1"/>
  <c r="K6348" i="2" s="1"/>
  <c r="K6349" i="2" s="1"/>
  <c r="K6350" i="2" s="1"/>
  <c r="K6351" i="2" s="1"/>
  <c r="K6352" i="2" s="1"/>
  <c r="K6353" i="2" s="1"/>
  <c r="K6354" i="2" s="1"/>
  <c r="K6355" i="2" s="1"/>
  <c r="K6356" i="2" s="1"/>
  <c r="K6357" i="2" s="1"/>
  <c r="K6358" i="2" s="1"/>
  <c r="K6359" i="2" s="1"/>
  <c r="K6360" i="2" s="1"/>
  <c r="K6361" i="2" s="1"/>
  <c r="K6362" i="2" s="1"/>
  <c r="K6363" i="2" s="1"/>
  <c r="K6364" i="2" s="1"/>
  <c r="K6365" i="2" s="1"/>
  <c r="K6366" i="2" s="1"/>
  <c r="K6367" i="2" s="1"/>
  <c r="K6368" i="2" s="1"/>
  <c r="K6369" i="2" s="1"/>
  <c r="K6370" i="2" s="1"/>
  <c r="K6371" i="2" s="1"/>
  <c r="K6372" i="2" s="1"/>
  <c r="K6373" i="2" s="1"/>
  <c r="K6374" i="2" s="1"/>
  <c r="K6375" i="2" s="1"/>
  <c r="K6376" i="2" s="1"/>
  <c r="K6377" i="2" s="1"/>
  <c r="K6378" i="2" s="1"/>
  <c r="K6379" i="2" s="1"/>
  <c r="K6380" i="2" s="1"/>
  <c r="K6381" i="2" s="1"/>
  <c r="K6382" i="2" s="1"/>
  <c r="K6383" i="2" s="1"/>
  <c r="K6384" i="2" s="1"/>
  <c r="K6385" i="2" s="1"/>
  <c r="K6386" i="2" s="1"/>
  <c r="K6387" i="2" s="1"/>
  <c r="K6388" i="2" s="1"/>
  <c r="K6389" i="2" s="1"/>
  <c r="K6390" i="2" s="1"/>
  <c r="K6391" i="2" s="1"/>
  <c r="K6392" i="2" s="1"/>
  <c r="K6393" i="2" s="1"/>
  <c r="K6394" i="2" s="1"/>
  <c r="K6395" i="2" s="1"/>
  <c r="K6396" i="2" s="1"/>
  <c r="K6397" i="2" s="1"/>
  <c r="K6398" i="2" s="1"/>
  <c r="K6399" i="2" s="1"/>
  <c r="K6400" i="2" s="1"/>
  <c r="K6401" i="2" s="1"/>
  <c r="K6402" i="2" s="1"/>
  <c r="K6403" i="2" s="1"/>
  <c r="K6404" i="2" s="1"/>
  <c r="K6405" i="2" s="1"/>
  <c r="K6406" i="2" s="1"/>
  <c r="K6407" i="2" s="1"/>
  <c r="K6408" i="2" s="1"/>
  <c r="K6409" i="2" s="1"/>
  <c r="K6410" i="2" s="1"/>
  <c r="K6411" i="2" s="1"/>
  <c r="K6412" i="2" s="1"/>
  <c r="K6413" i="2" s="1"/>
  <c r="K6414" i="2" s="1"/>
  <c r="K6415" i="2" s="1"/>
  <c r="K6416" i="2" s="1"/>
  <c r="K6417" i="2" s="1"/>
  <c r="K6418" i="2" s="1"/>
  <c r="K6419" i="2" s="1"/>
  <c r="K6420" i="2" s="1"/>
  <c r="K6421" i="2" s="1"/>
  <c r="K6422" i="2" s="1"/>
  <c r="K6423" i="2" s="1"/>
  <c r="K6424" i="2" s="1"/>
  <c r="K6425" i="2" s="1"/>
  <c r="K6426" i="2" s="1"/>
  <c r="K6427" i="2" s="1"/>
  <c r="K6428" i="2" s="1"/>
  <c r="K6429" i="2" s="1"/>
  <c r="K6430" i="2" s="1"/>
  <c r="K6431" i="2" s="1"/>
  <c r="K6432" i="2" s="1"/>
  <c r="K6433" i="2" s="1"/>
  <c r="K6434" i="2" s="1"/>
  <c r="K6435" i="2" s="1"/>
  <c r="K6436" i="2" s="1"/>
  <c r="K6437" i="2" s="1"/>
  <c r="K6438" i="2" s="1"/>
  <c r="K6439" i="2" s="1"/>
  <c r="K6440" i="2" s="1"/>
  <c r="K6441" i="2" s="1"/>
  <c r="K6442" i="2" s="1"/>
  <c r="K6443" i="2" s="1"/>
  <c r="K6444" i="2" s="1"/>
  <c r="K6445" i="2" s="1"/>
  <c r="K6446" i="2" s="1"/>
  <c r="K6447" i="2" s="1"/>
  <c r="K6448" i="2" s="1"/>
  <c r="K6449" i="2" s="1"/>
  <c r="K6450" i="2" s="1"/>
  <c r="K6451" i="2" s="1"/>
  <c r="K6452" i="2" s="1"/>
  <c r="K6453" i="2" s="1"/>
  <c r="K6454" i="2" s="1"/>
  <c r="K6455" i="2" s="1"/>
  <c r="K6456" i="2" s="1"/>
  <c r="K6457" i="2" s="1"/>
  <c r="K6458" i="2" s="1"/>
  <c r="K6459" i="2" s="1"/>
  <c r="K6460" i="2" s="1"/>
  <c r="K6461" i="2" s="1"/>
  <c r="K6462" i="2" s="1"/>
  <c r="K6463" i="2" s="1"/>
  <c r="K6464" i="2" s="1"/>
  <c r="K6465" i="2" s="1"/>
  <c r="K6466" i="2" s="1"/>
  <c r="K6467" i="2" s="1"/>
  <c r="K6468" i="2" s="1"/>
  <c r="K6469" i="2" s="1"/>
  <c r="K6470" i="2" s="1"/>
  <c r="K6471" i="2" s="1"/>
  <c r="K6472" i="2" s="1"/>
  <c r="K6473" i="2" s="1"/>
  <c r="K6474" i="2" s="1"/>
  <c r="K6475" i="2" s="1"/>
  <c r="K6476" i="2" s="1"/>
  <c r="K6477" i="2" s="1"/>
  <c r="K6478" i="2" s="1"/>
  <c r="K6479" i="2" s="1"/>
  <c r="K6480" i="2" s="1"/>
  <c r="K6481" i="2" s="1"/>
  <c r="K6482" i="2" s="1"/>
  <c r="K6483" i="2" s="1"/>
  <c r="K6484" i="2" s="1"/>
  <c r="K6485" i="2" s="1"/>
  <c r="K6486" i="2" s="1"/>
  <c r="K6487" i="2" s="1"/>
  <c r="K6488" i="2" s="1"/>
  <c r="K6489" i="2" s="1"/>
  <c r="K6490" i="2" s="1"/>
  <c r="K6491" i="2" s="1"/>
  <c r="K6492" i="2" s="1"/>
  <c r="K6493" i="2" s="1"/>
  <c r="K6494" i="2" s="1"/>
  <c r="K6495" i="2" s="1"/>
  <c r="K6496" i="2" s="1"/>
  <c r="K6497" i="2" s="1"/>
  <c r="K6498" i="2" s="1"/>
  <c r="K6499" i="2" s="1"/>
  <c r="K6500" i="2" s="1"/>
  <c r="K6501" i="2" s="1"/>
  <c r="K6502" i="2" s="1"/>
  <c r="K6503" i="2" s="1"/>
  <c r="K6504" i="2" s="1"/>
  <c r="K6505" i="2" s="1"/>
  <c r="K6506" i="2" s="1"/>
  <c r="K6507" i="2" s="1"/>
  <c r="K6508" i="2" s="1"/>
  <c r="K6509" i="2" s="1"/>
  <c r="K6510" i="2" s="1"/>
  <c r="K6511" i="2" s="1"/>
  <c r="K6512" i="2" s="1"/>
  <c r="K6513" i="2" s="1"/>
  <c r="K6514" i="2" s="1"/>
  <c r="K6515" i="2" s="1"/>
  <c r="K6516" i="2" s="1"/>
  <c r="K6517" i="2" s="1"/>
  <c r="K6518" i="2" s="1"/>
  <c r="K6519" i="2" s="1"/>
  <c r="K6520" i="2" s="1"/>
  <c r="K6521" i="2" s="1"/>
  <c r="K6522" i="2" s="1"/>
  <c r="K6523" i="2" s="1"/>
  <c r="K6524" i="2" s="1"/>
  <c r="K6525" i="2" s="1"/>
  <c r="K6526" i="2" s="1"/>
  <c r="K6527" i="2" s="1"/>
  <c r="K6528" i="2" s="1"/>
  <c r="K6529" i="2" s="1"/>
  <c r="K6530" i="2" s="1"/>
  <c r="K6531" i="2" s="1"/>
  <c r="K6532" i="2" s="1"/>
  <c r="K6533" i="2" s="1"/>
  <c r="K6534" i="2" s="1"/>
  <c r="K6535" i="2" s="1"/>
  <c r="K6536" i="2" s="1"/>
  <c r="K6537" i="2" s="1"/>
  <c r="K6538" i="2" s="1"/>
  <c r="K6539" i="2" s="1"/>
  <c r="K6540" i="2" s="1"/>
  <c r="K6541" i="2" s="1"/>
  <c r="K6542" i="2" s="1"/>
  <c r="K6543" i="2" s="1"/>
  <c r="K6544" i="2" s="1"/>
  <c r="K6545" i="2" s="1"/>
  <c r="K6546" i="2" s="1"/>
  <c r="K6547" i="2" s="1"/>
  <c r="K6548" i="2" s="1"/>
  <c r="K6549" i="2" s="1"/>
  <c r="K6550" i="2" s="1"/>
  <c r="K6551" i="2" s="1"/>
  <c r="K6552" i="2" s="1"/>
  <c r="K6553" i="2" s="1"/>
  <c r="K6554" i="2" s="1"/>
  <c r="K6555" i="2" s="1"/>
  <c r="K6556" i="2" s="1"/>
  <c r="K6557" i="2" s="1"/>
  <c r="K6558" i="2" s="1"/>
  <c r="K6559" i="2" s="1"/>
  <c r="K6560" i="2" s="1"/>
  <c r="K6561" i="2" s="1"/>
  <c r="K6562" i="2" s="1"/>
  <c r="K6563" i="2" s="1"/>
  <c r="K6564" i="2" s="1"/>
  <c r="K6565" i="2" s="1"/>
  <c r="K6566" i="2" s="1"/>
  <c r="K6567" i="2" s="1"/>
  <c r="K6568" i="2" s="1"/>
  <c r="K6569" i="2" s="1"/>
  <c r="K6570" i="2" s="1"/>
  <c r="K6571" i="2" s="1"/>
  <c r="K6572" i="2" s="1"/>
  <c r="K6573" i="2" s="1"/>
  <c r="K6574" i="2" s="1"/>
  <c r="K6575" i="2" s="1"/>
  <c r="K6576" i="2" s="1"/>
  <c r="K6577" i="2" s="1"/>
  <c r="K6578" i="2" s="1"/>
  <c r="K6579" i="2" s="1"/>
  <c r="K6580" i="2" s="1"/>
  <c r="K6581" i="2" s="1"/>
  <c r="K6582" i="2" s="1"/>
  <c r="K6583" i="2" s="1"/>
  <c r="K6584" i="2" s="1"/>
  <c r="K6585" i="2" s="1"/>
  <c r="K6586" i="2" s="1"/>
  <c r="K6587" i="2" s="1"/>
  <c r="K6588" i="2" s="1"/>
  <c r="K6589" i="2" s="1"/>
  <c r="K6590" i="2" s="1"/>
  <c r="K6591" i="2" s="1"/>
  <c r="K6592" i="2" s="1"/>
  <c r="K6593" i="2" s="1"/>
  <c r="K6594" i="2" s="1"/>
  <c r="K6595" i="2" s="1"/>
  <c r="K6596" i="2" s="1"/>
  <c r="K6597" i="2" s="1"/>
  <c r="K6598" i="2" s="1"/>
  <c r="K6599" i="2" s="1"/>
  <c r="K6600" i="2" s="1"/>
  <c r="K6601" i="2" s="1"/>
  <c r="K6602" i="2" s="1"/>
  <c r="K6603" i="2" s="1"/>
  <c r="K6604" i="2" s="1"/>
  <c r="K6605" i="2" s="1"/>
  <c r="K6606" i="2" s="1"/>
  <c r="K6607" i="2" s="1"/>
  <c r="K6608" i="2" s="1"/>
  <c r="K6609" i="2" s="1"/>
  <c r="K6610" i="2" s="1"/>
  <c r="K6611" i="2" s="1"/>
  <c r="K6612" i="2" s="1"/>
  <c r="K6613" i="2" s="1"/>
  <c r="K6614" i="2" s="1"/>
  <c r="K6615" i="2" s="1"/>
  <c r="K6616" i="2" s="1"/>
  <c r="K6617" i="2" s="1"/>
  <c r="K6618" i="2" s="1"/>
  <c r="K6619" i="2" s="1"/>
  <c r="K6620" i="2" s="1"/>
  <c r="K6621" i="2" s="1"/>
  <c r="K6622" i="2" s="1"/>
  <c r="K6623" i="2" s="1"/>
  <c r="K6624" i="2" s="1"/>
  <c r="K6625" i="2" s="1"/>
  <c r="K6626" i="2" s="1"/>
  <c r="K6627" i="2" s="1"/>
  <c r="K6628" i="2" s="1"/>
  <c r="K6629" i="2" s="1"/>
  <c r="K6630" i="2" s="1"/>
  <c r="K6631" i="2" s="1"/>
  <c r="K6632" i="2" s="1"/>
  <c r="K6633" i="2" s="1"/>
  <c r="K6634" i="2" s="1"/>
  <c r="K6635" i="2" s="1"/>
  <c r="K6636" i="2" s="1"/>
  <c r="K6637" i="2" s="1"/>
  <c r="K6638" i="2" s="1"/>
  <c r="K6639" i="2" s="1"/>
  <c r="K6640" i="2" s="1"/>
  <c r="K6641" i="2" s="1"/>
  <c r="K6642" i="2" s="1"/>
  <c r="K6643" i="2" s="1"/>
  <c r="K6644" i="2" s="1"/>
  <c r="K6645" i="2" s="1"/>
  <c r="K6646" i="2" s="1"/>
  <c r="K6647" i="2" s="1"/>
  <c r="K6648" i="2" s="1"/>
  <c r="K6649" i="2" s="1"/>
  <c r="K6650" i="2" s="1"/>
  <c r="K6651" i="2" s="1"/>
  <c r="K6652" i="2" s="1"/>
  <c r="K6653" i="2" s="1"/>
  <c r="K6654" i="2" s="1"/>
  <c r="K6655" i="2" s="1"/>
  <c r="K6656" i="2" s="1"/>
  <c r="K6657" i="2" s="1"/>
  <c r="K6658" i="2" s="1"/>
  <c r="K6659" i="2" s="1"/>
  <c r="K6660" i="2" s="1"/>
  <c r="K6661" i="2" s="1"/>
  <c r="K6662" i="2" s="1"/>
  <c r="K6663" i="2" s="1"/>
  <c r="K6664" i="2" s="1"/>
  <c r="K6665" i="2" s="1"/>
  <c r="K6666" i="2" s="1"/>
  <c r="K6667" i="2" s="1"/>
  <c r="K6668" i="2" s="1"/>
  <c r="K6669" i="2" s="1"/>
  <c r="K6670" i="2" s="1"/>
  <c r="K6671" i="2" s="1"/>
  <c r="K6672" i="2" s="1"/>
  <c r="K6673" i="2" s="1"/>
  <c r="K6674" i="2" s="1"/>
  <c r="K6675" i="2" s="1"/>
  <c r="K6676" i="2" s="1"/>
  <c r="K6677" i="2" s="1"/>
  <c r="K6678" i="2" s="1"/>
  <c r="K6679" i="2" s="1"/>
  <c r="K6680" i="2" s="1"/>
  <c r="K6681" i="2" s="1"/>
  <c r="K6682" i="2" s="1"/>
  <c r="K6683" i="2" s="1"/>
  <c r="K6684" i="2" s="1"/>
  <c r="K6685" i="2" s="1"/>
  <c r="K6686" i="2" s="1"/>
  <c r="K6687" i="2" s="1"/>
  <c r="K6688" i="2" s="1"/>
  <c r="K6689" i="2" s="1"/>
  <c r="K6690" i="2" s="1"/>
  <c r="K6691" i="2" s="1"/>
  <c r="K6692" i="2" s="1"/>
  <c r="K6693" i="2" s="1"/>
  <c r="K6694" i="2" s="1"/>
  <c r="K6695" i="2" s="1"/>
  <c r="K6696" i="2" s="1"/>
  <c r="K6697" i="2" s="1"/>
  <c r="K6698" i="2" s="1"/>
  <c r="K6699" i="2" s="1"/>
  <c r="K6700" i="2" s="1"/>
  <c r="K6701" i="2" s="1"/>
  <c r="K6702" i="2" s="1"/>
  <c r="K6703" i="2" s="1"/>
  <c r="K6704" i="2" s="1"/>
  <c r="K6705" i="2" s="1"/>
  <c r="K6706" i="2" s="1"/>
  <c r="K6707" i="2" s="1"/>
  <c r="K6708" i="2" s="1"/>
  <c r="K6709" i="2" s="1"/>
  <c r="K6710" i="2" s="1"/>
  <c r="K6711" i="2" s="1"/>
  <c r="K6712" i="2" s="1"/>
  <c r="K6713" i="2" s="1"/>
  <c r="K6714" i="2" s="1"/>
  <c r="K6715" i="2" s="1"/>
  <c r="K6716" i="2" s="1"/>
  <c r="K6717" i="2" s="1"/>
  <c r="K6718" i="2" s="1"/>
  <c r="K6719" i="2" s="1"/>
  <c r="K6720" i="2" s="1"/>
  <c r="K6721" i="2" s="1"/>
  <c r="K6722" i="2" s="1"/>
  <c r="K6723" i="2" s="1"/>
  <c r="K6724" i="2" s="1"/>
  <c r="K6725" i="2" s="1"/>
  <c r="K6726" i="2" s="1"/>
  <c r="K6727" i="2" s="1"/>
  <c r="K6728" i="2" s="1"/>
  <c r="K6729" i="2" s="1"/>
  <c r="K6730" i="2" s="1"/>
  <c r="K6731" i="2" s="1"/>
  <c r="K6732" i="2" s="1"/>
  <c r="K6733" i="2" s="1"/>
  <c r="K6734" i="2" s="1"/>
  <c r="K6735" i="2" s="1"/>
  <c r="K6736" i="2" s="1"/>
  <c r="K6737" i="2" s="1"/>
  <c r="K6738" i="2" s="1"/>
  <c r="K6739" i="2" s="1"/>
  <c r="K6740" i="2" s="1"/>
  <c r="K6741" i="2" s="1"/>
  <c r="K6742" i="2" s="1"/>
  <c r="K6743" i="2" s="1"/>
  <c r="K6744" i="2" s="1"/>
  <c r="K6745" i="2" s="1"/>
  <c r="K6746" i="2" s="1"/>
  <c r="K6747" i="2" s="1"/>
  <c r="K6748" i="2" s="1"/>
  <c r="K6749" i="2" s="1"/>
  <c r="K6750" i="2" s="1"/>
  <c r="K6751" i="2" s="1"/>
  <c r="K6752" i="2" s="1"/>
  <c r="K6753" i="2" s="1"/>
  <c r="K6754" i="2" s="1"/>
  <c r="K6755" i="2" s="1"/>
  <c r="K6756" i="2" s="1"/>
  <c r="K6757" i="2" s="1"/>
  <c r="K6758" i="2" s="1"/>
  <c r="K6759" i="2" s="1"/>
  <c r="K6760" i="2" s="1"/>
  <c r="K6761" i="2" s="1"/>
  <c r="K6762" i="2" s="1"/>
  <c r="K6763" i="2" s="1"/>
  <c r="K6764" i="2" s="1"/>
  <c r="K6765" i="2" s="1"/>
  <c r="K6766" i="2" s="1"/>
  <c r="K6767" i="2" s="1"/>
  <c r="K6768" i="2" s="1"/>
  <c r="K6769" i="2" s="1"/>
  <c r="K6770" i="2" s="1"/>
  <c r="K6771" i="2" s="1"/>
  <c r="K6772" i="2" s="1"/>
  <c r="K6773" i="2" s="1"/>
  <c r="K6774" i="2" s="1"/>
  <c r="K6775" i="2" s="1"/>
  <c r="K6776" i="2" s="1"/>
  <c r="K6777" i="2" s="1"/>
  <c r="K6778" i="2" s="1"/>
  <c r="K6779" i="2" s="1"/>
  <c r="K6780" i="2" s="1"/>
  <c r="K6781" i="2" s="1"/>
  <c r="K6782" i="2" s="1"/>
  <c r="K6783" i="2" s="1"/>
  <c r="K6784" i="2" s="1"/>
  <c r="K6785" i="2" s="1"/>
  <c r="K6786" i="2" s="1"/>
  <c r="K6787" i="2" s="1"/>
  <c r="K6788" i="2" s="1"/>
  <c r="K6789" i="2" s="1"/>
  <c r="K6790" i="2" s="1"/>
  <c r="K6791" i="2" s="1"/>
  <c r="K6792" i="2" s="1"/>
  <c r="K6793" i="2" s="1"/>
  <c r="K6794" i="2" s="1"/>
  <c r="K6795" i="2" s="1"/>
  <c r="K6796" i="2" s="1"/>
  <c r="K6797" i="2" s="1"/>
  <c r="K6798" i="2" s="1"/>
  <c r="K6799" i="2" s="1"/>
  <c r="K6800" i="2" s="1"/>
  <c r="K6801" i="2" s="1"/>
  <c r="K6802" i="2" s="1"/>
  <c r="K6803" i="2" s="1"/>
  <c r="K6804" i="2" s="1"/>
  <c r="K6805" i="2" s="1"/>
  <c r="K6806" i="2" s="1"/>
  <c r="K6807" i="2" s="1"/>
  <c r="K6808" i="2" s="1"/>
  <c r="K6809" i="2" s="1"/>
  <c r="K6810" i="2" s="1"/>
  <c r="K6811" i="2" s="1"/>
  <c r="K6812" i="2" s="1"/>
  <c r="K6813" i="2" s="1"/>
  <c r="K6814" i="2" s="1"/>
  <c r="K6815" i="2" s="1"/>
  <c r="K6816" i="2" s="1"/>
  <c r="K6817" i="2" s="1"/>
  <c r="K6818" i="2" s="1"/>
  <c r="K6819" i="2" s="1"/>
  <c r="K6820" i="2" s="1"/>
  <c r="K6821" i="2" s="1"/>
  <c r="K6822" i="2" s="1"/>
  <c r="K6823" i="2" s="1"/>
  <c r="K6824" i="2" s="1"/>
  <c r="K6825" i="2" s="1"/>
  <c r="K6826" i="2" s="1"/>
  <c r="K6827" i="2" s="1"/>
  <c r="K6828" i="2" s="1"/>
  <c r="K6829" i="2" s="1"/>
  <c r="K6830" i="2" s="1"/>
  <c r="K6831" i="2" s="1"/>
  <c r="K6832" i="2" s="1"/>
  <c r="K6833" i="2" s="1"/>
  <c r="K6834" i="2" s="1"/>
  <c r="K6835" i="2" s="1"/>
  <c r="K6836" i="2" s="1"/>
  <c r="K6837" i="2" s="1"/>
  <c r="K6838" i="2" s="1"/>
  <c r="K6839" i="2" s="1"/>
  <c r="K6840" i="2" s="1"/>
  <c r="K6841" i="2" s="1"/>
  <c r="K6842" i="2" s="1"/>
  <c r="K6843" i="2" s="1"/>
  <c r="K6844" i="2" s="1"/>
  <c r="K6845" i="2" s="1"/>
  <c r="K6846" i="2" s="1"/>
  <c r="K6847" i="2" s="1"/>
  <c r="K6848" i="2" s="1"/>
  <c r="K6849" i="2" s="1"/>
  <c r="K6850" i="2" s="1"/>
  <c r="K6851" i="2" s="1"/>
  <c r="K6852" i="2" s="1"/>
  <c r="K6853" i="2" s="1"/>
  <c r="K6854" i="2" s="1"/>
  <c r="K6855" i="2" s="1"/>
  <c r="K6856" i="2" s="1"/>
  <c r="K6857" i="2" s="1"/>
  <c r="K6858" i="2" s="1"/>
  <c r="K6859" i="2" s="1"/>
  <c r="K6860" i="2" s="1"/>
  <c r="K6861" i="2" s="1"/>
  <c r="K6862" i="2" s="1"/>
  <c r="K6863" i="2" s="1"/>
  <c r="K6864" i="2" s="1"/>
  <c r="K6865" i="2" s="1"/>
  <c r="K6866" i="2" s="1"/>
  <c r="K6867" i="2" s="1"/>
  <c r="K6868" i="2" s="1"/>
  <c r="K6869" i="2" s="1"/>
  <c r="K6870" i="2" s="1"/>
  <c r="K6871" i="2" s="1"/>
  <c r="K6872" i="2" s="1"/>
  <c r="K6873" i="2" s="1"/>
  <c r="K6874" i="2" s="1"/>
  <c r="K6875" i="2" s="1"/>
  <c r="K6876" i="2" s="1"/>
  <c r="K6877" i="2" s="1"/>
  <c r="K6878" i="2" s="1"/>
  <c r="K6879" i="2" s="1"/>
  <c r="K6880" i="2" s="1"/>
  <c r="K6881" i="2" s="1"/>
  <c r="K6882" i="2" s="1"/>
  <c r="K6883" i="2" s="1"/>
  <c r="K6884" i="2" s="1"/>
  <c r="K6885" i="2" s="1"/>
  <c r="K6886" i="2" s="1"/>
  <c r="K6887" i="2" s="1"/>
  <c r="K6888" i="2" s="1"/>
  <c r="K6889" i="2" s="1"/>
  <c r="K6890" i="2" s="1"/>
  <c r="K6891" i="2" s="1"/>
  <c r="K6892" i="2" s="1"/>
  <c r="K6893" i="2" s="1"/>
  <c r="K6894" i="2" s="1"/>
  <c r="K6895" i="2" s="1"/>
  <c r="K6896" i="2" s="1"/>
  <c r="K6897" i="2" s="1"/>
  <c r="K6898" i="2" s="1"/>
  <c r="K6899" i="2" s="1"/>
  <c r="K6900" i="2" s="1"/>
  <c r="K6901" i="2" s="1"/>
  <c r="K6902" i="2" s="1"/>
  <c r="K6903" i="2" s="1"/>
  <c r="K6904" i="2" s="1"/>
  <c r="K6905" i="2" s="1"/>
  <c r="K6906" i="2" s="1"/>
  <c r="K6907" i="2" s="1"/>
  <c r="K6908" i="2" s="1"/>
  <c r="K6909" i="2" s="1"/>
  <c r="K6910" i="2" s="1"/>
  <c r="K6911" i="2" s="1"/>
  <c r="K6912" i="2" s="1"/>
  <c r="K6913" i="2" s="1"/>
  <c r="K6914" i="2" s="1"/>
  <c r="K6915" i="2" s="1"/>
  <c r="K6916" i="2" s="1"/>
  <c r="K6917" i="2" s="1"/>
  <c r="K6918" i="2" s="1"/>
  <c r="K6919" i="2" s="1"/>
  <c r="K6920" i="2" s="1"/>
  <c r="K6921" i="2" s="1"/>
  <c r="K6922" i="2" s="1"/>
  <c r="K6923" i="2" s="1"/>
  <c r="K6924" i="2" s="1"/>
  <c r="K6925" i="2" s="1"/>
  <c r="K6926" i="2" s="1"/>
  <c r="K6927" i="2" s="1"/>
  <c r="K6928" i="2" s="1"/>
  <c r="K6929" i="2" s="1"/>
  <c r="K6930" i="2" s="1"/>
  <c r="K6931" i="2" s="1"/>
  <c r="K6932" i="2" s="1"/>
  <c r="K6933" i="2" s="1"/>
  <c r="K6934" i="2" s="1"/>
  <c r="K6935" i="2" s="1"/>
  <c r="K6936" i="2" s="1"/>
  <c r="K6937" i="2" s="1"/>
  <c r="K6938" i="2" s="1"/>
  <c r="K6939" i="2" s="1"/>
  <c r="K6940" i="2" s="1"/>
  <c r="K6941" i="2" s="1"/>
  <c r="K6942" i="2" s="1"/>
  <c r="K6943" i="2" s="1"/>
  <c r="K6944" i="2" s="1"/>
  <c r="K6945" i="2" s="1"/>
  <c r="K6946" i="2" s="1"/>
  <c r="K6947" i="2" s="1"/>
  <c r="K6948" i="2" s="1"/>
  <c r="K6949" i="2" s="1"/>
  <c r="K6950" i="2" s="1"/>
  <c r="K6951" i="2" s="1"/>
  <c r="K6952" i="2" s="1"/>
  <c r="K6953" i="2" s="1"/>
  <c r="K6954" i="2" s="1"/>
  <c r="K6955" i="2" s="1"/>
  <c r="K6956" i="2" s="1"/>
  <c r="K6957" i="2" s="1"/>
  <c r="K6958" i="2" s="1"/>
  <c r="K6959" i="2" s="1"/>
  <c r="K6960" i="2" s="1"/>
  <c r="K6961" i="2" s="1"/>
  <c r="K6962" i="2" s="1"/>
  <c r="K6963" i="2" s="1"/>
  <c r="K6964" i="2" s="1"/>
  <c r="K6965" i="2" s="1"/>
  <c r="K6966" i="2" s="1"/>
  <c r="K6967" i="2" s="1"/>
  <c r="K6968" i="2" s="1"/>
  <c r="K6969" i="2" s="1"/>
  <c r="K6970" i="2" s="1"/>
  <c r="K6971" i="2" s="1"/>
  <c r="K6972" i="2" s="1"/>
  <c r="K6973" i="2" s="1"/>
  <c r="K6974" i="2" s="1"/>
  <c r="K6975" i="2" s="1"/>
  <c r="K6976" i="2" s="1"/>
  <c r="K6977" i="2" s="1"/>
  <c r="K6978" i="2" s="1"/>
  <c r="K6979" i="2" s="1"/>
  <c r="K6980" i="2" s="1"/>
  <c r="K6981" i="2" s="1"/>
  <c r="K6982" i="2" s="1"/>
  <c r="K6983" i="2" s="1"/>
  <c r="K6984" i="2" s="1"/>
  <c r="K6985" i="2" s="1"/>
  <c r="K6986" i="2" s="1"/>
  <c r="K6987" i="2" s="1"/>
  <c r="K6988" i="2" s="1"/>
  <c r="K6989" i="2" s="1"/>
  <c r="K6990" i="2" s="1"/>
  <c r="K6991" i="2" s="1"/>
  <c r="K6992" i="2" s="1"/>
  <c r="K6993" i="2" s="1"/>
  <c r="K6994" i="2" s="1"/>
  <c r="K6995" i="2" s="1"/>
  <c r="K6996" i="2" s="1"/>
  <c r="K6997" i="2" s="1"/>
  <c r="K6998" i="2" s="1"/>
  <c r="K6999" i="2" s="1"/>
  <c r="K7000" i="2" s="1"/>
  <c r="K7001" i="2" s="1"/>
  <c r="K7002" i="2" s="1"/>
  <c r="K7003" i="2" s="1"/>
  <c r="K7004" i="2" s="1"/>
  <c r="K7005" i="2" s="1"/>
  <c r="K7006" i="2" s="1"/>
  <c r="K7007" i="2" s="1"/>
  <c r="K7008" i="2" s="1"/>
  <c r="K7009" i="2" s="1"/>
  <c r="K7010" i="2" s="1"/>
  <c r="K7011" i="2" s="1"/>
  <c r="K7012" i="2" s="1"/>
  <c r="K7013" i="2" s="1"/>
  <c r="K7014" i="2" s="1"/>
  <c r="K7015" i="2" s="1"/>
  <c r="K7016" i="2" s="1"/>
  <c r="K7017" i="2" s="1"/>
  <c r="K7018" i="2" s="1"/>
  <c r="K7019" i="2" s="1"/>
  <c r="K7020" i="2" s="1"/>
  <c r="K7021" i="2" s="1"/>
  <c r="K7022" i="2" s="1"/>
  <c r="K7023" i="2" s="1"/>
  <c r="K7024" i="2" s="1"/>
  <c r="K7025" i="2" s="1"/>
  <c r="K7026" i="2" s="1"/>
  <c r="K7027" i="2" s="1"/>
  <c r="K7028" i="2" s="1"/>
  <c r="K7029" i="2" s="1"/>
  <c r="K7030" i="2" s="1"/>
  <c r="K7031" i="2" s="1"/>
  <c r="K7032" i="2" s="1"/>
  <c r="K7033" i="2" s="1"/>
  <c r="K7034" i="2" s="1"/>
  <c r="K7035" i="2" s="1"/>
  <c r="K7036" i="2" s="1"/>
  <c r="K7037" i="2" s="1"/>
  <c r="K7038" i="2" s="1"/>
  <c r="K7039" i="2" s="1"/>
  <c r="K7040" i="2" s="1"/>
  <c r="K7041" i="2" s="1"/>
  <c r="K7042" i="2" s="1"/>
  <c r="K7043" i="2" s="1"/>
  <c r="K7044" i="2" s="1"/>
  <c r="K7045" i="2" s="1"/>
  <c r="K7046" i="2" s="1"/>
  <c r="K7047" i="2" s="1"/>
  <c r="K7048" i="2" s="1"/>
  <c r="K7049" i="2" s="1"/>
  <c r="K7050" i="2" s="1"/>
  <c r="K7051" i="2" s="1"/>
  <c r="K7052" i="2" s="1"/>
  <c r="K7053" i="2" s="1"/>
  <c r="K7054" i="2" s="1"/>
  <c r="K7055" i="2" s="1"/>
  <c r="K7056" i="2" s="1"/>
  <c r="K7057" i="2" s="1"/>
  <c r="K7058" i="2" s="1"/>
  <c r="K7059" i="2" s="1"/>
  <c r="K7060" i="2" s="1"/>
  <c r="K7061" i="2" s="1"/>
  <c r="K7062" i="2" s="1"/>
  <c r="K7063" i="2" s="1"/>
  <c r="K7064" i="2" s="1"/>
  <c r="K7065" i="2" s="1"/>
  <c r="K7066" i="2" s="1"/>
  <c r="K7067" i="2" s="1"/>
  <c r="K7068" i="2" s="1"/>
  <c r="K7069" i="2" s="1"/>
  <c r="K7070" i="2" s="1"/>
  <c r="K7071" i="2" s="1"/>
  <c r="K7072" i="2" s="1"/>
  <c r="K7073" i="2" s="1"/>
  <c r="K7074" i="2" s="1"/>
  <c r="K7075" i="2" s="1"/>
  <c r="K7076" i="2" s="1"/>
  <c r="K7077" i="2" s="1"/>
  <c r="K7078" i="2" s="1"/>
  <c r="K7079" i="2" s="1"/>
  <c r="K7080" i="2" s="1"/>
  <c r="K7081" i="2" s="1"/>
  <c r="K7082" i="2" s="1"/>
  <c r="K7083" i="2" s="1"/>
  <c r="K7084" i="2" s="1"/>
  <c r="K7085" i="2" s="1"/>
  <c r="K7086" i="2" s="1"/>
  <c r="K7087" i="2" s="1"/>
  <c r="K7088" i="2" s="1"/>
  <c r="K7089" i="2" s="1"/>
  <c r="K7090" i="2" s="1"/>
  <c r="K7091" i="2" s="1"/>
  <c r="K7092" i="2" s="1"/>
  <c r="K7093" i="2" s="1"/>
  <c r="K7094" i="2" s="1"/>
  <c r="K7095" i="2" s="1"/>
  <c r="K7096" i="2" s="1"/>
  <c r="K7097" i="2" s="1"/>
  <c r="K7098" i="2" s="1"/>
  <c r="K7099" i="2" s="1"/>
  <c r="K7100" i="2" s="1"/>
  <c r="K7101" i="2" s="1"/>
  <c r="K7102" i="2" s="1"/>
  <c r="K7103" i="2" s="1"/>
  <c r="K7104" i="2" s="1"/>
  <c r="K7105" i="2" s="1"/>
  <c r="K7106" i="2" s="1"/>
  <c r="K7107" i="2" s="1"/>
  <c r="K7108" i="2" s="1"/>
  <c r="K7109" i="2" s="1"/>
  <c r="K7110" i="2" s="1"/>
  <c r="K7111" i="2" s="1"/>
  <c r="K7112" i="2" s="1"/>
  <c r="K7113" i="2" s="1"/>
  <c r="K7114" i="2" s="1"/>
  <c r="K7115" i="2" s="1"/>
  <c r="K7116" i="2" s="1"/>
  <c r="K7117" i="2" s="1"/>
  <c r="K7118" i="2" s="1"/>
  <c r="K7119" i="2" s="1"/>
  <c r="K7120" i="2" s="1"/>
  <c r="K7121" i="2" s="1"/>
  <c r="K7122" i="2" s="1"/>
  <c r="K7123" i="2" s="1"/>
  <c r="K7124" i="2" s="1"/>
  <c r="K7125" i="2" s="1"/>
  <c r="K7126" i="2" s="1"/>
  <c r="K7127" i="2" s="1"/>
  <c r="K7128" i="2" s="1"/>
  <c r="K7129" i="2" s="1"/>
  <c r="K7130" i="2" s="1"/>
  <c r="K7131" i="2" s="1"/>
  <c r="K7132" i="2" s="1"/>
  <c r="K7133" i="2" s="1"/>
  <c r="K7134" i="2" s="1"/>
  <c r="K7135" i="2" s="1"/>
  <c r="K7136" i="2" s="1"/>
  <c r="K7137" i="2" s="1"/>
  <c r="K7138" i="2" s="1"/>
  <c r="K7139" i="2" s="1"/>
  <c r="K7140" i="2" s="1"/>
  <c r="K7141" i="2" s="1"/>
  <c r="K7142" i="2" s="1"/>
  <c r="K7143" i="2" s="1"/>
  <c r="K7144" i="2" s="1"/>
  <c r="K7145" i="2" s="1"/>
  <c r="K7146" i="2" s="1"/>
  <c r="K7147" i="2" s="1"/>
  <c r="K7148" i="2" s="1"/>
  <c r="K7149" i="2" s="1"/>
  <c r="K7150" i="2" s="1"/>
  <c r="K7151" i="2" s="1"/>
  <c r="K7152" i="2" s="1"/>
  <c r="K7153" i="2" s="1"/>
  <c r="K7154" i="2" s="1"/>
  <c r="K7155" i="2" s="1"/>
  <c r="K7156" i="2" s="1"/>
  <c r="K7157" i="2" s="1"/>
  <c r="K7158" i="2" s="1"/>
  <c r="K7159" i="2" s="1"/>
  <c r="K7160" i="2" s="1"/>
  <c r="K7161" i="2" s="1"/>
  <c r="K7162" i="2" s="1"/>
  <c r="K7163" i="2" s="1"/>
  <c r="K7164" i="2" s="1"/>
  <c r="K7165" i="2" s="1"/>
  <c r="K7166" i="2" s="1"/>
  <c r="K7167" i="2" s="1"/>
  <c r="K7168" i="2" s="1"/>
  <c r="K7169" i="2" s="1"/>
  <c r="K7170" i="2" s="1"/>
  <c r="K7171" i="2" s="1"/>
  <c r="K7172" i="2" s="1"/>
  <c r="K7173" i="2" s="1"/>
  <c r="K7174" i="2" s="1"/>
  <c r="K7175" i="2" s="1"/>
  <c r="K7176" i="2" s="1"/>
  <c r="K7177" i="2" s="1"/>
  <c r="K7178" i="2" s="1"/>
  <c r="K7179" i="2" s="1"/>
  <c r="K7180" i="2" s="1"/>
  <c r="K7181" i="2" s="1"/>
  <c r="K7182" i="2" s="1"/>
  <c r="K7183" i="2" s="1"/>
  <c r="K7184" i="2" s="1"/>
  <c r="K7185" i="2" s="1"/>
  <c r="K7186" i="2" s="1"/>
  <c r="K7187" i="2" s="1"/>
  <c r="K7188" i="2" s="1"/>
  <c r="K7189" i="2" s="1"/>
  <c r="K7190" i="2" s="1"/>
  <c r="K7191" i="2" s="1"/>
  <c r="K7192" i="2" s="1"/>
  <c r="K7193" i="2" s="1"/>
  <c r="K7194" i="2" s="1"/>
  <c r="K7195" i="2" s="1"/>
  <c r="K7196" i="2" s="1"/>
  <c r="K7197" i="2" s="1"/>
  <c r="K7198" i="2" s="1"/>
  <c r="K7199" i="2" s="1"/>
  <c r="K7200" i="2" s="1"/>
  <c r="K7201" i="2" s="1"/>
  <c r="K7202" i="2" s="1"/>
  <c r="K7203" i="2" s="1"/>
  <c r="K7204" i="2" s="1"/>
  <c r="K7205" i="2" s="1"/>
  <c r="K7206" i="2" s="1"/>
  <c r="K7207" i="2" s="1"/>
  <c r="K7208" i="2" s="1"/>
  <c r="K7209" i="2" s="1"/>
  <c r="K7210" i="2" s="1"/>
  <c r="K7211" i="2" s="1"/>
  <c r="K7212" i="2" s="1"/>
  <c r="K7213" i="2" s="1"/>
  <c r="K7214" i="2" s="1"/>
  <c r="K7215" i="2" s="1"/>
  <c r="K7216" i="2" s="1"/>
  <c r="K7217" i="2" s="1"/>
  <c r="K7218" i="2" s="1"/>
  <c r="K7219" i="2" s="1"/>
  <c r="K7220" i="2" s="1"/>
  <c r="K7221" i="2" s="1"/>
  <c r="K7222" i="2" s="1"/>
  <c r="K7223" i="2" s="1"/>
  <c r="K7224" i="2" s="1"/>
  <c r="K7225" i="2" s="1"/>
  <c r="K7226" i="2" s="1"/>
  <c r="K7227" i="2" s="1"/>
  <c r="K7228" i="2" s="1"/>
  <c r="K7229" i="2" s="1"/>
  <c r="K7230" i="2" s="1"/>
  <c r="K7231" i="2" s="1"/>
  <c r="K7232" i="2" s="1"/>
  <c r="K7233" i="2" s="1"/>
  <c r="K7234" i="2" s="1"/>
  <c r="K7235" i="2" s="1"/>
  <c r="K7236" i="2" s="1"/>
  <c r="K7237" i="2" s="1"/>
  <c r="K7238" i="2" s="1"/>
  <c r="K7239" i="2" s="1"/>
  <c r="K7240" i="2" s="1"/>
  <c r="K7241" i="2" s="1"/>
  <c r="K7242" i="2" s="1"/>
  <c r="K7243" i="2" s="1"/>
  <c r="K7244" i="2" s="1"/>
  <c r="K7245" i="2" s="1"/>
  <c r="K7246" i="2" s="1"/>
  <c r="K7247" i="2" s="1"/>
  <c r="K7248" i="2" s="1"/>
  <c r="K7249" i="2" s="1"/>
  <c r="K7250" i="2" s="1"/>
  <c r="K7251" i="2" s="1"/>
  <c r="K7252" i="2" s="1"/>
  <c r="K7253" i="2" s="1"/>
  <c r="K7254" i="2" s="1"/>
  <c r="K7255" i="2" s="1"/>
  <c r="K7256" i="2" s="1"/>
  <c r="K7257" i="2" s="1"/>
  <c r="K7258" i="2" s="1"/>
  <c r="K7259" i="2" s="1"/>
  <c r="K7260" i="2" s="1"/>
  <c r="K7261" i="2" s="1"/>
  <c r="K7262" i="2" s="1"/>
  <c r="K7263" i="2" s="1"/>
  <c r="K7264" i="2" s="1"/>
  <c r="K7265" i="2" s="1"/>
  <c r="K7266" i="2" s="1"/>
  <c r="K7267" i="2" s="1"/>
  <c r="K7268" i="2" s="1"/>
  <c r="K7269" i="2" s="1"/>
  <c r="K7270" i="2" s="1"/>
  <c r="K7271" i="2" s="1"/>
  <c r="K7272" i="2" s="1"/>
  <c r="K7273" i="2" s="1"/>
  <c r="K7274" i="2" s="1"/>
  <c r="K7275" i="2" s="1"/>
  <c r="K7276" i="2" s="1"/>
  <c r="K7277" i="2" s="1"/>
  <c r="K7278" i="2" s="1"/>
  <c r="K7279" i="2" s="1"/>
  <c r="K7280" i="2" s="1"/>
  <c r="K7281" i="2" s="1"/>
  <c r="K7282" i="2" s="1"/>
  <c r="K7283" i="2" s="1"/>
  <c r="K7284" i="2" s="1"/>
  <c r="K7285" i="2" s="1"/>
  <c r="K7286" i="2" s="1"/>
  <c r="K7287" i="2" s="1"/>
  <c r="K7288" i="2" s="1"/>
  <c r="K7289" i="2" s="1"/>
  <c r="K7290" i="2" s="1"/>
  <c r="K7291" i="2" s="1"/>
  <c r="K7292" i="2" s="1"/>
  <c r="K7293" i="2" s="1"/>
  <c r="K7294" i="2" s="1"/>
  <c r="K7295" i="2" s="1"/>
  <c r="K7296" i="2" s="1"/>
  <c r="K7297" i="2" s="1"/>
  <c r="K7298" i="2" s="1"/>
  <c r="K7299" i="2" s="1"/>
  <c r="K7300" i="2" s="1"/>
  <c r="K7301" i="2" s="1"/>
  <c r="K7302" i="2" s="1"/>
  <c r="K7303" i="2" s="1"/>
  <c r="K7304" i="2" s="1"/>
  <c r="K7305" i="2" s="1"/>
  <c r="K7306" i="2" s="1"/>
  <c r="K7307" i="2" s="1"/>
  <c r="K7308" i="2" s="1"/>
  <c r="K7309" i="2" s="1"/>
  <c r="K7310" i="2" s="1"/>
  <c r="K7311" i="2" s="1"/>
  <c r="K7312" i="2" s="1"/>
  <c r="K7313" i="2" s="1"/>
  <c r="K7314" i="2" s="1"/>
  <c r="K7315" i="2" s="1"/>
  <c r="K7316" i="2" s="1"/>
  <c r="K7317" i="2" s="1"/>
  <c r="K7318" i="2" s="1"/>
  <c r="K7319" i="2" s="1"/>
  <c r="K7320" i="2" s="1"/>
  <c r="K7321" i="2" s="1"/>
  <c r="K7322" i="2" s="1"/>
  <c r="K7323" i="2" s="1"/>
  <c r="K7324" i="2" s="1"/>
  <c r="K7325" i="2" s="1"/>
  <c r="K7326" i="2" s="1"/>
  <c r="K7327" i="2" s="1"/>
  <c r="K7328" i="2" s="1"/>
  <c r="K7329" i="2" s="1"/>
  <c r="K7330" i="2" s="1"/>
  <c r="K7331" i="2" s="1"/>
  <c r="K7332" i="2" s="1"/>
  <c r="K7333" i="2" s="1"/>
  <c r="K7334" i="2" s="1"/>
  <c r="K7335" i="2" s="1"/>
  <c r="K7336" i="2" s="1"/>
  <c r="K7337" i="2" s="1"/>
  <c r="K7338" i="2" s="1"/>
  <c r="K7339" i="2" s="1"/>
  <c r="K7340" i="2" s="1"/>
  <c r="K7341" i="2" s="1"/>
  <c r="K7342" i="2" s="1"/>
  <c r="K7343" i="2" s="1"/>
  <c r="K7344" i="2" s="1"/>
  <c r="K7345" i="2" s="1"/>
  <c r="K7346" i="2" s="1"/>
  <c r="K7347" i="2" s="1"/>
  <c r="K7348" i="2" s="1"/>
  <c r="K7349" i="2" s="1"/>
  <c r="K7350" i="2" s="1"/>
  <c r="K7351" i="2" s="1"/>
  <c r="K7352" i="2" s="1"/>
  <c r="K7353" i="2" s="1"/>
  <c r="K7354" i="2" s="1"/>
  <c r="K7355" i="2" s="1"/>
  <c r="K7356" i="2" s="1"/>
  <c r="K7357" i="2" s="1"/>
  <c r="K7358" i="2" s="1"/>
  <c r="K7359" i="2" s="1"/>
  <c r="K7360" i="2" s="1"/>
  <c r="K7361" i="2" s="1"/>
  <c r="K7362" i="2" s="1"/>
  <c r="K7363" i="2" s="1"/>
  <c r="K7364" i="2" s="1"/>
  <c r="K7365" i="2" s="1"/>
  <c r="K7366" i="2" s="1"/>
  <c r="K7367" i="2" s="1"/>
  <c r="K7368" i="2" s="1"/>
  <c r="K7369" i="2" s="1"/>
  <c r="K7370" i="2" s="1"/>
  <c r="K7371" i="2" s="1"/>
  <c r="K7372" i="2" s="1"/>
  <c r="K7373" i="2" s="1"/>
  <c r="K7374" i="2" s="1"/>
  <c r="K7375" i="2" s="1"/>
  <c r="K7376" i="2" s="1"/>
  <c r="K7377" i="2" s="1"/>
  <c r="K7378" i="2" s="1"/>
  <c r="K7379" i="2" s="1"/>
  <c r="K7380" i="2" s="1"/>
  <c r="K7381" i="2" s="1"/>
  <c r="K7382" i="2" s="1"/>
  <c r="K7383" i="2" s="1"/>
  <c r="K7384" i="2" s="1"/>
  <c r="K7385" i="2" s="1"/>
  <c r="K7386" i="2" s="1"/>
  <c r="K7387" i="2" s="1"/>
  <c r="K7388" i="2" s="1"/>
  <c r="K7389" i="2" s="1"/>
  <c r="K7390" i="2" s="1"/>
  <c r="K7391" i="2" s="1"/>
  <c r="K7392" i="2" s="1"/>
  <c r="K7393" i="2" s="1"/>
  <c r="K7394" i="2" s="1"/>
  <c r="K7395" i="2" s="1"/>
  <c r="K7396" i="2" s="1"/>
  <c r="K7397" i="2" s="1"/>
  <c r="K7398" i="2" s="1"/>
  <c r="K7399" i="2" s="1"/>
  <c r="K7400" i="2" s="1"/>
  <c r="K7401" i="2" s="1"/>
  <c r="K7402" i="2" s="1"/>
  <c r="K7403" i="2" s="1"/>
  <c r="K7404" i="2" s="1"/>
  <c r="K7405" i="2" s="1"/>
  <c r="K7406" i="2" s="1"/>
  <c r="K7407" i="2" s="1"/>
  <c r="K7408" i="2" s="1"/>
  <c r="K7409" i="2" s="1"/>
  <c r="K7410" i="2" s="1"/>
  <c r="K7411" i="2" s="1"/>
  <c r="K7412" i="2" s="1"/>
  <c r="K7413" i="2" s="1"/>
  <c r="K7414" i="2" s="1"/>
  <c r="K7415" i="2" s="1"/>
  <c r="K7416" i="2" s="1"/>
  <c r="K7417" i="2" s="1"/>
  <c r="K7418" i="2" s="1"/>
  <c r="K7419" i="2" s="1"/>
  <c r="K7420" i="2" s="1"/>
  <c r="K7421" i="2" s="1"/>
  <c r="K7422" i="2" s="1"/>
  <c r="K7423" i="2" s="1"/>
  <c r="K7424" i="2" s="1"/>
  <c r="K7425" i="2" s="1"/>
  <c r="K7426" i="2" s="1"/>
  <c r="K7427" i="2" s="1"/>
  <c r="K7428" i="2" s="1"/>
  <c r="K7429" i="2" s="1"/>
  <c r="K7430" i="2" s="1"/>
  <c r="K7431" i="2" s="1"/>
  <c r="K7432" i="2" s="1"/>
  <c r="K7433" i="2" s="1"/>
  <c r="K7434" i="2" s="1"/>
  <c r="K7435" i="2" s="1"/>
  <c r="K7436" i="2" s="1"/>
  <c r="K7437" i="2" s="1"/>
  <c r="K7438" i="2" s="1"/>
  <c r="K7439" i="2" s="1"/>
  <c r="K7440" i="2" s="1"/>
  <c r="K7441" i="2" s="1"/>
  <c r="K7442" i="2" s="1"/>
  <c r="K7443" i="2" s="1"/>
  <c r="K7444" i="2" s="1"/>
  <c r="K7445" i="2" s="1"/>
  <c r="K7446" i="2" s="1"/>
  <c r="K7447" i="2" s="1"/>
  <c r="K7448" i="2" s="1"/>
  <c r="K7449" i="2" s="1"/>
  <c r="K7450" i="2" s="1"/>
  <c r="K7451" i="2" s="1"/>
  <c r="K7452" i="2" s="1"/>
  <c r="K7453" i="2" s="1"/>
  <c r="K7454" i="2" s="1"/>
  <c r="K7455" i="2" s="1"/>
  <c r="K7456" i="2" s="1"/>
  <c r="K7457" i="2" s="1"/>
  <c r="K7458" i="2" s="1"/>
  <c r="K7459" i="2" s="1"/>
  <c r="K7460" i="2" s="1"/>
  <c r="K7461" i="2" s="1"/>
  <c r="K7462" i="2" s="1"/>
  <c r="K7463" i="2" s="1"/>
  <c r="K7464" i="2" s="1"/>
  <c r="K7465" i="2" s="1"/>
  <c r="K7466" i="2" s="1"/>
  <c r="K7467" i="2" s="1"/>
  <c r="K7468" i="2" s="1"/>
  <c r="K7469" i="2" s="1"/>
  <c r="K7470" i="2" s="1"/>
  <c r="K7471" i="2" s="1"/>
  <c r="K7472" i="2" s="1"/>
  <c r="K7473" i="2" s="1"/>
  <c r="K7474" i="2" s="1"/>
  <c r="K7475" i="2" s="1"/>
  <c r="K7476" i="2" s="1"/>
  <c r="K7477" i="2" s="1"/>
  <c r="K7478" i="2" s="1"/>
  <c r="K7479" i="2" s="1"/>
  <c r="K7480" i="2" s="1"/>
  <c r="K7481" i="2" s="1"/>
  <c r="K7482" i="2" s="1"/>
  <c r="K7483" i="2" s="1"/>
  <c r="K7484" i="2" s="1"/>
  <c r="K7485" i="2" s="1"/>
  <c r="K7486" i="2" s="1"/>
  <c r="K7487" i="2" s="1"/>
  <c r="K7488" i="2" s="1"/>
  <c r="K7489" i="2" s="1"/>
  <c r="K7490" i="2" s="1"/>
  <c r="K7491" i="2" s="1"/>
  <c r="K7492" i="2" s="1"/>
  <c r="K7493" i="2" s="1"/>
  <c r="K7494" i="2" s="1"/>
  <c r="K7495" i="2" s="1"/>
  <c r="K7496" i="2" s="1"/>
  <c r="K7497" i="2" s="1"/>
  <c r="K7498" i="2" s="1"/>
  <c r="K7499" i="2" s="1"/>
  <c r="K7500" i="2" s="1"/>
  <c r="K7501" i="2" s="1"/>
  <c r="K7502" i="2" s="1"/>
  <c r="K7503" i="2" s="1"/>
  <c r="K7504" i="2" s="1"/>
  <c r="K7505" i="2" s="1"/>
  <c r="K7506" i="2" s="1"/>
  <c r="K7507" i="2" s="1"/>
  <c r="K7508" i="2" s="1"/>
  <c r="K7509" i="2" s="1"/>
  <c r="K7510" i="2" s="1"/>
  <c r="K7511" i="2" s="1"/>
  <c r="K7512" i="2" s="1"/>
  <c r="K7513" i="2" s="1"/>
  <c r="K7514" i="2" s="1"/>
  <c r="K7515" i="2" s="1"/>
  <c r="K7516" i="2" s="1"/>
  <c r="K7517" i="2" s="1"/>
  <c r="K7518" i="2" s="1"/>
  <c r="K7519" i="2" s="1"/>
  <c r="K7520" i="2" s="1"/>
  <c r="K7521" i="2" s="1"/>
  <c r="K7522" i="2" s="1"/>
  <c r="K7523" i="2" s="1"/>
  <c r="K7524" i="2" s="1"/>
  <c r="K7525" i="2" s="1"/>
  <c r="K7526" i="2" s="1"/>
  <c r="K7527" i="2" s="1"/>
  <c r="K7528" i="2" s="1"/>
  <c r="K7529" i="2" s="1"/>
  <c r="K7530" i="2" s="1"/>
  <c r="K7531" i="2" s="1"/>
  <c r="K7532" i="2" s="1"/>
  <c r="K7533" i="2" s="1"/>
  <c r="K7534" i="2" s="1"/>
  <c r="K7535" i="2" s="1"/>
  <c r="K7536" i="2" s="1"/>
  <c r="K7537" i="2" s="1"/>
  <c r="K7538" i="2" s="1"/>
  <c r="K7539" i="2" s="1"/>
  <c r="K7540" i="2" s="1"/>
  <c r="K7541" i="2" s="1"/>
  <c r="K7542" i="2" s="1"/>
  <c r="K7543" i="2" s="1"/>
  <c r="K7544" i="2" s="1"/>
  <c r="K7545" i="2" s="1"/>
  <c r="K7546" i="2" s="1"/>
  <c r="K7547" i="2" s="1"/>
  <c r="K7548" i="2" s="1"/>
  <c r="K7549" i="2" s="1"/>
  <c r="K7550" i="2" s="1"/>
  <c r="K7551" i="2" s="1"/>
  <c r="K7552" i="2" s="1"/>
  <c r="K7553" i="2" s="1"/>
  <c r="K7554" i="2" s="1"/>
  <c r="K7555" i="2" s="1"/>
  <c r="K7556" i="2" s="1"/>
  <c r="K7557" i="2" s="1"/>
  <c r="K7558" i="2" s="1"/>
  <c r="K7559" i="2" s="1"/>
  <c r="K7560" i="2" s="1"/>
  <c r="K7561" i="2" s="1"/>
  <c r="K7562" i="2" s="1"/>
  <c r="K7563" i="2" s="1"/>
  <c r="K7564" i="2" s="1"/>
  <c r="K7565" i="2" s="1"/>
  <c r="K7566" i="2" s="1"/>
  <c r="K7567" i="2" s="1"/>
  <c r="K7568" i="2" s="1"/>
  <c r="K7569" i="2" s="1"/>
  <c r="K7570" i="2" s="1"/>
  <c r="K7571" i="2" s="1"/>
  <c r="K7572" i="2" s="1"/>
  <c r="K7573" i="2" s="1"/>
  <c r="K7574" i="2" s="1"/>
  <c r="K7575" i="2" s="1"/>
  <c r="K7576" i="2" s="1"/>
  <c r="K7577" i="2" s="1"/>
  <c r="K7578" i="2" s="1"/>
  <c r="K7579" i="2" s="1"/>
  <c r="K7580" i="2" s="1"/>
  <c r="K7581" i="2" s="1"/>
  <c r="K7582" i="2" s="1"/>
  <c r="K7583" i="2" s="1"/>
  <c r="K7584" i="2" s="1"/>
  <c r="K7585" i="2" s="1"/>
  <c r="K7586" i="2" s="1"/>
  <c r="K7587" i="2" s="1"/>
  <c r="K7588" i="2" s="1"/>
  <c r="K7589" i="2" s="1"/>
  <c r="K7590" i="2" s="1"/>
  <c r="K7591" i="2" s="1"/>
  <c r="K7592" i="2" s="1"/>
  <c r="K7593" i="2" s="1"/>
  <c r="K7594" i="2" s="1"/>
  <c r="K7595" i="2" s="1"/>
  <c r="K7596" i="2" s="1"/>
  <c r="K7597" i="2" s="1"/>
  <c r="K7598" i="2" s="1"/>
  <c r="K7599" i="2" s="1"/>
  <c r="K7600" i="2" s="1"/>
  <c r="K7601" i="2" s="1"/>
  <c r="K7602" i="2" s="1"/>
  <c r="K7603" i="2" s="1"/>
  <c r="K7604" i="2" s="1"/>
  <c r="K7605" i="2" s="1"/>
  <c r="K7606" i="2" s="1"/>
  <c r="K7607" i="2" s="1"/>
  <c r="K7608" i="2" s="1"/>
  <c r="K7609" i="2" s="1"/>
  <c r="K7610" i="2" s="1"/>
  <c r="K7611" i="2" s="1"/>
  <c r="K7612" i="2" s="1"/>
  <c r="K7613" i="2" s="1"/>
  <c r="K7614" i="2" s="1"/>
  <c r="K7615" i="2" s="1"/>
  <c r="K7616" i="2" s="1"/>
  <c r="K7617" i="2" s="1"/>
  <c r="K7618" i="2" s="1"/>
  <c r="K7619" i="2" s="1"/>
  <c r="K7620" i="2" s="1"/>
  <c r="K7621" i="2" s="1"/>
  <c r="K7622" i="2" s="1"/>
  <c r="K7623" i="2" s="1"/>
  <c r="K7624" i="2" s="1"/>
  <c r="K7625" i="2" s="1"/>
  <c r="K7626" i="2" s="1"/>
  <c r="K7627" i="2" s="1"/>
  <c r="K7628" i="2" s="1"/>
  <c r="K7629" i="2" s="1"/>
  <c r="K7630" i="2" s="1"/>
  <c r="K7631" i="2" s="1"/>
  <c r="K7632" i="2" s="1"/>
  <c r="K7633" i="2" s="1"/>
  <c r="K7634" i="2" s="1"/>
  <c r="K7635" i="2" s="1"/>
  <c r="K7636" i="2" s="1"/>
  <c r="K7637" i="2" s="1"/>
  <c r="K7638" i="2" s="1"/>
  <c r="K7639" i="2" s="1"/>
  <c r="K7640" i="2" s="1"/>
  <c r="K7641" i="2" s="1"/>
  <c r="K7642" i="2" s="1"/>
  <c r="K7643" i="2" s="1"/>
  <c r="K7644" i="2" s="1"/>
  <c r="K7645" i="2" s="1"/>
  <c r="K7646" i="2" s="1"/>
  <c r="K7647" i="2" s="1"/>
  <c r="K7648" i="2" s="1"/>
  <c r="K7649" i="2" s="1"/>
  <c r="K7650" i="2" s="1"/>
  <c r="K7651" i="2" s="1"/>
  <c r="K7652" i="2" s="1"/>
  <c r="K7653" i="2" s="1"/>
  <c r="K7654" i="2" s="1"/>
  <c r="K7655" i="2" s="1"/>
  <c r="K7656" i="2" s="1"/>
  <c r="K7657" i="2" s="1"/>
  <c r="K7658" i="2" s="1"/>
  <c r="K7659" i="2" s="1"/>
  <c r="K7660" i="2" s="1"/>
  <c r="K7661" i="2" s="1"/>
  <c r="K7662" i="2" s="1"/>
  <c r="K7663" i="2" s="1"/>
  <c r="K7664" i="2" s="1"/>
  <c r="K7665" i="2" s="1"/>
  <c r="K7666" i="2" s="1"/>
  <c r="K7667" i="2" s="1"/>
  <c r="K7668" i="2" s="1"/>
  <c r="K7669" i="2" s="1"/>
  <c r="K7670" i="2" s="1"/>
  <c r="K7671" i="2" s="1"/>
  <c r="K7672" i="2" s="1"/>
  <c r="K7673" i="2" s="1"/>
  <c r="K7674" i="2" s="1"/>
  <c r="K7675" i="2" s="1"/>
  <c r="K7676" i="2" s="1"/>
  <c r="K7677" i="2" s="1"/>
  <c r="K7678" i="2" s="1"/>
  <c r="K7679" i="2" s="1"/>
  <c r="K7680" i="2" s="1"/>
  <c r="K7681" i="2" s="1"/>
  <c r="K7682" i="2" s="1"/>
  <c r="K7683" i="2" s="1"/>
  <c r="K7684" i="2" s="1"/>
  <c r="K7685" i="2" s="1"/>
  <c r="K7686" i="2" s="1"/>
  <c r="K7687" i="2" s="1"/>
  <c r="K7688" i="2" s="1"/>
  <c r="K7689" i="2" s="1"/>
  <c r="K7690" i="2" s="1"/>
  <c r="K7691" i="2" s="1"/>
  <c r="K7692" i="2" s="1"/>
  <c r="K7693" i="2" s="1"/>
  <c r="K7694" i="2" s="1"/>
  <c r="K7695" i="2" s="1"/>
  <c r="K7696" i="2" s="1"/>
  <c r="K7697" i="2" s="1"/>
  <c r="K7698" i="2" s="1"/>
  <c r="K7699" i="2" s="1"/>
  <c r="K7700" i="2" s="1"/>
  <c r="K7701" i="2" s="1"/>
  <c r="K7702" i="2" s="1"/>
  <c r="K7703" i="2" s="1"/>
  <c r="K7704" i="2" s="1"/>
  <c r="K7705" i="2" s="1"/>
  <c r="K7706" i="2" s="1"/>
  <c r="K7707" i="2" s="1"/>
  <c r="K7708" i="2" s="1"/>
  <c r="K7709" i="2" s="1"/>
  <c r="K7710" i="2" s="1"/>
  <c r="K7711" i="2" s="1"/>
  <c r="K7712" i="2" s="1"/>
  <c r="K7713" i="2" s="1"/>
  <c r="K7714" i="2" s="1"/>
  <c r="K7715" i="2" s="1"/>
  <c r="K7716" i="2" s="1"/>
  <c r="K7717" i="2" s="1"/>
  <c r="K7718" i="2" s="1"/>
  <c r="K7719" i="2" s="1"/>
  <c r="K7720" i="2" s="1"/>
  <c r="K7721" i="2" s="1"/>
  <c r="K7722" i="2" s="1"/>
  <c r="K7723" i="2" s="1"/>
  <c r="K7724" i="2" s="1"/>
  <c r="K7725" i="2" s="1"/>
  <c r="K7726" i="2" s="1"/>
  <c r="K7727" i="2" s="1"/>
  <c r="K7728" i="2" s="1"/>
  <c r="K7729" i="2" s="1"/>
  <c r="K7730" i="2" s="1"/>
  <c r="K7731" i="2" s="1"/>
  <c r="K7732" i="2" s="1"/>
  <c r="K7733" i="2" s="1"/>
  <c r="K7734" i="2" s="1"/>
  <c r="K7735" i="2" s="1"/>
  <c r="K7736" i="2" s="1"/>
  <c r="K7737" i="2" s="1"/>
  <c r="K7738" i="2" s="1"/>
  <c r="K7739" i="2" s="1"/>
  <c r="K7740" i="2" s="1"/>
  <c r="K7741" i="2" s="1"/>
  <c r="K7742" i="2" s="1"/>
  <c r="K7743" i="2" s="1"/>
  <c r="K7744" i="2" s="1"/>
  <c r="K7745" i="2" s="1"/>
  <c r="K7746" i="2" s="1"/>
  <c r="K7747" i="2" s="1"/>
  <c r="K7748" i="2" s="1"/>
  <c r="K7749" i="2" s="1"/>
  <c r="K7750" i="2" s="1"/>
  <c r="K7751" i="2" s="1"/>
  <c r="K7752" i="2" s="1"/>
  <c r="K7753" i="2" s="1"/>
  <c r="K7754" i="2" s="1"/>
  <c r="K7755" i="2" s="1"/>
  <c r="K7756" i="2" s="1"/>
  <c r="K7757" i="2" s="1"/>
  <c r="K7758" i="2" s="1"/>
  <c r="K7759" i="2" s="1"/>
  <c r="K7760" i="2" s="1"/>
  <c r="K7761" i="2" s="1"/>
  <c r="K7762" i="2" s="1"/>
  <c r="K7763" i="2" s="1"/>
  <c r="K7764" i="2" s="1"/>
  <c r="K7765" i="2" s="1"/>
  <c r="K7766" i="2" s="1"/>
  <c r="K7767" i="2" s="1"/>
  <c r="K7768" i="2" s="1"/>
  <c r="K7769" i="2" s="1"/>
  <c r="K7770" i="2" s="1"/>
  <c r="K7771" i="2" s="1"/>
  <c r="K7772" i="2" s="1"/>
  <c r="K7773" i="2" s="1"/>
  <c r="K7774" i="2" s="1"/>
  <c r="K7775" i="2" s="1"/>
  <c r="K7776" i="2" s="1"/>
  <c r="K7777" i="2" s="1"/>
  <c r="K7778" i="2" s="1"/>
  <c r="K7779" i="2" s="1"/>
  <c r="K7780" i="2" s="1"/>
  <c r="K7781" i="2" s="1"/>
  <c r="K7782" i="2" s="1"/>
  <c r="K7783" i="2" s="1"/>
  <c r="K7784" i="2" s="1"/>
  <c r="K7785" i="2" s="1"/>
  <c r="K7786" i="2" s="1"/>
  <c r="K7787" i="2" s="1"/>
  <c r="K7788" i="2" s="1"/>
  <c r="K7789" i="2" s="1"/>
  <c r="K7790" i="2" s="1"/>
  <c r="K7791" i="2" s="1"/>
  <c r="K7792" i="2" s="1"/>
  <c r="K7793" i="2" s="1"/>
  <c r="K7794" i="2" s="1"/>
  <c r="K7795" i="2" s="1"/>
  <c r="K7796" i="2" s="1"/>
  <c r="K7797" i="2" s="1"/>
  <c r="K7798" i="2" s="1"/>
  <c r="K7799" i="2" s="1"/>
  <c r="K7800" i="2" s="1"/>
  <c r="K7801" i="2" s="1"/>
  <c r="K7802" i="2" s="1"/>
  <c r="K7803" i="2" s="1"/>
  <c r="K7804" i="2" s="1"/>
  <c r="K7805" i="2" s="1"/>
  <c r="K7806" i="2" s="1"/>
  <c r="K7807" i="2" s="1"/>
  <c r="K7808" i="2" s="1"/>
  <c r="K7809" i="2" s="1"/>
  <c r="K7810" i="2" s="1"/>
  <c r="K7811" i="2" s="1"/>
  <c r="K7812" i="2" s="1"/>
  <c r="K7813" i="2" s="1"/>
  <c r="K7814" i="2" s="1"/>
  <c r="K7815" i="2" s="1"/>
  <c r="K7816" i="2" s="1"/>
  <c r="K7817" i="2" s="1"/>
  <c r="K7818" i="2" s="1"/>
  <c r="K7819" i="2" s="1"/>
  <c r="K7820" i="2" s="1"/>
  <c r="K7821" i="2" s="1"/>
  <c r="K7822" i="2" s="1"/>
  <c r="K7823" i="2" s="1"/>
  <c r="K7824" i="2" s="1"/>
  <c r="K7825" i="2" s="1"/>
  <c r="K7826" i="2" s="1"/>
  <c r="K7827" i="2" s="1"/>
  <c r="K7828" i="2" s="1"/>
  <c r="K7829" i="2" s="1"/>
  <c r="K7830" i="2" s="1"/>
  <c r="K7831" i="2" s="1"/>
  <c r="K7832" i="2" s="1"/>
  <c r="K7833" i="2" s="1"/>
  <c r="K7834" i="2" s="1"/>
  <c r="K7835" i="2" s="1"/>
  <c r="K7836" i="2" s="1"/>
  <c r="K7837" i="2" s="1"/>
  <c r="K7838" i="2" s="1"/>
  <c r="K7839" i="2" s="1"/>
  <c r="K7840" i="2" s="1"/>
  <c r="K7841" i="2" s="1"/>
  <c r="K7842" i="2" s="1"/>
  <c r="K7843" i="2" s="1"/>
  <c r="K7844" i="2" s="1"/>
  <c r="K7845" i="2" s="1"/>
  <c r="K7846" i="2" s="1"/>
  <c r="K7847" i="2" s="1"/>
  <c r="K7848" i="2" s="1"/>
  <c r="K7849" i="2" s="1"/>
  <c r="K7850" i="2" s="1"/>
  <c r="K7851" i="2" s="1"/>
  <c r="K7852" i="2" s="1"/>
  <c r="K7853" i="2" s="1"/>
  <c r="K7854" i="2" s="1"/>
  <c r="K7855" i="2" s="1"/>
  <c r="K7856" i="2" s="1"/>
  <c r="K7857" i="2" s="1"/>
  <c r="K7858" i="2" s="1"/>
  <c r="K7859" i="2" s="1"/>
  <c r="K7860" i="2" s="1"/>
  <c r="K7861" i="2" s="1"/>
  <c r="K7862" i="2" s="1"/>
  <c r="K7863" i="2" s="1"/>
  <c r="K7864" i="2" s="1"/>
  <c r="K7865" i="2" s="1"/>
  <c r="K7866" i="2" s="1"/>
  <c r="K7867" i="2" s="1"/>
  <c r="K7868" i="2" s="1"/>
  <c r="K7869" i="2" s="1"/>
  <c r="K7870" i="2" s="1"/>
  <c r="K7871" i="2" s="1"/>
  <c r="K7872" i="2" s="1"/>
  <c r="K7873" i="2" s="1"/>
  <c r="K7874" i="2" s="1"/>
  <c r="K7875" i="2" s="1"/>
  <c r="K7876" i="2" s="1"/>
  <c r="K7877" i="2" s="1"/>
  <c r="K7878" i="2" s="1"/>
  <c r="K7879" i="2" s="1"/>
  <c r="K7880" i="2" s="1"/>
  <c r="K7881" i="2" s="1"/>
  <c r="K7882" i="2" s="1"/>
  <c r="K7883" i="2" s="1"/>
  <c r="K7884" i="2" s="1"/>
  <c r="K7885" i="2" s="1"/>
  <c r="K7886" i="2" s="1"/>
  <c r="K7887" i="2" s="1"/>
  <c r="K7888" i="2" s="1"/>
  <c r="K7889" i="2" s="1"/>
  <c r="K7890" i="2" s="1"/>
  <c r="K7891" i="2" s="1"/>
  <c r="K7892" i="2" s="1"/>
  <c r="K7893" i="2" s="1"/>
  <c r="K7894" i="2" s="1"/>
  <c r="K7895" i="2" s="1"/>
  <c r="K7896" i="2" s="1"/>
  <c r="K7897" i="2" s="1"/>
  <c r="K7898" i="2" s="1"/>
  <c r="K7899" i="2" s="1"/>
  <c r="K7900" i="2" s="1"/>
  <c r="K7901" i="2" s="1"/>
  <c r="K7902" i="2" s="1"/>
  <c r="K7903" i="2" s="1"/>
  <c r="K7904" i="2" s="1"/>
  <c r="K7905" i="2" s="1"/>
  <c r="K7906" i="2" s="1"/>
  <c r="K7907" i="2" s="1"/>
  <c r="K7908" i="2" s="1"/>
  <c r="K7909" i="2" s="1"/>
  <c r="K7910" i="2" s="1"/>
  <c r="K7911" i="2" s="1"/>
  <c r="K7912" i="2" s="1"/>
  <c r="K7913" i="2" s="1"/>
  <c r="K7914" i="2" s="1"/>
  <c r="K7915" i="2" s="1"/>
  <c r="K7916" i="2" s="1"/>
  <c r="K7917" i="2" s="1"/>
  <c r="K7918" i="2" s="1"/>
  <c r="K7919" i="2" s="1"/>
  <c r="K7920" i="2" s="1"/>
  <c r="K7921" i="2" s="1"/>
  <c r="K7922" i="2" s="1"/>
  <c r="K7923" i="2" s="1"/>
  <c r="K7924" i="2" s="1"/>
  <c r="K7925" i="2" s="1"/>
  <c r="K7926" i="2" s="1"/>
  <c r="K7927" i="2" s="1"/>
  <c r="K7928" i="2" s="1"/>
  <c r="K7929" i="2" s="1"/>
  <c r="K7930" i="2" s="1"/>
  <c r="K7931" i="2" s="1"/>
  <c r="K7932" i="2" s="1"/>
  <c r="K7933" i="2" s="1"/>
  <c r="K7934" i="2" s="1"/>
  <c r="K7935" i="2" s="1"/>
  <c r="K7936" i="2" s="1"/>
  <c r="K7937" i="2" s="1"/>
  <c r="K7938" i="2" s="1"/>
  <c r="K7939" i="2" s="1"/>
  <c r="K7940" i="2" s="1"/>
  <c r="K7941" i="2" s="1"/>
  <c r="K7942" i="2" s="1"/>
  <c r="K7943" i="2" s="1"/>
  <c r="K7944" i="2" s="1"/>
  <c r="K7945" i="2" s="1"/>
  <c r="K7946" i="2" s="1"/>
  <c r="K7947" i="2" s="1"/>
  <c r="K7948" i="2" s="1"/>
  <c r="K7949" i="2" s="1"/>
  <c r="K7950" i="2" s="1"/>
  <c r="K7951" i="2" s="1"/>
  <c r="K7952" i="2" s="1"/>
  <c r="K7953" i="2" s="1"/>
  <c r="K7954" i="2" s="1"/>
  <c r="K7955" i="2" s="1"/>
  <c r="K7956" i="2" s="1"/>
  <c r="K7957" i="2" s="1"/>
  <c r="K7958" i="2" s="1"/>
  <c r="K7959" i="2" s="1"/>
  <c r="K7960" i="2" s="1"/>
  <c r="K7961" i="2" s="1"/>
  <c r="K7962" i="2" s="1"/>
  <c r="K7963" i="2" s="1"/>
  <c r="K7964" i="2" s="1"/>
  <c r="K7965" i="2" s="1"/>
  <c r="K7966" i="2" s="1"/>
  <c r="K7967" i="2" s="1"/>
  <c r="K7968" i="2" s="1"/>
  <c r="K7969" i="2" s="1"/>
  <c r="K7970" i="2" s="1"/>
  <c r="K7971" i="2" s="1"/>
  <c r="K7972" i="2" s="1"/>
  <c r="K7973" i="2" s="1"/>
  <c r="K7974" i="2" s="1"/>
  <c r="K7975" i="2" s="1"/>
  <c r="K7976" i="2" s="1"/>
  <c r="K7977" i="2" s="1"/>
  <c r="K7978" i="2" s="1"/>
  <c r="K7979" i="2" s="1"/>
  <c r="K7980" i="2" s="1"/>
  <c r="K7981" i="2" s="1"/>
  <c r="K7982" i="2" s="1"/>
  <c r="K7983" i="2" s="1"/>
  <c r="K7984" i="2" s="1"/>
  <c r="K7985" i="2" s="1"/>
  <c r="K7986" i="2" s="1"/>
  <c r="K7987" i="2" s="1"/>
  <c r="K7988" i="2" s="1"/>
  <c r="K7989" i="2" s="1"/>
  <c r="K7990" i="2" s="1"/>
  <c r="K7991" i="2" s="1"/>
  <c r="K7992" i="2" s="1"/>
  <c r="K7993" i="2" s="1"/>
  <c r="K7994" i="2" s="1"/>
  <c r="K7995" i="2" s="1"/>
  <c r="K7996" i="2" s="1"/>
  <c r="K7997" i="2" s="1"/>
  <c r="K7998" i="2" s="1"/>
  <c r="K7999" i="2" s="1"/>
  <c r="K8000" i="2" s="1"/>
  <c r="K8001" i="2" s="1"/>
  <c r="K8002" i="2" s="1"/>
  <c r="K8003" i="2" s="1"/>
  <c r="K8004" i="2" s="1"/>
  <c r="K8005" i="2" s="1"/>
  <c r="K8006" i="2" s="1"/>
  <c r="K8007" i="2" s="1"/>
  <c r="K8008" i="2" s="1"/>
  <c r="K8009" i="2" s="1"/>
  <c r="K8010" i="2" s="1"/>
  <c r="K8011" i="2" s="1"/>
  <c r="K8012" i="2" s="1"/>
  <c r="K8013" i="2" s="1"/>
  <c r="K8014" i="2" s="1"/>
  <c r="K8015" i="2" s="1"/>
  <c r="K8016" i="2" s="1"/>
  <c r="K8017" i="2" s="1"/>
  <c r="K8018" i="2" s="1"/>
  <c r="K8019" i="2" s="1"/>
  <c r="K8020" i="2" s="1"/>
  <c r="K8021" i="2" s="1"/>
  <c r="K8022" i="2" s="1"/>
  <c r="K8023" i="2" s="1"/>
  <c r="K8024" i="2" s="1"/>
  <c r="K8025" i="2" s="1"/>
  <c r="K8026" i="2" s="1"/>
  <c r="K8027" i="2" s="1"/>
  <c r="K8028" i="2" s="1"/>
  <c r="K8029" i="2" s="1"/>
  <c r="K8030" i="2" s="1"/>
  <c r="K8031" i="2" s="1"/>
  <c r="K8032" i="2" s="1"/>
  <c r="K8033" i="2" s="1"/>
  <c r="K8034" i="2" s="1"/>
  <c r="K8035" i="2" s="1"/>
  <c r="K8036" i="2" s="1"/>
  <c r="K8037" i="2" s="1"/>
  <c r="K8038" i="2" s="1"/>
  <c r="K8039" i="2" s="1"/>
  <c r="K8040" i="2" s="1"/>
  <c r="K8041" i="2" s="1"/>
  <c r="K8042" i="2" s="1"/>
  <c r="K8043" i="2" s="1"/>
  <c r="K8044" i="2" s="1"/>
  <c r="K8045" i="2" s="1"/>
  <c r="K8046" i="2" s="1"/>
  <c r="K8047" i="2" s="1"/>
  <c r="K8048" i="2" s="1"/>
  <c r="K8049" i="2" s="1"/>
  <c r="K8050" i="2" s="1"/>
  <c r="K8051" i="2" s="1"/>
  <c r="K8052" i="2" s="1"/>
  <c r="K8053" i="2" s="1"/>
  <c r="K8054" i="2" s="1"/>
  <c r="K8055" i="2" s="1"/>
  <c r="K8056" i="2" s="1"/>
  <c r="K8057" i="2" s="1"/>
  <c r="K8058" i="2" s="1"/>
  <c r="K8059" i="2" s="1"/>
  <c r="K8060" i="2" s="1"/>
  <c r="K8061" i="2" s="1"/>
  <c r="K8062" i="2" s="1"/>
  <c r="K8063" i="2" s="1"/>
  <c r="K8064" i="2" s="1"/>
  <c r="K8065" i="2" s="1"/>
  <c r="K8066" i="2" s="1"/>
  <c r="K8067" i="2" s="1"/>
  <c r="K8068" i="2" s="1"/>
  <c r="K8069" i="2" s="1"/>
  <c r="K8070" i="2" s="1"/>
  <c r="K8071" i="2" s="1"/>
  <c r="K8072" i="2" s="1"/>
  <c r="K8073" i="2" s="1"/>
  <c r="K8074" i="2" s="1"/>
  <c r="K8075" i="2" s="1"/>
  <c r="K8076" i="2" s="1"/>
  <c r="K8077" i="2" s="1"/>
  <c r="K8078" i="2" s="1"/>
  <c r="K8079" i="2" s="1"/>
  <c r="K8080" i="2" s="1"/>
  <c r="K8081" i="2" s="1"/>
  <c r="K8082" i="2" s="1"/>
  <c r="K8083" i="2" s="1"/>
  <c r="K8084" i="2" s="1"/>
  <c r="K8085" i="2" s="1"/>
  <c r="K8086" i="2" s="1"/>
  <c r="K8087" i="2" s="1"/>
  <c r="K8088" i="2" s="1"/>
  <c r="K8089" i="2" s="1"/>
  <c r="K8090" i="2" s="1"/>
  <c r="K8091" i="2" s="1"/>
  <c r="K8092" i="2" s="1"/>
  <c r="K8093" i="2" s="1"/>
  <c r="K8094" i="2" s="1"/>
  <c r="K8095" i="2" s="1"/>
  <c r="K8096" i="2" s="1"/>
  <c r="K8097" i="2" s="1"/>
  <c r="K8098" i="2" s="1"/>
  <c r="K8099" i="2" s="1"/>
  <c r="K8100" i="2" s="1"/>
  <c r="K8101" i="2" s="1"/>
  <c r="K8102" i="2" s="1"/>
  <c r="K8103" i="2" s="1"/>
  <c r="K8104" i="2" s="1"/>
  <c r="K8105" i="2" s="1"/>
  <c r="K8106" i="2" s="1"/>
  <c r="K8107" i="2" s="1"/>
  <c r="K8108" i="2" s="1"/>
  <c r="K8109" i="2" s="1"/>
  <c r="K8110" i="2" s="1"/>
  <c r="K8111" i="2" s="1"/>
  <c r="K8112" i="2" s="1"/>
  <c r="K8113" i="2" s="1"/>
  <c r="K8114" i="2" s="1"/>
  <c r="K8115" i="2" s="1"/>
  <c r="K8116" i="2" s="1"/>
  <c r="K8117" i="2" s="1"/>
  <c r="K8118" i="2" s="1"/>
  <c r="K8119" i="2" s="1"/>
  <c r="K8120" i="2" s="1"/>
  <c r="K8121" i="2" s="1"/>
  <c r="K8122" i="2" s="1"/>
  <c r="K8123" i="2" s="1"/>
  <c r="K8124" i="2" s="1"/>
  <c r="K8125" i="2" s="1"/>
  <c r="K8126" i="2" s="1"/>
  <c r="K8127" i="2" s="1"/>
  <c r="K8128" i="2" s="1"/>
  <c r="K8129" i="2" s="1"/>
  <c r="K8130" i="2" s="1"/>
  <c r="K8131" i="2" s="1"/>
  <c r="K8132" i="2" s="1"/>
  <c r="K8133" i="2" s="1"/>
  <c r="K8134" i="2" s="1"/>
  <c r="K8135" i="2" s="1"/>
  <c r="K8136" i="2" s="1"/>
  <c r="K8137" i="2" s="1"/>
  <c r="K8138" i="2" s="1"/>
  <c r="K8139" i="2" s="1"/>
  <c r="K8140" i="2" s="1"/>
  <c r="K8141" i="2" s="1"/>
  <c r="K8142" i="2" s="1"/>
  <c r="K8143" i="2" s="1"/>
  <c r="K8144" i="2" s="1"/>
  <c r="K8145" i="2" s="1"/>
  <c r="K8146" i="2" s="1"/>
  <c r="K8147" i="2" s="1"/>
  <c r="K8148" i="2" s="1"/>
  <c r="K8149" i="2" s="1"/>
  <c r="K8150" i="2" s="1"/>
  <c r="K8151" i="2" s="1"/>
  <c r="K8152" i="2" s="1"/>
  <c r="K8153" i="2" s="1"/>
  <c r="K8154" i="2" s="1"/>
  <c r="K8155" i="2" s="1"/>
  <c r="K8156" i="2" s="1"/>
  <c r="K8157" i="2" s="1"/>
  <c r="K8158" i="2" s="1"/>
  <c r="K8159" i="2" s="1"/>
  <c r="K8160" i="2" s="1"/>
  <c r="K8161" i="2" s="1"/>
  <c r="K8162" i="2" s="1"/>
  <c r="K8163" i="2" s="1"/>
  <c r="K8164" i="2" s="1"/>
  <c r="K8165" i="2" s="1"/>
  <c r="K8166" i="2" s="1"/>
  <c r="K8167" i="2" s="1"/>
  <c r="K8168" i="2" s="1"/>
  <c r="K8169" i="2" s="1"/>
  <c r="K8170" i="2" s="1"/>
  <c r="K8171" i="2" s="1"/>
  <c r="K8172" i="2" s="1"/>
  <c r="K8173" i="2" s="1"/>
  <c r="K8174" i="2" s="1"/>
  <c r="K8175" i="2" s="1"/>
  <c r="K8176" i="2" s="1"/>
  <c r="K8177" i="2" s="1"/>
  <c r="K8178" i="2" s="1"/>
  <c r="K8179" i="2" s="1"/>
  <c r="K8180" i="2" s="1"/>
  <c r="K8181" i="2" s="1"/>
  <c r="K8182" i="2" s="1"/>
  <c r="K8183" i="2" s="1"/>
  <c r="K8184" i="2" s="1"/>
  <c r="K8185" i="2" s="1"/>
  <c r="K8186" i="2" s="1"/>
  <c r="K8187" i="2" s="1"/>
  <c r="K8188" i="2" s="1"/>
  <c r="K8189" i="2" s="1"/>
  <c r="K8190" i="2" s="1"/>
  <c r="K8191" i="2" s="1"/>
  <c r="K8192" i="2" s="1"/>
  <c r="K8193" i="2" s="1"/>
  <c r="K8194" i="2" s="1"/>
  <c r="K8195" i="2" s="1"/>
  <c r="K8196" i="2" s="1"/>
  <c r="K8197" i="2" s="1"/>
  <c r="K8198" i="2" s="1"/>
  <c r="K8199" i="2" s="1"/>
  <c r="K8200" i="2" s="1"/>
  <c r="K8201" i="2" s="1"/>
  <c r="K8202" i="2" s="1"/>
  <c r="K8203" i="2" s="1"/>
  <c r="K8204" i="2" s="1"/>
  <c r="K8205" i="2" s="1"/>
  <c r="K8206" i="2" s="1"/>
  <c r="K8207" i="2" s="1"/>
  <c r="K8208" i="2" s="1"/>
  <c r="K8209" i="2" s="1"/>
  <c r="K8210" i="2" s="1"/>
  <c r="K8211" i="2" s="1"/>
  <c r="K8212" i="2" s="1"/>
  <c r="K8213" i="2" s="1"/>
  <c r="K8214" i="2" s="1"/>
  <c r="K8215" i="2" s="1"/>
  <c r="K8216" i="2" s="1"/>
  <c r="K8217" i="2" s="1"/>
  <c r="K8218" i="2" s="1"/>
  <c r="K8219" i="2" s="1"/>
  <c r="K8220" i="2" s="1"/>
  <c r="K8221" i="2" s="1"/>
  <c r="K8222" i="2" s="1"/>
  <c r="K8223" i="2" s="1"/>
  <c r="K8224" i="2" s="1"/>
  <c r="K8225" i="2" s="1"/>
  <c r="K8226" i="2" s="1"/>
  <c r="K8227" i="2" s="1"/>
  <c r="K8228" i="2" s="1"/>
  <c r="K8229" i="2" s="1"/>
  <c r="K8230" i="2" s="1"/>
  <c r="K8231" i="2" s="1"/>
  <c r="K8232" i="2" s="1"/>
  <c r="K8233" i="2" s="1"/>
  <c r="K8234" i="2" s="1"/>
  <c r="K8235" i="2" s="1"/>
  <c r="K8236" i="2" s="1"/>
  <c r="K8237" i="2" s="1"/>
  <c r="K8238" i="2" s="1"/>
  <c r="K8239" i="2" s="1"/>
  <c r="K8240" i="2" s="1"/>
  <c r="K8241" i="2" s="1"/>
  <c r="K8242" i="2" s="1"/>
  <c r="K8243" i="2" s="1"/>
  <c r="K8244" i="2" s="1"/>
  <c r="K8245" i="2" s="1"/>
  <c r="K8246" i="2" s="1"/>
  <c r="K8247" i="2" s="1"/>
  <c r="K8248" i="2" s="1"/>
  <c r="K8249" i="2" s="1"/>
  <c r="K8250" i="2" s="1"/>
  <c r="K8251" i="2" s="1"/>
  <c r="K8252" i="2" s="1"/>
  <c r="K8253" i="2" s="1"/>
  <c r="K8254" i="2" s="1"/>
  <c r="K8255" i="2" s="1"/>
  <c r="K8256" i="2" s="1"/>
  <c r="K8257" i="2" s="1"/>
  <c r="K8258" i="2" s="1"/>
  <c r="K8259" i="2" s="1"/>
  <c r="K8260" i="2" s="1"/>
  <c r="K8261" i="2" s="1"/>
  <c r="K8262" i="2" s="1"/>
  <c r="K8263" i="2" s="1"/>
  <c r="K8264" i="2" s="1"/>
  <c r="K8265" i="2" s="1"/>
  <c r="K8266" i="2" s="1"/>
  <c r="K8267" i="2" s="1"/>
  <c r="K8268" i="2" s="1"/>
  <c r="K8269" i="2" s="1"/>
  <c r="K8270" i="2" s="1"/>
  <c r="K8271" i="2" s="1"/>
  <c r="K8272" i="2" s="1"/>
  <c r="K8273" i="2" s="1"/>
  <c r="K8274" i="2" s="1"/>
  <c r="K8275" i="2" s="1"/>
  <c r="K8276" i="2" s="1"/>
  <c r="K8277" i="2" s="1"/>
  <c r="K8278" i="2" s="1"/>
  <c r="K8279" i="2" s="1"/>
  <c r="K8280" i="2" s="1"/>
  <c r="K8281" i="2" s="1"/>
  <c r="K8282" i="2" s="1"/>
  <c r="K8283" i="2" s="1"/>
  <c r="K8284" i="2" s="1"/>
  <c r="K8285" i="2" s="1"/>
  <c r="K8286" i="2" s="1"/>
  <c r="K8287" i="2" s="1"/>
  <c r="K8288" i="2" s="1"/>
  <c r="K8289" i="2" s="1"/>
  <c r="K8290" i="2" s="1"/>
  <c r="K8291" i="2" s="1"/>
  <c r="K8292" i="2" s="1"/>
  <c r="K8293" i="2" s="1"/>
  <c r="K8294" i="2" s="1"/>
  <c r="K8295" i="2" s="1"/>
  <c r="K8296" i="2" s="1"/>
  <c r="K8297" i="2" s="1"/>
  <c r="K8298" i="2" s="1"/>
  <c r="K8299" i="2" s="1"/>
  <c r="K8300" i="2" s="1"/>
  <c r="K8301" i="2" s="1"/>
  <c r="K8302" i="2" s="1"/>
  <c r="K8303" i="2" s="1"/>
  <c r="K8304" i="2" s="1"/>
  <c r="K8305" i="2" s="1"/>
  <c r="K8306" i="2" s="1"/>
  <c r="K8307" i="2" s="1"/>
  <c r="K8308" i="2" s="1"/>
  <c r="K8309" i="2" s="1"/>
  <c r="K8310" i="2" s="1"/>
  <c r="K8311" i="2" s="1"/>
  <c r="K8312" i="2" s="1"/>
  <c r="K8313" i="2" s="1"/>
  <c r="K8314" i="2" s="1"/>
  <c r="K8315" i="2" s="1"/>
  <c r="K8316" i="2" s="1"/>
  <c r="K8317" i="2" s="1"/>
  <c r="K8318" i="2" s="1"/>
  <c r="K8319" i="2" s="1"/>
  <c r="K8320" i="2" s="1"/>
  <c r="K8321" i="2" s="1"/>
  <c r="K8322" i="2" s="1"/>
  <c r="K8323" i="2" s="1"/>
  <c r="K8324" i="2" s="1"/>
  <c r="K8325" i="2" s="1"/>
  <c r="K8326" i="2" s="1"/>
  <c r="K8327" i="2" s="1"/>
  <c r="K8328" i="2" s="1"/>
  <c r="K8329" i="2" s="1"/>
  <c r="K8330" i="2" s="1"/>
  <c r="K8331" i="2" s="1"/>
  <c r="K8332" i="2" s="1"/>
  <c r="K8333" i="2" s="1"/>
  <c r="K8334" i="2" s="1"/>
  <c r="K8335" i="2" s="1"/>
  <c r="K8336" i="2" s="1"/>
  <c r="K8337" i="2" s="1"/>
  <c r="K8338" i="2" s="1"/>
  <c r="K8339" i="2" s="1"/>
  <c r="K8340" i="2" s="1"/>
  <c r="K8341" i="2" s="1"/>
  <c r="K8342" i="2" s="1"/>
  <c r="K8343" i="2" s="1"/>
  <c r="K8344" i="2" s="1"/>
  <c r="K8345" i="2" s="1"/>
  <c r="K8346" i="2" s="1"/>
  <c r="K8347" i="2" s="1"/>
  <c r="K8348" i="2" s="1"/>
  <c r="K8349" i="2" s="1"/>
  <c r="K8350" i="2" s="1"/>
  <c r="K8351" i="2" s="1"/>
  <c r="K8352" i="2" s="1"/>
  <c r="K8353" i="2" s="1"/>
  <c r="K8354" i="2" s="1"/>
  <c r="K8355" i="2" s="1"/>
  <c r="K8356" i="2" s="1"/>
  <c r="K8357" i="2" s="1"/>
  <c r="K8358" i="2" s="1"/>
  <c r="K8359" i="2" s="1"/>
  <c r="K8360" i="2" s="1"/>
  <c r="K8361" i="2" s="1"/>
  <c r="K8362" i="2" s="1"/>
  <c r="K8363" i="2" s="1"/>
  <c r="K8364" i="2" s="1"/>
  <c r="K8365" i="2" s="1"/>
  <c r="K8366" i="2" s="1"/>
  <c r="K8367" i="2" s="1"/>
  <c r="K8368" i="2" s="1"/>
  <c r="K8369" i="2" s="1"/>
  <c r="K8370" i="2" s="1"/>
  <c r="K8371" i="2" s="1"/>
  <c r="K8372" i="2" s="1"/>
  <c r="K8373" i="2" s="1"/>
  <c r="K8374" i="2" s="1"/>
  <c r="K8375" i="2" s="1"/>
  <c r="K8376" i="2" s="1"/>
  <c r="K8377" i="2" s="1"/>
  <c r="K8378" i="2" s="1"/>
  <c r="K8379" i="2" s="1"/>
  <c r="K8380" i="2" s="1"/>
  <c r="K8381" i="2" s="1"/>
  <c r="K8382" i="2" s="1"/>
  <c r="K8383" i="2" s="1"/>
  <c r="K8384" i="2" s="1"/>
  <c r="K8385" i="2" s="1"/>
  <c r="K8386" i="2" s="1"/>
  <c r="K8387" i="2" s="1"/>
  <c r="K8388" i="2" s="1"/>
  <c r="K8389" i="2" s="1"/>
  <c r="K8390" i="2" s="1"/>
  <c r="K8391" i="2" s="1"/>
  <c r="K8392" i="2" s="1"/>
  <c r="K8393" i="2" s="1"/>
  <c r="K8394" i="2" s="1"/>
  <c r="K8395" i="2" s="1"/>
  <c r="K8396" i="2" s="1"/>
  <c r="K8397" i="2" s="1"/>
  <c r="K8398" i="2" s="1"/>
  <c r="K8399" i="2" s="1"/>
  <c r="K8400" i="2" s="1"/>
  <c r="K8401" i="2" s="1"/>
  <c r="K8402" i="2" s="1"/>
  <c r="K8403" i="2" s="1"/>
  <c r="K8404" i="2" s="1"/>
  <c r="K8405" i="2" s="1"/>
  <c r="K8406" i="2" s="1"/>
  <c r="K8407" i="2" s="1"/>
  <c r="K8408" i="2" s="1"/>
  <c r="K8409" i="2" s="1"/>
  <c r="K8410" i="2" s="1"/>
  <c r="K8411" i="2" s="1"/>
  <c r="K8412" i="2" s="1"/>
  <c r="K8413" i="2" s="1"/>
  <c r="K8414" i="2" s="1"/>
  <c r="K8415" i="2" s="1"/>
  <c r="K8416" i="2" s="1"/>
  <c r="K8417" i="2" s="1"/>
  <c r="K8418" i="2" s="1"/>
  <c r="K8419" i="2" s="1"/>
  <c r="K8420" i="2" s="1"/>
  <c r="K8421" i="2" s="1"/>
  <c r="K8422" i="2" s="1"/>
  <c r="K8423" i="2" s="1"/>
  <c r="K8424" i="2" s="1"/>
  <c r="K8425" i="2" s="1"/>
  <c r="K8426" i="2" s="1"/>
  <c r="K8427" i="2" s="1"/>
  <c r="K8428" i="2" s="1"/>
  <c r="K8429" i="2" s="1"/>
  <c r="K8430" i="2" s="1"/>
  <c r="K8431" i="2" s="1"/>
  <c r="K8432" i="2" s="1"/>
  <c r="K8433" i="2" s="1"/>
  <c r="K8434" i="2" s="1"/>
  <c r="K8435" i="2" s="1"/>
  <c r="K8436" i="2" s="1"/>
  <c r="K8437" i="2" s="1"/>
  <c r="K8438" i="2" s="1"/>
  <c r="K8439" i="2" s="1"/>
  <c r="K8440" i="2" s="1"/>
  <c r="K8441" i="2" s="1"/>
  <c r="K8442" i="2" s="1"/>
  <c r="K8443" i="2" s="1"/>
  <c r="K8444" i="2" s="1"/>
  <c r="K8445" i="2" s="1"/>
  <c r="K8446" i="2" s="1"/>
  <c r="K8447" i="2" s="1"/>
  <c r="K8448" i="2" s="1"/>
  <c r="K8449" i="2" s="1"/>
  <c r="K8450" i="2" s="1"/>
  <c r="K8451" i="2" s="1"/>
  <c r="K8452" i="2" s="1"/>
  <c r="K8453" i="2" s="1"/>
  <c r="K8454" i="2" s="1"/>
  <c r="K8455" i="2" s="1"/>
  <c r="K8456" i="2" s="1"/>
  <c r="K8457" i="2" s="1"/>
  <c r="K8458" i="2" s="1"/>
  <c r="K8459" i="2" s="1"/>
  <c r="K8460" i="2" s="1"/>
  <c r="K8461" i="2" s="1"/>
  <c r="K8462" i="2" s="1"/>
  <c r="K8463" i="2" s="1"/>
  <c r="K8464" i="2" s="1"/>
  <c r="K8465" i="2" s="1"/>
  <c r="K8466" i="2" s="1"/>
  <c r="K8467" i="2" s="1"/>
  <c r="K8468" i="2" s="1"/>
  <c r="K8469" i="2" s="1"/>
  <c r="K8470" i="2" s="1"/>
  <c r="K8471" i="2" s="1"/>
  <c r="K8472" i="2" s="1"/>
  <c r="K8473" i="2" s="1"/>
  <c r="K8474" i="2" s="1"/>
  <c r="K8475" i="2" s="1"/>
  <c r="K8476" i="2" s="1"/>
  <c r="K8477" i="2" s="1"/>
  <c r="K8478" i="2" s="1"/>
  <c r="K8479" i="2" s="1"/>
  <c r="K8480" i="2" s="1"/>
  <c r="K8481" i="2" s="1"/>
  <c r="K8482" i="2" s="1"/>
  <c r="K8483" i="2" s="1"/>
  <c r="K8484" i="2" s="1"/>
  <c r="K8485" i="2" s="1"/>
  <c r="K8486" i="2" s="1"/>
  <c r="K8487" i="2" s="1"/>
  <c r="K8488" i="2" s="1"/>
  <c r="K8489" i="2" s="1"/>
  <c r="K8490" i="2" s="1"/>
  <c r="K8491" i="2" s="1"/>
  <c r="K8492" i="2" s="1"/>
  <c r="K8493" i="2" s="1"/>
  <c r="K8494" i="2" s="1"/>
  <c r="K8495" i="2" s="1"/>
  <c r="K8496" i="2" s="1"/>
  <c r="K8497" i="2" s="1"/>
  <c r="K8498" i="2" s="1"/>
  <c r="K8499" i="2" s="1"/>
  <c r="K8500" i="2" s="1"/>
  <c r="K8501" i="2" s="1"/>
  <c r="K8502" i="2" s="1"/>
  <c r="K8503" i="2" s="1"/>
  <c r="K8504" i="2" s="1"/>
  <c r="K8505" i="2" s="1"/>
  <c r="K8506" i="2" s="1"/>
  <c r="K8507" i="2" s="1"/>
  <c r="K8508" i="2" s="1"/>
  <c r="K8509" i="2" s="1"/>
  <c r="K8510" i="2" s="1"/>
  <c r="K8511" i="2" s="1"/>
  <c r="K8512" i="2" s="1"/>
  <c r="K8513" i="2" s="1"/>
  <c r="K8514" i="2" s="1"/>
  <c r="K8515" i="2" s="1"/>
  <c r="K8516" i="2" s="1"/>
  <c r="K8517" i="2" s="1"/>
  <c r="K8518" i="2" s="1"/>
  <c r="K8519" i="2" s="1"/>
  <c r="K8520" i="2" s="1"/>
  <c r="K8521" i="2" s="1"/>
  <c r="K8522" i="2" s="1"/>
  <c r="K8523" i="2" s="1"/>
  <c r="K8524" i="2" s="1"/>
  <c r="K8525" i="2" s="1"/>
  <c r="K8526" i="2" s="1"/>
  <c r="K8527" i="2" s="1"/>
  <c r="K8528" i="2" s="1"/>
  <c r="K8529" i="2" s="1"/>
  <c r="K8530" i="2" s="1"/>
  <c r="K8531" i="2" s="1"/>
  <c r="K8532" i="2" s="1"/>
  <c r="K8533" i="2" s="1"/>
  <c r="K8534" i="2" s="1"/>
  <c r="K8535" i="2" s="1"/>
  <c r="K8536" i="2" s="1"/>
  <c r="K8537" i="2" s="1"/>
  <c r="K8538" i="2" s="1"/>
  <c r="K8539" i="2" s="1"/>
  <c r="K8540" i="2" s="1"/>
  <c r="K8541" i="2" s="1"/>
  <c r="K8542" i="2" s="1"/>
  <c r="K8543" i="2" s="1"/>
  <c r="K8544" i="2" s="1"/>
  <c r="K8545" i="2" s="1"/>
  <c r="K8546" i="2" s="1"/>
  <c r="K8547" i="2" s="1"/>
  <c r="K8548" i="2" s="1"/>
  <c r="K8549" i="2" s="1"/>
  <c r="K8550" i="2" s="1"/>
  <c r="K8551" i="2" s="1"/>
  <c r="K8552" i="2" s="1"/>
  <c r="K8553" i="2" s="1"/>
  <c r="K8554" i="2" s="1"/>
  <c r="K8555" i="2" s="1"/>
  <c r="K8556" i="2" s="1"/>
  <c r="K8557" i="2" s="1"/>
  <c r="K8558" i="2" s="1"/>
  <c r="K8559" i="2" s="1"/>
  <c r="K8560" i="2" s="1"/>
  <c r="K8561" i="2" s="1"/>
  <c r="K8562" i="2" s="1"/>
  <c r="K8563" i="2" s="1"/>
  <c r="K8564" i="2" s="1"/>
  <c r="K8565" i="2" s="1"/>
  <c r="K8566" i="2" s="1"/>
  <c r="K8567" i="2" s="1"/>
  <c r="K8568" i="2" s="1"/>
  <c r="K8569" i="2" s="1"/>
  <c r="K8570" i="2" s="1"/>
  <c r="K8571" i="2" s="1"/>
  <c r="K8572" i="2" s="1"/>
  <c r="K8573" i="2" s="1"/>
  <c r="K8574" i="2" s="1"/>
  <c r="K8575" i="2" s="1"/>
  <c r="K8576" i="2" s="1"/>
  <c r="K8577" i="2" s="1"/>
  <c r="K8578" i="2" s="1"/>
  <c r="K8579" i="2" s="1"/>
  <c r="K8580" i="2" s="1"/>
  <c r="K8581" i="2" s="1"/>
  <c r="K8582" i="2" s="1"/>
  <c r="K8583" i="2" s="1"/>
  <c r="K8584" i="2" s="1"/>
  <c r="K8585" i="2" s="1"/>
  <c r="K8586" i="2" s="1"/>
  <c r="K8587" i="2" s="1"/>
  <c r="K8588" i="2" s="1"/>
  <c r="K8589" i="2" s="1"/>
  <c r="K8590" i="2" s="1"/>
  <c r="K8591" i="2" s="1"/>
  <c r="K8592" i="2" s="1"/>
  <c r="K8593" i="2" s="1"/>
  <c r="K8594" i="2" s="1"/>
  <c r="K8595" i="2" s="1"/>
  <c r="K8596" i="2" s="1"/>
  <c r="K8597" i="2" s="1"/>
  <c r="K8598" i="2" s="1"/>
  <c r="K8599" i="2" s="1"/>
  <c r="K8600" i="2" s="1"/>
  <c r="K8601" i="2" s="1"/>
  <c r="K8602" i="2" s="1"/>
  <c r="K8603" i="2" s="1"/>
  <c r="K8604" i="2" s="1"/>
  <c r="K8605" i="2" s="1"/>
  <c r="K8606" i="2" s="1"/>
  <c r="K8607" i="2" s="1"/>
  <c r="K8608" i="2" s="1"/>
  <c r="K8609" i="2" s="1"/>
  <c r="K8610" i="2" s="1"/>
  <c r="K8611" i="2" s="1"/>
  <c r="K8612" i="2" s="1"/>
  <c r="K8613" i="2" s="1"/>
  <c r="K8614" i="2" s="1"/>
  <c r="K8615" i="2" s="1"/>
  <c r="K8616" i="2" s="1"/>
  <c r="K8617" i="2" s="1"/>
  <c r="K8618" i="2" s="1"/>
  <c r="K8619" i="2" s="1"/>
  <c r="K8620" i="2" s="1"/>
  <c r="K8621" i="2" s="1"/>
  <c r="K8622" i="2" s="1"/>
  <c r="K8623" i="2" s="1"/>
  <c r="K8624" i="2" s="1"/>
  <c r="K8625" i="2" s="1"/>
  <c r="K8626" i="2" s="1"/>
  <c r="K8627" i="2" s="1"/>
  <c r="K8628" i="2" s="1"/>
  <c r="K8629" i="2" s="1"/>
  <c r="K8630" i="2" s="1"/>
  <c r="K8631" i="2" s="1"/>
  <c r="K8632" i="2" s="1"/>
  <c r="K8633" i="2" s="1"/>
  <c r="K8634" i="2" s="1"/>
  <c r="K8635" i="2" s="1"/>
  <c r="K8636" i="2" s="1"/>
  <c r="K8637" i="2" s="1"/>
  <c r="K8638" i="2" s="1"/>
  <c r="K8639" i="2" s="1"/>
  <c r="K8640" i="2" s="1"/>
  <c r="K8641" i="2" s="1"/>
  <c r="K8642" i="2" s="1"/>
  <c r="K8643" i="2" s="1"/>
  <c r="K8644" i="2" s="1"/>
  <c r="K8645" i="2" s="1"/>
  <c r="K8646" i="2" s="1"/>
  <c r="K8647" i="2" s="1"/>
  <c r="K8648" i="2" s="1"/>
  <c r="K8649" i="2" s="1"/>
  <c r="K8650" i="2" s="1"/>
  <c r="K8651" i="2" s="1"/>
  <c r="K8652" i="2" s="1"/>
  <c r="K8653" i="2" s="1"/>
  <c r="K8654" i="2" s="1"/>
  <c r="K8655" i="2" s="1"/>
  <c r="K8656" i="2" s="1"/>
  <c r="K8657" i="2" s="1"/>
  <c r="K8658" i="2" s="1"/>
  <c r="K8659" i="2" s="1"/>
  <c r="K8660" i="2" s="1"/>
  <c r="K8661" i="2" s="1"/>
  <c r="K8662" i="2" s="1"/>
  <c r="K8663" i="2" s="1"/>
  <c r="K8664" i="2" s="1"/>
  <c r="K8665" i="2" s="1"/>
  <c r="K8666" i="2" s="1"/>
  <c r="K8667" i="2" s="1"/>
  <c r="K8668" i="2" s="1"/>
  <c r="K8669" i="2" s="1"/>
  <c r="K8670" i="2" s="1"/>
  <c r="K8671" i="2" s="1"/>
  <c r="K8672" i="2" s="1"/>
  <c r="K8673" i="2" s="1"/>
  <c r="K8674" i="2" s="1"/>
  <c r="K8675" i="2" s="1"/>
  <c r="K8676" i="2" s="1"/>
  <c r="K8677" i="2" s="1"/>
  <c r="K8678" i="2" s="1"/>
  <c r="K8679" i="2" s="1"/>
  <c r="K8680" i="2" s="1"/>
  <c r="K8681" i="2" s="1"/>
  <c r="K8682" i="2" s="1"/>
  <c r="K8683" i="2" s="1"/>
  <c r="K8684" i="2" s="1"/>
  <c r="K8685" i="2" s="1"/>
  <c r="K8686" i="2" s="1"/>
  <c r="K8687" i="2" s="1"/>
  <c r="K8688" i="2" s="1"/>
  <c r="K8689" i="2" s="1"/>
  <c r="K8690" i="2" s="1"/>
  <c r="K8691" i="2" s="1"/>
  <c r="K8692" i="2" s="1"/>
  <c r="K8693" i="2" s="1"/>
  <c r="K8694" i="2" s="1"/>
  <c r="K8695" i="2" s="1"/>
  <c r="K8696" i="2" s="1"/>
  <c r="K8697" i="2" s="1"/>
  <c r="K8698" i="2" s="1"/>
  <c r="K8699" i="2" s="1"/>
  <c r="K8700" i="2" s="1"/>
  <c r="K8701" i="2" s="1"/>
  <c r="K8702" i="2" s="1"/>
  <c r="K8703" i="2" s="1"/>
  <c r="K8704" i="2" s="1"/>
  <c r="K8705" i="2" s="1"/>
  <c r="K8706" i="2" s="1"/>
  <c r="K8707" i="2" s="1"/>
  <c r="K8708" i="2" s="1"/>
  <c r="K8709" i="2" s="1"/>
  <c r="K8710" i="2" s="1"/>
  <c r="K8711" i="2" s="1"/>
  <c r="K8712" i="2" s="1"/>
  <c r="K8713" i="2" s="1"/>
  <c r="K8714" i="2" s="1"/>
  <c r="K8715" i="2" s="1"/>
  <c r="K8716" i="2" s="1"/>
  <c r="K8717" i="2" s="1"/>
  <c r="K8718" i="2" s="1"/>
  <c r="K8719" i="2" s="1"/>
  <c r="K8720" i="2" s="1"/>
  <c r="K8721" i="2" s="1"/>
  <c r="K8722" i="2" s="1"/>
  <c r="K8723" i="2" s="1"/>
  <c r="K8724" i="2" s="1"/>
  <c r="K8725" i="2" s="1"/>
  <c r="K8726" i="2" s="1"/>
  <c r="K8727" i="2" s="1"/>
  <c r="K8728" i="2" s="1"/>
  <c r="K8729" i="2" s="1"/>
  <c r="K8730" i="2" s="1"/>
  <c r="K8731" i="2" s="1"/>
  <c r="K8732" i="2" s="1"/>
  <c r="K8733" i="2" s="1"/>
  <c r="K8734" i="2" s="1"/>
  <c r="K8735" i="2" s="1"/>
  <c r="K8736" i="2" s="1"/>
  <c r="K8737" i="2" s="1"/>
  <c r="K8738" i="2" s="1"/>
  <c r="K8739" i="2" s="1"/>
  <c r="K8740" i="2" s="1"/>
  <c r="K8741" i="2" s="1"/>
  <c r="K8742" i="2" s="1"/>
  <c r="K8743" i="2" s="1"/>
  <c r="K8744" i="2" s="1"/>
  <c r="K8745" i="2" s="1"/>
  <c r="K8746" i="2" s="1"/>
  <c r="K8747" i="2" s="1"/>
  <c r="K8748" i="2" s="1"/>
  <c r="K8749" i="2" s="1"/>
  <c r="K8750" i="2" s="1"/>
  <c r="K8751" i="2" s="1"/>
  <c r="K8752" i="2" s="1"/>
  <c r="K8753" i="2" s="1"/>
  <c r="K8754" i="2" s="1"/>
  <c r="K8755" i="2" s="1"/>
  <c r="K8756" i="2" s="1"/>
  <c r="K8757" i="2" s="1"/>
  <c r="K8758" i="2" s="1"/>
  <c r="K8759" i="2" s="1"/>
  <c r="K8760" i="2" s="1"/>
  <c r="K8761" i="2" s="1"/>
  <c r="K8762" i="2" s="1"/>
  <c r="K8763" i="2" s="1"/>
  <c r="K8764" i="2" s="1"/>
  <c r="K8765" i="2" s="1"/>
  <c r="K8766" i="2" s="1"/>
  <c r="K8767" i="2" s="1"/>
  <c r="K8768" i="2" s="1"/>
  <c r="K8769" i="2" s="1"/>
  <c r="K8770" i="2" s="1"/>
  <c r="K8771" i="2" s="1"/>
  <c r="K8772" i="2" s="1"/>
  <c r="K8773" i="2" s="1"/>
  <c r="K8774" i="2" s="1"/>
  <c r="K8775" i="2" s="1"/>
  <c r="K8776" i="2" s="1"/>
  <c r="K8777" i="2" s="1"/>
  <c r="K8778" i="2" s="1"/>
  <c r="K8779" i="2" s="1"/>
  <c r="K8780" i="2" s="1"/>
  <c r="K8781" i="2" s="1"/>
  <c r="K8782" i="2" s="1"/>
  <c r="K8783" i="2" s="1"/>
  <c r="K8784" i="2" s="1"/>
  <c r="K8785" i="2" s="1"/>
  <c r="K8786" i="2" s="1"/>
  <c r="K8787" i="2" s="1"/>
  <c r="K8788" i="2" s="1"/>
  <c r="K8789" i="2" s="1"/>
  <c r="K8790" i="2" s="1"/>
  <c r="K8791" i="2" s="1"/>
  <c r="K8792" i="2" s="1"/>
  <c r="K8793" i="2" s="1"/>
  <c r="K8794" i="2" s="1"/>
  <c r="K8795" i="2" s="1"/>
  <c r="K8796" i="2" s="1"/>
  <c r="K8797" i="2" s="1"/>
  <c r="K8798" i="2" s="1"/>
  <c r="K8799" i="2" s="1"/>
  <c r="K8800" i="2" s="1"/>
  <c r="K8801" i="2" s="1"/>
  <c r="K8802" i="2" s="1"/>
  <c r="K8803" i="2" s="1"/>
  <c r="K8804" i="2" s="1"/>
  <c r="K8805" i="2" s="1"/>
  <c r="K8806" i="2" s="1"/>
  <c r="K8807" i="2" s="1"/>
  <c r="K8808" i="2" s="1"/>
  <c r="K8809" i="2" s="1"/>
  <c r="K8810" i="2" s="1"/>
  <c r="K8811" i="2" s="1"/>
  <c r="K8812" i="2" s="1"/>
  <c r="K8813" i="2" s="1"/>
  <c r="K8814" i="2" s="1"/>
  <c r="K8815" i="2" s="1"/>
  <c r="K8816" i="2" s="1"/>
  <c r="K8817" i="2" s="1"/>
  <c r="K8818" i="2" s="1"/>
  <c r="K8819" i="2" s="1"/>
  <c r="K8820" i="2" s="1"/>
  <c r="K8821" i="2" s="1"/>
  <c r="K8822" i="2" s="1"/>
  <c r="K8823" i="2" s="1"/>
  <c r="K8824" i="2" s="1"/>
  <c r="K8825" i="2" s="1"/>
  <c r="K8826" i="2" s="1"/>
  <c r="K8827" i="2" s="1"/>
  <c r="K8828" i="2" s="1"/>
  <c r="K8829" i="2" s="1"/>
  <c r="K8830" i="2" s="1"/>
  <c r="K8831" i="2" s="1"/>
  <c r="K8832" i="2" s="1"/>
  <c r="K8833" i="2" s="1"/>
  <c r="K8834" i="2" s="1"/>
  <c r="K8835" i="2" s="1"/>
  <c r="K8836" i="2" s="1"/>
  <c r="K8837" i="2" s="1"/>
  <c r="K8838" i="2" s="1"/>
  <c r="K8839" i="2" s="1"/>
  <c r="K8840" i="2" s="1"/>
  <c r="K8841" i="2" s="1"/>
  <c r="K8842" i="2" s="1"/>
  <c r="K8843" i="2" s="1"/>
  <c r="K8844" i="2" s="1"/>
  <c r="K8845" i="2" s="1"/>
  <c r="K8846" i="2" s="1"/>
  <c r="K8847" i="2" s="1"/>
  <c r="K8848" i="2" s="1"/>
  <c r="K8849" i="2" s="1"/>
  <c r="K8850" i="2" s="1"/>
  <c r="K8851" i="2" s="1"/>
  <c r="K8852" i="2" s="1"/>
  <c r="K8853" i="2" s="1"/>
  <c r="K8854" i="2" s="1"/>
  <c r="K8855" i="2" s="1"/>
  <c r="K8856" i="2" s="1"/>
  <c r="K8857" i="2" s="1"/>
  <c r="K8858" i="2" s="1"/>
  <c r="K8859" i="2" s="1"/>
  <c r="K8860" i="2" s="1"/>
  <c r="K8861" i="2" s="1"/>
  <c r="K8862" i="2" s="1"/>
  <c r="K8863" i="2" s="1"/>
  <c r="K8864" i="2" s="1"/>
  <c r="K8865" i="2" s="1"/>
  <c r="K8866" i="2" s="1"/>
  <c r="K8867" i="2" s="1"/>
  <c r="K8868" i="2" s="1"/>
  <c r="K8869" i="2" s="1"/>
  <c r="K8870" i="2" s="1"/>
  <c r="K8871" i="2" s="1"/>
  <c r="K8872" i="2" s="1"/>
  <c r="K8873" i="2" s="1"/>
  <c r="K8874" i="2" s="1"/>
  <c r="K8875" i="2" s="1"/>
  <c r="K8876" i="2" s="1"/>
  <c r="K8877" i="2" s="1"/>
  <c r="K8878" i="2" s="1"/>
  <c r="K8879" i="2" s="1"/>
  <c r="K8880" i="2" s="1"/>
  <c r="K8881" i="2" s="1"/>
  <c r="K8882" i="2" s="1"/>
  <c r="K8883" i="2" s="1"/>
  <c r="K8884" i="2" s="1"/>
  <c r="K8885" i="2" s="1"/>
  <c r="K8886" i="2" s="1"/>
  <c r="K8887" i="2" s="1"/>
  <c r="K8888" i="2" s="1"/>
  <c r="K8889" i="2" s="1"/>
  <c r="K8890" i="2" s="1"/>
  <c r="K8891" i="2" s="1"/>
  <c r="K8892" i="2" s="1"/>
  <c r="K8893" i="2" s="1"/>
  <c r="K8894" i="2" s="1"/>
  <c r="K8895" i="2" s="1"/>
  <c r="K8896" i="2" s="1"/>
  <c r="K8897" i="2" s="1"/>
  <c r="K8898" i="2" s="1"/>
  <c r="K8899" i="2" s="1"/>
  <c r="K8900" i="2" s="1"/>
  <c r="K8901" i="2" s="1"/>
  <c r="K8902" i="2" s="1"/>
  <c r="K8903" i="2" s="1"/>
  <c r="K8904" i="2" s="1"/>
  <c r="K8905" i="2" s="1"/>
  <c r="K8906" i="2" s="1"/>
  <c r="K8907" i="2" s="1"/>
  <c r="K8908" i="2" s="1"/>
  <c r="K8909" i="2" s="1"/>
  <c r="K8910" i="2" s="1"/>
  <c r="K8911" i="2" s="1"/>
  <c r="K8912" i="2" s="1"/>
  <c r="K8913" i="2" s="1"/>
  <c r="K8914" i="2" s="1"/>
  <c r="K8915" i="2" s="1"/>
  <c r="K8916" i="2" s="1"/>
  <c r="K8917" i="2" s="1"/>
  <c r="K8918" i="2" s="1"/>
  <c r="K8919" i="2" s="1"/>
  <c r="K8920" i="2" s="1"/>
  <c r="K8921" i="2" s="1"/>
  <c r="K8922" i="2" s="1"/>
  <c r="K8923" i="2" s="1"/>
  <c r="K8924" i="2" s="1"/>
  <c r="K8925" i="2" s="1"/>
  <c r="K8926" i="2" s="1"/>
  <c r="K8927" i="2" s="1"/>
  <c r="K8928" i="2" s="1"/>
  <c r="K8929" i="2" s="1"/>
  <c r="K8930" i="2" s="1"/>
  <c r="K8931" i="2" s="1"/>
  <c r="K8932" i="2" s="1"/>
  <c r="K8933" i="2" s="1"/>
  <c r="K8934" i="2" s="1"/>
  <c r="K8935" i="2" s="1"/>
  <c r="K8936" i="2" s="1"/>
  <c r="K8937" i="2" s="1"/>
  <c r="K8938" i="2" s="1"/>
  <c r="K8939" i="2" s="1"/>
  <c r="K8940" i="2" s="1"/>
  <c r="K8941" i="2" s="1"/>
  <c r="K8942" i="2" s="1"/>
  <c r="K8943" i="2" s="1"/>
  <c r="K8944" i="2" s="1"/>
  <c r="K8945" i="2" s="1"/>
  <c r="K8946" i="2" s="1"/>
  <c r="K8947" i="2" s="1"/>
  <c r="K8948" i="2" s="1"/>
  <c r="K8949" i="2" s="1"/>
  <c r="K8950" i="2" s="1"/>
  <c r="K8951" i="2" s="1"/>
  <c r="K8952" i="2" s="1"/>
  <c r="K8953" i="2" s="1"/>
  <c r="K8954" i="2" s="1"/>
  <c r="K8955" i="2" s="1"/>
  <c r="K8956" i="2" s="1"/>
  <c r="K8957" i="2" s="1"/>
  <c r="K8958" i="2" s="1"/>
  <c r="K8959" i="2" s="1"/>
  <c r="K8960" i="2" s="1"/>
  <c r="K8961" i="2" s="1"/>
  <c r="K8962" i="2" s="1"/>
  <c r="K8963" i="2" s="1"/>
  <c r="K8964" i="2" s="1"/>
  <c r="K8965" i="2" s="1"/>
  <c r="K8966" i="2" s="1"/>
  <c r="K8967" i="2" s="1"/>
  <c r="K8968" i="2" s="1"/>
  <c r="K8969" i="2" s="1"/>
  <c r="K8970" i="2" s="1"/>
  <c r="K8971" i="2" s="1"/>
  <c r="K8972" i="2" s="1"/>
  <c r="K8973" i="2" s="1"/>
  <c r="K8974" i="2" s="1"/>
  <c r="K8975" i="2" s="1"/>
  <c r="K8976" i="2" s="1"/>
  <c r="K8977" i="2" s="1"/>
  <c r="K8978" i="2" s="1"/>
  <c r="K8979" i="2" s="1"/>
  <c r="K8980" i="2" s="1"/>
  <c r="K8981" i="2" s="1"/>
  <c r="K8982" i="2" s="1"/>
  <c r="K8983" i="2" s="1"/>
  <c r="K8984" i="2" s="1"/>
  <c r="K8985" i="2" s="1"/>
  <c r="K8986" i="2" s="1"/>
  <c r="K8987" i="2" s="1"/>
  <c r="K8988" i="2" s="1"/>
  <c r="K8989" i="2" s="1"/>
  <c r="K8990" i="2" s="1"/>
  <c r="K8991" i="2" s="1"/>
  <c r="K8992" i="2" s="1"/>
  <c r="K8993" i="2" s="1"/>
  <c r="K8994" i="2" s="1"/>
  <c r="K8995" i="2" s="1"/>
  <c r="K8996" i="2" s="1"/>
  <c r="K8997" i="2" s="1"/>
  <c r="K8998" i="2" s="1"/>
  <c r="K8999" i="2" s="1"/>
  <c r="K9000" i="2" s="1"/>
  <c r="K9001" i="2" s="1"/>
  <c r="K9002" i="2" s="1"/>
  <c r="K9003" i="2" s="1"/>
  <c r="K9004" i="2" s="1"/>
  <c r="K9005" i="2" s="1"/>
  <c r="K9006" i="2" s="1"/>
  <c r="K9007" i="2" s="1"/>
  <c r="K9008" i="2" s="1"/>
  <c r="K9009" i="2" s="1"/>
  <c r="K9010" i="2" s="1"/>
  <c r="K9011" i="2" s="1"/>
  <c r="K9012" i="2" s="1"/>
  <c r="K9013" i="2" s="1"/>
  <c r="K9014" i="2" s="1"/>
  <c r="K9015" i="2" s="1"/>
  <c r="K9016" i="2" s="1"/>
  <c r="K9017" i="2" s="1"/>
  <c r="K9018" i="2" s="1"/>
  <c r="K9019" i="2" s="1"/>
  <c r="K9020" i="2" s="1"/>
  <c r="K9021" i="2" s="1"/>
  <c r="K9022" i="2" s="1"/>
  <c r="K9023" i="2" s="1"/>
  <c r="K9024" i="2" s="1"/>
  <c r="K9025" i="2" s="1"/>
  <c r="K9026" i="2" s="1"/>
  <c r="K9027" i="2" s="1"/>
  <c r="K9028" i="2" s="1"/>
  <c r="K9029" i="2" s="1"/>
  <c r="K9030" i="2" s="1"/>
  <c r="K9031" i="2" s="1"/>
  <c r="K9032" i="2" s="1"/>
  <c r="K9033" i="2" s="1"/>
  <c r="K9034" i="2" s="1"/>
  <c r="K9035" i="2" s="1"/>
  <c r="K9036" i="2" s="1"/>
  <c r="K9037" i="2" s="1"/>
  <c r="K9038" i="2" s="1"/>
  <c r="K9039" i="2" s="1"/>
  <c r="K9040" i="2" s="1"/>
  <c r="K9041" i="2" s="1"/>
  <c r="K9042" i="2" s="1"/>
  <c r="K9043" i="2" s="1"/>
  <c r="K9044" i="2" s="1"/>
  <c r="K9045" i="2" s="1"/>
  <c r="K9046" i="2" s="1"/>
  <c r="K9047" i="2" s="1"/>
  <c r="P342" i="2" l="1"/>
  <c r="P15" i="2"/>
  <c r="P17" i="2"/>
  <c r="P9" i="2"/>
  <c r="P18" i="2"/>
  <c r="P64" i="2"/>
  <c r="P141" i="2"/>
  <c r="P113" i="2"/>
  <c r="P48" i="2"/>
  <c r="P105" i="2"/>
  <c r="P193" i="2"/>
  <c r="P245" i="2"/>
  <c r="P68" i="2"/>
  <c r="P121" i="2"/>
  <c r="P161" i="2"/>
  <c r="P129" i="2"/>
  <c r="P257" i="2"/>
  <c r="P28" i="2"/>
  <c r="P77" i="2"/>
  <c r="P221" i="2"/>
  <c r="P289" i="2"/>
  <c r="P39" i="2"/>
  <c r="P59" i="2"/>
  <c r="P88" i="2"/>
  <c r="P107" i="2"/>
  <c r="P122" i="2"/>
  <c r="P159" i="2"/>
  <c r="P178" i="2"/>
  <c r="P196" i="2"/>
  <c r="P218" i="2"/>
  <c r="P237" i="2"/>
  <c r="P252" i="2"/>
  <c r="P267" i="2"/>
  <c r="P283" i="2"/>
  <c r="P298" i="2"/>
  <c r="P311" i="2"/>
  <c r="P326" i="2"/>
  <c r="P341" i="2"/>
  <c r="P30" i="2"/>
  <c r="P49" i="2"/>
  <c r="P76" i="2"/>
  <c r="P50" i="2"/>
  <c r="P120" i="2"/>
  <c r="P134" i="2"/>
  <c r="P150" i="2"/>
  <c r="P147" i="2"/>
  <c r="P182" i="2"/>
  <c r="P223" i="2"/>
  <c r="P212" i="2"/>
  <c r="P264" i="2"/>
  <c r="P280" i="2"/>
  <c r="P295" i="2"/>
  <c r="P308" i="2"/>
  <c r="P323" i="2"/>
  <c r="P338" i="2"/>
  <c r="P23" i="2"/>
  <c r="P43" i="2"/>
  <c r="P62" i="2"/>
  <c r="P70" i="2"/>
  <c r="P112" i="2"/>
  <c r="P104" i="2"/>
  <c r="P158" i="2"/>
  <c r="P186" i="2"/>
  <c r="P220" i="2"/>
  <c r="P235" i="2"/>
  <c r="P250" i="2"/>
  <c r="P281" i="2"/>
  <c r="P296" i="2"/>
  <c r="P309" i="2"/>
  <c r="P324" i="2"/>
  <c r="P339" i="2"/>
  <c r="P22" i="2"/>
  <c r="P58" i="2"/>
  <c r="P73" i="2"/>
  <c r="P102" i="2"/>
  <c r="P103" i="2"/>
  <c r="P138" i="2"/>
  <c r="P152" i="2"/>
  <c r="P75" i="2"/>
  <c r="P183" i="2"/>
  <c r="P199" i="2"/>
  <c r="P232" i="2"/>
  <c r="P247" i="2"/>
  <c r="P262" i="2"/>
  <c r="P278" i="2"/>
  <c r="P215" i="2"/>
  <c r="P216" i="2"/>
  <c r="P333" i="2"/>
  <c r="P13" i="2"/>
  <c r="P93" i="2"/>
  <c r="P149" i="2"/>
  <c r="P181" i="2"/>
  <c r="P52" i="2"/>
  <c r="P165" i="2"/>
  <c r="P197" i="2"/>
  <c r="P249" i="2"/>
  <c r="P72" i="2"/>
  <c r="P125" i="2"/>
  <c r="P81" i="2"/>
  <c r="P205" i="2"/>
  <c r="P261" i="2"/>
  <c r="P40" i="2"/>
  <c r="P89" i="2"/>
  <c r="P225" i="2"/>
  <c r="P293" i="2"/>
  <c r="P45" i="2"/>
  <c r="P67" i="2"/>
  <c r="P79" i="2"/>
  <c r="P110" i="2"/>
  <c r="P135" i="2"/>
  <c r="P163" i="2"/>
  <c r="P184" i="2"/>
  <c r="P200" i="2"/>
  <c r="P222" i="2"/>
  <c r="P240" i="2"/>
  <c r="P255" i="2"/>
  <c r="P271" i="2"/>
  <c r="P286" i="2"/>
  <c r="P168" i="2"/>
  <c r="P315" i="2"/>
  <c r="P330" i="2"/>
  <c r="P12" i="2"/>
  <c r="P19" i="2"/>
  <c r="P61" i="2"/>
  <c r="P82" i="2"/>
  <c r="P108" i="2"/>
  <c r="P123" i="2"/>
  <c r="P136" i="2"/>
  <c r="P154" i="2"/>
  <c r="P172" i="2"/>
  <c r="P204" i="2"/>
  <c r="P227" i="2"/>
  <c r="P167" i="2"/>
  <c r="P268" i="2"/>
  <c r="P284" i="2"/>
  <c r="P299" i="2"/>
  <c r="P312" i="2"/>
  <c r="P327" i="2"/>
  <c r="P5" i="2"/>
  <c r="P33" i="2"/>
  <c r="P31" i="2"/>
  <c r="P65" i="2"/>
  <c r="P71" i="2"/>
  <c r="P96" i="2"/>
  <c r="P142" i="2"/>
  <c r="P176" i="2"/>
  <c r="P190" i="2"/>
  <c r="P224" i="2"/>
  <c r="P238" i="2"/>
  <c r="P269" i="2"/>
  <c r="P285" i="2"/>
  <c r="P300" i="2"/>
  <c r="P313" i="2"/>
  <c r="P328" i="2"/>
  <c r="P3" i="2"/>
  <c r="Q3" i="2" s="1"/>
  <c r="P35" i="2"/>
  <c r="P63" i="2"/>
  <c r="P84" i="2"/>
  <c r="P114" i="2"/>
  <c r="P126" i="2"/>
  <c r="P98" i="2"/>
  <c r="P156" i="2"/>
  <c r="P170" i="2"/>
  <c r="P187" i="2"/>
  <c r="P202" i="2"/>
  <c r="P236" i="2"/>
  <c r="P251" i="2"/>
  <c r="P266" i="2"/>
  <c r="P282" i="2"/>
  <c r="P306" i="2"/>
  <c r="P321" i="2"/>
  <c r="P336" i="2"/>
  <c r="P56" i="2"/>
  <c r="P97" i="2"/>
  <c r="P153" i="2"/>
  <c r="P233" i="2"/>
  <c r="P60" i="2"/>
  <c r="P185" i="2"/>
  <c r="P201" i="2"/>
  <c r="P20" i="2"/>
  <c r="P109" i="2"/>
  <c r="P137" i="2"/>
  <c r="P169" i="2"/>
  <c r="P209" i="2"/>
  <c r="P265" i="2"/>
  <c r="P44" i="2"/>
  <c r="P85" i="2"/>
  <c r="P229" i="2"/>
  <c r="P11" i="2"/>
  <c r="P51" i="2"/>
  <c r="P55" i="2"/>
  <c r="P95" i="2"/>
  <c r="P115" i="2"/>
  <c r="P139" i="2"/>
  <c r="P164" i="2"/>
  <c r="P188" i="2"/>
  <c r="P203" i="2"/>
  <c r="P226" i="2"/>
  <c r="P244" i="2"/>
  <c r="P259" i="2"/>
  <c r="P275" i="2"/>
  <c r="P290" i="2"/>
  <c r="P303" i="2"/>
  <c r="P318" i="2"/>
  <c r="P334" i="2"/>
  <c r="P21" i="2"/>
  <c r="P42" i="2"/>
  <c r="P57" i="2"/>
  <c r="P66" i="2"/>
  <c r="P111" i="2"/>
  <c r="P124" i="2"/>
  <c r="P140" i="2"/>
  <c r="P146" i="2"/>
  <c r="P175" i="2"/>
  <c r="P208" i="2"/>
  <c r="P231" i="2"/>
  <c r="P256" i="2"/>
  <c r="P272" i="2"/>
  <c r="P287" i="2"/>
  <c r="P301" i="2"/>
  <c r="P316" i="2"/>
  <c r="P331" i="2"/>
  <c r="P10" i="2"/>
  <c r="P37" i="2"/>
  <c r="P46" i="2"/>
  <c r="P34" i="2"/>
  <c r="P99" i="2"/>
  <c r="P131" i="2"/>
  <c r="P151" i="2"/>
  <c r="P180" i="2"/>
  <c r="P194" i="2"/>
  <c r="P228" i="2"/>
  <c r="P242" i="2"/>
  <c r="P273" i="2"/>
  <c r="P288" i="2"/>
  <c r="P302" i="2"/>
  <c r="P317" i="2"/>
  <c r="P332" i="2"/>
  <c r="P6" i="2"/>
  <c r="P53" i="2"/>
  <c r="P69" i="2"/>
  <c r="P94" i="2"/>
  <c r="P118" i="2"/>
  <c r="P132" i="2"/>
  <c r="P143" i="2"/>
  <c r="P127" i="2"/>
  <c r="P174" i="2"/>
  <c r="P191" i="2"/>
  <c r="P206" i="2"/>
  <c r="P239" i="2"/>
  <c r="P254" i="2"/>
  <c r="P270" i="2"/>
  <c r="P297" i="2"/>
  <c r="P310" i="2"/>
  <c r="P325" i="2"/>
  <c r="P340" i="2"/>
  <c r="P32" i="2"/>
  <c r="P133" i="2"/>
  <c r="P157" i="2"/>
  <c r="P8" i="2"/>
  <c r="P101" i="2"/>
  <c r="P189" i="2"/>
  <c r="P241" i="2"/>
  <c r="P24" i="2"/>
  <c r="P117" i="2"/>
  <c r="P145" i="2"/>
  <c r="P173" i="2"/>
  <c r="P253" i="2"/>
  <c r="P16" i="2"/>
  <c r="P36" i="2"/>
  <c r="P177" i="2"/>
  <c r="P213" i="2"/>
  <c r="P25" i="2"/>
  <c r="P47" i="2"/>
  <c r="P78" i="2"/>
  <c r="P100" i="2"/>
  <c r="P119" i="2"/>
  <c r="P144" i="2"/>
  <c r="P171" i="2"/>
  <c r="P192" i="2"/>
  <c r="P207" i="2"/>
  <c r="P230" i="2"/>
  <c r="P248" i="2"/>
  <c r="P263" i="2"/>
  <c r="P279" i="2"/>
  <c r="P294" i="2"/>
  <c r="P307" i="2"/>
  <c r="P322" i="2"/>
  <c r="P337" i="2"/>
  <c r="P26" i="2"/>
  <c r="P29" i="2"/>
  <c r="P74" i="2"/>
  <c r="P90" i="2"/>
  <c r="P116" i="2"/>
  <c r="P130" i="2"/>
  <c r="P106" i="2"/>
  <c r="P160" i="2"/>
  <c r="P179" i="2"/>
  <c r="P219" i="2"/>
  <c r="P234" i="2"/>
  <c r="P260" i="2"/>
  <c r="P276" i="2"/>
  <c r="P291" i="2"/>
  <c r="P304" i="2"/>
  <c r="P319" i="2"/>
  <c r="P335" i="2"/>
  <c r="P7" i="2"/>
  <c r="P38" i="2"/>
  <c r="P27" i="2"/>
  <c r="P83" i="2"/>
  <c r="P91" i="2"/>
  <c r="P87" i="2"/>
  <c r="P155" i="2"/>
  <c r="P128" i="2"/>
  <c r="P198" i="2"/>
  <c r="P211" i="2"/>
  <c r="P246" i="2"/>
  <c r="P277" i="2"/>
  <c r="P292" i="2"/>
  <c r="P305" i="2"/>
  <c r="P320" i="2"/>
  <c r="P217" i="2"/>
  <c r="P14" i="2"/>
  <c r="P41" i="2"/>
  <c r="P54" i="2"/>
  <c r="P92" i="2"/>
  <c r="P86" i="2"/>
  <c r="P80" i="2"/>
  <c r="P148" i="2"/>
  <c r="P162" i="2"/>
  <c r="P166" i="2"/>
  <c r="P195" i="2"/>
  <c r="P210" i="2"/>
  <c r="P243" i="2"/>
  <c r="P258" i="2"/>
  <c r="P274" i="2"/>
  <c r="P214" i="2"/>
  <c r="P314" i="2"/>
  <c r="P329" i="2"/>
  <c r="P4" i="2"/>
  <c r="Q4" i="2" l="1"/>
  <c r="Q5" i="2" s="1"/>
  <c r="Q6" i="2" s="1"/>
  <c r="Q7" i="2" s="1"/>
  <c r="Q8" i="2" s="1"/>
  <c r="Q9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Q38" i="2" s="1"/>
  <c r="Q39" i="2" s="1"/>
  <c r="Q40" i="2" s="1"/>
  <c r="Q41" i="2" s="1"/>
  <c r="Q42" i="2" s="1"/>
  <c r="Q43" i="2" s="1"/>
  <c r="Q44" i="2" s="1"/>
  <c r="Q45" i="2" s="1"/>
  <c r="Q46" i="2" s="1"/>
  <c r="Q47" i="2" s="1"/>
  <c r="Q48" i="2" s="1"/>
  <c r="Q49" i="2" s="1"/>
  <c r="Q50" i="2" s="1"/>
  <c r="Q51" i="2" s="1"/>
  <c r="Q52" i="2" s="1"/>
  <c r="Q53" i="2" s="1"/>
  <c r="Q54" i="2" s="1"/>
  <c r="Q55" i="2" s="1"/>
  <c r="Q56" i="2" s="1"/>
  <c r="Q57" i="2" s="1"/>
  <c r="Q58" i="2" s="1"/>
  <c r="Q59" i="2" s="1"/>
  <c r="Q60" i="2" s="1"/>
  <c r="Q61" i="2" s="1"/>
  <c r="Q62" i="2" s="1"/>
  <c r="Q63" i="2" s="1"/>
  <c r="Q64" i="2" s="1"/>
  <c r="Q65" i="2" s="1"/>
  <c r="Q66" i="2" s="1"/>
  <c r="Q67" i="2" s="1"/>
  <c r="Q68" i="2" s="1"/>
  <c r="Q69" i="2" s="1"/>
  <c r="Q70" i="2" s="1"/>
  <c r="Q71" i="2" s="1"/>
  <c r="Q72" i="2" s="1"/>
  <c r="Q73" i="2" s="1"/>
  <c r="Q74" i="2" s="1"/>
  <c r="Q75" i="2" s="1"/>
  <c r="Q76" i="2" s="1"/>
  <c r="Q77" i="2" s="1"/>
  <c r="Q78" i="2" s="1"/>
  <c r="Q79" i="2" s="1"/>
  <c r="Q80" i="2" s="1"/>
  <c r="Q81" i="2" s="1"/>
  <c r="Q82" i="2" s="1"/>
  <c r="Q83" i="2" s="1"/>
  <c r="Q84" i="2" s="1"/>
  <c r="Q85" i="2" s="1"/>
  <c r="Q86" i="2" s="1"/>
  <c r="Q87" i="2" s="1"/>
  <c r="Q88" i="2" s="1"/>
  <c r="Q89" i="2" s="1"/>
  <c r="Q90" i="2" s="1"/>
  <c r="Q91" i="2" s="1"/>
  <c r="Q92" i="2" s="1"/>
  <c r="Q93" i="2" s="1"/>
  <c r="Q94" i="2" s="1"/>
  <c r="Q95" i="2" s="1"/>
  <c r="Q96" i="2" s="1"/>
  <c r="Q97" i="2" s="1"/>
  <c r="Q98" i="2" s="1"/>
  <c r="Q99" i="2" s="1"/>
  <c r="Q100" i="2" s="1"/>
  <c r="Q101" i="2" s="1"/>
  <c r="Q102" i="2" s="1"/>
  <c r="Q103" i="2" s="1"/>
  <c r="Q104" i="2" s="1"/>
  <c r="Q105" i="2" s="1"/>
  <c r="Q106" i="2" s="1"/>
  <c r="Q107" i="2" s="1"/>
  <c r="Q108" i="2" s="1"/>
  <c r="Q109" i="2" s="1"/>
  <c r="Q110" i="2" s="1"/>
  <c r="Q111" i="2" s="1"/>
  <c r="Q112" i="2" s="1"/>
  <c r="Q113" i="2" s="1"/>
  <c r="Q114" i="2" s="1"/>
  <c r="Q115" i="2" s="1"/>
  <c r="Q116" i="2" s="1"/>
  <c r="Q117" i="2" s="1"/>
  <c r="Q118" i="2" s="1"/>
  <c r="Q119" i="2" s="1"/>
  <c r="Q120" i="2" s="1"/>
  <c r="Q121" i="2" s="1"/>
  <c r="Q122" i="2" s="1"/>
  <c r="Q123" i="2" s="1"/>
  <c r="Q124" i="2" s="1"/>
  <c r="Q125" i="2" s="1"/>
  <c r="Q126" i="2" s="1"/>
  <c r="Q127" i="2" s="1"/>
  <c r="Q128" i="2" s="1"/>
  <c r="Q129" i="2" s="1"/>
  <c r="Q130" i="2" s="1"/>
  <c r="Q131" i="2" s="1"/>
  <c r="Q132" i="2" s="1"/>
  <c r="Q133" i="2" s="1"/>
  <c r="Q134" i="2" s="1"/>
  <c r="Q135" i="2" s="1"/>
  <c r="Q136" i="2" s="1"/>
  <c r="Q137" i="2" s="1"/>
  <c r="Q138" i="2" s="1"/>
  <c r="Q139" i="2" s="1"/>
  <c r="Q140" i="2" s="1"/>
  <c r="Q141" i="2" s="1"/>
  <c r="Q142" i="2" s="1"/>
  <c r="Q143" i="2" s="1"/>
  <c r="Q144" i="2" s="1"/>
  <c r="Q145" i="2" s="1"/>
  <c r="Q146" i="2" s="1"/>
  <c r="Q147" i="2" s="1"/>
  <c r="Q148" i="2" s="1"/>
  <c r="Q149" i="2" s="1"/>
  <c r="Q150" i="2" s="1"/>
  <c r="Q151" i="2" s="1"/>
  <c r="Q152" i="2" s="1"/>
  <c r="Q153" i="2" s="1"/>
  <c r="Q154" i="2" s="1"/>
  <c r="Q155" i="2" s="1"/>
  <c r="Q156" i="2" s="1"/>
  <c r="Q157" i="2" s="1"/>
  <c r="Q158" i="2" s="1"/>
  <c r="Q159" i="2" s="1"/>
  <c r="Q160" i="2" s="1"/>
  <c r="Q161" i="2" s="1"/>
  <c r="Q162" i="2" s="1"/>
  <c r="Q163" i="2" s="1"/>
  <c r="Q164" i="2" s="1"/>
  <c r="Q165" i="2" s="1"/>
  <c r="Q166" i="2" s="1"/>
  <c r="Q167" i="2" s="1"/>
  <c r="Q168" i="2" s="1"/>
  <c r="Q169" i="2" s="1"/>
  <c r="Q170" i="2" s="1"/>
  <c r="Q171" i="2" s="1"/>
  <c r="Q172" i="2" s="1"/>
  <c r="Q173" i="2" s="1"/>
  <c r="Q174" i="2" s="1"/>
  <c r="Q175" i="2" s="1"/>
  <c r="Q176" i="2" s="1"/>
  <c r="Q177" i="2" s="1"/>
  <c r="Q178" i="2" s="1"/>
  <c r="Q179" i="2" s="1"/>
  <c r="Q180" i="2" s="1"/>
  <c r="Q181" i="2" s="1"/>
  <c r="Q182" i="2" s="1"/>
  <c r="Q183" i="2" s="1"/>
  <c r="Q184" i="2" s="1"/>
  <c r="Q185" i="2" s="1"/>
  <c r="Q186" i="2" s="1"/>
  <c r="Q187" i="2" s="1"/>
  <c r="Q188" i="2" s="1"/>
  <c r="Q189" i="2" s="1"/>
  <c r="Q190" i="2" s="1"/>
  <c r="Q191" i="2" s="1"/>
  <c r="Q192" i="2" s="1"/>
  <c r="Q193" i="2" s="1"/>
  <c r="Q194" i="2" s="1"/>
  <c r="Q195" i="2" s="1"/>
  <c r="Q196" i="2" s="1"/>
  <c r="Q197" i="2" s="1"/>
  <c r="Q198" i="2" s="1"/>
  <c r="Q199" i="2" s="1"/>
  <c r="Q200" i="2" s="1"/>
  <c r="Q201" i="2" s="1"/>
  <c r="Q202" i="2" s="1"/>
  <c r="Q203" i="2" s="1"/>
  <c r="Q204" i="2" s="1"/>
  <c r="Q205" i="2" s="1"/>
  <c r="Q206" i="2" s="1"/>
  <c r="Q207" i="2" s="1"/>
  <c r="Q208" i="2" s="1"/>
  <c r="Q209" i="2" s="1"/>
  <c r="Q210" i="2" s="1"/>
  <c r="Q211" i="2" s="1"/>
  <c r="Q212" i="2" s="1"/>
  <c r="Q213" i="2" s="1"/>
  <c r="Q214" i="2" s="1"/>
  <c r="Q215" i="2" s="1"/>
  <c r="Q216" i="2" s="1"/>
  <c r="Q217" i="2" s="1"/>
  <c r="Q218" i="2" s="1"/>
  <c r="Q219" i="2" s="1"/>
  <c r="Q220" i="2" s="1"/>
  <c r="Q221" i="2" s="1"/>
  <c r="Q222" i="2" s="1"/>
  <c r="Q223" i="2" s="1"/>
  <c r="Q224" i="2" s="1"/>
  <c r="Q225" i="2" s="1"/>
  <c r="Q226" i="2" s="1"/>
  <c r="Q227" i="2" s="1"/>
  <c r="Q228" i="2" s="1"/>
  <c r="Q229" i="2" s="1"/>
  <c r="Q230" i="2" s="1"/>
  <c r="Q231" i="2" s="1"/>
  <c r="Q232" i="2" s="1"/>
  <c r="Q233" i="2" s="1"/>
  <c r="Q234" i="2" s="1"/>
  <c r="Q235" i="2" s="1"/>
  <c r="Q236" i="2" s="1"/>
  <c r="Q237" i="2" s="1"/>
  <c r="Q238" i="2" s="1"/>
  <c r="Q239" i="2" s="1"/>
  <c r="Q240" i="2" s="1"/>
  <c r="Q241" i="2" s="1"/>
  <c r="Q242" i="2" s="1"/>
  <c r="Q243" i="2" s="1"/>
  <c r="Q244" i="2" s="1"/>
  <c r="Q245" i="2" s="1"/>
  <c r="Q246" i="2" s="1"/>
  <c r="Q247" i="2" s="1"/>
  <c r="Q248" i="2" s="1"/>
  <c r="Q249" i="2" s="1"/>
  <c r="Q250" i="2" s="1"/>
  <c r="Q251" i="2" s="1"/>
  <c r="Q252" i="2" s="1"/>
  <c r="Q253" i="2" s="1"/>
  <c r="Q254" i="2" s="1"/>
  <c r="Q255" i="2" s="1"/>
  <c r="Q256" i="2" s="1"/>
  <c r="Q257" i="2" s="1"/>
  <c r="Q258" i="2" s="1"/>
  <c r="Q259" i="2" s="1"/>
  <c r="Q260" i="2" s="1"/>
  <c r="Q261" i="2" s="1"/>
  <c r="Q262" i="2" s="1"/>
  <c r="Q263" i="2" s="1"/>
  <c r="Q264" i="2" s="1"/>
  <c r="Q265" i="2" s="1"/>
  <c r="Q266" i="2" s="1"/>
  <c r="Q267" i="2" s="1"/>
  <c r="Q268" i="2" s="1"/>
  <c r="Q269" i="2" s="1"/>
  <c r="Q270" i="2" s="1"/>
  <c r="Q271" i="2" s="1"/>
  <c r="Q272" i="2" s="1"/>
  <c r="Q273" i="2" s="1"/>
  <c r="Q274" i="2" s="1"/>
  <c r="Q275" i="2" s="1"/>
  <c r="Q276" i="2" s="1"/>
  <c r="Q277" i="2" s="1"/>
  <c r="Q278" i="2" s="1"/>
  <c r="Q279" i="2" s="1"/>
  <c r="Q280" i="2" s="1"/>
  <c r="Q281" i="2" s="1"/>
  <c r="Q282" i="2" s="1"/>
  <c r="Q283" i="2" s="1"/>
  <c r="Q284" i="2" s="1"/>
  <c r="Q285" i="2" s="1"/>
  <c r="Q286" i="2" s="1"/>
  <c r="Q287" i="2" s="1"/>
  <c r="Q288" i="2" s="1"/>
  <c r="Q289" i="2" s="1"/>
  <c r="Q290" i="2" s="1"/>
  <c r="Q291" i="2" s="1"/>
  <c r="Q292" i="2" s="1"/>
  <c r="Q293" i="2" s="1"/>
  <c r="Q294" i="2" s="1"/>
  <c r="Q295" i="2" s="1"/>
  <c r="Q296" i="2" s="1"/>
  <c r="Q297" i="2" s="1"/>
  <c r="Q298" i="2" s="1"/>
  <c r="Q299" i="2" s="1"/>
  <c r="Q300" i="2" s="1"/>
  <c r="Q301" i="2" s="1"/>
  <c r="Q302" i="2" s="1"/>
  <c r="Q303" i="2" s="1"/>
  <c r="Q304" i="2" s="1"/>
  <c r="Q305" i="2" s="1"/>
  <c r="Q306" i="2" s="1"/>
  <c r="Q307" i="2" s="1"/>
  <c r="Q308" i="2" s="1"/>
  <c r="Q309" i="2" s="1"/>
  <c r="Q310" i="2" s="1"/>
  <c r="Q311" i="2" s="1"/>
  <c r="Q312" i="2" s="1"/>
  <c r="Q313" i="2" s="1"/>
  <c r="Q314" i="2" s="1"/>
  <c r="Q315" i="2" s="1"/>
  <c r="Q316" i="2" s="1"/>
  <c r="Q317" i="2" s="1"/>
  <c r="Q318" i="2" s="1"/>
  <c r="Q319" i="2" s="1"/>
  <c r="Q320" i="2" s="1"/>
  <c r="Q321" i="2" s="1"/>
  <c r="Q322" i="2" s="1"/>
  <c r="Q323" i="2" s="1"/>
  <c r="Q324" i="2" s="1"/>
  <c r="Q325" i="2" s="1"/>
  <c r="Q326" i="2" s="1"/>
  <c r="Q327" i="2" s="1"/>
  <c r="Q328" i="2" s="1"/>
  <c r="Q329" i="2" s="1"/>
  <c r="Q330" i="2" s="1"/>
  <c r="Q331" i="2" s="1"/>
  <c r="Q332" i="2" s="1"/>
  <c r="Q333" i="2" s="1"/>
  <c r="Q334" i="2" s="1"/>
  <c r="Q335" i="2" s="1"/>
  <c r="Q336" i="2" s="1"/>
  <c r="Q337" i="2" s="1"/>
  <c r="Q338" i="2" s="1"/>
  <c r="Q339" i="2" s="1"/>
  <c r="Q340" i="2" s="1"/>
  <c r="Q341" i="2" s="1"/>
</calcChain>
</file>

<file path=xl/sharedStrings.xml><?xml version="1.0" encoding="utf-8"?>
<sst xmlns="http://schemas.openxmlformats.org/spreadsheetml/2006/main" count="45496" uniqueCount="17833">
  <si>
    <t>name</t>
  </si>
  <si>
    <t>orga</t>
  </si>
  <si>
    <t>typ</t>
  </si>
  <si>
    <t>markdotto@gmail.com</t>
  </si>
  <si>
    <t>markdotto</t>
  </si>
  <si>
    <t>None</t>
  </si>
  <si>
    <t>person</t>
  </si>
  <si>
    <t>bootstrap</t>
  </si>
  <si>
    <t>xhmikosr@gmail.com</t>
  </si>
  <si>
    <t>xhmikosr</t>
  </si>
  <si>
    <t>code@rebertia.com</t>
  </si>
  <si>
    <t>code</t>
  </si>
  <si>
    <t>otto@github.com</t>
  </si>
  <si>
    <t>otto</t>
  </si>
  <si>
    <t>markd.otto@gmail.com</t>
  </si>
  <si>
    <t>markd.otto</t>
  </si>
  <si>
    <t>johann.servoire@gmail.com</t>
  </si>
  <si>
    <t>johann.servoire</t>
  </si>
  <si>
    <t>martijn.cuppens@gmail.com</t>
  </si>
  <si>
    <t>martijn.cuppens</t>
  </si>
  <si>
    <t>code@chrisrebert.com</t>
  </si>
  <si>
    <t>redux@splintered.co.uk</t>
  </si>
  <si>
    <t>redux</t>
  </si>
  <si>
    <t>geo.sotis@gmail.com</t>
  </si>
  <si>
    <t>geo.sotis</t>
  </si>
  <si>
    <t>github@chrisrebert.com</t>
  </si>
  <si>
    <t>github</t>
  </si>
  <si>
    <t>github@rebertia.com</t>
  </si>
  <si>
    <t>react</t>
  </si>
  <si>
    <t>xhmikosr@users.sourceforge.net</t>
  </si>
  <si>
    <t>hnrch02@gmail.com</t>
  </si>
  <si>
    <t>hnrch02</t>
  </si>
  <si>
    <t>juderamond@gmail.com</t>
  </si>
  <si>
    <t>juderamond</t>
  </si>
  <si>
    <t>julien.deramond@orange.com</t>
  </si>
  <si>
    <t>julien.deramond</t>
  </si>
  <si>
    <t>Orange</t>
  </si>
  <si>
    <t>twbs-grunt@users.noreply.github.com</t>
  </si>
  <si>
    <t>twbs-grunt</t>
  </si>
  <si>
    <t>ffoodd@users.noreply.github.com</t>
  </si>
  <si>
    <t>ffoodd</t>
  </si>
  <si>
    <t>louismaxime.piton@orange.com</t>
  </si>
  <si>
    <t>louismaxime.piton</t>
  </si>
  <si>
    <t>bardi@bardiharborow.com</t>
  </si>
  <si>
    <t>bardi</t>
  </si>
  <si>
    <t>legospace9876@gmail.com</t>
  </si>
  <si>
    <t>legospace9876</t>
  </si>
  <si>
    <t>rohit2sharma95@gmail.com</t>
  </si>
  <si>
    <t>rohit2sharma95</t>
  </si>
  <si>
    <t>ysds.code@gmail.com</t>
  </si>
  <si>
    <t>ysds.code</t>
  </si>
  <si>
    <t>Kev.Kirsche+GitHub@gmail.com</t>
  </si>
  <si>
    <t>Kev.Kirsche+GitHub</t>
  </si>
  <si>
    <t>vsn4ik@gmail.com</t>
  </si>
  <si>
    <t>vsn4ik</t>
  </si>
  <si>
    <t>quy@fluxbb.org</t>
  </si>
  <si>
    <t>quy</t>
  </si>
  <si>
    <t>agalante@gmail.com</t>
  </si>
  <si>
    <t>agalante</t>
  </si>
  <si>
    <t>christianoliff@pm.me</t>
  </si>
  <si>
    <t>christianoliff</t>
  </si>
  <si>
    <t>jacobthornton@gmail.com</t>
  </si>
  <si>
    <t>jacobthornton</t>
  </si>
  <si>
    <t>fellows3@gmail.com</t>
  </si>
  <si>
    <t>fellows3</t>
  </si>
  <si>
    <t>bigj95t@gmail.com</t>
  </si>
  <si>
    <t>bigj95t</t>
  </si>
  <si>
    <t>pierre.denis.vanduynslager@gmail.com</t>
  </si>
  <si>
    <t>pierre.denis.vanduynslager</t>
  </si>
  <si>
    <t>patrick.yeo@liferay.com</t>
  </si>
  <si>
    <t>patrick.yeo</t>
  </si>
  <si>
    <t>Liferay</t>
  </si>
  <si>
    <t>gael.poupard@orange.com</t>
  </si>
  <si>
    <t>gael.poupard</t>
  </si>
  <si>
    <t>christianoliff@yahoo.com</t>
  </si>
  <si>
    <t>botje_gijs@hotmail.com</t>
  </si>
  <si>
    <t>botje_gijs</t>
  </si>
  <si>
    <t>c@zalog.ro</t>
  </si>
  <si>
    <t>c</t>
  </si>
  <si>
    <t>bass@w3masters.nl</t>
  </si>
  <si>
    <t>bass</t>
  </si>
  <si>
    <t>6854874+kyletsang@users.noreply.github.com</t>
  </si>
  <si>
    <t>6854874+kyletsang</t>
  </si>
  <si>
    <t>fat@folders.local</t>
  </si>
  <si>
    <t>fat</t>
  </si>
  <si>
    <t>glex.spb@gmail.com</t>
  </si>
  <si>
    <t>glex.spb</t>
  </si>
  <si>
    <t>jesse.mandel@gmail.com</t>
  </si>
  <si>
    <t>jesse.mandel</t>
  </si>
  <si>
    <t>2838324+alpadev@users.noreply.github.com</t>
  </si>
  <si>
    <t>2838324+alpadev</t>
  </si>
  <si>
    <t>m5o@gmx.com</t>
  </si>
  <si>
    <t>m5o</t>
  </si>
  <si>
    <t>Herst@users.noreply.github.com</t>
  </si>
  <si>
    <t>Herst</t>
  </si>
  <si>
    <t>samraskauskas@gmail.com</t>
  </si>
  <si>
    <t>samraskauskas</t>
  </si>
  <si>
    <t>github@nazgul.nu</t>
  </si>
  <si>
    <t>xxxxxcata@yahoo.com</t>
  </si>
  <si>
    <t>xxxxxcata</t>
  </si>
  <si>
    <t>thomasm@palantir.com</t>
  </si>
  <si>
    <t>thomasm</t>
  </si>
  <si>
    <t>Palantir</t>
  </si>
  <si>
    <t>vanillajonathan@users.noreply.github.com</t>
  </si>
  <si>
    <t>vanillajonathan</t>
  </si>
  <si>
    <t>steveb@stevenblack.com</t>
  </si>
  <si>
    <t>steveb</t>
  </si>
  <si>
    <t>florianlacreuse@users.noreply.github.com</t>
  </si>
  <si>
    <t>florianlacreuse</t>
  </si>
  <si>
    <t>loic.laussel@orange.com</t>
  </si>
  <si>
    <t>loic.laussel</t>
  </si>
  <si>
    <t>pyeo717@gmail.com</t>
  </si>
  <si>
    <t>pyeo717</t>
  </si>
  <si>
    <t>david@davidjb.com</t>
  </si>
  <si>
    <t>david</t>
  </si>
  <si>
    <t>zac.echola@so.mnscu.edu</t>
  </si>
  <si>
    <t>zac.echola</t>
  </si>
  <si>
    <t>kkirsche@ansfederal.com</t>
  </si>
  <si>
    <t>kkirsche</t>
  </si>
  <si>
    <t>vrg2009@ymail.com</t>
  </si>
  <si>
    <t>vrg2009</t>
  </si>
  <si>
    <t>hi@mrmrs.cc</t>
  </si>
  <si>
    <t>hi</t>
  </si>
  <si>
    <t>nkdas91@gmail.com</t>
  </si>
  <si>
    <t>nkdas91</t>
  </si>
  <si>
    <t>tagliala.dev@gmail.com</t>
  </si>
  <si>
    <t>tagliala.dev</t>
  </si>
  <si>
    <t>techdavid@users.noreply.github.com</t>
  </si>
  <si>
    <t>techdavid</t>
  </si>
  <si>
    <t>hannah.issermann@orange.com</t>
  </si>
  <si>
    <t>hannah.issermann</t>
  </si>
  <si>
    <t>tkrotoff@gmail.com</t>
  </si>
  <si>
    <t>tkrotoff</t>
  </si>
  <si>
    <t>alekitto@gmail.com</t>
  </si>
  <si>
    <t>alekitto</t>
  </si>
  <si>
    <t>chay84@hotmail.com</t>
  </si>
  <si>
    <t>chay84</t>
  </si>
  <si>
    <t>tagliala@users.noreply.github.com</t>
  </si>
  <si>
    <t>tagliala</t>
  </si>
  <si>
    <t>wojtask9.kde@gmail.com</t>
  </si>
  <si>
    <t>wojtask9.kde</t>
  </si>
  <si>
    <t>martijn.cuppens@intracto.com</t>
  </si>
  <si>
    <t>iamandrewluca@users.noreply.github.com</t>
  </si>
  <si>
    <t>iamandrewluca</t>
  </si>
  <si>
    <t>aavmurphy@users.noreply.github.com</t>
  </si>
  <si>
    <t>aavmurphy</t>
  </si>
  <si>
    <t>thekondrashov@gmail.com</t>
  </si>
  <si>
    <t>thekondrashov</t>
  </si>
  <si>
    <t>wangsai@bootcss.com</t>
  </si>
  <si>
    <t>wangsai</t>
  </si>
  <si>
    <t>me@thejameskyle.com</t>
  </si>
  <si>
    <t>me</t>
  </si>
  <si>
    <t>haydenbleasel@gmail.com</t>
  </si>
  <si>
    <t>haydenbleasel</t>
  </si>
  <si>
    <t>jonnysp@users.noreply.github.com</t>
  </si>
  <si>
    <t>jonnysp</t>
  </si>
  <si>
    <t>pine3ree@gmail.com</t>
  </si>
  <si>
    <t>pine3ree</t>
  </si>
  <si>
    <t>ryan.berliner@gmail.com</t>
  </si>
  <si>
    <t>ryan.berliner</t>
  </si>
  <si>
    <t>info@ensostudio.ru</t>
  </si>
  <si>
    <t>info</t>
  </si>
  <si>
    <t>Ensostudio</t>
  </si>
  <si>
    <t>22206986+RyanBerliner@users.noreply.github.com</t>
  </si>
  <si>
    <t>22206986+RyanBerliner</t>
  </si>
  <si>
    <t>bmoulia@gmail.com</t>
  </si>
  <si>
    <t>bmoulia</t>
  </si>
  <si>
    <t>lucasconobanegas@gmail.com</t>
  </si>
  <si>
    <t>lucasconobanegas</t>
  </si>
  <si>
    <t>prateekgoel@users.noreply.github.com</t>
  </si>
  <si>
    <t>prateekgoel</t>
  </si>
  <si>
    <t>judetucker@me.com</t>
  </si>
  <si>
    <t>judetucker</t>
  </si>
  <si>
    <t>lipiridis@gmail.com</t>
  </si>
  <si>
    <t>lipiridis</t>
  </si>
  <si>
    <t>tl@cm4all.com</t>
  </si>
  <si>
    <t>tl</t>
  </si>
  <si>
    <t>Cm4all</t>
  </si>
  <si>
    <t>469946668@qq.com</t>
  </si>
  <si>
    <t>cpsievert1@gmail.com</t>
  </si>
  <si>
    <t>cpsievert1</t>
  </si>
  <si>
    <t>florian.lacreuse@kobalt.fr</t>
  </si>
  <si>
    <t>florian.lacreuse</t>
  </si>
  <si>
    <t>Kobalt</t>
  </si>
  <si>
    <t>kukac7@gmail.com</t>
  </si>
  <si>
    <t>kukac7</t>
  </si>
  <si>
    <t>git@jeremyvii.com</t>
  </si>
  <si>
    <t>git</t>
  </si>
  <si>
    <t>sijusamson@gmail.com</t>
  </si>
  <si>
    <t>sijusamson</t>
  </si>
  <si>
    <t>1922257+Levure@users.noreply.github.com</t>
  </si>
  <si>
    <t>1922257+Levure</t>
  </si>
  <si>
    <t>astrahov92@me.com</t>
  </si>
  <si>
    <t>astrahov92</t>
  </si>
  <si>
    <t>jacob.mueller.elz@gmail.com</t>
  </si>
  <si>
    <t>jacob.mueller.elz</t>
  </si>
  <si>
    <t>contact@helmutgranda.com</t>
  </si>
  <si>
    <t>contact</t>
  </si>
  <si>
    <t>MartijnCuppens@users.noreply.github.com</t>
  </si>
  <si>
    <t>MartijnCuppens</t>
  </si>
  <si>
    <t>troymore@nbnet.nb.ca</t>
  </si>
  <si>
    <t>troymore</t>
  </si>
  <si>
    <t>chiraggmodi@users.noreply.github.com</t>
  </si>
  <si>
    <t>chiraggmodi</t>
  </si>
  <si>
    <t>modichirag14@gmail.com</t>
  </si>
  <si>
    <t>modichirag14</t>
  </si>
  <si>
    <t>davethegr8@users.noreply.github.com</t>
  </si>
  <si>
    <t>davethegr8</t>
  </si>
  <si>
    <t>maxiloc@gmail.com</t>
  </si>
  <si>
    <t>maxiloc</t>
  </si>
  <si>
    <t>mail@webman.io</t>
  </si>
  <si>
    <t>mail</t>
  </si>
  <si>
    <t>floris.verburg@gmail.com</t>
  </si>
  <si>
    <t>floris.verburg</t>
  </si>
  <si>
    <t>neilhem@hotmail.com</t>
  </si>
  <si>
    <t>neilhem</t>
  </si>
  <si>
    <t>pete.a.nykanen@gmail.com</t>
  </si>
  <si>
    <t>pete.a.nykanen</t>
  </si>
  <si>
    <t>iam@lesleh.co.uk</t>
  </si>
  <si>
    <t>iam</t>
  </si>
  <si>
    <t>chris@mangohill.net</t>
  </si>
  <si>
    <t>chris</t>
  </si>
  <si>
    <t>david.baughman@capitalone.com</t>
  </si>
  <si>
    <t>david.baughman</t>
  </si>
  <si>
    <t>Captialone</t>
  </si>
  <si>
    <t>james.friend@agworld.com.au</t>
  </si>
  <si>
    <t>james.friend</t>
  </si>
  <si>
    <t>thomaswelton@me.com</t>
  </si>
  <si>
    <t>thomaswelton</t>
  </si>
  <si>
    <t>mike@pixelcog.com</t>
  </si>
  <si>
    <t>mike</t>
  </si>
  <si>
    <t>babakov@aweb.ua</t>
  </si>
  <si>
    <t>babakov</t>
  </si>
  <si>
    <t>jonnyspitzner@googlemail.com</t>
  </si>
  <si>
    <t>jonnyspitzner</t>
  </si>
  <si>
    <t>wangxinhe06@gmail.com</t>
  </si>
  <si>
    <t>wangxinhe06</t>
  </si>
  <si>
    <t>52159805+thevipinmishra@users.noreply.github.com</t>
  </si>
  <si>
    <t>52159805+thevipinmishra</t>
  </si>
  <si>
    <t>farajiamirhossein1374@gmail.com</t>
  </si>
  <si>
    <t>farajiamirhossein1374</t>
  </si>
  <si>
    <t>marc.wrobel@gmail.com</t>
  </si>
  <si>
    <t>marc.wrobel</t>
  </si>
  <si>
    <t>contact@tigeroakes.com</t>
  </si>
  <si>
    <t>github@jann.bayern</t>
  </si>
  <si>
    <t>gael+github@ffoodd.fr</t>
  </si>
  <si>
    <t>gael+github</t>
  </si>
  <si>
    <t>1282324+codecalm@users.noreply.github.com</t>
  </si>
  <si>
    <t>1282324+codecalm</t>
  </si>
  <si>
    <t>ty@tymick.me</t>
  </si>
  <si>
    <t>ty</t>
  </si>
  <si>
    <t>tensorflow</t>
  </si>
  <si>
    <t>kalash.strt@gmail.com</t>
  </si>
  <si>
    <t>kalash.strt</t>
  </si>
  <si>
    <t>jaumesala@gmail.com</t>
  </si>
  <si>
    <t>jaumesala</t>
  </si>
  <si>
    <t>midzer@gmail.com</t>
  </si>
  <si>
    <t>midzer</t>
  </si>
  <si>
    <t>alan.orth@gmail.com</t>
  </si>
  <si>
    <t>alan.orth</t>
  </si>
  <si>
    <t>mendozagioo@gmail.com</t>
  </si>
  <si>
    <t>mendozagioo</t>
  </si>
  <si>
    <t>morrissey@ingenious.org</t>
  </si>
  <si>
    <t>morrissey</t>
  </si>
  <si>
    <t>Ingenious</t>
  </si>
  <si>
    <t>ben@719media.com</t>
  </si>
  <si>
    <t>ben</t>
  </si>
  <si>
    <t>bjorn.erik.pedersen@gmail.com</t>
  </si>
  <si>
    <t>bjorn.erik.pedersen</t>
  </si>
  <si>
    <t>me@ashfahan.com</t>
  </si>
  <si>
    <t>peterblazejewicz@users.noreply.github.com</t>
  </si>
  <si>
    <t>peterblazejewicz</t>
  </si>
  <si>
    <t>royklutman@users.noreply.github.com</t>
  </si>
  <si>
    <t>royklutman</t>
  </si>
  <si>
    <t>browner12@gmail.com</t>
  </si>
  <si>
    <t>browner12</t>
  </si>
  <si>
    <t>simon@podlipsky.net</t>
  </si>
  <si>
    <t>simon</t>
  </si>
  <si>
    <t>parammittal16@gmail.com</t>
  </si>
  <si>
    <t>parammittal16</t>
  </si>
  <si>
    <t>jmandel@alg.com</t>
  </si>
  <si>
    <t>jmandel</t>
  </si>
  <si>
    <t>kevdotbadger@gmail.com</t>
  </si>
  <si>
    <t>kevdotbadger</t>
  </si>
  <si>
    <t>moris.pasic@gmail.com</t>
  </si>
  <si>
    <t>moris.pasic</t>
  </si>
  <si>
    <t>r_a_m_i@hotmail.com</t>
  </si>
  <si>
    <t>r_a_m_i</t>
  </si>
  <si>
    <t>agito723@gmail.com</t>
  </si>
  <si>
    <t>agito723</t>
  </si>
  <si>
    <t>heikojansen@users.noreply.github.com</t>
  </si>
  <si>
    <t>heikojansen</t>
  </si>
  <si>
    <t>Deilv@users.noreply.github.com</t>
  </si>
  <si>
    <t>Deilv</t>
  </si>
  <si>
    <t>nextgenthemes@users.noreply.github.com</t>
  </si>
  <si>
    <t>nextgenthemes</t>
  </si>
  <si>
    <t>max@beatty.me</t>
  </si>
  <si>
    <t>max</t>
  </si>
  <si>
    <t>stephaniedkendall@gmail.com</t>
  </si>
  <si>
    <t>stephaniedkendall</t>
  </si>
  <si>
    <t>pruzhina2008@gmail.com</t>
  </si>
  <si>
    <t>pruzhina2008</t>
  </si>
  <si>
    <t>mail@kovah.de</t>
  </si>
  <si>
    <t>junookyo@gmail.com</t>
  </si>
  <si>
    <t>junookyo</t>
  </si>
  <si>
    <t>cortopy@users.noreply.github.com</t>
  </si>
  <si>
    <t>cortopy</t>
  </si>
  <si>
    <t>cvrebert@google.com</t>
  </si>
  <si>
    <t>cvrebert</t>
  </si>
  <si>
    <t>Alphabet</t>
  </si>
  <si>
    <t>ameya@pandilwar.com</t>
  </si>
  <si>
    <t>ameya</t>
  </si>
  <si>
    <t>tshinnic@gmail.com</t>
  </si>
  <si>
    <t>tshinnic</t>
  </si>
  <si>
    <t>tom@conceptcoding.co.uk</t>
  </si>
  <si>
    <t>tom</t>
  </si>
  <si>
    <t>Conceptcoding</t>
  </si>
  <si>
    <t>jobs@adrienjarthon.com</t>
  </si>
  <si>
    <t>jobs</t>
  </si>
  <si>
    <t>Nikita240@users.noreply.github.com</t>
  </si>
  <si>
    <t>Nikita240</t>
  </si>
  <si>
    <t>kevin.jannis@live.be</t>
  </si>
  <si>
    <t>kevin.jannis</t>
  </si>
  <si>
    <t>daijiro.wachi@gmail.com</t>
  </si>
  <si>
    <t>daijiro.wachi</t>
  </si>
  <si>
    <t>mail@cbjohnson.info</t>
  </si>
  <si>
    <t>zohar.jackson@dynamicsresolved.com</t>
  </si>
  <si>
    <t>zohar.jackson</t>
  </si>
  <si>
    <t>sean.dwyer@gmail.com</t>
  </si>
  <si>
    <t>sean.dwyer</t>
  </si>
  <si>
    <t>rahulnwn@gmail.com</t>
  </si>
  <si>
    <t>rahulnwn</t>
  </si>
  <si>
    <t>rmartin@rmart.in</t>
  </si>
  <si>
    <t>rmartin</t>
  </si>
  <si>
    <t>vue</t>
  </si>
  <si>
    <t>mewen.leho.ext@orange.com</t>
  </si>
  <si>
    <t>mewen.leho.ext</t>
  </si>
  <si>
    <t>92363071+MewenLeHo@users.noreply.github.com</t>
  </si>
  <si>
    <t>92363071+MewenLeHo</t>
  </si>
  <si>
    <t>erik.faye-lund@collabora.com</t>
  </si>
  <si>
    <t>erik.faye-lund</t>
  </si>
  <si>
    <t>Collabora</t>
  </si>
  <si>
    <t>1907279+EricDunsworth@users.noreply.github.com</t>
  </si>
  <si>
    <t>1907279+EricDunsworth</t>
  </si>
  <si>
    <t>61946753+markdumay@users.noreply.github.com</t>
  </si>
  <si>
    <t>61946753+markdumay</t>
  </si>
  <si>
    <t>benkoshy@hotmail.com</t>
  </si>
  <si>
    <t>benkoshy</t>
  </si>
  <si>
    <t>eric.leibenguth@gmail.com</t>
  </si>
  <si>
    <t>eric.leibenguth</t>
  </si>
  <si>
    <t>sebastian.bl@gmx.de</t>
  </si>
  <si>
    <t>sebastian.bl</t>
  </si>
  <si>
    <t>29353783+MadeByRaymond@users.noreply.github.com</t>
  </si>
  <si>
    <t>29353783+MadeByRaymond</t>
  </si>
  <si>
    <t>github@m.vinorodrigues.com</t>
  </si>
  <si>
    <t>22521688+hfhbd@users.noreply.github.com</t>
  </si>
  <si>
    <t>22521688+hfhbd</t>
  </si>
  <si>
    <t>1889710+KittyGiraudel@users.noreply.github.com</t>
  </si>
  <si>
    <t>1889710+KittyGiraudel</t>
  </si>
  <si>
    <t>79368202+hadouin@users.noreply.github.com</t>
  </si>
  <si>
    <t>79368202+hadouin</t>
  </si>
  <si>
    <t>i@ntk.me</t>
  </si>
  <si>
    <t>i</t>
  </si>
  <si>
    <t>24257556+septatrix@users.noreply.github.com</t>
  </si>
  <si>
    <t>24257556+septatrix</t>
  </si>
  <si>
    <t>srmagura@gmail.com</t>
  </si>
  <si>
    <t>srmagura</t>
  </si>
  <si>
    <t>9486206+rabuckley@users.noreply.github.com</t>
  </si>
  <si>
    <t>9486206+rabuckley</t>
  </si>
  <si>
    <t>sabruss@users.noreply.github.com</t>
  </si>
  <si>
    <t>sabruss</t>
  </si>
  <si>
    <t>laraloop.com@gmail.com</t>
  </si>
  <si>
    <t>laraloop.com</t>
  </si>
  <si>
    <t>arhell333@gmail.com</t>
  </si>
  <si>
    <t>arhell333</t>
  </si>
  <si>
    <t>alexkoala@alexkoala.com</t>
  </si>
  <si>
    <t>alexkoala</t>
  </si>
  <si>
    <t>e.kopyov@gmail.com</t>
  </si>
  <si>
    <t>e.kopyov</t>
  </si>
  <si>
    <t>TheFakeCake@users.noreply.github.com</t>
  </si>
  <si>
    <t>TheFakeCake</t>
  </si>
  <si>
    <t>alexandergitter@users.noreply.github.com</t>
  </si>
  <si>
    <t>alexandergitter</t>
  </si>
  <si>
    <t>semihraifgurel@icloud.com</t>
  </si>
  <si>
    <t>semihraifgurel</t>
  </si>
  <si>
    <t>andrewpucci@users.noreply.github.com</t>
  </si>
  <si>
    <t>andrewpucci</t>
  </si>
  <si>
    <t>80090779+harishhalodoc@users.noreply.github.com</t>
  </si>
  <si>
    <t>80090779+harishhalodoc</t>
  </si>
  <si>
    <t>raaj@raajtram.com</t>
  </si>
  <si>
    <t>raaj</t>
  </si>
  <si>
    <t>antonfedonjuk@gmail.com</t>
  </si>
  <si>
    <t>antonfedonjuk</t>
  </si>
  <si>
    <t>k-utsumi@users.noreply.github.com</t>
  </si>
  <si>
    <t>k-utsumi</t>
  </si>
  <si>
    <t>chtitux@gmail.com</t>
  </si>
  <si>
    <t>chtitux</t>
  </si>
  <si>
    <t>dylana@ualberta.ca</t>
  </si>
  <si>
    <t>dylana</t>
  </si>
  <si>
    <t>Ualberta</t>
  </si>
  <si>
    <t>login@regisphilibert.com</t>
  </si>
  <si>
    <t>login</t>
  </si>
  <si>
    <t>mail@sascha.dev</t>
  </si>
  <si>
    <t>cankitm@gmail.com</t>
  </si>
  <si>
    <t>cankitm</t>
  </si>
  <si>
    <t>hiws@live.dk</t>
  </si>
  <si>
    <t>hiws</t>
  </si>
  <si>
    <t>mohammad.ali.shahbazi.1313@gmail.com</t>
  </si>
  <si>
    <t>mohammad.ali.shahbazi.1313</t>
  </si>
  <si>
    <t>mikelehen@gmail.com</t>
  </si>
  <si>
    <t>mikelehen</t>
  </si>
  <si>
    <t>me@mikerogers.io</t>
  </si>
  <si>
    <t>luytenjens@gmail.com</t>
  </si>
  <si>
    <t>luytenjens</t>
  </si>
  <si>
    <t>tu4mo@users.noreply.github.com</t>
  </si>
  <si>
    <t>tu4mo</t>
  </si>
  <si>
    <t>jorimvanhove@gmail.com</t>
  </si>
  <si>
    <t>jorimvanhove</t>
  </si>
  <si>
    <t>brianmanden@gmail.com</t>
  </si>
  <si>
    <t>brianmanden</t>
  </si>
  <si>
    <t>bershan2@illinois.edu</t>
  </si>
  <si>
    <t>bershan2</t>
  </si>
  <si>
    <t>Illionois</t>
  </si>
  <si>
    <t>kvlsrg@gmail.com</t>
  </si>
  <si>
    <t>kvlsrg</t>
  </si>
  <si>
    <t>kriz@codelab.cz</t>
  </si>
  <si>
    <t>kriz</t>
  </si>
  <si>
    <t>Codelab</t>
  </si>
  <si>
    <t>jgolieb@hortonworks.com</t>
  </si>
  <si>
    <t>jgolieb</t>
  </si>
  <si>
    <t>Cloudera</t>
  </si>
  <si>
    <t>garhbod@users.noreply.github.com</t>
  </si>
  <si>
    <t>garhbod</t>
  </si>
  <si>
    <t>ryan.holton@team8digital.uk</t>
  </si>
  <si>
    <t>ryan.holton</t>
  </si>
  <si>
    <t>thendrluca@gmail.com</t>
  </si>
  <si>
    <t>thendrluca</t>
  </si>
  <si>
    <t>namiltd@users.noreply.github.com</t>
  </si>
  <si>
    <t>namiltd</t>
  </si>
  <si>
    <t>howard@zedcore.com</t>
  </si>
  <si>
    <t>howard</t>
  </si>
  <si>
    <t>nabil@kadimi.com</t>
  </si>
  <si>
    <t>nabil</t>
  </si>
  <si>
    <t>ceo.roman@gmail.com</t>
  </si>
  <si>
    <t>ceo.roman</t>
  </si>
  <si>
    <t>gitlab@acjs.net</t>
  </si>
  <si>
    <t>gitlab</t>
  </si>
  <si>
    <t>ruedap@ruedap.com</t>
  </si>
  <si>
    <t>ruedap</t>
  </si>
  <si>
    <t>peter.blazejewicz@gmail.com</t>
  </si>
  <si>
    <t>peter.blazejewicz</t>
  </si>
  <si>
    <t>vytautas.k.luksys@gmail.com</t>
  </si>
  <si>
    <t>vytautas.k.luksys</t>
  </si>
  <si>
    <t>federico.zivolo@gmail.com</t>
  </si>
  <si>
    <t>federico.zivolo</t>
  </si>
  <si>
    <t>Borkason@users.noreply.github.com</t>
  </si>
  <si>
    <t>Borkason</t>
  </si>
  <si>
    <t>ingtotaro@ingtotaro.it</t>
  </si>
  <si>
    <t>ingtotaro</t>
  </si>
  <si>
    <t>jean.barbary@wanadoo.fr</t>
  </si>
  <si>
    <t>jean.barbary</t>
  </si>
  <si>
    <t>codecalm@gmail.com</t>
  </si>
  <si>
    <t>codecalm</t>
  </si>
  <si>
    <t>SharrellPorter@example.com</t>
  </si>
  <si>
    <t>SharrellPorter</t>
  </si>
  <si>
    <t>ray@planetoftheweb.com</t>
  </si>
  <si>
    <t>ray</t>
  </si>
  <si>
    <t>hi@henryzoo.com</t>
  </si>
  <si>
    <t>jasonetco@github.com</t>
  </si>
  <si>
    <t>jasonetco</t>
  </si>
  <si>
    <t>david.poole@bigfishgames.com</t>
  </si>
  <si>
    <t>david.poole</t>
  </si>
  <si>
    <t>adm@envolute.com</t>
  </si>
  <si>
    <t>adm</t>
  </si>
  <si>
    <t>dillonchanis92@gmail.com</t>
  </si>
  <si>
    <t>dillonchanis92</t>
  </si>
  <si>
    <t>IdanCo@users.noreply.github.com</t>
  </si>
  <si>
    <t>IdanCo</t>
  </si>
  <si>
    <t>zachleat@users.noreply.github.com</t>
  </si>
  <si>
    <t>zachleat</t>
  </si>
  <si>
    <t>malkomich@gmail.com</t>
  </si>
  <si>
    <t>malkomich</t>
  </si>
  <si>
    <t>lutzenbergerthomas@gmail.com</t>
  </si>
  <si>
    <t>lutzenbergerthomas</t>
  </si>
  <si>
    <t>J2TeaM@users.noreply.github.com</t>
  </si>
  <si>
    <t>J2TeaM</t>
  </si>
  <si>
    <t>matus@ventes.io</t>
  </si>
  <si>
    <t>matus</t>
  </si>
  <si>
    <t>eric.nolte@markit.com</t>
  </si>
  <si>
    <t>eric.nolte</t>
  </si>
  <si>
    <t>rodrigocastro@id.uff.br</t>
  </si>
  <si>
    <t>rodrigocastro</t>
  </si>
  <si>
    <t>amooiman@gmail.com</t>
  </si>
  <si>
    <t>amooiman</t>
  </si>
  <si>
    <t>pavanhesteren@gmail.com</t>
  </si>
  <si>
    <t>pavanhesteren</t>
  </si>
  <si>
    <t>mkroeders@gmail.com</t>
  </si>
  <si>
    <t>mkroeders</t>
  </si>
  <si>
    <t>tarasov.igor@gmail.com</t>
  </si>
  <si>
    <t>tarasov.igor</t>
  </si>
  <si>
    <t>a0ghosh@gmail.com</t>
  </si>
  <si>
    <t>a0ghosh</t>
  </si>
  <si>
    <t>dave.methvin@gmail.com</t>
  </si>
  <si>
    <t>dave.methvin</t>
  </si>
  <si>
    <t>github@dumb.ca</t>
  </si>
  <si>
    <t>christopher@hmudesign.com</t>
  </si>
  <si>
    <t>christopher</t>
  </si>
  <si>
    <t>Hmudesign</t>
  </si>
  <si>
    <t>teo@lenda.com</t>
  </si>
  <si>
    <t>teo</t>
  </si>
  <si>
    <t>tracker1@gmail.com</t>
  </si>
  <si>
    <t>tracker1</t>
  </si>
  <si>
    <t>ameya@ccs.neu.edu</t>
  </si>
  <si>
    <t>xcatliu@gmail.com</t>
  </si>
  <si>
    <t>xcatliu</t>
  </si>
  <si>
    <t>kevin.ross@alienfast.com</t>
  </si>
  <si>
    <t>kevin.ross</t>
  </si>
  <si>
    <t>raphael.ackermann@gmail.com</t>
  </si>
  <si>
    <t>raphael.ackermann</t>
  </si>
  <si>
    <t>vicrry@yahoo.com.hk</t>
  </si>
  <si>
    <t>vicrry</t>
  </si>
  <si>
    <t>public@omeid.me</t>
  </si>
  <si>
    <t>public</t>
  </si>
  <si>
    <t>risanbagja@gmail.com</t>
  </si>
  <si>
    <t>risanbagja</t>
  </si>
  <si>
    <t>mareprelc@gmail.com</t>
  </si>
  <si>
    <t>mareprelc</t>
  </si>
  <si>
    <t>alberto.email@gmail.com</t>
  </si>
  <si>
    <t>alberto.email</t>
  </si>
  <si>
    <t>hkdobrev@gmail.com</t>
  </si>
  <si>
    <t>hkdobrev</t>
  </si>
  <si>
    <t>hello@rbrs.io</t>
  </si>
  <si>
    <t>hello</t>
  </si>
  <si>
    <t>jason.ron.corbett@gmail.com</t>
  </si>
  <si>
    <t>jason.ron.corbett</t>
  </si>
  <si>
    <t>husseini.mel@gmail.com</t>
  </si>
  <si>
    <t>husseini.mel</t>
  </si>
  <si>
    <t>bernardogfilho@gmail.com</t>
  </si>
  <si>
    <t>bernardogfilho</t>
  </si>
  <si>
    <t>ing.luca.mussi@gmail.com</t>
  </si>
  <si>
    <t>ing.luca.mussi</t>
  </si>
  <si>
    <t>contact@corne.info</t>
  </si>
  <si>
    <t>lbryant@hubspot.com</t>
  </si>
  <si>
    <t>lbryant</t>
  </si>
  <si>
    <t>paul.irish@gmail.com</t>
  </si>
  <si>
    <t>paul.irish</t>
  </si>
  <si>
    <t>pascal.herbert@gmail.com</t>
  </si>
  <si>
    <t>pascal.herbert</t>
  </si>
  <si>
    <t>rlindner81@gmail.com</t>
  </si>
  <si>
    <t>rlindner81</t>
  </si>
  <si>
    <t>glebm@google.com</t>
  </si>
  <si>
    <t>glebm</t>
  </si>
  <si>
    <t>thomasphorton@gmail.com</t>
  </si>
  <si>
    <t>thomasphorton</t>
  </si>
  <si>
    <t>zerhan@gmail.com</t>
  </si>
  <si>
    <t>zerhan</t>
  </si>
  <si>
    <t>sqal08@gmail.com</t>
  </si>
  <si>
    <t>sqal08</t>
  </si>
  <si>
    <t>tj@spectrumpixel.com</t>
  </si>
  <si>
    <t>tj</t>
  </si>
  <si>
    <t>nsullivan@pivotal.io</t>
  </si>
  <si>
    <t>nsullivan</t>
  </si>
  <si>
    <t>gruntworker@getbootstrap.com</t>
  </si>
  <si>
    <t>gruntworker</t>
  </si>
  <si>
    <t>nick.od@me.com</t>
  </si>
  <si>
    <t>nick.od</t>
  </si>
  <si>
    <t>hillaib@walla.com</t>
  </si>
  <si>
    <t>hillaib</t>
  </si>
  <si>
    <t>jnkoushik@gmail.com</t>
  </si>
  <si>
    <t>jnkoushik</t>
  </si>
  <si>
    <t>theephil@gmail.com</t>
  </si>
  <si>
    <t>theephil</t>
  </si>
  <si>
    <t>saranya.r@zohocorp.com</t>
  </si>
  <si>
    <t>saranya.r</t>
  </si>
  <si>
    <t>ilya@burstcreations.com</t>
  </si>
  <si>
    <t>ilya</t>
  </si>
  <si>
    <t>nicolebartelt@gmail.com</t>
  </si>
  <si>
    <t>nicolebartelt</t>
  </si>
  <si>
    <t>james@jsdf.co</t>
  </si>
  <si>
    <t>james</t>
  </si>
  <si>
    <t>dmitriy.budnik@gmail.com</t>
  </si>
  <si>
    <t>dmitriy.budnik</t>
  </si>
  <si>
    <t>michaeljayt@users.noreply.github.com</t>
  </si>
  <si>
    <t>michaeljayt</t>
  </si>
  <si>
    <t>chris@programcsharp.com</t>
  </si>
  <si>
    <t>SteelyWing@users.noreply.github.com</t>
  </si>
  <si>
    <t>SteelyWing</t>
  </si>
  <si>
    <t>thierry@byscripts.info</t>
  </si>
  <si>
    <t>thierry</t>
  </si>
  <si>
    <t>tom@ilikeprograms.com</t>
  </si>
  <si>
    <t>andrei@siter.com.au</t>
  </si>
  <si>
    <t>andrei</t>
  </si>
  <si>
    <t>james@kitefire.com</t>
  </si>
  <si>
    <t>to.kzhu@gmail.com</t>
  </si>
  <si>
    <t>to.kzhu</t>
  </si>
  <si>
    <t>se.mo.moosavi@gmail.com</t>
  </si>
  <si>
    <t>se.mo.moosavi</t>
  </si>
  <si>
    <t>stuart@testtrack4.com</t>
  </si>
  <si>
    <t>stuart</t>
  </si>
  <si>
    <t>mike.robinet@shavlik.com</t>
  </si>
  <si>
    <t>mike.robinet</t>
  </si>
  <si>
    <t>EnsignR@users.noreply.github.com</t>
  </si>
  <si>
    <t>EnsignR</t>
  </si>
  <si>
    <t>nschonni@gmail.com</t>
  </si>
  <si>
    <t>nschonni</t>
  </si>
  <si>
    <t>collindo@gmail.com</t>
  </si>
  <si>
    <t>collindo</t>
  </si>
  <si>
    <t>stefan.neculai@gmail.com</t>
  </si>
  <si>
    <t>stefan.neculai</t>
  </si>
  <si>
    <t>ogle.ben@gmail.com</t>
  </si>
  <si>
    <t>ogle.ben</t>
  </si>
  <si>
    <t>lipis@users.noreply.github.com</t>
  </si>
  <si>
    <t>lipis</t>
  </si>
  <si>
    <t>Chris@ChrisKankiewicz.com</t>
  </si>
  <si>
    <t>Chris</t>
  </si>
  <si>
    <t>fmarcoux260496@gmail.com</t>
  </si>
  <si>
    <t>fmarcoux260496</t>
  </si>
  <si>
    <t>WLGades@gmail.com</t>
  </si>
  <si>
    <t>WLGades</t>
  </si>
  <si>
    <t>leoj3n@gmail.com</t>
  </si>
  <si>
    <t>leoj3n</t>
  </si>
  <si>
    <t>elchininet@gmail.com</t>
  </si>
  <si>
    <t>elchininet</t>
  </si>
  <si>
    <t>61681908+TommasoAllegretti@users.noreply.github.com</t>
  </si>
  <si>
    <t>61681908+TommasoAllegretti</t>
  </si>
  <si>
    <t>caleb@wa9ace.net</t>
  </si>
  <si>
    <t>caleb</t>
  </si>
  <si>
    <t>ed.a.ezekiel@gmail.com</t>
  </si>
  <si>
    <t>ed.a.ezekiel</t>
  </si>
  <si>
    <t>ZuBB@users.noreply.github.com</t>
  </si>
  <si>
    <t>ZuBB</t>
  </si>
  <si>
    <t>119151870+DrejT@users.noreply.github.com</t>
  </si>
  <si>
    <t>119151870+DrejT</t>
  </si>
  <si>
    <t>mr.abdullah.alharbi@gmail.com</t>
  </si>
  <si>
    <t>mr.abdullah.alharbi</t>
  </si>
  <si>
    <t>vs.sergei@gmail.com</t>
  </si>
  <si>
    <t>vs.sergei</t>
  </si>
  <si>
    <t>sgilberg@healthybuilding.net</t>
  </si>
  <si>
    <t>sgilberg</t>
  </si>
  <si>
    <t>t.yudai92@gmail.com</t>
  </si>
  <si>
    <t>t.yudai92</t>
  </si>
  <si>
    <t>koderfunk@gmail.com</t>
  </si>
  <si>
    <t>koderfunk</t>
  </si>
  <si>
    <t>markoleksiyenko@gmail.com</t>
  </si>
  <si>
    <t>markoleksiyenko</t>
  </si>
  <si>
    <t>fransdejonge@gmail.com</t>
  </si>
  <si>
    <t>fransdejonge</t>
  </si>
  <si>
    <t>77789413+curious-broccoli@users.noreply.github.com</t>
  </si>
  <si>
    <t>77789413+curious-broccoli</t>
  </si>
  <si>
    <t>62764562+edwin-shdw@users.noreply.github.com</t>
  </si>
  <si>
    <t>62764562+edwin-shdw</t>
  </si>
  <si>
    <t>oliv37@users.noreply.github.com</t>
  </si>
  <si>
    <t>oliv37</t>
  </si>
  <si>
    <t>kbsanders@hotmail.com</t>
  </si>
  <si>
    <t>kbsanders</t>
  </si>
  <si>
    <t>628799+giovannipiller@users.noreply.github.com</t>
  </si>
  <si>
    <t>628799+giovannipiller</t>
  </si>
  <si>
    <t>mahmutyildirim@outlook.com.tr</t>
  </si>
  <si>
    <t>mahmutyildirim</t>
  </si>
  <si>
    <t>7176575+RobJonesWeb@users.noreply.github.com</t>
  </si>
  <si>
    <t>7176575+RobJonesWeb</t>
  </si>
  <si>
    <t>blank@data-factory.net</t>
  </si>
  <si>
    <t>blank</t>
  </si>
  <si>
    <t>jdhayes.linux@gmail.com</t>
  </si>
  <si>
    <t>jdhayes.linux</t>
  </si>
  <si>
    <t>mustafauzun0@gmail.com</t>
  </si>
  <si>
    <t>mustafauzun0</t>
  </si>
  <si>
    <t>diogoteles@google.com</t>
  </si>
  <si>
    <t>diogoteles</t>
  </si>
  <si>
    <t>github.me.mzu5a@simplelogin.com</t>
  </si>
  <si>
    <t>github.me.mzu5a</t>
  </si>
  <si>
    <t>craigiswayne@gmail.com</t>
  </si>
  <si>
    <t>craigiswayne</t>
  </si>
  <si>
    <t>doug.hs@protonmail.ch</t>
  </si>
  <si>
    <t>doug.hs</t>
  </si>
  <si>
    <t>102624514+cameronhollis@users.noreply.github.com</t>
  </si>
  <si>
    <t>102624514+cameronhollis</t>
  </si>
  <si>
    <t>parthibanb224@gmail.com</t>
  </si>
  <si>
    <t>parthibanb224</t>
  </si>
  <si>
    <t>mail@benediktwilli.ch</t>
  </si>
  <si>
    <t>thomas@landauer.at</t>
  </si>
  <si>
    <t>thomas</t>
  </si>
  <si>
    <t>ijhaggerty@sep.com</t>
  </si>
  <si>
    <t>ijhaggerty</t>
  </si>
  <si>
    <t>mark@battlesnake.co.uk</t>
  </si>
  <si>
    <t>mark</t>
  </si>
  <si>
    <t>Jeroen_akkerman1@hotmail.com</t>
  </si>
  <si>
    <t>Jeroen_akkerman1</t>
  </si>
  <si>
    <t>77789413+codemmmmm@users.noreply.github.com</t>
  </si>
  <si>
    <t>77789413+codemmmmm</t>
  </si>
  <si>
    <t>31571759+alemendoza-v@users.noreply.github.com</t>
  </si>
  <si>
    <t>31571759+alemendoza-v</t>
  </si>
  <si>
    <t>tiendq@gmail.com</t>
  </si>
  <si>
    <t>tiendq</t>
  </si>
  <si>
    <t>david@cowarama.com</t>
  </si>
  <si>
    <t>compnerd@compnerd.org</t>
  </si>
  <si>
    <t>compnerd</t>
  </si>
  <si>
    <t>53659806+janbensch@users.noreply.github.com</t>
  </si>
  <si>
    <t>53659806+janbensch</t>
  </si>
  <si>
    <t>213164+mrlife@users.noreply.github.com</t>
  </si>
  <si>
    <t>213164+mrlife</t>
  </si>
  <si>
    <t>andrewsdawes@gmail.com</t>
  </si>
  <si>
    <t>andrewsdawes</t>
  </si>
  <si>
    <t>78621401+lavsemen@users.noreply.github.com</t>
  </si>
  <si>
    <t>78621401+lavsemen</t>
  </si>
  <si>
    <t>ronidiwan@gmail.com</t>
  </si>
  <si>
    <t>ronidiwan</t>
  </si>
  <si>
    <t>76244671+ChellyAhmed@users.noreply.github.com</t>
  </si>
  <si>
    <t>76244671+ChellyAhmed</t>
  </si>
  <si>
    <t>mkubien@gmail.com</t>
  </si>
  <si>
    <t>mkubien</t>
  </si>
  <si>
    <t>erenokka@gmail.com</t>
  </si>
  <si>
    <t>erenokka</t>
  </si>
  <si>
    <t>kriya@dismail.de</t>
  </si>
  <si>
    <t>kriya</t>
  </si>
  <si>
    <t>auct.eu@gmail.com</t>
  </si>
  <si>
    <t>auct.eu</t>
  </si>
  <si>
    <t>120113707+Teaca-Sebastian@users.noreply.github.com</t>
  </si>
  <si>
    <t>120113707+Teaca-Sebastian</t>
  </si>
  <si>
    <t>hello@romaricpascal.is</t>
  </si>
  <si>
    <t>joycebrumu.u@gmail.com</t>
  </si>
  <si>
    <t>joycebrumu.u</t>
  </si>
  <si>
    <t>varunsh@stepsecurity.io</t>
  </si>
  <si>
    <t>varunsh</t>
  </si>
  <si>
    <t>flutter</t>
  </si>
  <si>
    <t>git.cd@mediadreams.de</t>
  </si>
  <si>
    <t>git.cd</t>
  </si>
  <si>
    <t>ryan@mortier.ca</t>
  </si>
  <si>
    <t>ryan</t>
  </si>
  <si>
    <t>pierresouchay@users.noreply.github.com</t>
  </si>
  <si>
    <t>pierresouchay</t>
  </si>
  <si>
    <t>me@mitchellcash.com</t>
  </si>
  <si>
    <t>jesse.mandel@jdpa.com</t>
  </si>
  <si>
    <t>stephen@koalephant.com</t>
  </si>
  <si>
    <t>stephen</t>
  </si>
  <si>
    <t>jelhan@users.noreply.github.com</t>
  </si>
  <si>
    <t>jelhan</t>
  </si>
  <si>
    <t>94792103+samadpls@users.noreply.github.com</t>
  </si>
  <si>
    <t>94792103+samadpls</t>
  </si>
  <si>
    <t>naitsirch@e.mail.de</t>
  </si>
  <si>
    <t>naitsirch</t>
  </si>
  <si>
    <t>jtsimoes@ua.pt</t>
  </si>
  <si>
    <t>jtsimoes</t>
  </si>
  <si>
    <t>frank@frankshinn.com</t>
  </si>
  <si>
    <t>frank</t>
  </si>
  <si>
    <t>shaack@gmail.com</t>
  </si>
  <si>
    <t>shaack</t>
  </si>
  <si>
    <t>isabelle.chanclou@orange.com</t>
  </si>
  <si>
    <t>isabelle.chanclou</t>
  </si>
  <si>
    <t>366673+vinorodrigues@users.noreply.github.com</t>
  </si>
  <si>
    <t>366673+vinorodrigues</t>
  </si>
  <si>
    <t>flaviobombonatti@gmail.com</t>
  </si>
  <si>
    <t>flaviobombonatti</t>
  </si>
  <si>
    <t>jeremie.broutier@posteo.net</t>
  </si>
  <si>
    <t>jeremie.broutier</t>
  </si>
  <si>
    <t>12158575+gabrielrbarbosa@users.noreply.github.com</t>
  </si>
  <si>
    <t>12158575+gabrielrbarbosa</t>
  </si>
  <si>
    <t>s.homeier@bynary.io</t>
  </si>
  <si>
    <t>s.homeier</t>
  </si>
  <si>
    <t>3193168+charlesroelli@users.noreply.github.com</t>
  </si>
  <si>
    <t>3193168+charlesroelli</t>
  </si>
  <si>
    <t>giovanni.piller@gmail.com</t>
  </si>
  <si>
    <t>giovanni.piller</t>
  </si>
  <si>
    <t>lacreuse.florian@gmail.com</t>
  </si>
  <si>
    <t>lacreuse.florian</t>
  </si>
  <si>
    <t>michael.geuchmann@hotmail.com</t>
  </si>
  <si>
    <t>michael.geuchmann</t>
  </si>
  <si>
    <t>mwest@illinois.edu</t>
  </si>
  <si>
    <t>mwest</t>
  </si>
  <si>
    <t>buchholz.bastian@googlemail.com</t>
  </si>
  <si>
    <t>buchholz.bastian</t>
  </si>
  <si>
    <t>muhammedsadeed70@gmail.com</t>
  </si>
  <si>
    <t>muhammedsadeed70</t>
  </si>
  <si>
    <t>john.skem9@gmail.com</t>
  </si>
  <si>
    <t>john.skem9</t>
  </si>
  <si>
    <t>nwalters512@gmail.com</t>
  </si>
  <si>
    <t>nwalters512</t>
  </si>
  <si>
    <t>machniak@kolabsys.com</t>
  </si>
  <si>
    <t>machniak</t>
  </si>
  <si>
    <t>3677993+techvanity@users.noreply.github.com</t>
  </si>
  <si>
    <t>3677993+techvanity</t>
  </si>
  <si>
    <t>jeremythompson.918@gmail.com</t>
  </si>
  <si>
    <t>jeremythompson.918</t>
  </si>
  <si>
    <t>mastercoms@tuta.io</t>
  </si>
  <si>
    <t>mastercoms</t>
  </si>
  <si>
    <t>hdpham@protonmail.com</t>
  </si>
  <si>
    <t>hdpham</t>
  </si>
  <si>
    <t>78104591+Liam-Nothing@users.noreply.github.com</t>
  </si>
  <si>
    <t>78104591+Liam-Nothing</t>
  </si>
  <si>
    <t>justinkruitnl@gmail.com</t>
  </si>
  <si>
    <t>justinkruitnl</t>
  </si>
  <si>
    <t>46168016+amirhossein-karimi@users.noreply.github.com</t>
  </si>
  <si>
    <t>46168016+amirhossein-karimi</t>
  </si>
  <si>
    <t>7405300+daweilv@users.noreply.github.com</t>
  </si>
  <si>
    <t>7405300+daweilv</t>
  </si>
  <si>
    <t>dev.mkebsi@gmail.com</t>
  </si>
  <si>
    <t>dev.mkebsi</t>
  </si>
  <si>
    <t>mail@totoprayogo.com</t>
  </si>
  <si>
    <t>melanieleeking@gmail.com</t>
  </si>
  <si>
    <t>melanieleeking</t>
  </si>
  <si>
    <t>43166263+anthonypz@users.noreply.github.com</t>
  </si>
  <si>
    <t>43166263+anthonypz</t>
  </si>
  <si>
    <t>mbrodala@pagemachine.de</t>
  </si>
  <si>
    <t>mbrodala</t>
  </si>
  <si>
    <t>47742487+PuruVJ@users.noreply.github.com</t>
  </si>
  <si>
    <t>47742487+PuruVJ</t>
  </si>
  <si>
    <t>git-dpa@aegee.org</t>
  </si>
  <si>
    <t>git-dpa</t>
  </si>
  <si>
    <t>richard@rgent.ca</t>
  </si>
  <si>
    <t>richard</t>
  </si>
  <si>
    <t>xrkffgg@vip.qq.com</t>
  </si>
  <si>
    <t>xrkffgg</t>
  </si>
  <si>
    <t>30935025+Nudasoft@users.noreply.github.com</t>
  </si>
  <si>
    <t>30935025+Nudasoft</t>
  </si>
  <si>
    <t>alancsystem@gmail.com</t>
  </si>
  <si>
    <t>alancsystem</t>
  </si>
  <si>
    <t>34790891+vpakati@users.noreply.github.com</t>
  </si>
  <si>
    <t>34790891+vpakati</t>
  </si>
  <si>
    <t>34690951+fabiankaraben@users.noreply.github.com</t>
  </si>
  <si>
    <t>34690951+fabiankaraben</t>
  </si>
  <si>
    <t>ne01026@shark.2a.pl</t>
  </si>
  <si>
    <t>ne01026</t>
  </si>
  <si>
    <t>sebastian.podjasek@intelliway.pl</t>
  </si>
  <si>
    <t>sebastian.podjasek</t>
  </si>
  <si>
    <t>mjcamara@protonmail.com</t>
  </si>
  <si>
    <t>mjcamara</t>
  </si>
  <si>
    <t>97450146+sigurdmwahl@users.noreply.github.com</t>
  </si>
  <si>
    <t>97450146+sigurdmwahl</t>
  </si>
  <si>
    <t>toby.zerner@gmail.com</t>
  </si>
  <si>
    <t>toby.zerner</t>
  </si>
  <si>
    <t>3234522+DimitriPapadopoulos@users.noreply.github.com</t>
  </si>
  <si>
    <t>3234522+DimitriPapadopoulos</t>
  </si>
  <si>
    <t>zkirill@gmail.com</t>
  </si>
  <si>
    <t>zkirill</t>
  </si>
  <si>
    <t>akkspros@gmail.com</t>
  </si>
  <si>
    <t>akkspros</t>
  </si>
  <si>
    <t>sakuraineed@gmail.com</t>
  </si>
  <si>
    <t>sakuraineed</t>
  </si>
  <si>
    <t>phil@phil-taylor.com</t>
  </si>
  <si>
    <t>phil</t>
  </si>
  <si>
    <t>andy.jiang99@outlook.com</t>
  </si>
  <si>
    <t>andy.jiang99</t>
  </si>
  <si>
    <t>ethan.c.clevenger@gmail.com</t>
  </si>
  <si>
    <t>ethan.c.clevenger</t>
  </si>
  <si>
    <t>45264553+MysticZA@users.noreply.github.com</t>
  </si>
  <si>
    <t>45264553+MysticZA</t>
  </si>
  <si>
    <t>87524463+francoiskarman@users.noreply.github.com</t>
  </si>
  <si>
    <t>87524463+francoiskarman</t>
  </si>
  <si>
    <t>travis@bluewall.com</t>
  </si>
  <si>
    <t>travis</t>
  </si>
  <si>
    <t>singuyen.it@gmail.com</t>
  </si>
  <si>
    <t>singuyen.it</t>
  </si>
  <si>
    <t>tniessen@users.noreply.github.com</t>
  </si>
  <si>
    <t>tniessen</t>
  </si>
  <si>
    <t>scottaohara@users.noreply.github.com</t>
  </si>
  <si>
    <t>scottaohara</t>
  </si>
  <si>
    <t>mik2650@gmail.com</t>
  </si>
  <si>
    <t>mik2650</t>
  </si>
  <si>
    <t>31799121+Barabazs@users.noreply.github.com</t>
  </si>
  <si>
    <t>31799121+Barabazs</t>
  </si>
  <si>
    <t>39617908+Oxydent@users.noreply.github.com</t>
  </si>
  <si>
    <t>39617908+Oxydent</t>
  </si>
  <si>
    <t>midgleyc@gmail.com</t>
  </si>
  <si>
    <t>midgleyc</t>
  </si>
  <si>
    <t>devhoussam123@gmail.com</t>
  </si>
  <si>
    <t>devhoussam123</t>
  </si>
  <si>
    <t>30593201+luciferreeves@users.noreply.github.com</t>
  </si>
  <si>
    <t>30593201+luciferreeves</t>
  </si>
  <si>
    <t>35852411+realtydev@users.noreply.github.com</t>
  </si>
  <si>
    <t>35852411+realtydev</t>
  </si>
  <si>
    <t>withlihui@gmail.com</t>
  </si>
  <si>
    <t>withlihui</t>
  </si>
  <si>
    <t>cdalxndr@yahoo.com</t>
  </si>
  <si>
    <t>cdalxndr</t>
  </si>
  <si>
    <t>bavoco@gmail.com</t>
  </si>
  <si>
    <t>bavoco</t>
  </si>
  <si>
    <t>dominik.crha@gmail.com</t>
  </si>
  <si>
    <t>dominik.crha</t>
  </si>
  <si>
    <t>87218997+zaidjawed@users.noreply.github.com</t>
  </si>
  <si>
    <t>87218997+zaidjawed</t>
  </si>
  <si>
    <t>alanbruno@gmail.com</t>
  </si>
  <si>
    <t>alanbruno</t>
  </si>
  <si>
    <t>marius.andreiana@gmail.com</t>
  </si>
  <si>
    <t>marius.andreiana</t>
  </si>
  <si>
    <t>seb33300@hotmail.com</t>
  </si>
  <si>
    <t>seb33300</t>
  </si>
  <si>
    <t>37118134+saintmalik@users.noreply.github.com</t>
  </si>
  <si>
    <t>37118134+saintmalik</t>
  </si>
  <si>
    <t>339521+seanhinton@users.noreply.github.com</t>
  </si>
  <si>
    <t>339521+seanhinton</t>
  </si>
  <si>
    <t>tip2tail@users.noreply.github.com</t>
  </si>
  <si>
    <t>tip2tail</t>
  </si>
  <si>
    <t>hi@jitangupta.com</t>
  </si>
  <si>
    <t>pst@crftwrk.de</t>
  </si>
  <si>
    <t>pst</t>
  </si>
  <si>
    <t>eric@arrowwebprojects.nl</t>
  </si>
  <si>
    <t>eric</t>
  </si>
  <si>
    <t>norimaking777@gmail.com</t>
  </si>
  <si>
    <t>norimaking777</t>
  </si>
  <si>
    <t>86869065+acyoush@users.noreply.github.com</t>
  </si>
  <si>
    <t>86869065+acyoush</t>
  </si>
  <si>
    <t>matt@pvep.com</t>
  </si>
  <si>
    <t>matt</t>
  </si>
  <si>
    <t>aphel@indices.io</t>
  </si>
  <si>
    <t>aphel</t>
  </si>
  <si>
    <t>37072867+golota60@users.noreply.github.com</t>
  </si>
  <si>
    <t>37072867+golota60</t>
  </si>
  <si>
    <t>marius.steffens@outlook.com</t>
  </si>
  <si>
    <t>marius.steffens</t>
  </si>
  <si>
    <t>45518011+lukeingalls@users.noreply.github.com</t>
  </si>
  <si>
    <t>45518011+lukeingalls</t>
  </si>
  <si>
    <t>eelkevdbos@gmail.com</t>
  </si>
  <si>
    <t>eelkevdbos</t>
  </si>
  <si>
    <t>allegrini.eduardo@gmail.com</t>
  </si>
  <si>
    <t>allegrini.eduardo</t>
  </si>
  <si>
    <t>43895102+lacutah@users.noreply.github.com</t>
  </si>
  <si>
    <t>43895102+lacutah</t>
  </si>
  <si>
    <t>68816736+jjoel1630@users.noreply.github.com</t>
  </si>
  <si>
    <t>68816736+jjoel1630</t>
  </si>
  <si>
    <t>53071109+rajesh2kumar96@users.noreply.github.com</t>
  </si>
  <si>
    <t>53071109+rajesh2kumar96</t>
  </si>
  <si>
    <t>breno.dk@gmail.com</t>
  </si>
  <si>
    <t>breno.dk</t>
  </si>
  <si>
    <t>wangsai@users.noreply.github.com</t>
  </si>
  <si>
    <t>57606+anirvan@users.noreply.github.com</t>
  </si>
  <si>
    <t>57606+anirvan</t>
  </si>
  <si>
    <t>ryan@thatsquality.com</t>
  </si>
  <si>
    <t>simon.ihmig@kaliber5.de</t>
  </si>
  <si>
    <t>simon.ihmig</t>
  </si>
  <si>
    <t>sudharta.andrea@gmail.com</t>
  </si>
  <si>
    <t>sudharta.andrea</t>
  </si>
  <si>
    <t>43740923+hugonun@users.noreply.github.com</t>
  </si>
  <si>
    <t>43740923+hugonun</t>
  </si>
  <si>
    <t>weaverryan+github@gmail.com</t>
  </si>
  <si>
    <t>weaverryan+github</t>
  </si>
  <si>
    <t>83826914+pu-master@users.noreply.github.com</t>
  </si>
  <si>
    <t>83826914+pu-master</t>
  </si>
  <si>
    <t>jason@sperske.com</t>
  </si>
  <si>
    <t>jason</t>
  </si>
  <si>
    <t>mehtajatin05@gmail.com</t>
  </si>
  <si>
    <t>mehtajatin05</t>
  </si>
  <si>
    <t>benlertlumprasertkul@gmail.com</t>
  </si>
  <si>
    <t>benlertlumprasertkul</t>
  </si>
  <si>
    <t>mhw@dangerous-techniques.com</t>
  </si>
  <si>
    <t>mhw</t>
  </si>
  <si>
    <t>timothy.d.yang@gmail.com</t>
  </si>
  <si>
    <t>timothy.d.yang</t>
  </si>
  <si>
    <t>boddunan@gmail.com</t>
  </si>
  <si>
    <t>boddunan</t>
  </si>
  <si>
    <t>www.kkyan71@gmail.com</t>
  </si>
  <si>
    <t>www.kkyan71</t>
  </si>
  <si>
    <t>48251120+nikolay-nizriukhin@users.noreply.github.com</t>
  </si>
  <si>
    <t>48251120+nikolay-nizriukhin</t>
  </si>
  <si>
    <t>greatblakes@gmail.com</t>
  </si>
  <si>
    <t>greatblakes</t>
  </si>
  <si>
    <t>42825559+jrn2778@users.noreply.github.com</t>
  </si>
  <si>
    <t>42825559+jrn2778</t>
  </si>
  <si>
    <t>manabu.niseki@gmail.com</t>
  </si>
  <si>
    <t>manabu.niseki</t>
  </si>
  <si>
    <t>ajaypatel9016@gmail.com</t>
  </si>
  <si>
    <t>ajaypatel9016</t>
  </si>
  <si>
    <t>38795546+itsmeluige@users.noreply.github.com</t>
  </si>
  <si>
    <t>38795546+itsmeluige</t>
  </si>
  <si>
    <t>abdullah.t.aqeel@gmail.com</t>
  </si>
  <si>
    <t>abdullah.t.aqeel</t>
  </si>
  <si>
    <t>grimaud.pierre@gmail.com</t>
  </si>
  <si>
    <t>grimaud.pierre</t>
  </si>
  <si>
    <t>carol@iatek.com</t>
  </si>
  <si>
    <t>carol</t>
  </si>
  <si>
    <t>kohheepeace@gmail.com</t>
  </si>
  <si>
    <t>kohheepeace</t>
  </si>
  <si>
    <t>monajmakwana@gmail.com</t>
  </si>
  <si>
    <t>monajmakwana</t>
  </si>
  <si>
    <t>victor.dhamma@gmail.com</t>
  </si>
  <si>
    <t>victor.dhamma</t>
  </si>
  <si>
    <t>github@pjh.is</t>
  </si>
  <si>
    <t>dtrunk90@gmail.com</t>
  </si>
  <si>
    <t>dtrunk90</t>
  </si>
  <si>
    <t>cfxd@users.noreply.github.com</t>
  </si>
  <si>
    <t>cfxd</t>
  </si>
  <si>
    <t>yura@irtek.ru</t>
  </si>
  <si>
    <t>yura</t>
  </si>
  <si>
    <t>johndavidfive@gmail.com</t>
  </si>
  <si>
    <t>johndavidfive</t>
  </si>
  <si>
    <t>caseyh@snapappointments.com</t>
  </si>
  <si>
    <t>caseyh</t>
  </si>
  <si>
    <t>78528954+gopal-jayaraman@users.noreply.github.com</t>
  </si>
  <si>
    <t>78528954+gopal-jayaraman</t>
  </si>
  <si>
    <t>78821202+mohamed-khoualed@users.noreply.github.com</t>
  </si>
  <si>
    <t>78821202+mohamed-khoualed</t>
  </si>
  <si>
    <t>nvisiondesign@gmail.com</t>
  </si>
  <si>
    <t>nvisiondesign</t>
  </si>
  <si>
    <t>martafiixek@gmail.com</t>
  </si>
  <si>
    <t>martafiixek</t>
  </si>
  <si>
    <t>muhamadamin1992@gmail.com</t>
  </si>
  <si>
    <t>muhamadamin1992</t>
  </si>
  <si>
    <t>christian.berrer@gmail.com</t>
  </si>
  <si>
    <t>christian.berrer</t>
  </si>
  <si>
    <t>lipkanov@storms-media.de</t>
  </si>
  <si>
    <t>lipkanov</t>
  </si>
  <si>
    <t>loveyou520babytw@gmail.com</t>
  </si>
  <si>
    <t>loveyou520babytw</t>
  </si>
  <si>
    <t>webmaster@opalesurfcasting.net</t>
  </si>
  <si>
    <t>webmaster</t>
  </si>
  <si>
    <t>sam.willis@mab.org.uk</t>
  </si>
  <si>
    <t>sam.willis</t>
  </si>
  <si>
    <t>philip@kiely.xyz</t>
  </si>
  <si>
    <t>philip</t>
  </si>
  <si>
    <t>florian@eagle-eye-studios.net</t>
  </si>
  <si>
    <t>florian</t>
  </si>
  <si>
    <t>developer@staszek.codes</t>
  </si>
  <si>
    <t>developer</t>
  </si>
  <si>
    <t>daniele.faraglia@gmail.com</t>
  </si>
  <si>
    <t>daniele.faraglia</t>
  </si>
  <si>
    <t>tobias.bengfort@posteo.de</t>
  </si>
  <si>
    <t>tobias.bengfort</t>
  </si>
  <si>
    <t>volt43k@gmail.com</t>
  </si>
  <si>
    <t>volt43k</t>
  </si>
  <si>
    <t>76773374+Onycss@users.noreply.github.com</t>
  </si>
  <si>
    <t>76773374+Onycss</t>
  </si>
  <si>
    <t>newkidx@gmail.com</t>
  </si>
  <si>
    <t>newkidx</t>
  </si>
  <si>
    <t>75817517+bthompson90@users.noreply.github.com</t>
  </si>
  <si>
    <t>75817517+bthompson90</t>
  </si>
  <si>
    <t>joke2k@users.noreply.github.com</t>
  </si>
  <si>
    <t>joke2k</t>
  </si>
  <si>
    <t>joe@chekcreative.com</t>
  </si>
  <si>
    <t>joe</t>
  </si>
  <si>
    <t>marc.jansing@innoq.com</t>
  </si>
  <si>
    <t>marc.jansing</t>
  </si>
  <si>
    <t>deweisowl@gmail.com</t>
  </si>
  <si>
    <t>deweisowl</t>
  </si>
  <si>
    <t>rafi.bogra@gmail.com</t>
  </si>
  <si>
    <t>rafi.bogra</t>
  </si>
  <si>
    <t>thomas@staffbase.com</t>
  </si>
  <si>
    <t>contact@raduchiriac.me</t>
  </si>
  <si>
    <t>mattyqwilliams@gmail.com</t>
  </si>
  <si>
    <t>mattyqwilliams</t>
  </si>
  <si>
    <t>rosenzweig.noah@gmail.com</t>
  </si>
  <si>
    <t>rosenzweig.noah</t>
  </si>
  <si>
    <t>contact@jiang-yan.com</t>
  </si>
  <si>
    <t>matthew-shaw@users.noreply.github.com</t>
  </si>
  <si>
    <t>matthew-shaw</t>
  </si>
  <si>
    <t>nmikhaylov92@gmail.com</t>
  </si>
  <si>
    <t>nmikhaylov92</t>
  </si>
  <si>
    <t>emilio@crisal.io</t>
  </si>
  <si>
    <t>emilio</t>
  </si>
  <si>
    <t>luke.zhang2004dev@gmail.com</t>
  </si>
  <si>
    <t>luke.zhang2004dev</t>
  </si>
  <si>
    <t>mitchelljbryson@gmail.com</t>
  </si>
  <si>
    <t>mitchelljbryson</t>
  </si>
  <si>
    <t>seadmemic@gmail.com</t>
  </si>
  <si>
    <t>seadmemic</t>
  </si>
  <si>
    <t>hkrtrk@yandex.ru</t>
  </si>
  <si>
    <t>hkrtrk</t>
  </si>
  <si>
    <t>contact@pascalpepe.fr</t>
  </si>
  <si>
    <t>gaurav.techgeek@gmail.com</t>
  </si>
  <si>
    <t>gaurav.techgeek</t>
  </si>
  <si>
    <t>justin@tinylan.com</t>
  </si>
  <si>
    <t>justin</t>
  </si>
  <si>
    <t>letters4volodymyr@gmail.com</t>
  </si>
  <si>
    <t>letters4volodymyr</t>
  </si>
  <si>
    <t>37866244+Psixodelik@users.noreply.github.com</t>
  </si>
  <si>
    <t>37866244+Psixodelik</t>
  </si>
  <si>
    <t>morahood@gmail.com</t>
  </si>
  <si>
    <t>morahood</t>
  </si>
  <si>
    <t>mauriciohernancabrera@gmail.com</t>
  </si>
  <si>
    <t>mauriciohernancabrera</t>
  </si>
  <si>
    <t>arnaud.thomas-desessarts@live.com</t>
  </si>
  <si>
    <t>arnaud.thomas-desessarts</t>
  </si>
  <si>
    <t>alexpls@fastmail.com</t>
  </si>
  <si>
    <t>alexpls</t>
  </si>
  <si>
    <t>lukasz@holeczek.pl</t>
  </si>
  <si>
    <t>lukasz</t>
  </si>
  <si>
    <t>alec@alec.pl</t>
  </si>
  <si>
    <t>alec</t>
  </si>
  <si>
    <t>jacty@users.noreply.github.com</t>
  </si>
  <si>
    <t>jacty</t>
  </si>
  <si>
    <t>samartharora@Samarths-MacBook-Air.local</t>
  </si>
  <si>
    <t>samartharora</t>
  </si>
  <si>
    <t>laimmckenzie@icloud.com</t>
  </si>
  <si>
    <t>laimmckenzie</t>
  </si>
  <si>
    <t>sbrown@hopjump.com</t>
  </si>
  <si>
    <t>sbrown</t>
  </si>
  <si>
    <t>alexmohr10159@gmail.com</t>
  </si>
  <si>
    <t>alexmohr10159</t>
  </si>
  <si>
    <t>scrub.mx@gmail.com</t>
  </si>
  <si>
    <t>scrub.mx</t>
  </si>
  <si>
    <t>malan95@gmail.com</t>
  </si>
  <si>
    <t>malan95</t>
  </si>
  <si>
    <t>233067+nicjohnson@users.noreply.github.com</t>
  </si>
  <si>
    <t>233067+nicjohnson</t>
  </si>
  <si>
    <t>cstuder@existenz.ch</t>
  </si>
  <si>
    <t>cstuder</t>
  </si>
  <si>
    <t>kaba.box@gmail.com</t>
  </si>
  <si>
    <t>kaba.box</t>
  </si>
  <si>
    <t>edsonsjr@gmail.com</t>
  </si>
  <si>
    <t>edsonsjr</t>
  </si>
  <si>
    <t>github.com@phor.net</t>
  </si>
  <si>
    <t>github.com</t>
  </si>
  <si>
    <t>54488650+RealCyGuy@users.noreply.github.com</t>
  </si>
  <si>
    <t>54488650+RealCyGuy</t>
  </si>
  <si>
    <t>dominik.kremer@yatta.de</t>
  </si>
  <si>
    <t>dominik.kremer</t>
  </si>
  <si>
    <t>jhutchings1@users.noreply.github.com</t>
  </si>
  <si>
    <t>jhutchings1</t>
  </si>
  <si>
    <t>gsotiropoulos@elearningindustry.com</t>
  </si>
  <si>
    <t>gsotiropoulos</t>
  </si>
  <si>
    <t>github@ynk.cipher-code.de</t>
  </si>
  <si>
    <t>david.van.doninck@gmail.com</t>
  </si>
  <si>
    <t>david.van.doninck</t>
  </si>
  <si>
    <t>timdujardin7@gmail.com</t>
  </si>
  <si>
    <t>timdujardin7</t>
  </si>
  <si>
    <t>doublequotation@gmail.com</t>
  </si>
  <si>
    <t>doublequotation</t>
  </si>
  <si>
    <t>3617287+LaurensNicolay@users.noreply.github.com</t>
  </si>
  <si>
    <t>3617287+LaurensNicolay</t>
  </si>
  <si>
    <t>34122021+ms-yogi@users.noreply.github.com</t>
  </si>
  <si>
    <t>34122021+ms-yogi</t>
  </si>
  <si>
    <t>hollisprice.iii@gmail.com</t>
  </si>
  <si>
    <t>hollisprice.iii</t>
  </si>
  <si>
    <t>58581019+yonikohen@users.noreply.github.com</t>
  </si>
  <si>
    <t>58581019+yonikohen</t>
  </si>
  <si>
    <t>53527273+eliasswns@users.noreply.github.com</t>
  </si>
  <si>
    <t>53527273+eliasswns</t>
  </si>
  <si>
    <t>vanelderenkenny2610@gmail.com</t>
  </si>
  <si>
    <t>vanelderenkenny2610</t>
  </si>
  <si>
    <t>guoguo12@gmail.com</t>
  </si>
  <si>
    <t>guoguo12</t>
  </si>
  <si>
    <t>bheussler@gmail.com</t>
  </si>
  <si>
    <t>bheussler</t>
  </si>
  <si>
    <t>matthieu.vignolle@doctolib.com</t>
  </si>
  <si>
    <t>matthieu.vignolle</t>
  </si>
  <si>
    <t>jeromelebleu@users.noreply.github.com</t>
  </si>
  <si>
    <t>jeromelebleu</t>
  </si>
  <si>
    <t>vignolle.matthieu@gmail.com</t>
  </si>
  <si>
    <t>vignolle.matthieu</t>
  </si>
  <si>
    <t>jonathan@hefner.pro</t>
  </si>
  <si>
    <t>jonathan</t>
  </si>
  <si>
    <t>SamDuvall@gmail.com</t>
  </si>
  <si>
    <t>SamDuvall</t>
  </si>
  <si>
    <t>sr@blackblizzard.org</t>
  </si>
  <si>
    <t>sr</t>
  </si>
  <si>
    <t>matias.puhakka@gmail.com</t>
  </si>
  <si>
    <t>matias.puhakka</t>
  </si>
  <si>
    <t>higor.araujo.anjos@gmail.com</t>
  </si>
  <si>
    <t>higor.araujo.anjos</t>
  </si>
  <si>
    <t>pawelwolakk@gmail.com</t>
  </si>
  <si>
    <t>pawelwolakk</t>
  </si>
  <si>
    <t>40785755+leshasmp@users.noreply.github.com</t>
  </si>
  <si>
    <t>40785755+leshasmp</t>
  </si>
  <si>
    <t>andreas@hpage.com</t>
  </si>
  <si>
    <t>andreas</t>
  </si>
  <si>
    <t>jahanzaibsuleman@gmail.com</t>
  </si>
  <si>
    <t>jahanzaibsuleman</t>
  </si>
  <si>
    <t>markus_hatvan@aon.at</t>
  </si>
  <si>
    <t>markus_hatvan</t>
  </si>
  <si>
    <t>42917505+tracyjordan@users.noreply.github.com</t>
  </si>
  <si>
    <t>42917505+tracyjordan</t>
  </si>
  <si>
    <t>devdot@users.noreply.github.com</t>
  </si>
  <si>
    <t>devdot</t>
  </si>
  <si>
    <t>joseigorcfm@gmail.com</t>
  </si>
  <si>
    <t>joseigorcfm</t>
  </si>
  <si>
    <t>chandanndeep@gmail.com</t>
  </si>
  <si>
    <t>chandanndeep</t>
  </si>
  <si>
    <t>boyter@users.noreply.github.com</t>
  </si>
  <si>
    <t>boyter</t>
  </si>
  <si>
    <t>julianheckerdev@gmail.com</t>
  </si>
  <si>
    <t>julianheckerdev</t>
  </si>
  <si>
    <t>53072918+kittenking@users.noreply.github.com</t>
  </si>
  <si>
    <t>53072918+kittenking</t>
  </si>
  <si>
    <t>wackerm@users.noreply.github.com</t>
  </si>
  <si>
    <t>wackerm</t>
  </si>
  <si>
    <t>47950933+m-alzam@users.noreply.github.com</t>
  </si>
  <si>
    <t>47950933+m-alzam</t>
  </si>
  <si>
    <t>sunnydhoke22@gmail.com</t>
  </si>
  <si>
    <t>sunnydhoke22</t>
  </si>
  <si>
    <t>jchawkins725@gmail.com</t>
  </si>
  <si>
    <t>jchawkins725</t>
  </si>
  <si>
    <t>robin@klever.co.uk</t>
  </si>
  <si>
    <t>robin</t>
  </si>
  <si>
    <t>51702439+david-lallement@users.noreply.github.com</t>
  </si>
  <si>
    <t>51702439+david-lallement</t>
  </si>
  <si>
    <t>s.parsons@hotmail.ca</t>
  </si>
  <si>
    <t>s.parsons</t>
  </si>
  <si>
    <t>jaypinho@gmail.com</t>
  </si>
  <si>
    <t>jaypinho</t>
  </si>
  <si>
    <t>49206592+aditya1906@users.noreply.github.com</t>
  </si>
  <si>
    <t>49206592+aditya1906</t>
  </si>
  <si>
    <t>sezeresen@users.noreply.github.com</t>
  </si>
  <si>
    <t>sezeresen</t>
  </si>
  <si>
    <t>katherine@xinil.net</t>
  </si>
  <si>
    <t>katherine</t>
  </si>
  <si>
    <t>3183442656@qq.com</t>
  </si>
  <si>
    <t>ashfahan.boundarystudio@gmail.com</t>
  </si>
  <si>
    <t>ashfahan.boundarystudio</t>
  </si>
  <si>
    <t>t.kesgar@live.com</t>
  </si>
  <si>
    <t>t.kesgar</t>
  </si>
  <si>
    <t>loic.goyet@gensdeconfiance.fr</t>
  </si>
  <si>
    <t>loic.goyet</t>
  </si>
  <si>
    <t>tojimjiang@users.noreply.github.com</t>
  </si>
  <si>
    <t>tojimjiang</t>
  </si>
  <si>
    <t>mspae@users.noreply.github.com</t>
  </si>
  <si>
    <t>mspae</t>
  </si>
  <si>
    <t>463685+chrismbarr@users.noreply.github.com</t>
  </si>
  <si>
    <t>463685+chrismbarr</t>
  </si>
  <si>
    <t>10873576+jwilson8767@users.noreply.github.com</t>
  </si>
  <si>
    <t>10873576+jwilson8767</t>
  </si>
  <si>
    <t>emil@alumis.no</t>
  </si>
  <si>
    <t>emil</t>
  </si>
  <si>
    <t>aTable@users.noreply.github.com</t>
  </si>
  <si>
    <t>aTable</t>
  </si>
  <si>
    <t>alessandro.chitolina@fazland.com</t>
  </si>
  <si>
    <t>alessandro.chitolina</t>
  </si>
  <si>
    <t>contact@stevemoser.org</t>
  </si>
  <si>
    <t>zwelch154@gmail.com</t>
  </si>
  <si>
    <t>zwelch154</t>
  </si>
  <si>
    <t>35262827+JLammeer@users.noreply.github.com</t>
  </si>
  <si>
    <t>35262827+JLammeer</t>
  </si>
  <si>
    <t>j@golieb.net</t>
  </si>
  <si>
    <t>j</t>
  </si>
  <si>
    <t>justinhuang@me.com</t>
  </si>
  <si>
    <t>justinhuang</t>
  </si>
  <si>
    <t>miha.erzen1@gmail.com</t>
  </si>
  <si>
    <t>miha.erzen1</t>
  </si>
  <si>
    <t>wenzhixin2010@gmail.com</t>
  </si>
  <si>
    <t>wenzhixin2010</t>
  </si>
  <si>
    <t>viktor.prasad@gmail.com</t>
  </si>
  <si>
    <t>viktor.prasad</t>
  </si>
  <si>
    <t>sam.tape@wheniwork.com</t>
  </si>
  <si>
    <t>sam.tape</t>
  </si>
  <si>
    <t>jessachandler@gmail.com</t>
  </si>
  <si>
    <t>jessachandler</t>
  </si>
  <si>
    <t>ChrissBott@users.noreply.github.com</t>
  </si>
  <si>
    <t>ChrissBott</t>
  </si>
  <si>
    <t>hsu.joce@gmail.com</t>
  </si>
  <si>
    <t>hsu.joce</t>
  </si>
  <si>
    <t>mike@vasto.la</t>
  </si>
  <si>
    <t>rogegijs@gmail.com</t>
  </si>
  <si>
    <t>rogegijs</t>
  </si>
  <si>
    <t>acidrums4@gmail.com</t>
  </si>
  <si>
    <t>acidrums4</t>
  </si>
  <si>
    <t>me@toshimaru.net</t>
  </si>
  <si>
    <t>tim@pixelastic.com</t>
  </si>
  <si>
    <t>tim</t>
  </si>
  <si>
    <t>ttrowbridge@arivium.com</t>
  </si>
  <si>
    <t>ttrowbridge</t>
  </si>
  <si>
    <t>yuyokk@gmail.com</t>
  </si>
  <si>
    <t>yuyokk</t>
  </si>
  <si>
    <t>j.vitel@gmail.com</t>
  </si>
  <si>
    <t>j.vitel</t>
  </si>
  <si>
    <t>ulrich@huberulrich.de</t>
  </si>
  <si>
    <t>ulrich</t>
  </si>
  <si>
    <t>okazou@users.noreply.github.com</t>
  </si>
  <si>
    <t>okazou</t>
  </si>
  <si>
    <t>arvind0598@gmail.com</t>
  </si>
  <si>
    <t>arvind0598</t>
  </si>
  <si>
    <t>VincentLanglet@users.noreply.github.com</t>
  </si>
  <si>
    <t>VincentLanglet</t>
  </si>
  <si>
    <t>shaedrich@users.noreply.github.com</t>
  </si>
  <si>
    <t>shaedrich</t>
  </si>
  <si>
    <t>matheusrv@email.com</t>
  </si>
  <si>
    <t>matheusrv</t>
  </si>
  <si>
    <t>andy@dercoder.com</t>
  </si>
  <si>
    <t>andy</t>
  </si>
  <si>
    <t>ngyikp@gmail.com</t>
  </si>
  <si>
    <t>ngyikp</t>
  </si>
  <si>
    <t>ItaloBC@users.noreply.github.com</t>
  </si>
  <si>
    <t>ItaloBC</t>
  </si>
  <si>
    <t>caiquecastro@outlook.com</t>
  </si>
  <si>
    <t>caiquecastro</t>
  </si>
  <si>
    <t>omnichronous@gmail.com</t>
  </si>
  <si>
    <t>omnichronous</t>
  </si>
  <si>
    <t>33622049+johanlef@users.noreply.github.com</t>
  </si>
  <si>
    <t>33622049+johanlef</t>
  </si>
  <si>
    <t>nicohvi@gmail.com</t>
  </si>
  <si>
    <t>nicohvi</t>
  </si>
  <si>
    <t>lukin.andrej@gmail.com</t>
  </si>
  <si>
    <t>lukin.andrej</t>
  </si>
  <si>
    <t>aceofspades@users.noreply.github.com</t>
  </si>
  <si>
    <t>aceofspades</t>
  </si>
  <si>
    <t>public@iankwalter.com</t>
  </si>
  <si>
    <t>18479777+semenyakNik@users.noreply.github.com</t>
  </si>
  <si>
    <t>18479777+semenyakNik</t>
  </si>
  <si>
    <t>kamil.galek@gmail.com</t>
  </si>
  <si>
    <t>kamil.galek</t>
  </si>
  <si>
    <t>chocolate@cpan.org</t>
  </si>
  <si>
    <t>chocolate</t>
  </si>
  <si>
    <t>spencer1573@users.noreply.github.com</t>
  </si>
  <si>
    <t>spencer1573</t>
  </si>
  <si>
    <t>tg21phone@gmail.com</t>
  </si>
  <si>
    <t>tg21phone</t>
  </si>
  <si>
    <t>ywarnier@beeznest.org</t>
  </si>
  <si>
    <t>ywarnier</t>
  </si>
  <si>
    <t>gregtyler@users.noreply.github.com</t>
  </si>
  <si>
    <t>gregtyler</t>
  </si>
  <si>
    <t>rowanjames.tran@gmail.com</t>
  </si>
  <si>
    <t>rowanjames.tran</t>
  </si>
  <si>
    <t>jarstelfox@mac.com</t>
  </si>
  <si>
    <t>jarstelfox</t>
  </si>
  <si>
    <t>mitchell.grice@polymathian.com</t>
  </si>
  <si>
    <t>mitchell.grice</t>
  </si>
  <si>
    <t>robertsmits@hotmail.be</t>
  </si>
  <si>
    <t>robertsmits</t>
  </si>
  <si>
    <t>lgdean@users.noreply.github.com</t>
  </si>
  <si>
    <t>lgdean</t>
  </si>
  <si>
    <t>swrobel@users.noreply.github.com</t>
  </si>
  <si>
    <t>swrobel</t>
  </si>
  <si>
    <t>myounes@gmail.com</t>
  </si>
  <si>
    <t>myounes</t>
  </si>
  <si>
    <t>Joshua.David@iress.com.au</t>
  </si>
  <si>
    <t>Joshua.David</t>
  </si>
  <si>
    <t>lefteris.psitopoulos@thanpa.com</t>
  </si>
  <si>
    <t>lefteris.psitopoulos</t>
  </si>
  <si>
    <t>josh@joshwand.com</t>
  </si>
  <si>
    <t>josh</t>
  </si>
  <si>
    <t>tblodt@icloud.com</t>
  </si>
  <si>
    <t>tblodt</t>
  </si>
  <si>
    <t>Kirlovon@outlook.com</t>
  </si>
  <si>
    <t>Kirlovon</t>
  </si>
  <si>
    <t>36561997+jakubhonisek@users.noreply.github.com</t>
  </si>
  <si>
    <t>36561997+jakubhonisek</t>
  </si>
  <si>
    <t>ryan.holton@stsonline.uk.com</t>
  </si>
  <si>
    <t>marcosvsfreitas@gmail.com</t>
  </si>
  <si>
    <t>marcosvsfreitas</t>
  </si>
  <si>
    <t>dominique@quatravaux.org</t>
  </si>
  <si>
    <t>dominique</t>
  </si>
  <si>
    <t>loganb1@ohio.edu</t>
  </si>
  <si>
    <t>loganb1</t>
  </si>
  <si>
    <t>HellowPixl@Gmail.com</t>
  </si>
  <si>
    <t>HellowPixl</t>
  </si>
  <si>
    <t>david.desloovere@outlook.com</t>
  </si>
  <si>
    <t>david.desloovere</t>
  </si>
  <si>
    <t>nickg@signalsciences.com</t>
  </si>
  <si>
    <t>nickg</t>
  </si>
  <si>
    <t>github@wildmind.ch</t>
  </si>
  <si>
    <t>ori.ginalhugop@gmail.com</t>
  </si>
  <si>
    <t>ori.ginalhugop</t>
  </si>
  <si>
    <t>denisname@users.noreply.github.com</t>
  </si>
  <si>
    <t>denisname</t>
  </si>
  <si>
    <t>monastic.panic@gmail.com</t>
  </si>
  <si>
    <t>monastic.panic</t>
  </si>
  <si>
    <t>tom@swirly.com</t>
  </si>
  <si>
    <t>ntzm@users.noreply.github.com</t>
  </si>
  <si>
    <t>ntzm</t>
  </si>
  <si>
    <t>michael@lyricalz.com</t>
  </si>
  <si>
    <t>michael</t>
  </si>
  <si>
    <t>ethan@ethanbeyer.com</t>
  </si>
  <si>
    <t>ethan</t>
  </si>
  <si>
    <t>bennetveloya@gmail.com</t>
  </si>
  <si>
    <t>bennetveloya</t>
  </si>
  <si>
    <t>balbuf@users.noreply.github.com</t>
  </si>
  <si>
    <t>balbuf</t>
  </si>
  <si>
    <t>peter@etelej.com</t>
  </si>
  <si>
    <t>peter</t>
  </si>
  <si>
    <t>leo@ndrs.fr</t>
  </si>
  <si>
    <t>leo</t>
  </si>
  <si>
    <t>ahjorth@users.noreply.github.com</t>
  </si>
  <si>
    <t>ahjorth</t>
  </si>
  <si>
    <t>akolinski@users.noreply.github.com</t>
  </si>
  <si>
    <t>akolinski</t>
  </si>
  <si>
    <t>i.elbelghiti@hotmail.com</t>
  </si>
  <si>
    <t>i.elbelghiti</t>
  </si>
  <si>
    <t>501702+edmorley@users.noreply.github.com</t>
  </si>
  <si>
    <t>501702+edmorley</t>
  </si>
  <si>
    <t>josmaissan@xs4all.nl</t>
  </si>
  <si>
    <t>josmaissan</t>
  </si>
  <si>
    <t>david.dalbusco@outlook.com</t>
  </si>
  <si>
    <t>david.dalbusco</t>
  </si>
  <si>
    <t>github@adambowl.es</t>
  </si>
  <si>
    <t>pierre.giraud@gmail.com</t>
  </si>
  <si>
    <t>pierre.giraud</t>
  </si>
  <si>
    <t>andy.pickler@gmail.com</t>
  </si>
  <si>
    <t>andy.pickler</t>
  </si>
  <si>
    <t>in-in@users.noreply.github.com</t>
  </si>
  <si>
    <t>in-in</t>
  </si>
  <si>
    <t>freezy-sk@users.noreply.github.com</t>
  </si>
  <si>
    <t>freezy-sk</t>
  </si>
  <si>
    <t>hi@janclarin.com</t>
  </si>
  <si>
    <t>rvanlaak@gmail.com</t>
  </si>
  <si>
    <t>rvanlaak</t>
  </si>
  <si>
    <t>clearyusc@users.noreply.github.com</t>
  </si>
  <si>
    <t>clearyusc</t>
  </si>
  <si>
    <t>miller.justin.r@gmail.com</t>
  </si>
  <si>
    <t>miller.justin.r</t>
  </si>
  <si>
    <t>huphtur@gmail.com</t>
  </si>
  <si>
    <t>huphtur</t>
  </si>
  <si>
    <t>taufek@gmail.com</t>
  </si>
  <si>
    <t>taufek</t>
  </si>
  <si>
    <t>github@denisx.ru</t>
  </si>
  <si>
    <t>719media@users.noreply.github.com</t>
  </si>
  <si>
    <t>719media</t>
  </si>
  <si>
    <t>cahbb9@gmail.com</t>
  </si>
  <si>
    <t>cahbb9</t>
  </si>
  <si>
    <t>gustavo@creativeduo.com.br</t>
  </si>
  <si>
    <t>gustavo</t>
  </si>
  <si>
    <t>jkorth@dynamicagency.com</t>
  </si>
  <si>
    <t>jkorth</t>
  </si>
  <si>
    <t>wolf.goedel@me.com</t>
  </si>
  <si>
    <t>wolf.goedel</t>
  </si>
  <si>
    <t>sandydoo@users.noreply.github.com</t>
  </si>
  <si>
    <t>sandydoo</t>
  </si>
  <si>
    <t>lukasz.zdanikowski@gmail.com</t>
  </si>
  <si>
    <t>lukasz.zdanikowski</t>
  </si>
  <si>
    <t>Kramb.Andrew@gmail.com</t>
  </si>
  <si>
    <t>Kramb.Andrew</t>
  </si>
  <si>
    <t>albermav@gmail.com</t>
  </si>
  <si>
    <t>albermav</t>
  </si>
  <si>
    <t>HamsterExAstris@users.noreply.github.com</t>
  </si>
  <si>
    <t>HamsterExAstris</t>
  </si>
  <si>
    <t>ihmig@kaliber5.de</t>
  </si>
  <si>
    <t>ihmig</t>
  </si>
  <si>
    <t>34488805+JCA122204@users.noreply.github.com</t>
  </si>
  <si>
    <t>34488805+JCA122204</t>
  </si>
  <si>
    <t>kamlekar.venkatesh@gmail.com</t>
  </si>
  <si>
    <t>kamlekar.venkatesh</t>
  </si>
  <si>
    <t>afholderman@gmail.com</t>
  </si>
  <si>
    <t>afholderman</t>
  </si>
  <si>
    <t>pawel.rychlicki@gmail.com</t>
  </si>
  <si>
    <t>pawel.rychlicki</t>
  </si>
  <si>
    <t>edward@4angle.com</t>
  </si>
  <si>
    <t>edward</t>
  </si>
  <si>
    <t>raffy@kalibrr.com</t>
  </si>
  <si>
    <t>raffy</t>
  </si>
  <si>
    <t>vanni.totaro@gmail.com</t>
  </si>
  <si>
    <t>vanni.totaro</t>
  </si>
  <si>
    <t>martin@kolarik.sk</t>
  </si>
  <si>
    <t>martin</t>
  </si>
  <si>
    <t>iamam34@users.noreply.github.com</t>
  </si>
  <si>
    <t>iamam34</t>
  </si>
  <si>
    <t>dudemelo@gmail.com</t>
  </si>
  <si>
    <t>dudemelo</t>
  </si>
  <si>
    <t>richard.github@nrm.com</t>
  </si>
  <si>
    <t>richard.github</t>
  </si>
  <si>
    <t>i.sychev@rambler-co.ru</t>
  </si>
  <si>
    <t>i.sychev</t>
  </si>
  <si>
    <t>delagen@gmail.com</t>
  </si>
  <si>
    <t>delagen</t>
  </si>
  <si>
    <t>dylanseago@users.noreply.github.com</t>
  </si>
  <si>
    <t>dylanseago</t>
  </si>
  <si>
    <t>30534957+tillmon@users.noreply.github.com</t>
  </si>
  <si>
    <t>30534957+tillmon</t>
  </si>
  <si>
    <t>ankuto@gmail.com</t>
  </si>
  <si>
    <t>ankuto</t>
  </si>
  <si>
    <t>mtrletcher@hotmail.com</t>
  </si>
  <si>
    <t>mtrletcher</t>
  </si>
  <si>
    <t>gisete@tune.com</t>
  </si>
  <si>
    <t>gisete</t>
  </si>
  <si>
    <t>psimyn@gmail.com</t>
  </si>
  <si>
    <t>psimyn</t>
  </si>
  <si>
    <t>g@rethada.ms</t>
  </si>
  <si>
    <t>g</t>
  </si>
  <si>
    <t>trentclowater@gmail.com</t>
  </si>
  <si>
    <t>trentclowater</t>
  </si>
  <si>
    <t>lodder15@hotmail.co.uk</t>
  </si>
  <si>
    <t>lodder15</t>
  </si>
  <si>
    <t>lukefrake@gmail.com</t>
  </si>
  <si>
    <t>lukefrake</t>
  </si>
  <si>
    <t>michaeljjacobson1@gmail.com</t>
  </si>
  <si>
    <t>michaeljjacobson1</t>
  </si>
  <si>
    <t>felix@passcod.name</t>
  </si>
  <si>
    <t>felix</t>
  </si>
  <si>
    <t>aarongarciah@users.noreply.github.com</t>
  </si>
  <si>
    <t>aarongarciah</t>
  </si>
  <si>
    <t>arizzitano@edx.org</t>
  </si>
  <si>
    <t>arizzitano</t>
  </si>
  <si>
    <t>bembelimen@users.noreply.github.com</t>
  </si>
  <si>
    <t>bembelimen</t>
  </si>
  <si>
    <t>31923722+schwastek@users.noreply.github.com</t>
  </si>
  <si>
    <t>31923722+schwastek</t>
  </si>
  <si>
    <t>SpicyDwarf@users.noreply.github.com</t>
  </si>
  <si>
    <t>SpicyDwarf</t>
  </si>
  <si>
    <t>michaelsite12@gmail.com</t>
  </si>
  <si>
    <t>michaelsite12</t>
  </si>
  <si>
    <t>rudgergravestein@gmail.com</t>
  </si>
  <si>
    <t>rudgergravestein</t>
  </si>
  <si>
    <t>meteor.lxy@foxmail.com</t>
  </si>
  <si>
    <t>meteor.lxy</t>
  </si>
  <si>
    <t>kristof92@gmail.com</t>
  </si>
  <si>
    <t>kristof92</t>
  </si>
  <si>
    <t>oxlay@users.noreply.github.com</t>
  </si>
  <si>
    <t>oxlay</t>
  </si>
  <si>
    <t>ben@bioxcode.com</t>
  </si>
  <si>
    <t>landike@gmail.com</t>
  </si>
  <si>
    <t>landike</t>
  </si>
  <si>
    <t>eugenio.ciccale@zenfulfillment.com</t>
  </si>
  <si>
    <t>eugenio.ciccale</t>
  </si>
  <si>
    <t>jqmey@outlook.com</t>
  </si>
  <si>
    <t>jqmey</t>
  </si>
  <si>
    <t>valexiev@users.noreply.github.com</t>
  </si>
  <si>
    <t>valexiev</t>
  </si>
  <si>
    <t>meeque@users.noreply.github.com</t>
  </si>
  <si>
    <t>meeque</t>
  </si>
  <si>
    <t>hello@karabeen.com</t>
  </si>
  <si>
    <t>skmedixs@gmail.com</t>
  </si>
  <si>
    <t>skmedixs</t>
  </si>
  <si>
    <t>joneff@users.noreply.github.com</t>
  </si>
  <si>
    <t>joneff</t>
  </si>
  <si>
    <t>alex.chegodaev@namecheap.com</t>
  </si>
  <si>
    <t>alex.chegodaev</t>
  </si>
  <si>
    <t>albert.willemsen@centric.eu</t>
  </si>
  <si>
    <t>albert.willemsen</t>
  </si>
  <si>
    <t>jeronevw@hotmail.com</t>
  </si>
  <si>
    <t>jeronevw</t>
  </si>
  <si>
    <t>jon.wolski@groups360.com</t>
  </si>
  <si>
    <t>jon.wolski</t>
  </si>
  <si>
    <t>drskullster@gmail.com</t>
  </si>
  <si>
    <t>drskullster</t>
  </si>
  <si>
    <t>Retroity@users.noreply.github.com</t>
  </si>
  <si>
    <t>Retroity</t>
  </si>
  <si>
    <t>rb@atomicflow.org</t>
  </si>
  <si>
    <t>rb</t>
  </si>
  <si>
    <t>mrahmadawais@gmail.com</t>
  </si>
  <si>
    <t>mrahmadawais</t>
  </si>
  <si>
    <t>pederjohnsen@opengenius.com</t>
  </si>
  <si>
    <t>pederjohnsen</t>
  </si>
  <si>
    <t>Yurookai@users.noreply.github.com</t>
  </si>
  <si>
    <t>Yurookai</t>
  </si>
  <si>
    <t>arthurpf@users.noreply.github.com</t>
  </si>
  <si>
    <t>arthurpf</t>
  </si>
  <si>
    <t>cory@beckerwebsolutions.com</t>
  </si>
  <si>
    <t>cory</t>
  </si>
  <si>
    <t>tomscholz@users.noreply.github.com</t>
  </si>
  <si>
    <t>tomscholz</t>
  </si>
  <si>
    <t>kout.tk@gmail.com</t>
  </si>
  <si>
    <t>kout.tk</t>
  </si>
  <si>
    <t>razh@users.noreply.github.com</t>
  </si>
  <si>
    <t>razh</t>
  </si>
  <si>
    <t>xtorted@optonline.net</t>
  </si>
  <si>
    <t>xtorted</t>
  </si>
  <si>
    <t>clark.winkelmann@gmail.com</t>
  </si>
  <si>
    <t>clark.winkelmann</t>
  </si>
  <si>
    <t>jankarlo.delacruz@gmail.com</t>
  </si>
  <si>
    <t>jankarlo.delacruz</t>
  </si>
  <si>
    <t>MuZeHammYXbox@gmail.com</t>
  </si>
  <si>
    <t>MuZeHammYXbox</t>
  </si>
  <si>
    <t>garth.bjerk@kolonial.no</t>
  </si>
  <si>
    <t>garth.bjerk</t>
  </si>
  <si>
    <t>morgan.stone@medseek.com</t>
  </si>
  <si>
    <t>morgan.stone</t>
  </si>
  <si>
    <t>pascal@superpencil.com</t>
  </si>
  <si>
    <t>pascal</t>
  </si>
  <si>
    <t>CarloMartini@users.noreply.github.com</t>
  </si>
  <si>
    <t>CarloMartini</t>
  </si>
  <si>
    <t>nwoltman@outlook.com</t>
  </si>
  <si>
    <t>nwoltman</t>
  </si>
  <si>
    <t>pablocrivella@gmail.com</t>
  </si>
  <si>
    <t>pablocrivella</t>
  </si>
  <si>
    <t>w@zce.me</t>
  </si>
  <si>
    <t>w</t>
  </si>
  <si>
    <t>cmodi@atlassoftweb.com</t>
  </si>
  <si>
    <t>cmodi</t>
  </si>
  <si>
    <t>scottpetrovic@gmail.com</t>
  </si>
  <si>
    <t>scottpetrovic</t>
  </si>
  <si>
    <t>centromere@users.noreply.github.com</t>
  </si>
  <si>
    <t>centromere</t>
  </si>
  <si>
    <t>vleput@point.io</t>
  </si>
  <si>
    <t>vleput</t>
  </si>
  <si>
    <t>baileyjmatthews@gmail.com</t>
  </si>
  <si>
    <t>baileyjmatthews</t>
  </si>
  <si>
    <t>CraigPotter@clock-work.co.uk</t>
  </si>
  <si>
    <t>CraigPotter</t>
  </si>
  <si>
    <t>rich@richbeales.net</t>
  </si>
  <si>
    <t>rich</t>
  </si>
  <si>
    <t>sibiraj_s@live.com</t>
  </si>
  <si>
    <t>sibiraj_s</t>
  </si>
  <si>
    <t>obinnangini@gmail.com</t>
  </si>
  <si>
    <t>obinnangini</t>
  </si>
  <si>
    <t>ken.paulsen@gmail.com</t>
  </si>
  <si>
    <t>ken.paulsen</t>
  </si>
  <si>
    <t>tom@tvanro.be</t>
  </si>
  <si>
    <t>bng412@gmail.com</t>
  </si>
  <si>
    <t>bng412</t>
  </si>
  <si>
    <t>cstack2011@yahoo.com</t>
  </si>
  <si>
    <t>cstack2011</t>
  </si>
  <si>
    <t>hughbellars@gmail.com</t>
  </si>
  <si>
    <t>hughbellars</t>
  </si>
  <si>
    <t>mikeyjc@gmail.com</t>
  </si>
  <si>
    <t>mikeyjc</t>
  </si>
  <si>
    <t>Ayachii@users.noreply.github.com</t>
  </si>
  <si>
    <t>Ayachii</t>
  </si>
  <si>
    <t>anandchowdhary@gmail.com</t>
  </si>
  <si>
    <t>anandchowdhary</t>
  </si>
  <si>
    <t>sebastiaan@kaartje2go.nl</t>
  </si>
  <si>
    <t>sebastiaan</t>
  </si>
  <si>
    <t>gerdes@invariant.org</t>
  </si>
  <si>
    <t>gerdes</t>
  </si>
  <si>
    <t>joyce@ennexa.com</t>
  </si>
  <si>
    <t>joyce</t>
  </si>
  <si>
    <t>fpm.pankova@bsu.by</t>
  </si>
  <si>
    <t>fpm.pankova</t>
  </si>
  <si>
    <t>jesperkc@gmail.com</t>
  </si>
  <si>
    <t>jesperkc</t>
  </si>
  <si>
    <t>praveenpuglia@gmail.com</t>
  </si>
  <si>
    <t>praveenpuglia</t>
  </si>
  <si>
    <t>sidp@knights.ucf.edu</t>
  </si>
  <si>
    <t>sidp</t>
  </si>
  <si>
    <t>pfhayes@users.noreply.github.com</t>
  </si>
  <si>
    <t>pfhayes</t>
  </si>
  <si>
    <t>hi@giffordnowland.com</t>
  </si>
  <si>
    <t>dustintheriault@gmail.com</t>
  </si>
  <si>
    <t>dustintheriault</t>
  </si>
  <si>
    <t>github@jak.io</t>
  </si>
  <si>
    <t>nico.vandenwinckel@retailsonar.com</t>
  </si>
  <si>
    <t>nico.vandenwinckel</t>
  </si>
  <si>
    <t>intellix@users.noreply.github.com</t>
  </si>
  <si>
    <t>intellix</t>
  </si>
  <si>
    <t>r.poryvaev@hotmail.com</t>
  </si>
  <si>
    <t>r.poryvaev</t>
  </si>
  <si>
    <t>lekkerduidelijk@gmail.com</t>
  </si>
  <si>
    <t>lekkerduidelijk</t>
  </si>
  <si>
    <t>sean.r.beyer@gmail.com</t>
  </si>
  <si>
    <t>sean.r.beyer</t>
  </si>
  <si>
    <t>alex.neises@purplewave.com</t>
  </si>
  <si>
    <t>alex.neises</t>
  </si>
  <si>
    <t>me@samrapdev.com</t>
  </si>
  <si>
    <t>jas-n@outlook.com</t>
  </si>
  <si>
    <t>jas-n</t>
  </si>
  <si>
    <t>github@matteason.co.uk</t>
  </si>
  <si>
    <t>mourawaldson@gmail.com</t>
  </si>
  <si>
    <t>mourawaldson</t>
  </si>
  <si>
    <t>marcusmolchany@gmail.com</t>
  </si>
  <si>
    <t>marcusmolchany</t>
  </si>
  <si>
    <t>dmytroyarmak@gmail.com</t>
  </si>
  <si>
    <t>dmytroyarmak</t>
  </si>
  <si>
    <t>emberbrown@gmail.com</t>
  </si>
  <si>
    <t>emberbrown</t>
  </si>
  <si>
    <t>amydgori@gmail.com</t>
  </si>
  <si>
    <t>amydgori</t>
  </si>
  <si>
    <t>marios@zindilis.com</t>
  </si>
  <si>
    <t>marios</t>
  </si>
  <si>
    <t>arshen@outlook.com</t>
  </si>
  <si>
    <t>arshen</t>
  </si>
  <si>
    <t>rishabh.rajgarhia@gmail.com</t>
  </si>
  <si>
    <t>rishabh.rajgarhia</t>
  </si>
  <si>
    <t>desheikh@gmail.com</t>
  </si>
  <si>
    <t>desheikh</t>
  </si>
  <si>
    <t>sergio@sergiopantoja.com</t>
  </si>
  <si>
    <t>sergio</t>
  </si>
  <si>
    <t>wizpig64@users.noreply.github.com</t>
  </si>
  <si>
    <t>wizpig64</t>
  </si>
  <si>
    <t>cquanu@users.noreply.github.com</t>
  </si>
  <si>
    <t>cquanu</t>
  </si>
  <si>
    <t>nuno@nunoarruda.com</t>
  </si>
  <si>
    <t>nuno</t>
  </si>
  <si>
    <t>aliceyoung.9@gmail.com</t>
  </si>
  <si>
    <t>aliceyoung.9</t>
  </si>
  <si>
    <t>coorasse@gmail.com</t>
  </si>
  <si>
    <t>coorasse</t>
  </si>
  <si>
    <t>matheuslazzi@gmail.com</t>
  </si>
  <si>
    <t>matheuslazzi</t>
  </si>
  <si>
    <t>mr_july@mail.ru</t>
  </si>
  <si>
    <t>mr_july</t>
  </si>
  <si>
    <t>pcameron88@gmail.com</t>
  </si>
  <si>
    <t>pcameron88</t>
  </si>
  <si>
    <t>geoffrey.tisserand@gmail.com</t>
  </si>
  <si>
    <t>geoffrey.tisserand</t>
  </si>
  <si>
    <t>code@strayobject.co.uk</t>
  </si>
  <si>
    <t>stepan.zastupov@gmail.com</t>
  </si>
  <si>
    <t>stepan.zastupov</t>
  </si>
  <si>
    <t>git.sophies@gmail.com</t>
  </si>
  <si>
    <t>git.sophies</t>
  </si>
  <si>
    <t>bkfake-github@yahoo.com</t>
  </si>
  <si>
    <t>bkfake-github</t>
  </si>
  <si>
    <t>schliflo@users.noreply.github.com</t>
  </si>
  <si>
    <t>schliflo</t>
  </si>
  <si>
    <t>entozoon@gmail.com</t>
  </si>
  <si>
    <t>entozoon</t>
  </si>
  <si>
    <t>stefan.t.st@gmail.com</t>
  </si>
  <si>
    <t>stefan.t.st</t>
  </si>
  <si>
    <t>kybi1995@gmail.com</t>
  </si>
  <si>
    <t>kybi1995</t>
  </si>
  <si>
    <t>rwaltenberg@gmail.com</t>
  </si>
  <si>
    <t>rwaltenberg</t>
  </si>
  <si>
    <t>rob@robruana.com</t>
  </si>
  <si>
    <t>rob</t>
  </si>
  <si>
    <t>stephen-puiszis@users.noreply.github.com</t>
  </si>
  <si>
    <t>stephen-puiszis</t>
  </si>
  <si>
    <t>ken@kendaleiv.com</t>
  </si>
  <si>
    <t>ken</t>
  </si>
  <si>
    <t>palmer.andy@gmail.com</t>
  </si>
  <si>
    <t>palmer.andy</t>
  </si>
  <si>
    <t>ounziw@users.noreply.github.com</t>
  </si>
  <si>
    <t>ounziw</t>
  </si>
  <si>
    <t>matt.isaiah.hernandez@gmail.com</t>
  </si>
  <si>
    <t>matt.isaiah.hernandez</t>
  </si>
  <si>
    <t>daniel@dan.cx</t>
  </si>
  <si>
    <t>daniel</t>
  </si>
  <si>
    <t>elliot@Elliots-MBP.home</t>
  </si>
  <si>
    <t>elliot</t>
  </si>
  <si>
    <t>tatonlto@gmail.com</t>
  </si>
  <si>
    <t>tatonlto</t>
  </si>
  <si>
    <t>mail@albertoroura.com</t>
  </si>
  <si>
    <t>mail@einargangso.no</t>
  </si>
  <si>
    <t>tomhorvat@gmail.com</t>
  </si>
  <si>
    <t>tomhorvat</t>
  </si>
  <si>
    <t>david@ramaboo.com</t>
  </si>
  <si>
    <t>o3fingers@gmail.com</t>
  </si>
  <si>
    <t>o3fingers</t>
  </si>
  <si>
    <t>simon@stellanera.com</t>
  </si>
  <si>
    <t>jan.oster94@gmail.com</t>
  </si>
  <si>
    <t>jan.oster94</t>
  </si>
  <si>
    <t>getsetbro@users.noreply.github.com</t>
  </si>
  <si>
    <t>getsetbro</t>
  </si>
  <si>
    <t>rafaelstz@users.noreply.github.com</t>
  </si>
  <si>
    <t>rafaelstz</t>
  </si>
  <si>
    <t>mxviteri@gmail.com</t>
  </si>
  <si>
    <t>mxviteri</t>
  </si>
  <si>
    <t>bardi.harborow@gmail.com</t>
  </si>
  <si>
    <t>bardi.harborow</t>
  </si>
  <si>
    <t>beau@beausmith.com</t>
  </si>
  <si>
    <t>beau</t>
  </si>
  <si>
    <t>info@varellothemes.com</t>
  </si>
  <si>
    <t>nickknissen@gmail.com</t>
  </si>
  <si>
    <t>nickknissen</t>
  </si>
  <si>
    <t>edward.yerburgh@gmail.com</t>
  </si>
  <si>
    <t>edward.yerburgh</t>
  </si>
  <si>
    <t>pixelbandito@gmail.com</t>
  </si>
  <si>
    <t>pixelbandito</t>
  </si>
  <si>
    <t>nicolas@productreview.com.au</t>
  </si>
  <si>
    <t>nicolas</t>
  </si>
  <si>
    <t>akamch@gmail.com</t>
  </si>
  <si>
    <t>akamch</t>
  </si>
  <si>
    <t>eu@adammacias.com.br</t>
  </si>
  <si>
    <t>eu</t>
  </si>
  <si>
    <t>hello@ravenous.io</t>
  </si>
  <si>
    <t>shafer.alex@gmail.com</t>
  </si>
  <si>
    <t>shafer.alex</t>
  </si>
  <si>
    <t>me@scottgauthreaux.com</t>
  </si>
  <si>
    <t>allan.chau@icloud.com</t>
  </si>
  <si>
    <t>allan.chau</t>
  </si>
  <si>
    <t>danon0404@gmail.com</t>
  </si>
  <si>
    <t>danon0404</t>
  </si>
  <si>
    <t>raphael@leanbyte.com</t>
  </si>
  <si>
    <t>raphael</t>
  </si>
  <si>
    <t>aliceyoung9@users.noreply.github.com</t>
  </si>
  <si>
    <t>aliceyoung9</t>
  </si>
  <si>
    <t>nut.an@outlook.com</t>
  </si>
  <si>
    <t>nut.an</t>
  </si>
  <si>
    <t>morishitter@gmail.com</t>
  </si>
  <si>
    <t>morishitter</t>
  </si>
  <si>
    <t>curt@curtgrimes.com</t>
  </si>
  <si>
    <t>curt</t>
  </si>
  <si>
    <t>jeradrutnam@outlook.com</t>
  </si>
  <si>
    <t>jeradrutnam</t>
  </si>
  <si>
    <t>heath3@users.noreply.github.com</t>
  </si>
  <si>
    <t>heath3</t>
  </si>
  <si>
    <t>akainice@gmail.com</t>
  </si>
  <si>
    <t>akainice</t>
  </si>
  <si>
    <t>ryaburne@fabric.com</t>
  </si>
  <si>
    <t>ryaburne</t>
  </si>
  <si>
    <t>daiki.okumura@gmail.com</t>
  </si>
  <si>
    <t>daiki.okumura</t>
  </si>
  <si>
    <t>chris@chris-lamb.co.uk</t>
  </si>
  <si>
    <t>rplus.tw@gmail.com</t>
  </si>
  <si>
    <t>rplus.tw</t>
  </si>
  <si>
    <t>matthewrayfield@gmail.com</t>
  </si>
  <si>
    <t>matthewrayfield</t>
  </si>
  <si>
    <t>craigmichaelmartin@gmail.com</t>
  </si>
  <si>
    <t>craigmichaelmartin</t>
  </si>
  <si>
    <t>lionel.erard@gmail.com</t>
  </si>
  <si>
    <t>lionel.erard</t>
  </si>
  <si>
    <t>KayLeung@users.noreply.github.com</t>
  </si>
  <si>
    <t>KayLeung</t>
  </si>
  <si>
    <t>davidlormor@gmail.com</t>
  </si>
  <si>
    <t>davidlormor</t>
  </si>
  <si>
    <t>wolfy1339@users.noreply.github.com</t>
  </si>
  <si>
    <t>wolfy1339</t>
  </si>
  <si>
    <t>kevinkucharczyk@gmail.com</t>
  </si>
  <si>
    <t>kevinkucharczyk</t>
  </si>
  <si>
    <t>m.vanelsas@student.tudelft.nl</t>
  </si>
  <si>
    <t>m.vanelsas</t>
  </si>
  <si>
    <t>ivan@imsky.co</t>
  </si>
  <si>
    <t>ivan</t>
  </si>
  <si>
    <t>me@satsuki.tv</t>
  </si>
  <si>
    <t>prose100@hotmail.com</t>
  </si>
  <si>
    <t>prose100</t>
  </si>
  <si>
    <t>alberto.rodriguez@biko2.com</t>
  </si>
  <si>
    <t>alberto.rodriguez</t>
  </si>
  <si>
    <t>jwkratz@gmail.com</t>
  </si>
  <si>
    <t>jwkratz</t>
  </si>
  <si>
    <t>russell.beye@pemdastech.com</t>
  </si>
  <si>
    <t>russell.beye</t>
  </si>
  <si>
    <t>t@tobiasjordans.de</t>
  </si>
  <si>
    <t>t</t>
  </si>
  <si>
    <t>jamesdmosier@gmail.com</t>
  </si>
  <si>
    <t>jamesdmosier</t>
  </si>
  <si>
    <t>kandros5591@gmail.com</t>
  </si>
  <si>
    <t>kandros5591</t>
  </si>
  <si>
    <t>cndpzc@163.com</t>
  </si>
  <si>
    <t>cndpzc</t>
  </si>
  <si>
    <t>a.rasheed@tc-sa.com</t>
  </si>
  <si>
    <t>a.rasheed</t>
  </si>
  <si>
    <t>tc-sa</t>
  </si>
  <si>
    <t>sebastianklatte@gmx.net</t>
  </si>
  <si>
    <t>sebastianklatte</t>
  </si>
  <si>
    <t>Vlastimil.Kotas@ysoft.com</t>
  </si>
  <si>
    <t>Vlastimil.Kotas</t>
  </si>
  <si>
    <t>chris.purssell@revelian.com</t>
  </si>
  <si>
    <t>chris.purssell</t>
  </si>
  <si>
    <t>jules.bernable@laposte.net</t>
  </si>
  <si>
    <t>jules.bernable</t>
  </si>
  <si>
    <t>malakeen@gmail.com</t>
  </si>
  <si>
    <t>malakeen</t>
  </si>
  <si>
    <t>mark.andrews@unisa.edu.au</t>
  </si>
  <si>
    <t>mark.andrews</t>
  </si>
  <si>
    <t>samhh.web@gmail.com</t>
  </si>
  <si>
    <t>samhh.web</t>
  </si>
  <si>
    <t>jollyjerry@gmail.com</t>
  </si>
  <si>
    <t>jollyjerry</t>
  </si>
  <si>
    <t>hi@qwp6t.me</t>
  </si>
  <si>
    <t>kutschin.sergej@googlemail.com</t>
  </si>
  <si>
    <t>kutschin.sergej</t>
  </si>
  <si>
    <t>justindorfman@gmail.com</t>
  </si>
  <si>
    <t>justindorfman</t>
  </si>
  <si>
    <t>lachlanjc@users.noreply.github.com</t>
  </si>
  <si>
    <t>lachlanjc</t>
  </si>
  <si>
    <t>poulos.taylor.w@gmail.com</t>
  </si>
  <si>
    <t>poulos.taylor.w</t>
  </si>
  <si>
    <t>martin.beeby@microsoft.com</t>
  </si>
  <si>
    <t>martin.beeby</t>
  </si>
  <si>
    <t>stdin+git@riichard.com</t>
  </si>
  <si>
    <t>stdin+git</t>
  </si>
  <si>
    <t>iliasch@gmail.com</t>
  </si>
  <si>
    <t>iliasch</t>
  </si>
  <si>
    <t>jontewks@gmail.com</t>
  </si>
  <si>
    <t>jontewks</t>
  </si>
  <si>
    <t>thisisafish@gmail.com</t>
  </si>
  <si>
    <t>thisisafish</t>
  </si>
  <si>
    <t>almir@optimum.ba</t>
  </si>
  <si>
    <t>almir</t>
  </si>
  <si>
    <t>mc@mathisonian.com</t>
  </si>
  <si>
    <t>mc</t>
  </si>
  <si>
    <t>hi@zenorocha.com</t>
  </si>
  <si>
    <t>i.peshkov@itransition.com</t>
  </si>
  <si>
    <t>i.peshkov</t>
  </si>
  <si>
    <t>marciovicente.filho@gmail.com</t>
  </si>
  <si>
    <t>marciovicente.filho</t>
  </si>
  <si>
    <t>audionerd@users.noreply.github.com</t>
  </si>
  <si>
    <t>audionerd</t>
  </si>
  <si>
    <t>a-moses@users.noreply.github.com</t>
  </si>
  <si>
    <t>a-moses</t>
  </si>
  <si>
    <t>dan@thoughtbot.com</t>
  </si>
  <si>
    <t>dan</t>
  </si>
  <si>
    <t>Thoughtbot</t>
  </si>
  <si>
    <t>me@liamstanley.io</t>
  </si>
  <si>
    <t>github@tkel.ly</t>
  </si>
  <si>
    <t>twbs-bootstrap@c.michael-kaeufl.de</t>
  </si>
  <si>
    <t>twbs-bootstrap</t>
  </si>
  <si>
    <t>biokill@ymail.com</t>
  </si>
  <si>
    <t>biokill</t>
  </si>
  <si>
    <t>aleksey@xerkus.pro</t>
  </si>
  <si>
    <t>aleksey</t>
  </si>
  <si>
    <t>copynpaste@users.noreply.github.com</t>
  </si>
  <si>
    <t>copynpaste</t>
  </si>
  <si>
    <t>farkas.mate38@gmail.com</t>
  </si>
  <si>
    <t>farkas.mate38</t>
  </si>
  <si>
    <t>gjsduarte@gmail.com</t>
  </si>
  <si>
    <t>gjsduarte</t>
  </si>
  <si>
    <t>dleuliette@gmail.com</t>
  </si>
  <si>
    <t>dleuliette</t>
  </si>
  <si>
    <t>tgoodchild@gmail.com</t>
  </si>
  <si>
    <t>tgoodchild</t>
  </si>
  <si>
    <t>maurice.wahba@gmail.com</t>
  </si>
  <si>
    <t>maurice.wahba</t>
  </si>
  <si>
    <t>muzige2000@gmail.com</t>
  </si>
  <si>
    <t>muzige2000</t>
  </si>
  <si>
    <t>luke@lukeb.co.uk</t>
  </si>
  <si>
    <t>luke</t>
  </si>
  <si>
    <t>xavier.gallardo@citrix.com</t>
  </si>
  <si>
    <t>xavier.gallardo</t>
  </si>
  <si>
    <t>Citrix</t>
  </si>
  <si>
    <t>andrew@intellihr.com.au</t>
  </si>
  <si>
    <t>andrew</t>
  </si>
  <si>
    <t>kev.kirsche@gmail.com</t>
  </si>
  <si>
    <t>kev.kirsche</t>
  </si>
  <si>
    <t>vincent4j@gmail.com</t>
  </si>
  <si>
    <t>vincent4j</t>
  </si>
  <si>
    <t>gupocca@gmail.com</t>
  </si>
  <si>
    <t>gupocca</t>
  </si>
  <si>
    <t>caleb@land.fm</t>
  </si>
  <si>
    <t>tomByrer@gmail.com</t>
  </si>
  <si>
    <t>tomByrer</t>
  </si>
  <si>
    <t>antares.spica@gmail.com</t>
  </si>
  <si>
    <t>antares.spica</t>
  </si>
  <si>
    <t>jelle.versele@internetarchitects.be</t>
  </si>
  <si>
    <t>jelle.versele</t>
  </si>
  <si>
    <t>unehub@gmail.com</t>
  </si>
  <si>
    <t>unehub</t>
  </si>
  <si>
    <t>jdanyow@gmail.com</t>
  </si>
  <si>
    <t>jdanyow</t>
  </si>
  <si>
    <t>max@isocket.com</t>
  </si>
  <si>
    <t>kevin2006@gmx.net</t>
  </si>
  <si>
    <t>kevin2006</t>
  </si>
  <si>
    <t>david@tankski.co.uk</t>
  </si>
  <si>
    <t>benjamindean@users.noreply.github.com</t>
  </si>
  <si>
    <t>benjamindean</t>
  </si>
  <si>
    <t>jan@playpass.be</t>
  </si>
  <si>
    <t>jan</t>
  </si>
  <si>
    <t>mail@boriskaiser.com</t>
  </si>
  <si>
    <t>me@manojkr.com</t>
  </si>
  <si>
    <t>gps035@gmail.com</t>
  </si>
  <si>
    <t>gps035</t>
  </si>
  <si>
    <t>sid@sidroberts.co.uk</t>
  </si>
  <si>
    <t>sid</t>
  </si>
  <si>
    <t>petelive138@gmail.com</t>
  </si>
  <si>
    <t>petelive138</t>
  </si>
  <si>
    <t>mail@chrisrowe.net</t>
  </si>
  <si>
    <t>bram@vleur.nl</t>
  </si>
  <si>
    <t>bram</t>
  </si>
  <si>
    <t>ssstrickland@gmail.com</t>
  </si>
  <si>
    <t>ssstrickland</t>
  </si>
  <si>
    <t>nicmalan@gmail.com</t>
  </si>
  <si>
    <t>nicmalan</t>
  </si>
  <si>
    <t>it.rclai@gmail.com</t>
  </si>
  <si>
    <t>it.rclai</t>
  </si>
  <si>
    <t>edwinlin1987@gmail.com</t>
  </si>
  <si>
    <t>edwinlin1987</t>
  </si>
  <si>
    <t>jan.vonka@mail.com</t>
  </si>
  <si>
    <t>jan.vonka</t>
  </si>
  <si>
    <t>eu@adammacias.com</t>
  </si>
  <si>
    <t>the.matt.kantor@gmail.com</t>
  </si>
  <si>
    <t>the.matt.kantor</t>
  </si>
  <si>
    <t>msarnicki@users.noreply.github.com</t>
  </si>
  <si>
    <t>msarnicki</t>
  </si>
  <si>
    <t>baraa@optimizely.com</t>
  </si>
  <si>
    <t>baraa</t>
  </si>
  <si>
    <t>Optimizely</t>
  </si>
  <si>
    <t>deniss.muhla@gmail.com</t>
  </si>
  <si>
    <t>deniss.muhla</t>
  </si>
  <si>
    <t>simonpai@users.noreply.github.com</t>
  </si>
  <si>
    <t>simonpai</t>
  </si>
  <si>
    <t>justincron@gmail.com</t>
  </si>
  <si>
    <t>justincron</t>
  </si>
  <si>
    <t>yang@spoqa.com</t>
  </si>
  <si>
    <t>yang</t>
  </si>
  <si>
    <t>timothygu99@gmail.com</t>
  </si>
  <si>
    <t>timothygu99</t>
  </si>
  <si>
    <t>dbkaplun@gmail.com</t>
  </si>
  <si>
    <t>dbkaplun</t>
  </si>
  <si>
    <t>github@qslw.com</t>
  </si>
  <si>
    <t>won@vibrantscript.com</t>
  </si>
  <si>
    <t>won</t>
  </si>
  <si>
    <t>miket@mozilla.com</t>
  </si>
  <si>
    <t>miket</t>
  </si>
  <si>
    <t>peter@deseloper.com</t>
  </si>
  <si>
    <t>bbraun7@gmail.com</t>
  </si>
  <si>
    <t>bbraun7</t>
  </si>
  <si>
    <t>tonybaroneee@gmail.com</t>
  </si>
  <si>
    <t>tonybaroneee</t>
  </si>
  <si>
    <t>carlo.stearns@gmail.com</t>
  </si>
  <si>
    <t>carlo.stearns</t>
  </si>
  <si>
    <t>bmk@rentrak.com</t>
  </si>
  <si>
    <t>bmk</t>
  </si>
  <si>
    <t>adrien@siami.fr</t>
  </si>
  <si>
    <t>adrien</t>
  </si>
  <si>
    <t>martin@martinbean.co.uk</t>
  </si>
  <si>
    <t>adrien.siami@dimelo.com</t>
  </si>
  <si>
    <t>adrien.siami</t>
  </si>
  <si>
    <t>niels.steenbeek@s+B157</t>
  </si>
  <si>
    <t>niels.steenbeek</t>
  </si>
  <si>
    <t>mark@marktareshawty.com</t>
  </si>
  <si>
    <t>jt@occams.info</t>
  </si>
  <si>
    <t>jt</t>
  </si>
  <si>
    <t>ray.mcmahan1@gmail.com</t>
  </si>
  <si>
    <t>ray.mcmahan1</t>
  </si>
  <si>
    <t>yuan3y@users.noreply.github.com</t>
  </si>
  <si>
    <t>yuan3y</t>
  </si>
  <si>
    <t>quah.fy95@gmail.com</t>
  </si>
  <si>
    <t>quah.fy95</t>
  </si>
  <si>
    <t>emmanuel.bourgerie@teamaol.com</t>
  </si>
  <si>
    <t>emmanuel.bourgerie</t>
  </si>
  <si>
    <t>royopa@gmail.com</t>
  </si>
  <si>
    <t>royopa</t>
  </si>
  <si>
    <t>viky.nandha@gmail.com</t>
  </si>
  <si>
    <t>viky.nandha</t>
  </si>
  <si>
    <t>maxb.personal@gmail.com</t>
  </si>
  <si>
    <t>maxb.personal</t>
  </si>
  <si>
    <t>guybedford@gmail.com</t>
  </si>
  <si>
    <t>guybedford</t>
  </si>
  <si>
    <t>all.git@valutas.info</t>
  </si>
  <si>
    <t>all.git</t>
  </si>
  <si>
    <t>jpkleemans@gmail.com</t>
  </si>
  <si>
    <t>jpkleemans</t>
  </si>
  <si>
    <t>molly.white5@gmail.com</t>
  </si>
  <si>
    <t>molly.white5</t>
  </si>
  <si>
    <t>caden@herostrat.us</t>
  </si>
  <si>
    <t>caden</t>
  </si>
  <si>
    <t>ivan.j.cheung@gmail.com</t>
  </si>
  <si>
    <t>ivan.j.cheung</t>
  </si>
  <si>
    <t>javanoob@hotmail.com</t>
  </si>
  <si>
    <t>javanoob</t>
  </si>
  <si>
    <t>qspencer-harper@palantir.com</t>
  </si>
  <si>
    <t>qspencer-harper</t>
  </si>
  <si>
    <t>michael-k@users.noreply.github.com</t>
  </si>
  <si>
    <t>michael-k</t>
  </si>
  <si>
    <t>dante5047@gmail.com</t>
  </si>
  <si>
    <t>dante5047</t>
  </si>
  <si>
    <t>jchretien@spotify.com</t>
  </si>
  <si>
    <t>jchretien</t>
  </si>
  <si>
    <t>adam@roben.org</t>
  </si>
  <si>
    <t>adam</t>
  </si>
  <si>
    <t>gianpaj@users.noreply.github.com</t>
  </si>
  <si>
    <t>gianpaj</t>
  </si>
  <si>
    <t>mail@jitendra.io</t>
  </si>
  <si>
    <t>huang.x.hui@gmail.com</t>
  </si>
  <si>
    <t>huang.x.hui</t>
  </si>
  <si>
    <t>sebnow@gmail.com</t>
  </si>
  <si>
    <t>sebnow</t>
  </si>
  <si>
    <t>hello@dancourse.co.uk</t>
  </si>
  <si>
    <t>leepenkman@gmail.com</t>
  </si>
  <si>
    <t>leepenkman</t>
  </si>
  <si>
    <t>madisliias@gmail.com</t>
  </si>
  <si>
    <t>madisliias</t>
  </si>
  <si>
    <t>nate@nateeag.com</t>
  </si>
  <si>
    <t>nate</t>
  </si>
  <si>
    <t>manu.gautier1394@gmail.com</t>
  </si>
  <si>
    <t>manu.gautier1394</t>
  </si>
  <si>
    <t>matt.ja.smith@gmail.com</t>
  </si>
  <si>
    <t>matt.ja.smith</t>
  </si>
  <si>
    <t>ddascalescu+github@gmail.com</t>
  </si>
  <si>
    <t>ddascalescu+github</t>
  </si>
  <si>
    <t>break@kimsq.com</t>
  </si>
  <si>
    <t>break</t>
  </si>
  <si>
    <t>aaron.cordovez.m@gmail.com</t>
  </si>
  <si>
    <t>aaron.cordovez.m</t>
  </si>
  <si>
    <t>manuel@krautcomputing.com</t>
  </si>
  <si>
    <t>manuel</t>
  </si>
  <si>
    <t>Ben-Russell@users.noreply.github.com</t>
  </si>
  <si>
    <t>Ben-Russell</t>
  </si>
  <si>
    <t>bhamodi@uwaterloo.ca</t>
  </si>
  <si>
    <t>bhamodi</t>
  </si>
  <si>
    <t>Uwaterloo</t>
  </si>
  <si>
    <t>danieljuhl@gmail.com</t>
  </si>
  <si>
    <t>danieljuhl</t>
  </si>
  <si>
    <t>dev@sellside.com</t>
  </si>
  <si>
    <t>dev</t>
  </si>
  <si>
    <t>andrew@dontfidget.com</t>
  </si>
  <si>
    <t>tadeuzagallo@gmail.com</t>
  </si>
  <si>
    <t>tadeuzagallo</t>
  </si>
  <si>
    <t>cameron@camlittle.com</t>
  </si>
  <si>
    <t>cameron</t>
  </si>
  <si>
    <t>jedodd@pivotal.io</t>
  </si>
  <si>
    <t>jedodd</t>
  </si>
  <si>
    <t>andy.j.saint@icloud.com</t>
  </si>
  <si>
    <t>andy.j.saint</t>
  </si>
  <si>
    <t>maarten@maartenvanhoof.be</t>
  </si>
  <si>
    <t>maarten</t>
  </si>
  <si>
    <t>davidnguyen84@gmail.com</t>
  </si>
  <si>
    <t>davidnguyen84</t>
  </si>
  <si>
    <t>pete@whiteoctober.co.uk</t>
  </si>
  <si>
    <t>pete</t>
  </si>
  <si>
    <t>samme@github.invalid</t>
  </si>
  <si>
    <t>samme</t>
  </si>
  <si>
    <t>dakota@brokenpipe.ru</t>
  </si>
  <si>
    <t>dakota</t>
  </si>
  <si>
    <t>stefan@stefansundin.com</t>
  </si>
  <si>
    <t>stefan</t>
  </si>
  <si>
    <t>gitname@users.noreply.github.com</t>
  </si>
  <si>
    <t>gitname</t>
  </si>
  <si>
    <t>arendt@thr3.de</t>
  </si>
  <si>
    <t>arendt</t>
  </si>
  <si>
    <t>me@sgonyea.com</t>
  </si>
  <si>
    <t>mrduguo@gmail.com</t>
  </si>
  <si>
    <t>mrduguo</t>
  </si>
  <si>
    <t>jalemany@habitissimo.com</t>
  </si>
  <si>
    <t>jalemany</t>
  </si>
  <si>
    <t>cody.j.b.scott@gmail.com</t>
  </si>
  <si>
    <t>cody.j.b.scott</t>
  </si>
  <si>
    <t>ktretyakgm@gmail.com</t>
  </si>
  <si>
    <t>ktretyakgm</t>
  </si>
  <si>
    <t>j@zatigo.com</t>
  </si>
  <si>
    <t>kylemit@gmail.com</t>
  </si>
  <si>
    <t>kylemit</t>
  </si>
  <si>
    <t>artbelov@live.ru</t>
  </si>
  <si>
    <t>artbelov</t>
  </si>
  <si>
    <t>dan.nixon@gmail.com</t>
  </si>
  <si>
    <t>dan.nixon</t>
  </si>
  <si>
    <t>kylemit@gmail.om</t>
  </si>
  <si>
    <t>loic.bistuer@gmail.com</t>
  </si>
  <si>
    <t>loic.bistuer</t>
  </si>
  <si>
    <t>michael@cfxdesign.com</t>
  </si>
  <si>
    <t>just-boris@yandex-team.ru</t>
  </si>
  <si>
    <t>just-boris</t>
  </si>
  <si>
    <t>robertson.patrick@gmail.com</t>
  </si>
  <si>
    <t>robertson.patrick</t>
  </si>
  <si>
    <t>rufo@spark74.com</t>
  </si>
  <si>
    <t>rufo</t>
  </si>
  <si>
    <t>sylvain.gamel@amadeus.com</t>
  </si>
  <si>
    <t>sylvain.gamel</t>
  </si>
  <si>
    <t>jimfrodehoff@gmail.com</t>
  </si>
  <si>
    <t>jimfrodehoff</t>
  </si>
  <si>
    <t>rossgit@gmail.com</t>
  </si>
  <si>
    <t>rossgit</t>
  </si>
  <si>
    <t>ahoereth@users.noreply.github.com</t>
  </si>
  <si>
    <t>ahoereth</t>
  </si>
  <si>
    <t>EJegouzo@vscatny.com</t>
  </si>
  <si>
    <t>EJegouzo</t>
  </si>
  <si>
    <t>soundar.rathinasamy@gmail.com</t>
  </si>
  <si>
    <t>soundar.rathinasamy</t>
  </si>
  <si>
    <t>arnold@jasny.net</t>
  </si>
  <si>
    <t>arnold</t>
  </si>
  <si>
    <t>bz.kalashnikov@gmail.com</t>
  </si>
  <si>
    <t>bz.kalashnikov</t>
  </si>
  <si>
    <t>skhilko@gmail.com</t>
  </si>
  <si>
    <t>skhilko</t>
  </si>
  <si>
    <t>rwollin96@gmail.com</t>
  </si>
  <si>
    <t>rwollin96</t>
  </si>
  <si>
    <t>brad@ullman.com</t>
  </si>
  <si>
    <t>brad</t>
  </si>
  <si>
    <t>konstantin@sourcestream.de</t>
  </si>
  <si>
    <t>konstantin</t>
  </si>
  <si>
    <t>nadan@trustly.com</t>
  </si>
  <si>
    <t>nadan</t>
  </si>
  <si>
    <t>mckramer@gmail.com</t>
  </si>
  <si>
    <t>mckramer</t>
  </si>
  <si>
    <t>itsjonq@gmail.com</t>
  </si>
  <si>
    <t>itsjonq</t>
  </si>
  <si>
    <t>bobrdodd@gmail.com</t>
  </si>
  <si>
    <t>bobrdodd</t>
  </si>
  <si>
    <t>dobiattila@gmail.com</t>
  </si>
  <si>
    <t>dobiattila</t>
  </si>
  <si>
    <t>steven.j.bassett@gmail.com</t>
  </si>
  <si>
    <t>steven.j.bassett</t>
  </si>
  <si>
    <t>jason.corns@classmates.com</t>
  </si>
  <si>
    <t>jason.corns</t>
  </si>
  <si>
    <t>dano.husar@gmail.com</t>
  </si>
  <si>
    <t>dano.husar</t>
  </si>
  <si>
    <t>gregory.pakosz@gmail.com</t>
  </si>
  <si>
    <t>gregory.pakosz</t>
  </si>
  <si>
    <t>breaddevil@gmail.com</t>
  </si>
  <si>
    <t>breaddevil</t>
  </si>
  <si>
    <t>nickcolley7@gmail.com</t>
  </si>
  <si>
    <t>nickcolley7</t>
  </si>
  <si>
    <t>s-roth@onu.edu</t>
  </si>
  <si>
    <t>s-roth</t>
  </si>
  <si>
    <t>syed.sayal.shah@gmail.com</t>
  </si>
  <si>
    <t>syed.sayal.shah</t>
  </si>
  <si>
    <t>duke@ejoom.com</t>
  </si>
  <si>
    <t>duke</t>
  </si>
  <si>
    <t>armikbd@gmail.com</t>
  </si>
  <si>
    <t>armikbd</t>
  </si>
  <si>
    <t>cecchi.macnaughton@gmail.com</t>
  </si>
  <si>
    <t>cecchi.macnaughton</t>
  </si>
  <si>
    <t>german.mb@gmail.com</t>
  </si>
  <si>
    <t>german.mb</t>
  </si>
  <si>
    <t>rhyneandrew@gmail.com</t>
  </si>
  <si>
    <t>rhyneandrew</t>
  </si>
  <si>
    <t>Billy.Matthews@bucknell.edu</t>
  </si>
  <si>
    <t>Billy.Matthews</t>
  </si>
  <si>
    <t>nikolay.shebanov@gmail.com</t>
  </si>
  <si>
    <t>nikolay.shebanov</t>
  </si>
  <si>
    <t>tyler@tylercipriani.com</t>
  </si>
  <si>
    <t>tyler</t>
  </si>
  <si>
    <t>dscherer@targetfmi.com</t>
  </si>
  <si>
    <t>dscherer</t>
  </si>
  <si>
    <t>ashley@ashleydawson.co.uk</t>
  </si>
  <si>
    <t>ashley</t>
  </si>
  <si>
    <t>robert.w.fletcher@gmail.com</t>
  </si>
  <si>
    <t>robert.w.fletcher</t>
  </si>
  <si>
    <t>lewis.cowper@googlemail.com</t>
  </si>
  <si>
    <t>lewis.cowper</t>
  </si>
  <si>
    <t>ORiON.1337@gmail.com</t>
  </si>
  <si>
    <t>ORiON.1337</t>
  </si>
  <si>
    <t>lesha.ogonkov@gmail.com</t>
  </si>
  <si>
    <t>lesha.ogonkov</t>
  </si>
  <si>
    <t>ahmad@codeinchaos.com</t>
  </si>
  <si>
    <t>ahmad</t>
  </si>
  <si>
    <t>simon.mahe@siclic.fr</t>
  </si>
  <si>
    <t>simon.mahe</t>
  </si>
  <si>
    <t>aavindraa@gmail.com</t>
  </si>
  <si>
    <t>aavindraa</t>
  </si>
  <si>
    <t>sojaner@gmail.com</t>
  </si>
  <si>
    <t>sojaner</t>
  </si>
  <si>
    <t>s.chikhalia@gmail.com</t>
  </si>
  <si>
    <t>s.chikhalia</t>
  </si>
  <si>
    <t>jonahss@gmail.com</t>
  </si>
  <si>
    <t>jonahss</t>
  </si>
  <si>
    <t>demian@sumavisos.com</t>
  </si>
  <si>
    <t>demian</t>
  </si>
  <si>
    <t>ronny.haase@stayfriends.com</t>
  </si>
  <si>
    <t>ronny.haase</t>
  </si>
  <si>
    <t>dasch@daschmedia.de</t>
  </si>
  <si>
    <t>dasch</t>
  </si>
  <si>
    <t>martik@gmail.com</t>
  </si>
  <si>
    <t>martik</t>
  </si>
  <si>
    <t>ruben.stolk@changer.nl</t>
  </si>
  <si>
    <t>ruben.stolk</t>
  </si>
  <si>
    <t>github.com@daandeschepper.nl</t>
  </si>
  <si>
    <t>techwraithpdx@gmail.com</t>
  </si>
  <si>
    <t>techwraithpdx</t>
  </si>
  <si>
    <t>cinas@spiceworks.com</t>
  </si>
  <si>
    <t>cinas</t>
  </si>
  <si>
    <t>chris@codeject.com</t>
  </si>
  <si>
    <t>pipo@senaeh.de</t>
  </si>
  <si>
    <t>pipo</t>
  </si>
  <si>
    <t>alan.hamlett@prezi.com</t>
  </si>
  <si>
    <t>alan.hamlett</t>
  </si>
  <si>
    <t>andrew@simplified.co.uk</t>
  </si>
  <si>
    <t>nakavthekar@gmail.com</t>
  </si>
  <si>
    <t>nakavthekar</t>
  </si>
  <si>
    <t>wes.turner@gmail.com</t>
  </si>
  <si>
    <t>wes.turner</t>
  </si>
  <si>
    <t>patricker@gmail.com</t>
  </si>
  <si>
    <t>patricker</t>
  </si>
  <si>
    <t>islam.sharabash@gmail.com</t>
  </si>
  <si>
    <t>islam.sharabash</t>
  </si>
  <si>
    <t>leggieroeduardo@gmail.com</t>
  </si>
  <si>
    <t>leggieroeduardo</t>
  </si>
  <si>
    <t>juniorcnt@gmail.com</t>
  </si>
  <si>
    <t>juniorcnt</t>
  </si>
  <si>
    <t>gregory.houllier@niji.fr</t>
  </si>
  <si>
    <t>gregory.houllier</t>
  </si>
  <si>
    <t>kevinsawicki@gmail.com</t>
  </si>
  <si>
    <t>kevinsawicki</t>
  </si>
  <si>
    <t>engine-flutter-autoroll@skia.org</t>
  </si>
  <si>
    <t>engine-flutter-autoroll</t>
  </si>
  <si>
    <t>jonahwilliams@google.com</t>
  </si>
  <si>
    <t>jonahwilliams</t>
  </si>
  <si>
    <t>ian@hixie.ch</t>
  </si>
  <si>
    <t>ian</t>
  </si>
  <si>
    <t>abarth@chromium.org</t>
  </si>
  <si>
    <t>abarth</t>
  </si>
  <si>
    <t>magder@google.com</t>
  </si>
  <si>
    <t>magder</t>
  </si>
  <si>
    <t>goderbauer@google.com</t>
  </si>
  <si>
    <t>goderbauer</t>
  </si>
  <si>
    <t>github@adambarth.com</t>
  </si>
  <si>
    <t>hansmuller@chromium.org</t>
  </si>
  <si>
    <t>hansmuller</t>
  </si>
  <si>
    <t>gspencergoog@users.noreply.github.com</t>
  </si>
  <si>
    <t>gspencergoog</t>
  </si>
  <si>
    <t>chris@bracken.jp</t>
  </si>
  <si>
    <t>tvolkert@users.noreply.github.com</t>
  </si>
  <si>
    <t>tvolkert</t>
  </si>
  <si>
    <t>github.com@spam.hixie.ch</t>
  </si>
  <si>
    <t>katelovett@google.com</t>
  </si>
  <si>
    <t>katelovett</t>
  </si>
  <si>
    <t>zanderso@users.noreply.github.com</t>
  </si>
  <si>
    <t>zanderso</t>
  </si>
  <si>
    <t>jason-simmons@users.noreply.github.com</t>
  </si>
  <si>
    <t>jason-simmons</t>
  </si>
  <si>
    <t>christopherfujino@gmail.com</t>
  </si>
  <si>
    <t>christopherfujino</t>
  </si>
  <si>
    <t>yjbanov@google.com</t>
  </si>
  <si>
    <t>yjbanov</t>
  </si>
  <si>
    <t>dnfield@google.com</t>
  </si>
  <si>
    <t>dnfield</t>
  </si>
  <si>
    <t>devoncarew@google.com</t>
  </si>
  <si>
    <t>devoncarew</t>
  </si>
  <si>
    <t>tessertaha@gmail.com</t>
  </si>
  <si>
    <t>tessertaha</t>
  </si>
  <si>
    <t>fluttergithubbot@gmail.com</t>
  </si>
  <si>
    <t>fluttergithubbot</t>
  </si>
  <si>
    <t>xiao@xster.net</t>
  </si>
  <si>
    <t>xiao</t>
  </si>
  <si>
    <t>alexandre.ardhuin@gmail.com</t>
  </si>
  <si>
    <t>alexandre.ardhuin</t>
  </si>
  <si>
    <t>47866232+chunhtai@users.noreply.github.com</t>
  </si>
  <si>
    <t>47866232+chunhtai</t>
  </si>
  <si>
    <t>31859944+LongCatIsLooong@users.noreply.github.com</t>
  </si>
  <si>
    <t>31859944+LongCatIsLooong</t>
  </si>
  <si>
    <t>egarciad@google.com</t>
  </si>
  <si>
    <t>egarciad</t>
  </si>
  <si>
    <t>jmccandless@google.com</t>
  </si>
  <si>
    <t>jmccandless</t>
  </si>
  <si>
    <t>aam@google.com</t>
  </si>
  <si>
    <t>aam</t>
  </si>
  <si>
    <t>hans.muller@gmail.com</t>
  </si>
  <si>
    <t>hans.muller</t>
  </si>
  <si>
    <t>darrenaustin@google.com</t>
  </si>
  <si>
    <t>darrenaustin</t>
  </si>
  <si>
    <t>liyuqian@google.com</t>
  </si>
  <si>
    <t>liyuqian</t>
  </si>
  <si>
    <t>shihaohong@google.com</t>
  </si>
  <si>
    <t>shihaohong</t>
  </si>
  <si>
    <t>danny@tuppeny.com</t>
  </si>
  <si>
    <t>danny</t>
  </si>
  <si>
    <t>garyq@google.com</t>
  </si>
  <si>
    <t>garyq</t>
  </si>
  <si>
    <t>viktorl@google.com</t>
  </si>
  <si>
    <t>viktorl</t>
  </si>
  <si>
    <t>mravn@google.com</t>
  </si>
  <si>
    <t>mravn</t>
  </si>
  <si>
    <t>jackson@google.com</t>
  </si>
  <si>
    <t>jackson</t>
  </si>
  <si>
    <t>xubaolin@oppo.com</t>
  </si>
  <si>
    <t>xubaolin</t>
  </si>
  <si>
    <t>oppo</t>
  </si>
  <si>
    <t>polinach@google.com</t>
  </si>
  <si>
    <t>polinach</t>
  </si>
  <si>
    <t>54558023+keyonghan@users.noreply.github.com</t>
  </si>
  <si>
    <t>54558023+keyonghan</t>
  </si>
  <si>
    <t>stuartmorgan@google.com</t>
  </si>
  <si>
    <t>stuartmorgan</t>
  </si>
  <si>
    <t>dkwingsmt@users.noreply.github.com</t>
  </si>
  <si>
    <t>dkwingsmt</t>
  </si>
  <si>
    <t>chillers@google.com</t>
  </si>
  <si>
    <t>chillers</t>
  </si>
  <si>
    <t>devoncarew@gmail.com</t>
  </si>
  <si>
    <t>dfield@gmail.com</t>
  </si>
  <si>
    <t>dfield</t>
  </si>
  <si>
    <t>godofredoc@google.com</t>
  </si>
  <si>
    <t>godofredoc</t>
  </si>
  <si>
    <t>amirh@users.noreply.github.com</t>
  </si>
  <si>
    <t>amirh</t>
  </si>
  <si>
    <t>chinmaygarde@google.com</t>
  </si>
  <si>
    <t>chinmaygarde</t>
  </si>
  <si>
    <t>leroux_bruno@yahoo.fr</t>
  </si>
  <si>
    <t>leroux_bruno</t>
  </si>
  <si>
    <t>36861262+QuncCccccc@users.noreply.github.com</t>
  </si>
  <si>
    <t>36861262+QuncCccccc</t>
  </si>
  <si>
    <t>6655696+guidezpl@users.noreply.github.com</t>
  </si>
  <si>
    <t>6655696+guidezpl</t>
  </si>
  <si>
    <t>pq@users.noreply.github.com</t>
  </si>
  <si>
    <t>pq</t>
  </si>
  <si>
    <t>eseidel@chromium.org</t>
  </si>
  <si>
    <t>eseidel</t>
  </si>
  <si>
    <t>bkonyi@google.com</t>
  </si>
  <si>
    <t>bkonyi</t>
  </si>
  <si>
    <t>srawlins@google.com</t>
  </si>
  <si>
    <t>srawlins</t>
  </si>
  <si>
    <t>30870216+gaaclarke@users.noreply.github.com</t>
  </si>
  <si>
    <t>30870216+gaaclarke</t>
  </si>
  <si>
    <t>mpcomplete@chromium.org</t>
  </si>
  <si>
    <t>mpcomplete</t>
  </si>
  <si>
    <t>john@johnmccutchan.com</t>
  </si>
  <si>
    <t>john</t>
  </si>
  <si>
    <t>jcollins@google.com</t>
  </si>
  <si>
    <t>jcollins</t>
  </si>
  <si>
    <t>danrubel@google.com</t>
  </si>
  <si>
    <t>danrubel</t>
  </si>
  <si>
    <t>andrewrkolos@gmail.com</t>
  </si>
  <si>
    <t>andrewrkolos</t>
  </si>
  <si>
    <t>chingjun@google.com</t>
  </si>
  <si>
    <t>chingjun</t>
  </si>
  <si>
    <t>zarah@google.com</t>
  </si>
  <si>
    <t>zarah</t>
  </si>
  <si>
    <t>pquitslund@google.com</t>
  </si>
  <si>
    <t>pquitslund</t>
  </si>
  <si>
    <t>ychris@google.com</t>
  </si>
  <si>
    <t>ychris</t>
  </si>
  <si>
    <t>iansf@google.com</t>
  </si>
  <si>
    <t>iansf</t>
  </si>
  <si>
    <t>rmolivares@renzo-olivares.dev</t>
  </si>
  <si>
    <t>rmolivares</t>
  </si>
  <si>
    <t>15619084+vashworth@users.noreply.github.com</t>
  </si>
  <si>
    <t>15619084+vashworth</t>
  </si>
  <si>
    <t>737941+loic-sharma@users.noreply.github.com</t>
  </si>
  <si>
    <t>737941+loic-sharma</t>
  </si>
  <si>
    <t>sokolovskyi.konstantin@gmail.com</t>
  </si>
  <si>
    <t>sokolovskyi.konstantin</t>
  </si>
  <si>
    <t>abhishekghaskata1999@gmail.com</t>
  </si>
  <si>
    <t>abhishekghaskata1999</t>
  </si>
  <si>
    <t>minglyu@google.com</t>
  </si>
  <si>
    <t>minglyu</t>
  </si>
  <si>
    <t>dantup@google.com</t>
  </si>
  <si>
    <t>dantup</t>
  </si>
  <si>
    <t>kgiesing@google.com</t>
  </si>
  <si>
    <t>kgiesing</t>
  </si>
  <si>
    <t>54371434+godofredoc@users.noreply.github.com</t>
  </si>
  <si>
    <t>54371434+godofredoc</t>
  </si>
  <si>
    <t>jsimmons@chromium.org</t>
  </si>
  <si>
    <t>jsimmons</t>
  </si>
  <si>
    <t>eseidel@google.com</t>
  </si>
  <si>
    <t>2364772+rami-a@users.noreply.github.com</t>
  </si>
  <si>
    <t>2364772+rami-a</t>
  </si>
  <si>
    <t>jacobr@google.com</t>
  </si>
  <si>
    <t>jacobr</t>
  </si>
  <si>
    <t>chinmaygarde@gmail.com</t>
  </si>
  <si>
    <t>mit-mit@users.noreply.github.com</t>
  </si>
  <si>
    <t>mit-mit</t>
  </si>
  <si>
    <t>mpcomplete+github@gmail.com</t>
  </si>
  <si>
    <t>mpcomplete+github</t>
  </si>
  <si>
    <t>5236035+fzyzcjy@users.noreply.github.com</t>
  </si>
  <si>
    <t>5236035+fzyzcjy</t>
  </si>
  <si>
    <t>mouad.debbar@gmail.com</t>
  </si>
  <si>
    <t>mouad.debbar</t>
  </si>
  <si>
    <t>rmacnak@google.com</t>
  </si>
  <si>
    <t>rmacnak</t>
  </si>
  <si>
    <t>iska.kaushik@gmail.com</t>
  </si>
  <si>
    <t>iska.kaushik</t>
  </si>
  <si>
    <t>kevmoo@users.noreply.github.com</t>
  </si>
  <si>
    <t>kevmoo</t>
  </si>
  <si>
    <t>jacksongardner@google.com</t>
  </si>
  <si>
    <t>jacksongardner</t>
  </si>
  <si>
    <t>stanislav@gmail.com</t>
  </si>
  <si>
    <t>stanislav</t>
  </si>
  <si>
    <t>campfish91@gmail.com</t>
  </si>
  <si>
    <t>campfish91</t>
  </si>
  <si>
    <t>jhy03261997@gmail.com</t>
  </si>
  <si>
    <t>jhy03261997</t>
  </si>
  <si>
    <t>xster@google.com</t>
  </si>
  <si>
    <t>xster</t>
  </si>
  <si>
    <t>jiahaog@users.noreply.github.com</t>
  </si>
  <si>
    <t>jiahaog</t>
  </si>
  <si>
    <t>flar@google.com</t>
  </si>
  <si>
    <t>flar</t>
  </si>
  <si>
    <t>johnsonmh@users.noreply.github.com</t>
  </si>
  <si>
    <t>johnsonmh</t>
  </si>
  <si>
    <t>mehmetf@users.noreply.github.com</t>
  </si>
  <si>
    <t>mehmetf</t>
  </si>
  <si>
    <t>jakobr@google.com</t>
  </si>
  <si>
    <t>jakobr</t>
  </si>
  <si>
    <t>dacoharkes@google.com</t>
  </si>
  <si>
    <t>dacoharkes</t>
  </si>
  <si>
    <t>smartercallum@gmail.com</t>
  </si>
  <si>
    <t>smartercallum</t>
  </si>
  <si>
    <t>thkim1011@users.noreply.github.com</t>
  </si>
  <si>
    <t>thkim1011</t>
  </si>
  <si>
    <t>sethladd@gmail.com</t>
  </si>
  <si>
    <t>sethladd</t>
  </si>
  <si>
    <t>dragostiselice@gmail.com</t>
  </si>
  <si>
    <t>dragostiselice</t>
  </si>
  <si>
    <t>34871572+gmackall@users.noreply.github.com</t>
  </si>
  <si>
    <t>34871572+gmackall</t>
  </si>
  <si>
    <t>43759233+kenzieschmoll@users.noreply.github.com</t>
  </si>
  <si>
    <t>43759233+kenzieschmoll</t>
  </si>
  <si>
    <t>alexmarkov@google.com</t>
  </si>
  <si>
    <t>alexmarkov</t>
  </si>
  <si>
    <t>a-siva@users.noreply.github.com</t>
  </si>
  <si>
    <t>a-siva</t>
  </si>
  <si>
    <t>72562119+tgucio@users.noreply.github.com</t>
  </si>
  <si>
    <t>72562119+tgucio</t>
  </si>
  <si>
    <t>jslavitz@gmail.com</t>
  </si>
  <si>
    <t>jslavitz</t>
  </si>
  <si>
    <t>32242716+ricardoamador@users.noreply.github.com</t>
  </si>
  <si>
    <t>32242716+ricardoamador</t>
  </si>
  <si>
    <t>43054281+camsim99@users.noreply.github.com</t>
  </si>
  <si>
    <t>43054281+camsim99</t>
  </si>
  <si>
    <t>scheglov@google.com</t>
  </si>
  <si>
    <t>scheglov</t>
  </si>
  <si>
    <t>jesus_sguerrero@hotmail.com</t>
  </si>
  <si>
    <t>jesus_sguerrero</t>
  </si>
  <si>
    <t>xilaizhang@google.com</t>
  </si>
  <si>
    <t>xilaizhang</t>
  </si>
  <si>
    <t>sigurdm@google.com</t>
  </si>
  <si>
    <t>sigurdm</t>
  </si>
  <si>
    <t>wallenstephen@outlook.com</t>
  </si>
  <si>
    <t>wallenstephen</t>
  </si>
  <si>
    <t>109253501+pdblasi-google@users.noreply.github.com</t>
  </si>
  <si>
    <t>109253501+pdblasi-google</t>
  </si>
  <si>
    <t>me@mrale.ph</t>
  </si>
  <si>
    <t>mdebbar@google.com</t>
  </si>
  <si>
    <t>mdebbar</t>
  </si>
  <si>
    <t>42216813+eliasyishak@users.noreply.github.com</t>
  </si>
  <si>
    <t>42216813+eliasyishak</t>
  </si>
  <si>
    <t>ayush.bherwani1998@gmail.com</t>
  </si>
  <si>
    <t>ayush.bherwani1998</t>
  </si>
  <si>
    <t>justinjmccandless@gmail.com</t>
  </si>
  <si>
    <t>justinjmccandless</t>
  </si>
  <si>
    <t>perc@google.com</t>
  </si>
  <si>
    <t>perc</t>
  </si>
  <si>
    <t>barpac02@gmail.com</t>
  </si>
  <si>
    <t>barpac02</t>
  </si>
  <si>
    <t>nt4f04uNd@gmail.com</t>
  </si>
  <si>
    <t>nt4f04uNd</t>
  </si>
  <si>
    <t>annagrin@google.com</t>
  </si>
  <si>
    <t>annagrin</t>
  </si>
  <si>
    <t>matthew-carroll@users.noreply.github.com</t>
  </si>
  <si>
    <t>matthew-carroll</t>
  </si>
  <si>
    <t>mklim@google.com</t>
  </si>
  <si>
    <t>mklim</t>
  </si>
  <si>
    <t>py.laligand@gmail.com</t>
  </si>
  <si>
    <t>py.laligand</t>
  </si>
  <si>
    <t>github@alexv525.com</t>
  </si>
  <si>
    <t>asiva@google.com</t>
  </si>
  <si>
    <t>asiva</t>
  </si>
  <si>
    <t>137456488+flutter-pub-roller-bot@users.noreply.github.com</t>
  </si>
  <si>
    <t>137456488+flutter-pub-roller-bot</t>
  </si>
  <si>
    <t>mit@google.com</t>
  </si>
  <si>
    <t>mit</t>
  </si>
  <si>
    <t>creativecreatorormaybenot@gmail.com</t>
  </si>
  <si>
    <t>creativecreatorormaybenot</t>
  </si>
  <si>
    <t>ditman@gmail.com</t>
  </si>
  <si>
    <t>ditman</t>
  </si>
  <si>
    <t>reidbaker@google.com</t>
  </si>
  <si>
    <t>reidbaker</t>
  </si>
  <si>
    <t>vashworth@google.com</t>
  </si>
  <si>
    <t>vashworth</t>
  </si>
  <si>
    <t>asashour@yahoo.com</t>
  </si>
  <si>
    <t>asashour</t>
  </si>
  <si>
    <t>anthonyrobledo@gmail.com</t>
  </si>
  <si>
    <t>anthonyrobledo</t>
  </si>
  <si>
    <t>pateltirth454@gmail.com</t>
  </si>
  <si>
    <t>pateltirth454</t>
  </si>
  <si>
    <t>pedromassango.developer@gmail.com</t>
  </si>
  <si>
    <t>pedromassango.developer</t>
  </si>
  <si>
    <t>DaveShuckerow@users.noreply.github.com</t>
  </si>
  <si>
    <t>DaveShuckerow</t>
  </si>
  <si>
    <t>johnmccutchan@google.com</t>
  </si>
  <si>
    <t>johnmccutchan</t>
  </si>
  <si>
    <t>41930132+hellohuanlin@users.noreply.github.com</t>
  </si>
  <si>
    <t>41930132+hellohuanlin</t>
  </si>
  <si>
    <t>liama@google.com</t>
  </si>
  <si>
    <t>liama</t>
  </si>
  <si>
    <t>hterkelsen@users.noreply.github.com</t>
  </si>
  <si>
    <t>hterkelsen</t>
  </si>
  <si>
    <t>timsneath@google.com</t>
  </si>
  <si>
    <t>timsneath</t>
  </si>
  <si>
    <t>68219924+markusaksli-nc@users.noreply.github.com</t>
  </si>
  <si>
    <t>68219924+markusaksli-nc</t>
  </si>
  <si>
    <t>hansmuller@google.com</t>
  </si>
  <si>
    <t>rafaelw@chromium.org</t>
  </si>
  <si>
    <t>rafaelw</t>
  </si>
  <si>
    <t>franciscojma86@gmail.com</t>
  </si>
  <si>
    <t>franciscojma86</t>
  </si>
  <si>
    <t>awdavies@google.com</t>
  </si>
  <si>
    <t>awdavies</t>
  </si>
  <si>
    <t>58190796+MitchellGoodwin@users.noreply.github.com</t>
  </si>
  <si>
    <t>58190796+MitchellGoodwin</t>
  </si>
  <si>
    <t>dustbin4ever@gmail.com</t>
  </si>
  <si>
    <t>dustbin4ever</t>
  </si>
  <si>
    <t>bernaferrari2@gmail.com</t>
  </si>
  <si>
    <t>bernaferrari2</t>
  </si>
  <si>
    <t>91688203+yusuf-goog@users.noreply.github.com</t>
  </si>
  <si>
    <t>91688203+yusuf-goog</t>
  </si>
  <si>
    <t>matanlurey@users.noreply.github.com</t>
  </si>
  <si>
    <t>matanlurey</t>
  </si>
  <si>
    <t>esouthren@google.com</t>
  </si>
  <si>
    <t>esouthren</t>
  </si>
  <si>
    <t>56002538+angjieli@users.noreply.github.com</t>
  </si>
  <si>
    <t>56002538+angjieli</t>
  </si>
  <si>
    <t>ferhat@gmail.com</t>
  </si>
  <si>
    <t>ferhat</t>
  </si>
  <si>
    <t>6259181+digiter@users.noreply.github.com</t>
  </si>
  <si>
    <t>6259181+digiter</t>
  </si>
  <si>
    <t>jakemac@google.com</t>
  </si>
  <si>
    <t>jakemac</t>
  </si>
  <si>
    <t>jamesderlin@users.noreply.github.com</t>
  </si>
  <si>
    <t>jamesderlin</t>
  </si>
  <si>
    <t>floitsch@google.com</t>
  </si>
  <si>
    <t>floitsch</t>
  </si>
  <si>
    <t>cbernaschina@google.com</t>
  </si>
  <si>
    <t>cbernaschina</t>
  </si>
  <si>
    <t>jamesr@chromium.org</t>
  </si>
  <si>
    <t>jamesr</t>
  </si>
  <si>
    <t>44899587+RoyARG02@users.noreply.github.com</t>
  </si>
  <si>
    <t>44899587+RoyARG02</t>
  </si>
  <si>
    <t>werainkhatri.work@gmail.com</t>
  </si>
  <si>
    <t>werainkhatri.work</t>
  </si>
  <si>
    <t>109111084+yaakovschectman@users.noreply.github.com</t>
  </si>
  <si>
    <t>109111084+yaakovschectman</t>
  </si>
  <si>
    <t>chinmoy12c@gmail.com</t>
  </si>
  <si>
    <t>chinmoy12c</t>
  </si>
  <si>
    <t>kevinjchisholm@google.com</t>
  </si>
  <si>
    <t>kevinjchisholm</t>
  </si>
  <si>
    <t>jpnurmi@gmail.com</t>
  </si>
  <si>
    <t>jpnurmi</t>
  </si>
  <si>
    <t>renyou@google.com</t>
  </si>
  <si>
    <t>renyou</t>
  </si>
  <si>
    <t>kustermann@google.com</t>
  </si>
  <si>
    <t>kustermann</t>
  </si>
  <si>
    <t>greg@zulip.com</t>
  </si>
  <si>
    <t>greg</t>
  </si>
  <si>
    <t>zulip</t>
  </si>
  <si>
    <t>41873024+droidbg@users.noreply.github.com</t>
  </si>
  <si>
    <t>41873024+droidbg</t>
  </si>
  <si>
    <t>robert.ancell@canonical.com</t>
  </si>
  <si>
    <t>robert.ancell</t>
  </si>
  <si>
    <t>Canonical</t>
  </si>
  <si>
    <t>jslavitz@google.com</t>
  </si>
  <si>
    <t>nbosch@google.com</t>
  </si>
  <si>
    <t>nbosch</t>
  </si>
  <si>
    <t>44755140+werainkhatri@users.noreply.github.com</t>
  </si>
  <si>
    <t>44755140+werainkhatri</t>
  </si>
  <si>
    <t>19204050+creativecreatorormaybenot@users.noreply.github.com</t>
  </si>
  <si>
    <t>19204050+creativecreatorormaybenot</t>
  </si>
  <si>
    <t>sjindel@google.com</t>
  </si>
  <si>
    <t>sjindel</t>
  </si>
  <si>
    <t>viktorlidholt@gmail.com</t>
  </si>
  <si>
    <t>viktorlidholt</t>
  </si>
  <si>
    <t>82763757+NobodyForNothing@users.noreply.github.com</t>
  </si>
  <si>
    <t>82763757+NobodyForNothing</t>
  </si>
  <si>
    <t>wanglikun7342@gmail.com</t>
  </si>
  <si>
    <t>wanglikun7342</t>
  </si>
  <si>
    <t>I@YeungKC.com</t>
  </si>
  <si>
    <t>I</t>
  </si>
  <si>
    <t>kangwang1988@users.noreply.github.com</t>
  </si>
  <si>
    <t>kangwang1988</t>
  </si>
  <si>
    <t>anwilson@chromium.org</t>
  </si>
  <si>
    <t>anwilson</t>
  </si>
  <si>
    <t>esprehn@chromium.org</t>
  </si>
  <si>
    <t>esprehn</t>
  </si>
  <si>
    <t>103135467+sealesj@users.noreply.github.com</t>
  </si>
  <si>
    <t>103135467+sealesj</t>
  </si>
  <si>
    <t>102626803+drewroengoogle@users.noreply.github.com</t>
  </si>
  <si>
    <t>102626803+drewroengoogle</t>
  </si>
  <si>
    <t>helinx@google.com</t>
  </si>
  <si>
    <t>helinx</t>
  </si>
  <si>
    <t>57670338+chinmoy12c@users.noreply.github.com</t>
  </si>
  <si>
    <t>57670338+chinmoy12c</t>
  </si>
  <si>
    <t>jaguado@google.com</t>
  </si>
  <si>
    <t>jaguado</t>
  </si>
  <si>
    <t>fedor.korotkov@gmail.com</t>
  </si>
  <si>
    <t>fedor.korotkov</t>
  </si>
  <si>
    <t>shihaohong94@gmail.com</t>
  </si>
  <si>
    <t>shihaohong94</t>
  </si>
  <si>
    <t>nate.w5687@gmail.com</t>
  </si>
  <si>
    <t>nate.w5687</t>
  </si>
  <si>
    <t>jensj@google.com</t>
  </si>
  <si>
    <t>jensj</t>
  </si>
  <si>
    <t>591699+clocksmith@users.noreply.github.com</t>
  </si>
  <si>
    <t>591699+clocksmith</t>
  </si>
  <si>
    <t>y862chen@uwaterloo.ca</t>
  </si>
  <si>
    <t>y862chen</t>
  </si>
  <si>
    <t>uwaterloo</t>
  </si>
  <si>
    <t>52682268+fluttergithubbot@users.noreply.github.com</t>
  </si>
  <si>
    <t>52682268+fluttergithubbot</t>
  </si>
  <si>
    <t>keertip@users.noreply.github.com</t>
  </si>
  <si>
    <t>keertip</t>
  </si>
  <si>
    <t>jonahwilliams@users.noreply.github.com</t>
  </si>
  <si>
    <t>32538273+ValentinVignal@users.noreply.github.com</t>
  </si>
  <si>
    <t>32538273+ValentinVignal</t>
  </si>
  <si>
    <t>davidmartos96@gmail.com</t>
  </si>
  <si>
    <t>davidmartos96</t>
  </si>
  <si>
    <t>mateusfccp@gmail.com</t>
  </si>
  <si>
    <t>mateusfccp</t>
  </si>
  <si>
    <t>paulberry@google.com</t>
  </si>
  <si>
    <t>paulberry</t>
  </si>
  <si>
    <t>gw280@google.com</t>
  </si>
  <si>
    <t>gw280</t>
  </si>
  <si>
    <t>larche@google.com</t>
  </si>
  <si>
    <t>larche</t>
  </si>
  <si>
    <t>penn.zht@gmail.com</t>
  </si>
  <si>
    <t>penn.zht</t>
  </si>
  <si>
    <t>sam.rawlins@gmail.com</t>
  </si>
  <si>
    <t>sam.rawlins</t>
  </si>
  <si>
    <t>amirha@google.com</t>
  </si>
  <si>
    <t>amirha</t>
  </si>
  <si>
    <t>nsampsell@google.com</t>
  </si>
  <si>
    <t>nsampsell</t>
  </si>
  <si>
    <t>brian-git@slesinsky.org</t>
  </si>
  <si>
    <t>brian-git</t>
  </si>
  <si>
    <t>sethladd@google.com</t>
  </si>
  <si>
    <t>matej.knopp@gmail.com</t>
  </si>
  <si>
    <t>matej.knopp</t>
  </si>
  <si>
    <t>21270878+elliette@users.noreply.github.com</t>
  </si>
  <si>
    <t>21270878+elliette</t>
  </si>
  <si>
    <t>caseycrogers@berkeley.edu</t>
  </si>
  <si>
    <t>caseycrogers</t>
  </si>
  <si>
    <t>Berkeley</t>
  </si>
  <si>
    <t>darky12s@gmail.com</t>
  </si>
  <si>
    <t>darky12s</t>
  </si>
  <si>
    <t>fujino@google.com</t>
  </si>
  <si>
    <t>fujino</t>
  </si>
  <si>
    <t>ds84182@gmail.com</t>
  </si>
  <si>
    <t>ds84182</t>
  </si>
  <si>
    <t>yashjohri1200@gmail.com</t>
  </si>
  <si>
    <t>yashjohri1200</t>
  </si>
  <si>
    <t>filiph@users.noreply.github.com</t>
  </si>
  <si>
    <t>filiph</t>
  </si>
  <si>
    <t>kustermann.martin@gmail.com</t>
  </si>
  <si>
    <t>kustermann.martin</t>
  </si>
  <si>
    <t>alhaad@chromium.org</t>
  </si>
  <si>
    <t>alhaad</t>
  </si>
  <si>
    <t>git@reb0.org</t>
  </si>
  <si>
    <t>2jy22@naver.com</t>
  </si>
  <si>
    <t>2jy22</t>
  </si>
  <si>
    <t>Naver</t>
  </si>
  <si>
    <t>nurhan@google.com</t>
  </si>
  <si>
    <t>nurhan</t>
  </si>
  <si>
    <t>feinstein@users.noreply.github.com</t>
  </si>
  <si>
    <t>feinstein</t>
  </si>
  <si>
    <t>victor.oc@gmail.com</t>
  </si>
  <si>
    <t>victor.oc</t>
  </si>
  <si>
    <t>jimbe@chromium.org</t>
  </si>
  <si>
    <t>jimbe</t>
  </si>
  <si>
    <t>louisehsu@google.com</t>
  </si>
  <si>
    <t>louisehsu</t>
  </si>
  <si>
    <t>ybz975218925@gmail.com</t>
  </si>
  <si>
    <t>ybz975218925</t>
  </si>
  <si>
    <t>parlough@gmail.com</t>
  </si>
  <si>
    <t>parlough</t>
  </si>
  <si>
    <t>joshualitt@google.com</t>
  </si>
  <si>
    <t>joshualitt</t>
  </si>
  <si>
    <t>31410839+maheshmnj@users.noreply.github.com</t>
  </si>
  <si>
    <t>31410839+maheshmnj</t>
  </si>
  <si>
    <t>betoman96@gmail.com</t>
  </si>
  <si>
    <t>betoman96</t>
  </si>
  <si>
    <t>leafpetersen@users.noreply.github.com</t>
  </si>
  <si>
    <t>leafpetersen</t>
  </si>
  <si>
    <t>e.sarbanis@gmail.com</t>
  </si>
  <si>
    <t>e.sarbanis</t>
  </si>
  <si>
    <t>46544665+adazh@users.noreply.github.com</t>
  </si>
  <si>
    <t>46544665+adazh</t>
  </si>
  <si>
    <t>nathan.wilson1232@gmail.com</t>
  </si>
  <si>
    <t>nathan.wilson1232</t>
  </si>
  <si>
    <t>cbobbe@zulip.com</t>
  </si>
  <si>
    <t>cbobbe</t>
  </si>
  <si>
    <t>Zulip</t>
  </si>
  <si>
    <t>58529443+srujzs@users.noreply.github.com</t>
  </si>
  <si>
    <t>58529443+srujzs</t>
  </si>
  <si>
    <t>104349824+huycozy@users.noreply.github.com</t>
  </si>
  <si>
    <t>104349824+huycozy</t>
  </si>
  <si>
    <t>lrn@google.com</t>
  </si>
  <si>
    <t>lrn</t>
  </si>
  <si>
    <t>16466991+youssef-attia@users.noreply.github.com</t>
  </si>
  <si>
    <t>16466991+youssef-attia</t>
  </si>
  <si>
    <t>463376+yusufm@users.noreply.github.com</t>
  </si>
  <si>
    <t>463376+yusufm</t>
  </si>
  <si>
    <t>detectiveboy.yu@qq.com</t>
  </si>
  <si>
    <t>detectiveboy.yu</t>
  </si>
  <si>
    <t>taufiqrx8@gmail.com</t>
  </si>
  <si>
    <t>taufiqrx8</t>
  </si>
  <si>
    <t>matt.j.sullivan@gmail.com</t>
  </si>
  <si>
    <t>matt.j.sullivan</t>
  </si>
  <si>
    <t>lukef@users.noreply.github.com</t>
  </si>
  <si>
    <t>lukef</t>
  </si>
  <si>
    <t>luthien256@gmail.com</t>
  </si>
  <si>
    <t>luthien256</t>
  </si>
  <si>
    <t>tvolkert@google.com</t>
  </si>
  <si>
    <t>110993981+htoor3@users.noreply.github.com</t>
  </si>
  <si>
    <t>110993981+htoor3</t>
  </si>
  <si>
    <t>linxunfeng@yeah.net</t>
  </si>
  <si>
    <t>linxunfeng</t>
  </si>
  <si>
    <t>lsaudon@gmail.com</t>
  </si>
  <si>
    <t>lsaudon</t>
  </si>
  <si>
    <t>chevalier.dan@gmail.com</t>
  </si>
  <si>
    <t>chevalier.dan</t>
  </si>
  <si>
    <t>gnprice@gmail.com</t>
  </si>
  <si>
    <t>gnprice</t>
  </si>
  <si>
    <t>craig.labenz@gmail.com</t>
  </si>
  <si>
    <t>craig.labenz</t>
  </si>
  <si>
    <t>andreidiaconu@users.noreply.github.com</t>
  </si>
  <si>
    <t>andreidiaconu</t>
  </si>
  <si>
    <t>stuart.morgan@gmail.com</t>
  </si>
  <si>
    <t>stuart.morgan</t>
  </si>
  <si>
    <t>najeira@gmail.com</t>
  </si>
  <si>
    <t>najeira</t>
  </si>
  <si>
    <t>andre.lipke@gmail.com</t>
  </si>
  <si>
    <t>andre.lipke</t>
  </si>
  <si>
    <t>dedrisian@gmail.com</t>
  </si>
  <si>
    <t>dedrisian</t>
  </si>
  <si>
    <t>brian@brianegan.com</t>
  </si>
  <si>
    <t>brian</t>
  </si>
  <si>
    <t>wutong@google.com</t>
  </si>
  <si>
    <t>wutong</t>
  </si>
  <si>
    <t>stevemessick@users.noreply.github.com</t>
  </si>
  <si>
    <t>stevemessick</t>
  </si>
  <si>
    <t>aghassemi@google.com</t>
  </si>
  <si>
    <t>aghassemi</t>
  </si>
  <si>
    <t>ojan@chromium.org</t>
  </si>
  <si>
    <t>ojan</t>
  </si>
  <si>
    <t>viettrungluu@chromium.org</t>
  </si>
  <si>
    <t>viettrungluu</t>
  </si>
  <si>
    <t>derekx@google.com</t>
  </si>
  <si>
    <t>derekx</t>
  </si>
  <si>
    <t>73116038+whiskeyPeak@users.noreply.github.com</t>
  </si>
  <si>
    <t>73116038+whiskeyPeak</t>
  </si>
  <si>
    <t>anis.alibegic@gmail.com</t>
  </si>
  <si>
    <t>anis.alibegic</t>
  </si>
  <si>
    <t>whesse@google.com</t>
  </si>
  <si>
    <t>whesse</t>
  </si>
  <si>
    <t>ryjohn@google.com</t>
  </si>
  <si>
    <t>ryjohn</t>
  </si>
  <si>
    <t>bdero@google.com</t>
  </si>
  <si>
    <t>bdero</t>
  </si>
  <si>
    <t>leigha.jarett@gmail.com</t>
  </si>
  <si>
    <t>leigha.jarett</t>
  </si>
  <si>
    <t>polina.c@live.com</t>
  </si>
  <si>
    <t>polina.c</t>
  </si>
  <si>
    <t>bryanoltman@gmail.com</t>
  </si>
  <si>
    <t>bryanoltman</t>
  </si>
  <si>
    <t>verma1090aman@gmail.com</t>
  </si>
  <si>
    <t>verma1090aman</t>
  </si>
  <si>
    <t>rromain35@gmail.com</t>
  </si>
  <si>
    <t>rromain35</t>
  </si>
  <si>
    <t>lukin.bogdan.a@gmail.com</t>
  </si>
  <si>
    <t>lukin.bogdan.a</t>
  </si>
  <si>
    <t>grouma@google.com</t>
  </si>
  <si>
    <t>grouma</t>
  </si>
  <si>
    <t>marcus.tomlinson@canonical.com</t>
  </si>
  <si>
    <t>marcus.tomlinson</t>
  </si>
  <si>
    <t>m@beltran.work</t>
  </si>
  <si>
    <t>m</t>
  </si>
  <si>
    <t>caseyhillers@gmail.com</t>
  </si>
  <si>
    <t>caseyhillers</t>
  </si>
  <si>
    <t>renyou@gmail.com</t>
  </si>
  <si>
    <t>athor3d@gmail.com</t>
  </si>
  <si>
    <t>athor3d</t>
  </si>
  <si>
    <t>robinsontom@google.com</t>
  </si>
  <si>
    <t>robinsontom</t>
  </si>
  <si>
    <t>jamesdlin@google.com</t>
  </si>
  <si>
    <t>jamesdlin</t>
  </si>
  <si>
    <t>42278985+tonyzhao1@users.noreply.github.com</t>
  </si>
  <si>
    <t>42278985+tonyzhao1</t>
  </si>
  <si>
    <t>doxuanviet@google.com</t>
  </si>
  <si>
    <t>doxuanviet</t>
  </si>
  <si>
    <t>nathan@manifestwebdesign.com</t>
  </si>
  <si>
    <t>nathan</t>
  </si>
  <si>
    <t>kallentu@google.com</t>
  </si>
  <si>
    <t>kallentu</t>
  </si>
  <si>
    <t>bquinlan@google.com</t>
  </si>
  <si>
    <t>bquinlan</t>
  </si>
  <si>
    <t>65850618+Anas35@users.noreply.github.com</t>
  </si>
  <si>
    <t>65850618+Anas35</t>
  </si>
  <si>
    <t>ueman@users.noreply.github.com</t>
  </si>
  <si>
    <t>ueman</t>
  </si>
  <si>
    <t>pavel.mazhnik@gmail.com</t>
  </si>
  <si>
    <t>pavel.mazhnik</t>
  </si>
  <si>
    <t>tauu@h2overclock.de</t>
  </si>
  <si>
    <t>tauu</t>
  </si>
  <si>
    <t>m.rydstrom@gmail.com</t>
  </si>
  <si>
    <t>m.rydstrom</t>
  </si>
  <si>
    <t>daniel.iglesia@gmail.com</t>
  </si>
  <si>
    <t>daniel.iglesia</t>
  </si>
  <si>
    <t>sigmund@google.com</t>
  </si>
  <si>
    <t>sigmund</t>
  </si>
  <si>
    <t>ctrysbita@outlook.com</t>
  </si>
  <si>
    <t>ctrysbita</t>
  </si>
  <si>
    <t>hanneswinkler2000@web.de</t>
  </si>
  <si>
    <t>hanneswinkler2000</t>
  </si>
  <si>
    <t>anuragr9847@gmail.com</t>
  </si>
  <si>
    <t>anuragr9847</t>
  </si>
  <si>
    <t>koutaro.mo@gmail.com</t>
  </si>
  <si>
    <t>koutaro.mo</t>
  </si>
  <si>
    <t>nils@reichardt.io</t>
  </si>
  <si>
    <t>nils</t>
  </si>
  <si>
    <t>wangying3426@gmail.com</t>
  </si>
  <si>
    <t>wangying3426</t>
  </si>
  <si>
    <t>darren@darrenaustin.org</t>
  </si>
  <si>
    <t>darren</t>
  </si>
  <si>
    <t>jessegielen@hotmail.com</t>
  </si>
  <si>
    <t>jessegielen</t>
  </si>
  <si>
    <t>44589502+omerlevran46@users.noreply.github.com</t>
  </si>
  <si>
    <t>44589502+omerlevran46</t>
  </si>
  <si>
    <t>sidrao2006@gmail.com</t>
  </si>
  <si>
    <t>sidrao2006</t>
  </si>
  <si>
    <t>abrush21@users.noreply.github.com</t>
  </si>
  <si>
    <t>abrush21</t>
  </si>
  <si>
    <t>nathanwalker1208@gmail.com</t>
  </si>
  <si>
    <t>nathanwalker1208</t>
  </si>
  <si>
    <t>david@reveman.com</t>
  </si>
  <si>
    <t>54329870+Amitpatil215@users.noreply.github.com</t>
  </si>
  <si>
    <t>54329870+Amitpatil215</t>
  </si>
  <si>
    <t>Kavantix@users.noreply.github.com</t>
  </si>
  <si>
    <t>Kavantix</t>
  </si>
  <si>
    <t>marcin@jelenski.net</t>
  </si>
  <si>
    <t>marcin</t>
  </si>
  <si>
    <t>67576036+TheBiirb@users.noreply.github.com</t>
  </si>
  <si>
    <t>67576036+TheBiirb</t>
  </si>
  <si>
    <t>pragsprincess24@gmail.com</t>
  </si>
  <si>
    <t>pragsprincess24</t>
  </si>
  <si>
    <t>CareF.Lm@gmail.com</t>
  </si>
  <si>
    <t>CareF.Lm</t>
  </si>
  <si>
    <t>44383755+shihchanghsiungsonos@users.noreply.github.com</t>
  </si>
  <si>
    <t>44383755+shihchanghsiungsonos</t>
  </si>
  <si>
    <t>edmanjos@gmail.com</t>
  </si>
  <si>
    <t>edmanjos</t>
  </si>
  <si>
    <t>ferhat@google.com</t>
  </si>
  <si>
    <t>4211302+marcoms@users.noreply.github.com</t>
  </si>
  <si>
    <t>4211302+marcoms</t>
  </si>
  <si>
    <t>kang.wang1988@gmail.com</t>
  </si>
  <si>
    <t>kang.wang1988</t>
  </si>
  <si>
    <t>tianlun@google.com</t>
  </si>
  <si>
    <t>tianlun</t>
  </si>
  <si>
    <t>kyle@hotfixit.net</t>
  </si>
  <si>
    <t>kyle</t>
  </si>
  <si>
    <t>hello@wyatt.ninja</t>
  </si>
  <si>
    <t>lex@damoti.com</t>
  </si>
  <si>
    <t>lex</t>
  </si>
  <si>
    <t>mdakin@gmail.com</t>
  </si>
  <si>
    <t>mdakin</t>
  </si>
  <si>
    <t>pascal@welsch.dev</t>
  </si>
  <si>
    <t>simonfv@gmail.com</t>
  </si>
  <si>
    <t>simonfv</t>
  </si>
  <si>
    <t>1961493+harryterkelsen@users.noreply.github.com</t>
  </si>
  <si>
    <t>1961493+harryterkelsen</t>
  </si>
  <si>
    <t>JaspervanRiet@users.noreply.github.com</t>
  </si>
  <si>
    <t>JaspervanRiet</t>
  </si>
  <si>
    <t>53684884+mhbdev@users.noreply.github.com</t>
  </si>
  <si>
    <t>53684884+mhbdev</t>
  </si>
  <si>
    <t>matheus@btor.com.br</t>
  </si>
  <si>
    <t>matheus</t>
  </si>
  <si>
    <t>2539699336@qq.com</t>
  </si>
  <si>
    <t>jami.couch@twinsunsolutions.com</t>
  </si>
  <si>
    <t>jami.couch</t>
  </si>
  <si>
    <t>twinsunsolutions</t>
  </si>
  <si>
    <t>studymongolian@gmail.com</t>
  </si>
  <si>
    <t>studymongolian</t>
  </si>
  <si>
    <t>sunbreak.wang@gmail.com</t>
  </si>
  <si>
    <t>sunbreak.wang</t>
  </si>
  <si>
    <t>nshahan@google.com</t>
  </si>
  <si>
    <t>nshahan</t>
  </si>
  <si>
    <t>69054810+M97Chahboun@users.noreply.github.com</t>
  </si>
  <si>
    <t>69054810+M97Chahboun</t>
  </si>
  <si>
    <t>vegorov@google.com</t>
  </si>
  <si>
    <t>vegorov</t>
  </si>
  <si>
    <t>81855102+harperl-lgtm@users.noreply.github.com</t>
  </si>
  <si>
    <t>81855102+harperl-lgtm</t>
  </si>
  <si>
    <t>eilidhsouthren@gmail.com</t>
  </si>
  <si>
    <t>eilidhsouthren</t>
  </si>
  <si>
    <t>campovski@gmail.com</t>
  </si>
  <si>
    <t>campovski</t>
  </si>
  <si>
    <t>mono0926@gmail.com</t>
  </si>
  <si>
    <t>mono0926</t>
  </si>
  <si>
    <t>67576036+MrBirb@users.noreply.github.com</t>
  </si>
  <si>
    <t>67576036+MrBirb</t>
  </si>
  <si>
    <t>48811365+antholeole@users.noreply.github.com</t>
  </si>
  <si>
    <t>48811365+antholeole</t>
  </si>
  <si>
    <t>wyte.sk133@gmail.com</t>
  </si>
  <si>
    <t>wyte.sk133</t>
  </si>
  <si>
    <t>me@watercod.es</t>
  </si>
  <si>
    <t>cristian.boarna@gmail.com</t>
  </si>
  <si>
    <t>cristian.boarna</t>
  </si>
  <si>
    <t>zingergi@gmail.com</t>
  </si>
  <si>
    <t>zingergi</t>
  </si>
  <si>
    <t>cristian.zazo@gmail.com</t>
  </si>
  <si>
    <t>cristian.zazo</t>
  </si>
  <si>
    <t>bmparr@google.com</t>
  </si>
  <si>
    <t>bmparr</t>
  </si>
  <si>
    <t>shouichi.kamiya@gmail.com</t>
  </si>
  <si>
    <t>shouichi.kamiya</t>
  </si>
  <si>
    <t>rischpater@google.com</t>
  </si>
  <si>
    <t>rischpater</t>
  </si>
  <si>
    <t>alexisr245@gmail.com</t>
  </si>
  <si>
    <t>alexisr245</t>
  </si>
  <si>
    <t>houyushan@oppo.com</t>
  </si>
  <si>
    <t>houyushan</t>
  </si>
  <si>
    <t>Oppo</t>
  </si>
  <si>
    <t>william.oprandi@gmail.com</t>
  </si>
  <si>
    <t>william.oprandi</t>
  </si>
  <si>
    <t>singhalabhya32@gmail.com</t>
  </si>
  <si>
    <t>singhalabhya32</t>
  </si>
  <si>
    <t>haeseoklee.dev@gmail.com</t>
  </si>
  <si>
    <t>haeseoklee.dev</t>
  </si>
  <si>
    <t>pulyaevskiy@users.noreply.github.com</t>
  </si>
  <si>
    <t>pulyaevskiy</t>
  </si>
  <si>
    <t>giantsol64@gmail.com</t>
  </si>
  <si>
    <t>giantsol64</t>
  </si>
  <si>
    <t>mail@neevash.dev</t>
  </si>
  <si>
    <t>sebastian.roth@gmail.com</t>
  </si>
  <si>
    <t>sebastian.roth</t>
  </si>
  <si>
    <t>31154435+mannprerak2@users.noreply.github.com</t>
  </si>
  <si>
    <t>31154435+mannprerak2</t>
  </si>
  <si>
    <t>gspencer@google.com</t>
  </si>
  <si>
    <t>gspencer</t>
  </si>
  <si>
    <t>i@yaerin.com</t>
  </si>
  <si>
    <t>50856934+nturgut@users.noreply.github.com</t>
  </si>
  <si>
    <t>50856934+nturgut</t>
  </si>
  <si>
    <t>sroddy@users.noreply.github.com</t>
  </si>
  <si>
    <t>sroddy</t>
  </si>
  <si>
    <t>lisaliao@google.com</t>
  </si>
  <si>
    <t>lisaliao</t>
  </si>
  <si>
    <t>spkersten@gmail.com</t>
  </si>
  <si>
    <t>spkersten</t>
  </si>
  <si>
    <t>39774503+aartbik@users.noreply.github.com</t>
  </si>
  <si>
    <t>39774503+aartbik</t>
  </si>
  <si>
    <t>filip2unine@yahoo.co.uk</t>
  </si>
  <si>
    <t>filip2unine</t>
  </si>
  <si>
    <t>35853497+shrike69@users.noreply.github.com</t>
  </si>
  <si>
    <t>35853497+shrike69</t>
  </si>
  <si>
    <t>f.schmidt@sirmatec.com</t>
  </si>
  <si>
    <t>f.schmidt</t>
  </si>
  <si>
    <t>regis@google.com</t>
  </si>
  <si>
    <t>regis</t>
  </si>
  <si>
    <t>sandrasandeep@google.com</t>
  </si>
  <si>
    <t>sandrasandeep</t>
  </si>
  <si>
    <t>garymm@google.com</t>
  </si>
  <si>
    <t>garymm</t>
  </si>
  <si>
    <t>sivachandra@google.com</t>
  </si>
  <si>
    <t>sivachandra</t>
  </si>
  <si>
    <t>luke@church.name</t>
  </si>
  <si>
    <t>dayang@google.com</t>
  </si>
  <si>
    <t>dayang</t>
  </si>
  <si>
    <t>qchong@users.noreply.github.com</t>
  </si>
  <si>
    <t>qchong</t>
  </si>
  <si>
    <t>afandria@users.noreply.github.com</t>
  </si>
  <si>
    <t>afandria</t>
  </si>
  <si>
    <t>prasadsunny1@gmail.com</t>
  </si>
  <si>
    <t>prasadsunny1</t>
  </si>
  <si>
    <t>amirpanahandeh@yahoo.com</t>
  </si>
  <si>
    <t>amirpanahandeh</t>
  </si>
  <si>
    <t>rossllewallyn@proton.me</t>
  </si>
  <si>
    <t>rossllewallyn</t>
  </si>
  <si>
    <t>luccas.clezar@gmail.com</t>
  </si>
  <si>
    <t>luccas.clezar</t>
  </si>
  <si>
    <t>101587250+pbo-linaro@users.noreply.github.com</t>
  </si>
  <si>
    <t>101587250+pbo-linaro</t>
  </si>
  <si>
    <t>38378650+hgraceb@users.noreply.github.com</t>
  </si>
  <si>
    <t>38378650+hgraceb</t>
  </si>
  <si>
    <t>kristijan.zic@gmail.com</t>
  </si>
  <si>
    <t>kristijan.zic</t>
  </si>
  <si>
    <t>xxxx.xyzs.xxxx@gmail.com</t>
  </si>
  <si>
    <t>xxxx.xyzs.xxxx</t>
  </si>
  <si>
    <t>82336674+gilnobrega@users.noreply.github.com</t>
  </si>
  <si>
    <t>82336674+gilnobrega</t>
  </si>
  <si>
    <t>nabeelparkar99@gmail.com</t>
  </si>
  <si>
    <t>nabeelparkar99</t>
  </si>
  <si>
    <t>57679865+ivirtex@users.noreply.github.com</t>
  </si>
  <si>
    <t>57679865+ivirtex</t>
  </si>
  <si>
    <t>oss@simonbinder.eu</t>
  </si>
  <si>
    <t>oss</t>
  </si>
  <si>
    <t>hasnen712@live.com</t>
  </si>
  <si>
    <t>hasnen712</t>
  </si>
  <si>
    <t>gabriel@terwesten.net</t>
  </si>
  <si>
    <t>gabriel</t>
  </si>
  <si>
    <t>6349682+vaind@users.noreply.github.com</t>
  </si>
  <si>
    <t>6349682+vaind</t>
  </si>
  <si>
    <t>nehalvpatel@users.noreply.github.com</t>
  </si>
  <si>
    <t>nehalvpatel</t>
  </si>
  <si>
    <t>50225138+alanwutang11@users.noreply.github.com</t>
  </si>
  <si>
    <t>50225138+alanwutang11</t>
  </si>
  <si>
    <t>99771966+nbayati@users.noreply.github.com</t>
  </si>
  <si>
    <t>99771966+nbayati</t>
  </si>
  <si>
    <t>x@bdero.me</t>
  </si>
  <si>
    <t>x</t>
  </si>
  <si>
    <t>31977171+ColdPaleLight@users.noreply.github.com</t>
  </si>
  <si>
    <t>31977171+ColdPaleLight</t>
  </si>
  <si>
    <t>88313112+danagbemava-nc@users.noreply.github.com</t>
  </si>
  <si>
    <t>88313112+danagbemava-nc</t>
  </si>
  <si>
    <t>harsh.bhikadiya@gmail.com</t>
  </si>
  <si>
    <t>harsh.bhikadiya</t>
  </si>
  <si>
    <t>aliaksei.chorny@gmail.com</t>
  </si>
  <si>
    <t>aliaksei.chorny</t>
  </si>
  <si>
    <t>62943972+arafaysaleem@users.noreply.github.com</t>
  </si>
  <si>
    <t>62943972+arafaysaleem</t>
  </si>
  <si>
    <t>wml248@nyu.edu</t>
  </si>
  <si>
    <t>wml248</t>
  </si>
  <si>
    <t>NYU</t>
  </si>
  <si>
    <t>sergflutterdev@gmail.com</t>
  </si>
  <si>
    <t>sergflutterdev</t>
  </si>
  <si>
    <t>zhongwuzw@qq.com</t>
  </si>
  <si>
    <t>zhongwuzw</t>
  </si>
  <si>
    <t>grafov.denis@gmail.com</t>
  </si>
  <si>
    <t>grafov.denis</t>
  </si>
  <si>
    <t>50059339+Calamity210@users.noreply.github.com</t>
  </si>
  <si>
    <t>50059339+Calamity210</t>
  </si>
  <si>
    <t>5362998+fourman-alex@users.noreply.github.com</t>
  </si>
  <si>
    <t>5362998+fourman-alex</t>
  </si>
  <si>
    <t>yazeedfady@gmail.com</t>
  </si>
  <si>
    <t>yazeedfady</t>
  </si>
  <si>
    <t>ckmichael8@gmail.com</t>
  </si>
  <si>
    <t>ckmichael8</t>
  </si>
  <si>
    <t>rickimaru18@gmail.com</t>
  </si>
  <si>
    <t>rickimaru18</t>
  </si>
  <si>
    <t>kathyw@google.com</t>
  </si>
  <si>
    <t>kathyw</t>
  </si>
  <si>
    <t>balvindersi2@gmail.com</t>
  </si>
  <si>
    <t>balvindersi2</t>
  </si>
  <si>
    <t>44933935+jushutch@users.noreply.github.com</t>
  </si>
  <si>
    <t>44933935+jushutch</t>
  </si>
  <si>
    <t>ludwik@gmail.com</t>
  </si>
  <si>
    <t>ludwik</t>
  </si>
  <si>
    <t>45988993+Hattomo@users.noreply.github.com</t>
  </si>
  <si>
    <t>45988993+Hattomo</t>
  </si>
  <si>
    <t>erickzanardoo@gmail.com</t>
  </si>
  <si>
    <t>erickzanardoo</t>
  </si>
  <si>
    <t>ricardocanastro@gmail.com</t>
  </si>
  <si>
    <t>ricardocanastro</t>
  </si>
  <si>
    <t>martin+kamleithner@diagnosia.com</t>
  </si>
  <si>
    <t>martin+kamleithner</t>
  </si>
  <si>
    <t>diagnosia</t>
  </si>
  <si>
    <t>cbracken@google.com</t>
  </si>
  <si>
    <t>cbracken</t>
  </si>
  <si>
    <t>me@jns.io</t>
  </si>
  <si>
    <t>madhurmaurya365@gmail.com</t>
  </si>
  <si>
    <t>madhurmaurya365</t>
  </si>
  <si>
    <t>66567899+sidrao2006@users.noreply.github.com</t>
  </si>
  <si>
    <t>66567899+sidrao2006</t>
  </si>
  <si>
    <t>38372691+gusghrlrl101@users.noreply.github.com</t>
  </si>
  <si>
    <t>38372691+gusghrlrl101</t>
  </si>
  <si>
    <t>devstory.co.kr@gmail.com</t>
  </si>
  <si>
    <t>devstory.co.kr</t>
  </si>
  <si>
    <t>56479665+Abhishek01039@users.noreply.github.com</t>
  </si>
  <si>
    <t>56479665+Abhishek01039</t>
  </si>
  <si>
    <t>37366956+Rahiche@users.noreply.github.com</t>
  </si>
  <si>
    <t>37366956+Rahiche</t>
  </si>
  <si>
    <t>62214257+speaking-in-code@users.noreply.github.com</t>
  </si>
  <si>
    <t>62214257+speaking-in-code</t>
  </si>
  <si>
    <t>lidongze91@gmail.com</t>
  </si>
  <si>
    <t>lidongze91</t>
  </si>
  <si>
    <t>45517515+zichangg@users.noreply.github.com</t>
  </si>
  <si>
    <t>45517515+zichangg</t>
  </si>
  <si>
    <t>nolan.scobie@gmail.com</t>
  </si>
  <si>
    <t>nolan.scobie</t>
  </si>
  <si>
    <t>nils@sharezone.net</t>
  </si>
  <si>
    <t>Sharezone</t>
  </si>
  <si>
    <t>10802670+igorakkerman@users.noreply.github.com</t>
  </si>
  <si>
    <t>10802670+igorakkerman</t>
  </si>
  <si>
    <t>chaselatta@users.noreply.github.com</t>
  </si>
  <si>
    <t>chaselatta</t>
  </si>
  <si>
    <t>kawka.maciej.93@gmail.com</t>
  </si>
  <si>
    <t>kawka.maciej.93</t>
  </si>
  <si>
    <t>christian.muertz@t-online.de</t>
  </si>
  <si>
    <t>christian.muertz</t>
  </si>
  <si>
    <t>albertusangga@google.com</t>
  </si>
  <si>
    <t>albertusangga</t>
  </si>
  <si>
    <t>RedBrogdon@users.noreply.github.com</t>
  </si>
  <si>
    <t>RedBrogdon</t>
  </si>
  <si>
    <t>50503328+flar@users.noreply.github.com</t>
  </si>
  <si>
    <t>50503328+flar</t>
  </si>
  <si>
    <t>kpsroka@users.noreply.github.com</t>
  </si>
  <si>
    <t>kpsroka</t>
  </si>
  <si>
    <t>brianwilkerson@google.com</t>
  </si>
  <si>
    <t>brianwilkerson</t>
  </si>
  <si>
    <t>i@truongsinh.pro</t>
  </si>
  <si>
    <t>vladimirlichonos@gmail.com</t>
  </si>
  <si>
    <t>vladimirlichonos</t>
  </si>
  <si>
    <t>kartik.sharma1607@outlook.com</t>
  </si>
  <si>
    <t>kartik.sharma1607</t>
  </si>
  <si>
    <t>maryx@users.noreply.github.com</t>
  </si>
  <si>
    <t>maryx</t>
  </si>
  <si>
    <t>guenter@gzoechbauer.com</t>
  </si>
  <si>
    <t>guenter</t>
  </si>
  <si>
    <t>leoylung@users.noreply.github.com</t>
  </si>
  <si>
    <t>leoylung</t>
  </si>
  <si>
    <t>ralph@the4thfloor.eu</t>
  </si>
  <si>
    <t>ralph</t>
  </si>
  <si>
    <t>roberto.scaramuzzi@gmail.com</t>
  </si>
  <si>
    <t>roberto.scaramuzzi</t>
  </si>
  <si>
    <t>alibitek@protonmail.ch</t>
  </si>
  <si>
    <t>alibitek</t>
  </si>
  <si>
    <t>yahpeycoy0403@gmail.com</t>
  </si>
  <si>
    <t>yahpeycoy0403</t>
  </si>
  <si>
    <t>jamesr@users.noreply.github.com</t>
  </si>
  <si>
    <t>mikejurka@gmail.com</t>
  </si>
  <si>
    <t>mikejurka</t>
  </si>
  <si>
    <t>mikemimik@gmail.com</t>
  </si>
  <si>
    <t>mikemimik</t>
  </si>
  <si>
    <t>robert@stuffwithstuff.com</t>
  </si>
  <si>
    <t>robert</t>
  </si>
  <si>
    <t>ali.ghassemi@gmail.com</t>
  </si>
  <si>
    <t>ali.ghassemi</t>
  </si>
  <si>
    <t>tonygentilcore@gmail.com</t>
  </si>
  <si>
    <t>tonygentilcore</t>
  </si>
  <si>
    <t>tvolkert@gmail.com</t>
  </si>
  <si>
    <t>github@eseidel.com</t>
  </si>
  <si>
    <t>Michal-MK@users.noreply.github.com</t>
  </si>
  <si>
    <t>Michal-MK</t>
  </si>
  <si>
    <t>65075121+AcarFurkan@users.noreply.github.com</t>
  </si>
  <si>
    <t>65075121+AcarFurkan</t>
  </si>
  <si>
    <t>maRci002@users.noreply.github.com</t>
  </si>
  <si>
    <t>maRci002</t>
  </si>
  <si>
    <t>233583+mossmana@users.noreply.github.com</t>
  </si>
  <si>
    <t>233583+mossmana</t>
  </si>
  <si>
    <t>kouhei.seino@woven-planet.global</t>
  </si>
  <si>
    <t>kouhei.seino</t>
  </si>
  <si>
    <t>26625149+0xZOne@users.noreply.github.com</t>
  </si>
  <si>
    <t>26625149+0xZOne</t>
  </si>
  <si>
    <t>66151079+bryanoli@users.noreply.github.com</t>
  </si>
  <si>
    <t>66151079+bryanoli</t>
  </si>
  <si>
    <t>sstrickl@google.com</t>
  </si>
  <si>
    <t>sstrickl</t>
  </si>
  <si>
    <t>intspt@qq.com</t>
  </si>
  <si>
    <t>intspt</t>
  </si>
  <si>
    <t>50643541+Mairramer@users.noreply.github.com</t>
  </si>
  <si>
    <t>50643541+Mairramer</t>
  </si>
  <si>
    <t>57464965+Macacoazul01@users.noreply.github.com</t>
  </si>
  <si>
    <t>57464965+Macacoazul01</t>
  </si>
  <si>
    <t>72284940+feduke-nukem@users.noreply.github.com</t>
  </si>
  <si>
    <t>72284940+feduke-nukem</t>
  </si>
  <si>
    <t>timmaffett@gmail.com</t>
  </si>
  <si>
    <t>timmaffett</t>
  </si>
  <si>
    <t>dumazy@gmail.com</t>
  </si>
  <si>
    <t>dumazy</t>
  </si>
  <si>
    <t>76067278+aakash-pamnani@users.noreply.github.com</t>
  </si>
  <si>
    <t>76067278+aakash-pamnani</t>
  </si>
  <si>
    <t>gildasiogx@gmail.com</t>
  </si>
  <si>
    <t>gildasiogx</t>
  </si>
  <si>
    <t>84124091+opxdelwin@users.noreply.github.com</t>
  </si>
  <si>
    <t>84124091+opxdelwin</t>
  </si>
  <si>
    <t>139406084+gmilou@users.noreply.github.com</t>
  </si>
  <si>
    <t>139406084+gmilou</t>
  </si>
  <si>
    <t>brackenavaron@gmail.com</t>
  </si>
  <si>
    <t>brackenavaron</t>
  </si>
  <si>
    <t>61322712+sabin26@users.noreply.github.com</t>
  </si>
  <si>
    <t>61322712+sabin26</t>
  </si>
  <si>
    <t>piotr.fleury@gmail.com</t>
  </si>
  <si>
    <t>piotr.fleury</t>
  </si>
  <si>
    <t>38299943+VictorOhashi@users.noreply.github.com</t>
  </si>
  <si>
    <t>38299943+VictorOhashi</t>
  </si>
  <si>
    <t>devZhulanov.A.A@gmail.com</t>
  </si>
  <si>
    <t>devZhulanov.A.A</t>
  </si>
  <si>
    <t>dleyba042@gmail.com</t>
  </si>
  <si>
    <t>dleyba042</t>
  </si>
  <si>
    <t>smushaheed@outlook.com</t>
  </si>
  <si>
    <t>smushaheed</t>
  </si>
  <si>
    <t>50433979+negotoyolo@users.noreply.github.com</t>
  </si>
  <si>
    <t>50433979+negotoyolo</t>
  </si>
  <si>
    <t>40026920+KKimj@users.noreply.github.com</t>
  </si>
  <si>
    <t>40026920+KKimj</t>
  </si>
  <si>
    <t>w.albert221@gmail.com</t>
  </si>
  <si>
    <t>w.albert221</t>
  </si>
  <si>
    <t>andrelvsousa@gmail.com</t>
  </si>
  <si>
    <t>andrelvsousa</t>
  </si>
  <si>
    <t>407660109@qq.com</t>
  </si>
  <si>
    <t>52235899+takassh@users.noreply.github.com</t>
  </si>
  <si>
    <t>52235899+takassh</t>
  </si>
  <si>
    <t>leebebe0612@gmail.com</t>
  </si>
  <si>
    <t>leebebe0612</t>
  </si>
  <si>
    <t>je.mary0804@gmail.com</t>
  </si>
  <si>
    <t>je.mary0804</t>
  </si>
  <si>
    <t>tsuiyuenhong@gmail.com</t>
  </si>
  <si>
    <t>tsuiyuenhong</t>
  </si>
  <si>
    <t>zmtzawqlp@live.com</t>
  </si>
  <si>
    <t>zmtzawqlp</t>
  </si>
  <si>
    <t>athom@google.com</t>
  </si>
  <si>
    <t>athom</t>
  </si>
  <si>
    <t>the-one@with-the-braid.cf</t>
  </si>
  <si>
    <t>the-one</t>
  </si>
  <si>
    <t>30516046+naudzghebre@users.noreply.github.com</t>
  </si>
  <si>
    <t>30516046+naudzghebre</t>
  </si>
  <si>
    <t>30322203+ksballetba@users.noreply.github.com</t>
  </si>
  <si>
    <t>30322203+ksballetba</t>
  </si>
  <si>
    <t>levi.hao96@gmail.com</t>
  </si>
  <si>
    <t>levi.hao96</t>
  </si>
  <si>
    <t>brettmorgan@google.com</t>
  </si>
  <si>
    <t>brettmorgan</t>
  </si>
  <si>
    <t>gazialankus@gmail.com</t>
  </si>
  <si>
    <t>gazialankus</t>
  </si>
  <si>
    <t>yaocf@189.cn</t>
  </si>
  <si>
    <t>yaocf</t>
  </si>
  <si>
    <t>ankur.jain@nsitonline.in</t>
  </si>
  <si>
    <t>ankur.jain</t>
  </si>
  <si>
    <t>66305960+olof-dev@users.noreply.github.com</t>
  </si>
  <si>
    <t>66305960+olof-dev</t>
  </si>
  <si>
    <t>xavier.hainaux@gmail.com</t>
  </si>
  <si>
    <t>xavier.hainaux</t>
  </si>
  <si>
    <t>rageofepicfury@gmail.com</t>
  </si>
  <si>
    <t>rageofepicfury</t>
  </si>
  <si>
    <t>phucloi.nguyen@manabie.com</t>
  </si>
  <si>
    <t>phucloi.nguyen</t>
  </si>
  <si>
    <t>manabie</t>
  </si>
  <si>
    <t>harinandan.alukkal@gmail.com</t>
  </si>
  <si>
    <t>harinandan.alukkal</t>
  </si>
  <si>
    <t>1129584401@qq.com</t>
  </si>
  <si>
    <t>Yeatse@users.noreply.github.com</t>
  </si>
  <si>
    <t>Yeatse</t>
  </si>
  <si>
    <t>42252197+egramond@users.noreply.github.com</t>
  </si>
  <si>
    <t>42252197+egramond</t>
  </si>
  <si>
    <t>1587721+AesSedai101@users.noreply.github.com</t>
  </si>
  <si>
    <t>1587721+AesSedai101</t>
  </si>
  <si>
    <t>linxuebin1990@126.com</t>
  </si>
  <si>
    <t>linxuebin1990</t>
  </si>
  <si>
    <t>77585130+jellynoone@users.noreply.github.com</t>
  </si>
  <si>
    <t>77585130+jellynoone</t>
  </si>
  <si>
    <t>wangying.666@bytedance.com</t>
  </si>
  <si>
    <t>wangying.666</t>
  </si>
  <si>
    <t>Bytedance</t>
  </si>
  <si>
    <t>brunotacca@gmail.com</t>
  </si>
  <si>
    <t>brunotacca</t>
  </si>
  <si>
    <t>55881597+joellurcook@users.noreply.github.com</t>
  </si>
  <si>
    <t>55881597+joellurcook</t>
  </si>
  <si>
    <t>swift.kim@samsung.com</t>
  </si>
  <si>
    <t>swift.kim</t>
  </si>
  <si>
    <t>Samsung</t>
  </si>
  <si>
    <t>71181265+nayeemtby@users.noreply.github.com</t>
  </si>
  <si>
    <t>71181265+nayeemtby</t>
  </si>
  <si>
    <t>aukwat@gmail.com</t>
  </si>
  <si>
    <t>aukwat</t>
  </si>
  <si>
    <t>47376232+itssunyujia@users.noreply.github.com</t>
  </si>
  <si>
    <t>47376232+itssunyujia</t>
  </si>
  <si>
    <t>christian_beening@web.de</t>
  </si>
  <si>
    <t>christian_beening</t>
  </si>
  <si>
    <t>bjarte.bore@olavstoppen.no</t>
  </si>
  <si>
    <t>bjarte.bore</t>
  </si>
  <si>
    <t>mhadaily@gmail.com</t>
  </si>
  <si>
    <t>mhadaily</t>
  </si>
  <si>
    <t>cskau-g@users.noreply.github.com</t>
  </si>
  <si>
    <t>cskau-g</t>
  </si>
  <si>
    <t>heavenosk@gmail.com</t>
  </si>
  <si>
    <t>heavenosk</t>
  </si>
  <si>
    <t>pradumnasaraf@gmail.com</t>
  </si>
  <si>
    <t>pradumnasaraf</t>
  </si>
  <si>
    <t>77919688+varunkamanibosc@users.noreply.github.com</t>
  </si>
  <si>
    <t>77919688+varunkamanibosc</t>
  </si>
  <si>
    <t>638538+chaselatta@users.noreply.github.com</t>
  </si>
  <si>
    <t>638538+chaselatta</t>
  </si>
  <si>
    <t>kachhadiya123viral@gmail.com</t>
  </si>
  <si>
    <t>kachhadiya123viral</t>
  </si>
  <si>
    <t>greymag@gmail.com</t>
  </si>
  <si>
    <t>greymag</t>
  </si>
  <si>
    <t>xclud@users.noreply.github.com</t>
  </si>
  <si>
    <t>xclud</t>
  </si>
  <si>
    <t>terry@google.com</t>
  </si>
  <si>
    <t>terry</t>
  </si>
  <si>
    <t>matanshukry@gmail.com</t>
  </si>
  <si>
    <t>matanshukry</t>
  </si>
  <si>
    <t>hello@attilaszabo.com</t>
  </si>
  <si>
    <t>52705497+mghalayini@users.noreply.github.com</t>
  </si>
  <si>
    <t>52705497+mghalayini</t>
  </si>
  <si>
    <t>52562340+tbm98@users.noreply.github.com</t>
  </si>
  <si>
    <t>52562340+tbm98</t>
  </si>
  <si>
    <t>dmitry.belogub@gmail.com</t>
  </si>
  <si>
    <t>dmitry.belogub</t>
  </si>
  <si>
    <t>bikcrum@gmail.com</t>
  </si>
  <si>
    <t>bikcrum</t>
  </si>
  <si>
    <t>53796452+omchiii@users.noreply.github.com</t>
  </si>
  <si>
    <t>53796452+omchiii</t>
  </si>
  <si>
    <t>m.triebe@live.de</t>
  </si>
  <si>
    <t>m.triebe</t>
  </si>
  <si>
    <t>68892315+Swayam221@users.noreply.github.com</t>
  </si>
  <si>
    <t>68892315+Swayam221</t>
  </si>
  <si>
    <t>james@clarkezone.net</t>
  </si>
  <si>
    <t>6718144+renancaraujo@users.noreply.github.com</t>
  </si>
  <si>
    <t>6718144+renancaraujo</t>
  </si>
  <si>
    <t>TNorbury@users.noreply.github.com</t>
  </si>
  <si>
    <t>TNorbury</t>
  </si>
  <si>
    <t>michael.debertol@gmail.com</t>
  </si>
  <si>
    <t>michael.debertol</t>
  </si>
  <si>
    <t>GurjinderPartola@users.noreply.github.com</t>
  </si>
  <si>
    <t>GurjinderPartola</t>
  </si>
  <si>
    <t>kaboc.app@gmail.com</t>
  </si>
  <si>
    <t>kaboc.app</t>
  </si>
  <si>
    <t>zainkhan.official10@gmail.com</t>
  </si>
  <si>
    <t>zainkhan.official10</t>
  </si>
  <si>
    <t>42180076+RomanJos@users.noreply.github.com</t>
  </si>
  <si>
    <t>42180076+RomanJos</t>
  </si>
  <si>
    <t>yuanliansong@126.com</t>
  </si>
  <si>
    <t>yuanliansong</t>
  </si>
  <si>
    <t>jacek.marchwicki@gmail.com</t>
  </si>
  <si>
    <t>jacek.marchwicki</t>
  </si>
  <si>
    <t>japanese.around30@gmail.com</t>
  </si>
  <si>
    <t>japanese.around30</t>
  </si>
  <si>
    <t>32666446+hamdikahloun@users.noreply.github.com</t>
  </si>
  <si>
    <t>32666446+hamdikahloun</t>
  </si>
  <si>
    <t>naraekn@gmail.com</t>
  </si>
  <si>
    <t>naraekn</t>
  </si>
  <si>
    <t>32477115+ny927@users.noreply.github.com</t>
  </si>
  <si>
    <t>32477115+ny927</t>
  </si>
  <si>
    <t>herbert@codeux.design</t>
  </si>
  <si>
    <t>herbert</t>
  </si>
  <si>
    <t>39688690+jsh-me@users.noreply.github.com</t>
  </si>
  <si>
    <t>39688690+jsh-me</t>
  </si>
  <si>
    <t>cah1113@naver.com</t>
  </si>
  <si>
    <t>cah1113</t>
  </si>
  <si>
    <t>468561207@qq.com</t>
  </si>
  <si>
    <t>sahandevs@gmail.com</t>
  </si>
  <si>
    <t>sahandevs</t>
  </si>
  <si>
    <t>45515332+broccolism@users.noreply.github.com</t>
  </si>
  <si>
    <t>45515332+broccolism</t>
  </si>
  <si>
    <t>smmuzi@gmail.com</t>
  </si>
  <si>
    <t>smmuzi</t>
  </si>
  <si>
    <t>nscobie@google.com</t>
  </si>
  <si>
    <t>nscobie</t>
  </si>
  <si>
    <t>peterdjlee@gmail.com</t>
  </si>
  <si>
    <t>peterdjlee</t>
  </si>
  <si>
    <t>pasindud@users.noreply.github.com</t>
  </si>
  <si>
    <t>pasindud</t>
  </si>
  <si>
    <t>juyeonglee0413@gmail.com</t>
  </si>
  <si>
    <t>juyeonglee0413</t>
  </si>
  <si>
    <t>tonic.artos@gmail.com</t>
  </si>
  <si>
    <t>tonic.artos</t>
  </si>
  <si>
    <t>onatcipli@outlook.com</t>
  </si>
  <si>
    <t>onatcipli</t>
  </si>
  <si>
    <t>andrew8712@gmail.com</t>
  </si>
  <si>
    <t>andrew8712</t>
  </si>
  <si>
    <t>r.floor.1@gmail.com</t>
  </si>
  <si>
    <t>r.floor.1</t>
  </si>
  <si>
    <t>peterlauri@gmail.com</t>
  </si>
  <si>
    <t>peterlauri</t>
  </si>
  <si>
    <t>ksheremet@users.noreply.github.com</t>
  </si>
  <si>
    <t>ksheremet</t>
  </si>
  <si>
    <t>kika@kikap.com</t>
  </si>
  <si>
    <t>kika</t>
  </si>
  <si>
    <t>jopsen@gmail.com</t>
  </si>
  <si>
    <t>jopsen</t>
  </si>
  <si>
    <t>dratushnyy@users.noreply.github.com</t>
  </si>
  <si>
    <t>dratushnyy</t>
  </si>
  <si>
    <t>guidezpl@users.noreply.github.com</t>
  </si>
  <si>
    <t>guidezpl</t>
  </si>
  <si>
    <t>tjonganthony@users.noreply.github.com</t>
  </si>
  <si>
    <t>tjonganthony</t>
  </si>
  <si>
    <t>31232524+jimshepherd@users.noreply.github.com</t>
  </si>
  <si>
    <t>31232524+jimshepherd</t>
  </si>
  <si>
    <t>brett.morgan@gmail.com</t>
  </si>
  <si>
    <t>brett.morgan</t>
  </si>
  <si>
    <t>franciscojma@google.com</t>
  </si>
  <si>
    <t>franciscojma</t>
  </si>
  <si>
    <t>seanfreiburg@gmail.com</t>
  </si>
  <si>
    <t>seanfreiburg</t>
  </si>
  <si>
    <t>sebastian@katallaxie.me</t>
  </si>
  <si>
    <t>sebastian</t>
  </si>
  <si>
    <t>itometeam@gmail.com</t>
  </si>
  <si>
    <t>itometeam</t>
  </si>
  <si>
    <t>francaldr@gmail.com</t>
  </si>
  <si>
    <t>francaldr</t>
  </si>
  <si>
    <t>rxlabz@users.noreply.github.com</t>
  </si>
  <si>
    <t>rxlabz</t>
  </si>
  <si>
    <t>thomas@burkharts.net</t>
  </si>
  <si>
    <t>sladecapasso@google.com</t>
  </si>
  <si>
    <t>sladecapasso</t>
  </si>
  <si>
    <t>RobinJespersen@users.noreply.github.com</t>
  </si>
  <si>
    <t>RobinJespersen</t>
  </si>
  <si>
    <t>simon@devangels.london</t>
  </si>
  <si>
    <t>andrei.lesnitsky@gmail.com</t>
  </si>
  <si>
    <t>andrei.lesnitsky</t>
  </si>
  <si>
    <t>1036976+brandondiamond@users.noreply.github.com</t>
  </si>
  <si>
    <t>1036976+brandondiamond</t>
  </si>
  <si>
    <t>c.muertz@cojobo.net</t>
  </si>
  <si>
    <t>c.muertz</t>
  </si>
  <si>
    <t>legalcodes@users.noreply.github.com</t>
  </si>
  <si>
    <t>legalcodes</t>
  </si>
  <si>
    <t>hiroki.matsue@gmail.com</t>
  </si>
  <si>
    <t>hiroki.matsue</t>
  </si>
  <si>
    <t>50503328+jim-flar@users.noreply.github.com</t>
  </si>
  <si>
    <t>50503328+jim-flar</t>
  </si>
  <si>
    <t>efortuna@google.com</t>
  </si>
  <si>
    <t>efortuna</t>
  </si>
  <si>
    <t>guojiex@users.noreply.github.com</t>
  </si>
  <si>
    <t>guojiex</t>
  </si>
  <si>
    <t>rubensdemelo@gmail.com</t>
  </si>
  <si>
    <t>rubensdemelo</t>
  </si>
  <si>
    <t>antti.ahti@gmail.com</t>
  </si>
  <si>
    <t>antti.ahti</t>
  </si>
  <si>
    <t>sensuikan1973@gmail.com</t>
  </si>
  <si>
    <t>sensuikan1973</t>
  </si>
  <si>
    <t>tom-robiquet@hotmail.co.uk</t>
  </si>
  <si>
    <t>tom-robiquet</t>
  </si>
  <si>
    <t>chingjun@gmail.com</t>
  </si>
  <si>
    <t>DarrenGoog@users.noreply.github.com</t>
  </si>
  <si>
    <t>DarrenGoog</t>
  </si>
  <si>
    <t>stereotype441@gmail.com</t>
  </si>
  <si>
    <t>stereotype441</t>
  </si>
  <si>
    <t>me@rdil.rocks</t>
  </si>
  <si>
    <t>ocavue@users.noreply.github.com</t>
  </si>
  <si>
    <t>ocavue</t>
  </si>
  <si>
    <t>sstrickl@gmail.com</t>
  </si>
  <si>
    <t>timtrav@gmail.com</t>
  </si>
  <si>
    <t>timtrav</t>
  </si>
  <si>
    <t>machstg@gmail.com</t>
  </si>
  <si>
    <t>machstg</t>
  </si>
  <si>
    <t>chalin@users.noreply.github.com</t>
  </si>
  <si>
    <t>chalin</t>
  </si>
  <si>
    <t>30328239+abykov2@users.noreply.github.com</t>
  </si>
  <si>
    <t>30328239+abykov2</t>
  </si>
  <si>
    <t>steve@accendi.com</t>
  </si>
  <si>
    <t>steve</t>
  </si>
  <si>
    <t>beckler@users.noreply.github.com</t>
  </si>
  <si>
    <t>beckler</t>
  </si>
  <si>
    <t>phuc.tran@nextfunc.com</t>
  </si>
  <si>
    <t>phuc.tran</t>
  </si>
  <si>
    <t>matteocrippa@users.noreply.github.com</t>
  </si>
  <si>
    <t>matteocrippa</t>
  </si>
  <si>
    <t>zra@google.com</t>
  </si>
  <si>
    <t>zra</t>
  </si>
  <si>
    <t>michaelrfairhurst@gmail.com</t>
  </si>
  <si>
    <t>michaelrfairhurst</t>
  </si>
  <si>
    <t>fmatosqg@users.noreply.github.com</t>
  </si>
  <si>
    <t>fmatosqg</t>
  </si>
  <si>
    <t>larsenthomasj@gmail.com</t>
  </si>
  <si>
    <t>larsenthomasj</t>
  </si>
  <si>
    <t>rock3r@users.noreply.github.com</t>
  </si>
  <si>
    <t>rock3r</t>
  </si>
  <si>
    <t>erikcorry@google.com</t>
  </si>
  <si>
    <t>erikcorry</t>
  </si>
  <si>
    <t>pascal.welsch@gmail.com</t>
  </si>
  <si>
    <t>pascal.welsch</t>
  </si>
  <si>
    <t>jeff@jeffmcglynn.com</t>
  </si>
  <si>
    <t>jeff</t>
  </si>
  <si>
    <t>asaarnak+git@gmail.com</t>
  </si>
  <si>
    <t>asaarnak+git</t>
  </si>
  <si>
    <t>mogol@users.noreply.github.com</t>
  </si>
  <si>
    <t>mogol</t>
  </si>
  <si>
    <t>perlatus@users.noreply.github.com</t>
  </si>
  <si>
    <t>perlatus</t>
  </si>
  <si>
    <t>jeffbrown@google.com</t>
  </si>
  <si>
    <t>jeffbrown</t>
  </si>
  <si>
    <t>gorudonu@gmail.com</t>
  </si>
  <si>
    <t>gorudonu</t>
  </si>
  <si>
    <t>rajubitter@googlemail.com</t>
  </si>
  <si>
    <t>rajubitter</t>
  </si>
  <si>
    <t>ian@mckellar.org</t>
  </si>
  <si>
    <t>nullstein@gmail.com</t>
  </si>
  <si>
    <t>nullstein</t>
  </si>
  <si>
    <t>wangkaiyuanzz@gmail.com</t>
  </si>
  <si>
    <t>wangkaiyuanzz</t>
  </si>
  <si>
    <t>quddusc@google.com</t>
  </si>
  <si>
    <t>quddusc</t>
  </si>
  <si>
    <t>pylaligand@google.com</t>
  </si>
  <si>
    <t>pylaligand</t>
  </si>
  <si>
    <t>messick@google.com</t>
  </si>
  <si>
    <t>messick</t>
  </si>
  <si>
    <t>dynin@google.com</t>
  </si>
  <si>
    <t>dynin</t>
  </si>
  <si>
    <t>kenny-dll@ya.ru</t>
  </si>
  <si>
    <t>kenny-dll</t>
  </si>
  <si>
    <t>nathankerr@gmail.com</t>
  </si>
  <si>
    <t>nathankerr</t>
  </si>
  <si>
    <t>scottmg@chromium.org</t>
  </si>
  <si>
    <t>scottmg</t>
  </si>
  <si>
    <t>alexfandrianto@google.com</t>
  </si>
  <si>
    <t>alexfandrianto</t>
  </si>
  <si>
    <t>cpu@chromium.org</t>
  </si>
  <si>
    <t>cpu</t>
  </si>
  <si>
    <t>blundell@chromium.org</t>
  </si>
  <si>
    <t>blundell</t>
  </si>
  <si>
    <t>philipfranchi@gmail.com</t>
  </si>
  <si>
    <t>philipfranchi</t>
  </si>
  <si>
    <t>victorsanniay@gmail.com</t>
  </si>
  <si>
    <t>victorsanniay</t>
  </si>
  <si>
    <t>leoafarias@gmail.com</t>
  </si>
  <si>
    <t>leoafarias</t>
  </si>
  <si>
    <t>102401667+Dimilkalathiya@users.noreply.github.com</t>
  </si>
  <si>
    <t>102401667+Dimilkalathiya</t>
  </si>
  <si>
    <t>dwzrlp@163.com</t>
  </si>
  <si>
    <t>dwzrlp</t>
  </si>
  <si>
    <t>eltociear@gmail.com</t>
  </si>
  <si>
    <t>eltociear</t>
  </si>
  <si>
    <t>Sahil.kachhap111989@gmail.com</t>
  </si>
  <si>
    <t>Sahil.kachhap111989</t>
  </si>
  <si>
    <t>bhesaniyavatsal@gmail.com</t>
  </si>
  <si>
    <t>bhesaniyavatsal</t>
  </si>
  <si>
    <t>164015983+goodmost@users.noreply.github.com</t>
  </si>
  <si>
    <t>164015983+goodmost</t>
  </si>
  <si>
    <t>59935432+dhikshith12@users.noreply.github.com</t>
  </si>
  <si>
    <t>59935432+dhikshith12</t>
  </si>
  <si>
    <t>Moelfarri@gmail.com</t>
  </si>
  <si>
    <t>Moelfarri</t>
  </si>
  <si>
    <t>vtrgalo@gmail.com</t>
  </si>
  <si>
    <t>vtrgalo</t>
  </si>
  <si>
    <t>450961837@qq.com</t>
  </si>
  <si>
    <t>65758246+Nenuphar12@users.noreply.github.com</t>
  </si>
  <si>
    <t>65758246+Nenuphar12</t>
  </si>
  <si>
    <t>faisal.hiyaz@gmail.com</t>
  </si>
  <si>
    <t>faisal.hiyaz</t>
  </si>
  <si>
    <t>richadlu001@gmail.com</t>
  </si>
  <si>
    <t>richadlu001</t>
  </si>
  <si>
    <t>tjrogertj@gmail.com</t>
  </si>
  <si>
    <t>tjrogertj</t>
  </si>
  <si>
    <t>mzhou620@gmail.com</t>
  </si>
  <si>
    <t>mzhou620</t>
  </si>
  <si>
    <t>110420204+dsanagustin@users.noreply.github.com</t>
  </si>
  <si>
    <t>110420204+dsanagustin</t>
  </si>
  <si>
    <t>andrew@divineflame.com</t>
  </si>
  <si>
    <t>jawscout@gmail.com</t>
  </si>
  <si>
    <t>jawscout</t>
  </si>
  <si>
    <t>u.hossein@yahoo.com</t>
  </si>
  <si>
    <t>u.hossein</t>
  </si>
  <si>
    <t>nitesh.sharma@joshtechnologygroup.com</t>
  </si>
  <si>
    <t>nitesh.sharma</t>
  </si>
  <si>
    <t>kris.pypen@gmail.com</t>
  </si>
  <si>
    <t>kris.pypen</t>
  </si>
  <si>
    <t>github@bramp.net</t>
  </si>
  <si>
    <t>147121557+ShaunByrne-UniSA@users.noreply.github.com</t>
  </si>
  <si>
    <t>147121557+ShaunByrne-UniSA</t>
  </si>
  <si>
    <t>124896814+BiskupMaik@users.noreply.github.com</t>
  </si>
  <si>
    <t>124896814+BiskupMaik</t>
  </si>
  <si>
    <t>62812903+sstasi95@users.noreply.github.com</t>
  </si>
  <si>
    <t>62812903+sstasi95</t>
  </si>
  <si>
    <t>64037520+SelaseKay@users.noreply.github.com</t>
  </si>
  <si>
    <t>64037520+SelaseKay</t>
  </si>
  <si>
    <t>39623254+aizatazhar@users.noreply.github.com</t>
  </si>
  <si>
    <t>39623254+aizatazhar</t>
  </si>
  <si>
    <t>mbfakourii@gmail.com</t>
  </si>
  <si>
    <t>mbfakourii</t>
  </si>
  <si>
    <t>jaeyoi.dev@gmail.com</t>
  </si>
  <si>
    <t>jaeyoi.dev</t>
  </si>
  <si>
    <t>93368594+imp-sike@users.noreply.github.com</t>
  </si>
  <si>
    <t>93368594+imp-sike</t>
  </si>
  <si>
    <t>everythingoutdated@gmail.com</t>
  </si>
  <si>
    <t>everythingoutdated</t>
  </si>
  <si>
    <t>89970141+SharbelOkzan@users.noreply.github.com</t>
  </si>
  <si>
    <t>89970141+SharbelOkzan</t>
  </si>
  <si>
    <t>148634283+nikkivirtuoso@users.noreply.github.com</t>
  </si>
  <si>
    <t>148634283+nikkivirtuoso</t>
  </si>
  <si>
    <t>coffee5084@gmail.com</t>
  </si>
  <si>
    <t>coffee5084</t>
  </si>
  <si>
    <t>taboosun1996@gmail.com</t>
  </si>
  <si>
    <t>taboosun1996</t>
  </si>
  <si>
    <t>luke.hutch@gmail.com</t>
  </si>
  <si>
    <t>luke.hutch</t>
  </si>
  <si>
    <t>39755477+sharabiddin@users.noreply.github.com</t>
  </si>
  <si>
    <t>39755477+sharabiddin</t>
  </si>
  <si>
    <t>gibbonsj97@gmail.com</t>
  </si>
  <si>
    <t>gibbonsj97</t>
  </si>
  <si>
    <t>satsrag@outlook.com</t>
  </si>
  <si>
    <t>satsrag</t>
  </si>
  <si>
    <t>shirne@126.com</t>
  </si>
  <si>
    <t>shirne</t>
  </si>
  <si>
    <t>65709676+huanghui1998hhh@users.noreply.github.com</t>
  </si>
  <si>
    <t>65709676+huanghui1998hhh</t>
  </si>
  <si>
    <t>90251840+nonvachara-paloit@users.noreply.github.com</t>
  </si>
  <si>
    <t>90251840+nonvachara-paloit</t>
  </si>
  <si>
    <t>raphire08@users.noreply.github.com</t>
  </si>
  <si>
    <t>raphire08</t>
  </si>
  <si>
    <t>38147403+sharmashashi@users.noreply.github.com</t>
  </si>
  <si>
    <t>38147403+sharmashashi</t>
  </si>
  <si>
    <t>aki.nishi.work@gmail.com</t>
  </si>
  <si>
    <t>aki.nishi.work</t>
  </si>
  <si>
    <t>81793777+shanmugam28@users.noreply.github.com</t>
  </si>
  <si>
    <t>81793777+shanmugam28</t>
  </si>
  <si>
    <t>696662+anidotnet@users.noreply.github.com</t>
  </si>
  <si>
    <t>696662+anidotnet</t>
  </si>
  <si>
    <t>92773903+yakagami@users.noreply.github.com</t>
  </si>
  <si>
    <t>92773903+yakagami</t>
  </si>
  <si>
    <t>vbacik.10@gmail.com</t>
  </si>
  <si>
    <t>vbacik.10</t>
  </si>
  <si>
    <t>gregor@zurowski.org</t>
  </si>
  <si>
    <t>gregor</t>
  </si>
  <si>
    <t>69699209+gbtb16@users.noreply.github.com</t>
  </si>
  <si>
    <t>69699209+gbtb16</t>
  </si>
  <si>
    <t>jim@kalafut.net</t>
  </si>
  <si>
    <t>jim</t>
  </si>
  <si>
    <t>148174446+neko-andrew@users.noreply.github.com</t>
  </si>
  <si>
    <t>148174446+neko-andrew</t>
  </si>
  <si>
    <t>victoreronmosele@gmail.com</t>
  </si>
  <si>
    <t>victoreronmosele</t>
  </si>
  <si>
    <t>arpitgandhi9@users.noreply.github.com</t>
  </si>
  <si>
    <t>arpitgandhi9</t>
  </si>
  <si>
    <t>79099771+peterabrahamdev@users.noreply.github.com</t>
  </si>
  <si>
    <t>79099771+peterabrahamdev</t>
  </si>
  <si>
    <t>iinozemtsev@google.com</t>
  </si>
  <si>
    <t>iinozemtsev</t>
  </si>
  <si>
    <t>thesonerik@gmail.com</t>
  </si>
  <si>
    <t>thesonerik</t>
  </si>
  <si>
    <t>hrkadam.92@gmail.com</t>
  </si>
  <si>
    <t>hrkadam.92</t>
  </si>
  <si>
    <t>42715466+lirantzairi@users.noreply.github.com</t>
  </si>
  <si>
    <t>42715466+lirantzairi</t>
  </si>
  <si>
    <t>imcusg@gmail.com</t>
  </si>
  <si>
    <t>imcusg</t>
  </si>
  <si>
    <t>838@mail.com</t>
  </si>
  <si>
    <t>lc1990linux@gmail.com</t>
  </si>
  <si>
    <t>lc1990linux</t>
  </si>
  <si>
    <t>aran@arandonohue.com</t>
  </si>
  <si>
    <t>aran</t>
  </si>
  <si>
    <t>github@maaeps.de</t>
  </si>
  <si>
    <t>matthiasngeozhongsim@yahoo.com</t>
  </si>
  <si>
    <t>matthiasngeozhongsim</t>
  </si>
  <si>
    <t>EdgarJan@users.noreply.github.com</t>
  </si>
  <si>
    <t>EdgarJan</t>
  </si>
  <si>
    <t>weinberger.c@gmail.com</t>
  </si>
  <si>
    <t>weinberger.c</t>
  </si>
  <si>
    <t>v.ditsyak@gmail.com</t>
  </si>
  <si>
    <t>v.ditsyak</t>
  </si>
  <si>
    <t>k_hayashi@yumemi.co.jp</t>
  </si>
  <si>
    <t>k_hayashi</t>
  </si>
  <si>
    <t>chris.langham32@gmail.com</t>
  </si>
  <si>
    <t>chris.langham32</t>
  </si>
  <si>
    <t>chinmay@blend.to</t>
  </si>
  <si>
    <t>chinmay</t>
  </si>
  <si>
    <t>70351342+burakJs@users.noreply.github.com</t>
  </si>
  <si>
    <t>70351342+burakJs</t>
  </si>
  <si>
    <t>mos182@hotmail.co.uk</t>
  </si>
  <si>
    <t>mos182</t>
  </si>
  <si>
    <t>supercionci@hotmail.it</t>
  </si>
  <si>
    <t>supercionci</t>
  </si>
  <si>
    <t>104587392+salmanulfarisi@users.noreply.github.com</t>
  </si>
  <si>
    <t>104587392+salmanulfarisi</t>
  </si>
  <si>
    <t>ivan.inozemtsev@gmail.com</t>
  </si>
  <si>
    <t>ivan.inozemtsev</t>
  </si>
  <si>
    <t>angelosilvestre.ccp@gmail.com</t>
  </si>
  <si>
    <t>angelosilvestre.ccp</t>
  </si>
  <si>
    <t>32621121+AndreySuworow@users.noreply.github.com</t>
  </si>
  <si>
    <t>32621121+AndreySuworow</t>
  </si>
  <si>
    <t>61263149+faisalansari0367@users.noreply.github.com</t>
  </si>
  <si>
    <t>61263149+faisalansari0367</t>
  </si>
  <si>
    <t>75845003+deldering-momo@users.noreply.github.com</t>
  </si>
  <si>
    <t>75845003+deldering-momo</t>
  </si>
  <si>
    <t>xhzq233@qq.com</t>
  </si>
  <si>
    <t>xhzq233</t>
  </si>
  <si>
    <t>xming@google.com</t>
  </si>
  <si>
    <t>xming</t>
  </si>
  <si>
    <t>60728110+MahmoudZayad@users.noreply.github.com</t>
  </si>
  <si>
    <t>60728110+MahmoudZayad</t>
  </si>
  <si>
    <t>kj415j45@gmail.com</t>
  </si>
  <si>
    <t>kj415j45</t>
  </si>
  <si>
    <t>maity.sumitbikram@gmail.com</t>
  </si>
  <si>
    <t>maity.sumitbikram</t>
  </si>
  <si>
    <t>31812582+thisisjaymehta@users.noreply.github.com</t>
  </si>
  <si>
    <t>31812582+thisisjaymehta</t>
  </si>
  <si>
    <t>temeddix@gmail.com</t>
  </si>
  <si>
    <t>temeddix</t>
  </si>
  <si>
    <t>39445938+DavidIsa@users.noreply.github.com</t>
  </si>
  <si>
    <t>39445938+DavidIsa</t>
  </si>
  <si>
    <t>chris.evans93@gmail.com</t>
  </si>
  <si>
    <t>chris.evans93</t>
  </si>
  <si>
    <t>Caffeinix@users.noreply.github.com</t>
  </si>
  <si>
    <t>Caffeinix</t>
  </si>
  <si>
    <t>Lexycon@users.noreply.github.com</t>
  </si>
  <si>
    <t>Lexycon</t>
  </si>
  <si>
    <t>info@ttanimichi.com</t>
  </si>
  <si>
    <t>hey@darshanrander.com</t>
  </si>
  <si>
    <t>hey</t>
  </si>
  <si>
    <t>cychiang0823@gmail.com</t>
  </si>
  <si>
    <t>cychiang0823</t>
  </si>
  <si>
    <t>caiquer.eds@gmail.com</t>
  </si>
  <si>
    <t>caiquer.eds</t>
  </si>
  <si>
    <t>henriquenas.dev@gmail.com</t>
  </si>
  <si>
    <t>henriquenas.dev</t>
  </si>
  <si>
    <t>37002358+fabiancrx@users.noreply.github.com</t>
  </si>
  <si>
    <t>37002358+fabiancrx</t>
  </si>
  <si>
    <t>47639380+Snonky@users.noreply.github.com</t>
  </si>
  <si>
    <t>47639380+Snonky</t>
  </si>
  <si>
    <t>69246223+moylanm@users.noreply.github.com</t>
  </si>
  <si>
    <t>69246223+moylanm</t>
  </si>
  <si>
    <t>gipcjs@gmail.com</t>
  </si>
  <si>
    <t>gipcjs</t>
  </si>
  <si>
    <t>tjtanjia.tan@gmail.com</t>
  </si>
  <si>
    <t>tjtanjia.tan</t>
  </si>
  <si>
    <t>paurakh011@gmail.com</t>
  </si>
  <si>
    <t>paurakh011</t>
  </si>
  <si>
    <t>oleh@pryp.in</t>
  </si>
  <si>
    <t>oleh</t>
  </si>
  <si>
    <t>ahmedelsaayid@gmail.com</t>
  </si>
  <si>
    <t>ahmedelsaayid</t>
  </si>
  <si>
    <t>utisam@gmail.com</t>
  </si>
  <si>
    <t>utisam</t>
  </si>
  <si>
    <t>yeasinsheikh50@gmail.com</t>
  </si>
  <si>
    <t>yeasinsheikh50</t>
  </si>
  <si>
    <t>31922733+SwaroopSambhayya@users.noreply.github.com</t>
  </si>
  <si>
    <t>31922733+SwaroopSambhayya</t>
  </si>
  <si>
    <t>dery.ra@gmail.com</t>
  </si>
  <si>
    <t>dery.ra</t>
  </si>
  <si>
    <t>arne@molland.sh</t>
  </si>
  <si>
    <t>arne</t>
  </si>
  <si>
    <t>77465135+cruiser-baxter@users.noreply.github.com</t>
  </si>
  <si>
    <t>77465135+cruiser-baxter</t>
  </si>
  <si>
    <t>william.oprandi+github@gmail.com</t>
  </si>
  <si>
    <t>william.oprandi+github</t>
  </si>
  <si>
    <t>92602467+99spark@users.noreply.github.com</t>
  </si>
  <si>
    <t>92602467+99spark</t>
  </si>
  <si>
    <t>khanhnwin@gmail.com</t>
  </si>
  <si>
    <t>khanhnwin</t>
  </si>
  <si>
    <t>50433979+natsuk4ze@users.noreply.github.com</t>
  </si>
  <si>
    <t>50433979+natsuk4ze</t>
  </si>
  <si>
    <t>vasilich6107@users.noreply.github.com</t>
  </si>
  <si>
    <t>vasilich6107</t>
  </si>
  <si>
    <t>127535196+JsGjKJzi@users.noreply.github.com</t>
  </si>
  <si>
    <t>127535196+JsGjKJzi</t>
  </si>
  <si>
    <t>P.ozzy@outlook.com</t>
  </si>
  <si>
    <t>P.ozzy</t>
  </si>
  <si>
    <t>113669907+NikolajHarderNota@users.noreply.github.com</t>
  </si>
  <si>
    <t>113669907+NikolajHarderNota</t>
  </si>
  <si>
    <t>felangelov@gmail.com</t>
  </si>
  <si>
    <t>felangelov</t>
  </si>
  <si>
    <t>danivangelis@hotmail.com</t>
  </si>
  <si>
    <t>danivangelis</t>
  </si>
  <si>
    <t>77164238+stMerlHin@users.noreply.github.com</t>
  </si>
  <si>
    <t>77164238+stMerlHin</t>
  </si>
  <si>
    <t>35989475+MeandNi@users.noreply.github.com</t>
  </si>
  <si>
    <t>35989475+MeandNi</t>
  </si>
  <si>
    <t>severin.hamader@yahoo.de</t>
  </si>
  <si>
    <t>severin.hamader</t>
  </si>
  <si>
    <t>98486346+lindsaypj@users.noreply.github.com</t>
  </si>
  <si>
    <t>98486346+lindsaypj</t>
  </si>
  <si>
    <t>49291509+albertoazinar@users.noreply.github.com</t>
  </si>
  <si>
    <t>49291509+albertoazinar</t>
  </si>
  <si>
    <t>b7woreo@gmail.com</t>
  </si>
  <si>
    <t>b7woreo</t>
  </si>
  <si>
    <t>68919043+Istiak-Ahmed78@users.noreply.github.com</t>
  </si>
  <si>
    <t>68919043+Istiak-Ahmed78</t>
  </si>
  <si>
    <t>97679004+phlippieb-discovery@users.noreply.github.com</t>
  </si>
  <si>
    <t>97679004+phlippieb-discovery</t>
  </si>
  <si>
    <t>arvinli2020@163.com</t>
  </si>
  <si>
    <t>arvinli2020</t>
  </si>
  <si>
    <t>Hugo3641@gmail.com</t>
  </si>
  <si>
    <t>Hugo3641</t>
  </si>
  <si>
    <t>53330969+9oya@users.noreply.github.com</t>
  </si>
  <si>
    <t>53330969+9oya</t>
  </si>
  <si>
    <t>abadasamuelosp@gmail.com</t>
  </si>
  <si>
    <t>abadasamuelosp</t>
  </si>
  <si>
    <t>warriorharish95668@gmail.com</t>
  </si>
  <si>
    <t>warriorharish95668</t>
  </si>
  <si>
    <t>54718862+mub-pro@users.noreply.github.com</t>
  </si>
  <si>
    <t>54718862+mub-pro</t>
  </si>
  <si>
    <t>gabrielgarciagava@gmail.com</t>
  </si>
  <si>
    <t>gabrielgarciagava</t>
  </si>
  <si>
    <t>micael.santos@quintoandar.com.br</t>
  </si>
  <si>
    <t>micael.santos</t>
  </si>
  <si>
    <t>adityathakurxd@gmail.com</t>
  </si>
  <si>
    <t>adityathakurxd</t>
  </si>
  <si>
    <t>rexios@rexios.dev</t>
  </si>
  <si>
    <t>rexios</t>
  </si>
  <si>
    <t>rexios80@me.com</t>
  </si>
  <si>
    <t>rexios80</t>
  </si>
  <si>
    <t>gregorysconrad@gmail.com</t>
  </si>
  <si>
    <t>gregorysconrad</t>
  </si>
  <si>
    <t>loune@users.noreply.github.com</t>
  </si>
  <si>
    <t>loune</t>
  </si>
  <si>
    <t>sese.tailor@gmx.net</t>
  </si>
  <si>
    <t>sese.tailor</t>
  </si>
  <si>
    <t>vpaladino778@gmail.com</t>
  </si>
  <si>
    <t>vpaladino778</t>
  </si>
  <si>
    <t>jan@kuss.dev</t>
  </si>
  <si>
    <t>103942785+ShibataRyusei@users.noreply.github.com</t>
  </si>
  <si>
    <t>103942785+ShibataRyusei</t>
  </si>
  <si>
    <t>bquinn1992@gmail.com</t>
  </si>
  <si>
    <t>bquinn1992</t>
  </si>
  <si>
    <t>1173285195@qq.com</t>
  </si>
  <si>
    <t>hamilton.reid.baker@gmail.com</t>
  </si>
  <si>
    <t>hamilton.reid.baker</t>
  </si>
  <si>
    <t>micaelcid10@gmail.com</t>
  </si>
  <si>
    <t>micaelcid10</t>
  </si>
  <si>
    <t>josh@jmatth.com</t>
  </si>
  <si>
    <t>73545081+DavideDessi319@users.noreply.github.com</t>
  </si>
  <si>
    <t>73545081+DavideDessi319</t>
  </si>
  <si>
    <t>58129064+Danau5tin@users.noreply.github.com</t>
  </si>
  <si>
    <t>58129064+Danau5tin</t>
  </si>
  <si>
    <t>gonft.paul@gmail.com</t>
  </si>
  <si>
    <t>gonft.paul</t>
  </si>
  <si>
    <t>43476273+JimGerth@users.noreply.github.com</t>
  </si>
  <si>
    <t>43476273+JimGerth</t>
  </si>
  <si>
    <t>skandar_munir@yahoo.com</t>
  </si>
  <si>
    <t>skandar_munir</t>
  </si>
  <si>
    <t>mahan.rahmati@protonmail.com</t>
  </si>
  <si>
    <t>mahan.rahmati</t>
  </si>
  <si>
    <t>32211772+tomohiko-tanihata@users.noreply.github.com</t>
  </si>
  <si>
    <t>32211772+tomohiko-tanihata</t>
  </si>
  <si>
    <t>jchickmm2@gmail.com</t>
  </si>
  <si>
    <t>jchickmm2</t>
  </si>
  <si>
    <t>quantjump@gmail.com</t>
  </si>
  <si>
    <t>quantjump</t>
  </si>
  <si>
    <t>xuelongqy@qq.com</t>
  </si>
  <si>
    <t>xuelongqy</t>
  </si>
  <si>
    <t>n574sp+github@gmail.com</t>
  </si>
  <si>
    <t>n574sp+github</t>
  </si>
  <si>
    <t>37028599+EArminjon@users.noreply.github.com</t>
  </si>
  <si>
    <t>37028599+EArminjon</t>
  </si>
  <si>
    <t>ybz975218925@live.com</t>
  </si>
  <si>
    <t>jan.kuss@yahoo.de</t>
  </si>
  <si>
    <t>jan.kuss</t>
  </si>
  <si>
    <t>Hex574859@outlook.com</t>
  </si>
  <si>
    <t>Hex574859</t>
  </si>
  <si>
    <t>manuel.glenk@protonmail.com</t>
  </si>
  <si>
    <t>manuel.glenk</t>
  </si>
  <si>
    <t>louiseh0313@gmail.com</t>
  </si>
  <si>
    <t>louiseh0313</t>
  </si>
  <si>
    <t>hi@nils.re</t>
  </si>
  <si>
    <t>59848602+MarchMore@users.noreply.github.com</t>
  </si>
  <si>
    <t>59848602+MarchMore</t>
  </si>
  <si>
    <t>43820531+HaroonAwan@users.noreply.github.com</t>
  </si>
  <si>
    <t>43820531+HaroonAwan</t>
  </si>
  <si>
    <t>110958409+crasowas@users.noreply.github.com</t>
  </si>
  <si>
    <t>110958409+crasowas</t>
  </si>
  <si>
    <t>50850142+tneotia@users.noreply.github.com</t>
  </si>
  <si>
    <t>50850142+tneotia</t>
  </si>
  <si>
    <t>40776291+peter-gy@users.noreply.github.com</t>
  </si>
  <si>
    <t>40776291+peter-gy</t>
  </si>
  <si>
    <t>71540402+saminarp@users.noreply.github.com</t>
  </si>
  <si>
    <t>71540402+saminarp</t>
  </si>
  <si>
    <t>79719460+davidlanderos-digital@users.noreply.github.com</t>
  </si>
  <si>
    <t>79719460+davidlanderos-digital</t>
  </si>
  <si>
    <t>lyming90@gmail.com</t>
  </si>
  <si>
    <t>lyming90</t>
  </si>
  <si>
    <t>shogohida@users.noreply.github.com</t>
  </si>
  <si>
    <t>shogohida</t>
  </si>
  <si>
    <t>kugelmann.dennis@gmail.com</t>
  </si>
  <si>
    <t>kugelmann.dennis</t>
  </si>
  <si>
    <t>35917382+IvoB1987@users.noreply.github.com</t>
  </si>
  <si>
    <t>35917382+IvoB1987</t>
  </si>
  <si>
    <t>peixinli@google.com</t>
  </si>
  <si>
    <t>peixinli</t>
  </si>
  <si>
    <t>secugyu@gmail.com</t>
  </si>
  <si>
    <t>secugyu</t>
  </si>
  <si>
    <t>suhw4n@gmail.com</t>
  </si>
  <si>
    <t>suhw4n</t>
  </si>
  <si>
    <t>youchen.du@gmail.com</t>
  </si>
  <si>
    <t>youchen.du</t>
  </si>
  <si>
    <t>morriskurz@gmail.com</t>
  </si>
  <si>
    <t>morriskurz</t>
  </si>
  <si>
    <t>pageli328@gmail.com</t>
  </si>
  <si>
    <t>pageli328</t>
  </si>
  <si>
    <t>52425971+CicadaCinema@users.noreply.github.com</t>
  </si>
  <si>
    <t>52425971+CicadaCinema</t>
  </si>
  <si>
    <t>me@ondrejsimek.com</t>
  </si>
  <si>
    <t>lucas.xu@appflowy.io</t>
  </si>
  <si>
    <t>lucas.xu</t>
  </si>
  <si>
    <t>78251680+Dev-dfm@users.noreply.github.com</t>
  </si>
  <si>
    <t>78251680+Dev-dfm</t>
  </si>
  <si>
    <t>jonathan.goyvaerts@gmail.com</t>
  </si>
  <si>
    <t>jonathan.goyvaerts</t>
  </si>
  <si>
    <t>kuba@codinginfinity.me</t>
  </si>
  <si>
    <t>kuba</t>
  </si>
  <si>
    <t>10687576+bparrishMines@users.noreply.github.com</t>
  </si>
  <si>
    <t>10687576+bparrishMines</t>
  </si>
  <si>
    <t>32213113+blendthink@users.noreply.github.com</t>
  </si>
  <si>
    <t>32213113+blendthink</t>
  </si>
  <si>
    <t>talatelbeick@gmail.com</t>
  </si>
  <si>
    <t>talatelbeick</t>
  </si>
  <si>
    <t>adel.khial@gmail.com</t>
  </si>
  <si>
    <t>adel.khial</t>
  </si>
  <si>
    <t>dominik@roszkowski.dev</t>
  </si>
  <si>
    <t>dominik</t>
  </si>
  <si>
    <t>lucas@britto.dev</t>
  </si>
  <si>
    <t>lucas</t>
  </si>
  <si>
    <t>39864929+Pourqavam@users.noreply.github.com</t>
  </si>
  <si>
    <t>39864929+Pourqavam</t>
  </si>
  <si>
    <t>kyeshimizu@gmail.com</t>
  </si>
  <si>
    <t>kyeshimizu</t>
  </si>
  <si>
    <t>38167511+youssefali424@users.noreply.github.com</t>
  </si>
  <si>
    <t>38167511+youssefali424</t>
  </si>
  <si>
    <t>mail@victoriaash.com</t>
  </si>
  <si>
    <t>17007214+Oleh-Sv@users.noreply.github.com</t>
  </si>
  <si>
    <t>17007214+Oleh-Sv</t>
  </si>
  <si>
    <t>tzvi@melamed.biz</t>
  </si>
  <si>
    <t>tzvi</t>
  </si>
  <si>
    <t>me@alexsandri.com</t>
  </si>
  <si>
    <t>33162310+The-Redhat@users.noreply.github.com</t>
  </si>
  <si>
    <t>33162310+The-Redhat</t>
  </si>
  <si>
    <t>math1man@gmail.com</t>
  </si>
  <si>
    <t>math1man</t>
  </si>
  <si>
    <t>49812476+Hardeepsingh980@users.noreply.github.com</t>
  </si>
  <si>
    <t>49812476+Hardeepsingh980</t>
  </si>
  <si>
    <t>630361743@qq.com</t>
  </si>
  <si>
    <t>58727124+DattatreyaReddy@users.noreply.github.com</t>
  </si>
  <si>
    <t>58727124+DattatreyaReddy</t>
  </si>
  <si>
    <t>62399450+sarannng@users.noreply.github.com</t>
  </si>
  <si>
    <t>62399450+sarannng</t>
  </si>
  <si>
    <t>haizhu12345@gmail.com</t>
  </si>
  <si>
    <t>haizhu12345</t>
  </si>
  <si>
    <t>34774539+robiness@users.noreply.github.com</t>
  </si>
  <si>
    <t>34774539+robiness</t>
  </si>
  <si>
    <t>68549184+Mayb3Nots@users.noreply.github.com</t>
  </si>
  <si>
    <t>68549184+Mayb3Nots</t>
  </si>
  <si>
    <t>yunusbakir92@gmail.com</t>
  </si>
  <si>
    <t>yunusbakir92</t>
  </si>
  <si>
    <t>stonie@me.com</t>
  </si>
  <si>
    <t>stonie</t>
  </si>
  <si>
    <t>zlati.pehlivanov@gmail.com</t>
  </si>
  <si>
    <t>zlati.pehlivanov</t>
  </si>
  <si>
    <t>cavazzonnazareno@gmail.com</t>
  </si>
  <si>
    <t>cavazzonnazareno</t>
  </si>
  <si>
    <t>113372195+prateekbytes@users.noreply.github.com</t>
  </si>
  <si>
    <t>113372195+prateekbytes</t>
  </si>
  <si>
    <t>dev@alestiago.com</t>
  </si>
  <si>
    <t>tom.gilder@codemate.com</t>
  </si>
  <si>
    <t>tom.gilder</t>
  </si>
  <si>
    <t>akshdeep.sr@gmail.com</t>
  </si>
  <si>
    <t>akshdeep.sr</t>
  </si>
  <si>
    <t>33455186+FluentCoding@users.noreply.github.com</t>
  </si>
  <si>
    <t>33455186+FluentCoding</t>
  </si>
  <si>
    <t>85326522+newtaDev@users.noreply.github.com</t>
  </si>
  <si>
    <t>85326522+newtaDev</t>
  </si>
  <si>
    <t>lihaohua90@gmail.com</t>
  </si>
  <si>
    <t>lihaohua90</t>
  </si>
  <si>
    <t>eyebrowsoffire@gmail.com</t>
  </si>
  <si>
    <t>eyebrowsoffire</t>
  </si>
  <si>
    <t>limonadev@gmail.com</t>
  </si>
  <si>
    <t>limonadev</t>
  </si>
  <si>
    <t>warackta@gmail.com</t>
  </si>
  <si>
    <t>warackta</t>
  </si>
  <si>
    <t>24740863+dnys1@users.noreply.github.com</t>
  </si>
  <si>
    <t>24740863+dnys1</t>
  </si>
  <si>
    <t>44302748+otto-dev@users.noreply.github.com</t>
  </si>
  <si>
    <t>44302748+otto-dev</t>
  </si>
  <si>
    <t>xyfqldy@163.com</t>
  </si>
  <si>
    <t>xyfqldy</t>
  </si>
  <si>
    <t>me@parkershepherd.com</t>
  </si>
  <si>
    <t>65375294+snat-s@users.noreply.github.com</t>
  </si>
  <si>
    <t>65375294+snat-s</t>
  </si>
  <si>
    <t>superwong1024@gmail.com</t>
  </si>
  <si>
    <t>superwong1024</t>
  </si>
  <si>
    <t>richkadel@google.com</t>
  </si>
  <si>
    <t>richkadel</t>
  </si>
  <si>
    <t>zhangzhijian.123@bytedance.com</t>
  </si>
  <si>
    <t>zhangzhijian.123</t>
  </si>
  <si>
    <t>100851392+NikosTsesmelis@users.noreply.github.com</t>
  </si>
  <si>
    <t>100851392+NikosTsesmelis</t>
  </si>
  <si>
    <t>65641198+foongsq@users.noreply.github.com</t>
  </si>
  <si>
    <t>65641198+foongsq</t>
  </si>
  <si>
    <t>dev.boluwatife@gmail.com</t>
  </si>
  <si>
    <t>dev.boluwatife</t>
  </si>
  <si>
    <t>talisk@talisk.cn</t>
  </si>
  <si>
    <t>talisk</t>
  </si>
  <si>
    <t>akbiggs@users.noreply.github.com</t>
  </si>
  <si>
    <t>akbiggs</t>
  </si>
  <si>
    <t>kseino808@gmail.com</t>
  </si>
  <si>
    <t>kseino808</t>
  </si>
  <si>
    <t>goddchen@googlemail.com</t>
  </si>
  <si>
    <t>goddchen</t>
  </si>
  <si>
    <t>hacker1024@users.sourceforge.net</t>
  </si>
  <si>
    <t>hacker1024</t>
  </si>
  <si>
    <t>56157868+albinpk@users.noreply.github.com</t>
  </si>
  <si>
    <t>56157868+albinpk</t>
  </si>
  <si>
    <t>rossllewallyn@protonmail.com</t>
  </si>
  <si>
    <t>cedvandenbosch@gmail.com</t>
  </si>
  <si>
    <t>cedvandenbosch</t>
  </si>
  <si>
    <t>contact@benjaminlempereur.com</t>
  </si>
  <si>
    <t>joshuaystang@gmail.com</t>
  </si>
  <si>
    <t>joshuaystang</t>
  </si>
  <si>
    <t>armrest.trimmer.00@icloud.com</t>
  </si>
  <si>
    <t>armrest.trimmer.00</t>
  </si>
  <si>
    <t>justforlxz@gmail.com</t>
  </si>
  <si>
    <t>justforlxz</t>
  </si>
  <si>
    <t>dacianf@users.noreply.github.com</t>
  </si>
  <si>
    <t>dacianf</t>
  </si>
  <si>
    <t>csells@sellsbrothers.com</t>
  </si>
  <si>
    <t>csells</t>
  </si>
  <si>
    <t>wmlckwd@gmail.com</t>
  </si>
  <si>
    <t>wmlckwd</t>
  </si>
  <si>
    <t>davidmigloz@users.noreply.github.com</t>
  </si>
  <si>
    <t>davidmigloz</t>
  </si>
  <si>
    <t>31525418+daniloapr@users.noreply.github.com</t>
  </si>
  <si>
    <t>31525418+daniloapr</t>
  </si>
  <si>
    <t>andree.yosua@gmail.com</t>
  </si>
  <si>
    <t>andree.yosua</t>
  </si>
  <si>
    <t>takayama.kyosuke@zaim.co.jp</t>
  </si>
  <si>
    <t>takayama.kyosuke</t>
  </si>
  <si>
    <t>maistho@gmail.com</t>
  </si>
  <si>
    <t>maistho</t>
  </si>
  <si>
    <t>jeremy@jeremyschlatter.com</t>
  </si>
  <si>
    <t>jeremy</t>
  </si>
  <si>
    <t>prtksu@pm.me</t>
  </si>
  <si>
    <t>prtksu</t>
  </si>
  <si>
    <t>psycho3081@gmail.com</t>
  </si>
  <si>
    <t>psycho3081</t>
  </si>
  <si>
    <t>d.cardona.rojas@gmail.com</t>
  </si>
  <si>
    <t>d.cardona.rojas</t>
  </si>
  <si>
    <t>ramazangevrek@gmail.com</t>
  </si>
  <si>
    <t>ramazangevrek</t>
  </si>
  <si>
    <t>58650422+TowaYamashita@users.noreply.github.com</t>
  </si>
  <si>
    <t>58650422+TowaYamashita</t>
  </si>
  <si>
    <t>57028336+DetachHead@users.noreply.github.com</t>
  </si>
  <si>
    <t>57028336+DetachHead</t>
  </si>
  <si>
    <t>47630729+maxzod@users.noreply.github.com</t>
  </si>
  <si>
    <t>47630729+maxzod</t>
  </si>
  <si>
    <t>janko.djuric22@gmail.com</t>
  </si>
  <si>
    <t>janko.djuric22</t>
  </si>
  <si>
    <t>3519924+guillempuche@users.noreply.github.com</t>
  </si>
  <si>
    <t>3519924+guillempuche</t>
  </si>
  <si>
    <t>81666173+matasb-google@users.noreply.github.com</t>
  </si>
  <si>
    <t>81666173+matasb-google</t>
  </si>
  <si>
    <t>tytaniumdev@gmail.com</t>
  </si>
  <si>
    <t>tytaniumdev</t>
  </si>
  <si>
    <t>kevinjchisholm@gmail.com</t>
  </si>
  <si>
    <t>oysu@naver.com</t>
  </si>
  <si>
    <t>oysu</t>
  </si>
  <si>
    <t>sahaj9917730102@gmail.com</t>
  </si>
  <si>
    <t>sahaj9917730102</t>
  </si>
  <si>
    <t>jon@joelson.co</t>
  </si>
  <si>
    <t>jon</t>
  </si>
  <si>
    <t>80631769+valentinmarq@users.noreply.github.com</t>
  </si>
  <si>
    <t>80631769+valentinmarq</t>
  </si>
  <si>
    <t>45635090+nicolasvac@users.noreply.github.com</t>
  </si>
  <si>
    <t>45635090+nicolasvac</t>
  </si>
  <si>
    <t>jeff@fuzzybinary.com</t>
  </si>
  <si>
    <t>Phelicks@users.noreply.github.com</t>
  </si>
  <si>
    <t>Phelicks</t>
  </si>
  <si>
    <t>rmirzaee98@gmail.com</t>
  </si>
  <si>
    <t>rmirzaee98</t>
  </si>
  <si>
    <t>mathieu.briand@hyprua.org</t>
  </si>
  <si>
    <t>mathieu.briand</t>
  </si>
  <si>
    <t>info@shausdorf.de</t>
  </si>
  <si>
    <t>megette_a@yahoo.com</t>
  </si>
  <si>
    <t>megette_a</t>
  </si>
  <si>
    <t>kirolousnashaatdev@gmail.com</t>
  </si>
  <si>
    <t>kirolousnashaatdev</t>
  </si>
  <si>
    <t>biruolin2021@gmail.com</t>
  </si>
  <si>
    <t>biruolin2021</t>
  </si>
  <si>
    <t>gslender@gmail.com</t>
  </si>
  <si>
    <t>gslender</t>
  </si>
  <si>
    <t>star.kojiki@gmail.com</t>
  </si>
  <si>
    <t>star.kojiki</t>
  </si>
  <si>
    <t>cachapa@gmail.com</t>
  </si>
  <si>
    <t>cachapa</t>
  </si>
  <si>
    <t>mail@michaeltamm.de</t>
  </si>
  <si>
    <t>agianicaio@gmail.com</t>
  </si>
  <si>
    <t>agianicaio</t>
  </si>
  <si>
    <t>36544012+jonas-martinez@users.noreply.github.com</t>
  </si>
  <si>
    <t>36544012+jonas-martinez</t>
  </si>
  <si>
    <t>admin@gdb.kr</t>
  </si>
  <si>
    <t>admin</t>
  </si>
  <si>
    <t>56475207+Dan-Crane@users.noreply.github.com</t>
  </si>
  <si>
    <t>56475207+Dan-Crane</t>
  </si>
  <si>
    <t>ian.powell@geappliances.com</t>
  </si>
  <si>
    <t>ian.powell</t>
  </si>
  <si>
    <t>pbhaumik26@gmail.com</t>
  </si>
  <si>
    <t>pbhaumik26</t>
  </si>
  <si>
    <t>97480502+b-luk@users.noreply.github.com</t>
  </si>
  <si>
    <t>97480502+b-luk</t>
  </si>
  <si>
    <t>fbcouch@gmail.com</t>
  </si>
  <si>
    <t>fbcouch</t>
  </si>
  <si>
    <t>utibeabasiumanah6@gmail.com</t>
  </si>
  <si>
    <t>utibeabasiumanah6</t>
  </si>
  <si>
    <t>dheerajv634@gmail.com</t>
  </si>
  <si>
    <t>dheerajv634</t>
  </si>
  <si>
    <t>20799702+jofas@users.noreply.github.com</t>
  </si>
  <si>
    <t>20799702+jofas</t>
  </si>
  <si>
    <t>46427323+osaxma@users.noreply.github.com</t>
  </si>
  <si>
    <t>46427323+osaxma</t>
  </si>
  <si>
    <t>tugorez@users.noreply.github.com</t>
  </si>
  <si>
    <t>tugorez</t>
  </si>
  <si>
    <t>pranavcosmos4@gmail.com</t>
  </si>
  <si>
    <t>pranavcosmos4</t>
  </si>
  <si>
    <t>konoshenko@surfstudio.ru</t>
  </si>
  <si>
    <t>konoshenko</t>
  </si>
  <si>
    <t>sergey89@gmail.com</t>
  </si>
  <si>
    <t>sergey89</t>
  </si>
  <si>
    <t>ishitatsuyuki@gmail.com</t>
  </si>
  <si>
    <t>ishitatsuyuki</t>
  </si>
  <si>
    <t>AidanMontare@users.noreply.github.com</t>
  </si>
  <si>
    <t>AidanMontare</t>
  </si>
  <si>
    <t>866739+NickAb@users.noreply.github.com</t>
  </si>
  <si>
    <t>866739+NickAb</t>
  </si>
  <si>
    <t>lambda.fairy@gmail.com</t>
  </si>
  <si>
    <t>lambda.fairy</t>
  </si>
  <si>
    <t>43398347+sanlittt@users.noreply.github.com</t>
  </si>
  <si>
    <t>43398347+sanlittt</t>
  </si>
  <si>
    <t>ivan@ivk1800.ru</t>
  </si>
  <si>
    <t>wizz.xu@outlook.com</t>
  </si>
  <si>
    <t>wizz.xu</t>
  </si>
  <si>
    <t>tarekkma@gmail.com</t>
  </si>
  <si>
    <t>tarekkma</t>
  </si>
  <si>
    <t>9575627+Merrit@users.noreply.github.com</t>
  </si>
  <si>
    <t>9575627+Merrit</t>
  </si>
  <si>
    <t>konoshenko.vl@gmail.com</t>
  </si>
  <si>
    <t>konoshenko.vl</t>
  </si>
  <si>
    <t>leo.sale@centraliens-lille.org</t>
  </si>
  <si>
    <t>leo.sale</t>
  </si>
  <si>
    <t>38998344+Reekoooo@users.noreply.github.com</t>
  </si>
  <si>
    <t>38998344+Reekoooo</t>
  </si>
  <si>
    <t>xueruipan@gmail.com</t>
  </si>
  <si>
    <t>xueruipan</t>
  </si>
  <si>
    <t>evanlu361425@gmail.com</t>
  </si>
  <si>
    <t>evanlu361425</t>
  </si>
  <si>
    <t>jbb@netpower.no</t>
  </si>
  <si>
    <t>jbb</t>
  </si>
  <si>
    <t>40259140+dheerajv09@users.noreply.github.com</t>
  </si>
  <si>
    <t>40259140+dheerajv09</t>
  </si>
  <si>
    <t>tuyenvd@newwave.com.vn</t>
  </si>
  <si>
    <t>tuyenvd</t>
  </si>
  <si>
    <t>17406493+everskies@users.noreply.github.com</t>
  </si>
  <si>
    <t>17406493+everskies</t>
  </si>
  <si>
    <t>rileyporter@google.com</t>
  </si>
  <si>
    <t>rileyporter</t>
  </si>
  <si>
    <t>saltedpotatos@users.noreply.github.com</t>
  </si>
  <si>
    <t>saltedpotatos</t>
  </si>
  <si>
    <t>tetsubeg1ner27@gmail.com</t>
  </si>
  <si>
    <t>tetsubeg1ner27</t>
  </si>
  <si>
    <t>shrivastavakartik19@gmail.com</t>
  </si>
  <si>
    <t>shrivastavakartik19</t>
  </si>
  <si>
    <t>polanski.tomek@gmail.com</t>
  </si>
  <si>
    <t>polanski.tomek</t>
  </si>
  <si>
    <t>8847263+littleGnAl@users.noreply.github.com</t>
  </si>
  <si>
    <t>8847263+littleGnAl</t>
  </si>
  <si>
    <t>fernandomoraesprc@gmail.com</t>
  </si>
  <si>
    <t>fernandomoraesprc</t>
  </si>
  <si>
    <t>yk3372@gmail.com</t>
  </si>
  <si>
    <t>yk3372</t>
  </si>
  <si>
    <t>parker.stromberg@gmail.com</t>
  </si>
  <si>
    <t>parker.stromberg</t>
  </si>
  <si>
    <t>developer.a.akira@gmail.com</t>
  </si>
  <si>
    <t>developer.a.akira</t>
  </si>
  <si>
    <t>sbis1999@gmail.com</t>
  </si>
  <si>
    <t>sbis1999</t>
  </si>
  <si>
    <t>45417992+bambinoua@users.noreply.github.com</t>
  </si>
  <si>
    <t>45417992+bambinoua</t>
  </si>
  <si>
    <t>jacob.simionato@gmail.com</t>
  </si>
  <si>
    <t>jacob.simionato</t>
  </si>
  <si>
    <t>slowy.arfy@gmail.com</t>
  </si>
  <si>
    <t>slowy.arfy</t>
  </si>
  <si>
    <t>29384018+deepak-penaganti@users.noreply.github.com</t>
  </si>
  <si>
    <t>29384018+deepak-penaganti</t>
  </si>
  <si>
    <t>iman.neofight@gmail.com</t>
  </si>
  <si>
    <t>iman.neofight</t>
  </si>
  <si>
    <t>alexandre@adaigle.ca</t>
  </si>
  <si>
    <t>alexandre</t>
  </si>
  <si>
    <t>zuvola@gmail.com</t>
  </si>
  <si>
    <t>zuvola</t>
  </si>
  <si>
    <t>32366586+Thomas-Leung@users.noreply.github.com</t>
  </si>
  <si>
    <t>32366586+Thomas-Leung</t>
  </si>
  <si>
    <t>cbsmoothoj@gmail.com</t>
  </si>
  <si>
    <t>cbsmoothoj</t>
  </si>
  <si>
    <t>kalidasvijayabhak@gmail.com</t>
  </si>
  <si>
    <t>kalidasvijayabhak</t>
  </si>
  <si>
    <t>joncgoldberg@gmail.com</t>
  </si>
  <si>
    <t>joncgoldberg</t>
  </si>
  <si>
    <t>caseyrogers@google.com</t>
  </si>
  <si>
    <t>caseyrogers</t>
  </si>
  <si>
    <t>jeff.ward@willowtreeapps.com</t>
  </si>
  <si>
    <t>jeff.ward</t>
  </si>
  <si>
    <t>15215604969@163.com</t>
  </si>
  <si>
    <t>maximtsyba@gmail.com</t>
  </si>
  <si>
    <t>maximtsyba</t>
  </si>
  <si>
    <t>engzerjun@gmail.com</t>
  </si>
  <si>
    <t>engzerjun</t>
  </si>
  <si>
    <t>51116212+KristofHorvath@users.noreply.github.com</t>
  </si>
  <si>
    <t>51116212+KristofHorvath</t>
  </si>
  <si>
    <t>pzahedi1995@gmail.com</t>
  </si>
  <si>
    <t>pzahedi1995</t>
  </si>
  <si>
    <t>74682667+chandarrengoog@users.noreply.github.com</t>
  </si>
  <si>
    <t>74682667+chandarrengoog</t>
  </si>
  <si>
    <t>32459935+ayshiff@users.noreply.github.com</t>
  </si>
  <si>
    <t>32459935+ayshiff</t>
  </si>
  <si>
    <t>tginchev@gmail.com</t>
  </si>
  <si>
    <t>tginchev</t>
  </si>
  <si>
    <t>karol.czeryna@gmail.com</t>
  </si>
  <si>
    <t>karol.czeryna</t>
  </si>
  <si>
    <t>anwilson@google.com</t>
  </si>
  <si>
    <t>hello@wilsonwilson.dev</t>
  </si>
  <si>
    <t>Skogsfrae@users.noreply.github.com</t>
  </si>
  <si>
    <t>Skogsfrae</t>
  </si>
  <si>
    <t>43643339+nohli@users.noreply.github.com</t>
  </si>
  <si>
    <t>43643339+nohli</t>
  </si>
  <si>
    <t>30177329+alex-melnyk@users.noreply.github.com</t>
  </si>
  <si>
    <t>30177329+alex-melnyk</t>
  </si>
  <si>
    <t>ruskryzhanovskiy@gmail.com</t>
  </si>
  <si>
    <t>ruskryzhanovskiy</t>
  </si>
  <si>
    <t>62955947+AsjadSiddiqui@users.noreply.github.com</t>
  </si>
  <si>
    <t>62955947+AsjadSiddiqui</t>
  </si>
  <si>
    <t>david.a.brenner@gmail.com</t>
  </si>
  <si>
    <t>david.a.brenner</t>
  </si>
  <si>
    <t>jayzhuang@google.com</t>
  </si>
  <si>
    <t>jayzhuang</t>
  </si>
  <si>
    <t>sevenid@qq.com</t>
  </si>
  <si>
    <t>sevenid</t>
  </si>
  <si>
    <t>39171814+MahdiGharooni@users.noreply.github.com</t>
  </si>
  <si>
    <t>39171814+MahdiGharooni</t>
  </si>
  <si>
    <t>jayzhuang1990@gmail.com</t>
  </si>
  <si>
    <t>jayzhuang1990</t>
  </si>
  <si>
    <t>martins.andersons@hotmail.com</t>
  </si>
  <si>
    <t>martins.andersons</t>
  </si>
  <si>
    <t>jan.mewes@ks-plus.org</t>
  </si>
  <si>
    <t>jan.mewes</t>
  </si>
  <si>
    <t>19424024@student.hcmus.edu.vn</t>
  </si>
  <si>
    <t>38448133+guihcs@users.noreply.github.com</t>
  </si>
  <si>
    <t>38448133+guihcs</t>
  </si>
  <si>
    <t>linxiaotao1993@gmail.com</t>
  </si>
  <si>
    <t>linxiaotao1993</t>
  </si>
  <si>
    <t>45517430+aminedakhlii@users.noreply.github.com</t>
  </si>
  <si>
    <t>45517430+aminedakhlii</t>
  </si>
  <si>
    <t>kalebhermes@users.noreply.github.com</t>
  </si>
  <si>
    <t>kalebhermes</t>
  </si>
  <si>
    <t>cmc5788@gmail.com</t>
  </si>
  <si>
    <t>cmc5788</t>
  </si>
  <si>
    <t>atrope@users.noreply.github.com</t>
  </si>
  <si>
    <t>atrope</t>
  </si>
  <si>
    <t>1054346243@qq.com</t>
  </si>
  <si>
    <t>douglas.iacovelli@gmail.com</t>
  </si>
  <si>
    <t>douglas.iacovelli</t>
  </si>
  <si>
    <t>argel.bc18@gmail.com</t>
  </si>
  <si>
    <t>argel.bc18</t>
  </si>
  <si>
    <t>cauboy17@naver.com</t>
  </si>
  <si>
    <t>cauboy17</t>
  </si>
  <si>
    <t>trym.nilsen@gmail.com</t>
  </si>
  <si>
    <t>trym.nilsen</t>
  </si>
  <si>
    <t>dave@corpulent.coffee</t>
  </si>
  <si>
    <t>dave</t>
  </si>
  <si>
    <t>40898687+dannyvalentesonos@users.noreply.github.com</t>
  </si>
  <si>
    <t>40898687+dannyvalentesonos</t>
  </si>
  <si>
    <t>ardera@web.de</t>
  </si>
  <si>
    <t>ardera</t>
  </si>
  <si>
    <t>25263378+MaikuB@users.noreply.github.com</t>
  </si>
  <si>
    <t>25263378+MaikuB</t>
  </si>
  <si>
    <t>tapaswisatpanthi@gmail.com</t>
  </si>
  <si>
    <t>tapaswisatpanthi</t>
  </si>
  <si>
    <t>noor@fineswap.com</t>
  </si>
  <si>
    <t>noor</t>
  </si>
  <si>
    <t>Swerdlowbenjamin@gmail.com</t>
  </si>
  <si>
    <t>Swerdlowbenjamin</t>
  </si>
  <si>
    <t>jehunseem@gmail.com</t>
  </si>
  <si>
    <t>jehunseem</t>
  </si>
  <si>
    <t>johannes.vonbargen@njiuko.com</t>
  </si>
  <si>
    <t>johannes.vonbargen</t>
  </si>
  <si>
    <t>david.darrell@gmail.com</t>
  </si>
  <si>
    <t>david.darrell</t>
  </si>
  <si>
    <t>mrx@hcc.im</t>
  </si>
  <si>
    <t>mrx</t>
  </si>
  <si>
    <t>33195487+devahmedsaleh@users.noreply.github.com</t>
  </si>
  <si>
    <t>33195487+devahmedsaleh</t>
  </si>
  <si>
    <t>me@jon.sg</t>
  </si>
  <si>
    <t>Zomtir@users.noreply.github.com</t>
  </si>
  <si>
    <t>Zomtir</t>
  </si>
  <si>
    <t>62933155+2002Bishwajeet@users.noreply.github.com</t>
  </si>
  <si>
    <t>62933155+2002Bishwajeet</t>
  </si>
  <si>
    <t>andresantosuk@googlemail.com</t>
  </si>
  <si>
    <t>andresantosuk</t>
  </si>
  <si>
    <t>62872048+bharat-biradar@users.noreply.github.com</t>
  </si>
  <si>
    <t>62872048+bharat-biradar</t>
  </si>
  <si>
    <t>kinarobin@outlook.com</t>
  </si>
  <si>
    <t>kinarobin</t>
  </si>
  <si>
    <t>imjwilkinson@gmail.com</t>
  </si>
  <si>
    <t>imjwilkinson</t>
  </si>
  <si>
    <t>perqinxie@gmail.com</t>
  </si>
  <si>
    <t>perqinxie</t>
  </si>
  <si>
    <t>danielgomezrico@gmail.com</t>
  </si>
  <si>
    <t>danielgomezrico</t>
  </si>
  <si>
    <t>JonathanPeterCole@gmail.com</t>
  </si>
  <si>
    <t>JonathanPeterCole</t>
  </si>
  <si>
    <t>30459667+allysonjp715@users.noreply.github.com</t>
  </si>
  <si>
    <t>30459667+allysonjp715</t>
  </si>
  <si>
    <t>gw@gwright.org.uk</t>
  </si>
  <si>
    <t>gw</t>
  </si>
  <si>
    <t>afitzgibbon@google.com</t>
  </si>
  <si>
    <t>afitzgibbon</t>
  </si>
  <si>
    <t>117010016@link.cuhk.edu.cn</t>
  </si>
  <si>
    <t>roshanpk.raut@gmail.com</t>
  </si>
  <si>
    <t>roshanpk.raut</t>
  </si>
  <si>
    <t>Hidenori.Matsubayashi@sony.com</t>
  </si>
  <si>
    <t>Hidenori.Matsubayashi</t>
  </si>
  <si>
    <t>178714+mx1up@users.noreply.github.com</t>
  </si>
  <si>
    <t>178714+mx1up</t>
  </si>
  <si>
    <t>irundaia@users.noreply.github.com</t>
  </si>
  <si>
    <t>irundaia</t>
  </si>
  <si>
    <t>71066995+Rashid-Khabeer@users.noreply.github.com</t>
  </si>
  <si>
    <t>71066995+Rashid-Khabeer</t>
  </si>
  <si>
    <t>burekas7@users.noreply.github.com</t>
  </si>
  <si>
    <t>burekas7</t>
  </si>
  <si>
    <t>darkwei233@gmail.com</t>
  </si>
  <si>
    <t>darkwei233</t>
  </si>
  <si>
    <t>jan@fyrastudio.com</t>
  </si>
  <si>
    <t>darshandrander@gmail.com</t>
  </si>
  <si>
    <t>darshandrander</t>
  </si>
  <si>
    <t>git@boehrsi.de</t>
  </si>
  <si>
    <t>yurii.cherniavskyi@gmail.com</t>
  </si>
  <si>
    <t>yurii.cherniavskyi</t>
  </si>
  <si>
    <t>72690828+Muskan4010@users.noreply.github.com</t>
  </si>
  <si>
    <t>72690828+Muskan4010</t>
  </si>
  <si>
    <t>jonasfj@google.com</t>
  </si>
  <si>
    <t>jonasfj</t>
  </si>
  <si>
    <t>mofneko@users.noreply.github.com</t>
  </si>
  <si>
    <t>mofneko</t>
  </si>
  <si>
    <t>clairepdavis@gmail.com</t>
  </si>
  <si>
    <t>clairepdavis</t>
  </si>
  <si>
    <t>vimerzhao@gmail.com</t>
  </si>
  <si>
    <t>vimerzhao</t>
  </si>
  <si>
    <t>oroblesr@users.noreply.github.com</t>
  </si>
  <si>
    <t>oroblesr</t>
  </si>
  <si>
    <t>mail@davidlj95.com</t>
  </si>
  <si>
    <t>41765610+ahyangnb@users.noreply.github.com</t>
  </si>
  <si>
    <t>41765610+ahyangnb</t>
  </si>
  <si>
    <t>ritvij2001@gmail.com</t>
  </si>
  <si>
    <t>ritvij2001</t>
  </si>
  <si>
    <t>40424087+Sameerkash@users.noreply.github.com</t>
  </si>
  <si>
    <t>40424087+Sameerkash</t>
  </si>
  <si>
    <t>jacobaraujo7@gmail.com</t>
  </si>
  <si>
    <t>jacobaraujo7</t>
  </si>
  <si>
    <t>siimkonsap@gmail.com</t>
  </si>
  <si>
    <t>siimkonsap</t>
  </si>
  <si>
    <t>mkiisoft@gmail.com</t>
  </si>
  <si>
    <t>mkiisoft</t>
  </si>
  <si>
    <t>mylaoda@gmail.com</t>
  </si>
  <si>
    <t>mylaoda</t>
  </si>
  <si>
    <t>singhmitesh19@gmail.com</t>
  </si>
  <si>
    <t>singhmitesh19</t>
  </si>
  <si>
    <t>sericmorales@gmail.com</t>
  </si>
  <si>
    <t>sericmorales</t>
  </si>
  <si>
    <t>gabber200@icloud.com</t>
  </si>
  <si>
    <t>gabber200</t>
  </si>
  <si>
    <t>67046386+darshankawar@users.noreply.github.com</t>
  </si>
  <si>
    <t>67046386+darshankawar</t>
  </si>
  <si>
    <t>andrey@kabylin.ru</t>
  </si>
  <si>
    <t>andrey</t>
  </si>
  <si>
    <t>karamage.umauma@gmail.com</t>
  </si>
  <si>
    <t>karamage.umauma</t>
  </si>
  <si>
    <t>park@chulwoo.dev</t>
  </si>
  <si>
    <t>park</t>
  </si>
  <si>
    <t>56909567+IsmailAbdirahman@users.noreply.github.com</t>
  </si>
  <si>
    <t>56909567+IsmailAbdirahman</t>
  </si>
  <si>
    <t>73302775+tiya-google@users.noreply.github.com</t>
  </si>
  <si>
    <t>73302775+tiya-google</t>
  </si>
  <si>
    <t>mail@OmarEmara.dev</t>
  </si>
  <si>
    <t>71957235+sanjoli63@users.noreply.github.com</t>
  </si>
  <si>
    <t>71957235+sanjoli63</t>
  </si>
  <si>
    <t>deadspaceharsh@gmail.com</t>
  </si>
  <si>
    <t>deadspaceharsh</t>
  </si>
  <si>
    <t>chinmay.kabi@live.com</t>
  </si>
  <si>
    <t>chinmay.kabi</t>
  </si>
  <si>
    <t>info@redsolver.net</t>
  </si>
  <si>
    <t>13196475+Playhi@users.noreply.github.com</t>
  </si>
  <si>
    <t>13196475+Playhi</t>
  </si>
  <si>
    <t>10547444+lazylazyllama@users.noreply.github.com</t>
  </si>
  <si>
    <t>10547444+lazylazyllama</t>
  </si>
  <si>
    <t>47818179+arps18@users.noreply.github.com</t>
  </si>
  <si>
    <t>47818179+arps18</t>
  </si>
  <si>
    <t>ybringler@gmail.com</t>
  </si>
  <si>
    <t>ybringler</t>
  </si>
  <si>
    <t>34758667+Thesmader@users.noreply.github.com</t>
  </si>
  <si>
    <t>34758667+Thesmader</t>
  </si>
  <si>
    <t>david.garcialopez@koahealth.com</t>
  </si>
  <si>
    <t>david.garcialopez</t>
  </si>
  <si>
    <t>831355+rokob@users.noreply.github.com</t>
  </si>
  <si>
    <t>831355+rokob</t>
  </si>
  <si>
    <t>abdullahzakir99@gmail.com</t>
  </si>
  <si>
    <t>abdullahzakir99</t>
  </si>
  <si>
    <t>jivansh17@gmail.com</t>
  </si>
  <si>
    <t>jivansh17</t>
  </si>
  <si>
    <t>48344023+chihempat@users.noreply.github.com</t>
  </si>
  <si>
    <t>48344023+chihempat</t>
  </si>
  <si>
    <t>60107328+tadaspetra@users.noreply.github.com</t>
  </si>
  <si>
    <t>60107328+tadaspetra</t>
  </si>
  <si>
    <t>36656347+CaptainIRS@users.noreply.github.com</t>
  </si>
  <si>
    <t>36656347+CaptainIRS</t>
  </si>
  <si>
    <t>suryanshu15@gmail.com</t>
  </si>
  <si>
    <t>suryanshu15</t>
  </si>
  <si>
    <t>tekeshwarsingh2000@gmail.com</t>
  </si>
  <si>
    <t>tekeshwarsingh2000</t>
  </si>
  <si>
    <t>sarbagyastha@gmail.com</t>
  </si>
  <si>
    <t>sarbagyastha</t>
  </si>
  <si>
    <t>svc.github@kdrag0n.dev</t>
  </si>
  <si>
    <t>svc.github</t>
  </si>
  <si>
    <t>roc@fewlaps.com</t>
  </si>
  <si>
    <t>roc</t>
  </si>
  <si>
    <t>48363+Cyp@users.noreply.github.com</t>
  </si>
  <si>
    <t>48363+Cyp</t>
  </si>
  <si>
    <t>tobias-ka@gmx.de</t>
  </si>
  <si>
    <t>tobias-ka</t>
  </si>
  <si>
    <t>git@jaimeblasco.com</t>
  </si>
  <si>
    <t>chretienxavier42@gmail.com</t>
  </si>
  <si>
    <t>chretienxavier42</t>
  </si>
  <si>
    <t>saurik@saurik.com</t>
  </si>
  <si>
    <t>saurik</t>
  </si>
  <si>
    <t>soloss@yandex.ru</t>
  </si>
  <si>
    <t>soloss</t>
  </si>
  <si>
    <t>pranitbrahmbhatt10@gmail.com</t>
  </si>
  <si>
    <t>pranitbrahmbhatt10</t>
  </si>
  <si>
    <t>github@jessebakker.com</t>
  </si>
  <si>
    <t>62820092+Andy-Python-Programmer@users.noreply.github.com</t>
  </si>
  <si>
    <t>62820092+Andy-Python-Programmer</t>
  </si>
  <si>
    <t>edrisian@berkeley.edu</t>
  </si>
  <si>
    <t>edrisian</t>
  </si>
  <si>
    <t>haint.fit12@gmail.com</t>
  </si>
  <si>
    <t>haint.fit12</t>
  </si>
  <si>
    <t>n.sarigul1@gmail.com</t>
  </si>
  <si>
    <t>n.sarigul1</t>
  </si>
  <si>
    <t>awesomedevnotes@gmail.com</t>
  </si>
  <si>
    <t>awesomedevnotes</t>
  </si>
  <si>
    <t>satsukiu@google.com</t>
  </si>
  <si>
    <t>satsukiu</t>
  </si>
  <si>
    <t>dominik003@gmail.com</t>
  </si>
  <si>
    <t>dominik003</t>
  </si>
  <si>
    <t>sedrisian@gmail.com</t>
  </si>
  <si>
    <t>sedrisian</t>
  </si>
  <si>
    <t>show2881@gmail.com</t>
  </si>
  <si>
    <t>show2881</t>
  </si>
  <si>
    <t>zidek.matt@gmail.com</t>
  </si>
  <si>
    <t>zidek.matt</t>
  </si>
  <si>
    <t>arndt@menedev.de</t>
  </si>
  <si>
    <t>arndt</t>
  </si>
  <si>
    <t>christian.muertz@wetteronline.de</t>
  </si>
  <si>
    <t>mfairhurst@google.com</t>
  </si>
  <si>
    <t>mfairhurst</t>
  </si>
  <si>
    <t>satsukiueno@gmail.com</t>
  </si>
  <si>
    <t>satsukiueno</t>
  </si>
  <si>
    <t>63777677+TerrenceAddison@users.noreply.github.com</t>
  </si>
  <si>
    <t>63777677+TerrenceAddison</t>
  </si>
  <si>
    <t>nalegaveshardul40@gmail.com</t>
  </si>
  <si>
    <t>nalegaveshardul40</t>
  </si>
  <si>
    <t>46739111+Aman9026@users.noreply.github.com</t>
  </si>
  <si>
    <t>46739111+Aman9026</t>
  </si>
  <si>
    <t>jaimeblasco97@gmail.com</t>
  </si>
  <si>
    <t>jaimeblasco97</t>
  </si>
  <si>
    <t>365649304@qq.com</t>
  </si>
  <si>
    <t>tom.rivoire82@gmail.com</t>
  </si>
  <si>
    <t>tom.rivoire82</t>
  </si>
  <si>
    <t>kf6gpe@lothlorien.com</t>
  </si>
  <si>
    <t>kf6gpe</t>
  </si>
  <si>
    <t>acaoairy@live.cn</t>
  </si>
  <si>
    <t>acaoairy</t>
  </si>
  <si>
    <t>callumsteele4@users.noreply.github.com</t>
  </si>
  <si>
    <t>callumsteele4</t>
  </si>
  <si>
    <t>meritozh@users.noreply.github.com</t>
  </si>
  <si>
    <t>meritozh</t>
  </si>
  <si>
    <t>45064909+younghwan@users.noreply.github.com</t>
  </si>
  <si>
    <t>45064909+younghwan</t>
  </si>
  <si>
    <t>apurv.bmsit@gmail.com</t>
  </si>
  <si>
    <t>apurv.bmsit</t>
  </si>
  <si>
    <t>67576036+2FFPS@users.noreply.github.com</t>
  </si>
  <si>
    <t>67576036+2FFPS</t>
  </si>
  <si>
    <t>jimmy@robert.cloud</t>
  </si>
  <si>
    <t>jimmy</t>
  </si>
  <si>
    <t>42554671+albertviilik@users.noreply.github.com</t>
  </si>
  <si>
    <t>42554671+albertviilik</t>
  </si>
  <si>
    <t>44539705+parkwonhui@users.noreply.github.com</t>
  </si>
  <si>
    <t>44539705+parkwonhui</t>
  </si>
  <si>
    <t>jianguang.cjg@alibaba-inc.com</t>
  </si>
  <si>
    <t>jianguang.cjg</t>
  </si>
  <si>
    <t>Alibaba</t>
  </si>
  <si>
    <t>docdecdoc@hotmail.com</t>
  </si>
  <si>
    <t>docdecdoc</t>
  </si>
  <si>
    <t>philip.sieder@gmx.de</t>
  </si>
  <si>
    <t>philip.sieder</t>
  </si>
  <si>
    <t>chaselatta@google.com</t>
  </si>
  <si>
    <t>2993595+guolinaileen@users.noreply.github.com</t>
  </si>
  <si>
    <t>2993595+guolinaileen</t>
  </si>
  <si>
    <t>45826892+rustom-ichhaporia@users.noreply.github.com</t>
  </si>
  <si>
    <t>45826892+rustom-ichhaporia</t>
  </si>
  <si>
    <t>iapicca@gmail.com</t>
  </si>
  <si>
    <t>iapicca</t>
  </si>
  <si>
    <t>42624236+TutOsirisOm@users.noreply.github.com</t>
  </si>
  <si>
    <t>42624236+TutOsirisOm</t>
  </si>
  <si>
    <t>ayaankhan98@gmail.com</t>
  </si>
  <si>
    <t>ayaankhan98</t>
  </si>
  <si>
    <t>norbertkozsir@gmail.com</t>
  </si>
  <si>
    <t>norbertkozsir</t>
  </si>
  <si>
    <t>xiaoranran1993@outlook.com</t>
  </si>
  <si>
    <t>xiaoranran1993</t>
  </si>
  <si>
    <t>ruskakimov@gmail.com</t>
  </si>
  <si>
    <t>ruskakimov</t>
  </si>
  <si>
    <t>songyi0207@gmail.com</t>
  </si>
  <si>
    <t>songyi0207</t>
  </si>
  <si>
    <t>6648049+TooYoungTooSimp@users.noreply.github.com</t>
  </si>
  <si>
    <t>6648049+TooYoungTooSimp</t>
  </si>
  <si>
    <t>15081137778@163.com</t>
  </si>
  <si>
    <t>admin@otokaze.cn</t>
  </si>
  <si>
    <t>46089773+iJimmyWei@users.noreply.github.com</t>
  </si>
  <si>
    <t>46089773+iJimmyWei</t>
  </si>
  <si>
    <t>fabgraphicsng@gmail.com</t>
  </si>
  <si>
    <t>fabgraphicsng</t>
  </si>
  <si>
    <t>weber.max@mail.de</t>
  </si>
  <si>
    <t>weber.max</t>
  </si>
  <si>
    <t>rdrgn@users.noreply.github.com</t>
  </si>
  <si>
    <t>rdrgn</t>
  </si>
  <si>
    <t>kern.cheh@gmail.com</t>
  </si>
  <si>
    <t>kern.cheh</t>
  </si>
  <si>
    <t>natanportilho@outlook.com</t>
  </si>
  <si>
    <t>natanportilho</t>
  </si>
  <si>
    <t>zl398833@alibaba-inc.com</t>
  </si>
  <si>
    <t>zl398833</t>
  </si>
  <si>
    <t>58389222+giga10@users.noreply.github.com</t>
  </si>
  <si>
    <t>58389222+giga10</t>
  </si>
  <si>
    <t>hiramprasad@gmail.com</t>
  </si>
  <si>
    <t>hiramprasad</t>
  </si>
  <si>
    <t>jverkoey@gmail.com</t>
  </si>
  <si>
    <t>jverkoey</t>
  </si>
  <si>
    <t>alberto.monteiro@live.com</t>
  </si>
  <si>
    <t>alberto.monteiro</t>
  </si>
  <si>
    <t>dworsham@google.com</t>
  </si>
  <si>
    <t>dworsham</t>
  </si>
  <si>
    <t>craig@blackdogfoundry.com</t>
  </si>
  <si>
    <t>craig</t>
  </si>
  <si>
    <t>yongjhih@gmail.com</t>
  </si>
  <si>
    <t>yongjhih</t>
  </si>
  <si>
    <t>diego.domingues16@gmail.com</t>
  </si>
  <si>
    <t>diego.domingues16</t>
  </si>
  <si>
    <t>rosenthalm93@gmail.com</t>
  </si>
  <si>
    <t>rosenthalm93</t>
  </si>
  <si>
    <t>anton.duzenko@gmail.com</t>
  </si>
  <si>
    <t>anton.duzenko</t>
  </si>
  <si>
    <t>groumanis@gmail.com</t>
  </si>
  <si>
    <t>groumanis</t>
  </si>
  <si>
    <t>wjq1015@gmail.com</t>
  </si>
  <si>
    <t>wjq1015</t>
  </si>
  <si>
    <t>65178249+dev-aentgs@users.noreply.github.com</t>
  </si>
  <si>
    <t>65178249+dev-aentgs</t>
  </si>
  <si>
    <t>mrienstra@gmail.com</t>
  </si>
  <si>
    <t>mrienstra</t>
  </si>
  <si>
    <t>jed.brennen@sage.com</t>
  </si>
  <si>
    <t>jed.brennen</t>
  </si>
  <si>
    <t>Sage</t>
  </si>
  <si>
    <t>liufengkai@bytedance.com</t>
  </si>
  <si>
    <t>liufengkai</t>
  </si>
  <si>
    <t>melnikmk@gmail.com</t>
  </si>
  <si>
    <t>melnikmk</t>
  </si>
  <si>
    <t>61107922+VisheshAtWork@users.noreply.github.com</t>
  </si>
  <si>
    <t>61107922+VisheshAtWork</t>
  </si>
  <si>
    <t>bagira00@hotmail.com</t>
  </si>
  <si>
    <t>bagira00</t>
  </si>
  <si>
    <t>themarcustomlinson@gmail.com</t>
  </si>
  <si>
    <t>themarcustomlinson</t>
  </si>
  <si>
    <t>helin.shiah@gmail.com</t>
  </si>
  <si>
    <t>helin.shiah</t>
  </si>
  <si>
    <t>kaparray@gmail.com</t>
  </si>
  <si>
    <t>kaparray</t>
  </si>
  <si>
    <t>ken@vandine.org</t>
  </si>
  <si>
    <t>596017443@qq.com</t>
  </si>
  <si>
    <t>40409839+cg021@users.noreply.github.com</t>
  </si>
  <si>
    <t>40409839+cg021</t>
  </si>
  <si>
    <t>ethan@pcsforme.com</t>
  </si>
  <si>
    <t>enolcasielles@gmail.com</t>
  </si>
  <si>
    <t>enolcasielles</t>
  </si>
  <si>
    <t>coin3x@users.noreply.github.com</t>
  </si>
  <si>
    <t>coin3x</t>
  </si>
  <si>
    <t>nioncode+github@gmail.com</t>
  </si>
  <si>
    <t>nioncode+github</t>
  </si>
  <si>
    <t>48586959+snyiuan@users.noreply.github.com</t>
  </si>
  <si>
    <t>48586959+snyiuan</t>
  </si>
  <si>
    <t>robert.ancell@gmail.com</t>
  </si>
  <si>
    <t>gmoothart@gmail.com</t>
  </si>
  <si>
    <t>gmoothart</t>
  </si>
  <si>
    <t>chenglu@users.noreply.github.com</t>
  </si>
  <si>
    <t>chenglu</t>
  </si>
  <si>
    <t>45619570+msmolkin@users.noreply.github.com</t>
  </si>
  <si>
    <t>45619570+msmolkin</t>
  </si>
  <si>
    <t>mbixjkee1392@gmail.com</t>
  </si>
  <si>
    <t>mbixjkee1392</t>
  </si>
  <si>
    <t>davidmorgan@google.com</t>
  </si>
  <si>
    <t>davidmorgan</t>
  </si>
  <si>
    <t>daohoangson@gmail.com</t>
  </si>
  <si>
    <t>daohoangson</t>
  </si>
  <si>
    <t>mtm3725@gmail.com</t>
  </si>
  <si>
    <t>mtm3725</t>
  </si>
  <si>
    <t>tommy.mladenov@gmail.com</t>
  </si>
  <si>
    <t>tommy.mladenov</t>
  </si>
  <si>
    <t>guyliv@google.com</t>
  </si>
  <si>
    <t>guyliv</t>
  </si>
  <si>
    <t>36575651+LeonardoEmili@users.noreply.github.com</t>
  </si>
  <si>
    <t>36575651+LeonardoEmili</t>
  </si>
  <si>
    <t>trueberserker@gmail.com</t>
  </si>
  <si>
    <t>trueberserker</t>
  </si>
  <si>
    <t>aubrey@bigsur.com</t>
  </si>
  <si>
    <t>aubrey</t>
  </si>
  <si>
    <t>herbert.github@m.poul.at</t>
  </si>
  <si>
    <t>herbert.github</t>
  </si>
  <si>
    <t>nemath.ahmed14@gmail.com</t>
  </si>
  <si>
    <t>nemath.ahmed14</t>
  </si>
  <si>
    <t>61600502+EricEnslen@users.noreply.github.com</t>
  </si>
  <si>
    <t>61600502+EricEnslen</t>
  </si>
  <si>
    <t>10289829+AnisovAleksey@users.noreply.github.com</t>
  </si>
  <si>
    <t>10289829+AnisovAleksey</t>
  </si>
  <si>
    <t>impure86@gmail.com</t>
  </si>
  <si>
    <t>impure86</t>
  </si>
  <si>
    <t>marc.planolesay@gmail.com</t>
  </si>
  <si>
    <t>marc.planolesay</t>
  </si>
  <si>
    <t>cjng96@gmail.com</t>
  </si>
  <si>
    <t>cjng96</t>
  </si>
  <si>
    <t>mimam@nibss-plc.com.ng</t>
  </si>
  <si>
    <t>mimam</t>
  </si>
  <si>
    <t>37606102+nujz@users.noreply.github.com</t>
  </si>
  <si>
    <t>37606102+nujz</t>
  </si>
  <si>
    <t>11879032+Dmitry-Borodin@users.noreply.github.com</t>
  </si>
  <si>
    <t>11879032+Dmitry-Borodin</t>
  </si>
  <si>
    <t>aoisensi@users.noreply.github.com</t>
  </si>
  <si>
    <t>aoisensi</t>
  </si>
  <si>
    <t>adityap.star@gmail.com</t>
  </si>
  <si>
    <t>adityap.star</t>
  </si>
  <si>
    <t>jussi@aprikoodi.fi</t>
  </si>
  <si>
    <t>jussi</t>
  </si>
  <si>
    <t>eernst@google.com</t>
  </si>
  <si>
    <t>eernst</t>
  </si>
  <si>
    <t>45015975+JosepBove@users.noreply.github.com</t>
  </si>
  <si>
    <t>45015975+JosepBove</t>
  </si>
  <si>
    <t>37025527+fingeg@users.noreply.github.com</t>
  </si>
  <si>
    <t>37025527+fingeg</t>
  </si>
  <si>
    <t>chad.nehemiah94@gmail.com</t>
  </si>
  <si>
    <t>chad.nehemiah94</t>
  </si>
  <si>
    <t>mike.rogem002@gmail.com</t>
  </si>
  <si>
    <t>mike.rogem002</t>
  </si>
  <si>
    <t>zsunkun@163.com</t>
  </si>
  <si>
    <t>zsunkun</t>
  </si>
  <si>
    <t>1065239881@qq.com</t>
  </si>
  <si>
    <t>c9n@users.noreply.github.com</t>
  </si>
  <si>
    <t>c9n</t>
  </si>
  <si>
    <t>53324291+aadarsh-patel@users.noreply.github.com</t>
  </si>
  <si>
    <t>53324291+aadarsh-patel</t>
  </si>
  <si>
    <t>ttanatb@gmail.com</t>
  </si>
  <si>
    <t>ttanatb</t>
  </si>
  <si>
    <t>albertusangga.98@gmail.com</t>
  </si>
  <si>
    <t>albertusangga.98</t>
  </si>
  <si>
    <t>arthurdenner7@gmail.com</t>
  </si>
  <si>
    <t>arthurdenner7</t>
  </si>
  <si>
    <t>15603990+AnthonyMansour@users.noreply.github.com</t>
  </si>
  <si>
    <t>15603990+AnthonyMansour</t>
  </si>
  <si>
    <t>exts@users.noreply.github.com</t>
  </si>
  <si>
    <t>exts</t>
  </si>
  <si>
    <t>filip1997.28@mail.ru</t>
  </si>
  <si>
    <t>filip1997.28</t>
  </si>
  <si>
    <t>42838469+YizhePKU@users.noreply.github.com</t>
  </si>
  <si>
    <t>42838469+YizhePKU</t>
  </si>
  <si>
    <t>levilesches@gmail.com</t>
  </si>
  <si>
    <t>levilesches</t>
  </si>
  <si>
    <t>gityuan@gmail.com</t>
  </si>
  <si>
    <t>gityuan</t>
  </si>
  <si>
    <t>mehmetoguzderin@mehmetoguzderin.com</t>
  </si>
  <si>
    <t>mehmetoguzderin</t>
  </si>
  <si>
    <t>45517515+ZichangG@users.noreply.github.com</t>
  </si>
  <si>
    <t>45517515+ZichangG</t>
  </si>
  <si>
    <t>bjlclc@gmail.com</t>
  </si>
  <si>
    <t>bjlclc</t>
  </si>
  <si>
    <t>matthewcliatt@gmail.com</t>
  </si>
  <si>
    <t>matthewcliatt</t>
  </si>
  <si>
    <t>solid.goncalo@gmail.com</t>
  </si>
  <si>
    <t>solid.goncalo</t>
  </si>
  <si>
    <t>okkanan@hotmail.com</t>
  </si>
  <si>
    <t>okkanan</t>
  </si>
  <si>
    <t>cedi.wyss@gmail.com</t>
  </si>
  <si>
    <t>cedi.wyss</t>
  </si>
  <si>
    <t>42569602+mayabyte@users.noreply.github.com</t>
  </si>
  <si>
    <t>42569602+mayabyte</t>
  </si>
  <si>
    <t>gerritwh@users.noreply.github.com</t>
  </si>
  <si>
    <t>gerritwh</t>
  </si>
  <si>
    <t>info@marius-meissner.net</t>
  </si>
  <si>
    <t>wise86android@gmail.com</t>
  </si>
  <si>
    <t>wise86android</t>
  </si>
  <si>
    <t>gityuan@qq.com</t>
  </si>
  <si>
    <t>jwhite@thinkdigital.software</t>
  </si>
  <si>
    <t>jwhite</t>
  </si>
  <si>
    <t>hello@chenyumin.com</t>
  </si>
  <si>
    <t>kalilgamer0@gmail.com</t>
  </si>
  <si>
    <t>kalilgamer0</t>
  </si>
  <si>
    <t>scotty.hyndman@gmail.com</t>
  </si>
  <si>
    <t>scotty.hyndman</t>
  </si>
  <si>
    <t>alek.astrom@gmail.com</t>
  </si>
  <si>
    <t>alek.astrom</t>
  </si>
  <si>
    <t>ybbaigo@gmail.com</t>
  </si>
  <si>
    <t>ybbaigo</t>
  </si>
  <si>
    <t>wapa5pow@gmail.com</t>
  </si>
  <si>
    <t>wapa5pow</t>
  </si>
  <si>
    <t>amr.farid140@gmail.com</t>
  </si>
  <si>
    <t>amr.farid140</t>
  </si>
  <si>
    <t>1652219550a@gmail.com</t>
  </si>
  <si>
    <t>1652219550a</t>
  </si>
  <si>
    <t>jamesgeorge998001@gmail.com</t>
  </si>
  <si>
    <t>jamesgeorge998001</t>
  </si>
  <si>
    <t>egiso321@gmail.com</t>
  </si>
  <si>
    <t>egiso321</t>
  </si>
  <si>
    <t>poprosturonin@gmail.com</t>
  </si>
  <si>
    <t>poprosturonin</t>
  </si>
  <si>
    <t>afzaal-ahmad-zeeshan@users.noreply.github.com</t>
  </si>
  <si>
    <t>afzaal-ahmad-zeeshan</t>
  </si>
  <si>
    <t>s.okita.dev@gmail.com</t>
  </si>
  <si>
    <t>s.okita.dev</t>
  </si>
  <si>
    <t>thalles.rss@gmail.com</t>
  </si>
  <si>
    <t>thalles.rss</t>
  </si>
  <si>
    <t>niks.mbox@gmail.com</t>
  </si>
  <si>
    <t>niks.mbox</t>
  </si>
  <si>
    <t>nbosch1@gmail.com</t>
  </si>
  <si>
    <t>nbosch1</t>
  </si>
  <si>
    <t>lmckenzie@users.noreply.github.com</t>
  </si>
  <si>
    <t>lmckenzie</t>
  </si>
  <si>
    <t>jeff.quesado@gmail.com</t>
  </si>
  <si>
    <t>jeff.quesado</t>
  </si>
  <si>
    <t>jfedor@jfedor.org</t>
  </si>
  <si>
    <t>jfedor</t>
  </si>
  <si>
    <t>boehrsii@gmail.com</t>
  </si>
  <si>
    <t>boehrsii</t>
  </si>
  <si>
    <t>adityaas26@gmail.com</t>
  </si>
  <si>
    <t>adityaas26</t>
  </si>
  <si>
    <t>jimmy.aumard@gmail.com</t>
  </si>
  <si>
    <t>jimmy.aumard</t>
  </si>
  <si>
    <t>ivanov.alexey.92@gmail.com</t>
  </si>
  <si>
    <t>ivanov.alexey.92</t>
  </si>
  <si>
    <t>19950180+keshava19@users.noreply.github.com</t>
  </si>
  <si>
    <t>19950180+keshava19</t>
  </si>
  <si>
    <t>sscsps@gmail.com</t>
  </si>
  <si>
    <t>sscsps</t>
  </si>
  <si>
    <t>kumabotz@users.noreply.github.com</t>
  </si>
  <si>
    <t>kumabotz</t>
  </si>
  <si>
    <t>31253215+AppleEducate@users.noreply.github.com</t>
  </si>
  <si>
    <t>31253215+AppleEducate</t>
  </si>
  <si>
    <t>1541038+josh-ksr@users.noreply.github.com</t>
  </si>
  <si>
    <t>1541038+josh-ksr</t>
  </si>
  <si>
    <t>orischwartz@users.noreply.github.com</t>
  </si>
  <si>
    <t>orischwartz</t>
  </si>
  <si>
    <t>kristinho@berkeley.edu</t>
  </si>
  <si>
    <t>kristinho</t>
  </si>
  <si>
    <t>zyy@imzyy.com</t>
  </si>
  <si>
    <t>zyy</t>
  </si>
  <si>
    <t>github@sarbagyastha.com.np</t>
  </si>
  <si>
    <t>33704713+WalidEll@users.noreply.github.com</t>
  </si>
  <si>
    <t>33704713+WalidEll</t>
  </si>
  <si>
    <t>vramana98@gmail.com</t>
  </si>
  <si>
    <t>vramana98</t>
  </si>
  <si>
    <t>ryenus@gmail.com</t>
  </si>
  <si>
    <t>ryenus</t>
  </si>
  <si>
    <t>nigel.gott@gmail.com</t>
  </si>
  <si>
    <t>nigel.gott</t>
  </si>
  <si>
    <t>49772408+interruptinuse@users.noreply.github.com</t>
  </si>
  <si>
    <t>49772408+interruptinuse</t>
  </si>
  <si>
    <t>andrjuwkoy@gmail.com</t>
  </si>
  <si>
    <t>andrjuwkoy</t>
  </si>
  <si>
    <t>cyang8954@gmail.com</t>
  </si>
  <si>
    <t>cyang8954</t>
  </si>
  <si>
    <t>ingo.reinhart@gmail.com</t>
  </si>
  <si>
    <t>ingo.reinhart</t>
  </si>
  <si>
    <t>sutou.masasi@gmail.com</t>
  </si>
  <si>
    <t>sutou.masasi</t>
  </si>
  <si>
    <t>53703092+walsha2@users.noreply.github.com</t>
  </si>
  <si>
    <t>53703092+walsha2</t>
  </si>
  <si>
    <t>groovinchip@gmail.com</t>
  </si>
  <si>
    <t>groovinchip</t>
  </si>
  <si>
    <t>martin.kamleithner@gmail.com</t>
  </si>
  <si>
    <t>martin.kamleithner</t>
  </si>
  <si>
    <t>mike.s.hatch@gmail.com</t>
  </si>
  <si>
    <t>mike.s.hatch</t>
  </si>
  <si>
    <t>47990899+brettfingo@users.noreply.github.com</t>
  </si>
  <si>
    <t>47990899+brettfingo</t>
  </si>
  <si>
    <t>simpson.jason.r@gmail.com</t>
  </si>
  <si>
    <t>simpson.jason.r</t>
  </si>
  <si>
    <t>yangbinyhbn@gmail.com</t>
  </si>
  <si>
    <t>yangbinyhbn</t>
  </si>
  <si>
    <t>31468022+hey24sheep@users.noreply.github.com</t>
  </si>
  <si>
    <t>31468022+hey24sheep</t>
  </si>
  <si>
    <t>16367697+anoop-b@users.noreply.github.com</t>
  </si>
  <si>
    <t>16367697+anoop-b</t>
  </si>
  <si>
    <t>aldeka@aldeka.net</t>
  </si>
  <si>
    <t>aldeka</t>
  </si>
  <si>
    <t>39532556+hizzd@users.noreply.github.com</t>
  </si>
  <si>
    <t>39532556+hizzd</t>
  </si>
  <si>
    <t>kasperkh.kh@gmail.com</t>
  </si>
  <si>
    <t>kasperkh.kh</t>
  </si>
  <si>
    <t>44171190+miDeb@users.noreply.github.com</t>
  </si>
  <si>
    <t>44171190+miDeb</t>
  </si>
  <si>
    <t>whj929159021@hotmail.com</t>
  </si>
  <si>
    <t>whj929159021</t>
  </si>
  <si>
    <t>vanlooverenkoen.dev@gmail.com</t>
  </si>
  <si>
    <t>vanlooverenkoen.dev</t>
  </si>
  <si>
    <t>31780866+a-deeb@users.noreply.github.com</t>
  </si>
  <si>
    <t>31780866+a-deeb</t>
  </si>
  <si>
    <t>simonit.orig@gmail.com</t>
  </si>
  <si>
    <t>simonit.orig</t>
  </si>
  <si>
    <t>4008993+brandon-irl@users.noreply.github.com</t>
  </si>
  <si>
    <t>4008993+brandon-irl</t>
  </si>
  <si>
    <t>luizdubas@gmail.com</t>
  </si>
  <si>
    <t>luizdubas</t>
  </si>
  <si>
    <t>mcrovero@gmail.com</t>
  </si>
  <si>
    <t>mcrovero</t>
  </si>
  <si>
    <t>lorenz.nickel@gmx.net</t>
  </si>
  <si>
    <t>lorenz.nickel</t>
  </si>
  <si>
    <t>riccardoratta@gmail.com</t>
  </si>
  <si>
    <t>riccardoratta</t>
  </si>
  <si>
    <t>github@matthewlloyd.net</t>
  </si>
  <si>
    <t>yahengzheng@163.com</t>
  </si>
  <si>
    <t>yahengzheng</t>
  </si>
  <si>
    <t>tiziano.munegato@gmail.com</t>
  </si>
  <si>
    <t>tiziano.munegato</t>
  </si>
  <si>
    <t>Simon@Binder-online.biz</t>
  </si>
  <si>
    <t>Simon</t>
  </si>
  <si>
    <t>tektasfurkan@gmail.com</t>
  </si>
  <si>
    <t>tektasfurkan</t>
  </si>
  <si>
    <t>sortie@google.com</t>
  </si>
  <si>
    <t>sortie</t>
  </si>
  <si>
    <t>diego.velasquez.lopez@gmail.com</t>
  </si>
  <si>
    <t>diego.velasquez.lopez</t>
  </si>
  <si>
    <t>vgm.maraccini@gmail.com</t>
  </si>
  <si>
    <t>vgm.maraccini</t>
  </si>
  <si>
    <t>zaitsev.dl@gmail.com</t>
  </si>
  <si>
    <t>zaitsev.dl</t>
  </si>
  <si>
    <t>kent.boogaart@gmail.com</t>
  </si>
  <si>
    <t>kent.boogaart</t>
  </si>
  <si>
    <t>rostopiradv@gmail.com</t>
  </si>
  <si>
    <t>rostopiradv</t>
  </si>
  <si>
    <t>arbreng@gmail.com</t>
  </si>
  <si>
    <t>arbreng</t>
  </si>
  <si>
    <t>champeauxr@users.noreply.github.com</t>
  </si>
  <si>
    <t>champeauxr</t>
  </si>
  <si>
    <t>shali3@gmail.com</t>
  </si>
  <si>
    <t>shali3</t>
  </si>
  <si>
    <t>haddadi.taym@gmail.com</t>
  </si>
  <si>
    <t>haddadi.taym</t>
  </si>
  <si>
    <t>whhone@gmail.com</t>
  </si>
  <si>
    <t>whhone</t>
  </si>
  <si>
    <t>rmtmckenzie@gmail.com</t>
  </si>
  <si>
    <t>rmtmckenzie</t>
  </si>
  <si>
    <t>25540019+michdud@users.noreply.github.com</t>
  </si>
  <si>
    <t>25540019+michdud</t>
  </si>
  <si>
    <t>nikitadauhashei@gmail.com</t>
  </si>
  <si>
    <t>nikitadauhashei</t>
  </si>
  <si>
    <t>dacaiguoguo@gmail.com</t>
  </si>
  <si>
    <t>dacaiguoguo</t>
  </si>
  <si>
    <t>dr.potapoff.peter@gmail.com</t>
  </si>
  <si>
    <t>dr.potapoff.peter</t>
  </si>
  <si>
    <t>hyjfine@gmail.com</t>
  </si>
  <si>
    <t>hyjfine</t>
  </si>
  <si>
    <t>luka.knezic@gmail.com</t>
  </si>
  <si>
    <t>luka.knezic</t>
  </si>
  <si>
    <t>rkinabhi@gmail.com</t>
  </si>
  <si>
    <t>rkinabhi</t>
  </si>
  <si>
    <t>skshayne@gmail.com</t>
  </si>
  <si>
    <t>skshayne</t>
  </si>
  <si>
    <t>lattpriit@gmail.com</t>
  </si>
  <si>
    <t>lattpriit</t>
  </si>
  <si>
    <t>ivanschuetz@gmail.com</t>
  </si>
  <si>
    <t>ivanschuetz</t>
  </si>
  <si>
    <t>christian@wenz.org</t>
  </si>
  <si>
    <t>christian</t>
  </si>
  <si>
    <t>michael@leonhardllc.com</t>
  </si>
  <si>
    <t>38793207+seendsouza@users.noreply.github.com</t>
  </si>
  <si>
    <t>38793207+seendsouza</t>
  </si>
  <si>
    <t>awazgyawali@gmail.com</t>
  </si>
  <si>
    <t>awazgyawali</t>
  </si>
  <si>
    <t>tlonoy@gmail.com</t>
  </si>
  <si>
    <t>tlonoy</t>
  </si>
  <si>
    <t>gueler@karlmax-berlin.com</t>
  </si>
  <si>
    <t>gueler</t>
  </si>
  <si>
    <t>boytheprodigy@gmail.com</t>
  </si>
  <si>
    <t>boytheprodigy</t>
  </si>
  <si>
    <t>josh.a.seaton@gmail.com</t>
  </si>
  <si>
    <t>josh.a.seaton</t>
  </si>
  <si>
    <t>11873270+jayoung-lee@users.noreply.github.com</t>
  </si>
  <si>
    <t>11873270+jayoung-lee</t>
  </si>
  <si>
    <t>32370728+shivamvk@users.noreply.github.com</t>
  </si>
  <si>
    <t>32370728+shivamvk</t>
  </si>
  <si>
    <t>tje3d@yahoo.com</t>
  </si>
  <si>
    <t>tje3d</t>
  </si>
  <si>
    <t>lartisanducode@gmail.com</t>
  </si>
  <si>
    <t>lartisanducode</t>
  </si>
  <si>
    <t>brandonrrodriguez@gmail.com</t>
  </si>
  <si>
    <t>brandonrrodriguez</t>
  </si>
  <si>
    <t>bryanhenry@mac.com</t>
  </si>
  <si>
    <t>bryanhenry</t>
  </si>
  <si>
    <t>mike.roosa@gmail.com</t>
  </si>
  <si>
    <t>mike.roosa</t>
  </si>
  <si>
    <t>p30arena@gmail.com</t>
  </si>
  <si>
    <t>p30arena</t>
  </si>
  <si>
    <t>super.jake@hotmail.co.uk</t>
  </si>
  <si>
    <t>super.jake</t>
  </si>
  <si>
    <t>elizarov.vanya@gmail.com</t>
  </si>
  <si>
    <t>elizarov.vanya</t>
  </si>
  <si>
    <t>aryzhov07@gmail.com</t>
  </si>
  <si>
    <t>aryzhov07</t>
  </si>
  <si>
    <t>lext.nobody@outlook.com</t>
  </si>
  <si>
    <t>lext.nobody</t>
  </si>
  <si>
    <t>mohammadhi@gmail.com</t>
  </si>
  <si>
    <t>mohammadhi</t>
  </si>
  <si>
    <t>H3r3zy@users.noreply.github.com</t>
  </si>
  <si>
    <t>H3r3zy</t>
  </si>
  <si>
    <t>rhcarvalho@gmail.com</t>
  </si>
  <si>
    <t>rhcarvalho</t>
  </si>
  <si>
    <t>jonny.andrew@gmail.com</t>
  </si>
  <si>
    <t>jonny.andrew</t>
  </si>
  <si>
    <t>msal4@outlook.com</t>
  </si>
  <si>
    <t>msal4</t>
  </si>
  <si>
    <t>JeffScaturro@users.noreply.github.com</t>
  </si>
  <si>
    <t>JeffScaturro</t>
  </si>
  <si>
    <t>akindone@163.com</t>
  </si>
  <si>
    <t>akindone</t>
  </si>
  <si>
    <t>mail@flschweiger.net</t>
  </si>
  <si>
    <t>E.M.terHoeven@student.tudelft.nl</t>
  </si>
  <si>
    <t>E.M.terHoeven</t>
  </si>
  <si>
    <t>kpozin@google.com</t>
  </si>
  <si>
    <t>kpozin</t>
  </si>
  <si>
    <t>torben_sch@hotmail.com</t>
  </si>
  <si>
    <t>torben_sch</t>
  </si>
  <si>
    <t>lu.zuccarini@gmail.com</t>
  </si>
  <si>
    <t>lu.zuccarini</t>
  </si>
  <si>
    <t>KyrelJerome@users.noreply.github.com</t>
  </si>
  <si>
    <t>KyrelJerome</t>
  </si>
  <si>
    <t>westy92@users.noreply.github.com</t>
  </si>
  <si>
    <t>westy92</t>
  </si>
  <si>
    <t>igor@borges.me</t>
  </si>
  <si>
    <t>igor</t>
  </si>
  <si>
    <t>jonathan@wilbur.space</t>
  </si>
  <si>
    <t>srdlarsen@gmail.com</t>
  </si>
  <si>
    <t>srdlarsen</t>
  </si>
  <si>
    <t>42063696+kongshanshan33@users.noreply.github.com</t>
  </si>
  <si>
    <t>42063696+kongshanshan33</t>
  </si>
  <si>
    <t>jxltom@gmail.com</t>
  </si>
  <si>
    <t>jxltom</t>
  </si>
  <si>
    <t>florian.huonder@prolutions.ch</t>
  </si>
  <si>
    <t>florian.huonder</t>
  </si>
  <si>
    <t>chemamolins@gmail.com</t>
  </si>
  <si>
    <t>chemamolins</t>
  </si>
  <si>
    <t>pranay.airan@iiitb.net</t>
  </si>
  <si>
    <t>pranay.airan</t>
  </si>
  <si>
    <t>trevor.wang@qq.com</t>
  </si>
  <si>
    <t>trevor.wang</t>
  </si>
  <si>
    <t>casey.jimmy@gmail.com</t>
  </si>
  <si>
    <t>casey.jimmy</t>
  </si>
  <si>
    <t>victorflorintsev1996@gmail.com</t>
  </si>
  <si>
    <t>victorflorintsev1996</t>
  </si>
  <si>
    <t>noor@fine47.com</t>
  </si>
  <si>
    <t>wildcat.name@gmail.com</t>
  </si>
  <si>
    <t>wildcat.name</t>
  </si>
  <si>
    <t>diegotoridoesandroid@gmail.com</t>
  </si>
  <si>
    <t>diegotoridoesandroid</t>
  </si>
  <si>
    <t>mattijs.fuijkschot@gmail.com</t>
  </si>
  <si>
    <t>mattijs.fuijkschot</t>
  </si>
  <si>
    <t>39723648+fhuonder@users.noreply.github.com</t>
  </si>
  <si>
    <t>39723648+fhuonder</t>
  </si>
  <si>
    <t>11768143+vyaspranjal33@users.noreply.github.com</t>
  </si>
  <si>
    <t>11768143+vyaspranjal33</t>
  </si>
  <si>
    <t>zh.nurlan96@gmail.com</t>
  </si>
  <si>
    <t>zh.nurlan96</t>
  </si>
  <si>
    <t>mr.mitew@gmail.com</t>
  </si>
  <si>
    <t>mr.mitew</t>
  </si>
  <si>
    <t>namanix@gmail.com</t>
  </si>
  <si>
    <t>namanix</t>
  </si>
  <si>
    <t>dev@kabiir.me</t>
  </si>
  <si>
    <t>luanpotter27@gmail.com</t>
  </si>
  <si>
    <t>luanpotter27</t>
  </si>
  <si>
    <t>maxbittker@gmail.com</t>
  </si>
  <si>
    <t>maxbittker</t>
  </si>
  <si>
    <t>artur.rymarz@gmail.com</t>
  </si>
  <si>
    <t>artur.rymarz</t>
  </si>
  <si>
    <t>jorgecoca@users.noreply.github.com</t>
  </si>
  <si>
    <t>jorgecoca</t>
  </si>
  <si>
    <t>anthony.bullard@gmail.com</t>
  </si>
  <si>
    <t>anthony.bullard</t>
  </si>
  <si>
    <t>dahabit@gmail.com</t>
  </si>
  <si>
    <t>dahabit</t>
  </si>
  <si>
    <t>rui.kowase@gmail.com</t>
  </si>
  <si>
    <t>rui.kowase</t>
  </si>
  <si>
    <t>mockturtl@users.noreply.github.com</t>
  </si>
  <si>
    <t>mockturtl</t>
  </si>
  <si>
    <t>peterzagoranski@users.noreply.github.com</t>
  </si>
  <si>
    <t>peterzagoranski</t>
  </si>
  <si>
    <t>drkhannah1@gmail.com</t>
  </si>
  <si>
    <t>drkhannah1</t>
  </si>
  <si>
    <t>kwmt27@gmail.com</t>
  </si>
  <si>
    <t>kwmt27</t>
  </si>
  <si>
    <t>oysteinkn@users.noreply.github.com</t>
  </si>
  <si>
    <t>oysteinkn</t>
  </si>
  <si>
    <t>mikkel@nygaardravn.dk</t>
  </si>
  <si>
    <t>mikkel</t>
  </si>
  <si>
    <t>1751188+NikoYuwono@users.noreply.github.com</t>
  </si>
  <si>
    <t>1751188+NikoYuwono</t>
  </si>
  <si>
    <t>renancaraujo@users.noreply.github.com</t>
  </si>
  <si>
    <t>renancaraujo</t>
  </si>
  <si>
    <t>joaodasilva@google.com</t>
  </si>
  <si>
    <t>joaodasilva</t>
  </si>
  <si>
    <t>c.ben.hagen@gmail.com</t>
  </si>
  <si>
    <t>c.ben.hagen</t>
  </si>
  <si>
    <t>cjl_spy@163.com</t>
  </si>
  <si>
    <t>cjl_spy</t>
  </si>
  <si>
    <t>marcin.szalek1@gmail.com</t>
  </si>
  <si>
    <t>marcin.szalek1</t>
  </si>
  <si>
    <t>severecloud@gmail.com</t>
  </si>
  <si>
    <t>severecloud</t>
  </si>
  <si>
    <t>alanrussian@gmail.com</t>
  </si>
  <si>
    <t>alanrussian</t>
  </si>
  <si>
    <t>sebastian@podjasek.pl</t>
  </si>
  <si>
    <t>shaza@google.com</t>
  </si>
  <si>
    <t>shaza</t>
  </si>
  <si>
    <t>ebeem2@gmail.com</t>
  </si>
  <si>
    <t>ebeem2</t>
  </si>
  <si>
    <t>lfk_dsk@hotmail.com</t>
  </si>
  <si>
    <t>lfk_dsk</t>
  </si>
  <si>
    <t>colin@cmyr.net</t>
  </si>
  <si>
    <t>colin</t>
  </si>
  <si>
    <t>teraarts@t-online.de</t>
  </si>
  <si>
    <t>teraarts</t>
  </si>
  <si>
    <t>jaggernod@gmail.com</t>
  </si>
  <si>
    <t>jaggernod</t>
  </si>
  <si>
    <t>moznion@gmail.com</t>
  </si>
  <si>
    <t>moznion</t>
  </si>
  <si>
    <t>lukasz@intheloup.io</t>
  </si>
  <si>
    <t>Norbert515@users.noreply.github.com</t>
  </si>
  <si>
    <t>Norbert515</t>
  </si>
  <si>
    <t>32555304+eyallen@users.noreply.github.com</t>
  </si>
  <si>
    <t>32555304+eyallen</t>
  </si>
  <si>
    <t>melongbob@gmail.com</t>
  </si>
  <si>
    <t>melongbob</t>
  </si>
  <si>
    <t>mfielbig@gmail.com</t>
  </si>
  <si>
    <t>mfielbig</t>
  </si>
  <si>
    <t>alanknight@google.com</t>
  </si>
  <si>
    <t>alanknight</t>
  </si>
  <si>
    <t>mail@timnn.me</t>
  </si>
  <si>
    <t>noah1905@hotmail.de</t>
  </si>
  <si>
    <t>noah1905</t>
  </si>
  <si>
    <t>dcaraujo39@gmail.com</t>
  </si>
  <si>
    <t>dcaraujo39</t>
  </si>
  <si>
    <t>NDrong@users.noreply.github.com</t>
  </si>
  <si>
    <t>NDrong</t>
  </si>
  <si>
    <t>ajsecord@google.com</t>
  </si>
  <si>
    <t>ajsecord</t>
  </si>
  <si>
    <t>rollins.joseph+git@gmail.com</t>
  </si>
  <si>
    <t>rollins.joseph+git</t>
  </si>
  <si>
    <t>taiyangniaoming@foxmail.com</t>
  </si>
  <si>
    <t>taiyangniaoming</t>
  </si>
  <si>
    <t>dx8917312@163.com</t>
  </si>
  <si>
    <t>dx8917312</t>
  </si>
  <si>
    <t>retrostereoyak@gmail.com</t>
  </si>
  <si>
    <t>retrostereoyak</t>
  </si>
  <si>
    <t>lwoerdeman@users.noreply.github.com</t>
  </si>
  <si>
    <t>lwoerdeman</t>
  </si>
  <si>
    <t>mysticzt@gmail.com</t>
  </si>
  <si>
    <t>mysticzt</t>
  </si>
  <si>
    <t>darshanbaid22@gmail.com</t>
  </si>
  <si>
    <t>darshanbaid22</t>
  </si>
  <si>
    <t>ohadrau@yahoo.com</t>
  </si>
  <si>
    <t>ohadrau</t>
  </si>
  <si>
    <t>keenan@keenant.com</t>
  </si>
  <si>
    <t>keenan</t>
  </si>
  <si>
    <t>sturov.fedor@yandex.ru</t>
  </si>
  <si>
    <t>sturov.fedor</t>
  </si>
  <si>
    <t>vilkh3m@users.noreply.github.com</t>
  </si>
  <si>
    <t>vilkh3m</t>
  </si>
  <si>
    <t>nick@nrebhun.com</t>
  </si>
  <si>
    <t>nick</t>
  </si>
  <si>
    <t>marcinn.urbanski@gmail.com</t>
  </si>
  <si>
    <t>marcinn.urbanski</t>
  </si>
  <si>
    <t>conordockry@gmail.com</t>
  </si>
  <si>
    <t>conordockry</t>
  </si>
  <si>
    <t>jsoref@users.noreply.github.com</t>
  </si>
  <si>
    <t>jsoref</t>
  </si>
  <si>
    <t>cyngus84@users.noreply.github.com</t>
  </si>
  <si>
    <t>cyngus84</t>
  </si>
  <si>
    <t>theankurkedia@gmail.com</t>
  </si>
  <si>
    <t>theankurkedia</t>
  </si>
  <si>
    <t>tan@jayjun.com</t>
  </si>
  <si>
    <t>tan</t>
  </si>
  <si>
    <t>paul@paulbetts.org</t>
  </si>
  <si>
    <t>paul</t>
  </si>
  <si>
    <t>brauliocassule94@gmail.com</t>
  </si>
  <si>
    <t>brauliocassule94</t>
  </si>
  <si>
    <t>mwarger@gmail.com</t>
  </si>
  <si>
    <t>mwarger</t>
  </si>
  <si>
    <t>alan@alanrussian.com</t>
  </si>
  <si>
    <t>alan</t>
  </si>
  <si>
    <t>fredrik@fsimon.net</t>
  </si>
  <si>
    <t>fredrik</t>
  </si>
  <si>
    <t>bkonyi@ad.corp.google.com</t>
  </si>
  <si>
    <t>leonardo.bispo.oliveira@gmail.com</t>
  </si>
  <si>
    <t>leonardo.bispo.oliveira</t>
  </si>
  <si>
    <t>me@levrik.io</t>
  </si>
  <si>
    <t>ulf.sauer@gmail.com</t>
  </si>
  <si>
    <t>ulf.sauer</t>
  </si>
  <si>
    <t>sumit.s.more@gmail.com</t>
  </si>
  <si>
    <t>sumit.s.more</t>
  </si>
  <si>
    <t>slavchev@users.noreply.github.com</t>
  </si>
  <si>
    <t>slavchev</t>
  </si>
  <si>
    <t>giuliano.com@gmail.com</t>
  </si>
  <si>
    <t>giuliano.com</t>
  </si>
  <si>
    <t>iiro.krankka@gmail.com</t>
  </si>
  <si>
    <t>iiro.krankka</t>
  </si>
  <si>
    <t>jiamingc@google.com</t>
  </si>
  <si>
    <t>jiamingc</t>
  </si>
  <si>
    <t>zevyoura@gmail.com</t>
  </si>
  <si>
    <t>zevyoura</t>
  </si>
  <si>
    <t>appsforartists@users.noreply.github.com</t>
  </si>
  <si>
    <t>appsforartists</t>
  </si>
  <si>
    <t>li.alicem@gmail.com</t>
  </si>
  <si>
    <t>li.alicem</t>
  </si>
  <si>
    <t>jwren@google.com</t>
  </si>
  <si>
    <t>jwren</t>
  </si>
  <si>
    <t>paolosoares@google.com</t>
  </si>
  <si>
    <t>paolosoares</t>
  </si>
  <si>
    <t>shamrin@gmail.com</t>
  </si>
  <si>
    <t>shamrin</t>
  </si>
  <si>
    <t>sivachandra@gmail.com</t>
  </si>
  <si>
    <t>me@alangardner.net</t>
  </si>
  <si>
    <t>GaryQian@users.noreply.github.com</t>
  </si>
  <si>
    <t>GaryQian</t>
  </si>
  <si>
    <t>ifahad7@gmail.com</t>
  </si>
  <si>
    <t>ifahad7</t>
  </si>
  <si>
    <t>solido@robbieone.com</t>
  </si>
  <si>
    <t>solido</t>
  </si>
  <si>
    <t>msarett@google.com</t>
  </si>
  <si>
    <t>msarett</t>
  </si>
  <si>
    <t>mediakid@gmail.com</t>
  </si>
  <si>
    <t>mediakid</t>
  </si>
  <si>
    <t>namnguyen@google.com</t>
  </si>
  <si>
    <t>namnguyen</t>
  </si>
  <si>
    <t>kasperl@google.com</t>
  </si>
  <si>
    <t>kasperl</t>
  </si>
  <si>
    <t>dariusz.bacinski@gmail.com</t>
  </si>
  <si>
    <t>dariusz.bacinski</t>
  </si>
  <si>
    <t>lyrachord@outlook.com</t>
  </si>
  <si>
    <t>lyrachord</t>
  </si>
  <si>
    <t>mike@hoolehan.com</t>
  </si>
  <si>
    <t>zhenqiu@google.com</t>
  </si>
  <si>
    <t>zhenqiu</t>
  </si>
  <si>
    <t>123qws@gmail.com</t>
  </si>
  <si>
    <t>123qws</t>
  </si>
  <si>
    <t>reagankm@gmail.com</t>
  </si>
  <si>
    <t>reagankm</t>
  </si>
  <si>
    <t>eu.lequem@gmail.com</t>
  </si>
  <si>
    <t>eu.lequem</t>
  </si>
  <si>
    <t>youngseokyoon@google.com</t>
  </si>
  <si>
    <t>youngseokyoon</t>
  </si>
  <si>
    <t>iamquebecois@gmail.com</t>
  </si>
  <si>
    <t>iamquebecois</t>
  </si>
  <si>
    <t>petrhosek@users.noreply.github.com</t>
  </si>
  <si>
    <t>petrhosek</t>
  </si>
  <si>
    <t>edelvalle@users.noreply.github.com</t>
  </si>
  <si>
    <t>edelvalle</t>
  </si>
  <si>
    <t>benjamin.balet@gmail.com</t>
  </si>
  <si>
    <t>benjamin.balet</t>
  </si>
  <si>
    <t>piyushgk1@gmail.com</t>
  </si>
  <si>
    <t>piyushgk1</t>
  </si>
  <si>
    <t>alfred@54.org</t>
  </si>
  <si>
    <t>alfred</t>
  </si>
  <si>
    <t>rudominer@chromium.org</t>
  </si>
  <si>
    <t>rudominer</t>
  </si>
  <si>
    <t>mmclennan@gmail.com</t>
  </si>
  <si>
    <t>mmclennan</t>
  </si>
  <si>
    <t>noman@798.space</t>
  </si>
  <si>
    <t>noman</t>
  </si>
  <si>
    <t>jestelle@google.com</t>
  </si>
  <si>
    <t>jestelle</t>
  </si>
  <si>
    <t>tonyg@chromium.org</t>
  </si>
  <si>
    <t>tonyg</t>
  </si>
  <si>
    <t>jra@nella.org</t>
  </si>
  <si>
    <t>jra</t>
  </si>
  <si>
    <t>syoichi@outlook.com</t>
  </si>
  <si>
    <t>syoichi</t>
  </si>
  <si>
    <t>iheartweb@gmail.com</t>
  </si>
  <si>
    <t>iheartweb</t>
  </si>
  <si>
    <t>nlacasse@google.com</t>
  </si>
  <si>
    <t>nlacasse</t>
  </si>
  <si>
    <t>code@mishadynin.com</t>
  </si>
  <si>
    <t>jim.j.simon@gmail.com</t>
  </si>
  <si>
    <t>jim.j.simon</t>
  </si>
  <si>
    <t>jackson@jackson-macpro.roam.corp.google.com</t>
  </si>
  <si>
    <t>sky@chromium.org</t>
  </si>
  <si>
    <t>sky</t>
  </si>
  <si>
    <t>qsr@chromium.org</t>
  </si>
  <si>
    <t>qsr</t>
  </si>
  <si>
    <t>dan.abramov@gmail.com</t>
  </si>
  <si>
    <t>dan.abramov</t>
  </si>
  <si>
    <t>Meta</t>
  </si>
  <si>
    <t>bvaughn@fb.com</t>
  </si>
  <si>
    <t>bvaughn</t>
  </si>
  <si>
    <t>git@andrewclark.io</t>
  </si>
  <si>
    <t>sema@fb.com</t>
  </si>
  <si>
    <t>sema</t>
  </si>
  <si>
    <t>paul@oshannessy.com</t>
  </si>
  <si>
    <t>sebastian@calyptus.eu</t>
  </si>
  <si>
    <t>trueadm@users.noreply.github.com</t>
  </si>
  <si>
    <t>trueadm</t>
  </si>
  <si>
    <t>balpert@fb.com</t>
  </si>
  <si>
    <t>balpert</t>
  </si>
  <si>
    <t>brian.david.vaughn@gmail.com</t>
  </si>
  <si>
    <t>brian.david.vaughn</t>
  </si>
  <si>
    <t>acdlite@fb.com</t>
  </si>
  <si>
    <t>acdlite</t>
  </si>
  <si>
    <t>spicyjalapeno@gmail.com</t>
  </si>
  <si>
    <t>spicyjalapeno</t>
  </si>
  <si>
    <t>rickhanlonii@gmail.com</t>
  </si>
  <si>
    <t>rickhanlonii</t>
  </si>
  <si>
    <t>silbermann.sebastian@gmail.com</t>
  </si>
  <si>
    <t>silbermann.sebastian</t>
  </si>
  <si>
    <t>jkassens@meta.com</t>
  </si>
  <si>
    <t>jkassens</t>
  </si>
  <si>
    <t>story@hey.com</t>
  </si>
  <si>
    <t>story</t>
  </si>
  <si>
    <t>ben@benalpert.com</t>
  </si>
  <si>
    <t>acdlite@me.com</t>
  </si>
  <si>
    <t>lunaris.ruan@gmail.com</t>
  </si>
  <si>
    <t>lunaris.ruan</t>
  </si>
  <si>
    <t>rdlesyutin@gmail.com</t>
  </si>
  <si>
    <t>rdlesyutin</t>
  </si>
  <si>
    <t>nate.hunzaker@gmail.com</t>
  </si>
  <si>
    <t>nate.hunzaker</t>
  </si>
  <si>
    <t>Whimsical</t>
  </si>
  <si>
    <t>dan.abramov@me.com</t>
  </si>
  <si>
    <t>git@sophiebits.com</t>
  </si>
  <si>
    <t>koba0004@gmail.com</t>
  </si>
  <si>
    <t>koba0004</t>
  </si>
  <si>
    <t>flarnie@users.noreply.github.com</t>
  </si>
  <si>
    <t>flarnie</t>
  </si>
  <si>
    <t>vjeuxx@gmail.com</t>
  </si>
  <si>
    <t>vjeuxx</t>
  </si>
  <si>
    <t>necolas@fb.com</t>
  </si>
  <si>
    <t>necolas</t>
  </si>
  <si>
    <t>andreas@syranide.com</t>
  </si>
  <si>
    <t>chenglou92@gmail.com</t>
  </si>
  <si>
    <t>chenglou92</t>
  </si>
  <si>
    <t>pete@instagram.com</t>
  </si>
  <si>
    <t>mengdi@fb.com</t>
  </si>
  <si>
    <t>mengdi</t>
  </si>
  <si>
    <t>aweary@users.noreply.github.com</t>
  </si>
  <si>
    <t>aweary</t>
  </si>
  <si>
    <t>marocchino@gmail.com</t>
  </si>
  <si>
    <t>marocchino</t>
  </si>
  <si>
    <t>christoph.pojer@gmail.com</t>
  </si>
  <si>
    <t>christoph.pojer</t>
  </si>
  <si>
    <t>jsproch@fb.com</t>
  </si>
  <si>
    <t>jsproch</t>
  </si>
  <si>
    <t>kt.koheitakata@gmail.com</t>
  </si>
  <si>
    <t>kt.koheitakata</t>
  </si>
  <si>
    <t>jackpope1@gmail.com</t>
  </si>
  <si>
    <t>jackpope1</t>
  </si>
  <si>
    <t>jstejada@fb.com</t>
  </si>
  <si>
    <t>jstejada</t>
  </si>
  <si>
    <t>vjeux@fb.com</t>
  </si>
  <si>
    <t>vjeux</t>
  </si>
  <si>
    <t>dg@domgan.com</t>
  </si>
  <si>
    <t>dg</t>
  </si>
  <si>
    <t>samuel.susla@gmail.com</t>
  </si>
  <si>
    <t>samuel.susla</t>
  </si>
  <si>
    <t>chi187@gmail.com</t>
  </si>
  <si>
    <t>chi187</t>
  </si>
  <si>
    <t>gaearon@fb.com</t>
  </si>
  <si>
    <t>gaearon</t>
  </si>
  <si>
    <t>github@eli-white.com</t>
  </si>
  <si>
    <t>skyyao@fb.com</t>
  </si>
  <si>
    <t>skyyao</t>
  </si>
  <si>
    <t>yungsters@fb.com</t>
  </si>
  <si>
    <t>yungsters</t>
  </si>
  <si>
    <t>nicolasgallagher@gmail.com</t>
  </si>
  <si>
    <t>nicolasgallagher</t>
  </si>
  <si>
    <t>chenglou@fb.com</t>
  </si>
  <si>
    <t>chenglou</t>
  </si>
  <si>
    <t>poteto@users.noreply.github.com</t>
  </si>
  <si>
    <t>poteto</t>
  </si>
  <si>
    <t>jkassens@fb.com</t>
  </si>
  <si>
    <t>root@keyanzhang.com</t>
  </si>
  <si>
    <t>root</t>
  </si>
  <si>
    <t>salazarm@users.noreply.github.com</t>
  </si>
  <si>
    <t>salazarm</t>
  </si>
  <si>
    <t>ne_smalltown@163.com</t>
  </si>
  <si>
    <t>ne_smalltown</t>
  </si>
  <si>
    <t>floydophone@gmail.com</t>
  </si>
  <si>
    <t>floydophone</t>
  </si>
  <si>
    <t>threepointone@fb.com</t>
  </si>
  <si>
    <t>threepointone</t>
  </si>
  <si>
    <t>rubennorte@meta.com</t>
  </si>
  <si>
    <t>rubennorte</t>
  </si>
  <si>
    <t>sbekkhus91@gmail.com</t>
  </si>
  <si>
    <t>sbekkhus91</t>
  </si>
  <si>
    <t>hello@philippspiess.com</t>
  </si>
  <si>
    <t>xander76@yahoo.com</t>
  </si>
  <si>
    <t>xander76</t>
  </si>
  <si>
    <t>dustan.kasten@gmail.com</t>
  </si>
  <si>
    <t>dustan.kasten</t>
  </si>
  <si>
    <t>Webflow</t>
  </si>
  <si>
    <t>Aweary@users.noreply.github.com</t>
  </si>
  <si>
    <t>Aweary</t>
  </si>
  <si>
    <t>bikid475@gmail.com</t>
  </si>
  <si>
    <t>bikid475</t>
  </si>
  <si>
    <t>isaac@fb.com</t>
  </si>
  <si>
    <t>isaac</t>
  </si>
  <si>
    <t>threepointone@gmail.com</t>
  </si>
  <si>
    <t>babak.john@gmail.com</t>
  </si>
  <si>
    <t>babak.john</t>
  </si>
  <si>
    <t>gosimek@gmail.com</t>
  </si>
  <si>
    <t>gosimek</t>
  </si>
  <si>
    <t>josephsavona@users.noreply.github.com</t>
  </si>
  <si>
    <t>josephsavona</t>
  </si>
  <si>
    <t>rapha850@gmail.com</t>
  </si>
  <si>
    <t>rapha850</t>
  </si>
  <si>
    <t>arkist@gmail.com</t>
  </si>
  <si>
    <t>arkist</t>
  </si>
  <si>
    <t>bloomber111@gmail.com</t>
  </si>
  <si>
    <t>bloomber111</t>
  </si>
  <si>
    <t>bn@cs.stanford.edu</t>
  </si>
  <si>
    <t>bn</t>
  </si>
  <si>
    <t>Stanford</t>
  </si>
  <si>
    <t>charlie@khanacademy.org</t>
  </si>
  <si>
    <t>charlie</t>
  </si>
  <si>
    <t>noah.lemen@gmail.com</t>
  </si>
  <si>
    <t>noah.lemen</t>
  </si>
  <si>
    <t>poshannessy@fb.com</t>
  </si>
  <si>
    <t>poshannessy</t>
  </si>
  <si>
    <t>sdo451@gmail.com</t>
  </si>
  <si>
    <t>sdo451</t>
  </si>
  <si>
    <t>bgw@fb.com</t>
  </si>
  <si>
    <t>bgw</t>
  </si>
  <si>
    <t>iamchenxin@gmail.com</t>
  </si>
  <si>
    <t>iamchenxin</t>
  </si>
  <si>
    <t>tomocchino@gmail.com</t>
  </si>
  <si>
    <t>tomocchino</t>
  </si>
  <si>
    <t>yungsters@gmail.com</t>
  </si>
  <si>
    <t>brandon.dail@formidable.com</t>
  </si>
  <si>
    <t>brandon.dail</t>
  </si>
  <si>
    <t>luna@fb.com</t>
  </si>
  <si>
    <t>luna</t>
  </si>
  <si>
    <t>none@no-reply.com</t>
  </si>
  <si>
    <t>none</t>
  </si>
  <si>
    <t>github@andrewclark.io</t>
  </si>
  <si>
    <t>ivanzotov@gmail.com</t>
  </si>
  <si>
    <t>ivanzotov</t>
  </si>
  <si>
    <t>Sberbank</t>
  </si>
  <si>
    <t>threepointone@oculus.com</t>
  </si>
  <si>
    <t>ecdb.lucas@gmail.com</t>
  </si>
  <si>
    <t>ecdb.lucas</t>
  </si>
  <si>
    <t>fisherwebdev@gmail.com</t>
  </si>
  <si>
    <t>fisherwebdev</t>
  </si>
  <si>
    <t>iqwz@ya.ru</t>
  </si>
  <si>
    <t>iqwz</t>
  </si>
  <si>
    <t>mateuszburzynski@gmail.com</t>
  </si>
  <si>
    <t>mateuszburzynski</t>
  </si>
  <si>
    <t>motiz88@gmail.com</t>
  </si>
  <si>
    <t>motiz88</t>
  </si>
  <si>
    <t>tay.yang.shun@gmail.com</t>
  </si>
  <si>
    <t>tay.yang.shun</t>
  </si>
  <si>
    <t>ymqyit@gmail.com</t>
  </si>
  <si>
    <t>ymqyit</t>
  </si>
  <si>
    <t>yungsters@meta.com</t>
  </si>
  <si>
    <t>740531372@qq.com</t>
  </si>
  <si>
    <t>34200447+mofeiZ@users.noreply.github.com</t>
  </si>
  <si>
    <t>34200447+mofeiZ</t>
  </si>
  <si>
    <t>clement.hoang24@gmail.com</t>
  </si>
  <si>
    <t>clement.hoang24</t>
  </si>
  <si>
    <t>cpojer@fb.com</t>
  </si>
  <si>
    <t>cpojer</t>
  </si>
  <si>
    <t>eliang@eliangtan.com</t>
  </si>
  <si>
    <t>eliang</t>
  </si>
  <si>
    <t>freiberggg@gmail.com</t>
  </si>
  <si>
    <t>freiberggg</t>
  </si>
  <si>
    <t>hristokkanchev@gmail.com</t>
  </si>
  <si>
    <t>hristokkanchev</t>
  </si>
  <si>
    <t>joecritch@gmail.com</t>
  </si>
  <si>
    <t>joecritch</t>
  </si>
  <si>
    <t>joshua.gross@gmail.com</t>
  </si>
  <si>
    <t>joshua.gross</t>
  </si>
  <si>
    <t>me@rreverser.com</t>
  </si>
  <si>
    <t>ray@tomo.im</t>
  </si>
  <si>
    <t>rick@beerendonk.com</t>
  </si>
  <si>
    <t>rick</t>
  </si>
  <si>
    <t>yiminghe@gmail.com</t>
  </si>
  <si>
    <t>yiminghe</t>
  </si>
  <si>
    <t>7158882+mattcarrollcode@users.noreply.github.com</t>
  </si>
  <si>
    <t>7158882+mattcarrollcode</t>
  </si>
  <si>
    <t>a.safronov87@gmail.com</t>
  </si>
  <si>
    <t>a.safronov87</t>
  </si>
  <si>
    <t>benjamn@fb.com</t>
  </si>
  <si>
    <t>benjamn</t>
  </si>
  <si>
    <t>edvin@rocketblast.com</t>
  </si>
  <si>
    <t>edvin</t>
  </si>
  <si>
    <t>itten@live.com</t>
  </si>
  <si>
    <t>itten</t>
  </si>
  <si>
    <t>jonas@instagram.com</t>
  </si>
  <si>
    <t>jonas</t>
  </si>
  <si>
    <t>neosoyn@gmail.com</t>
  </si>
  <si>
    <t>neosoyn</t>
  </si>
  <si>
    <t>sophiebits@fb.com</t>
  </si>
  <si>
    <t>sophiebits</t>
  </si>
  <si>
    <t>zertosh@gmail.com</t>
  </si>
  <si>
    <t>zertosh</t>
  </si>
  <si>
    <t>andrew@equin.co.uk</t>
  </si>
  <si>
    <t>Equin</t>
  </si>
  <si>
    <t>asavvides@twitter.com</t>
  </si>
  <si>
    <t>asavvides</t>
  </si>
  <si>
    <t>Twitter</t>
  </si>
  <si>
    <t>josh@fb.com</t>
  </si>
  <si>
    <t>konst.hardy@gmail.com</t>
  </si>
  <si>
    <t>konst.hardy</t>
  </si>
  <si>
    <t>lasesteban@gmail.com</t>
  </si>
  <si>
    <t>lasesteban</t>
  </si>
  <si>
    <t>masterancpp@gmail.com</t>
  </si>
  <si>
    <t>masterancpp</t>
  </si>
  <si>
    <t>robertbalicki@fb.com</t>
  </si>
  <si>
    <t>robertbalicki</t>
  </si>
  <si>
    <t>susmandeniz@gmail.com</t>
  </si>
  <si>
    <t>susmandeniz</t>
  </si>
  <si>
    <t>sym@fb.com</t>
  </si>
  <si>
    <t>sym</t>
  </si>
  <si>
    <t>aaa@bzfx.net</t>
  </si>
  <si>
    <t>aaa</t>
  </si>
  <si>
    <t>brad.spaulding@gmail.com</t>
  </si>
  <si>
    <t>brad.spaulding</t>
  </si>
  <si>
    <t>bripkens.dev@gmail.com</t>
  </si>
  <si>
    <t>bripkens.dev</t>
  </si>
  <si>
    <t>bubucuo@users.noreply.github.com</t>
  </si>
  <si>
    <t>bubucuo</t>
  </si>
  <si>
    <t>contact@mstoiber.com</t>
  </si>
  <si>
    <t>danlo@fb.com</t>
  </si>
  <si>
    <t>danlo</t>
  </si>
  <si>
    <t>dittos@gmail.com</t>
  </si>
  <si>
    <t>dittos</t>
  </si>
  <si>
    <t>f.bagnardi@gmail.com</t>
  </si>
  <si>
    <t>f.bagnardi</t>
  </si>
  <si>
    <t>jeffmo@fb.com</t>
  </si>
  <si>
    <t>jeffmo</t>
  </si>
  <si>
    <t>lyip1992@users.noreply.github.com</t>
  </si>
  <si>
    <t>lyip1992</t>
  </si>
  <si>
    <t>m@tthewwithanm.com</t>
  </si>
  <si>
    <t>makky.4d6b.3f5@gmail.com</t>
  </si>
  <si>
    <t>makky.4d6b.3f5</t>
  </si>
  <si>
    <t>maks-markel@mail.ru</t>
  </si>
  <si>
    <t>maks-markel</t>
  </si>
  <si>
    <t>minhnguyenxx@gmail.com</t>
  </si>
  <si>
    <t>minhnguyenxx</t>
  </si>
  <si>
    <t>mzabriskie@gmail.com</t>
  </si>
  <si>
    <t>mzabriskie</t>
  </si>
  <si>
    <t>poujanik@gmail.com</t>
  </si>
  <si>
    <t>poujanik</t>
  </si>
  <si>
    <t>51379307+akgupta0777@users.noreply.github.com</t>
  </si>
  <si>
    <t>51379307+akgupta0777</t>
  </si>
  <si>
    <t>8mayday@gmail.com</t>
  </si>
  <si>
    <t>8mayday</t>
  </si>
  <si>
    <t>alexmckenley@gmail.com</t>
  </si>
  <si>
    <t>alexmckenley</t>
  </si>
  <si>
    <t>alunyov@meta.com</t>
  </si>
  <si>
    <t>alunyov</t>
  </si>
  <si>
    <t>ClimbsRocks@users.noreply.github.com</t>
  </si>
  <si>
    <t>ClimbsRocks</t>
  </si>
  <si>
    <t>cyan.binary@gmail.com</t>
  </si>
  <si>
    <t>cyan.binary</t>
  </si>
  <si>
    <t>dalinaum@gmail.com</t>
  </si>
  <si>
    <t>dalinaum</t>
  </si>
  <si>
    <t>dmitrii@abramov.io</t>
  </si>
  <si>
    <t>dmitrii</t>
  </si>
  <si>
    <t>dojce1048@gmail.com</t>
  </si>
  <si>
    <t>dojce1048</t>
  </si>
  <si>
    <t>eric.oconnell@idealist.org</t>
  </si>
  <si>
    <t>eric.oconnell</t>
  </si>
  <si>
    <t>Idealist</t>
  </si>
  <si>
    <t>fabiomcosta@gmail.com</t>
  </si>
  <si>
    <t>fabiomcosta</t>
  </si>
  <si>
    <t>glh@fb.com</t>
  </si>
  <si>
    <t>glh</t>
  </si>
  <si>
    <t>jackworks@protonmail.com</t>
  </si>
  <si>
    <t>jackworks</t>
  </si>
  <si>
    <t>jaeyoung@monodiary.net</t>
  </si>
  <si>
    <t>jaeyoung</t>
  </si>
  <si>
    <t>jessicamfranco3@gmail.com</t>
  </si>
  <si>
    <t>jessicamfranco3</t>
  </si>
  <si>
    <t>jford8820@gmail.com</t>
  </si>
  <si>
    <t>jford8820</t>
  </si>
  <si>
    <t>johannes.baiter@gmail.com</t>
  </si>
  <si>
    <t>johannes.baiter</t>
  </si>
  <si>
    <t>julenx@gmail.com</t>
  </si>
  <si>
    <t>julenx</t>
  </si>
  <si>
    <t>keyanz@fb.com</t>
  </si>
  <si>
    <t>keyanz</t>
  </si>
  <si>
    <t>kunalm@fb.com</t>
  </si>
  <si>
    <t>kunalm</t>
  </si>
  <si>
    <t>me@joshma.com</t>
  </si>
  <si>
    <t>mertkahyaoglu93@gmail.com</t>
  </si>
  <si>
    <t>mertkahyaoglu93</t>
  </si>
  <si>
    <t>mitermayer.reis@gmail.com</t>
  </si>
  <si>
    <t>mitermayer.reis</t>
  </si>
  <si>
    <t>nikam.abhay1@gmail.com</t>
  </si>
  <si>
    <t>nikam.abhay1</t>
  </si>
  <si>
    <t>oleksii.raspopov@gmail.com</t>
  </si>
  <si>
    <t>oleksii.raspopov</t>
  </si>
  <si>
    <t>orta.therox+github@gmail.com</t>
  </si>
  <si>
    <t>orta.therox+github</t>
  </si>
  <si>
    <t>pedronauck@gmail.com</t>
  </si>
  <si>
    <t>pedronauck</t>
  </si>
  <si>
    <t>ricard.robin@gmail.com</t>
  </si>
  <si>
    <t>ricard.robin</t>
  </si>
  <si>
    <t>sam.balana@ardentacademy.com</t>
  </si>
  <si>
    <t>sam.balana</t>
  </si>
  <si>
    <t>Ardentacademy</t>
  </si>
  <si>
    <t>subhan.naeem@smartface.io</t>
  </si>
  <si>
    <t>subhan.naeem</t>
  </si>
  <si>
    <t>Smartface</t>
  </si>
  <si>
    <t>15034695+omarsy@users.noreply.github.com</t>
  </si>
  <si>
    <t>15034695+omarsy</t>
  </si>
  <si>
    <t>165856+hramos@users.noreply.github.com</t>
  </si>
  <si>
    <t>165856+hramos</t>
  </si>
  <si>
    <t>31975500+IDrissAitHafid@users.noreply.github.com</t>
  </si>
  <si>
    <t>31975500+IDrissAitHafid</t>
  </si>
  <si>
    <t>48897392+inokawa@users.noreply.github.com</t>
  </si>
  <si>
    <t>48897392+inokawa</t>
  </si>
  <si>
    <t>69855483+Vicachu42@users.noreply.github.com</t>
  </si>
  <si>
    <t>69855483+Vicachu42</t>
  </si>
  <si>
    <t>936006+jasonwilliams@users.noreply.github.com</t>
  </si>
  <si>
    <t>936006+jasonwilliams</t>
  </si>
  <si>
    <t>aaron.franks@gmail.com</t>
  </si>
  <si>
    <t>aaron.franks</t>
  </si>
  <si>
    <t>abdulraufmujahid@gmail.com</t>
  </si>
  <si>
    <t>abdulraufmujahid</t>
  </si>
  <si>
    <t>almero.steyn@gmail.com</t>
  </si>
  <si>
    <t>almero.steyn</t>
  </si>
  <si>
    <t>anthony.vanderhoorn@gmail.com</t>
  </si>
  <si>
    <t>anthony.vanderhoorn</t>
  </si>
  <si>
    <t>bernardlin12@gmail.com</t>
  </si>
  <si>
    <t>bernardlin12</t>
  </si>
  <si>
    <t>brian@thirdroute.com</t>
  </si>
  <si>
    <t>buriedunderbooks@hotmail.com</t>
  </si>
  <si>
    <t>buriedunderbooks</t>
  </si>
  <si>
    <t>cbrwizard@gmail.com</t>
  </si>
  <si>
    <t>cbrwizard</t>
  </si>
  <si>
    <t>daniel.hejl@hotmail.com</t>
  </si>
  <si>
    <t>daniel.hejl</t>
  </si>
  <si>
    <t>elas7@users.noreply.github.com</t>
  </si>
  <si>
    <t>elas7</t>
  </si>
  <si>
    <t>github@troyd.net</t>
  </si>
  <si>
    <t>glenjamin@gmail.com</t>
  </si>
  <si>
    <t>glenjamin</t>
  </si>
  <si>
    <t>ian@obermillers.com</t>
  </si>
  <si>
    <t>jared@jaredforsyth.com</t>
  </si>
  <si>
    <t>jared</t>
  </si>
  <si>
    <t>jay@spoqa.com</t>
  </si>
  <si>
    <t>jay</t>
  </si>
  <si>
    <t>jeff@anafx.com</t>
  </si>
  <si>
    <t>jiakun.dujk@alibaba-inc.com</t>
  </si>
  <si>
    <t>jiakun.dujk</t>
  </si>
  <si>
    <t>jon.beebe@daveramsey.com</t>
  </si>
  <si>
    <t>jon.beebe</t>
  </si>
  <si>
    <t>k.mehta@berkeley.edu</t>
  </si>
  <si>
    <t>k.mehta</t>
  </si>
  <si>
    <t>kapustka.maciek@gmail.com</t>
  </si>
  <si>
    <t>kapustka.maciek</t>
  </si>
  <si>
    <t>kchia87@gmail.com</t>
  </si>
  <si>
    <t>kchia87</t>
  </si>
  <si>
    <t>kiritsis.sotiris@gmail.com</t>
  </si>
  <si>
    <t>kiritsis.sotiris</t>
  </si>
  <si>
    <t>lee@leebyron.com</t>
  </si>
  <si>
    <t>lee</t>
  </si>
  <si>
    <t>mail@hendrik-liebau.de</t>
  </si>
  <si>
    <t>mark@isquaredsoftware.com</t>
  </si>
  <si>
    <t>isquaredsoftware.com</t>
  </si>
  <si>
    <t>martin@mjul.com</t>
  </si>
  <si>
    <t>mathews.kyle@gmail.com</t>
  </si>
  <si>
    <t>mathews.kyle</t>
  </si>
  <si>
    <t>matteo.vesprini-heidrich@originate.com</t>
  </si>
  <si>
    <t>matteo.vesprini-heidrich</t>
  </si>
  <si>
    <t>Originate</t>
  </si>
  <si>
    <t>matthewjohnston4@users.noreply.github.com</t>
  </si>
  <si>
    <t>matthewjohnston4</t>
  </si>
  <si>
    <t>misoguy1985@gmail.com</t>
  </si>
  <si>
    <t>misoguy1985</t>
  </si>
  <si>
    <t>monkindey@163.com</t>
  </si>
  <si>
    <t>monkindey</t>
  </si>
  <si>
    <t>mt.harrison86@gmail.com</t>
  </si>
  <si>
    <t>mt.harrison86</t>
  </si>
  <si>
    <t>nateq314@gmail.com</t>
  </si>
  <si>
    <t>nateq314</t>
  </si>
  <si>
    <t>prometheansacrifice@gmail.com</t>
  </si>
  <si>
    <t>prometheansacrifice</t>
  </si>
  <si>
    <t>r@rhr.me</t>
  </si>
  <si>
    <t>r</t>
  </si>
  <si>
    <t>sahrens@users.noreply.github.com</t>
  </si>
  <si>
    <t>sahrens</t>
  </si>
  <si>
    <t>scott@oceanbase.org</t>
  </si>
  <si>
    <t>scott</t>
  </si>
  <si>
    <t>seriff@protonmail.com</t>
  </si>
  <si>
    <t>seriff</t>
  </si>
  <si>
    <t>smf@fb.com</t>
  </si>
  <si>
    <t>smf</t>
  </si>
  <si>
    <t>spocksplanet@gmail.com</t>
  </si>
  <si>
    <t>spocksplanet</t>
  </si>
  <si>
    <t>thymikee@gmail.com</t>
  </si>
  <si>
    <t>thymikee</t>
  </si>
  <si>
    <t>xjlim@users.noreply.github.com</t>
  </si>
  <si>
    <t>xjlim</t>
  </si>
  <si>
    <t>5866096+sota000@users.noreply.github.com</t>
  </si>
  <si>
    <t>5866096+sota000</t>
  </si>
  <si>
    <t>accordeiro@users.noreply.github.com</t>
  </si>
  <si>
    <t>accordeiro</t>
  </si>
  <si>
    <t>adelevie@gmail.com</t>
  </si>
  <si>
    <t>adelevie</t>
  </si>
  <si>
    <t>adrian.caarolli@gmail.com</t>
  </si>
  <si>
    <t>adrian.caarolli</t>
  </si>
  <si>
    <t>ahmedzubair216@gmail.com</t>
  </si>
  <si>
    <t>ahmedzubair216</t>
  </si>
  <si>
    <t>alex.zherdev@gmail.com</t>
  </si>
  <si>
    <t>alex.zherdev</t>
  </si>
  <si>
    <t>alextsg@gmail.com</t>
  </si>
  <si>
    <t>alextsg</t>
  </si>
  <si>
    <t>anto.aravinth.cse@gmail.com</t>
  </si>
  <si>
    <t>anto.aravinth.cse</t>
  </si>
  <si>
    <t>anushreesubramani@users.noreply.github.com</t>
  </si>
  <si>
    <t>anushreesubramani</t>
  </si>
  <si>
    <t>aria@khanacademy.org</t>
  </si>
  <si>
    <t>aria</t>
  </si>
  <si>
    <t>Khanacademy</t>
  </si>
  <si>
    <t>benewu@gmail.com</t>
  </si>
  <si>
    <t>benewu</t>
  </si>
  <si>
    <t>bob@synapsestudios.com</t>
  </si>
  <si>
    <t>bob</t>
  </si>
  <si>
    <t>synapsestudios</t>
  </si>
  <si>
    <t>bowen31337@users.noreply.github.com</t>
  </si>
  <si>
    <t>bowen31337</t>
  </si>
  <si>
    <t>brandon@brandontilley.com</t>
  </si>
  <si>
    <t>brandon</t>
  </si>
  <si>
    <t>c_mungazi@hotmail.co.uk</t>
  </si>
  <si>
    <t>c_mungazi</t>
  </si>
  <si>
    <t>conor@socialtables.com</t>
  </si>
  <si>
    <t>conor</t>
  </si>
  <si>
    <t>Socialtables</t>
  </si>
  <si>
    <t>diegomuracciole@gmail.com</t>
  </si>
  <si>
    <t>diegomuracciole</t>
  </si>
  <si>
    <t>dmitry.nevsky@gmail.com</t>
  </si>
  <si>
    <t>dmitry.nevsky</t>
  </si>
  <si>
    <t>edvinerikson@gmail.com</t>
  </si>
  <si>
    <t>edvinerikson</t>
  </si>
  <si>
    <t>enaqxx@gmail.com</t>
  </si>
  <si>
    <t>enaqxx</t>
  </si>
  <si>
    <t>ericnakagawa@gmail.com</t>
  </si>
  <si>
    <t>ericnakagawa</t>
  </si>
  <si>
    <t>fgnass@gmail.com</t>
  </si>
  <si>
    <t>fgnass</t>
  </si>
  <si>
    <t>fingebimus@me.com</t>
  </si>
  <si>
    <t>fingebimus</t>
  </si>
  <si>
    <t>greg@hurrell.net</t>
  </si>
  <si>
    <t>Github</t>
  </si>
  <si>
    <t>gustavo@poe.ma</t>
  </si>
  <si>
    <t>hkal@users.noreply.github.com</t>
  </si>
  <si>
    <t>hkal</t>
  </si>
  <si>
    <t>hnordt@hnordt.com</t>
  </si>
  <si>
    <t>hnordt</t>
  </si>
  <si>
    <t>hramos@users.noreply.github.com</t>
  </si>
  <si>
    <t>hramos</t>
  </si>
  <si>
    <t>inbox@huozhi.im</t>
  </si>
  <si>
    <t>inbox</t>
  </si>
  <si>
    <t>info@michaeldeboey.be</t>
  </si>
  <si>
    <t>ivan.vergiliev@gmail.com</t>
  </si>
  <si>
    <t>ivan.vergiliev</t>
  </si>
  <si>
    <t>jasonbonta@fb.com</t>
  </si>
  <si>
    <t>jasonbonta</t>
  </si>
  <si>
    <t>jergason@gmail.com</t>
  </si>
  <si>
    <t>jergason</t>
  </si>
  <si>
    <t>jon.d.hester@gmail.com</t>
  </si>
  <si>
    <t>jon.d.hester</t>
  </si>
  <si>
    <t>kent@doddsfamily.us</t>
  </si>
  <si>
    <t>kent</t>
  </si>
  <si>
    <t>kevin@parse.com</t>
  </si>
  <si>
    <t>kevin</t>
  </si>
  <si>
    <t>Parse</t>
  </si>
  <si>
    <t>kunukn@gmail.com</t>
  </si>
  <si>
    <t>kunukn</t>
  </si>
  <si>
    <t>lbljeffmo@gmail.com</t>
  </si>
  <si>
    <t>lbljeffmo</t>
  </si>
  <si>
    <t>mail@matiassingers.com</t>
  </si>
  <si>
    <t>markijbema@gmail.com</t>
  </si>
  <si>
    <t>markijbema</t>
  </si>
  <si>
    <t>matteo.domenico@gmail.com</t>
  </si>
  <si>
    <t>matteo.domenico</t>
  </si>
  <si>
    <t>mcridgway@gmail.com</t>
  </si>
  <si>
    <t>mcridgway</t>
  </si>
  <si>
    <t>miller@millermedeiros.com</t>
  </si>
  <si>
    <t>miller</t>
  </si>
  <si>
    <t>mridgway@yahoo-inc.com</t>
  </si>
  <si>
    <t>mridgway</t>
  </si>
  <si>
    <t>naman34@gmail.com</t>
  </si>
  <si>
    <t>naman34</t>
  </si>
  <si>
    <t>ning-github@users.noreply.github.com</t>
  </si>
  <si>
    <t>ning-github</t>
  </si>
  <si>
    <t>nison.mael@gmail.com</t>
  </si>
  <si>
    <t>nison.mael</t>
  </si>
  <si>
    <t>nnyby@columbia.edu</t>
  </si>
  <si>
    <t>nnyby</t>
  </si>
  <si>
    <t>Columbia</t>
  </si>
  <si>
    <t>nuno@crowdprocess.com</t>
  </si>
  <si>
    <t>passy@twitter.com</t>
  </si>
  <si>
    <t>passy</t>
  </si>
  <si>
    <t>pieterdb@meta.com</t>
  </si>
  <si>
    <t>pieterdb</t>
  </si>
  <si>
    <t>piperchester@gmail.com</t>
  </si>
  <si>
    <t>piperchester</t>
  </si>
  <si>
    <t>rickhanlonii@fb.com</t>
  </si>
  <si>
    <t>rogozhnikoff@users.noreply.github.com</t>
  </si>
  <si>
    <t>rogozhnikoff</t>
  </si>
  <si>
    <t>rwoodnz@gmail.com</t>
  </si>
  <si>
    <t>rwoodnz</t>
  </si>
  <si>
    <t>sal95610@gmail.com</t>
  </si>
  <si>
    <t>sal95610</t>
  </si>
  <si>
    <t>sbeveridge@saltstack.com</t>
  </si>
  <si>
    <t>sbeveridge</t>
  </si>
  <si>
    <t>Vmware</t>
  </si>
  <si>
    <t>shaneosullivan1@gmail.com</t>
  </si>
  <si>
    <t>shaneosullivan1</t>
  </si>
  <si>
    <t>sktguha@gmail.com</t>
  </si>
  <si>
    <t>sktguha</t>
  </si>
  <si>
    <t>sri.sjc@gmail.com</t>
  </si>
  <si>
    <t>sri.sjc</t>
  </si>
  <si>
    <t>terabaud@gmail.com</t>
  </si>
  <si>
    <t>terabaud</t>
  </si>
  <si>
    <t>thekevlau@gmail.com</t>
  </si>
  <si>
    <t>thekevlau</t>
  </si>
  <si>
    <t>tkolodziejski@gmail.com</t>
  </si>
  <si>
    <t>tkolodziejski</t>
  </si>
  <si>
    <t>tom910ru@gmail.com</t>
  </si>
  <si>
    <t>tom910ru</t>
  </si>
  <si>
    <t>trevorlynnsmith@gmail.com</t>
  </si>
  <si>
    <t>trevorlynnsmith</t>
  </si>
  <si>
    <t>ville.immonen@iki.fi</t>
  </si>
  <si>
    <t>ville.immonen</t>
  </si>
  <si>
    <t>vipulnsward@gmail.com</t>
  </si>
  <si>
    <t>vipulnsward</t>
  </si>
  <si>
    <t>wtlin1228@gmail.com</t>
  </si>
  <si>
    <t>wtlin1228</t>
  </si>
  <si>
    <t>xixixao@seznam.cz</t>
  </si>
  <si>
    <t>xixixao</t>
  </si>
  <si>
    <t>zwhitchcox@gmail.com</t>
  </si>
  <si>
    <t>zwhitchcox</t>
  </si>
  <si>
    <t>451417726@qq.com</t>
  </si>
  <si>
    <t>2356281422@qq.com</t>
  </si>
  <si>
    <t>18366276315@163.com</t>
  </si>
  <si>
    <t>_steve_@outlook.com</t>
  </si>
  <si>
    <t>_steve_</t>
  </si>
  <si>
    <t>1658237+ryancat@users.noreply.github.com</t>
  </si>
  <si>
    <t>1658237+ryancat</t>
  </si>
  <si>
    <t>2394070+sunderls@users.noreply.github.com</t>
  </si>
  <si>
    <t>2394070+sunderls</t>
  </si>
  <si>
    <t>30711792+leedom92@users.noreply.github.com</t>
  </si>
  <si>
    <t>30711792+leedom92</t>
  </si>
  <si>
    <t>32631382+StyleShit@users.noreply.github.com</t>
  </si>
  <si>
    <t>32631382+StyleShit</t>
  </si>
  <si>
    <t>37384169+ZoteTheMighty@users.noreply.github.com</t>
  </si>
  <si>
    <t>37384169+ZoteTheMighty</t>
  </si>
  <si>
    <t>38075730+c0dedance@users.noreply.github.com</t>
  </si>
  <si>
    <t>38075730+c0dedance</t>
  </si>
  <si>
    <t>53467610+e-hosseini@users.noreply.github.com</t>
  </si>
  <si>
    <t>53467610+e-hosseini</t>
  </si>
  <si>
    <t>59608551+houssemchebeb@users.noreply.github.com</t>
  </si>
  <si>
    <t>59608551+houssemchebeb</t>
  </si>
  <si>
    <t>61028636+hmohamme@users.noreply.github.com</t>
  </si>
  <si>
    <t>61028636+hmohamme</t>
  </si>
  <si>
    <t>99087793+kbuyukakyuz@users.noreply.github.com</t>
  </si>
  <si>
    <t>99087793+kbuyukakyuz</t>
  </si>
  <si>
    <t>aaron.pettengill.violin@gmail.com</t>
  </si>
  <si>
    <t>aaron.pettengill.violin</t>
  </si>
  <si>
    <t>adam.timberlake@gmail.com</t>
  </si>
  <si>
    <t>adam.timberlake</t>
  </si>
  <si>
    <t>adammark75@gmail.com</t>
  </si>
  <si>
    <t>adammark75</t>
  </si>
  <si>
    <t>adasq@users.noreply.github.com</t>
  </si>
  <si>
    <t>adasq</t>
  </si>
  <si>
    <t>AgtLucas@users.noreply.github.com</t>
  </si>
  <si>
    <t>AgtLucas</t>
  </si>
  <si>
    <t>ankitml@gmail.com</t>
  </si>
  <si>
    <t>ankitml</t>
  </si>
  <si>
    <t>anmonteiro@gmail.com</t>
  </si>
  <si>
    <t>anmonteiro</t>
  </si>
  <si>
    <t>anto.ruberto@gmail.com</t>
  </si>
  <si>
    <t>anto.ruberto</t>
  </si>
  <si>
    <t>anupamjain@gmail.com</t>
  </si>
  <si>
    <t>anupamjain</t>
  </si>
  <si>
    <t>aramaswamis@gmail.com</t>
  </si>
  <si>
    <t>aramaswamis</t>
  </si>
  <si>
    <t>areeb.malik91@gmail.com</t>
  </si>
  <si>
    <t>areeb.malik91</t>
  </si>
  <si>
    <t>arnihr@gmail.com</t>
  </si>
  <si>
    <t>arnihr</t>
  </si>
  <si>
    <t>artem@artnez.com</t>
  </si>
  <si>
    <t>artem</t>
  </si>
  <si>
    <t>arthur@gunn.co.nz</t>
  </si>
  <si>
    <t>arthur</t>
  </si>
  <si>
    <t>assortmentofsorts@gmail.com</t>
  </si>
  <si>
    <t>assortmentofsorts</t>
  </si>
  <si>
    <t>avenger7x13@gmail.com</t>
  </si>
  <si>
    <t>avenger7x13</t>
  </si>
  <si>
    <t>aylott@fb.com</t>
  </si>
  <si>
    <t>aylott</t>
  </si>
  <si>
    <t>azich@fb.com</t>
  </si>
  <si>
    <t>azich</t>
  </si>
  <si>
    <t>b56girard@gmail.com</t>
  </si>
  <si>
    <t>b56girard</t>
  </si>
  <si>
    <t>balancetraveller+github@gmail.com</t>
  </si>
  <si>
    <t>balancetraveller+github</t>
  </si>
  <si>
    <t>basaratali@gmail.com</t>
  </si>
  <si>
    <t>basaratali</t>
  </si>
  <si>
    <t>behzad888@users.noreply.github.com</t>
  </si>
  <si>
    <t>behzad888</t>
  </si>
  <si>
    <t>ben@mossity.com</t>
  </si>
  <si>
    <t>bendhalpern@gmail.com</t>
  </si>
  <si>
    <t>bendhalpern</t>
  </si>
  <si>
    <t>bgirard@fb.com</t>
  </si>
  <si>
    <t>bgirard</t>
  </si>
  <si>
    <t>billy@kensho.com</t>
  </si>
  <si>
    <t>billy</t>
  </si>
  <si>
    <t>Kensho</t>
  </si>
  <si>
    <t>brandon@brandonbloom.name</t>
  </si>
  <si>
    <t>brian@callmekung.com</t>
  </si>
  <si>
    <t>brianhartz@gmail.com</t>
  </si>
  <si>
    <t>brianhartz</t>
  </si>
  <si>
    <t>btholt@gmail.com</t>
  </si>
  <si>
    <t>btholt</t>
  </si>
  <si>
    <t>byronluk@gmail.com</t>
  </si>
  <si>
    <t>byronluk</t>
  </si>
  <si>
    <t>calebmeredith8@gmail.com</t>
  </si>
  <si>
    <t>calebmeredith8</t>
  </si>
  <si>
    <t>chentsulin@gmail.com</t>
  </si>
  <si>
    <t>chentsulin</t>
  </si>
  <si>
    <t>chris@monsan.to</t>
  </si>
  <si>
    <t>christianalfoni@gmail.com</t>
  </si>
  <si>
    <t>christianalfoni</t>
  </si>
  <si>
    <t>clarinette.uranus@gmail.com</t>
  </si>
  <si>
    <t>clarinette.uranus</t>
  </si>
  <si>
    <t>clark.duxin@gmail.com</t>
  </si>
  <si>
    <t>clark.duxin</t>
  </si>
  <si>
    <t>clemmy@fb.com</t>
  </si>
  <si>
    <t>clemmy</t>
  </si>
  <si>
    <t>contact@alexandrutasica.ro</t>
  </si>
  <si>
    <t>cookfront@gmail.com</t>
  </si>
  <si>
    <t>cookfront</t>
  </si>
  <si>
    <t>crevoisier.thomas@gmail.com</t>
  </si>
  <si>
    <t>crevoisier.thomas</t>
  </si>
  <si>
    <t>csciolla1@gmail.com</t>
  </si>
  <si>
    <t>csciolla1</t>
  </si>
  <si>
    <t>csonpatki@gmail.com</t>
  </si>
  <si>
    <t>csonpatki</t>
  </si>
  <si>
    <t>czajkowski.piotr@gmail.com</t>
  </si>
  <si>
    <t>czajkowski.piotr</t>
  </si>
  <si>
    <t>daniel@nadir-seen-fire.com</t>
  </si>
  <si>
    <t>daniel@gasienica.ch</t>
  </si>
  <si>
    <t>davemccabe@gmail.com</t>
  </si>
  <si>
    <t>davemccabe</t>
  </si>
  <si>
    <t>davetp425@gmail.com</t>
  </si>
  <si>
    <t>davetp425</t>
  </si>
  <si>
    <t>dean.brophy@gmail.com</t>
  </si>
  <si>
    <t>dean.brophy</t>
  </si>
  <si>
    <t>djrodgerspryor@gmail.com</t>
  </si>
  <si>
    <t>djrodgerspryor</t>
  </si>
  <si>
    <t>dmnd@desmondbrand.com</t>
  </si>
  <si>
    <t>dmnd</t>
  </si>
  <si>
    <t>drdelambre@gmail.com</t>
  </si>
  <si>
    <t>drdelambre</t>
  </si>
  <si>
    <t>eharper@mixpo.com</t>
  </si>
  <si>
    <t>eharper</t>
  </si>
  <si>
    <t>elainefang@Elaines-MacBook-Pro.local</t>
  </si>
  <si>
    <t>elainefang</t>
  </si>
  <si>
    <t>eliwhite@fb.com</t>
  </si>
  <si>
    <t>eliwhite</t>
  </si>
  <si>
    <t>elliott.codes@gmail.com</t>
  </si>
  <si>
    <t>elliott.codes</t>
  </si>
  <si>
    <t>engcolson@gmail.com</t>
  </si>
  <si>
    <t>engcolson</t>
  </si>
  <si>
    <t>ethan.arrowood@gmail.com</t>
  </si>
  <si>
    <t>ethan.arrowood</t>
  </si>
  <si>
    <t>everdimension@gmail.com</t>
  </si>
  <si>
    <t>everdimension</t>
  </si>
  <si>
    <t>exiadbq@gmail.com</t>
  </si>
  <si>
    <t>exiadbq</t>
  </si>
  <si>
    <t>fabs@fb.com</t>
  </si>
  <si>
    <t>fabs</t>
  </si>
  <si>
    <t>farhad.yasir.nb@gmail.com</t>
  </si>
  <si>
    <t>farhad.yasir.nb</t>
  </si>
  <si>
    <t>felipekde@gmail.com</t>
  </si>
  <si>
    <t>felipekde</t>
  </si>
  <si>
    <t>fforw@gmx.de</t>
  </si>
  <si>
    <t>fforw</t>
  </si>
  <si>
    <t>fkgozali@users.noreply.github.com</t>
  </si>
  <si>
    <t>fkgozali</t>
  </si>
  <si>
    <t>floguy@gmail.com</t>
  </si>
  <si>
    <t>floguy</t>
  </si>
  <si>
    <t>fpoumian@gmail.com</t>
  </si>
  <si>
    <t>fpoumian</t>
  </si>
  <si>
    <t>francoischalifour@users.noreply.github.com</t>
  </si>
  <si>
    <t>francoischalifour</t>
  </si>
  <si>
    <t>gab.tc@icloud.com</t>
  </si>
  <si>
    <t>gab.tc</t>
  </si>
  <si>
    <t>gantman@gmail.com</t>
  </si>
  <si>
    <t>gantman</t>
  </si>
  <si>
    <t>gareth.nic@gmail.com</t>
  </si>
  <si>
    <t>gareth.nic</t>
  </si>
  <si>
    <t>gebilaoxiong@gmail.com</t>
  </si>
  <si>
    <t>gebilaoxiong</t>
  </si>
  <si>
    <t>gelias.gbelsky@gmail.com</t>
  </si>
  <si>
    <t>gelias.gbelsky</t>
  </si>
  <si>
    <t>george.sisco@gmail.com</t>
  </si>
  <si>
    <t>george.sisco</t>
  </si>
  <si>
    <t>git@julienbordellier.com</t>
  </si>
  <si>
    <t>github@higher.lv</t>
  </si>
  <si>
    <t>github@steveluscher.com</t>
  </si>
  <si>
    <t>github@joshduck.com</t>
  </si>
  <si>
    <t>gordonmdent@gmail.com</t>
  </si>
  <si>
    <t>gordonmdent</t>
  </si>
  <si>
    <t>granttimmerman@gmail.com</t>
  </si>
  <si>
    <t>granttimmerman</t>
  </si>
  <si>
    <t>gscottolson@gmail.com</t>
  </si>
  <si>
    <t>gscottolson</t>
  </si>
  <si>
    <t>hanski07@kirk-hansens-macbook.local</t>
  </si>
  <si>
    <t>hanski07</t>
  </si>
  <si>
    <t>hanu.sas@gmail.com</t>
  </si>
  <si>
    <t>hanu.sas</t>
  </si>
  <si>
    <t>hao.huang@aliyun.com</t>
  </si>
  <si>
    <t>hao.huang</t>
  </si>
  <si>
    <t>hello@marvinh.dev</t>
  </si>
  <si>
    <t>hello@seyinanigans.com</t>
  </si>
  <si>
    <t>hendrik.swanepoel@gmail.com</t>
  </si>
  <si>
    <t>hendrik.swanepoel</t>
  </si>
  <si>
    <t>henryqdineen@users.noreply.github.com</t>
  </si>
  <si>
    <t>henryqdineen</t>
  </si>
  <si>
    <t>hhuang@netflix.com</t>
  </si>
  <si>
    <t>hhuang</t>
  </si>
  <si>
    <t>i2r.jun@gmail.com</t>
  </si>
  <si>
    <t>i2r.jun</t>
  </si>
  <si>
    <t>iam@erikhellman.com</t>
  </si>
  <si>
    <t>iano@fb.com</t>
  </si>
  <si>
    <t>iano</t>
  </si>
  <si>
    <t>ide@users.noreply.github.com</t>
  </si>
  <si>
    <t>ide</t>
  </si>
  <si>
    <t>ilyagelman@ilyagelman.com</t>
  </si>
  <si>
    <t>ilyagelman</t>
  </si>
  <si>
    <t>imagentlemail@gmail.com</t>
  </si>
  <si>
    <t>imagentlemail</t>
  </si>
  <si>
    <t>inottn@outlook.com</t>
  </si>
  <si>
    <t>inottn</t>
  </si>
  <si>
    <t>iraz2426@gmail.com</t>
  </si>
  <si>
    <t>iraz2426</t>
  </si>
  <si>
    <t>jackson888888@gmail.com</t>
  </si>
  <si>
    <t>jackson888888</t>
  </si>
  <si>
    <t>jakeworth82@gmail.com</t>
  </si>
  <si>
    <t>jakeworth82</t>
  </si>
  <si>
    <t>jan@kassens.net</t>
  </si>
  <si>
    <t>jan.hancic@gmail.com</t>
  </si>
  <si>
    <t>jan.hancic</t>
  </si>
  <si>
    <t>jarhar@chromium.org</t>
  </si>
  <si>
    <t>jarhar</t>
  </si>
  <si>
    <t>jbonta@gmail.com</t>
  </si>
  <si>
    <t>jbonta</t>
  </si>
  <si>
    <t>jdudak@fb.com</t>
  </si>
  <si>
    <t>jdudak</t>
  </si>
  <si>
    <t>jed.watson@me.com</t>
  </si>
  <si>
    <t>jed.watson</t>
  </si>
  <si>
    <t>jinmmd@gmail.com</t>
  </si>
  <si>
    <t>jinmmd</t>
  </si>
  <si>
    <t>jngugi88@gmail.com</t>
  </si>
  <si>
    <t>jngugi88</t>
  </si>
  <si>
    <t>joenudell@gmail.com</t>
  </si>
  <si>
    <t>joenudell</t>
  </si>
  <si>
    <t>joesavona@fb.com</t>
  </si>
  <si>
    <t>joesavona</t>
  </si>
  <si>
    <t>john.david.dalton@gmail.com</t>
  </si>
  <si>
    <t>john.david.dalton</t>
  </si>
  <si>
    <t>jonathan.persson@creuna.se</t>
  </si>
  <si>
    <t>jonathan.persson</t>
  </si>
  <si>
    <t>jonscottclark@gmail.com</t>
  </si>
  <si>
    <t>jonscottclark</t>
  </si>
  <si>
    <t>josh.c.story@gmail.com</t>
  </si>
  <si>
    <t>josh.c.story</t>
  </si>
  <si>
    <t>jpearce@fb.com</t>
  </si>
  <si>
    <t>jpearce</t>
  </si>
  <si>
    <t>jshubheksha@gmail.com</t>
  </si>
  <si>
    <t>jshubheksha</t>
  </si>
  <si>
    <t>jstepper91@gmail.com</t>
  </si>
  <si>
    <t>jstepper91</t>
  </si>
  <si>
    <t>justingrant@users.noreply.github.com</t>
  </si>
  <si>
    <t>justingrant</t>
  </si>
  <si>
    <t>jyash97@gmail.com</t>
  </si>
  <si>
    <t>jyash97</t>
  </si>
  <si>
    <t>karcz.k@gmail.com</t>
  </si>
  <si>
    <t>karcz.k</t>
  </si>
  <si>
    <t>karl.horky@gmail.com</t>
  </si>
  <si>
    <t>karl.horky</t>
  </si>
  <si>
    <t>kent+github@doddsfamily.us</t>
  </si>
  <si>
    <t>kent+github</t>
  </si>
  <si>
    <t>kerolloz@yahoo.com</t>
  </si>
  <si>
    <t>kerolloz</t>
  </si>
  <si>
    <t>kevin@kevinold.com</t>
  </si>
  <si>
    <t>kevincoughlin@tumblr.com</t>
  </si>
  <si>
    <t>kevincoughlin</t>
  </si>
  <si>
    <t>kevinziwenhuang@gmail.com</t>
  </si>
  <si>
    <t>kevinziwenhuang</t>
  </si>
  <si>
    <t>kingdom.orjiewuru@andela.com</t>
  </si>
  <si>
    <t>kingdom.orjiewuru</t>
  </si>
  <si>
    <t>kiran.chinna12520@gmail.com</t>
  </si>
  <si>
    <t>kiran.chinna12520</t>
  </si>
  <si>
    <t>l@lrowe.co.uk</t>
  </si>
  <si>
    <t>l</t>
  </si>
  <si>
    <t>lacker@gmail.com</t>
  </si>
  <si>
    <t>lacker</t>
  </si>
  <si>
    <t>laskowski.box@gmail.com</t>
  </si>
  <si>
    <t>laskowski.box</t>
  </si>
  <si>
    <t>lauliacj@gmail.com</t>
  </si>
  <si>
    <t>lauliacj</t>
  </si>
  <si>
    <t>leland.m.richardson@gmail.com</t>
  </si>
  <si>
    <t>leland.m.richardson</t>
  </si>
  <si>
    <t>levibuzolic@gmail.com</t>
  </si>
  <si>
    <t>levibuzolic</t>
  </si>
  <si>
    <t>li.li@ele.me</t>
  </si>
  <si>
    <t>li.li</t>
  </si>
  <si>
    <t>linshunghuang@gmail.com</t>
  </si>
  <si>
    <t>linshunghuang</t>
  </si>
  <si>
    <t>ljharb@gmail.com</t>
  </si>
  <si>
    <t>ljharb</t>
  </si>
  <si>
    <t>ljuliom@gmail.com</t>
  </si>
  <si>
    <t>ljuliom</t>
  </si>
  <si>
    <t>lorber.sebastien@gmail.com</t>
  </si>
  <si>
    <t>lorber.sebastien</t>
  </si>
  <si>
    <t>m.eezadmehr@gmail.com</t>
  </si>
  <si>
    <t>m.eezadmehr</t>
  </si>
  <si>
    <t>m.goleb@gmail.com</t>
  </si>
  <si>
    <t>m.goleb</t>
  </si>
  <si>
    <t>marjan.georgiev@gmail.com</t>
  </si>
  <si>
    <t>marjan.georgiev</t>
  </si>
  <si>
    <t>mark@boomtownroi.com</t>
  </si>
  <si>
    <t>matt@brookes.net</t>
  </si>
  <si>
    <t>max.shastik@yandex.ru</t>
  </si>
  <si>
    <t>max.shastik</t>
  </si>
  <si>
    <t>me@pluma.io</t>
  </si>
  <si>
    <t>mfunk86@gmail.com</t>
  </si>
  <si>
    <t>mfunk86</t>
  </si>
  <si>
    <t>mhujer@gmail.com</t>
  </si>
  <si>
    <t>mhujer</t>
  </si>
  <si>
    <t>michael@mgmcdermott.com</t>
  </si>
  <si>
    <t>michael.rp@gmail.com</t>
  </si>
  <si>
    <t>michael.rp</t>
  </si>
  <si>
    <t>mihai@persistent.info</t>
  </si>
  <si>
    <t>mihai</t>
  </si>
  <si>
    <t>mike.pilsbury@gmail.com</t>
  </si>
  <si>
    <t>mike.pilsbury</t>
  </si>
  <si>
    <t>mileswjohnson@gmail.com</t>
  </si>
  <si>
    <t>mileswjohnson</t>
  </si>
  <si>
    <t>minwe@yunshipei.com</t>
  </si>
  <si>
    <t>minwe</t>
  </si>
  <si>
    <t>mjijackson@gmail.com</t>
  </si>
  <si>
    <t>mjijackson</t>
  </si>
  <si>
    <t>montogeek@gmail.com</t>
  </si>
  <si>
    <t>montogeek</t>
  </si>
  <si>
    <t>msmania@users.noreply.github.com</t>
  </si>
  <si>
    <t>msmania</t>
  </si>
  <si>
    <t>murtaza.sh@gmail.com</t>
  </si>
  <si>
    <t>murtaza.sh</t>
  </si>
  <si>
    <t>nick.bonetto@gmail.com</t>
  </si>
  <si>
    <t>nick.bonetto</t>
  </si>
  <si>
    <t>nickt@instagram.com</t>
  </si>
  <si>
    <t>nickt</t>
  </si>
  <si>
    <t>nihgwu@live.com</t>
  </si>
  <si>
    <t>nihgwu</t>
  </si>
  <si>
    <t>nongyoubao@alibaba-inc.com</t>
  </si>
  <si>
    <t>nongyoubao</t>
  </si>
  <si>
    <t>noyobo@gmail.com</t>
  </si>
  <si>
    <t>noyobo</t>
  </si>
  <si>
    <t>nw@nwhite.net</t>
  </si>
  <si>
    <t>nw</t>
  </si>
  <si>
    <t>o.yanchinskiy@gmail.com</t>
  </si>
  <si>
    <t>o.yanchinskiy</t>
  </si>
  <si>
    <t>oiva.eskola@gmail.com</t>
  </si>
  <si>
    <t>oiva.eskola</t>
  </si>
  <si>
    <t>oliver.zeigermann@gmail.com</t>
  </si>
  <si>
    <t>oliver.zeigermann</t>
  </si>
  <si>
    <t>pablolm@yahoo-inc.com</t>
  </si>
  <si>
    <t>pablolm</t>
  </si>
  <si>
    <t>pieter.debaets@gmail.com</t>
  </si>
  <si>
    <t>pieter.debaets</t>
  </si>
  <si>
    <t>plievone@cc.hut.fi</t>
  </si>
  <si>
    <t>plievone</t>
  </si>
  <si>
    <t>pombopombopombo@gmail.com</t>
  </si>
  <si>
    <t>pombopombopombo</t>
  </si>
  <si>
    <t>prayag.verma@gmail.com</t>
  </si>
  <si>
    <t>prayag.verma</t>
  </si>
  <si>
    <t>protronm@gmail.com</t>
  </si>
  <si>
    <t>protronm</t>
  </si>
  <si>
    <t>quadrupleslap@users.noreply.github.com</t>
  </si>
  <si>
    <t>quadrupleslap</t>
  </si>
  <si>
    <t>rafal.dittwald@gmail.com</t>
  </si>
  <si>
    <t>rafal.dittwald</t>
  </si>
  <si>
    <t>ragnar.valgeirsson@gmail.com</t>
  </si>
  <si>
    <t>ragnar.valgeirsson</t>
  </si>
  <si>
    <t>rajendraarora16@yahoo.com</t>
  </si>
  <si>
    <t>rajendraarora16</t>
  </si>
  <si>
    <t>richard@noredink.com</t>
  </si>
  <si>
    <t>NoredLink</t>
  </si>
  <si>
    <t>richard.littauer@gmail.com</t>
  </si>
  <si>
    <t>richard.littauer</t>
  </si>
  <si>
    <t>richard.t.feldman@gmail.com</t>
  </si>
  <si>
    <t>richard.t.feldman</t>
  </si>
  <si>
    <t>rickmaisano@gmail.com</t>
  </si>
  <si>
    <t>rickmaisano</t>
  </si>
  <si>
    <t>rickthomas1980@gmail.com</t>
  </si>
  <si>
    <t>rickthomas1980</t>
  </si>
  <si>
    <t>rickywvetter@gmail.com</t>
  </si>
  <si>
    <t>rickywvetter</t>
  </si>
  <si>
    <t>riley.tomasek@gmail.com</t>
  </si>
  <si>
    <t>riley.tomasek</t>
  </si>
  <si>
    <t>robert.knight@mendeley.com</t>
  </si>
  <si>
    <t>robert.knight</t>
  </si>
  <si>
    <t>robin@berjon.com</t>
  </si>
  <si>
    <t>robin@rofrischmann.de</t>
  </si>
  <si>
    <t>roderickhsiao@users.noreply.github.com</t>
  </si>
  <si>
    <t>roderickhsiao</t>
  </si>
  <si>
    <t>roma.matusevich@gmail.com</t>
  </si>
  <si>
    <t>roma.matusevich</t>
  </si>
  <si>
    <t>ronald_eddy@yahoo.com</t>
  </si>
  <si>
    <t>ronald_eddy</t>
  </si>
  <si>
    <t>sam.selikoff@gmail.com</t>
  </si>
  <si>
    <t>sam.selikoff</t>
  </si>
  <si>
    <t>samuel.trace.reed@gmail.com</t>
  </si>
  <si>
    <t>samuel.trace.reed</t>
  </si>
  <si>
    <t>samuelsusla@fb.com</t>
  </si>
  <si>
    <t>samuelsusla</t>
  </si>
  <si>
    <t>sarhanaissi@gmail.com</t>
  </si>
  <si>
    <t>sarhanaissi</t>
  </si>
  <si>
    <t>savepointsam@gmail.com</t>
  </si>
  <si>
    <t>savepointsam</t>
  </si>
  <si>
    <t>scott@bulldoginfo.com</t>
  </si>
  <si>
    <t>sebaest77@gmail.com</t>
  </si>
  <si>
    <t>sebaest77</t>
  </si>
  <si>
    <t>sebmck@gmail.com</t>
  </si>
  <si>
    <t>sebmck</t>
  </si>
  <si>
    <t>shawnthe1@gmail.com</t>
  </si>
  <si>
    <t>shawnthe1</t>
  </si>
  <si>
    <t>smith3816@gmail.com</t>
  </si>
  <si>
    <t>smith3816</t>
  </si>
  <si>
    <t>snnskwtnb@gmail.com</t>
  </si>
  <si>
    <t>snnskwtnb</t>
  </si>
  <si>
    <t>sophiebits@humu.com</t>
  </si>
  <si>
    <t>Humu</t>
  </si>
  <si>
    <t>splendidnoise@gmail.com</t>
  </si>
  <si>
    <t>splendidnoise</t>
  </si>
  <si>
    <t>steveluscher@instagram.com</t>
  </si>
  <si>
    <t>steveluscher</t>
  </si>
  <si>
    <t>steven@ceriously.com</t>
  </si>
  <si>
    <t>steven</t>
  </si>
  <si>
    <t>sverre.johansen@gmail.com</t>
  </si>
  <si>
    <t>sverre.johansen</t>
  </si>
  <si>
    <t>taehwanno.dev@gmail.com</t>
  </si>
  <si>
    <t>taehwanno.dev</t>
  </si>
  <si>
    <t>taichiyi@163.com</t>
  </si>
  <si>
    <t>taichiyi</t>
  </si>
  <si>
    <t>talpa@yandex.ru</t>
  </si>
  <si>
    <t>talpa</t>
  </si>
  <si>
    <t>TanaseHagi@users.noreply.github.com</t>
  </si>
  <si>
    <t>TanaseHagi</t>
  </si>
  <si>
    <t>ted@vcnc.co.kr</t>
  </si>
  <si>
    <t>ted</t>
  </si>
  <si>
    <t>VCNC</t>
  </si>
  <si>
    <t>tendant@gmail.com</t>
  </si>
  <si>
    <t>tendant</t>
  </si>
  <si>
    <t>teodor98sz@gmail.com</t>
  </si>
  <si>
    <t>teodor98sz</t>
  </si>
  <si>
    <t>thekashey@gmail.com</t>
  </si>
  <si>
    <t>thekashey</t>
  </si>
  <si>
    <t>thomas@heyzap.com</t>
  </si>
  <si>
    <t>tim@timneutkens.nl</t>
  </si>
  <si>
    <t>timjacobi@users.noreply.github.com</t>
  </si>
  <si>
    <t>timjacobi</t>
  </si>
  <si>
    <t>troutowicz@gmail.com</t>
  </si>
  <si>
    <t>troutowicz</t>
  </si>
  <si>
    <t>undernewmanagement@users.noreply.github.com</t>
  </si>
  <si>
    <t>undernewmanagement</t>
  </si>
  <si>
    <t>v.alvarez312@gmail.com</t>
  </si>
  <si>
    <t>v.alvarez312</t>
  </si>
  <si>
    <t>vincentriemer@gmail.com</t>
  </si>
  <si>
    <t>vincentriemer</t>
  </si>
  <si>
    <t>vitorbal@gmail.com</t>
  </si>
  <si>
    <t>vitorbal</t>
  </si>
  <si>
    <t>wereya2@yandex.ru</t>
  </si>
  <si>
    <t>wereya2</t>
  </si>
  <si>
    <t>WickyNilliams@users.noreply.github.com</t>
  </si>
  <si>
    <t>WickyNilliams</t>
  </si>
  <si>
    <t>yenshih95@gmail.com</t>
  </si>
  <si>
    <t>yenshih95</t>
  </si>
  <si>
    <t>Yeti.or@gmail.com</t>
  </si>
  <si>
    <t>Yeti.or</t>
  </si>
  <si>
    <t>yhagio87@gmail.com</t>
  </si>
  <si>
    <t>yhagio87</t>
  </si>
  <si>
    <t>yu.tian113@gmail.com</t>
  </si>
  <si>
    <t>yu.tian113</t>
  </si>
  <si>
    <t>yuntao.qyt@alibaba-inc.com</t>
  </si>
  <si>
    <t>yuntao.qyt</t>
  </si>
  <si>
    <t>zbruggeman@me.com</t>
  </si>
  <si>
    <t>zbruggeman</t>
  </si>
  <si>
    <t>zhang_renyang@126.com</t>
  </si>
  <si>
    <t>zhang_renyang</t>
  </si>
  <si>
    <t>1@178.is</t>
  </si>
  <si>
    <t>282126346@qq.com</t>
  </si>
  <si>
    <t>313439271@qq.com</t>
  </si>
  <si>
    <t>513802516@qq.com</t>
  </si>
  <si>
    <t>535802703@qq.com</t>
  </si>
  <si>
    <t>576679268@qq.com</t>
  </si>
  <si>
    <t>724159997@qq.com</t>
  </si>
  <si>
    <t>843968788@qq.com</t>
  </si>
  <si>
    <t>850127508@qq.com</t>
  </si>
  <si>
    <t>944316342@qq.com</t>
  </si>
  <si>
    <t>1250766229@qq.com</t>
  </si>
  <si>
    <t>1533540012@qq.com</t>
  </si>
  <si>
    <t>1879633916@qq.com</t>
  </si>
  <si>
    <t>2470828450@qq.com</t>
  </si>
  <si>
    <t>15101126742@163.com</t>
  </si>
  <si>
    <t>09chengk@gmail.com</t>
  </si>
  <si>
    <t>09chengk</t>
  </si>
  <si>
    <t>105620665+Semako123@users.noreply.github.com</t>
  </si>
  <si>
    <t>105620665+Semako123</t>
  </si>
  <si>
    <t>1134310+rodrigograca31@users.noreply.github.com</t>
  </si>
  <si>
    <t>1134310+rodrigograca31</t>
  </si>
  <si>
    <t>1222691+gkz@users.noreply.github.com</t>
  </si>
  <si>
    <t>1222691+gkz</t>
  </si>
  <si>
    <t>13009812+sytranvn@users.noreply.github.com</t>
  </si>
  <si>
    <t>13009812+sytranvn</t>
  </si>
  <si>
    <t>13298548+MoonBall@users.noreply.github.com</t>
  </si>
  <si>
    <t>13298548+MoonBall</t>
  </si>
  <si>
    <t>13641726+halitogunc@users.noreply.github.com</t>
  </si>
  <si>
    <t>13641726+halitogunc</t>
  </si>
  <si>
    <t>14029371+afzalsayed96@users.noreply.github.com</t>
  </si>
  <si>
    <t>14029371+afzalsayed96</t>
  </si>
  <si>
    <t>153412+vkrol@users.noreply.github.com</t>
  </si>
  <si>
    <t>153412+vkrol</t>
  </si>
  <si>
    <t>16024985+trivikr@users.noreply.github.com</t>
  </si>
  <si>
    <t>16024985+trivikr</t>
  </si>
  <si>
    <t>1794859+tgroshon@users.noreply.github.com</t>
  </si>
  <si>
    <t>1794859+tgroshon</t>
  </si>
  <si>
    <t>1919554+powens@users.noreply.github.com</t>
  </si>
  <si>
    <t>1919554+powens</t>
  </si>
  <si>
    <t>19418601+rakleed@users.noreply.github.com</t>
  </si>
  <si>
    <t>19418601+rakleed</t>
  </si>
  <si>
    <t>2350015+devedse@users.noreply.github.com</t>
  </si>
  <si>
    <t>2350015+devedse</t>
  </si>
  <si>
    <t>243083df@dispostable.com</t>
  </si>
  <si>
    <t>243083df</t>
  </si>
  <si>
    <t>30694822+HoikanChan@users.noreply.github.com</t>
  </si>
  <si>
    <t>30694822+HoikanChan</t>
  </si>
  <si>
    <t>31121105+sdta25196@users.noreply.github.com</t>
  </si>
  <si>
    <t>31121105+sdta25196</t>
  </si>
  <si>
    <t>31378877+zhuoli99@users.noreply.github.com</t>
  </si>
  <si>
    <t>31378877+zhuoli99</t>
  </si>
  <si>
    <t>32682373+GarethSmall@users.noreply.github.com</t>
  </si>
  <si>
    <t>32682373+GarethSmall</t>
  </si>
  <si>
    <t>34498770+oltrep@users.noreply.github.com</t>
  </si>
  <si>
    <t>34498770+oltrep</t>
  </si>
  <si>
    <t>34558878+wittgenst@users.noreply.github.com</t>
  </si>
  <si>
    <t>34558878+wittgenst</t>
  </si>
  <si>
    <t>34754995+aaronamendez@users.noreply.github.com</t>
  </si>
  <si>
    <t>34754995+aaronamendez</t>
  </si>
  <si>
    <t>3644720+shubhamgautam@users.noreply.github.com</t>
  </si>
  <si>
    <t>3644720+shubhamgautam</t>
  </si>
  <si>
    <t>36466790+cutjavascript@users.noreply.github.com</t>
  </si>
  <si>
    <t>36466790+cutjavascript</t>
  </si>
  <si>
    <t>36549917+tombrowndev@users.noreply.github.com</t>
  </si>
  <si>
    <t>36549917+tombrowndev</t>
  </si>
  <si>
    <t>37421564+sinansonmez@users.noreply.github.com</t>
  </si>
  <si>
    <t>37421564+sinansonmez</t>
  </si>
  <si>
    <t>37772742+itaim18@users.noreply.github.com</t>
  </si>
  <si>
    <t>37772742+itaim18</t>
  </si>
  <si>
    <t>38544454+JoshuaScript@users.noreply.github.com</t>
  </si>
  <si>
    <t>38544454+JoshuaScript</t>
  </si>
  <si>
    <t>38elements@users.noreply.github.com</t>
  </si>
  <si>
    <t>38elements</t>
  </si>
  <si>
    <t>39038992+locknono@users.noreply.github.com</t>
  </si>
  <si>
    <t>39038992+locknono</t>
  </si>
  <si>
    <t>39222138+ItsByteMe@users.noreply.github.com</t>
  </si>
  <si>
    <t>39222138+ItsByteMe</t>
  </si>
  <si>
    <t>39489675+mohammadsiyou@users.noreply.github.com</t>
  </si>
  <si>
    <t>39489675+mohammadsiyou</t>
  </si>
  <si>
    <t>40604284+alphabet-codes@users.noreply.github.com</t>
  </si>
  <si>
    <t>40604284+alphabet-codes</t>
  </si>
  <si>
    <t>40642621+davidblnc@users.noreply.github.com</t>
  </si>
  <si>
    <t>40642621+davidblnc</t>
  </si>
  <si>
    <t>42976936+mahyareb@users.noreply.github.com</t>
  </si>
  <si>
    <t>42976936+mahyareb</t>
  </si>
  <si>
    <t>43301907+SamCortopassi@users.noreply.github.com</t>
  </si>
  <si>
    <t>43301907+SamCortopassi</t>
  </si>
  <si>
    <t>44032634+shivamjjha@users.noreply.github.com</t>
  </si>
  <si>
    <t>44032634+shivamjjha</t>
  </si>
  <si>
    <t>44238060+h4x0rlol@users.noreply.github.com</t>
  </si>
  <si>
    <t>44238060+h4x0rlol</t>
  </si>
  <si>
    <t>44428053+taiga39@users.noreply.github.com</t>
  </si>
  <si>
    <t>44428053+taiga39</t>
  </si>
  <si>
    <t>45145592+vitaliemiron@users.noreply.github.com</t>
  </si>
  <si>
    <t>45145592+vitaliemiron</t>
  </si>
  <si>
    <t>45385120+jerry-lllman@users.noreply.github.com</t>
  </si>
  <si>
    <t>45385120+jerry-lllman</t>
  </si>
  <si>
    <t>47082893+mdaj06@users.noreply.github.com</t>
  </si>
  <si>
    <t>47082893+mdaj06</t>
  </si>
  <si>
    <t>47265045+chenpengjiayou2009@users.noreply.github.com</t>
  </si>
  <si>
    <t>47265045+chenpengjiayou2009</t>
  </si>
  <si>
    <t>48027052+falguniraina@users.noreply.github.com</t>
  </si>
  <si>
    <t>48027052+falguniraina</t>
  </si>
  <si>
    <t>48787108+yujunjung@users.noreply.github.com</t>
  </si>
  <si>
    <t>48787108+yujunjung</t>
  </si>
  <si>
    <t>49692373+zahad-a-s@users.noreply.github.com</t>
  </si>
  <si>
    <t>49692373+zahad-a-s</t>
  </si>
  <si>
    <t>51530311+todortotev@users.noreply.github.com</t>
  </si>
  <si>
    <t>51530311+todortotev</t>
  </si>
  <si>
    <t>53490304+kri@users.noreply.github.com</t>
  </si>
  <si>
    <t>53490304+kri</t>
  </si>
  <si>
    <t>5622951+cylim@users.noreply.github.com</t>
  </si>
  <si>
    <t>5622951+cylim</t>
  </si>
  <si>
    <t>57197898+bpernick@users.noreply.github.com</t>
  </si>
  <si>
    <t>57197898+bpernick</t>
  </si>
  <si>
    <t>57364413+Willie-Boy@users.noreply.github.com</t>
  </si>
  <si>
    <t>57364413+Willie-Boy</t>
  </si>
  <si>
    <t>57806596+evrenkaraarslan@users.noreply.github.com</t>
  </si>
  <si>
    <t>57806596+evrenkaraarslan</t>
  </si>
  <si>
    <t>58993233+notEpsilon@users.noreply.github.com</t>
  </si>
  <si>
    <t>58993233+notEpsilon</t>
  </si>
  <si>
    <t>62130798+togami2864@users.noreply.github.com</t>
  </si>
  <si>
    <t>62130798+togami2864</t>
  </si>
  <si>
    <t>63068182+scyron6@users.noreply.github.com</t>
  </si>
  <si>
    <t>63068182+scyron6</t>
  </si>
  <si>
    <t>70081031+Bchan1999@users.noreply.github.com</t>
  </si>
  <si>
    <t>70081031+Bchan1999</t>
  </si>
  <si>
    <t>71846122+recurx@users.noreply.github.com</t>
  </si>
  <si>
    <t>71846122+recurx</t>
  </si>
  <si>
    <t>75563024+idango10@users.noreply.github.com</t>
  </si>
  <si>
    <t>75563024+idango10</t>
  </si>
  <si>
    <t>75879688+k1499@users.noreply.github.com</t>
  </si>
  <si>
    <t>75879688+k1499</t>
  </si>
  <si>
    <t>75886411+Pulkit3234@users.noreply.github.com</t>
  </si>
  <si>
    <t>75886411+Pulkit3234</t>
  </si>
  <si>
    <t>8191686+wfnuser@users.noreply.github.com</t>
  </si>
  <si>
    <t>8191686+wfnuser</t>
  </si>
  <si>
    <t>82415971+denmo530@users.noreply.github.com</t>
  </si>
  <si>
    <t>82415971+denmo530</t>
  </si>
  <si>
    <t>8398a7@gmail.com</t>
  </si>
  <si>
    <t>8398a7</t>
  </si>
  <si>
    <t>84996242+PrathamLalwani@users.noreply.github.com</t>
  </si>
  <si>
    <t>84996242+PrathamLalwani</t>
  </si>
  <si>
    <t>8hachibee125@gmail.com</t>
  </si>
  <si>
    <t>8hachibee125</t>
  </si>
  <si>
    <t>91583457+anatoliik-lyft@users.noreply.github.com</t>
  </si>
  <si>
    <t>91583457+anatoliik-lyft</t>
  </si>
  <si>
    <t>920747+damianstasik@users.noreply.github.com</t>
  </si>
  <si>
    <t>920747+damianstasik</t>
  </si>
  <si>
    <t>96938361+SouSingh@users.noreply.github.com</t>
  </si>
  <si>
    <t>96938361+SouSingh</t>
  </si>
  <si>
    <t>9770033+iamkaransharma@users.noreply.github.com</t>
  </si>
  <si>
    <t>9770033+iamkaransharma</t>
  </si>
  <si>
    <t>98076988+mateusmtoledo@users.noreply.github.com</t>
  </si>
  <si>
    <t>98076988+mateusmtoledo</t>
  </si>
  <si>
    <t>99381933+AsanAzimkulov@users.noreply.github.com</t>
  </si>
  <si>
    <t>99381933+AsanAzimkulov</t>
  </si>
  <si>
    <t>a.dheeraj.kumar@gmail.com</t>
  </si>
  <si>
    <t>a.dheeraj.kumar</t>
  </si>
  <si>
    <t>a.kirszenberg@gmail.com</t>
  </si>
  <si>
    <t>a.kirszenberg</t>
  </si>
  <si>
    <t>a55951234@gmail.com</t>
  </si>
  <si>
    <t>a55951234</t>
  </si>
  <si>
    <t>aaberg89@gmail.com</t>
  </si>
  <si>
    <t>aaberg89</t>
  </si>
  <si>
    <t>aarboleda1@users.noreply.github.com</t>
  </si>
  <si>
    <t>aarboleda1</t>
  </si>
  <si>
    <t>aaron.gelter@harman.com</t>
  </si>
  <si>
    <t>aaron.gelter</t>
  </si>
  <si>
    <t>abhiram.satpute@gmail.com</t>
  </si>
  <si>
    <t>abhiram.satpute</t>
  </si>
  <si>
    <t>abhisheksoni2720@gmail.com</t>
  </si>
  <si>
    <t>abhisheksoni2720</t>
  </si>
  <si>
    <t>abiduzair420@gmail.com</t>
  </si>
  <si>
    <t>abiduzair420</t>
  </si>
  <si>
    <t>abigsmall@users.noreply.github.com</t>
  </si>
  <si>
    <t>abigsmall</t>
  </si>
  <si>
    <t>accounts@saitonakamura.me</t>
  </si>
  <si>
    <t>accounts</t>
  </si>
  <si>
    <t>adam@glitterfram.es</t>
  </si>
  <si>
    <t>adamsau@hotmail.com.hk</t>
  </si>
  <si>
    <t>adamsau</t>
  </si>
  <si>
    <t>adamzap@gmail.com</t>
  </si>
  <si>
    <t>adamzap</t>
  </si>
  <si>
    <t>addyosmani@gmail.com</t>
  </si>
  <si>
    <t>addyosmani</t>
  </si>
  <si>
    <t>adnaan.bheda@gmail.com</t>
  </si>
  <si>
    <t>adnaan.bheda</t>
  </si>
  <si>
    <t>ae.davies92@outlook.com</t>
  </si>
  <si>
    <t>ae.davies92</t>
  </si>
  <si>
    <t>aesopwolf@users.noreply.github.com</t>
  </si>
  <si>
    <t>aesopwolf</t>
  </si>
  <si>
    <t>afhole@gmail.com</t>
  </si>
  <si>
    <t>afhole</t>
  </si>
  <si>
    <t>agiron123@gmail.com</t>
  </si>
  <si>
    <t>agiron123</t>
  </si>
  <si>
    <t>ahmad3y2k@hotmail.com</t>
  </si>
  <si>
    <t>ahmad3y2k</t>
  </si>
  <si>
    <t>ai@programist.ru</t>
  </si>
  <si>
    <t>ai</t>
  </si>
  <si>
    <t>aidenn0@geocities.com</t>
  </si>
  <si>
    <t>aidenn0</t>
  </si>
  <si>
    <t>aimm22@gmail.com</t>
  </si>
  <si>
    <t>aimm22</t>
  </si>
  <si>
    <t>airamrguez@users.noreply.github.com</t>
  </si>
  <si>
    <t>airamrguez</t>
  </si>
  <si>
    <t>akatopo@users.noreply.github.com</t>
  </si>
  <si>
    <t>akatopo</t>
  </si>
  <si>
    <t>akulsr0@gmail.com</t>
  </si>
  <si>
    <t>akulsr0</t>
  </si>
  <si>
    <t>alansouzati@gmail.com</t>
  </si>
  <si>
    <t>alansouzati</t>
  </si>
  <si>
    <t>alec.stanford.larson@gmail.com</t>
  </si>
  <si>
    <t>alec.stanford.larson</t>
  </si>
  <si>
    <t>aleemullah.s@gmail.com</t>
  </si>
  <si>
    <t>aleemullah.s</t>
  </si>
  <si>
    <t>alex@jegtnes.com</t>
  </si>
  <si>
    <t>alex</t>
  </si>
  <si>
    <t>alex@alexlopatin.com</t>
  </si>
  <si>
    <t>alex@opengroove.org</t>
  </si>
  <si>
    <t>alex.babkov@rexsoftware.com.au</t>
  </si>
  <si>
    <t>alex.babkov</t>
  </si>
  <si>
    <t>alex.baumgertner@gmail.com</t>
  </si>
  <si>
    <t>alex.baumgertner</t>
  </si>
  <si>
    <t>alex_zherdev@acl.com</t>
  </si>
  <si>
    <t>alex_zherdev</t>
  </si>
  <si>
    <t>alex+github@alexrohleder.com</t>
  </si>
  <si>
    <t>alex+github</t>
  </si>
  <si>
    <t>alexander@solovyov.net</t>
  </si>
  <si>
    <t>alexander</t>
  </si>
  <si>
    <t>alexander.chisler@gmail.com</t>
  </si>
  <si>
    <t>alexander.chisler</t>
  </si>
  <si>
    <t>alexandre.kirszenberg@gmail.com</t>
  </si>
  <si>
    <t>alexandre.kirszenberg</t>
  </si>
  <si>
    <t>alexpien@gmail.com</t>
  </si>
  <si>
    <t>alexpien</t>
  </si>
  <si>
    <t>alexrohleder96@outlook.com</t>
  </si>
  <si>
    <t>alexrohleder96</t>
  </si>
  <si>
    <t>ali.taheri.m@gmail.com</t>
  </si>
  <si>
    <t>ali.taheri.m</t>
  </si>
  <si>
    <t>ali.ukani@gmail.com</t>
  </si>
  <si>
    <t>ali.ukani</t>
  </si>
  <si>
    <t>ali_4286@live.com</t>
  </si>
  <si>
    <t>ali_4286</t>
  </si>
  <si>
    <t>alicancubukcuoglu@gmail.com</t>
  </si>
  <si>
    <t>alicancubukcuoglu</t>
  </si>
  <si>
    <t>alirezamolaii@gmail.com</t>
  </si>
  <si>
    <t>alirezamolaii</t>
  </si>
  <si>
    <t>alisher.davronov@gmail.com</t>
  </si>
  <si>
    <t>alisher.davronov</t>
  </si>
  <si>
    <t>allamsetty.anup@gmail.com</t>
  </si>
  <si>
    <t>allamsetty.anup</t>
  </si>
  <si>
    <t>alta@fb.com</t>
  </si>
  <si>
    <t>alta</t>
  </si>
  <si>
    <t>alunassertiva@gmail.com</t>
  </si>
  <si>
    <t>alunassertiva</t>
  </si>
  <si>
    <t>alx.safari@gmail.com</t>
  </si>
  <si>
    <t>alx.safari</t>
  </si>
  <si>
    <t>am@localheinz.com</t>
  </si>
  <si>
    <t>am</t>
  </si>
  <si>
    <t>amanvir@users.noreply.github.com</t>
  </si>
  <si>
    <t>amanvir</t>
  </si>
  <si>
    <t>amjad.masad@gmail.com</t>
  </si>
  <si>
    <t>amjad.masad</t>
  </si>
  <si>
    <t>amk528@cs.nyu.edu</t>
  </si>
  <si>
    <t>amk528</t>
  </si>
  <si>
    <t>anchao951220@outlook.com</t>
  </si>
  <si>
    <t>anchao951220</t>
  </si>
  <si>
    <t>andras@fb.com</t>
  </si>
  <si>
    <t>andras</t>
  </si>
  <si>
    <t>andre.wibbeke@gmail.com</t>
  </si>
  <si>
    <t>andre.wibbeke</t>
  </si>
  <si>
    <t>andreas@nibbli.com</t>
  </si>
  <si>
    <t>andrei.fagadau@gmail.com</t>
  </si>
  <si>
    <t>andrei.fagadau</t>
  </si>
  <si>
    <t>andresroberto10@gmail.com</t>
  </si>
  <si>
    <t>andresroberto10</t>
  </si>
  <si>
    <t>andrew@acusti.ca</t>
  </si>
  <si>
    <t>andrew.cherniavskii@gmail.com</t>
  </si>
  <si>
    <t>andrew.cherniavskii</t>
  </si>
  <si>
    <t>andrew.gadzik@vercel.com</t>
  </si>
  <si>
    <t>andrew.gadzik</t>
  </si>
  <si>
    <t>andrew.lo@rangle.io</t>
  </si>
  <si>
    <t>andrew.lo</t>
  </si>
  <si>
    <t>andrew.m.henderson@gmail.com</t>
  </si>
  <si>
    <t>andrew.m.henderson</t>
  </si>
  <si>
    <t>andreysaleba@noorsoft.ru</t>
  </si>
  <si>
    <t>andreysaleba</t>
  </si>
  <si>
    <t>andrezacsanchez@gmail.com</t>
  </si>
  <si>
    <t>andrezacsanchez</t>
  </si>
  <si>
    <t>ankeet.maini@gmail.com</t>
  </si>
  <si>
    <t>ankeet.maini</t>
  </si>
  <si>
    <t>AnSavvides@users.noreply.github.com</t>
  </si>
  <si>
    <t>AnSavvides</t>
  </si>
  <si>
    <t>anthony@bigbigmoose.com</t>
  </si>
  <si>
    <t>anthony</t>
  </si>
  <si>
    <t>anuja@joshsoftware.com</t>
  </si>
  <si>
    <t>anuja</t>
  </si>
  <si>
    <t>AoDev@users.noreply.github.com</t>
  </si>
  <si>
    <t>AoDev</t>
  </si>
  <si>
    <t>april.arcus@gmail.com</t>
  </si>
  <si>
    <t>april.arcus</t>
  </si>
  <si>
    <t>ar.mostafizi@gmail.com</t>
  </si>
  <si>
    <t>ar.mostafizi</t>
  </si>
  <si>
    <t>aravindrndv8@gmail.com</t>
  </si>
  <si>
    <t>aravindrndv8</t>
  </si>
  <si>
    <t>aredridel@dinhe.net</t>
  </si>
  <si>
    <t>aredridel</t>
  </si>
  <si>
    <t>ari.perkkio@gmail.com</t>
  </si>
  <si>
    <t>ari.perkkio</t>
  </si>
  <si>
    <t>arian@icloud.com</t>
  </si>
  <si>
    <t>arian</t>
  </si>
  <si>
    <t>arindampradhan10@gmail.com</t>
  </si>
  <si>
    <t>arindampradhan10</t>
  </si>
  <si>
    <t>arnifa@gmail.com</t>
  </si>
  <si>
    <t>arnifa</t>
  </si>
  <si>
    <t>arshabh.agarwal.it@gmail.com</t>
  </si>
  <si>
    <t>arshabh.agarwal.it</t>
  </si>
  <si>
    <t>artemfitiskin@gmail.com</t>
  </si>
  <si>
    <t>artemfitiskin</t>
  </si>
  <si>
    <t>arush@ilovebrands.net</t>
  </si>
  <si>
    <t>arush</t>
  </si>
  <si>
    <t>ashishgupta.3197@gmail.com</t>
  </si>
  <si>
    <t>ashishgupta.3197</t>
  </si>
  <si>
    <t>ashtuchkin@gmail.com</t>
  </si>
  <si>
    <t>ashtuchkin</t>
  </si>
  <si>
    <t>asokolov@atlassian.com</t>
  </si>
  <si>
    <t>asokolov</t>
  </si>
  <si>
    <t>Atlassian</t>
  </si>
  <si>
    <t>asolove@gmail.com</t>
  </si>
  <si>
    <t>asolove</t>
  </si>
  <si>
    <t>audytanudjaja@gmail.com</t>
  </si>
  <si>
    <t>audytanudjaja</t>
  </si>
  <si>
    <t>aurelien@arimaska.net</t>
  </si>
  <si>
    <t>aurelien</t>
  </si>
  <si>
    <t>avi.kondeti@gmail.com</t>
  </si>
  <si>
    <t>avi.kondeti</t>
  </si>
  <si>
    <t>avk@8xx8.ru</t>
  </si>
  <si>
    <t>avk</t>
  </si>
  <si>
    <t>aymano.osman@gmail.com</t>
  </si>
  <si>
    <t>aymano.osman</t>
  </si>
  <si>
    <t>azelenskiy@fb.com</t>
  </si>
  <si>
    <t>azelenskiy</t>
  </si>
  <si>
    <t>azherdev@rocketfuel.com</t>
  </si>
  <si>
    <t>azherdev</t>
  </si>
  <si>
    <t>aziyatalik4@gmail.com</t>
  </si>
  <si>
    <t>aziyatalik4</t>
  </si>
  <si>
    <t>banderson@constantcontact.com</t>
  </si>
  <si>
    <t>banderson</t>
  </si>
  <si>
    <t>banko.adam@gmail.com</t>
  </si>
  <si>
    <t>banko.adam</t>
  </si>
  <si>
    <t>barrydoyle18@gmail.com</t>
  </si>
  <si>
    <t>barrydoyle18</t>
  </si>
  <si>
    <t>baspeeters@users.noreply.github.com</t>
  </si>
  <si>
    <t>baspeeters</t>
  </si>
  <si>
    <t>battaile@gmail.com</t>
  </si>
  <si>
    <t>battaile</t>
  </si>
  <si>
    <t>batusai513@msn.com</t>
  </si>
  <si>
    <t>batusai513</t>
  </si>
  <si>
    <t>bcbcb@users.noreply.github.com</t>
  </si>
  <si>
    <t>bcbcb</t>
  </si>
  <si>
    <t>BDav24@users.noreply.github.com</t>
  </si>
  <si>
    <t>BDav24</t>
  </si>
  <si>
    <t>be.smaniotto@gmail.com</t>
  </si>
  <si>
    <t>be.smaniotto</t>
  </si>
  <si>
    <t>beaudru.manuel@gmail.com</t>
  </si>
  <si>
    <t>beaudru.manuel</t>
  </si>
  <si>
    <t>bee0060@126.com</t>
  </si>
  <si>
    <t>bee0060</t>
  </si>
  <si>
    <t>bel3atar@aol.com</t>
  </si>
  <si>
    <t>bel3atar</t>
  </si>
  <si>
    <t>bellanchor@gmail.com</t>
  </si>
  <si>
    <t>bellanchor</t>
  </si>
  <si>
    <t>belmoo996@hotmail.com</t>
  </si>
  <si>
    <t>belmoo996</t>
  </si>
  <si>
    <t>ben@benbrooks.net</t>
  </si>
  <si>
    <t>ben.keen@gmail.com</t>
  </si>
  <si>
    <t>ben.keen</t>
  </si>
  <si>
    <t>ben.m.berman@gmail.com</t>
  </si>
  <si>
    <t>ben.m.berman</t>
  </si>
  <si>
    <t>benedikt@franke.tech</t>
  </si>
  <si>
    <t>benedikt</t>
  </si>
  <si>
    <t>benedikt.meurer@googlemail.com</t>
  </si>
  <si>
    <t>benedikt.meurer</t>
  </si>
  <si>
    <t>benekastah@gmail.com</t>
  </si>
  <si>
    <t>benekastah</t>
  </si>
  <si>
    <t>benfoxall@gmail.com</t>
  </si>
  <si>
    <t>benfoxall</t>
  </si>
  <si>
    <t>benjytrys@gmail.com</t>
  </si>
  <si>
    <t>benjytrys</t>
  </si>
  <si>
    <t>benleiken@gmail.com</t>
  </si>
  <si>
    <t>benleiken</t>
  </si>
  <si>
    <t>bentonrochester@gmail.com</t>
  </si>
  <si>
    <t>bentonrochester</t>
  </si>
  <si>
    <t>beznos.d@gmail.com</t>
  </si>
  <si>
    <t>beznos.d</t>
  </si>
  <si>
    <t>bgnorlov@gmail.com</t>
  </si>
  <si>
    <t>bgnorlov</t>
  </si>
  <si>
    <t>bgord@users.noreply.github.com</t>
  </si>
  <si>
    <t>bgord</t>
  </si>
  <si>
    <t>bharris845@gmail.com</t>
  </si>
  <si>
    <t>bharris845</t>
  </si>
  <si>
    <t>bhumijgupta@gmail.com</t>
  </si>
  <si>
    <t>bhumijgupta</t>
  </si>
  <si>
    <t>bill@plumbdev.com</t>
  </si>
  <si>
    <t>bill</t>
  </si>
  <si>
    <t>billyjanitsch@gmail.com</t>
  </si>
  <si>
    <t>billyjanitsch</t>
  </si>
  <si>
    <t>billyzacsmith@gmail.com</t>
  </si>
  <si>
    <t>billyzacsmith</t>
  </si>
  <si>
    <t>bjrmatos@gmail.com</t>
  </si>
  <si>
    <t>bjrmatos</t>
  </si>
  <si>
    <t>blainekasten@gmail.com</t>
  </si>
  <si>
    <t>blainekasten</t>
  </si>
  <si>
    <t>blake.friedman@gmail.com</t>
  </si>
  <si>
    <t>blake.friedman</t>
  </si>
  <si>
    <t>blakef@fb.com</t>
  </si>
  <si>
    <t>blakef</t>
  </si>
  <si>
    <t>bloggervista@gmail.com</t>
  </si>
  <si>
    <t>bloggervista</t>
  </si>
  <si>
    <t>bmac@users.noreply.github.com</t>
  </si>
  <si>
    <t>bmac</t>
  </si>
  <si>
    <t>bmeurer@google.com</t>
  </si>
  <si>
    <t>bmeurer</t>
  </si>
  <si>
    <t>bmihelac@mihelac.org</t>
  </si>
  <si>
    <t>bmihelac</t>
  </si>
  <si>
    <t>bob.ralian@gmail.com</t>
  </si>
  <si>
    <t>bob.ralian</t>
  </si>
  <si>
    <t>bob.renwick@gmail.com</t>
  </si>
  <si>
    <t>bob.renwick</t>
  </si>
  <si>
    <t>bogdandoroschenko@gmail.com</t>
  </si>
  <si>
    <t>bogdandoroschenko</t>
  </si>
  <si>
    <t>bolin.chris@gmail.com</t>
  </si>
  <si>
    <t>bolin.chris</t>
  </si>
  <si>
    <t>borisyankov@gmail.com</t>
  </si>
  <si>
    <t>borisyankov</t>
  </si>
  <si>
    <t>borjapazr@gmail.com</t>
  </si>
  <si>
    <t>borjapazr</t>
  </si>
  <si>
    <t>br.kalow@gmail.com</t>
  </si>
  <si>
    <t>br.kalow</t>
  </si>
  <si>
    <t>brad.lamson@gmail.com</t>
  </si>
  <si>
    <t>brad.lamson</t>
  </si>
  <si>
    <t>bradavogel@gmail.com</t>
  </si>
  <si>
    <t>bradavogel</t>
  </si>
  <si>
    <t>brafdlog@gmail.com</t>
  </si>
  <si>
    <t>brafdlog</t>
  </si>
  <si>
    <t>brandon.nic99@gmail.com</t>
  </si>
  <si>
    <t>brandon.nic99</t>
  </si>
  <si>
    <t>brazauskasjustas@gmail.com</t>
  </si>
  <si>
    <t>brazauskasjustas</t>
  </si>
  <si>
    <t>brentvatne@gmail.com</t>
  </si>
  <si>
    <t>brentvatne</t>
  </si>
  <si>
    <t>brianhsu@Brians-MacBook-Pro.local</t>
  </si>
  <si>
    <t>brianhsu</t>
  </si>
  <si>
    <t>brijesh.prasad@omio.com</t>
  </si>
  <si>
    <t>brijesh.prasad</t>
  </si>
  <si>
    <t>brillout@users.noreply.github.com</t>
  </si>
  <si>
    <t>brillout</t>
  </si>
  <si>
    <t>bru.scopelliti@gmail.com</t>
  </si>
  <si>
    <t>bru.scopelliti</t>
  </si>
  <si>
    <t>bruno@skvorc.me</t>
  </si>
  <si>
    <t>bruno</t>
  </si>
  <si>
    <t>burakbolek@gmail.com</t>
  </si>
  <si>
    <t>burakbolek</t>
  </si>
  <si>
    <t>cameron@instructure.com</t>
  </si>
  <si>
    <t>cannona@fireantproductions.com</t>
  </si>
  <si>
    <t>cannona</t>
  </si>
  <si>
    <t>carolinapoloni@gmail.com</t>
  </si>
  <si>
    <t>carolinapoloni</t>
  </si>
  <si>
    <t>carterchung@users.noreply.github.com</t>
  </si>
  <si>
    <t>carterchung</t>
  </si>
  <si>
    <t>catamphetamine@users.noreply.github.com</t>
  </si>
  <si>
    <t>catamphetamine</t>
  </si>
  <si>
    <t>cbrandolino@gmail.com</t>
  </si>
  <si>
    <t>cbrandolino</t>
  </si>
  <si>
    <t>cedric.sohrauer@infopark.de</t>
  </si>
  <si>
    <t>cedric.sohrauer</t>
  </si>
  <si>
    <t>ceo@dustinsoftware.com</t>
  </si>
  <si>
    <t>ceo</t>
  </si>
  <si>
    <t>cesarwbr@gmail.com</t>
  </si>
  <si>
    <t>cesarwbr</t>
  </si>
  <si>
    <t>cgarcia@intellisys.com.do</t>
  </si>
  <si>
    <t>cgarcia</t>
  </si>
  <si>
    <t>cgav@users.noreply.github.com</t>
  </si>
  <si>
    <t>cgav</t>
  </si>
  <si>
    <t>chan376@gmail.com</t>
  </si>
  <si>
    <t>chan376</t>
  </si>
  <si>
    <t>chang.huangwei.01@gmail.com</t>
  </si>
  <si>
    <t>chang.huangwei.01</t>
  </si>
  <si>
    <t>charca@gmail.com</t>
  </si>
  <si>
    <t>charca</t>
  </si>
  <si>
    <t>chernysh.vadim@gmail.com</t>
  </si>
  <si>
    <t>chernysh.vadim</t>
  </si>
  <si>
    <t>chip.stark@autodesk.com</t>
  </si>
  <si>
    <t>chip.stark</t>
  </si>
  <si>
    <t>chrisdobby.dev@gmail.com</t>
  </si>
  <si>
    <t>chrisdobby.dev</t>
  </si>
  <si>
    <t>chrisgrovers@users.noreply.github.com</t>
  </si>
  <si>
    <t>chrisgrovers</t>
  </si>
  <si>
    <t>chriskevinha@gmail.com</t>
  </si>
  <si>
    <t>chriskevinha</t>
  </si>
  <si>
    <t>christian@ruigrok.info</t>
  </si>
  <si>
    <t>christian.schulze@gmail.com</t>
  </si>
  <si>
    <t>christian.schulze</t>
  </si>
  <si>
    <t>christoffer.sawicki@gmail.com</t>
  </si>
  <si>
    <t>christoffer.sawicki</t>
  </si>
  <si>
    <t>christophe@hurpeau.com</t>
  </si>
  <si>
    <t>christophe</t>
  </si>
  <si>
    <t>cht8687@gmail.com</t>
  </si>
  <si>
    <t>cht8687</t>
  </si>
  <si>
    <t>cjshaw@mit.edu</t>
  </si>
  <si>
    <t>cjshaw</t>
  </si>
  <si>
    <t>Mit</t>
  </si>
  <si>
    <t>claudio.procida@gmail.com</t>
  </si>
  <si>
    <t>claudio.procida</t>
  </si>
  <si>
    <t>clay@smockle.com</t>
  </si>
  <si>
    <t>clay</t>
  </si>
  <si>
    <t>cn007b@gmail.com</t>
  </si>
  <si>
    <t>cn007b</t>
  </si>
  <si>
    <t>cob@jacoblamont.com</t>
  </si>
  <si>
    <t>cob</t>
  </si>
  <si>
    <t>cobbweb@users.noreply.github.com</t>
  </si>
  <si>
    <t>cobbweb</t>
  </si>
  <si>
    <t>code@claytercek.com</t>
  </si>
  <si>
    <t>code@ealush.com</t>
  </si>
  <si>
    <t>cody@cmwall.io</t>
  </si>
  <si>
    <t>cody</t>
  </si>
  <si>
    <t>codyreichert@gmail.com</t>
  </si>
  <si>
    <t>codyreichert</t>
  </si>
  <si>
    <t>colinmcd94@gmail.com</t>
  </si>
  <si>
    <t>colinmcd94</t>
  </si>
  <si>
    <t>colinwren@users.noreply.github.com</t>
  </si>
  <si>
    <t>colinwren</t>
  </si>
  <si>
    <t>comerc@users.noreply.github.com</t>
  </si>
  <si>
    <t>comerc</t>
  </si>
  <si>
    <t>conrad.irwin@gmail.com</t>
  </si>
  <si>
    <t>conrad.irwin</t>
  </si>
  <si>
    <t>contact@nuc.gr</t>
  </si>
  <si>
    <t>contact@svachon.com</t>
  </si>
  <si>
    <t>contact@ericeastwood.com</t>
  </si>
  <si>
    <t>contra@wearefractal.com</t>
  </si>
  <si>
    <t>contra</t>
  </si>
  <si>
    <t>cristiandrg96@gmail.com</t>
  </si>
  <si>
    <t>cristiandrg96</t>
  </si>
  <si>
    <t>cristovao@apleasantview.com</t>
  </si>
  <si>
    <t>cristovao</t>
  </si>
  <si>
    <t>crux153@gmail.com</t>
  </si>
  <si>
    <t>crux153</t>
  </si>
  <si>
    <t>ctxhou@gmail.com</t>
  </si>
  <si>
    <t>ctxhou</t>
  </si>
  <si>
    <t>cwatson1988@gmail.com</t>
  </si>
  <si>
    <t>cwatson1988</t>
  </si>
  <si>
    <t>d@d.sb</t>
  </si>
  <si>
    <t>d</t>
  </si>
  <si>
    <t>d@velunny.com</t>
  </si>
  <si>
    <t>dainguyenhuu@users.noreply.github.com</t>
  </si>
  <si>
    <t>dainguyenhuu</t>
  </si>
  <si>
    <t>dai-shi@users.noreply.github.com</t>
  </si>
  <si>
    <t>dai-shi</t>
  </si>
  <si>
    <t>damian@cyntler.com</t>
  </si>
  <si>
    <t>damian</t>
  </si>
  <si>
    <t>Cyntler</t>
  </si>
  <si>
    <t>damian.nicholson21@gmail.com</t>
  </si>
  <si>
    <t>damian.nicholson21</t>
  </si>
  <si>
    <t>dan@dtott.com</t>
  </si>
  <si>
    <t>dancingwithcows@gmail.com</t>
  </si>
  <si>
    <t>dancingwithcows</t>
  </si>
  <si>
    <t>DaniAcu@users.noreply.github.com</t>
  </si>
  <si>
    <t>DaniAcu</t>
  </si>
  <si>
    <t>daniel@fiftythree.com</t>
  </si>
  <si>
    <t>daniel@schonfeld.org</t>
  </si>
  <si>
    <t>daniel.carlsson.1987@gmail.com</t>
  </si>
  <si>
    <t>daniel.carlsson.1987</t>
  </si>
  <si>
    <t>daniel.liburd@gmail.com</t>
  </si>
  <si>
    <t>daniel.liburd</t>
  </si>
  <si>
    <t>daniel.rotter@gmail.com</t>
  </si>
  <si>
    <t>daniel.rotter</t>
  </si>
  <si>
    <t>DanielRosenwasser@users.noreply.github.com</t>
  </si>
  <si>
    <t>DanielRosenwasser</t>
  </si>
  <si>
    <t>danmane@gmail.com</t>
  </si>
  <si>
    <t>danmane</t>
  </si>
  <si>
    <t>danpatnate@gmail.com</t>
  </si>
  <si>
    <t>danpatnate</t>
  </si>
  <si>
    <t>danvc@zeuss.com</t>
  </si>
  <si>
    <t>danvc</t>
  </si>
  <si>
    <t>Zeuss</t>
  </si>
  <si>
    <t>dario@uxtemple.com</t>
  </si>
  <si>
    <t>dario</t>
  </si>
  <si>
    <t>daryl@weak.io</t>
  </si>
  <si>
    <t>daryl</t>
  </si>
  <si>
    <t>das.chitharanjan@gmail.com</t>
  </si>
  <si>
    <t>das.chitharanjan</t>
  </si>
  <si>
    <t>dave@jut.io</t>
  </si>
  <si>
    <t>dave.garwacke@warbyparker.com</t>
  </si>
  <si>
    <t>dave.garwacke</t>
  </si>
  <si>
    <t>david@edmellum.com</t>
  </si>
  <si>
    <t>davidgraycn@gmail.com</t>
  </si>
  <si>
    <t>davidgraycn</t>
  </si>
  <si>
    <t>davidhu314@gmail.com</t>
  </si>
  <si>
    <t>davidhu314</t>
  </si>
  <si>
    <t>davidhu91@gmail.com</t>
  </si>
  <si>
    <t>davidhu91</t>
  </si>
  <si>
    <t>davidjgranado@gmail.com</t>
  </si>
  <si>
    <t>davidjgranado</t>
  </si>
  <si>
    <t>davidkpiano@gmail.com</t>
  </si>
  <si>
    <t>davidkpiano</t>
  </si>
  <si>
    <t>davidneub@gmail.com</t>
  </si>
  <si>
    <t>davidneub</t>
  </si>
  <si>
    <t>davidrenne@gmail.com</t>
  </si>
  <si>
    <t>davidrenne</t>
  </si>
  <si>
    <t>davidrfrownfelter@gmail.com</t>
  </si>
  <si>
    <t>davidrfrownfelter</t>
  </si>
  <si>
    <t>dawidloranc@gmail.com</t>
  </si>
  <si>
    <t>dawidloranc</t>
  </si>
  <si>
    <t>dblandin@gmail.com</t>
  </si>
  <si>
    <t>dblandin</t>
  </si>
  <si>
    <t>dcousens@users.noreply.github.com</t>
  </si>
  <si>
    <t>dcousens</t>
  </si>
  <si>
    <t>DCtheTall@users.noreply.github.com</t>
  </si>
  <si>
    <t>DCtheTall</t>
  </si>
  <si>
    <t>ddrjm@users.noreply.github.com</t>
  </si>
  <si>
    <t>ddrjm</t>
  </si>
  <si>
    <t>decroockjovi@gmail.com</t>
  </si>
  <si>
    <t>decroockjovi</t>
  </si>
  <si>
    <t>deepcoldy@gmail.com</t>
  </si>
  <si>
    <t>deepcoldy</t>
  </si>
  <si>
    <t>delapouite@gmail.com</t>
  </si>
  <si>
    <t>delapouite</t>
  </si>
  <si>
    <t>delca85@users.noreply.github.com</t>
  </si>
  <si>
    <t>delca85</t>
  </si>
  <si>
    <t>demian@live.be</t>
  </si>
  <si>
    <t>dengjij@gmail.com</t>
  </si>
  <si>
    <t>dengjij</t>
  </si>
  <si>
    <t>denis@laxalde.org</t>
  </si>
  <si>
    <t>denis</t>
  </si>
  <si>
    <t>denis@sokolov.cc</t>
  </si>
  <si>
    <t>deniss.jacenko+github@gmail.com</t>
  </si>
  <si>
    <t>deniss.jacenko+github</t>
  </si>
  <si>
    <t>dennis@songawee.com</t>
  </si>
  <si>
    <t>dennis</t>
  </si>
  <si>
    <t>derflatulator@gmail.com</t>
  </si>
  <si>
    <t>derflatulator</t>
  </si>
  <si>
    <t>designorant@users.noreply.github.com</t>
  </si>
  <si>
    <t>designorant</t>
  </si>
  <si>
    <t>dev@david-aurelio.com</t>
  </si>
  <si>
    <t>dev.selig@gmail.com</t>
  </si>
  <si>
    <t>dev.selig</t>
  </si>
  <si>
    <t>developit@users.noreply.github.com</t>
  </si>
  <si>
    <t>developit</t>
  </si>
  <si>
    <t>devongovett@gmail.com</t>
  </si>
  <si>
    <t>devongovett</t>
  </si>
  <si>
    <t>devonharvey@gmail.com</t>
  </si>
  <si>
    <t>devonharvey</t>
  </si>
  <si>
    <t>devtanc@gmail.com</t>
  </si>
  <si>
    <t>devtanc</t>
  </si>
  <si>
    <t>devthewild@gmail.com</t>
  </si>
  <si>
    <t>devthewild</t>
  </si>
  <si>
    <t>dgetz@wingspan.com</t>
  </si>
  <si>
    <t>dgetz</t>
  </si>
  <si>
    <t>dgreenspan@alum.mit.edu</t>
  </si>
  <si>
    <t>dgreenspan</t>
  </si>
  <si>
    <t>dhurlburtusa@users.noreply.github.com</t>
  </si>
  <si>
    <t>dhurlburtusa</t>
  </si>
  <si>
    <t>dhyey35@gmail.com</t>
  </si>
  <si>
    <t>dhyey35</t>
  </si>
  <si>
    <t>dimaqq@gmail.com</t>
  </si>
  <si>
    <t>dimaqq</t>
  </si>
  <si>
    <t>disobolev@icloud.com</t>
  </si>
  <si>
    <t>disobolev</t>
  </si>
  <si>
    <t>djbaker2@gmail.com</t>
  </si>
  <si>
    <t>djbaker2</t>
  </si>
  <si>
    <t>djkirby@users.noreply.github.com</t>
  </si>
  <si>
    <t>djkirby</t>
  </si>
  <si>
    <t>djohnson@rallydev.com</t>
  </si>
  <si>
    <t>djohnson</t>
  </si>
  <si>
    <t>dmininger@gmail.com</t>
  </si>
  <si>
    <t>dmininger</t>
  </si>
  <si>
    <t>dmitri.blyus@gmail.com</t>
  </si>
  <si>
    <t>dmitri.blyus</t>
  </si>
  <si>
    <t>dmitri14@gmail.com</t>
  </si>
  <si>
    <t>dmitri14</t>
  </si>
  <si>
    <t>dmitrii@rheia.us</t>
  </si>
  <si>
    <t>dmitriy.rozhkov@xing.com</t>
  </si>
  <si>
    <t>dmitriy.rozhkov</t>
  </si>
  <si>
    <t>dmitry.mazuro@icloud.com</t>
  </si>
  <si>
    <t>dmitry.mazuro</t>
  </si>
  <si>
    <t>dmtr.kovalenko@outlook.com</t>
  </si>
  <si>
    <t>dmtr.kovalenko</t>
  </si>
  <si>
    <t>dmytro@clevertech.biz</t>
  </si>
  <si>
    <t>dmytro</t>
  </si>
  <si>
    <t>dnshi@users.noreply.github.com</t>
  </si>
  <si>
    <t>dnshi</t>
  </si>
  <si>
    <t>Dnvoyles@gmail.com</t>
  </si>
  <si>
    <t>Dnvoyles</t>
  </si>
  <si>
    <t>dobby@chrisjdobson.co.uk</t>
  </si>
  <si>
    <t>dobby</t>
  </si>
  <si>
    <t>donabrams@gmail.com</t>
  </si>
  <si>
    <t>donabrams</t>
  </si>
  <si>
    <t>dongmeng.ldm@alibaba-inc.com</t>
  </si>
  <si>
    <t>dongmeng.ldm</t>
  </si>
  <si>
    <t>dookpham@gmail.com</t>
  </si>
  <si>
    <t>dookpham</t>
  </si>
  <si>
    <t>doronpagot@gmail.com</t>
  </si>
  <si>
    <t>doronpagot</t>
  </si>
  <si>
    <t>dortonway@gmail.com</t>
  </si>
  <si>
    <t>dortonway</t>
  </si>
  <si>
    <t>doublus@gmail.com</t>
  </si>
  <si>
    <t>doublus</t>
  </si>
  <si>
    <t>dougarmstrong@fb.com</t>
  </si>
  <si>
    <t>dougarmstrong</t>
  </si>
  <si>
    <t>douglasgimli@gmail.com</t>
  </si>
  <si>
    <t>douglasgimli</t>
  </si>
  <si>
    <t>dpellier@leadformance.com</t>
  </si>
  <si>
    <t>dpellier</t>
  </si>
  <si>
    <t>dpismenny@users.noreply.github.com</t>
  </si>
  <si>
    <t>dpismenny</t>
  </si>
  <si>
    <t>dprgarner@gmail.com</t>
  </si>
  <si>
    <t>dprgarner</t>
  </si>
  <si>
    <t>dqneoo@gmail.com</t>
  </si>
  <si>
    <t>dqneoo</t>
  </si>
  <si>
    <t>dschafer@fb.com</t>
  </si>
  <si>
    <t>dschafer</t>
  </si>
  <si>
    <t>dwaseem@icloud.com</t>
  </si>
  <si>
    <t>dwaseem</t>
  </si>
  <si>
    <t>dylanharrington@gmail.com</t>
  </si>
  <si>
    <t>dylanharrington</t>
  </si>
  <si>
    <t>e.tesarr@gmail.com</t>
  </si>
  <si>
    <t>e.tesarr</t>
  </si>
  <si>
    <t>edgar.factorial@gmail.com</t>
  </si>
  <si>
    <t>edgar.factorial</t>
  </si>
  <si>
    <t>ehpc@em42.ru</t>
  </si>
  <si>
    <t>ehpc</t>
  </si>
  <si>
    <t>einar.paul.qvale@gmail.com</t>
  </si>
  <si>
    <t>einar.paul.qvale</t>
  </si>
  <si>
    <t>elforastero@ya.ru</t>
  </si>
  <si>
    <t>elforastero</t>
  </si>
  <si>
    <t>ellis@ellisclayton.info</t>
  </si>
  <si>
    <t>ellis</t>
  </si>
  <si>
    <t>eloquent.mayhem@gmail.com</t>
  </si>
  <si>
    <t>eloquent.mayhem</t>
  </si>
  <si>
    <t>elpapapollo@gmail.com</t>
  </si>
  <si>
    <t>elpapapollo</t>
  </si>
  <si>
    <t>emasbakas@gmail.com</t>
  </si>
  <si>
    <t>emasbakas</t>
  </si>
  <si>
    <t>emily.janzer@gmail.com</t>
  </si>
  <si>
    <t>emily.janzer</t>
  </si>
  <si>
    <t>emumaniacx@gmail.com</t>
  </si>
  <si>
    <t>emumaniacx</t>
  </si>
  <si>
    <t>enapupe@gmail.com</t>
  </si>
  <si>
    <t>enapupe</t>
  </si>
  <si>
    <t>ende93@hotmail.com</t>
  </si>
  <si>
    <t>ende93</t>
  </si>
  <si>
    <t>eoin.hennessy@gmail.com</t>
  </si>
  <si>
    <t>eoin.hennessy</t>
  </si>
  <si>
    <t>eric.churchill2@gmail.com</t>
  </si>
  <si>
    <t>eric.churchill2</t>
  </si>
  <si>
    <t>eric.douglas.mail@gmail.com</t>
  </si>
  <si>
    <t>eric.douglas.mail</t>
  </si>
  <si>
    <t>eric.sakmar@gmail.com</t>
  </si>
  <si>
    <t>eric.sakmar</t>
  </si>
  <si>
    <t>eric.soderberg@hpe.com</t>
  </si>
  <si>
    <t>eric.soderberg</t>
  </si>
  <si>
    <t>ericmatthys@gmail.com</t>
  </si>
  <si>
    <t>ericmatthys</t>
  </si>
  <si>
    <t>ericpitcher@live.com</t>
  </si>
  <si>
    <t>ericpitcher</t>
  </si>
  <si>
    <t>erik.aho24@gmail.com</t>
  </si>
  <si>
    <t>erik.aho24</t>
  </si>
  <si>
    <t>erik.osc.andersson@gmail.com</t>
  </si>
  <si>
    <t>erik.osc.andersson</t>
  </si>
  <si>
    <t>esben@sparreandreasen.dk</t>
  </si>
  <si>
    <t>esben</t>
  </si>
  <si>
    <t>evan@yaycmyk.com</t>
  </si>
  <si>
    <t>evan</t>
  </si>
  <si>
    <t>evan@paloalto.com</t>
  </si>
  <si>
    <t>evanvosberg@urban.to</t>
  </si>
  <si>
    <t>evanvosberg</t>
  </si>
  <si>
    <t>ezhlobo@gmail.com</t>
  </si>
  <si>
    <t>ezhlobo</t>
  </si>
  <si>
    <t>ezz1994@gmail.com</t>
  </si>
  <si>
    <t>ezz1994</t>
  </si>
  <si>
    <t>f.castellarin@gmail.com</t>
  </si>
  <si>
    <t>f.castellarin</t>
  </si>
  <si>
    <t>fabian@schaper.li</t>
  </si>
  <si>
    <t>fabian</t>
  </si>
  <si>
    <t>faceswilliam@gmail.com</t>
  </si>
  <si>
    <t>faceswilliam</t>
  </si>
  <si>
    <t>faheel@live.in</t>
  </si>
  <si>
    <t>faheel</t>
  </si>
  <si>
    <t>fannyvieira082@gmail.com</t>
  </si>
  <si>
    <t>fannyvieira082</t>
  </si>
  <si>
    <t>fatfisz@gmail.com</t>
  </si>
  <si>
    <t>fatfisz</t>
  </si>
  <si>
    <t>fatosi.morina@gmail.com</t>
  </si>
  <si>
    <t>fatosi.morina</t>
  </si>
  <si>
    <t>Fazlerahman786@gmail.com</t>
  </si>
  <si>
    <t>Fazlerahman786</t>
  </si>
  <si>
    <t>fcalise@gmail.com</t>
  </si>
  <si>
    <t>fcalise</t>
  </si>
  <si>
    <t>felix.kling@gmx.net</t>
  </si>
  <si>
    <t>felix.kling</t>
  </si>
  <si>
    <t>feministy@users.noreply.github.com</t>
  </si>
  <si>
    <t>feministy</t>
  </si>
  <si>
    <t>ferlores@gmail.com</t>
  </si>
  <si>
    <t>ferlores</t>
  </si>
  <si>
    <t>fernando@servicero.com</t>
  </si>
  <si>
    <t>fernando</t>
  </si>
  <si>
    <t>fhelwanger@gmail.com</t>
  </si>
  <si>
    <t>fhelwanger</t>
  </si>
  <si>
    <t>figs.in.your.face@gmail.com</t>
  </si>
  <si>
    <t>figs.in.your.face</t>
  </si>
  <si>
    <t>filip.spiridonov@gmail.com</t>
  </si>
  <si>
    <t>filip.spiridonov</t>
  </si>
  <si>
    <t>filipevalente@gmail.com</t>
  </si>
  <si>
    <t>filipevalente</t>
  </si>
  <si>
    <t>filiphosko@gmail.com</t>
  </si>
  <si>
    <t>filiphosko</t>
  </si>
  <si>
    <t>finico.a@gmail.com</t>
  </si>
  <si>
    <t>finico.a</t>
  </si>
  <si>
    <t>fitzgen@gmail.com</t>
  </si>
  <si>
    <t>fitzgen</t>
  </si>
  <si>
    <t>floris.do@gmail.com</t>
  </si>
  <si>
    <t>floris.do</t>
  </si>
  <si>
    <t>fnonemaker@gmail.com</t>
  </si>
  <si>
    <t>fnonemaker</t>
  </si>
  <si>
    <t>frampone@gmail.com</t>
  </si>
  <si>
    <t>frampone</t>
  </si>
  <si>
    <t>frankdiox@gmail.com</t>
  </si>
  <si>
    <t>frankdiox</t>
  </si>
  <si>
    <t>fraser.haer@hotmail.com</t>
  </si>
  <si>
    <t>fraser.haer</t>
  </si>
  <si>
    <t>frederick.rangel@gmail.com</t>
  </si>
  <si>
    <t>frederick.rangel</t>
  </si>
  <si>
    <t>fredric.vollmer@gmail.com</t>
  </si>
  <si>
    <t>fredric.vollmer</t>
  </si>
  <si>
    <t>fredrik.hoglund@gmail.com</t>
  </si>
  <si>
    <t>fredrik.hoglund</t>
  </si>
  <si>
    <t>fredz@fb.com</t>
  </si>
  <si>
    <t>fredz</t>
  </si>
  <si>
    <t>frol.rage@gmail.com</t>
  </si>
  <si>
    <t>frol.rage</t>
  </si>
  <si>
    <t>frontsideair@users.noreply.github.com</t>
  </si>
  <si>
    <t>frontsideair</t>
  </si>
  <si>
    <t>fryn@users.noreply.github.com</t>
  </si>
  <si>
    <t>fryn</t>
  </si>
  <si>
    <t>fumagalli.gf@gmail.com</t>
  </si>
  <si>
    <t>fumagalli.gf</t>
  </si>
  <si>
    <t>fxbois@gmail.com</t>
  </si>
  <si>
    <t>fxbois</t>
  </si>
  <si>
    <t>g@shud.in</t>
  </si>
  <si>
    <t>g.kuizinas@anuary.com</t>
  </si>
  <si>
    <t>g.kuizinas</t>
  </si>
  <si>
    <t>g.marcilhacy@gmail.com</t>
  </si>
  <si>
    <t>g.marcilhacy</t>
  </si>
  <si>
    <t>g.psy.va@gmail.com</t>
  </si>
  <si>
    <t>g.psy.va</t>
  </si>
  <si>
    <t>gabelevi@gmail.com</t>
  </si>
  <si>
    <t>gabelevi</t>
  </si>
  <si>
    <t>gabrielsilva1956@gmail.com</t>
  </si>
  <si>
    <t>gabrielsilva1956</t>
  </si>
  <si>
    <t>gabry.501@hotmail.it</t>
  </si>
  <si>
    <t>gabry.501</t>
  </si>
  <si>
    <t>gadtfly@users.noreply.github.com</t>
  </si>
  <si>
    <t>gadtfly</t>
  </si>
  <si>
    <t>ganapati.vs@tracxn.com</t>
  </si>
  <si>
    <t>ganapati.vs</t>
  </si>
  <si>
    <t>Tracxn</t>
  </si>
  <si>
    <t>gangc.cxy@foxmail.com</t>
  </si>
  <si>
    <t>gangc.cxy</t>
  </si>
  <si>
    <t>garmash.nikolay@gmail.com</t>
  </si>
  <si>
    <t>garmash.nikolay</t>
  </si>
  <si>
    <t>garren.smith@gmail.com</t>
  </si>
  <si>
    <t>garren.smith</t>
  </si>
  <si>
    <t>gatilin222@gmail.com</t>
  </si>
  <si>
    <t>gatilin222</t>
  </si>
  <si>
    <t>gaurav5430@gmail.com</t>
  </si>
  <si>
    <t>gaurav5430</t>
  </si>
  <si>
    <t>gavin@kickfiredesign.com</t>
  </si>
  <si>
    <t>gavin</t>
  </si>
  <si>
    <t>gbaopham@gmail.com</t>
  </si>
  <si>
    <t>gbaopham</t>
  </si>
  <si>
    <t>gberg1@users.noreply.github.com</t>
  </si>
  <si>
    <t>gberg1</t>
  </si>
  <si>
    <t>gbrits@gmail.com</t>
  </si>
  <si>
    <t>gbrits</t>
  </si>
  <si>
    <t>gcarpenterv@gmail.com</t>
  </si>
  <si>
    <t>gcarpenterv</t>
  </si>
  <si>
    <t>geert.pasteels@gmail.com</t>
  </si>
  <si>
    <t>geert.pasteels</t>
  </si>
  <si>
    <t>gerald@gmonaco.me</t>
  </si>
  <si>
    <t>gerald</t>
  </si>
  <si>
    <t>germ13@users.noreply.github.com</t>
  </si>
  <si>
    <t>germ13</t>
  </si>
  <si>
    <t>getaaron@gmail.com</t>
  </si>
  <si>
    <t>getaaron</t>
  </si>
  <si>
    <t>ggurgone@gmail.com</t>
  </si>
  <si>
    <t>ggurgone</t>
  </si>
  <si>
    <t>ghinea.eduard@yahoo.com</t>
  </si>
  <si>
    <t>ghinea.eduard</t>
  </si>
  <si>
    <t>ghmcadams@users.noreply.github.com</t>
  </si>
  <si>
    <t>ghmcadams</t>
  </si>
  <si>
    <t>giamir@thoughtworks.com</t>
  </si>
  <si>
    <t>giamir</t>
  </si>
  <si>
    <t>Thoughtworks</t>
  </si>
  <si>
    <t>gianmarcosimone89@gmail.com</t>
  </si>
  <si>
    <t>gianmarcosimone89</t>
  </si>
  <si>
    <t>gilbertbgarza@gmail.com</t>
  </si>
  <si>
    <t>gilbertbgarza</t>
  </si>
  <si>
    <t>gilbertson.david@gmail.com</t>
  </si>
  <si>
    <t>gilbertson.david</t>
  </si>
  <si>
    <t>gilchenzion@users.noreply.github.com</t>
  </si>
  <si>
    <t>gilchenzion</t>
  </si>
  <si>
    <t>gillchristiang@gmail.com</t>
  </si>
  <si>
    <t>gillchristiang</t>
  </si>
  <si>
    <t>git@stefansundin.com</t>
  </si>
  <si>
    <t>git@skratchdot.com</t>
  </si>
  <si>
    <t>git@camjc.com</t>
  </si>
  <si>
    <t>git@el-tramo.be</t>
  </si>
  <si>
    <t>github@blasph.me</t>
  </si>
  <si>
    <t>github@travi.org</t>
  </si>
  <si>
    <t>github@gdi2290.com</t>
  </si>
  <si>
    <t>github@benjam.info</t>
  </si>
  <si>
    <t>github@kolesky.com</t>
  </si>
  <si>
    <t>glenn@devalias.net</t>
  </si>
  <si>
    <t>glenn</t>
  </si>
  <si>
    <t>glevi@fb.com</t>
  </si>
  <si>
    <t>glevi</t>
  </si>
  <si>
    <t>glitterbyte@gmail.com</t>
  </si>
  <si>
    <t>glitterbyte</t>
  </si>
  <si>
    <t>gm.lett@gmail.com</t>
  </si>
  <si>
    <t>gm.lett</t>
  </si>
  <si>
    <t>gonom9@gmail.com</t>
  </si>
  <si>
    <t>gonom9</t>
  </si>
  <si>
    <t>gotsijroman@gmail.com</t>
  </si>
  <si>
    <t>gotsijroman</t>
  </si>
  <si>
    <t>g-palmer@users.noreply.github.com</t>
  </si>
  <si>
    <t>g-palmer</t>
  </si>
  <si>
    <t>gqdong@fb.com</t>
  </si>
  <si>
    <t>gqdong</t>
  </si>
  <si>
    <t>grassator@gmail.com</t>
  </si>
  <si>
    <t>grassator</t>
  </si>
  <si>
    <t>gregoirevandera@gmail.com</t>
  </si>
  <si>
    <t>gregoirevandera</t>
  </si>
  <si>
    <t>gregrperkins@fb.com</t>
  </si>
  <si>
    <t>gregrperkins</t>
  </si>
  <si>
    <t>greysteil@gmail.com</t>
  </si>
  <si>
    <t>greysteil</t>
  </si>
  <si>
    <t>grguru@gmail.com</t>
  </si>
  <si>
    <t>grguru</t>
  </si>
  <si>
    <t>griffinmichl@gmail.com</t>
  </si>
  <si>
    <t>griffinmichl</t>
  </si>
  <si>
    <t>gsathya.ceg@gmail.com</t>
  </si>
  <si>
    <t>gsathya.ceg</t>
  </si>
  <si>
    <t>guiiruiz@hotmail.com</t>
  </si>
  <si>
    <t>guiiruiz</t>
  </si>
  <si>
    <t>guillaume@ouicar.fr</t>
  </si>
  <si>
    <t>guillaume</t>
  </si>
  <si>
    <t>guoshuaibin@bytedance.com</t>
  </si>
  <si>
    <t>guoshuaibin</t>
  </si>
  <si>
    <t>guptas199614@gmail.com</t>
  </si>
  <si>
    <t>guptas199614</t>
  </si>
  <si>
    <t>gusgard@gmail.com</t>
  </si>
  <si>
    <t>gusgard</t>
  </si>
  <si>
    <t>gustavo.saiani@emcasa.com</t>
  </si>
  <si>
    <t>gustavo.saiani</t>
  </si>
  <si>
    <t>gwmccull@yahoo.com</t>
  </si>
  <si>
    <t>gwmccull</t>
  </si>
  <si>
    <t>Gyfis@seznam.cz</t>
  </si>
  <si>
    <t>Gyfis</t>
  </si>
  <si>
    <t>haannn@qq.com</t>
  </si>
  <si>
    <t>haannn</t>
  </si>
  <si>
    <t>haisheng.wu@okta.com</t>
  </si>
  <si>
    <t>haisheng.wu</t>
  </si>
  <si>
    <t>haitaocapslock@outlook.com</t>
  </si>
  <si>
    <t>haitaocapslock</t>
  </si>
  <si>
    <t>hako584@gmail.com</t>
  </si>
  <si>
    <t>hako584</t>
  </si>
  <si>
    <t>halvves@users.noreply.github.com</t>
  </si>
  <si>
    <t>halvves</t>
  </si>
  <si>
    <t>hamlim@outlook.com</t>
  </si>
  <si>
    <t>hamlim</t>
  </si>
  <si>
    <t>hansottowirtz@gmail.com</t>
  </si>
  <si>
    <t>hansottowirtz</t>
  </si>
  <si>
    <t>hardik.modha@causecode.com</t>
  </si>
  <si>
    <t>hardik.modha</t>
  </si>
  <si>
    <t>harry.marr@gmail.com</t>
  </si>
  <si>
    <t>harry.marr</t>
  </si>
  <si>
    <t>harry.zum@gmail.com</t>
  </si>
  <si>
    <t>harry.zum</t>
  </si>
  <si>
    <t>harshadsabne@users.noreply.github.com</t>
  </si>
  <si>
    <t>harshadsabne</t>
  </si>
  <si>
    <t>haseebasif97@gmail.com</t>
  </si>
  <si>
    <t>haseebasif97</t>
  </si>
  <si>
    <t>haseebdaone@hotmail.com</t>
  </si>
  <si>
    <t>haseebdaone</t>
  </si>
  <si>
    <t>hassan.alam1@outlook.com</t>
  </si>
  <si>
    <t>hassan.alam1</t>
  </si>
  <si>
    <t>hawkins@users.noreply.github.com</t>
  </si>
  <si>
    <t>hawkins</t>
  </si>
  <si>
    <t>hbenl@evandor.de</t>
  </si>
  <si>
    <t>hbenl</t>
  </si>
  <si>
    <t>hecerinc@users.noreply.github.com</t>
  </si>
  <si>
    <t>hecerinc</t>
  </si>
  <si>
    <t>heikkila_marko@hotmail.com</t>
  </si>
  <si>
    <t>heikkila_marko</t>
  </si>
  <si>
    <t>hejldaniel@gmail.com</t>
  </si>
  <si>
    <t>hejldaniel</t>
  </si>
  <si>
    <t>hekark@gmail.com</t>
  </si>
  <si>
    <t>hekark</t>
  </si>
  <si>
    <t>hello@kunalpanchal.in</t>
  </si>
  <si>
    <t>hello@yanneves.com</t>
  </si>
  <si>
    <t>hello@chrispearce.me</t>
  </si>
  <si>
    <t>hello@jayphelps.com</t>
  </si>
  <si>
    <t>hello@simonewebdesign.it</t>
  </si>
  <si>
    <t>hello@yasaricli.com</t>
  </si>
  <si>
    <t>hello@richardkho.com</t>
  </si>
  <si>
    <t>henrik@nyh.se</t>
  </si>
  <si>
    <t>henrik</t>
  </si>
  <si>
    <t>henrique.ramos.limas@gmail.com</t>
  </si>
  <si>
    <t>henrique.ramos.limas</t>
  </si>
  <si>
    <t>henrythomasharris@gmail.com</t>
  </si>
  <si>
    <t>henrythomasharris</t>
  </si>
  <si>
    <t>henryw4k@gmail.com</t>
  </si>
  <si>
    <t>henryw4k</t>
  </si>
  <si>
    <t>hi@jamison.dance</t>
  </si>
  <si>
    <t>hideo-m@pekeq.com</t>
  </si>
  <si>
    <t>hideo-m</t>
  </si>
  <si>
    <t>hikaru.suido@gmail.com</t>
  </si>
  <si>
    <t>hikaru.suido</t>
  </si>
  <si>
    <t>hilbrand@h72.nl</t>
  </si>
  <si>
    <t>hilbrand</t>
  </si>
  <si>
    <t>himcotton@gmail.com</t>
  </si>
  <si>
    <t>himcotton</t>
  </si>
  <si>
    <t>himichelletodd@gmail.com</t>
  </si>
  <si>
    <t>himichelletodd</t>
  </si>
  <si>
    <t>himkt@klis.tsukuba.ac.jp</t>
  </si>
  <si>
    <t>himkt</t>
  </si>
  <si>
    <t>hiro0218@gmail.com</t>
  </si>
  <si>
    <t>hiro0218</t>
  </si>
  <si>
    <t>hjmoss@users.noreply.github.com</t>
  </si>
  <si>
    <t>hjmoss</t>
  </si>
  <si>
    <t>hochelmartin@gmail.com</t>
  </si>
  <si>
    <t>hochelmartin</t>
  </si>
  <si>
    <t>holla@marcysutton.com</t>
  </si>
  <si>
    <t>holla</t>
  </si>
  <si>
    <t>hollowman@hollowman.ml</t>
  </si>
  <si>
    <t>hollowman</t>
  </si>
  <si>
    <t>housecor@gmail.com</t>
  </si>
  <si>
    <t>housecor</t>
  </si>
  <si>
    <t>hovhannisian.rafael@gmail.com</t>
  </si>
  <si>
    <t>hovhannisian.rafael</t>
  </si>
  <si>
    <t>huang.kev@gmail.com</t>
  </si>
  <si>
    <t>huang.kev</t>
  </si>
  <si>
    <t>hugo@agbonon.fr</t>
  </si>
  <si>
    <t>hugo</t>
  </si>
  <si>
    <t>i@shangyes.net</t>
  </si>
  <si>
    <t>iamchangxx@gmail.com</t>
  </si>
  <si>
    <t>iamchangxx</t>
  </si>
  <si>
    <t>iamdanfox@gmail.com</t>
  </si>
  <si>
    <t>iamdanfox</t>
  </si>
  <si>
    <t>ian@iansutherland.ca</t>
  </si>
  <si>
    <t>ibaratz@adobe.com</t>
  </si>
  <si>
    <t>ibaratz</t>
  </si>
  <si>
    <t>Adobe</t>
  </si>
  <si>
    <t>ibrahemid@gmail.com</t>
  </si>
  <si>
    <t>ibrahemid</t>
  </si>
  <si>
    <t>icarbajop@gmail.com</t>
  </si>
  <si>
    <t>icarbajop</t>
  </si>
  <si>
    <t>iDams@users.noreply.github.com</t>
  </si>
  <si>
    <t>iDams</t>
  </si>
  <si>
    <t>igorscekic2@gmail.com</t>
  </si>
  <si>
    <t>igorscekic2</t>
  </si>
  <si>
    <t>ikedpeters21@gmail.com</t>
  </si>
  <si>
    <t>ikedpeters21</t>
  </si>
  <si>
    <t>ikr@ikr.su</t>
  </si>
  <si>
    <t>ikr</t>
  </si>
  <si>
    <t>ilhamsyahids@gmail.com</t>
  </si>
  <si>
    <t>ilhamsyahids</t>
  </si>
  <si>
    <t>IljaDaderko@users.noreply.github.com</t>
  </si>
  <si>
    <t>IljaDaderko</t>
  </si>
  <si>
    <t>ilya.shuklin@gmail.com</t>
  </si>
  <si>
    <t>ilya.shuklin</t>
  </si>
  <si>
    <t>im.janghyuk@gmail.com</t>
  </si>
  <si>
    <t>im.janghyuk</t>
  </si>
  <si>
    <t>imnields@gmail.com</t>
  </si>
  <si>
    <t>imnields</t>
  </si>
  <si>
    <t>info@wdlinkoping.se</t>
  </si>
  <si>
    <t>info@ghengeveld.nl</t>
  </si>
  <si>
    <t>info@telepark.de</t>
  </si>
  <si>
    <t>inkinworld@live.com</t>
  </si>
  <si>
    <t>inkinworld</t>
  </si>
  <si>
    <t>ioss@users.noreply.github.com</t>
  </si>
  <si>
    <t>ioss</t>
  </si>
  <si>
    <t>irae@irae.pro.br</t>
  </si>
  <si>
    <t>irae</t>
  </si>
  <si>
    <t>irewilson@gmail.com</t>
  </si>
  <si>
    <t>irewilson</t>
  </si>
  <si>
    <t>irinakk@hotmail.com</t>
  </si>
  <si>
    <t>irinakk</t>
  </si>
  <si>
    <t>istarkov@gmail.com</t>
  </si>
  <si>
    <t>istarkov</t>
  </si>
  <si>
    <t>itaieps+github@fastmail.fm</t>
  </si>
  <si>
    <t>itaieps+github</t>
  </si>
  <si>
    <t>itskolli@users.noreply.github.com</t>
  </si>
  <si>
    <t>itskolli</t>
  </si>
  <si>
    <t>ives@codesandbox.io</t>
  </si>
  <si>
    <t>ives</t>
  </si>
  <si>
    <t>Codesandbox.io</t>
  </si>
  <si>
    <t>Ives.v.h@gmail.com</t>
  </si>
  <si>
    <t>Ives.v.h</t>
  </si>
  <si>
    <t>ixkaito@gmail.com</t>
  </si>
  <si>
    <t>ixkaito</t>
  </si>
  <si>
    <t>j@dummett.org</t>
  </si>
  <si>
    <t>j.mingov@3boll.com</t>
  </si>
  <si>
    <t>j.mingov</t>
  </si>
  <si>
    <t>j02521@gmail.com</t>
  </si>
  <si>
    <t>j02521</t>
  </si>
  <si>
    <t>j8.matteo@gmail.com</t>
  </si>
  <si>
    <t>j8.matteo</t>
  </si>
  <si>
    <t>jabbrass@zoho.com</t>
  </si>
  <si>
    <t>jabbrass</t>
  </si>
  <si>
    <t>jacharles@paypal.com</t>
  </si>
  <si>
    <t>jacharles</t>
  </si>
  <si>
    <t>jack@jackmarchant.com</t>
  </si>
  <si>
    <t>jack</t>
  </si>
  <si>
    <t>jackjocross@gmail.com</t>
  </si>
  <si>
    <t>jackjocross</t>
  </si>
  <si>
    <t>jacob.gable@gmail.com</t>
  </si>
  <si>
    <t>jacob.gable</t>
  </si>
  <si>
    <t>jacquelinewung@gmail.com</t>
  </si>
  <si>
    <t>jacquelinewung</t>
  </si>
  <si>
    <t>jaehlee11@gmail.com</t>
  </si>
  <si>
    <t>jaehlee11</t>
  </si>
  <si>
    <t>jaffe.ben@gmail.com</t>
  </si>
  <si>
    <t>jaffe.ben</t>
  </si>
  <si>
    <t>jagtap.vishal30@gmail.com</t>
  </si>
  <si>
    <t>jagtap.vishal30</t>
  </si>
  <si>
    <t>jaiwanth.work@gmail.com</t>
  </si>
  <si>
    <t>jaiwanth.work</t>
  </si>
  <si>
    <t>jake@imgur.com</t>
  </si>
  <si>
    <t>jake</t>
  </si>
  <si>
    <t>jakeboone02@gmail.com</t>
  </si>
  <si>
    <t>jakeboone02</t>
  </si>
  <si>
    <t>jakub.romanczyk@callstack.com</t>
  </si>
  <si>
    <t>jakub.romanczyk</t>
  </si>
  <si>
    <t>Callstack</t>
  </si>
  <si>
    <t>jalexanderfox@gmail.com</t>
  </si>
  <si>
    <t>jalexanderfox</t>
  </si>
  <si>
    <t>james@jamesbvaughan.com</t>
  </si>
  <si>
    <t>james@mystrata.com</t>
  </si>
  <si>
    <t>james@jbrantly.com</t>
  </si>
  <si>
    <t>james.reggio@gmail.com</t>
  </si>
  <si>
    <t>james.reggio</t>
  </si>
  <si>
    <t>james.seppi@gmail.com</t>
  </si>
  <si>
    <t>james.seppi</t>
  </si>
  <si>
    <t>james_south@hotmail.com</t>
  </si>
  <si>
    <t>james_south</t>
  </si>
  <si>
    <t>jan@poeschko.com</t>
  </si>
  <si>
    <t>jan@janraasch.com</t>
  </si>
  <si>
    <t>jan.hancic@caplin.com</t>
  </si>
  <si>
    <t>janczer@users.noreply.github.com</t>
  </si>
  <si>
    <t>janczer</t>
  </si>
  <si>
    <t>jaredloganpalmer@gmail.com</t>
  </si>
  <si>
    <t>jaredloganpalmer</t>
  </si>
  <si>
    <t>jarred@jarredsumner.com</t>
  </si>
  <si>
    <t>jarred</t>
  </si>
  <si>
    <t>jarrod.mosen@me.com</t>
  </si>
  <si>
    <t>jarrod.mosen</t>
  </si>
  <si>
    <t>jason@metalabdesign.com</t>
  </si>
  <si>
    <t>jason@jasontrill.com</t>
  </si>
  <si>
    <t>jason.ly@gmail.com</t>
  </si>
  <si>
    <t>jason.ly</t>
  </si>
  <si>
    <t>jason.oneil@gmail.com</t>
  </si>
  <si>
    <t>jason.oneil</t>
  </si>
  <si>
    <t>jasonslyvia@gmail.com</t>
  </si>
  <si>
    <t>jasonslyvia</t>
  </si>
  <si>
    <t>jayenashar@users.noreply.github.com</t>
  </si>
  <si>
    <t>jayenashar</t>
  </si>
  <si>
    <t>jbhatab@gmail.com</t>
  </si>
  <si>
    <t>jbhatab</t>
  </si>
  <si>
    <t>jd@jisaacks.com</t>
  </si>
  <si>
    <t>jd</t>
  </si>
  <si>
    <t>jedwards@fastmail.com</t>
  </si>
  <si>
    <t>jedwards</t>
  </si>
  <si>
    <t>jeff@quizlet.com</t>
  </si>
  <si>
    <t>jeff.barczewski@gmail.com</t>
  </si>
  <si>
    <t>jeff.barczewski</t>
  </si>
  <si>
    <t>jeffrey.wan@blueapron.com</t>
  </si>
  <si>
    <t>jeffrey.wan</t>
  </si>
  <si>
    <t>jeffreyberry93@gmail.com</t>
  </si>
  <si>
    <t>jeffreyberry93</t>
  </si>
  <si>
    <t>jefftchan@gmail.com</t>
  </si>
  <si>
    <t>jefftchan</t>
  </si>
  <si>
    <t>jenjwong@gmail.com</t>
  </si>
  <si>
    <t>jenjwong</t>
  </si>
  <si>
    <t>jeokrang@hanmail.net</t>
  </si>
  <si>
    <t>jeokrang</t>
  </si>
  <si>
    <t>jerome.steunou+github@gmail.com</t>
  </si>
  <si>
    <t>jerome.steunou+github</t>
  </si>
  <si>
    <t>jerzy.mirecki@gmail.com</t>
  </si>
  <si>
    <t>jerzy.mirecki</t>
  </si>
  <si>
    <t>jess+github@jes.st</t>
  </si>
  <si>
    <t>jess+github</t>
  </si>
  <si>
    <t>jesse@thefutureoftheweb.com</t>
  </si>
  <si>
    <t>jesse</t>
  </si>
  <si>
    <t>jessica@jessidhia.dev</t>
  </si>
  <si>
    <t>jessica</t>
  </si>
  <si>
    <t>jfgreffier@users.noreply.github.com</t>
  </si>
  <si>
    <t>jfgreffier</t>
  </si>
  <si>
    <t>jgilli@fastmail.fm</t>
  </si>
  <si>
    <t>jgilli</t>
  </si>
  <si>
    <t>jgrlicky@gmail.com</t>
  </si>
  <si>
    <t>jgrlicky</t>
  </si>
  <si>
    <t>jhicken@gmail.com</t>
  </si>
  <si>
    <t>jhicken</t>
  </si>
  <si>
    <t>jhr24@duke.edu</t>
  </si>
  <si>
    <t>jhr24</t>
  </si>
  <si>
    <t>jiminikiz@users.noreply.github.com</t>
  </si>
  <si>
    <t>jiminikiz</t>
  </si>
  <si>
    <t>jimjea@gmail.com</t>
  </si>
  <si>
    <t>jimjea</t>
  </si>
  <si>
    <t>jimobrien930@gmail.com</t>
  </si>
  <si>
    <t>jimobrien930</t>
  </si>
  <si>
    <t>jingc@fb.com</t>
  </si>
  <si>
    <t>jingc</t>
  </si>
  <si>
    <t>jinguozhang@qq.com</t>
  </si>
  <si>
    <t>jinguozhang</t>
  </si>
  <si>
    <t>jintoppy@gmail.com</t>
  </si>
  <si>
    <t>jintoppy</t>
  </si>
  <si>
    <t>jj.weber@gmail.com</t>
  </si>
  <si>
    <t>jj.weber</t>
  </si>
  <si>
    <t>jkewei328@hotmail.com</t>
  </si>
  <si>
    <t>jkewei328</t>
  </si>
  <si>
    <t>jmenichelli@gmail.com</t>
  </si>
  <si>
    <t>jmenichelli</t>
  </si>
  <si>
    <t>joe@joecortopassi.com</t>
  </si>
  <si>
    <t>joe.lencioni@gmail.com</t>
  </si>
  <si>
    <t>joe.lencioni</t>
  </si>
  <si>
    <t>joeaarons@gmail.com</t>
  </si>
  <si>
    <t>joeaarons</t>
  </si>
  <si>
    <t>joel.auterson@googlemail.com</t>
  </si>
  <si>
    <t>joel.auterson</t>
  </si>
  <si>
    <t>joeldenning@gmail.com</t>
  </si>
  <si>
    <t>joeldenning</t>
  </si>
  <si>
    <t>joelseq96@gmail.com</t>
  </si>
  <si>
    <t>joelseq96</t>
  </si>
  <si>
    <t>johan.c.henriksson@gmail.com</t>
  </si>
  <si>
    <t>johan.c.henriksson</t>
  </si>
  <si>
    <t>johannes@johanneslumpe.de</t>
  </si>
  <si>
    <t>johannes</t>
  </si>
  <si>
    <t>johannes@emerich.de</t>
  </si>
  <si>
    <t>john@leidegren.se</t>
  </si>
  <si>
    <t>john-d-pelingo@users.noreply.github.com</t>
  </si>
  <si>
    <t>john-d-pelingo</t>
  </si>
  <si>
    <t>johnheroy@users.noreply.github.com</t>
  </si>
  <si>
    <t>johnheroy</t>
  </si>
  <si>
    <t>johnlinp@gmail.com</t>
  </si>
  <si>
    <t>johnlinp</t>
  </si>
  <si>
    <t>johnlonganecker@gmail.com</t>
  </si>
  <si>
    <t>johnlonganecker</t>
  </si>
  <si>
    <t>jon@tfftech.com</t>
  </si>
  <si>
    <t>jon.bretman@gmail.com</t>
  </si>
  <si>
    <t>jon.bretman</t>
  </si>
  <si>
    <t>jonas.enlund@gmail.com</t>
  </si>
  <si>
    <t>jonas.enlund</t>
  </si>
  <si>
    <t>jonathanburger11@gmail.com</t>
  </si>
  <si>
    <t>jonathanburger11</t>
  </si>
  <si>
    <t>jonchester@fb.com</t>
  </si>
  <si>
    <t>jonchester</t>
  </si>
  <si>
    <t>jordan@jordaneldredge.com</t>
  </si>
  <si>
    <t>jordan</t>
  </si>
  <si>
    <t>jordan@jordanrome.com</t>
  </si>
  <si>
    <t>jordojw@gmail.com</t>
  </si>
  <si>
    <t>jordojw</t>
  </si>
  <si>
    <t>jorrit@ncode.nl</t>
  </si>
  <si>
    <t>jorrit</t>
  </si>
  <si>
    <t>josalfk@hotmail.com</t>
  </si>
  <si>
    <t>josalfk</t>
  </si>
  <si>
    <t>josepharhar@gmail.com</t>
  </si>
  <si>
    <t>josepharhar</t>
  </si>
  <si>
    <t>josephlin55555@gmail.com</t>
  </si>
  <si>
    <t>josephlin55555</t>
  </si>
  <si>
    <t>josh@goatslacker.com</t>
  </si>
  <si>
    <t>josh@trtr.co</t>
  </si>
  <si>
    <t>josh.bassett@gmail.com</t>
  </si>
  <si>
    <t>josh.bassett</t>
  </si>
  <si>
    <t>josh.larson@shopify.com</t>
  </si>
  <si>
    <t>josh.larson</t>
  </si>
  <si>
    <t>Shopify</t>
  </si>
  <si>
    <t>josh.perez@airbnb.com</t>
  </si>
  <si>
    <t>josh.perez</t>
  </si>
  <si>
    <t>joshua.evans@quantified.co</t>
  </si>
  <si>
    <t>joshua.evans</t>
  </si>
  <si>
    <t>joshuago@gmail.com</t>
  </si>
  <si>
    <t>joshuago</t>
  </si>
  <si>
    <t>jrobison151@gmail.com</t>
  </si>
  <si>
    <t>jrobison151</t>
  </si>
  <si>
    <t>jrw2175@columbia.edu</t>
  </si>
  <si>
    <t>jrw2175</t>
  </si>
  <si>
    <t>jscissr@gmail.com</t>
  </si>
  <si>
    <t>jscissr</t>
  </si>
  <si>
    <t>jsgoldberg90@gmail.com</t>
  </si>
  <si>
    <t>jsgoldberg90</t>
  </si>
  <si>
    <t>jtburnett@tribune.com</t>
  </si>
  <si>
    <t>jtburnett</t>
  </si>
  <si>
    <t>juan@juansoto.me</t>
  </si>
  <si>
    <t>juan</t>
  </si>
  <si>
    <t>juans.tejada@gmail.com</t>
  </si>
  <si>
    <t>juans.tejada</t>
  </si>
  <si>
    <t>julian.viereck@gmail.com</t>
  </si>
  <si>
    <t>julian.viereck</t>
  </si>
  <si>
    <t>julien.deniau@gmail.com</t>
  </si>
  <si>
    <t>julien.deniau</t>
  </si>
  <si>
    <t>junaid@yarikul.in</t>
  </si>
  <si>
    <t>junaid</t>
  </si>
  <si>
    <t>jurasz.do@gmail.com</t>
  </si>
  <si>
    <t>jurasz.do</t>
  </si>
  <si>
    <t>just-boris@hotmail.com</t>
  </si>
  <si>
    <t>justin@justingrant.net</t>
  </si>
  <si>
    <t>justin.singh.dhillon@gmail.com</t>
  </si>
  <si>
    <t>justin.singh.dhillon</t>
  </si>
  <si>
    <t>justinjaffray@khanacademy.org</t>
  </si>
  <si>
    <t>justinjaffray</t>
  </si>
  <si>
    <t>justushamalainen@gmail.com</t>
  </si>
  <si>
    <t>justushamalainen</t>
  </si>
  <si>
    <t>juszczyk.jakub@gmail.com</t>
  </si>
  <si>
    <t>juszczyk.jakub</t>
  </si>
  <si>
    <t>JW00000@gmail.com</t>
  </si>
  <si>
    <t>JW00000</t>
  </si>
  <si>
    <t>jwbay@users.noreply.github.com</t>
  </si>
  <si>
    <t>jwbay</t>
  </si>
  <si>
    <t>jzhang11235@gmail.com</t>
  </si>
  <si>
    <t>jzhang11235</t>
  </si>
  <si>
    <t>jzhang31191@gmail.com</t>
  </si>
  <si>
    <t>jzhang31191</t>
  </si>
  <si>
    <t>k.porshnieva@gmail.com</t>
  </si>
  <si>
    <t>k.porshnieva</t>
  </si>
  <si>
    <t>kamronbatman@users.noreply.github.com</t>
  </si>
  <si>
    <t>kamronbatman</t>
  </si>
  <si>
    <t>kangan@microsoft.com</t>
  </si>
  <si>
    <t>kangan</t>
  </si>
  <si>
    <t>Microsoft</t>
  </si>
  <si>
    <t>karim.piyarali@gmail.com</t>
  </si>
  <si>
    <t>karim.piyarali</t>
  </si>
  <si>
    <t>karimpa@fb.com</t>
  </si>
  <si>
    <t>karimpa</t>
  </si>
  <si>
    <t>karl@kingkarl.com</t>
  </si>
  <si>
    <t>karl</t>
  </si>
  <si>
    <t>karljohantinglof@gmail.com</t>
  </si>
  <si>
    <t>karljohantinglof</t>
  </si>
  <si>
    <t>karol.borkowski@syzygy.pl</t>
  </si>
  <si>
    <t>karol.borkowski</t>
  </si>
  <si>
    <t>karpich@gollard.ru</t>
  </si>
  <si>
    <t>karpich</t>
  </si>
  <si>
    <t>karthik.chintapalli@gmail.com</t>
  </si>
  <si>
    <t>karthik.chintapalli</t>
  </si>
  <si>
    <t>karthikb351@gmail.com</t>
  </si>
  <si>
    <t>karthikb351</t>
  </si>
  <si>
    <t>kartik@kartiklad.com</t>
  </si>
  <si>
    <t>kartik</t>
  </si>
  <si>
    <t>kartikch918@gmail.com</t>
  </si>
  <si>
    <t>kartikch918</t>
  </si>
  <si>
    <t>kastencode@gmail.com</t>
  </si>
  <si>
    <t>kastencode</t>
  </si>
  <si>
    <t>katzoo@github.mail</t>
  </si>
  <si>
    <t>katzoo</t>
  </si>
  <si>
    <t>kayleeknowles42@gmail.com</t>
  </si>
  <si>
    <t>kayleeknowles42</t>
  </si>
  <si>
    <t>ken@kenpowers.net</t>
  </si>
  <si>
    <t>kenotron@users.noreply.github.com</t>
  </si>
  <si>
    <t>kenotron</t>
  </si>
  <si>
    <t>kevin@lewistech.com</t>
  </si>
  <si>
    <t>kevin@suttle.email</t>
  </si>
  <si>
    <t>kevin9794@hotmail.com</t>
  </si>
  <si>
    <t>kevin9794</t>
  </si>
  <si>
    <t>kevinkassimo@gmail.com</t>
  </si>
  <si>
    <t>kevinkassimo</t>
  </si>
  <si>
    <t>kevinslin8@gmail.com</t>
  </si>
  <si>
    <t>kevinslin8</t>
  </si>
  <si>
    <t>kevintcoughlin@gmail.com</t>
  </si>
  <si>
    <t>kevintcoughlin</t>
  </si>
  <si>
    <t>kevinweber@users.noreply.github.com</t>
  </si>
  <si>
    <t>kevinweber</t>
  </si>
  <si>
    <t>kikyous@163.com</t>
  </si>
  <si>
    <t>kikyous</t>
  </si>
  <si>
    <t>kjj10@163.com</t>
  </si>
  <si>
    <t>kjj10</t>
  </si>
  <si>
    <t>klamping@gmail.com</t>
  </si>
  <si>
    <t>klamping</t>
  </si>
  <si>
    <t>kmiddleton14@gmail.com</t>
  </si>
  <si>
    <t>kmiddleton14</t>
  </si>
  <si>
    <t>koh-taka@users.noreply.github.com</t>
  </si>
  <si>
    <t>koh-taka</t>
  </si>
  <si>
    <t>kolodny.github@gmail.com</t>
  </si>
  <si>
    <t>kolodny.github</t>
  </si>
  <si>
    <t>koto@google.com</t>
  </si>
  <si>
    <t>koto</t>
  </si>
  <si>
    <t>krishnamohan72452964@gmail.com</t>
  </si>
  <si>
    <t>krishnamohan72452964</t>
  </si>
  <si>
    <t>krobinson@twitter.com</t>
  </si>
  <si>
    <t>krobinson</t>
  </si>
  <si>
    <t>krydrogen@gmail.com</t>
  </si>
  <si>
    <t>krydrogen</t>
  </si>
  <si>
    <t>ksvitkovsky@yandex.ru</t>
  </si>
  <si>
    <t>ksvitkovsky</t>
  </si>
  <si>
    <t>kubosho@users.noreply.github.com</t>
  </si>
  <si>
    <t>kubosho</t>
  </si>
  <si>
    <t>kulek1@users.noreply.github.com</t>
  </si>
  <si>
    <t>kulek1</t>
  </si>
  <si>
    <t>kurtfurbush@gmail.com</t>
  </si>
  <si>
    <t>kurtfurbush</t>
  </si>
  <si>
    <t>kutsenko.eugene@hotmail.com</t>
  </si>
  <si>
    <t>kutsenko.eugene</t>
  </si>
  <si>
    <t>kweiberth@users.noreply.github.com</t>
  </si>
  <si>
    <t>kweiberth</t>
  </si>
  <si>
    <t>kwon.ohjoong@gmail.com</t>
  </si>
  <si>
    <t>kwon.ohjoong</t>
  </si>
  <si>
    <t>kwzr.poyo@gmail.com</t>
  </si>
  <si>
    <t>kwzr.poyo</t>
  </si>
  <si>
    <t>kz5@indiana.edu</t>
  </si>
  <si>
    <t>kz5</t>
  </si>
  <si>
    <t>l.varayut@gmail.com</t>
  </si>
  <si>
    <t>l.varayut</t>
  </si>
  <si>
    <t>laakso.vesa@gmail.com</t>
  </si>
  <si>
    <t>laakso.vesa</t>
  </si>
  <si>
    <t>laijimmy0@gmail.com</t>
  </si>
  <si>
    <t>laijimmy0</t>
  </si>
  <si>
    <t>laiso@lai.so</t>
  </si>
  <si>
    <t>laiso</t>
  </si>
  <si>
    <t>lamo2k123@gmail.com</t>
  </si>
  <si>
    <t>lamo2k123</t>
  </si>
  <si>
    <t>landvibe@podotree.com</t>
  </si>
  <si>
    <t>landvibe</t>
  </si>
  <si>
    <t>laurent.etiemble@monobjc.net</t>
  </si>
  <si>
    <t>laurent.etiemble</t>
  </si>
  <si>
    <t>lawr@lauragonzalez.cc</t>
  </si>
  <si>
    <t>lawr</t>
  </si>
  <si>
    <t>ldh19971027@gmail.com</t>
  </si>
  <si>
    <t>ldh19971027</t>
  </si>
  <si>
    <t>leafdog.js@gmail.com</t>
  </si>
  <si>
    <t>leafdog.js</t>
  </si>
  <si>
    <t>lee.byron@robinhood.com</t>
  </si>
  <si>
    <t>lee.byron</t>
  </si>
  <si>
    <t>lee.jinxiu@gmail.com</t>
  </si>
  <si>
    <t>lee.jinxiu</t>
  </si>
  <si>
    <t>leeyoungalias@qq.com</t>
  </si>
  <si>
    <t>leeyoungalias</t>
  </si>
  <si>
    <t>leo.lamprecht@icloud.com</t>
  </si>
  <si>
    <t>leo.lamprecht</t>
  </si>
  <si>
    <t>LeonFedotov@users.noreply.github.com</t>
  </si>
  <si>
    <t>LeonFedotov</t>
  </si>
  <si>
    <t>LetItRock@users.noreply.github.com</t>
  </si>
  <si>
    <t>LetItRock</t>
  </si>
  <si>
    <t>lewis.blackwood@gmail.com</t>
  </si>
  <si>
    <t>lewis.blackwood</t>
  </si>
  <si>
    <t>lex.jacobs@gmail.com</t>
  </si>
  <si>
    <t>lex.jacobs</t>
  </si>
  <si>
    <t>liady@users.noreply.github.com</t>
  </si>
  <si>
    <t>liady</t>
  </si>
  <si>
    <t>linus@folkdatorn.se</t>
  </si>
  <si>
    <t>linus</t>
  </si>
  <si>
    <t>liu.yenwei@gmail.com</t>
  </si>
  <si>
    <t>liu.yenwei</t>
  </si>
  <si>
    <t>livrerie@gmail.com</t>
  </si>
  <si>
    <t>livrerie</t>
  </si>
  <si>
    <t>longster@gmail.com</t>
  </si>
  <si>
    <t>longster</t>
  </si>
  <si>
    <t>looi.matthew@gmail.com</t>
  </si>
  <si>
    <t>looi.matthew</t>
  </si>
  <si>
    <t>lorczyslav@gmail.com</t>
  </si>
  <si>
    <t>lorczyslav</t>
  </si>
  <si>
    <t>lovisasvallingson@gmail.com</t>
  </si>
  <si>
    <t>lovisasvallingson</t>
  </si>
  <si>
    <t>lsj7000@gmail.com</t>
  </si>
  <si>
    <t>lsj7000</t>
  </si>
  <si>
    <t>lucas.aragno157@gmail.com</t>
  </si>
  <si>
    <t>lucas.aragno157</t>
  </si>
  <si>
    <t>lucas.lentz0306@gmail.com</t>
  </si>
  <si>
    <t>lucas.lentz0306</t>
  </si>
  <si>
    <t>luke.belliveau@gmail.com</t>
  </si>
  <si>
    <t>luke.belliveau</t>
  </si>
  <si>
    <t>lukehorvat@gmail.com</t>
  </si>
  <si>
    <t>lukehorvat</t>
  </si>
  <si>
    <t>lunaerxs@gmail.com</t>
  </si>
  <si>
    <t>lunaerxs</t>
  </si>
  <si>
    <t>lunaleaps@gmail.com</t>
  </si>
  <si>
    <t>lunaleaps</t>
  </si>
  <si>
    <t>lushevol@outlook.com</t>
  </si>
  <si>
    <t>lushevol</t>
  </si>
  <si>
    <t>luwe@fb.com</t>
  </si>
  <si>
    <t>luwe</t>
  </si>
  <si>
    <t>lxxxvi@users.noreply.github.com</t>
  </si>
  <si>
    <t>lxxxvi</t>
  </si>
  <si>
    <t>lysnku@gmail.com</t>
  </si>
  <si>
    <t>lysnku</t>
  </si>
  <si>
    <t>m@m23.io</t>
  </si>
  <si>
    <t>m@mk.gg</t>
  </si>
  <si>
    <t>m.dogadailo@gmail.com</t>
  </si>
  <si>
    <t>m.dogadailo</t>
  </si>
  <si>
    <t>m.wood0904@gmail.com</t>
  </si>
  <si>
    <t>m.wood0904</t>
  </si>
  <si>
    <t>maherbeg@gmail.com</t>
  </si>
  <si>
    <t>maherbeg</t>
  </si>
  <si>
    <t>mahir@vedatmahir.com</t>
  </si>
  <si>
    <t>mahir</t>
  </si>
  <si>
    <t>mail@flxwu.com</t>
  </si>
  <si>
    <t>mail@fokkezb.nl</t>
  </si>
  <si>
    <t>mail@adriansieber.com</t>
  </si>
  <si>
    <t>mail@w-st.com</t>
  </si>
  <si>
    <t>mandert@gmail.com</t>
  </si>
  <si>
    <t>mandert</t>
  </si>
  <si>
    <t>mangakjd@gmail.com</t>
  </si>
  <si>
    <t>mangakjd</t>
  </si>
  <si>
    <t>ManueleBryan@gmail.com</t>
  </si>
  <si>
    <t>ManueleBryan</t>
  </si>
  <si>
    <t>manzhula.alex@gmail.com</t>
  </si>
  <si>
    <t>manzhula.alex</t>
  </si>
  <si>
    <t>maochenyan@gmail.com</t>
  </si>
  <si>
    <t>maochenyan</t>
  </si>
  <si>
    <t>marcin@mazurek.pro</t>
  </si>
  <si>
    <t>marcin.kwiatkowski@hotmail.com</t>
  </si>
  <si>
    <t>marcin.kwiatkowski</t>
  </si>
  <si>
    <t>marcins@gmail.com</t>
  </si>
  <si>
    <t>marcins</t>
  </si>
  <si>
    <t>marciopuga@gmail.com</t>
  </si>
  <si>
    <t>marciopuga</t>
  </si>
  <si>
    <t>mariosouto@outlook.com</t>
  </si>
  <si>
    <t>mariosouto</t>
  </si>
  <si>
    <t>marius.ludvigsen@gmail.com</t>
  </si>
  <si>
    <t>marius.ludvigsen</t>
  </si>
  <si>
    <t>mark@influxdb.com</t>
  </si>
  <si>
    <t>markohintz@gmail.com</t>
  </si>
  <si>
    <t>markohintz</t>
  </si>
  <si>
    <t>marks@markspolakovs.me</t>
  </si>
  <si>
    <t>marks</t>
  </si>
  <si>
    <t>marschik_neri@cyberagent.co.jp</t>
  </si>
  <si>
    <t>marschik_neri</t>
  </si>
  <si>
    <t>martomi@users.noreply.github.com</t>
  </si>
  <si>
    <t>martomi</t>
  </si>
  <si>
    <t>masato.nakamura145@gmail.com</t>
  </si>
  <si>
    <t>masato.nakamura145</t>
  </si>
  <si>
    <t>master@sweetliquid.me</t>
  </si>
  <si>
    <t>master</t>
  </si>
  <si>
    <t>matchu1993@gmail.com</t>
  </si>
  <si>
    <t>matchu1993</t>
  </si>
  <si>
    <t>mathieu@dutour.me</t>
  </si>
  <si>
    <t>mathieu</t>
  </si>
  <si>
    <t>mathieumg@gmail.com</t>
  </si>
  <si>
    <t>mathieumg</t>
  </si>
  <si>
    <t>mathieumg@atx33.com</t>
  </si>
  <si>
    <t>matiasnu@gmail.com</t>
  </si>
  <si>
    <t>matiasnu</t>
  </si>
  <si>
    <t>matt.huggins@gmail.com</t>
  </si>
  <si>
    <t>matt.huggins</t>
  </si>
  <si>
    <t>matt.stow@foxsports.com.au</t>
  </si>
  <si>
    <t>matt.stow</t>
  </si>
  <si>
    <t>matthew@matrix.org</t>
  </si>
  <si>
    <t>matthew</t>
  </si>
  <si>
    <t>matthew@matthewminer.com</t>
  </si>
  <si>
    <t>matthew.shotton@bbc.co.uk</t>
  </si>
  <si>
    <t>matthew.shotton</t>
  </si>
  <si>
    <t>matthewjohnston4@outlook.com</t>
  </si>
  <si>
    <t>mattijs@arttech.nl</t>
  </si>
  <si>
    <t>mattijs</t>
  </si>
  <si>
    <t>matt-thomson@users.noreply.github.com</t>
  </si>
  <si>
    <t>matt-thomson</t>
  </si>
  <si>
    <t>max.heiber@gmail.com</t>
  </si>
  <si>
    <t>max.heiber</t>
  </si>
  <si>
    <t>maxellusionist@gmail.com</t>
  </si>
  <si>
    <t>maxellusionist</t>
  </si>
  <si>
    <t>MaximAbramchuck@gmail.com</t>
  </si>
  <si>
    <t>MaximAbramchuck</t>
  </si>
  <si>
    <t>maxime.bouveron@gmail.com</t>
  </si>
  <si>
    <t>maxime.bouveron</t>
  </si>
  <si>
    <t>maximenory@yahoo.fr</t>
  </si>
  <si>
    <t>maximenory</t>
  </si>
  <si>
    <t>maxprafferty@gmail.com</t>
  </si>
  <si>
    <t>maxprafferty</t>
  </si>
  <si>
    <t>mcobrien@users.noreply.github.com</t>
  </si>
  <si>
    <t>mcobrien</t>
  </si>
  <si>
    <t>mdaziz067@gmail.com</t>
  </si>
  <si>
    <t>mdaziz067</t>
  </si>
  <si>
    <t>mdebbar@fb.com</t>
  </si>
  <si>
    <t>me@gasim.xyz</t>
  </si>
  <si>
    <t>me@chrisbianca.com</t>
  </si>
  <si>
    <t>me@rouvenwessling.de</t>
  </si>
  <si>
    <t>me@billyshih.com</t>
  </si>
  <si>
    <t>me@goenning.net</t>
  </si>
  <si>
    <t>me@rafaelangeline.com</t>
  </si>
  <si>
    <t>me@chadf.ca</t>
  </si>
  <si>
    <t>me@jaeholee.org</t>
  </si>
  <si>
    <t>me@benigeri.com</t>
  </si>
  <si>
    <t>me@kurtruppel.com</t>
  </si>
  <si>
    <t>me@sunnyjuneja.com</t>
  </si>
  <si>
    <t>me@pieter.io</t>
  </si>
  <si>
    <t>merrick.christensen@gmail.com</t>
  </si>
  <si>
    <t>merrick.christensen</t>
  </si>
  <si>
    <t>metal@alucinados.com</t>
  </si>
  <si>
    <t>metal</t>
  </si>
  <si>
    <t>mherbst@chegg.com</t>
  </si>
  <si>
    <t>mherbst</t>
  </si>
  <si>
    <t>mhibino@users.noreply.github.com</t>
  </si>
  <si>
    <t>mhibino</t>
  </si>
  <si>
    <t>michael@michaelterry.org</t>
  </si>
  <si>
    <t>michael2ib1989@gmail.com</t>
  </si>
  <si>
    <t>michael2ib1989</t>
  </si>
  <si>
    <t>MichaelJWarner@hotmail.com</t>
  </si>
  <si>
    <t>MichaelJWarner</t>
  </si>
  <si>
    <t>michal.fijas@gmail.com</t>
  </si>
  <si>
    <t>michal.fijas</t>
  </si>
  <si>
    <t>MicheleBertoli@users.noreply.github.com</t>
  </si>
  <si>
    <t>MicheleBertoli</t>
  </si>
  <si>
    <t>michelle@khanacademy.org</t>
  </si>
  <si>
    <t>michelle</t>
  </si>
  <si>
    <t>michelle.chen@shopify.com</t>
  </si>
  <si>
    <t>michelle.chen</t>
  </si>
  <si>
    <t>mihai.parparita@gmail.com</t>
  </si>
  <si>
    <t>mihai.parparita</t>
  </si>
  <si>
    <t>mijoch@gmail.com</t>
  </si>
  <si>
    <t>mijoch</t>
  </si>
  <si>
    <t>mike.groseclose@gmail.com</t>
  </si>
  <si>
    <t>mike.groseclose</t>
  </si>
  <si>
    <t>mikeswcho@gmail.com</t>
  </si>
  <si>
    <t>mikeswcho</t>
  </si>
  <si>
    <t>mikezx@gmail.com</t>
  </si>
  <si>
    <t>mikezx</t>
  </si>
  <si>
    <t>mikolaj.dadela@hgv-online.de</t>
  </si>
  <si>
    <t>mikolaj.dadela</t>
  </si>
  <si>
    <t>milanlandaverde@gmail.com</t>
  </si>
  <si>
    <t>milanlandaverde</t>
  </si>
  <si>
    <t>minho42@gmail.com</t>
  </si>
  <si>
    <t>minho42</t>
  </si>
  <si>
    <t>miorel@fb.com</t>
  </si>
  <si>
    <t>miorel</t>
  </si>
  <si>
    <t>mishaor@ukr.net</t>
  </si>
  <si>
    <t>mishaor</t>
  </si>
  <si>
    <t>mitch.special@gmail.com</t>
  </si>
  <si>
    <t>mitch.special</t>
  </si>
  <si>
    <t>mjomble@gmail.com</t>
  </si>
  <si>
    <t>mjomble</t>
  </si>
  <si>
    <t>mking@users.noreply.github.com</t>
  </si>
  <si>
    <t>mking</t>
  </si>
  <si>
    <t>mlbli@me.com</t>
  </si>
  <si>
    <t>mlbli</t>
  </si>
  <si>
    <t>MMoss@cainc.com</t>
  </si>
  <si>
    <t>MMoss</t>
  </si>
  <si>
    <t>mmoss@users.noreply.github.com</t>
  </si>
  <si>
    <t>mmoss</t>
  </si>
  <si>
    <t>mnpenner@users.noreply.github.com</t>
  </si>
  <si>
    <t>mnpenner</t>
  </si>
  <si>
    <t>mohaned@cloudypedia.com</t>
  </si>
  <si>
    <t>mohaned</t>
  </si>
  <si>
    <t>mojtaba@gmail.com</t>
  </si>
  <si>
    <t>mojtaba</t>
  </si>
  <si>
    <t>monday.chen@gmail.com</t>
  </si>
  <si>
    <t>monday.chen</t>
  </si>
  <si>
    <t>moomoowoo@gmail.com</t>
  </si>
  <si>
    <t>moomoowoo</t>
  </si>
  <si>
    <t>morenoh149@gmail.com</t>
  </si>
  <si>
    <t>morenoh149</t>
  </si>
  <si>
    <t>moretti@users.noreply.github.com</t>
  </si>
  <si>
    <t>moretti</t>
  </si>
  <si>
    <t>morgan@mccauley.co.nz</t>
  </si>
  <si>
    <t>morgan</t>
  </si>
  <si>
    <t>mr.kev@me.com</t>
  </si>
  <si>
    <t>mr.kev</t>
  </si>
  <si>
    <t>mroch@fb.com</t>
  </si>
  <si>
    <t>mroch</t>
  </si>
  <si>
    <t>mschiffer@universe-factory.net</t>
  </si>
  <si>
    <t>mschiffer</t>
  </si>
  <si>
    <t>murashki@users.noreply.github.com</t>
  </si>
  <si>
    <t>murashki</t>
  </si>
  <si>
    <t>muratcatal@outlook.com</t>
  </si>
  <si>
    <t>muratcatal</t>
  </si>
  <si>
    <t>murphy.mark@live.ca</t>
  </si>
  <si>
    <t>murphy.mark</t>
  </si>
  <si>
    <t>mwilcox56@gmail.com</t>
  </si>
  <si>
    <t>mwilcox56</t>
  </si>
  <si>
    <t>mwtuea@gmail.com</t>
  </si>
  <si>
    <t>mwtuea</t>
  </si>
  <si>
    <t>n8s@fb.com</t>
  </si>
  <si>
    <t>n8s</t>
  </si>
  <si>
    <t>n8schloss@users.noreply.github.com</t>
  </si>
  <si>
    <t>n8schloss</t>
  </si>
  <si>
    <t>nadavkaner1@gmail.com</t>
  </si>
  <si>
    <t>nadavkaner1</t>
  </si>
  <si>
    <t>nadeesha.cabral@gmail.com</t>
  </si>
  <si>
    <t>nadeesha.cabral</t>
  </si>
  <si>
    <t>nadia.github@gmail.com</t>
  </si>
  <si>
    <t>nadia.github</t>
  </si>
  <si>
    <t>naji_sawas@gmx.com</t>
  </si>
  <si>
    <t>naji_sawas</t>
  </si>
  <si>
    <t>nakazye@gmail.com</t>
  </si>
  <si>
    <t>nakazye</t>
  </si>
  <si>
    <t>natenorberg@gmail.com</t>
  </si>
  <si>
    <t>natenorberg</t>
  </si>
  <si>
    <t>nathaniel.jy.lee88@gmail.com</t>
  </si>
  <si>
    <t>nathaniel.jy.lee88</t>
  </si>
  <si>
    <t>nbjahan@gmail.com</t>
  </si>
  <si>
    <t>nbjahan</t>
  </si>
  <si>
    <t>nbostrom@gmail.com</t>
  </si>
  <si>
    <t>nbostrom</t>
  </si>
  <si>
    <t>nbuligini11@gmail.com</t>
  </si>
  <si>
    <t>nbuligini11</t>
  </si>
  <si>
    <t>nc_8093@163.com</t>
  </si>
  <si>
    <t>nc_8093</t>
  </si>
  <si>
    <t>nchristensen@deseretdigital.com</t>
  </si>
  <si>
    <t>nchristensen</t>
  </si>
  <si>
    <t>ncthom91@gmail.com</t>
  </si>
  <si>
    <t>ncthom91</t>
  </si>
  <si>
    <t>ndresx@gmail.com</t>
  </si>
  <si>
    <t>ndresx</t>
  </si>
  <si>
    <t>Neal@Hendeca.com</t>
  </si>
  <si>
    <t>Neal</t>
  </si>
  <si>
    <t>Hendeca</t>
  </si>
  <si>
    <t>neeldeep@users.noreply.github.com</t>
  </si>
  <si>
    <t>neeldeep</t>
  </si>
  <si>
    <t>neil.kistner@gmail.com</t>
  </si>
  <si>
    <t>neil.kistner</t>
  </si>
  <si>
    <t>neonmd@hotmail.co.uk</t>
  </si>
  <si>
    <t>neonmd</t>
  </si>
  <si>
    <t>nerdforlife@gmail.com</t>
  </si>
  <si>
    <t>nerdforlife</t>
  </si>
  <si>
    <t>newdongyuwei@gmail.com</t>
  </si>
  <si>
    <t>newdongyuwei</t>
  </si>
  <si>
    <t>nhardy@users.noreply.github.com</t>
  </si>
  <si>
    <t>nhardy</t>
  </si>
  <si>
    <t>nhducit@users.noreply.github.com</t>
  </si>
  <si>
    <t>nhducit</t>
  </si>
  <si>
    <t>nick@nickpresta.ca</t>
  </si>
  <si>
    <t>nick@lemurheavy.com</t>
  </si>
  <si>
    <t>nick.plekhanov@gmail.com</t>
  </si>
  <si>
    <t>nick.plekhanov</t>
  </si>
  <si>
    <t>nickbalestra@users.noreply.github.com</t>
  </si>
  <si>
    <t>nickbalestra</t>
  </si>
  <si>
    <t>nickclaw@users.noreply.github.com</t>
  </si>
  <si>
    <t>nickclaw</t>
  </si>
  <si>
    <t>niconico.clarinet@gmail.com</t>
  </si>
  <si>
    <t>niconico.clarinet</t>
  </si>
  <si>
    <t>nicosommi@gmail.com</t>
  </si>
  <si>
    <t>nicosommi</t>
  </si>
  <si>
    <t>niexq@firstgrid.cn</t>
  </si>
  <si>
    <t>niexq</t>
  </si>
  <si>
    <t>niolenelson@gmail.com</t>
  </si>
  <si>
    <t>niolenelson</t>
  </si>
  <si>
    <t>nishantpatel611@gmail.com</t>
  </si>
  <si>
    <t>nishantpatel611</t>
  </si>
  <si>
    <t>nmn@users.noreply.github.com</t>
  </si>
  <si>
    <t>nmn</t>
  </si>
  <si>
    <t>noel@chequer.io</t>
  </si>
  <si>
    <t>noel</t>
  </si>
  <si>
    <t>noginsk@rambler.ru</t>
  </si>
  <si>
    <t>noginsk</t>
  </si>
  <si>
    <t>NogsMPLS@users.noreply.github.com</t>
  </si>
  <si>
    <t>NogsMPLS</t>
  </si>
  <si>
    <t>nolan@nolanlawson.com</t>
  </si>
  <si>
    <t>nolan</t>
  </si>
  <si>
    <t>nstraub@users.noreply.github.com</t>
  </si>
  <si>
    <t>nstraub</t>
  </si>
  <si>
    <t>oblivious@subtlegradient.com</t>
  </si>
  <si>
    <t>oblivious</t>
  </si>
  <si>
    <t>ochanje210@gmail.com</t>
  </si>
  <si>
    <t>ochanje210</t>
  </si>
  <si>
    <t>ogom@outlook.com</t>
  </si>
  <si>
    <t>ogom</t>
  </si>
  <si>
    <t>ohrst.18@gmail.com</t>
  </si>
  <si>
    <t>ohrst.18</t>
  </si>
  <si>
    <t>ojhaujjwal@users.noreply.github.com</t>
  </si>
  <si>
    <t>ojhaujjwal</t>
  </si>
  <si>
    <t>okmttdhr@users.noreply.github.com</t>
  </si>
  <si>
    <t>okmttdhr</t>
  </si>
  <si>
    <t>okonet@users.noreply.github.com</t>
  </si>
  <si>
    <t>okonet</t>
  </si>
  <si>
    <t>olexiy.markhovsky@gmail.com</t>
  </si>
  <si>
    <t>olexiy.markhovsky</t>
  </si>
  <si>
    <t>Olivier.tassinari@gmail.com</t>
  </si>
  <si>
    <t>Olivier.tassinari</t>
  </si>
  <si>
    <t>omidfi@users.noreply.github.com</t>
  </si>
  <si>
    <t>omidfi</t>
  </si>
  <si>
    <t>Ondrysak@gmail.com</t>
  </si>
  <si>
    <t>Ondrysak</t>
  </si>
  <si>
    <t>onecloud.shen@gmail.com</t>
  </si>
  <si>
    <t>onecloud.shen</t>
  </si>
  <si>
    <t>onionymous@users.noreply.github.com</t>
  </si>
  <si>
    <t>onionymous</t>
  </si>
  <si>
    <t>oooalexoooo@gmail.com</t>
  </si>
  <si>
    <t>oooalexoooo</t>
  </si>
  <si>
    <t>OriR@users.noreply.github.com</t>
  </si>
  <si>
    <t>OriR</t>
  </si>
  <si>
    <t>oscar-b@users.noreply.github.com</t>
  </si>
  <si>
    <t>oscar-b</t>
  </si>
  <si>
    <t>osku.mantere@gmail.com</t>
  </si>
  <si>
    <t>osku.mantere</t>
  </si>
  <si>
    <t>otakustay@gmail.com</t>
  </si>
  <si>
    <t>otakustay</t>
  </si>
  <si>
    <t>owen@ohseemedia.com</t>
  </si>
  <si>
    <t>owen</t>
  </si>
  <si>
    <t>owiatsq@sina.cn</t>
  </si>
  <si>
    <t>owiatsq</t>
  </si>
  <si>
    <t>p.fongkye@lectra.com</t>
  </si>
  <si>
    <t>p.fongkye</t>
  </si>
  <si>
    <t>Lectra</t>
  </si>
  <si>
    <t>patrick@laughl.info</t>
  </si>
  <si>
    <t>patrick</t>
  </si>
  <si>
    <t>patrick.k.finnigan@gmail.com</t>
  </si>
  <si>
    <t>patrick.k.finnigan</t>
  </si>
  <si>
    <t>paul.l.kehrer@gmail.com</t>
  </si>
  <si>
    <t>paul.l.kehrer</t>
  </si>
  <si>
    <t>paulmanta@users.noreply.github.com</t>
  </si>
  <si>
    <t>paulmanta</t>
  </si>
  <si>
    <t>paulomoacir.junior@gmail.com</t>
  </si>
  <si>
    <t>paulomoacir.junior</t>
  </si>
  <si>
    <t>paulshen@fb.com</t>
  </si>
  <si>
    <t>paulshen</t>
  </si>
  <si>
    <t>paulshen0@gmail.com</t>
  </si>
  <si>
    <t>paulshen0</t>
  </si>
  <si>
    <t>pavlin99th@me.com</t>
  </si>
  <si>
    <t>pavlin99th</t>
  </si>
  <si>
    <t>pdiaz@devpda.me</t>
  </si>
  <si>
    <t>pdiaz</t>
  </si>
  <si>
    <t>pedrottimark@gmail.com</t>
  </si>
  <si>
    <t>pedrottimark</t>
  </si>
  <si>
    <t>pelle@kodfabrik.se</t>
  </si>
  <si>
    <t>pelle</t>
  </si>
  <si>
    <t>pencilartassault@hotmail.com</t>
  </si>
  <si>
    <t>pencilartassault</t>
  </si>
  <si>
    <t>pengsencai1986@gmail.com</t>
  </si>
  <si>
    <t>pengsencai1986</t>
  </si>
  <si>
    <t>persson.jonathan@gmail.com</t>
  </si>
  <si>
    <t>persson.jonathan</t>
  </si>
  <si>
    <t>pete@screen.io</t>
  </si>
  <si>
    <t>Screen</t>
  </si>
  <si>
    <t>peter@realityforge.org</t>
  </si>
  <si>
    <t>peter.a.jaros@gmail.com</t>
  </si>
  <si>
    <t>peter.a.jaros</t>
  </si>
  <si>
    <t>peter.newnham@appsbroker.com</t>
  </si>
  <si>
    <t>peter.newnham</t>
  </si>
  <si>
    <t>petri@digip.org</t>
  </si>
  <si>
    <t>petri</t>
  </si>
  <si>
    <t>petri.lievonen@tkk.fi</t>
  </si>
  <si>
    <t>petri.lievonen</t>
  </si>
  <si>
    <t>pfongkye@yahoo.com</t>
  </si>
  <si>
    <t>pfongkye</t>
  </si>
  <si>
    <t>philquinn90@gmail.com</t>
  </si>
  <si>
    <t>philquinn90</t>
  </si>
  <si>
    <t>phunt@instagram.com</t>
  </si>
  <si>
    <t>phunt</t>
  </si>
  <si>
    <t>pien@pien-mbp.dhcp.thefacebook.com</t>
  </si>
  <si>
    <t>pien</t>
  </si>
  <si>
    <t>pien@pien-mbp.local</t>
  </si>
  <si>
    <t>pipio1994@gmail.com</t>
  </si>
  <si>
    <t>pipio1994</t>
  </si>
  <si>
    <t>p-jackson@live.com</t>
  </si>
  <si>
    <t>p-jackson</t>
  </si>
  <si>
    <t>plaztiksyke@gmail.com</t>
  </si>
  <si>
    <t>plaztiksyke</t>
  </si>
  <si>
    <t>pleun.vdb@gmail.com</t>
  </si>
  <si>
    <t>pleun.vdb</t>
  </si>
  <si>
    <t>Plortinus@gmail.com</t>
  </si>
  <si>
    <t>Plortinus</t>
  </si>
  <si>
    <t>pmaccart@gmail.com</t>
  </si>
  <si>
    <t>pmaccart</t>
  </si>
  <si>
    <t>polvara@gmail.com</t>
  </si>
  <si>
    <t>polvara</t>
  </si>
  <si>
    <t>ponomarenko.bogdan@yandex.ru</t>
  </si>
  <si>
    <t>ponomarenko.bogdan</t>
  </si>
  <si>
    <t>pribylsnbits@gmail.com</t>
  </si>
  <si>
    <t>pribylsnbits</t>
  </si>
  <si>
    <t>probablyup@gmail.com</t>
  </si>
  <si>
    <t>probablyup</t>
  </si>
  <si>
    <t>ps347277@students.mimuw.edu.pl</t>
  </si>
  <si>
    <t>ps347277</t>
  </si>
  <si>
    <t>psibi2000@gmail.com</t>
  </si>
  <si>
    <t>psibi2000</t>
  </si>
  <si>
    <t>puppybytes@gmail.com</t>
  </si>
  <si>
    <t>puppybytes</t>
  </si>
  <si>
    <t>pyapar@gmail.com</t>
  </si>
  <si>
    <t>pyapar</t>
  </si>
  <si>
    <t>pyitphyoaung@users.noreply.github.com</t>
  </si>
  <si>
    <t>pyitphyoaung</t>
  </si>
  <si>
    <t>qq3884qq@naver.com</t>
  </si>
  <si>
    <t>qq3884qq</t>
  </si>
  <si>
    <t>qvang.j@gmail.com</t>
  </si>
  <si>
    <t>qvang.j</t>
  </si>
  <si>
    <t>r.m.hartog@hotmail.com</t>
  </si>
  <si>
    <t>r.m.hartog</t>
  </si>
  <si>
    <t>Radi123@users.noreply.github.com</t>
  </si>
  <si>
    <t>Radi123</t>
  </si>
  <si>
    <t>raduamarie@gmail.com</t>
  </si>
  <si>
    <t>raduamarie</t>
  </si>
  <si>
    <t>rafael.garcia@clever.com</t>
  </si>
  <si>
    <t>rafael.garcia</t>
  </si>
  <si>
    <t>rahulgupta4@practo.com</t>
  </si>
  <si>
    <t>rahulgupta4</t>
  </si>
  <si>
    <t>Practo</t>
  </si>
  <si>
    <t>raineroviir@rainers-MacBook-Pro.local</t>
  </si>
  <si>
    <t>raineroviir</t>
  </si>
  <si>
    <t>rajatsehgal1988@gmail.com</t>
  </si>
  <si>
    <t>rajatsehgal1988</t>
  </si>
  <si>
    <t>rajivtreddy@gmail.com</t>
  </si>
  <si>
    <t>rajivtreddy</t>
  </si>
  <si>
    <t>ramon.chancay@gmail.com</t>
  </si>
  <si>
    <t>ramon.chancay</t>
  </si>
  <si>
    <t>randall@randallsquared.com</t>
  </si>
  <si>
    <t>randall</t>
  </si>
  <si>
    <t>Rastopyr@gmail.com</t>
  </si>
  <si>
    <t>Rastopyr</t>
  </si>
  <si>
    <t>raymond@shraymonks.com</t>
  </si>
  <si>
    <t>raymond</t>
  </si>
  <si>
    <t>rdworth@gmail.com</t>
  </si>
  <si>
    <t>rdworth</t>
  </si>
  <si>
    <t>realchaseadams@gmail.com</t>
  </si>
  <si>
    <t>realchaseadams</t>
  </si>
  <si>
    <t>redmond.tran@gmail.com</t>
  </si>
  <si>
    <t>redmond.tran</t>
  </si>
  <si>
    <t>reed@reedloden.com</t>
  </si>
  <si>
    <t>reed</t>
  </si>
  <si>
    <t>renan.lifestyle@hotmail.com</t>
  </si>
  <si>
    <t>renan.lifestyle</t>
  </si>
  <si>
    <t>renaudeau.gaetan@gmail.com</t>
  </si>
  <si>
    <t>renaudeau.gaetan</t>
  </si>
  <si>
    <t>rev.hikari@gmail.com</t>
  </si>
  <si>
    <t>rev.hikari</t>
  </si>
  <si>
    <t>rexxars@gmail.com</t>
  </si>
  <si>
    <t>rexxars</t>
  </si>
  <si>
    <t>rgbkrk@gmail.com</t>
  </si>
  <si>
    <t>rgbkrk</t>
  </si>
  <si>
    <t>rhagigi@gmail.com</t>
  </si>
  <si>
    <t>rhagigi</t>
  </si>
  <si>
    <t>rhmoller@gmail.com</t>
  </si>
  <si>
    <t>rhmoller</t>
  </si>
  <si>
    <t>richard.a.harris@gmail.com</t>
  </si>
  <si>
    <t>richard.a.harris</t>
  </si>
  <si>
    <t>rickfordrick@gmail.com</t>
  </si>
  <si>
    <t>rickfordrick</t>
  </si>
  <si>
    <t>ridaim@yandex.ru</t>
  </si>
  <si>
    <t>ridaim</t>
  </si>
  <si>
    <t>rigdern@users.noreply.github.com</t>
  </si>
  <si>
    <t>rigdern</t>
  </si>
  <si>
    <t>rileyjshaw@users.noreply.github.com</t>
  </si>
  <si>
    <t>rileyjshaw</t>
  </si>
  <si>
    <t>rimildeyjsr@gmail.com</t>
  </si>
  <si>
    <t>rimildeyjsr</t>
  </si>
  <si>
    <t>ringarifullin@gmail.com</t>
  </si>
  <si>
    <t>ringarifullin</t>
  </si>
  <si>
    <t>riscarrott@googlemail.com</t>
  </si>
  <si>
    <t>riscarrott</t>
  </si>
  <si>
    <t>rnarkkx@gmail.com</t>
  </si>
  <si>
    <t>rnarkkx</t>
  </si>
  <si>
    <t>rob.kielty@gmail.com</t>
  </si>
  <si>
    <t>rob.kielty</t>
  </si>
  <si>
    <t>robandpdx@github.com</t>
  </si>
  <si>
    <t>robandpdx</t>
  </si>
  <si>
    <t>robarnold@cs.cmu.edu</t>
  </si>
  <si>
    <t>robarnold</t>
  </si>
  <si>
    <t>robert.balicki@gmail.com</t>
  </si>
  <si>
    <t>robert.balicki</t>
  </si>
  <si>
    <t>robert.sedovsek@gmail.com</t>
  </si>
  <si>
    <t>robert.sedovsek</t>
  </si>
  <si>
    <t>robertknight@gmail.com</t>
  </si>
  <si>
    <t>robertknight</t>
  </si>
  <si>
    <t>RobiFerentz@gmail.com</t>
  </si>
  <si>
    <t>RobiFerentz</t>
  </si>
  <si>
    <t>rodrigobdz@users.noreply.github.com</t>
  </si>
  <si>
    <t>rodrigobdz</t>
  </si>
  <si>
    <t>rodriguinho@jusbrasil.com.br</t>
  </si>
  <si>
    <t>rodriguinho</t>
  </si>
  <si>
    <t>rohan@objectiveiq.com</t>
  </si>
  <si>
    <t>rohan</t>
  </si>
  <si>
    <t>rohithroxtar@gmail.com</t>
  </si>
  <si>
    <t>rohithroxtar</t>
  </si>
  <si>
    <t>roman.vanesyan@gmail.com</t>
  </si>
  <si>
    <t>roman.vanesyan</t>
  </si>
  <si>
    <t>roman01la@romanliutikov.com</t>
  </si>
  <si>
    <t>roman01la</t>
  </si>
  <si>
    <t>romellogood@gmail.com</t>
  </si>
  <si>
    <t>romellogood</t>
  </si>
  <si>
    <t>romgrk@users.noreply.github.com</t>
  </si>
  <si>
    <t>romgrk</t>
  </si>
  <si>
    <t>rota.andrew@gmail.com</t>
  </si>
  <si>
    <t>rota.andrew</t>
  </si>
  <si>
    <t>rpflorence@gmail.com</t>
  </si>
  <si>
    <t>rpflorence</t>
  </si>
  <si>
    <t>rpominov+github@gmail.com</t>
  </si>
  <si>
    <t>rpominov+github</t>
  </si>
  <si>
    <t>rreusser@users.noreply.github.com</t>
  </si>
  <si>
    <t>rreusser</t>
  </si>
  <si>
    <t>rreverser@ubuntu.rreverser.a4.internal.cloudapp.net</t>
  </si>
  <si>
    <t>rreverser</t>
  </si>
  <si>
    <t>rubennorte@fb.com</t>
  </si>
  <si>
    <t>rubennorte@gmail.com</t>
  </si>
  <si>
    <t>ruibalp@gmail.com</t>
  </si>
  <si>
    <t>ruibalp</t>
  </si>
  <si>
    <t>ruka.araujo@gmail.com</t>
  </si>
  <si>
    <t>ruka.araujo</t>
  </si>
  <si>
    <t>ruphin@ruphin.net</t>
  </si>
  <si>
    <t>ruphin</t>
  </si>
  <si>
    <t>russwirtz@gmail.com</t>
  </si>
  <si>
    <t>russwirtz</t>
  </si>
  <si>
    <t>ruud@crashdummy.nl</t>
  </si>
  <si>
    <t>ruud</t>
  </si>
  <si>
    <t>saakyz@gmail.com</t>
  </si>
  <si>
    <t>saakyz</t>
  </si>
  <si>
    <t>saber2pr@gmail.com</t>
  </si>
  <si>
    <t>saber2pr</t>
  </si>
  <si>
    <t>sachdev.hemakshi@gmail.com</t>
  </si>
  <si>
    <t>sachdev.hemakshi</t>
  </si>
  <si>
    <t>sacret@nm.ru</t>
  </si>
  <si>
    <t>sacret</t>
  </si>
  <si>
    <t>saif@benchling.com</t>
  </si>
  <si>
    <t>saif</t>
  </si>
  <si>
    <t>saiichihashimoto@gmail.com</t>
  </si>
  <si>
    <t>saiichihashimoto</t>
  </si>
  <si>
    <t>sairly@126.com</t>
  </si>
  <si>
    <t>sairly</t>
  </si>
  <si>
    <t>saiyagg@gmail.com</t>
  </si>
  <si>
    <t>saiyagg</t>
  </si>
  <si>
    <t>sakhat@gmail.com</t>
  </si>
  <si>
    <t>sakhat</t>
  </si>
  <si>
    <t>sakinac@gmail.com</t>
  </si>
  <si>
    <t>sakinac</t>
  </si>
  <si>
    <t>sam@developersam.com</t>
  </si>
  <si>
    <t>sam</t>
  </si>
  <si>
    <t>sam@sammarks.me</t>
  </si>
  <si>
    <t>samccone@gmail.com</t>
  </si>
  <si>
    <t>samccone</t>
  </si>
  <si>
    <t>samerbuna@users.noreply.github.com</t>
  </si>
  <si>
    <t>samerbuna</t>
  </si>
  <si>
    <t>samsch@users.noreply.github.com</t>
  </si>
  <si>
    <t>samsch</t>
  </si>
  <si>
    <t>samuel.hapak@gmail.com</t>
  </si>
  <si>
    <t>samuel.hapak</t>
  </si>
  <si>
    <t>samwgoldman@gmail.com</t>
  </si>
  <si>
    <t>samwgoldman</t>
  </si>
  <si>
    <t>samy@sadeem.net</t>
  </si>
  <si>
    <t>samy</t>
  </si>
  <si>
    <t>samyalzahrany@gmail.com</t>
  </si>
  <si>
    <t>samyalzahrany</t>
  </si>
  <si>
    <t>sandermail@gmail.com</t>
  </si>
  <si>
    <t>sandermail</t>
  </si>
  <si>
    <t>saneyuki.s.snyk@gmail.com</t>
  </si>
  <si>
    <t>saneyuki.s.snyk</t>
  </si>
  <si>
    <t>santosh.venk@gmail.com</t>
  </si>
  <si>
    <t>santosh.venk</t>
  </si>
  <si>
    <t>sassanh@gmail.com</t>
  </si>
  <si>
    <t>sassanh</t>
  </si>
  <si>
    <t>satoshi.nakajima@gmail.com</t>
  </si>
  <si>
    <t>satoshi.nakajima</t>
  </si>
  <si>
    <t>savy.mathieu@gmail.com</t>
  </si>
  <si>
    <t>savy.mathieu</t>
  </si>
  <si>
    <t>schmeling88@gmail.com</t>
  </si>
  <si>
    <t>schmeling88</t>
  </si>
  <si>
    <t>scjody@modernduck.com</t>
  </si>
  <si>
    <t>scjody</t>
  </si>
  <si>
    <t>scottdomes@gmail.com</t>
  </si>
  <si>
    <t>scottdomes</t>
  </si>
  <si>
    <t>sean.gransee@gmail.com</t>
  </si>
  <si>
    <t>sean.gransee</t>
  </si>
  <si>
    <t>sean.smith.2009@gmail.com</t>
  </si>
  <si>
    <t>sean.smith.2009</t>
  </si>
  <si>
    <t>sean9keenan@gmail.com</t>
  </si>
  <si>
    <t>sean9keenan</t>
  </si>
  <si>
    <t>seddon.ryan@gmail.com</t>
  </si>
  <si>
    <t>seddon.ryan</t>
  </si>
  <si>
    <t>segmentationfaulter@users.noreply.github.com</t>
  </si>
  <si>
    <t>segmentationfaulter</t>
  </si>
  <si>
    <t>selbekk@users.noreply.github.com</t>
  </si>
  <si>
    <t>selbekk</t>
  </si>
  <si>
    <t>selfmadecelo@gmail.com</t>
  </si>
  <si>
    <t>selfmadecelo</t>
  </si>
  <si>
    <t>seraphipod@gmail.com</t>
  </si>
  <si>
    <t>seraphipod</t>
  </si>
  <si>
    <t>seratch@gmail.com</t>
  </si>
  <si>
    <t>seratch</t>
  </si>
  <si>
    <t>sercan.eraslan@sahibinden.com</t>
  </si>
  <si>
    <t>sercan.eraslan</t>
  </si>
  <si>
    <t>sergey@genbit.ru</t>
  </si>
  <si>
    <t>sergey</t>
  </si>
  <si>
    <t>sethwebster@gmail.com</t>
  </si>
  <si>
    <t>sethwebster</t>
  </si>
  <si>
    <t>sevenflash@yandex.ru</t>
  </si>
  <si>
    <t>sevenflash</t>
  </si>
  <si>
    <t>sfrieson@gmail.com</t>
  </si>
  <si>
    <t>sfrieson</t>
  </si>
  <si>
    <t>shahor@shahor.fr</t>
  </si>
  <si>
    <t>shahor</t>
  </si>
  <si>
    <t>shaun.trennery@gmail.com</t>
  </si>
  <si>
    <t>shaun.trennery</t>
  </si>
  <si>
    <t>sheerun@sher.pl</t>
  </si>
  <si>
    <t>sheerun</t>
  </si>
  <si>
    <t>shemyakin@me.com</t>
  </si>
  <si>
    <t>shemyakin</t>
  </si>
  <si>
    <t>shergin@fb.com</t>
  </si>
  <si>
    <t>shergin</t>
  </si>
  <si>
    <t>shibusawa@basicinc.jp</t>
  </si>
  <si>
    <t>shibusawa</t>
  </si>
  <si>
    <t>shifengchen10@gmail.com</t>
  </si>
  <si>
    <t>shifengchen10</t>
  </si>
  <si>
    <t>shijianyue47@gmail.com</t>
  </si>
  <si>
    <t>shijianyue47</t>
  </si>
  <si>
    <t>shinsugar@gmail.com</t>
  </si>
  <si>
    <t>shinsugar</t>
  </si>
  <si>
    <t>shivam.sandbhor@gmail.com</t>
  </si>
  <si>
    <t>shivam.sandbhor</t>
  </si>
  <si>
    <t>shubham9411@gmail.com</t>
  </si>
  <si>
    <t>shubham9411</t>
  </si>
  <si>
    <t>shuhei.kagawa@gmail.com</t>
  </si>
  <si>
    <t>shuhei.kagawa</t>
  </si>
  <si>
    <t>sihaelov@gmail.com</t>
  </si>
  <si>
    <t>sihaelov</t>
  </si>
  <si>
    <t>silvestrijonathan@gmail.com</t>
  </si>
  <si>
    <t>silvestrijonathan</t>
  </si>
  <si>
    <t>simeon.zhidenko@gmail.com</t>
  </si>
  <si>
    <t>simeon.zhidenko</t>
  </si>
  <si>
    <t>simon@simon.geek.nz</t>
  </si>
  <si>
    <t>singhsanket143@gmail.com</t>
  </si>
  <si>
    <t>singhsanket143</t>
  </si>
  <si>
    <t>sjsyrek@users.noreply.github.com</t>
  </si>
  <si>
    <t>sjsyrek</t>
  </si>
  <si>
    <t>skasski@gmx.at</t>
  </si>
  <si>
    <t>skasski</t>
  </si>
  <si>
    <t>skinner@destiny-denied.co.uk</t>
  </si>
  <si>
    <t>skinner</t>
  </si>
  <si>
    <t>Skovy@users.noreply.github.com</t>
  </si>
  <si>
    <t>Skovy</t>
  </si>
  <si>
    <t>skvale@widen.com</t>
  </si>
  <si>
    <t>skvale</t>
  </si>
  <si>
    <t>slel64222@gmail.com</t>
  </si>
  <si>
    <t>slel64222</t>
  </si>
  <si>
    <t>smadad@me.com</t>
  </si>
  <si>
    <t>smadad</t>
  </si>
  <si>
    <t>smhfanda@gmail.com</t>
  </si>
  <si>
    <t>smhfanda</t>
  </si>
  <si>
    <t>smurphy3@apple.com</t>
  </si>
  <si>
    <t>smurphy3</t>
  </si>
  <si>
    <t>Apple</t>
  </si>
  <si>
    <t>socialtr@gmail.com</t>
  </si>
  <si>
    <t>socialtr</t>
  </si>
  <si>
    <t>sophia@quip.com</t>
  </si>
  <si>
    <t>sophia</t>
  </si>
  <si>
    <t>speedskater@users.noreply.github.com</t>
  </si>
  <si>
    <t>speedskater</t>
  </si>
  <si>
    <t>spen_@hotmail.co.uk</t>
  </si>
  <si>
    <t>spen_</t>
  </si>
  <si>
    <t>spencerhandley@gmail.com</t>
  </si>
  <si>
    <t>spencerhandley</t>
  </si>
  <si>
    <t>springuper@gmail.com</t>
  </si>
  <si>
    <t>springuper</t>
  </si>
  <si>
    <t>spudly@users.noreply.github.com</t>
  </si>
  <si>
    <t>spudly</t>
  </si>
  <si>
    <t>spyrosikmd@gmail.com</t>
  </si>
  <si>
    <t>spyrosikmd</t>
  </si>
  <si>
    <t>sr33ch4@yahoo.com</t>
  </si>
  <si>
    <t>sr33ch4</t>
  </si>
  <si>
    <t>ssharishkumar@gmail.com</t>
  </si>
  <si>
    <t>ssharishkumar</t>
  </si>
  <si>
    <t>ssttoo@ymail.com</t>
  </si>
  <si>
    <t>ssttoo</t>
  </si>
  <si>
    <t>Stephie@users.noreply.github.com</t>
  </si>
  <si>
    <t>Stephie</t>
  </si>
  <si>
    <t>sterlingcobb@gmail.com</t>
  </si>
  <si>
    <t>sterlingcobb</t>
  </si>
  <si>
    <t>steve.harrison.me@me.com</t>
  </si>
  <si>
    <t>steve.harrison.me</t>
  </si>
  <si>
    <t>steveluscher@fb.com</t>
  </si>
  <si>
    <t>steveluscher@users.noreply.github.com</t>
  </si>
  <si>
    <t>stolen.kid7@gmail.com</t>
  </si>
  <si>
    <t>stolen.kid7</t>
  </si>
  <si>
    <t>stonesun@aliyun.com</t>
  </si>
  <si>
    <t>stonesun</t>
  </si>
  <si>
    <t>stonexer@users.noreply.github.com</t>
  </si>
  <si>
    <t>stonexer</t>
  </si>
  <si>
    <t>stormchica@gmail.com</t>
  </si>
  <si>
    <t>stormchica</t>
  </si>
  <si>
    <t>strahek@gmail.com</t>
  </si>
  <si>
    <t>strahek</t>
  </si>
  <si>
    <t>strawbrary@users.noreply.github.com</t>
  </si>
  <si>
    <t>strawbrary</t>
  </si>
  <si>
    <t>stuart.harris@red-badger.com</t>
  </si>
  <si>
    <t>stuart.harris</t>
  </si>
  <si>
    <t>subliminal@gmail.com</t>
  </si>
  <si>
    <t>subliminal</t>
  </si>
  <si>
    <t>sungmkim80@gmail.com</t>
  </si>
  <si>
    <t>sungmkim80</t>
  </si>
  <si>
    <t>sunmark14@gmail.com</t>
  </si>
  <si>
    <t>sunmark14</t>
  </si>
  <si>
    <t>sunny@sunfox.org</t>
  </si>
  <si>
    <t>sunny</t>
  </si>
  <si>
    <t>sunqijun1523@gmail.com</t>
  </si>
  <si>
    <t>sunqijun1523</t>
  </si>
  <si>
    <t>support@paralleldrive.com</t>
  </si>
  <si>
    <t>support</t>
  </si>
  <si>
    <t>surgeboris@gmail.com</t>
  </si>
  <si>
    <t>surgeboris</t>
  </si>
  <si>
    <t>susiwen8@gmail.com</t>
  </si>
  <si>
    <t>susiwen8</t>
  </si>
  <si>
    <t>swaroop.striker@gmail.com</t>
  </si>
  <si>
    <t>swaroop.striker</t>
  </si>
  <si>
    <t>syedusmanajmal@gmail.com</t>
  </si>
  <si>
    <t>syedusmanajmal</t>
  </si>
  <si>
    <t>szensius@gmail.com</t>
  </si>
  <si>
    <t>szensius</t>
  </si>
  <si>
    <t>t.broyer@ltgt.net</t>
  </si>
  <si>
    <t>t.broyer</t>
  </si>
  <si>
    <t>t.roggla@cwi.nl</t>
  </si>
  <si>
    <t>t.roggla</t>
  </si>
  <si>
    <t>t73liu@gmail.com</t>
  </si>
  <si>
    <t>t73liu</t>
  </si>
  <si>
    <t>tag+github@basecode.de</t>
  </si>
  <si>
    <t>tag+github</t>
  </si>
  <si>
    <t>taing.vincent@gmail.com</t>
  </si>
  <si>
    <t>taing.vincent</t>
  </si>
  <si>
    <t>tank158r5155@yahoo.com.tw</t>
  </si>
  <si>
    <t>tank158r5155</t>
  </si>
  <si>
    <t>technicalcute@gmail.com</t>
  </si>
  <si>
    <t>technicalcute</t>
  </si>
  <si>
    <t>TedPowers@users.noreply.github.com</t>
  </si>
  <si>
    <t>TedPowers</t>
  </si>
  <si>
    <t>tetsuya.chicago@gmail.com</t>
  </si>
  <si>
    <t>tetsuya.chicago</t>
  </si>
  <si>
    <t>tfguo369@gmail.com</t>
  </si>
  <si>
    <t>tfguo369</t>
  </si>
  <si>
    <t>thaddeusjiang@gmail.com</t>
  </si>
  <si>
    <t>thaddeusjiang</t>
  </si>
  <si>
    <t>thaggie@gmail.com</t>
  </si>
  <si>
    <t>thaggie</t>
  </si>
  <si>
    <t>thauburger@gmail.com</t>
  </si>
  <si>
    <t>thauburger</t>
  </si>
  <si>
    <t>thedekel@fb.com</t>
  </si>
  <si>
    <t>thedekel</t>
  </si>
  <si>
    <t>theron17@gmail.com</t>
  </si>
  <si>
    <t>theron17</t>
  </si>
  <si>
    <t>theseyi@users.noreply.github.com</t>
  </si>
  <si>
    <t>theseyi</t>
  </si>
  <si>
    <t>thiagopaiva99@gmail.com</t>
  </si>
  <si>
    <t>thiagopaiva99</t>
  </si>
  <si>
    <t>thibault.malbranche@epitech.eu</t>
  </si>
  <si>
    <t>thibault.malbranche</t>
  </si>
  <si>
    <t>thisguychris@users.noreply.github.com</t>
  </si>
  <si>
    <t>thisguychris</t>
  </si>
  <si>
    <t>thomas.boyt@venmo.com</t>
  </si>
  <si>
    <t>thomas.boyt</t>
  </si>
  <si>
    <t>thomasjshafer@gmail.com</t>
  </si>
  <si>
    <t>thomasjshafer</t>
  </si>
  <si>
    <t>thorn.mailbox@gmail.com</t>
  </si>
  <si>
    <t>thorn.mailbox</t>
  </si>
  <si>
    <t>thtg88@users.noreply.github.com</t>
  </si>
  <si>
    <t>thtg88</t>
  </si>
  <si>
    <t>thung@me.com</t>
  </si>
  <si>
    <t>thung</t>
  </si>
  <si>
    <t>tiago.fernandez@gmail.com</t>
  </si>
  <si>
    <t>tiago.fernandez</t>
  </si>
  <si>
    <t>tiagosbnunes@gmail.com</t>
  </si>
  <si>
    <t>tiagosbnunes</t>
  </si>
  <si>
    <t>tienchai@fb.com</t>
  </si>
  <si>
    <t>tienchai</t>
  </si>
  <si>
    <t>timuric@users.noreply.github.com</t>
  </si>
  <si>
    <t>timuric</t>
  </si>
  <si>
    <t>tjallingt@gmail.com</t>
  </si>
  <si>
    <t>tjallingt</t>
  </si>
  <si>
    <t>tjfryan@fb.com</t>
  </si>
  <si>
    <t>tjfryan</t>
  </si>
  <si>
    <t>tmysz.dev@gmail.com</t>
  </si>
  <si>
    <t>tmysz.dev</t>
  </si>
  <si>
    <t>tobias.koppers@googlemail.com</t>
  </si>
  <si>
    <t>tobias.koppers</t>
  </si>
  <si>
    <t>tom@tomm.cc</t>
  </si>
  <si>
    <t>tom@tomduncalf.com</t>
  </si>
  <si>
    <t>tom@macwright.org</t>
  </si>
  <si>
    <t>tom.gasson@arup.com</t>
  </si>
  <si>
    <t>tom.gasson</t>
  </si>
  <si>
    <t>tomquirkacc@gmail.com</t>
  </si>
  <si>
    <t>tomquirkacc</t>
  </si>
  <si>
    <t>tony@iamrossi.com</t>
  </si>
  <si>
    <t>tony</t>
  </si>
  <si>
    <t>tophil@outlook.com</t>
  </si>
  <si>
    <t>tophil</t>
  </si>
  <si>
    <t>tornjanski.veljko@gmail.com</t>
  </si>
  <si>
    <t>tornjanski.veljko</t>
  </si>
  <si>
    <t>trinhhoangnhu@gmail.com</t>
  </si>
  <si>
    <t>trinhhoangnhu</t>
  </si>
  <si>
    <t>truongduy134@yahoo.com</t>
  </si>
  <si>
    <t>truongduy134</t>
  </si>
  <si>
    <t>TryingToImprove@users.noreply.github.com</t>
  </si>
  <si>
    <t>TryingToImprove</t>
  </si>
  <si>
    <t>trysound@yandex.ru</t>
  </si>
  <si>
    <t>trysound</t>
  </si>
  <si>
    <t>tschaub@users.noreply.github.com</t>
  </si>
  <si>
    <t>tschaub</t>
  </si>
  <si>
    <t>tsirlucas@gmail.com</t>
  </si>
  <si>
    <t>tsirlucas</t>
  </si>
  <si>
    <t>tspiro@tonyspiro.com</t>
  </si>
  <si>
    <t>tspiro</t>
  </si>
  <si>
    <t>turner.cole@gmail.com</t>
  </si>
  <si>
    <t>turner.cole</t>
  </si>
  <si>
    <t>tyler@buchea.com</t>
  </si>
  <si>
    <t>tyler.brock@gmail.com</t>
  </si>
  <si>
    <t>tyler.brock</t>
  </si>
  <si>
    <t>tylerdeitz@gmail.com</t>
  </si>
  <si>
    <t>tylerdeitz</t>
  </si>
  <si>
    <t>uladzimir@toptal.com</t>
  </si>
  <si>
    <t>uladzimir</t>
  </si>
  <si>
    <t>ultrafez@users.noreply.github.com</t>
  </si>
  <si>
    <t>ultrafez</t>
  </si>
  <si>
    <t>undrdog@yandex.ru</t>
  </si>
  <si>
    <t>undrdog</t>
  </si>
  <si>
    <t>urunsiyabend@gmail.com</t>
  </si>
  <si>
    <t>urunsiyabend</t>
  </si>
  <si>
    <t>usaman2010us@gmail.com</t>
  </si>
  <si>
    <t>usaman2010us</t>
  </si>
  <si>
    <t>ustin.zarubin@campusbellhops.com</t>
  </si>
  <si>
    <t>ustin.zarubin</t>
  </si>
  <si>
    <t>utkarshkukreti@gmail.com</t>
  </si>
  <si>
    <t>utkarshkukreti</t>
  </si>
  <si>
    <t>uzeyirmertciflikli@gmail.com</t>
  </si>
  <si>
    <t>uzeyirmertciflikli</t>
  </si>
  <si>
    <t>valentin@shergin.com</t>
  </si>
  <si>
    <t>valentin</t>
  </si>
  <si>
    <t>varunbhuvanendran@users.noreply.github.com</t>
  </si>
  <si>
    <t>varunbhuvanendran</t>
  </si>
  <si>
    <t>varunrau@gmail.com</t>
  </si>
  <si>
    <t>varunrau</t>
  </si>
  <si>
    <t>vasiliicuhar@fastmail.com</t>
  </si>
  <si>
    <t>vasiliicuhar</t>
  </si>
  <si>
    <t>vcarl@users.noreply.github.com</t>
  </si>
  <si>
    <t>vcarl</t>
  </si>
  <si>
    <t>veekas@veekasmeansprogress.com</t>
  </si>
  <si>
    <t>veekas</t>
  </si>
  <si>
    <t>ventuno@users.noreply.github.com</t>
  </si>
  <si>
    <t>ventuno</t>
  </si>
  <si>
    <t>vetrivelchinnasamy6@gmail.com</t>
  </si>
  <si>
    <t>vetrivelchinnasamy6</t>
  </si>
  <si>
    <t>vickychijwani@gmail.com</t>
  </si>
  <si>
    <t>vickychijwani</t>
  </si>
  <si>
    <t>victor.koenders@gmail.com</t>
  </si>
  <si>
    <t>victor.koenders</t>
  </si>
  <si>
    <t>victoria.quirante@gmail.com</t>
  </si>
  <si>
    <t>victoria.quirante</t>
  </si>
  <si>
    <t>vikashagrawal1990@gmail.com</t>
  </si>
  <si>
    <t>vikashagrawal1990</t>
  </si>
  <si>
    <t>vincent@asana.com</t>
  </si>
  <si>
    <t>vincent</t>
  </si>
  <si>
    <t>vitoriano08@gmail.com</t>
  </si>
  <si>
    <t>vitoriano08</t>
  </si>
  <si>
    <t>vkhomyackov@gmail.com</t>
  </si>
  <si>
    <t>vkhomyackov</t>
  </si>
  <si>
    <t>vkramskikh@gmail.com</t>
  </si>
  <si>
    <t>vkramskikh</t>
  </si>
  <si>
    <t>vladdr@live.com</t>
  </si>
  <si>
    <t>vladdr</t>
  </si>
  <si>
    <t>vladimir.tsibizow@gmail.com</t>
  </si>
  <si>
    <t>vladimir.tsibizow</t>
  </si>
  <si>
    <t>vtikunov@yandex.ru</t>
  </si>
  <si>
    <t>vtikunov</t>
  </si>
  <si>
    <t>w.a.cunningham.ii@gmail.com</t>
  </si>
  <si>
    <t>w.a.cunningham.ii</t>
  </si>
  <si>
    <t>wa17@mails.tsinghua.edu.cn</t>
  </si>
  <si>
    <t>wa17</t>
  </si>
  <si>
    <t>wadahiro@gmail.com</t>
  </si>
  <si>
    <t>wadahiro</t>
  </si>
  <si>
    <t>walaura@fb.com</t>
  </si>
  <si>
    <t>walaura</t>
  </si>
  <si>
    <t>wali-s@users.noreply.github.com</t>
  </si>
  <si>
    <t>wali-s</t>
  </si>
  <si>
    <t>walrusfruitcake@users.noreply.github.com</t>
  </si>
  <si>
    <t>walrusfruitcake</t>
  </si>
  <si>
    <t>wander.wang@ismole.com</t>
  </si>
  <si>
    <t>wander.wang</t>
  </si>
  <si>
    <t>wayne@larsen.st</t>
  </si>
  <si>
    <t>wayne</t>
  </si>
  <si>
    <t>webeafix@gmail.com</t>
  </si>
  <si>
    <t>webeafix</t>
  </si>
  <si>
    <t>webyom@gmail.com</t>
  </si>
  <si>
    <t>webyom</t>
  </si>
  <si>
    <t>wellingtoncordeiro@workfront.com</t>
  </si>
  <si>
    <t>wellingtoncordeiro</t>
  </si>
  <si>
    <t>whatthejeff@gmail.com</t>
  </si>
  <si>
    <t>whatthejeff</t>
  </si>
  <si>
    <t>whoffpen@gmail.com</t>
  </si>
  <si>
    <t>whoffpen</t>
  </si>
  <si>
    <t>WilcoFiers@users.noreply.github.com</t>
  </si>
  <si>
    <t>WilcoFiers</t>
  </si>
  <si>
    <t>will@usebutton.com</t>
  </si>
  <si>
    <t>will</t>
  </si>
  <si>
    <t>william.decker@gmail.com</t>
  </si>
  <si>
    <t>william.decker</t>
  </si>
  <si>
    <t>willygdouglas@gmail.com</t>
  </si>
  <si>
    <t>willygdouglas</t>
  </si>
  <si>
    <t>winliveweiz@gmail.com</t>
  </si>
  <si>
    <t>winliveweiz</t>
  </si>
  <si>
    <t>winmain@gmail.com</t>
  </si>
  <si>
    <t>winmain</t>
  </si>
  <si>
    <t>wjh180909@gmail.com</t>
  </si>
  <si>
    <t>wjh180909</t>
  </si>
  <si>
    <t>wongmjane@icloud.com</t>
  </si>
  <si>
    <t>wongmjane</t>
  </si>
  <si>
    <t>Wout.Mertens@gmail.com</t>
  </si>
  <si>
    <t>Wout.Mertens</t>
  </si>
  <si>
    <t>wu.chingting@gmail.com</t>
  </si>
  <si>
    <t>wu.chingting</t>
  </si>
  <si>
    <t>XaveScor@gmail.com</t>
  </si>
  <si>
    <t>XaveScor</t>
  </si>
  <si>
    <t>xelad1@gmail.com</t>
  </si>
  <si>
    <t>xelad1</t>
  </si>
  <si>
    <t>xmo-odoo@users.noreply.github.com</t>
  </si>
  <si>
    <t>xmo-odoo</t>
  </si>
  <si>
    <t>xsw1024@yeah.net</t>
  </si>
  <si>
    <t>xsw1024</t>
  </si>
  <si>
    <t>xxin@groupon.com</t>
  </si>
  <si>
    <t>xxin</t>
  </si>
  <si>
    <t>y231966mdk@gmail.com</t>
  </si>
  <si>
    <t>y231966mdk</t>
  </si>
  <si>
    <t>yash111998@gmail.com</t>
  </si>
  <si>
    <t>yash111998</t>
  </si>
  <si>
    <t>yaxian.gu@gmail.com</t>
  </si>
  <si>
    <t>yaxian.gu</t>
  </si>
  <si>
    <t>yeonjuan93@naver.com</t>
  </si>
  <si>
    <t>yeonjuan93</t>
  </si>
  <si>
    <t>yeti-or@yandex-team.ru</t>
  </si>
  <si>
    <t>yeti-or</t>
  </si>
  <si>
    <t>yjimk@users.noreply.github.com</t>
  </si>
  <si>
    <t>yjimk</t>
  </si>
  <si>
    <t>yo@miraage.io</t>
  </si>
  <si>
    <t>yo</t>
  </si>
  <si>
    <t>yongdamsh@gmail.com</t>
  </si>
  <si>
    <t>yongdamsh</t>
  </si>
  <si>
    <t>yoshuki@saikyoline.jp</t>
  </si>
  <si>
    <t>yoshuki</t>
  </si>
  <si>
    <t>youmoolee@gmail.com</t>
  </si>
  <si>
    <t>youmoolee</t>
  </si>
  <si>
    <t>youngmin@youngminz.kr</t>
  </si>
  <si>
    <t>youngmin</t>
  </si>
  <si>
    <t>yuanoook@live.cn</t>
  </si>
  <si>
    <t>yuanoook</t>
  </si>
  <si>
    <t>yuanyan@users.noreply.github.com</t>
  </si>
  <si>
    <t>yuanyan</t>
  </si>
  <si>
    <t>yud@instagram.com</t>
  </si>
  <si>
    <t>yud</t>
  </si>
  <si>
    <t>yurick.hauschild@gmail.com</t>
  </si>
  <si>
    <t>yurick.hauschild</t>
  </si>
  <si>
    <t>yuriy@dybskiy.com</t>
  </si>
  <si>
    <t>yuriy</t>
  </si>
  <si>
    <t>zacharybraddy@gmail.com</t>
  </si>
  <si>
    <t>zacharybraddy</t>
  </si>
  <si>
    <t>zachasme@users.noreply.github.com</t>
  </si>
  <si>
    <t>zachasme</t>
  </si>
  <si>
    <t>zawiasam@users.noreply.github.com</t>
  </si>
  <si>
    <t>zawiasam</t>
  </si>
  <si>
    <t>zefengbao@outlook.com</t>
  </si>
  <si>
    <t>zefengbao</t>
  </si>
  <si>
    <t>zeke@sikelianos.com</t>
  </si>
  <si>
    <t>zeke</t>
  </si>
  <si>
    <t>zhang.jd@qq.com</t>
  </si>
  <si>
    <t>zhang.jd</t>
  </si>
  <si>
    <t>zhangtreefish@yahoo.com</t>
  </si>
  <si>
    <t>zhangtreefish</t>
  </si>
  <si>
    <t>zhengzhongzhao@gmail.com</t>
  </si>
  <si>
    <t>zhengzhongzhao</t>
  </si>
  <si>
    <t>zhudx6512@163.com</t>
  </si>
  <si>
    <t>zhudx6512</t>
  </si>
  <si>
    <t>zjgdmz@yeah.net</t>
  </si>
  <si>
    <t>zjgdmz</t>
  </si>
  <si>
    <t>zky829@users.noreply.github.com</t>
  </si>
  <si>
    <t>zky829</t>
  </si>
  <si>
    <t>zoom@rhizom.fr</t>
  </si>
  <si>
    <t>zoom</t>
  </si>
  <si>
    <t>zramaekers@gmail.com</t>
  </si>
  <si>
    <t>zramaekers</t>
  </si>
  <si>
    <t>zthxxx.me@gmail.com</t>
  </si>
  <si>
    <t>zthxxx.me</t>
  </si>
  <si>
    <t>zx6658@naver.com</t>
  </si>
  <si>
    <t>zx6658</t>
  </si>
  <si>
    <t>zyszys98@gmail.com</t>
  </si>
  <si>
    <t>zyszys98</t>
  </si>
  <si>
    <t>zziteqaq@163.com</t>
  </si>
  <si>
    <t>zziteqaq</t>
  </si>
  <si>
    <t>zzzeons@gmail.com</t>
  </si>
  <si>
    <t>zzzeons</t>
  </si>
  <si>
    <t>gardener@tensorflow.org</t>
  </si>
  <si>
    <t>gardener</t>
  </si>
  <si>
    <t>ezhulenev@google.com</t>
  </si>
  <si>
    <t>ezhulenev</t>
  </si>
  <si>
    <t>yong.tang.github@outlook.com</t>
  </si>
  <si>
    <t>yong.tang.github</t>
  </si>
  <si>
    <t>MobileIron</t>
  </si>
  <si>
    <t>mihaimaruseac@google.com</t>
  </si>
  <si>
    <t>mihaimaruseac</t>
  </si>
  <si>
    <t>phawkins@google.com</t>
  </si>
  <si>
    <t>phawkins</t>
  </si>
  <si>
    <t>nobody@tensorflow.org</t>
  </si>
  <si>
    <t>nobody</t>
  </si>
  <si>
    <t>akuegel@google.com</t>
  </si>
  <si>
    <t>akuegel</t>
  </si>
  <si>
    <t>gunan@google.com</t>
  </si>
  <si>
    <t>gunan</t>
  </si>
  <si>
    <t>sorokin@google.com</t>
  </si>
  <si>
    <t>sorokin</t>
  </si>
  <si>
    <t>mrry@google.com</t>
  </si>
  <si>
    <t>mrry</t>
  </si>
  <si>
    <t>cheshire@google.com</t>
  </si>
  <si>
    <t>cheshire</t>
  </si>
  <si>
    <t>jpienaar@google.com</t>
  </si>
  <si>
    <t>jpienaar</t>
  </si>
  <si>
    <t>scottzhu@google.com</t>
  </si>
  <si>
    <t>scottzhu</t>
  </si>
  <si>
    <t>jlebar@google.com</t>
  </si>
  <si>
    <t>jlebar</t>
  </si>
  <si>
    <t>sanjoy@google.com</t>
  </si>
  <si>
    <t>sanjoy</t>
  </si>
  <si>
    <t>riverriddle@google.com</t>
  </si>
  <si>
    <t>riverriddle</t>
  </si>
  <si>
    <t>kramerb@google.com</t>
  </si>
  <si>
    <t>kramerb</t>
  </si>
  <si>
    <t>aminim@google.com</t>
  </si>
  <si>
    <t>aminim</t>
  </si>
  <si>
    <t>cais@google.com</t>
  </si>
  <si>
    <t>cais</t>
  </si>
  <si>
    <t>mdan@google.com</t>
  </si>
  <si>
    <t>mdan</t>
  </si>
  <si>
    <t>allenl@google.com</t>
  </si>
  <si>
    <t>allenl</t>
  </si>
  <si>
    <t>hinsu@google.com</t>
  </si>
  <si>
    <t>hinsu</t>
  </si>
  <si>
    <t>jsimsa@google.com</t>
  </si>
  <si>
    <t>jsimsa</t>
  </si>
  <si>
    <t>csigg@google.com</t>
  </si>
  <si>
    <t>csigg</t>
  </si>
  <si>
    <t>pifon@google.com</t>
  </si>
  <si>
    <t>pifon</t>
  </si>
  <si>
    <t>amitpatankar@google.com</t>
  </si>
  <si>
    <t>amitpatankar</t>
  </si>
  <si>
    <t>apassos@google.com</t>
  </si>
  <si>
    <t>apassos</t>
  </si>
  <si>
    <t>yangchen@google.com</t>
  </si>
  <si>
    <t>yangchen</t>
  </si>
  <si>
    <t>markdaoust@google.com</t>
  </si>
  <si>
    <t>markdaoust</t>
  </si>
  <si>
    <t>annarev@google.com</t>
  </si>
  <si>
    <t>annarev</t>
  </si>
  <si>
    <t>bsteiner@google.com</t>
  </si>
  <si>
    <t>bsteiner</t>
  </si>
  <si>
    <t>vrv@google.com</t>
  </si>
  <si>
    <t>vrv</t>
  </si>
  <si>
    <t>jurahul@google.com</t>
  </si>
  <si>
    <t>jurahul</t>
  </si>
  <si>
    <t>skyewm@google.com</t>
  </si>
  <si>
    <t>skyewm</t>
  </si>
  <si>
    <t>ebrevdo@google.com</t>
  </si>
  <si>
    <t>ebrevdo</t>
  </si>
  <si>
    <t>lyandy@google.com</t>
  </si>
  <si>
    <t>lyandy</t>
  </si>
  <si>
    <t>reedwm@google.com</t>
  </si>
  <si>
    <t>reedwm</t>
  </si>
  <si>
    <t>aaudibert@google.com</t>
  </si>
  <si>
    <t>aaudibert</t>
  </si>
  <si>
    <t>karimnosseir@google.com</t>
  </si>
  <si>
    <t>karimnosseir</t>
  </si>
  <si>
    <t>jreiffers@google.com</t>
  </si>
  <si>
    <t>jreiffers</t>
  </si>
  <si>
    <t>gjn@google.com</t>
  </si>
  <si>
    <t>gjn</t>
  </si>
  <si>
    <t>rchao@google.com</t>
  </si>
  <si>
    <t>rchao</t>
  </si>
  <si>
    <t>fchollet@google.com</t>
  </si>
  <si>
    <t>fchollet</t>
  </si>
  <si>
    <t>deven.desai.amd@gmail.com</t>
  </si>
  <si>
    <t>deven.desai.amd</t>
  </si>
  <si>
    <t>AMD</t>
  </si>
  <si>
    <t>fbastien@nvidia.com</t>
  </si>
  <si>
    <t>fbastien</t>
  </si>
  <si>
    <t>Nvidia</t>
  </si>
  <si>
    <t>jdduke@google.com</t>
  </si>
  <si>
    <t>jdduke</t>
  </si>
  <si>
    <t>ashankar@google.com</t>
  </si>
  <si>
    <t>ashankar</t>
  </si>
  <si>
    <t>majnemer@google.com</t>
  </si>
  <si>
    <t>majnemer</t>
  </si>
  <si>
    <t>ntv@google.com</t>
  </si>
  <si>
    <t>ntv</t>
  </si>
  <si>
    <t>antiagainst@google.com</t>
  </si>
  <si>
    <t>antiagainst</t>
  </si>
  <si>
    <t>fergus@google.com</t>
  </si>
  <si>
    <t>fergus</t>
  </si>
  <si>
    <t>nareshmodi@google.com</t>
  </si>
  <si>
    <t>nareshmodi</t>
  </si>
  <si>
    <t>angerson@google.com</t>
  </si>
  <si>
    <t>angerson</t>
  </si>
  <si>
    <t>kathywu@google.com</t>
  </si>
  <si>
    <t>kathywu</t>
  </si>
  <si>
    <t>jaesung@google.com</t>
  </si>
  <si>
    <t>jaesung</t>
  </si>
  <si>
    <t>rohanj@google.com</t>
  </si>
  <si>
    <t>rohanj</t>
  </si>
  <si>
    <t>terryheo@google.com</t>
  </si>
  <si>
    <t>terryheo</t>
  </si>
  <si>
    <t>bixia@google.com</t>
  </si>
  <si>
    <t>bixia</t>
  </si>
  <si>
    <t>kaixih@nvidia.com</t>
  </si>
  <si>
    <t>kaixih</t>
  </si>
  <si>
    <t>bhack@users.noreply.github.com</t>
  </si>
  <si>
    <t>bhack</t>
  </si>
  <si>
    <t>yunxing@google.com</t>
  </si>
  <si>
    <t>yunxing</t>
  </si>
  <si>
    <t>hufei68@gmail.com</t>
  </si>
  <si>
    <t>hufei68</t>
  </si>
  <si>
    <t>lrdx@google.com</t>
  </si>
  <si>
    <t>lrdx</t>
  </si>
  <si>
    <t>fengliuai@google.com</t>
  </si>
  <si>
    <t>fengliuai</t>
  </si>
  <si>
    <t>chky@google.com</t>
  </si>
  <si>
    <t>chky</t>
  </si>
  <si>
    <t>jblespiau@google.com</t>
  </si>
  <si>
    <t>jblespiau</t>
  </si>
  <si>
    <t>tmorris@nvidia.com</t>
  </si>
  <si>
    <t>tmorris</t>
  </si>
  <si>
    <t>edloper@google.com</t>
  </si>
  <si>
    <t>edloper</t>
  </si>
  <si>
    <t>herhut@google.com</t>
  </si>
  <si>
    <t>herhut</t>
  </si>
  <si>
    <t>frankchn@google.com</t>
  </si>
  <si>
    <t>frankchn</t>
  </si>
  <si>
    <t>timshen@google.com</t>
  </si>
  <si>
    <t>timshen</t>
  </si>
  <si>
    <t>thaink@google.com</t>
  </si>
  <si>
    <t>thaink</t>
  </si>
  <si>
    <t>fmuham@google.com</t>
  </si>
  <si>
    <t>fmuham</t>
  </si>
  <si>
    <t>suharshs@google.com</t>
  </si>
  <si>
    <t>suharshs</t>
  </si>
  <si>
    <t>renjieliu@google.com</t>
  </si>
  <si>
    <t>renjieliu</t>
  </si>
  <si>
    <t>ddunleavy@google.com</t>
  </si>
  <si>
    <t>ddunleavy</t>
  </si>
  <si>
    <t>dansuh@google.com</t>
  </si>
  <si>
    <t>dansuh</t>
  </si>
  <si>
    <t>crccw@google.com</t>
  </si>
  <si>
    <t>crccw</t>
  </si>
  <si>
    <t>psv@google.com</t>
  </si>
  <si>
    <t>psv</t>
  </si>
  <si>
    <t>yuanzx@google.com</t>
  </si>
  <si>
    <t>yuanzx</t>
  </si>
  <si>
    <t>srbs@google.com</t>
  </si>
  <si>
    <t>srbs</t>
  </si>
  <si>
    <t>zinenko@google.com</t>
  </si>
  <si>
    <t>zinenko</t>
  </si>
  <si>
    <t>tpopp@google.com</t>
  </si>
  <si>
    <t>tpopp</t>
  </si>
  <si>
    <t>kfranko@google.com</t>
  </si>
  <si>
    <t>kfranko</t>
  </si>
  <si>
    <t>yuefengz@google.com</t>
  </si>
  <si>
    <t>yuefengz</t>
  </si>
  <si>
    <t>yifeif@google.com</t>
  </si>
  <si>
    <t>yifeif</t>
  </si>
  <si>
    <t>yashkatariya@google.com</t>
  </si>
  <si>
    <t>yashkatariya</t>
  </si>
  <si>
    <t>ilblackdragon@gmail.com</t>
  </si>
  <si>
    <t>ilblackdragon</t>
  </si>
  <si>
    <t>Near</t>
  </si>
  <si>
    <t>haoliang@google.com</t>
  </si>
  <si>
    <t>haoliang</t>
  </si>
  <si>
    <t>chaomei@google.com</t>
  </si>
  <si>
    <t>chaomei</t>
  </si>
  <si>
    <t>tanzheny@google.com</t>
  </si>
  <si>
    <t>tanzheny</t>
  </si>
  <si>
    <t>ycling@google.com</t>
  </si>
  <si>
    <t>ycling</t>
  </si>
  <si>
    <t>cantonios@google.com</t>
  </si>
  <si>
    <t>cantonios</t>
  </si>
  <si>
    <t>blakehechtman@google.com</t>
  </si>
  <si>
    <t>blakehechtman</t>
  </si>
  <si>
    <t>frgossen@google.com</t>
  </si>
  <si>
    <t>frgossen</t>
  </si>
  <si>
    <t>wicke@google.com</t>
  </si>
  <si>
    <t>wicke</t>
  </si>
  <si>
    <t>flang@google.com</t>
  </si>
  <si>
    <t>flang</t>
  </si>
  <si>
    <t>power@google.com</t>
  </si>
  <si>
    <t>power</t>
  </si>
  <si>
    <t>benoit.steiner.goog@gmail.com</t>
  </si>
  <si>
    <t>benoit.steiner.goog</t>
  </si>
  <si>
    <t>xiejw@google.com</t>
  </si>
  <si>
    <t>xiejw</t>
  </si>
  <si>
    <t>vikoth18@in.ibm.com</t>
  </si>
  <si>
    <t>vikoth18</t>
  </si>
  <si>
    <t>IBM</t>
  </si>
  <si>
    <t>prakalps@google.com</t>
  </si>
  <si>
    <t>prakalps</t>
  </si>
  <si>
    <t>petewarden@google.com</t>
  </si>
  <si>
    <t>petewarden</t>
  </si>
  <si>
    <t>juanantoniomc@google.com</t>
  </si>
  <si>
    <t>juanantoniomc</t>
  </si>
  <si>
    <t>anlunx@google.com</t>
  </si>
  <si>
    <t>anlunx</t>
  </si>
  <si>
    <t>bmzhao@google.com</t>
  </si>
  <si>
    <t>bmzhao</t>
  </si>
  <si>
    <t>berkin@google.com</t>
  </si>
  <si>
    <t>berkin</t>
  </si>
  <si>
    <t>jianlijianli@google.com</t>
  </si>
  <si>
    <t>jianlijianli</t>
  </si>
  <si>
    <t>jhseu@google.com</t>
  </si>
  <si>
    <t>jhseu</t>
  </si>
  <si>
    <t>mpcallanan@google.com</t>
  </si>
  <si>
    <t>mpcallanan</t>
  </si>
  <si>
    <t>shyshkov@google.com</t>
  </si>
  <si>
    <t>shyshkov</t>
  </si>
  <si>
    <t>laigd@google.com</t>
  </si>
  <si>
    <t>laigd</t>
  </si>
  <si>
    <t>vovannghia2409@gmail.com</t>
  </si>
  <si>
    <t>vovannghia2409</t>
  </si>
  <si>
    <t>jbaiocchi@google.com</t>
  </si>
  <si>
    <t>jbaiocchi</t>
  </si>
  <si>
    <t>sergachev@google.com</t>
  </si>
  <si>
    <t>sergachev</t>
  </si>
  <si>
    <t>bbarsdell@nvidia.com</t>
  </si>
  <si>
    <t>bbarsdell</t>
  </si>
  <si>
    <t>taeheej@google.com</t>
  </si>
  <si>
    <t>taeheej</t>
  </si>
  <si>
    <t>haoyuzhang@google.com</t>
  </si>
  <si>
    <t>haoyuzhang</t>
  </si>
  <si>
    <t>bwieder@google.com</t>
  </si>
  <si>
    <t>bwieder</t>
  </si>
  <si>
    <t>aselle@google.com</t>
  </si>
  <si>
    <t>aselle</t>
  </si>
  <si>
    <t>rxsang@google.com</t>
  </si>
  <si>
    <t>rxsang</t>
  </si>
  <si>
    <t>facai.yan@gmail.com</t>
  </si>
  <si>
    <t>facai.yan</t>
  </si>
  <si>
    <t>nupurgarg@google.com</t>
  </si>
  <si>
    <t>nupurgarg</t>
  </si>
  <si>
    <t>advaitjain@google.com</t>
  </si>
  <si>
    <t>advaitjain</t>
  </si>
  <si>
    <t>vuson@google.com</t>
  </si>
  <si>
    <t>vuson</t>
  </si>
  <si>
    <t>advaitjain@users.noreply.github.com</t>
  </si>
  <si>
    <t>omalleyt@google.com</t>
  </si>
  <si>
    <t>omalleyt</t>
  </si>
  <si>
    <t>fishx@google.com</t>
  </si>
  <si>
    <t>fishx</t>
  </si>
  <si>
    <t>slebedev@google.com</t>
  </si>
  <si>
    <t>slebedev</t>
  </si>
  <si>
    <t>maratek@google.com</t>
  </si>
  <si>
    <t>maratek</t>
  </si>
  <si>
    <t>ispir@google.com</t>
  </si>
  <si>
    <t>ispir</t>
  </si>
  <si>
    <t>bca@google.com</t>
  </si>
  <si>
    <t>bca</t>
  </si>
  <si>
    <t>masonchang@google.com</t>
  </si>
  <si>
    <t>masonchang</t>
  </si>
  <si>
    <t>cjfj@google.com</t>
  </si>
  <si>
    <t>cjfj</t>
  </si>
  <si>
    <t>hyey@google.com</t>
  </si>
  <si>
    <t>hyey</t>
  </si>
  <si>
    <t>benoitjacob@google.com</t>
  </si>
  <si>
    <t>benoitjacob</t>
  </si>
  <si>
    <t>clattner@google.com</t>
  </si>
  <si>
    <t>clattner</t>
  </si>
  <si>
    <t>mahmoud.abuzaina@intel.com</t>
  </si>
  <si>
    <t>mahmoud.abuzaina</t>
  </si>
  <si>
    <t>Intel</t>
  </si>
  <si>
    <t>maggioni@google.com</t>
  </si>
  <si>
    <t>maggioni</t>
  </si>
  <si>
    <t>srjoglekar@google.com</t>
  </si>
  <si>
    <t>srjoglekar</t>
  </si>
  <si>
    <t>iga@google.com</t>
  </si>
  <si>
    <t>iga</t>
  </si>
  <si>
    <t>jart@google.com</t>
  </si>
  <si>
    <t>jart</t>
  </si>
  <si>
    <t>807580+SamuelMarks@users.noreply.github.com</t>
  </si>
  <si>
    <t>807580+SamuelMarks</t>
  </si>
  <si>
    <t>bondhugula@google.com</t>
  </si>
  <si>
    <t>bondhugula</t>
  </si>
  <si>
    <t>terrytangyuan@gmail.com</t>
  </si>
  <si>
    <t>terrytangyuan</t>
  </si>
  <si>
    <t>alankelly@google.com</t>
  </si>
  <si>
    <t>alankelly</t>
  </si>
  <si>
    <t>rachelim@google.com</t>
  </si>
  <si>
    <t>rachelim</t>
  </si>
  <si>
    <t>yaozhang@google.com</t>
  </si>
  <si>
    <t>yaozhang</t>
  </si>
  <si>
    <t>jieying@google.com</t>
  </si>
  <si>
    <t>jieying</t>
  </si>
  <si>
    <t>yanhuasun@google.com</t>
  </si>
  <si>
    <t>yanhuasun</t>
  </si>
  <si>
    <t>ayushd@google.com</t>
  </si>
  <si>
    <t>ayushd</t>
  </si>
  <si>
    <t>koansin.tan@gmail.com</t>
  </si>
  <si>
    <t>koansin.tan</t>
  </si>
  <si>
    <t>lukas.geiger94@gmail.com</t>
  </si>
  <si>
    <t>lukas.geiger94</t>
  </si>
  <si>
    <t>meheff@google.com</t>
  </si>
  <si>
    <t>meheff</t>
  </si>
  <si>
    <t>wangpeng@google.com</t>
  </si>
  <si>
    <t>wangpeng</t>
  </si>
  <si>
    <t>hanbinyoon@google.com</t>
  </si>
  <si>
    <t>hanbinyoon</t>
  </si>
  <si>
    <t>ycao@google.com</t>
  </si>
  <si>
    <t>ycao</t>
  </si>
  <si>
    <t>penporn@google.com</t>
  </si>
  <si>
    <t>penporn</t>
  </si>
  <si>
    <t>chuanhao@google.com</t>
  </si>
  <si>
    <t>chuanhao</t>
  </si>
  <si>
    <t>frreiss@us.ibm.com</t>
  </si>
  <si>
    <t>frreiss</t>
  </si>
  <si>
    <t>wilsin@google.com</t>
  </si>
  <si>
    <t>wilsin</t>
  </si>
  <si>
    <t>guozhong.zhuang@intel.com</t>
  </si>
  <si>
    <t>guozhong.zhuang</t>
  </si>
  <si>
    <t>burmako@google.com</t>
  </si>
  <si>
    <t>burmako</t>
  </si>
  <si>
    <t>mgester@google.com</t>
  </si>
  <si>
    <t>mgester</t>
  </si>
  <si>
    <t>saeta@google.com</t>
  </si>
  <si>
    <t>saeta</t>
  </si>
  <si>
    <t>tfeher@nvidia.com</t>
  </si>
  <si>
    <t>tfeher</t>
  </si>
  <si>
    <t>langmore@google.com</t>
  </si>
  <si>
    <t>langmore</t>
  </si>
  <si>
    <t>mikecase@google.com</t>
  </si>
  <si>
    <t>mikecase</t>
  </si>
  <si>
    <t>parkers@google.com</t>
  </si>
  <si>
    <t>parkers</t>
  </si>
  <si>
    <t>blamb@google.com</t>
  </si>
  <si>
    <t>blamb</t>
  </si>
  <si>
    <t>geoffreyi@google.com</t>
  </si>
  <si>
    <t>geoffreyi</t>
  </si>
  <si>
    <t>klucke@google.com</t>
  </si>
  <si>
    <t>klucke</t>
  </si>
  <si>
    <t>ecg@google.com</t>
  </si>
  <si>
    <t>ecg</t>
  </si>
  <si>
    <t>njeff@google.com</t>
  </si>
  <si>
    <t>njeff</t>
  </si>
  <si>
    <t>mnatraj@google.com</t>
  </si>
  <si>
    <t>mnatraj</t>
  </si>
  <si>
    <t>anjalisridhar@google.com</t>
  </si>
  <si>
    <t>anjalisridhar</t>
  </si>
  <si>
    <t>31743510+aaroey@users.noreply.github.com</t>
  </si>
  <si>
    <t>31743510+aaroey</t>
  </si>
  <si>
    <t>xjun@google.com</t>
  </si>
  <si>
    <t>xjun</t>
  </si>
  <si>
    <t>kramm@google.com</t>
  </si>
  <si>
    <t>kramm</t>
  </si>
  <si>
    <t>jihochoi@google.com</t>
  </si>
  <si>
    <t>jihochoi</t>
  </si>
  <si>
    <t>elena.zhelezina@arm.com</t>
  </si>
  <si>
    <t>elena.zhelezina</t>
  </si>
  <si>
    <t>ARM</t>
  </si>
  <si>
    <t>andrewharp@google.com</t>
  </si>
  <si>
    <t>andrewharp</t>
  </si>
  <si>
    <t>suderman@google.com</t>
  </si>
  <si>
    <t>suderman</t>
  </si>
  <si>
    <t>xiaojies@google.com</t>
  </si>
  <si>
    <t>xiaojies</t>
  </si>
  <si>
    <t>endlessroad@google.com</t>
  </si>
  <si>
    <t>endlessroad</t>
  </si>
  <si>
    <t>jvdillon@google.com</t>
  </si>
  <si>
    <t>jvdillon</t>
  </si>
  <si>
    <t>yujingzhang@google.com</t>
  </si>
  <si>
    <t>yujingzhang</t>
  </si>
  <si>
    <t>no-reply@google.com</t>
  </si>
  <si>
    <t>no-reply</t>
  </si>
  <si>
    <t>smilkov@google.com</t>
  </si>
  <si>
    <t>smilkov</t>
  </si>
  <si>
    <t>gcmn@google.com</t>
  </si>
  <si>
    <t>gcmn</t>
  </si>
  <si>
    <t>trentl@nvidia.com</t>
  </si>
  <si>
    <t>trentl</t>
  </si>
  <si>
    <t>yhliang@google.com</t>
  </si>
  <si>
    <t>yhliang</t>
  </si>
  <si>
    <t>taregaskin@google.com</t>
  </si>
  <si>
    <t>taregaskin</t>
  </si>
  <si>
    <t>siju.samuel@huawei.com</t>
  </si>
  <si>
    <t>siju.samuel</t>
  </si>
  <si>
    <t>Huawei</t>
  </si>
  <si>
    <t>weiyiw@google.com</t>
  </si>
  <si>
    <t>weiyiw</t>
  </si>
  <si>
    <t>bfontain@google.com</t>
  </si>
  <si>
    <t>bfontain</t>
  </si>
  <si>
    <t>priyag@google.com</t>
  </si>
  <si>
    <t>priyag</t>
  </si>
  <si>
    <t>tdanyluk@google.com</t>
  </si>
  <si>
    <t>tdanyluk</t>
  </si>
  <si>
    <t>skama@nvidia.com</t>
  </si>
  <si>
    <t>skama</t>
  </si>
  <si>
    <t>sagunb@google.com</t>
  </si>
  <si>
    <t>sagunb</t>
  </si>
  <si>
    <t>kaftan@google.com</t>
  </si>
  <si>
    <t>kaftan</t>
  </si>
  <si>
    <t>tomhennigan@google.com</t>
  </si>
  <si>
    <t>tomhennigan</t>
  </si>
  <si>
    <t>lpak@google.com</t>
  </si>
  <si>
    <t>lpak</t>
  </si>
  <si>
    <t>windqaq@gmail.com</t>
  </si>
  <si>
    <t>windqaq</t>
  </si>
  <si>
    <t>andrew.goodbody@linaro.org</t>
  </si>
  <si>
    <t>andrew.goodbody</t>
  </si>
  <si>
    <t>linaro</t>
  </si>
  <si>
    <t>srnitin@google.com</t>
  </si>
  <si>
    <t>srnitin</t>
  </si>
  <si>
    <t>rsopher@google.com</t>
  </si>
  <si>
    <t>rsopher</t>
  </si>
  <si>
    <t>impjdi@google.com</t>
  </si>
  <si>
    <t>impjdi</t>
  </si>
  <si>
    <t>isaprykin@google.com</t>
  </si>
  <si>
    <t>isaprykin</t>
  </si>
  <si>
    <t>gunhyun@google.com</t>
  </si>
  <si>
    <t>gunhyun</t>
  </si>
  <si>
    <t>dmitrig@google.com</t>
  </si>
  <si>
    <t>dmitrig</t>
  </si>
  <si>
    <t>rjryan@google.com</t>
  </si>
  <si>
    <t>rjryan</t>
  </si>
  <si>
    <t>rdzhabarov@google.com</t>
  </si>
  <si>
    <t>rdzhabarov</t>
  </si>
  <si>
    <t>monicadsong@google.com</t>
  </si>
  <si>
    <t>monicadsong</t>
  </si>
  <si>
    <t>wangtz@google.com</t>
  </si>
  <si>
    <t>wangtz</t>
  </si>
  <si>
    <t>qkhan@google.com</t>
  </si>
  <si>
    <t>qkhan</t>
  </si>
  <si>
    <t>wxinyi@google.com</t>
  </si>
  <si>
    <t>wxinyi</t>
  </si>
  <si>
    <t>shashishekhar@google.com</t>
  </si>
  <si>
    <t>shashishekhar</t>
  </si>
  <si>
    <t>thibaut.goetghebuer-planchon@arm.com</t>
  </si>
  <si>
    <t>thibaut.goetghebuer-planchon</t>
  </si>
  <si>
    <t>nluehr@nvidia.com</t>
  </si>
  <si>
    <t>nluehr</t>
  </si>
  <si>
    <t>shivaniagrawal@google.com</t>
  </si>
  <si>
    <t>shivaniagrawal</t>
  </si>
  <si>
    <t>sourabhbajaj@google.com</t>
  </si>
  <si>
    <t>sourabhbajaj</t>
  </si>
  <si>
    <t>josh11b@tensorflow.org</t>
  </si>
  <si>
    <t>josh11b</t>
  </si>
  <si>
    <t>kreeger@google.com</t>
  </si>
  <si>
    <t>kreeger</t>
  </si>
  <si>
    <t>pdavoodi@nvidia.com</t>
  </si>
  <si>
    <t>pdavoodi</t>
  </si>
  <si>
    <t>schwartzedward@google.com</t>
  </si>
  <si>
    <t>schwartzedward</t>
  </si>
  <si>
    <t>ypang@google.com</t>
  </si>
  <si>
    <t>ypang</t>
  </si>
  <si>
    <t>amit.srivastava@huawei.com</t>
  </si>
  <si>
    <t>amit.srivastava</t>
  </si>
  <si>
    <t>bhavani1.subramanian@intel.com</t>
  </si>
  <si>
    <t>bhavani1.subramanian</t>
  </si>
  <si>
    <t>mihai.maruseac@gmail.com</t>
  </si>
  <si>
    <t>mihai.maruseac</t>
  </si>
  <si>
    <t>bchetioui@google.com</t>
  </si>
  <si>
    <t>bchetioui</t>
  </si>
  <si>
    <t>martin.wicke@gmail.com</t>
  </si>
  <si>
    <t>martin.wicke</t>
  </si>
  <si>
    <t>drpng@google.com</t>
  </si>
  <si>
    <t>drpng</t>
  </si>
  <si>
    <t>pcloudy@google.com</t>
  </si>
  <si>
    <t>pcloudy</t>
  </si>
  <si>
    <t>akshayka@google.com</t>
  </si>
  <si>
    <t>akshayka</t>
  </si>
  <si>
    <t>phack@nvidia.com</t>
  </si>
  <si>
    <t>phack</t>
  </si>
  <si>
    <t>md.faijul.amin@intel.com</t>
  </si>
  <si>
    <t>md.faijul.amin</t>
  </si>
  <si>
    <t>mdel@google.com</t>
  </si>
  <si>
    <t>mdel</t>
  </si>
  <si>
    <t>nguyendaniel@google.com</t>
  </si>
  <si>
    <t>nguyendaniel</t>
  </si>
  <si>
    <t>yuanbyu@google.com</t>
  </si>
  <si>
    <t>yuanbyu</t>
  </si>
  <si>
    <t>mans.nilsson@arm.com</t>
  </si>
  <si>
    <t>mans.nilsson</t>
  </si>
  <si>
    <t>talumbau@google.com</t>
  </si>
  <si>
    <t>talumbau</t>
  </si>
  <si>
    <t>ishark@google.com</t>
  </si>
  <si>
    <t>ishark</t>
  </si>
  <si>
    <t>shuw@nvidia.com</t>
  </si>
  <si>
    <t>shuw</t>
  </si>
  <si>
    <t>mkuper@google.com</t>
  </si>
  <si>
    <t>mkuper</t>
  </si>
  <si>
    <t>kkb@google.com</t>
  </si>
  <si>
    <t>kkb</t>
  </si>
  <si>
    <t>henrytan@google.com</t>
  </si>
  <si>
    <t>henrytan</t>
  </si>
  <si>
    <t>changhuilin@google.com</t>
  </si>
  <si>
    <t>changhuilin</t>
  </si>
  <si>
    <t>kahmadian@nvidia.com</t>
  </si>
  <si>
    <t>kahmadian</t>
  </si>
  <si>
    <t>tjoerg@google.com</t>
  </si>
  <si>
    <t>tjoerg</t>
  </si>
  <si>
    <t>zce@google.com</t>
  </si>
  <si>
    <t>zce</t>
  </si>
  <si>
    <t>vignola.patrice@gmail.com</t>
  </si>
  <si>
    <t>vignola.patrice</t>
  </si>
  <si>
    <t>cliveverghese@google.com</t>
  </si>
  <si>
    <t>cliveverghese</t>
  </si>
  <si>
    <t>dimvar@google.com</t>
  </si>
  <si>
    <t>dimvar</t>
  </si>
  <si>
    <t>chenkai@google.com</t>
  </si>
  <si>
    <t>chenkai</t>
  </si>
  <si>
    <t>yunluli@google.com</t>
  </si>
  <si>
    <t>yunluli</t>
  </si>
  <si>
    <t>jiesun@google.com</t>
  </si>
  <si>
    <t>jiesun</t>
  </si>
  <si>
    <t>starka@google.com</t>
  </si>
  <si>
    <t>starka</t>
  </si>
  <si>
    <t>whchung@gmail.com</t>
  </si>
  <si>
    <t>whchung</t>
  </si>
  <si>
    <t>karl@kubx.ca</t>
  </si>
  <si>
    <t>juanlishen@google.com</t>
  </si>
  <si>
    <t>juanlishen</t>
  </si>
  <si>
    <t>niranjan.hasabnis@intel.com</t>
  </si>
  <si>
    <t>niranjan.hasabnis</t>
  </si>
  <si>
    <t>dandelion@google.com</t>
  </si>
  <si>
    <t>dandelion</t>
  </si>
  <si>
    <t>atondwal@google.com</t>
  </si>
  <si>
    <t>atondwal</t>
  </si>
  <si>
    <t>kattian@google.com</t>
  </si>
  <si>
    <t>kattian</t>
  </si>
  <si>
    <t>nolivia@google.com</t>
  </si>
  <si>
    <t>nolivia</t>
  </si>
  <si>
    <t>feyu@google.com</t>
  </si>
  <si>
    <t>feyu</t>
  </si>
  <si>
    <t>ebrevdo@gmail.com</t>
  </si>
  <si>
    <t>ag.ramesh@intel.com</t>
  </si>
  <si>
    <t>ag.ramesh</t>
  </si>
  <si>
    <t>wenxi.zhu@intel.com</t>
  </si>
  <si>
    <t>wenxi.zhu</t>
  </si>
  <si>
    <t>tianrun@google.com</t>
  </si>
  <si>
    <t>tianrun</t>
  </si>
  <si>
    <t>silvasean@google.com</t>
  </si>
  <si>
    <t>silvasean</t>
  </si>
  <si>
    <t>luke@codeplay.com</t>
  </si>
  <si>
    <t>Codeplay</t>
  </si>
  <si>
    <t>danmane@google.com</t>
  </si>
  <si>
    <t>lukeboyer@google.com</t>
  </si>
  <si>
    <t>lukeboyer</t>
  </si>
  <si>
    <t>niroopshankar.ammbashankar@intel.com</t>
  </si>
  <si>
    <t>niroopshankar.ammbashankar</t>
  </si>
  <si>
    <t>yair.ehrenwald@ceva-dsp.com</t>
  </si>
  <si>
    <t>yair.ehrenwald</t>
  </si>
  <si>
    <t>sergeykozub@google.com</t>
  </si>
  <si>
    <t>sergeykozub</t>
  </si>
  <si>
    <t>zhangqiaorjc@google.com</t>
  </si>
  <si>
    <t>zhangqiaorjc</t>
  </si>
  <si>
    <t>davidrim@google.com</t>
  </si>
  <si>
    <t>davidrim</t>
  </si>
  <si>
    <t>amturati@google.com</t>
  </si>
  <si>
    <t>amturati</t>
  </si>
  <si>
    <t>sukritiramesh@google.com</t>
  </si>
  <si>
    <t>sukritiramesh</t>
  </si>
  <si>
    <t>adamcogdell@google.com</t>
  </si>
  <si>
    <t>adamcogdell</t>
  </si>
  <si>
    <t>hhb@google.com</t>
  </si>
  <si>
    <t>hhb</t>
  </si>
  <si>
    <t>jingyue@google.com</t>
  </si>
  <si>
    <t>jingyue</t>
  </si>
  <si>
    <t>kayzhu@google.com</t>
  </si>
  <si>
    <t>kayzhu</t>
  </si>
  <si>
    <t>swachhand@google.com</t>
  </si>
  <si>
    <t>swachhand</t>
  </si>
  <si>
    <t>nicholsonc@google.com</t>
  </si>
  <si>
    <t>nicholsonc</t>
  </si>
  <si>
    <t>grantjensen@google.com</t>
  </si>
  <si>
    <t>grantjensen</t>
  </si>
  <si>
    <t>chhe@google.com</t>
  </si>
  <si>
    <t>chhe</t>
  </si>
  <si>
    <t>pkanwar@google.com</t>
  </si>
  <si>
    <t>pkanwar</t>
  </si>
  <si>
    <t>zhoulong.jiang@intel.com</t>
  </si>
  <si>
    <t>zhoulong.jiang</t>
  </si>
  <si>
    <t>duncan@nvidia.com</t>
  </si>
  <si>
    <t>duncan</t>
  </si>
  <si>
    <t>syhan@google.com</t>
  </si>
  <si>
    <t>syhan</t>
  </si>
  <si>
    <t>keveman@gmail.com</t>
  </si>
  <si>
    <t>keveman</t>
  </si>
  <si>
    <t>jiyounha@google.com</t>
  </si>
  <si>
    <t>jiyounha</t>
  </si>
  <si>
    <t>yisitu@google.com</t>
  </si>
  <si>
    <t>yisitu</t>
  </si>
  <si>
    <t>mattdangerw@google.com</t>
  </si>
  <si>
    <t>mattdangerw</t>
  </si>
  <si>
    <t>gleasonk@google.com</t>
  </si>
  <si>
    <t>gleasonk</t>
  </si>
  <si>
    <t>gflegar@google.com</t>
  </si>
  <si>
    <t>gflegar</t>
  </si>
  <si>
    <t>dero@google.com</t>
  </si>
  <si>
    <t>dero</t>
  </si>
  <si>
    <t>hyouklee@google.com</t>
  </si>
  <si>
    <t>hyouklee</t>
  </si>
  <si>
    <t>lauj@google.com</t>
  </si>
  <si>
    <t>lauj</t>
  </si>
  <si>
    <t>soergel@google.com</t>
  </si>
  <si>
    <t>soergel</t>
  </si>
  <si>
    <t>terrytangyuan@users.noreply.github.com</t>
  </si>
  <si>
    <t>RedHat</t>
  </si>
  <si>
    <t>zongheng@google.com</t>
  </si>
  <si>
    <t>zongheng</t>
  </si>
  <si>
    <t>datenglin@google.com</t>
  </si>
  <si>
    <t>datenglin</t>
  </si>
  <si>
    <t>victorstone@google.com</t>
  </si>
  <si>
    <t>victorstone</t>
  </si>
  <si>
    <t>srinivasan.narayanamoorthy@intel.com</t>
  </si>
  <si>
    <t>srinivasan.narayanamoorthy</t>
  </si>
  <si>
    <t>nickfelt@google.com</t>
  </si>
  <si>
    <t>nickfelt</t>
  </si>
  <si>
    <t>ravishankarm@google.com</t>
  </si>
  <si>
    <t>ravishankarm</t>
  </si>
  <si>
    <t>pete@petewarden.com</t>
  </si>
  <si>
    <t>luwa@google.com</t>
  </si>
  <si>
    <t>luwa</t>
  </si>
  <si>
    <t>manhyuk@kw.ac.kr</t>
  </si>
  <si>
    <t>manhyuk</t>
  </si>
  <si>
    <t>jtkeeling@google.com</t>
  </si>
  <si>
    <t>jtkeeling</t>
  </si>
  <si>
    <t>bjp@google.com</t>
  </si>
  <si>
    <t>bjp</t>
  </si>
  <si>
    <t>leary@google.com</t>
  </si>
  <si>
    <t>leary</t>
  </si>
  <si>
    <t>necula@google.com</t>
  </si>
  <si>
    <t>necula</t>
  </si>
  <si>
    <t>sguada@google.com</t>
  </si>
  <si>
    <t>sguada</t>
  </si>
  <si>
    <t>jamesqin@google.com</t>
  </si>
  <si>
    <t>jamesqin</t>
  </si>
  <si>
    <t>deqiangc@google.com</t>
  </si>
  <si>
    <t>deqiangc</t>
  </si>
  <si>
    <t>jingpu@google.com</t>
  </si>
  <si>
    <t>jingpu</t>
  </si>
  <si>
    <t>clayne.b.robison@intel.com</t>
  </si>
  <si>
    <t>clayne.b.robison</t>
  </si>
  <si>
    <t>sdasgup@google.com</t>
  </si>
  <si>
    <t>sdasgup</t>
  </si>
  <si>
    <t>ajcbik@google.com</t>
  </si>
  <si>
    <t>ajcbik</t>
  </si>
  <si>
    <t>zhuoryin@amd.com</t>
  </si>
  <si>
    <t>zhuoryin</t>
  </si>
  <si>
    <t>chenmoney@google.com</t>
  </si>
  <si>
    <t>chenmoney</t>
  </si>
  <si>
    <t>sjr@google.com</t>
  </si>
  <si>
    <t>sjr</t>
  </si>
  <si>
    <t>laurenzo@google.com</t>
  </si>
  <si>
    <t>laurenzo</t>
  </si>
  <si>
    <t>halolong@hotmail.com</t>
  </si>
  <si>
    <t>halolong</t>
  </si>
  <si>
    <t>jiancai@google.com</t>
  </si>
  <si>
    <t>jiancai</t>
  </si>
  <si>
    <t>tongfei@google.com</t>
  </si>
  <si>
    <t>tongfei</t>
  </si>
  <si>
    <t>chiahungduan@google.com</t>
  </si>
  <si>
    <t>chiahungduan</t>
  </si>
  <si>
    <t>rsun@bdti.com</t>
  </si>
  <si>
    <t>rsun</t>
  </si>
  <si>
    <t>bdti</t>
  </si>
  <si>
    <t>yang.sheng@intel.com</t>
  </si>
  <si>
    <t>yang.sheng</t>
  </si>
  <si>
    <t>gauri1.deshpande@intel.com</t>
  </si>
  <si>
    <t>gauri1.deshpande</t>
  </si>
  <si>
    <t>dga@google.com</t>
  </si>
  <si>
    <t>dga</t>
  </si>
  <si>
    <t>eliben@google.com</t>
  </si>
  <si>
    <t>eliben</t>
  </si>
  <si>
    <t>cchen104@amd.com</t>
  </si>
  <si>
    <t>cchen104</t>
  </si>
  <si>
    <t>amoitra@nvidia.com</t>
  </si>
  <si>
    <t>amoitra</t>
  </si>
  <si>
    <t>tra@google.com</t>
  </si>
  <si>
    <t>tra</t>
  </si>
  <si>
    <t>jackkykokoko@gmail.com</t>
  </si>
  <si>
    <t>jackkykokoko</t>
  </si>
  <si>
    <t>jakeharmon@google.com</t>
  </si>
  <si>
    <t>jakeharmon</t>
  </si>
  <si>
    <t>jason@perfinion.com</t>
  </si>
  <si>
    <t>hari@etacompute.com</t>
  </si>
  <si>
    <t>hari</t>
  </si>
  <si>
    <t>etacompute</t>
  </si>
  <si>
    <t>nsthorat@google.com</t>
  </si>
  <si>
    <t>nsthorat</t>
  </si>
  <si>
    <t>srvasude@google.com</t>
  </si>
  <si>
    <t>srvasude</t>
  </si>
  <si>
    <t>zhengxq@google.com</t>
  </si>
  <si>
    <t>zhengxq</t>
  </si>
  <si>
    <t>michaelhudgins@google.com</t>
  </si>
  <si>
    <t>michaelhudgins</t>
  </si>
  <si>
    <t>derek.murray@gmail.com</t>
  </si>
  <si>
    <t>derek.murray</t>
  </si>
  <si>
    <t>jgorbe@google.com</t>
  </si>
  <si>
    <t>jgorbe</t>
  </si>
  <si>
    <t>anudhyan@google.com</t>
  </si>
  <si>
    <t>anudhyan</t>
  </si>
  <si>
    <t>zilinzhu@tencent.com</t>
  </si>
  <si>
    <t>zilinzhu</t>
  </si>
  <si>
    <t>tencent</t>
  </si>
  <si>
    <t>lucyfox@google.com</t>
  </si>
  <si>
    <t>lucyfox</t>
  </si>
  <si>
    <t>ashwinm@google.com</t>
  </si>
  <si>
    <t>ashwinm</t>
  </si>
  <si>
    <t>loorongjie@gmail.com</t>
  </si>
  <si>
    <t>loorongjie</t>
  </si>
  <si>
    <t>natmjeffries@gmail.com</t>
  </si>
  <si>
    <t>natmjeffries</t>
  </si>
  <si>
    <t>ashutoshhathidara98@gmail.com</t>
  </si>
  <si>
    <t>ashutoshhathidara98</t>
  </si>
  <si>
    <t>fengyifei2026@gmail.com</t>
  </si>
  <si>
    <t>fengyifei2026</t>
  </si>
  <si>
    <t>panzf@google.com</t>
  </si>
  <si>
    <t>panzf</t>
  </si>
  <si>
    <t>teng.lu@intel.com</t>
  </si>
  <si>
    <t>teng.lu</t>
  </si>
  <si>
    <t>hanchung@google.com</t>
  </si>
  <si>
    <t>hanchung</t>
  </si>
  <si>
    <t>guizi.li@intel.com</t>
  </si>
  <si>
    <t>guizi.li</t>
  </si>
  <si>
    <t>silverstone@google.com</t>
  </si>
  <si>
    <t>silverstone</t>
  </si>
  <si>
    <t>galarragas@google.com</t>
  </si>
  <si>
    <t>galarragas</t>
  </si>
  <si>
    <t>udayb@iisc.ac.in</t>
  </si>
  <si>
    <t>udayb</t>
  </si>
  <si>
    <t>iisc</t>
  </si>
  <si>
    <t>xiaoyudong0512@gmail.com</t>
  </si>
  <si>
    <t>xiaoyudong0512</t>
  </si>
  <si>
    <t>mattalexander@google.com</t>
  </si>
  <si>
    <t>mattalexander</t>
  </si>
  <si>
    <t>mconley@nvidia.com</t>
  </si>
  <si>
    <t>mconley</t>
  </si>
  <si>
    <t>patrik.laurell@arm.com</t>
  </si>
  <si>
    <t>patrik.laurell</t>
  </si>
  <si>
    <t>jiej@nvidia.com</t>
  </si>
  <si>
    <t>jiej</t>
  </si>
  <si>
    <t>rohitju@google.com</t>
  </si>
  <si>
    <t>rohitju</t>
  </si>
  <si>
    <t>kun.lu@ibm.com</t>
  </si>
  <si>
    <t>kun.lu</t>
  </si>
  <si>
    <t>micban@google.com</t>
  </si>
  <si>
    <t>micban</t>
  </si>
  <si>
    <t>jens.elofsson@arm.com</t>
  </si>
  <si>
    <t>jens.elofsson</t>
  </si>
  <si>
    <t>dlibenzi@google.com</t>
  </si>
  <si>
    <t>dlibenzi</t>
  </si>
  <si>
    <t>lefever@google.com</t>
  </si>
  <si>
    <t>lefever</t>
  </si>
  <si>
    <t>zhin@google.com</t>
  </si>
  <si>
    <t>zhin</t>
  </si>
  <si>
    <t>rohit.santhanam@amd.com</t>
  </si>
  <si>
    <t>rohit.santhanam</t>
  </si>
  <si>
    <t>itaiz@google.com</t>
  </si>
  <si>
    <t>itaiz</t>
  </si>
  <si>
    <t>khanhlvg@google.com</t>
  </si>
  <si>
    <t>khanhlvg</t>
  </si>
  <si>
    <t>jiawenhao@google.com</t>
  </si>
  <si>
    <t>jiawenhao</t>
  </si>
  <si>
    <t>tamaranorman@google.com</t>
  </si>
  <si>
    <t>tamaranorman</t>
  </si>
  <si>
    <t>zhouxin@google.com</t>
  </si>
  <si>
    <t>zhouxin</t>
  </si>
  <si>
    <t>ihjhuo@ibm.com</t>
  </si>
  <si>
    <t>ihjhuo</t>
  </si>
  <si>
    <t>tayo@google.com</t>
  </si>
  <si>
    <t>tayo</t>
  </si>
  <si>
    <t>mingmingl@google.com</t>
  </si>
  <si>
    <t>mingmingl</t>
  </si>
  <si>
    <t>mattn.jp@gmail.com</t>
  </si>
  <si>
    <t>mattn.jp</t>
  </si>
  <si>
    <t>davidn@graphcore.ai</t>
  </si>
  <si>
    <t>davidn</t>
  </si>
  <si>
    <t>graphcore</t>
  </si>
  <si>
    <t>aliia@google.com</t>
  </si>
  <si>
    <t>aliia</t>
  </si>
  <si>
    <t>jlwei@google.com</t>
  </si>
  <si>
    <t>jlwei</t>
  </si>
  <si>
    <t>ddavis@bdti.com</t>
  </si>
  <si>
    <t>ddavis</t>
  </si>
  <si>
    <t>hongm@google.com</t>
  </si>
  <si>
    <t>hongm</t>
  </si>
  <si>
    <t>robin.richtsfeld@gmail.com</t>
  </si>
  <si>
    <t>robin.richtsfeld</t>
  </si>
  <si>
    <t>andrew.harp@gmail.com</t>
  </si>
  <si>
    <t>andrew.harp</t>
  </si>
  <si>
    <t>hyeontaek@google.com</t>
  </si>
  <si>
    <t>hyeontaek</t>
  </si>
  <si>
    <t>jaredlim@google.com</t>
  </si>
  <si>
    <t>jaredlim</t>
  </si>
  <si>
    <t>contact@jonathandekhtiar.eu</t>
  </si>
  <si>
    <t>eugene.kuznetsov@amd.com</t>
  </si>
  <si>
    <t>eugene.kuznetsov</t>
  </si>
  <si>
    <t>agrue@google.com</t>
  </si>
  <si>
    <t>agrue</t>
  </si>
  <si>
    <t>jendap@google.com</t>
  </si>
  <si>
    <t>jendap</t>
  </si>
  <si>
    <t>manany@google.com</t>
  </si>
  <si>
    <t>manany</t>
  </si>
  <si>
    <t>liualan@google.com</t>
  </si>
  <si>
    <t>liualan</t>
  </si>
  <si>
    <t>mayou36@jonas.eschle.com</t>
  </si>
  <si>
    <t>mayou36</t>
  </si>
  <si>
    <t>karmel@google.com</t>
  </si>
  <si>
    <t>karmel</t>
  </si>
  <si>
    <t>taylorrobie@google.com</t>
  </si>
  <si>
    <t>taylorrobie</t>
  </si>
  <si>
    <t>jsmeredith@google.com</t>
  </si>
  <si>
    <t>jsmeredith</t>
  </si>
  <si>
    <t>vinuraja@google.com</t>
  </si>
  <si>
    <t>vinuraja</t>
  </si>
  <si>
    <t>grzegorzp@graphcore.ai</t>
  </si>
  <si>
    <t>grzegorzp</t>
  </si>
  <si>
    <t>Anshuman.T@huawei.com</t>
  </si>
  <si>
    <t>Anshuman.T</t>
  </si>
  <si>
    <t>bekzhan@google.com</t>
  </si>
  <si>
    <t>bekzhan</t>
  </si>
  <si>
    <t>ccrusius@google.com</t>
  </si>
  <si>
    <t>ccrusius</t>
  </si>
  <si>
    <t>donglin@google.com</t>
  </si>
  <si>
    <t>donglin</t>
  </si>
  <si>
    <t>vbardiovsky@google.com</t>
  </si>
  <si>
    <t>vbardiovsky</t>
  </si>
  <si>
    <t>sherrym@google.com</t>
  </si>
  <si>
    <t>sherrym</t>
  </si>
  <si>
    <t>zongheng.y@gmail.com</t>
  </si>
  <si>
    <t>zongheng.y</t>
  </si>
  <si>
    <t>ashishenoy@google.com</t>
  </si>
  <si>
    <t>ashishenoy</t>
  </si>
  <si>
    <t>twelve@google.com</t>
  </si>
  <si>
    <t>twelve</t>
  </si>
  <si>
    <t>samuelslee@google.com</t>
  </si>
  <si>
    <t>samuelslee</t>
  </si>
  <si>
    <t>46058173+jvishnuvardhan@users.noreply.github.com</t>
  </si>
  <si>
    <t>46058173+jvishnuvardhan</t>
  </si>
  <si>
    <t>mohammad.ashraf.bhuiyan@intel.com</t>
  </si>
  <si>
    <t>mohammad.ashraf.bhuiyan</t>
  </si>
  <si>
    <t>rahulkamat@gmail.com</t>
  </si>
  <si>
    <t>rahulkamat</t>
  </si>
  <si>
    <t>vanhoucke@google.com</t>
  </si>
  <si>
    <t>vanhoucke</t>
  </si>
  <si>
    <t>doyeonkim@google.com</t>
  </si>
  <si>
    <t>doyeonkim</t>
  </si>
  <si>
    <t>asbirlea@google.com</t>
  </si>
  <si>
    <t>asbirlea</t>
  </si>
  <si>
    <t>tjx@nvidia.com</t>
  </si>
  <si>
    <t>tjx</t>
  </si>
  <si>
    <t>alexander.grund@tu-dresden.de</t>
  </si>
  <si>
    <t>alexander.grund</t>
  </si>
  <si>
    <t>tu-dresden</t>
  </si>
  <si>
    <t>hejiang@google.com</t>
  </si>
  <si>
    <t>hejiang</t>
  </si>
  <si>
    <t>danielellis@google.com</t>
  </si>
  <si>
    <t>danielellis</t>
  </si>
  <si>
    <t>ylc@google.com</t>
  </si>
  <si>
    <t>ylc</t>
  </si>
  <si>
    <t>toddwang@gmail.com</t>
  </si>
  <si>
    <t>toddwang</t>
  </si>
  <si>
    <t>zichuanwei@google.com</t>
  </si>
  <si>
    <t>zichuanwei</t>
  </si>
  <si>
    <t>116063290+SuryanarayanaY@users.noreply.github.com</t>
  </si>
  <si>
    <t>116063290+SuryanarayanaY</t>
  </si>
  <si>
    <t>tlongeri@google.com</t>
  </si>
  <si>
    <t>tlongeri</t>
  </si>
  <si>
    <t>dinghua@google.com</t>
  </si>
  <si>
    <t>dinghua</t>
  </si>
  <si>
    <t>geetac@google.com</t>
  </si>
  <si>
    <t>geetac</t>
  </si>
  <si>
    <t>azazhu@gmail.com</t>
  </si>
  <si>
    <t>azazhu</t>
  </si>
  <si>
    <t>baarts@nvidia.com</t>
  </si>
  <si>
    <t>baarts</t>
  </si>
  <si>
    <t>renatoutsch@google.com</t>
  </si>
  <si>
    <t>renatoutsch</t>
  </si>
  <si>
    <t>ziyinh@google.com</t>
  </si>
  <si>
    <t>ziyinh</t>
  </si>
  <si>
    <t>dyoon@google.com</t>
  </si>
  <si>
    <t>dyoon</t>
  </si>
  <si>
    <t>wdirons@us.ibm.com</t>
  </si>
  <si>
    <t>wdirons</t>
  </si>
  <si>
    <t>karthik.muthuraman@ibm.com</t>
  </si>
  <si>
    <t>karthik.muthuraman</t>
  </si>
  <si>
    <t>surkov@google.com</t>
  </si>
  <si>
    <t>surkov</t>
  </si>
  <si>
    <t>junwhan@google.com</t>
  </si>
  <si>
    <t>junwhan</t>
  </si>
  <si>
    <t>jeff@google.com</t>
  </si>
  <si>
    <t>petebu@google.com</t>
  </si>
  <si>
    <t>petebu</t>
  </si>
  <si>
    <t>alyee@ucsd.edu</t>
  </si>
  <si>
    <t>alyee</t>
  </si>
  <si>
    <t>ucsd</t>
  </si>
  <si>
    <t>augie@google.com</t>
  </si>
  <si>
    <t>augie</t>
  </si>
  <si>
    <t>shpeisman@google.com</t>
  </si>
  <si>
    <t>shpeisman</t>
  </si>
  <si>
    <t>dmitrievanthony@gmail.com</t>
  </si>
  <si>
    <t>dmitrievanthony</t>
  </si>
  <si>
    <t>yangzihao@google.com</t>
  </si>
  <si>
    <t>yangzihao</t>
  </si>
  <si>
    <t>Dragan.Mladjenovic@amd.com</t>
  </si>
  <si>
    <t>Dragan.Mladjenovic</t>
  </si>
  <si>
    <t>141146080+pemeliya@users.noreply.github.com</t>
  </si>
  <si>
    <t>141146080+pemeliya</t>
  </si>
  <si>
    <t>maskray@google.com</t>
  </si>
  <si>
    <t>maskray</t>
  </si>
  <si>
    <t>grasskin@google.com</t>
  </si>
  <si>
    <t>grasskin</t>
  </si>
  <si>
    <t>ishizaki@jp.ibm.com</t>
  </si>
  <si>
    <t>ishizaki</t>
  </si>
  <si>
    <t>43972606+rthadur@users.noreply.github.com</t>
  </si>
  <si>
    <t>43972606+rthadur</t>
  </si>
  <si>
    <t>zachgarrett@google.com</t>
  </si>
  <si>
    <t>zachgarrett</t>
  </si>
  <si>
    <t>xiaoming.cui@intel.com</t>
  </si>
  <si>
    <t>xiaoming.cui</t>
  </si>
  <si>
    <t>abolfazl.shahbazi@intel.com</t>
  </si>
  <si>
    <t>abolfazl.shahbazi</t>
  </si>
  <si>
    <t>xunkai@google.com</t>
  </si>
  <si>
    <t>xunkai</t>
  </si>
  <si>
    <t>jlchu@google.com</t>
  </si>
  <si>
    <t>jlchu</t>
  </si>
  <si>
    <t>dansitu@google.com</t>
  </si>
  <si>
    <t>dansitu</t>
  </si>
  <si>
    <t>sergii.khomenko@stylight.com</t>
  </si>
  <si>
    <t>sergii.khomenko</t>
  </si>
  <si>
    <t>stylight</t>
  </si>
  <si>
    <t>wun@google.com</t>
  </si>
  <si>
    <t>wun</t>
  </si>
  <si>
    <t>dsmilkov@gmail.com</t>
  </si>
  <si>
    <t>dsmilkov</t>
  </si>
  <si>
    <t>asabne@google.com</t>
  </si>
  <si>
    <t>asabne</t>
  </si>
  <si>
    <t>tobyboyd@google.com</t>
  </si>
  <si>
    <t>tobyboyd</t>
  </si>
  <si>
    <t>yasaswisrichandragandhi@gmail.com</t>
  </si>
  <si>
    <t>yasaswisrichandragandhi</t>
  </si>
  <si>
    <t>toddw@google.com</t>
  </si>
  <si>
    <t>toddw</t>
  </si>
  <si>
    <t>maxgalkin@google.com</t>
  </si>
  <si>
    <t>maxgalkin</t>
  </si>
  <si>
    <t>DavidNorman@users.noreply.github.com</t>
  </si>
  <si>
    <t>DavidNorman</t>
  </si>
  <si>
    <t>jmullenbach@google.com</t>
  </si>
  <si>
    <t>jmullenbach</t>
  </si>
  <si>
    <t>marissaw@google.com</t>
  </si>
  <si>
    <t>marissaw</t>
  </si>
  <si>
    <t>akkas@google.com</t>
  </si>
  <si>
    <t>akkas</t>
  </si>
  <si>
    <t>xinan.jxn@gmail.com</t>
  </si>
  <si>
    <t>xinan.jxn</t>
  </si>
  <si>
    <t>dzakhar@synopsys.com</t>
  </si>
  <si>
    <t>dzakhar</t>
  </si>
  <si>
    <t>synopsys</t>
  </si>
  <si>
    <t>huilgolr@amazon.com</t>
  </si>
  <si>
    <t>huilgolr</t>
  </si>
  <si>
    <t>Amazon</t>
  </si>
  <si>
    <t>vomjom@vomjom.net</t>
  </si>
  <si>
    <t>vomjom</t>
  </si>
  <si>
    <t>joelshor@google.com</t>
  </si>
  <si>
    <t>joelshor</t>
  </si>
  <si>
    <t>nextrush@163.com</t>
  </si>
  <si>
    <t>nextrush</t>
  </si>
  <si>
    <t>yuchenzhang@google.com</t>
  </si>
  <si>
    <t>yuchenzhang</t>
  </si>
  <si>
    <t>bangdazhou@google.com</t>
  </si>
  <si>
    <t>bangdazhou</t>
  </si>
  <si>
    <t>ppwwyyxxc@gmail.com</t>
  </si>
  <si>
    <t>ppwwyyxxc</t>
  </si>
  <si>
    <t>dracshahi@gmail.com</t>
  </si>
  <si>
    <t>dracshahi</t>
  </si>
  <si>
    <t>1192265+yifeif@users.noreply.github.com</t>
  </si>
  <si>
    <t>1192265+yifeif</t>
  </si>
  <si>
    <t>kgorovoy@google.com</t>
  </si>
  <si>
    <t>kgorovoy</t>
  </si>
  <si>
    <t>mayank.kumar.raunak@intel.com</t>
  </si>
  <si>
    <t>mayank.kumar.raunak</t>
  </si>
  <si>
    <t>hthu@google.com</t>
  </si>
  <si>
    <t>hthu</t>
  </si>
  <si>
    <t>kuester@bdti.com</t>
  </si>
  <si>
    <t>kuester</t>
  </si>
  <si>
    <t>jelvismbah18@gmail.com</t>
  </si>
  <si>
    <t>jelvismbah18</t>
  </si>
  <si>
    <t>saishruthi.tn@ibm.com</t>
  </si>
  <si>
    <t>saishruthi.tn</t>
  </si>
  <si>
    <t>lxuechen@google.com</t>
  </si>
  <si>
    <t>lxuechen</t>
  </si>
  <si>
    <t>keveman@google.com</t>
  </si>
  <si>
    <t>jimlintw@google.com</t>
  </si>
  <si>
    <t>jimlintw</t>
  </si>
  <si>
    <t>shixinli@google.com</t>
  </si>
  <si>
    <t>shixinli</t>
  </si>
  <si>
    <t>Milos.Puzovic@arm.com</t>
  </si>
  <si>
    <t>Milos.Puzovic</t>
  </si>
  <si>
    <t>1755071+adriangb@users.noreply.github.com</t>
  </si>
  <si>
    <t>1755071+adriangb</t>
  </si>
  <si>
    <t>chasun@microsoft.com</t>
  </si>
  <si>
    <t>chasun</t>
  </si>
  <si>
    <t>ipolosukhin@google.com</t>
  </si>
  <si>
    <t>ipolosukhin</t>
  </si>
  <si>
    <t>yaning@google.com</t>
  </si>
  <si>
    <t>yaning</t>
  </si>
  <si>
    <t>jiaweix@google.com</t>
  </si>
  <si>
    <t>jiaweix</t>
  </si>
  <si>
    <t>sjhwang@google.com</t>
  </si>
  <si>
    <t>sjhwang</t>
  </si>
  <si>
    <t>wchargin@google.com</t>
  </si>
  <si>
    <t>wchargin</t>
  </si>
  <si>
    <t>alanchiao@google.com</t>
  </si>
  <si>
    <t>alanchiao</t>
  </si>
  <si>
    <t>kkimlabs@google.com</t>
  </si>
  <si>
    <t>kkimlabs</t>
  </si>
  <si>
    <t>guschmue@microsoft.com</t>
  </si>
  <si>
    <t>guschmue</t>
  </si>
  <si>
    <t>nsilberman@google.com</t>
  </si>
  <si>
    <t>nsilberman</t>
  </si>
  <si>
    <t>kanglan@google.com</t>
  </si>
  <si>
    <t>kanglan</t>
  </si>
  <si>
    <t>phillypham@google.com</t>
  </si>
  <si>
    <t>phillypham</t>
  </si>
  <si>
    <t>shahrokhi@google.com</t>
  </si>
  <si>
    <t>shahrokhi</t>
  </si>
  <si>
    <t>sachinprasad@google.com</t>
  </si>
  <si>
    <t>sachinprasad</t>
  </si>
  <si>
    <t>cbate@nvidia.com</t>
  </si>
  <si>
    <t>cbate</t>
  </si>
  <si>
    <t>me@taehoonlee.com</t>
  </si>
  <si>
    <t>broune@google.com</t>
  </si>
  <si>
    <t>broune</t>
  </si>
  <si>
    <t>amansingh9569@gmail.com</t>
  </si>
  <si>
    <t>amansingh9569</t>
  </si>
  <si>
    <t>aselle@andyselle.com</t>
  </si>
  <si>
    <t>shiqing@google.com</t>
  </si>
  <si>
    <t>shiqing</t>
  </si>
  <si>
    <t>rneale@google.com</t>
  </si>
  <si>
    <t>rneale</t>
  </si>
  <si>
    <t>jdekhtiar@nvidia.com</t>
  </si>
  <si>
    <t>jdekhtiar</t>
  </si>
  <si>
    <t>yuqili@google.com</t>
  </si>
  <si>
    <t>yuqili</t>
  </si>
  <si>
    <t>lukaszkaiser@google.com</t>
  </si>
  <si>
    <t>lukaszkaiser</t>
  </si>
  <si>
    <t>andydavis@google.com</t>
  </si>
  <si>
    <t>andydavis</t>
  </si>
  <si>
    <t>yongfengg@nvidia.com</t>
  </si>
  <si>
    <t>yongfengg</t>
  </si>
  <si>
    <t>ringwalt@google.com</t>
  </si>
  <si>
    <t>ringwalt</t>
  </si>
  <si>
    <t>pranavm@nvidia.com</t>
  </si>
  <si>
    <t>pranavm</t>
  </si>
  <si>
    <t>dongjoon@apache.org</t>
  </si>
  <si>
    <t>dongjoon</t>
  </si>
  <si>
    <t>majiddadashi@google.com</t>
  </si>
  <si>
    <t>majiddadashi</t>
  </si>
  <si>
    <t>rjascani@google.com</t>
  </si>
  <si>
    <t>rjascani</t>
  </si>
  <si>
    <t>tristenallen@google.com</t>
  </si>
  <si>
    <t>tristenallen</t>
  </si>
  <si>
    <t>armandouv@google.com</t>
  </si>
  <si>
    <t>armandouv</t>
  </si>
  <si>
    <t>allencwang@google.com</t>
  </si>
  <si>
    <t>allencwang</t>
  </si>
  <si>
    <t>pcma@google.com</t>
  </si>
  <si>
    <t>pcma</t>
  </si>
  <si>
    <t>fanhongmin@google.com</t>
  </si>
  <si>
    <t>fanhongmin</t>
  </si>
  <si>
    <t>38085909+penpornk@users.noreply.github.com</t>
  </si>
  <si>
    <t>38085909+penpornk</t>
  </si>
  <si>
    <t>reyizero@gmail.com</t>
  </si>
  <si>
    <t>reyizero</t>
  </si>
  <si>
    <t>hiransarkar.cse2019@nsec.ac.in</t>
  </si>
  <si>
    <t>hiransarkar.cse2019</t>
  </si>
  <si>
    <t>nsec</t>
  </si>
  <si>
    <t>mr.molkree@gmail.com</t>
  </si>
  <si>
    <t>mr.molkree</t>
  </si>
  <si>
    <t>7938269+ngc92@users.noreply.github.com</t>
  </si>
  <si>
    <t>7938269+ngc92</t>
  </si>
  <si>
    <t>a.tripathy87@gmail.com</t>
  </si>
  <si>
    <t>a.tripathy87</t>
  </si>
  <si>
    <t>sachin.muradi@intel.com</t>
  </si>
  <si>
    <t>sachin.muradi</t>
  </si>
  <si>
    <t>joefernandez@google.com</t>
  </si>
  <si>
    <t>joefernandez</t>
  </si>
  <si>
    <t>kulinseth@gmail.com</t>
  </si>
  <si>
    <t>kulinseth</t>
  </si>
  <si>
    <t>64411306+AdityaKane2001@users.noreply.github.com</t>
  </si>
  <si>
    <t>64411306+AdityaKane2001</t>
  </si>
  <si>
    <t>jingdong@google.com</t>
  </si>
  <si>
    <t>jingdong</t>
  </si>
  <si>
    <t>xhae@google.com</t>
  </si>
  <si>
    <t>xhae</t>
  </si>
  <si>
    <t>ashutosh.hathidara@legatohealth.com</t>
  </si>
  <si>
    <t>ashutosh.hathidara</t>
  </si>
  <si>
    <t>legatohealth</t>
  </si>
  <si>
    <t>ruhler@google.com</t>
  </si>
  <si>
    <t>ruhler</t>
  </si>
  <si>
    <t>siyu.wsy@gmail.com</t>
  </si>
  <si>
    <t>siyu.wsy</t>
  </si>
  <si>
    <t>gaurav1086@gmail.com</t>
  </si>
  <si>
    <t>gaurav1086</t>
  </si>
  <si>
    <t>albin.joy@huawei.com</t>
  </si>
  <si>
    <t>albin.joy</t>
  </si>
  <si>
    <t>andrewharp@users.noreply.github.com</t>
  </si>
  <si>
    <t>weiho@google.com</t>
  </si>
  <si>
    <t>weiho</t>
  </si>
  <si>
    <t>kanvi.khanna@intel.com</t>
  </si>
  <si>
    <t>kanvi.khanna</t>
  </si>
  <si>
    <t>89868659+cjflan@users.noreply.github.com</t>
  </si>
  <si>
    <t>89868659+cjflan</t>
  </si>
  <si>
    <t>mangpo@google.com</t>
  </si>
  <si>
    <t>mangpo</t>
  </si>
  <si>
    <t>fo40225@hotmail.com</t>
  </si>
  <si>
    <t>fo40225</t>
  </si>
  <si>
    <t>juhoha@google.com</t>
  </si>
  <si>
    <t>juhoha</t>
  </si>
  <si>
    <t>abhichou4@gmail.com</t>
  </si>
  <si>
    <t>abhichou4</t>
  </si>
  <si>
    <t>khalikov.denis@huawei.com</t>
  </si>
  <si>
    <t>khalikov.denis</t>
  </si>
  <si>
    <t>mlevesquedion@google.com</t>
  </si>
  <si>
    <t>mlevesquedion</t>
  </si>
  <si>
    <t>chenguangwang@google.com</t>
  </si>
  <si>
    <t>chenguangwang</t>
  </si>
  <si>
    <t>dasenov@google.com</t>
  </si>
  <si>
    <t>dasenov</t>
  </si>
  <si>
    <t>fisherii@google.com</t>
  </si>
  <si>
    <t>fisherii</t>
  </si>
  <si>
    <t>saoirse.stewart@arm.com</t>
  </si>
  <si>
    <t>saoirse.stewart</t>
  </si>
  <si>
    <t>srujun@google.com</t>
  </si>
  <si>
    <t>srujun</t>
  </si>
  <si>
    <t>jz1749@nyu.edu</t>
  </si>
  <si>
    <t>jz1749</t>
  </si>
  <si>
    <t>nyu</t>
  </si>
  <si>
    <t>ilya.persky@gmail.com</t>
  </si>
  <si>
    <t>ilya.persky</t>
  </si>
  <si>
    <t>andresp@google.com</t>
  </si>
  <si>
    <t>andresp</t>
  </si>
  <si>
    <t>shiningsun@google.com</t>
  </si>
  <si>
    <t>shiningsun</t>
  </si>
  <si>
    <t>ibiryukov@google.com</t>
  </si>
  <si>
    <t>ibiryukov</t>
  </si>
  <si>
    <t>zixuanjiang@google.com</t>
  </si>
  <si>
    <t>zixuanjiang</t>
  </si>
  <si>
    <t>yileiyang@google.com</t>
  </si>
  <si>
    <t>yileiyang</t>
  </si>
  <si>
    <t>fhertschuh@google.com</t>
  </si>
  <si>
    <t>fhertschuh</t>
  </si>
  <si>
    <t>lipracer@gmail.com</t>
  </si>
  <si>
    <t>lipracer</t>
  </si>
  <si>
    <t>ddavis@xtech.com</t>
  </si>
  <si>
    <t>xtech</t>
  </si>
  <si>
    <t>adarob@google.com</t>
  </si>
  <si>
    <t>adarob</t>
  </si>
  <si>
    <t>koonce@hello.com</t>
  </si>
  <si>
    <t>koonce</t>
  </si>
  <si>
    <t>dayanandasiet@gmail.com</t>
  </si>
  <si>
    <t>dayanandasiet</t>
  </si>
  <si>
    <t>gaohuazuo@gmail.com</t>
  </si>
  <si>
    <t>gaohuazuo</t>
  </si>
  <si>
    <t>aarfaian@google.com</t>
  </si>
  <si>
    <t>aarfaian</t>
  </si>
  <si>
    <t>84765720+sushreebarsa@users.noreply.github.com</t>
  </si>
  <si>
    <t>84765720+sushreebarsa</t>
  </si>
  <si>
    <t>binghu@google.com</t>
  </si>
  <si>
    <t>binghu</t>
  </si>
  <si>
    <t>42785357+ymodak@users.noreply.github.com</t>
  </si>
  <si>
    <t>42785357+ymodak</t>
  </si>
  <si>
    <t>fredrik.knutsson@arm.com</t>
  </si>
  <si>
    <t>fredrik.knutsson</t>
  </si>
  <si>
    <t>kaustubh299792458@gmail.com</t>
  </si>
  <si>
    <t>kaustubh299792458</t>
  </si>
  <si>
    <t>sana.damanie@gmail.com</t>
  </si>
  <si>
    <t>sana.damanie</t>
  </si>
  <si>
    <t>ndesaulniers@google.com</t>
  </si>
  <si>
    <t>ndesaulniers</t>
  </si>
  <si>
    <t>sjabraha@gmail.com</t>
  </si>
  <si>
    <t>sjabraha</t>
  </si>
  <si>
    <t>jacksonstokes@google.com</t>
  </si>
  <si>
    <t>jacksonstokes</t>
  </si>
  <si>
    <t>tkoeppe@google.com</t>
  </si>
  <si>
    <t>tkoeppe</t>
  </si>
  <si>
    <t>jojimon.varghese@intel.com</t>
  </si>
  <si>
    <t>jojimon.varghese</t>
  </si>
  <si>
    <t>bignose1007@gmail.com</t>
  </si>
  <si>
    <t>bignose1007</t>
  </si>
  <si>
    <t>yunfei.mao@intel.com</t>
  </si>
  <si>
    <t>yunfei.mao</t>
  </si>
  <si>
    <t>tanmingxing@google.com</t>
  </si>
  <si>
    <t>tanmingxing</t>
  </si>
  <si>
    <t>30853054+amitsrivastava78@users.noreply.github.com</t>
  </si>
  <si>
    <t>30853054+amitsrivastava78</t>
  </si>
  <si>
    <t>yunlongl@google.com</t>
  </si>
  <si>
    <t>yunlongl</t>
  </si>
  <si>
    <t>pizzud@google.com</t>
  </si>
  <si>
    <t>pizzud</t>
  </si>
  <si>
    <t>frec@google.com</t>
  </si>
  <si>
    <t>frec</t>
  </si>
  <si>
    <t>yifanjiang@google.com</t>
  </si>
  <si>
    <t>yifanjiang</t>
  </si>
  <si>
    <t>ianhua@google.com</t>
  </si>
  <si>
    <t>ianhua</t>
  </si>
  <si>
    <t>paynecl@google.com</t>
  </si>
  <si>
    <t>paynecl</t>
  </si>
  <si>
    <t>loreno@google.com</t>
  </si>
  <si>
    <t>loreno</t>
  </si>
  <si>
    <t>iindyk@google.com</t>
  </si>
  <si>
    <t>iindyk</t>
  </si>
  <si>
    <t>george.manuilov@gmail.com</t>
  </si>
  <si>
    <t>george.manuilov</t>
  </si>
  <si>
    <t>vishakha.agrawal@intel.com</t>
  </si>
  <si>
    <t>vishakha.agrawal</t>
  </si>
  <si>
    <t>dkovalev@google.com</t>
  </si>
  <si>
    <t>dkovalev</t>
  </si>
  <si>
    <t>pauldonnelly@google.com</t>
  </si>
  <si>
    <t>pauldonnelly</t>
  </si>
  <si>
    <t>zheltonozhskiy@gmail.com</t>
  </si>
  <si>
    <t>zheltonozhskiy</t>
  </si>
  <si>
    <t>pkravtsov@nvidia.com</t>
  </si>
  <si>
    <t>pkravtsov</t>
  </si>
  <si>
    <t>irving@naml.us</t>
  </si>
  <si>
    <t>irving</t>
  </si>
  <si>
    <t>naml</t>
  </si>
  <si>
    <t>pmol@google.com</t>
  </si>
  <si>
    <t>pmol</t>
  </si>
  <si>
    <t>raghuramank@google.com</t>
  </si>
  <si>
    <t>raghuramank</t>
  </si>
  <si>
    <t>alinsiddiqui@gmail.com</t>
  </si>
  <si>
    <t>alinsiddiqui</t>
  </si>
  <si>
    <t>Broadcom</t>
  </si>
  <si>
    <t>igor@babuschk.in</t>
  </si>
  <si>
    <t>isergachev@nvidia.com</t>
  </si>
  <si>
    <t>isergachev</t>
  </si>
  <si>
    <t>vanderplas@google.com</t>
  </si>
  <si>
    <t>vanderplas</t>
  </si>
  <si>
    <t>yinzz@google.com</t>
  </si>
  <si>
    <t>yinzz</t>
  </si>
  <si>
    <t>118897289+pjpratik@users.noreply.github.com</t>
  </si>
  <si>
    <t>118897289+pjpratik</t>
  </si>
  <si>
    <t>Jason.Furmanek@amd.com</t>
  </si>
  <si>
    <t>Jason.Furmanek</t>
  </si>
  <si>
    <t>zbr@ioremap.net</t>
  </si>
  <si>
    <t>zbr</t>
  </si>
  <si>
    <t>tianlin@google.com</t>
  </si>
  <si>
    <t>tianlin</t>
  </si>
  <si>
    <t>p.varouktsis@gmail.com</t>
  </si>
  <si>
    <t>p.varouktsis</t>
  </si>
  <si>
    <t>jjatczak@antmicro.com</t>
  </si>
  <si>
    <t>jjatczak</t>
  </si>
  <si>
    <t>Antmicro</t>
  </si>
  <si>
    <t>yixing@google.com</t>
  </si>
  <si>
    <t>yixing</t>
  </si>
  <si>
    <t>e.a.platanios@gmail.com</t>
  </si>
  <si>
    <t>e.a.platanios</t>
  </si>
  <si>
    <t>rmlarsen@google.com</t>
  </si>
  <si>
    <t>rmlarsen</t>
  </si>
  <si>
    <t>daoxin.pan@intel.com</t>
  </si>
  <si>
    <t>daoxin.pan</t>
  </si>
  <si>
    <t>577277+martinwicke@users.noreply.github.com</t>
  </si>
  <si>
    <t>577277+martinwicke</t>
  </si>
  <si>
    <t>siddharth.950@gmail.com</t>
  </si>
  <si>
    <t>siddharth.950</t>
  </si>
  <si>
    <t>hebecker@google.com</t>
  </si>
  <si>
    <t>hebecker</t>
  </si>
  <si>
    <t>rameshsampath@google.com</t>
  </si>
  <si>
    <t>rameshsampath</t>
  </si>
  <si>
    <t>psho@google.com</t>
  </si>
  <si>
    <t>psho</t>
  </si>
  <si>
    <t>macd@google.com</t>
  </si>
  <si>
    <t>macd</t>
  </si>
  <si>
    <t>fsx950223@gmail.com</t>
  </si>
  <si>
    <t>fsx950223</t>
  </si>
  <si>
    <t>halseycamilla@google.com</t>
  </si>
  <si>
    <t>halseycamilla</t>
  </si>
  <si>
    <t>diegocaballero@google.com</t>
  </si>
  <si>
    <t>diegocaballero</t>
  </si>
  <si>
    <t>kyungtaek@google.com</t>
  </si>
  <si>
    <t>kyungtaek</t>
  </si>
  <si>
    <t>andiryxu@google.com</t>
  </si>
  <si>
    <t>andiryxu</t>
  </si>
  <si>
    <t>vinilas@google.com</t>
  </si>
  <si>
    <t>vinilas</t>
  </si>
  <si>
    <t>smain@google.com</t>
  </si>
  <si>
    <t>smain</t>
  </si>
  <si>
    <t>kamsami@amazon.com</t>
  </si>
  <si>
    <t>kamsami</t>
  </si>
  <si>
    <t>rlamarrr@gmail.com</t>
  </si>
  <si>
    <t>rlamarrr</t>
  </si>
  <si>
    <t>yxfu93@hotmail.com</t>
  </si>
  <si>
    <t>yxfu93</t>
  </si>
  <si>
    <t>jaesungtae@gmail.com</t>
  </si>
  <si>
    <t>jaesungtae</t>
  </si>
  <si>
    <t>owen.lyke@sparkfun.com</t>
  </si>
  <si>
    <t>owen.lyke</t>
  </si>
  <si>
    <t>sparkfun</t>
  </si>
  <si>
    <t>jeff.daily@amd.com</t>
  </si>
  <si>
    <t>jeff.daily</t>
  </si>
  <si>
    <t>ioeric@google.com</t>
  </si>
  <si>
    <t>ioeric</t>
  </si>
  <si>
    <t>supriyar@nvidia.com</t>
  </si>
  <si>
    <t>supriyar</t>
  </si>
  <si>
    <t>zakaria@google.com</t>
  </si>
  <si>
    <t>zakaria</t>
  </si>
  <si>
    <t>yimei.sun@intel.com</t>
  </si>
  <si>
    <t>yimei.sun</t>
  </si>
  <si>
    <t>om.thakkar@intel.com</t>
  </si>
  <si>
    <t>om.thakkar</t>
  </si>
  <si>
    <t>hyojun@google.com</t>
  </si>
  <si>
    <t>hyojun</t>
  </si>
  <si>
    <t>ujaved@google.com</t>
  </si>
  <si>
    <t>ujaved</t>
  </si>
  <si>
    <t>86464649+mohantym@users.noreply.github.com</t>
  </si>
  <si>
    <t>86464649+mohantym</t>
  </si>
  <si>
    <t>rickard.hallerback@gmail.com</t>
  </si>
  <si>
    <t>rickard.hallerback</t>
  </si>
  <si>
    <t>uday@polymagelabs.com</t>
  </si>
  <si>
    <t>uday</t>
  </si>
  <si>
    <t>polymagelabs</t>
  </si>
  <si>
    <t>paulchiang@google.com</t>
  </si>
  <si>
    <t>paulchiang</t>
  </si>
  <si>
    <t>jhalakp@nvidia.com</t>
  </si>
  <si>
    <t>jhalakp</t>
  </si>
  <si>
    <t>yuanbopeng@tencent.com</t>
  </si>
  <si>
    <t>yuanbopeng</t>
  </si>
  <si>
    <t>buchgr@google.com</t>
  </si>
  <si>
    <t>buchgr</t>
  </si>
  <si>
    <t>brianklee@google.com</t>
  </si>
  <si>
    <t>brianklee</t>
  </si>
  <si>
    <t>yesilyurt.gok@gmail.com</t>
  </si>
  <si>
    <t>yesilyurt.gok</t>
  </si>
  <si>
    <t>imran.salam.24@gmail.com</t>
  </si>
  <si>
    <t>imran.salam.24</t>
  </si>
  <si>
    <t>trandustin@google.com</t>
  </si>
  <si>
    <t>trandustin</t>
  </si>
  <si>
    <t>yleon@google.com</t>
  </si>
  <si>
    <t>yleon</t>
  </si>
  <si>
    <t>yaroslavvb@gmail.com</t>
  </si>
  <si>
    <t>yaroslavvb</t>
  </si>
  <si>
    <t>vistepan@microsoft.com</t>
  </si>
  <si>
    <t>vistepan</t>
  </si>
  <si>
    <t>pivovaa@amazon.com</t>
  </si>
  <si>
    <t>pivovaa</t>
  </si>
  <si>
    <t>patn@google.com</t>
  </si>
  <si>
    <t>patn</t>
  </si>
  <si>
    <t>fsx950223@outlook.com</t>
  </si>
  <si>
    <t>jennik@google.com</t>
  </si>
  <si>
    <t>jennik</t>
  </si>
  <si>
    <t>andreii@nvidia.com</t>
  </si>
  <si>
    <t>andreii</t>
  </si>
  <si>
    <t>dayeongl@google.com</t>
  </si>
  <si>
    <t>dayeongl</t>
  </si>
  <si>
    <t>frostig@google.com</t>
  </si>
  <si>
    <t>frostig</t>
  </si>
  <si>
    <t>quintin.wang@intel.com</t>
  </si>
  <si>
    <t>quintin.wang</t>
  </si>
  <si>
    <t>Sidong.Wei@ibm.com</t>
  </si>
  <si>
    <t>Sidong.Wei</t>
  </si>
  <si>
    <t>koki.ibukuro@gmail.com</t>
  </si>
  <si>
    <t>koki.ibukuro</t>
  </si>
  <si>
    <t>ahmed13579@gmail.com</t>
  </si>
  <si>
    <t>ahmed13579</t>
  </si>
  <si>
    <t>danielyou0230@gmail.com</t>
  </si>
  <si>
    <t>danielyou0230</t>
  </si>
  <si>
    <t>jacco@synopsys.com</t>
  </si>
  <si>
    <t>jacco</t>
  </si>
  <si>
    <t>lukas.folle@fau.de</t>
  </si>
  <si>
    <t>lukas.folle</t>
  </si>
  <si>
    <t>fau</t>
  </si>
  <si>
    <t>congliu@google.com</t>
  </si>
  <si>
    <t>congliu</t>
  </si>
  <si>
    <t>avijit.chakraborty@intel.com</t>
  </si>
  <si>
    <t>avijit.chakraborty</t>
  </si>
  <si>
    <t>terrytangyuan@Gmail.com</t>
  </si>
  <si>
    <t>arturoschmidt@google.com</t>
  </si>
  <si>
    <t>arturoschmidt</t>
  </si>
  <si>
    <t>jaeyoo@google.com</t>
  </si>
  <si>
    <t>jaeyoo</t>
  </si>
  <si>
    <t>haifengj@google.com</t>
  </si>
  <si>
    <t>haifengj</t>
  </si>
  <si>
    <t>reevessteven15@gmail.com</t>
  </si>
  <si>
    <t>reevessteven15</t>
  </si>
  <si>
    <t>rob.suderman@gmail.com</t>
  </si>
  <si>
    <t>rob.suderman</t>
  </si>
  <si>
    <t>levp@google.com</t>
  </si>
  <si>
    <t>levp</t>
  </si>
  <si>
    <t>JNett96@gmail.com</t>
  </si>
  <si>
    <t>JNett96</t>
  </si>
  <si>
    <t>stephanlee@google.com</t>
  </si>
  <si>
    <t>stephanlee</t>
  </si>
  <si>
    <t>bigcat_chen@himax.com.tw</t>
  </si>
  <si>
    <t>bigcat_chen</t>
  </si>
  <si>
    <t>himax</t>
  </si>
  <si>
    <t>Byambaa0325@gmail.com</t>
  </si>
  <si>
    <t>Byambaa0325</t>
  </si>
  <si>
    <t>43059506+HotPotatoC@users.noreply.github.com</t>
  </si>
  <si>
    <t>43059506+HotPotatoC</t>
  </si>
  <si>
    <t>jmolloy@google.com</t>
  </si>
  <si>
    <t>jmolloy</t>
  </si>
  <si>
    <t>jpniedermeier@gmail.com</t>
  </si>
  <si>
    <t>jpniedermeier</t>
  </si>
  <si>
    <t>Jeffrey.Poznanovic@amd.com</t>
  </si>
  <si>
    <t>Jeffrey.Poznanovic</t>
  </si>
  <si>
    <t>facai.yfc@alibaba-inc.com</t>
  </si>
  <si>
    <t>facai.yfc</t>
  </si>
  <si>
    <t>mail@erikbodin.com</t>
  </si>
  <si>
    <t>snease@ambiqmicro.com</t>
  </si>
  <si>
    <t>snease</t>
  </si>
  <si>
    <t>Ambiqmicro</t>
  </si>
  <si>
    <t>olston@google.com</t>
  </si>
  <si>
    <t>olston</t>
  </si>
  <si>
    <t>xiaoyudong-512@163.com</t>
  </si>
  <si>
    <t>xiaoyudong-512</t>
  </si>
  <si>
    <t>taehoonlee@snu.ac.kr</t>
  </si>
  <si>
    <t>taehoonlee</t>
  </si>
  <si>
    <t>snu</t>
  </si>
  <si>
    <t>qasdfgtyuiop@gmail.com</t>
  </si>
  <si>
    <t>qasdfgtyuiop</t>
  </si>
  <si>
    <t>mustafa.ispir@gmail.com</t>
  </si>
  <si>
    <t>mustafa.ispir</t>
  </si>
  <si>
    <t>subhankarshah@google.com</t>
  </si>
  <si>
    <t>subhankarshah</t>
  </si>
  <si>
    <t>loganchien@google.com</t>
  </si>
  <si>
    <t>loganchien</t>
  </si>
  <si>
    <t>thomas.preudhomme@arm.com</t>
  </si>
  <si>
    <t>thomas.preudhomme</t>
  </si>
  <si>
    <t>nathan.sircombe@arm.com</t>
  </si>
  <si>
    <t>nathan.sircombe</t>
  </si>
  <si>
    <t>Alexander.Bosch@dfki.de</t>
  </si>
  <si>
    <t>Alexander.Bosch</t>
  </si>
  <si>
    <t>dfki</t>
  </si>
  <si>
    <t>hiharshith18@gmail.com</t>
  </si>
  <si>
    <t>hiharshith18</t>
  </si>
  <si>
    <t>895521320@qq.com</t>
  </si>
  <si>
    <t>michaelkuchnik@gmail.com</t>
  </si>
  <si>
    <t>michaelkuchnik</t>
  </si>
  <si>
    <t>angusluo@gmail.com</t>
  </si>
  <si>
    <t>angusluo</t>
  </si>
  <si>
    <t>ilhamfputra31@gmail.com</t>
  </si>
  <si>
    <t>ilhamfputra31</t>
  </si>
  <si>
    <t>pariksheet.pinjari@huawei.com</t>
  </si>
  <si>
    <t>pariksheet.pinjari</t>
  </si>
  <si>
    <t>jayaram.bobba@intel.com</t>
  </si>
  <si>
    <t>jayaram.bobba</t>
  </si>
  <si>
    <t>resec0109@gmail.com</t>
  </si>
  <si>
    <t>resec0109</t>
  </si>
  <si>
    <t>shanbinke@gmail.com</t>
  </si>
  <si>
    <t>shanbinke</t>
  </si>
  <si>
    <t>rahbatra@amd.com</t>
  </si>
  <si>
    <t>rahbatra</t>
  </si>
  <si>
    <t>ktonthat@google.com</t>
  </si>
  <si>
    <t>ktonthat</t>
  </si>
  <si>
    <t>chaox@google.com</t>
  </si>
  <si>
    <t>chaox</t>
  </si>
  <si>
    <t>hongkuny@google.com</t>
  </si>
  <si>
    <t>hongkuny</t>
  </si>
  <si>
    <t>deveci@google.com</t>
  </si>
  <si>
    <t>deveci</t>
  </si>
  <si>
    <t>rladhkstn8@gmail.com</t>
  </si>
  <si>
    <t>rladhkstn8</t>
  </si>
  <si>
    <t>sriharihumbarwadi97@gmail.com</t>
  </si>
  <si>
    <t>sriharihumbarwadi97</t>
  </si>
  <si>
    <t>dheeraj98reddy@gmail.com</t>
  </si>
  <si>
    <t>dheeraj98reddy</t>
  </si>
  <si>
    <t>adriap@google.com</t>
  </si>
  <si>
    <t>adriap</t>
  </si>
  <si>
    <t>dennis.khalikov@gmail.com</t>
  </si>
  <si>
    <t>dennis.khalikov</t>
  </si>
  <si>
    <t>ncteisen@google.com</t>
  </si>
  <si>
    <t>ncteisen</t>
  </si>
  <si>
    <t>youngheek@google.com</t>
  </si>
  <si>
    <t>youngheek</t>
  </si>
  <si>
    <t>alive@google.com</t>
  </si>
  <si>
    <t>alive</t>
  </si>
  <si>
    <t>dzm1016397507@gmail.com</t>
  </si>
  <si>
    <t>dzm1016397507</t>
  </si>
  <si>
    <t>goog.jmchen@gmail.com</t>
  </si>
  <si>
    <t>goog.jmchen</t>
  </si>
  <si>
    <t>krasimir@google.com</t>
  </si>
  <si>
    <t>krasimir</t>
  </si>
  <si>
    <t>dmolitor@google.com</t>
  </si>
  <si>
    <t>dmolitor</t>
  </si>
  <si>
    <t>wamuir@gmail.com</t>
  </si>
  <si>
    <t>wamuir</t>
  </si>
  <si>
    <t>peng.sun@arm.com</t>
  </si>
  <si>
    <t>peng.sun</t>
  </si>
  <si>
    <t>19637339+8bitmp3@users.noreply.github.com</t>
  </si>
  <si>
    <t>19637339+8bitmp3</t>
  </si>
  <si>
    <t>lsugy@nvidia.com</t>
  </si>
  <si>
    <t>lsugy</t>
  </si>
  <si>
    <t>sethman@amazon.com</t>
  </si>
  <si>
    <t>sethman</t>
  </si>
  <si>
    <t>parsabagheri2013@gmail.com</t>
  </si>
  <si>
    <t>parsabagheri2013</t>
  </si>
  <si>
    <t>anirudhrs@google.com</t>
  </si>
  <si>
    <t>anirudhrs</t>
  </si>
  <si>
    <t>kimjaehong@google.com</t>
  </si>
  <si>
    <t>kimjaehong</t>
  </si>
  <si>
    <t>stephan.boner@gmail.com</t>
  </si>
  <si>
    <t>stephan.boner</t>
  </si>
  <si>
    <t>haiping008@gmail.com</t>
  </si>
  <si>
    <t>haiping008</t>
  </si>
  <si>
    <t>aleksey.vitebskiy@maxar.com</t>
  </si>
  <si>
    <t>aleksey.vitebskiy</t>
  </si>
  <si>
    <t>maxar</t>
  </si>
  <si>
    <t>ehsan.nadjaran_toosi@dfki.de</t>
  </si>
  <si>
    <t>ehsan.nadjaran_toosi</t>
  </si>
  <si>
    <t>shoyer@google.com</t>
  </si>
  <si>
    <t>shoyer</t>
  </si>
  <si>
    <t>mr.locasdfg@gmail.com</t>
  </si>
  <si>
    <t>mr.locasdfg</t>
  </si>
  <si>
    <t>37668193+nikochiko@users.noreply.github.com</t>
  </si>
  <si>
    <t>37668193+nikochiko</t>
  </si>
  <si>
    <t>diego.caballero@intel.com</t>
  </si>
  <si>
    <t>diego.caballero</t>
  </si>
  <si>
    <t>eric.schweitz@pgroup.com</t>
  </si>
  <si>
    <t>eric.schweitz</t>
  </si>
  <si>
    <t>pgroup</t>
  </si>
  <si>
    <t>gsundeep@google.com</t>
  </si>
  <si>
    <t>gsundeep</t>
  </si>
  <si>
    <t>rickdey1998@gmail.com</t>
  </si>
  <si>
    <t>rickdey1998</t>
  </si>
  <si>
    <t>moises.c.marin@gmail.com</t>
  </si>
  <si>
    <t>moises.c.marin</t>
  </si>
  <si>
    <t>pengwa@microsoft.com</t>
  </si>
  <si>
    <t>pengwa</t>
  </si>
  <si>
    <t>kbsriram@gmail.com</t>
  </si>
  <si>
    <t>kbsriram</t>
  </si>
  <si>
    <t>yijieyang@google.com</t>
  </si>
  <si>
    <t>yijieyang</t>
  </si>
  <si>
    <t>hanshan@google.com</t>
  </si>
  <si>
    <t>hanshan</t>
  </si>
  <si>
    <t>wffw@google.com</t>
  </si>
  <si>
    <t>wffw</t>
  </si>
  <si>
    <t>jinzhe.zeng@rutgers.edu</t>
  </si>
  <si>
    <t>jinzhe.zeng</t>
  </si>
  <si>
    <t>rutgers</t>
  </si>
  <si>
    <t>jerry.ge@arm.com</t>
  </si>
  <si>
    <t>jerry.ge</t>
  </si>
  <si>
    <t>sbauman@mathworks.com</t>
  </si>
  <si>
    <t>sbauman</t>
  </si>
  <si>
    <t>mathworks</t>
  </si>
  <si>
    <t>reza.amd.2021@gmail.com</t>
  </si>
  <si>
    <t>reza.amd.2021</t>
  </si>
  <si>
    <t>benvanik@google.com</t>
  </si>
  <si>
    <t>benvanik</t>
  </si>
  <si>
    <t>earthnail@gmail.com</t>
  </si>
  <si>
    <t>earthnail</t>
  </si>
  <si>
    <t>shweta.ojha@intel.com</t>
  </si>
  <si>
    <t>shweta.ojha</t>
  </si>
  <si>
    <t>axch@google.com</t>
  </si>
  <si>
    <t>axch</t>
  </si>
  <si>
    <t>18633059886@163.com</t>
  </si>
  <si>
    <t>anthonyb@graphcore.ai</t>
  </si>
  <si>
    <t>anthonyb</t>
  </si>
  <si>
    <t>kashif.rasul@gmail.com</t>
  </si>
  <si>
    <t>kashif.rasul</t>
  </si>
  <si>
    <t>zongyan.cao@alibaba-inc.com</t>
  </si>
  <si>
    <t>zongyan.cao</t>
  </si>
  <si>
    <t>rzrolandzimmermann@gmail.com</t>
  </si>
  <si>
    <t>rzrolandzimmermann</t>
  </si>
  <si>
    <t>vivek.v.rane@intel.com</t>
  </si>
  <si>
    <t>vivek.v.rane</t>
  </si>
  <si>
    <t>cassandrax@google.com</t>
  </si>
  <si>
    <t>cassandrax</t>
  </si>
  <si>
    <t>pjt73651@gmail.com</t>
  </si>
  <si>
    <t>pjt73651</t>
  </si>
  <si>
    <t>yutaka.leon@gmail.com</t>
  </si>
  <si>
    <t>yutaka.leon</t>
  </si>
  <si>
    <t>eunjaekim@google.com</t>
  </si>
  <si>
    <t>eunjaekim</t>
  </si>
  <si>
    <t>doyounggwak@google.com</t>
  </si>
  <si>
    <t>doyounggwak</t>
  </si>
  <si>
    <t>ckennelly@google.com</t>
  </si>
  <si>
    <t>ckennelly</t>
  </si>
  <si>
    <t>gorijala@google.com</t>
  </si>
  <si>
    <t>gorijala</t>
  </si>
  <si>
    <t>nanwei@google.com</t>
  </si>
  <si>
    <t>nanwei</t>
  </si>
  <si>
    <t>rsamuel@google.com</t>
  </si>
  <si>
    <t>rsamuel</t>
  </si>
  <si>
    <t>marius.brehler@iml.fraunhofer.de</t>
  </si>
  <si>
    <t>marius.brehler</t>
  </si>
  <si>
    <t>fraunhofer</t>
  </si>
  <si>
    <t>ricmk@google.com</t>
  </si>
  <si>
    <t>ricmk</t>
  </si>
  <si>
    <t>kontakt@joachim-gehweiler.de</t>
  </si>
  <si>
    <t>kontakt</t>
  </si>
  <si>
    <t>pulkitb@google.com</t>
  </si>
  <si>
    <t>pulkitb</t>
  </si>
  <si>
    <t>tsvetkov@synopsys.com</t>
  </si>
  <si>
    <t>tsvetkov</t>
  </si>
  <si>
    <t>sharada.shiddibhavi@intel.com</t>
  </si>
  <si>
    <t>sharada.shiddibhavi</t>
  </si>
  <si>
    <t>31239886+settle@users.noreply.github.com</t>
  </si>
  <si>
    <t>31239886+settle</t>
  </si>
  <si>
    <t>u1mail2me@gmail.com</t>
  </si>
  <si>
    <t>u1mail2me</t>
  </si>
  <si>
    <t>paiajay@amazon.com</t>
  </si>
  <si>
    <t>paiajay</t>
  </si>
  <si>
    <t>43641071+rohanreddych@users.noreply.github.com</t>
  </si>
  <si>
    <t>43641071+rohanreddych</t>
  </si>
  <si>
    <t>WilliamHYZhang@gmail.com</t>
  </si>
  <si>
    <t>WilliamHYZhang</t>
  </si>
  <si>
    <t>razzormandar@gmail.com</t>
  </si>
  <si>
    <t>razzormandar</t>
  </si>
  <si>
    <t>aurelien.geron@gmail.com</t>
  </si>
  <si>
    <t>aurelien.geron</t>
  </si>
  <si>
    <t>prazek@google.com</t>
  </si>
  <si>
    <t>prazek</t>
  </si>
  <si>
    <t>cclauss@bluewin.ch</t>
  </si>
  <si>
    <t>cclauss</t>
  </si>
  <si>
    <t>Bluewin</t>
  </si>
  <si>
    <t>chrisying@google.com</t>
  </si>
  <si>
    <t>chrisying</t>
  </si>
  <si>
    <t>fumihwh@gmail.com</t>
  </si>
  <si>
    <t>fumihwh</t>
  </si>
  <si>
    <t>carlthome@gmail.com</t>
  </si>
  <si>
    <t>carlthome</t>
  </si>
  <si>
    <t>lliang.he@gmail.com</t>
  </si>
  <si>
    <t>lliang.he</t>
  </si>
  <si>
    <t>pengjingtian@huawei.com</t>
  </si>
  <si>
    <t>pengjingtian</t>
  </si>
  <si>
    <t>izeye@naver.com</t>
  </si>
  <si>
    <t>izeye</t>
  </si>
  <si>
    <t>83710963+mraunak@users.noreply.github.com</t>
  </si>
  <si>
    <t>83710963+mraunak</t>
  </si>
  <si>
    <t>quoct@google.com</t>
  </si>
  <si>
    <t>quoct</t>
  </si>
  <si>
    <t>karen.wu@intel.com</t>
  </si>
  <si>
    <t>karen.wu</t>
  </si>
  <si>
    <t>kutz@ispras.ru</t>
  </si>
  <si>
    <t>kutz</t>
  </si>
  <si>
    <t>meenakshiv@nvidia.com</t>
  </si>
  <si>
    <t>meenakshiv</t>
  </si>
  <si>
    <t>abercowsky@google.com</t>
  </si>
  <si>
    <t>abercowsky</t>
  </si>
  <si>
    <t>awk@google.com</t>
  </si>
  <si>
    <t>awk</t>
  </si>
  <si>
    <t>59822926+Saduf2019@users.noreply.github.com</t>
  </si>
  <si>
    <t>59822926+Saduf2019</t>
  </si>
  <si>
    <t>askerryryan@google.com</t>
  </si>
  <si>
    <t>askerryryan</t>
  </si>
  <si>
    <t>rnett@calpoly.edu</t>
  </si>
  <si>
    <t>rnett</t>
  </si>
  <si>
    <t>Calpoly</t>
  </si>
  <si>
    <t>adityakane1@gmail.com</t>
  </si>
  <si>
    <t>adityakane1</t>
  </si>
  <si>
    <t>dodgen@google.com</t>
  </si>
  <si>
    <t>dodgen</t>
  </si>
  <si>
    <t>philstahlfeld@google.com</t>
  </si>
  <si>
    <t>philstahlfeld</t>
  </si>
  <si>
    <t>marcel.koester@dfki.de</t>
  </si>
  <si>
    <t>marcel.koester</t>
  </si>
  <si>
    <t>konobeev.michael@gmail.com</t>
  </si>
  <si>
    <t>konobeev.michael</t>
  </si>
  <si>
    <t>dayananda.v1@huawei.com</t>
  </si>
  <si>
    <t>dayananda.v1</t>
  </si>
  <si>
    <t>32593524+aweers@users.noreply.github.com</t>
  </si>
  <si>
    <t>32593524+aweers</t>
  </si>
  <si>
    <t>ybliang8@gmail.com</t>
  </si>
  <si>
    <t>ybliang8</t>
  </si>
  <si>
    <t>rzhao@google.com</t>
  </si>
  <si>
    <t>rzhao</t>
  </si>
  <si>
    <t>jing1.huang@intel.com</t>
  </si>
  <si>
    <t>jing1.huang</t>
  </si>
  <si>
    <t>dtrebbien@gmail.com</t>
  </si>
  <si>
    <t>dtrebbien</t>
  </si>
  <si>
    <t>sjhshy@gmail.com</t>
  </si>
  <si>
    <t>sjhshy</t>
  </si>
  <si>
    <t>horance-liu@users.noreply.github.com</t>
  </si>
  <si>
    <t>horance-liu</t>
  </si>
  <si>
    <t>Carmezim.filho@gmail.com</t>
  </si>
  <si>
    <t>Carmezim.filho</t>
  </si>
  <si>
    <t>alexander@herhjemme.dk</t>
  </si>
  <si>
    <t>jmchen@google.com</t>
  </si>
  <si>
    <t>jmchen</t>
  </si>
  <si>
    <t>vsytch@google.com</t>
  </si>
  <si>
    <t>vsytch</t>
  </si>
  <si>
    <t>rwgk@google.com</t>
  </si>
  <si>
    <t>rwgk</t>
  </si>
  <si>
    <t>chandrasekhard@google.com</t>
  </si>
  <si>
    <t>chandrasekhard</t>
  </si>
  <si>
    <t>matthew.olson@intel.com</t>
  </si>
  <si>
    <t>matthew.olson</t>
  </si>
  <si>
    <t>robert.kalmar@nxp.com</t>
  </si>
  <si>
    <t>robert.kalmar</t>
  </si>
  <si>
    <t>nxp</t>
  </si>
  <si>
    <t>Aakar.Dwivedi@amd.com</t>
  </si>
  <si>
    <t>Aakar.Dwivedi</t>
  </si>
  <si>
    <t>pavel.emeliyanenko@amd.com</t>
  </si>
  <si>
    <t>pavel.emeliyanenko</t>
  </si>
  <si>
    <t>apaszke@google.com</t>
  </si>
  <si>
    <t>apaszke</t>
  </si>
  <si>
    <t>rlevasseur@google.com</t>
  </si>
  <si>
    <t>rlevasseur</t>
  </si>
  <si>
    <t>kobrineli@ispras.ru</t>
  </si>
  <si>
    <t>kobrineli</t>
  </si>
  <si>
    <t>ispras</t>
  </si>
  <si>
    <t>gautamrbharadwaj@gmail.com</t>
  </si>
  <si>
    <t>gautamrbharadwaj</t>
  </si>
  <si>
    <t>124146945+shmishra99@users.noreply.github.com</t>
  </si>
  <si>
    <t>124146945+shmishra99</t>
  </si>
  <si>
    <t>wangtao@google.com</t>
  </si>
  <si>
    <t>wangtao</t>
  </si>
  <si>
    <t>natashaknk@google.com</t>
  </si>
  <si>
    <t>natashaknk</t>
  </si>
  <si>
    <t>david@adalogics.com</t>
  </si>
  <si>
    <t>Adalogics</t>
  </si>
  <si>
    <t>22496821+johnnkp@users.noreply.github.com</t>
  </si>
  <si>
    <t>22496821+johnnkp</t>
  </si>
  <si>
    <t>jakeh@graphcore.ai</t>
  </si>
  <si>
    <t>jakeh</t>
  </si>
  <si>
    <t>bauerb@google.com</t>
  </si>
  <si>
    <t>bauerb</t>
  </si>
  <si>
    <t>krush@google.com</t>
  </si>
  <si>
    <t>krush</t>
  </si>
  <si>
    <t>davidkao@google.com</t>
  </si>
  <si>
    <t>davidkao</t>
  </si>
  <si>
    <t>lukewood@google.com</t>
  </si>
  <si>
    <t>lukewood</t>
  </si>
  <si>
    <t>llao@google.com</t>
  </si>
  <si>
    <t>llao</t>
  </si>
  <si>
    <t>shilpakrish@google.com</t>
  </si>
  <si>
    <t>shilpakrish</t>
  </si>
  <si>
    <t>chenliangx@google.com</t>
  </si>
  <si>
    <t>chenliangx</t>
  </si>
  <si>
    <t>guillaumekln@users.noreply.github.com</t>
  </si>
  <si>
    <t>guillaumekln</t>
  </si>
  <si>
    <t>67437306+amogh7joshi@users.noreply.github.com</t>
  </si>
  <si>
    <t>67437306+amogh7joshi</t>
  </si>
  <si>
    <t>piyushdattaca@gmail.com</t>
  </si>
  <si>
    <t>piyushdattaca</t>
  </si>
  <si>
    <t>steenu.johnson@students.iiserpune.ac.in</t>
  </si>
  <si>
    <t>steenu.johnson</t>
  </si>
  <si>
    <t>tamas.nyiri@arm.com</t>
  </si>
  <si>
    <t>tamas.nyiri</t>
  </si>
  <si>
    <t>51345541+jonah-kohn@users.noreply.github.com</t>
  </si>
  <si>
    <t>51345541+jonah-kohn</t>
  </si>
  <si>
    <t>bharatraghunthan9767@gmail.com</t>
  </si>
  <si>
    <t>bharatraghunthan9767</t>
  </si>
  <si>
    <t>oyjmical@gmail.com</t>
  </si>
  <si>
    <t>oyjmical</t>
  </si>
  <si>
    <t>paul.andrey@hotmail.fr</t>
  </si>
  <si>
    <t>paul.andrey</t>
  </si>
  <si>
    <t>yoatom96@hotmail.com</t>
  </si>
  <si>
    <t>yoatom96</t>
  </si>
  <si>
    <t>lespeholt@google.com</t>
  </si>
  <si>
    <t>lespeholt</t>
  </si>
  <si>
    <t>romanov.alexey1@huawei.com</t>
  </si>
  <si>
    <t>romanov.alexey1</t>
  </si>
  <si>
    <t>guokai.ma@intel.com</t>
  </si>
  <si>
    <t>guokai.ma</t>
  </si>
  <si>
    <t>htchang@us.ibm.com</t>
  </si>
  <si>
    <t>htchang</t>
  </si>
  <si>
    <t>lhendre2@gmail.com</t>
  </si>
  <si>
    <t>lhendre2</t>
  </si>
  <si>
    <t>drpngx@users.noreply.github.com</t>
  </si>
  <si>
    <t>drpngx</t>
  </si>
  <si>
    <t>peng.yu@shopify.com</t>
  </si>
  <si>
    <t>peng.yu</t>
  </si>
  <si>
    <t>shopify</t>
  </si>
  <si>
    <t>karllessard@users.noreply.github.com</t>
  </si>
  <si>
    <t>karllessard</t>
  </si>
  <si>
    <t>zhixianyan@google.com</t>
  </si>
  <si>
    <t>zhixianyan</t>
  </si>
  <si>
    <t>sami.kama.git@gmail.com</t>
  </si>
  <si>
    <t>sami.kama.git</t>
  </si>
  <si>
    <t>Mistobaan@users.noreply.github.com</t>
  </si>
  <si>
    <t>Mistobaan</t>
  </si>
  <si>
    <t>mistobaan@gmail.com</t>
  </si>
  <si>
    <t>mistobaan</t>
  </si>
  <si>
    <t>nolivia@umich.edu</t>
  </si>
  <si>
    <t>umich</t>
  </si>
  <si>
    <t>yaroslavvb@google.com</t>
  </si>
  <si>
    <t>lukaszkaiser@gmail.com</t>
  </si>
  <si>
    <t>chrisminge@google.com</t>
  </si>
  <si>
    <t>chrisminge</t>
  </si>
  <si>
    <t>fchern@google.com</t>
  </si>
  <si>
    <t>fchern</t>
  </si>
  <si>
    <t>liuyuanqiang.yqliu@bytedance.com</t>
  </si>
  <si>
    <t>liuyuanqiang.yqliu</t>
  </si>
  <si>
    <t>bytedance</t>
  </si>
  <si>
    <t>xiaoxlu@google.com</t>
  </si>
  <si>
    <t>xiaoxlu</t>
  </si>
  <si>
    <t>keithbsmiley@gmail.com</t>
  </si>
  <si>
    <t>keithbsmiley</t>
  </si>
  <si>
    <t>johnqiangzhang@google.com</t>
  </si>
  <si>
    <t>johnqiangzhang</t>
  </si>
  <si>
    <t>mattbahr1992@gmail.com</t>
  </si>
  <si>
    <t>mattbahr1992</t>
  </si>
  <si>
    <t>ronshapiro@google.com</t>
  </si>
  <si>
    <t>ronshapiro</t>
  </si>
  <si>
    <t>awf@graphcore.ai</t>
  </si>
  <si>
    <t>awf</t>
  </si>
  <si>
    <t>steven.reeves@amd.com</t>
  </si>
  <si>
    <t>steven.reeves</t>
  </si>
  <si>
    <t>micmelesse@gmail.com</t>
  </si>
  <si>
    <t>micmelesse</t>
  </si>
  <si>
    <t>kevin.cheng@arm.com</t>
  </si>
  <si>
    <t>kevin.cheng</t>
  </si>
  <si>
    <t>darylng@google.com</t>
  </si>
  <si>
    <t>darylng</t>
  </si>
  <si>
    <t>48206667+rmothukuru@users.noreply.github.com</t>
  </si>
  <si>
    <t>48206667+rmothukuru</t>
  </si>
  <si>
    <t>jonathanasdf@google.com</t>
  </si>
  <si>
    <t>jonathanasdf</t>
  </si>
  <si>
    <t>suraj.sudhir@arm.com</t>
  </si>
  <si>
    <t>suraj.sudhir</t>
  </si>
  <si>
    <t>zhuo@google.com</t>
  </si>
  <si>
    <t>zhuo</t>
  </si>
  <si>
    <t>markub3327@gmail.com</t>
  </si>
  <si>
    <t>markub3327</t>
  </si>
  <si>
    <t>chris.knorowski@sensiml.com</t>
  </si>
  <si>
    <t>chris.knorowski</t>
  </si>
  <si>
    <t>sensiml</t>
  </si>
  <si>
    <t>31139873+boronhub@users.noreply.github.com</t>
  </si>
  <si>
    <t>31139873+boronhub</t>
  </si>
  <si>
    <t>blee@google.com</t>
  </si>
  <si>
    <t>blee</t>
  </si>
  <si>
    <t>eddz@google.com</t>
  </si>
  <si>
    <t>eddz</t>
  </si>
  <si>
    <t>byi@connect.ust.hk</t>
  </si>
  <si>
    <t>byi</t>
  </si>
  <si>
    <t>y.weweler@gmail.com</t>
  </si>
  <si>
    <t>y.weweler</t>
  </si>
  <si>
    <t>sgiri@us.ibm.com</t>
  </si>
  <si>
    <t>sgiri</t>
  </si>
  <si>
    <t>cifang_bifang@hotmail.com</t>
  </si>
  <si>
    <t>cifang_bifang</t>
  </si>
  <si>
    <t>tjohnsen@nvidia.com</t>
  </si>
  <si>
    <t>tjohnsen</t>
  </si>
  <si>
    <t>margaretmz@gmail.com</t>
  </si>
  <si>
    <t>margaretmz</t>
  </si>
  <si>
    <t>yanivbl@mellanox.com</t>
  </si>
  <si>
    <t>yanivbl</t>
  </si>
  <si>
    <t>mellanox</t>
  </si>
  <si>
    <t>kongweidan84@gmail.com</t>
  </si>
  <si>
    <t>kongweidan84</t>
  </si>
  <si>
    <t>jinpengliu@163.com</t>
  </si>
  <si>
    <t>jinpengliu</t>
  </si>
  <si>
    <t>nrstott@gmail.com</t>
  </si>
  <si>
    <t>nrstott</t>
  </si>
  <si>
    <t>danospv@gmail.com</t>
  </si>
  <si>
    <t>danospv</t>
  </si>
  <si>
    <t>floriancourtial@gmail.com</t>
  </si>
  <si>
    <t>floriancourtial</t>
  </si>
  <si>
    <t>pvaneck@us.ibm.com</t>
  </si>
  <si>
    <t>pvaneck</t>
  </si>
  <si>
    <t>dev@goodow.com</t>
  </si>
  <si>
    <t>tian.jin1@ibm.com</t>
  </si>
  <si>
    <t>tian.jin1</t>
  </si>
  <si>
    <t>agrothberg@gmail.com</t>
  </si>
  <si>
    <t>agrothberg</t>
  </si>
  <si>
    <t>nsthorat@gmail.com</t>
  </si>
  <si>
    <t>icgog@google.com</t>
  </si>
  <si>
    <t>icgog</t>
  </si>
  <si>
    <t>olupton@nvidia.com</t>
  </si>
  <si>
    <t>olupton</t>
  </si>
  <si>
    <t>cushon@google.com</t>
  </si>
  <si>
    <t>cushon</t>
  </si>
  <si>
    <t>sjsurbhi@google.com</t>
  </si>
  <si>
    <t>sjsurbhi</t>
  </si>
  <si>
    <t>sizhi@google.com</t>
  </si>
  <si>
    <t>sizhi</t>
  </si>
  <si>
    <t>ashiq.imran@intel.com</t>
  </si>
  <si>
    <t>ashiq.imran</t>
  </si>
  <si>
    <t>krishnahari@google.com</t>
  </si>
  <si>
    <t>krishnahari</t>
  </si>
  <si>
    <t>david.svantesson@arm.com</t>
  </si>
  <si>
    <t>david.svantesson</t>
  </si>
  <si>
    <t>inhoseo@google.com</t>
  </si>
  <si>
    <t>inhoseo</t>
  </si>
  <si>
    <t>joker.eph@gmail.com</t>
  </si>
  <si>
    <t>joker.eph</t>
  </si>
  <si>
    <t>shibow@google.com</t>
  </si>
  <si>
    <t>shibow</t>
  </si>
  <si>
    <t>chencm@google.com</t>
  </si>
  <si>
    <t>chencm</t>
  </si>
  <si>
    <t>emilyaf@google.com</t>
  </si>
  <si>
    <t>emilyaf</t>
  </si>
  <si>
    <t>cloudhan@outlook.com</t>
  </si>
  <si>
    <t>cloudhan</t>
  </si>
  <si>
    <t>angerson@users.noreply.github.com</t>
  </si>
  <si>
    <t>luke.hutton@arm.com</t>
  </si>
  <si>
    <t>luke.hutton</t>
  </si>
  <si>
    <t>mheydary@google.com</t>
  </si>
  <si>
    <t>mheydary</t>
  </si>
  <si>
    <t>ytjing@google.com</t>
  </si>
  <si>
    <t>ytjing</t>
  </si>
  <si>
    <t>22492939+mseth10@users.noreply.github.com</t>
  </si>
  <si>
    <t>22492939+mseth10</t>
  </si>
  <si>
    <t>swegner@google.com</t>
  </si>
  <si>
    <t>swegner</t>
  </si>
  <si>
    <t>vnukov@google.com</t>
  </si>
  <si>
    <t>vnukov</t>
  </si>
  <si>
    <t>yulvchi@qq.com</t>
  </si>
  <si>
    <t>yulvchi</t>
  </si>
  <si>
    <t>adam.lanicek@nxp.com</t>
  </si>
  <si>
    <t>adam.lanicek</t>
  </si>
  <si>
    <t>debabhi1396@gmail.com</t>
  </si>
  <si>
    <t>debabhi1396</t>
  </si>
  <si>
    <t>regevs@google.com</t>
  </si>
  <si>
    <t>regevs</t>
  </si>
  <si>
    <t>pedro.r.marques@gmail.com</t>
  </si>
  <si>
    <t>pedro.r.marques</t>
  </si>
  <si>
    <t>yibairen.byron@bytedance.com</t>
  </si>
  <si>
    <t>yibairen.byron</t>
  </si>
  <si>
    <t>36858332+deven-amd@users.noreply.github.com</t>
  </si>
  <si>
    <t>36858332+deven-amd</t>
  </si>
  <si>
    <t>milan@strakovi.com</t>
  </si>
  <si>
    <t>milan</t>
  </si>
  <si>
    <t>aavishkarmishra@gmail.com</t>
  </si>
  <si>
    <t>aavishkarmishra</t>
  </si>
  <si>
    <t>felixjohnny.thomasmathibalan@arm.com</t>
  </si>
  <si>
    <t>felixjohnny.thomasmathibalan</t>
  </si>
  <si>
    <t>tongxuan.ltx@alibaba-inc.com</t>
  </si>
  <si>
    <t>tongxuan.ltx</t>
  </si>
  <si>
    <t>tomas.rietbergen@gmail.com</t>
  </si>
  <si>
    <t>tomas.rietbergen</t>
  </si>
  <si>
    <t>Clayne.B.Robison@intel.com</t>
  </si>
  <si>
    <t>Clayne.B.Robison</t>
  </si>
  <si>
    <t>kwagyeman@live.com</t>
  </si>
  <si>
    <t>kwagyeman</t>
  </si>
  <si>
    <t>archis.joglekar@noble.ai</t>
  </si>
  <si>
    <t>archis.joglekar</t>
  </si>
  <si>
    <t>noble</t>
  </si>
  <si>
    <t>hvrigazov@gmail.com</t>
  </si>
  <si>
    <t>hvrigazov</t>
  </si>
  <si>
    <t>nishidha@us.ibm.com</t>
  </si>
  <si>
    <t>nishidha</t>
  </si>
  <si>
    <t>kiszk@users.noreply.github.com</t>
  </si>
  <si>
    <t>kiszk</t>
  </si>
  <si>
    <t>P.Blacker@surrey.ac.uk</t>
  </si>
  <si>
    <t>P.Blacker</t>
  </si>
  <si>
    <t>surrey</t>
  </si>
  <si>
    <t>chrisyeh96@users.noreply.github.com</t>
  </si>
  <si>
    <t>chrisyeh96</t>
  </si>
  <si>
    <t>ijund.phil@gmail.com</t>
  </si>
  <si>
    <t>ijund.phil</t>
  </si>
  <si>
    <t>mark.d.ryan@intel.com</t>
  </si>
  <si>
    <t>mark.d.ryan</t>
  </si>
  <si>
    <t>38598618+1e100@users.noreply.github.com</t>
  </si>
  <si>
    <t>38598618+1e100</t>
  </si>
  <si>
    <t>peng.meng@intel.com</t>
  </si>
  <si>
    <t>peng.meng</t>
  </si>
  <si>
    <t>daj@users.noreply.github.com</t>
  </si>
  <si>
    <t>daj</t>
  </si>
  <si>
    <t>29300900+olicht@users.noreply.github.com</t>
  </si>
  <si>
    <t>29300900+olicht</t>
  </si>
  <si>
    <t>josephelliotyearsley@gmail.com</t>
  </si>
  <si>
    <t>josephelliotyearsley</t>
  </si>
  <si>
    <t>naurril@gmail.com</t>
  </si>
  <si>
    <t>naurril</t>
  </si>
  <si>
    <t>junpeng.lao@unifr.ch</t>
  </si>
  <si>
    <t>junpeng.lao</t>
  </si>
  <si>
    <t>unifr</t>
  </si>
  <si>
    <t>qmick@live.cn</t>
  </si>
  <si>
    <t>qmick</t>
  </si>
  <si>
    <t>asimshankar@gmail.com</t>
  </si>
  <si>
    <t>asimshankar</t>
  </si>
  <si>
    <t>rnabel@google.com</t>
  </si>
  <si>
    <t>rnabel</t>
  </si>
  <si>
    <t>phvu225@gmail.com</t>
  </si>
  <si>
    <t>phvu225</t>
  </si>
  <si>
    <t>anshumang@google.com</t>
  </si>
  <si>
    <t>anshumang</t>
  </si>
  <si>
    <t>olechwierowicz@google.com</t>
  </si>
  <si>
    <t>olechwierowicz</t>
  </si>
  <si>
    <t>frederic.bastien@gmail.com</t>
  </si>
  <si>
    <t>frederic.bastien</t>
  </si>
  <si>
    <t>mareynolds@google.com</t>
  </si>
  <si>
    <t>mareynolds</t>
  </si>
  <si>
    <t>kyuyeunk@google.com</t>
  </si>
  <si>
    <t>kyuyeunk</t>
  </si>
  <si>
    <t>81610181+tilakrayal@users.noreply.github.com</t>
  </si>
  <si>
    <t>81610181+tilakrayal</t>
  </si>
  <si>
    <t>nkovela@google.com</t>
  </si>
  <si>
    <t>nkovela</t>
  </si>
  <si>
    <t>bviyer@google.com</t>
  </si>
  <si>
    <t>bviyer</t>
  </si>
  <si>
    <t>AsakusaRinne@gmail.com</t>
  </si>
  <si>
    <t>AsakusaRinne</t>
  </si>
  <si>
    <t>npanpa23@in.ibm.com</t>
  </si>
  <si>
    <t>npanpa23</t>
  </si>
  <si>
    <t>ashay@users.noreply.github.com</t>
  </si>
  <si>
    <t>ashay</t>
  </si>
  <si>
    <t>mbrukman@google.com</t>
  </si>
  <si>
    <t>mbrukman</t>
  </si>
  <si>
    <t>yuxinw@google.com</t>
  </si>
  <si>
    <t>yuxinw</t>
  </si>
  <si>
    <t>youchuanhu@google.com</t>
  </si>
  <si>
    <t>youchuanhu</t>
  </si>
  <si>
    <t>nadampal@amazon.com</t>
  </si>
  <si>
    <t>nadampal</t>
  </si>
  <si>
    <t>jekbradbury@google.com</t>
  </si>
  <si>
    <t>jekbradbury</t>
  </si>
  <si>
    <t>banikumar.maiti@intel.com</t>
  </si>
  <si>
    <t>banikumar.maiti</t>
  </si>
  <si>
    <t>mengzhensun@google.com</t>
  </si>
  <si>
    <t>mengzhensun</t>
  </si>
  <si>
    <t>tokarip@google.com</t>
  </si>
  <si>
    <t>tokarip</t>
  </si>
  <si>
    <t>lchang20@illinois.edu</t>
  </si>
  <si>
    <t>lchang20</t>
  </si>
  <si>
    <t>illinois</t>
  </si>
  <si>
    <t>51359628+shubham-shahh@users.noreply.github.com</t>
  </si>
  <si>
    <t>51359628+shubham-shahh</t>
  </si>
  <si>
    <t>k.vignesh1420@gmail.com</t>
  </si>
  <si>
    <t>k.vignesh1420</t>
  </si>
  <si>
    <t>17497234+wamuir@users.noreply.github.com</t>
  </si>
  <si>
    <t>17497234+wamuir</t>
  </si>
  <si>
    <t>khomenko@brainscode.com</t>
  </si>
  <si>
    <t>khomenko</t>
  </si>
  <si>
    <t>Brainscode</t>
  </si>
  <si>
    <t>jysohn@google.com</t>
  </si>
  <si>
    <t>jysohn</t>
  </si>
  <si>
    <t>rama.ketineni@intel.com</t>
  </si>
  <si>
    <t>rama.ketineni</t>
  </si>
  <si>
    <t>davmre@google.com</t>
  </si>
  <si>
    <t>davmre</t>
  </si>
  <si>
    <t>irvineoy@gmail.com</t>
  </si>
  <si>
    <t>irvineoy</t>
  </si>
  <si>
    <t>7688302+AdamHillier@users.noreply.github.com</t>
  </si>
  <si>
    <t>7688302+AdamHillier</t>
  </si>
  <si>
    <t>nick.kreeger@gmail.com</t>
  </si>
  <si>
    <t>nick.kreeger</t>
  </si>
  <si>
    <t>8056257+motionlife@users.noreply.github.com</t>
  </si>
  <si>
    <t>8056257+motionlife</t>
  </si>
  <si>
    <t>matejr@google.com</t>
  </si>
  <si>
    <t>matejr</t>
  </si>
  <si>
    <t>vikram.dattu@espressif.com</t>
  </si>
  <si>
    <t>vikram.dattu</t>
  </si>
  <si>
    <t>espressif</t>
  </si>
  <si>
    <t>ersmistad@gmail.com</t>
  </si>
  <si>
    <t>ersmistad</t>
  </si>
  <si>
    <t>Yiwen.Li@ibm.com</t>
  </si>
  <si>
    <t>Yiwen.Li</t>
  </si>
  <si>
    <t>42632089+jedlimlx@users.noreply.github.com</t>
  </si>
  <si>
    <t>42632089+jedlimlx</t>
  </si>
  <si>
    <t>daria@synopsys.com</t>
  </si>
  <si>
    <t>daria</t>
  </si>
  <si>
    <t>giorgio.arena@arm.com</t>
  </si>
  <si>
    <t>giorgio.arena</t>
  </si>
  <si>
    <t>andrew.stevens@infineon.com</t>
  </si>
  <si>
    <t>andrew.stevens</t>
  </si>
  <si>
    <t>infineon</t>
  </si>
  <si>
    <t>leslie.fang@intel.com</t>
  </si>
  <si>
    <t>leslie.fang</t>
  </si>
  <si>
    <t>cutlerb@gmail.com</t>
  </si>
  <si>
    <t>cutlerb</t>
  </si>
  <si>
    <t>craigcitro@google.com</t>
  </si>
  <si>
    <t>craigcitro</t>
  </si>
  <si>
    <t>danielzheng@google.com</t>
  </si>
  <si>
    <t>danielzheng</t>
  </si>
  <si>
    <t>i@jackwish.net</t>
  </si>
  <si>
    <t>wujiqing9@gmail.com</t>
  </si>
  <si>
    <t>wujiqing9</t>
  </si>
  <si>
    <t>suyoggupta@google.com</t>
  </si>
  <si>
    <t>suyoggupta</t>
  </si>
  <si>
    <t>sumesh.uk@gmail.com</t>
  </si>
  <si>
    <t>sumesh.uk</t>
  </si>
  <si>
    <t>gshashank84@gmail.com</t>
  </si>
  <si>
    <t>gshashank84</t>
  </si>
  <si>
    <t>nfiedel@google.com</t>
  </si>
  <si>
    <t>nfiedel</t>
  </si>
  <si>
    <t>hsgkim@snu.ac.kr</t>
  </si>
  <si>
    <t>hsgkim</t>
  </si>
  <si>
    <t>mcollier@hubspot.com</t>
  </si>
  <si>
    <t>mcollier</t>
  </si>
  <si>
    <t>ggadde@google.com</t>
  </si>
  <si>
    <t>ggadde</t>
  </si>
  <si>
    <t>nfelt@users.noreply.github.com</t>
  </si>
  <si>
    <t>nfelt</t>
  </si>
  <si>
    <t>wdchien@kth.se</t>
  </si>
  <si>
    <t>wdchien</t>
  </si>
  <si>
    <t>kth</t>
  </si>
  <si>
    <t>joggino23@gmail.com</t>
  </si>
  <si>
    <t>joggino23</t>
  </si>
  <si>
    <t>tonywy@google.com</t>
  </si>
  <si>
    <t>tonywy</t>
  </si>
  <si>
    <t>andrei.nigmatulin@gmail.com</t>
  </si>
  <si>
    <t>andrei.nigmatulin</t>
  </si>
  <si>
    <t>jwexler@google.com</t>
  </si>
  <si>
    <t>jwexler</t>
  </si>
  <si>
    <t>dansbecker@gmail.com</t>
  </si>
  <si>
    <t>dansbecker</t>
  </si>
  <si>
    <t>benoitsteiner@users.noreply.github.com</t>
  </si>
  <si>
    <t>benoitsteiner</t>
  </si>
  <si>
    <t>tillahoffmann@gmail.com</t>
  </si>
  <si>
    <t>tillahoffmann</t>
  </si>
  <si>
    <t>rryan@alum.mit.edu</t>
  </si>
  <si>
    <t>rryan</t>
  </si>
  <si>
    <t>Alum</t>
  </si>
  <si>
    <t>zhongzyd@qq.com</t>
  </si>
  <si>
    <t>zhongzyd</t>
  </si>
  <si>
    <t>alexander.heinecke@intel.com</t>
  </si>
  <si>
    <t>alexander.heinecke</t>
  </si>
  <si>
    <t>zuoxingdong@users.noreply.github.com</t>
  </si>
  <si>
    <t>zuoxingdong</t>
  </si>
  <si>
    <t>vanthuyen@gmail.com</t>
  </si>
  <si>
    <t>vanthuyen</t>
  </si>
  <si>
    <t>alan.c.wu@gmail.com</t>
  </si>
  <si>
    <t>alan.c.wu</t>
  </si>
  <si>
    <t>hunkim@gmail.com</t>
  </si>
  <si>
    <t>hunkim</t>
  </si>
  <si>
    <t>fredbertsch@google.com</t>
  </si>
  <si>
    <t>fredbertsch</t>
  </si>
  <si>
    <t>timonvo@google.com</t>
  </si>
  <si>
    <t>timonvo</t>
  </si>
  <si>
    <t>tai.ly@arm.com</t>
  </si>
  <si>
    <t>tai.ly</t>
  </si>
  <si>
    <t>yashjs@google.com</t>
  </si>
  <si>
    <t>yashjs</t>
  </si>
  <si>
    <t>64982042+alexrosen45@users.noreply.github.com</t>
  </si>
  <si>
    <t>64982042+alexrosen45</t>
  </si>
  <si>
    <t>tatwai.chong@arm.com</t>
  </si>
  <si>
    <t>tatwai.chong</t>
  </si>
  <si>
    <t>dhchoi@google.com</t>
  </si>
  <si>
    <t>dhchoi</t>
  </si>
  <si>
    <t>rahgarg@google.com</t>
  </si>
  <si>
    <t>rahgarg</t>
  </si>
  <si>
    <t>cristian.balint@gmail.com</t>
  </si>
  <si>
    <t>cristian.balint</t>
  </si>
  <si>
    <t>xldrx@google.com</t>
  </si>
  <si>
    <t>xldrx</t>
  </si>
  <si>
    <t>ageron@users.noreply.github.com</t>
  </si>
  <si>
    <t>ageron</t>
  </si>
  <si>
    <t>sharadmv@google.com</t>
  </si>
  <si>
    <t>sharadmv</t>
  </si>
  <si>
    <t>spanev@nvidia.com</t>
  </si>
  <si>
    <t>spanev</t>
  </si>
  <si>
    <t>Thomas.Schmeyer@dfki.de</t>
  </si>
  <si>
    <t>Thomas.Schmeyer</t>
  </si>
  <si>
    <t>qq1044467857@gmail.com</t>
  </si>
  <si>
    <t>qq1044467857</t>
  </si>
  <si>
    <t>ruochengw@google.com</t>
  </si>
  <si>
    <t>ruochengw</t>
  </si>
  <si>
    <t>chendouble@google.com</t>
  </si>
  <si>
    <t>chendouble</t>
  </si>
  <si>
    <t>zeno.gantner@gmail.com</t>
  </si>
  <si>
    <t>zeno.gantner</t>
  </si>
  <si>
    <t>thedomjack@gmail.com</t>
  </si>
  <si>
    <t>thedomjack</t>
  </si>
  <si>
    <t>felix.fent@tum.de</t>
  </si>
  <si>
    <t>felix.fent</t>
  </si>
  <si>
    <t>tum</t>
  </si>
  <si>
    <t>phil.pearl@ravelin.com</t>
  </si>
  <si>
    <t>phil.pearl</t>
  </si>
  <si>
    <t>ravelin</t>
  </si>
  <si>
    <t>llmunguia@google.com</t>
  </si>
  <si>
    <t>llmunguia</t>
  </si>
  <si>
    <t>pengmeng@tencent.com</t>
  </si>
  <si>
    <t>pengmeng</t>
  </si>
  <si>
    <t>cgs@google.com</t>
  </si>
  <si>
    <t>cgs</t>
  </si>
  <si>
    <t>manisharadwad@gmail.com</t>
  </si>
  <si>
    <t>manisharadwad</t>
  </si>
  <si>
    <t>puneethk.cs17@bmsce.ac.in</t>
  </si>
  <si>
    <t>puneethk.cs17</t>
  </si>
  <si>
    <t>Orga</t>
  </si>
  <si>
    <t>rick_wierenga@icloud.com</t>
  </si>
  <si>
    <t>rick_wierenga</t>
  </si>
  <si>
    <t>bbaren@google.com</t>
  </si>
  <si>
    <t>bbaren</t>
  </si>
  <si>
    <t>thierry.herrmann@gmail.com</t>
  </si>
  <si>
    <t>thierry.herrmann</t>
  </si>
  <si>
    <t>proppy@google.com</t>
  </si>
  <si>
    <t>proppy</t>
  </si>
  <si>
    <t>somyajitchppr@gmail.com</t>
  </si>
  <si>
    <t>somyajitchppr</t>
  </si>
  <si>
    <t>gomathi.ramamurthy@intel.com</t>
  </si>
  <si>
    <t>gomathi.ramamurthy</t>
  </si>
  <si>
    <t>efanzh@gmail.com</t>
  </si>
  <si>
    <t>efanzh</t>
  </si>
  <si>
    <t>215671076@qq.com</t>
  </si>
  <si>
    <t>ppwwyyxx@users.noreply.github.com</t>
  </si>
  <si>
    <t>ppwwyyxx</t>
  </si>
  <si>
    <t>jeroen@minds.ai</t>
  </si>
  <si>
    <t>jeroen</t>
  </si>
  <si>
    <t>minds</t>
  </si>
  <si>
    <t>6yearold@gmail.com</t>
  </si>
  <si>
    <t>6yearold</t>
  </si>
  <si>
    <t>nayana.thorat@gmail.com</t>
  </si>
  <si>
    <t>nayana.thorat</t>
  </si>
  <si>
    <t>mrtsjolder@gmail.com</t>
  </si>
  <si>
    <t>mrtsjolder</t>
  </si>
  <si>
    <t>sudeepam.pandey@gmail.com</t>
  </si>
  <si>
    <t>sudeepam.pandey</t>
  </si>
  <si>
    <t>sdamani6@gatech.edu</t>
  </si>
  <si>
    <t>sdamani6</t>
  </si>
  <si>
    <t>gatech</t>
  </si>
  <si>
    <t>jonasrauber@users.noreply.github.com</t>
  </si>
  <si>
    <t>jonasrauber</t>
  </si>
  <si>
    <t>vkovalevskyi@google.com</t>
  </si>
  <si>
    <t>vkovalevskyi</t>
  </si>
  <si>
    <t>dbhadauria@google.com</t>
  </si>
  <si>
    <t>dbhadauria</t>
  </si>
  <si>
    <t>rxwei@google.com</t>
  </si>
  <si>
    <t>rxwei</t>
  </si>
  <si>
    <t>muchida@google.com</t>
  </si>
  <si>
    <t>muchida</t>
  </si>
  <si>
    <t>muksiukei@gmail.com</t>
  </si>
  <si>
    <t>muksiukei</t>
  </si>
  <si>
    <t>bstriner@gmail.com</t>
  </si>
  <si>
    <t>bstriner</t>
  </si>
  <si>
    <t>soila.p.kavulya@intel.com</t>
  </si>
  <si>
    <t>soila.p.kavulya</t>
  </si>
  <si>
    <t>samikama@users.noreply.github.com</t>
  </si>
  <si>
    <t>samikama</t>
  </si>
  <si>
    <t>352172@gmail.com</t>
  </si>
  <si>
    <t>jinxin900924@gmail.com</t>
  </si>
  <si>
    <t>jinxin900924</t>
  </si>
  <si>
    <t>allenlavoie@gmail.com</t>
  </si>
  <si>
    <t>allenlavoie</t>
  </si>
  <si>
    <t>ooqwe486@gmail.com</t>
  </si>
  <si>
    <t>ooqwe486</t>
  </si>
  <si>
    <t>bhavenamrata@gmail.com</t>
  </si>
  <si>
    <t>bhavenamrata</t>
  </si>
  <si>
    <t>grosu.codrut@gmail.com</t>
  </si>
  <si>
    <t>grosu.codrut</t>
  </si>
  <si>
    <t>neal@nealwu.com</t>
  </si>
  <si>
    <t>neal</t>
  </si>
  <si>
    <t>raviqqe@gmail.com</t>
  </si>
  <si>
    <t>raviqqe</t>
  </si>
  <si>
    <t>skleinfeld@google.com</t>
  </si>
  <si>
    <t>skleinfeld</t>
  </si>
  <si>
    <t>zhengjiajin2016@gmail.com</t>
  </si>
  <si>
    <t>zhengjiajin2016</t>
  </si>
  <si>
    <t>vamsi.sripathi@intel.com</t>
  </si>
  <si>
    <t>vamsi.sripathi</t>
  </si>
  <si>
    <t>davidzchen@users.noreply.github.com</t>
  </si>
  <si>
    <t>davidzchen</t>
  </si>
  <si>
    <t>tyfkda@users.noreply.github.com</t>
  </si>
  <si>
    <t>tyfkda</t>
  </si>
  <si>
    <t>jendap@gmail.com</t>
  </si>
  <si>
    <t>james_wexler@yahoo.com</t>
  </si>
  <si>
    <t>james_wexler</t>
  </si>
  <si>
    <t>yueshengys@google.com</t>
  </si>
  <si>
    <t>yueshengys</t>
  </si>
  <si>
    <t>chaserileyroberts@gmail.com</t>
  </si>
  <si>
    <t>chaserileyroberts</t>
  </si>
  <si>
    <t>sagyakwa@google.com</t>
  </si>
  <si>
    <t>sagyakwa</t>
  </si>
  <si>
    <t>rechen@google.com</t>
  </si>
  <si>
    <t>rechen</t>
  </si>
  <si>
    <t>Namrata.Bhave@ibm.com</t>
  </si>
  <si>
    <t>Namrata.Bhave</t>
  </si>
  <si>
    <t>crefeda.rodrigues@arm.com</t>
  </si>
  <si>
    <t>crefeda.rodrigues</t>
  </si>
  <si>
    <t>135813129+radekzc@users.noreply.github.com</t>
  </si>
  <si>
    <t>135813129+radekzc</t>
  </si>
  <si>
    <t>111861663+tiruk007@users.noreply.github.com</t>
  </si>
  <si>
    <t>111861663+tiruk007</t>
  </si>
  <si>
    <t>98147397+synandi@users.noreply.github.com</t>
  </si>
  <si>
    <t>98147397+synandi</t>
  </si>
  <si>
    <t>74177924+chunduriv@users.noreply.github.com</t>
  </si>
  <si>
    <t>74177924+chunduriv</t>
  </si>
  <si>
    <t>xoiga123@outlook.com.vn</t>
  </si>
  <si>
    <t>xoiga123</t>
  </si>
  <si>
    <t>syed.shahbaaz.ahmed@intel.com</t>
  </si>
  <si>
    <t>syed.shahbaaz.ahmed</t>
  </si>
  <si>
    <t>steving@google.com</t>
  </si>
  <si>
    <t>steving</t>
  </si>
  <si>
    <t>soosung@google.com</t>
  </si>
  <si>
    <t>soosung</t>
  </si>
  <si>
    <t>maxiwell@linux.ibm.com</t>
  </si>
  <si>
    <t>maxiwell</t>
  </si>
  <si>
    <t>scotttodd@google.com</t>
  </si>
  <si>
    <t>scotttodd</t>
  </si>
  <si>
    <t>mrinaltyagi24@gmail.com</t>
  </si>
  <si>
    <t>mrinaltyagi24</t>
  </si>
  <si>
    <t>eli.osherovich@gmail.com</t>
  </si>
  <si>
    <t>eli.osherovich</t>
  </si>
  <si>
    <t>951425797@qq.com</t>
  </si>
  <si>
    <t>prateek@polymagelabs.com</t>
  </si>
  <si>
    <t>prateek</t>
  </si>
  <si>
    <t>67425323+alenik01@users.noreply.github.com</t>
  </si>
  <si>
    <t>67425323+alenik01</t>
  </si>
  <si>
    <t>harry.slatyer@gmail.com</t>
  </si>
  <si>
    <t>harry.slatyer</t>
  </si>
  <si>
    <t>lzr@google.com</t>
  </si>
  <si>
    <t>lzr</t>
  </si>
  <si>
    <t>vincent.abriou@st.com</t>
  </si>
  <si>
    <t>vincent.abriou</t>
  </si>
  <si>
    <t>yifeng.cui@intel.com</t>
  </si>
  <si>
    <t>yifeng.cui</t>
  </si>
  <si>
    <t>bzhaojyathousandy@gmail.com</t>
  </si>
  <si>
    <t>bzhaojyathousandy</t>
  </si>
  <si>
    <t>krakoczy@antmicro.com</t>
  </si>
  <si>
    <t>krakoczy</t>
  </si>
  <si>
    <t>lakshay.tokas@intel.com</t>
  </si>
  <si>
    <t>lakshay.tokas</t>
  </si>
  <si>
    <t>hannes.software@gmx.at</t>
  </si>
  <si>
    <t>hannes.software</t>
  </si>
  <si>
    <t>guillaume.klein@systrangroup.com</t>
  </si>
  <si>
    <t>guillaume.klein</t>
  </si>
  <si>
    <t>systrangroup</t>
  </si>
  <si>
    <t>vasanirushabh24@gmail.com</t>
  </si>
  <si>
    <t>vasanirushabh24</t>
  </si>
  <si>
    <t>giuseppe.rossini@arm.com</t>
  </si>
  <si>
    <t>giuseppe.rossini</t>
  </si>
  <si>
    <t>puneethk.2899@gmail.com</t>
  </si>
  <si>
    <t>puneethk.2899</t>
  </si>
  <si>
    <t>33108072+Qwerty71@users.noreply.github.com</t>
  </si>
  <si>
    <t>33108072+Qwerty71</t>
  </si>
  <si>
    <t>william.yin.ca@gmail.com</t>
  </si>
  <si>
    <t>william.yin.ca</t>
  </si>
  <si>
    <t>george.sterpu@gmail.com</t>
  </si>
  <si>
    <t>george.sterpu</t>
  </si>
  <si>
    <t>niels_ole@salscheider-online.de</t>
  </si>
  <si>
    <t>niels_ole</t>
  </si>
  <si>
    <t>michal.tarnowski@tcl.com</t>
  </si>
  <si>
    <t>michal.tarnowski</t>
  </si>
  <si>
    <t>tcl</t>
  </si>
  <si>
    <t>pengwu100@gmail.com</t>
  </si>
  <si>
    <t>pengwu100</t>
  </si>
  <si>
    <t>twtw40@gmail.com</t>
  </si>
  <si>
    <t>twtw40</t>
  </si>
  <si>
    <t>irinabejan@google.com</t>
  </si>
  <si>
    <t>irinabejan</t>
  </si>
  <si>
    <t>zaccharie.ramzi@gmail.com</t>
  </si>
  <si>
    <t>zaccharie.ramzi</t>
  </si>
  <si>
    <t>mvels@google.com</t>
  </si>
  <si>
    <t>mvels</t>
  </si>
  <si>
    <t>sontnh@gmail.com</t>
  </si>
  <si>
    <t>sontnh</t>
  </si>
  <si>
    <t>jbowser@adobe.com</t>
  </si>
  <si>
    <t>jbowser</t>
  </si>
  <si>
    <t>adobe</t>
  </si>
  <si>
    <t>ashah@ambiqmicro.com</t>
  </si>
  <si>
    <t>ashah</t>
  </si>
  <si>
    <t>x-sam@brainscode.com</t>
  </si>
  <si>
    <t>x-sam</t>
  </si>
  <si>
    <t>brainscode</t>
  </si>
  <si>
    <t>p.minervini@gmail.com</t>
  </si>
  <si>
    <t>p.minervini</t>
  </si>
  <si>
    <t>dvytin@google.com</t>
  </si>
  <si>
    <t>dvytin</t>
  </si>
  <si>
    <t>f20170604@goa.bits-pilani.ac.in</t>
  </si>
  <si>
    <t>f20170604</t>
  </si>
  <si>
    <t>accraze@gmail.com</t>
  </si>
  <si>
    <t>accraze</t>
  </si>
  <si>
    <t>dalmo@clarifai.com</t>
  </si>
  <si>
    <t>dalmo</t>
  </si>
  <si>
    <t>clarifai</t>
  </si>
  <si>
    <t>pythonanonuser@gmail.com</t>
  </si>
  <si>
    <t>pythonanonuser</t>
  </si>
  <si>
    <t>smguo2001@gmail.com</t>
  </si>
  <si>
    <t>smguo2001</t>
  </si>
  <si>
    <t>yiqiang.li@intel.com</t>
  </si>
  <si>
    <t>yiqiang.li</t>
  </si>
  <si>
    <t>skambha@us.ibm.com</t>
  </si>
  <si>
    <t>skambha</t>
  </si>
  <si>
    <t>fwiffo@google.com</t>
  </si>
  <si>
    <t>fwiffo</t>
  </si>
  <si>
    <t>byronyi@users.noreply.github.com</t>
  </si>
  <si>
    <t>byronyi</t>
  </si>
  <si>
    <t>darren.garvey@gmail.com</t>
  </si>
  <si>
    <t>darren.garvey</t>
  </si>
  <si>
    <t>mail@sebastianraschka.com</t>
  </si>
  <si>
    <t>maciekc@google.com</t>
  </si>
  <si>
    <t>maciekc</t>
  </si>
  <si>
    <t>dmarting@google.com</t>
  </si>
  <si>
    <t>dmarting</t>
  </si>
  <si>
    <t>jwrae@google.com</t>
  </si>
  <si>
    <t>jwrae</t>
  </si>
  <si>
    <t>jhchoi@europa.snu.ac.kr</t>
  </si>
  <si>
    <t>jhchoi</t>
  </si>
  <si>
    <t>raphaelgontijolopes@gmail.com</t>
  </si>
  <si>
    <t>raphaelgontijolopes</t>
  </si>
  <si>
    <t>raix852@gmail.com</t>
  </si>
  <si>
    <t>raix852</t>
  </si>
  <si>
    <t>haosdent@gmail.com</t>
  </si>
  <si>
    <t>haosdent</t>
  </si>
  <si>
    <t>admcrae@gatech.edu</t>
  </si>
  <si>
    <t>admcrae</t>
  </si>
  <si>
    <t>amchercashin@gmail.com</t>
  </si>
  <si>
    <t>amchercashin</t>
  </si>
  <si>
    <t>crem@google.com</t>
  </si>
  <si>
    <t>crem</t>
  </si>
  <si>
    <t>fahrbach@google.com</t>
  </si>
  <si>
    <t>fahrbach</t>
  </si>
  <si>
    <t>mistersheik@gmail.com</t>
  </si>
  <si>
    <t>mistersheik</t>
  </si>
  <si>
    <t>cesarmagana@google.com</t>
  </si>
  <si>
    <t>cesarmagana</t>
  </si>
  <si>
    <t>nicolagp@google.com</t>
  </si>
  <si>
    <t>nicolagp</t>
  </si>
  <si>
    <t>shivammishr@google.com</t>
  </si>
  <si>
    <t>shivammishr</t>
  </si>
  <si>
    <t>christis@google.com</t>
  </si>
  <si>
    <t>christis</t>
  </si>
  <si>
    <t>dtanmay@google.com</t>
  </si>
  <si>
    <t>dtanmay</t>
  </si>
  <si>
    <t>ratnam.parikh@intel.com</t>
  </si>
  <si>
    <t>ratnam.parikh</t>
  </si>
  <si>
    <t>julian.amann@tum.de</t>
  </si>
  <si>
    <t>julian.amann</t>
  </si>
  <si>
    <t>taugustine@google.com</t>
  </si>
  <si>
    <t>taugustine</t>
  </si>
  <si>
    <t>dnlng@google.com</t>
  </si>
  <si>
    <t>dnlng</t>
  </si>
  <si>
    <t>4316856+fcoUnda@users.noreply.github.com</t>
  </si>
  <si>
    <t>4316856+fcoUnda</t>
  </si>
  <si>
    <t>zz5204662@gmail.com</t>
  </si>
  <si>
    <t>zz5204662</t>
  </si>
  <si>
    <t>thegeorg@yandex-team.ru</t>
  </si>
  <si>
    <t>thegeorg</t>
  </si>
  <si>
    <t>yandex-team</t>
  </si>
  <si>
    <t>eric.kunze@arm.com</t>
  </si>
  <si>
    <t>eric.kunze</t>
  </si>
  <si>
    <t>sreenik@google.com</t>
  </si>
  <si>
    <t>sreenik</t>
  </si>
  <si>
    <t>marvinritter@google.com</t>
  </si>
  <si>
    <t>marvinritter</t>
  </si>
  <si>
    <t>ri@rogeriyengar.com</t>
  </si>
  <si>
    <t>ri</t>
  </si>
  <si>
    <t>gbender@google.com</t>
  </si>
  <si>
    <t>gbender</t>
  </si>
  <si>
    <t>wanluzhang@google.com</t>
  </si>
  <si>
    <t>wanluzhang</t>
  </si>
  <si>
    <t>99852755+gadagashwini@users.noreply.github.com</t>
  </si>
  <si>
    <t>99852755+gadagashwini</t>
  </si>
  <si>
    <t>benbarsdell@gmail.com</t>
  </si>
  <si>
    <t>benbarsdell</t>
  </si>
  <si>
    <t>stanley@nod-labs.com</t>
  </si>
  <si>
    <t>stanley</t>
  </si>
  <si>
    <t>lemo1234@gmail.com</t>
  </si>
  <si>
    <t>lemo1234</t>
  </si>
  <si>
    <t>yanzhang.wang@intel.com</t>
  </si>
  <si>
    <t>yanzhang.wang</t>
  </si>
  <si>
    <t>hakons@graphcore.ai</t>
  </si>
  <si>
    <t>hakons</t>
  </si>
  <si>
    <t>avg@google.com</t>
  </si>
  <si>
    <t>avg</t>
  </si>
  <si>
    <t>fhennecker@scortex.io</t>
  </si>
  <si>
    <t>fhennecker</t>
  </si>
  <si>
    <t>scortex</t>
  </si>
  <si>
    <t>aadhitya864@gmail.com</t>
  </si>
  <si>
    <t>aadhitya864</t>
  </si>
  <si>
    <t>mazharul.islam@intel.com</t>
  </si>
  <si>
    <t>mazharul.islam</t>
  </si>
  <si>
    <t>denisa.roberts@denisaroberts.me</t>
  </si>
  <si>
    <t>denisa.roberts</t>
  </si>
  <si>
    <t>ashwinphadke12@rediffmail.com</t>
  </si>
  <si>
    <t>ashwinphadke12</t>
  </si>
  <si>
    <t>manuel.loew.infineon@gmail.com</t>
  </si>
  <si>
    <t>manuel.loew.infineon</t>
  </si>
  <si>
    <t>ataei@google.com</t>
  </si>
  <si>
    <t>ataei</t>
  </si>
  <si>
    <t>fangjiahaosjtu2017@126.com</t>
  </si>
  <si>
    <t>fangjiahaosjtu2017</t>
  </si>
  <si>
    <t>sboshin@amazon.com</t>
  </si>
  <si>
    <t>sboshin</t>
  </si>
  <si>
    <t>drebain@uvic.ca</t>
  </si>
  <si>
    <t>drebain</t>
  </si>
  <si>
    <t>uvic</t>
  </si>
  <si>
    <t>36869454+amturati@users.noreply.github.com</t>
  </si>
  <si>
    <t>36869454+amturati</t>
  </si>
  <si>
    <t>hterry@google.com</t>
  </si>
  <si>
    <t>hterry</t>
  </si>
  <si>
    <t>cclauss@me.com</t>
  </si>
  <si>
    <t>gorban@google.com</t>
  </si>
  <si>
    <t>gorban</t>
  </si>
  <si>
    <t>v.carpani@fizyr.com</t>
  </si>
  <si>
    <t>v.carpani</t>
  </si>
  <si>
    <t>fizyr</t>
  </si>
  <si>
    <t>alxhoff@gmail.com</t>
  </si>
  <si>
    <t>alxhoff</t>
  </si>
  <si>
    <t>m.moussa@instadeep.com</t>
  </si>
  <si>
    <t>m.moussa</t>
  </si>
  <si>
    <t>instadeep</t>
  </si>
  <si>
    <t>pallavi.g@intel.com</t>
  </si>
  <si>
    <t>pallavi.g</t>
  </si>
  <si>
    <t>foldl@outlook.com</t>
  </si>
  <si>
    <t>foldl</t>
  </si>
  <si>
    <t>56461226+IrinaM21@users.noreply.github.com</t>
  </si>
  <si>
    <t>56461226+IrinaM21</t>
  </si>
  <si>
    <t>2mrinaljain@gmail.com</t>
  </si>
  <si>
    <t>2mrinaljain</t>
  </si>
  <si>
    <t>52942327+RichardXiao13@users.noreply.github.com</t>
  </si>
  <si>
    <t>52942327+RichardXiao13</t>
  </si>
  <si>
    <t>adamwood@google.com</t>
  </si>
  <si>
    <t>adamwood</t>
  </si>
  <si>
    <t>manuel.freiberger@gmail.com</t>
  </si>
  <si>
    <t>manuel.freiberger</t>
  </si>
  <si>
    <t>dfalbel@gmail.com</t>
  </si>
  <si>
    <t>dfalbel</t>
  </si>
  <si>
    <t>amitkumarj441@gmail.com</t>
  </si>
  <si>
    <t>amitkumarj441</t>
  </si>
  <si>
    <t>tjingrant@gmail.com</t>
  </si>
  <si>
    <t>tjingrant</t>
  </si>
  <si>
    <t>jeffrey.poznanovic@amd.com</t>
  </si>
  <si>
    <t>jeffrey.poznanovic</t>
  </si>
  <si>
    <t>wei.v.wang@intel.com</t>
  </si>
  <si>
    <t>wei.v.wang</t>
  </si>
  <si>
    <t>gbillock@google.com</t>
  </si>
  <si>
    <t>gbillock</t>
  </si>
  <si>
    <t>dingchen.mail@gmail.com</t>
  </si>
  <si>
    <t>dingchen.mail</t>
  </si>
  <si>
    <t>habernal@users.noreply.github.com</t>
  </si>
  <si>
    <t>habernal</t>
  </si>
  <si>
    <t>4d55397500@users.noreply.github.com</t>
  </si>
  <si>
    <t>4d55397500</t>
  </si>
  <si>
    <t>rasmus@psiori.com</t>
  </si>
  <si>
    <t>rasmus</t>
  </si>
  <si>
    <t>psiori</t>
  </si>
  <si>
    <t>mishragaurav@google.com</t>
  </si>
  <si>
    <t>mishragaurav</t>
  </si>
  <si>
    <t>adgjl5645@hotmail.com</t>
  </si>
  <si>
    <t>adgjl5645</t>
  </si>
  <si>
    <t>goutham@google.com</t>
  </si>
  <si>
    <t>goutham</t>
  </si>
  <si>
    <t>justin@dujardinconsulting.com</t>
  </si>
  <si>
    <t>ThomasHagebols@users.noreply.github.com</t>
  </si>
  <si>
    <t>ThomasHagebols</t>
  </si>
  <si>
    <t>letian.kang@intel.com</t>
  </si>
  <si>
    <t>letian.kang</t>
  </si>
  <si>
    <t>ohad.meir@intel.com</t>
  </si>
  <si>
    <t>ohad.meir</t>
  </si>
  <si>
    <t>shishaochen@bytedance.com</t>
  </si>
  <si>
    <t>shishaochen</t>
  </si>
  <si>
    <t>ctiijima@us.ibm.com</t>
  </si>
  <si>
    <t>ctiijima</t>
  </si>
  <si>
    <t>byronyi@clustar.ai</t>
  </si>
  <si>
    <t>zldrobit@126.com</t>
  </si>
  <si>
    <t>zldrobit</t>
  </si>
  <si>
    <t>smatzek@us.ibm.com</t>
  </si>
  <si>
    <t>smatzek</t>
  </si>
  <si>
    <t>yash.katariya10@gmail.com</t>
  </si>
  <si>
    <t>yash.katariya10</t>
  </si>
  <si>
    <t>wwq@google.com</t>
  </si>
  <si>
    <t>wwq</t>
  </si>
  <si>
    <t>mkt.ozeki@gmail.com</t>
  </si>
  <si>
    <t>mkt.ozeki</t>
  </si>
  <si>
    <t>nagachika@ruby-lang.org</t>
  </si>
  <si>
    <t>nagachika</t>
  </si>
  <si>
    <t>felix.abecassis@gmail.com</t>
  </si>
  <si>
    <t>felix.abecassis</t>
  </si>
  <si>
    <t>scott.tseng@kikatech.com</t>
  </si>
  <si>
    <t>scott.tseng</t>
  </si>
  <si>
    <t>kikatech</t>
  </si>
  <si>
    <t>fo40225@users.noreply.github.com</t>
  </si>
  <si>
    <t>chris1tava@gmail.com</t>
  </si>
  <si>
    <t>chris1tava</t>
  </si>
  <si>
    <t>frankchn@gmail.com</t>
  </si>
  <si>
    <t>git@timhartz.de</t>
  </si>
  <si>
    <t>github@yjmade.net</t>
  </si>
  <si>
    <t>daria@mellanox.com</t>
  </si>
  <si>
    <t>tharley@google.com</t>
  </si>
  <si>
    <t>tharley</t>
  </si>
  <si>
    <t>a.doumoulakis@gmail.com</t>
  </si>
  <si>
    <t>a.doumoulakis</t>
  </si>
  <si>
    <t>lewuathe@me.com</t>
  </si>
  <si>
    <t>lewuathe</t>
  </si>
  <si>
    <t>anthonyplat719791@hotmail.com</t>
  </si>
  <si>
    <t>anthonyplat719791</t>
  </si>
  <si>
    <t>shah.anish07@gmail.com</t>
  </si>
  <si>
    <t>shah.anish07</t>
  </si>
  <si>
    <t>john@codeplay.com</t>
  </si>
  <si>
    <t>codeplay</t>
  </si>
  <si>
    <t>ATHundt@gmail.com</t>
  </si>
  <si>
    <t>ATHundt</t>
  </si>
  <si>
    <t>393926893@qq.com</t>
  </si>
  <si>
    <t>mkolod@gmail.com</t>
  </si>
  <si>
    <t>mkolod</t>
  </si>
  <si>
    <t>dzc@google.com</t>
  </si>
  <si>
    <t>dzc</t>
  </si>
  <si>
    <t>chadkennedyonline@users.noreply.github.com</t>
  </si>
  <si>
    <t>chadkennedyonline</t>
  </si>
  <si>
    <t>lif@google.com</t>
  </si>
  <si>
    <t>lif</t>
  </si>
  <si>
    <t>sergejs.rikacovs@lumii.lv</t>
  </si>
  <si>
    <t>sergejs.rikacovs</t>
  </si>
  <si>
    <t>weiho4+github@gmail.com</t>
  </si>
  <si>
    <t>weiho4+github</t>
  </si>
  <si>
    <t>eerwitt@gmail.com</t>
  </si>
  <si>
    <t>eerwitt</t>
  </si>
  <si>
    <t>makseq@gmail.com</t>
  </si>
  <si>
    <t>makseq</t>
  </si>
  <si>
    <t>ske@nvidia.com</t>
  </si>
  <si>
    <t>ske</t>
  </si>
  <si>
    <t>adambanas@google.com</t>
  </si>
  <si>
    <t>adambanas</t>
  </si>
  <si>
    <t>clemens@inailuig.it</t>
  </si>
  <si>
    <t>clemens</t>
  </si>
  <si>
    <t>inailuig</t>
  </si>
  <si>
    <t>lawrencews@google.com</t>
  </si>
  <si>
    <t>lawrencews</t>
  </si>
  <si>
    <t>mkruskal@google.com</t>
  </si>
  <si>
    <t>mkruskal</t>
  </si>
  <si>
    <t>janeliu@nvidia.com</t>
  </si>
  <si>
    <t>janeliu</t>
  </si>
  <si>
    <t>149650845+LakshmiKalaKadali@users.noreply.github.com</t>
  </si>
  <si>
    <t>149650845+LakshmiKalaKadali</t>
  </si>
  <si>
    <t>143435143+hmonishN@users.noreply.github.com</t>
  </si>
  <si>
    <t>143435143+hmonishN</t>
  </si>
  <si>
    <t>jsevcik@nvidia.com</t>
  </si>
  <si>
    <t>jsevcik</t>
  </si>
  <si>
    <t>meadowlark@google.com</t>
  </si>
  <si>
    <t>meadowlark</t>
  </si>
  <si>
    <t>artsiom@google.com</t>
  </si>
  <si>
    <t>artsiom</t>
  </si>
  <si>
    <t>lpenagos@google.com</t>
  </si>
  <si>
    <t>lpenagos</t>
  </si>
  <si>
    <t>glaserj@ornl.gov</t>
  </si>
  <si>
    <t>glaserj</t>
  </si>
  <si>
    <t>ornl</t>
  </si>
  <si>
    <t>aneta.kaczynska@intel.com</t>
  </si>
  <si>
    <t>aneta.kaczynska</t>
  </si>
  <si>
    <t>34183942+Cassini-chris@users.noreply.github.com</t>
  </si>
  <si>
    <t>34183942+Cassini-chris</t>
  </si>
  <si>
    <t>yoshio.soma@goinc.jp</t>
  </si>
  <si>
    <t>yoshio.soma</t>
  </si>
  <si>
    <t>goinc</t>
  </si>
  <si>
    <t>35983922+shawnwang18@users.noreply.github.com</t>
  </si>
  <si>
    <t>35983922+shawnwang18</t>
  </si>
  <si>
    <t>shashankvi@google.com</t>
  </si>
  <si>
    <t>shashankvi</t>
  </si>
  <si>
    <t>cjcarey@google.com</t>
  </si>
  <si>
    <t>cjcarey</t>
  </si>
  <si>
    <t>jieluo@google.com</t>
  </si>
  <si>
    <t>jieluo</t>
  </si>
  <si>
    <t>guanxinq@google.com</t>
  </si>
  <si>
    <t>guanxinq</t>
  </si>
  <si>
    <t>venkatramk@google.com</t>
  </si>
  <si>
    <t>venkatramk</t>
  </si>
  <si>
    <t>jcater@google.com</t>
  </si>
  <si>
    <t>jcater</t>
  </si>
  <si>
    <t>adpopescu@ibm.com</t>
  </si>
  <si>
    <t>adpopescu</t>
  </si>
  <si>
    <t>vishnya@ispras.ru</t>
  </si>
  <si>
    <t>vishnya</t>
  </si>
  <si>
    <t>woohyun@google.com</t>
  </si>
  <si>
    <t>woohyun</t>
  </si>
  <si>
    <t>jjhbriggs@gmail.com</t>
  </si>
  <si>
    <t>jjhbriggs</t>
  </si>
  <si>
    <t>kostiantyn.bieliuchenko@capgemini.com</t>
  </si>
  <si>
    <t>kostiantyn.bieliuchenko</t>
  </si>
  <si>
    <t>capgemini</t>
  </si>
  <si>
    <t>o.lipinski@soton.ac.uk</t>
  </si>
  <si>
    <t>o.lipinski</t>
  </si>
  <si>
    <t>soton</t>
  </si>
  <si>
    <t>prianka.kariat@ymedialabs.com</t>
  </si>
  <si>
    <t>prianka.kariat</t>
  </si>
  <si>
    <t>yuanqiangliu@pku.edu.cn</t>
  </si>
  <si>
    <t>yuanqiangliu</t>
  </si>
  <si>
    <t>services-git-throwaway1@tensorial.com</t>
  </si>
  <si>
    <t>services-git-throwaway1</t>
  </si>
  <si>
    <t>forster@google.com</t>
  </si>
  <si>
    <t>forster</t>
  </si>
  <si>
    <t>pshiko.sparrow@gmail.com</t>
  </si>
  <si>
    <t>pshiko.sparrow</t>
  </si>
  <si>
    <t>awpr@google.com</t>
  </si>
  <si>
    <t>awpr</t>
  </si>
  <si>
    <t>mirkov@google.com</t>
  </si>
  <si>
    <t>mirkov</t>
  </si>
  <si>
    <t>michaelreneer@google.com</t>
  </si>
  <si>
    <t>michaelreneer</t>
  </si>
  <si>
    <t>sunphil@google.com</t>
  </si>
  <si>
    <t>sunphil</t>
  </si>
  <si>
    <t>shreepadma@google.com</t>
  </si>
  <si>
    <t>shreepadma</t>
  </si>
  <si>
    <t>rybakov@google.com</t>
  </si>
  <si>
    <t>rybakov</t>
  </si>
  <si>
    <t>47963215+lithomas1@users.noreply.github.com</t>
  </si>
  <si>
    <t>47963215+lithomas1</t>
  </si>
  <si>
    <t>thomasli1234567890@gmail.com</t>
  </si>
  <si>
    <t>thomasli1234567890</t>
  </si>
  <si>
    <t>radek.svoboda@eyedea.cz</t>
  </si>
  <si>
    <t>radek.svoboda</t>
  </si>
  <si>
    <t>eyedea</t>
  </si>
  <si>
    <t>anush@nod-labs.com</t>
  </si>
  <si>
    <t>anush</t>
  </si>
  <si>
    <t>nod-labs</t>
  </si>
  <si>
    <t>chipguy@google.com</t>
  </si>
  <si>
    <t>chipguy</t>
  </si>
  <si>
    <t>chren@linkedin.com</t>
  </si>
  <si>
    <t>chren</t>
  </si>
  <si>
    <t>linkedin</t>
  </si>
  <si>
    <t>michal@szutenberg.pl</t>
  </si>
  <si>
    <t>michal</t>
  </si>
  <si>
    <t>prashantk@polymagelabs.com</t>
  </si>
  <si>
    <t>prashantk</t>
  </si>
  <si>
    <t>henri.woodcock@arm.com</t>
  </si>
  <si>
    <t>henri.woodcock</t>
  </si>
  <si>
    <t>dan@edgeimpulse.com</t>
  </si>
  <si>
    <t>edgeimpulse</t>
  </si>
  <si>
    <t>gqqnb2005@gmail.com</t>
  </si>
  <si>
    <t>gqqnb2005</t>
  </si>
  <si>
    <t>shishaochen_ha@sina.com</t>
  </si>
  <si>
    <t>shishaochen_ha</t>
  </si>
  <si>
    <t>pbhatt110@gmail.com</t>
  </si>
  <si>
    <t>pbhatt110</t>
  </si>
  <si>
    <t>mgielda@antmicro.com</t>
  </si>
  <si>
    <t>mgielda</t>
  </si>
  <si>
    <t>alfiee@graphcore.ai</t>
  </si>
  <si>
    <t>alfiee</t>
  </si>
  <si>
    <t>sanjoy@playingwithpointers.com</t>
  </si>
  <si>
    <t>rizviather6@gmail.com</t>
  </si>
  <si>
    <t>rizviather6</t>
  </si>
  <si>
    <t>xuzheng@google.com</t>
  </si>
  <si>
    <t>xuzheng</t>
  </si>
  <si>
    <t>fricc@google.com</t>
  </si>
  <si>
    <t>fricc</t>
  </si>
  <si>
    <t>sicong.li@arm.com</t>
  </si>
  <si>
    <t>sicong.li</t>
  </si>
  <si>
    <t>mikhail.startsev@gmail.com</t>
  </si>
  <si>
    <t>mikhail.startsev</t>
  </si>
  <si>
    <t>Ghost---Shadow@users.noreply.github.com</t>
  </si>
  <si>
    <t>Ghost---Shadow</t>
  </si>
  <si>
    <t>vishalsubbiah@users.noreply.github.com</t>
  </si>
  <si>
    <t>vishalsubbiah</t>
  </si>
  <si>
    <t>rishit.dagli@gmail.com</t>
  </si>
  <si>
    <t>rishit.dagli</t>
  </si>
  <si>
    <t>815244047@qq.com</t>
  </si>
  <si>
    <t>hughku@gmail.com</t>
  </si>
  <si>
    <t>hughku</t>
  </si>
  <si>
    <t>itamar@itamarst.org</t>
  </si>
  <si>
    <t>itamar</t>
  </si>
  <si>
    <t>sirius.caffrey@gmail.com</t>
  </si>
  <si>
    <t>sirius.caffrey</t>
  </si>
  <si>
    <t>izhangzhihao@hotmail.com</t>
  </si>
  <si>
    <t>izhangzhihao</t>
  </si>
  <si>
    <t>guyda96@gmail.com</t>
  </si>
  <si>
    <t>guyda96</t>
  </si>
  <si>
    <t>ayushmankumar7@gmail.com</t>
  </si>
  <si>
    <t>ayushmankumar7</t>
  </si>
  <si>
    <t>aditya.patwardhan@espressif.com</t>
  </si>
  <si>
    <t>aditya.patwardhan</t>
  </si>
  <si>
    <t>56409230+Joseph-Rance@users.noreply.github.com</t>
  </si>
  <si>
    <t>56409230+Joseph-Rance</t>
  </si>
  <si>
    <t>hans.pabst@intel.com</t>
  </si>
  <si>
    <t>hans.pabst</t>
  </si>
  <si>
    <t>shahid@us.ibm.com</t>
  </si>
  <si>
    <t>shahid</t>
  </si>
  <si>
    <t>kristof.ralovich@gmail.com</t>
  </si>
  <si>
    <t>kristof.ralovich</t>
  </si>
  <si>
    <t>kevin+gh@maypark.com</t>
  </si>
  <si>
    <t>kevin+gh</t>
  </si>
  <si>
    <t>harikrishmenon@gmail.com</t>
  </si>
  <si>
    <t>harikrishmenon</t>
  </si>
  <si>
    <t>hamatake@google.com</t>
  </si>
  <si>
    <t>hamatake</t>
  </si>
  <si>
    <t>anton.kachatkou@arm.com</t>
  </si>
  <si>
    <t>anton.kachatkou</t>
  </si>
  <si>
    <t>khatir@google.com</t>
  </si>
  <si>
    <t>khatir</t>
  </si>
  <si>
    <t>40809717+pkanwar23@users.noreply.github.com</t>
  </si>
  <si>
    <t>40809717+pkanwar23</t>
  </si>
  <si>
    <t>jeremiah@google.com</t>
  </si>
  <si>
    <t>jeremiah</t>
  </si>
  <si>
    <t>jesper@dramsch.net</t>
  </si>
  <si>
    <t>jesper</t>
  </si>
  <si>
    <t>sleighsoft@users.noreply.github.com</t>
  </si>
  <si>
    <t>sleighsoft</t>
  </si>
  <si>
    <t>smilup2244@gmail.com</t>
  </si>
  <si>
    <t>smilup2244</t>
  </si>
  <si>
    <t>akhtyamov@pho.to</t>
  </si>
  <si>
    <t>akhtyamov</t>
  </si>
  <si>
    <t>pho</t>
  </si>
  <si>
    <t>yulin@nvidia.com</t>
  </si>
  <si>
    <t>yulin</t>
  </si>
  <si>
    <t>tadeegan@gmail.com</t>
  </si>
  <si>
    <t>tadeegan</t>
  </si>
  <si>
    <t>nutti.metro@gmail.com</t>
  </si>
  <si>
    <t>nutti.metro</t>
  </si>
  <si>
    <t>boeddeker@users.noreply.github.com</t>
  </si>
  <si>
    <t>boeddeker</t>
  </si>
  <si>
    <t>zhaoyongke@yeah.net</t>
  </si>
  <si>
    <t>zhaoyongke</t>
  </si>
  <si>
    <t>ChrisAntaki@gmail.com</t>
  </si>
  <si>
    <t>ChrisAntaki</t>
  </si>
  <si>
    <t>rholais@gmail.com</t>
  </si>
  <si>
    <t>rholais</t>
  </si>
  <si>
    <t>furmanek@us.ibm.com</t>
  </si>
  <si>
    <t>furmanek</t>
  </si>
  <si>
    <t>thunderfyc@gmail.com</t>
  </si>
  <si>
    <t>thunderfyc</t>
  </si>
  <si>
    <t>stefan.dyulgerov@gmail.com</t>
  </si>
  <si>
    <t>stefan.dyulgerov</t>
  </si>
  <si>
    <t>brodehl@uni-mainz.de</t>
  </si>
  <si>
    <t>brodehl</t>
  </si>
  <si>
    <t>uni-mainz</t>
  </si>
  <si>
    <t>lgeiger@users.noreply.github.com</t>
  </si>
  <si>
    <t>lgeiger</t>
  </si>
  <si>
    <t>rice@fn.lc</t>
  </si>
  <si>
    <t>rice</t>
  </si>
  <si>
    <t>Guozhong.Zhuang@intel.com</t>
  </si>
  <si>
    <t>Guozhong.Zhuang</t>
  </si>
  <si>
    <t>ataly@google.com</t>
  </si>
  <si>
    <t>ataly</t>
  </si>
  <si>
    <t>jthestness@gmail.com</t>
  </si>
  <si>
    <t>jthestness</t>
  </si>
  <si>
    <t>bstriner@users.noreply.github.com</t>
  </si>
  <si>
    <t>wenhao.hu@leapmind.io</t>
  </si>
  <si>
    <t>wenhao.hu</t>
  </si>
  <si>
    <t>hovhannes.harutyunyan@picsart.com</t>
  </si>
  <si>
    <t>hovhannes.harutyunyan</t>
  </si>
  <si>
    <t>picsart</t>
  </si>
  <si>
    <t>fkp@google.com</t>
  </si>
  <si>
    <t>fkp</t>
  </si>
  <si>
    <t>goodman.danny@gmail.com</t>
  </si>
  <si>
    <t>goodman.danny</t>
  </si>
  <si>
    <t>lspvic@qq.com</t>
  </si>
  <si>
    <t>lspvic</t>
  </si>
  <si>
    <t>AndreiCostinescu@users.noreply.github.com</t>
  </si>
  <si>
    <t>AndreiCostinescu</t>
  </si>
  <si>
    <t>alexander.sergeev@live.com</t>
  </si>
  <si>
    <t>alexander.sergeev</t>
  </si>
  <si>
    <t>zhengsheng.wei.cn@gmail.com</t>
  </si>
  <si>
    <t>zhengsheng.wei.cn</t>
  </si>
  <si>
    <t>tesrin@gmail.com</t>
  </si>
  <si>
    <t>tesrin</t>
  </si>
  <si>
    <t>mike.sk.traynor@gmail.com</t>
  </si>
  <si>
    <t>mike.sk.traynor</t>
  </si>
  <si>
    <t>baijinze1994@163.com</t>
  </si>
  <si>
    <t>baijinze1994</t>
  </si>
  <si>
    <t>simon.perkins@gmail.com</t>
  </si>
  <si>
    <t>simon.perkins</t>
  </si>
  <si>
    <t>andru@cs.cornell.edu</t>
  </si>
  <si>
    <t>andru</t>
  </si>
  <si>
    <t>cs</t>
  </si>
  <si>
    <t>achapialiou@gmail.com</t>
  </si>
  <si>
    <t>achapialiou</t>
  </si>
  <si>
    <t>scorpiocph@gmail.com</t>
  </si>
  <si>
    <t>scorpiocph</t>
  </si>
  <si>
    <t>bwill@google.com</t>
  </si>
  <si>
    <t>bwill</t>
  </si>
  <si>
    <t>lakshayg@outlook.in</t>
  </si>
  <si>
    <t>lakshayg</t>
  </si>
  <si>
    <t>kongsea@gmail.com</t>
  </si>
  <si>
    <t>kongsea</t>
  </si>
  <si>
    <t>lakshay.garg.1996@gmail.com</t>
  </si>
  <si>
    <t>lakshay.garg.1996</t>
  </si>
  <si>
    <t>alammar@gmail.com</t>
  </si>
  <si>
    <t>alammar</t>
  </si>
  <si>
    <t>kbsriram@google.com</t>
  </si>
  <si>
    <t>raingomm@gmail.com</t>
  </si>
  <si>
    <t>raingomm</t>
  </si>
  <si>
    <t>pandevirus@gmail.com</t>
  </si>
  <si>
    <t>pandevirus</t>
  </si>
  <si>
    <t>liu.yi.pei@gmail.com</t>
  </si>
  <si>
    <t>liu.yi.pei</t>
  </si>
  <si>
    <t>jtbates@google.com</t>
  </si>
  <si>
    <t>jtbates</t>
  </si>
  <si>
    <t>jojy.varghese@gmail.com</t>
  </si>
  <si>
    <t>jojy.varghese</t>
  </si>
  <si>
    <t>avenkat@ssr-nfs1.sc.intel.com</t>
  </si>
  <si>
    <t>avenkat</t>
  </si>
  <si>
    <t>nikhilmishra000@gmail.com</t>
  </si>
  <si>
    <t>nikhilmishra000</t>
  </si>
  <si>
    <t>mail@danijar.com</t>
  </si>
  <si>
    <t>AidanGG@users.noreply.github.com</t>
  </si>
  <si>
    <t>AidanGG</t>
  </si>
  <si>
    <t>dev@davidsoergel.com</t>
  </si>
  <si>
    <t>moralex@google.com</t>
  </si>
  <si>
    <t>moralex</t>
  </si>
  <si>
    <t>chengang31@gmail.com</t>
  </si>
  <si>
    <t>chengang31</t>
  </si>
  <si>
    <t>wrengr@google.com</t>
  </si>
  <si>
    <t>wrengr</t>
  </si>
  <si>
    <t>sanianagpal@google.com</t>
  </si>
  <si>
    <t>sanianagpal</t>
  </si>
  <si>
    <t>mail@redwrasse.io</t>
  </si>
  <si>
    <t>zainmeekail@gmail.com</t>
  </si>
  <si>
    <t>zainmeekail</t>
  </si>
  <si>
    <t>32376000+wenchenvincent@users.noreply.github.com</t>
  </si>
  <si>
    <t>32376000+wenchenvincent</t>
  </si>
  <si>
    <t>Rahul.Batra@amd.com</t>
  </si>
  <si>
    <t>Rahul.Batra</t>
  </si>
  <si>
    <t>nameless@fastmail.fm</t>
  </si>
  <si>
    <t>nameless</t>
  </si>
  <si>
    <t>aportnoy@nvidia.com</t>
  </si>
  <si>
    <t>aportnoy</t>
  </si>
  <si>
    <t>yanghaoyu97@outlook.com</t>
  </si>
  <si>
    <t>yanghaoyu97</t>
  </si>
  <si>
    <t>wcromar@google.com</t>
  </si>
  <si>
    <t>wcromar</t>
  </si>
  <si>
    <t>joycebrum@google.com</t>
  </si>
  <si>
    <t>joycebrum</t>
  </si>
  <si>
    <t>pa_darochek@ispras.ru</t>
  </si>
  <si>
    <t>pa_darochek</t>
  </si>
  <si>
    <t>fadi.arafeh@arm.com</t>
  </si>
  <si>
    <t>fadi.arafeh</t>
  </si>
  <si>
    <t>yimingz@google.com</t>
  </si>
  <si>
    <t>yimingz</t>
  </si>
  <si>
    <t>rofer@google.com</t>
  </si>
  <si>
    <t>rofer</t>
  </si>
  <si>
    <t>james.hilliard1@gmail.com</t>
  </si>
  <si>
    <t>james.hilliard1</t>
  </si>
  <si>
    <t>yuemmawang@google.com</t>
  </si>
  <si>
    <t>yuemmawang</t>
  </si>
  <si>
    <t>kamil.magierski@intel.com</t>
  </si>
  <si>
    <t>kamil.magierski</t>
  </si>
  <si>
    <t>weiwe@google.com</t>
  </si>
  <si>
    <t>weiwe</t>
  </si>
  <si>
    <t>arnoegw@google.com</t>
  </si>
  <si>
    <t>arnoegw</t>
  </si>
  <si>
    <t>pmajety@nvidia.com</t>
  </si>
  <si>
    <t>pmajety</t>
  </si>
  <si>
    <t>jiaodianmail@gmail.com</t>
  </si>
  <si>
    <t>jiaodianmail</t>
  </si>
  <si>
    <t>drubinstein@spotify.com</t>
  </si>
  <si>
    <t>drubinstein</t>
  </si>
  <si>
    <t>spotify</t>
  </si>
  <si>
    <t>kevihu@nvidia.com</t>
  </si>
  <si>
    <t>kevihu</t>
  </si>
  <si>
    <t>guangyong.shi@intel.com</t>
  </si>
  <si>
    <t>guangyong.shi</t>
  </si>
  <si>
    <t>wondertx@gmail.com</t>
  </si>
  <si>
    <t>wondertx</t>
  </si>
  <si>
    <t>paul.thomas.goodfellas@gmail.com</t>
  </si>
  <si>
    <t>paul.thomas.goodfellas</t>
  </si>
  <si>
    <t>abhishek.varma@polymagelabs.com</t>
  </si>
  <si>
    <t>abhishek.varma</t>
  </si>
  <si>
    <t>jburnim@google.com</t>
  </si>
  <si>
    <t>jburnim</t>
  </si>
  <si>
    <t>philipturner.AR@gmail.com</t>
  </si>
  <si>
    <t>philipturner.AR</t>
  </si>
  <si>
    <t>aaron.debattista@arm.com</t>
  </si>
  <si>
    <t>aaron.debattista</t>
  </si>
  <si>
    <t>everton.constantino@linaro.org</t>
  </si>
  <si>
    <t>everton.constantino</t>
  </si>
  <si>
    <t>tiagomeloalmeida@ua.pt</t>
  </si>
  <si>
    <t>tiagomeloalmeida</t>
  </si>
  <si>
    <t>johan.gunnarsson@gmail.com</t>
  </si>
  <si>
    <t>johan.gunnarsson</t>
  </si>
  <si>
    <t>sampathweb@users.noreply.github.com</t>
  </si>
  <si>
    <t>sampathweb</t>
  </si>
  <si>
    <t>annie.tallund@arm.com</t>
  </si>
  <si>
    <t>annie.tallund</t>
  </si>
  <si>
    <t>zongweiz@google.com</t>
  </si>
  <si>
    <t>zongweiz</t>
  </si>
  <si>
    <t>nyadla@cadence.com</t>
  </si>
  <si>
    <t>nyadla</t>
  </si>
  <si>
    <t>cadence</t>
  </si>
  <si>
    <t>pkasting@chromium.org</t>
  </si>
  <si>
    <t>pkasting</t>
  </si>
  <si>
    <t>liyi.novo@gmail.com</t>
  </si>
  <si>
    <t>liyi.novo</t>
  </si>
  <si>
    <t>tcervi@tutanota.com</t>
  </si>
  <si>
    <t>tcervi</t>
  </si>
  <si>
    <t>tutanota</t>
  </si>
  <si>
    <t>sdierauf@google.com</t>
  </si>
  <si>
    <t>sdierauf</t>
  </si>
  <si>
    <t>kwonmha@gmail.com</t>
  </si>
  <si>
    <t>kwonmha</t>
  </si>
  <si>
    <t>julian.gross@dfki.de</t>
  </si>
  <si>
    <t>julian.gross</t>
  </si>
  <si>
    <t>57165142+amahendrakar@users.noreply.github.com</t>
  </si>
  <si>
    <t>57165142+amahendrakar</t>
  </si>
  <si>
    <t>iarzhannikov@artec-group.com</t>
  </si>
  <si>
    <t>iarzhannikov</t>
  </si>
  <si>
    <t>Artec-group</t>
  </si>
  <si>
    <t>zenogantner@users.noreply.github.com</t>
  </si>
  <si>
    <t>zenogantner</t>
  </si>
  <si>
    <t>mishc9@gmail.com</t>
  </si>
  <si>
    <t>mishc9</t>
  </si>
  <si>
    <t>omri@insoundz.com</t>
  </si>
  <si>
    <t>omri</t>
  </si>
  <si>
    <t>saiganesh@google.com</t>
  </si>
  <si>
    <t>saiganesh</t>
  </si>
  <si>
    <t>mohamednour.abouelseoud@arm.com</t>
  </si>
  <si>
    <t>mohamednour.abouelseoud</t>
  </si>
  <si>
    <t>er.abhinav.upadhyay@gmail.com</t>
  </si>
  <si>
    <t>er.abhinav.upadhyay</t>
  </si>
  <si>
    <t>gandhimathi.anand@intel.com</t>
  </si>
  <si>
    <t>gandhimathi.anand</t>
  </si>
  <si>
    <t>vaibhav.vijay@exaleapsemi.com</t>
  </si>
  <si>
    <t>vaibhav.vijay</t>
  </si>
  <si>
    <t>exaleapsemi</t>
  </si>
  <si>
    <t>victsou@google.com</t>
  </si>
  <si>
    <t>victsou</t>
  </si>
  <si>
    <t>8515462+albertvillanova@users.noreply.github.com</t>
  </si>
  <si>
    <t>8515462+albertvillanova</t>
  </si>
  <si>
    <t>kristian.hartikainen@gmail.com</t>
  </si>
  <si>
    <t>kristian.hartikainen</t>
  </si>
  <si>
    <t>yoav@hi.auto</t>
  </si>
  <si>
    <t>yoav</t>
  </si>
  <si>
    <t>ccen@google.com</t>
  </si>
  <si>
    <t>ccen</t>
  </si>
  <si>
    <t>rohanlekhwani@ymail.com</t>
  </si>
  <si>
    <t>rohanlekhwani</t>
  </si>
  <si>
    <t>info@peritiae.it</t>
  </si>
  <si>
    <t>peritiae</t>
  </si>
  <si>
    <t>biagio.hkr@gmail.com</t>
  </si>
  <si>
    <t>biagio.hkr</t>
  </si>
  <si>
    <t>shawnpresser@gmail.com</t>
  </si>
  <si>
    <t>shawnpresser</t>
  </si>
  <si>
    <t>bwdyxg@gmail.com</t>
  </si>
  <si>
    <t>bwdyxg</t>
  </si>
  <si>
    <t>vaibhavsjade@gmail.com</t>
  </si>
  <si>
    <t>vaibhavsjade</t>
  </si>
  <si>
    <t>gianmarco.iodice@arm.com</t>
  </si>
  <si>
    <t>gianmarco.iodice</t>
  </si>
  <si>
    <t>marcin.sielski@gmail.com</t>
  </si>
  <si>
    <t>marcin.sielski</t>
  </si>
  <si>
    <t>andrewc@xmos.com</t>
  </si>
  <si>
    <t>andrewc</t>
  </si>
  <si>
    <t>xmos</t>
  </si>
  <si>
    <t>bhadani.neeraj.08@gmail.com</t>
  </si>
  <si>
    <t>bhadani.neeraj.08</t>
  </si>
  <si>
    <t>tony@tonythinks.com</t>
  </si>
  <si>
    <t>cs17btech11040@iith.ac.in</t>
  </si>
  <si>
    <t>cs17btech11040</t>
  </si>
  <si>
    <t>iith</t>
  </si>
  <si>
    <t>artemvmavrin@gmail.com</t>
  </si>
  <si>
    <t>artemvmavrin</t>
  </si>
  <si>
    <t>jonas.skog@arm.com</t>
  </si>
  <si>
    <t>jonas.skog</t>
  </si>
  <si>
    <t>meguru.mokke@gmail.com</t>
  </si>
  <si>
    <t>meguru.mokke</t>
  </si>
  <si>
    <t>tigertang.zju@gmail.com</t>
  </si>
  <si>
    <t>tigertang.zju</t>
  </si>
  <si>
    <t>wuhaoyu1989@gmail.com</t>
  </si>
  <si>
    <t>wuhaoyu1989</t>
  </si>
  <si>
    <t>ups@stups.com</t>
  </si>
  <si>
    <t>ups</t>
  </si>
  <si>
    <t>maher.jendoubi@gmail.com</t>
  </si>
  <si>
    <t>maher.jendoubi</t>
  </si>
  <si>
    <t>bileschi@google.com</t>
  </si>
  <si>
    <t>bileschi</t>
  </si>
  <si>
    <t>ethansaadia@gmail.com</t>
  </si>
  <si>
    <t>ethansaadia</t>
  </si>
  <si>
    <t>40995274+msteknoadam@users.noreply.github.com</t>
  </si>
  <si>
    <t>40995274+msteknoadam</t>
  </si>
  <si>
    <t>jd.lesage@criteo.com</t>
  </si>
  <si>
    <t>jd.lesage</t>
  </si>
  <si>
    <t>criteo</t>
  </si>
  <si>
    <t>williamhyzhang@gmail.com</t>
  </si>
  <si>
    <t>williamhyzhang</t>
  </si>
  <si>
    <t>jigomez@ucm.es</t>
  </si>
  <si>
    <t>jigomez</t>
  </si>
  <si>
    <t>ucm</t>
  </si>
  <si>
    <t>fangjun.kuang@mobvoi.com</t>
  </si>
  <si>
    <t>fangjun.kuang</t>
  </si>
  <si>
    <t>mobvoi</t>
  </si>
  <si>
    <t>webpaige@google.com</t>
  </si>
  <si>
    <t>webpaige</t>
  </si>
  <si>
    <t>omoindrot@gmail.com</t>
  </si>
  <si>
    <t>omoindrot</t>
  </si>
  <si>
    <t>abhai.dilip@gmail.com</t>
  </si>
  <si>
    <t>abhai.dilip</t>
  </si>
  <si>
    <t>455808519@qq.com</t>
  </si>
  <si>
    <t>nagy.mostafa@gmail.com</t>
  </si>
  <si>
    <t>nagy.mostafa</t>
  </si>
  <si>
    <t>jamesmartens@google.com</t>
  </si>
  <si>
    <t>jamesmartens</t>
  </si>
  <si>
    <t>ivan.habernal@protonmail.com</t>
  </si>
  <si>
    <t>ivan.habernal</t>
  </si>
  <si>
    <t>isaaclee2313@gmail.com</t>
  </si>
  <si>
    <t>isaaclee2313</t>
  </si>
  <si>
    <t>stunya@google.com</t>
  </si>
  <si>
    <t>stunya</t>
  </si>
  <si>
    <t>jiakai@bytedance.com</t>
  </si>
  <si>
    <t>jiakai</t>
  </si>
  <si>
    <t>ilch@google.com</t>
  </si>
  <si>
    <t>ilch</t>
  </si>
  <si>
    <t>tjakobs@us.ibm.com</t>
  </si>
  <si>
    <t>tjakobs</t>
  </si>
  <si>
    <t>contact@vlioutas.com</t>
  </si>
  <si>
    <t>e.ashtianjr@gatech.edu</t>
  </si>
  <si>
    <t>e.ashtianjr</t>
  </si>
  <si>
    <t>dbieber@google.com</t>
  </si>
  <si>
    <t>dbieber</t>
  </si>
  <si>
    <t>lnai@google.com</t>
  </si>
  <si>
    <t>lnai</t>
  </si>
  <si>
    <t>cralle@outlook.com</t>
  </si>
  <si>
    <t>cralle</t>
  </si>
  <si>
    <t>alanhdu@gmail.com</t>
  </si>
  <si>
    <t>alanhdu</t>
  </si>
  <si>
    <t>KyotoSunshine@users.noreply.github.com</t>
  </si>
  <si>
    <t>KyotoSunshine</t>
  </si>
  <si>
    <t>acotter@google.com</t>
  </si>
  <si>
    <t>acotter</t>
  </si>
  <si>
    <t>vikramtheone1@gmail.com</t>
  </si>
  <si>
    <t>vikramtheone1</t>
  </si>
  <si>
    <t>314913739@qq.com</t>
  </si>
  <si>
    <t>schaber@gmail.com</t>
  </si>
  <si>
    <t>schaber</t>
  </si>
  <si>
    <t>keno@juliacomputing.com</t>
  </si>
  <si>
    <t>keno</t>
  </si>
  <si>
    <t>juliacomputing</t>
  </si>
  <si>
    <t>jingli@google.com</t>
  </si>
  <si>
    <t>jingli</t>
  </si>
  <si>
    <t>huiyang.fei@intel.com</t>
  </si>
  <si>
    <t>huiyang.fei</t>
  </si>
  <si>
    <t>javierluraschi@hotmail.com</t>
  </si>
  <si>
    <t>javierluraschi</t>
  </si>
  <si>
    <t>jwhoech@yahoo.com</t>
  </si>
  <si>
    <t>jwhoech</t>
  </si>
  <si>
    <t>wildanrgssport@gmail.com</t>
  </si>
  <si>
    <t>wildanrgssport</t>
  </si>
  <si>
    <t>nehaljw.kkd1@gmail.com</t>
  </si>
  <si>
    <t>nehaljw.kkd1</t>
  </si>
  <si>
    <t>bassmanburbank@gmail.com</t>
  </si>
  <si>
    <t>bassmanburbank</t>
  </si>
  <si>
    <t>moritz.kroeger@tu-dortmund.de</t>
  </si>
  <si>
    <t>moritz.kroeger</t>
  </si>
  <si>
    <t>tu-dortmund</t>
  </si>
  <si>
    <t>ariwaranosai@users.noreply.github.com</t>
  </si>
  <si>
    <t>ariwaranosai</t>
  </si>
  <si>
    <t>vlavrukhin@nvidia.com</t>
  </si>
  <si>
    <t>vlavrukhin</t>
  </si>
  <si>
    <t>yang.rayzhi@gmail.com</t>
  </si>
  <si>
    <t>yang.rayzhi</t>
  </si>
  <si>
    <t>rrelasmar@gmail.com</t>
  </si>
  <si>
    <t>rrelasmar</t>
  </si>
  <si>
    <t>andrew.gibiansky@gmail.com</t>
  </si>
  <si>
    <t>andrew.gibiansky</t>
  </si>
  <si>
    <t>yoya@awm.jp</t>
  </si>
  <si>
    <t>yoya</t>
  </si>
  <si>
    <t>dmitry.klimenkov@synesis.by</t>
  </si>
  <si>
    <t>dmitry.klimenkov</t>
  </si>
  <si>
    <t>terrykoo@google.com</t>
  </si>
  <si>
    <t>terrykoo</t>
  </si>
  <si>
    <t>hsm207@users.noreply.github.com</t>
  </si>
  <si>
    <t>hsm207</t>
  </si>
  <si>
    <t>jessehagenaars@gmail.com</t>
  </si>
  <si>
    <t>jessehagenaars</t>
  </si>
  <si>
    <t>alex.jann2012@gmail.com</t>
  </si>
  <si>
    <t>alex.jann2012</t>
  </si>
  <si>
    <t>andrew.kernahan@gmail.com</t>
  </si>
  <si>
    <t>andrew.kernahan</t>
  </si>
  <si>
    <t>sbhupatiraju@google.com</t>
  </si>
  <si>
    <t>sbhupatiraju</t>
  </si>
  <si>
    <t>jakub.kolodziejczyk@mail.com</t>
  </si>
  <si>
    <t>jakub.kolodziejczyk</t>
  </si>
  <si>
    <t>ji.qiu@spreadtrum.com</t>
  </si>
  <si>
    <t>ji.qiu</t>
  </si>
  <si>
    <t>jvgonzalvo@up.edu.ph</t>
  </si>
  <si>
    <t>jvgonzalvo</t>
  </si>
  <si>
    <t>wolff@julianwolff.de</t>
  </si>
  <si>
    <t>wolff</t>
  </si>
  <si>
    <t>bpnzltd@gmail.com</t>
  </si>
  <si>
    <t>bpnzltd</t>
  </si>
  <si>
    <t>thomas.deegan@getcruise.com</t>
  </si>
  <si>
    <t>thomas.deegan</t>
  </si>
  <si>
    <t>getcruise</t>
  </si>
  <si>
    <t>bryant@montevideo.com.uy</t>
  </si>
  <si>
    <t>bryant</t>
  </si>
  <si>
    <t>vnavkal0@gmail.com</t>
  </si>
  <si>
    <t>vnavkal0</t>
  </si>
  <si>
    <t>costan@gmail.com</t>
  </si>
  <si>
    <t>costan</t>
  </si>
  <si>
    <t>dmaclach@gmail.com</t>
  </si>
  <si>
    <t>dmaclach</t>
  </si>
  <si>
    <t>joshvarty@gmail.com</t>
  </si>
  <si>
    <t>joshvarty</t>
  </si>
  <si>
    <t>shreyneil@yahoo.co.in</t>
  </si>
  <si>
    <t>shreyneil</t>
  </si>
  <si>
    <t>daniel.ylitalo@mytaste.com</t>
  </si>
  <si>
    <t>daniel.ylitalo</t>
  </si>
  <si>
    <t>qychen@pku.edu.cn</t>
  </si>
  <si>
    <t>qychen</t>
  </si>
  <si>
    <t>pku</t>
  </si>
  <si>
    <t>laszlocsomor@users.noreply.github.com</t>
  </si>
  <si>
    <t>laszlocsomor</t>
  </si>
  <si>
    <t>shallue@google.com</t>
  </si>
  <si>
    <t>shallue</t>
  </si>
  <si>
    <t>ilya.edrenkin@gmail.com</t>
  </si>
  <si>
    <t>ilya.edrenkin</t>
  </si>
  <si>
    <t>mikecase@chromium.org</t>
  </si>
  <si>
    <t>yanchen036@gmail.com</t>
  </si>
  <si>
    <t>yanchen036</t>
  </si>
  <si>
    <t>nolan.liou@gmail.com</t>
  </si>
  <si>
    <t>nolan.liou</t>
  </si>
  <si>
    <t>dhananjayn@google.com</t>
  </si>
  <si>
    <t>dhananjayn</t>
  </si>
  <si>
    <t>horance@aliyun.com</t>
  </si>
  <si>
    <t>horance</t>
  </si>
  <si>
    <t>bill@billpiel.com</t>
  </si>
  <si>
    <t>ajschumacher@gmail.com</t>
  </si>
  <si>
    <t>ajschumacher</t>
  </si>
  <si>
    <t>rohan100jain@gmail.com</t>
  </si>
  <si>
    <t>rohan100jain</t>
  </si>
  <si>
    <t>abhi@abhitopia.com</t>
  </si>
  <si>
    <t>abhi</t>
  </si>
  <si>
    <t>damienmg@users.noreply.github.com</t>
  </si>
  <si>
    <t>damienmg</t>
  </si>
  <si>
    <t>qbx2@users.noreply.github.com</t>
  </si>
  <si>
    <t>qbx2</t>
  </si>
  <si>
    <t>comicchang@gmail.com</t>
  </si>
  <si>
    <t>comicchang</t>
  </si>
  <si>
    <t>westbrook@google.com</t>
  </si>
  <si>
    <t>westbrook</t>
  </si>
  <si>
    <t>di.zeng@transcendrobotics.com</t>
  </si>
  <si>
    <t>di.zeng</t>
  </si>
  <si>
    <t>transcendrobotics</t>
  </si>
  <si>
    <t>anandc@google.com</t>
  </si>
  <si>
    <t>anandc</t>
  </si>
  <si>
    <t>tijmentieleman@gmail.com</t>
  </si>
  <si>
    <t>tijmentieleman</t>
  </si>
  <si>
    <t>khil.wang@gmail.com</t>
  </si>
  <si>
    <t>khil.wang</t>
  </si>
  <si>
    <t>victorhcmelo@gmail.com</t>
  </si>
  <si>
    <t>victorhcmelo</t>
  </si>
  <si>
    <t>ninotoshi@users.noreply.github.com</t>
  </si>
  <si>
    <t>ninotoshi</t>
  </si>
  <si>
    <t>fpmc@google.com</t>
  </si>
  <si>
    <t>fpmc</t>
  </si>
  <si>
    <t>kenton.ct.lee@gmail.com</t>
  </si>
  <si>
    <t>kenton.ct.lee</t>
  </si>
  <si>
    <t>126815388+zoranjovanovic-ns@users.noreply.github.com</t>
  </si>
  <si>
    <t>126815388+zoranjovanovic-ns</t>
  </si>
  <si>
    <t>agunjal@google.com</t>
  </si>
  <si>
    <t>agunjal</t>
  </si>
  <si>
    <t>pearu.peterson@gmail.com</t>
  </si>
  <si>
    <t>pearu.peterson</t>
  </si>
  <si>
    <t>paruzelp@google.com</t>
  </si>
  <si>
    <t>paruzelp</t>
  </si>
  <si>
    <t>hsharsha@users.noreply.github.com</t>
  </si>
  <si>
    <t>hsharsha</t>
  </si>
  <si>
    <t>jbcoe@google.com</t>
  </si>
  <si>
    <t>jbcoe</t>
  </si>
  <si>
    <t>rafik.f.saliev@intel.com</t>
  </si>
  <si>
    <t>rafik.f.saliev</t>
  </si>
  <si>
    <t>akhil.goel@intel.com</t>
  </si>
  <si>
    <t>akhil.goel</t>
  </si>
  <si>
    <t>tlipcon@google.com</t>
  </si>
  <si>
    <t>tlipcon</t>
  </si>
  <si>
    <t>christofa@google.com</t>
  </si>
  <si>
    <t>christofa</t>
  </si>
  <si>
    <t>mattjj@google.com</t>
  </si>
  <si>
    <t>mattjj</t>
  </si>
  <si>
    <t>shahzad.malik.muzaffar@cern.ch</t>
  </si>
  <si>
    <t>shahzad.malik.muzaffar</t>
  </si>
  <si>
    <t>cern</t>
  </si>
  <si>
    <t>toribiosteven@google.com</t>
  </si>
  <si>
    <t>toribiosteven</t>
  </si>
  <si>
    <t>looi@users.noreply.github.com</t>
  </si>
  <si>
    <t>looi</t>
  </si>
  <si>
    <t>adrianrc@google.com</t>
  </si>
  <si>
    <t>adrianrc</t>
  </si>
  <si>
    <t>mamini@nvidia.com</t>
  </si>
  <si>
    <t>mamini</t>
  </si>
  <si>
    <t>divyasreepat@google.com</t>
  </si>
  <si>
    <t>divyasreepat</t>
  </si>
  <si>
    <t>chencli@google.com</t>
  </si>
  <si>
    <t>chencli</t>
  </si>
  <si>
    <t>victorakabutu@google.com</t>
  </si>
  <si>
    <t>victorakabutu</t>
  </si>
  <si>
    <t>sammccall@google.com</t>
  </si>
  <si>
    <t>sammccall</t>
  </si>
  <si>
    <t>17132214+acxz@users.noreply.github.com</t>
  </si>
  <si>
    <t>17132214+acxz</t>
  </si>
  <si>
    <t>kimjunho@google.com</t>
  </si>
  <si>
    <t>kimjunho</t>
  </si>
  <si>
    <t>kevinch@google.com</t>
  </si>
  <si>
    <t>kevinch</t>
  </si>
  <si>
    <t>srisrivastava@google.com</t>
  </si>
  <si>
    <t>srisrivastava</t>
  </si>
  <si>
    <t>111537937+halseycamilla@users.noreply.github.com</t>
  </si>
  <si>
    <t>111537937+halseycamilla</t>
  </si>
  <si>
    <t>jefferycole100@gmail.com</t>
  </si>
  <si>
    <t>jefferycole100</t>
  </si>
  <si>
    <t>ldaniell14260@gmail.com</t>
  </si>
  <si>
    <t>ldaniell14260</t>
  </si>
  <si>
    <t>65665931+cfRod@users.noreply.github.com</t>
  </si>
  <si>
    <t>65665931+cfRod</t>
  </si>
  <si>
    <t>chensunx@google.com</t>
  </si>
  <si>
    <t>chensunx</t>
  </si>
  <si>
    <t>yanghuahuang@google.com</t>
  </si>
  <si>
    <t>yanghuahuang</t>
  </si>
  <si>
    <t>iciliaat@gmail.com</t>
  </si>
  <si>
    <t>iciliaat</t>
  </si>
  <si>
    <t>junyer@google.com</t>
  </si>
  <si>
    <t>junyer</t>
  </si>
  <si>
    <t>annop.wongwathanarat@arm.com</t>
  </si>
  <si>
    <t>annop.wongwathanarat</t>
  </si>
  <si>
    <t>sulavgautam2071@gmail.com</t>
  </si>
  <si>
    <t>sulavgautam2071</t>
  </si>
  <si>
    <t>nickj@google.com</t>
  </si>
  <si>
    <t>nickj</t>
  </si>
  <si>
    <t>126983138+aboubezari@users.noreply.github.com</t>
  </si>
  <si>
    <t>126983138+aboubezari</t>
  </si>
  <si>
    <t>115997457+gaikwadrahul8@users.noreply.github.com</t>
  </si>
  <si>
    <t>115997457+gaikwadrahul8</t>
  </si>
  <si>
    <t>jiefu@tencent.com</t>
  </si>
  <si>
    <t>jiefu</t>
  </si>
  <si>
    <t>snyk-bot@snyk.io</t>
  </si>
  <si>
    <t>snyk-bot</t>
  </si>
  <si>
    <t>snyk</t>
  </si>
  <si>
    <t>savan.anadani@amd.com</t>
  </si>
  <si>
    <t>savan.anadani</t>
  </si>
  <si>
    <t>82587125+aadwived@users.noreply.github.com</t>
  </si>
  <si>
    <t>82587125+aadwived</t>
  </si>
  <si>
    <t>prince.chrismc@gmail.com</t>
  </si>
  <si>
    <t>prince.chrismc</t>
  </si>
  <si>
    <t>acozzette@google.com</t>
  </si>
  <si>
    <t>acozzette</t>
  </si>
  <si>
    <t>roman.baranchuk@capgemini.com</t>
  </si>
  <si>
    <t>roman.baranchuk</t>
  </si>
  <si>
    <t>github@mail.api.win</t>
  </si>
  <si>
    <t>saehie.park@gmail.com</t>
  </si>
  <si>
    <t>saehie.park</t>
  </si>
  <si>
    <t>34463491+drah@users.noreply.github.com</t>
  </si>
  <si>
    <t>34463491+drah</t>
  </si>
  <si>
    <t>iamabinash98@gmail.com</t>
  </si>
  <si>
    <t>iamabinash98</t>
  </si>
  <si>
    <t>32910461+drivanov@users.noreply.github.com</t>
  </si>
  <si>
    <t>32910461+drivanov</t>
  </si>
  <si>
    <t>thomasraoux@google.com</t>
  </si>
  <si>
    <t>thomasraoux</t>
  </si>
  <si>
    <t>kieran.coulter@gmail.com</t>
  </si>
  <si>
    <t>kieran.coulter</t>
  </si>
  <si>
    <t>yanmingwang01@gmail.com</t>
  </si>
  <si>
    <t>yanmingwang01</t>
  </si>
  <si>
    <t>github@enrico.minack.dev</t>
  </si>
  <si>
    <t>zotanika@gmail.com</t>
  </si>
  <si>
    <t>zotanika</t>
  </si>
  <si>
    <t>changwan@google.com</t>
  </si>
  <si>
    <t>changwan</t>
  </si>
  <si>
    <t>35123665+parsabee@users.noreply.github.com</t>
  </si>
  <si>
    <t>35123665+parsabee</t>
  </si>
  <si>
    <t>sunshine@ptokos.com</t>
  </si>
  <si>
    <t>sunshine</t>
  </si>
  <si>
    <t>gelesh.hadoop@gmail.com</t>
  </si>
  <si>
    <t>gelesh.hadoop</t>
  </si>
  <si>
    <t>peterghost86@gmail.com</t>
  </si>
  <si>
    <t>peterghost86</t>
  </si>
  <si>
    <t>rainwoodman@gmail.com</t>
  </si>
  <si>
    <t>rainwoodman</t>
  </si>
  <si>
    <t>fi_bouzenia@esi.dz</t>
  </si>
  <si>
    <t>fi_bouzenia</t>
  </si>
  <si>
    <t>wraveane@nvidia.com</t>
  </si>
  <si>
    <t>wraveane</t>
  </si>
  <si>
    <t>srishti.srivastava@polymagelabs.com</t>
  </si>
  <si>
    <t>srishti.srivastava</t>
  </si>
  <si>
    <t>marcvanzee@google.com</t>
  </si>
  <si>
    <t>marcvanzee</t>
  </si>
  <si>
    <t>ashutosh.sharma@os.amperecomputing.com</t>
  </si>
  <si>
    <t>ashutosh.sharma</t>
  </si>
  <si>
    <t>h1g.z.ouroboros+github@gmail.com</t>
  </si>
  <si>
    <t>h1g.z.ouroboros+github</t>
  </si>
  <si>
    <t>ethkim@google.com</t>
  </si>
  <si>
    <t>ethkim</t>
  </si>
  <si>
    <t>hugo.pompougnac@inria.fr</t>
  </si>
  <si>
    <t>hugo.pompougnac</t>
  </si>
  <si>
    <t>kruglov.dima@gmail.com</t>
  </si>
  <si>
    <t>kruglov.dima</t>
  </si>
  <si>
    <t>gysit@google.com</t>
  </si>
  <si>
    <t>gysit</t>
  </si>
  <si>
    <t>jenkins@tensorflow.org</t>
  </si>
  <si>
    <t>jenkins</t>
  </si>
  <si>
    <t>martin@recogni.com</t>
  </si>
  <si>
    <t>ematejska@google.com</t>
  </si>
  <si>
    <t>ematejska</t>
  </si>
  <si>
    <t>puneesh.khanna83@gmail.com</t>
  </si>
  <si>
    <t>puneesh.khanna83</t>
  </si>
  <si>
    <t>sc@lambdal.com</t>
  </si>
  <si>
    <t>sc</t>
  </si>
  <si>
    <t>lambdal</t>
  </si>
  <si>
    <t>aleksandr.nikolaev@arm.com</t>
  </si>
  <si>
    <t>aleksandr.nikolaev</t>
  </si>
  <si>
    <t>52752725+metarutaiga@users.noreply.github.com</t>
  </si>
  <si>
    <t>52752725+metarutaiga</t>
  </si>
  <si>
    <t>bharathmr@google.com</t>
  </si>
  <si>
    <t>bharathmr</t>
  </si>
  <si>
    <t>zzpmiracle@gmail.com</t>
  </si>
  <si>
    <t>zzpmiracle</t>
  </si>
  <si>
    <t>cpcloud@gmail.com</t>
  </si>
  <si>
    <t>cpcloud</t>
  </si>
  <si>
    <t>haiming@google.com</t>
  </si>
  <si>
    <t>haiming</t>
  </si>
  <si>
    <t>dts@google.com</t>
  </si>
  <si>
    <t>dts</t>
  </si>
  <si>
    <t>drees@google.com</t>
  </si>
  <si>
    <t>drees</t>
  </si>
  <si>
    <t>mayer1802@gmail.com</t>
  </si>
  <si>
    <t>mayer1802</t>
  </si>
  <si>
    <t>bhanup@cadence.com</t>
  </si>
  <si>
    <t>bhanup</t>
  </si>
  <si>
    <t>williard.jose@eee.upd.edu.ph</t>
  </si>
  <si>
    <t>williard.jose</t>
  </si>
  <si>
    <t>epik03sj@gmail.com</t>
  </si>
  <si>
    <t>epik03sj</t>
  </si>
  <si>
    <t>francois.chollet@gmail.com</t>
  </si>
  <si>
    <t>francois.chollet</t>
  </si>
  <si>
    <t>kivlichan@google.com</t>
  </si>
  <si>
    <t>kivlichan</t>
  </si>
  <si>
    <t>jameshfisher@gmail.com</t>
  </si>
  <si>
    <t>jameshfisher</t>
  </si>
  <si>
    <t>44170764+jgehw@users.noreply.github.com</t>
  </si>
  <si>
    <t>44170764+jgehw</t>
  </si>
  <si>
    <t>pnikam@cadence.com</t>
  </si>
  <si>
    <t>pnikam</t>
  </si>
  <si>
    <t>zhuyie@gmail.com</t>
  </si>
  <si>
    <t>zhuyie</t>
  </si>
  <si>
    <t>epot@google.com</t>
  </si>
  <si>
    <t>epot</t>
  </si>
  <si>
    <t>coreyleoc@gmail.com</t>
  </si>
  <si>
    <t>coreyleoc</t>
  </si>
  <si>
    <t>bramandia@google.com</t>
  </si>
  <si>
    <t>bramandia</t>
  </si>
  <si>
    <t>rishi@ca.ibm.com</t>
  </si>
  <si>
    <t>rishi</t>
  </si>
  <si>
    <t>jpodivin@users.noreply.github.com</t>
  </si>
  <si>
    <t>jpodivin</t>
  </si>
  <si>
    <t>58792511+noim210@users.noreply.github.com</t>
  </si>
  <si>
    <t>58792511+noim210</t>
  </si>
  <si>
    <t>jared.smolens@arm.com</t>
  </si>
  <si>
    <t>jared.smolens</t>
  </si>
  <si>
    <t>tycai@google.com</t>
  </si>
  <si>
    <t>tycai</t>
  </si>
  <si>
    <t>mohamed.moselhy@uwo.ca</t>
  </si>
  <si>
    <t>mohamed.moselhy</t>
  </si>
  <si>
    <t>uwo</t>
  </si>
  <si>
    <t>gonnet@google.com</t>
  </si>
  <si>
    <t>gonnet</t>
  </si>
  <si>
    <t>sungmann.cho@gmail.com</t>
  </si>
  <si>
    <t>sungmann.cho</t>
  </si>
  <si>
    <t>dvisnty@amazon.com</t>
  </si>
  <si>
    <t>dvisnty</t>
  </si>
  <si>
    <t>janjongboom@gmail.com</t>
  </si>
  <si>
    <t>janjongboom</t>
  </si>
  <si>
    <t>michaelbuch12@gmail.com</t>
  </si>
  <si>
    <t>michaelbuch12</t>
  </si>
  <si>
    <t>mkuchnik@google.com</t>
  </si>
  <si>
    <t>mkuchnik</t>
  </si>
  <si>
    <t>faustomorales@gmail.com</t>
  </si>
  <si>
    <t>faustomorales</t>
  </si>
  <si>
    <t>bubblebooy@gmail.com</t>
  </si>
  <si>
    <t>bubblebooy</t>
  </si>
  <si>
    <t>hlopko@google.com</t>
  </si>
  <si>
    <t>hlopko</t>
  </si>
  <si>
    <t>subbiahvishal@gmail.com</t>
  </si>
  <si>
    <t>subbiahvishal</t>
  </si>
  <si>
    <t>chuanqi.wang@intel.com</t>
  </si>
  <si>
    <t>chuanqi.wang</t>
  </si>
  <si>
    <t>54206941+AbdulBaseerMohammedKhan@users.noreply.github.com</t>
  </si>
  <si>
    <t>54206941+AbdulBaseerMohammedKhan</t>
  </si>
  <si>
    <t>mironov.sergey@huawei.com</t>
  </si>
  <si>
    <t>mironov.sergey</t>
  </si>
  <si>
    <t>samkaufman@google.com</t>
  </si>
  <si>
    <t>samkaufman</t>
  </si>
  <si>
    <t>45177685+BBQuercus@users.noreply.github.com</t>
  </si>
  <si>
    <t>45177685+BBQuercus</t>
  </si>
  <si>
    <t>daniel@edgeimpulse.com</t>
  </si>
  <si>
    <t>1004815462@qq.com</t>
  </si>
  <si>
    <t>ykmr729@gmail.com</t>
  </si>
  <si>
    <t>ykmr729</t>
  </si>
  <si>
    <t>karuan@google.com</t>
  </si>
  <si>
    <t>karuan</t>
  </si>
  <si>
    <t>fabiodi@microsoft.com</t>
  </si>
  <si>
    <t>fabiodi</t>
  </si>
  <si>
    <t>georgios.pinitas@arm.com</t>
  </si>
  <si>
    <t>georgios.pinitas</t>
  </si>
  <si>
    <t>raziel@google.com</t>
  </si>
  <si>
    <t>raziel</t>
  </si>
  <si>
    <t>hsandsmark@gmail.com</t>
  </si>
  <si>
    <t>hsandsmark</t>
  </si>
  <si>
    <t>wsxiaoys.lh@gmail.com</t>
  </si>
  <si>
    <t>wsxiaoys.lh</t>
  </si>
  <si>
    <t>ailvpeng25@gmail.com</t>
  </si>
  <si>
    <t>ailvpeng25</t>
  </si>
  <si>
    <t>abdulras@google.com</t>
  </si>
  <si>
    <t>abdulras</t>
  </si>
  <si>
    <t>akulik@google.com</t>
  </si>
  <si>
    <t>akulik</t>
  </si>
  <si>
    <t>gaussgun+github@gmail.com</t>
  </si>
  <si>
    <t>gaussgun+github</t>
  </si>
  <si>
    <t>59183525+BashirSbaiti@users.noreply.github.com</t>
  </si>
  <si>
    <t>59183525+BashirSbaiti</t>
  </si>
  <si>
    <t>leike666666@gmail.com</t>
  </si>
  <si>
    <t>leike666666</t>
  </si>
  <si>
    <t>anuj.rawat@intel.com</t>
  </si>
  <si>
    <t>anuj.rawat</t>
  </si>
  <si>
    <t>juandotulung@gmail.com</t>
  </si>
  <si>
    <t>juandotulung</t>
  </si>
  <si>
    <t>hugo.sjoberg88@gmail.com</t>
  </si>
  <si>
    <t>hugo.sjoberg88</t>
  </si>
  <si>
    <t>anthonyjliu@google.com</t>
  </si>
  <si>
    <t>anthonyjliu</t>
  </si>
  <si>
    <t>douman@gmx.se</t>
  </si>
  <si>
    <t>douman</t>
  </si>
  <si>
    <t>jaredtnielsen@gmail.com</t>
  </si>
  <si>
    <t>jaredtnielsen</t>
  </si>
  <si>
    <t>hs467906684@gmail.com</t>
  </si>
  <si>
    <t>hs467906684</t>
  </si>
  <si>
    <t>ajakhade@us.ibm.com</t>
  </si>
  <si>
    <t>ajakhade</t>
  </si>
  <si>
    <t>36509045+steph-en-m@users.noreply.github.com</t>
  </si>
  <si>
    <t>36509045+steph-en-m</t>
  </si>
  <si>
    <t>sdamani@gatech.edu</t>
  </si>
  <si>
    <t>sdamani</t>
  </si>
  <si>
    <t>prabindh@yahoo.com</t>
  </si>
  <si>
    <t>prabindh</t>
  </si>
  <si>
    <t>simon@ibm.com</t>
  </si>
  <si>
    <t>jessan@google.com</t>
  </si>
  <si>
    <t>jessan</t>
  </si>
  <si>
    <t>chenyihuang001@gmail.com</t>
  </si>
  <si>
    <t>chenyihuang001</t>
  </si>
  <si>
    <t>anubhav@u.nus.edu</t>
  </si>
  <si>
    <t>anubhav</t>
  </si>
  <si>
    <t>oars@google.com</t>
  </si>
  <si>
    <t>oars</t>
  </si>
  <si>
    <t>jwan@jobcase.com</t>
  </si>
  <si>
    <t>jwan</t>
  </si>
  <si>
    <t>jobcase</t>
  </si>
  <si>
    <t>tomergafner@gmail.com</t>
  </si>
  <si>
    <t>tomergafner</t>
  </si>
  <si>
    <t>obidan2@gmail.com</t>
  </si>
  <si>
    <t>obidan2</t>
  </si>
  <si>
    <t>richardbrks@gmail.com</t>
  </si>
  <si>
    <t>richardbrks</t>
  </si>
  <si>
    <t>csarron@users.noreply.github.com</t>
  </si>
  <si>
    <t>csarron</t>
  </si>
  <si>
    <t>abdullahselek@gmail.com</t>
  </si>
  <si>
    <t>abdullahselek</t>
  </si>
  <si>
    <t>joel.shapiro7@gmail.com</t>
  </si>
  <si>
    <t>joel.shapiro7</t>
  </si>
  <si>
    <t>ghchinoy@gmail.com</t>
  </si>
  <si>
    <t>ghchinoy</t>
  </si>
  <si>
    <t>clement.gehring@gmail.com</t>
  </si>
  <si>
    <t>clement.gehring</t>
  </si>
  <si>
    <t>Koumudini.Bhute@ibm.com</t>
  </si>
  <si>
    <t>Koumudini.Bhute</t>
  </si>
  <si>
    <t>zhengdi@nationalchip.com</t>
  </si>
  <si>
    <t>zhengdi</t>
  </si>
  <si>
    <t>nationalchip</t>
  </si>
  <si>
    <t>binf@nvidia.com</t>
  </si>
  <si>
    <t>binf</t>
  </si>
  <si>
    <t>myairia@gmail.com</t>
  </si>
  <si>
    <t>myairia</t>
  </si>
  <si>
    <t>sxwang@mobvoi.com</t>
  </si>
  <si>
    <t>sxwang</t>
  </si>
  <si>
    <t>1458495650@qq.com</t>
  </si>
  <si>
    <t>neighlyd@gmail.com</t>
  </si>
  <si>
    <t>neighlyd</t>
  </si>
  <si>
    <t>kmader@users.noreply.github.com</t>
  </si>
  <si>
    <t>kmader</t>
  </si>
  <si>
    <t>peterlee0127@gmail.com</t>
  </si>
  <si>
    <t>peterlee0127</t>
  </si>
  <si>
    <t>danaugrs@gmail.com</t>
  </si>
  <si>
    <t>danaugrs</t>
  </si>
  <si>
    <t>armen.poghosov@gmail.com</t>
  </si>
  <si>
    <t>armen.poghosov</t>
  </si>
  <si>
    <t>ryan.qiyu.jiang@gmail.com</t>
  </si>
  <si>
    <t>ryan.qiyu.jiang</t>
  </si>
  <si>
    <t>shahzadlone@gmail.com</t>
  </si>
  <si>
    <t>shahzadlone</t>
  </si>
  <si>
    <t>sherryy@google.com</t>
  </si>
  <si>
    <t>sherryy</t>
  </si>
  <si>
    <t>mattconley0@gmail.com</t>
  </si>
  <si>
    <t>mattconley0</t>
  </si>
  <si>
    <t>samdow@fb.com</t>
  </si>
  <si>
    <t>samdow</t>
  </si>
  <si>
    <t>bzinberg@google.com</t>
  </si>
  <si>
    <t>bzinberg</t>
  </si>
  <si>
    <t>xff252595680@gmail.com</t>
  </si>
  <si>
    <t>xff252595680</t>
  </si>
  <si>
    <t>FloopCZ@users.noreply.github.com</t>
  </si>
  <si>
    <t>FloopCZ</t>
  </si>
  <si>
    <t>neargye@gmail.com</t>
  </si>
  <si>
    <t>neargye</t>
  </si>
  <si>
    <t>jjhunt@google.com</t>
  </si>
  <si>
    <t>jjhunt</t>
  </si>
  <si>
    <t>superbobry@gmail.com</t>
  </si>
  <si>
    <t>superbobry</t>
  </si>
  <si>
    <t>sheng.fu@intel.com</t>
  </si>
  <si>
    <t>sheng.fu</t>
  </si>
  <si>
    <t>ggadde@gadde.mtv.corp.google.com</t>
  </si>
  <si>
    <t>lanhin1@gmail.com</t>
  </si>
  <si>
    <t>lanhin1</t>
  </si>
  <si>
    <t>s.lebedev@criteo.com</t>
  </si>
  <si>
    <t>s.lebedev</t>
  </si>
  <si>
    <t>jbgordon@google.com</t>
  </si>
  <si>
    <t>jbgordon</t>
  </si>
  <si>
    <t>leondgarse@aol.com</t>
  </si>
  <si>
    <t>leondgarse</t>
  </si>
  <si>
    <t>30507445+avijit-nervana@users.noreply.github.com</t>
  </si>
  <si>
    <t>30507445+avijit-nervana</t>
  </si>
  <si>
    <t>tvikram@google.com</t>
  </si>
  <si>
    <t>tvikram</t>
  </si>
  <si>
    <t>feiquan@wacai.com</t>
  </si>
  <si>
    <t>feiquan</t>
  </si>
  <si>
    <t>shenk.justin@gmail.com</t>
  </si>
  <si>
    <t>shenk.justin</t>
  </si>
  <si>
    <t>c.bockman@gmail.com</t>
  </si>
  <si>
    <t>c.bockman</t>
  </si>
  <si>
    <t>rayyuan@google.com</t>
  </si>
  <si>
    <t>rayyuan</t>
  </si>
  <si>
    <t>rakesh.chada@human.x.ai</t>
  </si>
  <si>
    <t>rakesh.chada</t>
  </si>
  <si>
    <t>hehongliang@yidian-inc.com</t>
  </si>
  <si>
    <t>hehongliang</t>
  </si>
  <si>
    <t>shabarivas.abhiram@gmail.com</t>
  </si>
  <si>
    <t>shabarivas.abhiram</t>
  </si>
  <si>
    <t>perl.jonathan@gmail.com</t>
  </si>
  <si>
    <t>perl.jonathan</t>
  </si>
  <si>
    <t>github@ertler.org</t>
  </si>
  <si>
    <t>karankaw@hotmail.com</t>
  </si>
  <si>
    <t>karankaw</t>
  </si>
  <si>
    <t>varomodt@google.com</t>
  </si>
  <si>
    <t>varomodt</t>
  </si>
  <si>
    <t>gdh1995@qq.com</t>
  </si>
  <si>
    <t>gdh1995</t>
  </si>
  <si>
    <t>shilu_smit@yahoo.com</t>
  </si>
  <si>
    <t>shilu_smit</t>
  </si>
  <si>
    <t>krish.ravindranath@gmail.com</t>
  </si>
  <si>
    <t>krish.ravindranath</t>
  </si>
  <si>
    <t>32845615+sandeepngupta@users.noreply.github.com</t>
  </si>
  <si>
    <t>32845615+sandeepngupta</t>
  </si>
  <si>
    <t>filipefilardi@hotmail.com</t>
  </si>
  <si>
    <t>filipefilardi</t>
  </si>
  <si>
    <t>h.nuchi@gmail.com</t>
  </si>
  <si>
    <t>h.nuchi</t>
  </si>
  <si>
    <t>akindyakov@gmail.com</t>
  </si>
  <si>
    <t>akindyakov</t>
  </si>
  <si>
    <t>gmarkhor@gmail.com</t>
  </si>
  <si>
    <t>gmarkhor</t>
  </si>
  <si>
    <t>b@lamberta.org</t>
  </si>
  <si>
    <t>b</t>
  </si>
  <si>
    <t>shlens@google.com</t>
  </si>
  <si>
    <t>shlens</t>
  </si>
  <si>
    <t>alan.h.du@gmail.com</t>
  </si>
  <si>
    <t>alan.h.du</t>
  </si>
  <si>
    <t>ozabluda@gmail.com</t>
  </si>
  <si>
    <t>ozabluda</t>
  </si>
  <si>
    <t>lihanchen@users.noreply.github.com</t>
  </si>
  <si>
    <t>lihanchen</t>
  </si>
  <si>
    <t>chizeng@google.com</t>
  </si>
  <si>
    <t>chizeng</t>
  </si>
  <si>
    <t>seaotterman@users.noreply.github.com</t>
  </si>
  <si>
    <t>seaotterman</t>
  </si>
  <si>
    <t>myungjoo.ham@gmail.com</t>
  </si>
  <si>
    <t>myungjoo.ham</t>
  </si>
  <si>
    <t>Johnson145@users.noreply.github.com</t>
  </si>
  <si>
    <t>Johnson145</t>
  </si>
  <si>
    <t>stegben.benjamin@gmail.com</t>
  </si>
  <si>
    <t>stegben.benjamin</t>
  </si>
  <si>
    <t>quaeler@users.noreply.github.com</t>
  </si>
  <si>
    <t>quaeler</t>
  </si>
  <si>
    <t>powderluv@users.noreply.github.com</t>
  </si>
  <si>
    <t>powderluv</t>
  </si>
  <si>
    <t>my.accounts@gmx.se</t>
  </si>
  <si>
    <t>my.accounts</t>
  </si>
  <si>
    <t>johnnychan0302@gmail.com</t>
  </si>
  <si>
    <t>johnnychan0302</t>
  </si>
  <si>
    <t>yupbank@users.noreply.github.com</t>
  </si>
  <si>
    <t>yupbank</t>
  </si>
  <si>
    <t>eriche@google.com</t>
  </si>
  <si>
    <t>eriche</t>
  </si>
  <si>
    <t>yoodongphil@naver.com</t>
  </si>
  <si>
    <t>yoodongphil</t>
  </si>
  <si>
    <t>1517779+sb2nov@users.noreply.github.com</t>
  </si>
  <si>
    <t>1517779+sb2nov</t>
  </si>
  <si>
    <t>daniyar.turmukhambetov.10@ucl.ac.uk</t>
  </si>
  <si>
    <t>daniyar.turmukhambetov.10</t>
  </si>
  <si>
    <t>youssefheshamhassan@gmail.com</t>
  </si>
  <si>
    <t>youssefheshamhassan</t>
  </si>
  <si>
    <t>jeroen@bedorf.net</t>
  </si>
  <si>
    <t>david.b.wang@gmail.com</t>
  </si>
  <si>
    <t>david.b.wang</t>
  </si>
  <si>
    <t>vladmos@users.noreply.github.com</t>
  </si>
  <si>
    <t>vladmos</t>
  </si>
  <si>
    <t>dgr@google.com</t>
  </si>
  <si>
    <t>dgr</t>
  </si>
  <si>
    <t>liu.guangcong@zte.com.cn</t>
  </si>
  <si>
    <t>liu.guangcong</t>
  </si>
  <si>
    <t>a.daitche@gmail.com</t>
  </si>
  <si>
    <t>a.daitche</t>
  </si>
  <si>
    <t>lucas.moura128@gmail.com</t>
  </si>
  <si>
    <t>lucas.moura128</t>
  </si>
  <si>
    <t>yufengg@users.noreply.github.com</t>
  </si>
  <si>
    <t>yufengg</t>
  </si>
  <si>
    <t>Moriadry@users.noreply.github.com</t>
  </si>
  <si>
    <t>Moriadry</t>
  </si>
  <si>
    <t>drasmuss@users.noreply.github.com</t>
  </si>
  <si>
    <t>drasmuss</t>
  </si>
  <si>
    <t>preciousdp11@gmail.com</t>
  </si>
  <si>
    <t>preciousdp11</t>
  </si>
  <si>
    <t>me@thinxer.com</t>
  </si>
  <si>
    <t>4F2E4A2E@users.noreply.github.com</t>
  </si>
  <si>
    <t>4F2E4A2E</t>
  </si>
  <si>
    <t>haniballsadresse@gmx.at</t>
  </si>
  <si>
    <t>haniballsadresse</t>
  </si>
  <si>
    <t>corey@cwharton.com</t>
  </si>
  <si>
    <t>corey</t>
  </si>
  <si>
    <t>thesuperzapper@users.noreply.github.com</t>
  </si>
  <si>
    <t>thesuperzapper</t>
  </si>
  <si>
    <t>kumasento@users.noreply.github.com</t>
  </si>
  <si>
    <t>kumasento</t>
  </si>
  <si>
    <t>admcrae6@gmail.com</t>
  </si>
  <si>
    <t>admcrae6</t>
  </si>
  <si>
    <t>wgyumg@gmail.com</t>
  </si>
  <si>
    <t>wgyumg</t>
  </si>
  <si>
    <t>anand.venkat@intel.com</t>
  </si>
  <si>
    <t>anand.venkat</t>
  </si>
  <si>
    <t>sugi1982@gmail.com</t>
  </si>
  <si>
    <t>sugi1982</t>
  </si>
  <si>
    <t>yongtang@users.noreply.github.com</t>
  </si>
  <si>
    <t>yongtang</t>
  </si>
  <si>
    <t>jmeyer41@gmail.com</t>
  </si>
  <si>
    <t>jmeyer41</t>
  </si>
  <si>
    <t>hprovenza@gmail.com</t>
  </si>
  <si>
    <t>hprovenza</t>
  </si>
  <si>
    <t>nirajpatel@utexas.edu</t>
  </si>
  <si>
    <t>nirajpatel</t>
  </si>
  <si>
    <t>utexas</t>
  </si>
  <si>
    <t>MicaelCarvalho@users.noreply.github.com</t>
  </si>
  <si>
    <t>MicaelCarvalho</t>
  </si>
  <si>
    <t>users</t>
  </si>
  <si>
    <t>fanlu7311@163.com</t>
  </si>
  <si>
    <t>fanlu7311</t>
  </si>
  <si>
    <t>memono.liu@gmail.com</t>
  </si>
  <si>
    <t>memono.liu</t>
  </si>
  <si>
    <t>vijaydsilva@google.com</t>
  </si>
  <si>
    <t>vijaydsilva</t>
  </si>
  <si>
    <t>kchodorow@google.com</t>
  </si>
  <si>
    <t>kchodorow</t>
  </si>
  <si>
    <t>cwhipkey@google.com</t>
  </si>
  <si>
    <t>cwhipkey</t>
  </si>
  <si>
    <t>zafartahirov@users.noreply.github.com</t>
  </si>
  <si>
    <t>zafartahirov</t>
  </si>
  <si>
    <t>yonib@google.com</t>
  </si>
  <si>
    <t>yonib</t>
  </si>
  <si>
    <t>inflation@users.noreply.github.com</t>
  </si>
  <si>
    <t>inflation</t>
  </si>
  <si>
    <t>carmezim.filho@gmail.com</t>
  </si>
  <si>
    <t>carmezim.filho</t>
  </si>
  <si>
    <t>viacheslav@b0noi.com</t>
  </si>
  <si>
    <t>viacheslav</t>
  </si>
  <si>
    <t>darcyliu@outlook.com</t>
  </si>
  <si>
    <t>darcyliu</t>
  </si>
  <si>
    <t>email@andreas-eberle.com</t>
  </si>
  <si>
    <t>email</t>
  </si>
  <si>
    <t>779222056@qq.com</t>
  </si>
  <si>
    <t>nsukeg@gmail.com</t>
  </si>
  <si>
    <t>nsukeg</t>
  </si>
  <si>
    <t>ondri.f@gmail.com</t>
  </si>
  <si>
    <t>ondri.f</t>
  </si>
  <si>
    <t>laurent.mazare@gmail.com</t>
  </si>
  <si>
    <t>laurent.mazare</t>
  </si>
  <si>
    <t>hrldcpr@gmail.com</t>
  </si>
  <si>
    <t>hrldcpr</t>
  </si>
  <si>
    <t>gustav.m.larsson@gmail.com</t>
  </si>
  <si>
    <t>gustav.m.larsson</t>
  </si>
  <si>
    <t>igormq@poli.ufrj.br</t>
  </si>
  <si>
    <t>igormq</t>
  </si>
  <si>
    <t>vra@users.noreply.github.com</t>
  </si>
  <si>
    <t>vra</t>
  </si>
  <si>
    <t>fangweil@google.com</t>
  </si>
  <si>
    <t>fangweil</t>
  </si>
  <si>
    <t>martin@englund.nu</t>
  </si>
  <si>
    <t>simondenel1@gmail.com</t>
  </si>
  <si>
    <t>simondenel1</t>
  </si>
  <si>
    <t>kris@alum.mit.edu</t>
  </si>
  <si>
    <t>kris</t>
  </si>
  <si>
    <t>cssndrx@gmail.com</t>
  </si>
  <si>
    <t>cssndrx</t>
  </si>
  <si>
    <t>jon.from.california@gmail.com</t>
  </si>
  <si>
    <t>jon.from.california</t>
  </si>
  <si>
    <t>ry@tinyclouds.org</t>
  </si>
  <si>
    <t>ry</t>
  </si>
  <si>
    <t>sj38.park@gmail.com</t>
  </si>
  <si>
    <t>sj38.park</t>
  </si>
  <si>
    <t>e-lin@groovenauts.jp</t>
  </si>
  <si>
    <t>e-lin</t>
  </si>
  <si>
    <t>elqursh@google.com</t>
  </si>
  <si>
    <t>elqursh</t>
  </si>
  <si>
    <t>cjauvin@gmail.com</t>
  </si>
  <si>
    <t>cjauvin</t>
  </si>
  <si>
    <t>adai@google.com</t>
  </si>
  <si>
    <t>adai</t>
  </si>
  <si>
    <t>guia@google.com</t>
  </si>
  <si>
    <t>guia</t>
  </si>
  <si>
    <t>siqiaowu@google.com</t>
  </si>
  <si>
    <t>siqiaowu</t>
  </si>
  <si>
    <t>pgavin@google.com</t>
  </si>
  <si>
    <t>pgavin</t>
  </si>
  <si>
    <t>114951738+akhilgoe@users.noreply.github.com</t>
  </si>
  <si>
    <t>114951738+akhilgoe</t>
  </si>
  <si>
    <t>tsilytskyi@google.com</t>
  </si>
  <si>
    <t>tsilytskyi</t>
  </si>
  <si>
    <t>nafi@google.com</t>
  </si>
  <si>
    <t>nafi</t>
  </si>
  <si>
    <t>aarnab@google.com</t>
  </si>
  <si>
    <t>aarnab</t>
  </si>
  <si>
    <t>bartchr@google.com</t>
  </si>
  <si>
    <t>bartchr</t>
  </si>
  <si>
    <t>Milica.Makevic@amd.com</t>
  </si>
  <si>
    <t>Milica.Makevic</t>
  </si>
  <si>
    <t>feranick@hotmail.com</t>
  </si>
  <si>
    <t>feranick</t>
  </si>
  <si>
    <t>kak@google.com</t>
  </si>
  <si>
    <t>kak</t>
  </si>
  <si>
    <t>shraiysh@gmail.com</t>
  </si>
  <si>
    <t>shraiysh</t>
  </si>
  <si>
    <t>pateldeev@nevada.unr.edu</t>
  </si>
  <si>
    <t>pateldeev</t>
  </si>
  <si>
    <t>nevada</t>
  </si>
  <si>
    <t>103185827+lingzhi98@users.noreply.github.com</t>
  </si>
  <si>
    <t>103185827+lingzhi98</t>
  </si>
  <si>
    <t>singhaayush@google.com</t>
  </si>
  <si>
    <t>singhaayush</t>
  </si>
  <si>
    <t>tom.allsop@arm.com</t>
  </si>
  <si>
    <t>tom.allsop</t>
  </si>
  <si>
    <t>Zachary.Streeter@amd.com</t>
  </si>
  <si>
    <t>Zachary.Streeter</t>
  </si>
  <si>
    <t>107119183+yasiribmcon@users.noreply.github.com</t>
  </si>
  <si>
    <t>107119183+yasiribmcon</t>
  </si>
  <si>
    <t>mbar@google.com</t>
  </si>
  <si>
    <t>mbar</t>
  </si>
  <si>
    <t>kim.lindberger@gmail.com</t>
  </si>
  <si>
    <t>kim.lindberger</t>
  </si>
  <si>
    <t>123112817+pizzud@users.noreply.github.com</t>
  </si>
  <si>
    <t>123112817+pizzud</t>
  </si>
  <si>
    <t>yunn@google.com</t>
  </si>
  <si>
    <t>yunn</t>
  </si>
  <si>
    <t>llansing@google.com</t>
  </si>
  <si>
    <t>llansing</t>
  </si>
  <si>
    <t>boian@nod-labs.com</t>
  </si>
  <si>
    <t>boian</t>
  </si>
  <si>
    <t>pravnar@google.com</t>
  </si>
  <si>
    <t>pravnar</t>
  </si>
  <si>
    <t>agrossman154@yahoo.com</t>
  </si>
  <si>
    <t>agrossman154</t>
  </si>
  <si>
    <t>kulin_seth@apple.com</t>
  </si>
  <si>
    <t>kulin_seth</t>
  </si>
  <si>
    <t>apple</t>
  </si>
  <si>
    <t>apivovarov@gmail.com</t>
  </si>
  <si>
    <t>apivovarov</t>
  </si>
  <si>
    <t>harshavardhan_b@srmap.edu.in</t>
  </si>
  <si>
    <t>harshavardhan_b</t>
  </si>
  <si>
    <t>malikys@google.com</t>
  </si>
  <si>
    <t>malikys</t>
  </si>
  <si>
    <t>james.ward@arm.com</t>
  </si>
  <si>
    <t>james.ward</t>
  </si>
  <si>
    <t>Wen.Chen@amd.com</t>
  </si>
  <si>
    <t>Wen.Chen</t>
  </si>
  <si>
    <t>corrigan@motorola.com</t>
  </si>
  <si>
    <t>corrigan</t>
  </si>
  <si>
    <t>motorola</t>
  </si>
  <si>
    <t>gioachin@google.com</t>
  </si>
  <si>
    <t>gioachin</t>
  </si>
  <si>
    <t>renato.arantes@arm.com</t>
  </si>
  <si>
    <t>renato.arantes</t>
  </si>
  <si>
    <t>eglanz@google.com</t>
  </si>
  <si>
    <t>eglanz</t>
  </si>
  <si>
    <t>rylanjustice@protonmail.com</t>
  </si>
  <si>
    <t>rylanjustice</t>
  </si>
  <si>
    <t>erik.schultheis@aalto.fi</t>
  </si>
  <si>
    <t>erik.schultheis</t>
  </si>
  <si>
    <t>snkancharla@google.com</t>
  </si>
  <si>
    <t>snkancharla</t>
  </si>
  <si>
    <t>suxinguo@google.com</t>
  </si>
  <si>
    <t>suxinguo</t>
  </si>
  <si>
    <t>yuqing.ding@intel.com</t>
  </si>
  <si>
    <t>yuqing.ding</t>
  </si>
  <si>
    <t>rangjiaheng@gmail.com</t>
  </si>
  <si>
    <t>rangjiaheng</t>
  </si>
  <si>
    <t>intoeleven@gmail.com</t>
  </si>
  <si>
    <t>intoeleven</t>
  </si>
  <si>
    <t>ianjjohnson@google.com</t>
  </si>
  <si>
    <t>ianjjohnson</t>
  </si>
  <si>
    <t>Feiyue.Chen@verisilicon.com</t>
  </si>
  <si>
    <t>Feiyue.Chen</t>
  </si>
  <si>
    <t>verisilicon</t>
  </si>
  <si>
    <t>stha09@googlemail.com</t>
  </si>
  <si>
    <t>stha09</t>
  </si>
  <si>
    <t>linuxmetel@gmail.com</t>
  </si>
  <si>
    <t>linuxmetel</t>
  </si>
  <si>
    <t>3933065+samypr100@users.noreply.github.com</t>
  </si>
  <si>
    <t>3933065+samypr100</t>
  </si>
  <si>
    <t>74611856+markub3327@users.noreply.github.com</t>
  </si>
  <si>
    <t>74611856+markub3327</t>
  </si>
  <si>
    <t>gmc2.each@gmail.com</t>
  </si>
  <si>
    <t>gmc2.each</t>
  </si>
  <si>
    <t>quanw@google.com</t>
  </si>
  <si>
    <t>quanw</t>
  </si>
  <si>
    <t>jshankar@nvidia.com</t>
  </si>
  <si>
    <t>jshankar</t>
  </si>
  <si>
    <t>nrwahl@protonmail.com</t>
  </si>
  <si>
    <t>nrwahl</t>
  </si>
  <si>
    <t>andrii.voskoboinyk@capgemini.com</t>
  </si>
  <si>
    <t>andrii.voskoboinyk</t>
  </si>
  <si>
    <t>13143846+rino20@users.noreply.github.com</t>
  </si>
  <si>
    <t>13143846+rino20</t>
  </si>
  <si>
    <t>vam@google.com</t>
  </si>
  <si>
    <t>vam</t>
  </si>
  <si>
    <t>shawnw@nvidia.com</t>
  </si>
  <si>
    <t>shawnw</t>
  </si>
  <si>
    <t>xiangze.zhang@intel.com</t>
  </si>
  <si>
    <t>xiangze.zhang</t>
  </si>
  <si>
    <t>changlan@google.com</t>
  </si>
  <si>
    <t>changlan</t>
  </si>
  <si>
    <t>1039105206@qq.com</t>
  </si>
  <si>
    <t>poulsbo@users.noreply.github.com</t>
  </si>
  <si>
    <t>poulsbo</t>
  </si>
  <si>
    <t>41478302+dixr@users.noreply.github.com</t>
  </si>
  <si>
    <t>41478302+dixr</t>
  </si>
  <si>
    <t>lianminzheng@gmail.com</t>
  </si>
  <si>
    <t>lianminzheng</t>
  </si>
  <si>
    <t>wcn@google.com</t>
  </si>
  <si>
    <t>wcn</t>
  </si>
  <si>
    <t>felker@anl.gov</t>
  </si>
  <si>
    <t>felker</t>
  </si>
  <si>
    <t>accounts@perglass.com</t>
  </si>
  <si>
    <t>paul@coach-ai.com</t>
  </si>
  <si>
    <t>xavibonaventura@gmail.com</t>
  </si>
  <si>
    <t>xavibonaventura</t>
  </si>
  <si>
    <t>ingkarat.bew@gmail.com</t>
  </si>
  <si>
    <t>ingkarat.bew</t>
  </si>
  <si>
    <t>xremold@gmail.com</t>
  </si>
  <si>
    <t>xremold</t>
  </si>
  <si>
    <t>simengl@nvidia.com</t>
  </si>
  <si>
    <t>simengl</t>
  </si>
  <si>
    <t>namrata.bhave@ibm.com</t>
  </si>
  <si>
    <t>namrata.bhave</t>
  </si>
  <si>
    <t>oktay@google.com</t>
  </si>
  <si>
    <t>oktay</t>
  </si>
  <si>
    <t>zhuoran.liu@bytedance.com</t>
  </si>
  <si>
    <t>zhuoran.liu</t>
  </si>
  <si>
    <t>realsiddheshko@gmail.com</t>
  </si>
  <si>
    <t>realsiddheshko</t>
  </si>
  <si>
    <t>LostBenjamin@users.noreply.github.com</t>
  </si>
  <si>
    <t>LostBenjamin</t>
  </si>
  <si>
    <t>jimi.cook@gmail.com</t>
  </si>
  <si>
    <t>jimi.cook</t>
  </si>
  <si>
    <t>jwoolley@nvidia.com</t>
  </si>
  <si>
    <t>jwoolley</t>
  </si>
  <si>
    <t>96748782+anotheruserofgithub@users.noreply.github.com</t>
  </si>
  <si>
    <t>96748782+anotheruserofgithub</t>
  </si>
  <si>
    <t>lenamartens@google.com</t>
  </si>
  <si>
    <t>lenamartens</t>
  </si>
  <si>
    <t>yaochengji@hotmail.com</t>
  </si>
  <si>
    <t>yaochengji</t>
  </si>
  <si>
    <t>hotmail</t>
  </si>
  <si>
    <t>benedikt.lorch@fau.de</t>
  </si>
  <si>
    <t>benedikt.lorch</t>
  </si>
  <si>
    <t>stanczyk@google.com</t>
  </si>
  <si>
    <t>stanczyk</t>
  </si>
  <si>
    <t>jakevdp@gmail.com</t>
  </si>
  <si>
    <t>jakevdp</t>
  </si>
  <si>
    <t>rinolee@google.com</t>
  </si>
  <si>
    <t>rinolee</t>
  </si>
  <si>
    <t>springerm@google.com</t>
  </si>
  <si>
    <t>springerm</t>
  </si>
  <si>
    <t>formigone@users.noreply.github.com</t>
  </si>
  <si>
    <t>formigone</t>
  </si>
  <si>
    <t>viktprog@gmail.com</t>
  </si>
  <si>
    <t>viktprog</t>
  </si>
  <si>
    <t>mrshu@users.noreply.github.com</t>
  </si>
  <si>
    <t>mrshu</t>
  </si>
  <si>
    <t>bschnurr@microsoft.com</t>
  </si>
  <si>
    <t>bschnurr</t>
  </si>
  <si>
    <t>thomas.schmeyer@dfki.de</t>
  </si>
  <si>
    <t>thomas.schmeyer</t>
  </si>
  <si>
    <t>tianwai263@gmail.com</t>
  </si>
  <si>
    <t>tianwai263</t>
  </si>
  <si>
    <t>tianmingxu.tmxu@gmail.com</t>
  </si>
  <si>
    <t>tianmingxu.tmxu</t>
  </si>
  <si>
    <t>arnab@polymagelabs.com</t>
  </si>
  <si>
    <t>arnab</t>
  </si>
  <si>
    <t>jl@revealtech.ai</t>
  </si>
  <si>
    <t>jl</t>
  </si>
  <si>
    <t>revealtech</t>
  </si>
  <si>
    <t>nilesh@broadcom.com</t>
  </si>
  <si>
    <t>nilesh</t>
  </si>
  <si>
    <t>broadcom</t>
  </si>
  <si>
    <t>mark.harfouche@gmail.com</t>
  </si>
  <si>
    <t>mark.harfouche</t>
  </si>
  <si>
    <t>abcdabcd987@users.noreply.github.com</t>
  </si>
  <si>
    <t>abcdabcd987</t>
  </si>
  <si>
    <t>dssgsra@gmail.com</t>
  </si>
  <si>
    <t>dssgsra</t>
  </si>
  <si>
    <t>johan.gras@arm.com</t>
  </si>
  <si>
    <t>johan.gras</t>
  </si>
  <si>
    <t>pkch@google.com</t>
  </si>
  <si>
    <t>pkch</t>
  </si>
  <si>
    <t>yeqing@google.com</t>
  </si>
  <si>
    <t>yeqing</t>
  </si>
  <si>
    <t>chiwang@google.com</t>
  </si>
  <si>
    <t>chiwang</t>
  </si>
  <si>
    <t>mkunesch@google.com</t>
  </si>
  <si>
    <t>mkunesch</t>
  </si>
  <si>
    <t>i@twice.moe</t>
  </si>
  <si>
    <t>mdreves@google.com</t>
  </si>
  <si>
    <t>mdreves</t>
  </si>
  <si>
    <t>cheneywang1116@gmail.com</t>
  </si>
  <si>
    <t>cheneywang1116</t>
  </si>
  <si>
    <t>rmsdh122@yahoo.co.jp</t>
  </si>
  <si>
    <t>rmsdh122</t>
  </si>
  <si>
    <t>ayazdan@google.com</t>
  </si>
  <si>
    <t>ayazdan</t>
  </si>
  <si>
    <t>66359174+RinozaJiffry@users.noreply.github.com</t>
  </si>
  <si>
    <t>66359174+RinozaJiffry</t>
  </si>
  <si>
    <t>53313357+geetachavan1@users.noreply.github.com</t>
  </si>
  <si>
    <t>53313357+geetachavan1</t>
  </si>
  <si>
    <t>europeanplaice@gmail.com</t>
  </si>
  <si>
    <t>europeanplaice</t>
  </si>
  <si>
    <t>git@maxgerlach.de</t>
  </si>
  <si>
    <t>martis@chromium.org</t>
  </si>
  <si>
    <t>martis</t>
  </si>
  <si>
    <t>smoriarity.5@gmail.com</t>
  </si>
  <si>
    <t>smoriarity.5</t>
  </si>
  <si>
    <t>gaurav.shukla@cerebras.net</t>
  </si>
  <si>
    <t>gaurav.shukla</t>
  </si>
  <si>
    <t>cerebras</t>
  </si>
  <si>
    <t>luisleee@126.com</t>
  </si>
  <si>
    <t>luisleee</t>
  </si>
  <si>
    <t>evelynmitchell@users.noreply.github.com</t>
  </si>
  <si>
    <t>evelynmitchell</t>
  </si>
  <si>
    <t>hyeonjilee@google.com</t>
  </si>
  <si>
    <t>hyeonjilee</t>
  </si>
  <si>
    <t>piccione-mail@yandex.ru</t>
  </si>
  <si>
    <t>piccione-mail</t>
  </si>
  <si>
    <t>44026283+GabboM@users.noreply.github.com</t>
  </si>
  <si>
    <t>44026283+GabboM</t>
  </si>
  <si>
    <t>s@sunoru.com</t>
  </si>
  <si>
    <t>s</t>
  </si>
  <si>
    <t>sunoru</t>
  </si>
  <si>
    <t>tgale@google.com</t>
  </si>
  <si>
    <t>tgale</t>
  </si>
  <si>
    <t>orivej@gmx.fr</t>
  </si>
  <si>
    <t>orivej</t>
  </si>
  <si>
    <t>cyanbuckeye@gmail.com</t>
  </si>
  <si>
    <t>cyanbuckeye</t>
  </si>
  <si>
    <t>whame91@gmail.com</t>
  </si>
  <si>
    <t>whame91</t>
  </si>
  <si>
    <t>tabakg@google.com</t>
  </si>
  <si>
    <t>tabakg</t>
  </si>
  <si>
    <t>colcarroll@google.com</t>
  </si>
  <si>
    <t>colcarroll</t>
  </si>
  <si>
    <t>frederickliu@google.com</t>
  </si>
  <si>
    <t>frederickliu</t>
  </si>
  <si>
    <t>simomaur@student.ethz.ch</t>
  </si>
  <si>
    <t>simomaur</t>
  </si>
  <si>
    <t>maozhou.ge@intel.com</t>
  </si>
  <si>
    <t>maozhou.ge</t>
  </si>
  <si>
    <t>rehanguha29@gmail.com</t>
  </si>
  <si>
    <t>rehanguha29</t>
  </si>
  <si>
    <t>marconi1964@yahoo.com</t>
  </si>
  <si>
    <t>marconi1964</t>
  </si>
  <si>
    <t>yahoo</t>
  </si>
  <si>
    <t>usuraj35@gmail.com</t>
  </si>
  <si>
    <t>usuraj35</t>
  </si>
  <si>
    <t>natanael_magalhaes@msn.com</t>
  </si>
  <si>
    <t>natanael_magalhaes</t>
  </si>
  <si>
    <t>51902062+ravikyram@users.noreply.github.com</t>
  </si>
  <si>
    <t>51902062+ravikyram</t>
  </si>
  <si>
    <t>sandler@google.com</t>
  </si>
  <si>
    <t>sandler</t>
  </si>
  <si>
    <t>45004378+henriwoodcock@users.noreply.github.com</t>
  </si>
  <si>
    <t>45004378+henriwoodcock</t>
  </si>
  <si>
    <t>42299606+machineko@users.noreply.github.com</t>
  </si>
  <si>
    <t>42299606+machineko</t>
  </si>
  <si>
    <t>simrit.kaur@ibm.com</t>
  </si>
  <si>
    <t>simrit.kaur</t>
  </si>
  <si>
    <t>Flamefire@users.noreply.github.com</t>
  </si>
  <si>
    <t>Flamefire</t>
  </si>
  <si>
    <t>latyas@gmail.com</t>
  </si>
  <si>
    <t>latyas</t>
  </si>
  <si>
    <t>amankishore105@gmail.com</t>
  </si>
  <si>
    <t>amankishore105</t>
  </si>
  <si>
    <t>35025375+geekyvyas@users.noreply.github.com</t>
  </si>
  <si>
    <t>35025375+geekyvyas</t>
  </si>
  <si>
    <t>huangrui@google.com</t>
  </si>
  <si>
    <t>huangrui</t>
  </si>
  <si>
    <t>48215717+gbaned@users.noreply.github.com</t>
  </si>
  <si>
    <t>48215717+gbaned</t>
  </si>
  <si>
    <t>spopovru@gmail.com</t>
  </si>
  <si>
    <t>spopovru</t>
  </si>
  <si>
    <t>a.bayandin@gmail.com</t>
  </si>
  <si>
    <t>a.bayandin</t>
  </si>
  <si>
    <t>bmc@stripe.com</t>
  </si>
  <si>
    <t>bmc</t>
  </si>
  <si>
    <t>stripe</t>
  </si>
  <si>
    <t>mlbileschi@google.com</t>
  </si>
  <si>
    <t>mlbileschi</t>
  </si>
  <si>
    <t>vladimir.silyaev@broadcom.com</t>
  </si>
  <si>
    <t>vladimir.silyaev</t>
  </si>
  <si>
    <t>abhishek.kulkarni@intel.com</t>
  </si>
  <si>
    <t>abhishek.kulkarni</t>
  </si>
  <si>
    <t>paul.isaacs@linaro.org</t>
  </si>
  <si>
    <t>paul.isaacs</t>
  </si>
  <si>
    <t>rszczepanski@internships.antmicro.com</t>
  </si>
  <si>
    <t>rszczepanski</t>
  </si>
  <si>
    <t>45232678+PlusPlusUltra@users.noreply.github.com</t>
  </si>
  <si>
    <t>45232678+PlusPlusUltra</t>
  </si>
  <si>
    <t>rsepassi@google.com</t>
  </si>
  <si>
    <t>rsepassi</t>
  </si>
  <si>
    <t>71391415+emlaprise2358@users.noreply.github.com</t>
  </si>
  <si>
    <t>71391415+emlaprise2358</t>
  </si>
  <si>
    <t>javier.montalt@outlook.com</t>
  </si>
  <si>
    <t>javier.montalt</t>
  </si>
  <si>
    <t>martin.hwasser@northvolt.com</t>
  </si>
  <si>
    <t>martin.hwasser</t>
  </si>
  <si>
    <t>northvolt</t>
  </si>
  <si>
    <t>cjs.nordstrom@gmail.com</t>
  </si>
  <si>
    <t>cjs.nordstrom</t>
  </si>
  <si>
    <t>VoVAllen@users.noreply.github.com</t>
  </si>
  <si>
    <t>VoVAllen</t>
  </si>
  <si>
    <t>psobot@spotify.com</t>
  </si>
  <si>
    <t>psobot</t>
  </si>
  <si>
    <t>alansysu@gmail.com</t>
  </si>
  <si>
    <t>alansysu</t>
  </si>
  <si>
    <t>john@primatelabs.com</t>
  </si>
  <si>
    <t>primatelabs</t>
  </si>
  <si>
    <t>shickson@google.com</t>
  </si>
  <si>
    <t>shickson</t>
  </si>
  <si>
    <t>josipd@google.com</t>
  </si>
  <si>
    <t>josipd</t>
  </si>
  <si>
    <t>schien@google.com</t>
  </si>
  <si>
    <t>schien</t>
  </si>
  <si>
    <t>janpf@google.com</t>
  </si>
  <si>
    <t>janpf</t>
  </si>
  <si>
    <t>lahead@tlen.pl</t>
  </si>
  <si>
    <t>lahead</t>
  </si>
  <si>
    <t>chencheng.kit@bytedance.com</t>
  </si>
  <si>
    <t>chencheng.kit</t>
  </si>
  <si>
    <t>benjamin@python.org</t>
  </si>
  <si>
    <t>benjamin</t>
  </si>
  <si>
    <t>xingyulong@google.com</t>
  </si>
  <si>
    <t>xingyulong</t>
  </si>
  <si>
    <t>58372823+aavishkarmishra@users.noreply.github.com</t>
  </si>
  <si>
    <t>58372823+aavishkarmishra</t>
  </si>
  <si>
    <t>torstenrudolf@users.noreply.github.com</t>
  </si>
  <si>
    <t>torstenrudolf</t>
  </si>
  <si>
    <t>jmhessel@gmail.com</t>
  </si>
  <si>
    <t>jmhessel</t>
  </si>
  <si>
    <t>35348985+tonyychen@users.noreply.github.com</t>
  </si>
  <si>
    <t>35348985+tonyychen</t>
  </si>
  <si>
    <t>chillychen1991@gmail.com</t>
  </si>
  <si>
    <t>chillychen1991</t>
  </si>
  <si>
    <t>sean.settle@gmail.com</t>
  </si>
  <si>
    <t>sean.settle</t>
  </si>
  <si>
    <t>shuizhuyuanluo@126.com</t>
  </si>
  <si>
    <t>shuizhuyuanluo</t>
  </si>
  <si>
    <t>SsnL@users.noreply.github.com</t>
  </si>
  <si>
    <t>SsnL</t>
  </si>
  <si>
    <t>gregoryclark@google.com</t>
  </si>
  <si>
    <t>gregoryclark</t>
  </si>
  <si>
    <t>sfalexrog@gmail.com</t>
  </si>
  <si>
    <t>sfalexrog</t>
  </si>
  <si>
    <t>imharjyotbagga@gmail.com</t>
  </si>
  <si>
    <t>imharjyotbagga</t>
  </si>
  <si>
    <t>62606132+seo-inyoung@users.noreply.github.com</t>
  </si>
  <si>
    <t>62606132+seo-inyoung</t>
  </si>
  <si>
    <t>abhi.chou4@gmail.com</t>
  </si>
  <si>
    <t>abhi.chou4</t>
  </si>
  <si>
    <t>willbattel@gmail.com</t>
  </si>
  <si>
    <t>willbattel</t>
  </si>
  <si>
    <t>39672672+Rishit-dagli@users.noreply.github.com</t>
  </si>
  <si>
    <t>39672672+Rishit-dagli</t>
  </si>
  <si>
    <t>janosh.riebesell@gmail.com</t>
  </si>
  <si>
    <t>janosh.riebesell</t>
  </si>
  <si>
    <t>moffitt@google.com</t>
  </si>
  <si>
    <t>moffitt</t>
  </si>
  <si>
    <t>cs17btech11050@iith.ac.in</t>
  </si>
  <si>
    <t>cs17btech11050</t>
  </si>
  <si>
    <t>anselm.hahn@gmail.com</t>
  </si>
  <si>
    <t>anselm.hahn</t>
  </si>
  <si>
    <t>mshr-h@users.noreply.github.com</t>
  </si>
  <si>
    <t>mshr-h</t>
  </si>
  <si>
    <t>sunfei.china@gmail.com</t>
  </si>
  <si>
    <t>sunfei.china</t>
  </si>
  <si>
    <t>teobouvard@gmail.com</t>
  </si>
  <si>
    <t>teobouvard</t>
  </si>
  <si>
    <t>svenstaro@gmail.com</t>
  </si>
  <si>
    <t>svenstaro</t>
  </si>
  <si>
    <t>khaledbesrour2@gmail.com</t>
  </si>
  <si>
    <t>khaledbesrour2</t>
  </si>
  <si>
    <t>sunchenggen@kuaishou.com</t>
  </si>
  <si>
    <t>sunchenggen</t>
  </si>
  <si>
    <t>kuaishou</t>
  </si>
  <si>
    <t>harald.husum@gmail.com</t>
  </si>
  <si>
    <t>harald.husum</t>
  </si>
  <si>
    <t>raman.jayanth@gmail.com</t>
  </si>
  <si>
    <t>raman.jayanth</t>
  </si>
  <si>
    <t>sunway513@gmail.com</t>
  </si>
  <si>
    <t>sunway513</t>
  </si>
  <si>
    <t>huangyp@google.com</t>
  </si>
  <si>
    <t>huangyp</t>
  </si>
  <si>
    <t>OverLordGoldDragon@yahoo.com</t>
  </si>
  <si>
    <t>OverLordGoldDragon</t>
  </si>
  <si>
    <t>aaronhma@gmail.com</t>
  </si>
  <si>
    <t>aaronhma</t>
  </si>
  <si>
    <t>jmsmdy@gmail.com</t>
  </si>
  <si>
    <t>jmsmdy</t>
  </si>
  <si>
    <t>alanyee@users.noreply.github.com</t>
  </si>
  <si>
    <t>alanyee</t>
  </si>
  <si>
    <t>madisetti@jhu.edu</t>
  </si>
  <si>
    <t>madisetti</t>
  </si>
  <si>
    <t>jhu</t>
  </si>
  <si>
    <t>twkuri@gmail.com</t>
  </si>
  <si>
    <t>twkuri</t>
  </si>
  <si>
    <t>fred.rec@gmail.com</t>
  </si>
  <si>
    <t>fred.rec</t>
  </si>
  <si>
    <t>tom@intellecti.ca</t>
  </si>
  <si>
    <t>Intellecti</t>
  </si>
  <si>
    <t>jaehunryu@icloud.com</t>
  </si>
  <si>
    <t>jaehunryu</t>
  </si>
  <si>
    <t>372046933@users.noreply.github.com</t>
  </si>
  <si>
    <t>hjung524@gmail.com</t>
  </si>
  <si>
    <t>hjung524</t>
  </si>
  <si>
    <t>zettel@b1-systems.de</t>
  </si>
  <si>
    <t>zettel</t>
  </si>
  <si>
    <t>b1-systems</t>
  </si>
  <si>
    <t>cgoll@suse.de</t>
  </si>
  <si>
    <t>cgoll</t>
  </si>
  <si>
    <t>suse</t>
  </si>
  <si>
    <t>hugovk@users.noreply.github.com</t>
  </si>
  <si>
    <t>hugovk</t>
  </si>
  <si>
    <t>artemmavrin@users.noreply.github.com</t>
  </si>
  <si>
    <t>artemmavrin</t>
  </si>
  <si>
    <t>sharkd.tu@gmail.com</t>
  </si>
  <si>
    <t>sharkd.tu</t>
  </si>
  <si>
    <t>ikuyadeu@yahoo.co.jp</t>
  </si>
  <si>
    <t>ikuyadeu</t>
  </si>
  <si>
    <t>wallysslima@gmail.com</t>
  </si>
  <si>
    <t>wallysslima</t>
  </si>
  <si>
    <t>drake.gens@goilluminate.com</t>
  </si>
  <si>
    <t>drake.gens</t>
  </si>
  <si>
    <t>goilluminate</t>
  </si>
  <si>
    <t>38592928+VersatileVishal@users.noreply.github.com</t>
  </si>
  <si>
    <t>38592928+VersatileVishal</t>
  </si>
  <si>
    <t>liu.c2n@gmail.com</t>
  </si>
  <si>
    <t>liu.c2n</t>
  </si>
  <si>
    <t>nagy.h.mostafa@intel.com</t>
  </si>
  <si>
    <t>nagy.h.mostafa</t>
  </si>
  <si>
    <t>roshan.palakkal@gmail.com</t>
  </si>
  <si>
    <t>roshan.palakkal</t>
  </si>
  <si>
    <t>51275047+JKIsaacLee@users.noreply.github.com</t>
  </si>
  <si>
    <t>51275047+JKIsaacLee</t>
  </si>
  <si>
    <t>n.a.sch137@gmail.com</t>
  </si>
  <si>
    <t>n.a.sch137</t>
  </si>
  <si>
    <t>srishtiyadav0807@gmail.com</t>
  </si>
  <si>
    <t>srishtiyadav0807</t>
  </si>
  <si>
    <t>46572301+darsh8200@users.noreply.github.com</t>
  </si>
  <si>
    <t>46572301+darsh8200</t>
  </si>
  <si>
    <t>keunwooc@spotify.com</t>
  </si>
  <si>
    <t>keunwooc</t>
  </si>
  <si>
    <t>rosica@google.com</t>
  </si>
  <si>
    <t>rosica</t>
  </si>
  <si>
    <t>robertogomes@dcc.ufmg.br</t>
  </si>
  <si>
    <t>robertogomes</t>
  </si>
  <si>
    <t>dcc</t>
  </si>
  <si>
    <t>djshen1217@gmail.com</t>
  </si>
  <si>
    <t>djshen1217</t>
  </si>
  <si>
    <t>and.an@hotmail.com</t>
  </si>
  <si>
    <t>and.an</t>
  </si>
  <si>
    <t>sjr@jdns.org</t>
  </si>
  <si>
    <t>keiji_ariyama@c-lis.co.jp</t>
  </si>
  <si>
    <t>keiji_ariyama</t>
  </si>
  <si>
    <t>reinerp@google.com</t>
  </si>
  <si>
    <t>reinerp</t>
  </si>
  <si>
    <t>keydana@gmx.de</t>
  </si>
  <si>
    <t>keydana</t>
  </si>
  <si>
    <t>jurampark@google.com</t>
  </si>
  <si>
    <t>jurampark</t>
  </si>
  <si>
    <t>asmita_poddar@yahoo.co.in</t>
  </si>
  <si>
    <t>asmita_poddar</t>
  </si>
  <si>
    <t>tim.bradley.256@gmail.com</t>
  </si>
  <si>
    <t>tim.bradley.256</t>
  </si>
  <si>
    <t>kcanamgal@foxmail.com</t>
  </si>
  <si>
    <t>kcanamgal</t>
  </si>
  <si>
    <t>alexst07@gmail.com</t>
  </si>
  <si>
    <t>alexst07</t>
  </si>
  <si>
    <t>davisty@google.com</t>
  </si>
  <si>
    <t>davisty</t>
  </si>
  <si>
    <t>mhkim4886@gmail.com</t>
  </si>
  <si>
    <t>mhkim4886</t>
  </si>
  <si>
    <t>kaurc@google.com</t>
  </si>
  <si>
    <t>kaurc</t>
  </si>
  <si>
    <t>madenton@nvidia.com</t>
  </si>
  <si>
    <t>madenton</t>
  </si>
  <si>
    <t>andrey.primostka@gmail.com</t>
  </si>
  <si>
    <t>andrey.primostka</t>
  </si>
  <si>
    <t>kstuedemann@yahoo.de</t>
  </si>
  <si>
    <t>kstuedemann</t>
  </si>
  <si>
    <t>yin.thong.choong@intel.com</t>
  </si>
  <si>
    <t>yin.thong.choong</t>
  </si>
  <si>
    <t>svjk24@gmail.com</t>
  </si>
  <si>
    <t>svjk24</t>
  </si>
  <si>
    <t>ewj@google.com</t>
  </si>
  <si>
    <t>ewj</t>
  </si>
  <si>
    <t>47165210+fwcore@users.noreply.github.com</t>
  </si>
  <si>
    <t>47165210+fwcore</t>
  </si>
  <si>
    <t>13181870+ocjosen@users.noreply.github.com</t>
  </si>
  <si>
    <t>13181870+ocjosen</t>
  </si>
  <si>
    <t>rmorais@mozilla.com</t>
  </si>
  <si>
    <t>rmorais</t>
  </si>
  <si>
    <t>krzysd@google.com</t>
  </si>
  <si>
    <t>krzysd</t>
  </si>
  <si>
    <t>42554856+bananabowl@users.noreply.github.com</t>
  </si>
  <si>
    <t>42554856+bananabowl</t>
  </si>
  <si>
    <t>lopresti@gmail.com</t>
  </si>
  <si>
    <t>lopresti</t>
  </si>
  <si>
    <t>Leslie-Fang@users.noreply.github.com</t>
  </si>
  <si>
    <t>Leslie-Fang</t>
  </si>
  <si>
    <t>shawnmengdong@gmail.com</t>
  </si>
  <si>
    <t>shawnmengdong</t>
  </si>
  <si>
    <t>casper.dcl@physics.org</t>
  </si>
  <si>
    <t>casper.dcl</t>
  </si>
  <si>
    <t>rkabra@google.com</t>
  </si>
  <si>
    <t>rkabra</t>
  </si>
  <si>
    <t>ziy@google.com</t>
  </si>
  <si>
    <t>ziy</t>
  </si>
  <si>
    <t>freedom.tan@linaro.org</t>
  </si>
  <si>
    <t>freedom.tan</t>
  </si>
  <si>
    <t>putra.manggala@shopify.com</t>
  </si>
  <si>
    <t>putra.manggala</t>
  </si>
  <si>
    <t>Mazecreator@users.noreply.github.com</t>
  </si>
  <si>
    <t>Mazecreator</t>
  </si>
  <si>
    <t>ccgrtwall@gmail.com</t>
  </si>
  <si>
    <t>ccgrtwall</t>
  </si>
  <si>
    <t>eamon@itofisher.com</t>
  </si>
  <si>
    <t>eamon</t>
  </si>
  <si>
    <t>kabirkwatra02@gmail.com</t>
  </si>
  <si>
    <t>kabirkwatra02</t>
  </si>
  <si>
    <t>32092715+yann-yy@users.noreply.github.com</t>
  </si>
  <si>
    <t>32092715+yann-yy</t>
  </si>
  <si>
    <t>astropeak@gmail.com</t>
  </si>
  <si>
    <t>astropeak</t>
  </si>
  <si>
    <t>dominik.schloesser@gmail.com</t>
  </si>
  <si>
    <t>dominik.schloesser</t>
  </si>
  <si>
    <t>49523965+ThisIsIsaac@users.noreply.github.com</t>
  </si>
  <si>
    <t>49523965+ThisIsIsaac</t>
  </si>
  <si>
    <t>adamrichter4@gmail.com</t>
  </si>
  <si>
    <t>adamrichter4</t>
  </si>
  <si>
    <t>nick.drabovich@amd.com</t>
  </si>
  <si>
    <t>nick.drabovich</t>
  </si>
  <si>
    <t>floop@floop.cz</t>
  </si>
  <si>
    <t>floop</t>
  </si>
  <si>
    <t>duncangleeddean@gmail.com</t>
  </si>
  <si>
    <t>duncangleeddean</t>
  </si>
  <si>
    <t>thangluong@google.com</t>
  </si>
  <si>
    <t>thangluong</t>
  </si>
  <si>
    <t>zhtclz@hotmail.com</t>
  </si>
  <si>
    <t>zhtclz</t>
  </si>
  <si>
    <t>tylerorden@gmail.com</t>
  </si>
  <si>
    <t>tylerorden</t>
  </si>
  <si>
    <t>7809871+luxupu@users.noreply.github.com</t>
  </si>
  <si>
    <t>7809871+luxupu</t>
  </si>
  <si>
    <t>rvijay1234@gmail.com</t>
  </si>
  <si>
    <t>rvijay1234</t>
  </si>
  <si>
    <t>bradhuang1999@yahoo.com</t>
  </si>
  <si>
    <t>bradhuang1999</t>
  </si>
  <si>
    <t>nfmcclure@gmail.com</t>
  </si>
  <si>
    <t>nfmcclure</t>
  </si>
  <si>
    <t>serv-inc@users.noreply.github.com</t>
  </si>
  <si>
    <t>serv-inc</t>
  </si>
  <si>
    <t>hyounes@google.com</t>
  </si>
  <si>
    <t>hyounes</t>
  </si>
  <si>
    <t>nicholas@mxc.ca</t>
  </si>
  <si>
    <t>nicholas</t>
  </si>
  <si>
    <t>mxc</t>
  </si>
  <si>
    <t>xingao@google.com</t>
  </si>
  <si>
    <t>xingao</t>
  </si>
  <si>
    <t>tzaman@nvidia.com</t>
  </si>
  <si>
    <t>tzaman</t>
  </si>
  <si>
    <t>mengchen.cas@foxmail.com</t>
  </si>
  <si>
    <t>mengchen.cas</t>
  </si>
  <si>
    <t>xinping.wang@hotmail.com</t>
  </si>
  <si>
    <t>xinping.wang</t>
  </si>
  <si>
    <t>songhao9021@gmail.com</t>
  </si>
  <si>
    <t>songhao9021</t>
  </si>
  <si>
    <t>sijusamuel@gmail.com</t>
  </si>
  <si>
    <t>sijusamuel</t>
  </si>
  <si>
    <t>margaretmz@users.noreply.github.com</t>
  </si>
  <si>
    <t>zixia@zixia.net</t>
  </si>
  <si>
    <t>zixia</t>
  </si>
  <si>
    <t>vladmos@google.com</t>
  </si>
  <si>
    <t>39712046+armenpoghosov@users.noreply.github.com</t>
  </si>
  <si>
    <t>39712046+armenpoghosov</t>
  </si>
  <si>
    <t>11586922+kweinmeister@users.noreply.github.com</t>
  </si>
  <si>
    <t>11586922+kweinmeister</t>
  </si>
  <si>
    <t>maniv@google.com</t>
  </si>
  <si>
    <t>maniv</t>
  </si>
  <si>
    <t>metalalive2008@gmail.com</t>
  </si>
  <si>
    <t>metalalive2008</t>
  </si>
  <si>
    <t>sub@subl.ee</t>
  </si>
  <si>
    <t>sub</t>
  </si>
  <si>
    <t>zhengdi05@gmail.com</t>
  </si>
  <si>
    <t>zhengdi05</t>
  </si>
  <si>
    <t>jakub.lipinski@gmail.com</t>
  </si>
  <si>
    <t>jakub.lipinski</t>
  </si>
  <si>
    <t>xietingwen@gmail.com</t>
  </si>
  <si>
    <t>xietingwen</t>
  </si>
  <si>
    <t>samolisov@gmail.com</t>
  </si>
  <si>
    <t>samolisov</t>
  </si>
  <si>
    <t>daniel.rasmussen@appliedbrainresearch.com</t>
  </si>
  <si>
    <t>daniel.rasmussen</t>
  </si>
  <si>
    <t>Appliedbrainresearch</t>
  </si>
  <si>
    <t>gvasudevan@google.com</t>
  </si>
  <si>
    <t>gvasudevan</t>
  </si>
  <si>
    <t>1990079+smit-hinsu@users.noreply.github.com</t>
  </si>
  <si>
    <t>1990079+smit-hinsu</t>
  </si>
  <si>
    <t>ouwen.huang@duke.edu</t>
  </si>
  <si>
    <t>ouwen.huang</t>
  </si>
  <si>
    <t>andhus@kth.se</t>
  </si>
  <si>
    <t>andhus</t>
  </si>
  <si>
    <t>29533036+joaak@users.noreply.github.com</t>
  </si>
  <si>
    <t>29533036+joaak</t>
  </si>
  <si>
    <t>dvisentin@google.com</t>
  </si>
  <si>
    <t>dvisentin</t>
  </si>
  <si>
    <t>byshen@gmail.com</t>
  </si>
  <si>
    <t>byshen</t>
  </si>
  <si>
    <t>random-forests@users.noreply.github.com</t>
  </si>
  <si>
    <t>random-forests</t>
  </si>
  <si>
    <t>cong.xu@intel.com</t>
  </si>
  <si>
    <t>cong.xu</t>
  </si>
  <si>
    <t>brian.nemsick@gmail.com</t>
  </si>
  <si>
    <t>brian.nemsick</t>
  </si>
  <si>
    <t>dksb29@gmail.com</t>
  </si>
  <si>
    <t>dksb29</t>
  </si>
  <si>
    <t>badgangkiller@gmail.com</t>
  </si>
  <si>
    <t>badgangkiller</t>
  </si>
  <si>
    <t>marcela.morales.quispe@gmail.com</t>
  </si>
  <si>
    <t>marcela.morales.quispe</t>
  </si>
  <si>
    <t>jackon.zhao@gmail.com</t>
  </si>
  <si>
    <t>jackon.zhao</t>
  </si>
  <si>
    <t>amwebdk@gmail.com</t>
  </si>
  <si>
    <t>amwebdk</t>
  </si>
  <si>
    <t>franklin5@users.noreply.github.com</t>
  </si>
  <si>
    <t>franklin5</t>
  </si>
  <si>
    <t>yohan.richard.yu@gmail.com</t>
  </si>
  <si>
    <t>yohan.richard.yu</t>
  </si>
  <si>
    <t>pwmutantbread@gmail.com</t>
  </si>
  <si>
    <t>pwmutantbread</t>
  </si>
  <si>
    <t>max.pumperla@googlemail.com</t>
  </si>
  <si>
    <t>max.pumperla</t>
  </si>
  <si>
    <t>joppe.geluykens@student.kuleuven.be</t>
  </si>
  <si>
    <t>joppe.geluykens</t>
  </si>
  <si>
    <t>ashar786khan@gmail.com</t>
  </si>
  <si>
    <t>ashar786khan</t>
  </si>
  <si>
    <t>sundberg@google.com</t>
  </si>
  <si>
    <t>sundberg</t>
  </si>
  <si>
    <t>carusyte@163.com</t>
  </si>
  <si>
    <t>carusyte</t>
  </si>
  <si>
    <t>zhangdao@buaa.edu.cn</t>
  </si>
  <si>
    <t>zhangdao</t>
  </si>
  <si>
    <t>buaa</t>
  </si>
  <si>
    <t>kate@hodesdon.com</t>
  </si>
  <si>
    <t>kate</t>
  </si>
  <si>
    <t>hodesdon</t>
  </si>
  <si>
    <t>git@artem.sobolev.name</t>
  </si>
  <si>
    <t>mehdisharif@google.com</t>
  </si>
  <si>
    <t>mehdisharif</t>
  </si>
  <si>
    <t>key.mtrgtring@gmail.com</t>
  </si>
  <si>
    <t>key.mtrgtring</t>
  </si>
  <si>
    <t>nissan.pow@gmail.com</t>
  </si>
  <si>
    <t>nissan.pow</t>
  </si>
  <si>
    <t>38601254+melvinljy96@users.noreply.github.com</t>
  </si>
  <si>
    <t>38601254+melvinljy96</t>
  </si>
  <si>
    <t>34787507+ThisIsPIRI@users.noreply.github.com</t>
  </si>
  <si>
    <t>34787507+ThisIsPIRI</t>
  </si>
  <si>
    <t>hermanz.dosilovic@gmail.com</t>
  </si>
  <si>
    <t>hermanz.dosilovic</t>
  </si>
  <si>
    <t>ehojman@gmail.com</t>
  </si>
  <si>
    <t>ehojman</t>
  </si>
  <si>
    <t>woitaschek@gmail.com</t>
  </si>
  <si>
    <t>woitaschek</t>
  </si>
  <si>
    <t>msamogh@gmail.com</t>
  </si>
  <si>
    <t>msamogh</t>
  </si>
  <si>
    <t>Jan@Huennemeyer.engineer</t>
  </si>
  <si>
    <t>Jan</t>
  </si>
  <si>
    <t>1162712+shashishekhar@users.noreply.github.com</t>
  </si>
  <si>
    <t>1162712+shashishekhar</t>
  </si>
  <si>
    <t>woitaschek@posteo.de</t>
  </si>
  <si>
    <t>32284796+SneakyFish5@users.noreply.github.com</t>
  </si>
  <si>
    <t>32284796+SneakyFish5</t>
  </si>
  <si>
    <t>alex.bw@gmail.com</t>
  </si>
  <si>
    <t>alex.bw</t>
  </si>
  <si>
    <t>jasonzaman@gmail.com</t>
  </si>
  <si>
    <t>jasonzaman</t>
  </si>
  <si>
    <t>jlt@us.ibm.com</t>
  </si>
  <si>
    <t>jlt</t>
  </si>
  <si>
    <t>namanbhalla1998@gmail.com</t>
  </si>
  <si>
    <t>namanbhalla1998</t>
  </si>
  <si>
    <t>twytwy12345@live.com</t>
  </si>
  <si>
    <t>twytwy12345</t>
  </si>
  <si>
    <t>ruanjiandong@gmail.com</t>
  </si>
  <si>
    <t>ruanjiandong</t>
  </si>
  <si>
    <t>505745416@qq.com</t>
  </si>
  <si>
    <t>37643248+tucan9389@users.noreply.github.com</t>
  </si>
  <si>
    <t>37643248+tucan9389</t>
  </si>
  <si>
    <t>loongdna@gmail.com</t>
  </si>
  <si>
    <t>loongdna</t>
  </si>
  <si>
    <t>apantykhin@gmail.com</t>
  </si>
  <si>
    <t>apantykhin</t>
  </si>
  <si>
    <t>vyacheslav.chigrin@yandex.ru</t>
  </si>
  <si>
    <t>vyacheslav.chigrin</t>
  </si>
  <si>
    <t>danieldouthit@gmail.com</t>
  </si>
  <si>
    <t>danieldouthit</t>
  </si>
  <si>
    <t>frederic.branchaud-charron@usherbrooke.ca</t>
  </si>
  <si>
    <t>frederic.branchaud-charron</t>
  </si>
  <si>
    <t>u2takey@gmail.com</t>
  </si>
  <si>
    <t>u2takey</t>
  </si>
  <si>
    <t>nand@clarifai.com</t>
  </si>
  <si>
    <t>nand</t>
  </si>
  <si>
    <t>krantideep95@gmail.com</t>
  </si>
  <si>
    <t>krantideep95</t>
  </si>
  <si>
    <t>yileiyang9@gmail.com</t>
  </si>
  <si>
    <t>yileiyang9</t>
  </si>
  <si>
    <t>ziky90@gmail.com</t>
  </si>
  <si>
    <t>ziky90</t>
  </si>
  <si>
    <t>sguada@gmail.com</t>
  </si>
  <si>
    <t>letian.feng@hotmail.com</t>
  </si>
  <si>
    <t>letian.feng</t>
  </si>
  <si>
    <t>elson.rodriguez@gmail.com</t>
  </si>
  <si>
    <t>elson.rodriguez</t>
  </si>
  <si>
    <t>mbajkowski@hotmail.com</t>
  </si>
  <si>
    <t>mbajkowski</t>
  </si>
  <si>
    <t>pkudysj@126.com</t>
  </si>
  <si>
    <t>pkudysj</t>
  </si>
  <si>
    <t>A.Diego.C.Alonso@gmail.com</t>
  </si>
  <si>
    <t>A.Diego.C.Alonso</t>
  </si>
  <si>
    <t>yesmung@gmail.com</t>
  </si>
  <si>
    <t>yesmung</t>
  </si>
  <si>
    <t>harahu@stud.ntnu.no</t>
  </si>
  <si>
    <t>harahu</t>
  </si>
  <si>
    <t>russell@klopfer.us</t>
  </si>
  <si>
    <t>russell</t>
  </si>
  <si>
    <t>doslino@gmail.com</t>
  </si>
  <si>
    <t>doslino</t>
  </si>
  <si>
    <t>355031+deltheil@users.noreply.github.com</t>
  </si>
  <si>
    <t>355031+deltheil</t>
  </si>
  <si>
    <t>joel-shor@users.noreply.github.com</t>
  </si>
  <si>
    <t>joel-shor</t>
  </si>
  <si>
    <t>jjangsangy@users.noreply.github.com</t>
  </si>
  <si>
    <t>jjangsangy</t>
  </si>
  <si>
    <t>github@piotrczapla.com</t>
  </si>
  <si>
    <t>secsilm@outlook.com</t>
  </si>
  <si>
    <t>secsilm</t>
  </si>
  <si>
    <t>lmoroney@google.com</t>
  </si>
  <si>
    <t>lmoroney</t>
  </si>
  <si>
    <t>edd@me.com</t>
  </si>
  <si>
    <t>edd</t>
  </si>
  <si>
    <t>giuscri@gmail.com</t>
  </si>
  <si>
    <t>giuscri</t>
  </si>
  <si>
    <t>cenph@caicloud.io</t>
  </si>
  <si>
    <t>cenph</t>
  </si>
  <si>
    <t>caicloud</t>
  </si>
  <si>
    <t>33712629+MandarJKulkarni@users.noreply.github.com</t>
  </si>
  <si>
    <t>33712629+MandarJKulkarni</t>
  </si>
  <si>
    <t>31752931+si-you@users.noreply.github.com</t>
  </si>
  <si>
    <t>31752931+si-you</t>
  </si>
  <si>
    <t>deron@us.ibm.com</t>
  </si>
  <si>
    <t>deron</t>
  </si>
  <si>
    <t>Abe404@users.noreply.github.com</t>
  </si>
  <si>
    <t>Abe404</t>
  </si>
  <si>
    <t>viirya@gmail.com</t>
  </si>
  <si>
    <t>viirya</t>
  </si>
  <si>
    <t>gweidner@us.ibm.com</t>
  </si>
  <si>
    <t>gweidner</t>
  </si>
  <si>
    <t>RohinMohanadas@users.noreply.github.com</t>
  </si>
  <si>
    <t>RohinMohanadas</t>
  </si>
  <si>
    <t>craffel@gmail.com</t>
  </si>
  <si>
    <t>craffel</t>
  </si>
  <si>
    <t>qiuminxu@google.com</t>
  </si>
  <si>
    <t>qiuminxu</t>
  </si>
  <si>
    <t>info@xldrx.com</t>
  </si>
  <si>
    <t>31474666+eladweiss@users.noreply.github.com</t>
  </si>
  <si>
    <t>31474666+eladweiss</t>
  </si>
  <si>
    <t>le32146@gmail.com</t>
  </si>
  <si>
    <t>le32146</t>
  </si>
  <si>
    <t>tkunic@rocketmail.com</t>
  </si>
  <si>
    <t>tkunic</t>
  </si>
  <si>
    <t>siyou@google.com</t>
  </si>
  <si>
    <t>siyou</t>
  </si>
  <si>
    <t>yusef@google.com</t>
  </si>
  <si>
    <t>yusef</t>
  </si>
  <si>
    <t>ai@uber.com</t>
  </si>
  <si>
    <t>uber</t>
  </si>
  <si>
    <t>ksindi@ksindi.com</t>
  </si>
  <si>
    <t>ksindi</t>
  </si>
  <si>
    <t>chrabaszcz.patryk@gmail.com</t>
  </si>
  <si>
    <t>chrabaszcz.patryk</t>
  </si>
  <si>
    <t>error.d@gmail.com</t>
  </si>
  <si>
    <t>error.d</t>
  </si>
  <si>
    <t>alliseesolutions@gmail.com</t>
  </si>
  <si>
    <t>alliseesolutions</t>
  </si>
  <si>
    <t>randywest55@gmail.com</t>
  </si>
  <si>
    <t>randywest55</t>
  </si>
  <si>
    <t>jeff@ibotta.com</t>
  </si>
  <si>
    <t>ibotta</t>
  </si>
  <si>
    <t>chrisdonahue@users.noreply.github.com</t>
  </si>
  <si>
    <t>chrisdonahue</t>
  </si>
  <si>
    <t>kimura.akim.asa@gmail.com</t>
  </si>
  <si>
    <t>kimura.akim.asa</t>
  </si>
  <si>
    <t>S.Wallkoetter@gmx.de</t>
  </si>
  <si>
    <t>S.Wallkoetter</t>
  </si>
  <si>
    <t>MathSquared@users.noreply.github.com</t>
  </si>
  <si>
    <t>MathSquared</t>
  </si>
  <si>
    <t>vishvananda@gmail.com</t>
  </si>
  <si>
    <t>vishvananda</t>
  </si>
  <si>
    <t>654496915@qq.com</t>
  </si>
  <si>
    <t>cshenton@users.noreply.github.com</t>
  </si>
  <si>
    <t>cshenton</t>
  </si>
  <si>
    <t>scotthuang1989@163.com</t>
  </si>
  <si>
    <t>scotthuang1989</t>
  </si>
  <si>
    <t>yangjian@patsnap.com</t>
  </si>
  <si>
    <t>yangjian</t>
  </si>
  <si>
    <t>patsnap</t>
  </si>
  <si>
    <t>wodesuck@gmail.com</t>
  </si>
  <si>
    <t>wodesuck</t>
  </si>
  <si>
    <t>craffel@google.com</t>
  </si>
  <si>
    <t>tang.raphael@gmail.com</t>
  </si>
  <si>
    <t>tang.raphael</t>
  </si>
  <si>
    <t>amy@infosleuth.net</t>
  </si>
  <si>
    <t>amy</t>
  </si>
  <si>
    <t>10927929+tayo@users.noreply.github.com</t>
  </si>
  <si>
    <t>10927929+tayo</t>
  </si>
  <si>
    <t>ryohei.kuroki@gmail.com</t>
  </si>
  <si>
    <t>ryohei.kuroki</t>
  </si>
  <si>
    <t>jeffcarp@chromium.org</t>
  </si>
  <si>
    <t>jeffcarp</t>
  </si>
  <si>
    <t>lhlmgr@users.noreply.github.com</t>
  </si>
  <si>
    <t>lhlmgr</t>
  </si>
  <si>
    <t>amit_kushwaha@outlook.com</t>
  </si>
  <si>
    <t>amit_kushwaha</t>
  </si>
  <si>
    <t>guillaume.klein4@gmail.com</t>
  </si>
  <si>
    <t>guillaume.klein4</t>
  </si>
  <si>
    <t>alexey.petrenko@itseez3d.com</t>
  </si>
  <si>
    <t>alexey.petrenko</t>
  </si>
  <si>
    <t>itseez3d</t>
  </si>
  <si>
    <t>fritz.obermeyer@gmail.com</t>
  </si>
  <si>
    <t>fritz.obermeyer</t>
  </si>
  <si>
    <t>jun.mei@outlook.com</t>
  </si>
  <si>
    <t>jun.mei</t>
  </si>
  <si>
    <t>printdhruv@yahoo.com</t>
  </si>
  <si>
    <t>printdhruv</t>
  </si>
  <si>
    <t>hryu@google.com</t>
  </si>
  <si>
    <t>hryu</t>
  </si>
  <si>
    <t>rubenvereecken@gmail.com</t>
  </si>
  <si>
    <t>rubenvereecken</t>
  </si>
  <si>
    <t>korrawat@mit.edu</t>
  </si>
  <si>
    <t>korrawat</t>
  </si>
  <si>
    <t>awsomekde@gmail.com</t>
  </si>
  <si>
    <t>awsomekde</t>
  </si>
  <si>
    <t>sumitgt007@gmail.com</t>
  </si>
  <si>
    <t>sumitgt007</t>
  </si>
  <si>
    <t>vahid@google.com</t>
  </si>
  <si>
    <t>vahid</t>
  </si>
  <si>
    <t>dimanne@gmail.com</t>
  </si>
  <si>
    <t>dimanne</t>
  </si>
  <si>
    <t>michael.defferrard@epfl.ch</t>
  </si>
  <si>
    <t>michael.defferrard</t>
  </si>
  <si>
    <t>dustinviettran@gmail.com</t>
  </si>
  <si>
    <t>dustinviettran</t>
  </si>
  <si>
    <t>lazyparser@gmail.com</t>
  </si>
  <si>
    <t>lazyparser</t>
  </si>
  <si>
    <t>raoqiyu@yeah.net</t>
  </si>
  <si>
    <t>raoqiyu</t>
  </si>
  <si>
    <t>mbrickn@users.noreply.github.com</t>
  </si>
  <si>
    <t>mbrickn</t>
  </si>
  <si>
    <t>superryanguo@gmail.com</t>
  </si>
  <si>
    <t>superryanguo</t>
  </si>
  <si>
    <t>dumitru@google.com</t>
  </si>
  <si>
    <t>dumitru</t>
  </si>
  <si>
    <t>markn@allenai.org</t>
  </si>
  <si>
    <t>markn</t>
  </si>
  <si>
    <t>Allenai</t>
  </si>
  <si>
    <t>dymczyk@gmail.com</t>
  </si>
  <si>
    <t>dymczyk</t>
  </si>
  <si>
    <t>windead@gmail.com</t>
  </si>
  <si>
    <t>windead</t>
  </si>
  <si>
    <t>asterai.com@gmail.com</t>
  </si>
  <si>
    <t>asterai.com</t>
  </si>
  <si>
    <t>daniel@blodan.se</t>
  </si>
  <si>
    <t>123bskim@naver.com</t>
  </si>
  <si>
    <t>123bskim</t>
  </si>
  <si>
    <t>malmaud@gmail.com</t>
  </si>
  <si>
    <t>malmaud</t>
  </si>
  <si>
    <t>ddurham@davyandbeth.com</t>
  </si>
  <si>
    <t>ddurham</t>
  </si>
  <si>
    <t>croathliu@gmail.com</t>
  </si>
  <si>
    <t>croathliu</t>
  </si>
  <si>
    <t>shitian.ni@gmail.com</t>
  </si>
  <si>
    <t>shitian.ni</t>
  </si>
  <si>
    <t>davidbrai@gmail.com</t>
  </si>
  <si>
    <t>davidbrai</t>
  </si>
  <si>
    <t>mouradmourafiq@gmail.com</t>
  </si>
  <si>
    <t>mouradmourafiq</t>
  </si>
  <si>
    <t>arrufat@users.noreply.github.com</t>
  </si>
  <si>
    <t>arrufat</t>
  </si>
  <si>
    <t>mortada@users.noreply.github.com</t>
  </si>
  <si>
    <t>mortada</t>
  </si>
  <si>
    <t>yumaoshu@gmail.com</t>
  </si>
  <si>
    <t>yumaoshu</t>
  </si>
  <si>
    <t>okuchaiev@users.noreply.github.com</t>
  </si>
  <si>
    <t>okuchaiev</t>
  </si>
  <si>
    <t>630404796@qq.com</t>
  </si>
  <si>
    <t>tae-jun@users.noreply.github.com</t>
  </si>
  <si>
    <t>tae-jun</t>
  </si>
  <si>
    <t>me@falcondai.com</t>
  </si>
  <si>
    <t>jamie@iamjamiecooke.com</t>
  </si>
  <si>
    <t>jamie</t>
  </si>
  <si>
    <t>nghiattran3@gmail.com</t>
  </si>
  <si>
    <t>nghiattran3</t>
  </si>
  <si>
    <t>chris.song@kakaocorp.com</t>
  </si>
  <si>
    <t>chris.song</t>
  </si>
  <si>
    <t>swsboarder366@gmail.com</t>
  </si>
  <si>
    <t>swsboarder366</t>
  </si>
  <si>
    <t>evan@eklitzke.org</t>
  </si>
  <si>
    <t>zhaojun@coursera.org</t>
  </si>
  <si>
    <t>zhaojun</t>
  </si>
  <si>
    <t>coursera</t>
  </si>
  <si>
    <t>jyegerlehner@yahoo.com</t>
  </si>
  <si>
    <t>jyegerlehner</t>
  </si>
  <si>
    <t>wangg12@users.noreply.github.com</t>
  </si>
  <si>
    <t>wangg12</t>
  </si>
  <si>
    <t>valentin@too.gy</t>
  </si>
  <si>
    <t>arie.lakeman@gmail.com</t>
  </si>
  <si>
    <t>arie.lakeman</t>
  </si>
  <si>
    <t>person594@users.noreply.github.com</t>
  </si>
  <si>
    <t>person594</t>
  </si>
  <si>
    <t>etiennefg.pot@gmail.com</t>
  </si>
  <si>
    <t>etiennefg.pot</t>
  </si>
  <si>
    <t>hsiaoyi0504@gmail.com</t>
  </si>
  <si>
    <t>hsiaoyi0504</t>
  </si>
  <si>
    <t>bogatyy@google.com</t>
  </si>
  <si>
    <t>bogatyy</t>
  </si>
  <si>
    <t>vladfi2@gmail.com</t>
  </si>
  <si>
    <t>vladfi2</t>
  </si>
  <si>
    <t>bulanovpavel@gmail.com</t>
  </si>
  <si>
    <t>bulanovpavel</t>
  </si>
  <si>
    <t>franck.dernoncourt@gmail.com</t>
  </si>
  <si>
    <t>franck.dernoncourt</t>
  </si>
  <si>
    <t>shaur141@gmail.com</t>
  </si>
  <si>
    <t>shaur141</t>
  </si>
  <si>
    <t>jprat@purdue.edu</t>
  </si>
  <si>
    <t>jprat</t>
  </si>
  <si>
    <t>purdue</t>
  </si>
  <si>
    <t>optimbid@gmail.com</t>
  </si>
  <si>
    <t>optimbid</t>
  </si>
  <si>
    <t>wookayin@gmail.com</t>
  </si>
  <si>
    <t>wookayin</t>
  </si>
  <si>
    <t>ewright@live.com</t>
  </si>
  <si>
    <t>ewright</t>
  </si>
  <si>
    <t>bostelk@users.noreply.github.com</t>
  </si>
  <si>
    <t>bostelk</t>
  </si>
  <si>
    <t>gojira@users.noreply.github.com</t>
  </si>
  <si>
    <t>gojira</t>
  </si>
  <si>
    <t>ptrendx@gmail.com</t>
  </si>
  <si>
    <t>ptrendx</t>
  </si>
  <si>
    <t>ginger188@gmail.com</t>
  </si>
  <si>
    <t>ginger188</t>
  </si>
  <si>
    <t>896066322@qq.com</t>
  </si>
  <si>
    <t>kbrems@users.noreply.github.com</t>
  </si>
  <si>
    <t>kbrems</t>
  </si>
  <si>
    <t>drag0@users.noreply.github.com</t>
  </si>
  <si>
    <t>drag0</t>
  </si>
  <si>
    <t>mrqianjinsi@gmail.com</t>
  </si>
  <si>
    <t>mrqianjinsi</t>
  </si>
  <si>
    <t>villasv@outlook.com</t>
  </si>
  <si>
    <t>villasv</t>
  </si>
  <si>
    <t>sangheum.hwang@gmail.com</t>
  </si>
  <si>
    <t>sangheum.hwang</t>
  </si>
  <si>
    <t>kris@key.me</t>
  </si>
  <si>
    <t>dresimpelo@gmail.com</t>
  </si>
  <si>
    <t>dresimpelo</t>
  </si>
  <si>
    <t>jusjusjus@users.noreply.github.com</t>
  </si>
  <si>
    <t>jusjusjus</t>
  </si>
  <si>
    <t>ivan.ukhov@gmail.com</t>
  </si>
  <si>
    <t>ivan.ukhov</t>
  </si>
  <si>
    <t>nmishra@berkeley.edu</t>
  </si>
  <si>
    <t>nmishra</t>
  </si>
  <si>
    <t>daeyunshin@gmail.com</t>
  </si>
  <si>
    <t>daeyunshin</t>
  </si>
  <si>
    <t>eerwitt@users.noreply.github.com</t>
  </si>
  <si>
    <t>cij1230@naver.com</t>
  </si>
  <si>
    <t>cij1230</t>
  </si>
  <si>
    <t>cissp@bryongloden.com</t>
  </si>
  <si>
    <t>cissp</t>
  </si>
  <si>
    <t>sandersk@users.noreply.github.com</t>
  </si>
  <si>
    <t>sandersk</t>
  </si>
  <si>
    <t>david@davidzchen.com</t>
  </si>
  <si>
    <t>waitingkuo0527@gmail.com</t>
  </si>
  <si>
    <t>waitingkuo0527</t>
  </si>
  <si>
    <t>pieter@de-rijk.com</t>
  </si>
  <si>
    <t>pieter</t>
  </si>
  <si>
    <t>dcastro@google.com</t>
  </si>
  <si>
    <t>dcastro</t>
  </si>
  <si>
    <t>nathan.d.howell@gmail.com</t>
  </si>
  <si>
    <t>nathan.d.howell</t>
  </si>
  <si>
    <t>ylongqi@gmail.com</t>
  </si>
  <si>
    <t>ylongqi</t>
  </si>
  <si>
    <t>nhowell@alphaheavy.com</t>
  </si>
  <si>
    <t>nhowell</t>
  </si>
  <si>
    <t>muikor@gmail.com</t>
  </si>
  <si>
    <t>muikor</t>
  </si>
  <si>
    <t>satok16@gmail.com</t>
  </si>
  <si>
    <t>satok16</t>
  </si>
  <si>
    <t>maxmelnick@gmail.com</t>
  </si>
  <si>
    <t>maxmelnick</t>
  </si>
  <si>
    <t>hsaputra@apache.org</t>
  </si>
  <si>
    <t>hsaputra</t>
  </si>
  <si>
    <t>ctl@mit.edu</t>
  </si>
  <si>
    <t>ctl</t>
  </si>
  <si>
    <t>jdoerrie@users.noreply.github.com</t>
  </si>
  <si>
    <t>jdoerrie</t>
  </si>
  <si>
    <t>dcastro9@gatech.edu</t>
  </si>
  <si>
    <t>dcastro9</t>
  </si>
  <si>
    <t>t.vogels@me.com</t>
  </si>
  <si>
    <t>t.vogels</t>
  </si>
  <si>
    <t>kingtaurus@users.noreply.github.com</t>
  </si>
  <si>
    <t>kingtaurus</t>
  </si>
  <si>
    <t>rdipietro@gmail.com</t>
  </si>
  <si>
    <t>rdipietro</t>
  </si>
  <si>
    <t>kevin.robinson.0@gmail.com</t>
  </si>
  <si>
    <t>kevin.robinson.0</t>
  </si>
  <si>
    <t>zohar.jackson+github@gmail.com</t>
  </si>
  <si>
    <t>zohar.jackson+github</t>
  </si>
  <si>
    <t>Styrke@users.noreply.github.com</t>
  </si>
  <si>
    <t>Styrke</t>
  </si>
  <si>
    <t>lopes.m.pedro@gmail.com</t>
  </si>
  <si>
    <t>lopes.m.pedro</t>
  </si>
  <si>
    <t>cameron.ph.chen@gmail.com</t>
  </si>
  <si>
    <t>cameron.ph.chen</t>
  </si>
  <si>
    <t>dan@arterys.com</t>
  </si>
  <si>
    <t>Arterys</t>
  </si>
  <si>
    <t>shushukk123@gmail.com</t>
  </si>
  <si>
    <t>shushukk123</t>
  </si>
  <si>
    <t>hsdpsch@gmail.com</t>
  </si>
  <si>
    <t>hsdpsch</t>
  </si>
  <si>
    <t>JonasMeinertz@users.noreply.github.com</t>
  </si>
  <si>
    <t>JonasMeinertz</t>
  </si>
  <si>
    <t>rainerwasserfuhr+GitHub@gmail.com</t>
  </si>
  <si>
    <t>rainerwasserfuhr+GitHub</t>
  </si>
  <si>
    <t>zhulinchao7@gmail.com</t>
  </si>
  <si>
    <t>zhulinchao7</t>
  </si>
  <si>
    <t>frankyjuang@gmail.com</t>
  </si>
  <si>
    <t>frankyjuang</t>
  </si>
  <si>
    <t>joao.eel@gmail.com</t>
  </si>
  <si>
    <t>joao.eel</t>
  </si>
  <si>
    <t>jimmy.fleming@gmail.com</t>
  </si>
  <si>
    <t>jimmy.fleming</t>
  </si>
  <si>
    <t>akiomik@gmail.com</t>
  </si>
  <si>
    <t>akiomik</t>
  </si>
  <si>
    <t>mark@borgerding.net</t>
  </si>
  <si>
    <t>jeff.hammerbacher@gmail.com</t>
  </si>
  <si>
    <t>jeff.hammerbacher</t>
  </si>
  <si>
    <t>william.dmitri.breaden.madden@cern.ch</t>
  </si>
  <si>
    <t>william.dmitri.breaden.madden</t>
  </si>
  <si>
    <t>c.bonnett@gmail.com</t>
  </si>
  <si>
    <t>c.bonnett</t>
  </si>
  <si>
    <t>sarasmoot@google.com</t>
  </si>
  <si>
    <t>sarasmoot</t>
  </si>
  <si>
    <t>ruturaj.vaidya@amd.com</t>
  </si>
  <si>
    <t>ruturaj.vaidya</t>
  </si>
  <si>
    <t>elliotenglish@google.com</t>
  </si>
  <si>
    <t>elliotenglish</t>
  </si>
  <si>
    <t>52792999+Aloqeely@users.noreply.github.com</t>
  </si>
  <si>
    <t>52792999+Aloqeely</t>
  </si>
  <si>
    <t>zahid.iqbal@amd.com</t>
  </si>
  <si>
    <t>zahid.iqbal</t>
  </si>
  <si>
    <t>harsha.havanurshamsundara@amd.com</t>
  </si>
  <si>
    <t>harsha.havanurshamsundara</t>
  </si>
  <si>
    <t>github@roboschmie.de</t>
  </si>
  <si>
    <t>53785742+prrathi@users.noreply.github.com</t>
  </si>
  <si>
    <t>53785742+prrathi</t>
  </si>
  <si>
    <t>qingtongguo@google.com</t>
  </si>
  <si>
    <t>qingtongguo</t>
  </si>
  <si>
    <t>svaishay@nvidia.com</t>
  </si>
  <si>
    <t>svaishay</t>
  </si>
  <si>
    <t>fmzakari@google.com</t>
  </si>
  <si>
    <t>fmzakari</t>
  </si>
  <si>
    <t>naumsmogers@google.com</t>
  </si>
  <si>
    <t>naumsmogers</t>
  </si>
  <si>
    <t>41138747+neverlva@users.noreply.github.com</t>
  </si>
  <si>
    <t>41138747+neverlva</t>
  </si>
  <si>
    <t>tjgq@google.com</t>
  </si>
  <si>
    <t>tjgq</t>
  </si>
  <si>
    <t>maxren@meta.com</t>
  </si>
  <si>
    <t>maxren</t>
  </si>
  <si>
    <t>meta</t>
  </si>
  <si>
    <t>lukes@google.com</t>
  </si>
  <si>
    <t>lukes</t>
  </si>
  <si>
    <t>hwu27@gmu.edu</t>
  </si>
  <si>
    <t>hwu27</t>
  </si>
  <si>
    <t>gmu</t>
  </si>
  <si>
    <t>suryanarayanay@google.com</t>
  </si>
  <si>
    <t>suryanarayanay</t>
  </si>
  <si>
    <t>hongshin@google.com</t>
  </si>
  <si>
    <t>hongshin</t>
  </si>
  <si>
    <t>ourfor@qq.com</t>
  </si>
  <si>
    <t>ourfor</t>
  </si>
  <si>
    <t>tomward@google.com</t>
  </si>
  <si>
    <t>tomward</t>
  </si>
  <si>
    <t>pierluigi.urru@arm.com</t>
  </si>
  <si>
    <t>pierluigi.urru</t>
  </si>
  <si>
    <t>jakub.maksymczuk@intel.com</t>
  </si>
  <si>
    <t>jakub.maksymczuk</t>
  </si>
  <si>
    <t>david.svantesson-yeung@arm.com</t>
  </si>
  <si>
    <t>david.svantesson-yeung</t>
  </si>
  <si>
    <t>32893299+AnetaKaczynska@users.noreply.github.com</t>
  </si>
  <si>
    <t>32893299+AnetaKaczynska</t>
  </si>
  <si>
    <t>bpcreech@gmail.com</t>
  </si>
  <si>
    <t>bpcreech</t>
  </si>
  <si>
    <t>148054555+kamaljeeti@users.noreply.github.com</t>
  </si>
  <si>
    <t>148054555+kamaljeeti</t>
  </si>
  <si>
    <t>dhuntsperger@google.com</t>
  </si>
  <si>
    <t>dhuntsperger</t>
  </si>
  <si>
    <t>57756052+giuliocn@users.noreply.github.com</t>
  </si>
  <si>
    <t>57756052+giuliocn</t>
  </si>
  <si>
    <t>65466894+Ahmad-M-Al-Khateeb@users.noreply.github.com</t>
  </si>
  <si>
    <t>65466894+Ahmad-M-Al-Khateeb</t>
  </si>
  <si>
    <t>90640993+zstreet87@users.noreply.github.com</t>
  </si>
  <si>
    <t>90640993+zstreet87</t>
  </si>
  <si>
    <t>147886872+ronaghy@users.noreply.github.com</t>
  </si>
  <si>
    <t>147886872+ronaghy</t>
  </si>
  <si>
    <t>work@zhengwenjie.net</t>
  </si>
  <si>
    <t>work</t>
  </si>
  <si>
    <t>prateekthekumar07@gmail.com</t>
  </si>
  <si>
    <t>prateekthekumar07</t>
  </si>
  <si>
    <t>weihan13@amd.com</t>
  </si>
  <si>
    <t>weihan13</t>
  </si>
  <si>
    <t>Yasir.Ashfaq1@ibm.com</t>
  </si>
  <si>
    <t>Yasir.Ashfaq1</t>
  </si>
  <si>
    <t>alimuldal@google.com</t>
  </si>
  <si>
    <t>alimuldal</t>
  </si>
  <si>
    <t>david.lw.hall@gmail.com</t>
  </si>
  <si>
    <t>david.lw.hall</t>
  </si>
  <si>
    <t>jthuynh@amazon.com</t>
  </si>
  <si>
    <t>jthuynh</t>
  </si>
  <si>
    <t>88898517+Raguggg@users.noreply.github.com</t>
  </si>
  <si>
    <t>88898517+Raguggg</t>
  </si>
  <si>
    <t>Parygina.Darya.2001@yandex.ru</t>
  </si>
  <si>
    <t>Parygina.Darya.2001</t>
  </si>
  <si>
    <t>misra.arkadeb@gmail.com</t>
  </si>
  <si>
    <t>misra.arkadeb</t>
  </si>
  <si>
    <t>j_massot@yahoo.fr</t>
  </si>
  <si>
    <t>j_massot</t>
  </si>
  <si>
    <t>mdrissi@snapchat.com</t>
  </si>
  <si>
    <t>mdrissi</t>
  </si>
  <si>
    <t>snapchat</t>
  </si>
  <si>
    <t>j.c.hollyer@gmail.com</t>
  </si>
  <si>
    <t>j.c.hollyer</t>
  </si>
  <si>
    <t>miya.org.0309@gmail.com</t>
  </si>
  <si>
    <t>miya.org.0309</t>
  </si>
  <si>
    <t>vkozlov@nvidia.com</t>
  </si>
  <si>
    <t>vkozlov</t>
  </si>
  <si>
    <t>engelhardt.alexander@mein.gmx</t>
  </si>
  <si>
    <t>engelhardt.alexander</t>
  </si>
  <si>
    <t>firsching@google.com</t>
  </si>
  <si>
    <t>firsching</t>
  </si>
  <si>
    <t>bvschaik@gmail.com</t>
  </si>
  <si>
    <t>bvschaik</t>
  </si>
  <si>
    <t>bruce.lai@sifive.com</t>
  </si>
  <si>
    <t>bruce.lai</t>
  </si>
  <si>
    <t>sifive</t>
  </si>
  <si>
    <t>thegeorg@yandex-team.com</t>
  </si>
  <si>
    <t>wei.han3@amd.com</t>
  </si>
  <si>
    <t>wei.han3</t>
  </si>
  <si>
    <t>christian-steinmeyer@users.noreply.github.com</t>
  </si>
  <si>
    <t>christian-steinmeyer</t>
  </si>
  <si>
    <t>yzu@google.com</t>
  </si>
  <si>
    <t>yzu</t>
  </si>
  <si>
    <t>97948946+tttc3@users.noreply.github.com</t>
  </si>
  <si>
    <t>97948946+tttc3</t>
  </si>
  <si>
    <t>corrigan@gmail.com</t>
  </si>
  <si>
    <t>rodgomesc@gmail.com</t>
  </si>
  <si>
    <t>rodgomesc</t>
  </si>
  <si>
    <t>wzehui@google.com</t>
  </si>
  <si>
    <t>wzehui</t>
  </si>
  <si>
    <t>h.vetinari@gmx.com</t>
  </si>
  <si>
    <t>h.vetinari</t>
  </si>
  <si>
    <t>erick.ochoalopez@xanadu.ai</t>
  </si>
  <si>
    <t>erick.ochoalopez</t>
  </si>
  <si>
    <t>xanadu</t>
  </si>
  <si>
    <t>103335846+computerscienceiscool@users.noreply.github.com</t>
  </si>
  <si>
    <t>103335846+computerscienceiscool</t>
  </si>
  <si>
    <t>liutianchen@google.com</t>
  </si>
  <si>
    <t>liutianchen</t>
  </si>
  <si>
    <t>ivyzheng@google.com</t>
  </si>
  <si>
    <t>ivyzheng</t>
  </si>
  <si>
    <t>poliorcetics@users.noreply.github.com</t>
  </si>
  <si>
    <t>poliorcetics</t>
  </si>
  <si>
    <t>s.ziming@hotmail.com</t>
  </si>
  <si>
    <t>s.ziming</t>
  </si>
  <si>
    <t>mgokulkrish@github.com</t>
  </si>
  <si>
    <t>mgokulkrish</t>
  </si>
  <si>
    <t>kikoxia@tencent.com</t>
  </si>
  <si>
    <t>kikoxia</t>
  </si>
  <si>
    <t>jevinjiang@google.com</t>
  </si>
  <si>
    <t>jevinjiang</t>
  </si>
  <si>
    <t>BrianWieder@users.noreply.github.com</t>
  </si>
  <si>
    <t>BrianWieder</t>
  </si>
  <si>
    <t>kato.daisuke429@gmail.com</t>
  </si>
  <si>
    <t>kato.daisuke429</t>
  </si>
  <si>
    <t>mrtn.etchart@gmail.com</t>
  </si>
  <si>
    <t>mrtn.etchart</t>
  </si>
  <si>
    <t>francischen@google.com</t>
  </si>
  <si>
    <t>francischen</t>
  </si>
  <si>
    <t>rileyjones@google.com</t>
  </si>
  <si>
    <t>rileyjones</t>
  </si>
  <si>
    <t>albzey@gmail.com</t>
  </si>
  <si>
    <t>albzey</t>
  </si>
  <si>
    <t>hoanghung17jan@gmail.com</t>
  </si>
  <si>
    <t>hoanghung17jan</t>
  </si>
  <si>
    <t>shawn.ck.yang@gmail.com</t>
  </si>
  <si>
    <t>shawn.ck.yang</t>
  </si>
  <si>
    <t>yudelevi@gmail.com</t>
  </si>
  <si>
    <t>yudelevi</t>
  </si>
  <si>
    <t>tpopp@users.noreply.github.com</t>
  </si>
  <si>
    <t>dongliny@nvidia.com</t>
  </si>
  <si>
    <t>dongliny</t>
  </si>
  <si>
    <t>mbz@google.com</t>
  </si>
  <si>
    <t>mbz</t>
  </si>
  <si>
    <t>nicho.junge@gmail.com</t>
  </si>
  <si>
    <t>nicho.junge</t>
  </si>
  <si>
    <t>46622558+Frightera@users.noreply.github.com</t>
  </si>
  <si>
    <t>46622558+Frightera</t>
  </si>
  <si>
    <t>jonathan.albrecht@ibm.com</t>
  </si>
  <si>
    <t>jonathan.albrecht</t>
  </si>
  <si>
    <t>donghak.park@samsung.com</t>
  </si>
  <si>
    <t>donghak.park</t>
  </si>
  <si>
    <t>samsung</t>
  </si>
  <si>
    <t>jongkweh@gmail.com</t>
  </si>
  <si>
    <t>jongkweh</t>
  </si>
  <si>
    <t>sgpyc@google.com</t>
  </si>
  <si>
    <t>sgpyc</t>
  </si>
  <si>
    <t>kberke@metu.edu.tr</t>
  </si>
  <si>
    <t>kberke</t>
  </si>
  <si>
    <t>metu</t>
  </si>
  <si>
    <t>malo.huard@gmail.Com</t>
  </si>
  <si>
    <t>malo.huard</t>
  </si>
  <si>
    <t>52798470+klchiu@users.noreply.github.com</t>
  </si>
  <si>
    <t>52798470+klchiu</t>
  </si>
  <si>
    <t>shuaishao93@gmail.com</t>
  </si>
  <si>
    <t>shuaishao93</t>
  </si>
  <si>
    <t>shelper@users.noreply.github.com</t>
  </si>
  <si>
    <t>shelper</t>
  </si>
  <si>
    <t>ry@rywalker.com</t>
  </si>
  <si>
    <t>peterswebdesign2010@gmail.com</t>
  </si>
  <si>
    <t>peterswebdesign2010</t>
  </si>
  <si>
    <t>dunleavyd14@gmail.com</t>
  </si>
  <si>
    <t>dunleavyd14</t>
  </si>
  <si>
    <t>joesho112358@gmail.com</t>
  </si>
  <si>
    <t>joesho112358</t>
  </si>
  <si>
    <t>vufg@users.noreply.github.com</t>
  </si>
  <si>
    <t>vufg</t>
  </si>
  <si>
    <t>gaoyiyeah@users.noreply.github.com</t>
  </si>
  <si>
    <t>gaoyiyeah</t>
  </si>
  <si>
    <t>roshanin@google.com</t>
  </si>
  <si>
    <t>roshanin</t>
  </si>
  <si>
    <t>paulidstein@gmail.com</t>
  </si>
  <si>
    <t>paulidstein</t>
  </si>
  <si>
    <t>awsaf49@gmail.com</t>
  </si>
  <si>
    <t>awsaf49</t>
  </si>
  <si>
    <t>ingomueller@google.com</t>
  </si>
  <si>
    <t>ingomueller</t>
  </si>
  <si>
    <t>louie.tsai@intel.com</t>
  </si>
  <si>
    <t>louie.tsai</t>
  </si>
  <si>
    <t>shaobohou@google.com</t>
  </si>
  <si>
    <t>shaobohou</t>
  </si>
  <si>
    <t>39154010+lyeeeee@users.noreply.github.com</t>
  </si>
  <si>
    <t>39154010+lyeeeee</t>
  </si>
  <si>
    <t>75068813+pollfly@users.noreply.github.com</t>
  </si>
  <si>
    <t>75068813+pollfly</t>
  </si>
  <si>
    <t>tomhughes@google.com</t>
  </si>
  <si>
    <t>tomhughes</t>
  </si>
  <si>
    <t>shkarupa.alex@gmail.com</t>
  </si>
  <si>
    <t>shkarupa.alex</t>
  </si>
  <si>
    <t>lifan.lin@intel.com</t>
  </si>
  <si>
    <t>lifan.lin</t>
  </si>
  <si>
    <t>stewart@agentic.ai</t>
  </si>
  <si>
    <t>stewart</t>
  </si>
  <si>
    <t>Agentic</t>
  </si>
  <si>
    <t>mbenfield@google.com</t>
  </si>
  <si>
    <t>mbenfield</t>
  </si>
  <si>
    <t>kfm@google.com</t>
  </si>
  <si>
    <t>kfm</t>
  </si>
  <si>
    <t>shuuji3@gmail.com</t>
  </si>
  <si>
    <t>shuuji3</t>
  </si>
  <si>
    <t>nitins17@users.noreply.github.com</t>
  </si>
  <si>
    <t>nitins17</t>
  </si>
  <si>
    <t>lcambier@nvidia.com</t>
  </si>
  <si>
    <t>lcambier</t>
  </si>
  <si>
    <t>levskaya@google.com</t>
  </si>
  <si>
    <t>levskaya</t>
  </si>
  <si>
    <t>mateofidabel@gmail.com</t>
  </si>
  <si>
    <t>mateofidabel</t>
  </si>
  <si>
    <t>vladf@google.com</t>
  </si>
  <si>
    <t>vladf</t>
  </si>
  <si>
    <t>xiang.zhang@verisilicon.com</t>
  </si>
  <si>
    <t>xiang.zhang</t>
  </si>
  <si>
    <t>timsemenov@google.com</t>
  </si>
  <si>
    <t>timsemenov</t>
  </si>
  <si>
    <t>60800749+jakeh-gc@users.noreply.github.com</t>
  </si>
  <si>
    <t>60800749+jakeh-gc</t>
  </si>
  <si>
    <t>haohuan.wang2013@gmail.com</t>
  </si>
  <si>
    <t>haohuan.wang2013</t>
  </si>
  <si>
    <t>chenchongsong@gmail.com</t>
  </si>
  <si>
    <t>chenchongsong</t>
  </si>
  <si>
    <t>dmauro@google.com</t>
  </si>
  <si>
    <t>dmauro</t>
  </si>
  <si>
    <t>karl.lessard@gmail.com</t>
  </si>
  <si>
    <t>karl.lessard</t>
  </si>
  <si>
    <t>101401469+AnthonyByansi@users.noreply.github.com</t>
  </si>
  <si>
    <t>101401469+AnthonyByansi</t>
  </si>
  <si>
    <t>hychou.svm@gmail.com</t>
  </si>
  <si>
    <t>hychou.svm</t>
  </si>
  <si>
    <t>ngroszewski@google.com</t>
  </si>
  <si>
    <t>ngroszewski</t>
  </si>
  <si>
    <t>vorburger@google.com</t>
  </si>
  <si>
    <t>vorburger</t>
  </si>
  <si>
    <t>jure.pajic@gmail.com</t>
  </si>
  <si>
    <t>jure.pajic</t>
  </si>
  <si>
    <t>michhol@microsoft.com</t>
  </si>
  <si>
    <t>michhol</t>
  </si>
  <si>
    <t>mchinen@google.com</t>
  </si>
  <si>
    <t>mchinen</t>
  </si>
  <si>
    <t>meatybobby@gmail.com</t>
  </si>
  <si>
    <t>meatybobby</t>
  </si>
  <si>
    <t>zhuohan@google.com</t>
  </si>
  <si>
    <t>zhuohan</t>
  </si>
  <si>
    <t>70280935+rsanthanam-amd@users.noreply.github.com</t>
  </si>
  <si>
    <t>70280935+rsanthanam-amd</t>
  </si>
  <si>
    <t>mparadkar@google.com</t>
  </si>
  <si>
    <t>mparadkar</t>
  </si>
  <si>
    <t>dongfengy@nvidia.com</t>
  </si>
  <si>
    <t>dongfengy</t>
  </si>
  <si>
    <t>bangert@google.com</t>
  </si>
  <si>
    <t>bangert</t>
  </si>
  <si>
    <t>gbm@google.com</t>
  </si>
  <si>
    <t>gbm</t>
  </si>
  <si>
    <t>bvandermoon@google.com</t>
  </si>
  <si>
    <t>bvandermoon</t>
  </si>
  <si>
    <t>josephpark@google.com</t>
  </si>
  <si>
    <t>josephpark</t>
  </si>
  <si>
    <t>kristenwright@google.com</t>
  </si>
  <si>
    <t>kristenwright</t>
  </si>
  <si>
    <t>coordinate_1995@163.com</t>
  </si>
  <si>
    <t>coordinate_1995</t>
  </si>
  <si>
    <t>thomasanderson@chromium.org</t>
  </si>
  <si>
    <t>thomasanderson</t>
  </si>
  <si>
    <t>sindre.seppola@gmail.com</t>
  </si>
  <si>
    <t>sindre.seppola</t>
  </si>
  <si>
    <t>rengolin@systemcall.eu</t>
  </si>
  <si>
    <t>rengolin</t>
  </si>
  <si>
    <t>azeemshaikh38@gmail.com</t>
  </si>
  <si>
    <t>azeemshaikh38</t>
  </si>
  <si>
    <t>jlottes@google.com</t>
  </si>
  <si>
    <t>jlottes</t>
  </si>
  <si>
    <t>48821634+aman190202@users.noreply.github.com</t>
  </si>
  <si>
    <t>48821634+aman190202</t>
  </si>
  <si>
    <t>ariel17112005@gmail.com</t>
  </si>
  <si>
    <t>ariel17112005</t>
  </si>
  <si>
    <t>87143774+snadampal@users.noreply.github.com</t>
  </si>
  <si>
    <t>87143774+snadampal</t>
  </si>
  <si>
    <t>Vibhuti.Sawant@ibm.com</t>
  </si>
  <si>
    <t>Vibhuti.Sawant</t>
  </si>
  <si>
    <t>moritz.riesterer.infineon@gmail.com</t>
  </si>
  <si>
    <t>moritz.riesterer.infineon</t>
  </si>
  <si>
    <t>nhan.ho@supremetech.vn</t>
  </si>
  <si>
    <t>nhan.ho</t>
  </si>
  <si>
    <t>supremetech</t>
  </si>
  <si>
    <t>okwan@google.com</t>
  </si>
  <si>
    <t>okwan</t>
  </si>
  <si>
    <t>79916358+milpuz01@users.noreply.github.com</t>
  </si>
  <si>
    <t>79916358+milpuz01</t>
  </si>
  <si>
    <t>alifelham@gmail.com</t>
  </si>
  <si>
    <t>alifelham</t>
  </si>
  <si>
    <t>zxjzxj9@gmail.com</t>
  </si>
  <si>
    <t>zxjzxj9</t>
  </si>
  <si>
    <t>ChandraKumar.Ramasamy@amd.com</t>
  </si>
  <si>
    <t>ChandraKumar.Ramasamy</t>
  </si>
  <si>
    <t>stilis@microsoft.com</t>
  </si>
  <si>
    <t>stilis</t>
  </si>
  <si>
    <t>ziheng@apache.org</t>
  </si>
  <si>
    <t>ziheng</t>
  </si>
  <si>
    <t>lucasolivdavid@gmail.com</t>
  </si>
  <si>
    <t>lucasolivdavid</t>
  </si>
  <si>
    <t>lqchen@google.com</t>
  </si>
  <si>
    <t>lqchen</t>
  </si>
  <si>
    <t>pjannaty@nvidia.com</t>
  </si>
  <si>
    <t>pjannaty</t>
  </si>
  <si>
    <t>phosek@google.com</t>
  </si>
  <si>
    <t>phosek</t>
  </si>
  <si>
    <t>adis@live.cn</t>
  </si>
  <si>
    <t>adis</t>
  </si>
  <si>
    <t>xuanyidong@google.com</t>
  </si>
  <si>
    <t>xuanyidong</t>
  </si>
  <si>
    <t>aminbenarieb@users.noreply.github.com</t>
  </si>
  <si>
    <t>aminbenarieb</t>
  </si>
  <si>
    <t>michele.digiorgio@arm.com</t>
  </si>
  <si>
    <t>michele.digiorgio</t>
  </si>
  <si>
    <t>nao@technoface.co.jp</t>
  </si>
  <si>
    <t>nao</t>
  </si>
  <si>
    <t>74963545+osbm@users.noreply.github.com</t>
  </si>
  <si>
    <t>74963545+osbm</t>
  </si>
  <si>
    <t>fedotoff@ispras.ru</t>
  </si>
  <si>
    <t>fedotoff</t>
  </si>
  <si>
    <t>jamie.cook@veitchlister.com.au</t>
  </si>
  <si>
    <t>jamie.cook</t>
  </si>
  <si>
    <t>nextremer.nb.o@gmail.com</t>
  </si>
  <si>
    <t>nextremer.nb.o</t>
  </si>
  <si>
    <t>snoopjedi@gmail.com</t>
  </si>
  <si>
    <t>snoopjedi</t>
  </si>
  <si>
    <t>itsleonwu@google.com</t>
  </si>
  <si>
    <t>itsleonwu</t>
  </si>
  <si>
    <t>37601244+szutenberg@users.noreply.github.com</t>
  </si>
  <si>
    <t>37601244+szutenberg</t>
  </si>
  <si>
    <t>web@cedricnugteren.nl</t>
  </si>
  <si>
    <t>web</t>
  </si>
  <si>
    <t>iukemaev@google.com</t>
  </si>
  <si>
    <t>iukemaev</t>
  </si>
  <si>
    <t>62030101+Djacon@users.noreply.github.com</t>
  </si>
  <si>
    <t>62030101+Djacon</t>
  </si>
  <si>
    <t>xiaoyifan@google.com</t>
  </si>
  <si>
    <t>xiaoyifan</t>
  </si>
  <si>
    <t>cliffsdover90@gmail.com</t>
  </si>
  <si>
    <t>cliffsdover90</t>
  </si>
  <si>
    <t>jameshollyer@google.com</t>
  </si>
  <si>
    <t>jameshollyer</t>
  </si>
  <si>
    <t>79134656+JueonPark@users.noreply.github.com</t>
  </si>
  <si>
    <t>79134656+JueonPark</t>
  </si>
  <si>
    <t>agrieve@google.com</t>
  </si>
  <si>
    <t>agrieve</t>
  </si>
  <si>
    <t>ccarpita@butterflynetinc.com</t>
  </si>
  <si>
    <t>ccarpita</t>
  </si>
  <si>
    <t>butterflynetinc</t>
  </si>
  <si>
    <t>contact+django-doctor-test@richardtier.co.uk</t>
  </si>
  <si>
    <t>contact+django-doctor-test</t>
  </si>
  <si>
    <t>tingyan@google.com</t>
  </si>
  <si>
    <t>tingyan</t>
  </si>
  <si>
    <t>jheek@google.com</t>
  </si>
  <si>
    <t>jheek</t>
  </si>
  <si>
    <t>liyi.neek@bytedance.com</t>
  </si>
  <si>
    <t>liyi.neek</t>
  </si>
  <si>
    <t>xiaoyux@google.com</t>
  </si>
  <si>
    <t>xiaoyux</t>
  </si>
  <si>
    <t>chpotula@in.ibm.com</t>
  </si>
  <si>
    <t>chpotula</t>
  </si>
  <si>
    <t>byungsoo.oh@samsung.com</t>
  </si>
  <si>
    <t>byungsoo.oh</t>
  </si>
  <si>
    <t>69980967+rdl4199@users.noreply.github.com</t>
  </si>
  <si>
    <t>69980967+rdl4199</t>
  </si>
  <si>
    <t>tonysung@users.noreply.github.com</t>
  </si>
  <si>
    <t>tonysung</t>
  </si>
  <si>
    <t>sandip.aero@gmail.com</t>
  </si>
  <si>
    <t>sandip.aero</t>
  </si>
  <si>
    <t>jagapiou@google.com</t>
  </si>
  <si>
    <t>jagapiou</t>
  </si>
  <si>
    <t>tianjianlu@google.com</t>
  </si>
  <si>
    <t>tianjianlu</t>
  </si>
  <si>
    <t>26927750+frgfm@users.noreply.github.com</t>
  </si>
  <si>
    <t>26927750+frgfm</t>
  </si>
  <si>
    <t>namiller@google.com</t>
  </si>
  <si>
    <t>namiller</t>
  </si>
  <si>
    <t>crickwu@google.com</t>
  </si>
  <si>
    <t>crickwu</t>
  </si>
  <si>
    <t>scott.leishman@gmail.com</t>
  </si>
  <si>
    <t>scott.leishman</t>
  </si>
  <si>
    <t>copybara-service@users.noreply.github.com</t>
  </si>
  <si>
    <t>copybara-service</t>
  </si>
  <si>
    <t>80296164+philipphack@users.noreply.github.com</t>
  </si>
  <si>
    <t>80296164+philipphack</t>
  </si>
  <si>
    <t>benjamin@engflow.com</t>
  </si>
  <si>
    <t>engflow</t>
  </si>
  <si>
    <t>malcolm@ieee.org</t>
  </si>
  <si>
    <t>malcolm</t>
  </si>
  <si>
    <t>cpgaffney@google.com</t>
  </si>
  <si>
    <t>cpgaffney</t>
  </si>
  <si>
    <t>benquike@gmail.com</t>
  </si>
  <si>
    <t>benquike</t>
  </si>
  <si>
    <t>uwe.korn@quantco.com</t>
  </si>
  <si>
    <t>uwe.korn</t>
  </si>
  <si>
    <t>styopkin@yandex-team.ru</t>
  </si>
  <si>
    <t>styopkin</t>
  </si>
  <si>
    <t>144492+fdiblen@users.noreply.github.com</t>
  </si>
  <si>
    <t>144492+fdiblen</t>
  </si>
  <si>
    <t>laramiel@users.noreply.github.com</t>
  </si>
  <si>
    <t>laramiel</t>
  </si>
  <si>
    <t>abel.s.siqueira@gmail.com</t>
  </si>
  <si>
    <t>abel.s.siqueira</t>
  </si>
  <si>
    <t>code@bnavigator.de</t>
  </si>
  <si>
    <t>sighingnow@gmail.com</t>
  </si>
  <si>
    <t>sighingnow</t>
  </si>
  <si>
    <t>akant@google.com</t>
  </si>
  <si>
    <t>akant</t>
  </si>
  <si>
    <t>fyangf@google.com</t>
  </si>
  <si>
    <t>fyangf</t>
  </si>
  <si>
    <t>mathemage@gmail.com</t>
  </si>
  <si>
    <t>mathemage</t>
  </si>
  <si>
    <t>63608112+annasuheyla@users.noreply.github.com</t>
  </si>
  <si>
    <t>63608112+annasuheyla</t>
  </si>
  <si>
    <t>rui@chenrui.dev</t>
  </si>
  <si>
    <t>rui</t>
  </si>
  <si>
    <t>guilhermelcs@gmail.com</t>
  </si>
  <si>
    <t>guilhermelcs</t>
  </si>
  <si>
    <t>jjyyg1123@gmail.com</t>
  </si>
  <si>
    <t>jjyyg1123</t>
  </si>
  <si>
    <t>fgfm03@hotmail.fr</t>
  </si>
  <si>
    <t>fgfm03</t>
  </si>
  <si>
    <t>1532745146@qq.com</t>
  </si>
  <si>
    <t>victor.guo02@gmail.com</t>
  </si>
  <si>
    <t>victor.guo02</t>
  </si>
  <si>
    <t>foreman.mackey@gmail.com</t>
  </si>
  <si>
    <t>foreman.mackey</t>
  </si>
  <si>
    <t>6426433+1duo@users.noreply.github.com</t>
  </si>
  <si>
    <t>6426433+1duo</t>
  </si>
  <si>
    <t>idtl@google.com</t>
  </si>
  <si>
    <t>idtl</t>
  </si>
  <si>
    <t>32071355+MBkkt@users.noreply.github.com</t>
  </si>
  <si>
    <t>32071355+MBkkt</t>
  </si>
  <si>
    <t>hongxu.jia@windriver.com</t>
  </si>
  <si>
    <t>hongxu.jia</t>
  </si>
  <si>
    <t>windriver</t>
  </si>
  <si>
    <t>oktay.ozturk010@gmail.com</t>
  </si>
  <si>
    <t>oktay.ozturk010</t>
  </si>
  <si>
    <t>hugo.pompougnac@etu.upmc.fr</t>
  </si>
  <si>
    <t>87449534+asharma-ampere@users.noreply.github.com</t>
  </si>
  <si>
    <t>87449534+asharma-ampere</t>
  </si>
  <si>
    <t>alesapin@gmail.com</t>
  </si>
  <si>
    <t>alesapin</t>
  </si>
  <si>
    <t>58719389+Yash621@users.noreply.github.com</t>
  </si>
  <si>
    <t>58719389+Yash621</t>
  </si>
  <si>
    <t>eulerdora.1810.mann@gmail.com</t>
  </si>
  <si>
    <t>eulerdora.1810.mann</t>
  </si>
  <si>
    <t>cpovirk@google.com</t>
  </si>
  <si>
    <t>cpovirk</t>
  </si>
  <si>
    <t>48476109+gadagashwini@users.noreply.github.com</t>
  </si>
  <si>
    <t>48476109+gadagashwini</t>
  </si>
  <si>
    <t>pawel@poly-ai.com</t>
  </si>
  <si>
    <t>pawel</t>
  </si>
  <si>
    <t>poly-ai</t>
  </si>
  <si>
    <t>51389194+ez2take@users.noreply.github.com</t>
  </si>
  <si>
    <t>51389194+ez2take</t>
  </si>
  <si>
    <t>choudharas19.comp@coep.ac.in</t>
  </si>
  <si>
    <t>choudharas19.comp</t>
  </si>
  <si>
    <t>jiyongjung@google.com</t>
  </si>
  <si>
    <t>jiyongjung</t>
  </si>
  <si>
    <t>danila.bespalov@gmail.com</t>
  </si>
  <si>
    <t>danila.bespalov</t>
  </si>
  <si>
    <t>35734860+caifand@users.noreply.github.com</t>
  </si>
  <si>
    <t>35734860+caifand</t>
  </si>
  <si>
    <t>KumaTea@outlook.com</t>
  </si>
  <si>
    <t>KumaTea</t>
  </si>
  <si>
    <t>31600291+mathemakitten@users.noreply.github.com</t>
  </si>
  <si>
    <t>31600291+mathemakitten</t>
  </si>
  <si>
    <t>1756909+arielelkin@users.noreply.github.com</t>
  </si>
  <si>
    <t>1756909+arielelkin</t>
  </si>
  <si>
    <t>jinxiaoyong@gmail.com</t>
  </si>
  <si>
    <t>jinxiaoyong</t>
  </si>
  <si>
    <t>collinzrj@outlook.com</t>
  </si>
  <si>
    <t>collinzrj</t>
  </si>
  <si>
    <t>33532941+duncanriach@users.noreply.github.com</t>
  </si>
  <si>
    <t>33532941+duncanriach</t>
  </si>
  <si>
    <t>contact@ehsankia.com</t>
  </si>
  <si>
    <t>dan@nod-labs.com</t>
  </si>
  <si>
    <t>rahul@centtech.com</t>
  </si>
  <si>
    <t>rahul</t>
  </si>
  <si>
    <t>1111artem1111@gmail.com</t>
  </si>
  <si>
    <t>1111artem1111</t>
  </si>
  <si>
    <t>stella.a.schlotter@gmail.com</t>
  </si>
  <si>
    <t>stella.a.schlotter</t>
  </si>
  <si>
    <t>12150373+hajuho@users.noreply.github.com</t>
  </si>
  <si>
    <t>12150373+hajuho</t>
  </si>
  <si>
    <t>kloberdanz.eliska@gmail.com</t>
  </si>
  <si>
    <t>kloberdanz.eliska</t>
  </si>
  <si>
    <t>61004755+DavidDataScientist@users.noreply.github.com</t>
  </si>
  <si>
    <t>61004755+DavidDataScientist</t>
  </si>
  <si>
    <t>adrian.ratiu@collabora.com</t>
  </si>
  <si>
    <t>adrian.ratiu</t>
  </si>
  <si>
    <t>collabora</t>
  </si>
  <si>
    <t>japm48gh@gmail.com</t>
  </si>
  <si>
    <t>japm48gh</t>
  </si>
  <si>
    <t>linearhit@foxmail.com</t>
  </si>
  <si>
    <t>linearhit</t>
  </si>
  <si>
    <t>tyao@google.com</t>
  </si>
  <si>
    <t>tyao</t>
  </si>
  <si>
    <t>tashuang.zk@alibaba-inc.com</t>
  </si>
  <si>
    <t>tashuang.zk</t>
  </si>
  <si>
    <t>takayoshi.koizumi@sony.com</t>
  </si>
  <si>
    <t>takayoshi.koizumi</t>
  </si>
  <si>
    <t>sony</t>
  </si>
  <si>
    <t>ahumesky@google.com</t>
  </si>
  <si>
    <t>ahumesky</t>
  </si>
  <si>
    <t>36708431+jdematos@users.noreply.github.com</t>
  </si>
  <si>
    <t>36708431+jdematos</t>
  </si>
  <si>
    <t>dlwkdgn1@naver.com</t>
  </si>
  <si>
    <t>dlwkdgn1</t>
  </si>
  <si>
    <t>linzewen@nucleisys.com</t>
  </si>
  <si>
    <t>linzewen</t>
  </si>
  <si>
    <t>nucleisys</t>
  </si>
  <si>
    <t>houman.kamali@outlook.com</t>
  </si>
  <si>
    <t>houman.kamali</t>
  </si>
  <si>
    <t>aliencaocao@gmail.com</t>
  </si>
  <si>
    <t>aliencaocao</t>
  </si>
  <si>
    <t>psj8252@naver.com</t>
  </si>
  <si>
    <t>psj8252</t>
  </si>
  <si>
    <t>evcu@google.com</t>
  </si>
  <si>
    <t>evcu</t>
  </si>
  <si>
    <t>i@jingbei.li</t>
  </si>
  <si>
    <t>zhangshuai.ustc@gmail.com</t>
  </si>
  <si>
    <t>zhangshuai.ustc</t>
  </si>
  <si>
    <t>46757266+okyanusoz@users.noreply.github.com</t>
  </si>
  <si>
    <t>46757266+okyanusoz</t>
  </si>
  <si>
    <t>nicholas.vadivelu@gmail.com</t>
  </si>
  <si>
    <t>nicholas.vadivelu</t>
  </si>
  <si>
    <t>bohumir.zamecnik@gmail.com</t>
  </si>
  <si>
    <t>bohumir.zamecnik</t>
  </si>
  <si>
    <t>thecervi@gmail.com</t>
  </si>
  <si>
    <t>thecervi</t>
  </si>
  <si>
    <t>avroshkumar@gmail.com</t>
  </si>
  <si>
    <t>avroshkumar</t>
  </si>
  <si>
    <t>ashahab@linkedin.com</t>
  </si>
  <si>
    <t>ashahab</t>
  </si>
  <si>
    <t>jonas.ohlsson@arm.com</t>
  </si>
  <si>
    <t>jonas.ohlsson</t>
  </si>
  <si>
    <t>mhsv16@student.aau.dk</t>
  </si>
  <si>
    <t>mhsv16</t>
  </si>
  <si>
    <t>jonas.i.liechti@protonmail.ch</t>
  </si>
  <si>
    <t>jonas.i.liechti</t>
  </si>
  <si>
    <t>edward.ye.huang@qq.com</t>
  </si>
  <si>
    <t>edward.ye.huang</t>
  </si>
  <si>
    <t>armenchik@mail.ru</t>
  </si>
  <si>
    <t>armenchik</t>
  </si>
  <si>
    <t>david.pal@instacart.com</t>
  </si>
  <si>
    <t>david.pal</t>
  </si>
  <si>
    <t>instacart</t>
  </si>
  <si>
    <t>eirikur@google.com</t>
  </si>
  <si>
    <t>eirikur</t>
  </si>
  <si>
    <t>seanmorgan@outlook.com</t>
  </si>
  <si>
    <t>seanmorgan</t>
  </si>
  <si>
    <t>wanglisa@google.com</t>
  </si>
  <si>
    <t>wanglisa</t>
  </si>
  <si>
    <t>jonas.i.liechti@gmail.com</t>
  </si>
  <si>
    <t>joshuahm@google.com</t>
  </si>
  <si>
    <t>joshuahm</t>
  </si>
  <si>
    <t>jpodivin@gmail.com</t>
  </si>
  <si>
    <t>felixvollmer@gmail.com</t>
  </si>
  <si>
    <t>felixvollmer</t>
  </si>
  <si>
    <t>tonghengwen@cambricon.com</t>
  </si>
  <si>
    <t>tonghengwen</t>
  </si>
  <si>
    <t>57759804+wenwu-glagle@users.noreply.github.com</t>
  </si>
  <si>
    <t>57759804+wenwu-glagle</t>
  </si>
  <si>
    <t>jballe@google.com</t>
  </si>
  <si>
    <t>jballe</t>
  </si>
  <si>
    <t>rencheng311@gmail.com</t>
  </si>
  <si>
    <t>rencheng311</t>
  </si>
  <si>
    <t>Nirzak@users.noreply.github.com</t>
  </si>
  <si>
    <t>Nirzak</t>
  </si>
  <si>
    <t>johannes.lade@yahoo.com</t>
  </si>
  <si>
    <t>johannes.lade</t>
  </si>
  <si>
    <t>jensmeder@users.noreply.github.com</t>
  </si>
  <si>
    <t>jensmeder</t>
  </si>
  <si>
    <t>b.reece@ibexinnovations.co.uk</t>
  </si>
  <si>
    <t>b.reece</t>
  </si>
  <si>
    <t>ibexinnovations</t>
  </si>
  <si>
    <t>piergiacomo.demarchi@gmail.com</t>
  </si>
  <si>
    <t>piergiacomo.demarchi</t>
  </si>
  <si>
    <t>till.brychcy@mercateo.com</t>
  </si>
  <si>
    <t>till.brychcy</t>
  </si>
  <si>
    <t>mercateo</t>
  </si>
  <si>
    <t>xinwuping007@gmail.com</t>
  </si>
  <si>
    <t>xinwuping007</t>
  </si>
  <si>
    <t>275331498@qq.com</t>
  </si>
  <si>
    <t>nguyencuongcl1215@gmail.com</t>
  </si>
  <si>
    <t>nguyencuongcl1215</t>
  </si>
  <si>
    <t>noam@google.com</t>
  </si>
  <si>
    <t>noam</t>
  </si>
  <si>
    <t>wojciechowski.dawid@outlook.com</t>
  </si>
  <si>
    <t>wojciechowski.dawid</t>
  </si>
  <si>
    <t>jha.ashish43@gmail.com</t>
  </si>
  <si>
    <t>jha.ashish43</t>
  </si>
  <si>
    <t>jstephan@baylibre.com</t>
  </si>
  <si>
    <t>jstephan</t>
  </si>
  <si>
    <t>Baylibre</t>
  </si>
  <si>
    <t>bastings@google.com</t>
  </si>
  <si>
    <t>bastings</t>
  </si>
  <si>
    <t>jpark3@scu.edu</t>
  </si>
  <si>
    <t>jpark3</t>
  </si>
  <si>
    <t>scu</t>
  </si>
  <si>
    <t>55211255+ksood12345@users.noreply.github.com</t>
  </si>
  <si>
    <t>55211255+ksood12345</t>
  </si>
  <si>
    <t>chris.olivier@cerebras.net</t>
  </si>
  <si>
    <t>chris.olivier</t>
  </si>
  <si>
    <t>pzierhoffer@antmicro.com</t>
  </si>
  <si>
    <t>pzierhoffer</t>
  </si>
  <si>
    <t>1151727370@qq.com</t>
  </si>
  <si>
    <t>dev@nicojahn.com</t>
  </si>
  <si>
    <t>vinayaka@polymagelabs.com</t>
  </si>
  <si>
    <t>vinayaka</t>
  </si>
  <si>
    <t>spishak@google.com</t>
  </si>
  <si>
    <t>spishak</t>
  </si>
  <si>
    <t>jayjang@google.com</t>
  </si>
  <si>
    <t>jayjang</t>
  </si>
  <si>
    <t>klinger.paul@gmail.com</t>
  </si>
  <si>
    <t>klinger.paul</t>
  </si>
  <si>
    <t>scott.tseng@nlptech.com</t>
  </si>
  <si>
    <t>behzad@cerebras.net</t>
  </si>
  <si>
    <t>behzad</t>
  </si>
  <si>
    <t>35755670+takayoshi-k@users.noreply.github.com</t>
  </si>
  <si>
    <t>35755670+takayoshi-k</t>
  </si>
  <si>
    <t>harryz@google.com</t>
  </si>
  <si>
    <t>harryz</t>
  </si>
  <si>
    <t>summeryue@google.com</t>
  </si>
  <si>
    <t>summeryue</t>
  </si>
  <si>
    <t>k.taebum@snu.ac.kr</t>
  </si>
  <si>
    <t>k.taebum</t>
  </si>
  <si>
    <t>29377502+stephengmatthews@users.noreply.github.com</t>
  </si>
  <si>
    <t>29377502+stephengmatthews</t>
  </si>
  <si>
    <t>anhtnguyen@google.com</t>
  </si>
  <si>
    <t>anhtnguyen</t>
  </si>
  <si>
    <t>blackyang@users.noreply.github.com</t>
  </si>
  <si>
    <t>blackyang</t>
  </si>
  <si>
    <t>mans.bermell@leovegas.com</t>
  </si>
  <si>
    <t>mans.bermell</t>
  </si>
  <si>
    <t>traun.leyden@gmail.com</t>
  </si>
  <si>
    <t>traun.leyden</t>
  </si>
  <si>
    <t>lzyuan@google.com</t>
  </si>
  <si>
    <t>lzyuan</t>
  </si>
  <si>
    <t>nmcardoso@users.noreply.github.com</t>
  </si>
  <si>
    <t>nmcardoso</t>
  </si>
  <si>
    <t>matej.hladis@gmail.com</t>
  </si>
  <si>
    <t>matej.hladis</t>
  </si>
  <si>
    <t>Simrit.kaur@ibm.com</t>
  </si>
  <si>
    <t>Simrit.kaur</t>
  </si>
  <si>
    <t>getmylag@gmail.com</t>
  </si>
  <si>
    <t>getmylag</t>
  </si>
  <si>
    <t>benjamin.klimczak@arm.com</t>
  </si>
  <si>
    <t>benjamin.klimczak</t>
  </si>
  <si>
    <t>xdhmoore@users.noreply.github.com</t>
  </si>
  <si>
    <t>xdhmoore</t>
  </si>
  <si>
    <t>chunxiangzheng@google.com</t>
  </si>
  <si>
    <t>chunxiangzheng</t>
  </si>
  <si>
    <t>36766404+ptran1203@users.noreply.github.com</t>
  </si>
  <si>
    <t>36766404+ptran1203</t>
  </si>
  <si>
    <t>51340748+TVLIgnacy@users.noreply.github.com</t>
  </si>
  <si>
    <t>51340748+TVLIgnacy</t>
  </si>
  <si>
    <t>jiafulow@users.noreply.github.com</t>
  </si>
  <si>
    <t>jiafulow</t>
  </si>
  <si>
    <t>69477250+rsun-bdti@users.noreply.github.com</t>
  </si>
  <si>
    <t>69477250+rsun-bdti</t>
  </si>
  <si>
    <t>kashyap.raval@gmail.com</t>
  </si>
  <si>
    <t>kashyap.raval</t>
  </si>
  <si>
    <t>ek9852@gmail.com</t>
  </si>
  <si>
    <t>ek9852</t>
  </si>
  <si>
    <t>bribbers@disroot.org</t>
  </si>
  <si>
    <t>bribbers</t>
  </si>
  <si>
    <t>45035325+ewsn1593@users.noreply.github.com</t>
  </si>
  <si>
    <t>45035325+ewsn1593</t>
  </si>
  <si>
    <t>goqhadl9298@gmail.com</t>
  </si>
  <si>
    <t>goqhadl9298</t>
  </si>
  <si>
    <t>dean.r.wyatte@gmail.com</t>
  </si>
  <si>
    <t>dean.r.wyatte</t>
  </si>
  <si>
    <t>cdleary@gmail.com</t>
  </si>
  <si>
    <t>cdleary</t>
  </si>
  <si>
    <t>1428327+chengren311@users.noreply.github.com</t>
  </si>
  <si>
    <t>1428327+chengren311</t>
  </si>
  <si>
    <t>41743566+yqtianust@users.noreply.github.com</t>
  </si>
  <si>
    <t>41743566+yqtianust</t>
  </si>
  <si>
    <t>oskar.flordal@unibap.com</t>
  </si>
  <si>
    <t>oskar.flordal</t>
  </si>
  <si>
    <t>unibap</t>
  </si>
  <si>
    <t>haoxiong@outlook.com</t>
  </si>
  <si>
    <t>haoxiong</t>
  </si>
  <si>
    <t>Yosshi999@users.noreply.github.com</t>
  </si>
  <si>
    <t>Yosshi999</t>
  </si>
  <si>
    <t>67606533+TomWildenhain-Microsoft@users.noreply.github.com</t>
  </si>
  <si>
    <t>67606533+TomWildenhain-Microsoft</t>
  </si>
  <si>
    <t>marcin.juszkiewicz@linaro.org</t>
  </si>
  <si>
    <t>marcin.juszkiewicz</t>
  </si>
  <si>
    <t>jan.hofmeier@de.ibm.com</t>
  </si>
  <si>
    <t>jan.hofmeier</t>
  </si>
  <si>
    <t>jsrimr@naver.com</t>
  </si>
  <si>
    <t>jsrimr</t>
  </si>
  <si>
    <t>canwan@microsoft.com</t>
  </si>
  <si>
    <t>canwan</t>
  </si>
  <si>
    <t>jenny@edgeimpulse.com</t>
  </si>
  <si>
    <t>jenny</t>
  </si>
  <si>
    <t>webber975@gmail.com</t>
  </si>
  <si>
    <t>webber975</t>
  </si>
  <si>
    <t>mariav@sicara.com</t>
  </si>
  <si>
    <t>mariav</t>
  </si>
  <si>
    <t>sicara</t>
  </si>
  <si>
    <t>vip@uber.com</t>
  </si>
  <si>
    <t>vip</t>
  </si>
  <si>
    <t>kpraving@cadence.com</t>
  </si>
  <si>
    <t>kpraving</t>
  </si>
  <si>
    <t>33673759+j-bernardi@users.noreply.github.com</t>
  </si>
  <si>
    <t>33673759+j-bernardi</t>
  </si>
  <si>
    <t>rogcheng@amazon.com</t>
  </si>
  <si>
    <t>rogcheng</t>
  </si>
  <si>
    <t>def6488@gmail.com</t>
  </si>
  <si>
    <t>def6488</t>
  </si>
  <si>
    <t>kopytjuk@gmail.com</t>
  </si>
  <si>
    <t>kopytjuk</t>
  </si>
  <si>
    <t>andrzej.pomirski@gmail.com</t>
  </si>
  <si>
    <t>andrzej.pomirski</t>
  </si>
  <si>
    <t>aaron.mondal@gmail.com</t>
  </si>
  <si>
    <t>aaron.mondal</t>
  </si>
  <si>
    <t>yuta.fukasawa28@gmail.com</t>
  </si>
  <si>
    <t>yuta.fukasawa28</t>
  </si>
  <si>
    <t>jacobfv@msn.com</t>
  </si>
  <si>
    <t>jacobfv</t>
  </si>
  <si>
    <t>veluca@google.com</t>
  </si>
  <si>
    <t>veluca</t>
  </si>
  <si>
    <t>wdharmana@gmail.com</t>
  </si>
  <si>
    <t>wdharmana</t>
  </si>
  <si>
    <t>oujiafan@gmail.com</t>
  </si>
  <si>
    <t>oujiafan</t>
  </si>
  <si>
    <t>mholenko@antmicro.com</t>
  </si>
  <si>
    <t>mholenko</t>
  </si>
  <si>
    <t>rhdong2017@gmail.com</t>
  </si>
  <si>
    <t>rhdong2017</t>
  </si>
  <si>
    <t>a120471@gmail.com</t>
  </si>
  <si>
    <t>a120471</t>
  </si>
  <si>
    <t>ppiskorski@habana.ai</t>
  </si>
  <si>
    <t>ppiskorski</t>
  </si>
  <si>
    <t>habana</t>
  </si>
  <si>
    <t>7999692+OscarVanL@users.noreply.github.com</t>
  </si>
  <si>
    <t>7999692+OscarVanL</t>
  </si>
  <si>
    <t>59261360+evaderan-lab@users.noreply.github.com</t>
  </si>
  <si>
    <t>59261360+evaderan-lab</t>
  </si>
  <si>
    <t>michellecasbon@google.com</t>
  </si>
  <si>
    <t>michellecasbon</t>
  </si>
  <si>
    <t>55311435+minhlong94@users.noreply.github.com</t>
  </si>
  <si>
    <t>55311435+minhlong94</t>
  </si>
  <si>
    <t>arashwan@google.com</t>
  </si>
  <si>
    <t>arashwan</t>
  </si>
  <si>
    <t>tyleradavis@me.com</t>
  </si>
  <si>
    <t>tyleradavis</t>
  </si>
  <si>
    <t>matthias@vo.gt</t>
  </si>
  <si>
    <t>matthias</t>
  </si>
  <si>
    <t>ian.beauregard@gmail.com</t>
  </si>
  <si>
    <t>ian.beauregard</t>
  </si>
  <si>
    <t>tarandeepsingh1@acm.org</t>
  </si>
  <si>
    <t>tarandeepsingh1</t>
  </si>
  <si>
    <t>Acm</t>
  </si>
  <si>
    <t>Mary.romanenko@gmail.com</t>
  </si>
  <si>
    <t>Mary.romanenko</t>
  </si>
  <si>
    <t>marcospereiradev@gmail.com</t>
  </si>
  <si>
    <t>marcospereiradev</t>
  </si>
  <si>
    <t>62743847+andreABbauer@users.noreply.github.com</t>
  </si>
  <si>
    <t>62743847+andreABbauer</t>
  </si>
  <si>
    <t>24738311+poedator@users.noreply.github.com</t>
  </si>
  <si>
    <t>24738311+poedator</t>
  </si>
  <si>
    <t>bspell1@gmail.com</t>
  </si>
  <si>
    <t>bspell1</t>
  </si>
  <si>
    <t>krajcevski@google.com</t>
  </si>
  <si>
    <t>krajcevski</t>
  </si>
  <si>
    <t>mowsiany@D2iQ.com</t>
  </si>
  <si>
    <t>mowsiany</t>
  </si>
  <si>
    <t>D2iQ</t>
  </si>
  <si>
    <t>iam@nyanye.com</t>
  </si>
  <si>
    <t>kasra85@gmail.com</t>
  </si>
  <si>
    <t>kasra85</t>
  </si>
  <si>
    <t>berykubik@gmail.com</t>
  </si>
  <si>
    <t>berykubik</t>
  </si>
  <si>
    <t>tsar@google.com</t>
  </si>
  <si>
    <t>tsar</t>
  </si>
  <si>
    <t>detroitstylz@gmail.com</t>
  </si>
  <si>
    <t>detroitstylz</t>
  </si>
  <si>
    <t>dannyfriar@hotmail.co.uk</t>
  </si>
  <si>
    <t>dannyfriar</t>
  </si>
  <si>
    <t>zmxdream@pku.edu.cn</t>
  </si>
  <si>
    <t>zmxdream</t>
  </si>
  <si>
    <t>manzagop@google.com</t>
  </si>
  <si>
    <t>manzagop</t>
  </si>
  <si>
    <t>18jeffreyma@gmail.com</t>
  </si>
  <si>
    <t>18jeffreyma</t>
  </si>
  <si>
    <t>zhangqiang-hf@loongson.cn</t>
  </si>
  <si>
    <t>zhangqiang-hf</t>
  </si>
  <si>
    <t>pecora1999@gmail.com</t>
  </si>
  <si>
    <t>pecora1999</t>
  </si>
  <si>
    <t>tomasz.strejczek@outlook.com</t>
  </si>
  <si>
    <t>tomasz.strejczek</t>
  </si>
  <si>
    <t>oleg@dropbox.com</t>
  </si>
  <si>
    <t>oleg</t>
  </si>
  <si>
    <t>dropbox</t>
  </si>
  <si>
    <t>anencore94@kaist.ac.kr</t>
  </si>
  <si>
    <t>anencore94</t>
  </si>
  <si>
    <t>rbtz@dropbox.com</t>
  </si>
  <si>
    <t>rbtz</t>
  </si>
  <si>
    <t>56391795+drunkeninja42@users.noreply.github.com</t>
  </si>
  <si>
    <t>56391795+drunkeninja42</t>
  </si>
  <si>
    <t>jjong@google.com</t>
  </si>
  <si>
    <t>jjong</t>
  </si>
  <si>
    <t>dalao1002@gmail.com</t>
  </si>
  <si>
    <t>dalao1002</t>
  </si>
  <si>
    <t>janmadera97@gmail.com</t>
  </si>
  <si>
    <t>janmadera97</t>
  </si>
  <si>
    <t>nyagato.eva@gmail.com</t>
  </si>
  <si>
    <t>nyagato.eva</t>
  </si>
  <si>
    <t>Duffycola@users.noreply.github.com</t>
  </si>
  <si>
    <t>Duffycola</t>
  </si>
  <si>
    <t>ongun.kanat@gmail.com</t>
  </si>
  <si>
    <t>ongun.kanat</t>
  </si>
  <si>
    <t>leicongli@gmail.com</t>
  </si>
  <si>
    <t>leicongli</t>
  </si>
  <si>
    <t>levinxo@gmail.com</t>
  </si>
  <si>
    <t>levinxo</t>
  </si>
  <si>
    <t>yf160@physics.rutgers.edu</t>
  </si>
  <si>
    <t>yf160</t>
  </si>
  <si>
    <t>daniel-knobe@web.de</t>
  </si>
  <si>
    <t>daniel-knobe</t>
  </si>
  <si>
    <t>chetioui.benjamin@gmail.com</t>
  </si>
  <si>
    <t>chetioui.benjamin</t>
  </si>
  <si>
    <t>imperialroyalguard38@gmail.com</t>
  </si>
  <si>
    <t>imperialroyalguard38</t>
  </si>
  <si>
    <t>markf@graphcore.ai</t>
  </si>
  <si>
    <t>markf</t>
  </si>
  <si>
    <t>aniketks321@gmail.com</t>
  </si>
  <si>
    <t>aniketks321</t>
  </si>
  <si>
    <t>mpbb03@naver.com</t>
  </si>
  <si>
    <t>mpbb03</t>
  </si>
  <si>
    <t>3391738016@qq.com</t>
  </si>
  <si>
    <t>uenoku.tokotoko@gmail.com</t>
  </si>
  <si>
    <t>uenoku.tokotoko</t>
  </si>
  <si>
    <t>kedars@gmail.com</t>
  </si>
  <si>
    <t>kedars</t>
  </si>
  <si>
    <t>ch.na.ha+doxasticfox@gmail.com</t>
  </si>
  <si>
    <t>ch.na.ha+doxasticfox</t>
  </si>
  <si>
    <t>freckie@frec.kr</t>
  </si>
  <si>
    <t>freckie</t>
  </si>
  <si>
    <t>sandeepgiri@gmail.com</t>
  </si>
  <si>
    <t>sandeepgiri</t>
  </si>
  <si>
    <t>andylou@google.com</t>
  </si>
  <si>
    <t>andylou</t>
  </si>
  <si>
    <t>alissy@mozilla.com</t>
  </si>
  <si>
    <t>alissy</t>
  </si>
  <si>
    <t>souradeep.nanda123@gmail.com</t>
  </si>
  <si>
    <t>souradeep.nanda123</t>
  </si>
  <si>
    <t>alanpurple@gmail.com</t>
  </si>
  <si>
    <t>alanpurple</t>
  </si>
  <si>
    <t>hemalmamtora1@gmail.com</t>
  </si>
  <si>
    <t>hemalmamtora1</t>
  </si>
  <si>
    <t>huberte@google.com</t>
  </si>
  <si>
    <t>huberte</t>
  </si>
  <si>
    <t>50369708+V2dha@users.noreply.github.com</t>
  </si>
  <si>
    <t>50369708+V2dha</t>
  </si>
  <si>
    <t>psc@google.com</t>
  </si>
  <si>
    <t>psc</t>
  </si>
  <si>
    <t>redwrasse@users.noreply.github.com</t>
  </si>
  <si>
    <t>redwrasse</t>
  </si>
  <si>
    <t>chencheng.kit@BYTEDANCE.COM</t>
  </si>
  <si>
    <t>zach.mayer@gmail.com</t>
  </si>
  <si>
    <t>zach.mayer</t>
  </si>
  <si>
    <t>ehoabuhz@gmail.com</t>
  </si>
  <si>
    <t>ehoabuhz</t>
  </si>
  <si>
    <t>vladimirm@graphcore.ai</t>
  </si>
  <si>
    <t>vladimirm</t>
  </si>
  <si>
    <t>michel.brabants@gmail.com</t>
  </si>
  <si>
    <t>michel.brabants</t>
  </si>
  <si>
    <t>43855822+Harirai@users.noreply.github.com</t>
  </si>
  <si>
    <t>43855822+Harirai</t>
  </si>
  <si>
    <t>qhduan.com@gmail.com</t>
  </si>
  <si>
    <t>qhduan.com</t>
  </si>
  <si>
    <t>mail@qhduan.com</t>
  </si>
  <si>
    <t>daglialpa@gmail.com</t>
  </si>
  <si>
    <t>daglialpa</t>
  </si>
  <si>
    <t>chrisgo@google.com</t>
  </si>
  <si>
    <t>chrisgo</t>
  </si>
  <si>
    <t>67327791+hedgehog91@users.noreply.github.com</t>
  </si>
  <si>
    <t>67327791+hedgehog91</t>
  </si>
  <si>
    <t>6444377+samholt@users.noreply.github.com</t>
  </si>
  <si>
    <t>6444377+samholt</t>
  </si>
  <si>
    <t>sandeep0138@gmail.com</t>
  </si>
  <si>
    <t>sandeep0138</t>
  </si>
  <si>
    <t>samianholt@gmail.com</t>
  </si>
  <si>
    <t>samianholt</t>
  </si>
  <si>
    <t>lutzroeder@users.noreply.github.com</t>
  </si>
  <si>
    <t>lutzroeder</t>
  </si>
  <si>
    <t>lxhustauto@gmail.com</t>
  </si>
  <si>
    <t>lxhustauto</t>
  </si>
  <si>
    <t>amedeo.cavallo96@gmail.com</t>
  </si>
  <si>
    <t>amedeo.cavallo96</t>
  </si>
  <si>
    <t>gmenghani@google.com</t>
  </si>
  <si>
    <t>gmenghani</t>
  </si>
  <si>
    <t>44154075+stjohnso98@users.noreply.github.com</t>
  </si>
  <si>
    <t>44154075+stjohnso98</t>
  </si>
  <si>
    <t>ascherba@google.com</t>
  </si>
  <si>
    <t>ascherba</t>
  </si>
  <si>
    <t>joshchia@gmail.com</t>
  </si>
  <si>
    <t>joshchia</t>
  </si>
  <si>
    <t>carlos.hernandez.vaquero@gmail.com</t>
  </si>
  <si>
    <t>carlos.hernandez.vaquero</t>
  </si>
  <si>
    <t>ursk@google.com</t>
  </si>
  <si>
    <t>ursk</t>
  </si>
  <si>
    <t>gregoryfkeith@gmail.com</t>
  </si>
  <si>
    <t>gregoryfkeith</t>
  </si>
  <si>
    <t>lsfamily@gmail.com</t>
  </si>
  <si>
    <t>lsfamily</t>
  </si>
  <si>
    <t>storypku@gmail.com</t>
  </si>
  <si>
    <t>storypku</t>
  </si>
  <si>
    <t>kgugala@antmicro.com</t>
  </si>
  <si>
    <t>kgugala</t>
  </si>
  <si>
    <t>kimys@victech.io</t>
  </si>
  <si>
    <t>kimys</t>
  </si>
  <si>
    <t>victech</t>
  </si>
  <si>
    <t>arnaoben@gmail.com</t>
  </si>
  <si>
    <t>arnaoben</t>
  </si>
  <si>
    <t>swapnilbp100@gmail.com</t>
  </si>
  <si>
    <t>swapnilbp100</t>
  </si>
  <si>
    <t>iofg2100@gmail.com</t>
  </si>
  <si>
    <t>iofg2100</t>
  </si>
  <si>
    <t>felix.klee@inka.de</t>
  </si>
  <si>
    <t>felix.klee</t>
  </si>
  <si>
    <t>shunyaueta01@gmail.com</t>
  </si>
  <si>
    <t>shunyaueta01</t>
  </si>
  <si>
    <t>joshua.richard.meyer@gmail.com</t>
  </si>
  <si>
    <t>joshua.richard.meyer</t>
  </si>
  <si>
    <t>ctessum@gmail.com</t>
  </si>
  <si>
    <t>ctessum</t>
  </si>
  <si>
    <t>naumkin@synopsys.com</t>
  </si>
  <si>
    <t>naumkin</t>
  </si>
  <si>
    <t>huang.dexter@gmail.com</t>
  </si>
  <si>
    <t>huang.dexter</t>
  </si>
  <si>
    <t>pierre@kayou.io</t>
  </si>
  <si>
    <t>pierre</t>
  </si>
  <si>
    <t>embr@google.com</t>
  </si>
  <si>
    <t>embr</t>
  </si>
  <si>
    <t>yoonmiroh@google.com</t>
  </si>
  <si>
    <t>yoonmiroh</t>
  </si>
  <si>
    <t>yu65789@gmail.com</t>
  </si>
  <si>
    <t>yu65789</t>
  </si>
  <si>
    <t>edgaras.liberis@gmail.com</t>
  </si>
  <si>
    <t>edgaras.liberis</t>
  </si>
  <si>
    <t>patrick.hemmer@gmail.com</t>
  </si>
  <si>
    <t>patrick.hemmer</t>
  </si>
  <si>
    <t>eugene.mikhantiev@turation.io</t>
  </si>
  <si>
    <t>eugene.mikhantiev</t>
  </si>
  <si>
    <t>turation</t>
  </si>
  <si>
    <t>35953311+gurushantj@users.noreply.github.com</t>
  </si>
  <si>
    <t>35953311+gurushantj</t>
  </si>
  <si>
    <t>jlz.3008@gmail.com</t>
  </si>
  <si>
    <t>jlz.3008</t>
  </si>
  <si>
    <t>rsopher@gmail.com</t>
  </si>
  <si>
    <t>jaway.liu@gmail.com</t>
  </si>
  <si>
    <t>jaway.liu</t>
  </si>
  <si>
    <t>oclyke@gmail.com</t>
  </si>
  <si>
    <t>oclyke</t>
  </si>
  <si>
    <t>kam.d.kasravi@intel.com</t>
  </si>
  <si>
    <t>kam.d.kasravi</t>
  </si>
  <si>
    <t>blueyiniu@qq.com</t>
  </si>
  <si>
    <t>blueyiniu</t>
  </si>
  <si>
    <t>38493091+vcarpani@users.noreply.github.com</t>
  </si>
  <si>
    <t>38493091+vcarpani</t>
  </si>
  <si>
    <t>siyavash.najafzade@gmail.com</t>
  </si>
  <si>
    <t>siyavash.najafzade</t>
  </si>
  <si>
    <t>Nick.R.Morgan@gmail.com</t>
  </si>
  <si>
    <t>Nick.R.Morgan</t>
  </si>
  <si>
    <t>singh.rajan28@gmail.com</t>
  </si>
  <si>
    <t>singh.rajan28</t>
  </si>
  <si>
    <t>peterrk@126.com</t>
  </si>
  <si>
    <t>peterrk</t>
  </si>
  <si>
    <t>wuhy08@users.noreply.github.com</t>
  </si>
  <si>
    <t>wuhy08</t>
  </si>
  <si>
    <t>2013103902@khu.ac.kr</t>
  </si>
  <si>
    <t>13885442+dothinking@users.noreply.github.com</t>
  </si>
  <si>
    <t>13885442+dothinking</t>
  </si>
  <si>
    <t>pingsutw@gmail.com</t>
  </si>
  <si>
    <t>pingsutw</t>
  </si>
  <si>
    <t>benjamin.gaillard@dalim.com</t>
  </si>
  <si>
    <t>benjamin.gaillard</t>
  </si>
  <si>
    <t>dalim</t>
  </si>
  <si>
    <t>tom@tomforb.es</t>
  </si>
  <si>
    <t>iofficium@163.com</t>
  </si>
  <si>
    <t>iofficium</t>
  </si>
  <si>
    <t>haoyu.wu@wdc.com</t>
  </si>
  <si>
    <t>haoyu.wu</t>
  </si>
  <si>
    <t>wdc</t>
  </si>
  <si>
    <t>vladbat42@yandex.ru</t>
  </si>
  <si>
    <t>vladbat42</t>
  </si>
  <si>
    <t>mitchell@mercury.co</t>
  </si>
  <si>
    <t>mitchell</t>
  </si>
  <si>
    <t>mercury</t>
  </si>
  <si>
    <t>eniak.info@gmail.com</t>
  </si>
  <si>
    <t>eniak.info</t>
  </si>
  <si>
    <t>0slemi0@gmail.com</t>
  </si>
  <si>
    <t>0slemi0</t>
  </si>
  <si>
    <t>eltonyang@google.com</t>
  </si>
  <si>
    <t>eltonyang</t>
  </si>
  <si>
    <t>kevin.hanselman@gmail.com</t>
  </si>
  <si>
    <t>kevin.hanselman</t>
  </si>
  <si>
    <t>46529961+PrashantDandriyal@users.noreply.github.com</t>
  </si>
  <si>
    <t>46529961+PrashantDandriyal</t>
  </si>
  <si>
    <t>ashahab@gmail.com</t>
  </si>
  <si>
    <t>michael.hliao@gmail.com</t>
  </si>
  <si>
    <t>michael.hliao</t>
  </si>
  <si>
    <t>ak@ahtik.com</t>
  </si>
  <si>
    <t>ak</t>
  </si>
  <si>
    <t>zpeng@nuro.ai</t>
  </si>
  <si>
    <t>zpeng</t>
  </si>
  <si>
    <t>nuro</t>
  </si>
  <si>
    <t>shyamdsundar@gmail.com</t>
  </si>
  <si>
    <t>shyamdsundar</t>
  </si>
  <si>
    <t>s.jafarnejad@gmail.com</t>
  </si>
  <si>
    <t>s.jafarnejad</t>
  </si>
  <si>
    <t>ljh0728@snu.ac.kr</t>
  </si>
  <si>
    <t>ljh0728</t>
  </si>
  <si>
    <t>yt@ytyt.yt</t>
  </si>
  <si>
    <t>yt</t>
  </si>
  <si>
    <t>nicholas.gao96@gmail.com</t>
  </si>
  <si>
    <t>nicholas.gao96</t>
  </si>
  <si>
    <t>eyvind@google.com</t>
  </si>
  <si>
    <t>eyvind</t>
  </si>
  <si>
    <t>pbaranay@google.com</t>
  </si>
  <si>
    <t>pbaranay</t>
  </si>
  <si>
    <t>patodiashreyash32@gmail.com</t>
  </si>
  <si>
    <t>patodiashreyash32</t>
  </si>
  <si>
    <t>36619387+weikhor@users.noreply.github.com</t>
  </si>
  <si>
    <t>36619387+weikhor</t>
  </si>
  <si>
    <t>zhuwenxi8935@gmail.com</t>
  </si>
  <si>
    <t>zhuwenxi8935</t>
  </si>
  <si>
    <t>ary.dhatt@gmail.com</t>
  </si>
  <si>
    <t>ary.dhatt</t>
  </si>
  <si>
    <t>arvind@realityengines.ai</t>
  </si>
  <si>
    <t>arvind</t>
  </si>
  <si>
    <t>realityengines</t>
  </si>
  <si>
    <t>vithaniruchit@gmail.com</t>
  </si>
  <si>
    <t>vithaniruchit</t>
  </si>
  <si>
    <t>sudhiriitb27@gmail.com</t>
  </si>
  <si>
    <t>sudhiriitb27</t>
  </si>
  <si>
    <t>alexandre.abadie@inria.fr</t>
  </si>
  <si>
    <t>alexandre.abadie</t>
  </si>
  <si>
    <t>frank.laub@intel.com</t>
  </si>
  <si>
    <t>frank.laub</t>
  </si>
  <si>
    <t>deepakm@gmail.com</t>
  </si>
  <si>
    <t>deepakm</t>
  </si>
  <si>
    <t>noahtren@gmail.com</t>
  </si>
  <si>
    <t>noahtren</t>
  </si>
  <si>
    <t>marco.ferrarotti@gmail.com</t>
  </si>
  <si>
    <t>marco.ferrarotti</t>
  </si>
  <si>
    <t>huanmingf@google.com</t>
  </si>
  <si>
    <t>huanmingf</t>
  </si>
  <si>
    <t>h.gaiser@fizyr.com</t>
  </si>
  <si>
    <t>h.gaiser</t>
  </si>
  <si>
    <t>jin.phd@gmail.com</t>
  </si>
  <si>
    <t>jin.phd</t>
  </si>
  <si>
    <t>kth3321@gmail.com</t>
  </si>
  <si>
    <t>kth3321</t>
  </si>
  <si>
    <t>minho1350@gmail.com</t>
  </si>
  <si>
    <t>minho1350</t>
  </si>
  <si>
    <t>yaxun.liu@amd.com</t>
  </si>
  <si>
    <t>yaxun.liu</t>
  </si>
  <si>
    <t>alkis@google.com</t>
  </si>
  <si>
    <t>alkis</t>
  </si>
  <si>
    <t>kmilam@google.com</t>
  </si>
  <si>
    <t>kmilam</t>
  </si>
  <si>
    <t>shane@smiskol.com</t>
  </si>
  <si>
    <t>shane</t>
  </si>
  <si>
    <t>alexe@us.ibm.com</t>
  </si>
  <si>
    <t>alexe</t>
  </si>
  <si>
    <t>dmchen@google.com</t>
  </si>
  <si>
    <t>dmchen</t>
  </si>
  <si>
    <t>robertcrowe@google.com</t>
  </si>
  <si>
    <t>robertcrowe</t>
  </si>
  <si>
    <t>Markus-Franke@web.de</t>
  </si>
  <si>
    <t>Markus-Franke</t>
  </si>
  <si>
    <t>dvanliere@wealthsimple.com</t>
  </si>
  <si>
    <t>dvanliere</t>
  </si>
  <si>
    <t>wealthsimple</t>
  </si>
  <si>
    <t>sachs.christian@gmail.com</t>
  </si>
  <si>
    <t>sachs.christian</t>
  </si>
  <si>
    <t>koonce@gmail.com</t>
  </si>
  <si>
    <t>haris.sahovic@polytechnique.edu</t>
  </si>
  <si>
    <t>haris.sahovic</t>
  </si>
  <si>
    <t>polytechnique</t>
  </si>
  <si>
    <t>david.truby@gmail.com</t>
  </si>
  <si>
    <t>david.truby</t>
  </si>
  <si>
    <t>lim.rachelys@gmail.com</t>
  </si>
  <si>
    <t>lim.rachelys</t>
  </si>
  <si>
    <t>andrew.wja@gmail.com</t>
  </si>
  <si>
    <t>andrew.wja</t>
  </si>
  <si>
    <t>jean-michel.gorius@ens-rennes.fr</t>
  </si>
  <si>
    <t>jean-michel.gorius</t>
  </si>
  <si>
    <t>zhangshijin@ict.ac.cn</t>
  </si>
  <si>
    <t>zhangshijin</t>
  </si>
  <si>
    <t>ict</t>
  </si>
  <si>
    <t>stefanom@google.com</t>
  </si>
  <si>
    <t>stefanom</t>
  </si>
  <si>
    <t>lee.netherton@gmail.com</t>
  </si>
  <si>
    <t>lee.netherton</t>
  </si>
  <si>
    <t>38869685+nammbash@users.noreply.github.com</t>
  </si>
  <si>
    <t>38869685+nammbash</t>
  </si>
  <si>
    <t>42682284+Devansh-S@users.noreply.github.com</t>
  </si>
  <si>
    <t>42682284+Devansh-S</t>
  </si>
  <si>
    <t>dubeysarvesh5525@gmail.com</t>
  </si>
  <si>
    <t>dubeysarvesh5525</t>
  </si>
  <si>
    <t>mstevejean@gmail.com</t>
  </si>
  <si>
    <t>mstevejean</t>
  </si>
  <si>
    <t>zexlus1126@gapp.nthu.edu.tw</t>
  </si>
  <si>
    <t>zexlus1126</t>
  </si>
  <si>
    <t>56718859+wenshuai-xiaomi@users.noreply.github.com</t>
  </si>
  <si>
    <t>56718859+wenshuai-xiaomi</t>
  </si>
  <si>
    <t>wenshuai@xiaomi.com</t>
  </si>
  <si>
    <t>wenshuai</t>
  </si>
  <si>
    <t>xiaomi</t>
  </si>
  <si>
    <t>awklsgrep@gmail.com</t>
  </si>
  <si>
    <t>awklsgrep</t>
  </si>
  <si>
    <t>mr.yilmaz@gmx.de</t>
  </si>
  <si>
    <t>mr.yilmaz</t>
  </si>
  <si>
    <t>volkovskyi@berkeley.edu</t>
  </si>
  <si>
    <t>volkovskyi</t>
  </si>
  <si>
    <t>mybizzer@gmail.com</t>
  </si>
  <si>
    <t>mybizzer</t>
  </si>
  <si>
    <t>TrevorJamesHickey@gmail.com</t>
  </si>
  <si>
    <t>TrevorJamesHickey</t>
  </si>
  <si>
    <t>kamalraj97@gmail.com</t>
  </si>
  <si>
    <t>kamalraj97</t>
  </si>
  <si>
    <t>imzhenyu@outlook.com</t>
  </si>
  <si>
    <t>imzhenyu</t>
  </si>
  <si>
    <t>vishal@cerebras.net</t>
  </si>
  <si>
    <t>vishal</t>
  </si>
  <si>
    <t>wuhaoyu@berkeley.edu</t>
  </si>
  <si>
    <t>wuhaoyu</t>
  </si>
  <si>
    <t>vasilyev@google.com</t>
  </si>
  <si>
    <t>vasilyev</t>
  </si>
  <si>
    <t>laszlocsomor@google.com</t>
  </si>
  <si>
    <t>contact@yannic-bonenberger.com</t>
  </si>
  <si>
    <t>kristian.holsheimer@gmail.com</t>
  </si>
  <si>
    <t>kristian.holsheimer</t>
  </si>
  <si>
    <t>rbarnes@umn.edu</t>
  </si>
  <si>
    <t>rbarnes</t>
  </si>
  <si>
    <t>umn</t>
  </si>
  <si>
    <t>jasperv@alum.mit.edu</t>
  </si>
  <si>
    <t>jasperv</t>
  </si>
  <si>
    <t>32735496+MaverickMeerkat@users.noreply.github.com</t>
  </si>
  <si>
    <t>32735496+MaverickMeerkat</t>
  </si>
  <si>
    <t>wy721@qq.com</t>
  </si>
  <si>
    <t>wy721</t>
  </si>
  <si>
    <t>aflc0x@gmail.com</t>
  </si>
  <si>
    <t>aflc0x</t>
  </si>
  <si>
    <t>ariaye@google.com</t>
  </si>
  <si>
    <t>ariaye</t>
  </si>
  <si>
    <t>dengziming1993@gmail.com</t>
  </si>
  <si>
    <t>dengziming1993</t>
  </si>
  <si>
    <t>jhfjhfj1@gmail.com</t>
  </si>
  <si>
    <t>jhfjhfj1</t>
  </si>
  <si>
    <t>asmita.poddar@gtc.ox.ac.uk</t>
  </si>
  <si>
    <t>asmita.poddar</t>
  </si>
  <si>
    <t>gtc</t>
  </si>
  <si>
    <t>stnk20@gmail.com</t>
  </si>
  <si>
    <t>stnk20</t>
  </si>
  <si>
    <t>youwei0314@gmail.com</t>
  </si>
  <si>
    <t>youwei0314</t>
  </si>
  <si>
    <t>sheltim@gmail.com</t>
  </si>
  <si>
    <t>sheltim</t>
  </si>
  <si>
    <t>romeo.kienzler@gmail.com</t>
  </si>
  <si>
    <t>romeo.kienzler</t>
  </si>
  <si>
    <t>tim.gates@iress.com</t>
  </si>
  <si>
    <t>tim.gates</t>
  </si>
  <si>
    <t>Iress</t>
  </si>
  <si>
    <t>divyanshu@iiitmanipur.ac.in</t>
  </si>
  <si>
    <t>divyanshu</t>
  </si>
  <si>
    <t>iiitmanipur</t>
  </si>
  <si>
    <t>lresende@us.ibm.com</t>
  </si>
  <si>
    <t>lresende</t>
  </si>
  <si>
    <t>piercus@users.noreply.github.com</t>
  </si>
  <si>
    <t>piercus</t>
  </si>
  <si>
    <t>rmccormick@nvidia.com</t>
  </si>
  <si>
    <t>rmccormick</t>
  </si>
  <si>
    <t>riddleriver@gmail.com</t>
  </si>
  <si>
    <t>riddleriver</t>
  </si>
  <si>
    <t>artemry@mellanox.com</t>
  </si>
  <si>
    <t>artemry</t>
  </si>
  <si>
    <t>paulwais@gmail.com</t>
  </si>
  <si>
    <t>paulwais</t>
  </si>
  <si>
    <t>wonglkd@google.com</t>
  </si>
  <si>
    <t>wonglkd</t>
  </si>
  <si>
    <t>jhdf1234@naver.com</t>
  </si>
  <si>
    <t>jhdf1234</t>
  </si>
  <si>
    <t>sbagaria@grailbio.com</t>
  </si>
  <si>
    <t>sbagaria</t>
  </si>
  <si>
    <t>grailbio</t>
  </si>
  <si>
    <t>5205699+Naville@users.noreply.github.com</t>
  </si>
  <si>
    <t>5205699+Naville</t>
  </si>
  <si>
    <t>camillol@google.com</t>
  </si>
  <si>
    <t>camillol</t>
  </si>
  <si>
    <t>juew@google.com</t>
  </si>
  <si>
    <t>juew</t>
  </si>
  <si>
    <t>mcmahan@google.com</t>
  </si>
  <si>
    <t>mcmahan</t>
  </si>
  <si>
    <t>take-cheeze@users.noreply.github.com</t>
  </si>
  <si>
    <t>take-cheeze</t>
  </si>
  <si>
    <t>Matthew.Bentham@arm.com</t>
  </si>
  <si>
    <t>Matthew.Bentham</t>
  </si>
  <si>
    <t>timothyl@nvidia.com</t>
  </si>
  <si>
    <t>timothyl</t>
  </si>
  <si>
    <t>eileenmao@google.com</t>
  </si>
  <si>
    <t>eileenmao</t>
  </si>
  <si>
    <t>chenkan5@huawei.com</t>
  </si>
  <si>
    <t>chenkan5</t>
  </si>
  <si>
    <t>saketdecade17@gmail.com</t>
  </si>
  <si>
    <t>saketdecade17</t>
  </si>
  <si>
    <t>kashif.rasul@zalando.de</t>
  </si>
  <si>
    <t>zalando</t>
  </si>
  <si>
    <t>yanchongabroad@gmail.com</t>
  </si>
  <si>
    <t>yanchongabroad</t>
  </si>
  <si>
    <t>shubhamgoyal769@gmail.com</t>
  </si>
  <si>
    <t>shubhamgoyal769</t>
  </si>
  <si>
    <t>eric.jy.xie@gmail.com</t>
  </si>
  <si>
    <t>eric.jy.xie</t>
  </si>
  <si>
    <t>stephenm@graphcore.ai</t>
  </si>
  <si>
    <t>stephenm</t>
  </si>
  <si>
    <t>smcgro@googlemail.com</t>
  </si>
  <si>
    <t>smcgro</t>
  </si>
  <si>
    <t>alihonosov@gmail.com</t>
  </si>
  <si>
    <t>alihonosov</t>
  </si>
  <si>
    <t>535370561@qq.com</t>
  </si>
  <si>
    <t>till@spotify.com</t>
  </si>
  <si>
    <t>till</t>
  </si>
  <si>
    <t>g.varisco@arduino.cc</t>
  </si>
  <si>
    <t>g.varisco</t>
  </si>
  <si>
    <t>sungkhum@gmail.com</t>
  </si>
  <si>
    <t>sungkhum</t>
  </si>
  <si>
    <t>jayhpark530@gmail.com</t>
  </si>
  <si>
    <t>jayhpark530</t>
  </si>
  <si>
    <t>jimm@racemed.com</t>
  </si>
  <si>
    <t>jimm</t>
  </si>
  <si>
    <t>racemed</t>
  </si>
  <si>
    <t>cnyegle@gmail.com</t>
  </si>
  <si>
    <t>cnyegle</t>
  </si>
  <si>
    <t>sudipr@google.com</t>
  </si>
  <si>
    <t>sudipr</t>
  </si>
  <si>
    <t>crcrpar@gmail.com</t>
  </si>
  <si>
    <t>crcrpar</t>
  </si>
  <si>
    <t>vivek.sury28@gmail.com</t>
  </si>
  <si>
    <t>vivek.sury28</t>
  </si>
  <si>
    <t>38556752+alexitkes@users.noreply.github.com</t>
  </si>
  <si>
    <t>38556752+alexitkes</t>
  </si>
  <si>
    <t>mlostek@gmail.com</t>
  </si>
  <si>
    <t>mlostek</t>
  </si>
  <si>
    <t>jekyll.lai@gmail.com</t>
  </si>
  <si>
    <t>jekyll.lai</t>
  </si>
  <si>
    <t>nlkey2022@gmail.com</t>
  </si>
  <si>
    <t>nlkey2022</t>
  </si>
  <si>
    <t>39842562+Srini511@users.noreply.github.com</t>
  </si>
  <si>
    <t>39842562+Srini511</t>
  </si>
  <si>
    <t>patrik.gustavsson@arm.com</t>
  </si>
  <si>
    <t>patrik.gustavsson</t>
  </si>
  <si>
    <t>pcoady00@gmail.com</t>
  </si>
  <si>
    <t>pcoady00</t>
  </si>
  <si>
    <t>alhkad@users.noreply.github.com</t>
  </si>
  <si>
    <t>alhkad</t>
  </si>
  <si>
    <t>khanhlvg@users.noreply.github.com</t>
  </si>
  <si>
    <t>18050620+gabriel-vanzandycke@users.noreply.github.com</t>
  </si>
  <si>
    <t>18050620+gabriel-vanzandycke</t>
  </si>
  <si>
    <t>manrajsinghgrover@gmail.com</t>
  </si>
  <si>
    <t>manrajsinghgrover</t>
  </si>
  <si>
    <t>chammoru@gmail.com</t>
  </si>
  <si>
    <t>chammoru</t>
  </si>
  <si>
    <t>severen.redwood@gmail.com</t>
  </si>
  <si>
    <t>severen.redwood</t>
  </si>
  <si>
    <t>terryky1220@gmail.com</t>
  </si>
  <si>
    <t>terryky1220</t>
  </si>
  <si>
    <t>niboshiporipori@gmail.com</t>
  </si>
  <si>
    <t>niboshiporipori</t>
  </si>
  <si>
    <t>jef199006@gmail.com</t>
  </si>
  <si>
    <t>jef199006</t>
  </si>
  <si>
    <t>asergeev@uber.com</t>
  </si>
  <si>
    <t>asergeev</t>
  </si>
  <si>
    <t>hksonngan@yahoo.com</t>
  </si>
  <si>
    <t>hksonngan</t>
  </si>
  <si>
    <t>infinix.xiao@gmail.com</t>
  </si>
  <si>
    <t>infinix.xiao</t>
  </si>
  <si>
    <t>cheerforwhy@gmail.com</t>
  </si>
  <si>
    <t>cheerforwhy</t>
  </si>
  <si>
    <t>dwightjl@users.noreply.github.com</t>
  </si>
  <si>
    <t>dwightjl</t>
  </si>
  <si>
    <t>eashtianjr@users.noreply.github.com</t>
  </si>
  <si>
    <t>eashtianjr</t>
  </si>
  <si>
    <t>jiggers-news@gmx.net</t>
  </si>
  <si>
    <t>jiggers-news</t>
  </si>
  <si>
    <t>gustavo.lima.chaves@intel.com</t>
  </si>
  <si>
    <t>gustavo.lima.chaves</t>
  </si>
  <si>
    <t>kabir@kwatra.me</t>
  </si>
  <si>
    <t>kabir</t>
  </si>
  <si>
    <t>guoyin.chen@gmail.com</t>
  </si>
  <si>
    <t>guoyin.chen</t>
  </si>
  <si>
    <t>kimmj8409@gmail.com</t>
  </si>
  <si>
    <t>kimmj8409</t>
  </si>
  <si>
    <t>zhjunqin@gmail.com</t>
  </si>
  <si>
    <t>zhjunqin</t>
  </si>
  <si>
    <t>19369846+ejot@users.noreply.github.com</t>
  </si>
  <si>
    <t>19369846+ejot</t>
  </si>
  <si>
    <t>whdgus963@naver.com</t>
  </si>
  <si>
    <t>whdgus963</t>
  </si>
  <si>
    <t>koock1994@gmail.com</t>
  </si>
  <si>
    <t>koock1994</t>
  </si>
  <si>
    <t>haraldurt@gmail.com</t>
  </si>
  <si>
    <t>haraldurt</t>
  </si>
  <si>
    <t>phan.van.nguyen.duc@gmx.de</t>
  </si>
  <si>
    <t>phan.van.nguyen.duc</t>
  </si>
  <si>
    <t>niklas@silfverstrom.com</t>
  </si>
  <si>
    <t>niklas</t>
  </si>
  <si>
    <t>42219848+leonard951@users.noreply.github.com</t>
  </si>
  <si>
    <t>42219848+leonard951</t>
  </si>
  <si>
    <t>jtunis21@gmail.com</t>
  </si>
  <si>
    <t>jtunis21</t>
  </si>
  <si>
    <t>tberghammer@google.com</t>
  </si>
  <si>
    <t>tberghammer</t>
  </si>
  <si>
    <t>a1.cota.365@gmail.com</t>
  </si>
  <si>
    <t>a1.cota.365</t>
  </si>
  <si>
    <t>seanmorgan91@gmail.com</t>
  </si>
  <si>
    <t>seanmorgan91</t>
  </si>
  <si>
    <t>weill@google.com</t>
  </si>
  <si>
    <t>weill</t>
  </si>
  <si>
    <t>myc.monad@gmail.com</t>
  </si>
  <si>
    <t>myc.monad</t>
  </si>
  <si>
    <t>pachristopher@google.com</t>
  </si>
  <si>
    <t>pachristopher</t>
  </si>
  <si>
    <t>rvinas@users.noreply.github.com</t>
  </si>
  <si>
    <t>rvinas</t>
  </si>
  <si>
    <t>m.kysylov@criteo.com</t>
  </si>
  <si>
    <t>m.kysylov</t>
  </si>
  <si>
    <t>winstonq@hotpads.com</t>
  </si>
  <si>
    <t>winstonq</t>
  </si>
  <si>
    <t>hotpads</t>
  </si>
  <si>
    <t>augustina.ragwitz@ibm.com</t>
  </si>
  <si>
    <t>augustina.ragwitz</t>
  </si>
  <si>
    <t>jbeal@pinterest.com</t>
  </si>
  <si>
    <t>jbeal</t>
  </si>
  <si>
    <t>pinterest</t>
  </si>
  <si>
    <t>dsc@dosc.net</t>
  </si>
  <si>
    <t>dsc</t>
  </si>
  <si>
    <t>dosc</t>
  </si>
  <si>
    <t>zhanghe5678@163.com</t>
  </si>
  <si>
    <t>zhanghe5678</t>
  </si>
  <si>
    <t>ahsu@linkedin.com</t>
  </si>
  <si>
    <t>ahsu</t>
  </si>
  <si>
    <t>subin@apache.org</t>
  </si>
  <si>
    <t>subin</t>
  </si>
  <si>
    <t>avasid@bt.iitr.ac.in</t>
  </si>
  <si>
    <t>avasid</t>
  </si>
  <si>
    <t>rsnk96@users.noreply.github.com</t>
  </si>
  <si>
    <t>rsnk96</t>
  </si>
  <si>
    <t>jerry900052@gmail.com</t>
  </si>
  <si>
    <t>jerry900052</t>
  </si>
  <si>
    <t>vincentzhaorz@gmail.com</t>
  </si>
  <si>
    <t>vincentzhaorz</t>
  </si>
  <si>
    <t>robert@semmle.com</t>
  </si>
  <si>
    <t>semmle</t>
  </si>
  <si>
    <t>Redor@users.noreply.github.com</t>
  </si>
  <si>
    <t>Redor</t>
  </si>
  <si>
    <t>ablenesi@gmail.com</t>
  </si>
  <si>
    <t>ablenesi</t>
  </si>
  <si>
    <t>pengchong@google.com</t>
  </si>
  <si>
    <t>pengchong</t>
  </si>
  <si>
    <t>281327827@qq.com</t>
  </si>
  <si>
    <t>hanton.yang@gmail.com</t>
  </si>
  <si>
    <t>hanton.yang</t>
  </si>
  <si>
    <t>kevd1337@gmail.com</t>
  </si>
  <si>
    <t>kevd1337</t>
  </si>
  <si>
    <t>archimist.linux@gmail.com</t>
  </si>
  <si>
    <t>archimist.linux</t>
  </si>
  <si>
    <t>38679561+Yoshimitsu@users.noreply.github.com</t>
  </si>
  <si>
    <t>38679561+Yoshimitsu</t>
  </si>
  <si>
    <t>eddie.forgacs@gmail.com</t>
  </si>
  <si>
    <t>eddie.forgacs</t>
  </si>
  <si>
    <t>jason.zavaglia@gmail.com</t>
  </si>
  <si>
    <t>jason.zavaglia</t>
  </si>
  <si>
    <t>albertguotrs@hotmail.com</t>
  </si>
  <si>
    <t>albertguotrs</t>
  </si>
  <si>
    <t>amanpatel599@gmail.com</t>
  </si>
  <si>
    <t>amanpatel599</t>
  </si>
  <si>
    <t>jiang_xinan@163.com</t>
  </si>
  <si>
    <t>jiang_xinan</t>
  </si>
  <si>
    <t>bryan830401@gmail.com</t>
  </si>
  <si>
    <t>bryan830401</t>
  </si>
  <si>
    <t>xingao267@users.noreply.github.com</t>
  </si>
  <si>
    <t>xingao267</t>
  </si>
  <si>
    <t>ambesh1969@gmail.com</t>
  </si>
  <si>
    <t>ambesh1969</t>
  </si>
  <si>
    <t>peng.sun@amd.com</t>
  </si>
  <si>
    <t>irenedea@fb.com</t>
  </si>
  <si>
    <t>irenedea</t>
  </si>
  <si>
    <t>monklof@gmail.com</t>
  </si>
  <si>
    <t>monklof</t>
  </si>
  <si>
    <t>donovanOng@users.noreply.github.com</t>
  </si>
  <si>
    <t>donovanOng</t>
  </si>
  <si>
    <t>chie-hayashida@cookpad.com</t>
  </si>
  <si>
    <t>chie-hayashida</t>
  </si>
  <si>
    <t>cookpad</t>
  </si>
  <si>
    <t>shohinighosh@google.com</t>
  </si>
  <si>
    <t>shohinighosh</t>
  </si>
  <si>
    <t>blairhan0126@gmail.com</t>
  </si>
  <si>
    <t>blairhan0126</t>
  </si>
  <si>
    <t>viktor.gal@maeth.com</t>
  </si>
  <si>
    <t>viktor.gal</t>
  </si>
  <si>
    <t>maeth</t>
  </si>
  <si>
    <t>silverlock@google.com</t>
  </si>
  <si>
    <t>silverlock</t>
  </si>
  <si>
    <t>sam.remedios@gmail.com</t>
  </si>
  <si>
    <t>sam.remedios</t>
  </si>
  <si>
    <t>arpitdec5@gmail.com</t>
  </si>
  <si>
    <t>arpitdec5</t>
  </si>
  <si>
    <t>fcbruce8964@gmail.com</t>
  </si>
  <si>
    <t>fcbruce8964</t>
  </si>
  <si>
    <t>npradhan@uber.com</t>
  </si>
  <si>
    <t>npradhan</t>
  </si>
  <si>
    <t>sdamani.gt@gmail.com</t>
  </si>
  <si>
    <t>sdamani.gt</t>
  </si>
  <si>
    <t>rky0930@gmail.com</t>
  </si>
  <si>
    <t>rky0930</t>
  </si>
  <si>
    <t>jtressle@gmail.com</t>
  </si>
  <si>
    <t>jtressle</t>
  </si>
  <si>
    <t>15271992+drewszurko@users.noreply.github.com</t>
  </si>
  <si>
    <t>15271992+drewszurko</t>
  </si>
  <si>
    <t>b-carter@users.noreply.github.com</t>
  </si>
  <si>
    <t>b-carter</t>
  </si>
  <si>
    <t>paige.bailey@alumni.rice.edu</t>
  </si>
  <si>
    <t>paige.bailey</t>
  </si>
  <si>
    <t>andreas.eberle@arconsis.com</t>
  </si>
  <si>
    <t>andreas.eberle</t>
  </si>
  <si>
    <t>Arconsis</t>
  </si>
  <si>
    <t>jackode@users.noreply.github.com</t>
  </si>
  <si>
    <t>jackode</t>
  </si>
  <si>
    <t>mike@arpaia.co</t>
  </si>
  <si>
    <t>melissagrueter@fb.com</t>
  </si>
  <si>
    <t>melissagrueter</t>
  </si>
  <si>
    <t>trevoraidanmorris@gmail.com</t>
  </si>
  <si>
    <t>trevoraidanmorris</t>
  </si>
  <si>
    <t>ngimelshein@nvidia.com</t>
  </si>
  <si>
    <t>ngimelshein</t>
  </si>
  <si>
    <t>zjjott@gmail.com</t>
  </si>
  <si>
    <t>zjjott</t>
  </si>
  <si>
    <t>5284924+csukuangfj@users.noreply.github.com</t>
  </si>
  <si>
    <t>5284924+csukuangfj</t>
  </si>
  <si>
    <t>marcogaido91@gmail.com</t>
  </si>
  <si>
    <t>marcogaido91</t>
  </si>
  <si>
    <t>guptarohit@users.noreply.github.com</t>
  </si>
  <si>
    <t>guptarohit</t>
  </si>
  <si>
    <t>sethtroisi@google.com</t>
  </si>
  <si>
    <t>sethtroisi</t>
  </si>
  <si>
    <t>2413373+jquadrino@users.noreply.github.com</t>
  </si>
  <si>
    <t>2413373+jquadrino</t>
  </si>
  <si>
    <t>jonathan5kyl@gmail.com</t>
  </si>
  <si>
    <t>jonathan5kyl</t>
  </si>
  <si>
    <t>alex.guohan1106@gmail.com</t>
  </si>
  <si>
    <t>alex.guohan1106</t>
  </si>
  <si>
    <t>dan@lazewatsky.com</t>
  </si>
  <si>
    <t>ashahba@users.noreply.github.com</t>
  </si>
  <si>
    <t>ashahba</t>
  </si>
  <si>
    <t>khodges42@gmail.com</t>
  </si>
  <si>
    <t>khodges42</t>
  </si>
  <si>
    <t>zlat1997@gmail.com</t>
  </si>
  <si>
    <t>zlat1997</t>
  </si>
  <si>
    <t>41990276+guoguo11191@users.noreply.github.com</t>
  </si>
  <si>
    <t>41990276+guoguo11191</t>
  </si>
  <si>
    <t>819123722@qq.com</t>
  </si>
  <si>
    <t>4613488+DecentGradient@users.noreply.github.com</t>
  </si>
  <si>
    <t>4613488+DecentGradient</t>
  </si>
  <si>
    <t>flemke.dev@gmail.com</t>
  </si>
  <si>
    <t>flemke.dev</t>
  </si>
  <si>
    <t>yijinliu@gmail.com</t>
  </si>
  <si>
    <t>yijinliu</t>
  </si>
  <si>
    <t>mike-holcomb@users.noreply.github.com</t>
  </si>
  <si>
    <t>mike-holcomb</t>
  </si>
  <si>
    <t>32396311+miguelmorin@users.noreply.github.com</t>
  </si>
  <si>
    <t>32396311+miguelmorin</t>
  </si>
  <si>
    <t>mdrozdowski@nvidia.com</t>
  </si>
  <si>
    <t>mdrozdowski</t>
  </si>
  <si>
    <t>sdeoras@gmail.com</t>
  </si>
  <si>
    <t>sdeoras</t>
  </si>
  <si>
    <t>wanywhn@qq.com</t>
  </si>
  <si>
    <t>wanywhn</t>
  </si>
  <si>
    <t>ilangokul@gmail.com</t>
  </si>
  <si>
    <t>ilangokul</t>
  </si>
  <si>
    <t>phya.ktaebum@gmail.com</t>
  </si>
  <si>
    <t>phya.ktaebum</t>
  </si>
  <si>
    <t>adam@signal11.com</t>
  </si>
  <si>
    <t>lordpizza11@gmail.com</t>
  </si>
  <si>
    <t>lordpizza11</t>
  </si>
  <si>
    <t>laurentlb@gmail.com</t>
  </si>
  <si>
    <t>laurentlb</t>
  </si>
  <si>
    <t>contact@tiger-222.fr</t>
  </si>
  <si>
    <t>cs15btech11043@iith.ac.in</t>
  </si>
  <si>
    <t>cs15btech11043</t>
  </si>
  <si>
    <t>marcia93@bu.edu</t>
  </si>
  <si>
    <t>marcia93</t>
  </si>
  <si>
    <t>bu</t>
  </si>
  <si>
    <t>vitoralves842@gmail.com</t>
  </si>
  <si>
    <t>vitoralves842</t>
  </si>
  <si>
    <t>innovimax@gmail.com</t>
  </si>
  <si>
    <t>innovimax</t>
  </si>
  <si>
    <t>thornton.tn@gmail.com</t>
  </si>
  <si>
    <t>thornton.tn</t>
  </si>
  <si>
    <t>jquadrin@gmail.com</t>
  </si>
  <si>
    <t>jquadrin</t>
  </si>
  <si>
    <t>luckyweijie@gmail.com</t>
  </si>
  <si>
    <t>luckyweijie</t>
  </si>
  <si>
    <t>stevelang789@users.noreply.github.com</t>
  </si>
  <si>
    <t>stevelang789</t>
  </si>
  <si>
    <t>federico.martinezlopez@epfl.ch</t>
  </si>
  <si>
    <t>federico.martinezlopez</t>
  </si>
  <si>
    <t>epfl</t>
  </si>
  <si>
    <t>gusdud1500@gmail.com</t>
  </si>
  <si>
    <t>gusdud1500</t>
  </si>
  <si>
    <t>sungyuk@gmail.com</t>
  </si>
  <si>
    <t>sungyuk</t>
  </si>
  <si>
    <t>ingramds@appstate.edu</t>
  </si>
  <si>
    <t>ingramds</t>
  </si>
  <si>
    <t>Appstate</t>
  </si>
  <si>
    <t>lxl910915@gmail.com</t>
  </si>
  <si>
    <t>lxl910915</t>
  </si>
  <si>
    <t>vanderliang@gmail.com</t>
  </si>
  <si>
    <t>vanderliang</t>
  </si>
  <si>
    <t>vidakdk@gmail.com</t>
  </si>
  <si>
    <t>vidakdk</t>
  </si>
  <si>
    <t>vidak.kazic@hilda.awesome.ness</t>
  </si>
  <si>
    <t>vidak.kazic</t>
  </si>
  <si>
    <t>younes.khoudli@epita.fr</t>
  </si>
  <si>
    <t>younes.khoudli</t>
  </si>
  <si>
    <t>leongrch@gmail.com</t>
  </si>
  <si>
    <t>leongrch</t>
  </si>
  <si>
    <t>shiqing.fsq@alibaba-inc.com</t>
  </si>
  <si>
    <t>shiqing.fsq</t>
  </si>
  <si>
    <t>benjamintanweihao@gmail.com</t>
  </si>
  <si>
    <t>benjamintanweihao</t>
  </si>
  <si>
    <t>qiezi@pinduoduo.com</t>
  </si>
  <si>
    <t>qiezi</t>
  </si>
  <si>
    <t>pinduoduo</t>
  </si>
  <si>
    <t>chenfeiyang@bjfu.edu.cn</t>
  </si>
  <si>
    <t>chenfeiyang</t>
  </si>
  <si>
    <t>Bjfu</t>
  </si>
  <si>
    <t>ananthr@google.com</t>
  </si>
  <si>
    <t>ananthr</t>
  </si>
  <si>
    <t>castielwongsysu@gmail.com</t>
  </si>
  <si>
    <t>castielwongsysu</t>
  </si>
  <si>
    <t>sifreed77@gmail.com</t>
  </si>
  <si>
    <t>sifreed77</t>
  </si>
  <si>
    <t>yuchunlong111@gmail.com</t>
  </si>
  <si>
    <t>yuchunlong111</t>
  </si>
  <si>
    <t>sbadyals@gmail.com</t>
  </si>
  <si>
    <t>sbadyals</t>
  </si>
  <si>
    <t>yashgaurkar@gmail.com</t>
  </si>
  <si>
    <t>yashgaurkar</t>
  </si>
  <si>
    <t>pyybor@gmail.com</t>
  </si>
  <si>
    <t>pyybor</t>
  </si>
  <si>
    <t>enwplan001@163.com</t>
  </si>
  <si>
    <t>enwplan001</t>
  </si>
  <si>
    <t>officialdanielhunter@gmail.com</t>
  </si>
  <si>
    <t>officialdanielhunter</t>
  </si>
  <si>
    <t>fei.hu1@ibm.com</t>
  </si>
  <si>
    <t>fei.hu1</t>
  </si>
  <si>
    <t>fcole@google.com</t>
  </si>
  <si>
    <t>fcole</t>
  </si>
  <si>
    <t>dianlujitao@lineageos.org</t>
  </si>
  <si>
    <t>dianlujitao</t>
  </si>
  <si>
    <t>lineageos</t>
  </si>
  <si>
    <t>dianlujitao@gmail.com</t>
  </si>
  <si>
    <t>mateuszchudyk@gmail.com</t>
  </si>
  <si>
    <t>mateuszchudyk</t>
  </si>
  <si>
    <t>amalykhgh@gmail.com</t>
  </si>
  <si>
    <t>amalykhgh</t>
  </si>
  <si>
    <t>pmgdeb@gmail.com</t>
  </si>
  <si>
    <t>pmgdeb</t>
  </si>
  <si>
    <t>ouwen.oh@gmail.com</t>
  </si>
  <si>
    <t>ouwen.oh</t>
  </si>
  <si>
    <t>palmer.lao@gmail.com</t>
  </si>
  <si>
    <t>palmer.lao</t>
  </si>
  <si>
    <t>jpds@protonmail.com</t>
  </si>
  <si>
    <t>jpds</t>
  </si>
  <si>
    <t>bfinan@iastate.edu</t>
  </si>
  <si>
    <t>bfinan</t>
  </si>
  <si>
    <t>iastate</t>
  </si>
  <si>
    <t>pclove1@gmail.com</t>
  </si>
  <si>
    <t>pclove1</t>
  </si>
  <si>
    <t>williamzhang3@gmail.com</t>
  </si>
  <si>
    <t>williamzhang3</t>
  </si>
  <si>
    <t>shafi.dayatar@gmail.com</t>
  </si>
  <si>
    <t>shafi.dayatar</t>
  </si>
  <si>
    <t>wimacod@gmail.com</t>
  </si>
  <si>
    <t>wimacod</t>
  </si>
  <si>
    <t>42055825+rachellj218@users.noreply.github.com</t>
  </si>
  <si>
    <t>42055825+rachellj218</t>
  </si>
  <si>
    <t>scott.leishman@intel.com</t>
  </si>
  <si>
    <t>siege@google.com</t>
  </si>
  <si>
    <t>siege</t>
  </si>
  <si>
    <t>30300826+fdxmw@users.noreply.github.com</t>
  </si>
  <si>
    <t>30300826+fdxmw</t>
  </si>
  <si>
    <t>akshaym@users.noreply.github.com</t>
  </si>
  <si>
    <t>akshaym</t>
  </si>
  <si>
    <t>tingbopku@gmail.com</t>
  </si>
  <si>
    <t>tingbopku</t>
  </si>
  <si>
    <t>andrewbanchich@gmail.com</t>
  </si>
  <si>
    <t>andrewbanchich</t>
  </si>
  <si>
    <t>joon0351@gmail.com</t>
  </si>
  <si>
    <t>joon0351</t>
  </si>
  <si>
    <t>joe@kheironmed.com</t>
  </si>
  <si>
    <t>kheironmed</t>
  </si>
  <si>
    <t>airlied@redhat.com</t>
  </si>
  <si>
    <t>airlied</t>
  </si>
  <si>
    <t>redhat</t>
  </si>
  <si>
    <t>debidatta@google.com</t>
  </si>
  <si>
    <t>debidatta</t>
  </si>
  <si>
    <t>dougal@gmail.com</t>
  </si>
  <si>
    <t>dougal</t>
  </si>
  <si>
    <t>rfernand@microsoft.com</t>
  </si>
  <si>
    <t>rfernand</t>
  </si>
  <si>
    <t>elms@freshred.net</t>
  </si>
  <si>
    <t>elms</t>
  </si>
  <si>
    <t>cncng@microsoft.com</t>
  </si>
  <si>
    <t>cncng</t>
  </si>
  <si>
    <t>Shujian2015@users.noreply.github.com</t>
  </si>
  <si>
    <t>Shujian2015</t>
  </si>
  <si>
    <t>jennyesahng@gmail.com</t>
  </si>
  <si>
    <t>jennyesahng</t>
  </si>
  <si>
    <t>rasmi@google.com</t>
  </si>
  <si>
    <t>rasmi</t>
  </si>
  <si>
    <t>vitalii.stoianov.ua@gmail.com</t>
  </si>
  <si>
    <t>vitalii.stoianov.ua</t>
  </si>
  <si>
    <t>4116408+joba01@users.noreply.github.com</t>
  </si>
  <si>
    <t>4116408+joba01</t>
  </si>
  <si>
    <t>edvard.fagerholm@gmail.com</t>
  </si>
  <si>
    <t>edvard.fagerholm</t>
  </si>
  <si>
    <t>jhomer@jasoftware.com</t>
  </si>
  <si>
    <t>jhomer</t>
  </si>
  <si>
    <t>viniciuscmgo@gmail.com</t>
  </si>
  <si>
    <t>viniciuscmgo</t>
  </si>
  <si>
    <t>admin@rogerx.me</t>
  </si>
  <si>
    <t>sangjung.woo@samsung.com</t>
  </si>
  <si>
    <t>sangjung.woo</t>
  </si>
  <si>
    <t>ming.george.li@gmail.com</t>
  </si>
  <si>
    <t>ming.george.li</t>
  </si>
  <si>
    <t>keishi.hattori@gmail.com</t>
  </si>
  <si>
    <t>keishi.hattori</t>
  </si>
  <si>
    <t>Singh.santosh2702@gmail.com</t>
  </si>
  <si>
    <t>Singh.santosh2702</t>
  </si>
  <si>
    <t>zaf@google.com</t>
  </si>
  <si>
    <t>zaf</t>
  </si>
  <si>
    <t>git@aapelivuorinen.com</t>
  </si>
  <si>
    <t>ericzhang0619@gmail.com</t>
  </si>
  <si>
    <t>ericzhang0619</t>
  </si>
  <si>
    <t>reeze@php.net</t>
  </si>
  <si>
    <t>reeze</t>
  </si>
  <si>
    <t>reeze.xia@gmail.com</t>
  </si>
  <si>
    <t>reeze.xia</t>
  </si>
  <si>
    <t>niall.moran@gmail.com</t>
  </si>
  <si>
    <t>niall.moran</t>
  </si>
  <si>
    <t>weidan.kong@alibaba-inc.com</t>
  </si>
  <si>
    <t>weidan.kong</t>
  </si>
  <si>
    <t>noms@google.com</t>
  </si>
  <si>
    <t>noms</t>
  </si>
  <si>
    <t>reyespue@gmail.com</t>
  </si>
  <si>
    <t>reyespue</t>
  </si>
  <si>
    <t>silent56@sjtu.edu.cn</t>
  </si>
  <si>
    <t>silent56</t>
  </si>
  <si>
    <t>sjtu</t>
  </si>
  <si>
    <t>zhang.xiaopei@live.cn</t>
  </si>
  <si>
    <t>zhang.xiaopei</t>
  </si>
  <si>
    <t>shuhei.fujiwara@gmail.com</t>
  </si>
  <si>
    <t>shuhei.fujiwara</t>
  </si>
  <si>
    <t>johannes.schmitz1@gmail.com</t>
  </si>
  <si>
    <t>johannes.schmitz1</t>
  </si>
  <si>
    <t>david.anthony.lei@gmail.com</t>
  </si>
  <si>
    <t>david.anthony.lei</t>
  </si>
  <si>
    <t>perez.aron@gmail.com</t>
  </si>
  <si>
    <t>perez.aron</t>
  </si>
  <si>
    <t>ghostplant@qq.com</t>
  </si>
  <si>
    <t>ghostplant</t>
  </si>
  <si>
    <t>mattedgod@gmail.com</t>
  </si>
  <si>
    <t>mattedgod</t>
  </si>
  <si>
    <t>ksitht@gmail.com</t>
  </si>
  <si>
    <t>ksitht</t>
  </si>
  <si>
    <t>shaohua.zhang@intel.com</t>
  </si>
  <si>
    <t>shaohua.zhang</t>
  </si>
  <si>
    <t>guohua@microsoft.com</t>
  </si>
  <si>
    <t>guohua</t>
  </si>
  <si>
    <t>sam.yuen@foxmail.com</t>
  </si>
  <si>
    <t>sam.yuen</t>
  </si>
  <si>
    <t>Avijit.Chakraborty@intel.com</t>
  </si>
  <si>
    <t>Avijit.Chakraborty</t>
  </si>
  <si>
    <t>zhangjie1128@gmail.com</t>
  </si>
  <si>
    <t>zhangjie1128</t>
  </si>
  <si>
    <t>anirudhkoul@yahoo.com</t>
  </si>
  <si>
    <t>anirudhkoul</t>
  </si>
  <si>
    <t>miguelmota2@gmail.com</t>
  </si>
  <si>
    <t>miguelmota2</t>
  </si>
  <si>
    <t>eva.aeolus@gmail.com</t>
  </si>
  <si>
    <t>eva.aeolus</t>
  </si>
  <si>
    <t>msca8h@naver.com</t>
  </si>
  <si>
    <t>msca8h</t>
  </si>
  <si>
    <t>wangzhe258369@gmail.com</t>
  </si>
  <si>
    <t>wangzhe258369</t>
  </si>
  <si>
    <t>jackonan@users.noreply.github.com</t>
  </si>
  <si>
    <t>jackonan</t>
  </si>
  <si>
    <t>vismut318@gmail.com</t>
  </si>
  <si>
    <t>vismut318</t>
  </si>
  <si>
    <t>zjdxwwx@163.com</t>
  </si>
  <si>
    <t>zjdxwwx</t>
  </si>
  <si>
    <t>wim.glenn@gmail.com</t>
  </si>
  <si>
    <t>wim.glenn</t>
  </si>
  <si>
    <t>kekeblom@gmail.com</t>
  </si>
  <si>
    <t>kekeblom</t>
  </si>
  <si>
    <t>jijupax@gmail.com</t>
  </si>
  <si>
    <t>jijupax</t>
  </si>
  <si>
    <t>pmkalshetti@users.noreply.github.com</t>
  </si>
  <si>
    <t>pmkalshetti</t>
  </si>
  <si>
    <t>sadatnfs@uw.edu</t>
  </si>
  <si>
    <t>sadatnfs</t>
  </si>
  <si>
    <t>uw</t>
  </si>
  <si>
    <t>tianyapiaozi@126.com</t>
  </si>
  <si>
    <t>tianyapiaozi</t>
  </si>
  <si>
    <t>rsilveira@deseretdigital.com</t>
  </si>
  <si>
    <t>rsilveira</t>
  </si>
  <si>
    <t>deseretdigital</t>
  </si>
  <si>
    <t>lilb.edwin@gmail.com</t>
  </si>
  <si>
    <t>lilb.edwin</t>
  </si>
  <si>
    <t>pradeepbs@gmail.com</t>
  </si>
  <si>
    <t>pradeepbs</t>
  </si>
  <si>
    <t>kjopek@gmail.com</t>
  </si>
  <si>
    <t>kjopek</t>
  </si>
  <si>
    <t>tobiasshapinsky@gmail.com</t>
  </si>
  <si>
    <t>tobiasshapinsky</t>
  </si>
  <si>
    <t>nitish@minio.io</t>
  </si>
  <si>
    <t>nitish</t>
  </si>
  <si>
    <t>minio</t>
  </si>
  <si>
    <t>bjorn-moholt@hotmail.com</t>
  </si>
  <si>
    <t>bjorn-moholt</t>
  </si>
  <si>
    <t>ginns.aw@gmail.com</t>
  </si>
  <si>
    <t>ginns.aw</t>
  </si>
  <si>
    <t>32763586+henry860916@users.noreply.github.com</t>
  </si>
  <si>
    <t>32763586+henry860916</t>
  </si>
  <si>
    <t>mahmoudaslan@outlook.com</t>
  </si>
  <si>
    <t>mahmoudaslan</t>
  </si>
  <si>
    <t>lygztq@sjtu.edu.cn</t>
  </si>
  <si>
    <t>lygztq</t>
  </si>
  <si>
    <t>pj-parag@users.noreply.github.com</t>
  </si>
  <si>
    <t>pj-parag</t>
  </si>
  <si>
    <t>nlopezgi@gmail.com</t>
  </si>
  <si>
    <t>nlopezgi</t>
  </si>
  <si>
    <t>dandv@google.com</t>
  </si>
  <si>
    <t>dandv</t>
  </si>
  <si>
    <t>yiyu@ymail.com</t>
  </si>
  <si>
    <t>yiyu</t>
  </si>
  <si>
    <t>jvmirca@gmail.com</t>
  </si>
  <si>
    <t>jvmirca</t>
  </si>
  <si>
    <t>yiyu@google.com</t>
  </si>
  <si>
    <t>rav@spotify.com</t>
  </si>
  <si>
    <t>rav</t>
  </si>
  <si>
    <t>jongmin@dropbox.com</t>
  </si>
  <si>
    <t>jongmin</t>
  </si>
  <si>
    <t>5219726+patzm@users.noreply.github.com</t>
  </si>
  <si>
    <t>5219726+patzm</t>
  </si>
  <si>
    <t>danosipov@users.noreply.github.com</t>
  </si>
  <si>
    <t>danosipov</t>
  </si>
  <si>
    <t>t_3521@yahoo.com</t>
  </si>
  <si>
    <t>t_3521</t>
  </si>
  <si>
    <t>brennan.saeta@gmail.com</t>
  </si>
  <si>
    <t>brennan.saeta</t>
  </si>
  <si>
    <t>chinmay.das@aptusdatalabs.com</t>
  </si>
  <si>
    <t>chinmay.das</t>
  </si>
  <si>
    <t>Aptusdatalabs</t>
  </si>
  <si>
    <t>stevenschmatz@users.noreply.github.com</t>
  </si>
  <si>
    <t>stevenschmatz</t>
  </si>
  <si>
    <t>taras.sereda@ring.com</t>
  </si>
  <si>
    <t>taras.sereda</t>
  </si>
  <si>
    <t>ring</t>
  </si>
  <si>
    <t>jason.taylor@algolux.com</t>
  </si>
  <si>
    <t>jason.taylor</t>
  </si>
  <si>
    <t>Algolux</t>
  </si>
  <si>
    <t>surry@users.noreply.github.com</t>
  </si>
  <si>
    <t>surry</t>
  </si>
  <si>
    <t>fortuin@users.noreply.github.com</t>
  </si>
  <si>
    <t>fortuin</t>
  </si>
  <si>
    <t>emanuele@ballarin.cc</t>
  </si>
  <si>
    <t>emanuele</t>
  </si>
  <si>
    <t>Madiyar92@gmail.com</t>
  </si>
  <si>
    <t>Madiyar92</t>
  </si>
  <si>
    <t>sriram.tutu@gmail.com</t>
  </si>
  <si>
    <t>sriram.tutu</t>
  </si>
  <si>
    <t>seanli9jan@gmail.com</t>
  </si>
  <si>
    <t>seanli9jan</t>
  </si>
  <si>
    <t>myaraben@gmail.com</t>
  </si>
  <si>
    <t>myaraben</t>
  </si>
  <si>
    <t>516756148@qq.com</t>
  </si>
  <si>
    <t>kinman.lam@gmail.com</t>
  </si>
  <si>
    <t>kinman.lam</t>
  </si>
  <si>
    <t>klambauer@bioinf.jku.at</t>
  </si>
  <si>
    <t>klambauer</t>
  </si>
  <si>
    <t>Bioinf</t>
  </si>
  <si>
    <t>jeremy.sawruk@gmail.com</t>
  </si>
  <si>
    <t>jeremy.sawruk</t>
  </si>
  <si>
    <t>FlashTek@users.noreply.github.com</t>
  </si>
  <si>
    <t>FlashTek</t>
  </si>
  <si>
    <t>syslogic@users.noreply.github.com</t>
  </si>
  <si>
    <t>syslogic</t>
  </si>
  <si>
    <t>jessebenson@users.noreply.github.com</t>
  </si>
  <si>
    <t>jessebenson</t>
  </si>
  <si>
    <t>me@guido.io</t>
  </si>
  <si>
    <t>l.voegtle@gmx.de</t>
  </si>
  <si>
    <t>l.voegtle</t>
  </si>
  <si>
    <t>braincoder@aliyun.com</t>
  </si>
  <si>
    <t>braincoder</t>
  </si>
  <si>
    <t>zier.brian@gmail.com</t>
  </si>
  <si>
    <t>zier.brian</t>
  </si>
  <si>
    <t>aegirxx@googlemail.com</t>
  </si>
  <si>
    <t>aegirxx</t>
  </si>
  <si>
    <t>yilinliu@tencent.com</t>
  </si>
  <si>
    <t>yilinliu</t>
  </si>
  <si>
    <t>sdalbsoo@gmail.com</t>
  </si>
  <si>
    <t>sdalbsoo</t>
  </si>
  <si>
    <t>fbcotter90@gmail.com</t>
  </si>
  <si>
    <t>fbcotter90</t>
  </si>
  <si>
    <t>edkins.sarah@gmail.com</t>
  </si>
  <si>
    <t>edkins.sarah</t>
  </si>
  <si>
    <t>37718198+soonson@users.noreply.github.com</t>
  </si>
  <si>
    <t>37718198+soonson</t>
  </si>
  <si>
    <t>jke0zq@gmail.com</t>
  </si>
  <si>
    <t>jke0zq</t>
  </si>
  <si>
    <t>882745+brunomorishita@users.noreply.github.com</t>
  </si>
  <si>
    <t>882745+brunomorishita</t>
  </si>
  <si>
    <t>jdgumz@users.noreply.github.com</t>
  </si>
  <si>
    <t>jdgumz</t>
  </si>
  <si>
    <t>mail@musicallyut.in</t>
  </si>
  <si>
    <t>pillarpond@gmail.com</t>
  </si>
  <si>
    <t>pillarpond</t>
  </si>
  <si>
    <t>achalshah20@gmail.com</t>
  </si>
  <si>
    <t>achalshah20</t>
  </si>
  <si>
    <t>Patrick.Hidringer@gmail.com</t>
  </si>
  <si>
    <t>Patrick.Hidringer</t>
  </si>
  <si>
    <t>tucan.dev@gmail.com</t>
  </si>
  <si>
    <t>tucan.dev</t>
  </si>
  <si>
    <t>a.petrova.ds@gmail.com</t>
  </si>
  <si>
    <t>a.petrova.ds</t>
  </si>
  <si>
    <t>yogiadi@users.noreply.github.com</t>
  </si>
  <si>
    <t>yogiadi</t>
  </si>
  <si>
    <t>nnadeau@users.noreply.github.com</t>
  </si>
  <si>
    <t>nnadeau</t>
  </si>
  <si>
    <t>mostafa.alaa.gharieb@gmail.com</t>
  </si>
  <si>
    <t>mostafa.alaa.gharieb</t>
  </si>
  <si>
    <t>rmanyari10@gmail.com</t>
  </si>
  <si>
    <t>rmanyari10</t>
  </si>
  <si>
    <t>stefan@schweter.it</t>
  </si>
  <si>
    <t>jiri.simsa@gmail.com</t>
  </si>
  <si>
    <t>jiri.simsa</t>
  </si>
  <si>
    <t>filipe.jesus@usp.br</t>
  </si>
  <si>
    <t>filipe.jesus</t>
  </si>
  <si>
    <t>usp</t>
  </si>
  <si>
    <t>32556631+anj-s@users.noreply.github.com</t>
  </si>
  <si>
    <t>32556631+anj-s</t>
  </si>
  <si>
    <t>saginadir@gmail.com</t>
  </si>
  <si>
    <t>saginadir</t>
  </si>
  <si>
    <t>gpx1000@gmail.com</t>
  </si>
  <si>
    <t>gpx1000</t>
  </si>
  <si>
    <t>tweicc@gmail.com</t>
  </si>
  <si>
    <t>tweicc</t>
  </si>
  <si>
    <t>b.heden@gmail.com</t>
  </si>
  <si>
    <t>b.heden</t>
  </si>
  <si>
    <t>thiago.nobayashi@gmail.com</t>
  </si>
  <si>
    <t>thiago.nobayashi</t>
  </si>
  <si>
    <t>30820468+jerry4897@users.noreply.github.com</t>
  </si>
  <si>
    <t>30820468+jerry4897</t>
  </si>
  <si>
    <t>jiajia.li@intel.com</t>
  </si>
  <si>
    <t>jiajia.li</t>
  </si>
  <si>
    <t>langner@users.noreply.github.com</t>
  </si>
  <si>
    <t>langner</t>
  </si>
  <si>
    <t>ntenenz@users.noreply.github.com</t>
  </si>
  <si>
    <t>ntenenz</t>
  </si>
  <si>
    <t>sbsends@gmail.com</t>
  </si>
  <si>
    <t>sbsends</t>
  </si>
  <si>
    <t>eqy@cs.washington.edu</t>
  </si>
  <si>
    <t>eqy</t>
  </si>
  <si>
    <t>dthkao@gmail.com</t>
  </si>
  <si>
    <t>dthkao</t>
  </si>
  <si>
    <t>m_azimi@web.de</t>
  </si>
  <si>
    <t>m_azimi</t>
  </si>
  <si>
    <t>yh.wang@ibm.com</t>
  </si>
  <si>
    <t>yh.wang</t>
  </si>
  <si>
    <t>cybertk@users.noreply.github.com</t>
  </si>
  <si>
    <t>cybertk</t>
  </si>
  <si>
    <t>shaoning.zeng@gmail.com</t>
  </si>
  <si>
    <t>shaoning.zeng</t>
  </si>
  <si>
    <t>seungjooli@snu.ac.kr</t>
  </si>
  <si>
    <t>seungjooli</t>
  </si>
  <si>
    <t>mixal.turek@gmail.com</t>
  </si>
  <si>
    <t>mixal.turek</t>
  </si>
  <si>
    <t>37008274+tamimaddari82@users.noreply.github.com</t>
  </si>
  <si>
    <t>37008274+tamimaddari82</t>
  </si>
  <si>
    <t>ivan@ivanzhang.ca</t>
  </si>
  <si>
    <t>daioptych@gmail.com</t>
  </si>
  <si>
    <t>daioptych</t>
  </si>
  <si>
    <t>niioaddy@live.com</t>
  </si>
  <si>
    <t>niioaddy</t>
  </si>
  <si>
    <t>thom@codehawks.eu</t>
  </si>
  <si>
    <t>thom</t>
  </si>
  <si>
    <t>tiangolo@gmail.com</t>
  </si>
  <si>
    <t>tiangolo</t>
  </si>
  <si>
    <t>chenchuanyinuestc@gmail.com</t>
  </si>
  <si>
    <t>chenchuanyinuestc</t>
  </si>
  <si>
    <t>msofka@4catalyzer.com</t>
  </si>
  <si>
    <t>msofka</t>
  </si>
  <si>
    <t>4catalyzer</t>
  </si>
  <si>
    <t>nburn42@gmail.com</t>
  </si>
  <si>
    <t>nburn42</t>
  </si>
  <si>
    <t>twairball@yahoo.com</t>
  </si>
  <si>
    <t>twairball</t>
  </si>
  <si>
    <t>hi@changkun.us</t>
  </si>
  <si>
    <t>naveenkumarmarri6014@gmail.com</t>
  </si>
  <si>
    <t>naveenkumarmarri6014</t>
  </si>
  <si>
    <t>max@maxis.me</t>
  </si>
  <si>
    <t>antolstan@gmail.com</t>
  </si>
  <si>
    <t>antolstan</t>
  </si>
  <si>
    <t>anton.matosov@gmail.com</t>
  </si>
  <si>
    <t>anton.matosov</t>
  </si>
  <si>
    <t>yashalk@amazon.com</t>
  </si>
  <si>
    <t>yashalk</t>
  </si>
  <si>
    <t>marvin.richter@me.com</t>
  </si>
  <si>
    <t>marvin.richter</t>
  </si>
  <si>
    <t>luziyuel@gmail.com</t>
  </si>
  <si>
    <t>luziyuel</t>
  </si>
  <si>
    <t>ankitgupta@alumni.harvard.edu</t>
  </si>
  <si>
    <t>ankitgupta</t>
  </si>
  <si>
    <t>Harvard</t>
  </si>
  <si>
    <t>tchugh@users.noreply.github.com</t>
  </si>
  <si>
    <t>tchugh</t>
  </si>
  <si>
    <t>Fnjn@users.noreply.github.com</t>
  </si>
  <si>
    <t>Fnjn</t>
  </si>
  <si>
    <t>yibrenth@gmail.com</t>
  </si>
  <si>
    <t>yibrenth</t>
  </si>
  <si>
    <t>agasy18@gmail.com</t>
  </si>
  <si>
    <t>agasy18</t>
  </si>
  <si>
    <t>me@giovanniterlingen.com</t>
  </si>
  <si>
    <t>dalmo.cirne@gmail.com</t>
  </si>
  <si>
    <t>dalmo.cirne</t>
  </si>
  <si>
    <t>ilikekjw@gmail.com</t>
  </si>
  <si>
    <t>ilikekjw</t>
  </si>
  <si>
    <t>xex2@cornell.edu</t>
  </si>
  <si>
    <t>xex2</t>
  </si>
  <si>
    <t>cornell</t>
  </si>
  <si>
    <t>arisliang@users.noreply.github.com</t>
  </si>
  <si>
    <t>arisliang</t>
  </si>
  <si>
    <t>kr-ish@users.noreply.github.com</t>
  </si>
  <si>
    <t>kr-ish</t>
  </si>
  <si>
    <t>gor.baghdasaryan0@gmail.com</t>
  </si>
  <si>
    <t>gor.baghdasaryan0</t>
  </si>
  <si>
    <t>eisenjulian@users.noreply.github.com</t>
  </si>
  <si>
    <t>eisenjulian</t>
  </si>
  <si>
    <t>m@mustafakasap.com</t>
  </si>
  <si>
    <t>yaox12@users.noreply.github.com</t>
  </si>
  <si>
    <t>yaox12</t>
  </si>
  <si>
    <t>animeshsk3@gmail.com</t>
  </si>
  <si>
    <t>animeshsk3</t>
  </si>
  <si>
    <t>jason@kwlabs.ca</t>
  </si>
  <si>
    <t>daniel@erenrich.net</t>
  </si>
  <si>
    <t>ryantimjohn@gmail.com</t>
  </si>
  <si>
    <t>ryantimjohn</t>
  </si>
  <si>
    <t>sibyjackgrove@gmail.com</t>
  </si>
  <si>
    <t>sibyjackgrove</t>
  </si>
  <si>
    <t>ipeirotis@gmail.com</t>
  </si>
  <si>
    <t>ipeirotis</t>
  </si>
  <si>
    <t>liyinhgqw@gmail.com</t>
  </si>
  <si>
    <t>liyinhgqw</t>
  </si>
  <si>
    <t>mmsun@foxmail.com</t>
  </si>
  <si>
    <t>mmsun</t>
  </si>
  <si>
    <t>june.one@kakaobrain.com</t>
  </si>
  <si>
    <t>june.one</t>
  </si>
  <si>
    <t>vihanjain.nsk@gmail.com</t>
  </si>
  <si>
    <t>vihanjain.nsk</t>
  </si>
  <si>
    <t>jin@users.noreply.github.com</t>
  </si>
  <si>
    <t>jin</t>
  </si>
  <si>
    <t>14131823+minggli@users.noreply.github.com</t>
  </si>
  <si>
    <t>14131823+minggli</t>
  </si>
  <si>
    <t>sanxiyn@gmail.com</t>
  </si>
  <si>
    <t>sanxiyn</t>
  </si>
  <si>
    <t>mbp@sourcefrog.net</t>
  </si>
  <si>
    <t>mbp</t>
  </si>
  <si>
    <t>halhorn@halmidi.com</t>
  </si>
  <si>
    <t>halhorn</t>
  </si>
  <si>
    <t>spivotron@gmail.com</t>
  </si>
  <si>
    <t>spivotron</t>
  </si>
  <si>
    <t>michaelchouqj@gmail.com</t>
  </si>
  <si>
    <t>michaelchouqj</t>
  </si>
  <si>
    <t>kdavis@mozilla.com</t>
  </si>
  <si>
    <t>kdavis</t>
  </si>
  <si>
    <t>namkam5@users.noreply.github.com</t>
  </si>
  <si>
    <t>namkam5</t>
  </si>
  <si>
    <t>don@codebad.com</t>
  </si>
  <si>
    <t>don</t>
  </si>
  <si>
    <t>seungil.you@gmail.com</t>
  </si>
  <si>
    <t>seungil.you</t>
  </si>
  <si>
    <t>cykustcc@users.noreply.github.com</t>
  </si>
  <si>
    <t>cykustcc</t>
  </si>
  <si>
    <t>d.dylan.g@gmail.com</t>
  </si>
  <si>
    <t>d.dylan.g</t>
  </si>
  <si>
    <t>mholzel@users.noreply.github.com</t>
  </si>
  <si>
    <t>mholzel</t>
  </si>
  <si>
    <t>matthieudelaro@users.noreply.github.com</t>
  </si>
  <si>
    <t>matthieudelaro</t>
  </si>
  <si>
    <t>lihc2012@gmail.com</t>
  </si>
  <si>
    <t>lihc2012</t>
  </si>
  <si>
    <t>35884075+lazypanda1@users.noreply.github.com</t>
  </si>
  <si>
    <t>35884075+lazypanda1</t>
  </si>
  <si>
    <t>wannow21@gmail.com</t>
  </si>
  <si>
    <t>wannow21</t>
  </si>
  <si>
    <t>yamachu.dev@gmail.com</t>
  </si>
  <si>
    <t>yamachu.dev</t>
  </si>
  <si>
    <t>15276837+ChaseOxide@users.noreply.github.com</t>
  </si>
  <si>
    <t>15276837+ChaseOxide</t>
  </si>
  <si>
    <t>frankgh@users.noreply.github.com</t>
  </si>
  <si>
    <t>frankgh</t>
  </si>
  <si>
    <t>mdhayes.07@gmail.com</t>
  </si>
  <si>
    <t>mdhayes.07</t>
  </si>
  <si>
    <t>todjiang@gmail.com</t>
  </si>
  <si>
    <t>todjiang</t>
  </si>
  <si>
    <t>maheshbhosale24051996@gmail.com</t>
  </si>
  <si>
    <t>maheshbhosale24051996</t>
  </si>
  <si>
    <t>cjdrake@users.noreply.github.com</t>
  </si>
  <si>
    <t>cjdrake</t>
  </si>
  <si>
    <t>kenji.toyama@gmail.com</t>
  </si>
  <si>
    <t>kenji.toyama</t>
  </si>
  <si>
    <t>lissyx+github@lissyx.dyndns.org</t>
  </si>
  <si>
    <t>lissyx+github</t>
  </si>
  <si>
    <t>jeff.x.tang@gmail.com</t>
  </si>
  <si>
    <t>jeff.x.tang</t>
  </si>
  <si>
    <t>jinhwan.cho@gmail.com</t>
  </si>
  <si>
    <t>jinhwan.cho</t>
  </si>
  <si>
    <t>anjum.sayed48@gmail.com</t>
  </si>
  <si>
    <t>anjum.sayed48</t>
  </si>
  <si>
    <t>justin.lebar@gmail.com</t>
  </si>
  <si>
    <t>justin.lebar</t>
  </si>
  <si>
    <t>simsicon@gmail.com</t>
  </si>
  <si>
    <t>simsicon</t>
  </si>
  <si>
    <t>corvettecole@gmail.com</t>
  </si>
  <si>
    <t>corvettecole</t>
  </si>
  <si>
    <t>yegor.derevenets@gmail.com</t>
  </si>
  <si>
    <t>yegor.derevenets</t>
  </si>
  <si>
    <t>aflakomar@hotmail.fr</t>
  </si>
  <si>
    <t>aflakomar</t>
  </si>
  <si>
    <t>kobejean@me.com</t>
  </si>
  <si>
    <t>kobejean</t>
  </si>
  <si>
    <t>elilienstein@users.noreply.github.com</t>
  </si>
  <si>
    <t>elilienstein</t>
  </si>
  <si>
    <t>wenxx151@gmail.com</t>
  </si>
  <si>
    <t>wenxx151</t>
  </si>
  <si>
    <t>halley.wj12@gmail.com</t>
  </si>
  <si>
    <t>halley.wj12</t>
  </si>
  <si>
    <t>yoni@joytunes.com</t>
  </si>
  <si>
    <t>yoni</t>
  </si>
  <si>
    <t>klshrinidhi@users.noreply.github.com</t>
  </si>
  <si>
    <t>klshrinidhi</t>
  </si>
  <si>
    <t>keiji@users.noreply.github.com</t>
  </si>
  <si>
    <t>keiji</t>
  </si>
  <si>
    <t>armando-fandango@users.noreply.github.com</t>
  </si>
  <si>
    <t>armando-fandango</t>
  </si>
  <si>
    <t>las26@njit.edu</t>
  </si>
  <si>
    <t>las26</t>
  </si>
  <si>
    <t>njit</t>
  </si>
  <si>
    <t>stanislav.levental@gmail.com</t>
  </si>
  <si>
    <t>stanislav.levental</t>
  </si>
  <si>
    <t>lj@linjian.org</t>
  </si>
  <si>
    <t>lj</t>
  </si>
  <si>
    <t>ashish.ram88@gmail.com</t>
  </si>
  <si>
    <t>ashish.ram88</t>
  </si>
  <si>
    <t>davidg@nvidia.com</t>
  </si>
  <si>
    <t>davidg</t>
  </si>
  <si>
    <t>pawel.kapica@gmail.com</t>
  </si>
  <si>
    <t>pawel.kapica</t>
  </si>
  <si>
    <t>mktozk@users.noreply.github.com</t>
  </si>
  <si>
    <t>mktozk</t>
  </si>
  <si>
    <t>songjiuwu@gmail.com</t>
  </si>
  <si>
    <t>songjiuwu</t>
  </si>
  <si>
    <t>mohamedadaly@users.noreply.github.com</t>
  </si>
  <si>
    <t>mohamedadaly</t>
  </si>
  <si>
    <t>salaj.au@gmail.com</t>
  </si>
  <si>
    <t>salaj.au</t>
  </si>
  <si>
    <t>ren@ngs.ru</t>
  </si>
  <si>
    <t>ren</t>
  </si>
  <si>
    <t>ngs</t>
  </si>
  <si>
    <t>Cescfangs@users.noreply.github.com</t>
  </si>
  <si>
    <t>Cescfangs</t>
  </si>
  <si>
    <t>jesse.kinkead@gmail.com</t>
  </si>
  <si>
    <t>jesse.kinkead</t>
  </si>
  <si>
    <t>michaelkhan31@gmail.com</t>
  </si>
  <si>
    <t>michaelkhan31</t>
  </si>
  <si>
    <t>me@stevenhickson.com</t>
  </si>
  <si>
    <t>andre@netzeband.de</t>
  </si>
  <si>
    <t>andre</t>
  </si>
  <si>
    <t>clemens-schulz@users.noreply.github.com</t>
  </si>
  <si>
    <t>clemens-schulz</t>
  </si>
  <si>
    <t>khrulkov.v@gmail.com</t>
  </si>
  <si>
    <t>khrulkov.v</t>
  </si>
  <si>
    <t>32723536+starsblinking@users.noreply.github.com</t>
  </si>
  <si>
    <t>32723536+starsblinking</t>
  </si>
  <si>
    <t>yordun@gmail.com</t>
  </si>
  <si>
    <t>yordun</t>
  </si>
  <si>
    <t>a.shukla@winton.com</t>
  </si>
  <si>
    <t>a.shukla</t>
  </si>
  <si>
    <t>winton</t>
  </si>
  <si>
    <t>ozgyal@users.noreply.github.com</t>
  </si>
  <si>
    <t>ozgyal</t>
  </si>
  <si>
    <t>pqrth@users.noreply.github.com</t>
  </si>
  <si>
    <t>pqrth</t>
  </si>
  <si>
    <t>nathansilberman@users.noreply.github.com</t>
  </si>
  <si>
    <t>nathansilberman</t>
  </si>
  <si>
    <t>jerrikeph@gmail.com</t>
  </si>
  <si>
    <t>jerrikeph</t>
  </si>
  <si>
    <t>fanlu7311@gmail.com</t>
  </si>
  <si>
    <t>egjung49@gmail.com</t>
  </si>
  <si>
    <t>egjung49</t>
  </si>
  <si>
    <t>kaspermarstal@gmail.com</t>
  </si>
  <si>
    <t>kaspermarstal</t>
  </si>
  <si>
    <t>takuya.wakisaka@moldweorp.com</t>
  </si>
  <si>
    <t>takuya.wakisaka</t>
  </si>
  <si>
    <t>moldweorp</t>
  </si>
  <si>
    <t>Timen@users.noreply.github.com</t>
  </si>
  <si>
    <t>Timen</t>
  </si>
  <si>
    <t>vade@vade.info</t>
  </si>
  <si>
    <t>vade</t>
  </si>
  <si>
    <t>allen.goodman@icloud.com</t>
  </si>
  <si>
    <t>allen.goodman</t>
  </si>
  <si>
    <t>eric.lilienstein@gmail.com</t>
  </si>
  <si>
    <t>eric.lilienstein</t>
  </si>
  <si>
    <t>darthsuogles@gmail.com</t>
  </si>
  <si>
    <t>darthsuogles</t>
  </si>
  <si>
    <t>mattbasta+github@gmail.com</t>
  </si>
  <si>
    <t>mattbasta+github</t>
  </si>
  <si>
    <t>dongsamb@gmail.com</t>
  </si>
  <si>
    <t>dongsamb</t>
  </si>
  <si>
    <t>github@miguelpiedrafita.com</t>
  </si>
  <si>
    <t>wbaek.personal@gmail.com</t>
  </si>
  <si>
    <t>wbaek.personal</t>
  </si>
  <si>
    <t>abcdefgzzz11@live.com</t>
  </si>
  <si>
    <t>abcdefgzzz11</t>
  </si>
  <si>
    <t>PaulWang1905@users.noreply.github.com</t>
  </si>
  <si>
    <t>PaulWang1905</t>
  </si>
  <si>
    <t>tkondrashov@gmail.com</t>
  </si>
  <si>
    <t>tkondrashov</t>
  </si>
  <si>
    <t>BDHU@users.noreply.github.com</t>
  </si>
  <si>
    <t>BDHU</t>
  </si>
  <si>
    <t>31663267+k-w-w@users.noreply.github.com</t>
  </si>
  <si>
    <t>31663267+k-w-w</t>
  </si>
  <si>
    <t>timeflydj@gmail.com</t>
  </si>
  <si>
    <t>timeflydj</t>
  </si>
  <si>
    <t>stephen.lumenta@gmail.com</t>
  </si>
  <si>
    <t>stephen.lumenta</t>
  </si>
  <si>
    <t>themightyoarfish@users.noreply.github.com</t>
  </si>
  <si>
    <t>themightyoarfish</t>
  </si>
  <si>
    <t>joeyzhang@163.com</t>
  </si>
  <si>
    <t>joeyzhang</t>
  </si>
  <si>
    <t>pierre.blondeau@unicaen.fr</t>
  </si>
  <si>
    <t>pierre.blondeau</t>
  </si>
  <si>
    <t>sahilsingh90@gmail.com</t>
  </si>
  <si>
    <t>sahilsingh90</t>
  </si>
  <si>
    <t>vaibhavminiyar@gmail.com</t>
  </si>
  <si>
    <t>vaibhavminiyar</t>
  </si>
  <si>
    <t>encodets@gmail.com</t>
  </si>
  <si>
    <t>encodets</t>
  </si>
  <si>
    <t>ngc92@users.noreply.github.com</t>
  </si>
  <si>
    <t>ngc92</t>
  </si>
  <si>
    <t>matt@hyperscience.com</t>
  </si>
  <si>
    <t>hyperscience</t>
  </si>
  <si>
    <t>lucassloan@google.com</t>
  </si>
  <si>
    <t>lucassloan</t>
  </si>
  <si>
    <t>mmadrid99@gmail.com</t>
  </si>
  <si>
    <t>mmadrid99</t>
  </si>
  <si>
    <t>yingted@gmail.com</t>
  </si>
  <si>
    <t>yingted</t>
  </si>
  <si>
    <t>mikeknapp@users.noreply.github.com</t>
  </si>
  <si>
    <t>mikeknapp</t>
  </si>
  <si>
    <t>johanj93@gmail.com</t>
  </si>
  <si>
    <t>johanj93</t>
  </si>
  <si>
    <t>krzysztof.gorgolewski@gmail.com</t>
  </si>
  <si>
    <t>krzysztof.gorgolewski</t>
  </si>
  <si>
    <t>linmingzxx@gmail.com</t>
  </si>
  <si>
    <t>linmingzxx</t>
  </si>
  <si>
    <t>hannes.achleitner@googlemail.com</t>
  </si>
  <si>
    <t>hannes.achleitner</t>
  </si>
  <si>
    <t>adham.zahran@hotmail.com</t>
  </si>
  <si>
    <t>adham.zahran</t>
  </si>
  <si>
    <t>JoshVarty@users.noreply.github.com</t>
  </si>
  <si>
    <t>JoshVarty</t>
  </si>
  <si>
    <t>hanchenl@nvidia.com</t>
  </si>
  <si>
    <t>hanchenl</t>
  </si>
  <si>
    <t>bringtree@qq.com</t>
  </si>
  <si>
    <t>bringtree</t>
  </si>
  <si>
    <t>mwytock@gmail.com</t>
  </si>
  <si>
    <t>mwytock</t>
  </si>
  <si>
    <t>github@geheimwerk.de</t>
  </si>
  <si>
    <t>musically.ut@gmail.com</t>
  </si>
  <si>
    <t>musically.ut</t>
  </si>
  <si>
    <t>jwh0118@me.com</t>
  </si>
  <si>
    <t>jwh0118</t>
  </si>
  <si>
    <t>nalsil@gmail.com</t>
  </si>
  <si>
    <t>nalsil</t>
  </si>
  <si>
    <t>n3011@users.noreply.github.com</t>
  </si>
  <si>
    <t>n3011</t>
  </si>
  <si>
    <t>gdeer81@gmail.com</t>
  </si>
  <si>
    <t>gdeer81</t>
  </si>
  <si>
    <t>yuxin-li@outlook.com</t>
  </si>
  <si>
    <t>yuxin-li</t>
  </si>
  <si>
    <t>keven425@gmail.com</t>
  </si>
  <si>
    <t>keven425</t>
  </si>
  <si>
    <t>b00902042@ntu.edu.tw</t>
  </si>
  <si>
    <t>b00902042</t>
  </si>
  <si>
    <t>ntu</t>
  </si>
  <si>
    <t>kyle.mills@uoit.net</t>
  </si>
  <si>
    <t>kyle.mills</t>
  </si>
  <si>
    <t>ci.song@cisong.eu</t>
  </si>
  <si>
    <t>ci.song</t>
  </si>
  <si>
    <t>alistair@codeplay.com</t>
  </si>
  <si>
    <t>alistair</t>
  </si>
  <si>
    <t>gregghelt@gmail.com</t>
  </si>
  <si>
    <t>gregghelt</t>
  </si>
  <si>
    <t>dcunhas@users.noreply.github.com</t>
  </si>
  <si>
    <t>dcunhas</t>
  </si>
  <si>
    <t>wtsang@us.ibm.com</t>
  </si>
  <si>
    <t>wtsang</t>
  </si>
  <si>
    <t>hezhou556@gmail.com</t>
  </si>
  <si>
    <t>hezhou556</t>
  </si>
  <si>
    <t>bene.hartmann@web.de</t>
  </si>
  <si>
    <t>bene.hartmann</t>
  </si>
  <si>
    <t>matslina@gmail.com</t>
  </si>
  <si>
    <t>matslina</t>
  </si>
  <si>
    <t>jcastagneri@gmail.com</t>
  </si>
  <si>
    <t>jcastagneri</t>
  </si>
  <si>
    <t>tdhutt@gmail.com</t>
  </si>
  <si>
    <t>tdhutt</t>
  </si>
  <si>
    <t>ceteke13@ku.edu.tr</t>
  </si>
  <si>
    <t>ceteke13</t>
  </si>
  <si>
    <t>ku</t>
  </si>
  <si>
    <t>tano.297@gmail.com</t>
  </si>
  <si>
    <t>tano.297</t>
  </si>
  <si>
    <t>myungjoo.ham@samsung.com</t>
  </si>
  <si>
    <t>cthom055@gold.ac.uk</t>
  </si>
  <si>
    <t>cthom055</t>
  </si>
  <si>
    <t>amir.jadidi@yahoo.com</t>
  </si>
  <si>
    <t>amir.jadidi</t>
  </si>
  <si>
    <t>franck@sancare.fr</t>
  </si>
  <si>
    <t>franck</t>
  </si>
  <si>
    <t>sancare</t>
  </si>
  <si>
    <t>nvd1234@gmail.com</t>
  </si>
  <si>
    <t>nvd1234</t>
  </si>
  <si>
    <t>pks@users.noreply.github.com</t>
  </si>
  <si>
    <t>pks</t>
  </si>
  <si>
    <t>maximilian.bachl@gmail.com</t>
  </si>
  <si>
    <t>maximilian.bachl</t>
  </si>
  <si>
    <t>noae@mellanox.com</t>
  </si>
  <si>
    <t>noae</t>
  </si>
  <si>
    <t>Toon.Verstraelen@UGent.be</t>
  </si>
  <si>
    <t>Toon.Verstraelen</t>
  </si>
  <si>
    <t>ahyangyi@gmail.com</t>
  </si>
  <si>
    <t>ahyangyi</t>
  </si>
  <si>
    <t>qiaolongfei@baidu.com</t>
  </si>
  <si>
    <t>qiaolongfei</t>
  </si>
  <si>
    <t>Baidu</t>
  </si>
  <si>
    <t>jackson.kontny@gmail.com</t>
  </si>
  <si>
    <t>jackson.kontny</t>
  </si>
  <si>
    <t>miqlas@users.noreply.github.com</t>
  </si>
  <si>
    <t>miqlas</t>
  </si>
  <si>
    <t>31660642+opensourcemattress@users.noreply.github.com</t>
  </si>
  <si>
    <t>31660642+opensourcemattress</t>
  </si>
  <si>
    <t>didi_lv@126.com</t>
  </si>
  <si>
    <t>didi_lv</t>
  </si>
  <si>
    <t>32033101+dariavel@users.noreply.github.com</t>
  </si>
  <si>
    <t>32033101+dariavel</t>
  </si>
  <si>
    <t>steffenschmitz@hotmail.de</t>
  </si>
  <si>
    <t>steffenschmitz</t>
  </si>
  <si>
    <t>caogaojin@cmss.chinamobile.com</t>
  </si>
  <si>
    <t>caogaojin</t>
  </si>
  <si>
    <t>Chinamobile</t>
  </si>
  <si>
    <t>qiaohaijun@users.noreply.github.com</t>
  </si>
  <si>
    <t>qiaohaijun</t>
  </si>
  <si>
    <t>slonegg@gmail.com</t>
  </si>
  <si>
    <t>slonegg</t>
  </si>
  <si>
    <t>vpai@google.com</t>
  </si>
  <si>
    <t>vpai</t>
  </si>
  <si>
    <t>m6daley@gmail.com</t>
  </si>
  <si>
    <t>m6daley</t>
  </si>
  <si>
    <t>SaintNazaire@users.noreply.github.com</t>
  </si>
  <si>
    <t>SaintNazaire</t>
  </si>
  <si>
    <t>artsobolev@users.noreply.github.com</t>
  </si>
  <si>
    <t>artsobolev</t>
  </si>
  <si>
    <t>ursk@users.noreply.github.com</t>
  </si>
  <si>
    <t>clewis@iqt.org</t>
  </si>
  <si>
    <t>clewis</t>
  </si>
  <si>
    <t>iqt</t>
  </si>
  <si>
    <t>levinehuang@163.com</t>
  </si>
  <si>
    <t>levinehuang</t>
  </si>
  <si>
    <t>rvarm1@gmail.com</t>
  </si>
  <si>
    <t>rvarm1</t>
  </si>
  <si>
    <t>jeremy.adamson.sharpe@gmail.com</t>
  </si>
  <si>
    <t>jeremy.adamson.sharpe</t>
  </si>
  <si>
    <t>sarahmaddox@google.com</t>
  </si>
  <si>
    <t>sarahmaddox</t>
  </si>
  <si>
    <t>sarahmaddox@users.noreply.github.com</t>
  </si>
  <si>
    <t>mahdi.abavisani@rutgers.edu</t>
  </si>
  <si>
    <t>mahdi.abavisani</t>
  </si>
  <si>
    <t>chi-hung.weng@gmx.de</t>
  </si>
  <si>
    <t>chi-hung.weng</t>
  </si>
  <si>
    <t>cgrail@users.noreply.github.com</t>
  </si>
  <si>
    <t>cgrail</t>
  </si>
  <si>
    <t>michelleirvine@google.com</t>
  </si>
  <si>
    <t>michelleirvine</t>
  </si>
  <si>
    <t>30789814+wonsekim@users.noreply.github.com</t>
  </si>
  <si>
    <t>30789814+wonsekim</t>
  </si>
  <si>
    <t>waprin@gmail.com</t>
  </si>
  <si>
    <t>waprin</t>
  </si>
  <si>
    <t>dringw@gmail.com</t>
  </si>
  <si>
    <t>dringw</t>
  </si>
  <si>
    <t>Sylvus@users.noreply.github.com</t>
  </si>
  <si>
    <t>Sylvus</t>
  </si>
  <si>
    <t>19617165+scottmudge@users.noreply.github.com</t>
  </si>
  <si>
    <t>19617165+scottmudge</t>
  </si>
  <si>
    <t>donigian@gmail.com</t>
  </si>
  <si>
    <t>donigian</t>
  </si>
  <si>
    <t>qinhanmin2005@sina.com</t>
  </si>
  <si>
    <t>qinhanmin2005</t>
  </si>
  <si>
    <t>melvyniandrag@gmail.com</t>
  </si>
  <si>
    <t>melvyniandrag</t>
  </si>
  <si>
    <t>lvp0526@gmail.com</t>
  </si>
  <si>
    <t>lvp0526</t>
  </si>
  <si>
    <t>srkirkland@gmail.com</t>
  </si>
  <si>
    <t>srkirkland</t>
  </si>
  <si>
    <t>FrankXia0404@users.noreply.github.com</t>
  </si>
  <si>
    <t>FrankXia0404</t>
  </si>
  <si>
    <t>sean.v.775@gmail.com</t>
  </si>
  <si>
    <t>sean.v.775</t>
  </si>
  <si>
    <t>pawel834@gmail.com</t>
  </si>
  <si>
    <t>pawel834</t>
  </si>
  <si>
    <t>jimpallomeni@users.noreply.github.com</t>
  </si>
  <si>
    <t>jimpallomeni</t>
  </si>
  <si>
    <t>dorokhov.vladimir@gmail.com</t>
  </si>
  <si>
    <t>dorokhov.vladimir</t>
  </si>
  <si>
    <t>ashwhall@gmail.com</t>
  </si>
  <si>
    <t>ashwhall</t>
  </si>
  <si>
    <t>JettJones@users.noreply.github.com</t>
  </si>
  <si>
    <t>JettJones</t>
  </si>
  <si>
    <t>emcp@whichdegree.co</t>
  </si>
  <si>
    <t>emcp</t>
  </si>
  <si>
    <t>jm.wanka@gmail.com</t>
  </si>
  <si>
    <t>jm.wanka</t>
  </si>
  <si>
    <t>jnelso11@gmu.edu</t>
  </si>
  <si>
    <t>jnelso11</t>
  </si>
  <si>
    <t>joshua.kurland@outlook.com</t>
  </si>
  <si>
    <t>joshua.kurland</t>
  </si>
  <si>
    <t>m.colombo@biobeats.com</t>
  </si>
  <si>
    <t>m.colombo</t>
  </si>
  <si>
    <t>chenzhiwo@139.com</t>
  </si>
  <si>
    <t>chenzhiwo</t>
  </si>
  <si>
    <t>dmacvicar@gmail.com</t>
  </si>
  <si>
    <t>dmacvicar</t>
  </si>
  <si>
    <t>aseemraj@users.noreply.github.com</t>
  </si>
  <si>
    <t>aseemraj</t>
  </si>
  <si>
    <t>patrik@erdes.se</t>
  </si>
  <si>
    <t>patrik</t>
  </si>
  <si>
    <t>chris.oelmueller@gmail.com</t>
  </si>
  <si>
    <t>chris.oelmueller</t>
  </si>
  <si>
    <t>maspwr@gmail.com</t>
  </si>
  <si>
    <t>maspwr</t>
  </si>
  <si>
    <t>bergs@janelia.hhmi.org</t>
  </si>
  <si>
    <t>bergs</t>
  </si>
  <si>
    <t>kjslag@gmail.com</t>
  </si>
  <si>
    <t>kjslag</t>
  </si>
  <si>
    <t>oxinabox@ucc.asn.au</t>
  </si>
  <si>
    <t>oxinabox</t>
  </si>
  <si>
    <t>ucc</t>
  </si>
  <si>
    <t>profile2697@gmail.com</t>
  </si>
  <si>
    <t>profile2697</t>
  </si>
  <si>
    <t>joshkyh@users.noreply.github.com</t>
  </si>
  <si>
    <t>joshkyh</t>
  </si>
  <si>
    <t>sauercrowd@users.noreply.github.com</t>
  </si>
  <si>
    <t>sauercrowd</t>
  </si>
  <si>
    <t>aje@10gen.com</t>
  </si>
  <si>
    <t>aje</t>
  </si>
  <si>
    <t>david@stb-tester.com</t>
  </si>
  <si>
    <t>sebastian.weiss_germering@web.de</t>
  </si>
  <si>
    <t>sebastian.weiss_germering</t>
  </si>
  <si>
    <t>dixon.edward@gmail.com</t>
  </si>
  <si>
    <t>dixon.edward</t>
  </si>
  <si>
    <t>marcelp@alumni.stanford.edu</t>
  </si>
  <si>
    <t>marcelp</t>
  </si>
  <si>
    <t>stanford</t>
  </si>
  <si>
    <t>kenichiueno@Kenichis-Macbook-Pro.local</t>
  </si>
  <si>
    <t>kenichiueno</t>
  </si>
  <si>
    <t>nlopezgi@uci.edu</t>
  </si>
  <si>
    <t>uci</t>
  </si>
  <si>
    <t>mavenlin@users.noreply.github.com</t>
  </si>
  <si>
    <t>mavenlin</t>
  </si>
  <si>
    <t>nhasabni@nervana-bdw30.bds</t>
  </si>
  <si>
    <t>nhasabni</t>
  </si>
  <si>
    <t>nervana-bdw30</t>
  </si>
  <si>
    <t>beomjun.shin@hpcnt.com</t>
  </si>
  <si>
    <t>beomjun.shin</t>
  </si>
  <si>
    <t>hpcnt</t>
  </si>
  <si>
    <t>apetrenko1991@gmail.com</t>
  </si>
  <si>
    <t>apetrenko1991</t>
  </si>
  <si>
    <t>fhtcom@gmail.com</t>
  </si>
  <si>
    <t>fhtcom</t>
  </si>
  <si>
    <t>lhelm@umich.edu</t>
  </si>
  <si>
    <t>lhelm</t>
  </si>
  <si>
    <t>shivamkotwalia@gmail.com</t>
  </si>
  <si>
    <t>shivamkotwalia</t>
  </si>
  <si>
    <t>tiagofrepereira@gmail.com</t>
  </si>
  <si>
    <t>tiagofrepereira</t>
  </si>
  <si>
    <t>bkiers@gmail.com</t>
  </si>
  <si>
    <t>bkiers</t>
  </si>
  <si>
    <t>paloma@css-maps.eu</t>
  </si>
  <si>
    <t>paloma</t>
  </si>
  <si>
    <t>DEKHTIARJonathan@users.noreply.github.com</t>
  </si>
  <si>
    <t>DEKHTIARJonathan</t>
  </si>
  <si>
    <t>youhanmir@gmail.com</t>
  </si>
  <si>
    <t>youhanmir</t>
  </si>
  <si>
    <t>vfdev.5@gmail.com</t>
  </si>
  <si>
    <t>vfdev.5</t>
  </si>
  <si>
    <t>tizhou1986@gmail.com</t>
  </si>
  <si>
    <t>tizhou1986</t>
  </si>
  <si>
    <t>Sword.York@Gmail.com</t>
  </si>
  <si>
    <t>Sword.York</t>
  </si>
  <si>
    <t>superzerg@free.fr</t>
  </si>
  <si>
    <t>superzerg</t>
  </si>
  <si>
    <t>wangqr@users.noreply.github.com</t>
  </si>
  <si>
    <t>wangqr</t>
  </si>
  <si>
    <t>78355640@qq.com</t>
  </si>
  <si>
    <t>cijianzy@gmail.com</t>
  </si>
  <si>
    <t>cijianzy</t>
  </si>
  <si>
    <t>youkaichao@gmail.com</t>
  </si>
  <si>
    <t>youkaichao</t>
  </si>
  <si>
    <t>scitator@gmail.com</t>
  </si>
  <si>
    <t>scitator</t>
  </si>
  <si>
    <t>zihao.yang@microsoft.com</t>
  </si>
  <si>
    <t>zihao.yang</t>
  </si>
  <si>
    <t>vaibhavs@us.ibm.com</t>
  </si>
  <si>
    <t>vaibhavs</t>
  </si>
  <si>
    <t>renzeyu@microsoft.com</t>
  </si>
  <si>
    <t>renzeyu</t>
  </si>
  <si>
    <t>hecli@microsoft.com</t>
  </si>
  <si>
    <t>hecli</t>
  </si>
  <si>
    <t>benedictjin2016@gmail.com</t>
  </si>
  <si>
    <t>benedictjin2016</t>
  </si>
  <si>
    <t>loliverhennigh101@gmail.com</t>
  </si>
  <si>
    <t>loliverhennigh101</t>
  </si>
  <si>
    <t>standy66@users.noreply.github.com</t>
  </si>
  <si>
    <t>standy66</t>
  </si>
  <si>
    <t>fxfabre@users.noreply.github.com</t>
  </si>
  <si>
    <t>fxfabre</t>
  </si>
  <si>
    <t>jeremy.rutman@yahoo.com</t>
  </si>
  <si>
    <t>jeremy.rutman</t>
  </si>
  <si>
    <t>laket72@gmail.com</t>
  </si>
  <si>
    <t>laket72</t>
  </si>
  <si>
    <t>aditya.d@hotmail.com</t>
  </si>
  <si>
    <t>aditya.d</t>
  </si>
  <si>
    <t>dkristoffersson@gmail.com</t>
  </si>
  <si>
    <t>dkristoffersson</t>
  </si>
  <si>
    <t>joetoth@gmail.com</t>
  </si>
  <si>
    <t>joetoth</t>
  </si>
  <si>
    <t>ebrevdo@users.noreply.github.com</t>
  </si>
  <si>
    <t>adam@elementai.com</t>
  </si>
  <si>
    <t>elementai</t>
  </si>
  <si>
    <t>junluan@users.noreply.github.com</t>
  </si>
  <si>
    <t>junluan</t>
  </si>
  <si>
    <t>angrypowman@qq.com</t>
  </si>
  <si>
    <t>angrypowman</t>
  </si>
  <si>
    <t>will.frey@digitalreasoning.com</t>
  </si>
  <si>
    <t>will.frey</t>
  </si>
  <si>
    <t>digitalreasoning</t>
  </si>
  <si>
    <t>osdamv@gmail.com</t>
  </si>
  <si>
    <t>osdamv</t>
  </si>
  <si>
    <t>r.roffel@st.hanze.nl</t>
  </si>
  <si>
    <t>r.roffel</t>
  </si>
  <si>
    <t>vishalvenkat71@gmail.com</t>
  </si>
  <si>
    <t>vishalvenkat71</t>
  </si>
  <si>
    <t>yixing.lao@gmail.com</t>
  </si>
  <si>
    <t>yixing.lao</t>
  </si>
  <si>
    <t>j.c.gaiser@delftrobotics.com</t>
  </si>
  <si>
    <t>j.c.gaiser</t>
  </si>
  <si>
    <t>delftrobotics</t>
  </si>
  <si>
    <t>yejun.guo@intel.com</t>
  </si>
  <si>
    <t>yejun.guo</t>
  </si>
  <si>
    <t>dalmo.cirne@me.com</t>
  </si>
  <si>
    <t>catalin@stanford.edu</t>
  </si>
  <si>
    <t>catalin</t>
  </si>
  <si>
    <t>rausted@gmail.com</t>
  </si>
  <si>
    <t>rausted</t>
  </si>
  <si>
    <t>as5195@columbia.edu</t>
  </si>
  <si>
    <t>as5195</t>
  </si>
  <si>
    <t>columbia</t>
  </si>
  <si>
    <t>Ru@aijia.io</t>
  </si>
  <si>
    <t>Ru</t>
  </si>
  <si>
    <t>tj.rana@icloud.com</t>
  </si>
  <si>
    <t>tj.rana</t>
  </si>
  <si>
    <t>yannhenon@gmail.com</t>
  </si>
  <si>
    <t>yannhenon</t>
  </si>
  <si>
    <t>ltiao@users.noreply.github.com</t>
  </si>
  <si>
    <t>ltiao</t>
  </si>
  <si>
    <t>bruno.rosa@eldorado.org.br</t>
  </si>
  <si>
    <t>bruno.rosa</t>
  </si>
  <si>
    <t>yorkiefixer@gmail.com</t>
  </si>
  <si>
    <t>yorkiefixer</t>
  </si>
  <si>
    <t>melodyguan@google.com</t>
  </si>
  <si>
    <t>melodyguan</t>
  </si>
  <si>
    <t>beckman16@gmail.com</t>
  </si>
  <si>
    <t>beckman16</t>
  </si>
  <si>
    <t>keeper6928@gmail.com</t>
  </si>
  <si>
    <t>keeper6928</t>
  </si>
  <si>
    <t>davidpham87@users.noreply.github.com</t>
  </si>
  <si>
    <t>davidpham87</t>
  </si>
  <si>
    <t>mail@kevinvdburgt.com</t>
  </si>
  <si>
    <t>baptiste.arnaud95@gmail.com</t>
  </si>
  <si>
    <t>baptiste.arnaud95</t>
  </si>
  <si>
    <t>eremitatm88@gmail.com</t>
  </si>
  <si>
    <t>eremitatm88</t>
  </si>
  <si>
    <t>marcel@hlopko.com</t>
  </si>
  <si>
    <t>marcel</t>
  </si>
  <si>
    <t>rocky@perfect.org</t>
  </si>
  <si>
    <t>rocky</t>
  </si>
  <si>
    <t>perfect</t>
  </si>
  <si>
    <t>chunjy92@gmail.com</t>
  </si>
  <si>
    <t>chunjy92</t>
  </si>
  <si>
    <t>mikebbrodie@gmail.com</t>
  </si>
  <si>
    <t>mikebbrodie</t>
  </si>
  <si>
    <t>tapanprakasht@gmail.com</t>
  </si>
  <si>
    <t>tapanprakasht</t>
  </si>
  <si>
    <t>a-lattas@users.noreply.github.com</t>
  </si>
  <si>
    <t>a-lattas</t>
  </si>
  <si>
    <t>johnsmithm@users.noreply.github.com</t>
  </si>
  <si>
    <t>johnsmithm</t>
  </si>
  <si>
    <t>ben@benmabey.com</t>
  </si>
  <si>
    <t>stevemasta34@gmail.com</t>
  </si>
  <si>
    <t>stevemasta34</t>
  </si>
  <si>
    <t>siim@p6drad-teel.net</t>
  </si>
  <si>
    <t>siim</t>
  </si>
  <si>
    <t>contact@boyuandeng.me</t>
  </si>
  <si>
    <t>patelrishabh@users.noreply.github.com</t>
  </si>
  <si>
    <t>patelrishabh</t>
  </si>
  <si>
    <t>robin.m.lutz@gmail.com</t>
  </si>
  <si>
    <t>robin.m.lutz</t>
  </si>
  <si>
    <t>hauke.brammer@googlemail.com</t>
  </si>
  <si>
    <t>hauke.brammer</t>
  </si>
  <si>
    <t>zins.pierre@gmail.com</t>
  </si>
  <si>
    <t>zins.pierre</t>
  </si>
  <si>
    <t>chirag64@users.noreply.github.com</t>
  </si>
  <si>
    <t>chirag64</t>
  </si>
  <si>
    <t>sahildua2305@gmail.com</t>
  </si>
  <si>
    <t>sahildua2305</t>
  </si>
  <si>
    <t>ksivas@microsoft.com</t>
  </si>
  <si>
    <t>ksivas</t>
  </si>
  <si>
    <t>yi.wang.2005@gmail.com</t>
  </si>
  <si>
    <t>yi.wang.2005</t>
  </si>
  <si>
    <t>gyuhox@gmail.com</t>
  </si>
  <si>
    <t>gyuhox</t>
  </si>
  <si>
    <t>richard.e.imaoka@gmail.com</t>
  </si>
  <si>
    <t>richard.e.imaoka</t>
  </si>
  <si>
    <t>yashagrwl.iitkgp@gmail.com</t>
  </si>
  <si>
    <t>yashagrwl.iitkgp</t>
  </si>
  <si>
    <t>jingjunyin@gmail.com</t>
  </si>
  <si>
    <t>jingjunyin</t>
  </si>
  <si>
    <t>DanielCar@google.com</t>
  </si>
  <si>
    <t>DanielCar</t>
  </si>
  <si>
    <t>crystal.sno.riley@gmail.com</t>
  </si>
  <si>
    <t>crystal.sno.riley</t>
  </si>
  <si>
    <t>spotlight0xff@gmail.com</t>
  </si>
  <si>
    <t>spotlight0xff</t>
  </si>
  <si>
    <t>zhengdachuan200305@gmail.com</t>
  </si>
  <si>
    <t>zhengdachuan200305</t>
  </si>
  <si>
    <t>yanastali@users.noreply.github.com</t>
  </si>
  <si>
    <t>yanastali</t>
  </si>
  <si>
    <t>royl@aldaron.com</t>
  </si>
  <si>
    <t>royl</t>
  </si>
  <si>
    <t>joapuipe@gmail.com</t>
  </si>
  <si>
    <t>joapuipe</t>
  </si>
  <si>
    <t>michal.jastrzebski@intel.com</t>
  </si>
  <si>
    <t>michal.jastrzebski</t>
  </si>
  <si>
    <t>Earthson.Lu@gmail.com</t>
  </si>
  <si>
    <t>Earthson.Lu</t>
  </si>
  <si>
    <t>cNikolaou@users.noreply.github.com</t>
  </si>
  <si>
    <t>cNikolaou</t>
  </si>
  <si>
    <t>m-colombo@users.noreply.github.com</t>
  </si>
  <si>
    <t>m-colombo</t>
  </si>
  <si>
    <t>pushespretn@gmail.com</t>
  </si>
  <si>
    <t>pushespretn</t>
  </si>
  <si>
    <t>cxxgtxy@gmail.com</t>
  </si>
  <si>
    <t>cxxgtxy</t>
  </si>
  <si>
    <t>b02901026@ntu.edu.tw</t>
  </si>
  <si>
    <t>b02901026</t>
  </si>
  <si>
    <t>ryankung@ieee.org</t>
  </si>
  <si>
    <t>ryankung</t>
  </si>
  <si>
    <t>benedikt.linse@gmail.com</t>
  </si>
  <si>
    <t>benedikt.linse</t>
  </si>
  <si>
    <t>simon.2.thompson@gmail.com</t>
  </si>
  <si>
    <t>simon.2.thompson</t>
  </si>
  <si>
    <t>fabian@kinemic.de</t>
  </si>
  <si>
    <t>notverysmartbird@gmail.com</t>
  </si>
  <si>
    <t>notverysmartbird</t>
  </si>
  <si>
    <t>nelson-liu@users.noreply.github.com</t>
  </si>
  <si>
    <t>nelson-liu</t>
  </si>
  <si>
    <t>czxck001@outlook.com</t>
  </si>
  <si>
    <t>czxck001</t>
  </si>
  <si>
    <t>Czxck001@outlook.com</t>
  </si>
  <si>
    <t>Czxck001</t>
  </si>
  <si>
    <t>ethirajsrinivasan@gmail.com</t>
  </si>
  <si>
    <t>ethirajsrinivasan</t>
  </si>
  <si>
    <t>steffen.eberbach@student.kit.edu</t>
  </si>
  <si>
    <t>steffen.eberbach</t>
  </si>
  <si>
    <t>jinhoyang@snu.ac.kr</t>
  </si>
  <si>
    <t>jinhoyang</t>
  </si>
  <si>
    <t>asol@num42.de</t>
  </si>
  <si>
    <t>asol</t>
  </si>
  <si>
    <t>peeyush.pathak18@gmail.com</t>
  </si>
  <si>
    <t>peeyush.pathak18</t>
  </si>
  <si>
    <t>ispirmustafa@users.noreply.github.com</t>
  </si>
  <si>
    <t>ispirmustafa</t>
  </si>
  <si>
    <t>kmcarbone16@gmail.com</t>
  </si>
  <si>
    <t>kmcarbone16</t>
  </si>
  <si>
    <t>nkashy1@gmail.com</t>
  </si>
  <si>
    <t>nkashy1</t>
  </si>
  <si>
    <t>rw2614@imperial.ac.uk</t>
  </si>
  <si>
    <t>rw2614</t>
  </si>
  <si>
    <t>imperial</t>
  </si>
  <si>
    <t>jagthebeetle@users.noreply.github.com</t>
  </si>
  <si>
    <t>jagthebeetle</t>
  </si>
  <si>
    <t>sunfei.china@outlook.com</t>
  </si>
  <si>
    <t>krivard@cs.cmu.edu</t>
  </si>
  <si>
    <t>krivard</t>
  </si>
  <si>
    <t>ikarosilva@yahoo.com</t>
  </si>
  <si>
    <t>ikarosilva</t>
  </si>
  <si>
    <t>leandro.gracia.gil@gmail.com</t>
  </si>
  <si>
    <t>leandro.gracia.gil</t>
  </si>
  <si>
    <t>mark.sl.wong@gmail.com</t>
  </si>
  <si>
    <t>mark.sl.wong</t>
  </si>
  <si>
    <t>stsievert@users.noreply.github.com</t>
  </si>
  <si>
    <t>stsievert</t>
  </si>
  <si>
    <t>idoshamay@gmail.com</t>
  </si>
  <si>
    <t>idoshamay</t>
  </si>
  <si>
    <t>pc1905@nyu.edu</t>
  </si>
  <si>
    <t>pc1905</t>
  </si>
  <si>
    <t>staticfloat@gmail.com</t>
  </si>
  <si>
    <t>staticfloat</t>
  </si>
  <si>
    <t>xlin615@gmail.com</t>
  </si>
  <si>
    <t>xlin615</t>
  </si>
  <si>
    <t>jhjin0@gmail.com</t>
  </si>
  <si>
    <t>jhjin0</t>
  </si>
  <si>
    <t>kwotsin@users.noreply.github.com</t>
  </si>
  <si>
    <t>kwotsin</t>
  </si>
  <si>
    <t>1018919372@qq.com</t>
  </si>
  <si>
    <t>haixudontknow@yeah.net</t>
  </si>
  <si>
    <t>haixudontknow</t>
  </si>
  <si>
    <t>sffc@sffc1.com</t>
  </si>
  <si>
    <t>sffc</t>
  </si>
  <si>
    <t>eggie5@gmail.com</t>
  </si>
  <si>
    <t>eggie5</t>
  </si>
  <si>
    <t>mail@arno-leist.de</t>
  </si>
  <si>
    <t>d.li@student.tue.nl</t>
  </si>
  <si>
    <t>d.li</t>
  </si>
  <si>
    <t>julian.villella@hotmail.com</t>
  </si>
  <si>
    <t>julian.villella</t>
  </si>
  <si>
    <t>admin@asterai.com</t>
  </si>
  <si>
    <t>kmhofmann@users.noreply.github.com</t>
  </si>
  <si>
    <t>kmhofmann</t>
  </si>
  <si>
    <t>neven.miculinic@gmail.com</t>
  </si>
  <si>
    <t>neven.miculinic</t>
  </si>
  <si>
    <t>sebastian-schlecht@users.noreply.github.com</t>
  </si>
  <si>
    <t>sebastian-schlecht</t>
  </si>
  <si>
    <t>li-ch@users.noreply.github.com</t>
  </si>
  <si>
    <t>li-ch</t>
  </si>
  <si>
    <t>miguel.frde@gmail.com</t>
  </si>
  <si>
    <t>miguel.frde</t>
  </si>
  <si>
    <t>magallania@gmail.com</t>
  </si>
  <si>
    <t>magallania</t>
  </si>
  <si>
    <t>r04943092@ntu.edu.tw</t>
  </si>
  <si>
    <t>r04943092</t>
  </si>
  <si>
    <t>gnedivad@gmail.com</t>
  </si>
  <si>
    <t>gnedivad</t>
  </si>
  <si>
    <t>phvu@users.noreply.github.com</t>
  </si>
  <si>
    <t>phvu</t>
  </si>
  <si>
    <t>karandesai_96@live.com</t>
  </si>
  <si>
    <t>karandesai_96</t>
  </si>
  <si>
    <t>alexandre.caulier@orange.fr</t>
  </si>
  <si>
    <t>alexandre.caulier</t>
  </si>
  <si>
    <t>orange</t>
  </si>
  <si>
    <t>dzhang21@gmail.com</t>
  </si>
  <si>
    <t>dzhang21</t>
  </si>
  <si>
    <t>wydwww@outlook.com</t>
  </si>
  <si>
    <t>wydwww</t>
  </si>
  <si>
    <t>szpssky@gmail.com</t>
  </si>
  <si>
    <t>szpssky</t>
  </si>
  <si>
    <t>harun@drexel.edu</t>
  </si>
  <si>
    <t>harun</t>
  </si>
  <si>
    <t>feiga@users.noreply.github.com</t>
  </si>
  <si>
    <t>feiga</t>
  </si>
  <si>
    <t>junshi15@users.noreply.github.com</t>
  </si>
  <si>
    <t>junshi15</t>
  </si>
  <si>
    <t>poohzrn@users.noreply.github.com</t>
  </si>
  <si>
    <t>poohzrn</t>
  </si>
  <si>
    <t>fanziye.cis@gmail.com</t>
  </si>
  <si>
    <t>fanziye.cis</t>
  </si>
  <si>
    <t>richard@daviesmail.org</t>
  </si>
  <si>
    <t>umang.mehta@affectiva.com</t>
  </si>
  <si>
    <t>umang.mehta</t>
  </si>
  <si>
    <t>phomes@gmail.com</t>
  </si>
  <si>
    <t>phomes</t>
  </si>
  <si>
    <t>td2014@users.noreply.github.com</t>
  </si>
  <si>
    <t>td2014</t>
  </si>
  <si>
    <t>0201ssw+github@gmail.com</t>
  </si>
  <si>
    <t>0201ssw+github</t>
  </si>
  <si>
    <t>egil.martinsson@gmail.com</t>
  </si>
  <si>
    <t>egil.martinsson</t>
  </si>
  <si>
    <t>luizhenriquesoares91@gmail.com</t>
  </si>
  <si>
    <t>luizhenriquesoares91</t>
  </si>
  <si>
    <t>schultz100190@gmail.com</t>
  </si>
  <si>
    <t>schultz100190</t>
  </si>
  <si>
    <t>christian.f.perez@gmail.com</t>
  </si>
  <si>
    <t>christian.f.perez</t>
  </si>
  <si>
    <t>louiehelm@users.noreply.github.com</t>
  </si>
  <si>
    <t>louiehelm</t>
  </si>
  <si>
    <t>enet4mikeenet@gmail.com</t>
  </si>
  <si>
    <t>enet4mikeenet</t>
  </si>
  <si>
    <t>matthew.rahtz@gmail.com</t>
  </si>
  <si>
    <t>matthew.rahtz</t>
  </si>
  <si>
    <t>nitbix@nitbix.com</t>
  </si>
  <si>
    <t>nitbix</t>
  </si>
  <si>
    <t>MikaelTamillow96@gmail.com</t>
  </si>
  <si>
    <t>MikaelTamillow96</t>
  </si>
  <si>
    <t>habarlack@gmail.com</t>
  </si>
  <si>
    <t>habarlack</t>
  </si>
  <si>
    <t>amitpatankar@nestlabs.com</t>
  </si>
  <si>
    <t>maidens@eecs.berkeley.edu</t>
  </si>
  <si>
    <t>maidens</t>
  </si>
  <si>
    <t>oyeshsin@hotmail.com</t>
  </si>
  <si>
    <t>oyeshsin</t>
  </si>
  <si>
    <t>ebigelow@u.rochester.edu</t>
  </si>
  <si>
    <t>ebigelow</t>
  </si>
  <si>
    <t>bhaprayan@users.noreply.github.com</t>
  </si>
  <si>
    <t>bhaprayan</t>
  </si>
  <si>
    <t>tobypetty1@gmail.com</t>
  </si>
  <si>
    <t>tobypetty1</t>
  </si>
  <si>
    <t>aam-at@users.noreply.github.com</t>
  </si>
  <si>
    <t>aam-at</t>
  </si>
  <si>
    <t>teslafocus@gmail.com</t>
  </si>
  <si>
    <t>teslafocus</t>
  </si>
  <si>
    <t>dmytro.kyrychuck@gmail.com</t>
  </si>
  <si>
    <t>dmytro.kyrychuck</t>
  </si>
  <si>
    <t>j@jamesmishra.com</t>
  </si>
  <si>
    <t>seventhmoon@users.noreply.github.com</t>
  </si>
  <si>
    <t>seventhmoon</t>
  </si>
  <si>
    <t>akimitsu.seo@dragon.jp</t>
  </si>
  <si>
    <t>akimitsu.seo</t>
  </si>
  <si>
    <t>seano314@users.noreply.github.com</t>
  </si>
  <si>
    <t>seano314</t>
  </si>
  <si>
    <t>chsahit@gmail.com</t>
  </si>
  <si>
    <t>chsahit</t>
  </si>
  <si>
    <t>ql@lemonzi.me</t>
  </si>
  <si>
    <t>ql</t>
  </si>
  <si>
    <t>nharada1@users.noreply.github.com</t>
  </si>
  <si>
    <t>nharada1</t>
  </si>
  <si>
    <t>dsubburam@gmail.com</t>
  </si>
  <si>
    <t>dsubburam</t>
  </si>
  <si>
    <t>Anmol-Sharma@users.noreply.github.com</t>
  </si>
  <si>
    <t>Anmol-Sharma</t>
  </si>
  <si>
    <t>john.ch.fr@gmail.com</t>
  </si>
  <si>
    <t>john.ch.fr</t>
  </si>
  <si>
    <t>karelvandeplassche@gmail.com</t>
  </si>
  <si>
    <t>karelvandeplassche</t>
  </si>
  <si>
    <t>nrmycosynth@gmail.com</t>
  </si>
  <si>
    <t>nrmycosynth</t>
  </si>
  <si>
    <t>lyuwenyu@users.noreply.github.com</t>
  </si>
  <si>
    <t>lyuwenyu</t>
  </si>
  <si>
    <t>hevensun@126.com</t>
  </si>
  <si>
    <t>hevensun</t>
  </si>
  <si>
    <t>av8ramit@yahoo.com</t>
  </si>
  <si>
    <t>av8ramit</t>
  </si>
  <si>
    <t>pmc01@users.noreply.github.com</t>
  </si>
  <si>
    <t>pmc01</t>
  </si>
  <si>
    <t>besir@algorithmia.com</t>
  </si>
  <si>
    <t>besir</t>
  </si>
  <si>
    <t>Algorithmia</t>
  </si>
  <si>
    <t>palimarr@gmail.com</t>
  </si>
  <si>
    <t>palimarr</t>
  </si>
  <si>
    <t>mszepien@gmail.com</t>
  </si>
  <si>
    <t>mszepien</t>
  </si>
  <si>
    <t>critiqjo@users.noreply.github.com</t>
  </si>
  <si>
    <t>critiqjo</t>
  </si>
  <si>
    <t>sai.sai.shao@gmail.com</t>
  </si>
  <si>
    <t>sai.sai.shao</t>
  </si>
  <si>
    <t>edpierce30@gmail.com</t>
  </si>
  <si>
    <t>edpierce30</t>
  </si>
  <si>
    <t>daxlab@users.noreply.github.com</t>
  </si>
  <si>
    <t>daxlab</t>
  </si>
  <si>
    <t>nsriram13@users.noreply.github.com</t>
  </si>
  <si>
    <t>nsriram13</t>
  </si>
  <si>
    <t>nicholas.k.connor@gmail.com</t>
  </si>
  <si>
    <t>nicholas.k.connor</t>
  </si>
  <si>
    <t>memo@users.noreply.github.com</t>
  </si>
  <si>
    <t>memo</t>
  </si>
  <si>
    <t>tanggefu@gmail.com</t>
  </si>
  <si>
    <t>tanggefu</t>
  </si>
  <si>
    <t>timanglade@gmail.com</t>
  </si>
  <si>
    <t>timanglade</t>
  </si>
  <si>
    <t>v.stratus@gmail.com</t>
  </si>
  <si>
    <t>v.stratus</t>
  </si>
  <si>
    <t>alec.desouza@uoit.net</t>
  </si>
  <si>
    <t>alec.desouza</t>
  </si>
  <si>
    <t>uoit</t>
  </si>
  <si>
    <t>mcoaky@gmail.com</t>
  </si>
  <si>
    <t>mcoaky</t>
  </si>
  <si>
    <t>sanosay@hotmail.com</t>
  </si>
  <si>
    <t>sanosay</t>
  </si>
  <si>
    <t>benny@noqcks.io</t>
  </si>
  <si>
    <t>benny</t>
  </si>
  <si>
    <t>dimpavloff@gmail.com</t>
  </si>
  <si>
    <t>dimpavloff</t>
  </si>
  <si>
    <t>erfannoury@users.noreply.github.com</t>
  </si>
  <si>
    <t>erfannoury</t>
  </si>
  <si>
    <t>jason.morton@gmail.com</t>
  </si>
  <si>
    <t>jason.morton</t>
  </si>
  <si>
    <t>zifei@google.com</t>
  </si>
  <si>
    <t>zifei</t>
  </si>
  <si>
    <t>jgavris@butterflynetinc.com</t>
  </si>
  <si>
    <t>jgavris</t>
  </si>
  <si>
    <t>perrier1034@users.noreply.github.com</t>
  </si>
  <si>
    <t>perrier1034</t>
  </si>
  <si>
    <t>MircoT@users.noreply.github.com</t>
  </si>
  <si>
    <t>MircoT</t>
  </si>
  <si>
    <t>senden9@gmail.com</t>
  </si>
  <si>
    <t>senden9</t>
  </si>
  <si>
    <t>chorig9@gmail.com</t>
  </si>
  <si>
    <t>chorig9</t>
  </si>
  <si>
    <t>guwang12@gmail.com</t>
  </si>
  <si>
    <t>guwang12</t>
  </si>
  <si>
    <t>christopherberner@gmail.com</t>
  </si>
  <si>
    <t>christopherberner</t>
  </si>
  <si>
    <t>calpaliu@gmail.com</t>
  </si>
  <si>
    <t>calpaliu</t>
  </si>
  <si>
    <t>czinzow@wisc.edu</t>
  </si>
  <si>
    <t>czinzow</t>
  </si>
  <si>
    <t>dmitry.persiyanov@gmail.com</t>
  </si>
  <si>
    <t>dmitry.persiyanov</t>
  </si>
  <si>
    <t>xioryutor@gmail.com</t>
  </si>
  <si>
    <t>xioryutor</t>
  </si>
  <si>
    <t>tom.eldridge@hotmail.com</t>
  </si>
  <si>
    <t>tom.eldridge</t>
  </si>
  <si>
    <t>tomasreimers@gmail.com</t>
  </si>
  <si>
    <t>tomasreimers</t>
  </si>
  <si>
    <t>tylers.pile@gmail.com</t>
  </si>
  <si>
    <t>tylers.pile</t>
  </si>
  <si>
    <t>dpwe@ee.columbia.edu</t>
  </si>
  <si>
    <t>dpwe</t>
  </si>
  <si>
    <t>guilherme.dinisjunior@gmail.com</t>
  </si>
  <si>
    <t>guilherme.dinisjunior</t>
  </si>
  <si>
    <t>gharbi@mit.edu</t>
  </si>
  <si>
    <t>gharbi</t>
  </si>
  <si>
    <t>yifanwang1993@gmail.com</t>
  </si>
  <si>
    <t>yifanwang1993</t>
  </si>
  <si>
    <t>ankeshanand1994@gmail.com</t>
  </si>
  <si>
    <t>ankeshanand1994</t>
  </si>
  <si>
    <t>rapigan@gmail.com</t>
  </si>
  <si>
    <t>rapigan</t>
  </si>
  <si>
    <t>jsawruk@jwpepper.com</t>
  </si>
  <si>
    <t>jsawruk</t>
  </si>
  <si>
    <t>jwpepper</t>
  </si>
  <si>
    <t>i.s.smirnov@gmail.com</t>
  </si>
  <si>
    <t>i.s.smirnov</t>
  </si>
  <si>
    <t>adal.chiriliuc@gmail.com</t>
  </si>
  <si>
    <t>adal.chiriliuc</t>
  </si>
  <si>
    <t>selay01@users.noreply.github.com</t>
  </si>
  <si>
    <t>selay01</t>
  </si>
  <si>
    <t>javiribera@users.noreply.github.com</t>
  </si>
  <si>
    <t>javiribera</t>
  </si>
  <si>
    <t>leorahul16@gmail.com</t>
  </si>
  <si>
    <t>leorahul16</t>
  </si>
  <si>
    <t>mrdavey@users.noreply.github.com</t>
  </si>
  <si>
    <t>mrdavey</t>
  </si>
  <si>
    <t>timwilloney@gmail.com</t>
  </si>
  <si>
    <t>timwilloney</t>
  </si>
  <si>
    <t>github@belval.org</t>
  </si>
  <si>
    <t>totentanz@pku.edu.cn</t>
  </si>
  <si>
    <t>totentanz</t>
  </si>
  <si>
    <t>ruedigerbusche@web.de</t>
  </si>
  <si>
    <t>ruedigerbusche</t>
  </si>
  <si>
    <t>izuta.hiroyuki@gmail.com</t>
  </si>
  <si>
    <t>izuta.hiroyuki</t>
  </si>
  <si>
    <t>zeng.chi@gmail.com</t>
  </si>
  <si>
    <t>zeng.chi</t>
  </si>
  <si>
    <t>joan.thibault@ens-rennes.fr</t>
  </si>
  <si>
    <t>joan.thibault</t>
  </si>
  <si>
    <t>Julian@GrayVines.com</t>
  </si>
  <si>
    <t>Julian</t>
  </si>
  <si>
    <t>russell.j.kaplan@gmail.com</t>
  </si>
  <si>
    <t>russell.j.kaplan</t>
  </si>
  <si>
    <t>otzy@users.noreply.github.com</t>
  </si>
  <si>
    <t>otzy</t>
  </si>
  <si>
    <t>jundp@informatik.uni-freiburg.de</t>
  </si>
  <si>
    <t>jundp</t>
  </si>
  <si>
    <t>mathew.wicks@gmail.com</t>
  </si>
  <si>
    <t>mathew.wicks</t>
  </si>
  <si>
    <t>brady.zhou@utexas.edu</t>
  </si>
  <si>
    <t>brady.zhou</t>
  </si>
  <si>
    <t>Lezcano@users.noreply.github.com</t>
  </si>
  <si>
    <t>Lezcano</t>
  </si>
  <si>
    <t>nikolaas.steenbergen@googlemail.com</t>
  </si>
  <si>
    <t>nikolaas.steenbergen</t>
  </si>
  <si>
    <t>rizasif@gmail.com</t>
  </si>
  <si>
    <t>rizasif</t>
  </si>
  <si>
    <t>mlucool@gmail.com</t>
  </si>
  <si>
    <t>mlucool</t>
  </si>
  <si>
    <t>LaurenLuoYun@users.noreply.github.com</t>
  </si>
  <si>
    <t>LaurenLuoYun</t>
  </si>
  <si>
    <t>hartb@us.ibm.com</t>
  </si>
  <si>
    <t>hartb</t>
  </si>
  <si>
    <t>muammar.alshedivat@gmail.com</t>
  </si>
  <si>
    <t>muammar.alshedivat</t>
  </si>
  <si>
    <t>martial.hue@gmail.com</t>
  </si>
  <si>
    <t>martial.hue</t>
  </si>
  <si>
    <t>shin.richard@gmail.com</t>
  </si>
  <si>
    <t>shin.richard</t>
  </si>
  <si>
    <t>aptro@users.noreply.github.com</t>
  </si>
  <si>
    <t>aptro</t>
  </si>
  <si>
    <t>ashutoshdas96@users.noreply.github.com</t>
  </si>
  <si>
    <t>ashutoshdas96</t>
  </si>
  <si>
    <t>almos@google.com</t>
  </si>
  <si>
    <t>almos</t>
  </si>
  <si>
    <t>chihchengliang@gmail.com</t>
  </si>
  <si>
    <t>chihchengliang</t>
  </si>
  <si>
    <t>philip.henningsen@gmail.com</t>
  </si>
  <si>
    <t>philip.henningsen</t>
  </si>
  <si>
    <t>fishercoder1534@users.noreply.github.com</t>
  </si>
  <si>
    <t>fishercoder1534</t>
  </si>
  <si>
    <t>medhat.omr@gmail.com</t>
  </si>
  <si>
    <t>medhat.omr</t>
  </si>
  <si>
    <t>johannes.haux@gmx.de</t>
  </si>
  <si>
    <t>johannes.haux</t>
  </si>
  <si>
    <t>gagan.nith@gmail.com</t>
  </si>
  <si>
    <t>gagan.nith</t>
  </si>
  <si>
    <t>et.totum@gmail.com</t>
  </si>
  <si>
    <t>et.totum</t>
  </si>
  <si>
    <t>sheng79225@gmail.com</t>
  </si>
  <si>
    <t>sheng79225</t>
  </si>
  <si>
    <t>apj_jeanclaude@yahoo.fr</t>
  </si>
  <si>
    <t>apj_jeanclaude</t>
  </si>
  <si>
    <t>leomao@users.noreply.github.com</t>
  </si>
  <si>
    <t>leomao</t>
  </si>
  <si>
    <t>andychong2@gmail.com</t>
  </si>
  <si>
    <t>andychong2</t>
  </si>
  <si>
    <t>norman.heckscher@gmail.com</t>
  </si>
  <si>
    <t>norman.heckscher</t>
  </si>
  <si>
    <t>aigner.erik@gmail.com</t>
  </si>
  <si>
    <t>aigner.erik</t>
  </si>
  <si>
    <t>Hvass-Labs@users.noreply.github.com</t>
  </si>
  <si>
    <t>Hvass-Labs</t>
  </si>
  <si>
    <t>hypernovagama@gmail.com</t>
  </si>
  <si>
    <t>hypernovagama</t>
  </si>
  <si>
    <t>mbasilyan@gmail.com</t>
  </si>
  <si>
    <t>mbasilyan</t>
  </si>
  <si>
    <t>cc.rafaz@zafar.cc</t>
  </si>
  <si>
    <t>cc.rafaz</t>
  </si>
  <si>
    <t>feiskyer@gmail.com</t>
  </si>
  <si>
    <t>feiskyer</t>
  </si>
  <si>
    <t>morten.just@genstart.dk</t>
  </si>
  <si>
    <t>morten.just</t>
  </si>
  <si>
    <t>velaia@users.noreply.github.com</t>
  </si>
  <si>
    <t>velaia</t>
  </si>
  <si>
    <t>smueller@cpan.org</t>
  </si>
  <si>
    <t>smueller</t>
  </si>
  <si>
    <t>wheeleast@gmail.com</t>
  </si>
  <si>
    <t>wheeleast</t>
  </si>
  <si>
    <t>novikov@bayesgroup.ru</t>
  </si>
  <si>
    <t>novikov</t>
  </si>
  <si>
    <t>Bayesgroup</t>
  </si>
  <si>
    <t>JacobIsrael123@users.noreply.github.com</t>
  </si>
  <si>
    <t>JacobIsrael123</t>
  </si>
  <si>
    <t>jp@bellgeorge.com</t>
  </si>
  <si>
    <t>jp</t>
  </si>
  <si>
    <t>samhputnam@gmail.com</t>
  </si>
  <si>
    <t>samhputnam</t>
  </si>
  <si>
    <t>finbarrtimbers@gmail.com</t>
  </si>
  <si>
    <t>finbarrtimbers</t>
  </si>
  <si>
    <t>seongside@gmail.com</t>
  </si>
  <si>
    <t>seongside</t>
  </si>
  <si>
    <t>golbin@gmail.com</t>
  </si>
  <si>
    <t>golbin</t>
  </si>
  <si>
    <t>nikita.huston@yandex.ru</t>
  </si>
  <si>
    <t>nikita.huston</t>
  </si>
  <si>
    <t>rosa@ufal.mff.cuni.cz</t>
  </si>
  <si>
    <t>rosa</t>
  </si>
  <si>
    <t>danielgordon10@gmail.com</t>
  </si>
  <si>
    <t>danielgordon10</t>
  </si>
  <si>
    <t>nick722@gmail.com</t>
  </si>
  <si>
    <t>nick722</t>
  </si>
  <si>
    <t>adam@ajmichael.net</t>
  </si>
  <si>
    <t>lapin@cvisionlab.com</t>
  </si>
  <si>
    <t>lapin</t>
  </si>
  <si>
    <t>cvisionlab</t>
  </si>
  <si>
    <t>lvli@yangqianguan.com</t>
  </si>
  <si>
    <t>lvli</t>
  </si>
  <si>
    <t>ronrest@users.noreply.github.com</t>
  </si>
  <si>
    <t>ronrest</t>
  </si>
  <si>
    <t>issac.sacrifice@gmail.com</t>
  </si>
  <si>
    <t>issac.sacrifice</t>
  </si>
  <si>
    <t>ecofer@trinity.edu</t>
  </si>
  <si>
    <t>ecofer</t>
  </si>
  <si>
    <t>newge@users.noreply.github.com</t>
  </si>
  <si>
    <t>newge</t>
  </si>
  <si>
    <t>mihir.v.patel7@gmail.com</t>
  </si>
  <si>
    <t>mihir.v.patel7</t>
  </si>
  <si>
    <t>cs.cchad@gmail.com</t>
  </si>
  <si>
    <t>cs.cchad</t>
  </si>
  <si>
    <t>wkdtn8211@gmail.com</t>
  </si>
  <si>
    <t>wkdtn8211</t>
  </si>
  <si>
    <t>lingliangz@gmail.com</t>
  </si>
  <si>
    <t>lingliangz</t>
  </si>
  <si>
    <t>luheng@uw.edu</t>
  </si>
  <si>
    <t>luheng</t>
  </si>
  <si>
    <t>nicholasbutlin@gmail.com</t>
  </si>
  <si>
    <t>nicholasbutlin</t>
  </si>
  <si>
    <t>tweek@google.com</t>
  </si>
  <si>
    <t>tweek</t>
  </si>
  <si>
    <t>i@toonaive.me</t>
  </si>
  <si>
    <t>cwlbraa@users.noreply.github.com</t>
  </si>
  <si>
    <t>cwlbraa</t>
  </si>
  <si>
    <t>thjashin123@126.com</t>
  </si>
  <si>
    <t>thjashin123</t>
  </si>
  <si>
    <t>g@rre.tt</t>
  </si>
  <si>
    <t>AfirSraftGarrier@gmail.com</t>
  </si>
  <si>
    <t>AfirSraftGarrier</t>
  </si>
  <si>
    <t>henrik.holst@frostbite.com</t>
  </si>
  <si>
    <t>henrik.holst</t>
  </si>
  <si>
    <t>tiriplica.mihai@gmail.com</t>
  </si>
  <si>
    <t>tiriplica.mihai</t>
  </si>
  <si>
    <t>foreverfaint@gmail.com</t>
  </si>
  <si>
    <t>foreverfaint</t>
  </si>
  <si>
    <t>gubarev@cvisionlab.com</t>
  </si>
  <si>
    <t>gubarev</t>
  </si>
  <si>
    <t>kamil.hryniewicz@gmail.com</t>
  </si>
  <si>
    <t>kamil.hryniewicz</t>
  </si>
  <si>
    <t>zhongyuk@users.noreply.github.com</t>
  </si>
  <si>
    <t>zhongyuk</t>
  </si>
  <si>
    <t>drabovich@gmail.com</t>
  </si>
  <si>
    <t>drabovich</t>
  </si>
  <si>
    <t>gokcen.eraslan@gmail.com</t>
  </si>
  <si>
    <t>gokcen.eraslan</t>
  </si>
  <si>
    <t>jithinoc@users.noreply.github.com</t>
  </si>
  <si>
    <t>jithinoc</t>
  </si>
  <si>
    <t>javidcf@gmail.com</t>
  </si>
  <si>
    <t>javidcf</t>
  </si>
  <si>
    <t>ken.shirriff@gmail.com</t>
  </si>
  <si>
    <t>ken.shirriff</t>
  </si>
  <si>
    <t>kai.wolf@gmail.com</t>
  </si>
  <si>
    <t>kai.wolf</t>
  </si>
  <si>
    <t>uschmidt83@users.noreply.github.com</t>
  </si>
  <si>
    <t>uschmidt83</t>
  </si>
  <si>
    <t>asfalit@gmail.com</t>
  </si>
  <si>
    <t>asfalit</t>
  </si>
  <si>
    <t>xuesongyxs@gmail.com</t>
  </si>
  <si>
    <t>xuesongyxs</t>
  </si>
  <si>
    <t>hoangmit@users.noreply.github.com</t>
  </si>
  <si>
    <t>hoangmit</t>
  </si>
  <si>
    <t>fabricioceschin@gmail.com</t>
  </si>
  <si>
    <t>fabricioceschin</t>
  </si>
  <si>
    <t>s20121033@xs.ustb.edu.cn</t>
  </si>
  <si>
    <t>s20121033</t>
  </si>
  <si>
    <t>philokeys@gmail.com</t>
  </si>
  <si>
    <t>philokeys</t>
  </si>
  <si>
    <t>m.alzantot@gmail.com</t>
  </si>
  <si>
    <t>m.alzantot</t>
  </si>
  <si>
    <t>burness1990@gmail.com</t>
  </si>
  <si>
    <t>burness1990</t>
  </si>
  <si>
    <t>kam.cpp@gmail.com</t>
  </si>
  <si>
    <t>kam.cpp</t>
  </si>
  <si>
    <t>martin.mekota@gmail.com</t>
  </si>
  <si>
    <t>martin.mekota</t>
  </si>
  <si>
    <t>karl@qdh.org.uk</t>
  </si>
  <si>
    <t>grksriram321@gmail.com</t>
  </si>
  <si>
    <t>grksriram321</t>
  </si>
  <si>
    <t>tom.nickson@gmail.com</t>
  </si>
  <si>
    <t>tom.nickson</t>
  </si>
  <si>
    <t>readleister@gmail.com</t>
  </si>
  <si>
    <t>readleister</t>
  </si>
  <si>
    <t>skopekondrej@gmail.com</t>
  </si>
  <si>
    <t>skopekondrej</t>
  </si>
  <si>
    <t>dgjones@gmail.com</t>
  </si>
  <si>
    <t>dgjones</t>
  </si>
  <si>
    <t>mularczb@student.ethz.ch</t>
  </si>
  <si>
    <t>mularczb</t>
  </si>
  <si>
    <t>fisherpk@gmail.com</t>
  </si>
  <si>
    <t>fisherpk</t>
  </si>
  <si>
    <t>schulz@ais.uni-bonn.de</t>
  </si>
  <si>
    <t>schulz</t>
  </si>
  <si>
    <t>quarazy@gmail.com</t>
  </si>
  <si>
    <t>quarazy</t>
  </si>
  <si>
    <t>git@jonasrauber.de</t>
  </si>
  <si>
    <t>wujingyue@gmail.com</t>
  </si>
  <si>
    <t>wujingyue</t>
  </si>
  <si>
    <t>nathan.schucher@gmail.com</t>
  </si>
  <si>
    <t>nathan.schucher</t>
  </si>
  <si>
    <t>ben.guidarelli@gmail.com</t>
  </si>
  <si>
    <t>ben.guidarelli</t>
  </si>
  <si>
    <t>liam.he15@gmail.com</t>
  </si>
  <si>
    <t>liam.he15</t>
  </si>
  <si>
    <t>johmathe@users.noreply.github.com</t>
  </si>
  <si>
    <t>johmathe</t>
  </si>
  <si>
    <t>joapaspe@gmail.com</t>
  </si>
  <si>
    <t>joapaspe</t>
  </si>
  <si>
    <t>nick@unsalted.nu</t>
  </si>
  <si>
    <t>ultraklon@gmail.com</t>
  </si>
  <si>
    <t>ultraklon</t>
  </si>
  <si>
    <t>moontails@users.noreply.github.com</t>
  </si>
  <si>
    <t>moontails</t>
  </si>
  <si>
    <t>holst@matmech.com</t>
  </si>
  <si>
    <t>holst</t>
  </si>
  <si>
    <t>neil.han@gmail.com</t>
  </si>
  <si>
    <t>neil.han</t>
  </si>
  <si>
    <t>amlan.asaa@gmail.com</t>
  </si>
  <si>
    <t>amlan.asaa</t>
  </si>
  <si>
    <t>tusharsoni08@users.noreply.github.com</t>
  </si>
  <si>
    <t>tusharsoni08</t>
  </si>
  <si>
    <t>zpan@yodlee.com</t>
  </si>
  <si>
    <t>zpan</t>
  </si>
  <si>
    <t>yodlee</t>
  </si>
  <si>
    <t>philipp.rehs@uni-duesseldorf.de</t>
  </si>
  <si>
    <t>philipp.rehs</t>
  </si>
  <si>
    <t>uni-duesseldorf</t>
  </si>
  <si>
    <t>larissa95@users.noreply.github.com</t>
  </si>
  <si>
    <t>larissa95</t>
  </si>
  <si>
    <t>alexgkendall@users.noreply.github.com</t>
  </si>
  <si>
    <t>alexgkendall</t>
  </si>
  <si>
    <t>arlenglet@gmail.com</t>
  </si>
  <si>
    <t>arlenglet</t>
  </si>
  <si>
    <t>chenxd@pku.edu.cn</t>
  </si>
  <si>
    <t>chenxd</t>
  </si>
  <si>
    <t>zaraki@gmx.com</t>
  </si>
  <si>
    <t>zaraki</t>
  </si>
  <si>
    <t>gaetan@xeberon.net</t>
  </si>
  <si>
    <t>gaetan</t>
  </si>
  <si>
    <t>ironhead.chuang@gmail.com</t>
  </si>
  <si>
    <t>ironhead.chuang</t>
  </si>
  <si>
    <t>perhaps.other@gmail.com</t>
  </si>
  <si>
    <t>perhaps.other</t>
  </si>
  <si>
    <t>zplizzi@users.noreply.github.com</t>
  </si>
  <si>
    <t>zplizzi</t>
  </si>
  <si>
    <t>andrewt@gmail.com</t>
  </si>
  <si>
    <t>andrewt</t>
  </si>
  <si>
    <t>omtcyfz@users.noreply.github.com</t>
  </si>
  <si>
    <t>omtcyfz</t>
  </si>
  <si>
    <t>malithyapa@gmail.com</t>
  </si>
  <si>
    <t>malithyapa</t>
  </si>
  <si>
    <t>MatthiasWinkelmann@users.noreply.github.com</t>
  </si>
  <si>
    <t>MatthiasWinkelmann</t>
  </si>
  <si>
    <t>dj.lasiman@gmail.com</t>
  </si>
  <si>
    <t>dj.lasiman</t>
  </si>
  <si>
    <t>steverichey@users.noreply.github.com</t>
  </si>
  <si>
    <t>steverichey</t>
  </si>
  <si>
    <t>ajayraop3495@gmail.com</t>
  </si>
  <si>
    <t>ajayraop3495</t>
  </si>
  <si>
    <t>yenchenlin1994@gmail.com</t>
  </si>
  <si>
    <t>yenchenlin1994</t>
  </si>
  <si>
    <t>chenyang.liu@bodylabs.com</t>
  </si>
  <si>
    <t>chenyang.liu</t>
  </si>
  <si>
    <t>shinichiro.hamaji@gmail.com</t>
  </si>
  <si>
    <t>shinichiro.hamaji</t>
  </si>
  <si>
    <t>josharian@gmail.com</t>
  </si>
  <si>
    <t>josharian</t>
  </si>
  <si>
    <t>press@ofir.io</t>
  </si>
  <si>
    <t>press</t>
  </si>
  <si>
    <t>chanis@users.noreply.github.com</t>
  </si>
  <si>
    <t>chanis</t>
  </si>
  <si>
    <t>denis.d.gorbachev@gmail.com</t>
  </si>
  <si>
    <t>denis.d.gorbachev</t>
  </si>
  <si>
    <t>jesse_pangburn@yahoo.com</t>
  </si>
  <si>
    <t>jesse_pangburn</t>
  </si>
  <si>
    <t>tisphie@gmail.com</t>
  </si>
  <si>
    <t>tisphie</t>
  </si>
  <si>
    <t>kalakris@google.com</t>
  </si>
  <si>
    <t>kalakris</t>
  </si>
  <si>
    <t>Sahil@cse.iitm.ac.in</t>
  </si>
  <si>
    <t>Sahil</t>
  </si>
  <si>
    <t>cse</t>
  </si>
  <si>
    <t>afshinrahimi@gmail.com</t>
  </si>
  <si>
    <t>afshinrahimi</t>
  </si>
  <si>
    <t>jules_gagnonm@hotmail.com</t>
  </si>
  <si>
    <t>jules_gagnonm</t>
  </si>
  <si>
    <t>da.waterworth@gmail.com</t>
  </si>
  <si>
    <t>da.waterworth</t>
  </si>
  <si>
    <t>RitwikGupta@users.noreply.github.com</t>
  </si>
  <si>
    <t>RitwikGupta</t>
  </si>
  <si>
    <t>manitejanmt@gmail.com</t>
  </si>
  <si>
    <t>manitejanmt</t>
  </si>
  <si>
    <t>gnebehay@gmail.com</t>
  </si>
  <si>
    <t>gnebehay</t>
  </si>
  <si>
    <t>bdamos@vt.edu</t>
  </si>
  <si>
    <t>bdamos</t>
  </si>
  <si>
    <t>dingzezhen@huawei.com</t>
  </si>
  <si>
    <t>dingzezhen</t>
  </si>
  <si>
    <t>ichuang@mit.edu</t>
  </si>
  <si>
    <t>ichuang</t>
  </si>
  <si>
    <t>bdilday@users.noreply.github.com</t>
  </si>
  <si>
    <t>bdilday</t>
  </si>
  <si>
    <t>egor.krivov@frtk.ru</t>
  </si>
  <si>
    <t>egor.krivov</t>
  </si>
  <si>
    <t>jennifer.jinyuan.guo@gmail.com</t>
  </si>
  <si>
    <t>jennifer.jinyuan.guo</t>
  </si>
  <si>
    <t>andrew.stromme@gmail.com</t>
  </si>
  <si>
    <t>andrew.stromme</t>
  </si>
  <si>
    <t>gibianskyandrew@baidu.com</t>
  </si>
  <si>
    <t>gibianskyandrew</t>
  </si>
  <si>
    <t>bquast@gmail.com</t>
  </si>
  <si>
    <t>bquast</t>
  </si>
  <si>
    <t>elia.palme@gmail.com</t>
  </si>
  <si>
    <t>elia.palme</t>
  </si>
  <si>
    <t>tiago.nuno.jorge@gmail.com</t>
  </si>
  <si>
    <t>tiago.nuno.jorge</t>
  </si>
  <si>
    <t>acrume@google.com</t>
  </si>
  <si>
    <t>acrume</t>
  </si>
  <si>
    <t>bafuchen@gmail.com</t>
  </si>
  <si>
    <t>bafuchen</t>
  </si>
  <si>
    <t>masafumi.orz@gmail.com</t>
  </si>
  <si>
    <t>masafumi.orz</t>
  </si>
  <si>
    <t>PeterisP@gmail.com</t>
  </si>
  <si>
    <t>PeterisP</t>
  </si>
  <si>
    <t>iver56@hotmail.com</t>
  </si>
  <si>
    <t>iver56</t>
  </si>
  <si>
    <t>iepathos@gmail.com</t>
  </si>
  <si>
    <t>iepathos</t>
  </si>
  <si>
    <t>songshiyurain@126.com</t>
  </si>
  <si>
    <t>songshiyurain</t>
  </si>
  <si>
    <t>johnjalleniii@gmail.com</t>
  </si>
  <si>
    <t>johnjalleniii</t>
  </si>
  <si>
    <t>adamcrume@gmail.com</t>
  </si>
  <si>
    <t>adamcrume</t>
  </si>
  <si>
    <t>thomas.oldervoll@zenior.no</t>
  </si>
  <si>
    <t>thomas.oldervoll</t>
  </si>
  <si>
    <t>zenior</t>
  </si>
  <si>
    <t>johann.petrak@gmail.com</t>
  </si>
  <si>
    <t>johann.petrak</t>
  </si>
  <si>
    <t>sunsal0704@gmail.com</t>
  </si>
  <si>
    <t>sunsal0704</t>
  </si>
  <si>
    <t>ThomasLee969@users.noreply.github.com</t>
  </si>
  <si>
    <t>ThomasLee969</t>
  </si>
  <si>
    <t>tfturing@gmail.com</t>
  </si>
  <si>
    <t>tfturing</t>
  </si>
  <si>
    <t>james.fysh@gmail.com</t>
  </si>
  <si>
    <t>james.fysh</t>
  </si>
  <si>
    <t>abidrahman2@gmail.com</t>
  </si>
  <si>
    <t>abidrahman2</t>
  </si>
  <si>
    <t>brian@designcondition.com</t>
  </si>
  <si>
    <t>designcondition</t>
  </si>
  <si>
    <t>nico.galoppo@intel.com</t>
  </si>
  <si>
    <t>nico.galoppo</t>
  </si>
  <si>
    <t>sono@bitfusion.io</t>
  </si>
  <si>
    <t>sono</t>
  </si>
  <si>
    <t>Bitfusion</t>
  </si>
  <si>
    <t>rohitgirdhar@users.noreply.github.com</t>
  </si>
  <si>
    <t>rohitgirdhar</t>
  </si>
  <si>
    <t>voidwrk@gmail.com</t>
  </si>
  <si>
    <t>voidwrk</t>
  </si>
  <si>
    <t>nielsene@google.com</t>
  </si>
  <si>
    <t>nielsene</t>
  </si>
  <si>
    <t>marchesimarco@gmail.com</t>
  </si>
  <si>
    <t>marchesimarco</t>
  </si>
  <si>
    <t>gideond+github@gmail.com</t>
  </si>
  <si>
    <t>gideond+github</t>
  </si>
  <si>
    <t>dsavints@gmail.com</t>
  </si>
  <si>
    <t>dsavints</t>
  </si>
  <si>
    <t>huohuarong@gmail.com</t>
  </si>
  <si>
    <t>huohuarong</t>
  </si>
  <si>
    <t>tobeg3oogle@gmail.com</t>
  </si>
  <si>
    <t>tobeg3oogle</t>
  </si>
  <si>
    <t>heinzbeinz@gmail.com</t>
  </si>
  <si>
    <t>heinzbeinz</t>
  </si>
  <si>
    <t>shotat@users.noreply.github.com</t>
  </si>
  <si>
    <t>shotat</t>
  </si>
  <si>
    <t>root-nishi@users.noreply.github.com</t>
  </si>
  <si>
    <t>root-nishi</t>
  </si>
  <si>
    <t>odeke@ualberta.ca</t>
  </si>
  <si>
    <t>odeke</t>
  </si>
  <si>
    <t>ualberta</t>
  </si>
  <si>
    <t>jonathanraiman@gmail.com</t>
  </si>
  <si>
    <t>jonathanraiman</t>
  </si>
  <si>
    <t>shenhan@google.com</t>
  </si>
  <si>
    <t>shenhan</t>
  </si>
  <si>
    <t>amarshall@numenta.com</t>
  </si>
  <si>
    <t>amarshall</t>
  </si>
  <si>
    <t>numenta</t>
  </si>
  <si>
    <t>gavin.sherry@gmail.com</t>
  </si>
  <si>
    <t>gavin.sherry</t>
  </si>
  <si>
    <t>rdadolf@gmail.com</t>
  </si>
  <si>
    <t>rdadolf</t>
  </si>
  <si>
    <t>mmegazar@gmail.com</t>
  </si>
  <si>
    <t>mmegazar</t>
  </si>
  <si>
    <t>cnJamesDeng@gmail.com</t>
  </si>
  <si>
    <t>cnJamesDeng</t>
  </si>
  <si>
    <t>petrjandacz@gmail.com</t>
  </si>
  <si>
    <t>petrjandacz</t>
  </si>
  <si>
    <t>rvaaler@student.ethz.ch</t>
  </si>
  <si>
    <t>rvaaler</t>
  </si>
  <si>
    <t>marc.khry@gmail.com</t>
  </si>
  <si>
    <t>marc.khry</t>
  </si>
  <si>
    <t>df.rodriguez143@gmail.com</t>
  </si>
  <si>
    <t>df.rodriguez143</t>
  </si>
  <si>
    <t>mikowals@gmail.com</t>
  </si>
  <si>
    <t>mikowals</t>
  </si>
  <si>
    <t>ErnestG@users.noreply.github.com</t>
  </si>
  <si>
    <t>ErnestG</t>
  </si>
  <si>
    <t>baoblackcoal@gmail.com</t>
  </si>
  <si>
    <t>baoblackcoal</t>
  </si>
  <si>
    <t>agroyer@gmail.com</t>
  </si>
  <si>
    <t>agroyer</t>
  </si>
  <si>
    <t>Charles-Emmanuel.Dias@etu.upmc.fr</t>
  </si>
  <si>
    <t>Charles-Emmanuel.Dias</t>
  </si>
  <si>
    <t>tchngyang@gmail.com</t>
  </si>
  <si>
    <t>tchngyang</t>
  </si>
  <si>
    <t>Undo1@users.noreply.github.com</t>
  </si>
  <si>
    <t>Undo1</t>
  </si>
  <si>
    <t>dpaiton@users.noreply.github.com</t>
  </si>
  <si>
    <t>dpaiton</t>
  </si>
  <si>
    <t>benjamin.n.lee@gmail.com</t>
  </si>
  <si>
    <t>benjamin.n.lee</t>
  </si>
  <si>
    <t>jesper@selskabet.org</t>
  </si>
  <si>
    <t>orionr@gmail.com</t>
  </si>
  <si>
    <t>orionr</t>
  </si>
  <si>
    <t>moof2k@users.noreply.github.com</t>
  </si>
  <si>
    <t>moof2k</t>
  </si>
  <si>
    <t>waleed.abdulla@gmail.com</t>
  </si>
  <si>
    <t>waleed.abdulla</t>
  </si>
  <si>
    <t>snakecharmer1024@users.noreply.github.com</t>
  </si>
  <si>
    <t>snakecharmer1024</t>
  </si>
  <si>
    <t>dev.yeison@gmail.com</t>
  </si>
  <si>
    <t>dev.yeison</t>
  </si>
  <si>
    <t>justin.harris@maluuba.com</t>
  </si>
  <si>
    <t>justin.harris</t>
  </si>
  <si>
    <t>maximsch2@gmail.com</t>
  </si>
  <si>
    <t>maximsch2</t>
  </si>
  <si>
    <t>felixmaximilian@gmail.com</t>
  </si>
  <si>
    <t>felixmaximilian</t>
  </si>
  <si>
    <t>k.chodorow@gmail.com</t>
  </si>
  <si>
    <t>k.chodorow</t>
  </si>
  <si>
    <t>akihiko.mus+github@gmail.com</t>
  </si>
  <si>
    <t>akihiko.mus+github</t>
  </si>
  <si>
    <t>clement.courbet@gmail.com</t>
  </si>
  <si>
    <t>clement.courbet</t>
  </si>
  <si>
    <t>lukaszbk@gmail.com</t>
  </si>
  <si>
    <t>lukaszbk</t>
  </si>
  <si>
    <t>hephaex@gmail.com</t>
  </si>
  <si>
    <t>hephaex</t>
  </si>
  <si>
    <t>itsarbit@gmail.com</t>
  </si>
  <si>
    <t>itsarbit</t>
  </si>
  <si>
    <t>mostafarahmani13@yahoo.com</t>
  </si>
  <si>
    <t>mostafarahmani13</t>
  </si>
  <si>
    <t>roller@cs.utexas.edu</t>
  </si>
  <si>
    <t>roller</t>
  </si>
  <si>
    <t>mheilman@users.noreply.github.com</t>
  </si>
  <si>
    <t>mheilman</t>
  </si>
  <si>
    <t>paul.tucker@gmail.com</t>
  </si>
  <si>
    <t>paul.tucker</t>
  </si>
  <si>
    <t>iamaziz.alto@gmail.com</t>
  </si>
  <si>
    <t>iamaziz.alto</t>
  </si>
  <si>
    <t>ville.kallioniemi@gmail.com</t>
  </si>
  <si>
    <t>ville.kallioniemi</t>
  </si>
  <si>
    <t>hashkanna@gmail.com</t>
  </si>
  <si>
    <t>hashkanna</t>
  </si>
  <si>
    <t>srjoglekar246@gmail.com</t>
  </si>
  <si>
    <t>srjoglekar246</t>
  </si>
  <si>
    <t>fabien.benureau+github@gmail.com</t>
  </si>
  <si>
    <t>fabien.benureau+github</t>
  </si>
  <si>
    <t>Vlsarro@users.noreply.github.com</t>
  </si>
  <si>
    <t>Vlsarro</t>
  </si>
  <si>
    <t>alonid@gmail.com</t>
  </si>
  <si>
    <t>alonid</t>
  </si>
  <si>
    <t>thisisjcykcd@gmail.com</t>
  </si>
  <si>
    <t>thisisjcykcd</t>
  </si>
  <si>
    <t>kchen92@stanford.edu</t>
  </si>
  <si>
    <t>kchen92</t>
  </si>
  <si>
    <t>inureyes@gmail.com</t>
  </si>
  <si>
    <t>inureyes</t>
  </si>
  <si>
    <t>code@kcurtis.com</t>
  </si>
  <si>
    <t>shanjcarter@gmail.com</t>
  </si>
  <si>
    <t>shanjcarter</t>
  </si>
  <si>
    <t>lahwran@users.noreply.github.com</t>
  </si>
  <si>
    <t>lahwran</t>
  </si>
  <si>
    <t>basveeling@gmail.com</t>
  </si>
  <si>
    <t>basveeling</t>
  </si>
  <si>
    <t>alexggmatthews@googlemail.com</t>
  </si>
  <si>
    <t>alexggmatthews</t>
  </si>
  <si>
    <t>contact.daviddao@gmail.com</t>
  </si>
  <si>
    <t>contact.daviddao</t>
  </si>
  <si>
    <t>clsung@gmail.com</t>
  </si>
  <si>
    <t>clsung</t>
  </si>
  <si>
    <t>awni.hannun@gmail.com</t>
  </si>
  <si>
    <t>awni.hannun</t>
  </si>
  <si>
    <t>rob.culliton@gmail.com</t>
  </si>
  <si>
    <t>rob.culliton</t>
  </si>
  <si>
    <t>markamery@btinternet.com</t>
  </si>
  <si>
    <t>markamery</t>
  </si>
  <si>
    <t>olav@comoyo.com</t>
  </si>
  <si>
    <t>olav</t>
  </si>
  <si>
    <t>kanitw@gmail.com</t>
  </si>
  <si>
    <t>kanitw</t>
  </si>
  <si>
    <t>kitchen.andy@gmail.com</t>
  </si>
  <si>
    <t>kitchen.andy</t>
  </si>
  <si>
    <t>jeff@somethingsimilar.com</t>
  </si>
  <si>
    <t>lekaha@gmail.com</t>
  </si>
  <si>
    <t>lekaha</t>
  </si>
  <si>
    <t>david.kretch@gmail.com</t>
  </si>
  <si>
    <t>david.kretch</t>
  </si>
  <si>
    <t>zzznah@gmail.com</t>
  </si>
  <si>
    <t>zzznah</t>
  </si>
  <si>
    <t>mheilman@civisanalytics.com</t>
  </si>
  <si>
    <t>civisanalytics</t>
  </si>
  <si>
    <t>ronny.coding@gmail.com</t>
  </si>
  <si>
    <t>ronny.coding</t>
  </si>
  <si>
    <t>moonboots08@gmail.com</t>
  </si>
  <si>
    <t>moonboots08</t>
  </si>
  <si>
    <t>e196819@hotmail.com</t>
  </si>
  <si>
    <t>e196819</t>
  </si>
  <si>
    <t>0.omailbin@gmail.com</t>
  </si>
  <si>
    <t>0.omailbin</t>
  </si>
  <si>
    <t>cachanzheng@gmail.com</t>
  </si>
  <si>
    <t>cachanzheng</t>
  </si>
  <si>
    <t>dustindorroh@gmail.com</t>
  </si>
  <si>
    <t>dustindorroh</t>
  </si>
  <si>
    <t>syed.ahmed.emails@gmail.com</t>
  </si>
  <si>
    <t>syed.ahmed.emails</t>
  </si>
  <si>
    <t>bcj1980@gmail.com</t>
  </si>
  <si>
    <t>bcj1980</t>
  </si>
  <si>
    <t>ken.mitchner@mongoosemetrics.com</t>
  </si>
  <si>
    <t>ken.mitchner</t>
  </si>
  <si>
    <t>mongoosemetrics</t>
  </si>
  <si>
    <t>vladzzag@gmail.com</t>
  </si>
  <si>
    <t>vladzzag</t>
  </si>
  <si>
    <t>lucas.adams@wiser.com</t>
  </si>
  <si>
    <t>lucas.adams</t>
  </si>
  <si>
    <t>wiser</t>
  </si>
  <si>
    <t>memo@memo.tv</t>
  </si>
  <si>
    <t>yuya.kusakabe@gmail.com</t>
  </si>
  <si>
    <t>yuya.kusakabe</t>
  </si>
  <si>
    <t>tiol@kth.se</t>
  </si>
  <si>
    <t>tiol</t>
  </si>
  <si>
    <t>evaggelos.avgerinos@gmail.com</t>
  </si>
  <si>
    <t>evaggelos.avgerinos</t>
  </si>
  <si>
    <t>pranav656@gmail.com</t>
  </si>
  <si>
    <t>pranav656</t>
  </si>
  <si>
    <t>isaachodes@gmail.com</t>
  </si>
  <si>
    <t>isaachodes</t>
  </si>
  <si>
    <t>michael.peteuil@gmail.com</t>
  </si>
  <si>
    <t>michael.peteuil</t>
  </si>
  <si>
    <t>jan.zikes@merck.com</t>
  </si>
  <si>
    <t>jan.zikes</t>
  </si>
  <si>
    <t>merck</t>
  </si>
  <si>
    <t>konradma@kth.se</t>
  </si>
  <si>
    <t>konradma</t>
  </si>
  <si>
    <t>the.dvb@gmail.com</t>
  </si>
  <si>
    <t>the.dvb</t>
  </si>
  <si>
    <t>urimend@gmail.com</t>
  </si>
  <si>
    <t>urimend</t>
  </si>
  <si>
    <t>lijia0765@gmail.com</t>
  </si>
  <si>
    <t>lijia0765</t>
  </si>
  <si>
    <t>jarekw@google.com</t>
  </si>
  <si>
    <t>jarekw</t>
  </si>
  <si>
    <t>NHDaly@gmail.com</t>
  </si>
  <si>
    <t>NHDaly</t>
  </si>
  <si>
    <t>git@gramhagen.com</t>
  </si>
  <si>
    <t>mandeep25894@gmail.com</t>
  </si>
  <si>
    <t>mandeep25894</t>
  </si>
  <si>
    <t>web1@righto.com</t>
  </si>
  <si>
    <t>web1</t>
  </si>
  <si>
    <t>wlsc.dev@gmail.com</t>
  </si>
  <si>
    <t>wlsc.dev</t>
  </si>
  <si>
    <t>aleksandr@yahnev.ru</t>
  </si>
  <si>
    <t>aleksandr</t>
  </si>
  <si>
    <t>turner.isaac@gmail.com</t>
  </si>
  <si>
    <t>turner.isaac</t>
  </si>
  <si>
    <t>yoneken@ieee.org</t>
  </si>
  <si>
    <t>yoneken</t>
  </si>
  <si>
    <t>rizzomichaelg@users.noreply.github.com</t>
  </si>
  <si>
    <t>rizzomichaelg</t>
  </si>
  <si>
    <t>liubauskas@gmail.com</t>
  </si>
  <si>
    <t>liubauskas</t>
  </si>
  <si>
    <t>01.mandar@gmail.com</t>
  </si>
  <si>
    <t>01.mandar</t>
  </si>
  <si>
    <t>moutai10@gmail.com</t>
  </si>
  <si>
    <t>moutai10</t>
  </si>
  <si>
    <t>lukas@krecan.net</t>
  </si>
  <si>
    <t>lukas</t>
  </si>
  <si>
    <t>chenyyuio@gmail.com</t>
  </si>
  <si>
    <t>chenyyuio</t>
  </si>
  <si>
    <t>thagikura@google.com</t>
  </si>
  <si>
    <t>thagikura</t>
  </si>
  <si>
    <t>kostia.lopuhin@gmail.com</t>
  </si>
  <si>
    <t>kostia.lopuhin</t>
  </si>
  <si>
    <t>carpedm20@gmail.com</t>
  </si>
  <si>
    <t>carpedm20</t>
  </si>
  <si>
    <t>tatsch@gmail.com</t>
  </si>
  <si>
    <t>tatsch</t>
  </si>
  <si>
    <t>git-contact@saganbolliger.com</t>
  </si>
  <si>
    <t>git-contact</t>
  </si>
  <si>
    <t>timothyjlaurent@gmail.com</t>
  </si>
  <si>
    <t>timothyjlaurent</t>
  </si>
  <si>
    <t>andre.cruz@co.sapo.pt</t>
  </si>
  <si>
    <t>andre.cruz</t>
  </si>
  <si>
    <t>mjk@emmjaykay.org</t>
  </si>
  <si>
    <t>mjk</t>
  </si>
  <si>
    <t>nsipplswezey@users.noreply.github.com</t>
  </si>
  <si>
    <t>nsipplswezey</t>
  </si>
  <si>
    <t>xsankar@users.noreply.github.com</t>
  </si>
  <si>
    <t>xsankar</t>
  </si>
  <si>
    <t>nikriek@users.noreply.github.com</t>
  </si>
  <si>
    <t>nikriek</t>
  </si>
  <si>
    <t>zhifengc@google.com</t>
  </si>
  <si>
    <t>zhifengc</t>
  </si>
  <si>
    <t>erenguven0@gmail.com</t>
  </si>
  <si>
    <t>erenguven0</t>
  </si>
  <si>
    <t>naveensundarg@gmail.com</t>
  </si>
  <si>
    <t>naveensundarg</t>
  </si>
  <si>
    <t>cesarsvs@gmail.com</t>
  </si>
  <si>
    <t>cesarsvs</t>
  </si>
  <si>
    <t>kentonl@cs.washington.edu</t>
  </si>
  <si>
    <t>kentonl</t>
  </si>
  <si>
    <t>biruei.chiu@gmail.com</t>
  </si>
  <si>
    <t>biruei.chiu</t>
  </si>
  <si>
    <t>eurico@phybbit.com</t>
  </si>
  <si>
    <t>eurico</t>
  </si>
  <si>
    <t>vondrick@mit.edu</t>
  </si>
  <si>
    <t>vondrick</t>
  </si>
  <si>
    <t>Nicolas.Fauchereau@gmail.com</t>
  </si>
  <si>
    <t>Nicolas.Fauchereau</t>
  </si>
  <si>
    <t>jiayq84@gmail.com</t>
  </si>
  <si>
    <t>jiayq84</t>
  </si>
  <si>
    <t>kde@bartcoppens.be</t>
  </si>
  <si>
    <t>kde</t>
  </si>
  <si>
    <t>danvdk@gmail.com</t>
  </si>
  <si>
    <t>danvdk</t>
  </si>
  <si>
    <t>daoust.mj@gmail.com</t>
  </si>
  <si>
    <t>daoust.mj</t>
  </si>
  <si>
    <t>zachary.chase@gmail.com</t>
  </si>
  <si>
    <t>zachary.chase</t>
  </si>
  <si>
    <t>olivier.grisel@ensta.org</t>
  </si>
  <si>
    <t>olivier.grisel</t>
  </si>
  <si>
    <t>aymeric.damien@gmail.com</t>
  </si>
  <si>
    <t>aymeric.damien</t>
  </si>
  <si>
    <t>zavidovych@users.noreply.github.com</t>
  </si>
  <si>
    <t>zavidovych</t>
  </si>
  <si>
    <t>rekhajoshm@gmail.com</t>
  </si>
  <si>
    <t>rekhajoshm</t>
  </si>
  <si>
    <t>git@nicksweeting.com</t>
  </si>
  <si>
    <t>frolvlad@gmail.com</t>
  </si>
  <si>
    <t>frolvlad</t>
  </si>
  <si>
    <t>carneiro.be@gmail.com</t>
  </si>
  <si>
    <t>carneiro.be</t>
  </si>
  <si>
    <t>dennybritz@gmail.com</t>
  </si>
  <si>
    <t>dennybritz</t>
  </si>
  <si>
    <t>riccardo.grazz@gmail.com</t>
  </si>
  <si>
    <t>riccardo.grazz</t>
  </si>
  <si>
    <t>andy.dai@gmail.com</t>
  </si>
  <si>
    <t>andy.dai</t>
  </si>
  <si>
    <t>ivanvallesperez@gmail.com</t>
  </si>
  <si>
    <t>ivanvallesperez</t>
  </si>
  <si>
    <t>jalexvig@gmail.com</t>
  </si>
  <si>
    <t>jalexvig</t>
  </si>
  <si>
    <t>aahuja11@gmail.com</t>
  </si>
  <si>
    <t>aahuja11</t>
  </si>
  <si>
    <t>dave.decker@gmail.com</t>
  </si>
  <si>
    <t>dave.decker</t>
  </si>
  <si>
    <t>boris@hyperscience.com</t>
  </si>
  <si>
    <t>boris</t>
  </si>
  <si>
    <t>surya95@gmail.com</t>
  </si>
  <si>
    <t>surya95</t>
  </si>
  <si>
    <t>yyx990803@gmail.com</t>
  </si>
  <si>
    <t>yyx990803</t>
  </si>
  <si>
    <t>bot@vuejs.org</t>
  </si>
  <si>
    <t>bot</t>
  </si>
  <si>
    <t>zhanghan.me@gmail.com</t>
  </si>
  <si>
    <t>zhanghan.me</t>
  </si>
  <si>
    <t>posva@users.noreply.github.com</t>
  </si>
  <si>
    <t>posva</t>
  </si>
  <si>
    <t>defcc@users.noreply.github.com</t>
  </si>
  <si>
    <t>defcc</t>
  </si>
  <si>
    <t>kawakazu80@gmail.com</t>
  </si>
  <si>
    <t>kawakazu80</t>
  </si>
  <si>
    <t>ktsn55@gmail.com</t>
  </si>
  <si>
    <t>ktsn55</t>
  </si>
  <si>
    <t>carlos@hypermob.co.uk</t>
  </si>
  <si>
    <t>carlos</t>
  </si>
  <si>
    <t>Hypermob</t>
  </si>
  <si>
    <t>xujiongbo@gmail.com</t>
  </si>
  <si>
    <t>xujiongbo</t>
  </si>
  <si>
    <t>HerringtonDarkholme@users.noreply.github.com</t>
  </si>
  <si>
    <t>HerringtonDarkholme</t>
  </si>
  <si>
    <t>zhaojinjiang@me.com</t>
  </si>
  <si>
    <t>zhaojinjiang</t>
  </si>
  <si>
    <t>jingkai.zhao@foxmail.com</t>
  </si>
  <si>
    <t>jingkai.zhao</t>
  </si>
  <si>
    <t>805037171@163.com</t>
  </si>
  <si>
    <t>justice360@gmail.com</t>
  </si>
  <si>
    <t>justice360</t>
  </si>
  <si>
    <t>chrisvfritz@gmail.com</t>
  </si>
  <si>
    <t>chrisvfritz</t>
  </si>
  <si>
    <t>me@phanan.net</t>
  </si>
  <si>
    <t>haoqunjiang@gmail.com</t>
  </si>
  <si>
    <t>haoqunjiang</t>
  </si>
  <si>
    <t>stackexchange.you@gmail.com</t>
  </si>
  <si>
    <t>stackexchange.you</t>
  </si>
  <si>
    <t>308241863@qq.com</t>
  </si>
  <si>
    <t>kaelwd@gmail.com</t>
  </si>
  <si>
    <t>kaelwd</t>
  </si>
  <si>
    <t>HcySunYang@outlook.com</t>
  </si>
  <si>
    <t>HcySunYang</t>
  </si>
  <si>
    <t>blakenoodles@gmail.com</t>
  </si>
  <si>
    <t>blakenoodles</t>
  </si>
  <si>
    <t>posva13@gmail.com</t>
  </si>
  <si>
    <t>posva13</t>
  </si>
  <si>
    <t>hagiharak4294967296@gmail.com</t>
  </si>
  <si>
    <t>hagiharak4294967296</t>
  </si>
  <si>
    <t>david@davidwelch.co</t>
  </si>
  <si>
    <t>shasharoman@gmail.com</t>
  </si>
  <si>
    <t>shasharoman</t>
  </si>
  <si>
    <t>dsonet@msn.com</t>
  </si>
  <si>
    <t>dsonet</t>
  </si>
  <si>
    <t>472590061@qq.com</t>
  </si>
  <si>
    <t>hi@znck.me</t>
  </si>
  <si>
    <t>fnlctrl@gmail.com</t>
  </si>
  <si>
    <t>fnlctrl</t>
  </si>
  <si>
    <t>dot.nick.dot.messing@gmail.com</t>
  </si>
  <si>
    <t>dot.nick.dot.messing</t>
  </si>
  <si>
    <t>61452855+nooooooom@users.noreply.github.com</t>
  </si>
  <si>
    <t>61452855+nooooooom</t>
  </si>
  <si>
    <t>46116414+zrh122@users.noreply.github.com</t>
  </si>
  <si>
    <t>46116414+zrh122</t>
  </si>
  <si>
    <t>jason.daurus@gmail.com</t>
  </si>
  <si>
    <t>jason.daurus</t>
  </si>
  <si>
    <t>liximomo@gmail.com</t>
  </si>
  <si>
    <t>liximomo</t>
  </si>
  <si>
    <t>Felix.Buenemann@gmail.com</t>
  </si>
  <si>
    <t>Felix.Buenemann</t>
  </si>
  <si>
    <t>hiroki.osame@gmail.com</t>
  </si>
  <si>
    <t>hiroki.osame</t>
  </si>
  <si>
    <t>hello@imyzf.com</t>
  </si>
  <si>
    <t>1340641314@qq.com</t>
  </si>
  <si>
    <t>piotr@ideanest.com</t>
  </si>
  <si>
    <t>piotr</t>
  </si>
  <si>
    <t>alphadelta.fg@gmail.com</t>
  </si>
  <si>
    <t>alphadelta.fg</t>
  </si>
  <si>
    <t>mingmingwon@gmail.com</t>
  </si>
  <si>
    <t>mingmingwon</t>
  </si>
  <si>
    <t>chengchao1@gmail.com</t>
  </si>
  <si>
    <t>chengchao1</t>
  </si>
  <si>
    <t>gcyyq@hotmail.com</t>
  </si>
  <si>
    <t>gcyyq</t>
  </si>
  <si>
    <t>bluemsn@126.com</t>
  </si>
  <si>
    <t>bluemsn</t>
  </si>
  <si>
    <t>blake.newman@sainsburys.co.uk</t>
  </si>
  <si>
    <t>blake.newman</t>
  </si>
  <si>
    <t>lsdsjy@163.com</t>
  </si>
  <si>
    <t>lsdsjy</t>
  </si>
  <si>
    <t>119700621+xonx4l@users.noreply.github.com</t>
  </si>
  <si>
    <t>119700621+xonx4l</t>
  </si>
  <si>
    <t>293473+sandersn@users.noreply.github.com</t>
  </si>
  <si>
    <t>293473+sandersn</t>
  </si>
  <si>
    <t>daniel@roe.dev</t>
  </si>
  <si>
    <t>2pi_r2@gmx.de</t>
  </si>
  <si>
    <t>2pi_r2</t>
  </si>
  <si>
    <t>shadowingszy@outlook.com</t>
  </si>
  <si>
    <t>shadowingszy</t>
  </si>
  <si>
    <t>despreston@users.noreply.github.com</t>
  </si>
  <si>
    <t>despreston</t>
  </si>
  <si>
    <t>39692071+HusamIbrahim@users.noreply.github.com</t>
  </si>
  <si>
    <t>39692071+HusamIbrahim</t>
  </si>
  <si>
    <t>yz3352@nyu.edu</t>
  </si>
  <si>
    <t>yz3352</t>
  </si>
  <si>
    <t>Nyu</t>
  </si>
  <si>
    <t>krystalnumber@gmail.com</t>
  </si>
  <si>
    <t>krystalnumber</t>
  </si>
  <si>
    <t>gcaufy@gmail.com</t>
  </si>
  <si>
    <t>gcaufy</t>
  </si>
  <si>
    <t>filipe@britecore.com</t>
  </si>
  <si>
    <t>filipe</t>
  </si>
  <si>
    <t>Britecore</t>
  </si>
  <si>
    <t>102706325@163.com</t>
  </si>
  <si>
    <t>2883231+HerringtonDarkholme@users.noreply.github.com</t>
  </si>
  <si>
    <t>2883231+HerringtonDarkholme</t>
  </si>
  <si>
    <t>william49@qq.com</t>
  </si>
  <si>
    <t>william49</t>
  </si>
  <si>
    <t>644186735@qq.com</t>
  </si>
  <si>
    <t>shyamchen1994@gmail.com</t>
  </si>
  <si>
    <t>shyamchen1994</t>
  </si>
  <si>
    <t>g-plane@hotmail.com</t>
  </si>
  <si>
    <t>g-plane</t>
  </si>
  <si>
    <t>xdamman@gmail.com</t>
  </si>
  <si>
    <t>xdamman</t>
  </si>
  <si>
    <t>cinwell.li@gmail.com</t>
  </si>
  <si>
    <t>cinwell.li</t>
  </si>
  <si>
    <t>mail@richard-musiol.de</t>
  </si>
  <si>
    <t>fenduru@users.noreply.github.com</t>
  </si>
  <si>
    <t>fenduru</t>
  </si>
  <si>
    <t>admin@1stg.me</t>
  </si>
  <si>
    <t>chriscasola@gmail.com</t>
  </si>
  <si>
    <t>chriscasola</t>
  </si>
  <si>
    <t>superwf@gmail.com</t>
  </si>
  <si>
    <t>superwf</t>
  </si>
  <si>
    <t>seb@chopin.io</t>
  </si>
  <si>
    <t>seb</t>
  </si>
  <si>
    <t>S-YOU@users.noreply.github.com</t>
  </si>
  <si>
    <t>S-YOU</t>
  </si>
  <si>
    <t>jingsam@users.noreply.github.com</t>
  </si>
  <si>
    <t>jingsam</t>
  </si>
  <si>
    <t>zephraph@gmail.com</t>
  </si>
  <si>
    <t>zephraph</t>
  </si>
  <si>
    <t>a.sheboltaev@gmail.com</t>
  </si>
  <si>
    <t>a.sheboltaev</t>
  </si>
  <si>
    <t>contact@yantene.net</t>
  </si>
  <si>
    <t>biwanczuk@gmail.com</t>
  </si>
  <si>
    <t>biwanczuk</t>
  </si>
  <si>
    <t>tejitak@gmail.com</t>
  </si>
  <si>
    <t>tejitak</t>
  </si>
  <si>
    <t>simlevesque@dismail.de</t>
  </si>
  <si>
    <t>simlevesque</t>
  </si>
  <si>
    <t>ahines57@gmail.com</t>
  </si>
  <si>
    <t>ahines57</t>
  </si>
  <si>
    <t>sha-grisha@yandex.ru</t>
  </si>
  <si>
    <t>sha-grisha</t>
  </si>
  <si>
    <t>35987327+xiaodemen@users.noreply.github.com</t>
  </si>
  <si>
    <t>35987327+xiaodemen</t>
  </si>
  <si>
    <t>liubo130682@gmail.com</t>
  </si>
  <si>
    <t>liubo130682</t>
  </si>
  <si>
    <t>redhuang@synology.com</t>
  </si>
  <si>
    <t>redhuang</t>
  </si>
  <si>
    <t>Synology</t>
  </si>
  <si>
    <t>mikoloism@gmail.com</t>
  </si>
  <si>
    <t>mikoloism</t>
  </si>
  <si>
    <t>rj1@riseup.net</t>
  </si>
  <si>
    <t>rj1</t>
  </si>
  <si>
    <t>huxinfeng1024@qq.com</t>
  </si>
  <si>
    <t>huxinfeng1024</t>
  </si>
  <si>
    <t>vadimgerasimenko101@gmail.com</t>
  </si>
  <si>
    <t>vadimgerasimenko101</t>
  </si>
  <si>
    <t>951412526@qq.com</t>
  </si>
  <si>
    <t>dong_yu_hang@126.com</t>
  </si>
  <si>
    <t>dong_yu_hang</t>
  </si>
  <si>
    <t>a161803398@gmail.com</t>
  </si>
  <si>
    <t>a161803398</t>
  </si>
  <si>
    <t>88301866+k-furusho@users.noreply.github.com</t>
  </si>
  <si>
    <t>88301866+k-furusho</t>
  </si>
  <si>
    <t>blake.newman@askattest.com</t>
  </si>
  <si>
    <t>Askattest</t>
  </si>
  <si>
    <t>ssswfk@163.com</t>
  </si>
  <si>
    <t>ssswfk</t>
  </si>
  <si>
    <t>shiluo34ccy@163.com</t>
  </si>
  <si>
    <t>shiluo34ccy</t>
  </si>
  <si>
    <t>ltymxty@gmail.com</t>
  </si>
  <si>
    <t>ltymxty</t>
  </si>
  <si>
    <t>xiaoxiangmoe@gmail.com</t>
  </si>
  <si>
    <t>xiaoxiangmoe</t>
  </si>
  <si>
    <t>github@lichter.io</t>
  </si>
  <si>
    <t>juniortour@qq.com</t>
  </si>
  <si>
    <t>juniortour</t>
  </si>
  <si>
    <t>1138674510@qq.com</t>
  </si>
  <si>
    <t>11851303+gulewei@users.noreply.github.com</t>
  </si>
  <si>
    <t>11851303+gulewei</t>
  </si>
  <si>
    <t>30421456+jonaskuske@users.noreply.github.com</t>
  </si>
  <si>
    <t>30421456+jonaskuske</t>
  </si>
  <si>
    <t>89814003+jf-paradis@users.noreply.github.com</t>
  </si>
  <si>
    <t>89814003+jf-paradis</t>
  </si>
  <si>
    <t>daiwei521@126.com</t>
  </si>
  <si>
    <t>daiwei521</t>
  </si>
  <si>
    <t>914053923@qq.com</t>
  </si>
  <si>
    <t>nikhilgotmail@gmail.com</t>
  </si>
  <si>
    <t>nikhilgotmail</t>
  </si>
  <si>
    <t>softweitao@126.com</t>
  </si>
  <si>
    <t>softweitao</t>
  </si>
  <si>
    <t>blackywkl@gmail.com</t>
  </si>
  <si>
    <t>blackywkl</t>
  </si>
  <si>
    <t>caleb@chearon.net</t>
  </si>
  <si>
    <t>jouryjc0409@gmail.com</t>
  </si>
  <si>
    <t>jouryjc0409</t>
  </si>
  <si>
    <t>62738469+deftliang@users.noreply.github.com</t>
  </si>
  <si>
    <t>62738469+deftliang</t>
  </si>
  <si>
    <t>308487730@qq.com</t>
  </si>
  <si>
    <t>67939848+Rudeus3Greyrat@users.noreply.github.com</t>
  </si>
  <si>
    <t>67939848+Rudeus3Greyrat</t>
  </si>
  <si>
    <t>roy.ede@gmail.com</t>
  </si>
  <si>
    <t>roy.ede</t>
  </si>
  <si>
    <t>wormssmail@gmail.com</t>
  </si>
  <si>
    <t>wormssmail</t>
  </si>
  <si>
    <t>miyanaga_san@yahoo.co.jp</t>
  </si>
  <si>
    <t>miyanaga_san</t>
  </si>
  <si>
    <t>hello.brsd@gmail.com</t>
  </si>
  <si>
    <t>hello.brsd</t>
  </si>
  <si>
    <t>308929264@qq.com</t>
  </si>
  <si>
    <t>mattia.trapani@gmail.com</t>
  </si>
  <si>
    <t>mattia.trapani</t>
  </si>
  <si>
    <t>yuangongji@foxmail.com</t>
  </si>
  <si>
    <t>yuangongji</t>
  </si>
  <si>
    <t>kefengong@gmail.com</t>
  </si>
  <si>
    <t>kefengong</t>
  </si>
  <si>
    <t>noreff@moloti.com</t>
  </si>
  <si>
    <t>noreff</t>
  </si>
  <si>
    <t>florian-edelmann@online.de</t>
  </si>
  <si>
    <t>florian-edelmann</t>
  </si>
  <si>
    <t>b.delaney@student.unsw.edu.au</t>
  </si>
  <si>
    <t>b.delaney</t>
  </si>
  <si>
    <t>dimedr@gmail.com</t>
  </si>
  <si>
    <t>dimedr</t>
  </si>
  <si>
    <t>mohammad.albakri93@gmail.com</t>
  </si>
  <si>
    <t>mohammad.albakri93</t>
  </si>
  <si>
    <t>usenet.kawokas.jp@gmail.com</t>
  </si>
  <si>
    <t>usenet.kawokas.jp</t>
  </si>
  <si>
    <t>sebastian.speitel@outlook.de</t>
  </si>
  <si>
    <t>sebastian.speitel</t>
  </si>
  <si>
    <t>andrzej.swaton@gmail.com</t>
  </si>
  <si>
    <t>andrzej.swaton</t>
  </si>
  <si>
    <t>82787816@qq.com</t>
  </si>
  <si>
    <t>mquizhpidev@gmail.com</t>
  </si>
  <si>
    <t>mquizhpidev</t>
  </si>
  <si>
    <t>xmakina@users.noreply.github.com</t>
  </si>
  <si>
    <t>xmakina</t>
  </si>
  <si>
    <t>nowresrafid@yahoo.com</t>
  </si>
  <si>
    <t>nowresrafid</t>
  </si>
  <si>
    <t>Orkhan.Alikhanov@gmail.com</t>
  </si>
  <si>
    <t>Orkhan.Alikhanov</t>
  </si>
  <si>
    <t>danielsuguimoto@gmail.com</t>
  </si>
  <si>
    <t>danielsuguimoto</t>
  </si>
  <si>
    <t>warmsocks@gmail.com</t>
  </si>
  <si>
    <t>warmsocks</t>
  </si>
  <si>
    <t>tunt081295@gmail.com</t>
  </si>
  <si>
    <t>tunt081295</t>
  </si>
  <si>
    <t>33426785+dennishzg@users.noreply.github.com</t>
  </si>
  <si>
    <t>33426785+dennishzg</t>
  </si>
  <si>
    <t>joyful4yu@gmail.com</t>
  </si>
  <si>
    <t>joyful4yu</t>
  </si>
  <si>
    <t>47696795+bakugod@users.noreply.github.com</t>
  </si>
  <si>
    <t>47696795+bakugod</t>
  </si>
  <si>
    <t>504595380@qq.com</t>
  </si>
  <si>
    <t>hareku908@gmail.com</t>
  </si>
  <si>
    <t>hareku908</t>
  </si>
  <si>
    <t>alanmatw@gmail.com</t>
  </si>
  <si>
    <t>alanmatw</t>
  </si>
  <si>
    <t>mateusvelleda@gmail.com</t>
  </si>
  <si>
    <t>mateusvelleda</t>
  </si>
  <si>
    <t>22399553+7006@users.noreply.github.com</t>
  </si>
  <si>
    <t>22399553+7006</t>
  </si>
  <si>
    <t>Naartti@users.noreply.github.com</t>
  </si>
  <si>
    <t>Naartti</t>
  </si>
  <si>
    <t>ijoec123@gmail.com</t>
  </si>
  <si>
    <t>ijoec123</t>
  </si>
  <si>
    <t>Xenonym@users.noreply.github.com</t>
  </si>
  <si>
    <t>Xenonym</t>
  </si>
  <si>
    <t>tommy@tomicio.com</t>
  </si>
  <si>
    <t>tommy</t>
  </si>
  <si>
    <t>Tomicio</t>
  </si>
  <si>
    <t>827205+DanielRuf@users.noreply.github.com</t>
  </si>
  <si>
    <t>827205+DanielRuf</t>
  </si>
  <si>
    <t>nkliyc@qq.com</t>
  </si>
  <si>
    <t>nkliyc</t>
  </si>
  <si>
    <t>denjell@quasar.dev</t>
  </si>
  <si>
    <t>denjell</t>
  </si>
  <si>
    <t>Quasar</t>
  </si>
  <si>
    <t>905852308@qq.com</t>
  </si>
  <si>
    <t>OoMass-EffectoO@hotmail.com</t>
  </si>
  <si>
    <t>OoMass-EffectoO</t>
  </si>
  <si>
    <t>sairoutine@gmail.com</t>
  </si>
  <si>
    <t>sairoutine</t>
  </si>
  <si>
    <t>NataliaTepluhina@users.noreply.github.com</t>
  </si>
  <si>
    <t>NataliaTepluhina</t>
  </si>
  <si>
    <t>hanzichi@outlook.com</t>
  </si>
  <si>
    <t>hanzichi</t>
  </si>
  <si>
    <t>hyandell@users.noreply.github.com</t>
  </si>
  <si>
    <t>hyandell</t>
  </si>
  <si>
    <t>alexander.schwartz@gmx.net</t>
  </si>
  <si>
    <t>alexander.schwartz</t>
  </si>
  <si>
    <t>mcmillenb@users.noreply.github.com</t>
  </si>
  <si>
    <t>mcmillenb</t>
  </si>
  <si>
    <t>david-181@hotmail.com</t>
  </si>
  <si>
    <t>david-181</t>
  </si>
  <si>
    <t>vitorluizc@outlook.com</t>
  </si>
  <si>
    <t>vitorluizc</t>
  </si>
  <si>
    <t>pengfei_yang@outlook.com</t>
  </si>
  <si>
    <t>pengfei_yang</t>
  </si>
  <si>
    <t>decadef20@users.noreply.github.com</t>
  </si>
  <si>
    <t>decadef20</t>
  </si>
  <si>
    <t>jagannathbhatjb@gmail.com</t>
  </si>
  <si>
    <t>jagannathbhatjb</t>
  </si>
  <si>
    <t>2878354193@qq.com</t>
  </si>
  <si>
    <t>maoberlehner@users.noreply.github.com</t>
  </si>
  <si>
    <t>maoberlehner</t>
  </si>
  <si>
    <t>46732192+JakeConnors376W@users.noreply.github.com</t>
  </si>
  <si>
    <t>46732192+JakeConnors376W</t>
  </si>
  <si>
    <t>luca.bogdan@gmail.com</t>
  </si>
  <si>
    <t>luca.bogdan</t>
  </si>
  <si>
    <t>nciont@users.noreply.github.com</t>
  </si>
  <si>
    <t>nciont</t>
  </si>
  <si>
    <t>bughit@users.noreply.github.com</t>
  </si>
  <si>
    <t>bughit</t>
  </si>
  <si>
    <t>ledouxb@me.com</t>
  </si>
  <si>
    <t>ledouxb</t>
  </si>
  <si>
    <t>multics.cn@gmail.com</t>
  </si>
  <si>
    <t>multics.cn</t>
  </si>
  <si>
    <t>dominus@arkovia.com</t>
  </si>
  <si>
    <t>dominus</t>
  </si>
  <si>
    <t>Arkovia</t>
  </si>
  <si>
    <t>adrien@abaron.net</t>
  </si>
  <si>
    <t>mymyoux@gmail.com</t>
  </si>
  <si>
    <t>mymyoux</t>
  </si>
  <si>
    <t>pak.youngrok@gmail.com</t>
  </si>
  <si>
    <t>pak.youngrok</t>
  </si>
  <si>
    <t>hello@shortdiv.com</t>
  </si>
  <si>
    <t>dev@mathieutu.ovh</t>
  </si>
  <si>
    <t>alejandro.maguey@globant.com</t>
  </si>
  <si>
    <t>alejandro.maguey</t>
  </si>
  <si>
    <t>Globant</t>
  </si>
  <si>
    <t>guillaume.b.chau@gmail.com</t>
  </si>
  <si>
    <t>guillaume.b.chau</t>
  </si>
  <si>
    <t>me@noraesae.net</t>
  </si>
  <si>
    <t>taras.batenkov@gmail.com</t>
  </si>
  <si>
    <t>taras.batenkov</t>
  </si>
  <si>
    <t>ferd312@gmail.com</t>
  </si>
  <si>
    <t>ferd312</t>
  </si>
  <si>
    <t>iamssb@gmail.com</t>
  </si>
  <si>
    <t>iamssb</t>
  </si>
  <si>
    <t>fumio@mx10.ttcn.ne.jp</t>
  </si>
  <si>
    <t>fumio</t>
  </si>
  <si>
    <t>pecus@pecus.it</t>
  </si>
  <si>
    <t>pecus</t>
  </si>
  <si>
    <t>suzuki.z2o.naoto@gmail.com</t>
  </si>
  <si>
    <t>suzuki.z2o.naoto</t>
  </si>
  <si>
    <t>43152655+andrew-humu@users.noreply.github.com</t>
  </si>
  <si>
    <t>43152655+andrew-humu</t>
  </si>
  <si>
    <t>timur@linux.com</t>
  </si>
  <si>
    <t>timur</t>
  </si>
  <si>
    <t>linux</t>
  </si>
  <si>
    <t>xxx.tubasa0226@gmail.com</t>
  </si>
  <si>
    <t>xxx.tubasa0226</t>
  </si>
  <si>
    <t>subhash_28@hotmail.com</t>
  </si>
  <si>
    <t>subhash_28</t>
  </si>
  <si>
    <t>504427021@qq.com</t>
  </si>
  <si>
    <t>mitar.github@tnode.com</t>
  </si>
  <si>
    <t>mitar.github</t>
  </si>
  <si>
    <t>julian.rueth@fsfe.org</t>
  </si>
  <si>
    <t>julian.rueth</t>
  </si>
  <si>
    <t>fjc0kb@gmail.com</t>
  </si>
  <si>
    <t>fjc0kb</t>
  </si>
  <si>
    <t>fluorine@users.noreply.github.com</t>
  </si>
  <si>
    <t>fluorine</t>
  </si>
  <si>
    <t>hugo.soares@outlook.com</t>
  </si>
  <si>
    <t>hugo.soares</t>
  </si>
  <si>
    <t>n.mussin@gmail.com</t>
  </si>
  <si>
    <t>n.mussin</t>
  </si>
  <si>
    <t>otomo.yuhei@gmail.com</t>
  </si>
  <si>
    <t>otomo.yuhei</t>
  </si>
  <si>
    <t>st-sloth@users.noreply.github.com</t>
  </si>
  <si>
    <t>st-sloth</t>
  </si>
  <si>
    <t>xrenas@gmail.com</t>
  </si>
  <si>
    <t>xrenas</t>
  </si>
  <si>
    <t>danielsantanarocha@gmail.com</t>
  </si>
  <si>
    <t>danielsantanarocha</t>
  </si>
  <si>
    <t>354868+imanhodjaev@users.noreply.github.com</t>
  </si>
  <si>
    <t>354868+imanhodjaev</t>
  </si>
  <si>
    <t>matthew.t.lavallee@gmail.com</t>
  </si>
  <si>
    <t>matthew.t.lavallee</t>
  </si>
  <si>
    <t>afontcu@gmail.com</t>
  </si>
  <si>
    <t>afontcu</t>
  </si>
  <si>
    <t>pjs2@cin.ufpe.br</t>
  </si>
  <si>
    <t>pjs2</t>
  </si>
  <si>
    <t>rwml@yandex.ru</t>
  </si>
  <si>
    <t>rwml</t>
  </si>
  <si>
    <t>Yandex</t>
  </si>
  <si>
    <t>xiong_zixiao@163.com</t>
  </si>
  <si>
    <t>xiong_zixiao</t>
  </si>
  <si>
    <t>slichlyter12@users.noreply.github.com</t>
  </si>
  <si>
    <t>slichlyter12</t>
  </si>
  <si>
    <t>industral@users.noreply.github.com</t>
  </si>
  <si>
    <t>industral</t>
  </si>
  <si>
    <t>Zev.Goldstein@gmail.com</t>
  </si>
  <si>
    <t>Zev.Goldstein</t>
  </si>
  <si>
    <t>kmball11@gmail.com</t>
  </si>
  <si>
    <t>kmball11</t>
  </si>
  <si>
    <t>donggyu.lee@nts-corp.com</t>
  </si>
  <si>
    <t>donggyu.lee</t>
  </si>
  <si>
    <t>Nts-corp</t>
  </si>
  <si>
    <t>xudashuai0819@outlook.com</t>
  </si>
  <si>
    <t>xudashuai0819</t>
  </si>
  <si>
    <t>vik120@icloud.com</t>
  </si>
  <si>
    <t>vik120</t>
  </si>
  <si>
    <t>manoel.lobo@gmail.com</t>
  </si>
  <si>
    <t>manoel.lobo</t>
  </si>
  <si>
    <t>569628556@qq.com</t>
  </si>
  <si>
    <t>sagirk@users.noreply.github.com</t>
  </si>
  <si>
    <t>sagirk</t>
  </si>
  <si>
    <t>36062451+msrahman07@users.noreply.github.com</t>
  </si>
  <si>
    <t>36062451+msrahman07</t>
  </si>
  <si>
    <t>1219571443@qq.com</t>
  </si>
  <si>
    <t>akitaka0405@gmail.com</t>
  </si>
  <si>
    <t>akitaka0405</t>
  </si>
  <si>
    <t>timspeelman@live.nl</t>
  </si>
  <si>
    <t>timspeelman</t>
  </si>
  <si>
    <t>dev.yuriy.a@gmail.com</t>
  </si>
  <si>
    <t>dev.yuriy.a</t>
  </si>
  <si>
    <t>d-pollard@users.noreply.github.com</t>
  </si>
  <si>
    <t>d-pollard</t>
  </si>
  <si>
    <t>sean.larkin@cuw.edu</t>
  </si>
  <si>
    <t>sean.larkin</t>
  </si>
  <si>
    <t>cuw</t>
  </si>
  <si>
    <t>gavrashenko@gmail.com</t>
  </si>
  <si>
    <t>gavrashenko</t>
  </si>
  <si>
    <t>jonkofee@icloud.com</t>
  </si>
  <si>
    <t>jonkofee</t>
  </si>
  <si>
    <t>luis@maniak.com.mx</t>
  </si>
  <si>
    <t>luis</t>
  </si>
  <si>
    <t>RyanCavanaugh@users.noreply.github.com</t>
  </si>
  <si>
    <t>RyanCavanaugh</t>
  </si>
  <si>
    <t>daniel.c.herman@gmail.com</t>
  </si>
  <si>
    <t>daniel.c.herman</t>
  </si>
  <si>
    <t>jinzhubaofu@users.noreply.github.com</t>
  </si>
  <si>
    <t>jinzhubaofu</t>
  </si>
  <si>
    <t>stukak@gmail.com</t>
  </si>
  <si>
    <t>stukak</t>
  </si>
  <si>
    <t>LarsStegman@users.noreply.github.com</t>
  </si>
  <si>
    <t>LarsStegman</t>
  </si>
  <si>
    <t>cheapsteak@gmail.com</t>
  </si>
  <si>
    <t>cheapsteak</t>
  </si>
  <si>
    <t>chipiga86@gmail.com</t>
  </si>
  <si>
    <t>chipiga86</t>
  </si>
  <si>
    <t>stanimira.vlaeva@gmail.com</t>
  </si>
  <si>
    <t>stanimira.vlaeva</t>
  </si>
  <si>
    <t>yaodingyd@gmail.com</t>
  </si>
  <si>
    <t>yaodingyd</t>
  </si>
  <si>
    <t>arilik.ismail@gmail.com</t>
  </si>
  <si>
    <t>arilik.ismail</t>
  </si>
  <si>
    <t>33278950+dmitry-vakhnenko@users.noreply.github.com</t>
  </si>
  <si>
    <t>33278950+dmitry-vakhnenko</t>
  </si>
  <si>
    <t>deylak@yandex.ru</t>
  </si>
  <si>
    <t>deylak</t>
  </si>
  <si>
    <t>yandex</t>
  </si>
  <si>
    <t>dennis.garrn@pwc-digital.ch</t>
  </si>
  <si>
    <t>dennis.garrn</t>
  </si>
  <si>
    <t>pwc-digital</t>
  </si>
  <si>
    <t>t0mburton@users.noreply.github.com</t>
  </si>
  <si>
    <t>t0mburton</t>
  </si>
  <si>
    <t>hello@sheenamramirez.com</t>
  </si>
  <si>
    <t>384709054@qq.com</t>
  </si>
  <si>
    <t>yl1991web@126.com</t>
  </si>
  <si>
    <t>yl1991web</t>
  </si>
  <si>
    <t>modex13@gmail.com</t>
  </si>
  <si>
    <t>modex13</t>
  </si>
  <si>
    <t>Zzzen@users.noreply.github.com</t>
  </si>
  <si>
    <t>Zzzen</t>
  </si>
  <si>
    <t>mail@sleewoo.com</t>
  </si>
  <si>
    <t>mniya321@gmail.com</t>
  </si>
  <si>
    <t>mniya321</t>
  </si>
  <si>
    <t>hellorobertp@gmail.com</t>
  </si>
  <si>
    <t>hellorobertp</t>
  </si>
  <si>
    <t>david@nuescheler.ch</t>
  </si>
  <si>
    <t>drpranayaryal@gmail.com</t>
  </si>
  <si>
    <t>drpranayaryal</t>
  </si>
  <si>
    <t>axelut@me.com</t>
  </si>
  <si>
    <t>axelut</t>
  </si>
  <si>
    <t>madskonradsen@users.noreply.github.com</t>
  </si>
  <si>
    <t>madskonradsen</t>
  </si>
  <si>
    <t>330346580@qq.com</t>
  </si>
  <si>
    <t>raymondmuller@users.noreply.github.com</t>
  </si>
  <si>
    <t>raymondmuller</t>
  </si>
  <si>
    <t>mark.brouch@gmail.com</t>
  </si>
  <si>
    <t>mark.brouch</t>
  </si>
  <si>
    <t>dominik.rabij@gmail.com</t>
  </si>
  <si>
    <t>dominik.rabij</t>
  </si>
  <si>
    <t>AlexanderEden91@gmail.com</t>
  </si>
  <si>
    <t>AlexanderEden91</t>
  </si>
  <si>
    <t>pdan.popescu@gmail.com</t>
  </si>
  <si>
    <t>pdan.popescu</t>
  </si>
  <si>
    <t>rubys@intertwingly.net</t>
  </si>
  <si>
    <t>rubys</t>
  </si>
  <si>
    <t>flaviocorpa@gmail.com</t>
  </si>
  <si>
    <t>flaviocorpa</t>
  </si>
  <si>
    <t>meyt@users.noreply.github.com</t>
  </si>
  <si>
    <t>meyt</t>
  </si>
  <si>
    <t>derek.a.kent@gmail.com</t>
  </si>
  <si>
    <t>derek.a.kent</t>
  </si>
  <si>
    <t>dev@sheetjs.com</t>
  </si>
  <si>
    <t>sheetjs</t>
  </si>
  <si>
    <t>lukas.drgon@gmail.com</t>
  </si>
  <si>
    <t>lukas.drgon</t>
  </si>
  <si>
    <t>sunnyholic@sunnyholic.com</t>
  </si>
  <si>
    <t>sunnyholic</t>
  </si>
  <si>
    <t>samayo@protonmail.ch</t>
  </si>
  <si>
    <t>samayo</t>
  </si>
  <si>
    <t>vuchl@users.noreply.github.com</t>
  </si>
  <si>
    <t>vuchl</t>
  </si>
  <si>
    <t>sliwey@users.noreply.github.com</t>
  </si>
  <si>
    <t>sliwey</t>
  </si>
  <si>
    <t>palashm@live.in</t>
  </si>
  <si>
    <t>palashm</t>
  </si>
  <si>
    <t>120797887@qq.com</t>
  </si>
  <si>
    <t>yepbug@qq.com</t>
  </si>
  <si>
    <t>yepbug</t>
  </si>
  <si>
    <t>kelionweb@gmail.com</t>
  </si>
  <si>
    <t>kelionweb</t>
  </si>
  <si>
    <t>rzsh2003@gmail.com</t>
  </si>
  <si>
    <t>rzsh2003</t>
  </si>
  <si>
    <t>moptym@163.com</t>
  </si>
  <si>
    <t>moptym</t>
  </si>
  <si>
    <t>jdaltonchilders@users.noreply.github.com</t>
  </si>
  <si>
    <t>jdaltonchilders</t>
  </si>
  <si>
    <t>383109956@qq.com</t>
  </si>
  <si>
    <t>LukeeeeBennettPlus@gmail.com</t>
  </si>
  <si>
    <t>LukeeeeBennettPlus</t>
  </si>
  <si>
    <t>dvdckl@gmail.com</t>
  </si>
  <si>
    <t>dvdckl</t>
  </si>
  <si>
    <t>strantr@users.noreply.github.com</t>
  </si>
  <si>
    <t>strantr</t>
  </si>
  <si>
    <t>coolzjy@users.noreply.github.com</t>
  </si>
  <si>
    <t>coolzjy</t>
  </si>
  <si>
    <t>lonelyclick@163.com</t>
  </si>
  <si>
    <t>lonelyclick</t>
  </si>
  <si>
    <t>chrisnicola@users.noreply.github.com</t>
  </si>
  <si>
    <t>chrisnicola</t>
  </si>
  <si>
    <t>BrianDGLS@users.noreply.github.com</t>
  </si>
  <si>
    <t>BrianDGLS</t>
  </si>
  <si>
    <t>hh_2013@foxmail.com</t>
  </si>
  <si>
    <t>hh_2013</t>
  </si>
  <si>
    <t>tbenniks@gmail.com</t>
  </si>
  <si>
    <t>tbenniks</t>
  </si>
  <si>
    <t>sabakugaara@users.noreply.github.com</t>
  </si>
  <si>
    <t>sabakugaara</t>
  </si>
  <si>
    <t>zy@zy.sg</t>
  </si>
  <si>
    <t>zy</t>
  </si>
  <si>
    <t>pengchongfu@gmail.com</t>
  </si>
  <si>
    <t>pengchongfu</t>
  </si>
  <si>
    <t>mechi.he@gmail.com</t>
  </si>
  <si>
    <t>mechi.he</t>
  </si>
  <si>
    <t>mjhd-devlion@users.noreply.github.com</t>
  </si>
  <si>
    <t>mjhd-devlion</t>
  </si>
  <si>
    <t>Async0x42@users.noreply.github.com</t>
  </si>
  <si>
    <t>Async0x42</t>
  </si>
  <si>
    <t>Alex.Tesfamichael@gmail.com</t>
  </si>
  <si>
    <t>Alex.Tesfamichael</t>
  </si>
  <si>
    <t>ralphite@users.noreply.github.com</t>
  </si>
  <si>
    <t>ralphite</t>
  </si>
  <si>
    <t>t.luisi@gmail.com</t>
  </si>
  <si>
    <t>t.luisi</t>
  </si>
  <si>
    <t>schoonc@users.noreply.github.com</t>
  </si>
  <si>
    <t>schoonc</t>
  </si>
  <si>
    <t>romoochen@gmail.com</t>
  </si>
  <si>
    <t>romoochen</t>
  </si>
  <si>
    <t>razvan.stoenescu@gmail.com</t>
  </si>
  <si>
    <t>razvan.stoenescu</t>
  </si>
  <si>
    <t>kmc059000@users.noreply.github.com</t>
  </si>
  <si>
    <t>kmc059000</t>
  </si>
  <si>
    <t>raymond.rutjes@gmail.com</t>
  </si>
  <si>
    <t>raymond.rutjes</t>
  </si>
  <si>
    <t>bzmwillemsen@gmail.com</t>
  </si>
  <si>
    <t>bzmwillemsen</t>
  </si>
  <si>
    <t>nathansa@microsoft.com</t>
  </si>
  <si>
    <t>nathansa</t>
  </si>
  <si>
    <t>mail@potato4d.me</t>
  </si>
  <si>
    <t>schtr4jh@schtr4jh.net</t>
  </si>
  <si>
    <t>schtr4jh</t>
  </si>
  <si>
    <t>caio.incau@caelum.com.br</t>
  </si>
  <si>
    <t>caio.incau</t>
  </si>
  <si>
    <t>Caelum</t>
  </si>
  <si>
    <t>andyklimczak@fastmail.com</t>
  </si>
  <si>
    <t>andyklimczak</t>
  </si>
  <si>
    <t>Alex-Sokolov@users.noreply.github.com</t>
  </si>
  <si>
    <t>Alex-Sokolov</t>
  </si>
  <si>
    <t>mhrohman@live.com</t>
  </si>
  <si>
    <t>mhrohman</t>
  </si>
  <si>
    <t>rixlabs@gmail.com</t>
  </si>
  <si>
    <t>rixlabs</t>
  </si>
  <si>
    <t>hashplus@users.noreply.github.com</t>
  </si>
  <si>
    <t>hashplus</t>
  </si>
  <si>
    <t>adamw3494@gmail.com</t>
  </si>
  <si>
    <t>adamw3494</t>
  </si>
  <si>
    <t>nirisix@gmail.com</t>
  </si>
  <si>
    <t>nirisix</t>
  </si>
  <si>
    <t>coisnepe@users.noreply.github.com</t>
  </si>
  <si>
    <t>coisnepe</t>
  </si>
  <si>
    <t>jlmakes@users.noreply.github.com</t>
  </si>
  <si>
    <t>jlmakes</t>
  </si>
  <si>
    <t>andreasmanitara@gmail.com</t>
  </si>
  <si>
    <t>andreasmanitara</t>
  </si>
  <si>
    <t>ariel@pchara.com</t>
  </si>
  <si>
    <t>ariel</t>
  </si>
  <si>
    <t>Formatted@users.noreply.github.com</t>
  </si>
  <si>
    <t>Formatted</t>
  </si>
  <si>
    <t>you11036@naver.com</t>
  </si>
  <si>
    <t>you11036</t>
  </si>
  <si>
    <t>itisshortemailaddress@gmail.com</t>
  </si>
  <si>
    <t>itisshortemailaddress</t>
  </si>
  <si>
    <t>brycepj@gmail.com</t>
  </si>
  <si>
    <t>brycepj</t>
  </si>
  <si>
    <t>semenyukdmitry@users.noreply.github.com</t>
  </si>
  <si>
    <t>semenyukdmitry</t>
  </si>
  <si>
    <t>xqin@users.noreply.github.com</t>
  </si>
  <si>
    <t>xqin</t>
  </si>
  <si>
    <t>shen.marshall@gmail.com</t>
  </si>
  <si>
    <t>shen.marshall</t>
  </si>
  <si>
    <t>deancodemo@outlook.com</t>
  </si>
  <si>
    <t>deancodemo</t>
  </si>
  <si>
    <t>dexter@leadgenius.com</t>
  </si>
  <si>
    <t>dexter</t>
  </si>
  <si>
    <t>Leadgenius</t>
  </si>
  <si>
    <t>odangosan333@gmail.com</t>
  </si>
  <si>
    <t>odangosan333</t>
  </si>
  <si>
    <t>ponymtb@gmail.com</t>
  </si>
  <si>
    <t>ponymtb</t>
  </si>
  <si>
    <t>gv.nishino@gmail.com</t>
  </si>
  <si>
    <t>gv.nishino</t>
  </si>
  <si>
    <t>nonamesheep1@gmail.com</t>
  </si>
  <si>
    <t>nonamesheep1</t>
  </si>
  <si>
    <t>vorona.pavel.nickolaevich@gmail.com</t>
  </si>
  <si>
    <t>vorona.pavel.nickolaevich</t>
  </si>
  <si>
    <t>bmax@users.noreply.github.com</t>
  </si>
  <si>
    <t>bmax</t>
  </si>
  <si>
    <t>steve.shreeve@gmail.com</t>
  </si>
  <si>
    <t>steve.shreeve</t>
  </si>
  <si>
    <t>alexandre.bonneau@linuxfr.eu</t>
  </si>
  <si>
    <t>alexandre.bonneau</t>
  </si>
  <si>
    <t>leonlau@aliyun.com</t>
  </si>
  <si>
    <t>leonlau</t>
  </si>
  <si>
    <t>m@guido.vc</t>
  </si>
  <si>
    <t>vinkla@users.noreply.github.com</t>
  </si>
  <si>
    <t>vinkla</t>
  </si>
  <si>
    <t>github@sebastian-schweizer.de</t>
  </si>
  <si>
    <t>hendrik@leppelsack.de</t>
  </si>
  <si>
    <t>hendrik</t>
  </si>
  <si>
    <t>danr@fffunction.co</t>
  </si>
  <si>
    <t>danr</t>
  </si>
  <si>
    <t>fergal_doyle@yahoo.com</t>
  </si>
  <si>
    <t>fergal_doyle</t>
  </si>
  <si>
    <t>kingdaro@gmail.com</t>
  </si>
  <si>
    <t>kingdaro</t>
  </si>
  <si>
    <t>iagafonov@users.noreply.github.com</t>
  </si>
  <si>
    <t>iagafonov</t>
  </si>
  <si>
    <t>kaoru.h65536@live.jp</t>
  </si>
  <si>
    <t>kaoru.h65536</t>
  </si>
  <si>
    <t>imyzf@users.noreply.github.com</t>
  </si>
  <si>
    <t>imyzf</t>
  </si>
  <si>
    <t>javisperez@gmail.com</t>
  </si>
  <si>
    <t>javisperez</t>
  </si>
  <si>
    <t>BrandonSurowiec@users.noreply.github.com</t>
  </si>
  <si>
    <t>BrandonSurowiec</t>
  </si>
  <si>
    <t>naumovs@users.noreply.github.com</t>
  </si>
  <si>
    <t>naumovs</t>
  </si>
  <si>
    <t>tommyZZM@users.noreply.github.com</t>
  </si>
  <si>
    <t>tommyZZM</t>
  </si>
  <si>
    <t>zigomir@gmail.com</t>
  </si>
  <si>
    <t>zigomir</t>
  </si>
  <si>
    <t>maraisr@users.noreply.github.com</t>
  </si>
  <si>
    <t>maraisr</t>
  </si>
  <si>
    <t>denis.karabaza@gmail.com</t>
  </si>
  <si>
    <t>denis.karabaza</t>
  </si>
  <si>
    <t>aristidesfl@gmail.com</t>
  </si>
  <si>
    <t>aristidesfl</t>
  </si>
  <si>
    <t>brendanbowidas@gmail.com</t>
  </si>
  <si>
    <t>brendanbowidas</t>
  </si>
  <si>
    <t>whktk@qq.com</t>
  </si>
  <si>
    <t>whktk</t>
  </si>
  <si>
    <t>fmakram1@gmail.com</t>
  </si>
  <si>
    <t>fmakram1</t>
  </si>
  <si>
    <t>Spalte1</t>
  </si>
  <si>
    <t>G1</t>
  </si>
  <si>
    <t>Lorenz Curve</t>
  </si>
  <si>
    <t>%</t>
  </si>
  <si>
    <t>cummulated %</t>
  </si>
  <si>
    <t>Lorenz Curve of Contributing Organizations</t>
  </si>
  <si>
    <t>TensorFlow</t>
  </si>
  <si>
    <t>commits</t>
  </si>
  <si>
    <t>cummlative %</t>
  </si>
  <si>
    <t>shares in the commits</t>
  </si>
  <si>
    <t>label</t>
  </si>
  <si>
    <t>id</t>
  </si>
  <si>
    <t>project</t>
  </si>
  <si>
    <t>organization</t>
  </si>
  <si>
    <t>perfect equality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</si>
</sst>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%"/>
    <numFmt numFmtId="165" formatCode="0.0000"/>
    <numFmt numFmtId="166" formatCode="0.000000%"/>
    <numFmt numFmtId="167" formatCode="0.0000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rgb="FF00206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9" fontId="0" fillId="0" borderId="0" xfId="1" applyFont="1"/>
    <xf numFmtId="164" fontId="0" fillId="0" borderId="0" xfId="1" applyNumberFormat="1" applyFont="1"/>
    <xf numFmtId="165" fontId="0" fillId="0" borderId="0" xfId="0" applyNumberFormat="1"/>
    <xf numFmtId="166" fontId="0" fillId="0" borderId="0" xfId="1" applyNumberFormat="1" applyFont="1"/>
    <xf numFmtId="164" fontId="0" fillId="0" borderId="0" xfId="0" applyNumberFormat="1"/>
    <xf numFmtId="0" fontId="0" fillId="0" borderId="0" xfId="1" applyNumberFormat="1" applyFont="1"/>
    <xf numFmtId="167" fontId="0" fillId="0" borderId="0" xfId="1" applyNumberFormat="1" applyFont="1"/>
    <xf numFmtId="166" fontId="0" fillId="0" borderId="0" xfId="0" applyNumberFormat="1"/>
    <xf numFmtId="0" fontId="16" fillId="0" borderId="0" xfId="0" applyFont="1"/>
    <xf numFmtId="0" fontId="18" fillId="0" borderId="0" xfId="0" applyFont="1" applyAlignment="1">
      <alignment horizontal="left" vertical="center" readingOrder="1"/>
    </xf>
    <xf numFmtId="0" fontId="0" fillId="33" borderId="0" xfId="0" applyFill="1"/>
  </cellXfs>
  <cellStyles count="43">
    <cellStyle name="20 % - Akzent1" xfId="20" builtinId="30" customBuiltin="1"/>
    <cellStyle name="20 % - Akzent2" xfId="24" builtinId="34" customBuiltin="1"/>
    <cellStyle name="20 % - Akzent3" xfId="28" builtinId="38" customBuiltin="1"/>
    <cellStyle name="20 % - Akzent4" xfId="32" builtinId="42" customBuiltin="1"/>
    <cellStyle name="20 % - Akzent5" xfId="36" builtinId="46" customBuiltin="1"/>
    <cellStyle name="20 % - Akzent6" xfId="40" builtinId="50" customBuiltin="1"/>
    <cellStyle name="40 % - Akzent1" xfId="21" builtinId="31" customBuiltin="1"/>
    <cellStyle name="40 % - Akzent2" xfId="25" builtinId="35" customBuiltin="1"/>
    <cellStyle name="40 % - Akzent3" xfId="29" builtinId="39" customBuiltin="1"/>
    <cellStyle name="40 % - Akzent4" xfId="33" builtinId="43" customBuiltin="1"/>
    <cellStyle name="40 % - Akzent5" xfId="37" builtinId="47" customBuiltin="1"/>
    <cellStyle name="40 % - Akzent6" xfId="41" builtinId="51" customBuiltin="1"/>
    <cellStyle name="60 % - Akzent1" xfId="22" builtinId="32" customBuiltin="1"/>
    <cellStyle name="60 % - Akzent2" xfId="26" builtinId="36" customBuiltin="1"/>
    <cellStyle name="60 % - Akzent3" xfId="30" builtinId="40" customBuiltin="1"/>
    <cellStyle name="60 % - Akzent4" xfId="34" builtinId="44" customBuiltin="1"/>
    <cellStyle name="60 % - Akzent5" xfId="38" builtinId="48" customBuiltin="1"/>
    <cellStyle name="60 % - Akzent6" xfId="42" builtinId="52" customBuiltin="1"/>
    <cellStyle name="Akzent1" xfId="19" builtinId="29" customBuiltin="1"/>
    <cellStyle name="Akzent2" xfId="23" builtinId="33" customBuiltin="1"/>
    <cellStyle name="Akzent3" xfId="27" builtinId="37" customBuiltin="1"/>
    <cellStyle name="Akzent4" xfId="31" builtinId="41" customBuiltin="1"/>
    <cellStyle name="Akzent5" xfId="35" builtinId="45" customBuiltin="1"/>
    <cellStyle name="Akzent6" xfId="39" builtinId="49" customBuiltin="1"/>
    <cellStyle name="Ausgabe" xfId="11" builtinId="21" customBuiltin="1"/>
    <cellStyle name="Berechnung" xfId="12" builtinId="22" customBuiltin="1"/>
    <cellStyle name="Eingabe" xfId="10" builtinId="20" customBuiltin="1"/>
    <cellStyle name="Ergebnis" xfId="18" builtinId="25" customBuiltin="1"/>
    <cellStyle name="Erklärender Text" xfId="17" builtinId="53" customBuiltin="1"/>
    <cellStyle name="Gut" xfId="7" builtinId="26" customBuiltin="1"/>
    <cellStyle name="Neutral" xfId="9" builtinId="28" customBuiltin="1"/>
    <cellStyle name="Notiz" xfId="16" builtinId="10" customBuiltin="1"/>
    <cellStyle name="Prozent" xfId="1" builtinId="5"/>
    <cellStyle name="Schlecht" xfId="8" builtinId="27" customBuiltin="1"/>
    <cellStyle name="Standard" xfId="0" builtinId="0"/>
    <cellStyle name="Überschrift" xfId="2" builtinId="15" customBuiltin="1"/>
    <cellStyle name="Überschrift 1" xfId="3" builtinId="16" customBuiltin="1"/>
    <cellStyle name="Überschrift 2" xfId="4" builtinId="17" customBuiltin="1"/>
    <cellStyle name="Überschrift 3" xfId="5" builtinId="18" customBuiltin="1"/>
    <cellStyle name="Überschrift 4" xfId="6" builtinId="19" customBuiltin="1"/>
    <cellStyle name="Verknüpfte Zelle" xfId="13" builtinId="24" customBuiltin="1"/>
    <cellStyle name="Warnender Text" xfId="15" builtinId="11" customBuiltin="1"/>
    <cellStyle name="Zelle überprüfen" xfId="14" builtinId="23" customBuiltin="1"/>
  </cellStyles>
  <dxfs count="5">
    <dxf>
      <numFmt numFmtId="166" formatCode="0.000000%"/>
    </dxf>
    <dxf>
      <numFmt numFmtId="165" formatCode="0.0000"/>
    </dxf>
    <dxf>
      <numFmt numFmtId="166" formatCode="0.000000%"/>
    </dxf>
    <dxf>
      <numFmt numFmtId="164" formatCode="0.0000%"/>
    </dxf>
    <dxf>
      <numFmt numFmtId="164" formatCode="0.00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Lorenz Curve of Contributing</a:t>
            </a:r>
            <a:r>
              <a:rPr lang="de-DE" baseline="0"/>
              <a:t> Organizations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Org_Nodes_Lorenzkurve!$S$1</c:f>
              <c:strCache>
                <c:ptCount val="1"/>
                <c:pt idx="0">
                  <c:v>Lorenz Curve</c:v>
                </c:pt>
              </c:strCache>
            </c:strRef>
          </c:tx>
          <c:spPr>
            <a:ln w="38100" cap="rnd">
              <a:solidFill>
                <a:schemeClr val="accent1"/>
              </a:solidFill>
              <a:bevel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Org_Nodes_Lorenzkurve!$Q$2:$Q$9048</c:f>
              <c:numCache>
                <c:formatCode>0.0000%</c:formatCode>
                <c:ptCount val="9047"/>
                <c:pt idx="0">
                  <c:v>0</c:v>
                </c:pt>
                <c:pt idx="1">
                  <c:v>0.61274003049647219</c:v>
                </c:pt>
                <c:pt idx="2">
                  <c:v>0.87541674204636499</c:v>
                </c:pt>
                <c:pt idx="3">
                  <c:v>0.90885302251053168</c:v>
                </c:pt>
                <c:pt idx="4">
                  <c:v>0.92963843589279715</c:v>
                </c:pt>
                <c:pt idx="5">
                  <c:v>0.94435039929703046</c:v>
                </c:pt>
                <c:pt idx="6">
                  <c:v>0.9536996355930013</c:v>
                </c:pt>
                <c:pt idx="7">
                  <c:v>0.95953402424211098</c:v>
                </c:pt>
                <c:pt idx="8">
                  <c:v>0.96514873491329178</c:v>
                </c:pt>
                <c:pt idx="9">
                  <c:v>0.97045977308557096</c:v>
                </c:pt>
                <c:pt idx="10">
                  <c:v>0.97324451451166871</c:v>
                </c:pt>
                <c:pt idx="11">
                  <c:v>0.97522161631302817</c:v>
                </c:pt>
                <c:pt idx="12">
                  <c:v>0.97676582327552786</c:v>
                </c:pt>
                <c:pt idx="13">
                  <c:v>0.97826480241904223</c:v>
                </c:pt>
                <c:pt idx="14">
                  <c:v>0.97939549789367586</c:v>
                </c:pt>
                <c:pt idx="15">
                  <c:v>0.98042281549634303</c:v>
                </c:pt>
                <c:pt idx="16">
                  <c:v>0.98141136639702276</c:v>
                </c:pt>
                <c:pt idx="17">
                  <c:v>0.98238053394670877</c:v>
                </c:pt>
                <c:pt idx="18">
                  <c:v>0.98328509032641565</c:v>
                </c:pt>
                <c:pt idx="19">
                  <c:v>0.98396350761119589</c:v>
                </c:pt>
                <c:pt idx="20">
                  <c:v>0.98461608042798443</c:v>
                </c:pt>
                <c:pt idx="21">
                  <c:v>0.98524280877678139</c:v>
                </c:pt>
                <c:pt idx="22">
                  <c:v>0.98585015377458463</c:v>
                </c:pt>
                <c:pt idx="23">
                  <c:v>0.98637996536841299</c:v>
                </c:pt>
                <c:pt idx="24">
                  <c:v>0.98680639909027479</c:v>
                </c:pt>
                <c:pt idx="25">
                  <c:v>0.98720052722714713</c:v>
                </c:pt>
                <c:pt idx="26">
                  <c:v>0.98758173313002362</c:v>
                </c:pt>
                <c:pt idx="27">
                  <c:v>0.98795001679890426</c:v>
                </c:pt>
                <c:pt idx="28">
                  <c:v>0.98824076706381003</c:v>
                </c:pt>
                <c:pt idx="29">
                  <c:v>0.98851859509472007</c:v>
                </c:pt>
                <c:pt idx="30">
                  <c:v>0.9887964231256301</c:v>
                </c:pt>
                <c:pt idx="31">
                  <c:v>0.98906779003954215</c:v>
                </c:pt>
                <c:pt idx="32">
                  <c:v>0.98933269583645633</c:v>
                </c:pt>
                <c:pt idx="33">
                  <c:v>0.98959114051637265</c:v>
                </c:pt>
                <c:pt idx="34">
                  <c:v>0.98984958519628896</c:v>
                </c:pt>
                <c:pt idx="35">
                  <c:v>0.99008864652521156</c:v>
                </c:pt>
                <c:pt idx="36">
                  <c:v>0.99030832450314044</c:v>
                </c:pt>
                <c:pt idx="37">
                  <c:v>0.99052154136407133</c:v>
                </c:pt>
                <c:pt idx="38">
                  <c:v>0.99072183599100638</c:v>
                </c:pt>
                <c:pt idx="39">
                  <c:v>0.99092213061794143</c:v>
                </c:pt>
                <c:pt idx="40">
                  <c:v>0.99111596412787861</c:v>
                </c:pt>
                <c:pt idx="41">
                  <c:v>0.99129687540381994</c:v>
                </c:pt>
                <c:pt idx="42">
                  <c:v>0.99147132556276341</c:v>
                </c:pt>
                <c:pt idx="43">
                  <c:v>0.99164577572170687</c:v>
                </c:pt>
                <c:pt idx="44">
                  <c:v>0.99181376476365246</c:v>
                </c:pt>
                <c:pt idx="45">
                  <c:v>0.99198175380559805</c:v>
                </c:pt>
                <c:pt idx="46">
                  <c:v>0.9921368206135478</c:v>
                </c:pt>
                <c:pt idx="47">
                  <c:v>0.99229188742149754</c:v>
                </c:pt>
                <c:pt idx="48">
                  <c:v>0.99244695422944729</c:v>
                </c:pt>
                <c:pt idx="49">
                  <c:v>0.99259555992039916</c:v>
                </c:pt>
                <c:pt idx="50">
                  <c:v>0.99273770449435306</c:v>
                </c:pt>
                <c:pt idx="51">
                  <c:v>0.99287984906830695</c:v>
                </c:pt>
                <c:pt idx="52">
                  <c:v>0.99302199364226085</c:v>
                </c:pt>
                <c:pt idx="53">
                  <c:v>0.993151215982219</c:v>
                </c:pt>
                <c:pt idx="54">
                  <c:v>0.99327397720517918</c:v>
                </c:pt>
                <c:pt idx="55">
                  <c:v>0.99339027731114149</c:v>
                </c:pt>
                <c:pt idx="56">
                  <c:v>0.99350011630010593</c:v>
                </c:pt>
                <c:pt idx="57">
                  <c:v>0.99360995528907037</c:v>
                </c:pt>
                <c:pt idx="58">
                  <c:v>0.99371979427803481</c:v>
                </c:pt>
                <c:pt idx="59">
                  <c:v>0.99382317215000127</c:v>
                </c:pt>
                <c:pt idx="60">
                  <c:v>0.99392655002196773</c:v>
                </c:pt>
                <c:pt idx="61">
                  <c:v>0.99402992789393418</c:v>
                </c:pt>
                <c:pt idx="62">
                  <c:v>0.99413330576590064</c:v>
                </c:pt>
                <c:pt idx="63">
                  <c:v>0.9942366836378671</c:v>
                </c:pt>
                <c:pt idx="64">
                  <c:v>0.99434006150983356</c:v>
                </c:pt>
                <c:pt idx="65">
                  <c:v>0.99443697826480215</c:v>
                </c:pt>
                <c:pt idx="66">
                  <c:v>0.99452743390277287</c:v>
                </c:pt>
                <c:pt idx="67">
                  <c:v>0.99461788954074359</c:v>
                </c:pt>
                <c:pt idx="68">
                  <c:v>0.99470834517871431</c:v>
                </c:pt>
                <c:pt idx="69">
                  <c:v>0.99479880081668504</c:v>
                </c:pt>
                <c:pt idx="70">
                  <c:v>0.99488279533765778</c:v>
                </c:pt>
                <c:pt idx="71">
                  <c:v>0.99496678985863052</c:v>
                </c:pt>
                <c:pt idx="72">
                  <c:v>0.99504432326260539</c:v>
                </c:pt>
                <c:pt idx="73">
                  <c:v>0.99512185666658026</c:v>
                </c:pt>
                <c:pt idx="74">
                  <c:v>0.99519292895355727</c:v>
                </c:pt>
                <c:pt idx="75">
                  <c:v>0.99526400124053427</c:v>
                </c:pt>
                <c:pt idx="76">
                  <c:v>0.99533507352751127</c:v>
                </c:pt>
                <c:pt idx="77">
                  <c:v>0.99540614581448827</c:v>
                </c:pt>
                <c:pt idx="78">
                  <c:v>0.99547721810146528</c:v>
                </c:pt>
                <c:pt idx="79">
                  <c:v>0.99554829038844228</c:v>
                </c:pt>
                <c:pt idx="80">
                  <c:v>0.9956129015584213</c:v>
                </c:pt>
                <c:pt idx="81">
                  <c:v>0.99567751272840033</c:v>
                </c:pt>
                <c:pt idx="82">
                  <c:v>0.99574212389837935</c:v>
                </c:pt>
                <c:pt idx="83">
                  <c:v>0.99580673506835837</c:v>
                </c:pt>
                <c:pt idx="84">
                  <c:v>0.9958713462383374</c:v>
                </c:pt>
                <c:pt idx="85">
                  <c:v>0.99593595740831642</c:v>
                </c:pt>
                <c:pt idx="86">
                  <c:v>0.99599410746129757</c:v>
                </c:pt>
                <c:pt idx="87">
                  <c:v>0.99605225751427873</c:v>
                </c:pt>
                <c:pt idx="88">
                  <c:v>0.99611040756725988</c:v>
                </c:pt>
                <c:pt idx="89">
                  <c:v>0.99616855762024104</c:v>
                </c:pt>
                <c:pt idx="90">
                  <c:v>0.99622670767322219</c:v>
                </c:pt>
                <c:pt idx="91">
                  <c:v>0.99628485772620334</c:v>
                </c:pt>
                <c:pt idx="92">
                  <c:v>0.99633654666218663</c:v>
                </c:pt>
                <c:pt idx="93">
                  <c:v>0.99638823559816991</c:v>
                </c:pt>
                <c:pt idx="94">
                  <c:v>0.9964399245341532</c:v>
                </c:pt>
                <c:pt idx="95">
                  <c:v>0.99649161347013648</c:v>
                </c:pt>
                <c:pt idx="96">
                  <c:v>0.99654330240611977</c:v>
                </c:pt>
                <c:pt idx="97">
                  <c:v>0.99658853022510507</c:v>
                </c:pt>
                <c:pt idx="98">
                  <c:v>0.99663375804409038</c:v>
                </c:pt>
                <c:pt idx="99">
                  <c:v>0.99667898586307568</c:v>
                </c:pt>
                <c:pt idx="100">
                  <c:v>0.99672421368206099</c:v>
                </c:pt>
                <c:pt idx="101">
                  <c:v>0.99676944150104629</c:v>
                </c:pt>
                <c:pt idx="102">
                  <c:v>0.9968146693200316</c:v>
                </c:pt>
                <c:pt idx="103">
                  <c:v>0.9968598971390169</c:v>
                </c:pt>
                <c:pt idx="104">
                  <c:v>0.99690512495800221</c:v>
                </c:pt>
                <c:pt idx="105">
                  <c:v>0.99694389165998964</c:v>
                </c:pt>
                <c:pt idx="106">
                  <c:v>0.99698265836197708</c:v>
                </c:pt>
                <c:pt idx="107">
                  <c:v>0.99702142506396452</c:v>
                </c:pt>
                <c:pt idx="108">
                  <c:v>0.99706019176595195</c:v>
                </c:pt>
                <c:pt idx="109">
                  <c:v>0.99709895846793939</c:v>
                </c:pt>
                <c:pt idx="110">
                  <c:v>0.99713772516992683</c:v>
                </c:pt>
                <c:pt idx="111">
                  <c:v>0.99717649187191426</c:v>
                </c:pt>
                <c:pt idx="112">
                  <c:v>0.99720879745690383</c:v>
                </c:pt>
                <c:pt idx="113">
                  <c:v>0.9972411030418934</c:v>
                </c:pt>
                <c:pt idx="114">
                  <c:v>0.99727340862688296</c:v>
                </c:pt>
                <c:pt idx="115">
                  <c:v>0.99730571421187253</c:v>
                </c:pt>
                <c:pt idx="116">
                  <c:v>0.9973380197968621</c:v>
                </c:pt>
                <c:pt idx="117">
                  <c:v>0.99737032538185166</c:v>
                </c:pt>
                <c:pt idx="118">
                  <c:v>0.99740263096684123</c:v>
                </c:pt>
                <c:pt idx="119">
                  <c:v>0.9974349365518308</c:v>
                </c:pt>
                <c:pt idx="120">
                  <c:v>0.99746724213682036</c:v>
                </c:pt>
                <c:pt idx="121">
                  <c:v>0.99749954772180993</c:v>
                </c:pt>
                <c:pt idx="122">
                  <c:v>0.9975318533067995</c:v>
                </c:pt>
                <c:pt idx="123">
                  <c:v>0.99756415889178907</c:v>
                </c:pt>
                <c:pt idx="124">
                  <c:v>0.99759646447677863</c:v>
                </c:pt>
                <c:pt idx="125">
                  <c:v>0.9976287700617682</c:v>
                </c:pt>
                <c:pt idx="126">
                  <c:v>0.99766107564675777</c:v>
                </c:pt>
                <c:pt idx="127">
                  <c:v>0.99769338123174733</c:v>
                </c:pt>
                <c:pt idx="128">
                  <c:v>0.99771922569973892</c:v>
                </c:pt>
                <c:pt idx="129">
                  <c:v>0.99774507016773051</c:v>
                </c:pt>
                <c:pt idx="130">
                  <c:v>0.99777091463572209</c:v>
                </c:pt>
                <c:pt idx="131">
                  <c:v>0.99779675910371368</c:v>
                </c:pt>
                <c:pt idx="132">
                  <c:v>0.99782260357170527</c:v>
                </c:pt>
                <c:pt idx="133">
                  <c:v>0.99784844803969686</c:v>
                </c:pt>
                <c:pt idx="134">
                  <c:v>0.99787429250768844</c:v>
                </c:pt>
                <c:pt idx="135">
                  <c:v>0.99790013697568003</c:v>
                </c:pt>
                <c:pt idx="136">
                  <c:v>0.99792598144367162</c:v>
                </c:pt>
                <c:pt idx="137">
                  <c:v>0.9979518259116632</c:v>
                </c:pt>
                <c:pt idx="138">
                  <c:v>0.99797767037965479</c:v>
                </c:pt>
                <c:pt idx="139">
                  <c:v>0.99800351484764638</c:v>
                </c:pt>
                <c:pt idx="140">
                  <c:v>0.99802935931563797</c:v>
                </c:pt>
                <c:pt idx="141">
                  <c:v>0.99805520378362955</c:v>
                </c:pt>
                <c:pt idx="142">
                  <c:v>0.99808104825162114</c:v>
                </c:pt>
                <c:pt idx="143">
                  <c:v>0.99810689271961273</c:v>
                </c:pt>
                <c:pt idx="144">
                  <c:v>0.99813273718760431</c:v>
                </c:pt>
                <c:pt idx="145">
                  <c:v>0.9981585816555959</c:v>
                </c:pt>
                <c:pt idx="146">
                  <c:v>0.99817796500658962</c:v>
                </c:pt>
                <c:pt idx="147">
                  <c:v>0.99819734835758334</c:v>
                </c:pt>
                <c:pt idx="148">
                  <c:v>0.99821673170857705</c:v>
                </c:pt>
                <c:pt idx="149">
                  <c:v>0.99823611505957077</c:v>
                </c:pt>
                <c:pt idx="150">
                  <c:v>0.99825549841056449</c:v>
                </c:pt>
                <c:pt idx="151">
                  <c:v>0.99827488176155821</c:v>
                </c:pt>
                <c:pt idx="152">
                  <c:v>0.99829426511255193</c:v>
                </c:pt>
                <c:pt idx="153">
                  <c:v>0.99831364846354564</c:v>
                </c:pt>
                <c:pt idx="154">
                  <c:v>0.99833303181453936</c:v>
                </c:pt>
                <c:pt idx="155">
                  <c:v>0.99835241516553308</c:v>
                </c:pt>
                <c:pt idx="156">
                  <c:v>0.9983717985165268</c:v>
                </c:pt>
                <c:pt idx="157">
                  <c:v>0.99839118186752052</c:v>
                </c:pt>
                <c:pt idx="158">
                  <c:v>0.99841056521851423</c:v>
                </c:pt>
                <c:pt idx="159">
                  <c:v>0.99842994856950795</c:v>
                </c:pt>
                <c:pt idx="160">
                  <c:v>0.99844933192050167</c:v>
                </c:pt>
                <c:pt idx="161">
                  <c:v>0.99846871527149539</c:v>
                </c:pt>
                <c:pt idx="162">
                  <c:v>0.99848809862248911</c:v>
                </c:pt>
                <c:pt idx="163">
                  <c:v>0.99850748197348282</c:v>
                </c:pt>
                <c:pt idx="164">
                  <c:v>0.99852686532447654</c:v>
                </c:pt>
                <c:pt idx="165">
                  <c:v>0.99854624867547026</c:v>
                </c:pt>
                <c:pt idx="166">
                  <c:v>0.99856563202646398</c:v>
                </c:pt>
                <c:pt idx="167">
                  <c:v>0.99857855426045983</c:v>
                </c:pt>
                <c:pt idx="168">
                  <c:v>0.99859147649445568</c:v>
                </c:pt>
                <c:pt idx="169">
                  <c:v>0.99860439872845153</c:v>
                </c:pt>
                <c:pt idx="170">
                  <c:v>0.99861732096244737</c:v>
                </c:pt>
                <c:pt idx="171">
                  <c:v>0.99863024319644322</c:v>
                </c:pt>
                <c:pt idx="172">
                  <c:v>0.99864316543043907</c:v>
                </c:pt>
                <c:pt idx="173">
                  <c:v>0.99865608766443492</c:v>
                </c:pt>
                <c:pt idx="174">
                  <c:v>0.99866900989843077</c:v>
                </c:pt>
                <c:pt idx="175">
                  <c:v>0.99868193213242662</c:v>
                </c:pt>
                <c:pt idx="176">
                  <c:v>0.99869485436642247</c:v>
                </c:pt>
                <c:pt idx="177">
                  <c:v>0.99870777660041832</c:v>
                </c:pt>
                <c:pt idx="178">
                  <c:v>0.99872069883441417</c:v>
                </c:pt>
                <c:pt idx="179">
                  <c:v>0.99873362106841002</c:v>
                </c:pt>
                <c:pt idx="180">
                  <c:v>0.99874654330240586</c:v>
                </c:pt>
                <c:pt idx="181">
                  <c:v>0.99875946553640171</c:v>
                </c:pt>
                <c:pt idx="182">
                  <c:v>0.99877238777039756</c:v>
                </c:pt>
                <c:pt idx="183">
                  <c:v>0.99878531000439341</c:v>
                </c:pt>
                <c:pt idx="184">
                  <c:v>0.99879823223838926</c:v>
                </c:pt>
                <c:pt idx="185">
                  <c:v>0.99881115447238511</c:v>
                </c:pt>
                <c:pt idx="186">
                  <c:v>0.99882407670638096</c:v>
                </c:pt>
                <c:pt idx="187">
                  <c:v>0.99883699894037681</c:v>
                </c:pt>
                <c:pt idx="188">
                  <c:v>0.99884992117437266</c:v>
                </c:pt>
                <c:pt idx="189">
                  <c:v>0.99886284340836851</c:v>
                </c:pt>
                <c:pt idx="190">
                  <c:v>0.99887576564236435</c:v>
                </c:pt>
                <c:pt idx="191">
                  <c:v>0.9988886878763602</c:v>
                </c:pt>
                <c:pt idx="192">
                  <c:v>0.99890161011035605</c:v>
                </c:pt>
                <c:pt idx="193">
                  <c:v>0.9989145323443519</c:v>
                </c:pt>
                <c:pt idx="194">
                  <c:v>0.99892745457834775</c:v>
                </c:pt>
                <c:pt idx="195">
                  <c:v>0.9989403768123436</c:v>
                </c:pt>
                <c:pt idx="196">
                  <c:v>0.99895329904633945</c:v>
                </c:pt>
                <c:pt idx="197">
                  <c:v>0.9989662212803353</c:v>
                </c:pt>
                <c:pt idx="198">
                  <c:v>0.99897914351433115</c:v>
                </c:pt>
                <c:pt idx="199">
                  <c:v>0.998992065748327</c:v>
                </c:pt>
                <c:pt idx="200">
                  <c:v>0.99900498798232285</c:v>
                </c:pt>
                <c:pt idx="201">
                  <c:v>0.99901791021631869</c:v>
                </c:pt>
                <c:pt idx="202">
                  <c:v>0.99903083245031454</c:v>
                </c:pt>
                <c:pt idx="203">
                  <c:v>0.99904375468431039</c:v>
                </c:pt>
                <c:pt idx="204">
                  <c:v>0.99905667691830624</c:v>
                </c:pt>
                <c:pt idx="205">
                  <c:v>0.99906959915230209</c:v>
                </c:pt>
                <c:pt idx="206">
                  <c:v>0.99908252138629794</c:v>
                </c:pt>
                <c:pt idx="207">
                  <c:v>0.99909544362029379</c:v>
                </c:pt>
                <c:pt idx="208">
                  <c:v>0.99910836585428964</c:v>
                </c:pt>
                <c:pt idx="209">
                  <c:v>0.99912128808828549</c:v>
                </c:pt>
                <c:pt idx="210">
                  <c:v>0.99913421032228134</c:v>
                </c:pt>
                <c:pt idx="211">
                  <c:v>0.99914713255627718</c:v>
                </c:pt>
                <c:pt idx="212">
                  <c:v>0.99916005479027303</c:v>
                </c:pt>
                <c:pt idx="213">
                  <c:v>0.99917297702426888</c:v>
                </c:pt>
                <c:pt idx="214">
                  <c:v>0.99918589925826473</c:v>
                </c:pt>
                <c:pt idx="215">
                  <c:v>0.99919882149226058</c:v>
                </c:pt>
                <c:pt idx="216">
                  <c:v>0.99920528260925845</c:v>
                </c:pt>
                <c:pt idx="217">
                  <c:v>0.99921174372625632</c:v>
                </c:pt>
                <c:pt idx="218">
                  <c:v>0.99921820484325419</c:v>
                </c:pt>
                <c:pt idx="219">
                  <c:v>0.99922466596025206</c:v>
                </c:pt>
                <c:pt idx="220">
                  <c:v>0.99923112707724993</c:v>
                </c:pt>
                <c:pt idx="221">
                  <c:v>0.99923758819424779</c:v>
                </c:pt>
                <c:pt idx="222">
                  <c:v>0.99924404931124566</c:v>
                </c:pt>
                <c:pt idx="223">
                  <c:v>0.99925051042824353</c:v>
                </c:pt>
                <c:pt idx="224">
                  <c:v>0.9992569715452414</c:v>
                </c:pt>
                <c:pt idx="225">
                  <c:v>0.99926343266223927</c:v>
                </c:pt>
                <c:pt idx="226">
                  <c:v>0.99926989377923714</c:v>
                </c:pt>
                <c:pt idx="227">
                  <c:v>0.99927635489623501</c:v>
                </c:pt>
                <c:pt idx="228">
                  <c:v>0.99928281601323288</c:v>
                </c:pt>
                <c:pt idx="229">
                  <c:v>0.99928927713023075</c:v>
                </c:pt>
                <c:pt idx="230">
                  <c:v>0.99929573824722862</c:v>
                </c:pt>
                <c:pt idx="231">
                  <c:v>0.99930219936422648</c:v>
                </c:pt>
                <c:pt idx="232">
                  <c:v>0.99930866048122435</c:v>
                </c:pt>
                <c:pt idx="233">
                  <c:v>0.99931512159822222</c:v>
                </c:pt>
                <c:pt idx="234">
                  <c:v>0.99932158271522009</c:v>
                </c:pt>
                <c:pt idx="235">
                  <c:v>0.99932804383221796</c:v>
                </c:pt>
                <c:pt idx="236">
                  <c:v>0.99933450494921583</c:v>
                </c:pt>
                <c:pt idx="237">
                  <c:v>0.9993409660662137</c:v>
                </c:pt>
                <c:pt idx="238">
                  <c:v>0.99934742718321157</c:v>
                </c:pt>
                <c:pt idx="239">
                  <c:v>0.99935388830020944</c:v>
                </c:pt>
                <c:pt idx="240">
                  <c:v>0.99936034941720731</c:v>
                </c:pt>
                <c:pt idx="241">
                  <c:v>0.99936681053420517</c:v>
                </c:pt>
                <c:pt idx="242">
                  <c:v>0.99937327165120304</c:v>
                </c:pt>
                <c:pt idx="243">
                  <c:v>0.99937973276820091</c:v>
                </c:pt>
                <c:pt idx="244">
                  <c:v>0.99938619388519878</c:v>
                </c:pt>
                <c:pt idx="245">
                  <c:v>0.99939265500219665</c:v>
                </c:pt>
                <c:pt idx="246">
                  <c:v>0.99939911611919452</c:v>
                </c:pt>
                <c:pt idx="247">
                  <c:v>0.99940557723619239</c:v>
                </c:pt>
                <c:pt idx="248">
                  <c:v>0.99941203835319026</c:v>
                </c:pt>
                <c:pt idx="249">
                  <c:v>0.99941849947018813</c:v>
                </c:pt>
                <c:pt idx="250">
                  <c:v>0.999424960587186</c:v>
                </c:pt>
                <c:pt idx="251">
                  <c:v>0.99943142170418386</c:v>
                </c:pt>
                <c:pt idx="252">
                  <c:v>0.99943788282118173</c:v>
                </c:pt>
                <c:pt idx="253">
                  <c:v>0.9994443439381796</c:v>
                </c:pt>
                <c:pt idx="254">
                  <c:v>0.99945080505517747</c:v>
                </c:pt>
                <c:pt idx="255">
                  <c:v>0.99945726617217534</c:v>
                </c:pt>
                <c:pt idx="256">
                  <c:v>0.99946372728917321</c:v>
                </c:pt>
                <c:pt idx="257">
                  <c:v>0.99947018840617108</c:v>
                </c:pt>
                <c:pt idx="258">
                  <c:v>0.99947664952316895</c:v>
                </c:pt>
                <c:pt idx="259">
                  <c:v>0.99948311064016682</c:v>
                </c:pt>
                <c:pt idx="260">
                  <c:v>0.99948957175716469</c:v>
                </c:pt>
                <c:pt idx="261">
                  <c:v>0.99949603287416255</c:v>
                </c:pt>
                <c:pt idx="262">
                  <c:v>0.99950249399116042</c:v>
                </c:pt>
                <c:pt idx="263">
                  <c:v>0.99950895510815829</c:v>
                </c:pt>
                <c:pt idx="264">
                  <c:v>0.99951541622515616</c:v>
                </c:pt>
                <c:pt idx="265">
                  <c:v>0.99952187734215403</c:v>
                </c:pt>
                <c:pt idx="266">
                  <c:v>0.9995283384591519</c:v>
                </c:pt>
                <c:pt idx="267">
                  <c:v>0.99953479957614977</c:v>
                </c:pt>
                <c:pt idx="268">
                  <c:v>0.99954126069314764</c:v>
                </c:pt>
                <c:pt idx="269">
                  <c:v>0.99954772181014551</c:v>
                </c:pt>
                <c:pt idx="270">
                  <c:v>0.99955418292714338</c:v>
                </c:pt>
                <c:pt idx="271">
                  <c:v>0.99956064404414124</c:v>
                </c:pt>
                <c:pt idx="272">
                  <c:v>0.99956710516113911</c:v>
                </c:pt>
                <c:pt idx="273">
                  <c:v>0.99957356627813698</c:v>
                </c:pt>
                <c:pt idx="274">
                  <c:v>0.99958002739513485</c:v>
                </c:pt>
                <c:pt idx="275">
                  <c:v>0.99958648851213272</c:v>
                </c:pt>
                <c:pt idx="276">
                  <c:v>0.99959294962913059</c:v>
                </c:pt>
                <c:pt idx="277">
                  <c:v>0.99959941074612846</c:v>
                </c:pt>
                <c:pt idx="278">
                  <c:v>0.99960587186312633</c:v>
                </c:pt>
                <c:pt idx="279">
                  <c:v>0.9996123329801242</c:v>
                </c:pt>
                <c:pt idx="280">
                  <c:v>0.99961879409712207</c:v>
                </c:pt>
                <c:pt idx="281">
                  <c:v>0.99962525521411993</c:v>
                </c:pt>
                <c:pt idx="282">
                  <c:v>0.9996317163311178</c:v>
                </c:pt>
                <c:pt idx="283">
                  <c:v>0.99963817744811567</c:v>
                </c:pt>
                <c:pt idx="284">
                  <c:v>0.99964463856511354</c:v>
                </c:pt>
                <c:pt idx="285">
                  <c:v>0.99965109968211141</c:v>
                </c:pt>
                <c:pt idx="286">
                  <c:v>0.99965756079910928</c:v>
                </c:pt>
                <c:pt idx="287">
                  <c:v>0.99966402191610715</c:v>
                </c:pt>
                <c:pt idx="288">
                  <c:v>0.99967048303310502</c:v>
                </c:pt>
                <c:pt idx="289">
                  <c:v>0.99967694415010289</c:v>
                </c:pt>
                <c:pt idx="290">
                  <c:v>0.99968340526710076</c:v>
                </c:pt>
                <c:pt idx="291">
                  <c:v>0.99968986638409862</c:v>
                </c:pt>
                <c:pt idx="292">
                  <c:v>0.99969632750109649</c:v>
                </c:pt>
                <c:pt idx="293">
                  <c:v>0.99970278861809436</c:v>
                </c:pt>
                <c:pt idx="294">
                  <c:v>0.99970924973509223</c:v>
                </c:pt>
                <c:pt idx="295">
                  <c:v>0.9997157108520901</c:v>
                </c:pt>
                <c:pt idx="296">
                  <c:v>0.99972217196908797</c:v>
                </c:pt>
                <c:pt idx="297">
                  <c:v>0.99972863308608584</c:v>
                </c:pt>
                <c:pt idx="298">
                  <c:v>0.99973509420308371</c:v>
                </c:pt>
                <c:pt idx="299">
                  <c:v>0.99974155532008158</c:v>
                </c:pt>
                <c:pt idx="300">
                  <c:v>0.99974801643707945</c:v>
                </c:pt>
                <c:pt idx="301">
                  <c:v>0.99975447755407731</c:v>
                </c:pt>
                <c:pt idx="302">
                  <c:v>0.99976093867107518</c:v>
                </c:pt>
                <c:pt idx="303">
                  <c:v>0.99976739978807305</c:v>
                </c:pt>
                <c:pt idx="304">
                  <c:v>0.99977386090507092</c:v>
                </c:pt>
                <c:pt idx="305">
                  <c:v>0.99978032202206879</c:v>
                </c:pt>
                <c:pt idx="306">
                  <c:v>0.99978678313906666</c:v>
                </c:pt>
                <c:pt idx="307">
                  <c:v>0.99979324425606453</c:v>
                </c:pt>
                <c:pt idx="308">
                  <c:v>0.9997997053730624</c:v>
                </c:pt>
                <c:pt idx="309">
                  <c:v>0.99980616649006027</c:v>
                </c:pt>
                <c:pt idx="310">
                  <c:v>0.99981262760705814</c:v>
                </c:pt>
                <c:pt idx="311">
                  <c:v>0.999819088724056</c:v>
                </c:pt>
                <c:pt idx="312">
                  <c:v>0.99982554984105387</c:v>
                </c:pt>
                <c:pt idx="313">
                  <c:v>0.99983201095805174</c:v>
                </c:pt>
                <c:pt idx="314">
                  <c:v>0.99983847207504961</c:v>
                </c:pt>
                <c:pt idx="315">
                  <c:v>0.99984493319204748</c:v>
                </c:pt>
                <c:pt idx="316">
                  <c:v>0.99985139430904535</c:v>
                </c:pt>
                <c:pt idx="317">
                  <c:v>0.99985785542604322</c:v>
                </c:pt>
                <c:pt idx="318">
                  <c:v>0.99986431654304109</c:v>
                </c:pt>
                <c:pt idx="319">
                  <c:v>0.99987077766003896</c:v>
                </c:pt>
                <c:pt idx="320">
                  <c:v>0.99987723877703683</c:v>
                </c:pt>
                <c:pt idx="321">
                  <c:v>0.99988369989403469</c:v>
                </c:pt>
                <c:pt idx="322">
                  <c:v>0.99989016101103256</c:v>
                </c:pt>
                <c:pt idx="323">
                  <c:v>0.99989662212803043</c:v>
                </c:pt>
                <c:pt idx="324">
                  <c:v>0.9999030832450283</c:v>
                </c:pt>
                <c:pt idx="325">
                  <c:v>0.99990954436202617</c:v>
                </c:pt>
                <c:pt idx="326">
                  <c:v>0.99991600547902404</c:v>
                </c:pt>
                <c:pt idx="327">
                  <c:v>0.99992246659602191</c:v>
                </c:pt>
                <c:pt idx="328">
                  <c:v>0.99992892771301978</c:v>
                </c:pt>
                <c:pt idx="329">
                  <c:v>0.99993538883001765</c:v>
                </c:pt>
                <c:pt idx="330">
                  <c:v>0.99994184994701552</c:v>
                </c:pt>
                <c:pt idx="331">
                  <c:v>0.99994831106401338</c:v>
                </c:pt>
                <c:pt idx="332">
                  <c:v>0.99995477218101125</c:v>
                </c:pt>
                <c:pt idx="333">
                  <c:v>0.99996123329800912</c:v>
                </c:pt>
                <c:pt idx="334">
                  <c:v>0.99996769441500699</c:v>
                </c:pt>
                <c:pt idx="335">
                  <c:v>0.99997415553200486</c:v>
                </c:pt>
                <c:pt idx="336">
                  <c:v>0.99998061664900273</c:v>
                </c:pt>
                <c:pt idx="337">
                  <c:v>0.9999870777660006</c:v>
                </c:pt>
                <c:pt idx="338">
                  <c:v>0.99999353888299847</c:v>
                </c:pt>
                <c:pt idx="339">
                  <c:v>0.99999999999999634</c:v>
                </c:pt>
              </c:numCache>
            </c:numRef>
          </c:xVal>
          <c:yVal>
            <c:numRef>
              <c:f>Org_Nodes_Lorenzkurve!$S$2:$S$9048</c:f>
              <c:numCache>
                <c:formatCode>0.000000%</c:formatCode>
                <c:ptCount val="9047"/>
                <c:pt idx="0" formatCode="0.0000%">
                  <c:v>0</c:v>
                </c:pt>
                <c:pt idx="1">
                  <c:v>2.9498525073746312E-3</c:v>
                </c:pt>
                <c:pt idx="2">
                  <c:v>5.8997050147492625E-3</c:v>
                </c:pt>
                <c:pt idx="3">
                  <c:v>8.8495575221238937E-3</c:v>
                </c:pt>
                <c:pt idx="4">
                  <c:v>1.1799410029498525E-2</c:v>
                </c:pt>
                <c:pt idx="5">
                  <c:v>1.4749262536873156E-2</c:v>
                </c:pt>
                <c:pt idx="6">
                  <c:v>1.7699115044247787E-2</c:v>
                </c:pt>
                <c:pt idx="7">
                  <c:v>2.0648967551622419E-2</c:v>
                </c:pt>
                <c:pt idx="8">
                  <c:v>2.359882005899705E-2</c:v>
                </c:pt>
                <c:pt idx="9">
                  <c:v>2.6548672566371681E-2</c:v>
                </c:pt>
                <c:pt idx="10">
                  <c:v>2.9498525073746312E-2</c:v>
                </c:pt>
                <c:pt idx="11">
                  <c:v>3.2448377581120944E-2</c:v>
                </c:pt>
                <c:pt idx="12">
                  <c:v>3.5398230088495575E-2</c:v>
                </c:pt>
                <c:pt idx="13">
                  <c:v>3.8348082595870206E-2</c:v>
                </c:pt>
                <c:pt idx="14">
                  <c:v>4.1297935103244837E-2</c:v>
                </c:pt>
                <c:pt idx="15">
                  <c:v>4.4247787610619468E-2</c:v>
                </c:pt>
                <c:pt idx="16">
                  <c:v>4.71976401179941E-2</c:v>
                </c:pt>
                <c:pt idx="17">
                  <c:v>5.0147492625368731E-2</c:v>
                </c:pt>
                <c:pt idx="18">
                  <c:v>5.3097345132743362E-2</c:v>
                </c:pt>
                <c:pt idx="19">
                  <c:v>5.6047197640117993E-2</c:v>
                </c:pt>
                <c:pt idx="20">
                  <c:v>5.8997050147492625E-2</c:v>
                </c:pt>
                <c:pt idx="21">
                  <c:v>6.1946902654867256E-2</c:v>
                </c:pt>
                <c:pt idx="22">
                  <c:v>6.4896755162241887E-2</c:v>
                </c:pt>
                <c:pt idx="23">
                  <c:v>6.7846607669616518E-2</c:v>
                </c:pt>
                <c:pt idx="24">
                  <c:v>7.0796460176991149E-2</c:v>
                </c:pt>
                <c:pt idx="25">
                  <c:v>7.3746312684365781E-2</c:v>
                </c:pt>
                <c:pt idx="26">
                  <c:v>7.6696165191740412E-2</c:v>
                </c:pt>
                <c:pt idx="27">
                  <c:v>7.9646017699115043E-2</c:v>
                </c:pt>
                <c:pt idx="28">
                  <c:v>8.2595870206489674E-2</c:v>
                </c:pt>
                <c:pt idx="29">
                  <c:v>8.5545722713864306E-2</c:v>
                </c:pt>
                <c:pt idx="30">
                  <c:v>8.8495575221238937E-2</c:v>
                </c:pt>
                <c:pt idx="31">
                  <c:v>9.1445427728613568E-2</c:v>
                </c:pt>
                <c:pt idx="32">
                  <c:v>9.4395280235988199E-2</c:v>
                </c:pt>
                <c:pt idx="33">
                  <c:v>9.7345132743362831E-2</c:v>
                </c:pt>
                <c:pt idx="34">
                  <c:v>0.10029498525073746</c:v>
                </c:pt>
                <c:pt idx="35">
                  <c:v>0.10324483775811209</c:v>
                </c:pt>
                <c:pt idx="36">
                  <c:v>0.10619469026548672</c:v>
                </c:pt>
                <c:pt idx="37">
                  <c:v>0.10914454277286136</c:v>
                </c:pt>
                <c:pt idx="38">
                  <c:v>0.11209439528023599</c:v>
                </c:pt>
                <c:pt idx="39">
                  <c:v>0.11504424778761062</c:v>
                </c:pt>
                <c:pt idx="40">
                  <c:v>0.11799410029498525</c:v>
                </c:pt>
                <c:pt idx="41">
                  <c:v>0.12094395280235988</c:v>
                </c:pt>
                <c:pt idx="42">
                  <c:v>0.12389380530973451</c:v>
                </c:pt>
                <c:pt idx="43">
                  <c:v>0.12684365781710916</c:v>
                </c:pt>
                <c:pt idx="44">
                  <c:v>0.12979351032448377</c:v>
                </c:pt>
                <c:pt idx="45">
                  <c:v>0.13274336283185839</c:v>
                </c:pt>
                <c:pt idx="46">
                  <c:v>0.13569321533923301</c:v>
                </c:pt>
                <c:pt idx="47">
                  <c:v>0.13864306784660763</c:v>
                </c:pt>
                <c:pt idx="48">
                  <c:v>0.14159292035398224</c:v>
                </c:pt>
                <c:pt idx="49">
                  <c:v>0.14454277286135686</c:v>
                </c:pt>
                <c:pt idx="50">
                  <c:v>0.14749262536873148</c:v>
                </c:pt>
                <c:pt idx="51">
                  <c:v>0.1504424778761061</c:v>
                </c:pt>
                <c:pt idx="52">
                  <c:v>0.15339233038348071</c:v>
                </c:pt>
                <c:pt idx="53">
                  <c:v>0.15634218289085533</c:v>
                </c:pt>
                <c:pt idx="54">
                  <c:v>0.15929203539822995</c:v>
                </c:pt>
                <c:pt idx="55">
                  <c:v>0.16224188790560456</c:v>
                </c:pt>
                <c:pt idx="56">
                  <c:v>0.16519174041297918</c:v>
                </c:pt>
                <c:pt idx="57">
                  <c:v>0.1681415929203538</c:v>
                </c:pt>
                <c:pt idx="58">
                  <c:v>0.17109144542772842</c:v>
                </c:pt>
                <c:pt idx="59">
                  <c:v>0.17404129793510303</c:v>
                </c:pt>
                <c:pt idx="60">
                  <c:v>0.17699115044247765</c:v>
                </c:pt>
                <c:pt idx="61">
                  <c:v>0.17994100294985227</c:v>
                </c:pt>
                <c:pt idx="62">
                  <c:v>0.18289085545722689</c:v>
                </c:pt>
                <c:pt idx="63">
                  <c:v>0.1858407079646015</c:v>
                </c:pt>
                <c:pt idx="64">
                  <c:v>0.18879056047197612</c:v>
                </c:pt>
                <c:pt idx="65">
                  <c:v>0.19174041297935074</c:v>
                </c:pt>
                <c:pt idx="66">
                  <c:v>0.19469026548672536</c:v>
                </c:pt>
                <c:pt idx="67">
                  <c:v>0.19764011799409997</c:v>
                </c:pt>
                <c:pt idx="68">
                  <c:v>0.20058997050147459</c:v>
                </c:pt>
                <c:pt idx="69">
                  <c:v>0.20353982300884921</c:v>
                </c:pt>
                <c:pt idx="70">
                  <c:v>0.20648967551622383</c:v>
                </c:pt>
                <c:pt idx="71">
                  <c:v>0.20943952802359844</c:v>
                </c:pt>
                <c:pt idx="72">
                  <c:v>0.21238938053097306</c:v>
                </c:pt>
                <c:pt idx="73">
                  <c:v>0.21533923303834768</c:v>
                </c:pt>
                <c:pt idx="74">
                  <c:v>0.21828908554572229</c:v>
                </c:pt>
                <c:pt idx="75">
                  <c:v>0.22123893805309691</c:v>
                </c:pt>
                <c:pt idx="76">
                  <c:v>0.22418879056047153</c:v>
                </c:pt>
                <c:pt idx="77">
                  <c:v>0.22713864306784615</c:v>
                </c:pt>
                <c:pt idx="78">
                  <c:v>0.23008849557522076</c:v>
                </c:pt>
                <c:pt idx="79">
                  <c:v>0.23303834808259538</c:v>
                </c:pt>
                <c:pt idx="80">
                  <c:v>0.23598820058997</c:v>
                </c:pt>
                <c:pt idx="81">
                  <c:v>0.23893805309734462</c:v>
                </c:pt>
                <c:pt idx="82">
                  <c:v>0.24188790560471923</c:v>
                </c:pt>
                <c:pt idx="83">
                  <c:v>0.24483775811209385</c:v>
                </c:pt>
                <c:pt idx="84">
                  <c:v>0.24778761061946847</c:v>
                </c:pt>
                <c:pt idx="85">
                  <c:v>0.25073746312684309</c:v>
                </c:pt>
                <c:pt idx="86">
                  <c:v>0.2536873156342177</c:v>
                </c:pt>
                <c:pt idx="87">
                  <c:v>0.25663716814159232</c:v>
                </c:pt>
                <c:pt idx="88">
                  <c:v>0.25958702064896694</c:v>
                </c:pt>
                <c:pt idx="89">
                  <c:v>0.26253687315634155</c:v>
                </c:pt>
                <c:pt idx="90">
                  <c:v>0.26548672566371617</c:v>
                </c:pt>
                <c:pt idx="91">
                  <c:v>0.26843657817109079</c:v>
                </c:pt>
                <c:pt idx="92">
                  <c:v>0.27138643067846541</c:v>
                </c:pt>
                <c:pt idx="93">
                  <c:v>0.27433628318584002</c:v>
                </c:pt>
                <c:pt idx="94">
                  <c:v>0.27728613569321464</c:v>
                </c:pt>
                <c:pt idx="95">
                  <c:v>0.28023598820058926</c:v>
                </c:pt>
                <c:pt idx="96">
                  <c:v>0.28318584070796388</c:v>
                </c:pt>
                <c:pt idx="97">
                  <c:v>0.28613569321533849</c:v>
                </c:pt>
                <c:pt idx="98">
                  <c:v>0.28908554572271311</c:v>
                </c:pt>
                <c:pt idx="99">
                  <c:v>0.29203539823008773</c:v>
                </c:pt>
                <c:pt idx="100">
                  <c:v>0.29498525073746235</c:v>
                </c:pt>
                <c:pt idx="101">
                  <c:v>0.29793510324483696</c:v>
                </c:pt>
                <c:pt idx="102">
                  <c:v>0.30088495575221158</c:v>
                </c:pt>
                <c:pt idx="103">
                  <c:v>0.3038348082595862</c:v>
                </c:pt>
                <c:pt idx="104">
                  <c:v>0.30678466076696081</c:v>
                </c:pt>
                <c:pt idx="105">
                  <c:v>0.30973451327433543</c:v>
                </c:pt>
                <c:pt idx="106">
                  <c:v>0.31268436578171005</c:v>
                </c:pt>
                <c:pt idx="107">
                  <c:v>0.31563421828908467</c:v>
                </c:pt>
                <c:pt idx="108">
                  <c:v>0.31858407079645928</c:v>
                </c:pt>
                <c:pt idx="109">
                  <c:v>0.3215339233038339</c:v>
                </c:pt>
                <c:pt idx="110">
                  <c:v>0.32448377581120852</c:v>
                </c:pt>
                <c:pt idx="111">
                  <c:v>0.32743362831858314</c:v>
                </c:pt>
                <c:pt idx="112">
                  <c:v>0.33038348082595775</c:v>
                </c:pt>
                <c:pt idx="113">
                  <c:v>0.33333333333333237</c:v>
                </c:pt>
                <c:pt idx="114">
                  <c:v>0.33628318584070699</c:v>
                </c:pt>
                <c:pt idx="115">
                  <c:v>0.33923303834808161</c:v>
                </c:pt>
                <c:pt idx="116">
                  <c:v>0.34218289085545622</c:v>
                </c:pt>
                <c:pt idx="117">
                  <c:v>0.34513274336283084</c:v>
                </c:pt>
                <c:pt idx="118">
                  <c:v>0.34808259587020546</c:v>
                </c:pt>
                <c:pt idx="119">
                  <c:v>0.35103244837758008</c:v>
                </c:pt>
                <c:pt idx="120">
                  <c:v>0.35398230088495469</c:v>
                </c:pt>
                <c:pt idx="121">
                  <c:v>0.35693215339232931</c:v>
                </c:pt>
                <c:pt idx="122">
                  <c:v>0.35988200589970393</c:v>
                </c:pt>
                <c:pt idx="123">
                  <c:v>0.36283185840707854</c:v>
                </c:pt>
                <c:pt idx="124">
                  <c:v>0.36578171091445316</c:v>
                </c:pt>
                <c:pt idx="125">
                  <c:v>0.36873156342182778</c:v>
                </c:pt>
                <c:pt idx="126">
                  <c:v>0.3716814159292024</c:v>
                </c:pt>
                <c:pt idx="127">
                  <c:v>0.37463126843657701</c:v>
                </c:pt>
                <c:pt idx="128">
                  <c:v>0.37758112094395163</c:v>
                </c:pt>
                <c:pt idx="129">
                  <c:v>0.38053097345132625</c:v>
                </c:pt>
                <c:pt idx="130">
                  <c:v>0.38348082595870087</c:v>
                </c:pt>
                <c:pt idx="131">
                  <c:v>0.38643067846607548</c:v>
                </c:pt>
                <c:pt idx="132">
                  <c:v>0.3893805309734501</c:v>
                </c:pt>
                <c:pt idx="133">
                  <c:v>0.39233038348082472</c:v>
                </c:pt>
                <c:pt idx="134">
                  <c:v>0.39528023598819934</c:v>
                </c:pt>
                <c:pt idx="135">
                  <c:v>0.39823008849557395</c:v>
                </c:pt>
                <c:pt idx="136">
                  <c:v>0.40117994100294857</c:v>
                </c:pt>
                <c:pt idx="137">
                  <c:v>0.40412979351032319</c:v>
                </c:pt>
                <c:pt idx="138">
                  <c:v>0.4070796460176978</c:v>
                </c:pt>
                <c:pt idx="139">
                  <c:v>0.41002949852507242</c:v>
                </c:pt>
                <c:pt idx="140">
                  <c:v>0.41297935103244704</c:v>
                </c:pt>
                <c:pt idx="141">
                  <c:v>0.41592920353982166</c:v>
                </c:pt>
                <c:pt idx="142">
                  <c:v>0.41887905604719627</c:v>
                </c:pt>
                <c:pt idx="143">
                  <c:v>0.42182890855457089</c:v>
                </c:pt>
                <c:pt idx="144">
                  <c:v>0.42477876106194551</c:v>
                </c:pt>
                <c:pt idx="145">
                  <c:v>0.42772861356932013</c:v>
                </c:pt>
                <c:pt idx="146">
                  <c:v>0.43067846607669474</c:v>
                </c:pt>
                <c:pt idx="147">
                  <c:v>0.43362831858406936</c:v>
                </c:pt>
                <c:pt idx="148">
                  <c:v>0.43657817109144398</c:v>
                </c:pt>
                <c:pt idx="149">
                  <c:v>0.4395280235988186</c:v>
                </c:pt>
                <c:pt idx="150">
                  <c:v>0.44247787610619321</c:v>
                </c:pt>
                <c:pt idx="151">
                  <c:v>0.44542772861356783</c:v>
                </c:pt>
                <c:pt idx="152">
                  <c:v>0.44837758112094245</c:v>
                </c:pt>
                <c:pt idx="153">
                  <c:v>0.45132743362831707</c:v>
                </c:pt>
                <c:pt idx="154">
                  <c:v>0.45427728613569168</c:v>
                </c:pt>
                <c:pt idx="155">
                  <c:v>0.4572271386430663</c:v>
                </c:pt>
                <c:pt idx="156">
                  <c:v>0.46017699115044092</c:v>
                </c:pt>
                <c:pt idx="157">
                  <c:v>0.46312684365781553</c:v>
                </c:pt>
                <c:pt idx="158">
                  <c:v>0.46607669616519015</c:v>
                </c:pt>
                <c:pt idx="159">
                  <c:v>0.46902654867256477</c:v>
                </c:pt>
                <c:pt idx="160">
                  <c:v>0.47197640117993939</c:v>
                </c:pt>
                <c:pt idx="161">
                  <c:v>0.474926253687314</c:v>
                </c:pt>
                <c:pt idx="162">
                  <c:v>0.47787610619468862</c:v>
                </c:pt>
                <c:pt idx="163">
                  <c:v>0.48082595870206324</c:v>
                </c:pt>
                <c:pt idx="164">
                  <c:v>0.48377581120943786</c:v>
                </c:pt>
                <c:pt idx="165">
                  <c:v>0.48672566371681247</c:v>
                </c:pt>
                <c:pt idx="166">
                  <c:v>0.48967551622418709</c:v>
                </c:pt>
                <c:pt idx="167">
                  <c:v>0.49262536873156171</c:v>
                </c:pt>
                <c:pt idx="168">
                  <c:v>0.49557522123893633</c:v>
                </c:pt>
                <c:pt idx="169">
                  <c:v>0.49852507374631094</c:v>
                </c:pt>
                <c:pt idx="170">
                  <c:v>0.50147492625368562</c:v>
                </c:pt>
                <c:pt idx="171">
                  <c:v>0.50442477876106029</c:v>
                </c:pt>
                <c:pt idx="172">
                  <c:v>0.50737463126843496</c:v>
                </c:pt>
                <c:pt idx="173">
                  <c:v>0.51032448377580963</c:v>
                </c:pt>
                <c:pt idx="174">
                  <c:v>0.51327433628318431</c:v>
                </c:pt>
                <c:pt idx="175">
                  <c:v>0.51622418879055898</c:v>
                </c:pt>
                <c:pt idx="176">
                  <c:v>0.51917404129793365</c:v>
                </c:pt>
                <c:pt idx="177">
                  <c:v>0.52212389380530833</c:v>
                </c:pt>
                <c:pt idx="178">
                  <c:v>0.525073746312683</c:v>
                </c:pt>
                <c:pt idx="179">
                  <c:v>0.52802359882005767</c:v>
                </c:pt>
                <c:pt idx="180">
                  <c:v>0.53097345132743234</c:v>
                </c:pt>
                <c:pt idx="181">
                  <c:v>0.53392330383480702</c:v>
                </c:pt>
                <c:pt idx="182">
                  <c:v>0.53687315634218169</c:v>
                </c:pt>
                <c:pt idx="183">
                  <c:v>0.53982300884955636</c:v>
                </c:pt>
                <c:pt idx="184">
                  <c:v>0.54277286135693104</c:v>
                </c:pt>
                <c:pt idx="185">
                  <c:v>0.54572271386430571</c:v>
                </c:pt>
                <c:pt idx="186">
                  <c:v>0.54867256637168038</c:v>
                </c:pt>
                <c:pt idx="187">
                  <c:v>0.55162241887905505</c:v>
                </c:pt>
                <c:pt idx="188">
                  <c:v>0.55457227138642973</c:v>
                </c:pt>
                <c:pt idx="189">
                  <c:v>0.5575221238938044</c:v>
                </c:pt>
                <c:pt idx="190">
                  <c:v>0.56047197640117907</c:v>
                </c:pt>
                <c:pt idx="191">
                  <c:v>0.56342182890855375</c:v>
                </c:pt>
                <c:pt idx="192">
                  <c:v>0.56637168141592842</c:v>
                </c:pt>
                <c:pt idx="193">
                  <c:v>0.56932153392330309</c:v>
                </c:pt>
                <c:pt idx="194">
                  <c:v>0.57227138643067776</c:v>
                </c:pt>
                <c:pt idx="195">
                  <c:v>0.57522123893805244</c:v>
                </c:pt>
                <c:pt idx="196">
                  <c:v>0.57817109144542711</c:v>
                </c:pt>
                <c:pt idx="197">
                  <c:v>0.58112094395280178</c:v>
                </c:pt>
                <c:pt idx="198">
                  <c:v>0.58407079646017646</c:v>
                </c:pt>
                <c:pt idx="199">
                  <c:v>0.58702064896755113</c:v>
                </c:pt>
                <c:pt idx="200">
                  <c:v>0.5899705014749258</c:v>
                </c:pt>
                <c:pt idx="201">
                  <c:v>0.59292035398230047</c:v>
                </c:pt>
                <c:pt idx="202">
                  <c:v>0.59587020648967515</c:v>
                </c:pt>
                <c:pt idx="203">
                  <c:v>0.59882005899704982</c:v>
                </c:pt>
                <c:pt idx="204">
                  <c:v>0.60176991150442449</c:v>
                </c:pt>
                <c:pt idx="205">
                  <c:v>0.60471976401179917</c:v>
                </c:pt>
                <c:pt idx="206">
                  <c:v>0.60766961651917384</c:v>
                </c:pt>
                <c:pt idx="207">
                  <c:v>0.61061946902654851</c:v>
                </c:pt>
                <c:pt idx="208">
                  <c:v>0.61356932153392318</c:v>
                </c:pt>
                <c:pt idx="209">
                  <c:v>0.61651917404129786</c:v>
                </c:pt>
                <c:pt idx="210">
                  <c:v>0.61946902654867253</c:v>
                </c:pt>
                <c:pt idx="211">
                  <c:v>0.6224188790560472</c:v>
                </c:pt>
                <c:pt idx="212">
                  <c:v>0.62536873156342188</c:v>
                </c:pt>
                <c:pt idx="213">
                  <c:v>0.62831858407079655</c:v>
                </c:pt>
                <c:pt idx="214">
                  <c:v>0.63126843657817122</c:v>
                </c:pt>
                <c:pt idx="215">
                  <c:v>0.63421828908554589</c:v>
                </c:pt>
                <c:pt idx="216">
                  <c:v>0.63716814159292057</c:v>
                </c:pt>
                <c:pt idx="217">
                  <c:v>0.64011799410029524</c:v>
                </c:pt>
                <c:pt idx="218">
                  <c:v>0.64306784660766991</c:v>
                </c:pt>
                <c:pt idx="219">
                  <c:v>0.64601769911504459</c:v>
                </c:pt>
                <c:pt idx="220">
                  <c:v>0.64896755162241926</c:v>
                </c:pt>
                <c:pt idx="221">
                  <c:v>0.65191740412979393</c:v>
                </c:pt>
                <c:pt idx="222">
                  <c:v>0.6548672566371686</c:v>
                </c:pt>
                <c:pt idx="223">
                  <c:v>0.65781710914454328</c:v>
                </c:pt>
                <c:pt idx="224">
                  <c:v>0.66076696165191795</c:v>
                </c:pt>
                <c:pt idx="225">
                  <c:v>0.66371681415929262</c:v>
                </c:pt>
                <c:pt idx="226">
                  <c:v>0.6666666666666673</c:v>
                </c:pt>
                <c:pt idx="227">
                  <c:v>0.66961651917404197</c:v>
                </c:pt>
                <c:pt idx="228">
                  <c:v>0.67256637168141664</c:v>
                </c:pt>
                <c:pt idx="229">
                  <c:v>0.67551622418879131</c:v>
                </c:pt>
                <c:pt idx="230">
                  <c:v>0.67846607669616599</c:v>
                </c:pt>
                <c:pt idx="231">
                  <c:v>0.68141592920354066</c:v>
                </c:pt>
                <c:pt idx="232">
                  <c:v>0.68436578171091533</c:v>
                </c:pt>
                <c:pt idx="233">
                  <c:v>0.68731563421829001</c:v>
                </c:pt>
                <c:pt idx="234">
                  <c:v>0.69026548672566468</c:v>
                </c:pt>
                <c:pt idx="235">
                  <c:v>0.69321533923303935</c:v>
                </c:pt>
                <c:pt idx="236">
                  <c:v>0.69616519174041402</c:v>
                </c:pt>
                <c:pt idx="237">
                  <c:v>0.6991150442477887</c:v>
                </c:pt>
                <c:pt idx="238">
                  <c:v>0.70206489675516337</c:v>
                </c:pt>
                <c:pt idx="239">
                  <c:v>0.70501474926253804</c:v>
                </c:pt>
                <c:pt idx="240">
                  <c:v>0.70796460176991272</c:v>
                </c:pt>
                <c:pt idx="241">
                  <c:v>0.71091445427728739</c:v>
                </c:pt>
                <c:pt idx="242">
                  <c:v>0.71386430678466206</c:v>
                </c:pt>
                <c:pt idx="243">
                  <c:v>0.71681415929203673</c:v>
                </c:pt>
                <c:pt idx="244">
                  <c:v>0.71976401179941141</c:v>
                </c:pt>
                <c:pt idx="245">
                  <c:v>0.72271386430678608</c:v>
                </c:pt>
                <c:pt idx="246">
                  <c:v>0.72566371681416075</c:v>
                </c:pt>
                <c:pt idx="247">
                  <c:v>0.72861356932153543</c:v>
                </c:pt>
                <c:pt idx="248">
                  <c:v>0.7315634218289101</c:v>
                </c:pt>
                <c:pt idx="249">
                  <c:v>0.73451327433628477</c:v>
                </c:pt>
                <c:pt idx="250">
                  <c:v>0.73746312684365944</c:v>
                </c:pt>
                <c:pt idx="251">
                  <c:v>0.74041297935103412</c:v>
                </c:pt>
                <c:pt idx="252">
                  <c:v>0.74336283185840879</c:v>
                </c:pt>
                <c:pt idx="253">
                  <c:v>0.74631268436578346</c:v>
                </c:pt>
                <c:pt idx="254">
                  <c:v>0.74926253687315814</c:v>
                </c:pt>
                <c:pt idx="255">
                  <c:v>0.75221238938053281</c:v>
                </c:pt>
                <c:pt idx="256">
                  <c:v>0.75516224188790748</c:v>
                </c:pt>
                <c:pt idx="257">
                  <c:v>0.75811209439528215</c:v>
                </c:pt>
                <c:pt idx="258">
                  <c:v>0.76106194690265683</c:v>
                </c:pt>
                <c:pt idx="259">
                  <c:v>0.7640117994100315</c:v>
                </c:pt>
                <c:pt idx="260">
                  <c:v>0.76696165191740617</c:v>
                </c:pt>
                <c:pt idx="261">
                  <c:v>0.76991150442478085</c:v>
                </c:pt>
                <c:pt idx="262">
                  <c:v>0.77286135693215552</c:v>
                </c:pt>
                <c:pt idx="263">
                  <c:v>0.77581120943953019</c:v>
                </c:pt>
                <c:pt idx="264">
                  <c:v>0.77876106194690486</c:v>
                </c:pt>
                <c:pt idx="265">
                  <c:v>0.78171091445427954</c:v>
                </c:pt>
                <c:pt idx="266">
                  <c:v>0.78466076696165421</c:v>
                </c:pt>
                <c:pt idx="267">
                  <c:v>0.78761061946902888</c:v>
                </c:pt>
                <c:pt idx="268">
                  <c:v>0.79056047197640356</c:v>
                </c:pt>
                <c:pt idx="269">
                  <c:v>0.79351032448377823</c:v>
                </c:pt>
                <c:pt idx="270">
                  <c:v>0.7964601769911529</c:v>
                </c:pt>
                <c:pt idx="271">
                  <c:v>0.79941002949852757</c:v>
                </c:pt>
                <c:pt idx="272">
                  <c:v>0.80235988200590225</c:v>
                </c:pt>
                <c:pt idx="273">
                  <c:v>0.80530973451327692</c:v>
                </c:pt>
                <c:pt idx="274">
                  <c:v>0.80825958702065159</c:v>
                </c:pt>
                <c:pt idx="275">
                  <c:v>0.81120943952802627</c:v>
                </c:pt>
                <c:pt idx="276">
                  <c:v>0.81415929203540094</c:v>
                </c:pt>
                <c:pt idx="277">
                  <c:v>0.81710914454277561</c:v>
                </c:pt>
                <c:pt idx="278">
                  <c:v>0.82005899705015028</c:v>
                </c:pt>
                <c:pt idx="279">
                  <c:v>0.82300884955752496</c:v>
                </c:pt>
                <c:pt idx="280">
                  <c:v>0.82595870206489963</c:v>
                </c:pt>
                <c:pt idx="281">
                  <c:v>0.8289085545722743</c:v>
                </c:pt>
                <c:pt idx="282">
                  <c:v>0.83185840707964898</c:v>
                </c:pt>
                <c:pt idx="283">
                  <c:v>0.83480825958702365</c:v>
                </c:pt>
                <c:pt idx="284">
                  <c:v>0.83775811209439832</c:v>
                </c:pt>
                <c:pt idx="285">
                  <c:v>0.84070796460177299</c:v>
                </c:pt>
                <c:pt idx="286">
                  <c:v>0.84365781710914767</c:v>
                </c:pt>
                <c:pt idx="287">
                  <c:v>0.84660766961652234</c:v>
                </c:pt>
                <c:pt idx="288">
                  <c:v>0.84955752212389701</c:v>
                </c:pt>
                <c:pt idx="289">
                  <c:v>0.85250737463127169</c:v>
                </c:pt>
                <c:pt idx="290">
                  <c:v>0.85545722713864636</c:v>
                </c:pt>
                <c:pt idx="291">
                  <c:v>0.85840707964602103</c:v>
                </c:pt>
                <c:pt idx="292">
                  <c:v>0.8613569321533957</c:v>
                </c:pt>
                <c:pt idx="293">
                  <c:v>0.86430678466077038</c:v>
                </c:pt>
                <c:pt idx="294">
                  <c:v>0.86725663716814505</c:v>
                </c:pt>
                <c:pt idx="295">
                  <c:v>0.87020648967551972</c:v>
                </c:pt>
                <c:pt idx="296">
                  <c:v>0.8731563421828944</c:v>
                </c:pt>
                <c:pt idx="297">
                  <c:v>0.87610619469026907</c:v>
                </c:pt>
                <c:pt idx="298">
                  <c:v>0.87905604719764374</c:v>
                </c:pt>
                <c:pt idx="299">
                  <c:v>0.88200589970501841</c:v>
                </c:pt>
                <c:pt idx="300">
                  <c:v>0.88495575221239309</c:v>
                </c:pt>
                <c:pt idx="301">
                  <c:v>0.88790560471976776</c:v>
                </c:pt>
                <c:pt idx="302">
                  <c:v>0.89085545722714243</c:v>
                </c:pt>
                <c:pt idx="303">
                  <c:v>0.89380530973451711</c:v>
                </c:pt>
                <c:pt idx="304">
                  <c:v>0.89675516224189178</c:v>
                </c:pt>
                <c:pt idx="305">
                  <c:v>0.89970501474926645</c:v>
                </c:pt>
                <c:pt idx="306">
                  <c:v>0.90265486725664112</c:v>
                </c:pt>
                <c:pt idx="307">
                  <c:v>0.9056047197640158</c:v>
                </c:pt>
                <c:pt idx="308">
                  <c:v>0.90855457227139047</c:v>
                </c:pt>
                <c:pt idx="309">
                  <c:v>0.91150442477876514</c:v>
                </c:pt>
                <c:pt idx="310">
                  <c:v>0.91445427728613982</c:v>
                </c:pt>
                <c:pt idx="311">
                  <c:v>0.91740412979351449</c:v>
                </c:pt>
                <c:pt idx="312">
                  <c:v>0.92035398230088916</c:v>
                </c:pt>
                <c:pt idx="313">
                  <c:v>0.92330383480826383</c:v>
                </c:pt>
                <c:pt idx="314">
                  <c:v>0.92625368731563851</c:v>
                </c:pt>
                <c:pt idx="315">
                  <c:v>0.92920353982301318</c:v>
                </c:pt>
                <c:pt idx="316">
                  <c:v>0.93215339233038785</c:v>
                </c:pt>
                <c:pt idx="317">
                  <c:v>0.93510324483776253</c:v>
                </c:pt>
                <c:pt idx="318">
                  <c:v>0.9380530973451372</c:v>
                </c:pt>
                <c:pt idx="319">
                  <c:v>0.94100294985251187</c:v>
                </c:pt>
                <c:pt idx="320">
                  <c:v>0.94395280235988654</c:v>
                </c:pt>
                <c:pt idx="321">
                  <c:v>0.94690265486726122</c:v>
                </c:pt>
                <c:pt idx="322">
                  <c:v>0.94985250737463589</c:v>
                </c:pt>
                <c:pt idx="323">
                  <c:v>0.95280235988201056</c:v>
                </c:pt>
                <c:pt idx="324">
                  <c:v>0.95575221238938524</c:v>
                </c:pt>
                <c:pt idx="325">
                  <c:v>0.95870206489675991</c:v>
                </c:pt>
                <c:pt idx="326">
                  <c:v>0.96165191740413458</c:v>
                </c:pt>
                <c:pt idx="327">
                  <c:v>0.96460176991150925</c:v>
                </c:pt>
                <c:pt idx="328">
                  <c:v>0.96755162241888393</c:v>
                </c:pt>
                <c:pt idx="329">
                  <c:v>0.9705014749262586</c:v>
                </c:pt>
                <c:pt idx="330">
                  <c:v>0.97345132743363327</c:v>
                </c:pt>
                <c:pt idx="331">
                  <c:v>0.97640117994100795</c:v>
                </c:pt>
                <c:pt idx="332">
                  <c:v>0.97935103244838262</c:v>
                </c:pt>
                <c:pt idx="333">
                  <c:v>0.98230088495575729</c:v>
                </c:pt>
                <c:pt idx="334">
                  <c:v>0.98525073746313196</c:v>
                </c:pt>
                <c:pt idx="335">
                  <c:v>0.98820058997050664</c:v>
                </c:pt>
                <c:pt idx="336">
                  <c:v>0.99115044247788131</c:v>
                </c:pt>
                <c:pt idx="337">
                  <c:v>0.99410029498525598</c:v>
                </c:pt>
                <c:pt idx="338">
                  <c:v>0.99705014749263066</c:v>
                </c:pt>
                <c:pt idx="339">
                  <c:v>1.0000000000000053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AC-4B2B-93E7-F15809DE141E}"/>
            </c:ext>
          </c:extLst>
        </c:ser>
        <c:ser>
          <c:idx val="1"/>
          <c:order val="1"/>
          <c:tx>
            <c:strRef>
              <c:f>Org_Nodes_Lorenzkurve!$P$1</c:f>
              <c:strCache>
                <c:ptCount val="1"/>
                <c:pt idx="0">
                  <c:v>perfect equality line</c:v>
                </c:pt>
              </c:strCache>
            </c:strRef>
          </c:tx>
          <c:spPr>
            <a:ln w="19050" cap="flat">
              <a:solidFill>
                <a:schemeClr val="tx1"/>
              </a:solidFill>
              <a:bevel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6350">
                <a:solidFill>
                  <a:schemeClr val="tx1"/>
                </a:solidFill>
              </a:ln>
              <a:effectLst/>
            </c:spPr>
          </c:marker>
          <c:dPt>
            <c:idx val="274"/>
            <c:marker>
              <c:symbol val="circle"/>
              <c:size val="5"/>
              <c:spPr>
                <a:solidFill>
                  <a:schemeClr val="tx1"/>
                </a:solidFill>
                <a:ln w="6350">
                  <a:solidFill>
                    <a:schemeClr val="tx1"/>
                  </a:solidFill>
                </a:ln>
                <a:effectLst/>
              </c:spPr>
            </c:marker>
            <c:bubble3D val="0"/>
            <c:spPr>
              <a:ln w="19050" cap="flat">
                <a:solidFill>
                  <a:schemeClr val="tx1"/>
                </a:solidFill>
                <a:beve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EAC-4B2B-93E7-F15809DE141E}"/>
              </c:ext>
            </c:extLst>
          </c:dPt>
          <c:xVal>
            <c:numRef>
              <c:f>Org_Nodes_Lorenzkurve!$S$2:$S$341</c:f>
              <c:numCache>
                <c:formatCode>0.000000%</c:formatCode>
                <c:ptCount val="340"/>
                <c:pt idx="0" formatCode="0.0000%">
                  <c:v>0</c:v>
                </c:pt>
                <c:pt idx="1">
                  <c:v>2.9498525073746312E-3</c:v>
                </c:pt>
                <c:pt idx="2">
                  <c:v>5.8997050147492625E-3</c:v>
                </c:pt>
                <c:pt idx="3">
                  <c:v>8.8495575221238937E-3</c:v>
                </c:pt>
                <c:pt idx="4">
                  <c:v>1.1799410029498525E-2</c:v>
                </c:pt>
                <c:pt idx="5">
                  <c:v>1.4749262536873156E-2</c:v>
                </c:pt>
                <c:pt idx="6">
                  <c:v>1.7699115044247787E-2</c:v>
                </c:pt>
                <c:pt idx="7">
                  <c:v>2.0648967551622419E-2</c:v>
                </c:pt>
                <c:pt idx="8">
                  <c:v>2.359882005899705E-2</c:v>
                </c:pt>
                <c:pt idx="9">
                  <c:v>2.6548672566371681E-2</c:v>
                </c:pt>
                <c:pt idx="10">
                  <c:v>2.9498525073746312E-2</c:v>
                </c:pt>
                <c:pt idx="11">
                  <c:v>3.2448377581120944E-2</c:v>
                </c:pt>
                <c:pt idx="12">
                  <c:v>3.5398230088495575E-2</c:v>
                </c:pt>
                <c:pt idx="13">
                  <c:v>3.8348082595870206E-2</c:v>
                </c:pt>
                <c:pt idx="14">
                  <c:v>4.1297935103244837E-2</c:v>
                </c:pt>
                <c:pt idx="15">
                  <c:v>4.4247787610619468E-2</c:v>
                </c:pt>
                <c:pt idx="16">
                  <c:v>4.71976401179941E-2</c:v>
                </c:pt>
                <c:pt idx="17">
                  <c:v>5.0147492625368731E-2</c:v>
                </c:pt>
                <c:pt idx="18">
                  <c:v>5.3097345132743362E-2</c:v>
                </c:pt>
                <c:pt idx="19">
                  <c:v>5.6047197640117993E-2</c:v>
                </c:pt>
                <c:pt idx="20">
                  <c:v>5.8997050147492625E-2</c:v>
                </c:pt>
                <c:pt idx="21">
                  <c:v>6.1946902654867256E-2</c:v>
                </c:pt>
                <c:pt idx="22">
                  <c:v>6.4896755162241887E-2</c:v>
                </c:pt>
                <c:pt idx="23">
                  <c:v>6.7846607669616518E-2</c:v>
                </c:pt>
                <c:pt idx="24">
                  <c:v>7.0796460176991149E-2</c:v>
                </c:pt>
                <c:pt idx="25">
                  <c:v>7.3746312684365781E-2</c:v>
                </c:pt>
                <c:pt idx="26">
                  <c:v>7.6696165191740412E-2</c:v>
                </c:pt>
                <c:pt idx="27">
                  <c:v>7.9646017699115043E-2</c:v>
                </c:pt>
                <c:pt idx="28">
                  <c:v>8.2595870206489674E-2</c:v>
                </c:pt>
                <c:pt idx="29">
                  <c:v>8.5545722713864306E-2</c:v>
                </c:pt>
                <c:pt idx="30">
                  <c:v>8.8495575221238937E-2</c:v>
                </c:pt>
                <c:pt idx="31">
                  <c:v>9.1445427728613568E-2</c:v>
                </c:pt>
                <c:pt idx="32">
                  <c:v>9.4395280235988199E-2</c:v>
                </c:pt>
                <c:pt idx="33">
                  <c:v>9.7345132743362831E-2</c:v>
                </c:pt>
                <c:pt idx="34">
                  <c:v>0.10029498525073746</c:v>
                </c:pt>
                <c:pt idx="35">
                  <c:v>0.10324483775811209</c:v>
                </c:pt>
                <c:pt idx="36">
                  <c:v>0.10619469026548672</c:v>
                </c:pt>
                <c:pt idx="37">
                  <c:v>0.10914454277286136</c:v>
                </c:pt>
                <c:pt idx="38">
                  <c:v>0.11209439528023599</c:v>
                </c:pt>
                <c:pt idx="39">
                  <c:v>0.11504424778761062</c:v>
                </c:pt>
                <c:pt idx="40">
                  <c:v>0.11799410029498525</c:v>
                </c:pt>
                <c:pt idx="41">
                  <c:v>0.12094395280235988</c:v>
                </c:pt>
                <c:pt idx="42">
                  <c:v>0.12389380530973451</c:v>
                </c:pt>
                <c:pt idx="43">
                  <c:v>0.12684365781710916</c:v>
                </c:pt>
                <c:pt idx="44">
                  <c:v>0.12979351032448377</c:v>
                </c:pt>
                <c:pt idx="45">
                  <c:v>0.13274336283185839</c:v>
                </c:pt>
                <c:pt idx="46">
                  <c:v>0.13569321533923301</c:v>
                </c:pt>
                <c:pt idx="47">
                  <c:v>0.13864306784660763</c:v>
                </c:pt>
                <c:pt idx="48">
                  <c:v>0.14159292035398224</c:v>
                </c:pt>
                <c:pt idx="49">
                  <c:v>0.14454277286135686</c:v>
                </c:pt>
                <c:pt idx="50">
                  <c:v>0.14749262536873148</c:v>
                </c:pt>
                <c:pt idx="51">
                  <c:v>0.1504424778761061</c:v>
                </c:pt>
                <c:pt idx="52">
                  <c:v>0.15339233038348071</c:v>
                </c:pt>
                <c:pt idx="53">
                  <c:v>0.15634218289085533</c:v>
                </c:pt>
                <c:pt idx="54">
                  <c:v>0.15929203539822995</c:v>
                </c:pt>
                <c:pt idx="55">
                  <c:v>0.16224188790560456</c:v>
                </c:pt>
                <c:pt idx="56">
                  <c:v>0.16519174041297918</c:v>
                </c:pt>
                <c:pt idx="57">
                  <c:v>0.1681415929203538</c:v>
                </c:pt>
                <c:pt idx="58">
                  <c:v>0.17109144542772842</c:v>
                </c:pt>
                <c:pt idx="59">
                  <c:v>0.17404129793510303</c:v>
                </c:pt>
                <c:pt idx="60">
                  <c:v>0.17699115044247765</c:v>
                </c:pt>
                <c:pt idx="61">
                  <c:v>0.17994100294985227</c:v>
                </c:pt>
                <c:pt idx="62">
                  <c:v>0.18289085545722689</c:v>
                </c:pt>
                <c:pt idx="63">
                  <c:v>0.1858407079646015</c:v>
                </c:pt>
                <c:pt idx="64">
                  <c:v>0.18879056047197612</c:v>
                </c:pt>
                <c:pt idx="65">
                  <c:v>0.19174041297935074</c:v>
                </c:pt>
                <c:pt idx="66">
                  <c:v>0.19469026548672536</c:v>
                </c:pt>
                <c:pt idx="67">
                  <c:v>0.19764011799409997</c:v>
                </c:pt>
                <c:pt idx="68">
                  <c:v>0.20058997050147459</c:v>
                </c:pt>
                <c:pt idx="69">
                  <c:v>0.20353982300884921</c:v>
                </c:pt>
                <c:pt idx="70">
                  <c:v>0.20648967551622383</c:v>
                </c:pt>
                <c:pt idx="71">
                  <c:v>0.20943952802359844</c:v>
                </c:pt>
                <c:pt idx="72">
                  <c:v>0.21238938053097306</c:v>
                </c:pt>
                <c:pt idx="73">
                  <c:v>0.21533923303834768</c:v>
                </c:pt>
                <c:pt idx="74">
                  <c:v>0.21828908554572229</c:v>
                </c:pt>
                <c:pt idx="75">
                  <c:v>0.22123893805309691</c:v>
                </c:pt>
                <c:pt idx="76">
                  <c:v>0.22418879056047153</c:v>
                </c:pt>
                <c:pt idx="77">
                  <c:v>0.22713864306784615</c:v>
                </c:pt>
                <c:pt idx="78">
                  <c:v>0.23008849557522076</c:v>
                </c:pt>
                <c:pt idx="79">
                  <c:v>0.23303834808259538</c:v>
                </c:pt>
                <c:pt idx="80">
                  <c:v>0.23598820058997</c:v>
                </c:pt>
                <c:pt idx="81">
                  <c:v>0.23893805309734462</c:v>
                </c:pt>
                <c:pt idx="82">
                  <c:v>0.24188790560471923</c:v>
                </c:pt>
                <c:pt idx="83">
                  <c:v>0.24483775811209385</c:v>
                </c:pt>
                <c:pt idx="84">
                  <c:v>0.24778761061946847</c:v>
                </c:pt>
                <c:pt idx="85">
                  <c:v>0.25073746312684309</c:v>
                </c:pt>
                <c:pt idx="86">
                  <c:v>0.2536873156342177</c:v>
                </c:pt>
                <c:pt idx="87">
                  <c:v>0.25663716814159232</c:v>
                </c:pt>
                <c:pt idx="88">
                  <c:v>0.25958702064896694</c:v>
                </c:pt>
                <c:pt idx="89">
                  <c:v>0.26253687315634155</c:v>
                </c:pt>
                <c:pt idx="90">
                  <c:v>0.26548672566371617</c:v>
                </c:pt>
                <c:pt idx="91">
                  <c:v>0.26843657817109079</c:v>
                </c:pt>
                <c:pt idx="92">
                  <c:v>0.27138643067846541</c:v>
                </c:pt>
                <c:pt idx="93">
                  <c:v>0.27433628318584002</c:v>
                </c:pt>
                <c:pt idx="94">
                  <c:v>0.27728613569321464</c:v>
                </c:pt>
                <c:pt idx="95">
                  <c:v>0.28023598820058926</c:v>
                </c:pt>
                <c:pt idx="96">
                  <c:v>0.28318584070796388</c:v>
                </c:pt>
                <c:pt idx="97">
                  <c:v>0.28613569321533849</c:v>
                </c:pt>
                <c:pt idx="98">
                  <c:v>0.28908554572271311</c:v>
                </c:pt>
                <c:pt idx="99">
                  <c:v>0.29203539823008773</c:v>
                </c:pt>
                <c:pt idx="100">
                  <c:v>0.29498525073746235</c:v>
                </c:pt>
                <c:pt idx="101">
                  <c:v>0.29793510324483696</c:v>
                </c:pt>
                <c:pt idx="102">
                  <c:v>0.30088495575221158</c:v>
                </c:pt>
                <c:pt idx="103">
                  <c:v>0.3038348082595862</c:v>
                </c:pt>
                <c:pt idx="104">
                  <c:v>0.30678466076696081</c:v>
                </c:pt>
                <c:pt idx="105">
                  <c:v>0.30973451327433543</c:v>
                </c:pt>
                <c:pt idx="106">
                  <c:v>0.31268436578171005</c:v>
                </c:pt>
                <c:pt idx="107">
                  <c:v>0.31563421828908467</c:v>
                </c:pt>
                <c:pt idx="108">
                  <c:v>0.31858407079645928</c:v>
                </c:pt>
                <c:pt idx="109">
                  <c:v>0.3215339233038339</c:v>
                </c:pt>
                <c:pt idx="110">
                  <c:v>0.32448377581120852</c:v>
                </c:pt>
                <c:pt idx="111">
                  <c:v>0.32743362831858314</c:v>
                </c:pt>
                <c:pt idx="112">
                  <c:v>0.33038348082595775</c:v>
                </c:pt>
                <c:pt idx="113">
                  <c:v>0.33333333333333237</c:v>
                </c:pt>
                <c:pt idx="114">
                  <c:v>0.33628318584070699</c:v>
                </c:pt>
                <c:pt idx="115">
                  <c:v>0.33923303834808161</c:v>
                </c:pt>
                <c:pt idx="116">
                  <c:v>0.34218289085545622</c:v>
                </c:pt>
                <c:pt idx="117">
                  <c:v>0.34513274336283084</c:v>
                </c:pt>
                <c:pt idx="118">
                  <c:v>0.34808259587020546</c:v>
                </c:pt>
                <c:pt idx="119">
                  <c:v>0.35103244837758008</c:v>
                </c:pt>
                <c:pt idx="120">
                  <c:v>0.35398230088495469</c:v>
                </c:pt>
                <c:pt idx="121">
                  <c:v>0.35693215339232931</c:v>
                </c:pt>
                <c:pt idx="122">
                  <c:v>0.35988200589970393</c:v>
                </c:pt>
                <c:pt idx="123">
                  <c:v>0.36283185840707854</c:v>
                </c:pt>
                <c:pt idx="124">
                  <c:v>0.36578171091445316</c:v>
                </c:pt>
                <c:pt idx="125">
                  <c:v>0.36873156342182778</c:v>
                </c:pt>
                <c:pt idx="126">
                  <c:v>0.3716814159292024</c:v>
                </c:pt>
                <c:pt idx="127">
                  <c:v>0.37463126843657701</c:v>
                </c:pt>
                <c:pt idx="128">
                  <c:v>0.37758112094395163</c:v>
                </c:pt>
                <c:pt idx="129">
                  <c:v>0.38053097345132625</c:v>
                </c:pt>
                <c:pt idx="130">
                  <c:v>0.38348082595870087</c:v>
                </c:pt>
                <c:pt idx="131">
                  <c:v>0.38643067846607548</c:v>
                </c:pt>
                <c:pt idx="132">
                  <c:v>0.3893805309734501</c:v>
                </c:pt>
                <c:pt idx="133">
                  <c:v>0.39233038348082472</c:v>
                </c:pt>
                <c:pt idx="134">
                  <c:v>0.39528023598819934</c:v>
                </c:pt>
                <c:pt idx="135">
                  <c:v>0.39823008849557395</c:v>
                </c:pt>
                <c:pt idx="136">
                  <c:v>0.40117994100294857</c:v>
                </c:pt>
                <c:pt idx="137">
                  <c:v>0.40412979351032319</c:v>
                </c:pt>
                <c:pt idx="138">
                  <c:v>0.4070796460176978</c:v>
                </c:pt>
                <c:pt idx="139">
                  <c:v>0.41002949852507242</c:v>
                </c:pt>
                <c:pt idx="140">
                  <c:v>0.41297935103244704</c:v>
                </c:pt>
                <c:pt idx="141">
                  <c:v>0.41592920353982166</c:v>
                </c:pt>
                <c:pt idx="142">
                  <c:v>0.41887905604719627</c:v>
                </c:pt>
                <c:pt idx="143">
                  <c:v>0.42182890855457089</c:v>
                </c:pt>
                <c:pt idx="144">
                  <c:v>0.42477876106194551</c:v>
                </c:pt>
                <c:pt idx="145">
                  <c:v>0.42772861356932013</c:v>
                </c:pt>
                <c:pt idx="146">
                  <c:v>0.43067846607669474</c:v>
                </c:pt>
                <c:pt idx="147">
                  <c:v>0.43362831858406936</c:v>
                </c:pt>
                <c:pt idx="148">
                  <c:v>0.43657817109144398</c:v>
                </c:pt>
                <c:pt idx="149">
                  <c:v>0.4395280235988186</c:v>
                </c:pt>
                <c:pt idx="150">
                  <c:v>0.44247787610619321</c:v>
                </c:pt>
                <c:pt idx="151">
                  <c:v>0.44542772861356783</c:v>
                </c:pt>
                <c:pt idx="152">
                  <c:v>0.44837758112094245</c:v>
                </c:pt>
                <c:pt idx="153">
                  <c:v>0.45132743362831707</c:v>
                </c:pt>
                <c:pt idx="154">
                  <c:v>0.45427728613569168</c:v>
                </c:pt>
                <c:pt idx="155">
                  <c:v>0.4572271386430663</c:v>
                </c:pt>
                <c:pt idx="156">
                  <c:v>0.46017699115044092</c:v>
                </c:pt>
                <c:pt idx="157">
                  <c:v>0.46312684365781553</c:v>
                </c:pt>
                <c:pt idx="158">
                  <c:v>0.46607669616519015</c:v>
                </c:pt>
                <c:pt idx="159">
                  <c:v>0.46902654867256477</c:v>
                </c:pt>
                <c:pt idx="160">
                  <c:v>0.47197640117993939</c:v>
                </c:pt>
                <c:pt idx="161">
                  <c:v>0.474926253687314</c:v>
                </c:pt>
                <c:pt idx="162">
                  <c:v>0.47787610619468862</c:v>
                </c:pt>
                <c:pt idx="163">
                  <c:v>0.48082595870206324</c:v>
                </c:pt>
                <c:pt idx="164">
                  <c:v>0.48377581120943786</c:v>
                </c:pt>
                <c:pt idx="165">
                  <c:v>0.48672566371681247</c:v>
                </c:pt>
                <c:pt idx="166">
                  <c:v>0.48967551622418709</c:v>
                </c:pt>
                <c:pt idx="167">
                  <c:v>0.49262536873156171</c:v>
                </c:pt>
                <c:pt idx="168">
                  <c:v>0.49557522123893633</c:v>
                </c:pt>
                <c:pt idx="169">
                  <c:v>0.49852507374631094</c:v>
                </c:pt>
                <c:pt idx="170">
                  <c:v>0.50147492625368562</c:v>
                </c:pt>
                <c:pt idx="171">
                  <c:v>0.50442477876106029</c:v>
                </c:pt>
                <c:pt idx="172">
                  <c:v>0.50737463126843496</c:v>
                </c:pt>
                <c:pt idx="173">
                  <c:v>0.51032448377580963</c:v>
                </c:pt>
                <c:pt idx="174">
                  <c:v>0.51327433628318431</c:v>
                </c:pt>
                <c:pt idx="175">
                  <c:v>0.51622418879055898</c:v>
                </c:pt>
                <c:pt idx="176">
                  <c:v>0.51917404129793365</c:v>
                </c:pt>
                <c:pt idx="177">
                  <c:v>0.52212389380530833</c:v>
                </c:pt>
                <c:pt idx="178">
                  <c:v>0.525073746312683</c:v>
                </c:pt>
                <c:pt idx="179">
                  <c:v>0.52802359882005767</c:v>
                </c:pt>
                <c:pt idx="180">
                  <c:v>0.53097345132743234</c:v>
                </c:pt>
                <c:pt idx="181">
                  <c:v>0.53392330383480702</c:v>
                </c:pt>
                <c:pt idx="182">
                  <c:v>0.53687315634218169</c:v>
                </c:pt>
                <c:pt idx="183">
                  <c:v>0.53982300884955636</c:v>
                </c:pt>
                <c:pt idx="184">
                  <c:v>0.54277286135693104</c:v>
                </c:pt>
                <c:pt idx="185">
                  <c:v>0.54572271386430571</c:v>
                </c:pt>
                <c:pt idx="186">
                  <c:v>0.54867256637168038</c:v>
                </c:pt>
                <c:pt idx="187">
                  <c:v>0.55162241887905505</c:v>
                </c:pt>
                <c:pt idx="188">
                  <c:v>0.55457227138642973</c:v>
                </c:pt>
                <c:pt idx="189">
                  <c:v>0.5575221238938044</c:v>
                </c:pt>
                <c:pt idx="190">
                  <c:v>0.56047197640117907</c:v>
                </c:pt>
                <c:pt idx="191">
                  <c:v>0.56342182890855375</c:v>
                </c:pt>
                <c:pt idx="192">
                  <c:v>0.56637168141592842</c:v>
                </c:pt>
                <c:pt idx="193">
                  <c:v>0.56932153392330309</c:v>
                </c:pt>
                <c:pt idx="194">
                  <c:v>0.57227138643067776</c:v>
                </c:pt>
                <c:pt idx="195">
                  <c:v>0.57522123893805244</c:v>
                </c:pt>
                <c:pt idx="196">
                  <c:v>0.57817109144542711</c:v>
                </c:pt>
                <c:pt idx="197">
                  <c:v>0.58112094395280178</c:v>
                </c:pt>
                <c:pt idx="198">
                  <c:v>0.58407079646017646</c:v>
                </c:pt>
                <c:pt idx="199">
                  <c:v>0.58702064896755113</c:v>
                </c:pt>
                <c:pt idx="200">
                  <c:v>0.5899705014749258</c:v>
                </c:pt>
                <c:pt idx="201">
                  <c:v>0.59292035398230047</c:v>
                </c:pt>
                <c:pt idx="202">
                  <c:v>0.59587020648967515</c:v>
                </c:pt>
                <c:pt idx="203">
                  <c:v>0.59882005899704982</c:v>
                </c:pt>
                <c:pt idx="204">
                  <c:v>0.60176991150442449</c:v>
                </c:pt>
                <c:pt idx="205">
                  <c:v>0.60471976401179917</c:v>
                </c:pt>
                <c:pt idx="206">
                  <c:v>0.60766961651917384</c:v>
                </c:pt>
                <c:pt idx="207">
                  <c:v>0.61061946902654851</c:v>
                </c:pt>
                <c:pt idx="208">
                  <c:v>0.61356932153392318</c:v>
                </c:pt>
                <c:pt idx="209">
                  <c:v>0.61651917404129786</c:v>
                </c:pt>
                <c:pt idx="210">
                  <c:v>0.61946902654867253</c:v>
                </c:pt>
                <c:pt idx="211">
                  <c:v>0.6224188790560472</c:v>
                </c:pt>
                <c:pt idx="212">
                  <c:v>0.62536873156342188</c:v>
                </c:pt>
                <c:pt idx="213">
                  <c:v>0.62831858407079655</c:v>
                </c:pt>
                <c:pt idx="214">
                  <c:v>0.63126843657817122</c:v>
                </c:pt>
                <c:pt idx="215">
                  <c:v>0.63421828908554589</c:v>
                </c:pt>
                <c:pt idx="216">
                  <c:v>0.63716814159292057</c:v>
                </c:pt>
                <c:pt idx="217">
                  <c:v>0.64011799410029524</c:v>
                </c:pt>
                <c:pt idx="218">
                  <c:v>0.64306784660766991</c:v>
                </c:pt>
                <c:pt idx="219">
                  <c:v>0.64601769911504459</c:v>
                </c:pt>
                <c:pt idx="220">
                  <c:v>0.64896755162241926</c:v>
                </c:pt>
                <c:pt idx="221">
                  <c:v>0.65191740412979393</c:v>
                </c:pt>
                <c:pt idx="222">
                  <c:v>0.6548672566371686</c:v>
                </c:pt>
                <c:pt idx="223">
                  <c:v>0.65781710914454328</c:v>
                </c:pt>
                <c:pt idx="224">
                  <c:v>0.66076696165191795</c:v>
                </c:pt>
                <c:pt idx="225">
                  <c:v>0.66371681415929262</c:v>
                </c:pt>
                <c:pt idx="226">
                  <c:v>0.6666666666666673</c:v>
                </c:pt>
                <c:pt idx="227">
                  <c:v>0.66961651917404197</c:v>
                </c:pt>
                <c:pt idx="228">
                  <c:v>0.67256637168141664</c:v>
                </c:pt>
                <c:pt idx="229">
                  <c:v>0.67551622418879131</c:v>
                </c:pt>
                <c:pt idx="230">
                  <c:v>0.67846607669616599</c:v>
                </c:pt>
                <c:pt idx="231">
                  <c:v>0.68141592920354066</c:v>
                </c:pt>
                <c:pt idx="232">
                  <c:v>0.68436578171091533</c:v>
                </c:pt>
                <c:pt idx="233">
                  <c:v>0.68731563421829001</c:v>
                </c:pt>
                <c:pt idx="234">
                  <c:v>0.69026548672566468</c:v>
                </c:pt>
                <c:pt idx="235">
                  <c:v>0.69321533923303935</c:v>
                </c:pt>
                <c:pt idx="236">
                  <c:v>0.69616519174041402</c:v>
                </c:pt>
                <c:pt idx="237">
                  <c:v>0.6991150442477887</c:v>
                </c:pt>
                <c:pt idx="238">
                  <c:v>0.70206489675516337</c:v>
                </c:pt>
                <c:pt idx="239">
                  <c:v>0.70501474926253804</c:v>
                </c:pt>
                <c:pt idx="240">
                  <c:v>0.70796460176991272</c:v>
                </c:pt>
                <c:pt idx="241">
                  <c:v>0.71091445427728739</c:v>
                </c:pt>
                <c:pt idx="242">
                  <c:v>0.71386430678466206</c:v>
                </c:pt>
                <c:pt idx="243">
                  <c:v>0.71681415929203673</c:v>
                </c:pt>
                <c:pt idx="244">
                  <c:v>0.71976401179941141</c:v>
                </c:pt>
                <c:pt idx="245">
                  <c:v>0.72271386430678608</c:v>
                </c:pt>
                <c:pt idx="246">
                  <c:v>0.72566371681416075</c:v>
                </c:pt>
                <c:pt idx="247">
                  <c:v>0.72861356932153543</c:v>
                </c:pt>
                <c:pt idx="248">
                  <c:v>0.7315634218289101</c:v>
                </c:pt>
                <c:pt idx="249">
                  <c:v>0.73451327433628477</c:v>
                </c:pt>
                <c:pt idx="250">
                  <c:v>0.73746312684365944</c:v>
                </c:pt>
                <c:pt idx="251">
                  <c:v>0.74041297935103412</c:v>
                </c:pt>
                <c:pt idx="252">
                  <c:v>0.74336283185840879</c:v>
                </c:pt>
                <c:pt idx="253">
                  <c:v>0.74631268436578346</c:v>
                </c:pt>
                <c:pt idx="254">
                  <c:v>0.74926253687315814</c:v>
                </c:pt>
                <c:pt idx="255">
                  <c:v>0.75221238938053281</c:v>
                </c:pt>
                <c:pt idx="256">
                  <c:v>0.75516224188790748</c:v>
                </c:pt>
                <c:pt idx="257">
                  <c:v>0.75811209439528215</c:v>
                </c:pt>
                <c:pt idx="258">
                  <c:v>0.76106194690265683</c:v>
                </c:pt>
                <c:pt idx="259">
                  <c:v>0.7640117994100315</c:v>
                </c:pt>
                <c:pt idx="260">
                  <c:v>0.76696165191740617</c:v>
                </c:pt>
                <c:pt idx="261">
                  <c:v>0.76991150442478085</c:v>
                </c:pt>
                <c:pt idx="262">
                  <c:v>0.77286135693215552</c:v>
                </c:pt>
                <c:pt idx="263">
                  <c:v>0.77581120943953019</c:v>
                </c:pt>
                <c:pt idx="264">
                  <c:v>0.77876106194690486</c:v>
                </c:pt>
                <c:pt idx="265">
                  <c:v>0.78171091445427954</c:v>
                </c:pt>
                <c:pt idx="266">
                  <c:v>0.78466076696165421</c:v>
                </c:pt>
                <c:pt idx="267">
                  <c:v>0.78761061946902888</c:v>
                </c:pt>
                <c:pt idx="268">
                  <c:v>0.79056047197640356</c:v>
                </c:pt>
                <c:pt idx="269">
                  <c:v>0.79351032448377823</c:v>
                </c:pt>
                <c:pt idx="270">
                  <c:v>0.7964601769911529</c:v>
                </c:pt>
                <c:pt idx="271">
                  <c:v>0.79941002949852757</c:v>
                </c:pt>
                <c:pt idx="272">
                  <c:v>0.80235988200590225</c:v>
                </c:pt>
                <c:pt idx="273">
                  <c:v>0.80530973451327692</c:v>
                </c:pt>
                <c:pt idx="274">
                  <c:v>0.80825958702065159</c:v>
                </c:pt>
                <c:pt idx="275">
                  <c:v>0.81120943952802627</c:v>
                </c:pt>
                <c:pt idx="276">
                  <c:v>0.81415929203540094</c:v>
                </c:pt>
                <c:pt idx="277">
                  <c:v>0.81710914454277561</c:v>
                </c:pt>
                <c:pt idx="278">
                  <c:v>0.82005899705015028</c:v>
                </c:pt>
                <c:pt idx="279">
                  <c:v>0.82300884955752496</c:v>
                </c:pt>
                <c:pt idx="280">
                  <c:v>0.82595870206489963</c:v>
                </c:pt>
                <c:pt idx="281">
                  <c:v>0.8289085545722743</c:v>
                </c:pt>
                <c:pt idx="282">
                  <c:v>0.83185840707964898</c:v>
                </c:pt>
                <c:pt idx="283">
                  <c:v>0.83480825958702365</c:v>
                </c:pt>
                <c:pt idx="284">
                  <c:v>0.83775811209439832</c:v>
                </c:pt>
                <c:pt idx="285">
                  <c:v>0.84070796460177299</c:v>
                </c:pt>
                <c:pt idx="286">
                  <c:v>0.84365781710914767</c:v>
                </c:pt>
                <c:pt idx="287">
                  <c:v>0.84660766961652234</c:v>
                </c:pt>
                <c:pt idx="288">
                  <c:v>0.84955752212389701</c:v>
                </c:pt>
                <c:pt idx="289">
                  <c:v>0.85250737463127169</c:v>
                </c:pt>
                <c:pt idx="290">
                  <c:v>0.85545722713864636</c:v>
                </c:pt>
                <c:pt idx="291">
                  <c:v>0.85840707964602103</c:v>
                </c:pt>
                <c:pt idx="292">
                  <c:v>0.8613569321533957</c:v>
                </c:pt>
                <c:pt idx="293">
                  <c:v>0.86430678466077038</c:v>
                </c:pt>
                <c:pt idx="294">
                  <c:v>0.86725663716814505</c:v>
                </c:pt>
                <c:pt idx="295">
                  <c:v>0.87020648967551972</c:v>
                </c:pt>
                <c:pt idx="296">
                  <c:v>0.8731563421828944</c:v>
                </c:pt>
                <c:pt idx="297">
                  <c:v>0.87610619469026907</c:v>
                </c:pt>
                <c:pt idx="298">
                  <c:v>0.87905604719764374</c:v>
                </c:pt>
                <c:pt idx="299">
                  <c:v>0.88200589970501841</c:v>
                </c:pt>
                <c:pt idx="300">
                  <c:v>0.88495575221239309</c:v>
                </c:pt>
                <c:pt idx="301">
                  <c:v>0.88790560471976776</c:v>
                </c:pt>
                <c:pt idx="302">
                  <c:v>0.89085545722714243</c:v>
                </c:pt>
                <c:pt idx="303">
                  <c:v>0.89380530973451711</c:v>
                </c:pt>
                <c:pt idx="304">
                  <c:v>0.89675516224189178</c:v>
                </c:pt>
                <c:pt idx="305">
                  <c:v>0.89970501474926645</c:v>
                </c:pt>
                <c:pt idx="306">
                  <c:v>0.90265486725664112</c:v>
                </c:pt>
                <c:pt idx="307">
                  <c:v>0.9056047197640158</c:v>
                </c:pt>
                <c:pt idx="308">
                  <c:v>0.90855457227139047</c:v>
                </c:pt>
                <c:pt idx="309">
                  <c:v>0.91150442477876514</c:v>
                </c:pt>
                <c:pt idx="310">
                  <c:v>0.91445427728613982</c:v>
                </c:pt>
                <c:pt idx="311">
                  <c:v>0.91740412979351449</c:v>
                </c:pt>
                <c:pt idx="312">
                  <c:v>0.92035398230088916</c:v>
                </c:pt>
                <c:pt idx="313">
                  <c:v>0.92330383480826383</c:v>
                </c:pt>
                <c:pt idx="314">
                  <c:v>0.92625368731563851</c:v>
                </c:pt>
                <c:pt idx="315">
                  <c:v>0.92920353982301318</c:v>
                </c:pt>
                <c:pt idx="316">
                  <c:v>0.93215339233038785</c:v>
                </c:pt>
                <c:pt idx="317">
                  <c:v>0.93510324483776253</c:v>
                </c:pt>
                <c:pt idx="318">
                  <c:v>0.9380530973451372</c:v>
                </c:pt>
                <c:pt idx="319">
                  <c:v>0.94100294985251187</c:v>
                </c:pt>
                <c:pt idx="320">
                  <c:v>0.94395280235988654</c:v>
                </c:pt>
                <c:pt idx="321">
                  <c:v>0.94690265486726122</c:v>
                </c:pt>
                <c:pt idx="322">
                  <c:v>0.94985250737463589</c:v>
                </c:pt>
                <c:pt idx="323">
                  <c:v>0.95280235988201056</c:v>
                </c:pt>
                <c:pt idx="324">
                  <c:v>0.95575221238938524</c:v>
                </c:pt>
                <c:pt idx="325">
                  <c:v>0.95870206489675991</c:v>
                </c:pt>
                <c:pt idx="326">
                  <c:v>0.96165191740413458</c:v>
                </c:pt>
                <c:pt idx="327">
                  <c:v>0.96460176991150925</c:v>
                </c:pt>
                <c:pt idx="328">
                  <c:v>0.96755162241888393</c:v>
                </c:pt>
                <c:pt idx="329">
                  <c:v>0.9705014749262586</c:v>
                </c:pt>
                <c:pt idx="330">
                  <c:v>0.97345132743363327</c:v>
                </c:pt>
                <c:pt idx="331">
                  <c:v>0.97640117994100795</c:v>
                </c:pt>
                <c:pt idx="332">
                  <c:v>0.97935103244838262</c:v>
                </c:pt>
                <c:pt idx="333">
                  <c:v>0.98230088495575729</c:v>
                </c:pt>
                <c:pt idx="334">
                  <c:v>0.98525073746313196</c:v>
                </c:pt>
                <c:pt idx="335">
                  <c:v>0.98820058997050664</c:v>
                </c:pt>
                <c:pt idx="336">
                  <c:v>0.99115044247788131</c:v>
                </c:pt>
                <c:pt idx="337">
                  <c:v>0.99410029498525598</c:v>
                </c:pt>
                <c:pt idx="338">
                  <c:v>0.99705014749263066</c:v>
                </c:pt>
                <c:pt idx="339">
                  <c:v>1.0000000000000053</c:v>
                </c:pt>
              </c:numCache>
            </c:numRef>
          </c:xVal>
          <c:yVal>
            <c:numRef>
              <c:f>Org_Nodes_Lorenzkurve!$S$2:$S$341</c:f>
              <c:numCache>
                <c:formatCode>0.000000%</c:formatCode>
                <c:ptCount val="340"/>
                <c:pt idx="0" formatCode="0.0000%">
                  <c:v>0</c:v>
                </c:pt>
                <c:pt idx="1">
                  <c:v>2.9498525073746312E-3</c:v>
                </c:pt>
                <c:pt idx="2">
                  <c:v>5.8997050147492625E-3</c:v>
                </c:pt>
                <c:pt idx="3">
                  <c:v>8.8495575221238937E-3</c:v>
                </c:pt>
                <c:pt idx="4">
                  <c:v>1.1799410029498525E-2</c:v>
                </c:pt>
                <c:pt idx="5">
                  <c:v>1.4749262536873156E-2</c:v>
                </c:pt>
                <c:pt idx="6">
                  <c:v>1.7699115044247787E-2</c:v>
                </c:pt>
                <c:pt idx="7">
                  <c:v>2.0648967551622419E-2</c:v>
                </c:pt>
                <c:pt idx="8">
                  <c:v>2.359882005899705E-2</c:v>
                </c:pt>
                <c:pt idx="9">
                  <c:v>2.6548672566371681E-2</c:v>
                </c:pt>
                <c:pt idx="10">
                  <c:v>2.9498525073746312E-2</c:v>
                </c:pt>
                <c:pt idx="11">
                  <c:v>3.2448377581120944E-2</c:v>
                </c:pt>
                <c:pt idx="12">
                  <c:v>3.5398230088495575E-2</c:v>
                </c:pt>
                <c:pt idx="13">
                  <c:v>3.8348082595870206E-2</c:v>
                </c:pt>
                <c:pt idx="14">
                  <c:v>4.1297935103244837E-2</c:v>
                </c:pt>
                <c:pt idx="15">
                  <c:v>4.4247787610619468E-2</c:v>
                </c:pt>
                <c:pt idx="16">
                  <c:v>4.71976401179941E-2</c:v>
                </c:pt>
                <c:pt idx="17">
                  <c:v>5.0147492625368731E-2</c:v>
                </c:pt>
                <c:pt idx="18">
                  <c:v>5.3097345132743362E-2</c:v>
                </c:pt>
                <c:pt idx="19">
                  <c:v>5.6047197640117993E-2</c:v>
                </c:pt>
                <c:pt idx="20">
                  <c:v>5.8997050147492625E-2</c:v>
                </c:pt>
                <c:pt idx="21">
                  <c:v>6.1946902654867256E-2</c:v>
                </c:pt>
                <c:pt idx="22">
                  <c:v>6.4896755162241887E-2</c:v>
                </c:pt>
                <c:pt idx="23">
                  <c:v>6.7846607669616518E-2</c:v>
                </c:pt>
                <c:pt idx="24">
                  <c:v>7.0796460176991149E-2</c:v>
                </c:pt>
                <c:pt idx="25">
                  <c:v>7.3746312684365781E-2</c:v>
                </c:pt>
                <c:pt idx="26">
                  <c:v>7.6696165191740412E-2</c:v>
                </c:pt>
                <c:pt idx="27">
                  <c:v>7.9646017699115043E-2</c:v>
                </c:pt>
                <c:pt idx="28">
                  <c:v>8.2595870206489674E-2</c:v>
                </c:pt>
                <c:pt idx="29">
                  <c:v>8.5545722713864306E-2</c:v>
                </c:pt>
                <c:pt idx="30">
                  <c:v>8.8495575221238937E-2</c:v>
                </c:pt>
                <c:pt idx="31">
                  <c:v>9.1445427728613568E-2</c:v>
                </c:pt>
                <c:pt idx="32">
                  <c:v>9.4395280235988199E-2</c:v>
                </c:pt>
                <c:pt idx="33">
                  <c:v>9.7345132743362831E-2</c:v>
                </c:pt>
                <c:pt idx="34">
                  <c:v>0.10029498525073746</c:v>
                </c:pt>
                <c:pt idx="35">
                  <c:v>0.10324483775811209</c:v>
                </c:pt>
                <c:pt idx="36">
                  <c:v>0.10619469026548672</c:v>
                </c:pt>
                <c:pt idx="37">
                  <c:v>0.10914454277286136</c:v>
                </c:pt>
                <c:pt idx="38">
                  <c:v>0.11209439528023599</c:v>
                </c:pt>
                <c:pt idx="39">
                  <c:v>0.11504424778761062</c:v>
                </c:pt>
                <c:pt idx="40">
                  <c:v>0.11799410029498525</c:v>
                </c:pt>
                <c:pt idx="41">
                  <c:v>0.12094395280235988</c:v>
                </c:pt>
                <c:pt idx="42">
                  <c:v>0.12389380530973451</c:v>
                </c:pt>
                <c:pt idx="43">
                  <c:v>0.12684365781710916</c:v>
                </c:pt>
                <c:pt idx="44">
                  <c:v>0.12979351032448377</c:v>
                </c:pt>
                <c:pt idx="45">
                  <c:v>0.13274336283185839</c:v>
                </c:pt>
                <c:pt idx="46">
                  <c:v>0.13569321533923301</c:v>
                </c:pt>
                <c:pt idx="47">
                  <c:v>0.13864306784660763</c:v>
                </c:pt>
                <c:pt idx="48">
                  <c:v>0.14159292035398224</c:v>
                </c:pt>
                <c:pt idx="49">
                  <c:v>0.14454277286135686</c:v>
                </c:pt>
                <c:pt idx="50">
                  <c:v>0.14749262536873148</c:v>
                </c:pt>
                <c:pt idx="51">
                  <c:v>0.1504424778761061</c:v>
                </c:pt>
                <c:pt idx="52">
                  <c:v>0.15339233038348071</c:v>
                </c:pt>
                <c:pt idx="53">
                  <c:v>0.15634218289085533</c:v>
                </c:pt>
                <c:pt idx="54">
                  <c:v>0.15929203539822995</c:v>
                </c:pt>
                <c:pt idx="55">
                  <c:v>0.16224188790560456</c:v>
                </c:pt>
                <c:pt idx="56">
                  <c:v>0.16519174041297918</c:v>
                </c:pt>
                <c:pt idx="57">
                  <c:v>0.1681415929203538</c:v>
                </c:pt>
                <c:pt idx="58">
                  <c:v>0.17109144542772842</c:v>
                </c:pt>
                <c:pt idx="59">
                  <c:v>0.17404129793510303</c:v>
                </c:pt>
                <c:pt idx="60">
                  <c:v>0.17699115044247765</c:v>
                </c:pt>
                <c:pt idx="61">
                  <c:v>0.17994100294985227</c:v>
                </c:pt>
                <c:pt idx="62">
                  <c:v>0.18289085545722689</c:v>
                </c:pt>
                <c:pt idx="63">
                  <c:v>0.1858407079646015</c:v>
                </c:pt>
                <c:pt idx="64">
                  <c:v>0.18879056047197612</c:v>
                </c:pt>
                <c:pt idx="65">
                  <c:v>0.19174041297935074</c:v>
                </c:pt>
                <c:pt idx="66">
                  <c:v>0.19469026548672536</c:v>
                </c:pt>
                <c:pt idx="67">
                  <c:v>0.19764011799409997</c:v>
                </c:pt>
                <c:pt idx="68">
                  <c:v>0.20058997050147459</c:v>
                </c:pt>
                <c:pt idx="69">
                  <c:v>0.20353982300884921</c:v>
                </c:pt>
                <c:pt idx="70">
                  <c:v>0.20648967551622383</c:v>
                </c:pt>
                <c:pt idx="71">
                  <c:v>0.20943952802359844</c:v>
                </c:pt>
                <c:pt idx="72">
                  <c:v>0.21238938053097306</c:v>
                </c:pt>
                <c:pt idx="73">
                  <c:v>0.21533923303834768</c:v>
                </c:pt>
                <c:pt idx="74">
                  <c:v>0.21828908554572229</c:v>
                </c:pt>
                <c:pt idx="75">
                  <c:v>0.22123893805309691</c:v>
                </c:pt>
                <c:pt idx="76">
                  <c:v>0.22418879056047153</c:v>
                </c:pt>
                <c:pt idx="77">
                  <c:v>0.22713864306784615</c:v>
                </c:pt>
                <c:pt idx="78">
                  <c:v>0.23008849557522076</c:v>
                </c:pt>
                <c:pt idx="79">
                  <c:v>0.23303834808259538</c:v>
                </c:pt>
                <c:pt idx="80">
                  <c:v>0.23598820058997</c:v>
                </c:pt>
                <c:pt idx="81">
                  <c:v>0.23893805309734462</c:v>
                </c:pt>
                <c:pt idx="82">
                  <c:v>0.24188790560471923</c:v>
                </c:pt>
                <c:pt idx="83">
                  <c:v>0.24483775811209385</c:v>
                </c:pt>
                <c:pt idx="84">
                  <c:v>0.24778761061946847</c:v>
                </c:pt>
                <c:pt idx="85">
                  <c:v>0.25073746312684309</c:v>
                </c:pt>
                <c:pt idx="86">
                  <c:v>0.2536873156342177</c:v>
                </c:pt>
                <c:pt idx="87">
                  <c:v>0.25663716814159232</c:v>
                </c:pt>
                <c:pt idx="88">
                  <c:v>0.25958702064896694</c:v>
                </c:pt>
                <c:pt idx="89">
                  <c:v>0.26253687315634155</c:v>
                </c:pt>
                <c:pt idx="90">
                  <c:v>0.26548672566371617</c:v>
                </c:pt>
                <c:pt idx="91">
                  <c:v>0.26843657817109079</c:v>
                </c:pt>
                <c:pt idx="92">
                  <c:v>0.27138643067846541</c:v>
                </c:pt>
                <c:pt idx="93">
                  <c:v>0.27433628318584002</c:v>
                </c:pt>
                <c:pt idx="94">
                  <c:v>0.27728613569321464</c:v>
                </c:pt>
                <c:pt idx="95">
                  <c:v>0.28023598820058926</c:v>
                </c:pt>
                <c:pt idx="96">
                  <c:v>0.28318584070796388</c:v>
                </c:pt>
                <c:pt idx="97">
                  <c:v>0.28613569321533849</c:v>
                </c:pt>
                <c:pt idx="98">
                  <c:v>0.28908554572271311</c:v>
                </c:pt>
                <c:pt idx="99">
                  <c:v>0.29203539823008773</c:v>
                </c:pt>
                <c:pt idx="100">
                  <c:v>0.29498525073746235</c:v>
                </c:pt>
                <c:pt idx="101">
                  <c:v>0.29793510324483696</c:v>
                </c:pt>
                <c:pt idx="102">
                  <c:v>0.30088495575221158</c:v>
                </c:pt>
                <c:pt idx="103">
                  <c:v>0.3038348082595862</c:v>
                </c:pt>
                <c:pt idx="104">
                  <c:v>0.30678466076696081</c:v>
                </c:pt>
                <c:pt idx="105">
                  <c:v>0.30973451327433543</c:v>
                </c:pt>
                <c:pt idx="106">
                  <c:v>0.31268436578171005</c:v>
                </c:pt>
                <c:pt idx="107">
                  <c:v>0.31563421828908467</c:v>
                </c:pt>
                <c:pt idx="108">
                  <c:v>0.31858407079645928</c:v>
                </c:pt>
                <c:pt idx="109">
                  <c:v>0.3215339233038339</c:v>
                </c:pt>
                <c:pt idx="110">
                  <c:v>0.32448377581120852</c:v>
                </c:pt>
                <c:pt idx="111">
                  <c:v>0.32743362831858314</c:v>
                </c:pt>
                <c:pt idx="112">
                  <c:v>0.33038348082595775</c:v>
                </c:pt>
                <c:pt idx="113">
                  <c:v>0.33333333333333237</c:v>
                </c:pt>
                <c:pt idx="114">
                  <c:v>0.33628318584070699</c:v>
                </c:pt>
                <c:pt idx="115">
                  <c:v>0.33923303834808161</c:v>
                </c:pt>
                <c:pt idx="116">
                  <c:v>0.34218289085545622</c:v>
                </c:pt>
                <c:pt idx="117">
                  <c:v>0.34513274336283084</c:v>
                </c:pt>
                <c:pt idx="118">
                  <c:v>0.34808259587020546</c:v>
                </c:pt>
                <c:pt idx="119">
                  <c:v>0.35103244837758008</c:v>
                </c:pt>
                <c:pt idx="120">
                  <c:v>0.35398230088495469</c:v>
                </c:pt>
                <c:pt idx="121">
                  <c:v>0.35693215339232931</c:v>
                </c:pt>
                <c:pt idx="122">
                  <c:v>0.35988200589970393</c:v>
                </c:pt>
                <c:pt idx="123">
                  <c:v>0.36283185840707854</c:v>
                </c:pt>
                <c:pt idx="124">
                  <c:v>0.36578171091445316</c:v>
                </c:pt>
                <c:pt idx="125">
                  <c:v>0.36873156342182778</c:v>
                </c:pt>
                <c:pt idx="126">
                  <c:v>0.3716814159292024</c:v>
                </c:pt>
                <c:pt idx="127">
                  <c:v>0.37463126843657701</c:v>
                </c:pt>
                <c:pt idx="128">
                  <c:v>0.37758112094395163</c:v>
                </c:pt>
                <c:pt idx="129">
                  <c:v>0.38053097345132625</c:v>
                </c:pt>
                <c:pt idx="130">
                  <c:v>0.38348082595870087</c:v>
                </c:pt>
                <c:pt idx="131">
                  <c:v>0.38643067846607548</c:v>
                </c:pt>
                <c:pt idx="132">
                  <c:v>0.3893805309734501</c:v>
                </c:pt>
                <c:pt idx="133">
                  <c:v>0.39233038348082472</c:v>
                </c:pt>
                <c:pt idx="134">
                  <c:v>0.39528023598819934</c:v>
                </c:pt>
                <c:pt idx="135">
                  <c:v>0.39823008849557395</c:v>
                </c:pt>
                <c:pt idx="136">
                  <c:v>0.40117994100294857</c:v>
                </c:pt>
                <c:pt idx="137">
                  <c:v>0.40412979351032319</c:v>
                </c:pt>
                <c:pt idx="138">
                  <c:v>0.4070796460176978</c:v>
                </c:pt>
                <c:pt idx="139">
                  <c:v>0.41002949852507242</c:v>
                </c:pt>
                <c:pt idx="140">
                  <c:v>0.41297935103244704</c:v>
                </c:pt>
                <c:pt idx="141">
                  <c:v>0.41592920353982166</c:v>
                </c:pt>
                <c:pt idx="142">
                  <c:v>0.41887905604719627</c:v>
                </c:pt>
                <c:pt idx="143">
                  <c:v>0.42182890855457089</c:v>
                </c:pt>
                <c:pt idx="144">
                  <c:v>0.42477876106194551</c:v>
                </c:pt>
                <c:pt idx="145">
                  <c:v>0.42772861356932013</c:v>
                </c:pt>
                <c:pt idx="146">
                  <c:v>0.43067846607669474</c:v>
                </c:pt>
                <c:pt idx="147">
                  <c:v>0.43362831858406936</c:v>
                </c:pt>
                <c:pt idx="148">
                  <c:v>0.43657817109144398</c:v>
                </c:pt>
                <c:pt idx="149">
                  <c:v>0.4395280235988186</c:v>
                </c:pt>
                <c:pt idx="150">
                  <c:v>0.44247787610619321</c:v>
                </c:pt>
                <c:pt idx="151">
                  <c:v>0.44542772861356783</c:v>
                </c:pt>
                <c:pt idx="152">
                  <c:v>0.44837758112094245</c:v>
                </c:pt>
                <c:pt idx="153">
                  <c:v>0.45132743362831707</c:v>
                </c:pt>
                <c:pt idx="154">
                  <c:v>0.45427728613569168</c:v>
                </c:pt>
                <c:pt idx="155">
                  <c:v>0.4572271386430663</c:v>
                </c:pt>
                <c:pt idx="156">
                  <c:v>0.46017699115044092</c:v>
                </c:pt>
                <c:pt idx="157">
                  <c:v>0.46312684365781553</c:v>
                </c:pt>
                <c:pt idx="158">
                  <c:v>0.46607669616519015</c:v>
                </c:pt>
                <c:pt idx="159">
                  <c:v>0.46902654867256477</c:v>
                </c:pt>
                <c:pt idx="160">
                  <c:v>0.47197640117993939</c:v>
                </c:pt>
                <c:pt idx="161">
                  <c:v>0.474926253687314</c:v>
                </c:pt>
                <c:pt idx="162">
                  <c:v>0.47787610619468862</c:v>
                </c:pt>
                <c:pt idx="163">
                  <c:v>0.48082595870206324</c:v>
                </c:pt>
                <c:pt idx="164">
                  <c:v>0.48377581120943786</c:v>
                </c:pt>
                <c:pt idx="165">
                  <c:v>0.48672566371681247</c:v>
                </c:pt>
                <c:pt idx="166">
                  <c:v>0.48967551622418709</c:v>
                </c:pt>
                <c:pt idx="167">
                  <c:v>0.49262536873156171</c:v>
                </c:pt>
                <c:pt idx="168">
                  <c:v>0.49557522123893633</c:v>
                </c:pt>
                <c:pt idx="169">
                  <c:v>0.49852507374631094</c:v>
                </c:pt>
                <c:pt idx="170">
                  <c:v>0.50147492625368562</c:v>
                </c:pt>
                <c:pt idx="171">
                  <c:v>0.50442477876106029</c:v>
                </c:pt>
                <c:pt idx="172">
                  <c:v>0.50737463126843496</c:v>
                </c:pt>
                <c:pt idx="173">
                  <c:v>0.51032448377580963</c:v>
                </c:pt>
                <c:pt idx="174">
                  <c:v>0.51327433628318431</c:v>
                </c:pt>
                <c:pt idx="175">
                  <c:v>0.51622418879055898</c:v>
                </c:pt>
                <c:pt idx="176">
                  <c:v>0.51917404129793365</c:v>
                </c:pt>
                <c:pt idx="177">
                  <c:v>0.52212389380530833</c:v>
                </c:pt>
                <c:pt idx="178">
                  <c:v>0.525073746312683</c:v>
                </c:pt>
                <c:pt idx="179">
                  <c:v>0.52802359882005767</c:v>
                </c:pt>
                <c:pt idx="180">
                  <c:v>0.53097345132743234</c:v>
                </c:pt>
                <c:pt idx="181">
                  <c:v>0.53392330383480702</c:v>
                </c:pt>
                <c:pt idx="182">
                  <c:v>0.53687315634218169</c:v>
                </c:pt>
                <c:pt idx="183">
                  <c:v>0.53982300884955636</c:v>
                </c:pt>
                <c:pt idx="184">
                  <c:v>0.54277286135693104</c:v>
                </c:pt>
                <c:pt idx="185">
                  <c:v>0.54572271386430571</c:v>
                </c:pt>
                <c:pt idx="186">
                  <c:v>0.54867256637168038</c:v>
                </c:pt>
                <c:pt idx="187">
                  <c:v>0.55162241887905505</c:v>
                </c:pt>
                <c:pt idx="188">
                  <c:v>0.55457227138642973</c:v>
                </c:pt>
                <c:pt idx="189">
                  <c:v>0.5575221238938044</c:v>
                </c:pt>
                <c:pt idx="190">
                  <c:v>0.56047197640117907</c:v>
                </c:pt>
                <c:pt idx="191">
                  <c:v>0.56342182890855375</c:v>
                </c:pt>
                <c:pt idx="192">
                  <c:v>0.56637168141592842</c:v>
                </c:pt>
                <c:pt idx="193">
                  <c:v>0.56932153392330309</c:v>
                </c:pt>
                <c:pt idx="194">
                  <c:v>0.57227138643067776</c:v>
                </c:pt>
                <c:pt idx="195">
                  <c:v>0.57522123893805244</c:v>
                </c:pt>
                <c:pt idx="196">
                  <c:v>0.57817109144542711</c:v>
                </c:pt>
                <c:pt idx="197">
                  <c:v>0.58112094395280178</c:v>
                </c:pt>
                <c:pt idx="198">
                  <c:v>0.58407079646017646</c:v>
                </c:pt>
                <c:pt idx="199">
                  <c:v>0.58702064896755113</c:v>
                </c:pt>
                <c:pt idx="200">
                  <c:v>0.5899705014749258</c:v>
                </c:pt>
                <c:pt idx="201">
                  <c:v>0.59292035398230047</c:v>
                </c:pt>
                <c:pt idx="202">
                  <c:v>0.59587020648967515</c:v>
                </c:pt>
                <c:pt idx="203">
                  <c:v>0.59882005899704982</c:v>
                </c:pt>
                <c:pt idx="204">
                  <c:v>0.60176991150442449</c:v>
                </c:pt>
                <c:pt idx="205">
                  <c:v>0.60471976401179917</c:v>
                </c:pt>
                <c:pt idx="206">
                  <c:v>0.60766961651917384</c:v>
                </c:pt>
                <c:pt idx="207">
                  <c:v>0.61061946902654851</c:v>
                </c:pt>
                <c:pt idx="208">
                  <c:v>0.61356932153392318</c:v>
                </c:pt>
                <c:pt idx="209">
                  <c:v>0.61651917404129786</c:v>
                </c:pt>
                <c:pt idx="210">
                  <c:v>0.61946902654867253</c:v>
                </c:pt>
                <c:pt idx="211">
                  <c:v>0.6224188790560472</c:v>
                </c:pt>
                <c:pt idx="212">
                  <c:v>0.62536873156342188</c:v>
                </c:pt>
                <c:pt idx="213">
                  <c:v>0.62831858407079655</c:v>
                </c:pt>
                <c:pt idx="214">
                  <c:v>0.63126843657817122</c:v>
                </c:pt>
                <c:pt idx="215">
                  <c:v>0.63421828908554589</c:v>
                </c:pt>
                <c:pt idx="216">
                  <c:v>0.63716814159292057</c:v>
                </c:pt>
                <c:pt idx="217">
                  <c:v>0.64011799410029524</c:v>
                </c:pt>
                <c:pt idx="218">
                  <c:v>0.64306784660766991</c:v>
                </c:pt>
                <c:pt idx="219">
                  <c:v>0.64601769911504459</c:v>
                </c:pt>
                <c:pt idx="220">
                  <c:v>0.64896755162241926</c:v>
                </c:pt>
                <c:pt idx="221">
                  <c:v>0.65191740412979393</c:v>
                </c:pt>
                <c:pt idx="222">
                  <c:v>0.6548672566371686</c:v>
                </c:pt>
                <c:pt idx="223">
                  <c:v>0.65781710914454328</c:v>
                </c:pt>
                <c:pt idx="224">
                  <c:v>0.66076696165191795</c:v>
                </c:pt>
                <c:pt idx="225">
                  <c:v>0.66371681415929262</c:v>
                </c:pt>
                <c:pt idx="226">
                  <c:v>0.6666666666666673</c:v>
                </c:pt>
                <c:pt idx="227">
                  <c:v>0.66961651917404197</c:v>
                </c:pt>
                <c:pt idx="228">
                  <c:v>0.67256637168141664</c:v>
                </c:pt>
                <c:pt idx="229">
                  <c:v>0.67551622418879131</c:v>
                </c:pt>
                <c:pt idx="230">
                  <c:v>0.67846607669616599</c:v>
                </c:pt>
                <c:pt idx="231">
                  <c:v>0.68141592920354066</c:v>
                </c:pt>
                <c:pt idx="232">
                  <c:v>0.68436578171091533</c:v>
                </c:pt>
                <c:pt idx="233">
                  <c:v>0.68731563421829001</c:v>
                </c:pt>
                <c:pt idx="234">
                  <c:v>0.69026548672566468</c:v>
                </c:pt>
                <c:pt idx="235">
                  <c:v>0.69321533923303935</c:v>
                </c:pt>
                <c:pt idx="236">
                  <c:v>0.69616519174041402</c:v>
                </c:pt>
                <c:pt idx="237">
                  <c:v>0.6991150442477887</c:v>
                </c:pt>
                <c:pt idx="238">
                  <c:v>0.70206489675516337</c:v>
                </c:pt>
                <c:pt idx="239">
                  <c:v>0.70501474926253804</c:v>
                </c:pt>
                <c:pt idx="240">
                  <c:v>0.70796460176991272</c:v>
                </c:pt>
                <c:pt idx="241">
                  <c:v>0.71091445427728739</c:v>
                </c:pt>
                <c:pt idx="242">
                  <c:v>0.71386430678466206</c:v>
                </c:pt>
                <c:pt idx="243">
                  <c:v>0.71681415929203673</c:v>
                </c:pt>
                <c:pt idx="244">
                  <c:v>0.71976401179941141</c:v>
                </c:pt>
                <c:pt idx="245">
                  <c:v>0.72271386430678608</c:v>
                </c:pt>
                <c:pt idx="246">
                  <c:v>0.72566371681416075</c:v>
                </c:pt>
                <c:pt idx="247">
                  <c:v>0.72861356932153543</c:v>
                </c:pt>
                <c:pt idx="248">
                  <c:v>0.7315634218289101</c:v>
                </c:pt>
                <c:pt idx="249">
                  <c:v>0.73451327433628477</c:v>
                </c:pt>
                <c:pt idx="250">
                  <c:v>0.73746312684365944</c:v>
                </c:pt>
                <c:pt idx="251">
                  <c:v>0.74041297935103412</c:v>
                </c:pt>
                <c:pt idx="252">
                  <c:v>0.74336283185840879</c:v>
                </c:pt>
                <c:pt idx="253">
                  <c:v>0.74631268436578346</c:v>
                </c:pt>
                <c:pt idx="254">
                  <c:v>0.74926253687315814</c:v>
                </c:pt>
                <c:pt idx="255">
                  <c:v>0.75221238938053281</c:v>
                </c:pt>
                <c:pt idx="256">
                  <c:v>0.75516224188790748</c:v>
                </c:pt>
                <c:pt idx="257">
                  <c:v>0.75811209439528215</c:v>
                </c:pt>
                <c:pt idx="258">
                  <c:v>0.76106194690265683</c:v>
                </c:pt>
                <c:pt idx="259">
                  <c:v>0.7640117994100315</c:v>
                </c:pt>
                <c:pt idx="260">
                  <c:v>0.76696165191740617</c:v>
                </c:pt>
                <c:pt idx="261">
                  <c:v>0.76991150442478085</c:v>
                </c:pt>
                <c:pt idx="262">
                  <c:v>0.77286135693215552</c:v>
                </c:pt>
                <c:pt idx="263">
                  <c:v>0.77581120943953019</c:v>
                </c:pt>
                <c:pt idx="264">
                  <c:v>0.77876106194690486</c:v>
                </c:pt>
                <c:pt idx="265">
                  <c:v>0.78171091445427954</c:v>
                </c:pt>
                <c:pt idx="266">
                  <c:v>0.78466076696165421</c:v>
                </c:pt>
                <c:pt idx="267">
                  <c:v>0.78761061946902888</c:v>
                </c:pt>
                <c:pt idx="268">
                  <c:v>0.79056047197640356</c:v>
                </c:pt>
                <c:pt idx="269">
                  <c:v>0.79351032448377823</c:v>
                </c:pt>
                <c:pt idx="270">
                  <c:v>0.7964601769911529</c:v>
                </c:pt>
                <c:pt idx="271">
                  <c:v>0.79941002949852757</c:v>
                </c:pt>
                <c:pt idx="272">
                  <c:v>0.80235988200590225</c:v>
                </c:pt>
                <c:pt idx="273">
                  <c:v>0.80530973451327692</c:v>
                </c:pt>
                <c:pt idx="274">
                  <c:v>0.80825958702065159</c:v>
                </c:pt>
                <c:pt idx="275">
                  <c:v>0.81120943952802627</c:v>
                </c:pt>
                <c:pt idx="276">
                  <c:v>0.81415929203540094</c:v>
                </c:pt>
                <c:pt idx="277">
                  <c:v>0.81710914454277561</c:v>
                </c:pt>
                <c:pt idx="278">
                  <c:v>0.82005899705015028</c:v>
                </c:pt>
                <c:pt idx="279">
                  <c:v>0.82300884955752496</c:v>
                </c:pt>
                <c:pt idx="280">
                  <c:v>0.82595870206489963</c:v>
                </c:pt>
                <c:pt idx="281">
                  <c:v>0.8289085545722743</c:v>
                </c:pt>
                <c:pt idx="282">
                  <c:v>0.83185840707964898</c:v>
                </c:pt>
                <c:pt idx="283">
                  <c:v>0.83480825958702365</c:v>
                </c:pt>
                <c:pt idx="284">
                  <c:v>0.83775811209439832</c:v>
                </c:pt>
                <c:pt idx="285">
                  <c:v>0.84070796460177299</c:v>
                </c:pt>
                <c:pt idx="286">
                  <c:v>0.84365781710914767</c:v>
                </c:pt>
                <c:pt idx="287">
                  <c:v>0.84660766961652234</c:v>
                </c:pt>
                <c:pt idx="288">
                  <c:v>0.84955752212389701</c:v>
                </c:pt>
                <c:pt idx="289">
                  <c:v>0.85250737463127169</c:v>
                </c:pt>
                <c:pt idx="290">
                  <c:v>0.85545722713864636</c:v>
                </c:pt>
                <c:pt idx="291">
                  <c:v>0.85840707964602103</c:v>
                </c:pt>
                <c:pt idx="292">
                  <c:v>0.8613569321533957</c:v>
                </c:pt>
                <c:pt idx="293">
                  <c:v>0.86430678466077038</c:v>
                </c:pt>
                <c:pt idx="294">
                  <c:v>0.86725663716814505</c:v>
                </c:pt>
                <c:pt idx="295">
                  <c:v>0.87020648967551972</c:v>
                </c:pt>
                <c:pt idx="296">
                  <c:v>0.8731563421828944</c:v>
                </c:pt>
                <c:pt idx="297">
                  <c:v>0.87610619469026907</c:v>
                </c:pt>
                <c:pt idx="298">
                  <c:v>0.87905604719764374</c:v>
                </c:pt>
                <c:pt idx="299">
                  <c:v>0.88200589970501841</c:v>
                </c:pt>
                <c:pt idx="300">
                  <c:v>0.88495575221239309</c:v>
                </c:pt>
                <c:pt idx="301">
                  <c:v>0.88790560471976776</c:v>
                </c:pt>
                <c:pt idx="302">
                  <c:v>0.89085545722714243</c:v>
                </c:pt>
                <c:pt idx="303">
                  <c:v>0.89380530973451711</c:v>
                </c:pt>
                <c:pt idx="304">
                  <c:v>0.89675516224189178</c:v>
                </c:pt>
                <c:pt idx="305">
                  <c:v>0.89970501474926645</c:v>
                </c:pt>
                <c:pt idx="306">
                  <c:v>0.90265486725664112</c:v>
                </c:pt>
                <c:pt idx="307">
                  <c:v>0.9056047197640158</c:v>
                </c:pt>
                <c:pt idx="308">
                  <c:v>0.90855457227139047</c:v>
                </c:pt>
                <c:pt idx="309">
                  <c:v>0.91150442477876514</c:v>
                </c:pt>
                <c:pt idx="310">
                  <c:v>0.91445427728613982</c:v>
                </c:pt>
                <c:pt idx="311">
                  <c:v>0.91740412979351449</c:v>
                </c:pt>
                <c:pt idx="312">
                  <c:v>0.92035398230088916</c:v>
                </c:pt>
                <c:pt idx="313">
                  <c:v>0.92330383480826383</c:v>
                </c:pt>
                <c:pt idx="314">
                  <c:v>0.92625368731563851</c:v>
                </c:pt>
                <c:pt idx="315">
                  <c:v>0.92920353982301318</c:v>
                </c:pt>
                <c:pt idx="316">
                  <c:v>0.93215339233038785</c:v>
                </c:pt>
                <c:pt idx="317">
                  <c:v>0.93510324483776253</c:v>
                </c:pt>
                <c:pt idx="318">
                  <c:v>0.9380530973451372</c:v>
                </c:pt>
                <c:pt idx="319">
                  <c:v>0.94100294985251187</c:v>
                </c:pt>
                <c:pt idx="320">
                  <c:v>0.94395280235988654</c:v>
                </c:pt>
                <c:pt idx="321">
                  <c:v>0.94690265486726122</c:v>
                </c:pt>
                <c:pt idx="322">
                  <c:v>0.94985250737463589</c:v>
                </c:pt>
                <c:pt idx="323">
                  <c:v>0.95280235988201056</c:v>
                </c:pt>
                <c:pt idx="324">
                  <c:v>0.95575221238938524</c:v>
                </c:pt>
                <c:pt idx="325">
                  <c:v>0.95870206489675991</c:v>
                </c:pt>
                <c:pt idx="326">
                  <c:v>0.96165191740413458</c:v>
                </c:pt>
                <c:pt idx="327">
                  <c:v>0.96460176991150925</c:v>
                </c:pt>
                <c:pt idx="328">
                  <c:v>0.96755162241888393</c:v>
                </c:pt>
                <c:pt idx="329">
                  <c:v>0.9705014749262586</c:v>
                </c:pt>
                <c:pt idx="330">
                  <c:v>0.97345132743363327</c:v>
                </c:pt>
                <c:pt idx="331">
                  <c:v>0.97640117994100795</c:v>
                </c:pt>
                <c:pt idx="332">
                  <c:v>0.97935103244838262</c:v>
                </c:pt>
                <c:pt idx="333">
                  <c:v>0.98230088495575729</c:v>
                </c:pt>
                <c:pt idx="334">
                  <c:v>0.98525073746313196</c:v>
                </c:pt>
                <c:pt idx="335">
                  <c:v>0.98820058997050664</c:v>
                </c:pt>
                <c:pt idx="336">
                  <c:v>0.99115044247788131</c:v>
                </c:pt>
                <c:pt idx="337">
                  <c:v>0.99410029498525598</c:v>
                </c:pt>
                <c:pt idx="338">
                  <c:v>0.99705014749263066</c:v>
                </c:pt>
                <c:pt idx="339">
                  <c:v>1.0000000000000053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AC-4B2B-93E7-F15809DE1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7865088"/>
        <c:axId val="907862688"/>
      </c:scatterChart>
      <c:valAx>
        <c:axId val="90786508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Cumulative Normalized Rank of Organizations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07862688"/>
        <c:crosses val="autoZero"/>
        <c:crossBetween val="midCat"/>
        <c:majorUnit val="0.2"/>
        <c:minorUnit val="4.0000000000000008E-2"/>
      </c:valAx>
      <c:valAx>
        <c:axId val="9078626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Cumulative Normalized Share of Commits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07865088"/>
        <c:crosses val="autoZero"/>
        <c:crossBetween val="midCat"/>
        <c:majorUnit val="0.2"/>
        <c:minorUnit val="4.0000000000000008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tmp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25879</xdr:colOff>
      <xdr:row>9</xdr:row>
      <xdr:rowOff>60384</xdr:rowOff>
    </xdr:from>
    <xdr:to>
      <xdr:col>28</xdr:col>
      <xdr:colOff>171450</xdr:colOff>
      <xdr:row>30</xdr:row>
      <xdr:rowOff>180975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24DE52A1-2B42-6ECF-221F-39675F8BC2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28</xdr:col>
      <xdr:colOff>219075</xdr:colOff>
      <xdr:row>2</xdr:row>
      <xdr:rowOff>142875</xdr:rowOff>
    </xdr:from>
    <xdr:to>
      <xdr:col>32</xdr:col>
      <xdr:colOff>619606</xdr:colOff>
      <xdr:row>23</xdr:row>
      <xdr:rowOff>105328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6D24E6DC-E09A-269F-BC6C-49132BCB2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22150" y="523875"/>
          <a:ext cx="3448531" cy="396295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BD84E2-F733-45F2-A326-69724830F6A3}" name="Tabelle13" displayName="Tabelle13" ref="A1:K9048" totalsRowCount="1">
  <autoFilter ref="A1:K9047" xr:uid="{50BD84E2-F733-45F2-A326-69724830F6A3}"/>
  <sortState xmlns:xlrd2="http://schemas.microsoft.com/office/spreadsheetml/2017/richdata2" ref="A2:G9047">
    <sortCondition descending="1" ref="G1:G9047"/>
  </sortState>
  <tableColumns count="11">
    <tableColumn id="1" xr3:uid="{FFAD9F06-9334-48F2-BF37-051DCF3931C8}" name="id"/>
    <tableColumn id="2" xr3:uid="{5A6AB57D-588D-4E7A-AE5A-598F3730CB48}" name="label"/>
    <tableColumn id="3" xr3:uid="{B2FCFD35-0B5E-4DFC-A1B7-0DBBB5936322}" name="name"/>
    <tableColumn id="4" xr3:uid="{2B2155CE-F0EA-47E1-A6D1-AB440B56DA19}" name="orga"/>
    <tableColumn id="5" xr3:uid="{E09B540C-8ACC-472E-AACA-AC0EA508F7EF}" name="typ"/>
    <tableColumn id="6" xr3:uid="{1AE2022A-9B97-418C-AF1F-516A16F8A7AC}" name="project"/>
    <tableColumn id="7" xr3:uid="{28C24C74-58C7-4813-844E-B57FBF42ADC1}" name="commits" totalsRowFunction="sum"/>
    <tableColumn id="8" xr3:uid="{F9C6861C-64C9-4826-8B74-17C07D17B5FD}" name="%" dataDxfId="4" dataCellStyle="Prozent">
      <calculatedColumnFormula>Tabelle13[[#This Row],[commits]]/Tabelle13[[#Totals],[commits]]</calculatedColumnFormula>
    </tableColumn>
    <tableColumn id="9" xr3:uid="{C72D35E0-4A29-4EB4-825C-94614BC80AF7}" name="cummlative %" dataDxfId="3">
      <calculatedColumnFormula>Tabelle13[[#This Row],[%]]+H1</calculatedColumnFormula>
    </tableColumn>
    <tableColumn id="10" xr3:uid="{F06039AF-F30B-4860-8E2E-666975FF4E16}" name="shares in the commits" dataDxfId="2" totalsRowDxfId="1" dataCellStyle="Prozent">
      <calculatedColumnFormula>1/9045</calculatedColumnFormula>
    </tableColumn>
    <tableColumn id="11" xr3:uid="{90CD14A4-3A1E-4F9F-B49C-92FDE3C368A7}" name="Spalte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2555D9-7348-4E6B-85BE-BC1881FB4482}" name="Tabelle3" displayName="Tabelle3" ref="N1:T343" totalsRowCount="1">
  <autoFilter ref="N1:T342" xr:uid="{272555D9-7348-4E6B-85BE-BC1881FB4482}"/>
  <sortState xmlns:xlrd2="http://schemas.microsoft.com/office/spreadsheetml/2017/richdata2" ref="N2:P342">
    <sortCondition descending="1" ref="O1:O342"/>
  </sortState>
  <tableColumns count="7">
    <tableColumn id="1" xr3:uid="{831E2598-0A57-4709-952B-0F54238E2334}" name="organization"/>
    <tableColumn id="2" xr3:uid="{FD55194A-A532-48E4-91F9-EC6A6F971DB8}" name="commits" totalsRowFunction="custom">
      <calculatedColumnFormula>SUMIFS($G$3:$G$9048,$D$3:$D$9048,N2)</calculatedColumnFormula>
      <totalsRowFormula>SUM(O2:O342)</totalsRowFormula>
    </tableColumn>
    <tableColumn id="3" xr3:uid="{5F9293A1-419F-4ABB-8D0C-892814C7EC38}" name="perfect equality line"/>
    <tableColumn id="4" xr3:uid="{F60924E9-6509-4990-A037-F4964C3D1A40}" name="cummulated %"/>
    <tableColumn id="5" xr3:uid="{7C63255F-98A3-4F92-AA9A-FFB3CCDDD917}" name="%"/>
    <tableColumn id="6" xr3:uid="{F3C4DEC9-12B0-451B-89E1-69BD0EE66ADF}" name="Lorenz Curve"/>
    <tableColumn id="7" xr3:uid="{E3AF8B7E-9CF8-4A02-99BC-6095E2FD5229}" name="G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3C8A9-D087-4A93-8D40-70141B508DDA}">
  <dimension ref="A1:AD9048"/>
  <sheetViews>
    <sheetView tabSelected="1" topLeftCell="H1" workbookViewId="0">
      <selection activeCell="M3" sqref="M3:N10"/>
    </sheetView>
  </sheetViews>
  <sheetFormatPr baseColWidth="10" defaultRowHeight="14.3" x14ac:dyDescent="0.25"/>
  <cols>
    <col min="7" max="7" width="20.625" customWidth="1"/>
    <col min="9" max="9" width="25.75" customWidth="1"/>
    <col min="10" max="10" width="12.625" style="3" bestFit="1" customWidth="1"/>
    <col min="11" max="11" width="16.25" customWidth="1"/>
    <col min="15" max="15" width="20.75" customWidth="1"/>
    <col min="16" max="16" width="12" bestFit="1" customWidth="1"/>
    <col min="17" max="17" width="21.125" bestFit="1" customWidth="1"/>
  </cols>
  <sheetData>
    <row r="1" spans="1:24" ht="15.65" x14ac:dyDescent="0.25">
      <c r="A1" t="s">
        <v>17829</v>
      </c>
      <c r="B1" t="s">
        <v>17828</v>
      </c>
      <c r="C1" t="s">
        <v>0</v>
      </c>
      <c r="D1" t="s">
        <v>1</v>
      </c>
      <c r="E1" t="s">
        <v>2</v>
      </c>
      <c r="F1" t="s">
        <v>17830</v>
      </c>
      <c r="G1" t="s">
        <v>17825</v>
      </c>
      <c r="H1" t="s">
        <v>17821</v>
      </c>
      <c r="I1" t="s">
        <v>17826</v>
      </c>
      <c r="J1" s="3" t="s">
        <v>17827</v>
      </c>
      <c r="K1" t="s">
        <v>17818</v>
      </c>
      <c r="N1" t="s">
        <v>17831</v>
      </c>
      <c r="O1" t="s">
        <v>17825</v>
      </c>
      <c r="P1" t="s">
        <v>17832</v>
      </c>
      <c r="Q1" t="s">
        <v>17822</v>
      </c>
      <c r="R1" t="s">
        <v>17821</v>
      </c>
      <c r="S1" s="10" t="s">
        <v>17820</v>
      </c>
      <c r="T1" t="s">
        <v>17819</v>
      </c>
    </row>
    <row r="2" spans="1:24" x14ac:dyDescent="0.25">
      <c r="H2" s="2"/>
      <c r="I2" s="5">
        <v>0</v>
      </c>
      <c r="J2" s="4"/>
      <c r="K2" s="1">
        <v>0</v>
      </c>
      <c r="O2">
        <f>SUMIFS($G$3:$G$9048,$D$3:$D$9048,N2)</f>
        <v>0</v>
      </c>
      <c r="Q2" s="5">
        <v>0</v>
      </c>
      <c r="S2" s="5">
        <v>0</v>
      </c>
      <c r="T2" s="5"/>
      <c r="U2" s="5"/>
      <c r="V2" s="5"/>
    </row>
    <row r="3" spans="1:24" x14ac:dyDescent="0.25">
      <c r="A3" t="s">
        <v>8668</v>
      </c>
      <c r="C3" t="s">
        <v>8669</v>
      </c>
      <c r="D3" t="s">
        <v>251</v>
      </c>
      <c r="E3" t="s">
        <v>6</v>
      </c>
      <c r="F3" t="s">
        <v>251</v>
      </c>
      <c r="G3">
        <v>39189</v>
      </c>
      <c r="H3" s="2">
        <f>Tabelle13[[#This Row],[commits]]/Tabelle13[[#Totals],[commits]]</f>
        <v>0.18214225956980051</v>
      </c>
      <c r="I3" s="2">
        <f>Tabelle13[[#This Row],[%]]</f>
        <v>0.18214225956980051</v>
      </c>
      <c r="J3" s="4">
        <f t="shared" ref="J3:J66" si="0">1/9045</f>
        <v>1.105583195135434E-4</v>
      </c>
      <c r="K3" s="4">
        <f>J3</f>
        <v>1.105583195135434E-4</v>
      </c>
      <c r="M3" s="11">
        <v>1</v>
      </c>
      <c r="N3" s="11" t="s">
        <v>309</v>
      </c>
      <c r="O3">
        <f>SUMIFS($G$3:$G$9048,$D$3:$D$9048,N3)</f>
        <v>94835</v>
      </c>
      <c r="P3" s="7">
        <f t="shared" ref="P3:P34" si="1">O3/$O$343</f>
        <v>0.61274003049647219</v>
      </c>
      <c r="Q3" s="2">
        <f>Tabelle3[[#This Row],[perfect equality line]]</f>
        <v>0.61274003049647219</v>
      </c>
      <c r="R3" s="4">
        <f>1/339</f>
        <v>2.9498525073746312E-3</v>
      </c>
      <c r="S3" s="8">
        <f>Tabelle3[[#This Row],[%]]</f>
        <v>2.9498525073746312E-3</v>
      </c>
      <c r="T3" s="8"/>
      <c r="U3" s="8"/>
      <c r="V3" s="8"/>
    </row>
    <row r="4" spans="1:24" x14ac:dyDescent="0.25">
      <c r="A4" t="s">
        <v>2215</v>
      </c>
      <c r="C4" t="s">
        <v>2216</v>
      </c>
      <c r="D4" t="s">
        <v>5</v>
      </c>
      <c r="E4" t="s">
        <v>6</v>
      </c>
      <c r="F4" t="s">
        <v>724</v>
      </c>
      <c r="G4">
        <v>9815</v>
      </c>
      <c r="H4" s="2">
        <f>Tabelle13[[#This Row],[commits]]/Tabelle13[[#Totals],[commits]]</f>
        <v>4.5618063172767669E-2</v>
      </c>
      <c r="I4" s="5">
        <f>Tabelle13[[#This Row],[%]]+H3</f>
        <v>0.22776032274256819</v>
      </c>
      <c r="J4" s="4">
        <f t="shared" si="0"/>
        <v>1.105583195135434E-4</v>
      </c>
      <c r="K4" s="5">
        <f>J4+J3</f>
        <v>2.211166390270868E-4</v>
      </c>
      <c r="M4" s="11">
        <v>2</v>
      </c>
      <c r="N4" s="11" t="s">
        <v>17824</v>
      </c>
      <c r="O4">
        <f>SUMIFS(G2:G9047,D2:D9047,N4)</f>
        <v>40655</v>
      </c>
      <c r="P4" s="7">
        <f t="shared" si="1"/>
        <v>0.26267671154989275</v>
      </c>
      <c r="Q4" s="5">
        <f>Q3+P4</f>
        <v>0.87541674204636499</v>
      </c>
      <c r="R4" s="4">
        <f t="shared" ref="R4:R67" si="2">1/339</f>
        <v>2.9498525073746312E-3</v>
      </c>
      <c r="S4" s="8">
        <f>S3+R4</f>
        <v>5.8997050147492625E-3</v>
      </c>
      <c r="T4" s="8"/>
      <c r="U4" s="8"/>
      <c r="V4" s="8"/>
      <c r="W4" t="s">
        <v>5</v>
      </c>
      <c r="X4">
        <f>SUMIFS(G2:G16,D2:D16,W4)</f>
        <v>17993</v>
      </c>
    </row>
    <row r="5" spans="1:24" x14ac:dyDescent="0.25">
      <c r="A5" t="s">
        <v>17128</v>
      </c>
      <c r="C5" t="s">
        <v>17129</v>
      </c>
      <c r="D5" t="s">
        <v>5</v>
      </c>
      <c r="E5" t="s">
        <v>6</v>
      </c>
      <c r="F5" t="s">
        <v>334</v>
      </c>
      <c r="G5">
        <v>2575</v>
      </c>
      <c r="H5" s="2">
        <f>Tabelle13[[#This Row],[commits]]/Tabelle13[[#Totals],[commits]]</f>
        <v>1.1968060384093402E-2</v>
      </c>
      <c r="I5" s="5">
        <f>Tabelle13[[#This Row],[%]]+I4</f>
        <v>0.23972838312666159</v>
      </c>
      <c r="J5" s="4">
        <f t="shared" si="0"/>
        <v>1.105583195135434E-4</v>
      </c>
      <c r="K5" s="5">
        <f>J5+K4</f>
        <v>3.3167495854063018E-4</v>
      </c>
      <c r="M5" s="11">
        <v>3</v>
      </c>
      <c r="N5" s="11" t="s">
        <v>5175</v>
      </c>
      <c r="O5">
        <f t="shared" ref="O5:O68" si="3">SUMIFS($G$3:$G$9048,$D$3:$D$9048,N5)</f>
        <v>5175</v>
      </c>
      <c r="P5" s="7">
        <f t="shared" si="1"/>
        <v>3.3436280464166648E-2</v>
      </c>
      <c r="Q5" s="5">
        <f t="shared" ref="Q5:Q68" si="4">Q4+P5</f>
        <v>0.90885302251053168</v>
      </c>
      <c r="R5" s="4">
        <f t="shared" si="2"/>
        <v>2.9498525073746312E-3</v>
      </c>
      <c r="S5" s="8">
        <f t="shared" ref="S5:S68" si="5">S4+R5</f>
        <v>8.8495575221238937E-3</v>
      </c>
      <c r="T5" s="8"/>
      <c r="U5" s="8"/>
      <c r="V5" s="8"/>
    </row>
    <row r="6" spans="1:24" x14ac:dyDescent="0.25">
      <c r="A6" t="s">
        <v>3</v>
      </c>
      <c r="C6" t="s">
        <v>4</v>
      </c>
      <c r="D6" t="s">
        <v>5</v>
      </c>
      <c r="E6" t="s">
        <v>6</v>
      </c>
      <c r="F6" t="s">
        <v>7</v>
      </c>
      <c r="G6">
        <v>2514</v>
      </c>
      <c r="H6" s="2">
        <f>Tabelle13[[#This Row],[commits]]/Tabelle13[[#Totals],[commits]]</f>
        <v>1.16845451672275E-2</v>
      </c>
      <c r="I6" s="5">
        <f>Tabelle13[[#This Row],[%]]+I5</f>
        <v>0.25141292829388906</v>
      </c>
      <c r="J6" s="4">
        <f t="shared" si="0"/>
        <v>1.105583195135434E-4</v>
      </c>
      <c r="K6" s="5">
        <f t="shared" ref="K6:K69" si="6">J6+K5</f>
        <v>4.4223327805417359E-4</v>
      </c>
      <c r="M6" s="11">
        <v>4</v>
      </c>
      <c r="N6" s="11" t="s">
        <v>8760</v>
      </c>
      <c r="O6">
        <f t="shared" si="3"/>
        <v>3217</v>
      </c>
      <c r="P6" s="7">
        <f t="shared" si="1"/>
        <v>2.0785413382265527E-2</v>
      </c>
      <c r="Q6" s="5">
        <f t="shared" si="4"/>
        <v>0.92963843589279715</v>
      </c>
      <c r="R6" s="4">
        <f t="shared" si="2"/>
        <v>2.9498525073746312E-3</v>
      </c>
      <c r="S6" s="8">
        <f t="shared" si="5"/>
        <v>1.1799410029498525E-2</v>
      </c>
      <c r="T6" s="8"/>
      <c r="U6" s="8"/>
      <c r="V6" s="8"/>
    </row>
    <row r="7" spans="1:24" x14ac:dyDescent="0.25">
      <c r="A7" t="s">
        <v>2217</v>
      </c>
      <c r="C7" t="s">
        <v>2218</v>
      </c>
      <c r="D7" t="s">
        <v>309</v>
      </c>
      <c r="E7" t="s">
        <v>6</v>
      </c>
      <c r="F7" t="s">
        <v>724</v>
      </c>
      <c r="G7">
        <v>2134</v>
      </c>
      <c r="H7" s="2">
        <f>Tabelle13[[#This Row],[commits]]/Tabelle13[[#Totals],[commits]]</f>
        <v>9.9183847998661444E-3</v>
      </c>
      <c r="I7" s="5">
        <f>Tabelle13[[#This Row],[%]]+I6</f>
        <v>0.26133131309375518</v>
      </c>
      <c r="J7" s="4">
        <f t="shared" si="0"/>
        <v>1.105583195135434E-4</v>
      </c>
      <c r="K7" s="5">
        <f t="shared" si="6"/>
        <v>5.5279159756771695E-4</v>
      </c>
      <c r="M7" s="11">
        <v>5</v>
      </c>
      <c r="N7" s="11" t="s">
        <v>8948</v>
      </c>
      <c r="O7">
        <f t="shared" si="3"/>
        <v>2277</v>
      </c>
      <c r="P7" s="7">
        <f t="shared" si="1"/>
        <v>1.4711963404233324E-2</v>
      </c>
      <c r="Q7" s="5">
        <f t="shared" si="4"/>
        <v>0.94435039929703046</v>
      </c>
      <c r="R7" s="4">
        <f t="shared" si="2"/>
        <v>2.9498525073746312E-3</v>
      </c>
      <c r="S7" s="8">
        <f t="shared" si="5"/>
        <v>1.4749262536873156E-2</v>
      </c>
      <c r="T7" s="8"/>
      <c r="U7" s="8"/>
      <c r="V7" s="8"/>
    </row>
    <row r="8" spans="1:24" x14ac:dyDescent="0.25">
      <c r="A8" t="s">
        <v>8</v>
      </c>
      <c r="C8" t="s">
        <v>9</v>
      </c>
      <c r="D8" t="s">
        <v>5</v>
      </c>
      <c r="E8" t="s">
        <v>6</v>
      </c>
      <c r="F8" t="s">
        <v>7</v>
      </c>
      <c r="G8">
        <v>1736</v>
      </c>
      <c r="H8" s="2">
        <f>Tabelle13[[#This Row],[commits]]/Tabelle13[[#Totals],[commits]]</f>
        <v>8.0685642045771437E-3</v>
      </c>
      <c r="I8" s="5">
        <f>Tabelle13[[#This Row],[%]]+I7</f>
        <v>0.26939987729833231</v>
      </c>
      <c r="J8" s="4">
        <f t="shared" si="0"/>
        <v>1.105583195135434E-4</v>
      </c>
      <c r="K8" s="5">
        <f t="shared" si="6"/>
        <v>6.6334991708126036E-4</v>
      </c>
      <c r="M8" s="11">
        <v>6</v>
      </c>
      <c r="N8" s="11" t="s">
        <v>8674</v>
      </c>
      <c r="O8">
        <f t="shared" si="3"/>
        <v>1447</v>
      </c>
      <c r="P8" s="7">
        <f t="shared" si="1"/>
        <v>9.3492362959708471E-3</v>
      </c>
      <c r="Q8" s="5">
        <f t="shared" si="4"/>
        <v>0.9536996355930013</v>
      </c>
      <c r="R8" s="4">
        <f t="shared" si="2"/>
        <v>2.9498525073746312E-3</v>
      </c>
      <c r="S8" s="8">
        <f t="shared" si="5"/>
        <v>1.7699115044247787E-2</v>
      </c>
      <c r="T8" s="8"/>
      <c r="U8" s="8"/>
      <c r="V8" s="8"/>
    </row>
    <row r="9" spans="1:24" x14ac:dyDescent="0.25">
      <c r="A9" t="s">
        <v>8670</v>
      </c>
      <c r="C9" t="s">
        <v>8671</v>
      </c>
      <c r="D9" t="s">
        <v>309</v>
      </c>
      <c r="E9" t="s">
        <v>6</v>
      </c>
      <c r="F9" t="s">
        <v>251</v>
      </c>
      <c r="G9">
        <v>1495</v>
      </c>
      <c r="H9" s="2">
        <f>Tabelle13[[#This Row],[commits]]/Tabelle13[[#Totals],[commits]]</f>
        <v>6.9484467084348104E-3</v>
      </c>
      <c r="I9" s="5">
        <f>Tabelle13[[#This Row],[%]]+I8</f>
        <v>0.27634832400676712</v>
      </c>
      <c r="J9" s="4">
        <f t="shared" si="0"/>
        <v>1.105583195135434E-4</v>
      </c>
      <c r="K9" s="5">
        <f t="shared" si="6"/>
        <v>7.7390823659480377E-4</v>
      </c>
      <c r="M9" s="11">
        <v>7</v>
      </c>
      <c r="N9" s="11" t="s">
        <v>8874</v>
      </c>
      <c r="O9">
        <f t="shared" si="3"/>
        <v>903</v>
      </c>
      <c r="P9" s="7">
        <f t="shared" si="1"/>
        <v>5.8343886491096578E-3</v>
      </c>
      <c r="Q9" s="5">
        <f t="shared" si="4"/>
        <v>0.95953402424211098</v>
      </c>
      <c r="R9" s="4">
        <f t="shared" si="2"/>
        <v>2.9498525073746312E-3</v>
      </c>
      <c r="S9" s="8">
        <f t="shared" si="5"/>
        <v>2.0648967551622419E-2</v>
      </c>
      <c r="T9" s="8"/>
      <c r="U9" s="8"/>
      <c r="V9" s="8"/>
      <c r="W9" t="s">
        <v>17823</v>
      </c>
    </row>
    <row r="10" spans="1:24" x14ac:dyDescent="0.25">
      <c r="A10" t="s">
        <v>5173</v>
      </c>
      <c r="C10" t="s">
        <v>5174</v>
      </c>
      <c r="D10" t="s">
        <v>5175</v>
      </c>
      <c r="E10" t="s">
        <v>6</v>
      </c>
      <c r="F10" t="s">
        <v>28</v>
      </c>
      <c r="G10">
        <v>1487</v>
      </c>
      <c r="H10" s="2">
        <f>Tabelle13[[#This Row],[commits]]/Tabelle13[[#Totals],[commits]]</f>
        <v>6.9112643849114129E-3</v>
      </c>
      <c r="I10" s="5">
        <f>Tabelle13[[#This Row],[%]]+I9</f>
        <v>0.28325958839167853</v>
      </c>
      <c r="J10" s="4">
        <f t="shared" si="0"/>
        <v>1.105583195135434E-4</v>
      </c>
      <c r="K10" s="5">
        <f t="shared" si="6"/>
        <v>8.8446655610834718E-4</v>
      </c>
      <c r="M10" s="11">
        <v>8</v>
      </c>
      <c r="N10" s="11" t="s">
        <v>8757</v>
      </c>
      <c r="O10">
        <f t="shared" si="3"/>
        <v>869</v>
      </c>
      <c r="P10" s="7">
        <f t="shared" si="1"/>
        <v>5.6147106711808333E-3</v>
      </c>
      <c r="Q10" s="5">
        <f t="shared" si="4"/>
        <v>0.96514873491329178</v>
      </c>
      <c r="R10" s="4">
        <f t="shared" si="2"/>
        <v>2.9498525073746312E-3</v>
      </c>
      <c r="S10" s="8">
        <f t="shared" si="5"/>
        <v>2.359882005899705E-2</v>
      </c>
      <c r="T10" s="8"/>
      <c r="U10" s="8"/>
      <c r="V10" s="8"/>
    </row>
    <row r="11" spans="1:24" x14ac:dyDescent="0.25">
      <c r="A11" t="s">
        <v>8672</v>
      </c>
      <c r="C11" t="s">
        <v>8673</v>
      </c>
      <c r="D11" t="s">
        <v>8674</v>
      </c>
      <c r="E11" t="s">
        <v>6</v>
      </c>
      <c r="F11" t="s">
        <v>251</v>
      </c>
      <c r="G11">
        <v>1447</v>
      </c>
      <c r="H11" s="2">
        <f>Tabelle13[[#This Row],[commits]]/Tabelle13[[#Totals],[commits]]</f>
        <v>6.7253527672944281E-3</v>
      </c>
      <c r="I11" s="5">
        <f>Tabelle13[[#This Row],[%]]+I10</f>
        <v>0.28998494115897294</v>
      </c>
      <c r="J11" s="4">
        <f t="shared" si="0"/>
        <v>1.105583195135434E-4</v>
      </c>
      <c r="K11" s="5">
        <f t="shared" si="6"/>
        <v>9.9502487562189048E-4</v>
      </c>
      <c r="M11">
        <v>9</v>
      </c>
      <c r="N11" t="s">
        <v>9035</v>
      </c>
      <c r="O11">
        <f t="shared" si="3"/>
        <v>822</v>
      </c>
      <c r="P11" s="7">
        <f t="shared" si="1"/>
        <v>5.3110381722792236E-3</v>
      </c>
      <c r="Q11" s="5">
        <f t="shared" si="4"/>
        <v>0.97045977308557096</v>
      </c>
      <c r="R11" s="4">
        <f t="shared" si="2"/>
        <v>2.9498525073746312E-3</v>
      </c>
      <c r="S11" s="8">
        <f t="shared" si="5"/>
        <v>2.6548672566371681E-2</v>
      </c>
      <c r="T11" s="8"/>
      <c r="U11" s="8"/>
      <c r="V11" s="8"/>
    </row>
    <row r="12" spans="1:24" x14ac:dyDescent="0.25">
      <c r="A12" t="s">
        <v>8675</v>
      </c>
      <c r="C12" t="s">
        <v>8676</v>
      </c>
      <c r="D12" t="s">
        <v>309</v>
      </c>
      <c r="E12" t="s">
        <v>6</v>
      </c>
      <c r="F12" t="s">
        <v>251</v>
      </c>
      <c r="G12">
        <v>1376</v>
      </c>
      <c r="H12" s="2">
        <f>Tabelle13[[#This Row],[commits]]/Tabelle13[[#Totals],[commits]]</f>
        <v>6.3953596460242798E-3</v>
      </c>
      <c r="I12" s="5">
        <f>Tabelle13[[#This Row],[%]]+I11</f>
        <v>0.29638030080499722</v>
      </c>
      <c r="J12" s="4">
        <f t="shared" si="0"/>
        <v>1.105583195135434E-4</v>
      </c>
      <c r="K12" s="5">
        <f t="shared" si="6"/>
        <v>1.1055831951354339E-3</v>
      </c>
      <c r="M12">
        <v>10</v>
      </c>
      <c r="N12" t="s">
        <v>9062</v>
      </c>
      <c r="O12">
        <f t="shared" si="3"/>
        <v>431</v>
      </c>
      <c r="P12" s="7">
        <f t="shared" si="1"/>
        <v>2.7847414260977438E-3</v>
      </c>
      <c r="Q12" s="5">
        <f t="shared" si="4"/>
        <v>0.97324451451166871</v>
      </c>
      <c r="R12" s="4">
        <f t="shared" si="2"/>
        <v>2.9498525073746312E-3</v>
      </c>
      <c r="S12" s="8">
        <f t="shared" si="5"/>
        <v>2.9498525073746312E-2</v>
      </c>
      <c r="T12" s="8"/>
      <c r="U12" s="8"/>
      <c r="V12" s="8"/>
    </row>
    <row r="13" spans="1:24" x14ac:dyDescent="0.25">
      <c r="A13" t="s">
        <v>2219</v>
      </c>
      <c r="C13" t="s">
        <v>2220</v>
      </c>
      <c r="D13" t="s">
        <v>5</v>
      </c>
      <c r="E13" t="s">
        <v>6</v>
      </c>
      <c r="F13" t="s">
        <v>724</v>
      </c>
      <c r="G13">
        <v>1353</v>
      </c>
      <c r="H13" s="2">
        <f>Tabelle13[[#This Row],[commits]]/Tabelle13[[#Totals],[commits]]</f>
        <v>6.288460465894514E-3</v>
      </c>
      <c r="I13" s="5">
        <f>Tabelle13[[#This Row],[%]]+I12</f>
        <v>0.30266876127089176</v>
      </c>
      <c r="J13" s="4">
        <f t="shared" si="0"/>
        <v>1.105583195135434E-4</v>
      </c>
      <c r="K13" s="5">
        <f t="shared" si="6"/>
        <v>1.2161415146489773E-3</v>
      </c>
      <c r="M13">
        <v>11</v>
      </c>
      <c r="N13" t="s">
        <v>8847</v>
      </c>
      <c r="O13">
        <f t="shared" si="3"/>
        <v>306</v>
      </c>
      <c r="P13" s="7">
        <f t="shared" si="1"/>
        <v>1.9771018013594191E-3</v>
      </c>
      <c r="Q13" s="5">
        <f t="shared" si="4"/>
        <v>0.97522161631302817</v>
      </c>
      <c r="R13" s="4">
        <f t="shared" si="2"/>
        <v>2.9498525073746312E-3</v>
      </c>
      <c r="S13" s="8">
        <f t="shared" si="5"/>
        <v>3.2448377581120944E-2</v>
      </c>
      <c r="T13" s="8"/>
      <c r="U13" s="8"/>
      <c r="V13" s="8"/>
    </row>
    <row r="14" spans="1:24" x14ac:dyDescent="0.25">
      <c r="A14" t="s">
        <v>8677</v>
      </c>
      <c r="C14" t="s">
        <v>8678</v>
      </c>
      <c r="D14" t="s">
        <v>309</v>
      </c>
      <c r="E14" t="s">
        <v>6</v>
      </c>
      <c r="F14" t="s">
        <v>251</v>
      </c>
      <c r="G14">
        <v>1347</v>
      </c>
      <c r="H14" s="2">
        <f>Tabelle13[[#This Row],[commits]]/Tabelle13[[#Totals],[commits]]</f>
        <v>6.2605737232519663E-3</v>
      </c>
      <c r="I14" s="5">
        <f>Tabelle13[[#This Row],[%]]+I13</f>
        <v>0.30892933499414371</v>
      </c>
      <c r="J14" s="4">
        <f t="shared" si="0"/>
        <v>1.105583195135434E-4</v>
      </c>
      <c r="K14" s="5">
        <f t="shared" si="6"/>
        <v>1.3266998341625207E-3</v>
      </c>
      <c r="M14">
        <v>12</v>
      </c>
      <c r="N14" t="s">
        <v>36</v>
      </c>
      <c r="O14">
        <f t="shared" si="3"/>
        <v>239</v>
      </c>
      <c r="P14" s="7">
        <f t="shared" si="1"/>
        <v>1.544206962499677E-3</v>
      </c>
      <c r="Q14" s="5">
        <f t="shared" si="4"/>
        <v>0.97676582327552786</v>
      </c>
      <c r="R14" s="4">
        <f t="shared" si="2"/>
        <v>2.9498525073746312E-3</v>
      </c>
      <c r="S14" s="8">
        <f t="shared" si="5"/>
        <v>3.5398230088495575E-2</v>
      </c>
      <c r="T14" s="8"/>
      <c r="U14" s="8"/>
      <c r="V14" s="8"/>
    </row>
    <row r="15" spans="1:24" x14ac:dyDescent="0.25">
      <c r="A15" t="s">
        <v>8679</v>
      </c>
      <c r="C15" t="s">
        <v>8680</v>
      </c>
      <c r="D15" t="s">
        <v>251</v>
      </c>
      <c r="E15" t="s">
        <v>6</v>
      </c>
      <c r="F15" t="s">
        <v>251</v>
      </c>
      <c r="G15">
        <v>1340</v>
      </c>
      <c r="H15" s="2">
        <f>Tabelle13[[#This Row],[commits]]/Tabelle13[[#Totals],[commits]]</f>
        <v>6.2280391901689937E-3</v>
      </c>
      <c r="I15" s="5">
        <f>Tabelle13[[#This Row],[%]]+I14</f>
        <v>0.31515737418431272</v>
      </c>
      <c r="J15" s="4">
        <f t="shared" si="0"/>
        <v>1.105583195135434E-4</v>
      </c>
      <c r="K15" s="5">
        <f t="shared" si="6"/>
        <v>1.4372581536760641E-3</v>
      </c>
      <c r="M15">
        <v>13</v>
      </c>
      <c r="N15" t="s">
        <v>7531</v>
      </c>
      <c r="O15">
        <f t="shared" si="3"/>
        <v>232</v>
      </c>
      <c r="P15" s="7">
        <f t="shared" si="1"/>
        <v>1.4989791435143307E-3</v>
      </c>
      <c r="Q15" s="5">
        <f t="shared" si="4"/>
        <v>0.97826480241904223</v>
      </c>
      <c r="R15" s="4">
        <f t="shared" si="2"/>
        <v>2.9498525073746312E-3</v>
      </c>
      <c r="S15" s="8">
        <f t="shared" si="5"/>
        <v>3.8348082595870206E-2</v>
      </c>
      <c r="T15" s="8"/>
      <c r="U15" s="8"/>
      <c r="V15" s="8"/>
    </row>
    <row r="16" spans="1:24" x14ac:dyDescent="0.25">
      <c r="A16" t="s">
        <v>5176</v>
      </c>
      <c r="C16" t="s">
        <v>5177</v>
      </c>
      <c r="D16" t="s">
        <v>5175</v>
      </c>
      <c r="E16" t="s">
        <v>6</v>
      </c>
      <c r="F16" t="s">
        <v>28</v>
      </c>
      <c r="G16">
        <v>1267</v>
      </c>
      <c r="H16" s="2">
        <f>Tabelle13[[#This Row],[commits]]/Tabelle13[[#Totals],[commits]]</f>
        <v>5.8887504880179966E-3</v>
      </c>
      <c r="I16" s="5">
        <f>Tabelle13[[#This Row],[%]]+I15</f>
        <v>0.32104612467233073</v>
      </c>
      <c r="J16" s="4">
        <f t="shared" si="0"/>
        <v>1.105583195135434E-4</v>
      </c>
      <c r="K16" s="5">
        <f t="shared" si="6"/>
        <v>1.5478164731896075E-3</v>
      </c>
      <c r="M16">
        <v>14</v>
      </c>
      <c r="N16" t="s">
        <v>2288</v>
      </c>
      <c r="O16">
        <f t="shared" si="3"/>
        <v>175</v>
      </c>
      <c r="P16" s="7">
        <f t="shared" si="1"/>
        <v>1.1306954746336546E-3</v>
      </c>
      <c r="Q16" s="5">
        <f t="shared" si="4"/>
        <v>0.97939549789367586</v>
      </c>
      <c r="R16" s="4">
        <f t="shared" si="2"/>
        <v>2.9498525073746312E-3</v>
      </c>
      <c r="S16" s="8">
        <f t="shared" si="5"/>
        <v>4.1297935103244837E-2</v>
      </c>
      <c r="T16" s="8"/>
      <c r="U16" s="8"/>
      <c r="V16" s="8"/>
    </row>
    <row r="17" spans="1:30" x14ac:dyDescent="0.25">
      <c r="A17" t="s">
        <v>8681</v>
      </c>
      <c r="C17" t="s">
        <v>8682</v>
      </c>
      <c r="D17" t="s">
        <v>309</v>
      </c>
      <c r="E17" t="s">
        <v>6</v>
      </c>
      <c r="F17" t="s">
        <v>251</v>
      </c>
      <c r="G17">
        <v>1252</v>
      </c>
      <c r="H17" s="2">
        <f>Tabelle13[[#This Row],[commits]]/Tabelle13[[#Totals],[commits]]</f>
        <v>5.8190336314116273E-3</v>
      </c>
      <c r="I17" s="5">
        <f>Tabelle13[[#This Row],[%]]+I16</f>
        <v>0.32686515830374235</v>
      </c>
      <c r="J17" s="4">
        <f t="shared" si="0"/>
        <v>1.105583195135434E-4</v>
      </c>
      <c r="K17" s="5">
        <f t="shared" si="6"/>
        <v>1.658374792703151E-3</v>
      </c>
      <c r="M17">
        <v>15</v>
      </c>
      <c r="N17" t="s">
        <v>9340</v>
      </c>
      <c r="O17">
        <f t="shared" si="3"/>
        <v>159</v>
      </c>
      <c r="P17" s="7">
        <f t="shared" si="1"/>
        <v>1.0273176026671491E-3</v>
      </c>
      <c r="Q17" s="5">
        <f t="shared" si="4"/>
        <v>0.98042281549634303</v>
      </c>
      <c r="R17" s="4">
        <f t="shared" si="2"/>
        <v>2.9498525073746312E-3</v>
      </c>
      <c r="S17" s="8">
        <f t="shared" si="5"/>
        <v>4.4247787610619468E-2</v>
      </c>
      <c r="T17" s="8"/>
      <c r="U17" s="8"/>
      <c r="V17" s="8"/>
    </row>
    <row r="18" spans="1:30" x14ac:dyDescent="0.25">
      <c r="A18" t="s">
        <v>8683</v>
      </c>
      <c r="C18" t="s">
        <v>8684</v>
      </c>
      <c r="D18" t="s">
        <v>309</v>
      </c>
      <c r="E18" t="s">
        <v>6</v>
      </c>
      <c r="F18" t="s">
        <v>251</v>
      </c>
      <c r="G18">
        <v>1142</v>
      </c>
      <c r="H18" s="2">
        <f>Tabelle13[[#This Row],[commits]]/Tabelle13[[#Totals],[commits]]</f>
        <v>5.3077766829649183E-3</v>
      </c>
      <c r="I18" s="5">
        <f>Tabelle13[[#This Row],[%]]+I17</f>
        <v>0.33217293498670725</v>
      </c>
      <c r="J18" s="4">
        <f t="shared" si="0"/>
        <v>1.105583195135434E-4</v>
      </c>
      <c r="K18" s="5">
        <f t="shared" si="6"/>
        <v>1.7689331122166944E-3</v>
      </c>
      <c r="M18">
        <v>16</v>
      </c>
      <c r="N18" t="s">
        <v>9453</v>
      </c>
      <c r="O18">
        <f t="shared" si="3"/>
        <v>153</v>
      </c>
      <c r="P18" s="7">
        <f t="shared" si="1"/>
        <v>9.8855090067970957E-4</v>
      </c>
      <c r="Q18" s="5">
        <f t="shared" si="4"/>
        <v>0.98141136639702276</v>
      </c>
      <c r="R18" s="4">
        <f t="shared" si="2"/>
        <v>2.9498525073746312E-3</v>
      </c>
      <c r="S18" s="8">
        <f t="shared" si="5"/>
        <v>4.71976401179941E-2</v>
      </c>
      <c r="T18" s="8"/>
      <c r="U18" s="8"/>
      <c r="V18" s="8"/>
    </row>
    <row r="19" spans="1:30" x14ac:dyDescent="0.25">
      <c r="A19" t="s">
        <v>8685</v>
      </c>
      <c r="C19" t="s">
        <v>8686</v>
      </c>
      <c r="D19" t="s">
        <v>309</v>
      </c>
      <c r="E19" t="s">
        <v>6</v>
      </c>
      <c r="F19" t="s">
        <v>251</v>
      </c>
      <c r="G19">
        <v>1127</v>
      </c>
      <c r="H19" s="2">
        <f>Tabelle13[[#This Row],[commits]]/Tabelle13[[#Totals],[commits]]</f>
        <v>5.2380598263585491E-3</v>
      </c>
      <c r="I19" s="5">
        <f>Tabelle13[[#This Row],[%]]+I18</f>
        <v>0.3374109948130658</v>
      </c>
      <c r="J19" s="4">
        <f t="shared" si="0"/>
        <v>1.105583195135434E-4</v>
      </c>
      <c r="K19" s="5">
        <f t="shared" si="6"/>
        <v>1.8794914317302378E-3</v>
      </c>
      <c r="M19">
        <v>17</v>
      </c>
      <c r="N19" t="s">
        <v>9636</v>
      </c>
      <c r="O19">
        <f t="shared" si="3"/>
        <v>150</v>
      </c>
      <c r="P19" s="7">
        <f t="shared" si="1"/>
        <v>9.691675496859897E-4</v>
      </c>
      <c r="Q19" s="5">
        <f t="shared" si="4"/>
        <v>0.98238053394670877</v>
      </c>
      <c r="R19" s="4">
        <f t="shared" si="2"/>
        <v>2.9498525073746312E-3</v>
      </c>
      <c r="S19" s="8">
        <f t="shared" si="5"/>
        <v>5.0147492625368731E-2</v>
      </c>
      <c r="T19" s="8"/>
      <c r="U19" s="8"/>
      <c r="V19" s="8"/>
    </row>
    <row r="20" spans="1:30" x14ac:dyDescent="0.25">
      <c r="A20" t="s">
        <v>2221</v>
      </c>
      <c r="C20" t="s">
        <v>2222</v>
      </c>
      <c r="D20" t="s">
        <v>5</v>
      </c>
      <c r="E20" t="s">
        <v>6</v>
      </c>
      <c r="F20" t="s">
        <v>724</v>
      </c>
      <c r="G20">
        <v>1122</v>
      </c>
      <c r="H20" s="2">
        <f>Tabelle13[[#This Row],[commits]]/Tabelle13[[#Totals],[commits]]</f>
        <v>5.2148208741564263E-3</v>
      </c>
      <c r="I20" s="5">
        <f>Tabelle13[[#This Row],[%]]+I19</f>
        <v>0.34262581568722222</v>
      </c>
      <c r="J20" s="4">
        <f t="shared" si="0"/>
        <v>1.105583195135434E-4</v>
      </c>
      <c r="K20" s="5">
        <f t="shared" si="6"/>
        <v>1.990049751243781E-3</v>
      </c>
      <c r="M20">
        <v>18</v>
      </c>
      <c r="N20" t="s">
        <v>9085</v>
      </c>
      <c r="O20">
        <f t="shared" si="3"/>
        <v>140</v>
      </c>
      <c r="P20" s="7">
        <f t="shared" si="1"/>
        <v>9.0455637970692372E-4</v>
      </c>
      <c r="Q20" s="5">
        <f t="shared" si="4"/>
        <v>0.98328509032641565</v>
      </c>
      <c r="R20" s="4">
        <f t="shared" si="2"/>
        <v>2.9498525073746312E-3</v>
      </c>
      <c r="S20" s="8">
        <f t="shared" si="5"/>
        <v>5.3097345132743362E-2</v>
      </c>
      <c r="T20" s="8"/>
      <c r="U20" s="8"/>
      <c r="V20" s="8"/>
    </row>
    <row r="21" spans="1:30" x14ac:dyDescent="0.25">
      <c r="A21" t="s">
        <v>8687</v>
      </c>
      <c r="C21" t="s">
        <v>8688</v>
      </c>
      <c r="D21" t="s">
        <v>309</v>
      </c>
      <c r="E21" t="s">
        <v>6</v>
      </c>
      <c r="F21" t="s">
        <v>251</v>
      </c>
      <c r="G21">
        <v>1102</v>
      </c>
      <c r="H21" s="2">
        <f>Tabelle13[[#This Row],[commits]]/Tabelle13[[#Totals],[commits]]</f>
        <v>5.1218650653479334E-3</v>
      </c>
      <c r="I21" s="5">
        <f>Tabelle13[[#This Row],[%]]+I20</f>
        <v>0.34774768075257018</v>
      </c>
      <c r="J21" s="4">
        <f t="shared" si="0"/>
        <v>1.105583195135434E-4</v>
      </c>
      <c r="K21" s="5">
        <f t="shared" si="6"/>
        <v>2.1006080707573244E-3</v>
      </c>
      <c r="M21">
        <v>19</v>
      </c>
      <c r="N21" t="s">
        <v>9219</v>
      </c>
      <c r="O21">
        <f t="shared" si="3"/>
        <v>105</v>
      </c>
      <c r="P21" s="7">
        <f t="shared" si="1"/>
        <v>6.7841728478019276E-4</v>
      </c>
      <c r="Q21" s="5">
        <f t="shared" si="4"/>
        <v>0.98396350761119589</v>
      </c>
      <c r="R21" s="4">
        <f t="shared" si="2"/>
        <v>2.9498525073746312E-3</v>
      </c>
      <c r="S21" s="8">
        <f t="shared" si="5"/>
        <v>5.6047197640117993E-2</v>
      </c>
      <c r="T21" s="8"/>
      <c r="U21" s="8"/>
      <c r="V21" s="8"/>
    </row>
    <row r="22" spans="1:30" x14ac:dyDescent="0.25">
      <c r="A22" t="s">
        <v>8689</v>
      </c>
      <c r="C22" t="s">
        <v>8690</v>
      </c>
      <c r="D22" t="s">
        <v>309</v>
      </c>
      <c r="E22" t="s">
        <v>6</v>
      </c>
      <c r="F22" t="s">
        <v>251</v>
      </c>
      <c r="G22">
        <v>1099</v>
      </c>
      <c r="H22" s="2">
        <f>Tabelle13[[#This Row],[commits]]/Tabelle13[[#Totals],[commits]]</f>
        <v>5.1079216940266596E-3</v>
      </c>
      <c r="I22" s="5">
        <f>Tabelle13[[#This Row],[%]]+I21</f>
        <v>0.35285560244659686</v>
      </c>
      <c r="J22" s="4">
        <f t="shared" si="0"/>
        <v>1.105583195135434E-4</v>
      </c>
      <c r="K22" s="5">
        <f t="shared" si="6"/>
        <v>2.2111663902708678E-3</v>
      </c>
      <c r="M22">
        <v>20</v>
      </c>
      <c r="N22" t="s">
        <v>9282</v>
      </c>
      <c r="O22">
        <f t="shared" si="3"/>
        <v>101</v>
      </c>
      <c r="P22" s="7">
        <f t="shared" si="1"/>
        <v>6.5257281678856639E-4</v>
      </c>
      <c r="Q22" s="5">
        <f t="shared" si="4"/>
        <v>0.98461608042798443</v>
      </c>
      <c r="R22" s="4">
        <f t="shared" si="2"/>
        <v>2.9498525073746312E-3</v>
      </c>
      <c r="S22" s="8">
        <f t="shared" si="5"/>
        <v>5.8997050147492625E-2</v>
      </c>
      <c r="T22" s="8"/>
      <c r="U22" s="8"/>
      <c r="V22" s="8"/>
    </row>
    <row r="23" spans="1:30" x14ac:dyDescent="0.25">
      <c r="A23" t="s">
        <v>2223</v>
      </c>
      <c r="C23" t="s">
        <v>2224</v>
      </c>
      <c r="D23" t="s">
        <v>309</v>
      </c>
      <c r="E23" t="s">
        <v>6</v>
      </c>
      <c r="F23" t="s">
        <v>724</v>
      </c>
      <c r="G23">
        <v>1067</v>
      </c>
      <c r="H23" s="2">
        <f>Tabelle13[[#This Row],[commits]]/Tabelle13[[#Totals],[commits]]</f>
        <v>4.9591923999330722E-3</v>
      </c>
      <c r="I23" s="5">
        <f>Tabelle13[[#This Row],[%]]+I22</f>
        <v>0.35781479484652995</v>
      </c>
      <c r="J23" s="4">
        <f t="shared" si="0"/>
        <v>1.105583195135434E-4</v>
      </c>
      <c r="K23" s="5">
        <f t="shared" si="6"/>
        <v>2.3217247097844112E-3</v>
      </c>
      <c r="M23">
        <v>21</v>
      </c>
      <c r="N23" t="s">
        <v>9379</v>
      </c>
      <c r="O23">
        <f t="shared" si="3"/>
        <v>97</v>
      </c>
      <c r="P23" s="7">
        <f t="shared" si="1"/>
        <v>6.2672834879694001E-4</v>
      </c>
      <c r="Q23" s="5">
        <f t="shared" si="4"/>
        <v>0.98524280877678139</v>
      </c>
      <c r="R23" s="4">
        <f t="shared" si="2"/>
        <v>2.9498525073746312E-3</v>
      </c>
      <c r="S23" s="8">
        <f t="shared" si="5"/>
        <v>6.1946902654867256E-2</v>
      </c>
      <c r="T23" s="8"/>
      <c r="U23" s="8"/>
      <c r="V23" s="8"/>
    </row>
    <row r="24" spans="1:30" x14ac:dyDescent="0.25">
      <c r="A24" t="s">
        <v>2225</v>
      </c>
      <c r="C24" t="s">
        <v>2226</v>
      </c>
      <c r="D24" t="s">
        <v>309</v>
      </c>
      <c r="E24" t="s">
        <v>6</v>
      </c>
      <c r="F24" t="s">
        <v>724</v>
      </c>
      <c r="G24">
        <v>993</v>
      </c>
      <c r="H24" s="2">
        <f>Tabelle13[[#This Row],[commits]]/Tabelle13[[#Totals],[commits]]</f>
        <v>4.6152559073416501E-3</v>
      </c>
      <c r="I24" s="5">
        <f>Tabelle13[[#This Row],[%]]+I23</f>
        <v>0.36243005075387158</v>
      </c>
      <c r="J24" s="4">
        <f t="shared" si="0"/>
        <v>1.105583195135434E-4</v>
      </c>
      <c r="K24" s="5">
        <f t="shared" si="6"/>
        <v>2.4322830292979546E-3</v>
      </c>
      <c r="M24">
        <v>22</v>
      </c>
      <c r="N24" t="s">
        <v>5209</v>
      </c>
      <c r="O24">
        <f t="shared" si="3"/>
        <v>94</v>
      </c>
      <c r="P24" s="7">
        <f t="shared" si="1"/>
        <v>6.0734499780322026E-4</v>
      </c>
      <c r="Q24" s="5">
        <f t="shared" si="4"/>
        <v>0.98585015377458463</v>
      </c>
      <c r="R24" s="4">
        <f t="shared" si="2"/>
        <v>2.9498525073746312E-3</v>
      </c>
      <c r="S24" s="8">
        <f t="shared" si="5"/>
        <v>6.4896755162241887E-2</v>
      </c>
      <c r="T24" s="8"/>
      <c r="U24" s="8"/>
      <c r="V24" s="8"/>
    </row>
    <row r="25" spans="1:30" x14ac:dyDescent="0.25">
      <c r="A25" t="s">
        <v>8691</v>
      </c>
      <c r="C25" t="s">
        <v>8692</v>
      </c>
      <c r="D25" t="s">
        <v>309</v>
      </c>
      <c r="E25" t="s">
        <v>6</v>
      </c>
      <c r="F25" t="s">
        <v>251</v>
      </c>
      <c r="G25">
        <v>985</v>
      </c>
      <c r="H25" s="2">
        <f>Tabelle13[[#This Row],[commits]]/Tabelle13[[#Totals],[commits]]</f>
        <v>4.5780735838182526E-3</v>
      </c>
      <c r="I25" s="5">
        <f>Tabelle13[[#This Row],[%]]+I24</f>
        <v>0.36700812433768981</v>
      </c>
      <c r="J25" s="4">
        <f t="shared" si="0"/>
        <v>1.105583195135434E-4</v>
      </c>
      <c r="K25" s="5">
        <f t="shared" si="6"/>
        <v>2.542841348811498E-3</v>
      </c>
      <c r="M25">
        <v>23</v>
      </c>
      <c r="N25" t="s">
        <v>9633</v>
      </c>
      <c r="O25">
        <f t="shared" si="3"/>
        <v>82</v>
      </c>
      <c r="P25" s="7">
        <f t="shared" si="1"/>
        <v>5.2981159382834103E-4</v>
      </c>
      <c r="Q25" s="5">
        <f t="shared" si="4"/>
        <v>0.98637996536841299</v>
      </c>
      <c r="R25" s="4">
        <f t="shared" si="2"/>
        <v>2.9498525073746312E-3</v>
      </c>
      <c r="S25" s="8">
        <f t="shared" si="5"/>
        <v>6.7846607669616518E-2</v>
      </c>
      <c r="T25" s="8"/>
      <c r="U25" s="8"/>
      <c r="V25" s="8"/>
    </row>
    <row r="26" spans="1:30" x14ac:dyDescent="0.25">
      <c r="A26" t="s">
        <v>5178</v>
      </c>
      <c r="C26" t="s">
        <v>187</v>
      </c>
      <c r="D26" t="s">
        <v>5</v>
      </c>
      <c r="E26" t="s">
        <v>6</v>
      </c>
      <c r="F26" t="s">
        <v>28</v>
      </c>
      <c r="G26">
        <v>911</v>
      </c>
      <c r="H26" s="2">
        <f>Tabelle13[[#This Row],[commits]]/Tabelle13[[#Totals],[commits]]</f>
        <v>4.2341370912268306E-3</v>
      </c>
      <c r="I26" s="5">
        <f>Tabelle13[[#This Row],[%]]+I25</f>
        <v>0.37124226142891664</v>
      </c>
      <c r="J26" s="4">
        <f t="shared" si="0"/>
        <v>1.105583195135434E-4</v>
      </c>
      <c r="K26" s="5">
        <f t="shared" si="6"/>
        <v>2.6533996683250414E-3</v>
      </c>
      <c r="M26">
        <v>24</v>
      </c>
      <c r="N26" t="s">
        <v>9362</v>
      </c>
      <c r="O26">
        <f t="shared" si="3"/>
        <v>66</v>
      </c>
      <c r="P26" s="7">
        <f t="shared" si="1"/>
        <v>4.2643372186183549E-4</v>
      </c>
      <c r="Q26" s="5">
        <f t="shared" si="4"/>
        <v>0.98680639909027479</v>
      </c>
      <c r="R26" s="4">
        <f t="shared" si="2"/>
        <v>2.9498525073746312E-3</v>
      </c>
      <c r="S26" s="8">
        <f t="shared" si="5"/>
        <v>7.0796460176991149E-2</v>
      </c>
      <c r="T26" s="8"/>
      <c r="U26" s="8"/>
      <c r="V26" s="8"/>
    </row>
    <row r="27" spans="1:30" x14ac:dyDescent="0.25">
      <c r="A27" t="s">
        <v>8693</v>
      </c>
      <c r="C27" t="s">
        <v>8694</v>
      </c>
      <c r="D27" t="s">
        <v>309</v>
      </c>
      <c r="E27" t="s">
        <v>6</v>
      </c>
      <c r="F27" t="s">
        <v>251</v>
      </c>
      <c r="G27">
        <v>908</v>
      </c>
      <c r="H27" s="2">
        <f>Tabelle13[[#This Row],[commits]]/Tabelle13[[#Totals],[commits]]</f>
        <v>4.2201937199055567E-3</v>
      </c>
      <c r="I27" s="5">
        <f>Tabelle13[[#This Row],[%]]+I26</f>
        <v>0.37546245514882221</v>
      </c>
      <c r="J27" s="4">
        <f t="shared" si="0"/>
        <v>1.105583195135434E-4</v>
      </c>
      <c r="K27" s="5">
        <f t="shared" si="6"/>
        <v>2.7639579878385848E-3</v>
      </c>
      <c r="M27">
        <v>25</v>
      </c>
      <c r="N27" t="s">
        <v>10109</v>
      </c>
      <c r="O27">
        <f t="shared" si="3"/>
        <v>61</v>
      </c>
      <c r="P27" s="7">
        <f t="shared" si="1"/>
        <v>3.9412813687230249E-4</v>
      </c>
      <c r="Q27" s="5">
        <f t="shared" si="4"/>
        <v>0.98720052722714713</v>
      </c>
      <c r="R27" s="4">
        <f t="shared" si="2"/>
        <v>2.9498525073746312E-3</v>
      </c>
      <c r="S27" s="8">
        <f t="shared" si="5"/>
        <v>7.3746312684365781E-2</v>
      </c>
      <c r="T27" s="8"/>
      <c r="U27" s="8"/>
      <c r="V27" s="8"/>
    </row>
    <row r="28" spans="1:30" x14ac:dyDescent="0.25">
      <c r="A28" t="s">
        <v>8695</v>
      </c>
      <c r="C28" t="s">
        <v>8696</v>
      </c>
      <c r="D28" t="s">
        <v>309</v>
      </c>
      <c r="E28" t="s">
        <v>6</v>
      </c>
      <c r="F28" t="s">
        <v>251</v>
      </c>
      <c r="G28">
        <v>889</v>
      </c>
      <c r="H28" s="2">
        <f>Tabelle13[[#This Row],[commits]]/Tabelle13[[#Totals],[commits]]</f>
        <v>4.1318857015374888E-3</v>
      </c>
      <c r="I28" s="5">
        <f>Tabelle13[[#This Row],[%]]+I27</f>
        <v>0.3795943408503597</v>
      </c>
      <c r="J28" s="4">
        <f t="shared" si="0"/>
        <v>1.105583195135434E-4</v>
      </c>
      <c r="K28" s="5">
        <f t="shared" si="6"/>
        <v>2.8745163073521283E-3</v>
      </c>
      <c r="M28">
        <v>26</v>
      </c>
      <c r="N28" t="s">
        <v>9406</v>
      </c>
      <c r="O28">
        <f t="shared" si="3"/>
        <v>59</v>
      </c>
      <c r="P28" s="7">
        <f t="shared" si="1"/>
        <v>3.812059028764893E-4</v>
      </c>
      <c r="Q28" s="5">
        <f t="shared" si="4"/>
        <v>0.98758173313002362</v>
      </c>
      <c r="R28" s="4">
        <f t="shared" si="2"/>
        <v>2.9498525073746312E-3</v>
      </c>
      <c r="S28" s="8">
        <f t="shared" si="5"/>
        <v>7.6696165191740412E-2</v>
      </c>
      <c r="T28" s="8"/>
      <c r="U28" s="8"/>
      <c r="V28" s="8"/>
      <c r="AD28" s="9"/>
    </row>
    <row r="29" spans="1:30" x14ac:dyDescent="0.25">
      <c r="A29" t="s">
        <v>8697</v>
      </c>
      <c r="C29" t="s">
        <v>8698</v>
      </c>
      <c r="D29" t="s">
        <v>309</v>
      </c>
      <c r="E29" t="s">
        <v>6</v>
      </c>
      <c r="F29" t="s">
        <v>251</v>
      </c>
      <c r="G29">
        <v>887</v>
      </c>
      <c r="H29" s="2">
        <f>Tabelle13[[#This Row],[commits]]/Tabelle13[[#Totals],[commits]]</f>
        <v>4.1225901206566398E-3</v>
      </c>
      <c r="I29" s="5">
        <f>Tabelle13[[#This Row],[%]]+I28</f>
        <v>0.38371693097101633</v>
      </c>
      <c r="J29" s="4">
        <f t="shared" si="0"/>
        <v>1.105583195135434E-4</v>
      </c>
      <c r="K29" s="5">
        <f t="shared" si="6"/>
        <v>2.9850746268656717E-3</v>
      </c>
      <c r="M29">
        <v>27</v>
      </c>
      <c r="N29" t="s">
        <v>4461</v>
      </c>
      <c r="O29">
        <f t="shared" si="3"/>
        <v>57</v>
      </c>
      <c r="P29" s="7">
        <f t="shared" si="1"/>
        <v>3.6828366888067612E-4</v>
      </c>
      <c r="Q29" s="5">
        <f t="shared" si="4"/>
        <v>0.98795001679890426</v>
      </c>
      <c r="R29" s="4">
        <f t="shared" si="2"/>
        <v>2.9498525073746312E-3</v>
      </c>
      <c r="S29" s="8">
        <f t="shared" si="5"/>
        <v>7.9646017699115043E-2</v>
      </c>
      <c r="T29" s="8"/>
      <c r="U29" s="8"/>
      <c r="V29" s="8"/>
    </row>
    <row r="30" spans="1:30" x14ac:dyDescent="0.25">
      <c r="A30" t="s">
        <v>8699</v>
      </c>
      <c r="C30" t="s">
        <v>8700</v>
      </c>
      <c r="D30" t="s">
        <v>309</v>
      </c>
      <c r="E30" t="s">
        <v>6</v>
      </c>
      <c r="F30" t="s">
        <v>251</v>
      </c>
      <c r="G30">
        <v>887</v>
      </c>
      <c r="H30" s="2">
        <f>Tabelle13[[#This Row],[commits]]/Tabelle13[[#Totals],[commits]]</f>
        <v>4.1225901206566398E-3</v>
      </c>
      <c r="I30" s="5">
        <f>Tabelle13[[#This Row],[%]]+I29</f>
        <v>0.38783952109167297</v>
      </c>
      <c r="J30" s="4">
        <f t="shared" si="0"/>
        <v>1.105583195135434E-4</v>
      </c>
      <c r="K30" s="5">
        <f t="shared" si="6"/>
        <v>3.0956329463792151E-3</v>
      </c>
      <c r="M30">
        <v>28</v>
      </c>
      <c r="N30" t="s">
        <v>9529</v>
      </c>
      <c r="O30">
        <f t="shared" si="3"/>
        <v>45</v>
      </c>
      <c r="P30" s="7">
        <f t="shared" si="1"/>
        <v>2.9075026490579689E-4</v>
      </c>
      <c r="Q30" s="5">
        <f t="shared" si="4"/>
        <v>0.98824076706381003</v>
      </c>
      <c r="R30" s="4">
        <f t="shared" si="2"/>
        <v>2.9498525073746312E-3</v>
      </c>
      <c r="S30" s="8">
        <f t="shared" si="5"/>
        <v>8.2595870206489674E-2</v>
      </c>
      <c r="T30" s="8"/>
      <c r="U30" s="8"/>
      <c r="V30" s="8"/>
    </row>
    <row r="31" spans="1:30" x14ac:dyDescent="0.25">
      <c r="A31" t="s">
        <v>8701</v>
      </c>
      <c r="C31" t="s">
        <v>8702</v>
      </c>
      <c r="D31" t="s">
        <v>309</v>
      </c>
      <c r="E31" t="s">
        <v>6</v>
      </c>
      <c r="F31" t="s">
        <v>251</v>
      </c>
      <c r="G31">
        <v>881</v>
      </c>
      <c r="H31" s="2">
        <f>Tabelle13[[#This Row],[commits]]/Tabelle13[[#Totals],[commits]]</f>
        <v>4.0947033780140921E-3</v>
      </c>
      <c r="I31" s="5">
        <f>Tabelle13[[#This Row],[%]]+I30</f>
        <v>0.39193422446968706</v>
      </c>
      <c r="J31" s="4">
        <f t="shared" si="0"/>
        <v>1.105583195135434E-4</v>
      </c>
      <c r="K31" s="5">
        <f t="shared" si="6"/>
        <v>3.2061912658927585E-3</v>
      </c>
      <c r="M31">
        <v>29</v>
      </c>
      <c r="N31" t="s">
        <v>9997</v>
      </c>
      <c r="O31">
        <f t="shared" si="3"/>
        <v>43</v>
      </c>
      <c r="P31" s="7">
        <f t="shared" si="1"/>
        <v>2.778280309099837E-4</v>
      </c>
      <c r="Q31" s="5">
        <f t="shared" si="4"/>
        <v>0.98851859509472007</v>
      </c>
      <c r="R31" s="4">
        <f t="shared" si="2"/>
        <v>2.9498525073746312E-3</v>
      </c>
      <c r="S31" s="8">
        <f t="shared" si="5"/>
        <v>8.5545722713864306E-2</v>
      </c>
      <c r="T31" s="8"/>
      <c r="U31" s="8"/>
      <c r="V31" s="8"/>
    </row>
    <row r="32" spans="1:30" x14ac:dyDescent="0.25">
      <c r="A32" t="s">
        <v>8703</v>
      </c>
      <c r="C32" t="s">
        <v>8704</v>
      </c>
      <c r="D32" t="s">
        <v>309</v>
      </c>
      <c r="E32" t="s">
        <v>6</v>
      </c>
      <c r="F32" t="s">
        <v>251</v>
      </c>
      <c r="G32">
        <v>881</v>
      </c>
      <c r="H32" s="2">
        <f>Tabelle13[[#This Row],[commits]]/Tabelle13[[#Totals],[commits]]</f>
        <v>4.0947033780140921E-3</v>
      </c>
      <c r="I32" s="5">
        <f>Tabelle13[[#This Row],[%]]+I31</f>
        <v>0.39602892784770116</v>
      </c>
      <c r="J32" s="4">
        <f t="shared" si="0"/>
        <v>1.105583195135434E-4</v>
      </c>
      <c r="K32" s="5">
        <f t="shared" si="6"/>
        <v>3.3167495854063019E-3</v>
      </c>
      <c r="M32">
        <v>30</v>
      </c>
      <c r="N32" t="s">
        <v>2659</v>
      </c>
      <c r="O32">
        <f t="shared" si="3"/>
        <v>43</v>
      </c>
      <c r="P32" s="7">
        <f t="shared" si="1"/>
        <v>2.778280309099837E-4</v>
      </c>
      <c r="Q32" s="5">
        <f t="shared" si="4"/>
        <v>0.9887964231256301</v>
      </c>
      <c r="R32" s="4">
        <f t="shared" si="2"/>
        <v>2.9498525073746312E-3</v>
      </c>
      <c r="S32" s="8">
        <f t="shared" si="5"/>
        <v>8.8495575221238937E-2</v>
      </c>
      <c r="T32" s="8"/>
      <c r="U32" s="8"/>
      <c r="V32" s="8"/>
    </row>
    <row r="33" spans="1:23" x14ac:dyDescent="0.25">
      <c r="A33" t="s">
        <v>8705</v>
      </c>
      <c r="C33" t="s">
        <v>8706</v>
      </c>
      <c r="D33" t="s">
        <v>309</v>
      </c>
      <c r="E33" t="s">
        <v>6</v>
      </c>
      <c r="F33" t="s">
        <v>251</v>
      </c>
      <c r="G33">
        <v>753</v>
      </c>
      <c r="H33" s="2">
        <f>Tabelle13[[#This Row],[commits]]/Tabelle13[[#Totals],[commits]]</f>
        <v>3.4997862016397405E-3</v>
      </c>
      <c r="I33" s="5">
        <f>Tabelle13[[#This Row],[%]]+I32</f>
        <v>0.39952871404934093</v>
      </c>
      <c r="J33" s="4">
        <f t="shared" si="0"/>
        <v>1.105583195135434E-4</v>
      </c>
      <c r="K33" s="5">
        <f t="shared" si="6"/>
        <v>3.4273079049198453E-3</v>
      </c>
      <c r="M33">
        <v>31</v>
      </c>
      <c r="N33" t="s">
        <v>9571</v>
      </c>
      <c r="O33">
        <f t="shared" si="3"/>
        <v>42</v>
      </c>
      <c r="P33" s="7">
        <f t="shared" si="1"/>
        <v>2.7136691391207714E-4</v>
      </c>
      <c r="Q33" s="5">
        <f t="shared" si="4"/>
        <v>0.98906779003954215</v>
      </c>
      <c r="R33" s="4">
        <f t="shared" si="2"/>
        <v>2.9498525073746312E-3</v>
      </c>
      <c r="S33" s="8">
        <f t="shared" si="5"/>
        <v>9.1445427728613568E-2</v>
      </c>
      <c r="T33" s="8"/>
      <c r="U33" s="8"/>
      <c r="V33" s="8"/>
    </row>
    <row r="34" spans="1:23" x14ac:dyDescent="0.25">
      <c r="A34" t="s">
        <v>8707</v>
      </c>
      <c r="C34" t="s">
        <v>8708</v>
      </c>
      <c r="D34" t="s">
        <v>309</v>
      </c>
      <c r="E34" t="s">
        <v>6</v>
      </c>
      <c r="F34" t="s">
        <v>251</v>
      </c>
      <c r="G34">
        <v>742</v>
      </c>
      <c r="H34" s="2">
        <f>Tabelle13[[#This Row],[commits]]/Tabelle13[[#Totals],[commits]]</f>
        <v>3.4486605067950695E-3</v>
      </c>
      <c r="I34" s="5">
        <f>Tabelle13[[#This Row],[%]]+I33</f>
        <v>0.40297737455613597</v>
      </c>
      <c r="J34" s="4">
        <f t="shared" si="0"/>
        <v>1.105583195135434E-4</v>
      </c>
      <c r="K34" s="5">
        <f t="shared" si="6"/>
        <v>3.5378662244333887E-3</v>
      </c>
      <c r="M34">
        <v>32</v>
      </c>
      <c r="N34" t="s">
        <v>10461</v>
      </c>
      <c r="O34">
        <f t="shared" si="3"/>
        <v>41</v>
      </c>
      <c r="P34" s="7">
        <f t="shared" si="1"/>
        <v>2.6490579691417052E-4</v>
      </c>
      <c r="Q34" s="5">
        <f t="shared" si="4"/>
        <v>0.98933269583645633</v>
      </c>
      <c r="R34" s="4">
        <f t="shared" si="2"/>
        <v>2.9498525073746312E-3</v>
      </c>
      <c r="S34" s="8">
        <f t="shared" si="5"/>
        <v>9.4395280235988199E-2</v>
      </c>
      <c r="T34" s="8"/>
      <c r="U34" s="8"/>
      <c r="V34" s="8"/>
      <c r="W34" s="9"/>
    </row>
    <row r="35" spans="1:23" x14ac:dyDescent="0.25">
      <c r="A35" t="s">
        <v>10</v>
      </c>
      <c r="C35" t="s">
        <v>11</v>
      </c>
      <c r="D35" t="s">
        <v>5</v>
      </c>
      <c r="E35" t="s">
        <v>6</v>
      </c>
      <c r="F35" t="s">
        <v>7</v>
      </c>
      <c r="G35">
        <v>734</v>
      </c>
      <c r="H35" s="2">
        <f>Tabelle13[[#This Row],[commits]]/Tabelle13[[#Totals],[commits]]</f>
        <v>3.4114781832716725E-3</v>
      </c>
      <c r="I35" s="5">
        <f>Tabelle13[[#This Row],[%]]+I34</f>
        <v>0.40638885273940767</v>
      </c>
      <c r="J35" s="4">
        <f t="shared" si="0"/>
        <v>1.105583195135434E-4</v>
      </c>
      <c r="K35" s="5">
        <f t="shared" si="6"/>
        <v>3.6484245439469321E-3</v>
      </c>
      <c r="M35">
        <v>33</v>
      </c>
      <c r="N35" t="s">
        <v>9606</v>
      </c>
      <c r="O35">
        <f t="shared" si="3"/>
        <v>40</v>
      </c>
      <c r="P35" s="7">
        <f t="shared" ref="P35:P66" si="7">O35/$O$343</f>
        <v>2.5844467991626395E-4</v>
      </c>
      <c r="Q35" s="5">
        <f t="shared" si="4"/>
        <v>0.98959114051637265</v>
      </c>
      <c r="R35" s="4">
        <f t="shared" si="2"/>
        <v>2.9498525073746312E-3</v>
      </c>
      <c r="S35" s="8">
        <f t="shared" si="5"/>
        <v>9.7345132743362831E-2</v>
      </c>
      <c r="T35" s="8"/>
      <c r="U35" s="8"/>
      <c r="V35" s="8"/>
    </row>
    <row r="36" spans="1:23" x14ac:dyDescent="0.25">
      <c r="A36" t="s">
        <v>2227</v>
      </c>
      <c r="C36" t="s">
        <v>26</v>
      </c>
      <c r="D36" t="s">
        <v>5</v>
      </c>
      <c r="E36" t="s">
        <v>6</v>
      </c>
      <c r="F36" t="s">
        <v>724</v>
      </c>
      <c r="G36">
        <v>708</v>
      </c>
      <c r="H36" s="2">
        <f>Tabelle13[[#This Row],[commits]]/Tabelle13[[#Totals],[commits]]</f>
        <v>3.2906356318206324E-3</v>
      </c>
      <c r="I36" s="5">
        <f>Tabelle13[[#This Row],[%]]+I35</f>
        <v>0.40967948837122831</v>
      </c>
      <c r="J36" s="4">
        <f t="shared" si="0"/>
        <v>1.105583195135434E-4</v>
      </c>
      <c r="K36" s="5">
        <f t="shared" si="6"/>
        <v>3.7589828634604756E-3</v>
      </c>
      <c r="M36">
        <v>34</v>
      </c>
      <c r="N36" t="s">
        <v>9929</v>
      </c>
      <c r="O36">
        <f t="shared" si="3"/>
        <v>40</v>
      </c>
      <c r="P36" s="7">
        <f t="shared" si="7"/>
        <v>2.5844467991626395E-4</v>
      </c>
      <c r="Q36" s="5">
        <f t="shared" si="4"/>
        <v>0.98984958519628896</v>
      </c>
      <c r="R36" s="4">
        <f t="shared" si="2"/>
        <v>2.9498525073746312E-3</v>
      </c>
      <c r="S36" s="8">
        <f t="shared" si="5"/>
        <v>0.10029498525073746</v>
      </c>
      <c r="T36" s="8"/>
      <c r="U36" s="8"/>
      <c r="V36" s="8"/>
    </row>
    <row r="37" spans="1:23" x14ac:dyDescent="0.25">
      <c r="A37" t="s">
        <v>8709</v>
      </c>
      <c r="C37" t="s">
        <v>8710</v>
      </c>
      <c r="D37" t="s">
        <v>309</v>
      </c>
      <c r="E37" t="s">
        <v>6</v>
      </c>
      <c r="F37" t="s">
        <v>251</v>
      </c>
      <c r="G37">
        <v>708</v>
      </c>
      <c r="H37" s="2">
        <f>Tabelle13[[#This Row],[commits]]/Tabelle13[[#Totals],[commits]]</f>
        <v>3.2906356318206324E-3</v>
      </c>
      <c r="I37" s="5">
        <f>Tabelle13[[#This Row],[%]]+I36</f>
        <v>0.41297012400304894</v>
      </c>
      <c r="J37" s="4">
        <f t="shared" si="0"/>
        <v>1.105583195135434E-4</v>
      </c>
      <c r="K37" s="5">
        <f t="shared" si="6"/>
        <v>3.869541182974019E-3</v>
      </c>
      <c r="M37">
        <v>35</v>
      </c>
      <c r="N37" t="s">
        <v>71</v>
      </c>
      <c r="O37">
        <f t="shared" si="3"/>
        <v>37</v>
      </c>
      <c r="P37" s="7">
        <f t="shared" si="7"/>
        <v>2.3906132892254412E-4</v>
      </c>
      <c r="Q37" s="5">
        <f t="shared" si="4"/>
        <v>0.99008864652521156</v>
      </c>
      <c r="R37" s="4">
        <f t="shared" si="2"/>
        <v>2.9498525073746312E-3</v>
      </c>
      <c r="S37" s="8">
        <f t="shared" si="5"/>
        <v>0.10324483775811209</v>
      </c>
      <c r="T37" s="8"/>
      <c r="U37" s="8"/>
      <c r="V37" s="8"/>
    </row>
    <row r="38" spans="1:23" x14ac:dyDescent="0.25">
      <c r="A38" t="s">
        <v>8711</v>
      </c>
      <c r="C38" t="s">
        <v>8712</v>
      </c>
      <c r="D38" t="s">
        <v>309</v>
      </c>
      <c r="E38" t="s">
        <v>6</v>
      </c>
      <c r="F38" t="s">
        <v>251</v>
      </c>
      <c r="G38">
        <v>699</v>
      </c>
      <c r="H38" s="2">
        <f>Tabelle13[[#This Row],[commits]]/Tabelle13[[#Totals],[commits]]</f>
        <v>3.2488055178568108E-3</v>
      </c>
      <c r="I38" s="5">
        <f>Tabelle13[[#This Row],[%]]+I37</f>
        <v>0.41621892952090578</v>
      </c>
      <c r="J38" s="4">
        <f t="shared" si="0"/>
        <v>1.105583195135434E-4</v>
      </c>
      <c r="K38" s="5">
        <f t="shared" si="6"/>
        <v>3.9800995024875619E-3</v>
      </c>
      <c r="M38">
        <v>36</v>
      </c>
      <c r="N38" t="s">
        <v>9813</v>
      </c>
      <c r="O38">
        <f t="shared" si="3"/>
        <v>34</v>
      </c>
      <c r="P38" s="7">
        <f t="shared" si="7"/>
        <v>2.1967797792882434E-4</v>
      </c>
      <c r="Q38" s="5">
        <f t="shared" si="4"/>
        <v>0.99030832450314044</v>
      </c>
      <c r="R38" s="4">
        <f t="shared" si="2"/>
        <v>2.9498525073746312E-3</v>
      </c>
      <c r="S38" s="8">
        <f t="shared" si="5"/>
        <v>0.10619469026548672</v>
      </c>
      <c r="T38" s="8"/>
      <c r="U38" s="8"/>
      <c r="V38" s="8"/>
    </row>
    <row r="39" spans="1:23" x14ac:dyDescent="0.25">
      <c r="A39" t="s">
        <v>2228</v>
      </c>
      <c r="C39" t="s">
        <v>2229</v>
      </c>
      <c r="D39" t="s">
        <v>5</v>
      </c>
      <c r="E39" t="s">
        <v>6</v>
      </c>
      <c r="F39" t="s">
        <v>724</v>
      </c>
      <c r="G39">
        <v>696</v>
      </c>
      <c r="H39" s="2">
        <f>Tabelle13[[#This Row],[commits]]/Tabelle13[[#Totals],[commits]]</f>
        <v>3.234862146535537E-3</v>
      </c>
      <c r="I39" s="5">
        <f>Tabelle13[[#This Row],[%]]+I38</f>
        <v>0.41945379166744129</v>
      </c>
      <c r="J39" s="4">
        <f t="shared" si="0"/>
        <v>1.105583195135434E-4</v>
      </c>
      <c r="K39" s="5">
        <f t="shared" si="6"/>
        <v>4.0906578220011054E-3</v>
      </c>
      <c r="M39">
        <v>37</v>
      </c>
      <c r="N39" t="s">
        <v>8325</v>
      </c>
      <c r="O39">
        <f t="shared" si="3"/>
        <v>33</v>
      </c>
      <c r="P39" s="7">
        <f t="shared" si="7"/>
        <v>2.1321686093091774E-4</v>
      </c>
      <c r="Q39" s="5">
        <f t="shared" si="4"/>
        <v>0.99052154136407133</v>
      </c>
      <c r="R39" s="4">
        <f t="shared" si="2"/>
        <v>2.9498525073746312E-3</v>
      </c>
      <c r="S39" s="8">
        <f t="shared" si="5"/>
        <v>0.10914454277286136</v>
      </c>
      <c r="T39" s="8"/>
      <c r="U39" s="8"/>
      <c r="V39" s="8"/>
    </row>
    <row r="40" spans="1:23" x14ac:dyDescent="0.25">
      <c r="A40" t="s">
        <v>12</v>
      </c>
      <c r="C40" t="s">
        <v>13</v>
      </c>
      <c r="D40" t="s">
        <v>5</v>
      </c>
      <c r="E40" t="s">
        <v>6</v>
      </c>
      <c r="F40" t="s">
        <v>7</v>
      </c>
      <c r="G40">
        <v>681</v>
      </c>
      <c r="H40" s="2">
        <f>Tabelle13[[#This Row],[commits]]/Tabelle13[[#Totals],[commits]]</f>
        <v>3.1651452899291678E-3</v>
      </c>
      <c r="I40" s="5">
        <f>Tabelle13[[#This Row],[%]]+I39</f>
        <v>0.42261893695737046</v>
      </c>
      <c r="J40" s="4">
        <f t="shared" si="0"/>
        <v>1.105583195135434E-4</v>
      </c>
      <c r="K40" s="5">
        <f t="shared" si="6"/>
        <v>4.2012161415146488E-3</v>
      </c>
      <c r="M40">
        <v>38</v>
      </c>
      <c r="N40" t="s">
        <v>9752</v>
      </c>
      <c r="O40">
        <f t="shared" si="3"/>
        <v>31</v>
      </c>
      <c r="P40" s="7">
        <f t="shared" si="7"/>
        <v>2.0029462693510453E-4</v>
      </c>
      <c r="Q40" s="5">
        <f t="shared" si="4"/>
        <v>0.99072183599100638</v>
      </c>
      <c r="R40" s="4">
        <f t="shared" si="2"/>
        <v>2.9498525073746312E-3</v>
      </c>
      <c r="S40" s="8">
        <f t="shared" si="5"/>
        <v>0.11209439528023599</v>
      </c>
      <c r="T40" s="8"/>
      <c r="U40" s="8"/>
      <c r="V40" s="8"/>
    </row>
    <row r="41" spans="1:23" x14ac:dyDescent="0.25">
      <c r="A41" t="s">
        <v>2230</v>
      </c>
      <c r="C41" t="s">
        <v>2231</v>
      </c>
      <c r="D41" t="s">
        <v>5</v>
      </c>
      <c r="E41" t="s">
        <v>6</v>
      </c>
      <c r="F41" t="s">
        <v>724</v>
      </c>
      <c r="G41">
        <v>670</v>
      </c>
      <c r="H41" s="2">
        <f>Tabelle13[[#This Row],[commits]]/Tabelle13[[#Totals],[commits]]</f>
        <v>3.1140195950844969E-3</v>
      </c>
      <c r="I41" s="5">
        <f>Tabelle13[[#This Row],[%]]+I40</f>
        <v>0.42573295655245497</v>
      </c>
      <c r="J41" s="4">
        <f t="shared" si="0"/>
        <v>1.105583195135434E-4</v>
      </c>
      <c r="K41" s="5">
        <f t="shared" si="6"/>
        <v>4.3117744610281922E-3</v>
      </c>
      <c r="M41">
        <v>39</v>
      </c>
      <c r="N41" t="s">
        <v>10094</v>
      </c>
      <c r="O41">
        <f t="shared" si="3"/>
        <v>31</v>
      </c>
      <c r="P41" s="7">
        <f t="shared" si="7"/>
        <v>2.0029462693510453E-4</v>
      </c>
      <c r="Q41" s="5">
        <f t="shared" si="4"/>
        <v>0.99092213061794143</v>
      </c>
      <c r="R41" s="4">
        <f t="shared" si="2"/>
        <v>2.9498525073746312E-3</v>
      </c>
      <c r="S41" s="8">
        <f t="shared" si="5"/>
        <v>0.11504424778761062</v>
      </c>
      <c r="T41" s="8"/>
      <c r="U41" s="8"/>
      <c r="V41" s="8"/>
    </row>
    <row r="42" spans="1:23" x14ac:dyDescent="0.25">
      <c r="A42" t="s">
        <v>8713</v>
      </c>
      <c r="C42" t="s">
        <v>8714</v>
      </c>
      <c r="D42" t="s">
        <v>309</v>
      </c>
      <c r="E42" t="s">
        <v>6</v>
      </c>
      <c r="F42" t="s">
        <v>251</v>
      </c>
      <c r="G42">
        <v>668</v>
      </c>
      <c r="H42" s="2">
        <f>Tabelle13[[#This Row],[commits]]/Tabelle13[[#Totals],[commits]]</f>
        <v>3.1047240142036475E-3</v>
      </c>
      <c r="I42" s="5">
        <f>Tabelle13[[#This Row],[%]]+I41</f>
        <v>0.42883768056665861</v>
      </c>
      <c r="J42" s="4">
        <f t="shared" si="0"/>
        <v>1.105583195135434E-4</v>
      </c>
      <c r="K42" s="5">
        <f t="shared" si="6"/>
        <v>4.4223327805417356E-3</v>
      </c>
      <c r="M42">
        <v>40</v>
      </c>
      <c r="N42" t="s">
        <v>9773</v>
      </c>
      <c r="O42">
        <f t="shared" si="3"/>
        <v>30</v>
      </c>
      <c r="P42" s="7">
        <f t="shared" si="7"/>
        <v>1.9383350993719794E-4</v>
      </c>
      <c r="Q42" s="5">
        <f t="shared" si="4"/>
        <v>0.99111596412787861</v>
      </c>
      <c r="R42" s="4">
        <f t="shared" si="2"/>
        <v>2.9498525073746312E-3</v>
      </c>
      <c r="S42" s="8">
        <f t="shared" si="5"/>
        <v>0.11799410029498525</v>
      </c>
      <c r="T42" s="8"/>
      <c r="U42" s="8"/>
      <c r="V42" s="8"/>
    </row>
    <row r="43" spans="1:23" x14ac:dyDescent="0.25">
      <c r="A43" t="s">
        <v>5179</v>
      </c>
      <c r="C43" t="s">
        <v>5180</v>
      </c>
      <c r="D43" t="s">
        <v>5175</v>
      </c>
      <c r="E43" t="s">
        <v>6</v>
      </c>
      <c r="F43" t="s">
        <v>28</v>
      </c>
      <c r="G43">
        <v>657</v>
      </c>
      <c r="H43" s="2">
        <f>Tabelle13[[#This Row],[commits]]/Tabelle13[[#Totals],[commits]]</f>
        <v>3.0535983193589766E-3</v>
      </c>
      <c r="I43" s="5">
        <f>Tabelle13[[#This Row],[%]]+I42</f>
        <v>0.43189127888601758</v>
      </c>
      <c r="J43" s="4">
        <f t="shared" si="0"/>
        <v>1.105583195135434E-4</v>
      </c>
      <c r="K43" s="5">
        <f t="shared" si="6"/>
        <v>4.532891100055279E-3</v>
      </c>
      <c r="M43">
        <v>41</v>
      </c>
      <c r="N43" t="s">
        <v>9909</v>
      </c>
      <c r="O43">
        <f t="shared" si="3"/>
        <v>28</v>
      </c>
      <c r="P43" s="7">
        <f t="shared" si="7"/>
        <v>1.8091127594138475E-4</v>
      </c>
      <c r="Q43" s="5">
        <f t="shared" si="4"/>
        <v>0.99129687540381994</v>
      </c>
      <c r="R43" s="4">
        <f t="shared" si="2"/>
        <v>2.9498525073746312E-3</v>
      </c>
      <c r="S43" s="8">
        <f t="shared" si="5"/>
        <v>0.12094395280235988</v>
      </c>
      <c r="T43" s="8"/>
      <c r="U43" s="8"/>
      <c r="V43" s="8"/>
    </row>
    <row r="44" spans="1:23" x14ac:dyDescent="0.25">
      <c r="A44" t="s">
        <v>8715</v>
      </c>
      <c r="C44" t="s">
        <v>8716</v>
      </c>
      <c r="D44" t="s">
        <v>309</v>
      </c>
      <c r="E44" t="s">
        <v>6</v>
      </c>
      <c r="F44" t="s">
        <v>251</v>
      </c>
      <c r="G44">
        <v>655</v>
      </c>
      <c r="H44" s="2">
        <f>Tabelle13[[#This Row],[commits]]/Tabelle13[[#Totals],[commits]]</f>
        <v>3.0443027384781276E-3</v>
      </c>
      <c r="I44" s="5">
        <f>Tabelle13[[#This Row],[%]]+I43</f>
        <v>0.43493558162449569</v>
      </c>
      <c r="J44" s="4">
        <f t="shared" si="0"/>
        <v>1.105583195135434E-4</v>
      </c>
      <c r="K44" s="5">
        <f t="shared" si="6"/>
        <v>4.6434494195688224E-3</v>
      </c>
      <c r="M44">
        <v>42</v>
      </c>
      <c r="N44" t="s">
        <v>9831</v>
      </c>
      <c r="O44">
        <f t="shared" si="3"/>
        <v>27</v>
      </c>
      <c r="P44" s="7">
        <f t="shared" si="7"/>
        <v>1.7445015894347816E-4</v>
      </c>
      <c r="Q44" s="5">
        <f t="shared" si="4"/>
        <v>0.99147132556276341</v>
      </c>
      <c r="R44" s="4">
        <f t="shared" si="2"/>
        <v>2.9498525073746312E-3</v>
      </c>
      <c r="S44" s="8">
        <f t="shared" si="5"/>
        <v>0.12389380530973451</v>
      </c>
      <c r="T44" s="8"/>
      <c r="U44" s="8"/>
      <c r="V44" s="8"/>
    </row>
    <row r="45" spans="1:23" x14ac:dyDescent="0.25">
      <c r="A45" t="s">
        <v>8717</v>
      </c>
      <c r="C45" t="s">
        <v>8718</v>
      </c>
      <c r="D45" t="s">
        <v>309</v>
      </c>
      <c r="E45" t="s">
        <v>6</v>
      </c>
      <c r="F45" t="s">
        <v>251</v>
      </c>
      <c r="G45">
        <v>655</v>
      </c>
      <c r="H45" s="2">
        <f>Tabelle13[[#This Row],[commits]]/Tabelle13[[#Totals],[commits]]</f>
        <v>3.0443027384781276E-3</v>
      </c>
      <c r="I45" s="5">
        <f>Tabelle13[[#This Row],[%]]+I44</f>
        <v>0.4379798843629738</v>
      </c>
      <c r="J45" s="4">
        <f t="shared" si="0"/>
        <v>1.105583195135434E-4</v>
      </c>
      <c r="K45" s="5">
        <f t="shared" si="6"/>
        <v>4.7540077390823658E-3</v>
      </c>
      <c r="M45">
        <v>43</v>
      </c>
      <c r="N45" t="s">
        <v>532</v>
      </c>
      <c r="O45">
        <f t="shared" si="3"/>
        <v>27</v>
      </c>
      <c r="P45" s="7">
        <f t="shared" si="7"/>
        <v>1.7445015894347816E-4</v>
      </c>
      <c r="Q45" s="5">
        <f t="shared" si="4"/>
        <v>0.99164577572170687</v>
      </c>
      <c r="R45" s="4">
        <f t="shared" si="2"/>
        <v>2.9498525073746312E-3</v>
      </c>
      <c r="S45" s="8">
        <f t="shared" si="5"/>
        <v>0.12684365781710916</v>
      </c>
      <c r="T45" s="8"/>
      <c r="U45" s="8"/>
      <c r="V45" s="8"/>
    </row>
    <row r="46" spans="1:23" x14ac:dyDescent="0.25">
      <c r="A46" t="s">
        <v>8719</v>
      </c>
      <c r="C46" t="s">
        <v>8720</v>
      </c>
      <c r="D46" t="s">
        <v>309</v>
      </c>
      <c r="E46" t="s">
        <v>6</v>
      </c>
      <c r="F46" t="s">
        <v>251</v>
      </c>
      <c r="G46">
        <v>640</v>
      </c>
      <c r="H46" s="2">
        <f>Tabelle13[[#This Row],[commits]]/Tabelle13[[#Totals],[commits]]</f>
        <v>2.974585881871758E-3</v>
      </c>
      <c r="I46" s="5">
        <f>Tabelle13[[#This Row],[%]]+I45</f>
        <v>0.44095447024484558</v>
      </c>
      <c r="J46" s="4">
        <f t="shared" si="0"/>
        <v>1.105583195135434E-4</v>
      </c>
      <c r="K46" s="5">
        <f t="shared" si="6"/>
        <v>4.8645660585959092E-3</v>
      </c>
      <c r="M46">
        <v>44</v>
      </c>
      <c r="N46" t="s">
        <v>10087</v>
      </c>
      <c r="O46">
        <f t="shared" si="3"/>
        <v>26</v>
      </c>
      <c r="P46" s="7">
        <f t="shared" si="7"/>
        <v>1.6798904194557156E-4</v>
      </c>
      <c r="Q46" s="5">
        <f t="shared" si="4"/>
        <v>0.99181376476365246</v>
      </c>
      <c r="R46" s="4">
        <f t="shared" si="2"/>
        <v>2.9498525073746312E-3</v>
      </c>
      <c r="S46" s="8">
        <f t="shared" si="5"/>
        <v>0.12979351032448377</v>
      </c>
      <c r="T46" s="8"/>
      <c r="U46" s="8"/>
      <c r="V46" s="8"/>
    </row>
    <row r="47" spans="1:23" x14ac:dyDescent="0.25">
      <c r="A47" t="s">
        <v>8721</v>
      </c>
      <c r="C47" t="s">
        <v>8722</v>
      </c>
      <c r="D47" t="s">
        <v>309</v>
      </c>
      <c r="E47" t="s">
        <v>6</v>
      </c>
      <c r="F47" t="s">
        <v>251</v>
      </c>
      <c r="G47">
        <v>623</v>
      </c>
      <c r="H47" s="2">
        <f>Tabelle13[[#This Row],[commits]]/Tabelle13[[#Totals],[commits]]</f>
        <v>2.8955734443845394E-3</v>
      </c>
      <c r="I47" s="5">
        <f>Tabelle13[[#This Row],[%]]+I46</f>
        <v>0.44385004368923009</v>
      </c>
      <c r="J47" s="4">
        <f t="shared" si="0"/>
        <v>1.105583195135434E-4</v>
      </c>
      <c r="K47" s="5">
        <f t="shared" si="6"/>
        <v>4.9751243781094526E-3</v>
      </c>
      <c r="M47">
        <v>45</v>
      </c>
      <c r="N47" t="s">
        <v>2555</v>
      </c>
      <c r="O47">
        <f t="shared" si="3"/>
        <v>26</v>
      </c>
      <c r="P47" s="7">
        <f t="shared" si="7"/>
        <v>1.6798904194557156E-4</v>
      </c>
      <c r="Q47" s="5">
        <f t="shared" si="4"/>
        <v>0.99198175380559805</v>
      </c>
      <c r="R47" s="4">
        <f t="shared" si="2"/>
        <v>2.9498525073746312E-3</v>
      </c>
      <c r="S47" s="8">
        <f t="shared" si="5"/>
        <v>0.13274336283185839</v>
      </c>
      <c r="T47" s="8"/>
      <c r="U47" s="8"/>
      <c r="V47" s="8"/>
    </row>
    <row r="48" spans="1:23" x14ac:dyDescent="0.25">
      <c r="A48" t="s">
        <v>8723</v>
      </c>
      <c r="C48" t="s">
        <v>8724</v>
      </c>
      <c r="D48" t="s">
        <v>309</v>
      </c>
      <c r="E48" t="s">
        <v>6</v>
      </c>
      <c r="F48" t="s">
        <v>251</v>
      </c>
      <c r="G48">
        <v>617</v>
      </c>
      <c r="H48" s="2">
        <f>Tabelle13[[#This Row],[commits]]/Tabelle13[[#Totals],[commits]]</f>
        <v>2.8676867017419917E-3</v>
      </c>
      <c r="I48" s="5">
        <f>Tabelle13[[#This Row],[%]]+I47</f>
        <v>0.44671773039097207</v>
      </c>
      <c r="J48" s="4">
        <f t="shared" si="0"/>
        <v>1.105583195135434E-4</v>
      </c>
      <c r="K48" s="5">
        <f t="shared" si="6"/>
        <v>5.0856826976229961E-3</v>
      </c>
      <c r="M48">
        <v>46</v>
      </c>
      <c r="N48" t="s">
        <v>9902</v>
      </c>
      <c r="O48">
        <f t="shared" si="3"/>
        <v>24</v>
      </c>
      <c r="P48" s="7">
        <f t="shared" si="7"/>
        <v>1.5506680794975835E-4</v>
      </c>
      <c r="Q48" s="5">
        <f t="shared" si="4"/>
        <v>0.9921368206135478</v>
      </c>
      <c r="R48" s="4">
        <f t="shared" si="2"/>
        <v>2.9498525073746312E-3</v>
      </c>
      <c r="S48" s="8">
        <f t="shared" si="5"/>
        <v>0.13569321533923301</v>
      </c>
      <c r="T48" s="8"/>
      <c r="U48" s="8"/>
      <c r="V48" s="8"/>
    </row>
    <row r="49" spans="1:22" x14ac:dyDescent="0.25">
      <c r="A49" t="s">
        <v>2232</v>
      </c>
      <c r="C49" t="s">
        <v>221</v>
      </c>
      <c r="D49" t="s">
        <v>5</v>
      </c>
      <c r="E49" t="s">
        <v>6</v>
      </c>
      <c r="F49" t="s">
        <v>724</v>
      </c>
      <c r="G49">
        <v>616</v>
      </c>
      <c r="H49" s="2">
        <f>Tabelle13[[#This Row],[commits]]/Tabelle13[[#Totals],[commits]]</f>
        <v>2.8630389113015672E-3</v>
      </c>
      <c r="I49" s="5">
        <f>Tabelle13[[#This Row],[%]]+I48</f>
        <v>0.44958076930227364</v>
      </c>
      <c r="J49" s="4">
        <f t="shared" si="0"/>
        <v>1.105583195135434E-4</v>
      </c>
      <c r="K49" s="5">
        <f t="shared" si="6"/>
        <v>5.1962410171365395E-3</v>
      </c>
      <c r="M49">
        <v>47</v>
      </c>
      <c r="N49" t="s">
        <v>2560</v>
      </c>
      <c r="O49">
        <f t="shared" si="3"/>
        <v>24</v>
      </c>
      <c r="P49" s="7">
        <f t="shared" si="7"/>
        <v>1.5506680794975835E-4</v>
      </c>
      <c r="Q49" s="5">
        <f t="shared" si="4"/>
        <v>0.99229188742149754</v>
      </c>
      <c r="R49" s="4">
        <f t="shared" si="2"/>
        <v>2.9498525073746312E-3</v>
      </c>
      <c r="S49" s="8">
        <f t="shared" si="5"/>
        <v>0.13864306784660763</v>
      </c>
      <c r="T49" s="8"/>
      <c r="U49" s="8"/>
      <c r="V49" s="8"/>
    </row>
    <row r="50" spans="1:22" x14ac:dyDescent="0.25">
      <c r="A50" t="s">
        <v>5181</v>
      </c>
      <c r="C50" t="s">
        <v>5067</v>
      </c>
      <c r="D50" t="s">
        <v>5</v>
      </c>
      <c r="E50" t="s">
        <v>6</v>
      </c>
      <c r="F50" t="s">
        <v>28</v>
      </c>
      <c r="G50">
        <v>606</v>
      </c>
      <c r="H50" s="2">
        <f>Tabelle13[[#This Row],[commits]]/Tabelle13[[#Totals],[commits]]</f>
        <v>2.8165610068973208E-3</v>
      </c>
      <c r="I50" s="5">
        <f>Tabelle13[[#This Row],[%]]+I49</f>
        <v>0.45239733030917095</v>
      </c>
      <c r="J50" s="4">
        <f t="shared" si="0"/>
        <v>1.105583195135434E-4</v>
      </c>
      <c r="K50" s="5">
        <f t="shared" si="6"/>
        <v>5.3067993366500829E-3</v>
      </c>
      <c r="M50">
        <v>48</v>
      </c>
      <c r="N50" t="s">
        <v>10870</v>
      </c>
      <c r="O50">
        <f t="shared" si="3"/>
        <v>24</v>
      </c>
      <c r="P50" s="7">
        <f t="shared" si="7"/>
        <v>1.5506680794975835E-4</v>
      </c>
      <c r="Q50" s="5">
        <f t="shared" si="4"/>
        <v>0.99244695422944729</v>
      </c>
      <c r="R50" s="4">
        <f t="shared" si="2"/>
        <v>2.9498525073746312E-3</v>
      </c>
      <c r="S50" s="8">
        <f t="shared" si="5"/>
        <v>0.14159292035398224</v>
      </c>
      <c r="T50" s="8"/>
      <c r="U50" s="8"/>
      <c r="V50" s="8"/>
    </row>
    <row r="51" spans="1:22" x14ac:dyDescent="0.25">
      <c r="A51" t="s">
        <v>8725</v>
      </c>
      <c r="C51" t="s">
        <v>8726</v>
      </c>
      <c r="D51" t="s">
        <v>309</v>
      </c>
      <c r="E51" t="s">
        <v>6</v>
      </c>
      <c r="F51" t="s">
        <v>251</v>
      </c>
      <c r="G51">
        <v>583</v>
      </c>
      <c r="H51" s="2">
        <f>Tabelle13[[#This Row],[commits]]/Tabelle13[[#Totals],[commits]]</f>
        <v>2.7096618267675545E-3</v>
      </c>
      <c r="I51" s="5">
        <f>Tabelle13[[#This Row],[%]]+I50</f>
        <v>0.45510699213593853</v>
      </c>
      <c r="J51" s="4">
        <f t="shared" si="0"/>
        <v>1.105583195135434E-4</v>
      </c>
      <c r="K51" s="5">
        <f t="shared" si="6"/>
        <v>5.4173576561636263E-3</v>
      </c>
      <c r="M51">
        <v>49</v>
      </c>
      <c r="N51" t="s">
        <v>17144</v>
      </c>
      <c r="O51">
        <f t="shared" si="3"/>
        <v>23</v>
      </c>
      <c r="P51" s="7">
        <f t="shared" si="7"/>
        <v>1.4860569095185176E-4</v>
      </c>
      <c r="Q51" s="5">
        <f t="shared" si="4"/>
        <v>0.99259555992039916</v>
      </c>
      <c r="R51" s="4">
        <f t="shared" si="2"/>
        <v>2.9498525073746312E-3</v>
      </c>
      <c r="S51" s="8">
        <f t="shared" si="5"/>
        <v>0.14454277286135686</v>
      </c>
      <c r="T51" s="8"/>
      <c r="U51" s="8"/>
      <c r="V51" s="8"/>
    </row>
    <row r="52" spans="1:22" x14ac:dyDescent="0.25">
      <c r="A52" t="s">
        <v>8727</v>
      </c>
      <c r="C52" t="s">
        <v>8728</v>
      </c>
      <c r="D52" t="s">
        <v>309</v>
      </c>
      <c r="E52" t="s">
        <v>6</v>
      </c>
      <c r="F52" t="s">
        <v>251</v>
      </c>
      <c r="G52">
        <v>560</v>
      </c>
      <c r="H52" s="2">
        <f>Tabelle13[[#This Row],[commits]]/Tabelle13[[#Totals],[commits]]</f>
        <v>2.6027626466377882E-3</v>
      </c>
      <c r="I52" s="5">
        <f>Tabelle13[[#This Row],[%]]+I51</f>
        <v>0.45770975478257631</v>
      </c>
      <c r="J52" s="4">
        <f t="shared" si="0"/>
        <v>1.105583195135434E-4</v>
      </c>
      <c r="K52" s="5">
        <f t="shared" si="6"/>
        <v>5.5279159756771697E-3</v>
      </c>
      <c r="M52">
        <v>50</v>
      </c>
      <c r="N52" t="s">
        <v>9974</v>
      </c>
      <c r="O52">
        <f t="shared" si="3"/>
        <v>22</v>
      </c>
      <c r="P52" s="7">
        <f t="shared" si="7"/>
        <v>1.4214457395394516E-4</v>
      </c>
      <c r="Q52" s="5">
        <f t="shared" si="4"/>
        <v>0.99273770449435306</v>
      </c>
      <c r="R52" s="4">
        <f t="shared" si="2"/>
        <v>2.9498525073746312E-3</v>
      </c>
      <c r="S52" s="8">
        <f t="shared" si="5"/>
        <v>0.14749262536873148</v>
      </c>
      <c r="T52" s="8"/>
      <c r="U52" s="8"/>
      <c r="V52" s="8"/>
    </row>
    <row r="53" spans="1:22" x14ac:dyDescent="0.25">
      <c r="A53" t="s">
        <v>8729</v>
      </c>
      <c r="C53" t="s">
        <v>8730</v>
      </c>
      <c r="D53" t="s">
        <v>309</v>
      </c>
      <c r="E53" t="s">
        <v>6</v>
      </c>
      <c r="F53" t="s">
        <v>251</v>
      </c>
      <c r="G53">
        <v>546</v>
      </c>
      <c r="H53" s="2">
        <f>Tabelle13[[#This Row],[commits]]/Tabelle13[[#Totals],[commits]]</f>
        <v>2.5376935804718435E-3</v>
      </c>
      <c r="I53" s="5">
        <f>Tabelle13[[#This Row],[%]]+I52</f>
        <v>0.46024744836304815</v>
      </c>
      <c r="J53" s="4">
        <f t="shared" si="0"/>
        <v>1.105583195135434E-4</v>
      </c>
      <c r="K53" s="5">
        <f t="shared" si="6"/>
        <v>5.6384742951907131E-3</v>
      </c>
      <c r="M53">
        <v>51</v>
      </c>
      <c r="N53" t="s">
        <v>10047</v>
      </c>
      <c r="O53">
        <f t="shared" si="3"/>
        <v>22</v>
      </c>
      <c r="P53" s="7">
        <f t="shared" si="7"/>
        <v>1.4214457395394516E-4</v>
      </c>
      <c r="Q53" s="5">
        <f t="shared" si="4"/>
        <v>0.99287984906830695</v>
      </c>
      <c r="R53" s="4">
        <f t="shared" si="2"/>
        <v>2.9498525073746312E-3</v>
      </c>
      <c r="S53" s="8">
        <f t="shared" si="5"/>
        <v>0.1504424778761061</v>
      </c>
      <c r="T53" s="8"/>
      <c r="U53" s="8"/>
      <c r="V53" s="8"/>
    </row>
    <row r="54" spans="1:22" x14ac:dyDescent="0.25">
      <c r="A54" t="s">
        <v>8731</v>
      </c>
      <c r="C54" t="s">
        <v>8732</v>
      </c>
      <c r="D54" t="s">
        <v>309</v>
      </c>
      <c r="E54" t="s">
        <v>6</v>
      </c>
      <c r="F54" t="s">
        <v>251</v>
      </c>
      <c r="G54">
        <v>544</v>
      </c>
      <c r="H54" s="2">
        <f>Tabelle13[[#This Row],[commits]]/Tabelle13[[#Totals],[commits]]</f>
        <v>2.5283979995909945E-3</v>
      </c>
      <c r="I54" s="5">
        <f>Tabelle13[[#This Row],[%]]+I53</f>
        <v>0.46277584636263913</v>
      </c>
      <c r="J54" s="4">
        <f t="shared" si="0"/>
        <v>1.105583195135434E-4</v>
      </c>
      <c r="K54" s="5">
        <f t="shared" si="6"/>
        <v>5.7490326147042565E-3</v>
      </c>
      <c r="M54">
        <v>52</v>
      </c>
      <c r="N54" t="s">
        <v>10366</v>
      </c>
      <c r="O54">
        <f t="shared" si="3"/>
        <v>22</v>
      </c>
      <c r="P54" s="7">
        <f t="shared" si="7"/>
        <v>1.4214457395394516E-4</v>
      </c>
      <c r="Q54" s="5">
        <f t="shared" si="4"/>
        <v>0.99302199364226085</v>
      </c>
      <c r="R54" s="4">
        <f t="shared" si="2"/>
        <v>2.9498525073746312E-3</v>
      </c>
      <c r="S54" s="8">
        <f t="shared" si="5"/>
        <v>0.15339233038348071</v>
      </c>
      <c r="T54" s="8"/>
      <c r="U54" s="8"/>
      <c r="V54" s="8"/>
    </row>
    <row r="55" spans="1:22" x14ac:dyDescent="0.25">
      <c r="A55" t="s">
        <v>8733</v>
      </c>
      <c r="C55" t="s">
        <v>8734</v>
      </c>
      <c r="D55" t="s">
        <v>309</v>
      </c>
      <c r="E55" t="s">
        <v>6</v>
      </c>
      <c r="F55" t="s">
        <v>251</v>
      </c>
      <c r="G55">
        <v>536</v>
      </c>
      <c r="H55" s="2">
        <f>Tabelle13[[#This Row],[commits]]/Tabelle13[[#Totals],[commits]]</f>
        <v>2.4912156760675975E-3</v>
      </c>
      <c r="I55" s="5">
        <f>Tabelle13[[#This Row],[%]]+I54</f>
        <v>0.46526706203870671</v>
      </c>
      <c r="J55" s="4">
        <f t="shared" si="0"/>
        <v>1.105583195135434E-4</v>
      </c>
      <c r="K55" s="5">
        <f t="shared" si="6"/>
        <v>5.8595909342177999E-3</v>
      </c>
      <c r="M55">
        <v>53</v>
      </c>
      <c r="N55" t="s">
        <v>2641</v>
      </c>
      <c r="O55">
        <f t="shared" si="3"/>
        <v>20</v>
      </c>
      <c r="P55" s="7">
        <f t="shared" si="7"/>
        <v>1.2922233995813198E-4</v>
      </c>
      <c r="Q55" s="5">
        <f t="shared" si="4"/>
        <v>0.993151215982219</v>
      </c>
      <c r="R55" s="4">
        <f t="shared" si="2"/>
        <v>2.9498525073746312E-3</v>
      </c>
      <c r="S55" s="8">
        <f t="shared" si="5"/>
        <v>0.15634218289085533</v>
      </c>
      <c r="T55" s="8"/>
      <c r="U55" s="8"/>
      <c r="V55" s="8"/>
    </row>
    <row r="56" spans="1:22" x14ac:dyDescent="0.25">
      <c r="A56" t="s">
        <v>8735</v>
      </c>
      <c r="C56" t="s">
        <v>8736</v>
      </c>
      <c r="D56" t="s">
        <v>309</v>
      </c>
      <c r="E56" t="s">
        <v>6</v>
      </c>
      <c r="F56" t="s">
        <v>251</v>
      </c>
      <c r="G56">
        <v>530</v>
      </c>
      <c r="H56" s="2">
        <f>Tabelle13[[#This Row],[commits]]/Tabelle13[[#Totals],[commits]]</f>
        <v>2.4633289334250498E-3</v>
      </c>
      <c r="I56" s="5">
        <f>Tabelle13[[#This Row],[%]]+I55</f>
        <v>0.46773039097213176</v>
      </c>
      <c r="J56" s="4">
        <f t="shared" si="0"/>
        <v>1.105583195135434E-4</v>
      </c>
      <c r="K56" s="5">
        <f t="shared" si="6"/>
        <v>5.9701492537313433E-3</v>
      </c>
      <c r="M56">
        <v>54</v>
      </c>
      <c r="N56" t="s">
        <v>10071</v>
      </c>
      <c r="O56">
        <f t="shared" si="3"/>
        <v>19</v>
      </c>
      <c r="P56" s="7">
        <f t="shared" si="7"/>
        <v>1.2276122296022535E-4</v>
      </c>
      <c r="Q56" s="5">
        <f t="shared" si="4"/>
        <v>0.99327397720517918</v>
      </c>
      <c r="R56" s="4">
        <f t="shared" si="2"/>
        <v>2.9498525073746312E-3</v>
      </c>
      <c r="S56" s="8">
        <f t="shared" si="5"/>
        <v>0.15929203539822995</v>
      </c>
      <c r="T56" s="8"/>
      <c r="U56" s="8"/>
      <c r="V56" s="8"/>
    </row>
    <row r="57" spans="1:22" x14ac:dyDescent="0.25">
      <c r="A57" t="s">
        <v>8737</v>
      </c>
      <c r="C57" t="s">
        <v>8738</v>
      </c>
      <c r="D57" t="s">
        <v>309</v>
      </c>
      <c r="E57" t="s">
        <v>6</v>
      </c>
      <c r="F57" t="s">
        <v>251</v>
      </c>
      <c r="G57">
        <v>530</v>
      </c>
      <c r="H57" s="2">
        <f>Tabelle13[[#This Row],[commits]]/Tabelle13[[#Totals],[commits]]</f>
        <v>2.4633289334250498E-3</v>
      </c>
      <c r="I57" s="5">
        <f>Tabelle13[[#This Row],[%]]+I56</f>
        <v>0.47019371990555681</v>
      </c>
      <c r="J57" s="4">
        <f t="shared" si="0"/>
        <v>1.105583195135434E-4</v>
      </c>
      <c r="K57" s="5">
        <f t="shared" si="6"/>
        <v>6.0807075732448868E-3</v>
      </c>
      <c r="M57">
        <v>55</v>
      </c>
      <c r="N57" t="s">
        <v>2606</v>
      </c>
      <c r="O57">
        <f t="shared" si="3"/>
        <v>18</v>
      </c>
      <c r="P57" s="7">
        <f t="shared" si="7"/>
        <v>1.1630010596231876E-4</v>
      </c>
      <c r="Q57" s="5">
        <f t="shared" si="4"/>
        <v>0.99339027731114149</v>
      </c>
      <c r="R57" s="4">
        <f t="shared" si="2"/>
        <v>2.9498525073746312E-3</v>
      </c>
      <c r="S57" s="8">
        <f t="shared" si="5"/>
        <v>0.16224188790560456</v>
      </c>
      <c r="T57" s="8"/>
      <c r="U57" s="8"/>
      <c r="V57" s="8"/>
    </row>
    <row r="58" spans="1:22" x14ac:dyDescent="0.25">
      <c r="A58" t="s">
        <v>8739</v>
      </c>
      <c r="C58" t="s">
        <v>8740</v>
      </c>
      <c r="D58" t="s">
        <v>309</v>
      </c>
      <c r="E58" t="s">
        <v>6</v>
      </c>
      <c r="F58" t="s">
        <v>251</v>
      </c>
      <c r="G58">
        <v>518</v>
      </c>
      <c r="H58" s="2">
        <f>Tabelle13[[#This Row],[commits]]/Tabelle13[[#Totals],[commits]]</f>
        <v>2.4075554481399544E-3</v>
      </c>
      <c r="I58" s="5">
        <f>Tabelle13[[#This Row],[%]]+I57</f>
        <v>0.47260127535369678</v>
      </c>
      <c r="J58" s="4">
        <f t="shared" si="0"/>
        <v>1.105583195135434E-4</v>
      </c>
      <c r="K58" s="5">
        <f t="shared" si="6"/>
        <v>6.1912658927584302E-3</v>
      </c>
      <c r="M58">
        <v>56</v>
      </c>
      <c r="N58" t="s">
        <v>102</v>
      </c>
      <c r="O58">
        <f t="shared" si="3"/>
        <v>17</v>
      </c>
      <c r="P58" s="7">
        <f t="shared" si="7"/>
        <v>1.0983898896441217E-4</v>
      </c>
      <c r="Q58" s="5">
        <f t="shared" si="4"/>
        <v>0.99350011630010593</v>
      </c>
      <c r="R58" s="4">
        <f t="shared" si="2"/>
        <v>2.9498525073746312E-3</v>
      </c>
      <c r="S58" s="8">
        <f t="shared" si="5"/>
        <v>0.16519174041297918</v>
      </c>
      <c r="T58" s="8"/>
      <c r="U58" s="8"/>
      <c r="V58" s="8"/>
    </row>
    <row r="59" spans="1:22" x14ac:dyDescent="0.25">
      <c r="A59" t="s">
        <v>8741</v>
      </c>
      <c r="C59" t="s">
        <v>8742</v>
      </c>
      <c r="D59" t="s">
        <v>309</v>
      </c>
      <c r="E59" t="s">
        <v>6</v>
      </c>
      <c r="F59" t="s">
        <v>251</v>
      </c>
      <c r="G59">
        <v>512</v>
      </c>
      <c r="H59" s="2">
        <f>Tabelle13[[#This Row],[commits]]/Tabelle13[[#Totals],[commits]]</f>
        <v>2.3796687054974067E-3</v>
      </c>
      <c r="I59" s="5">
        <f>Tabelle13[[#This Row],[%]]+I58</f>
        <v>0.47498094405919417</v>
      </c>
      <c r="J59" s="4">
        <f t="shared" si="0"/>
        <v>1.105583195135434E-4</v>
      </c>
      <c r="K59" s="5">
        <f t="shared" si="6"/>
        <v>6.3018242122719736E-3</v>
      </c>
      <c r="M59">
        <v>57</v>
      </c>
      <c r="N59" t="s">
        <v>5281</v>
      </c>
      <c r="O59">
        <f t="shared" si="3"/>
        <v>17</v>
      </c>
      <c r="P59" s="7">
        <f t="shared" si="7"/>
        <v>1.0983898896441217E-4</v>
      </c>
      <c r="Q59" s="5">
        <f t="shared" si="4"/>
        <v>0.99360995528907037</v>
      </c>
      <c r="R59" s="4">
        <f t="shared" si="2"/>
        <v>2.9498525073746312E-3</v>
      </c>
      <c r="S59" s="8">
        <f t="shared" si="5"/>
        <v>0.1681415929203538</v>
      </c>
      <c r="T59" s="8"/>
      <c r="U59" s="8"/>
      <c r="V59" s="8"/>
    </row>
    <row r="60" spans="1:22" x14ac:dyDescent="0.25">
      <c r="A60" t="s">
        <v>8743</v>
      </c>
      <c r="C60" t="s">
        <v>8744</v>
      </c>
      <c r="D60" t="s">
        <v>309</v>
      </c>
      <c r="E60" t="s">
        <v>6</v>
      </c>
      <c r="F60" t="s">
        <v>251</v>
      </c>
      <c r="G60">
        <v>492</v>
      </c>
      <c r="H60" s="2">
        <f>Tabelle13[[#This Row],[commits]]/Tabelle13[[#Totals],[commits]]</f>
        <v>2.2867128966889143E-3</v>
      </c>
      <c r="I60" s="5">
        <f>Tabelle13[[#This Row],[%]]+I59</f>
        <v>0.47726765695588308</v>
      </c>
      <c r="J60" s="4">
        <f t="shared" si="0"/>
        <v>1.105583195135434E-4</v>
      </c>
      <c r="K60" s="5">
        <f t="shared" si="6"/>
        <v>6.412382531785517E-3</v>
      </c>
      <c r="M60">
        <v>58</v>
      </c>
      <c r="N60" t="s">
        <v>5303</v>
      </c>
      <c r="O60">
        <f t="shared" si="3"/>
        <v>17</v>
      </c>
      <c r="P60" s="7">
        <f t="shared" si="7"/>
        <v>1.0983898896441217E-4</v>
      </c>
      <c r="Q60" s="5">
        <f t="shared" si="4"/>
        <v>0.99371979427803481</v>
      </c>
      <c r="R60" s="4">
        <f t="shared" si="2"/>
        <v>2.9498525073746312E-3</v>
      </c>
      <c r="S60" s="8">
        <f t="shared" si="5"/>
        <v>0.17109144542772842</v>
      </c>
      <c r="T60" s="8"/>
      <c r="U60" s="8"/>
      <c r="V60" s="8"/>
    </row>
    <row r="61" spans="1:22" x14ac:dyDescent="0.25">
      <c r="A61" t="s">
        <v>2233</v>
      </c>
      <c r="C61" t="s">
        <v>2234</v>
      </c>
      <c r="D61" t="s">
        <v>5</v>
      </c>
      <c r="E61" t="s">
        <v>6</v>
      </c>
      <c r="F61" t="s">
        <v>724</v>
      </c>
      <c r="G61">
        <v>486</v>
      </c>
      <c r="H61" s="2">
        <f>Tabelle13[[#This Row],[commits]]/Tabelle13[[#Totals],[commits]]</f>
        <v>2.2588261540463662E-3</v>
      </c>
      <c r="I61" s="5">
        <f>Tabelle13[[#This Row],[%]]+I60</f>
        <v>0.47952648310992946</v>
      </c>
      <c r="J61" s="4">
        <f t="shared" si="0"/>
        <v>1.105583195135434E-4</v>
      </c>
      <c r="K61" s="5">
        <f t="shared" si="6"/>
        <v>6.5229408512990604E-3</v>
      </c>
      <c r="M61">
        <v>59</v>
      </c>
      <c r="N61" t="s">
        <v>10183</v>
      </c>
      <c r="O61">
        <f t="shared" si="3"/>
        <v>16</v>
      </c>
      <c r="P61" s="7">
        <f t="shared" si="7"/>
        <v>1.0337787196650557E-4</v>
      </c>
      <c r="Q61" s="5">
        <f t="shared" si="4"/>
        <v>0.99382317215000127</v>
      </c>
      <c r="R61" s="4">
        <f t="shared" si="2"/>
        <v>2.9498525073746312E-3</v>
      </c>
      <c r="S61" s="8">
        <f t="shared" si="5"/>
        <v>0.17404129793510303</v>
      </c>
      <c r="T61" s="8"/>
      <c r="U61" s="8"/>
      <c r="V61" s="8"/>
    </row>
    <row r="62" spans="1:22" x14ac:dyDescent="0.25">
      <c r="A62" t="s">
        <v>2235</v>
      </c>
      <c r="C62" t="s">
        <v>1099</v>
      </c>
      <c r="D62" t="s">
        <v>5</v>
      </c>
      <c r="E62" t="s">
        <v>6</v>
      </c>
      <c r="F62" t="s">
        <v>724</v>
      </c>
      <c r="G62">
        <v>486</v>
      </c>
      <c r="H62" s="2">
        <f>Tabelle13[[#This Row],[commits]]/Tabelle13[[#Totals],[commits]]</f>
        <v>2.2588261540463662E-3</v>
      </c>
      <c r="I62" s="5">
        <f>Tabelle13[[#This Row],[%]]+I61</f>
        <v>0.48178530926397584</v>
      </c>
      <c r="J62" s="4">
        <f t="shared" si="0"/>
        <v>1.105583195135434E-4</v>
      </c>
      <c r="K62" s="5">
        <f t="shared" si="6"/>
        <v>6.6334991708126038E-3</v>
      </c>
      <c r="M62">
        <v>60</v>
      </c>
      <c r="N62" t="s">
        <v>10196</v>
      </c>
      <c r="O62">
        <f t="shared" si="3"/>
        <v>16</v>
      </c>
      <c r="P62" s="7">
        <f t="shared" si="7"/>
        <v>1.0337787196650557E-4</v>
      </c>
      <c r="Q62" s="5">
        <f t="shared" si="4"/>
        <v>0.99392655002196773</v>
      </c>
      <c r="R62" s="4">
        <f t="shared" si="2"/>
        <v>2.9498525073746312E-3</v>
      </c>
      <c r="S62" s="8">
        <f t="shared" si="5"/>
        <v>0.17699115044247765</v>
      </c>
      <c r="T62" s="8"/>
      <c r="U62" s="8"/>
      <c r="V62" s="8"/>
    </row>
    <row r="63" spans="1:22" x14ac:dyDescent="0.25">
      <c r="A63" t="s">
        <v>8745</v>
      </c>
      <c r="C63" t="s">
        <v>8746</v>
      </c>
      <c r="D63" t="s">
        <v>309</v>
      </c>
      <c r="E63" t="s">
        <v>6</v>
      </c>
      <c r="F63" t="s">
        <v>251</v>
      </c>
      <c r="G63">
        <v>486</v>
      </c>
      <c r="H63" s="2">
        <f>Tabelle13[[#This Row],[commits]]/Tabelle13[[#Totals],[commits]]</f>
        <v>2.2588261540463662E-3</v>
      </c>
      <c r="I63" s="5">
        <f>Tabelle13[[#This Row],[%]]+I62</f>
        <v>0.48404413541802221</v>
      </c>
      <c r="J63" s="4">
        <f t="shared" si="0"/>
        <v>1.105583195135434E-4</v>
      </c>
      <c r="K63" s="5">
        <f t="shared" si="6"/>
        <v>6.7440574903261472E-3</v>
      </c>
      <c r="M63">
        <v>61</v>
      </c>
      <c r="N63" t="s">
        <v>10215</v>
      </c>
      <c r="O63">
        <f t="shared" si="3"/>
        <v>16</v>
      </c>
      <c r="P63" s="7">
        <f t="shared" si="7"/>
        <v>1.0337787196650557E-4</v>
      </c>
      <c r="Q63" s="5">
        <f t="shared" si="4"/>
        <v>0.99402992789393418</v>
      </c>
      <c r="R63" s="4">
        <f t="shared" si="2"/>
        <v>2.9498525073746312E-3</v>
      </c>
      <c r="S63" s="8">
        <f t="shared" si="5"/>
        <v>0.17994100294985227</v>
      </c>
      <c r="T63" s="8"/>
      <c r="U63" s="8"/>
      <c r="V63" s="8"/>
    </row>
    <row r="64" spans="1:22" x14ac:dyDescent="0.25">
      <c r="A64" t="s">
        <v>8747</v>
      </c>
      <c r="C64" t="s">
        <v>8748</v>
      </c>
      <c r="D64" t="s">
        <v>309</v>
      </c>
      <c r="E64" t="s">
        <v>6</v>
      </c>
      <c r="F64" t="s">
        <v>251</v>
      </c>
      <c r="G64">
        <v>484</v>
      </c>
      <c r="H64" s="2">
        <f>Tabelle13[[#This Row],[commits]]/Tabelle13[[#Totals],[commits]]</f>
        <v>2.2495305731655172E-3</v>
      </c>
      <c r="I64" s="5">
        <f>Tabelle13[[#This Row],[%]]+I63</f>
        <v>0.48629366599118773</v>
      </c>
      <c r="J64" s="4">
        <f t="shared" si="0"/>
        <v>1.105583195135434E-4</v>
      </c>
      <c r="K64" s="5">
        <f t="shared" si="6"/>
        <v>6.8546158098396906E-3</v>
      </c>
      <c r="M64">
        <v>62</v>
      </c>
      <c r="N64" t="s">
        <v>10377</v>
      </c>
      <c r="O64">
        <f t="shared" si="3"/>
        <v>16</v>
      </c>
      <c r="P64" s="7">
        <f t="shared" si="7"/>
        <v>1.0337787196650557E-4</v>
      </c>
      <c r="Q64" s="5">
        <f t="shared" si="4"/>
        <v>0.99413330576590064</v>
      </c>
      <c r="R64" s="4">
        <f t="shared" si="2"/>
        <v>2.9498525073746312E-3</v>
      </c>
      <c r="S64" s="8">
        <f t="shared" si="5"/>
        <v>0.18289085545722689</v>
      </c>
      <c r="T64" s="8"/>
      <c r="U64" s="8"/>
      <c r="V64" s="8"/>
    </row>
    <row r="65" spans="1:22" x14ac:dyDescent="0.25">
      <c r="A65" t="s">
        <v>2236</v>
      </c>
      <c r="C65" t="s">
        <v>2237</v>
      </c>
      <c r="D65" t="s">
        <v>309</v>
      </c>
      <c r="E65" t="s">
        <v>6</v>
      </c>
      <c r="F65" t="s">
        <v>724</v>
      </c>
      <c r="G65">
        <v>478</v>
      </c>
      <c r="H65" s="2">
        <f>Tabelle13[[#This Row],[commits]]/Tabelle13[[#Totals],[commits]]</f>
        <v>2.2216438305229695E-3</v>
      </c>
      <c r="I65" s="5">
        <f>Tabelle13[[#This Row],[%]]+I64</f>
        <v>0.48851530982171071</v>
      </c>
      <c r="J65" s="4">
        <f t="shared" si="0"/>
        <v>1.105583195135434E-4</v>
      </c>
      <c r="K65" s="5">
        <f t="shared" si="6"/>
        <v>6.965174129353234E-3</v>
      </c>
      <c r="M65">
        <v>63</v>
      </c>
      <c r="N65" t="s">
        <v>10440</v>
      </c>
      <c r="O65">
        <f t="shared" si="3"/>
        <v>16</v>
      </c>
      <c r="P65" s="7">
        <f t="shared" si="7"/>
        <v>1.0337787196650557E-4</v>
      </c>
      <c r="Q65" s="5">
        <f t="shared" si="4"/>
        <v>0.9942366836378671</v>
      </c>
      <c r="R65" s="4">
        <f t="shared" si="2"/>
        <v>2.9498525073746312E-3</v>
      </c>
      <c r="S65" s="8">
        <f t="shared" si="5"/>
        <v>0.1858407079646015</v>
      </c>
      <c r="T65" s="8"/>
      <c r="U65" s="8"/>
      <c r="V65" s="8"/>
    </row>
    <row r="66" spans="1:22" x14ac:dyDescent="0.25">
      <c r="A66" t="s">
        <v>2238</v>
      </c>
      <c r="C66" t="s">
        <v>2239</v>
      </c>
      <c r="D66" t="s">
        <v>5</v>
      </c>
      <c r="E66" t="s">
        <v>6</v>
      </c>
      <c r="F66" t="s">
        <v>724</v>
      </c>
      <c r="G66">
        <v>459</v>
      </c>
      <c r="H66" s="2">
        <f>Tabelle13[[#This Row],[commits]]/Tabelle13[[#Totals],[commits]]</f>
        <v>2.1333358121549016E-3</v>
      </c>
      <c r="I66" s="5">
        <f>Tabelle13[[#This Row],[%]]+I65</f>
        <v>0.49064864563386562</v>
      </c>
      <c r="J66" s="4">
        <f t="shared" si="0"/>
        <v>1.105583195135434E-4</v>
      </c>
      <c r="K66" s="5">
        <f t="shared" si="6"/>
        <v>7.0757324488667775E-3</v>
      </c>
      <c r="M66">
        <v>64</v>
      </c>
      <c r="N66" t="s">
        <v>10693</v>
      </c>
      <c r="O66">
        <f t="shared" si="3"/>
        <v>16</v>
      </c>
      <c r="P66" s="7">
        <f t="shared" si="7"/>
        <v>1.0337787196650557E-4</v>
      </c>
      <c r="Q66" s="5">
        <f t="shared" si="4"/>
        <v>0.99434006150983356</v>
      </c>
      <c r="R66" s="4">
        <f t="shared" si="2"/>
        <v>2.9498525073746312E-3</v>
      </c>
      <c r="S66" s="8">
        <f t="shared" si="5"/>
        <v>0.18879056047197612</v>
      </c>
      <c r="T66" s="8"/>
      <c r="U66" s="8"/>
      <c r="V66" s="8"/>
    </row>
    <row r="67" spans="1:22" x14ac:dyDescent="0.25">
      <c r="A67" t="s">
        <v>2240</v>
      </c>
      <c r="C67" t="s">
        <v>2241</v>
      </c>
      <c r="D67" t="s">
        <v>5</v>
      </c>
      <c r="E67" t="s">
        <v>6</v>
      </c>
      <c r="F67" t="s">
        <v>724</v>
      </c>
      <c r="G67">
        <v>453</v>
      </c>
      <c r="H67" s="2">
        <f>Tabelle13[[#This Row],[commits]]/Tabelle13[[#Totals],[commits]]</f>
        <v>2.1054490695123539E-3</v>
      </c>
      <c r="I67" s="5">
        <f>Tabelle13[[#This Row],[%]]+I66</f>
        <v>0.492754094703378</v>
      </c>
      <c r="J67" s="4">
        <f t="shared" ref="J67:J130" si="8">1/9045</f>
        <v>1.105583195135434E-4</v>
      </c>
      <c r="K67" s="5">
        <f t="shared" si="6"/>
        <v>7.1862907683803209E-3</v>
      </c>
      <c r="M67">
        <v>65</v>
      </c>
      <c r="N67" t="s">
        <v>10220</v>
      </c>
      <c r="O67">
        <f t="shared" si="3"/>
        <v>15</v>
      </c>
      <c r="P67" s="7">
        <f t="shared" ref="P67:P98" si="9">O67/$O$343</f>
        <v>9.6916754968598968E-5</v>
      </c>
      <c r="Q67" s="5">
        <f t="shared" si="4"/>
        <v>0.99443697826480215</v>
      </c>
      <c r="R67" s="4">
        <f t="shared" si="2"/>
        <v>2.9498525073746312E-3</v>
      </c>
      <c r="S67" s="8">
        <f t="shared" si="5"/>
        <v>0.19174041297935074</v>
      </c>
      <c r="T67" s="8"/>
      <c r="U67" s="8"/>
      <c r="V67" s="8"/>
    </row>
    <row r="68" spans="1:22" x14ac:dyDescent="0.25">
      <c r="A68" t="s">
        <v>8749</v>
      </c>
      <c r="C68" t="s">
        <v>8750</v>
      </c>
      <c r="D68" t="s">
        <v>309</v>
      </c>
      <c r="E68" t="s">
        <v>6</v>
      </c>
      <c r="F68" t="s">
        <v>251</v>
      </c>
      <c r="G68">
        <v>446</v>
      </c>
      <c r="H68" s="2">
        <f>Tabelle13[[#This Row],[commits]]/Tabelle13[[#Totals],[commits]]</f>
        <v>2.0729145364293813E-3</v>
      </c>
      <c r="I68" s="5">
        <f>Tabelle13[[#This Row],[%]]+I67</f>
        <v>0.49482700923980738</v>
      </c>
      <c r="J68" s="4">
        <f t="shared" si="8"/>
        <v>1.105583195135434E-4</v>
      </c>
      <c r="K68" s="5">
        <f t="shared" si="6"/>
        <v>7.2968490878938643E-3</v>
      </c>
      <c r="M68">
        <v>66</v>
      </c>
      <c r="N68" t="s">
        <v>10262</v>
      </c>
      <c r="O68">
        <f t="shared" si="3"/>
        <v>14</v>
      </c>
      <c r="P68" s="7">
        <f t="shared" si="9"/>
        <v>9.0455637970692374E-5</v>
      </c>
      <c r="Q68" s="5">
        <f t="shared" si="4"/>
        <v>0.99452743390277287</v>
      </c>
      <c r="R68" s="4">
        <f t="shared" ref="R68:R131" si="10">1/339</f>
        <v>2.9498525073746312E-3</v>
      </c>
      <c r="S68" s="8">
        <f t="shared" si="5"/>
        <v>0.19469026548672536</v>
      </c>
      <c r="T68" s="8"/>
      <c r="U68" s="8"/>
      <c r="V68" s="8"/>
    </row>
    <row r="69" spans="1:22" x14ac:dyDescent="0.25">
      <c r="A69" t="s">
        <v>8751</v>
      </c>
      <c r="C69" t="s">
        <v>8752</v>
      </c>
      <c r="D69" t="s">
        <v>309</v>
      </c>
      <c r="E69" t="s">
        <v>6</v>
      </c>
      <c r="F69" t="s">
        <v>251</v>
      </c>
      <c r="G69">
        <v>445</v>
      </c>
      <c r="H69" s="2">
        <f>Tabelle13[[#This Row],[commits]]/Tabelle13[[#Totals],[commits]]</f>
        <v>2.0682667459889568E-3</v>
      </c>
      <c r="I69" s="5">
        <f>Tabelle13[[#This Row],[%]]+I68</f>
        <v>0.49689527598579636</v>
      </c>
      <c r="J69" s="4">
        <f t="shared" si="8"/>
        <v>1.105583195135434E-4</v>
      </c>
      <c r="K69" s="5">
        <f t="shared" si="6"/>
        <v>7.4074074074074077E-3</v>
      </c>
      <c r="M69">
        <v>67</v>
      </c>
      <c r="N69" t="s">
        <v>10291</v>
      </c>
      <c r="O69">
        <f t="shared" ref="O69:O132" si="11">SUMIFS($G$3:$G$9048,$D$3:$D$9048,N69)</f>
        <v>14</v>
      </c>
      <c r="P69" s="7">
        <f t="shared" si="9"/>
        <v>9.0455637970692374E-5</v>
      </c>
      <c r="Q69" s="5">
        <f t="shared" ref="Q69:Q132" si="12">Q68+P69</f>
        <v>0.99461788954074359</v>
      </c>
      <c r="R69" s="4">
        <f t="shared" si="10"/>
        <v>2.9498525073746312E-3</v>
      </c>
      <c r="S69" s="8">
        <f t="shared" ref="S69:S132" si="13">S68+R69</f>
        <v>0.19764011799409997</v>
      </c>
      <c r="T69" s="8"/>
      <c r="U69" s="8"/>
      <c r="V69" s="8"/>
    </row>
    <row r="70" spans="1:22" x14ac:dyDescent="0.25">
      <c r="A70" t="s">
        <v>8753</v>
      </c>
      <c r="C70" t="s">
        <v>8754</v>
      </c>
      <c r="D70" t="s">
        <v>309</v>
      </c>
      <c r="E70" t="s">
        <v>6</v>
      </c>
      <c r="F70" t="s">
        <v>251</v>
      </c>
      <c r="G70">
        <v>440</v>
      </c>
      <c r="H70" s="2">
        <f>Tabelle13[[#This Row],[commits]]/Tabelle13[[#Totals],[commits]]</f>
        <v>2.0450277937868336E-3</v>
      </c>
      <c r="I70" s="5">
        <f>Tabelle13[[#This Row],[%]]+I69</f>
        <v>0.49894030377958321</v>
      </c>
      <c r="J70" s="4">
        <f t="shared" si="8"/>
        <v>1.105583195135434E-4</v>
      </c>
      <c r="K70" s="5">
        <f t="shared" ref="K70:K133" si="14">J70+K69</f>
        <v>7.5179657269209511E-3</v>
      </c>
      <c r="M70">
        <v>68</v>
      </c>
      <c r="N70" t="s">
        <v>10712</v>
      </c>
      <c r="O70">
        <f t="shared" si="11"/>
        <v>14</v>
      </c>
      <c r="P70" s="7">
        <f t="shared" si="9"/>
        <v>9.0455637970692374E-5</v>
      </c>
      <c r="Q70" s="5">
        <f t="shared" si="12"/>
        <v>0.99470834517871431</v>
      </c>
      <c r="R70" s="4">
        <f t="shared" si="10"/>
        <v>2.9498525073746312E-3</v>
      </c>
      <c r="S70" s="8">
        <f t="shared" si="13"/>
        <v>0.20058997050147459</v>
      </c>
      <c r="T70" s="8"/>
      <c r="U70" s="8"/>
      <c r="V70" s="8"/>
    </row>
    <row r="71" spans="1:22" x14ac:dyDescent="0.25">
      <c r="A71" t="s">
        <v>8755</v>
      </c>
      <c r="C71" t="s">
        <v>8756</v>
      </c>
      <c r="D71" t="s">
        <v>8757</v>
      </c>
      <c r="E71" t="s">
        <v>6</v>
      </c>
      <c r="F71" t="s">
        <v>251</v>
      </c>
      <c r="G71">
        <v>438</v>
      </c>
      <c r="H71" s="2">
        <f>Tabelle13[[#This Row],[commits]]/Tabelle13[[#Totals],[commits]]</f>
        <v>2.0357322129059847E-3</v>
      </c>
      <c r="I71" s="5">
        <f>Tabelle13[[#This Row],[%]]+I70</f>
        <v>0.50097603599248919</v>
      </c>
      <c r="J71" s="4">
        <f t="shared" si="8"/>
        <v>1.105583195135434E-4</v>
      </c>
      <c r="K71" s="5">
        <f t="shared" si="14"/>
        <v>7.6285240464344945E-3</v>
      </c>
      <c r="M71">
        <v>69</v>
      </c>
      <c r="N71" t="s">
        <v>10825</v>
      </c>
      <c r="O71">
        <f t="shared" si="11"/>
        <v>14</v>
      </c>
      <c r="P71" s="7">
        <f t="shared" si="9"/>
        <v>9.0455637970692374E-5</v>
      </c>
      <c r="Q71" s="5">
        <f t="shared" si="12"/>
        <v>0.99479880081668504</v>
      </c>
      <c r="R71" s="4">
        <f t="shared" si="10"/>
        <v>2.9498525073746312E-3</v>
      </c>
      <c r="S71" s="8">
        <f t="shared" si="13"/>
        <v>0.20353982300884921</v>
      </c>
      <c r="T71" s="8"/>
      <c r="U71" s="8"/>
      <c r="V71" s="8"/>
    </row>
    <row r="72" spans="1:22" x14ac:dyDescent="0.25">
      <c r="A72" t="s">
        <v>8758</v>
      </c>
      <c r="C72" t="s">
        <v>8759</v>
      </c>
      <c r="D72" t="s">
        <v>8760</v>
      </c>
      <c r="E72" t="s">
        <v>6</v>
      </c>
      <c r="F72" t="s">
        <v>251</v>
      </c>
      <c r="G72">
        <v>436</v>
      </c>
      <c r="H72" s="2">
        <f>Tabelle13[[#This Row],[commits]]/Tabelle13[[#Totals],[commits]]</f>
        <v>2.0264366320251353E-3</v>
      </c>
      <c r="I72" s="5">
        <f>Tabelle13[[#This Row],[%]]+I71</f>
        <v>0.50300247262451436</v>
      </c>
      <c r="J72" s="4">
        <f t="shared" si="8"/>
        <v>1.105583195135434E-4</v>
      </c>
      <c r="K72" s="5">
        <f t="shared" si="14"/>
        <v>7.7390823659480379E-3</v>
      </c>
      <c r="M72">
        <v>70</v>
      </c>
      <c r="N72" t="s">
        <v>10324</v>
      </c>
      <c r="O72">
        <f t="shared" si="11"/>
        <v>13</v>
      </c>
      <c r="P72" s="7">
        <f t="shared" si="9"/>
        <v>8.3994520972785781E-5</v>
      </c>
      <c r="Q72" s="5">
        <f t="shared" si="12"/>
        <v>0.99488279533765778</v>
      </c>
      <c r="R72" s="4">
        <f t="shared" si="10"/>
        <v>2.9498525073746312E-3</v>
      </c>
      <c r="S72" s="8">
        <f t="shared" si="13"/>
        <v>0.20648967551622383</v>
      </c>
      <c r="T72" s="8"/>
      <c r="U72" s="8"/>
      <c r="V72" s="8"/>
    </row>
    <row r="73" spans="1:22" x14ac:dyDescent="0.25">
      <c r="A73" t="s">
        <v>8761</v>
      </c>
      <c r="C73" t="s">
        <v>8762</v>
      </c>
      <c r="D73" t="s">
        <v>309</v>
      </c>
      <c r="E73" t="s">
        <v>6</v>
      </c>
      <c r="F73" t="s">
        <v>251</v>
      </c>
      <c r="G73">
        <v>435</v>
      </c>
      <c r="H73" s="2">
        <f>Tabelle13[[#This Row],[commits]]/Tabelle13[[#Totals],[commits]]</f>
        <v>2.0217888415847108E-3</v>
      </c>
      <c r="I73" s="5">
        <f>Tabelle13[[#This Row],[%]]+I72</f>
        <v>0.50502426146609902</v>
      </c>
      <c r="J73" s="4">
        <f t="shared" si="8"/>
        <v>1.105583195135434E-4</v>
      </c>
      <c r="K73" s="5">
        <f t="shared" si="14"/>
        <v>7.8496406854615813E-3</v>
      </c>
      <c r="M73">
        <v>71</v>
      </c>
      <c r="N73" t="s">
        <v>10452</v>
      </c>
      <c r="O73">
        <f t="shared" si="11"/>
        <v>13</v>
      </c>
      <c r="P73" s="7">
        <f t="shared" si="9"/>
        <v>8.3994520972785781E-5</v>
      </c>
      <c r="Q73" s="5">
        <f t="shared" si="12"/>
        <v>0.99496678985863052</v>
      </c>
      <c r="R73" s="4">
        <f t="shared" si="10"/>
        <v>2.9498525073746312E-3</v>
      </c>
      <c r="S73" s="8">
        <f t="shared" si="13"/>
        <v>0.20943952802359844</v>
      </c>
      <c r="T73" s="8"/>
      <c r="U73" s="8"/>
      <c r="V73" s="8"/>
    </row>
    <row r="74" spans="1:22" x14ac:dyDescent="0.25">
      <c r="A74" t="s">
        <v>8763</v>
      </c>
      <c r="C74" t="s">
        <v>8764</v>
      </c>
      <c r="D74" t="s">
        <v>309</v>
      </c>
      <c r="E74" t="s">
        <v>6</v>
      </c>
      <c r="F74" t="s">
        <v>251</v>
      </c>
      <c r="G74">
        <v>434</v>
      </c>
      <c r="H74" s="2">
        <f>Tabelle13[[#This Row],[commits]]/Tabelle13[[#Totals],[commits]]</f>
        <v>2.0171410511442859E-3</v>
      </c>
      <c r="I74" s="5">
        <f>Tabelle13[[#This Row],[%]]+I73</f>
        <v>0.50704140251724328</v>
      </c>
      <c r="J74" s="4">
        <f t="shared" si="8"/>
        <v>1.105583195135434E-4</v>
      </c>
      <c r="K74" s="5">
        <f t="shared" si="14"/>
        <v>7.9601990049751239E-3</v>
      </c>
      <c r="M74">
        <v>72</v>
      </c>
      <c r="N74" t="s">
        <v>10387</v>
      </c>
      <c r="O74">
        <f t="shared" si="11"/>
        <v>12</v>
      </c>
      <c r="P74" s="7">
        <f t="shared" si="9"/>
        <v>7.7533403974879174E-5</v>
      </c>
      <c r="Q74" s="5">
        <f t="shared" si="12"/>
        <v>0.99504432326260539</v>
      </c>
      <c r="R74" s="4">
        <f t="shared" si="10"/>
        <v>2.9498525073746312E-3</v>
      </c>
      <c r="S74" s="8">
        <f t="shared" si="13"/>
        <v>0.21238938053097306</v>
      </c>
      <c r="T74" s="8"/>
      <c r="U74" s="8"/>
      <c r="V74" s="8"/>
    </row>
    <row r="75" spans="1:22" x14ac:dyDescent="0.25">
      <c r="A75" t="s">
        <v>5182</v>
      </c>
      <c r="C75" t="s">
        <v>3374</v>
      </c>
      <c r="D75" t="s">
        <v>5</v>
      </c>
      <c r="E75" t="s">
        <v>6</v>
      </c>
      <c r="F75" t="s">
        <v>28</v>
      </c>
      <c r="G75">
        <v>433</v>
      </c>
      <c r="H75" s="2">
        <f>Tabelle13[[#This Row],[commits]]/Tabelle13[[#Totals],[commits]]</f>
        <v>2.0124932607038615E-3</v>
      </c>
      <c r="I75" s="5">
        <f>Tabelle13[[#This Row],[%]]+I74</f>
        <v>0.50905389577794713</v>
      </c>
      <c r="J75" s="4">
        <f t="shared" si="8"/>
        <v>1.105583195135434E-4</v>
      </c>
      <c r="K75" s="5">
        <f t="shared" si="14"/>
        <v>8.0707573244886664E-3</v>
      </c>
      <c r="M75">
        <v>73</v>
      </c>
      <c r="N75" t="s">
        <v>6702</v>
      </c>
      <c r="O75">
        <f t="shared" si="11"/>
        <v>12</v>
      </c>
      <c r="P75" s="7">
        <f t="shared" si="9"/>
        <v>7.7533403974879174E-5</v>
      </c>
      <c r="Q75" s="5">
        <f t="shared" si="12"/>
        <v>0.99512185666658026</v>
      </c>
      <c r="R75" s="4">
        <f t="shared" si="10"/>
        <v>2.9498525073746312E-3</v>
      </c>
      <c r="S75" s="8">
        <f t="shared" si="13"/>
        <v>0.21533923303834768</v>
      </c>
      <c r="T75" s="8"/>
      <c r="U75" s="8"/>
      <c r="V75" s="8"/>
    </row>
    <row r="76" spans="1:22" x14ac:dyDescent="0.25">
      <c r="A76" t="s">
        <v>14</v>
      </c>
      <c r="C76" t="s">
        <v>15</v>
      </c>
      <c r="D76" t="s">
        <v>5</v>
      </c>
      <c r="E76" t="s">
        <v>6</v>
      </c>
      <c r="F76" t="s">
        <v>7</v>
      </c>
      <c r="G76">
        <v>432</v>
      </c>
      <c r="H76" s="2">
        <f>Tabelle13[[#This Row],[commits]]/Tabelle13[[#Totals],[commits]]</f>
        <v>2.0078454702634366E-3</v>
      </c>
      <c r="I76" s="5">
        <f>Tabelle13[[#This Row],[%]]+I75</f>
        <v>0.51106174124821058</v>
      </c>
      <c r="J76" s="4">
        <f t="shared" si="8"/>
        <v>1.105583195135434E-4</v>
      </c>
      <c r="K76" s="5">
        <f t="shared" si="14"/>
        <v>8.181315644002209E-3</v>
      </c>
      <c r="M76">
        <v>74</v>
      </c>
      <c r="N76" t="s">
        <v>5328</v>
      </c>
      <c r="O76">
        <f t="shared" si="11"/>
        <v>11</v>
      </c>
      <c r="P76" s="7">
        <f t="shared" si="9"/>
        <v>7.1072286976972581E-5</v>
      </c>
      <c r="Q76" s="5">
        <f t="shared" si="12"/>
        <v>0.99519292895355727</v>
      </c>
      <c r="R76" s="4">
        <f t="shared" si="10"/>
        <v>2.9498525073746312E-3</v>
      </c>
      <c r="S76" s="8">
        <f t="shared" si="13"/>
        <v>0.21828908554572229</v>
      </c>
      <c r="T76" s="8"/>
      <c r="U76" s="8"/>
      <c r="V76" s="8"/>
    </row>
    <row r="77" spans="1:22" x14ac:dyDescent="0.25">
      <c r="A77" t="s">
        <v>8765</v>
      </c>
      <c r="C77" t="s">
        <v>8766</v>
      </c>
      <c r="D77" t="s">
        <v>309</v>
      </c>
      <c r="E77" t="s">
        <v>6</v>
      </c>
      <c r="F77" t="s">
        <v>251</v>
      </c>
      <c r="G77">
        <v>418</v>
      </c>
      <c r="H77" s="2">
        <f>Tabelle13[[#This Row],[commits]]/Tabelle13[[#Totals],[commits]]</f>
        <v>1.942776404097492E-3</v>
      </c>
      <c r="I77" s="5">
        <f>Tabelle13[[#This Row],[%]]+I76</f>
        <v>0.51300451765230803</v>
      </c>
      <c r="J77" s="4">
        <f t="shared" si="8"/>
        <v>1.105583195135434E-4</v>
      </c>
      <c r="K77" s="5">
        <f t="shared" si="14"/>
        <v>8.2918739635157515E-3</v>
      </c>
      <c r="M77">
        <v>75</v>
      </c>
      <c r="N77" t="s">
        <v>10494</v>
      </c>
      <c r="O77">
        <f t="shared" si="11"/>
        <v>11</v>
      </c>
      <c r="P77" s="7">
        <f t="shared" si="9"/>
        <v>7.1072286976972581E-5</v>
      </c>
      <c r="Q77" s="5">
        <f t="shared" si="12"/>
        <v>0.99526400124053427</v>
      </c>
      <c r="R77" s="4">
        <f t="shared" si="10"/>
        <v>2.9498525073746312E-3</v>
      </c>
      <c r="S77" s="8">
        <f t="shared" si="13"/>
        <v>0.22123893805309691</v>
      </c>
      <c r="T77" s="8"/>
      <c r="U77" s="8"/>
      <c r="V77" s="8"/>
    </row>
    <row r="78" spans="1:22" x14ac:dyDescent="0.25">
      <c r="A78" t="s">
        <v>8767</v>
      </c>
      <c r="C78" t="s">
        <v>8768</v>
      </c>
      <c r="D78" t="s">
        <v>309</v>
      </c>
      <c r="E78" t="s">
        <v>6</v>
      </c>
      <c r="F78" t="s">
        <v>251</v>
      </c>
      <c r="G78">
        <v>418</v>
      </c>
      <c r="H78" s="2">
        <f>Tabelle13[[#This Row],[commits]]/Tabelle13[[#Totals],[commits]]</f>
        <v>1.942776404097492E-3</v>
      </c>
      <c r="I78" s="5">
        <f>Tabelle13[[#This Row],[%]]+I77</f>
        <v>0.51494729405640549</v>
      </c>
      <c r="J78" s="4">
        <f t="shared" si="8"/>
        <v>1.105583195135434E-4</v>
      </c>
      <c r="K78" s="5">
        <f t="shared" si="14"/>
        <v>8.4024322830292941E-3</v>
      </c>
      <c r="M78">
        <v>76</v>
      </c>
      <c r="N78" t="s">
        <v>10515</v>
      </c>
      <c r="O78">
        <f t="shared" si="11"/>
        <v>11</v>
      </c>
      <c r="P78" s="7">
        <f t="shared" si="9"/>
        <v>7.1072286976972581E-5</v>
      </c>
      <c r="Q78" s="5">
        <f t="shared" si="12"/>
        <v>0.99533507352751127</v>
      </c>
      <c r="R78" s="4">
        <f t="shared" si="10"/>
        <v>2.9498525073746312E-3</v>
      </c>
      <c r="S78" s="8">
        <f t="shared" si="13"/>
        <v>0.22418879056047153</v>
      </c>
      <c r="T78" s="8"/>
      <c r="U78" s="8"/>
      <c r="V78" s="8"/>
    </row>
    <row r="79" spans="1:22" x14ac:dyDescent="0.25">
      <c r="A79" t="s">
        <v>2242</v>
      </c>
      <c r="C79" t="s">
        <v>2243</v>
      </c>
      <c r="D79" t="s">
        <v>5</v>
      </c>
      <c r="E79" t="s">
        <v>6</v>
      </c>
      <c r="F79" t="s">
        <v>724</v>
      </c>
      <c r="G79">
        <v>416</v>
      </c>
      <c r="H79" s="2">
        <f>Tabelle13[[#This Row],[commits]]/Tabelle13[[#Totals],[commits]]</f>
        <v>1.9334808232166429E-3</v>
      </c>
      <c r="I79" s="5">
        <f>Tabelle13[[#This Row],[%]]+I78</f>
        <v>0.51688077487962214</v>
      </c>
      <c r="J79" s="4">
        <f t="shared" si="8"/>
        <v>1.105583195135434E-4</v>
      </c>
      <c r="K79" s="5">
        <f t="shared" si="14"/>
        <v>8.5129906025428366E-3</v>
      </c>
      <c r="M79">
        <v>77</v>
      </c>
      <c r="N79" t="s">
        <v>10755</v>
      </c>
      <c r="O79">
        <f t="shared" si="11"/>
        <v>11</v>
      </c>
      <c r="P79" s="7">
        <f t="shared" si="9"/>
        <v>7.1072286976972581E-5</v>
      </c>
      <c r="Q79" s="5">
        <f t="shared" si="12"/>
        <v>0.99540614581448827</v>
      </c>
      <c r="R79" s="4">
        <f t="shared" si="10"/>
        <v>2.9498525073746312E-3</v>
      </c>
      <c r="S79" s="8">
        <f t="shared" si="13"/>
        <v>0.22713864306784615</v>
      </c>
      <c r="T79" s="8"/>
      <c r="U79" s="8"/>
      <c r="V79" s="8"/>
    </row>
    <row r="80" spans="1:22" x14ac:dyDescent="0.25">
      <c r="A80" t="s">
        <v>8769</v>
      </c>
      <c r="C80" t="s">
        <v>8770</v>
      </c>
      <c r="D80" t="s">
        <v>309</v>
      </c>
      <c r="E80" t="s">
        <v>6</v>
      </c>
      <c r="F80" t="s">
        <v>251</v>
      </c>
      <c r="G80">
        <v>416</v>
      </c>
      <c r="H80" s="2">
        <f>Tabelle13[[#This Row],[commits]]/Tabelle13[[#Totals],[commits]]</f>
        <v>1.9334808232166429E-3</v>
      </c>
      <c r="I80" s="5">
        <f>Tabelle13[[#This Row],[%]]+I79</f>
        <v>0.51881425570283879</v>
      </c>
      <c r="J80" s="4">
        <f t="shared" si="8"/>
        <v>1.105583195135434E-4</v>
      </c>
      <c r="K80" s="5">
        <f t="shared" si="14"/>
        <v>8.6235489220563791E-3</v>
      </c>
      <c r="M80">
        <v>78</v>
      </c>
      <c r="N80" t="s">
        <v>11616</v>
      </c>
      <c r="O80">
        <f t="shared" si="11"/>
        <v>11</v>
      </c>
      <c r="P80" s="7">
        <f t="shared" si="9"/>
        <v>7.1072286976972581E-5</v>
      </c>
      <c r="Q80" s="5">
        <f t="shared" si="12"/>
        <v>0.99547721810146528</v>
      </c>
      <c r="R80" s="4">
        <f t="shared" si="10"/>
        <v>2.9498525073746312E-3</v>
      </c>
      <c r="S80" s="8">
        <f t="shared" si="13"/>
        <v>0.23008849557522076</v>
      </c>
      <c r="T80" s="8"/>
      <c r="U80" s="8"/>
      <c r="V80" s="8"/>
    </row>
    <row r="81" spans="1:22" x14ac:dyDescent="0.25">
      <c r="A81" t="s">
        <v>8771</v>
      </c>
      <c r="C81" t="s">
        <v>8772</v>
      </c>
      <c r="D81" t="s">
        <v>309</v>
      </c>
      <c r="E81" t="s">
        <v>6</v>
      </c>
      <c r="F81" t="s">
        <v>251</v>
      </c>
      <c r="G81">
        <v>414</v>
      </c>
      <c r="H81" s="2">
        <f>Tabelle13[[#This Row],[commits]]/Tabelle13[[#Totals],[commits]]</f>
        <v>1.9241852423357935E-3</v>
      </c>
      <c r="I81" s="5">
        <f>Tabelle13[[#This Row],[%]]+I80</f>
        <v>0.52073844094517463</v>
      </c>
      <c r="J81" s="4">
        <f t="shared" si="8"/>
        <v>1.105583195135434E-4</v>
      </c>
      <c r="K81" s="5">
        <f t="shared" si="14"/>
        <v>8.7341072415699217E-3</v>
      </c>
      <c r="M81">
        <v>79</v>
      </c>
      <c r="N81" t="s">
        <v>12384</v>
      </c>
      <c r="O81">
        <f t="shared" si="11"/>
        <v>11</v>
      </c>
      <c r="P81" s="7">
        <f t="shared" si="9"/>
        <v>7.1072286976972581E-5</v>
      </c>
      <c r="Q81" s="5">
        <f t="shared" si="12"/>
        <v>0.99554829038844228</v>
      </c>
      <c r="R81" s="4">
        <f t="shared" si="10"/>
        <v>2.9498525073746312E-3</v>
      </c>
      <c r="S81" s="8">
        <f t="shared" si="13"/>
        <v>0.23303834808259538</v>
      </c>
      <c r="T81" s="8"/>
      <c r="U81" s="8"/>
      <c r="V81" s="8"/>
    </row>
    <row r="82" spans="1:22" x14ac:dyDescent="0.25">
      <c r="A82" t="s">
        <v>8773</v>
      </c>
      <c r="C82" t="s">
        <v>8774</v>
      </c>
      <c r="D82" t="s">
        <v>309</v>
      </c>
      <c r="E82" t="s">
        <v>6</v>
      </c>
      <c r="F82" t="s">
        <v>251</v>
      </c>
      <c r="G82">
        <v>410</v>
      </c>
      <c r="H82" s="2">
        <f>Tabelle13[[#This Row],[commits]]/Tabelle13[[#Totals],[commits]]</f>
        <v>1.9055940805740952E-3</v>
      </c>
      <c r="I82" s="5">
        <f>Tabelle13[[#This Row],[%]]+I81</f>
        <v>0.52264403502574874</v>
      </c>
      <c r="J82" s="4">
        <f t="shared" si="8"/>
        <v>1.105583195135434E-4</v>
      </c>
      <c r="K82" s="5">
        <f t="shared" si="14"/>
        <v>8.8446655610834642E-3</v>
      </c>
      <c r="M82">
        <v>80</v>
      </c>
      <c r="N82" t="s">
        <v>10605</v>
      </c>
      <c r="O82">
        <f t="shared" si="11"/>
        <v>10</v>
      </c>
      <c r="P82" s="7">
        <f t="shared" si="9"/>
        <v>6.4611169979065988E-5</v>
      </c>
      <c r="Q82" s="5">
        <f t="shared" si="12"/>
        <v>0.9956129015584213</v>
      </c>
      <c r="R82" s="4">
        <f t="shared" si="10"/>
        <v>2.9498525073746312E-3</v>
      </c>
      <c r="S82" s="8">
        <f t="shared" si="13"/>
        <v>0.23598820058997</v>
      </c>
      <c r="T82" s="8"/>
      <c r="U82" s="8"/>
      <c r="V82" s="8"/>
    </row>
    <row r="83" spans="1:22" x14ac:dyDescent="0.25">
      <c r="A83" t="s">
        <v>8775</v>
      </c>
      <c r="C83" t="s">
        <v>8776</v>
      </c>
      <c r="D83" t="s">
        <v>309</v>
      </c>
      <c r="E83" t="s">
        <v>6</v>
      </c>
      <c r="F83" t="s">
        <v>251</v>
      </c>
      <c r="G83">
        <v>409</v>
      </c>
      <c r="H83" s="2">
        <f>Tabelle13[[#This Row],[commits]]/Tabelle13[[#Totals],[commits]]</f>
        <v>1.9009462901336705E-3</v>
      </c>
      <c r="I83" s="5">
        <f>Tabelle13[[#This Row],[%]]+I82</f>
        <v>0.52454498131588245</v>
      </c>
      <c r="J83" s="4">
        <f t="shared" si="8"/>
        <v>1.105583195135434E-4</v>
      </c>
      <c r="K83" s="5">
        <f t="shared" si="14"/>
        <v>8.9552238805970068E-3</v>
      </c>
      <c r="M83">
        <v>81</v>
      </c>
      <c r="N83" t="s">
        <v>10614</v>
      </c>
      <c r="O83">
        <f t="shared" si="11"/>
        <v>10</v>
      </c>
      <c r="P83" s="7">
        <f t="shared" si="9"/>
        <v>6.4611169979065988E-5</v>
      </c>
      <c r="Q83" s="5">
        <f t="shared" si="12"/>
        <v>0.99567751272840033</v>
      </c>
      <c r="R83" s="4">
        <f t="shared" si="10"/>
        <v>2.9498525073746312E-3</v>
      </c>
      <c r="S83" s="8">
        <f t="shared" si="13"/>
        <v>0.23893805309734462</v>
      </c>
      <c r="T83" s="8"/>
      <c r="U83" s="8"/>
      <c r="V83" s="8"/>
    </row>
    <row r="84" spans="1:22" x14ac:dyDescent="0.25">
      <c r="A84" t="s">
        <v>8777</v>
      </c>
      <c r="C84" t="s">
        <v>8778</v>
      </c>
      <c r="D84" t="s">
        <v>309</v>
      </c>
      <c r="E84" t="s">
        <v>6</v>
      </c>
      <c r="F84" t="s">
        <v>251</v>
      </c>
      <c r="G84">
        <v>403</v>
      </c>
      <c r="H84" s="2">
        <f>Tabelle13[[#This Row],[commits]]/Tabelle13[[#Totals],[commits]]</f>
        <v>1.8730595474911228E-3</v>
      </c>
      <c r="I84" s="5">
        <f>Tabelle13[[#This Row],[%]]+I83</f>
        <v>0.52641804086337363</v>
      </c>
      <c r="J84" s="4">
        <f t="shared" si="8"/>
        <v>1.105583195135434E-4</v>
      </c>
      <c r="K84" s="5">
        <f t="shared" si="14"/>
        <v>9.0657822001105493E-3</v>
      </c>
      <c r="M84">
        <v>82</v>
      </c>
      <c r="N84" t="s">
        <v>10635</v>
      </c>
      <c r="O84">
        <f t="shared" si="11"/>
        <v>10</v>
      </c>
      <c r="P84" s="7">
        <f t="shared" si="9"/>
        <v>6.4611169979065988E-5</v>
      </c>
      <c r="Q84" s="5">
        <f t="shared" si="12"/>
        <v>0.99574212389837935</v>
      </c>
      <c r="R84" s="4">
        <f t="shared" si="10"/>
        <v>2.9498525073746312E-3</v>
      </c>
      <c r="S84" s="8">
        <f t="shared" si="13"/>
        <v>0.24188790560471923</v>
      </c>
      <c r="T84" s="8"/>
      <c r="U84" s="8"/>
      <c r="V84" s="8"/>
    </row>
    <row r="85" spans="1:22" x14ac:dyDescent="0.25">
      <c r="A85" t="s">
        <v>8779</v>
      </c>
      <c r="C85" t="s">
        <v>8780</v>
      </c>
      <c r="D85" t="s">
        <v>309</v>
      </c>
      <c r="E85" t="s">
        <v>6</v>
      </c>
      <c r="F85" t="s">
        <v>251</v>
      </c>
      <c r="G85">
        <v>399</v>
      </c>
      <c r="H85" s="2">
        <f>Tabelle13[[#This Row],[commits]]/Tabelle13[[#Totals],[commits]]</f>
        <v>1.8544683857294243E-3</v>
      </c>
      <c r="I85" s="5">
        <f>Tabelle13[[#This Row],[%]]+I84</f>
        <v>0.52827250924910307</v>
      </c>
      <c r="J85" s="4">
        <f t="shared" si="8"/>
        <v>1.105583195135434E-4</v>
      </c>
      <c r="K85" s="5">
        <f t="shared" si="14"/>
        <v>9.1763405196240919E-3</v>
      </c>
      <c r="M85">
        <v>83</v>
      </c>
      <c r="N85" t="s">
        <v>5390</v>
      </c>
      <c r="O85">
        <f t="shared" si="11"/>
        <v>10</v>
      </c>
      <c r="P85" s="7">
        <f t="shared" si="9"/>
        <v>6.4611169979065988E-5</v>
      </c>
      <c r="Q85" s="5">
        <f t="shared" si="12"/>
        <v>0.99580673506835837</v>
      </c>
      <c r="R85" s="4">
        <f t="shared" si="10"/>
        <v>2.9498525073746312E-3</v>
      </c>
      <c r="S85" s="8">
        <f t="shared" si="13"/>
        <v>0.24483775811209385</v>
      </c>
      <c r="T85" s="8"/>
      <c r="U85" s="8"/>
      <c r="V85" s="8"/>
    </row>
    <row r="86" spans="1:22" x14ac:dyDescent="0.25">
      <c r="A86" t="s">
        <v>5183</v>
      </c>
      <c r="C86" t="s">
        <v>5184</v>
      </c>
      <c r="D86" t="s">
        <v>5</v>
      </c>
      <c r="E86" t="s">
        <v>6</v>
      </c>
      <c r="F86" t="s">
        <v>28</v>
      </c>
      <c r="G86">
        <v>398</v>
      </c>
      <c r="H86" s="2">
        <f>Tabelle13[[#This Row],[commits]]/Tabelle13[[#Totals],[commits]]</f>
        <v>1.8498205952889996E-3</v>
      </c>
      <c r="I86" s="5">
        <f>Tabelle13[[#This Row],[%]]+I85</f>
        <v>0.53012232984439212</v>
      </c>
      <c r="J86" s="4">
        <f t="shared" si="8"/>
        <v>1.105583195135434E-4</v>
      </c>
      <c r="K86" s="5">
        <f t="shared" si="14"/>
        <v>9.2868988391376344E-3</v>
      </c>
      <c r="M86">
        <v>84</v>
      </c>
      <c r="N86" t="s">
        <v>11319</v>
      </c>
      <c r="O86">
        <f t="shared" si="11"/>
        <v>10</v>
      </c>
      <c r="P86" s="7">
        <f t="shared" si="9"/>
        <v>6.4611169979065988E-5</v>
      </c>
      <c r="Q86" s="5">
        <f t="shared" si="12"/>
        <v>0.9958713462383374</v>
      </c>
      <c r="R86" s="4">
        <f t="shared" si="10"/>
        <v>2.9498525073746312E-3</v>
      </c>
      <c r="S86" s="8">
        <f t="shared" si="13"/>
        <v>0.24778761061946847</v>
      </c>
      <c r="T86" s="8"/>
      <c r="U86" s="8"/>
      <c r="V86" s="8"/>
    </row>
    <row r="87" spans="1:22" x14ac:dyDescent="0.25">
      <c r="A87" t="s">
        <v>8781</v>
      </c>
      <c r="C87" t="s">
        <v>8782</v>
      </c>
      <c r="D87" t="s">
        <v>309</v>
      </c>
      <c r="E87" t="s">
        <v>6</v>
      </c>
      <c r="F87" t="s">
        <v>251</v>
      </c>
      <c r="G87">
        <v>394</v>
      </c>
      <c r="H87" s="2">
        <f>Tabelle13[[#This Row],[commits]]/Tabelle13[[#Totals],[commits]]</f>
        <v>1.8312294335273011E-3</v>
      </c>
      <c r="I87" s="5">
        <f>Tabelle13[[#This Row],[%]]+I86</f>
        <v>0.53195355927791943</v>
      </c>
      <c r="J87" s="4">
        <f t="shared" si="8"/>
        <v>1.105583195135434E-4</v>
      </c>
      <c r="K87" s="5">
        <f t="shared" si="14"/>
        <v>9.397457158651177E-3</v>
      </c>
      <c r="M87">
        <v>85</v>
      </c>
      <c r="N87" t="s">
        <v>11585</v>
      </c>
      <c r="O87">
        <f t="shared" si="11"/>
        <v>10</v>
      </c>
      <c r="P87" s="7">
        <f t="shared" si="9"/>
        <v>6.4611169979065988E-5</v>
      </c>
      <c r="Q87" s="5">
        <f t="shared" si="12"/>
        <v>0.99593595740831642</v>
      </c>
      <c r="R87" s="4">
        <f t="shared" si="10"/>
        <v>2.9498525073746312E-3</v>
      </c>
      <c r="S87" s="8">
        <f t="shared" si="13"/>
        <v>0.25073746312684309</v>
      </c>
      <c r="T87" s="8"/>
      <c r="U87" s="8"/>
      <c r="V87" s="8"/>
    </row>
    <row r="88" spans="1:22" x14ac:dyDescent="0.25">
      <c r="A88" t="s">
        <v>2244</v>
      </c>
      <c r="C88" t="s">
        <v>2245</v>
      </c>
      <c r="D88" t="s">
        <v>309</v>
      </c>
      <c r="E88" t="s">
        <v>6</v>
      </c>
      <c r="F88" t="s">
        <v>724</v>
      </c>
      <c r="G88">
        <v>393</v>
      </c>
      <c r="H88" s="2">
        <f>Tabelle13[[#This Row],[commits]]/Tabelle13[[#Totals],[commits]]</f>
        <v>1.8265816430868766E-3</v>
      </c>
      <c r="I88" s="5">
        <f>Tabelle13[[#This Row],[%]]+I87</f>
        <v>0.53378014092100634</v>
      </c>
      <c r="J88" s="4">
        <f t="shared" si="8"/>
        <v>1.105583195135434E-4</v>
      </c>
      <c r="K88" s="5">
        <f t="shared" si="14"/>
        <v>9.5080154781647195E-3</v>
      </c>
      <c r="M88">
        <v>86</v>
      </c>
      <c r="N88" t="s">
        <v>10684</v>
      </c>
      <c r="O88">
        <f t="shared" si="11"/>
        <v>9</v>
      </c>
      <c r="P88" s="7">
        <f t="shared" si="9"/>
        <v>5.8150052981159381E-5</v>
      </c>
      <c r="Q88" s="5">
        <f t="shared" si="12"/>
        <v>0.99599410746129757</v>
      </c>
      <c r="R88" s="4">
        <f t="shared" si="10"/>
        <v>2.9498525073746312E-3</v>
      </c>
      <c r="S88" s="8">
        <f t="shared" si="13"/>
        <v>0.2536873156342177</v>
      </c>
      <c r="T88" s="8"/>
      <c r="U88" s="8"/>
      <c r="V88" s="8"/>
    </row>
    <row r="89" spans="1:22" x14ac:dyDescent="0.25">
      <c r="A89" t="s">
        <v>8783</v>
      </c>
      <c r="C89" t="s">
        <v>8784</v>
      </c>
      <c r="D89" t="s">
        <v>309</v>
      </c>
      <c r="E89" t="s">
        <v>6</v>
      </c>
      <c r="F89" t="s">
        <v>251</v>
      </c>
      <c r="G89">
        <v>392</v>
      </c>
      <c r="H89" s="2">
        <f>Tabelle13[[#This Row],[commits]]/Tabelle13[[#Totals],[commits]]</f>
        <v>1.8219338526464519E-3</v>
      </c>
      <c r="I89" s="5">
        <f>Tabelle13[[#This Row],[%]]+I88</f>
        <v>0.53560207477365285</v>
      </c>
      <c r="J89" s="4">
        <f t="shared" si="8"/>
        <v>1.105583195135434E-4</v>
      </c>
      <c r="K89" s="5">
        <f t="shared" si="14"/>
        <v>9.618573797678262E-3</v>
      </c>
      <c r="M89">
        <v>87</v>
      </c>
      <c r="N89" t="s">
        <v>10725</v>
      </c>
      <c r="O89">
        <f t="shared" si="11"/>
        <v>9</v>
      </c>
      <c r="P89" s="7">
        <f t="shared" si="9"/>
        <v>5.8150052981159381E-5</v>
      </c>
      <c r="Q89" s="5">
        <f t="shared" si="12"/>
        <v>0.99605225751427873</v>
      </c>
      <c r="R89" s="4">
        <f t="shared" si="10"/>
        <v>2.9498525073746312E-3</v>
      </c>
      <c r="S89" s="8">
        <f t="shared" si="13"/>
        <v>0.25663716814159232</v>
      </c>
      <c r="T89" s="8"/>
      <c r="U89" s="8"/>
      <c r="V89" s="8"/>
    </row>
    <row r="90" spans="1:22" x14ac:dyDescent="0.25">
      <c r="A90" t="s">
        <v>2246</v>
      </c>
      <c r="C90" t="s">
        <v>2247</v>
      </c>
      <c r="D90" t="s">
        <v>309</v>
      </c>
      <c r="E90" t="s">
        <v>6</v>
      </c>
      <c r="F90" t="s">
        <v>724</v>
      </c>
      <c r="G90">
        <v>387</v>
      </c>
      <c r="H90" s="2">
        <f>Tabelle13[[#This Row],[commits]]/Tabelle13[[#Totals],[commits]]</f>
        <v>1.7986949004443287E-3</v>
      </c>
      <c r="I90" s="5">
        <f>Tabelle13[[#This Row],[%]]+I89</f>
        <v>0.53740076967409722</v>
      </c>
      <c r="J90" s="4">
        <f t="shared" si="8"/>
        <v>1.105583195135434E-4</v>
      </c>
      <c r="K90" s="5">
        <f t="shared" si="14"/>
        <v>9.7291321171918046E-3</v>
      </c>
      <c r="M90">
        <v>88</v>
      </c>
      <c r="N90" t="s">
        <v>10772</v>
      </c>
      <c r="O90">
        <f t="shared" si="11"/>
        <v>9</v>
      </c>
      <c r="P90" s="7">
        <f t="shared" si="9"/>
        <v>5.8150052981159381E-5</v>
      </c>
      <c r="Q90" s="5">
        <f t="shared" si="12"/>
        <v>0.99611040756725988</v>
      </c>
      <c r="R90" s="4">
        <f t="shared" si="10"/>
        <v>2.9498525073746312E-3</v>
      </c>
      <c r="S90" s="8">
        <f t="shared" si="13"/>
        <v>0.25958702064896694</v>
      </c>
      <c r="T90" s="8"/>
      <c r="U90" s="8"/>
      <c r="V90" s="8"/>
    </row>
    <row r="91" spans="1:22" x14ac:dyDescent="0.25">
      <c r="A91" t="s">
        <v>8785</v>
      </c>
      <c r="C91" t="s">
        <v>8786</v>
      </c>
      <c r="D91" t="s">
        <v>309</v>
      </c>
      <c r="E91" t="s">
        <v>6</v>
      </c>
      <c r="F91" t="s">
        <v>251</v>
      </c>
      <c r="G91">
        <v>387</v>
      </c>
      <c r="H91" s="2">
        <f>Tabelle13[[#This Row],[commits]]/Tabelle13[[#Totals],[commits]]</f>
        <v>1.7986949004443287E-3</v>
      </c>
      <c r="I91" s="5">
        <f>Tabelle13[[#This Row],[%]]+I90</f>
        <v>0.5391994645745416</v>
      </c>
      <c r="J91" s="4">
        <f t="shared" si="8"/>
        <v>1.105583195135434E-4</v>
      </c>
      <c r="K91" s="5">
        <f t="shared" si="14"/>
        <v>9.8396904367053471E-3</v>
      </c>
      <c r="M91">
        <v>89</v>
      </c>
      <c r="N91" t="s">
        <v>11008</v>
      </c>
      <c r="O91">
        <f t="shared" si="11"/>
        <v>9</v>
      </c>
      <c r="P91" s="7">
        <f t="shared" si="9"/>
        <v>5.8150052981159381E-5</v>
      </c>
      <c r="Q91" s="5">
        <f t="shared" si="12"/>
        <v>0.99616855762024104</v>
      </c>
      <c r="R91" s="4">
        <f t="shared" si="10"/>
        <v>2.9498525073746312E-3</v>
      </c>
      <c r="S91" s="8">
        <f t="shared" si="13"/>
        <v>0.26253687315634155</v>
      </c>
      <c r="T91" s="8"/>
      <c r="U91" s="8"/>
      <c r="V91" s="8"/>
    </row>
    <row r="92" spans="1:22" x14ac:dyDescent="0.25">
      <c r="A92" t="s">
        <v>8787</v>
      </c>
      <c r="C92" t="s">
        <v>8788</v>
      </c>
      <c r="D92" t="s">
        <v>8760</v>
      </c>
      <c r="E92" t="s">
        <v>6</v>
      </c>
      <c r="F92" t="s">
        <v>251</v>
      </c>
      <c r="G92">
        <v>387</v>
      </c>
      <c r="H92" s="2">
        <f>Tabelle13[[#This Row],[commits]]/Tabelle13[[#Totals],[commits]]</f>
        <v>1.7986949004443287E-3</v>
      </c>
      <c r="I92" s="5">
        <f>Tabelle13[[#This Row],[%]]+I91</f>
        <v>0.54099815947498597</v>
      </c>
      <c r="J92" s="4">
        <f t="shared" si="8"/>
        <v>1.105583195135434E-4</v>
      </c>
      <c r="K92" s="5">
        <f t="shared" si="14"/>
        <v>9.9502487562188897E-3</v>
      </c>
      <c r="M92">
        <v>90</v>
      </c>
      <c r="N92" t="s">
        <v>11024</v>
      </c>
      <c r="O92">
        <f t="shared" si="11"/>
        <v>9</v>
      </c>
      <c r="P92" s="7">
        <f t="shared" si="9"/>
        <v>5.8150052981159381E-5</v>
      </c>
      <c r="Q92" s="5">
        <f t="shared" si="12"/>
        <v>0.99622670767322219</v>
      </c>
      <c r="R92" s="4">
        <f t="shared" si="10"/>
        <v>2.9498525073746312E-3</v>
      </c>
      <c r="S92" s="8">
        <f t="shared" si="13"/>
        <v>0.26548672566371617</v>
      </c>
      <c r="T92" s="8"/>
      <c r="U92" s="8"/>
      <c r="V92" s="8"/>
    </row>
    <row r="93" spans="1:22" x14ac:dyDescent="0.25">
      <c r="A93" t="s">
        <v>8789</v>
      </c>
      <c r="C93" t="s">
        <v>8790</v>
      </c>
      <c r="D93" t="s">
        <v>5</v>
      </c>
      <c r="E93" t="s">
        <v>6</v>
      </c>
      <c r="F93" t="s">
        <v>251</v>
      </c>
      <c r="G93">
        <v>377</v>
      </c>
      <c r="H93" s="2">
        <f>Tabelle13[[#This Row],[commits]]/Tabelle13[[#Totals],[commits]]</f>
        <v>1.7522169960400825E-3</v>
      </c>
      <c r="I93" s="5">
        <f>Tabelle13[[#This Row],[%]]+I92</f>
        <v>0.54275037647102609</v>
      </c>
      <c r="J93" s="4">
        <f t="shared" si="8"/>
        <v>1.105583195135434E-4</v>
      </c>
      <c r="K93" s="5">
        <f t="shared" si="14"/>
        <v>1.0060807075732432E-2</v>
      </c>
      <c r="M93">
        <v>91</v>
      </c>
      <c r="N93" t="s">
        <v>11367</v>
      </c>
      <c r="O93">
        <f t="shared" si="11"/>
        <v>9</v>
      </c>
      <c r="P93" s="7">
        <f t="shared" si="9"/>
        <v>5.8150052981159381E-5</v>
      </c>
      <c r="Q93" s="5">
        <f t="shared" si="12"/>
        <v>0.99628485772620334</v>
      </c>
      <c r="R93" s="4">
        <f t="shared" si="10"/>
        <v>2.9498525073746312E-3</v>
      </c>
      <c r="S93" s="8">
        <f t="shared" si="13"/>
        <v>0.26843657817109079</v>
      </c>
      <c r="T93" s="8"/>
      <c r="U93" s="8"/>
      <c r="V93" s="8"/>
    </row>
    <row r="94" spans="1:22" x14ac:dyDescent="0.25">
      <c r="A94" t="s">
        <v>8791</v>
      </c>
      <c r="C94" t="s">
        <v>8792</v>
      </c>
      <c r="D94" t="s">
        <v>309</v>
      </c>
      <c r="E94" t="s">
        <v>6</v>
      </c>
      <c r="F94" t="s">
        <v>251</v>
      </c>
      <c r="G94">
        <v>377</v>
      </c>
      <c r="H94" s="2">
        <f>Tabelle13[[#This Row],[commits]]/Tabelle13[[#Totals],[commits]]</f>
        <v>1.7522169960400825E-3</v>
      </c>
      <c r="I94" s="5">
        <f>Tabelle13[[#This Row],[%]]+I93</f>
        <v>0.5445025934670662</v>
      </c>
      <c r="J94" s="4">
        <f t="shared" si="8"/>
        <v>1.105583195135434E-4</v>
      </c>
      <c r="K94" s="5">
        <f t="shared" si="14"/>
        <v>1.0171365395245975E-2</v>
      </c>
      <c r="M94">
        <v>92</v>
      </c>
      <c r="N94" t="s">
        <v>10828</v>
      </c>
      <c r="O94">
        <f t="shared" si="11"/>
        <v>8</v>
      </c>
      <c r="P94" s="7">
        <f t="shared" si="9"/>
        <v>5.1688935983252787E-5</v>
      </c>
      <c r="Q94" s="5">
        <f t="shared" si="12"/>
        <v>0.99633654666218663</v>
      </c>
      <c r="R94" s="4">
        <f t="shared" si="10"/>
        <v>2.9498525073746312E-3</v>
      </c>
      <c r="S94" s="8">
        <f t="shared" si="13"/>
        <v>0.27138643067846541</v>
      </c>
      <c r="T94" s="8"/>
      <c r="U94" s="8"/>
      <c r="V94" s="8"/>
    </row>
    <row r="95" spans="1:22" x14ac:dyDescent="0.25">
      <c r="A95" t="s">
        <v>2248</v>
      </c>
      <c r="C95" t="s">
        <v>2249</v>
      </c>
      <c r="D95" t="s">
        <v>309</v>
      </c>
      <c r="E95" t="s">
        <v>6</v>
      </c>
      <c r="F95" t="s">
        <v>724</v>
      </c>
      <c r="G95">
        <v>375</v>
      </c>
      <c r="H95" s="2">
        <f>Tabelle13[[#This Row],[commits]]/Tabelle13[[#Totals],[commits]]</f>
        <v>1.7429214151592333E-3</v>
      </c>
      <c r="I95" s="5">
        <f>Tabelle13[[#This Row],[%]]+I94</f>
        <v>0.54624551488222539</v>
      </c>
      <c r="J95" s="4">
        <f t="shared" si="8"/>
        <v>1.105583195135434E-4</v>
      </c>
      <c r="K95" s="5">
        <f t="shared" si="14"/>
        <v>1.0281923714759517E-2</v>
      </c>
      <c r="M95">
        <v>93</v>
      </c>
      <c r="N95" t="s">
        <v>10859</v>
      </c>
      <c r="O95">
        <f t="shared" si="11"/>
        <v>8</v>
      </c>
      <c r="P95" s="7">
        <f t="shared" si="9"/>
        <v>5.1688935983252787E-5</v>
      </c>
      <c r="Q95" s="5">
        <f t="shared" si="12"/>
        <v>0.99638823559816991</v>
      </c>
      <c r="R95" s="4">
        <f t="shared" si="10"/>
        <v>2.9498525073746312E-3</v>
      </c>
      <c r="S95" s="8">
        <f t="shared" si="13"/>
        <v>0.27433628318584002</v>
      </c>
      <c r="T95" s="8"/>
      <c r="U95" s="8"/>
      <c r="V95" s="8"/>
    </row>
    <row r="96" spans="1:22" x14ac:dyDescent="0.25">
      <c r="A96" t="s">
        <v>8793</v>
      </c>
      <c r="C96" t="s">
        <v>8794</v>
      </c>
      <c r="D96" t="s">
        <v>5</v>
      </c>
      <c r="E96" t="s">
        <v>6</v>
      </c>
      <c r="F96" t="s">
        <v>251</v>
      </c>
      <c r="G96">
        <v>375</v>
      </c>
      <c r="H96" s="2">
        <f>Tabelle13[[#This Row],[commits]]/Tabelle13[[#Totals],[commits]]</f>
        <v>1.7429214151592333E-3</v>
      </c>
      <c r="I96" s="5">
        <f>Tabelle13[[#This Row],[%]]+I95</f>
        <v>0.54798843629738458</v>
      </c>
      <c r="J96" s="4">
        <f t="shared" si="8"/>
        <v>1.105583195135434E-4</v>
      </c>
      <c r="K96" s="5">
        <f t="shared" si="14"/>
        <v>1.039248203427306E-2</v>
      </c>
      <c r="M96">
        <v>94</v>
      </c>
      <c r="N96" t="s">
        <v>11354</v>
      </c>
      <c r="O96">
        <f t="shared" si="11"/>
        <v>8</v>
      </c>
      <c r="P96" s="7">
        <f t="shared" si="9"/>
        <v>5.1688935983252787E-5</v>
      </c>
      <c r="Q96" s="5">
        <f t="shared" si="12"/>
        <v>0.9964399245341532</v>
      </c>
      <c r="R96" s="4">
        <f t="shared" si="10"/>
        <v>2.9498525073746312E-3</v>
      </c>
      <c r="S96" s="8">
        <f t="shared" si="13"/>
        <v>0.27728613569321464</v>
      </c>
      <c r="T96" s="8"/>
      <c r="U96" s="8"/>
      <c r="V96" s="8"/>
    </row>
    <row r="97" spans="1:22" x14ac:dyDescent="0.25">
      <c r="A97" t="s">
        <v>8795</v>
      </c>
      <c r="C97" t="s">
        <v>8796</v>
      </c>
      <c r="D97" t="s">
        <v>309</v>
      </c>
      <c r="E97" t="s">
        <v>6</v>
      </c>
      <c r="F97" t="s">
        <v>251</v>
      </c>
      <c r="G97">
        <v>374</v>
      </c>
      <c r="H97" s="2">
        <f>Tabelle13[[#This Row],[commits]]/Tabelle13[[#Totals],[commits]]</f>
        <v>1.7382736247188086E-3</v>
      </c>
      <c r="I97" s="5">
        <f>Tabelle13[[#This Row],[%]]+I96</f>
        <v>0.54972670992210337</v>
      </c>
      <c r="J97" s="4">
        <f t="shared" si="8"/>
        <v>1.105583195135434E-4</v>
      </c>
      <c r="K97" s="5">
        <f t="shared" si="14"/>
        <v>1.0503040353786602E-2</v>
      </c>
      <c r="M97">
        <v>95</v>
      </c>
      <c r="N97" t="s">
        <v>11502</v>
      </c>
      <c r="O97">
        <f t="shared" si="11"/>
        <v>8</v>
      </c>
      <c r="P97" s="7">
        <f t="shared" si="9"/>
        <v>5.1688935983252787E-5</v>
      </c>
      <c r="Q97" s="5">
        <f t="shared" si="12"/>
        <v>0.99649161347013648</v>
      </c>
      <c r="R97" s="4">
        <f t="shared" si="10"/>
        <v>2.9498525073746312E-3</v>
      </c>
      <c r="S97" s="8">
        <f t="shared" si="13"/>
        <v>0.28023598820058926</v>
      </c>
      <c r="T97" s="8"/>
      <c r="U97" s="8"/>
      <c r="V97" s="8"/>
    </row>
    <row r="98" spans="1:22" x14ac:dyDescent="0.25">
      <c r="A98" t="s">
        <v>2250</v>
      </c>
      <c r="C98" t="s">
        <v>2251</v>
      </c>
      <c r="D98" t="s">
        <v>5</v>
      </c>
      <c r="E98" t="s">
        <v>6</v>
      </c>
      <c r="F98" t="s">
        <v>724</v>
      </c>
      <c r="G98">
        <v>371</v>
      </c>
      <c r="H98" s="2">
        <f>Tabelle13[[#This Row],[commits]]/Tabelle13[[#Totals],[commits]]</f>
        <v>1.7243302533975348E-3</v>
      </c>
      <c r="I98" s="5">
        <f>Tabelle13[[#This Row],[%]]+I97</f>
        <v>0.55145104017550095</v>
      </c>
      <c r="J98" s="4">
        <f t="shared" si="8"/>
        <v>1.105583195135434E-4</v>
      </c>
      <c r="K98" s="5">
        <f t="shared" si="14"/>
        <v>1.0613598673300145E-2</v>
      </c>
      <c r="M98">
        <v>96</v>
      </c>
      <c r="N98" t="s">
        <v>11709</v>
      </c>
      <c r="O98">
        <f t="shared" si="11"/>
        <v>8</v>
      </c>
      <c r="P98" s="7">
        <f t="shared" si="9"/>
        <v>5.1688935983252787E-5</v>
      </c>
      <c r="Q98" s="5">
        <f t="shared" si="12"/>
        <v>0.99654330240611977</v>
      </c>
      <c r="R98" s="4">
        <f t="shared" si="10"/>
        <v>2.9498525073746312E-3</v>
      </c>
      <c r="S98" s="8">
        <f t="shared" si="13"/>
        <v>0.28318584070796388</v>
      </c>
      <c r="T98" s="8"/>
      <c r="U98" s="8"/>
      <c r="V98" s="8"/>
    </row>
    <row r="99" spans="1:22" x14ac:dyDescent="0.25">
      <c r="A99" t="s">
        <v>8797</v>
      </c>
      <c r="C99" t="s">
        <v>8798</v>
      </c>
      <c r="D99" t="s">
        <v>309</v>
      </c>
      <c r="E99" t="s">
        <v>6</v>
      </c>
      <c r="F99" t="s">
        <v>251</v>
      </c>
      <c r="G99">
        <v>371</v>
      </c>
      <c r="H99" s="2">
        <f>Tabelle13[[#This Row],[commits]]/Tabelle13[[#Totals],[commits]]</f>
        <v>1.7243302533975348E-3</v>
      </c>
      <c r="I99" s="5">
        <f>Tabelle13[[#This Row],[%]]+I98</f>
        <v>0.55317537042889853</v>
      </c>
      <c r="J99" s="4">
        <f t="shared" si="8"/>
        <v>1.105583195135434E-4</v>
      </c>
      <c r="K99" s="5">
        <f t="shared" si="14"/>
        <v>1.0724156992813687E-2</v>
      </c>
      <c r="M99">
        <v>97</v>
      </c>
      <c r="N99" t="s">
        <v>5387</v>
      </c>
      <c r="O99">
        <f t="shared" si="11"/>
        <v>7</v>
      </c>
      <c r="P99" s="7">
        <f t="shared" ref="P99:P130" si="15">O99/$O$343</f>
        <v>4.5227818985346187E-5</v>
      </c>
      <c r="Q99" s="5">
        <f t="shared" si="12"/>
        <v>0.99658853022510507</v>
      </c>
      <c r="R99" s="4">
        <f t="shared" si="10"/>
        <v>2.9498525073746312E-3</v>
      </c>
      <c r="S99" s="8">
        <f t="shared" si="13"/>
        <v>0.28613569321533849</v>
      </c>
      <c r="T99" s="8"/>
      <c r="U99" s="8"/>
      <c r="V99" s="8"/>
    </row>
    <row r="100" spans="1:22" x14ac:dyDescent="0.25">
      <c r="A100" t="s">
        <v>2252</v>
      </c>
      <c r="C100" t="s">
        <v>2253</v>
      </c>
      <c r="D100" t="s">
        <v>5</v>
      </c>
      <c r="E100" t="s">
        <v>6</v>
      </c>
      <c r="F100" t="s">
        <v>724</v>
      </c>
      <c r="G100">
        <v>369</v>
      </c>
      <c r="H100" s="2">
        <f>Tabelle13[[#This Row],[commits]]/Tabelle13[[#Totals],[commits]]</f>
        <v>1.7150346725166856E-3</v>
      </c>
      <c r="I100" s="5">
        <f>Tabelle13[[#This Row],[%]]+I99</f>
        <v>0.55489040510141519</v>
      </c>
      <c r="J100" s="4">
        <f t="shared" si="8"/>
        <v>1.105583195135434E-4</v>
      </c>
      <c r="K100" s="5">
        <f t="shared" si="14"/>
        <v>1.083471531232723E-2</v>
      </c>
      <c r="M100">
        <v>98</v>
      </c>
      <c r="N100" t="s">
        <v>10976</v>
      </c>
      <c r="O100">
        <f t="shared" si="11"/>
        <v>7</v>
      </c>
      <c r="P100" s="7">
        <f t="shared" si="15"/>
        <v>4.5227818985346187E-5</v>
      </c>
      <c r="Q100" s="5">
        <f t="shared" si="12"/>
        <v>0.99663375804409038</v>
      </c>
      <c r="R100" s="4">
        <f t="shared" si="10"/>
        <v>2.9498525073746312E-3</v>
      </c>
      <c r="S100" s="8">
        <f t="shared" si="13"/>
        <v>0.28908554572271311</v>
      </c>
      <c r="T100" s="8"/>
      <c r="U100" s="8"/>
      <c r="V100" s="8"/>
    </row>
    <row r="101" spans="1:22" x14ac:dyDescent="0.25">
      <c r="A101" t="s">
        <v>16</v>
      </c>
      <c r="C101" t="s">
        <v>17</v>
      </c>
      <c r="D101" t="s">
        <v>5</v>
      </c>
      <c r="E101" t="s">
        <v>6</v>
      </c>
      <c r="F101" t="s">
        <v>7</v>
      </c>
      <c r="G101">
        <v>365</v>
      </c>
      <c r="H101" s="2">
        <f>Tabelle13[[#This Row],[commits]]/Tabelle13[[#Totals],[commits]]</f>
        <v>1.6964435107549871E-3</v>
      </c>
      <c r="I101" s="5">
        <f>Tabelle13[[#This Row],[%]]+I100</f>
        <v>0.55658684861217023</v>
      </c>
      <c r="J101" s="4">
        <f t="shared" si="8"/>
        <v>1.105583195135434E-4</v>
      </c>
      <c r="K101" s="5">
        <f t="shared" si="14"/>
        <v>1.0945273631840773E-2</v>
      </c>
      <c r="M101">
        <v>99</v>
      </c>
      <c r="N101" t="s">
        <v>10993</v>
      </c>
      <c r="O101">
        <f t="shared" si="11"/>
        <v>7</v>
      </c>
      <c r="P101" s="7">
        <f t="shared" si="15"/>
        <v>4.5227818985346187E-5</v>
      </c>
      <c r="Q101" s="5">
        <f t="shared" si="12"/>
        <v>0.99667898586307568</v>
      </c>
      <c r="R101" s="4">
        <f t="shared" si="10"/>
        <v>2.9498525073746312E-3</v>
      </c>
      <c r="S101" s="8">
        <f t="shared" si="13"/>
        <v>0.29203539823008773</v>
      </c>
      <c r="T101" s="8"/>
      <c r="U101" s="8"/>
      <c r="V101" s="8"/>
    </row>
    <row r="102" spans="1:22" x14ac:dyDescent="0.25">
      <c r="A102" t="s">
        <v>8799</v>
      </c>
      <c r="C102" t="s">
        <v>8800</v>
      </c>
      <c r="D102" t="s">
        <v>309</v>
      </c>
      <c r="E102" t="s">
        <v>6</v>
      </c>
      <c r="F102" t="s">
        <v>251</v>
      </c>
      <c r="G102">
        <v>365</v>
      </c>
      <c r="H102" s="2">
        <f>Tabelle13[[#This Row],[commits]]/Tabelle13[[#Totals],[commits]]</f>
        <v>1.6964435107549871E-3</v>
      </c>
      <c r="I102" s="5">
        <f>Tabelle13[[#This Row],[%]]+I101</f>
        <v>0.55828329212292527</v>
      </c>
      <c r="J102" s="4">
        <f t="shared" si="8"/>
        <v>1.105583195135434E-4</v>
      </c>
      <c r="K102" s="5">
        <f t="shared" si="14"/>
        <v>1.1055831951354315E-2</v>
      </c>
      <c r="M102">
        <v>100</v>
      </c>
      <c r="N102" t="s">
        <v>11146</v>
      </c>
      <c r="O102">
        <f t="shared" si="11"/>
        <v>7</v>
      </c>
      <c r="P102" s="7">
        <f t="shared" si="15"/>
        <v>4.5227818985346187E-5</v>
      </c>
      <c r="Q102" s="5">
        <f t="shared" si="12"/>
        <v>0.99672421368206099</v>
      </c>
      <c r="R102" s="4">
        <f t="shared" si="10"/>
        <v>2.9498525073746312E-3</v>
      </c>
      <c r="S102" s="8">
        <f t="shared" si="13"/>
        <v>0.29498525073746235</v>
      </c>
      <c r="T102" s="8"/>
      <c r="U102" s="8"/>
      <c r="V102" s="8"/>
    </row>
    <row r="103" spans="1:22" x14ac:dyDescent="0.25">
      <c r="A103" t="s">
        <v>18</v>
      </c>
      <c r="C103" t="s">
        <v>19</v>
      </c>
      <c r="D103" t="s">
        <v>5</v>
      </c>
      <c r="E103" t="s">
        <v>6</v>
      </c>
      <c r="F103" t="s">
        <v>7</v>
      </c>
      <c r="G103">
        <v>362</v>
      </c>
      <c r="H103" s="2">
        <f>Tabelle13[[#This Row],[commits]]/Tabelle13[[#Totals],[commits]]</f>
        <v>1.6825001394337132E-3</v>
      </c>
      <c r="I103" s="5">
        <f>Tabelle13[[#This Row],[%]]+I102</f>
        <v>0.55996579226235899</v>
      </c>
      <c r="J103" s="4">
        <f t="shared" si="8"/>
        <v>1.105583195135434E-4</v>
      </c>
      <c r="K103" s="5">
        <f t="shared" si="14"/>
        <v>1.1166390270867858E-2</v>
      </c>
      <c r="M103">
        <v>101</v>
      </c>
      <c r="N103" t="s">
        <v>11359</v>
      </c>
      <c r="O103">
        <f t="shared" si="11"/>
        <v>7</v>
      </c>
      <c r="P103" s="7">
        <f t="shared" si="15"/>
        <v>4.5227818985346187E-5</v>
      </c>
      <c r="Q103" s="5">
        <f t="shared" si="12"/>
        <v>0.99676944150104629</v>
      </c>
      <c r="R103" s="4">
        <f t="shared" si="10"/>
        <v>2.9498525073746312E-3</v>
      </c>
      <c r="S103" s="8">
        <f t="shared" si="13"/>
        <v>0.29793510324483696</v>
      </c>
      <c r="T103" s="8"/>
      <c r="U103" s="8"/>
      <c r="V103" s="8"/>
    </row>
    <row r="104" spans="1:22" x14ac:dyDescent="0.25">
      <c r="A104" t="s">
        <v>8801</v>
      </c>
      <c r="C104" t="s">
        <v>8802</v>
      </c>
      <c r="D104" t="s">
        <v>309</v>
      </c>
      <c r="E104" t="s">
        <v>6</v>
      </c>
      <c r="F104" t="s">
        <v>251</v>
      </c>
      <c r="G104">
        <v>362</v>
      </c>
      <c r="H104" s="2">
        <f>Tabelle13[[#This Row],[commits]]/Tabelle13[[#Totals],[commits]]</f>
        <v>1.6825001394337132E-3</v>
      </c>
      <c r="I104" s="5">
        <f>Tabelle13[[#This Row],[%]]+I103</f>
        <v>0.5616482924017927</v>
      </c>
      <c r="J104" s="4">
        <f t="shared" si="8"/>
        <v>1.105583195135434E-4</v>
      </c>
      <c r="K104" s="5">
        <f t="shared" si="14"/>
        <v>1.12769485903814E-2</v>
      </c>
      <c r="M104">
        <v>102</v>
      </c>
      <c r="N104" t="s">
        <v>11686</v>
      </c>
      <c r="O104">
        <f t="shared" si="11"/>
        <v>7</v>
      </c>
      <c r="P104" s="7">
        <f t="shared" si="15"/>
        <v>4.5227818985346187E-5</v>
      </c>
      <c r="Q104" s="5">
        <f t="shared" si="12"/>
        <v>0.9968146693200316</v>
      </c>
      <c r="R104" s="4">
        <f t="shared" si="10"/>
        <v>2.9498525073746312E-3</v>
      </c>
      <c r="S104" s="8">
        <f t="shared" si="13"/>
        <v>0.30088495575221158</v>
      </c>
      <c r="T104" s="8"/>
      <c r="U104" s="8"/>
      <c r="V104" s="8"/>
    </row>
    <row r="105" spans="1:22" x14ac:dyDescent="0.25">
      <c r="A105" t="s">
        <v>8803</v>
      </c>
      <c r="C105" t="s">
        <v>8804</v>
      </c>
      <c r="D105" t="s">
        <v>8760</v>
      </c>
      <c r="E105" t="s">
        <v>6</v>
      </c>
      <c r="F105" t="s">
        <v>251</v>
      </c>
      <c r="G105">
        <v>359</v>
      </c>
      <c r="H105" s="2">
        <f>Tabelle13[[#This Row],[commits]]/Tabelle13[[#Totals],[commits]]</f>
        <v>1.6685567681124394E-3</v>
      </c>
      <c r="I105" s="5">
        <f>Tabelle13[[#This Row],[%]]+I104</f>
        <v>0.5633168491699051</v>
      </c>
      <c r="J105" s="4">
        <f t="shared" si="8"/>
        <v>1.105583195135434E-4</v>
      </c>
      <c r="K105" s="5">
        <f t="shared" si="14"/>
        <v>1.1387506909894943E-2</v>
      </c>
      <c r="M105">
        <v>103</v>
      </c>
      <c r="N105" t="s">
        <v>11717</v>
      </c>
      <c r="O105">
        <f t="shared" si="11"/>
        <v>7</v>
      </c>
      <c r="P105" s="7">
        <f t="shared" si="15"/>
        <v>4.5227818985346187E-5</v>
      </c>
      <c r="Q105" s="5">
        <f t="shared" si="12"/>
        <v>0.9968598971390169</v>
      </c>
      <c r="R105" s="4">
        <f t="shared" si="10"/>
        <v>2.9498525073746312E-3</v>
      </c>
      <c r="S105" s="8">
        <f t="shared" si="13"/>
        <v>0.3038348082595862</v>
      </c>
      <c r="T105" s="8"/>
      <c r="U105" s="8"/>
      <c r="V105" s="8"/>
    </row>
    <row r="106" spans="1:22" x14ac:dyDescent="0.25">
      <c r="A106" t="s">
        <v>8805</v>
      </c>
      <c r="C106" t="s">
        <v>8806</v>
      </c>
      <c r="D106" t="s">
        <v>309</v>
      </c>
      <c r="E106" t="s">
        <v>6</v>
      </c>
      <c r="F106" t="s">
        <v>251</v>
      </c>
      <c r="G106">
        <v>359</v>
      </c>
      <c r="H106" s="2">
        <f>Tabelle13[[#This Row],[commits]]/Tabelle13[[#Totals],[commits]]</f>
        <v>1.6685567681124394E-3</v>
      </c>
      <c r="I106" s="5">
        <f>Tabelle13[[#This Row],[%]]+I105</f>
        <v>0.56498540593801749</v>
      </c>
      <c r="J106" s="4">
        <f t="shared" si="8"/>
        <v>1.105583195135434E-4</v>
      </c>
      <c r="K106" s="5">
        <f t="shared" si="14"/>
        <v>1.1498065229408485E-2</v>
      </c>
      <c r="M106">
        <v>104</v>
      </c>
      <c r="N106" t="s">
        <v>11836</v>
      </c>
      <c r="O106">
        <f t="shared" si="11"/>
        <v>7</v>
      </c>
      <c r="P106" s="7">
        <f t="shared" si="15"/>
        <v>4.5227818985346187E-5</v>
      </c>
      <c r="Q106" s="5">
        <f t="shared" si="12"/>
        <v>0.99690512495800221</v>
      </c>
      <c r="R106" s="4">
        <f t="shared" si="10"/>
        <v>2.9498525073746312E-3</v>
      </c>
      <c r="S106" s="8">
        <f t="shared" si="13"/>
        <v>0.30678466076696081</v>
      </c>
      <c r="T106" s="8"/>
      <c r="U106" s="8"/>
      <c r="V106" s="8"/>
    </row>
    <row r="107" spans="1:22" x14ac:dyDescent="0.25">
      <c r="A107" t="s">
        <v>2254</v>
      </c>
      <c r="C107" t="s">
        <v>2255</v>
      </c>
      <c r="D107" t="s">
        <v>5</v>
      </c>
      <c r="E107" t="s">
        <v>6</v>
      </c>
      <c r="F107" t="s">
        <v>724</v>
      </c>
      <c r="G107">
        <v>349</v>
      </c>
      <c r="H107" s="2">
        <f>Tabelle13[[#This Row],[commits]]/Tabelle13[[#Totals],[commits]]</f>
        <v>1.6220788637081932E-3</v>
      </c>
      <c r="I107" s="5">
        <f>Tabelle13[[#This Row],[%]]+I106</f>
        <v>0.56660748480172574</v>
      </c>
      <c r="J107" s="4">
        <f t="shared" si="8"/>
        <v>1.105583195135434E-4</v>
      </c>
      <c r="K107" s="5">
        <f t="shared" si="14"/>
        <v>1.1608623548922028E-2</v>
      </c>
      <c r="M107">
        <v>105</v>
      </c>
      <c r="N107" t="s">
        <v>11088</v>
      </c>
      <c r="O107">
        <f t="shared" si="11"/>
        <v>6</v>
      </c>
      <c r="P107" s="7">
        <f t="shared" si="15"/>
        <v>3.8766701987439587E-5</v>
      </c>
      <c r="Q107" s="5">
        <f t="shared" si="12"/>
        <v>0.99694389165998964</v>
      </c>
      <c r="R107" s="4">
        <f t="shared" si="10"/>
        <v>2.9498525073746312E-3</v>
      </c>
      <c r="S107" s="8">
        <f t="shared" si="13"/>
        <v>0.30973451327433543</v>
      </c>
      <c r="T107" s="8"/>
      <c r="U107" s="8"/>
      <c r="V107" s="8"/>
    </row>
    <row r="108" spans="1:22" x14ac:dyDescent="0.25">
      <c r="A108" t="s">
        <v>8807</v>
      </c>
      <c r="C108" t="s">
        <v>8808</v>
      </c>
      <c r="D108" t="s">
        <v>309</v>
      </c>
      <c r="E108" t="s">
        <v>6</v>
      </c>
      <c r="F108" t="s">
        <v>251</v>
      </c>
      <c r="G108">
        <v>349</v>
      </c>
      <c r="H108" s="2">
        <f>Tabelle13[[#This Row],[commits]]/Tabelle13[[#Totals],[commits]]</f>
        <v>1.6220788637081932E-3</v>
      </c>
      <c r="I108" s="5">
        <f>Tabelle13[[#This Row],[%]]+I107</f>
        <v>0.56822956366543398</v>
      </c>
      <c r="J108" s="4">
        <f t="shared" si="8"/>
        <v>1.105583195135434E-4</v>
      </c>
      <c r="K108" s="5">
        <f t="shared" si="14"/>
        <v>1.171918186843557E-2</v>
      </c>
      <c r="M108">
        <v>106</v>
      </c>
      <c r="N108" t="s">
        <v>11117</v>
      </c>
      <c r="O108">
        <f t="shared" si="11"/>
        <v>6</v>
      </c>
      <c r="P108" s="7">
        <f t="shared" si="15"/>
        <v>3.8766701987439587E-5</v>
      </c>
      <c r="Q108" s="5">
        <f t="shared" si="12"/>
        <v>0.99698265836197708</v>
      </c>
      <c r="R108" s="4">
        <f t="shared" si="10"/>
        <v>2.9498525073746312E-3</v>
      </c>
      <c r="S108" s="8">
        <f t="shared" si="13"/>
        <v>0.31268436578171005</v>
      </c>
      <c r="T108" s="8"/>
      <c r="U108" s="8"/>
      <c r="V108" s="8"/>
    </row>
    <row r="109" spans="1:22" x14ac:dyDescent="0.25">
      <c r="A109" t="s">
        <v>8809</v>
      </c>
      <c r="C109" t="s">
        <v>8810</v>
      </c>
      <c r="D109" t="s">
        <v>309</v>
      </c>
      <c r="E109" t="s">
        <v>6</v>
      </c>
      <c r="F109" t="s">
        <v>251</v>
      </c>
      <c r="G109">
        <v>348</v>
      </c>
      <c r="H109" s="2">
        <f>Tabelle13[[#This Row],[commits]]/Tabelle13[[#Totals],[commits]]</f>
        <v>1.6174310732677685E-3</v>
      </c>
      <c r="I109" s="5">
        <f>Tabelle13[[#This Row],[%]]+I108</f>
        <v>0.56984699473870171</v>
      </c>
      <c r="J109" s="4">
        <f t="shared" si="8"/>
        <v>1.105583195135434E-4</v>
      </c>
      <c r="K109" s="5">
        <f t="shared" si="14"/>
        <v>1.1829740187949113E-2</v>
      </c>
      <c r="M109">
        <v>107</v>
      </c>
      <c r="N109" t="s">
        <v>11136</v>
      </c>
      <c r="O109">
        <f t="shared" si="11"/>
        <v>6</v>
      </c>
      <c r="P109" s="7">
        <f t="shared" si="15"/>
        <v>3.8766701987439587E-5</v>
      </c>
      <c r="Q109" s="5">
        <f t="shared" si="12"/>
        <v>0.99702142506396452</v>
      </c>
      <c r="R109" s="4">
        <f t="shared" si="10"/>
        <v>2.9498525073746312E-3</v>
      </c>
      <c r="S109" s="8">
        <f t="shared" si="13"/>
        <v>0.31563421828908467</v>
      </c>
      <c r="T109" s="8"/>
      <c r="U109" s="8"/>
      <c r="V109" s="8"/>
    </row>
    <row r="110" spans="1:22" x14ac:dyDescent="0.25">
      <c r="A110" t="s">
        <v>8811</v>
      </c>
      <c r="C110" t="s">
        <v>8812</v>
      </c>
      <c r="D110" t="s">
        <v>309</v>
      </c>
      <c r="E110" t="s">
        <v>6</v>
      </c>
      <c r="F110" t="s">
        <v>251</v>
      </c>
      <c r="G110">
        <v>337</v>
      </c>
      <c r="H110" s="2">
        <f>Tabelle13[[#This Row],[commits]]/Tabelle13[[#Totals],[commits]]</f>
        <v>1.5663053784230976E-3</v>
      </c>
      <c r="I110" s="5">
        <f>Tabelle13[[#This Row],[%]]+I109</f>
        <v>0.57141330011712477</v>
      </c>
      <c r="J110" s="4">
        <f t="shared" si="8"/>
        <v>1.105583195135434E-4</v>
      </c>
      <c r="K110" s="5">
        <f t="shared" si="14"/>
        <v>1.1940298507462655E-2</v>
      </c>
      <c r="M110">
        <v>108</v>
      </c>
      <c r="N110" t="s">
        <v>11151</v>
      </c>
      <c r="O110">
        <f t="shared" si="11"/>
        <v>6</v>
      </c>
      <c r="P110" s="7">
        <f t="shared" si="15"/>
        <v>3.8766701987439587E-5</v>
      </c>
      <c r="Q110" s="5">
        <f t="shared" si="12"/>
        <v>0.99706019176595195</v>
      </c>
      <c r="R110" s="4">
        <f t="shared" si="10"/>
        <v>2.9498525073746312E-3</v>
      </c>
      <c r="S110" s="8">
        <f t="shared" si="13"/>
        <v>0.31858407079645928</v>
      </c>
      <c r="T110" s="8"/>
      <c r="U110" s="8"/>
      <c r="V110" s="8"/>
    </row>
    <row r="111" spans="1:22" x14ac:dyDescent="0.25">
      <c r="A111" t="s">
        <v>2256</v>
      </c>
      <c r="C111" t="s">
        <v>2257</v>
      </c>
      <c r="D111" t="s">
        <v>5</v>
      </c>
      <c r="E111" t="s">
        <v>6</v>
      </c>
      <c r="F111" t="s">
        <v>724</v>
      </c>
      <c r="G111">
        <v>335</v>
      </c>
      <c r="H111" s="2">
        <f>Tabelle13[[#This Row],[commits]]/Tabelle13[[#Totals],[commits]]</f>
        <v>1.5570097975422484E-3</v>
      </c>
      <c r="I111" s="5">
        <f>Tabelle13[[#This Row],[%]]+I110</f>
        <v>0.57297030991466702</v>
      </c>
      <c r="J111" s="4">
        <f t="shared" si="8"/>
        <v>1.105583195135434E-4</v>
      </c>
      <c r="K111" s="5">
        <f t="shared" si="14"/>
        <v>1.2050856826976198E-2</v>
      </c>
      <c r="M111">
        <v>109</v>
      </c>
      <c r="N111" t="s">
        <v>11186</v>
      </c>
      <c r="O111">
        <f t="shared" si="11"/>
        <v>6</v>
      </c>
      <c r="P111" s="7">
        <f t="shared" si="15"/>
        <v>3.8766701987439587E-5</v>
      </c>
      <c r="Q111" s="5">
        <f t="shared" si="12"/>
        <v>0.99709895846793939</v>
      </c>
      <c r="R111" s="4">
        <f t="shared" si="10"/>
        <v>2.9498525073746312E-3</v>
      </c>
      <c r="S111" s="8">
        <f t="shared" si="13"/>
        <v>0.3215339233038339</v>
      </c>
      <c r="T111" s="8"/>
      <c r="U111" s="8"/>
      <c r="V111" s="8"/>
    </row>
    <row r="112" spans="1:22" x14ac:dyDescent="0.25">
      <c r="A112" t="s">
        <v>8813</v>
      </c>
      <c r="C112" t="s">
        <v>8814</v>
      </c>
      <c r="D112" t="s">
        <v>309</v>
      </c>
      <c r="E112" t="s">
        <v>6</v>
      </c>
      <c r="F112" t="s">
        <v>251</v>
      </c>
      <c r="G112">
        <v>335</v>
      </c>
      <c r="H112" s="2">
        <f>Tabelle13[[#This Row],[commits]]/Tabelle13[[#Totals],[commits]]</f>
        <v>1.5570097975422484E-3</v>
      </c>
      <c r="I112" s="5">
        <f>Tabelle13[[#This Row],[%]]+I111</f>
        <v>0.57452731971220927</v>
      </c>
      <c r="J112" s="4">
        <f t="shared" si="8"/>
        <v>1.105583195135434E-4</v>
      </c>
      <c r="K112" s="5">
        <f t="shared" si="14"/>
        <v>1.2161415146489741E-2</v>
      </c>
      <c r="M112">
        <v>110</v>
      </c>
      <c r="N112" t="s">
        <v>11221</v>
      </c>
      <c r="O112">
        <f t="shared" si="11"/>
        <v>6</v>
      </c>
      <c r="P112" s="7">
        <f t="shared" si="15"/>
        <v>3.8766701987439587E-5</v>
      </c>
      <c r="Q112" s="5">
        <f t="shared" si="12"/>
        <v>0.99713772516992683</v>
      </c>
      <c r="R112" s="4">
        <f t="shared" si="10"/>
        <v>2.9498525073746312E-3</v>
      </c>
      <c r="S112" s="8">
        <f t="shared" si="13"/>
        <v>0.32448377581120852</v>
      </c>
      <c r="T112" s="8"/>
      <c r="U112" s="8"/>
      <c r="V112" s="8"/>
    </row>
    <row r="113" spans="1:22" x14ac:dyDescent="0.25">
      <c r="A113" t="s">
        <v>8815</v>
      </c>
      <c r="C113" t="s">
        <v>8816</v>
      </c>
      <c r="D113" t="s">
        <v>309</v>
      </c>
      <c r="E113" t="s">
        <v>6</v>
      </c>
      <c r="F113" t="s">
        <v>251</v>
      </c>
      <c r="G113">
        <v>335</v>
      </c>
      <c r="H113" s="2">
        <f>Tabelle13[[#This Row],[commits]]/Tabelle13[[#Totals],[commits]]</f>
        <v>1.5570097975422484E-3</v>
      </c>
      <c r="I113" s="5">
        <f>Tabelle13[[#This Row],[%]]+I112</f>
        <v>0.57608432950975152</v>
      </c>
      <c r="J113" s="4">
        <f t="shared" si="8"/>
        <v>1.105583195135434E-4</v>
      </c>
      <c r="K113" s="5">
        <f t="shared" si="14"/>
        <v>1.2271973466003283E-2</v>
      </c>
      <c r="M113">
        <v>111</v>
      </c>
      <c r="N113" t="s">
        <v>3247</v>
      </c>
      <c r="O113">
        <f t="shared" si="11"/>
        <v>6</v>
      </c>
      <c r="P113" s="7">
        <f t="shared" si="15"/>
        <v>3.8766701987439587E-5</v>
      </c>
      <c r="Q113" s="5">
        <f t="shared" si="12"/>
        <v>0.99717649187191426</v>
      </c>
      <c r="R113" s="4">
        <f t="shared" si="10"/>
        <v>2.9498525073746312E-3</v>
      </c>
      <c r="S113" s="8">
        <f t="shared" si="13"/>
        <v>0.32743362831858314</v>
      </c>
      <c r="T113" s="8"/>
      <c r="U113" s="8"/>
      <c r="V113" s="8"/>
    </row>
    <row r="114" spans="1:22" x14ac:dyDescent="0.25">
      <c r="A114" t="s">
        <v>5185</v>
      </c>
      <c r="C114" t="s">
        <v>5186</v>
      </c>
      <c r="D114" t="s">
        <v>5175</v>
      </c>
      <c r="E114" t="s">
        <v>6</v>
      </c>
      <c r="F114" t="s">
        <v>28</v>
      </c>
      <c r="G114">
        <v>331</v>
      </c>
      <c r="H114" s="2">
        <f>Tabelle13[[#This Row],[commits]]/Tabelle13[[#Totals],[commits]]</f>
        <v>1.5384186357805499E-3</v>
      </c>
      <c r="I114" s="5">
        <f>Tabelle13[[#This Row],[%]]+I113</f>
        <v>0.57762274814553205</v>
      </c>
      <c r="J114" s="4">
        <f t="shared" si="8"/>
        <v>1.105583195135434E-4</v>
      </c>
      <c r="K114" s="5">
        <f t="shared" si="14"/>
        <v>1.2382531785516826E-2</v>
      </c>
      <c r="M114">
        <v>112</v>
      </c>
      <c r="N114" t="s">
        <v>162</v>
      </c>
      <c r="O114">
        <f t="shared" si="11"/>
        <v>5</v>
      </c>
      <c r="P114" s="7">
        <f t="shared" si="15"/>
        <v>3.2305584989532994E-5</v>
      </c>
      <c r="Q114" s="5">
        <f t="shared" si="12"/>
        <v>0.99720879745690383</v>
      </c>
      <c r="R114" s="4">
        <f t="shared" si="10"/>
        <v>2.9498525073746312E-3</v>
      </c>
      <c r="S114" s="8">
        <f t="shared" si="13"/>
        <v>0.33038348082595775</v>
      </c>
      <c r="T114" s="8"/>
      <c r="U114" s="8"/>
      <c r="V114" s="8"/>
    </row>
    <row r="115" spans="1:22" x14ac:dyDescent="0.25">
      <c r="A115" t="s">
        <v>8817</v>
      </c>
      <c r="C115" t="s">
        <v>8818</v>
      </c>
      <c r="D115" t="s">
        <v>309</v>
      </c>
      <c r="E115" t="s">
        <v>6</v>
      </c>
      <c r="F115" t="s">
        <v>251</v>
      </c>
      <c r="G115">
        <v>331</v>
      </c>
      <c r="H115" s="2">
        <f>Tabelle13[[#This Row],[commits]]/Tabelle13[[#Totals],[commits]]</f>
        <v>1.5384186357805499E-3</v>
      </c>
      <c r="I115" s="5">
        <f>Tabelle13[[#This Row],[%]]+I114</f>
        <v>0.57916116678131258</v>
      </c>
      <c r="J115" s="4">
        <f t="shared" si="8"/>
        <v>1.105583195135434E-4</v>
      </c>
      <c r="K115" s="5">
        <f t="shared" si="14"/>
        <v>1.2493090105030368E-2</v>
      </c>
      <c r="M115">
        <v>113</v>
      </c>
      <c r="N115" t="s">
        <v>177</v>
      </c>
      <c r="O115">
        <f t="shared" si="11"/>
        <v>5</v>
      </c>
      <c r="P115" s="7">
        <f t="shared" si="15"/>
        <v>3.2305584989532994E-5</v>
      </c>
      <c r="Q115" s="5">
        <f t="shared" si="12"/>
        <v>0.9972411030418934</v>
      </c>
      <c r="R115" s="4">
        <f t="shared" si="10"/>
        <v>2.9498525073746312E-3</v>
      </c>
      <c r="S115" s="8">
        <f t="shared" si="13"/>
        <v>0.33333333333333237</v>
      </c>
      <c r="T115" s="8"/>
      <c r="U115" s="8"/>
      <c r="V115" s="8"/>
    </row>
    <row r="116" spans="1:22" x14ac:dyDescent="0.25">
      <c r="A116" t="s">
        <v>8819</v>
      </c>
      <c r="C116" t="s">
        <v>8820</v>
      </c>
      <c r="D116" t="s">
        <v>309</v>
      </c>
      <c r="E116" t="s">
        <v>6</v>
      </c>
      <c r="F116" t="s">
        <v>251</v>
      </c>
      <c r="G116">
        <v>330</v>
      </c>
      <c r="H116" s="2">
        <f>Tabelle13[[#This Row],[commits]]/Tabelle13[[#Totals],[commits]]</f>
        <v>1.5337708453401252E-3</v>
      </c>
      <c r="I116" s="5">
        <f>Tabelle13[[#This Row],[%]]+I115</f>
        <v>0.5806949376266527</v>
      </c>
      <c r="J116" s="4">
        <f t="shared" si="8"/>
        <v>1.105583195135434E-4</v>
      </c>
      <c r="K116" s="5">
        <f t="shared" si="14"/>
        <v>1.2603648424543911E-2</v>
      </c>
      <c r="M116">
        <v>114</v>
      </c>
      <c r="N116" t="s">
        <v>5454</v>
      </c>
      <c r="O116">
        <f t="shared" si="11"/>
        <v>5</v>
      </c>
      <c r="P116" s="7">
        <f t="shared" si="15"/>
        <v>3.2305584989532994E-5</v>
      </c>
      <c r="Q116" s="5">
        <f t="shared" si="12"/>
        <v>0.99727340862688296</v>
      </c>
      <c r="R116" s="4">
        <f t="shared" si="10"/>
        <v>2.9498525073746312E-3</v>
      </c>
      <c r="S116" s="8">
        <f t="shared" si="13"/>
        <v>0.33628318584070699</v>
      </c>
      <c r="T116" s="8"/>
      <c r="U116" s="8"/>
      <c r="V116" s="8"/>
    </row>
    <row r="117" spans="1:22" x14ac:dyDescent="0.25">
      <c r="A117" t="s">
        <v>8821</v>
      </c>
      <c r="C117" t="s">
        <v>8822</v>
      </c>
      <c r="D117" t="s">
        <v>309</v>
      </c>
      <c r="E117" t="s">
        <v>6</v>
      </c>
      <c r="F117" t="s">
        <v>251</v>
      </c>
      <c r="G117">
        <v>328</v>
      </c>
      <c r="H117" s="2">
        <f>Tabelle13[[#This Row],[commits]]/Tabelle13[[#Totals],[commits]]</f>
        <v>1.5244752644592761E-3</v>
      </c>
      <c r="I117" s="5">
        <f>Tabelle13[[#This Row],[%]]+I116</f>
        <v>0.58221941289111201</v>
      </c>
      <c r="J117" s="4">
        <f t="shared" si="8"/>
        <v>1.105583195135434E-4</v>
      </c>
      <c r="K117" s="5">
        <f t="shared" si="14"/>
        <v>1.2714206744057453E-2</v>
      </c>
      <c r="M117">
        <v>115</v>
      </c>
      <c r="N117" t="s">
        <v>5492</v>
      </c>
      <c r="O117">
        <f t="shared" si="11"/>
        <v>5</v>
      </c>
      <c r="P117" s="7">
        <f t="shared" si="15"/>
        <v>3.2305584989532994E-5</v>
      </c>
      <c r="Q117" s="5">
        <f t="shared" si="12"/>
        <v>0.99730571421187253</v>
      </c>
      <c r="R117" s="4">
        <f t="shared" si="10"/>
        <v>2.9498525073746312E-3</v>
      </c>
      <c r="S117" s="8">
        <f t="shared" si="13"/>
        <v>0.33923303834808161</v>
      </c>
      <c r="T117" s="8"/>
      <c r="U117" s="8"/>
      <c r="V117" s="8"/>
    </row>
    <row r="118" spans="1:22" x14ac:dyDescent="0.25">
      <c r="A118" t="s">
        <v>8823</v>
      </c>
      <c r="C118" t="s">
        <v>8824</v>
      </c>
      <c r="D118" t="s">
        <v>309</v>
      </c>
      <c r="E118" t="s">
        <v>6</v>
      </c>
      <c r="F118" t="s">
        <v>251</v>
      </c>
      <c r="G118">
        <v>328</v>
      </c>
      <c r="H118" s="2">
        <f>Tabelle13[[#This Row],[commits]]/Tabelle13[[#Totals],[commits]]</f>
        <v>1.5244752644592761E-3</v>
      </c>
      <c r="I118" s="5">
        <f>Tabelle13[[#This Row],[%]]+I117</f>
        <v>0.58374388815557132</v>
      </c>
      <c r="J118" s="4">
        <f t="shared" si="8"/>
        <v>1.105583195135434E-4</v>
      </c>
      <c r="K118" s="5">
        <f t="shared" si="14"/>
        <v>1.2824765063570996E-2</v>
      </c>
      <c r="M118">
        <v>116</v>
      </c>
      <c r="N118" t="s">
        <v>5495</v>
      </c>
      <c r="O118">
        <f t="shared" si="11"/>
        <v>5</v>
      </c>
      <c r="P118" s="7">
        <f t="shared" si="15"/>
        <v>3.2305584989532994E-5</v>
      </c>
      <c r="Q118" s="5">
        <f t="shared" si="12"/>
        <v>0.9973380197968621</v>
      </c>
      <c r="R118" s="4">
        <f t="shared" si="10"/>
        <v>2.9498525073746312E-3</v>
      </c>
      <c r="S118" s="8">
        <f t="shared" si="13"/>
        <v>0.34218289085545622</v>
      </c>
      <c r="T118" s="8"/>
      <c r="U118" s="8"/>
      <c r="V118" s="8"/>
    </row>
    <row r="119" spans="1:22" x14ac:dyDescent="0.25">
      <c r="A119" t="s">
        <v>2258</v>
      </c>
      <c r="C119" t="s">
        <v>2259</v>
      </c>
      <c r="D119" t="s">
        <v>5</v>
      </c>
      <c r="E119" t="s">
        <v>6</v>
      </c>
      <c r="F119" t="s">
        <v>724</v>
      </c>
      <c r="G119">
        <v>325</v>
      </c>
      <c r="H119" s="2">
        <f>Tabelle13[[#This Row],[commits]]/Tabelle13[[#Totals],[commits]]</f>
        <v>1.5105318931380022E-3</v>
      </c>
      <c r="I119" s="5">
        <f>Tabelle13[[#This Row],[%]]+I118</f>
        <v>0.58525442004870931</v>
      </c>
      <c r="J119" s="4">
        <f t="shared" si="8"/>
        <v>1.105583195135434E-4</v>
      </c>
      <c r="K119" s="5">
        <f t="shared" si="14"/>
        <v>1.2935323383084538E-2</v>
      </c>
      <c r="M119">
        <v>117</v>
      </c>
      <c r="N119" t="s">
        <v>11266</v>
      </c>
      <c r="O119">
        <f t="shared" si="11"/>
        <v>5</v>
      </c>
      <c r="P119" s="7">
        <f t="shared" si="15"/>
        <v>3.2305584989532994E-5</v>
      </c>
      <c r="Q119" s="5">
        <f t="shared" si="12"/>
        <v>0.99737032538185166</v>
      </c>
      <c r="R119" s="4">
        <f t="shared" si="10"/>
        <v>2.9498525073746312E-3</v>
      </c>
      <c r="S119" s="8">
        <f t="shared" si="13"/>
        <v>0.34513274336283084</v>
      </c>
      <c r="T119" s="8"/>
      <c r="U119" s="8"/>
      <c r="V119" s="8"/>
    </row>
    <row r="120" spans="1:22" x14ac:dyDescent="0.25">
      <c r="A120" t="s">
        <v>8825</v>
      </c>
      <c r="C120" t="s">
        <v>8826</v>
      </c>
      <c r="D120" t="s">
        <v>309</v>
      </c>
      <c r="E120" t="s">
        <v>6</v>
      </c>
      <c r="F120" t="s">
        <v>251</v>
      </c>
      <c r="G120">
        <v>324</v>
      </c>
      <c r="H120" s="2">
        <f>Tabelle13[[#This Row],[commits]]/Tabelle13[[#Totals],[commits]]</f>
        <v>1.5058841026975775E-3</v>
      </c>
      <c r="I120" s="5">
        <f>Tabelle13[[#This Row],[%]]+I119</f>
        <v>0.5867603041514069</v>
      </c>
      <c r="J120" s="4">
        <f t="shared" si="8"/>
        <v>1.105583195135434E-4</v>
      </c>
      <c r="K120" s="5">
        <f t="shared" si="14"/>
        <v>1.3045881702598081E-2</v>
      </c>
      <c r="M120">
        <v>118</v>
      </c>
      <c r="N120" t="s">
        <v>11287</v>
      </c>
      <c r="O120">
        <f t="shared" si="11"/>
        <v>5</v>
      </c>
      <c r="P120" s="7">
        <f t="shared" si="15"/>
        <v>3.2305584989532994E-5</v>
      </c>
      <c r="Q120" s="5">
        <f t="shared" si="12"/>
        <v>0.99740263096684123</v>
      </c>
      <c r="R120" s="4">
        <f t="shared" si="10"/>
        <v>2.9498525073746312E-3</v>
      </c>
      <c r="S120" s="8">
        <f t="shared" si="13"/>
        <v>0.34808259587020546</v>
      </c>
      <c r="T120" s="8"/>
      <c r="U120" s="8"/>
      <c r="V120" s="8"/>
    </row>
    <row r="121" spans="1:22" x14ac:dyDescent="0.25">
      <c r="A121" t="s">
        <v>8827</v>
      </c>
      <c r="C121" t="s">
        <v>8828</v>
      </c>
      <c r="D121" t="s">
        <v>309</v>
      </c>
      <c r="E121" t="s">
        <v>6</v>
      </c>
      <c r="F121" t="s">
        <v>251</v>
      </c>
      <c r="G121">
        <v>323</v>
      </c>
      <c r="H121" s="2">
        <f>Tabelle13[[#This Row],[commits]]/Tabelle13[[#Totals],[commits]]</f>
        <v>1.5012363122571531E-3</v>
      </c>
      <c r="I121" s="5">
        <f>Tabelle13[[#This Row],[%]]+I120</f>
        <v>0.58826154046366408</v>
      </c>
      <c r="J121" s="4">
        <f t="shared" si="8"/>
        <v>1.105583195135434E-4</v>
      </c>
      <c r="K121" s="5">
        <f t="shared" si="14"/>
        <v>1.3156440022111623E-2</v>
      </c>
      <c r="M121">
        <v>119</v>
      </c>
      <c r="N121" t="s">
        <v>11294</v>
      </c>
      <c r="O121">
        <f t="shared" si="11"/>
        <v>5</v>
      </c>
      <c r="P121" s="7">
        <f t="shared" si="15"/>
        <v>3.2305584989532994E-5</v>
      </c>
      <c r="Q121" s="5">
        <f t="shared" si="12"/>
        <v>0.9974349365518308</v>
      </c>
      <c r="R121" s="4">
        <f t="shared" si="10"/>
        <v>2.9498525073746312E-3</v>
      </c>
      <c r="S121" s="8">
        <f t="shared" si="13"/>
        <v>0.35103244837758008</v>
      </c>
      <c r="T121" s="8"/>
      <c r="U121" s="8"/>
      <c r="V121" s="8"/>
    </row>
    <row r="122" spans="1:22" x14ac:dyDescent="0.25">
      <c r="A122" t="s">
        <v>8829</v>
      </c>
      <c r="C122" t="s">
        <v>8830</v>
      </c>
      <c r="D122" t="s">
        <v>309</v>
      </c>
      <c r="E122" t="s">
        <v>6</v>
      </c>
      <c r="F122" t="s">
        <v>251</v>
      </c>
      <c r="G122">
        <v>322</v>
      </c>
      <c r="H122" s="2">
        <f>Tabelle13[[#This Row],[commits]]/Tabelle13[[#Totals],[commits]]</f>
        <v>1.4965885218167284E-3</v>
      </c>
      <c r="I122" s="5">
        <f>Tabelle13[[#This Row],[%]]+I121</f>
        <v>0.58975812898548086</v>
      </c>
      <c r="J122" s="4">
        <f t="shared" si="8"/>
        <v>1.105583195135434E-4</v>
      </c>
      <c r="K122" s="5">
        <f t="shared" si="14"/>
        <v>1.3266998341625166E-2</v>
      </c>
      <c r="M122">
        <v>120</v>
      </c>
      <c r="N122" t="s">
        <v>11322</v>
      </c>
      <c r="O122">
        <f t="shared" si="11"/>
        <v>5</v>
      </c>
      <c r="P122" s="7">
        <f t="shared" si="15"/>
        <v>3.2305584989532994E-5</v>
      </c>
      <c r="Q122" s="5">
        <f t="shared" si="12"/>
        <v>0.99746724213682036</v>
      </c>
      <c r="R122" s="4">
        <f t="shared" si="10"/>
        <v>2.9498525073746312E-3</v>
      </c>
      <c r="S122" s="8">
        <f t="shared" si="13"/>
        <v>0.35398230088495469</v>
      </c>
      <c r="T122" s="8"/>
      <c r="U122" s="8"/>
      <c r="V122" s="8"/>
    </row>
    <row r="123" spans="1:22" x14ac:dyDescent="0.25">
      <c r="A123" t="s">
        <v>8831</v>
      </c>
      <c r="C123" t="s">
        <v>8832</v>
      </c>
      <c r="D123" t="s">
        <v>309</v>
      </c>
      <c r="E123" t="s">
        <v>6</v>
      </c>
      <c r="F123" t="s">
        <v>251</v>
      </c>
      <c r="G123">
        <v>322</v>
      </c>
      <c r="H123" s="2">
        <f>Tabelle13[[#This Row],[commits]]/Tabelle13[[#Totals],[commits]]</f>
        <v>1.4965885218167284E-3</v>
      </c>
      <c r="I123" s="5">
        <f>Tabelle13[[#This Row],[%]]+I122</f>
        <v>0.59125471750729763</v>
      </c>
      <c r="J123" s="4">
        <f t="shared" si="8"/>
        <v>1.105583195135434E-4</v>
      </c>
      <c r="K123" s="5">
        <f t="shared" si="14"/>
        <v>1.3377556661138709E-2</v>
      </c>
      <c r="M123">
        <v>121</v>
      </c>
      <c r="N123" t="s">
        <v>11351</v>
      </c>
      <c r="O123">
        <f t="shared" si="11"/>
        <v>5</v>
      </c>
      <c r="P123" s="7">
        <f t="shared" si="15"/>
        <v>3.2305584989532994E-5</v>
      </c>
      <c r="Q123" s="5">
        <f t="shared" si="12"/>
        <v>0.99749954772180993</v>
      </c>
      <c r="R123" s="4">
        <f t="shared" si="10"/>
        <v>2.9498525073746312E-3</v>
      </c>
      <c r="S123" s="8">
        <f t="shared" si="13"/>
        <v>0.35693215339232931</v>
      </c>
      <c r="T123" s="8"/>
      <c r="U123" s="8"/>
      <c r="V123" s="8"/>
    </row>
    <row r="124" spans="1:22" x14ac:dyDescent="0.25">
      <c r="A124" t="s">
        <v>8833</v>
      </c>
      <c r="C124" t="s">
        <v>8834</v>
      </c>
      <c r="D124" t="s">
        <v>309</v>
      </c>
      <c r="E124" t="s">
        <v>6</v>
      </c>
      <c r="F124" t="s">
        <v>251</v>
      </c>
      <c r="G124">
        <v>319</v>
      </c>
      <c r="H124" s="2">
        <f>Tabelle13[[#This Row],[commits]]/Tabelle13[[#Totals],[commits]]</f>
        <v>1.4826451504954545E-3</v>
      </c>
      <c r="I124" s="5">
        <f>Tabelle13[[#This Row],[%]]+I123</f>
        <v>0.59273736265779309</v>
      </c>
      <c r="J124" s="4">
        <f t="shared" si="8"/>
        <v>1.105583195135434E-4</v>
      </c>
      <c r="K124" s="5">
        <f t="shared" si="14"/>
        <v>1.3488114980652251E-2</v>
      </c>
      <c r="M124">
        <v>122</v>
      </c>
      <c r="N124" t="s">
        <v>11440</v>
      </c>
      <c r="O124">
        <f t="shared" si="11"/>
        <v>5</v>
      </c>
      <c r="P124" s="7">
        <f t="shared" si="15"/>
        <v>3.2305584989532994E-5</v>
      </c>
      <c r="Q124" s="5">
        <f t="shared" si="12"/>
        <v>0.9975318533067995</v>
      </c>
      <c r="R124" s="4">
        <f t="shared" si="10"/>
        <v>2.9498525073746312E-3</v>
      </c>
      <c r="S124" s="8">
        <f t="shared" si="13"/>
        <v>0.35988200589970393</v>
      </c>
      <c r="T124" s="8"/>
      <c r="U124" s="8"/>
      <c r="V124" s="8"/>
    </row>
    <row r="125" spans="1:22" x14ac:dyDescent="0.25">
      <c r="A125" t="s">
        <v>8835</v>
      </c>
      <c r="C125" t="s">
        <v>8836</v>
      </c>
      <c r="D125" t="s">
        <v>309</v>
      </c>
      <c r="E125" t="s">
        <v>6</v>
      </c>
      <c r="F125" t="s">
        <v>251</v>
      </c>
      <c r="G125">
        <v>318</v>
      </c>
      <c r="H125" s="2">
        <f>Tabelle13[[#This Row],[commits]]/Tabelle13[[#Totals],[commits]]</f>
        <v>1.4779973600550298E-3</v>
      </c>
      <c r="I125" s="5">
        <f>Tabelle13[[#This Row],[%]]+I124</f>
        <v>0.59421536001784814</v>
      </c>
      <c r="J125" s="4">
        <f t="shared" si="8"/>
        <v>1.105583195135434E-4</v>
      </c>
      <c r="K125" s="5">
        <f t="shared" si="14"/>
        <v>1.3598673300165794E-2</v>
      </c>
      <c r="M125">
        <v>123</v>
      </c>
      <c r="N125" t="s">
        <v>11463</v>
      </c>
      <c r="O125">
        <f t="shared" si="11"/>
        <v>5</v>
      </c>
      <c r="P125" s="7">
        <f t="shared" si="15"/>
        <v>3.2305584989532994E-5</v>
      </c>
      <c r="Q125" s="5">
        <f t="shared" si="12"/>
        <v>0.99756415889178907</v>
      </c>
      <c r="R125" s="4">
        <f t="shared" si="10"/>
        <v>2.9498525073746312E-3</v>
      </c>
      <c r="S125" s="8">
        <f t="shared" si="13"/>
        <v>0.36283185840707854</v>
      </c>
      <c r="T125" s="8"/>
      <c r="U125" s="8"/>
      <c r="V125" s="8"/>
    </row>
    <row r="126" spans="1:22" x14ac:dyDescent="0.25">
      <c r="A126" t="s">
        <v>20</v>
      </c>
      <c r="C126" t="s">
        <v>11</v>
      </c>
      <c r="D126" t="s">
        <v>5</v>
      </c>
      <c r="E126" t="s">
        <v>6</v>
      </c>
      <c r="F126" t="s">
        <v>7</v>
      </c>
      <c r="G126">
        <v>316</v>
      </c>
      <c r="H126" s="2">
        <f>Tabelle13[[#This Row],[commits]]/Tabelle13[[#Totals],[commits]]</f>
        <v>1.4687017791741807E-3</v>
      </c>
      <c r="I126" s="5">
        <f>Tabelle13[[#This Row],[%]]+I125</f>
        <v>0.59568406179702227</v>
      </c>
      <c r="J126" s="4">
        <f t="shared" si="8"/>
        <v>1.105583195135434E-4</v>
      </c>
      <c r="K126" s="5">
        <f t="shared" si="14"/>
        <v>1.3709231619679336E-2</v>
      </c>
      <c r="M126">
        <v>124</v>
      </c>
      <c r="N126" t="s">
        <v>11479</v>
      </c>
      <c r="O126">
        <f t="shared" si="11"/>
        <v>5</v>
      </c>
      <c r="P126" s="7">
        <f t="shared" si="15"/>
        <v>3.2305584989532994E-5</v>
      </c>
      <c r="Q126" s="5">
        <f t="shared" si="12"/>
        <v>0.99759646447677863</v>
      </c>
      <c r="R126" s="4">
        <f t="shared" si="10"/>
        <v>2.9498525073746312E-3</v>
      </c>
      <c r="S126" s="8">
        <f t="shared" si="13"/>
        <v>0.36578171091445316</v>
      </c>
      <c r="T126" s="8"/>
      <c r="U126" s="8"/>
      <c r="V126" s="8"/>
    </row>
    <row r="127" spans="1:22" x14ac:dyDescent="0.25">
      <c r="A127" t="s">
        <v>8837</v>
      </c>
      <c r="C127" t="s">
        <v>8838</v>
      </c>
      <c r="D127" t="s">
        <v>309</v>
      </c>
      <c r="E127" t="s">
        <v>6</v>
      </c>
      <c r="F127" t="s">
        <v>251</v>
      </c>
      <c r="G127">
        <v>312</v>
      </c>
      <c r="H127" s="2">
        <f>Tabelle13[[#This Row],[commits]]/Tabelle13[[#Totals],[commits]]</f>
        <v>1.4501106174124821E-3</v>
      </c>
      <c r="I127" s="5">
        <f>Tabelle13[[#This Row],[%]]+I126</f>
        <v>0.59713417241443478</v>
      </c>
      <c r="J127" s="4">
        <f t="shared" si="8"/>
        <v>1.105583195135434E-4</v>
      </c>
      <c r="K127" s="5">
        <f t="shared" si="14"/>
        <v>1.3819789939192879E-2</v>
      </c>
      <c r="M127">
        <v>125</v>
      </c>
      <c r="N127" t="s">
        <v>11908</v>
      </c>
      <c r="O127">
        <f t="shared" si="11"/>
        <v>5</v>
      </c>
      <c r="P127" s="7">
        <f t="shared" si="15"/>
        <v>3.2305584989532994E-5</v>
      </c>
      <c r="Q127" s="5">
        <f t="shared" si="12"/>
        <v>0.9976287700617682</v>
      </c>
      <c r="R127" s="4">
        <f t="shared" si="10"/>
        <v>2.9498525073746312E-3</v>
      </c>
      <c r="S127" s="8">
        <f t="shared" si="13"/>
        <v>0.36873156342182778</v>
      </c>
      <c r="T127" s="8"/>
      <c r="U127" s="8"/>
      <c r="V127" s="8"/>
    </row>
    <row r="128" spans="1:22" x14ac:dyDescent="0.25">
      <c r="A128" t="s">
        <v>8839</v>
      </c>
      <c r="C128" t="s">
        <v>8840</v>
      </c>
      <c r="D128" t="s">
        <v>309</v>
      </c>
      <c r="E128" t="s">
        <v>6</v>
      </c>
      <c r="F128" t="s">
        <v>251</v>
      </c>
      <c r="G128">
        <v>309</v>
      </c>
      <c r="H128" s="2">
        <f>Tabelle13[[#This Row],[commits]]/Tabelle13[[#Totals],[commits]]</f>
        <v>1.4361672460912083E-3</v>
      </c>
      <c r="I128" s="5">
        <f>Tabelle13[[#This Row],[%]]+I127</f>
        <v>0.59857033966052597</v>
      </c>
      <c r="J128" s="4">
        <f t="shared" si="8"/>
        <v>1.105583195135434E-4</v>
      </c>
      <c r="K128" s="5">
        <f t="shared" si="14"/>
        <v>1.3930348258706421E-2</v>
      </c>
      <c r="M128">
        <v>126</v>
      </c>
      <c r="N128" t="s">
        <v>12681</v>
      </c>
      <c r="O128">
        <f t="shared" si="11"/>
        <v>5</v>
      </c>
      <c r="P128" s="7">
        <f t="shared" si="15"/>
        <v>3.2305584989532994E-5</v>
      </c>
      <c r="Q128" s="5">
        <f t="shared" si="12"/>
        <v>0.99766107564675777</v>
      </c>
      <c r="R128" s="4">
        <f t="shared" si="10"/>
        <v>2.9498525073746312E-3</v>
      </c>
      <c r="S128" s="8">
        <f t="shared" si="13"/>
        <v>0.3716814159292024</v>
      </c>
      <c r="T128" s="8"/>
      <c r="U128" s="8"/>
      <c r="V128" s="8"/>
    </row>
    <row r="129" spans="1:22" x14ac:dyDescent="0.25">
      <c r="A129" t="s">
        <v>8841</v>
      </c>
      <c r="C129" t="s">
        <v>8842</v>
      </c>
      <c r="D129" t="s">
        <v>309</v>
      </c>
      <c r="E129" t="s">
        <v>6</v>
      </c>
      <c r="F129" t="s">
        <v>251</v>
      </c>
      <c r="G129">
        <v>308</v>
      </c>
      <c r="H129" s="2">
        <f>Tabelle13[[#This Row],[commits]]/Tabelle13[[#Totals],[commits]]</f>
        <v>1.4315194556507836E-3</v>
      </c>
      <c r="I129" s="5">
        <f>Tabelle13[[#This Row],[%]]+I128</f>
        <v>0.60000185911617676</v>
      </c>
      <c r="J129" s="4">
        <f t="shared" si="8"/>
        <v>1.105583195135434E-4</v>
      </c>
      <c r="K129" s="5">
        <f t="shared" si="14"/>
        <v>1.4040906578219964E-2</v>
      </c>
      <c r="M129">
        <v>127</v>
      </c>
      <c r="N129" t="s">
        <v>13248</v>
      </c>
      <c r="O129">
        <f t="shared" si="11"/>
        <v>5</v>
      </c>
      <c r="P129" s="7">
        <f t="shared" si="15"/>
        <v>3.2305584989532994E-5</v>
      </c>
      <c r="Q129" s="5">
        <f t="shared" si="12"/>
        <v>0.99769338123174733</v>
      </c>
      <c r="R129" s="4">
        <f t="shared" si="10"/>
        <v>2.9498525073746312E-3</v>
      </c>
      <c r="S129" s="8">
        <f t="shared" si="13"/>
        <v>0.37463126843657701</v>
      </c>
      <c r="T129" s="8"/>
      <c r="U129" s="8"/>
      <c r="V129" s="8"/>
    </row>
    <row r="130" spans="1:22" x14ac:dyDescent="0.25">
      <c r="A130" t="s">
        <v>8843</v>
      </c>
      <c r="C130" t="s">
        <v>8844</v>
      </c>
      <c r="D130" t="s">
        <v>309</v>
      </c>
      <c r="E130" t="s">
        <v>6</v>
      </c>
      <c r="F130" t="s">
        <v>251</v>
      </c>
      <c r="G130">
        <v>307</v>
      </c>
      <c r="H130" s="2">
        <f>Tabelle13[[#This Row],[commits]]/Tabelle13[[#Totals],[commits]]</f>
        <v>1.4268716652103589E-3</v>
      </c>
      <c r="I130" s="5">
        <f>Tabelle13[[#This Row],[%]]+I129</f>
        <v>0.60142873078138714</v>
      </c>
      <c r="J130" s="4">
        <f t="shared" si="8"/>
        <v>1.105583195135434E-4</v>
      </c>
      <c r="K130" s="5">
        <f t="shared" si="14"/>
        <v>1.4151464897733506E-2</v>
      </c>
      <c r="M130">
        <v>128</v>
      </c>
      <c r="N130" t="s">
        <v>183</v>
      </c>
      <c r="O130">
        <f t="shared" si="11"/>
        <v>4</v>
      </c>
      <c r="P130" s="7">
        <f t="shared" si="15"/>
        <v>2.5844467991626394E-5</v>
      </c>
      <c r="Q130" s="5">
        <f t="shared" si="12"/>
        <v>0.99771922569973892</v>
      </c>
      <c r="R130" s="4">
        <f t="shared" si="10"/>
        <v>2.9498525073746312E-3</v>
      </c>
      <c r="S130" s="8">
        <f t="shared" si="13"/>
        <v>0.37758112094395163</v>
      </c>
      <c r="T130" s="8"/>
      <c r="U130" s="8"/>
      <c r="V130" s="8"/>
    </row>
    <row r="131" spans="1:22" x14ac:dyDescent="0.25">
      <c r="A131" t="s">
        <v>8845</v>
      </c>
      <c r="C131" t="s">
        <v>8846</v>
      </c>
      <c r="D131" t="s">
        <v>8847</v>
      </c>
      <c r="E131" t="s">
        <v>6</v>
      </c>
      <c r="F131" t="s">
        <v>251</v>
      </c>
      <c r="G131">
        <v>306</v>
      </c>
      <c r="H131" s="2">
        <f>Tabelle13[[#This Row],[commits]]/Tabelle13[[#Totals],[commits]]</f>
        <v>1.4222238747699345E-3</v>
      </c>
      <c r="I131" s="5">
        <f>Tabelle13[[#This Row],[%]]+I130</f>
        <v>0.60285095465615712</v>
      </c>
      <c r="J131" s="4">
        <f t="shared" ref="J131:J194" si="16">1/9045</f>
        <v>1.105583195135434E-4</v>
      </c>
      <c r="K131" s="5">
        <f t="shared" si="14"/>
        <v>1.4262023217247049E-2</v>
      </c>
      <c r="M131">
        <v>129</v>
      </c>
      <c r="N131" t="s">
        <v>224</v>
      </c>
      <c r="O131">
        <f t="shared" si="11"/>
        <v>4</v>
      </c>
      <c r="P131" s="7">
        <f t="shared" ref="P131:P133" si="17">O131/$O$343</f>
        <v>2.5844467991626394E-5</v>
      </c>
      <c r="Q131" s="5">
        <f t="shared" si="12"/>
        <v>0.99774507016773051</v>
      </c>
      <c r="R131" s="4">
        <f t="shared" si="10"/>
        <v>2.9498525073746312E-3</v>
      </c>
      <c r="S131" s="8">
        <f t="shared" si="13"/>
        <v>0.38053097345132625</v>
      </c>
      <c r="T131" s="8"/>
      <c r="U131" s="8"/>
      <c r="V131" s="8"/>
    </row>
    <row r="132" spans="1:22" x14ac:dyDescent="0.25">
      <c r="A132" t="s">
        <v>21</v>
      </c>
      <c r="C132" t="s">
        <v>22</v>
      </c>
      <c r="D132" t="s">
        <v>5</v>
      </c>
      <c r="E132" t="s">
        <v>6</v>
      </c>
      <c r="F132" t="s">
        <v>7</v>
      </c>
      <c r="G132">
        <v>301</v>
      </c>
      <c r="H132" s="2">
        <f>Tabelle13[[#This Row],[commits]]/Tabelle13[[#Totals],[commits]]</f>
        <v>1.3989849225678112E-3</v>
      </c>
      <c r="I132" s="5">
        <f>Tabelle13[[#This Row],[%]]+I131</f>
        <v>0.60424993957872497</v>
      </c>
      <c r="J132" s="4">
        <f t="shared" si="16"/>
        <v>1.105583195135434E-4</v>
      </c>
      <c r="K132" s="5">
        <f t="shared" si="14"/>
        <v>1.4372581536760591E-2</v>
      </c>
      <c r="M132">
        <v>130</v>
      </c>
      <c r="N132" t="s">
        <v>2878</v>
      </c>
      <c r="O132">
        <f t="shared" si="11"/>
        <v>4</v>
      </c>
      <c r="P132" s="7">
        <f t="shared" si="17"/>
        <v>2.5844467991626394E-5</v>
      </c>
      <c r="Q132" s="5">
        <f t="shared" si="12"/>
        <v>0.99777091463572209</v>
      </c>
      <c r="R132" s="4">
        <f t="shared" ref="R132:R195" si="18">1/339</f>
        <v>2.9498525073746312E-3</v>
      </c>
      <c r="S132" s="8">
        <f t="shared" si="13"/>
        <v>0.38348082595870087</v>
      </c>
      <c r="T132" s="8"/>
      <c r="U132" s="8"/>
      <c r="V132" s="8"/>
    </row>
    <row r="133" spans="1:22" x14ac:dyDescent="0.25">
      <c r="A133" t="s">
        <v>5187</v>
      </c>
      <c r="C133" t="s">
        <v>5188</v>
      </c>
      <c r="D133" t="s">
        <v>5</v>
      </c>
      <c r="E133" t="s">
        <v>6</v>
      </c>
      <c r="F133" t="s">
        <v>28</v>
      </c>
      <c r="G133">
        <v>301</v>
      </c>
      <c r="H133" s="2">
        <f>Tabelle13[[#This Row],[commits]]/Tabelle13[[#Totals],[commits]]</f>
        <v>1.3989849225678112E-3</v>
      </c>
      <c r="I133" s="5">
        <f>Tabelle13[[#This Row],[%]]+I132</f>
        <v>0.60564892450129282</v>
      </c>
      <c r="J133" s="4">
        <f t="shared" si="16"/>
        <v>1.105583195135434E-4</v>
      </c>
      <c r="K133" s="5">
        <f t="shared" si="14"/>
        <v>1.4483139856274134E-2</v>
      </c>
      <c r="M133">
        <v>131</v>
      </c>
      <c r="N133" t="s">
        <v>5552</v>
      </c>
      <c r="O133">
        <f t="shared" ref="O133:O196" si="19">SUMIFS($G$3:$G$9048,$D$3:$D$9048,N133)</f>
        <v>4</v>
      </c>
      <c r="P133" s="7">
        <f t="shared" si="17"/>
        <v>2.5844467991626394E-5</v>
      </c>
      <c r="Q133" s="5">
        <f t="shared" ref="Q133:Q196" si="20">Q132+P133</f>
        <v>0.99779675910371368</v>
      </c>
      <c r="R133" s="4">
        <f t="shared" si="18"/>
        <v>2.9498525073746312E-3</v>
      </c>
      <c r="S133" s="8">
        <f t="shared" ref="S133:S196" si="21">S132+R133</f>
        <v>0.38643067846607548</v>
      </c>
      <c r="T133" s="8"/>
      <c r="U133" s="8"/>
      <c r="V133" s="8"/>
    </row>
    <row r="134" spans="1:22" x14ac:dyDescent="0.25">
      <c r="A134" t="s">
        <v>8848</v>
      </c>
      <c r="C134" t="s">
        <v>8849</v>
      </c>
      <c r="D134" t="s">
        <v>309</v>
      </c>
      <c r="E134" t="s">
        <v>6</v>
      </c>
      <c r="F134" t="s">
        <v>251</v>
      </c>
      <c r="G134">
        <v>297</v>
      </c>
      <c r="H134" s="2">
        <f>Tabelle13[[#This Row],[commits]]/Tabelle13[[#Totals],[commits]]</f>
        <v>1.3803937608061127E-3</v>
      </c>
      <c r="I134" s="5">
        <f>Tabelle13[[#This Row],[%]]+I133</f>
        <v>0.60702931826209894</v>
      </c>
      <c r="J134" s="4">
        <f t="shared" si="16"/>
        <v>1.105583195135434E-4</v>
      </c>
      <c r="K134" s="5">
        <f t="shared" ref="K134:K197" si="22">J134+K133</f>
        <v>1.4593698175787677E-2</v>
      </c>
      <c r="M134">
        <v>132</v>
      </c>
      <c r="N134" t="s">
        <v>5558</v>
      </c>
      <c r="O134">
        <f t="shared" si="19"/>
        <v>4</v>
      </c>
      <c r="P134" s="7">
        <f t="shared" ref="P134:P197" si="23">O134/$O$343</f>
        <v>2.5844467991626394E-5</v>
      </c>
      <c r="Q134" s="5">
        <f t="shared" si="20"/>
        <v>0.99782260357170527</v>
      </c>
      <c r="R134" s="4">
        <f t="shared" si="18"/>
        <v>2.9498525073746312E-3</v>
      </c>
      <c r="S134" s="8">
        <f t="shared" si="21"/>
        <v>0.3893805309734501</v>
      </c>
      <c r="T134" s="8"/>
      <c r="U134" s="8"/>
      <c r="V134" s="8"/>
    </row>
    <row r="135" spans="1:22" x14ac:dyDescent="0.25">
      <c r="A135" t="s">
        <v>8850</v>
      </c>
      <c r="C135" t="s">
        <v>8851</v>
      </c>
      <c r="D135" t="s">
        <v>309</v>
      </c>
      <c r="E135" t="s">
        <v>6</v>
      </c>
      <c r="F135" t="s">
        <v>251</v>
      </c>
      <c r="G135">
        <v>297</v>
      </c>
      <c r="H135" s="2">
        <f>Tabelle13[[#This Row],[commits]]/Tabelle13[[#Totals],[commits]]</f>
        <v>1.3803937608061127E-3</v>
      </c>
      <c r="I135" s="5">
        <f>Tabelle13[[#This Row],[%]]+I134</f>
        <v>0.60840971202290506</v>
      </c>
      <c r="J135" s="4">
        <f t="shared" si="16"/>
        <v>1.105583195135434E-4</v>
      </c>
      <c r="K135" s="5">
        <f t="shared" si="22"/>
        <v>1.4704256495301219E-2</v>
      </c>
      <c r="M135">
        <v>133</v>
      </c>
      <c r="N135" t="s">
        <v>11623</v>
      </c>
      <c r="O135">
        <f t="shared" si="19"/>
        <v>4</v>
      </c>
      <c r="P135" s="7">
        <f t="shared" si="23"/>
        <v>2.5844467991626394E-5</v>
      </c>
      <c r="Q135" s="5">
        <f t="shared" si="20"/>
        <v>0.99784844803969686</v>
      </c>
      <c r="R135" s="4">
        <f t="shared" si="18"/>
        <v>2.9498525073746312E-3</v>
      </c>
      <c r="S135" s="8">
        <f t="shared" si="21"/>
        <v>0.39233038348082472</v>
      </c>
      <c r="T135" s="8"/>
      <c r="U135" s="8"/>
      <c r="V135" s="8"/>
    </row>
    <row r="136" spans="1:22" x14ac:dyDescent="0.25">
      <c r="A136" t="s">
        <v>8852</v>
      </c>
      <c r="C136" t="s">
        <v>8853</v>
      </c>
      <c r="D136" t="s">
        <v>309</v>
      </c>
      <c r="E136" t="s">
        <v>6</v>
      </c>
      <c r="F136" t="s">
        <v>251</v>
      </c>
      <c r="G136">
        <v>297</v>
      </c>
      <c r="H136" s="2">
        <f>Tabelle13[[#This Row],[commits]]/Tabelle13[[#Totals],[commits]]</f>
        <v>1.3803937608061127E-3</v>
      </c>
      <c r="I136" s="5">
        <f>Tabelle13[[#This Row],[%]]+I135</f>
        <v>0.60979010578371118</v>
      </c>
      <c r="J136" s="4">
        <f t="shared" si="16"/>
        <v>1.105583195135434E-4</v>
      </c>
      <c r="K136" s="5">
        <f t="shared" si="22"/>
        <v>1.4814814814814762E-2</v>
      </c>
      <c r="M136">
        <v>134</v>
      </c>
      <c r="N136" t="s">
        <v>11634</v>
      </c>
      <c r="O136">
        <f t="shared" si="19"/>
        <v>4</v>
      </c>
      <c r="P136" s="7">
        <f t="shared" si="23"/>
        <v>2.5844467991626394E-5</v>
      </c>
      <c r="Q136" s="5">
        <f t="shared" si="20"/>
        <v>0.99787429250768844</v>
      </c>
      <c r="R136" s="4">
        <f t="shared" si="18"/>
        <v>2.9498525073746312E-3</v>
      </c>
      <c r="S136" s="8">
        <f t="shared" si="21"/>
        <v>0.39528023598819934</v>
      </c>
      <c r="T136" s="8"/>
      <c r="U136" s="8"/>
      <c r="V136" s="8"/>
    </row>
    <row r="137" spans="1:22" x14ac:dyDescent="0.25">
      <c r="A137" t="s">
        <v>2260</v>
      </c>
      <c r="C137" t="s">
        <v>2261</v>
      </c>
      <c r="D137" t="s">
        <v>5</v>
      </c>
      <c r="E137" t="s">
        <v>6</v>
      </c>
      <c r="F137" t="s">
        <v>724</v>
      </c>
      <c r="G137">
        <v>296</v>
      </c>
      <c r="H137" s="2">
        <f>Tabelle13[[#This Row],[commits]]/Tabelle13[[#Totals],[commits]]</f>
        <v>1.3757459703656882E-3</v>
      </c>
      <c r="I137" s="5">
        <f>Tabelle13[[#This Row],[%]]+I136</f>
        <v>0.61116585175407689</v>
      </c>
      <c r="J137" s="4">
        <f t="shared" si="16"/>
        <v>1.105583195135434E-4</v>
      </c>
      <c r="K137" s="5">
        <f t="shared" si="22"/>
        <v>1.4925373134328304E-2</v>
      </c>
      <c r="M137">
        <v>135</v>
      </c>
      <c r="N137" t="s">
        <v>11651</v>
      </c>
      <c r="O137">
        <f t="shared" si="19"/>
        <v>4</v>
      </c>
      <c r="P137" s="7">
        <f t="shared" si="23"/>
        <v>2.5844467991626394E-5</v>
      </c>
      <c r="Q137" s="5">
        <f t="shared" si="20"/>
        <v>0.99790013697568003</v>
      </c>
      <c r="R137" s="4">
        <f t="shared" si="18"/>
        <v>2.9498525073746312E-3</v>
      </c>
      <c r="S137" s="8">
        <f t="shared" si="21"/>
        <v>0.39823008849557395</v>
      </c>
      <c r="T137" s="8"/>
      <c r="U137" s="8"/>
      <c r="V137" s="8"/>
    </row>
    <row r="138" spans="1:22" x14ac:dyDescent="0.25">
      <c r="A138" t="s">
        <v>8854</v>
      </c>
      <c r="C138" t="s">
        <v>8855</v>
      </c>
      <c r="D138" t="s">
        <v>309</v>
      </c>
      <c r="E138" t="s">
        <v>6</v>
      </c>
      <c r="F138" t="s">
        <v>251</v>
      </c>
      <c r="G138">
        <v>295</v>
      </c>
      <c r="H138" s="2">
        <f>Tabelle13[[#This Row],[commits]]/Tabelle13[[#Totals],[commits]]</f>
        <v>1.3710981799252636E-3</v>
      </c>
      <c r="I138" s="5">
        <f>Tabelle13[[#This Row],[%]]+I137</f>
        <v>0.61253694993400221</v>
      </c>
      <c r="J138" s="4">
        <f t="shared" si="16"/>
        <v>1.105583195135434E-4</v>
      </c>
      <c r="K138" s="5">
        <f t="shared" si="22"/>
        <v>1.5035931453841847E-2</v>
      </c>
      <c r="M138">
        <v>136</v>
      </c>
      <c r="N138" t="s">
        <v>122</v>
      </c>
      <c r="O138">
        <f t="shared" si="19"/>
        <v>4</v>
      </c>
      <c r="P138" s="7">
        <f t="shared" si="23"/>
        <v>2.5844467991626394E-5</v>
      </c>
      <c r="Q138" s="5">
        <f t="shared" si="20"/>
        <v>0.99792598144367162</v>
      </c>
      <c r="R138" s="4">
        <f t="shared" si="18"/>
        <v>2.9498525073746312E-3</v>
      </c>
      <c r="S138" s="8">
        <f t="shared" si="21"/>
        <v>0.40117994100294857</v>
      </c>
      <c r="T138" s="8"/>
      <c r="U138" s="8"/>
      <c r="V138" s="8"/>
    </row>
    <row r="139" spans="1:22" x14ac:dyDescent="0.25">
      <c r="A139" t="s">
        <v>8856</v>
      </c>
      <c r="C139" t="s">
        <v>8857</v>
      </c>
      <c r="D139" t="s">
        <v>309</v>
      </c>
      <c r="E139" t="s">
        <v>6</v>
      </c>
      <c r="F139" t="s">
        <v>251</v>
      </c>
      <c r="G139">
        <v>292</v>
      </c>
      <c r="H139" s="2">
        <f>Tabelle13[[#This Row],[commits]]/Tabelle13[[#Totals],[commits]]</f>
        <v>1.3571548086039897E-3</v>
      </c>
      <c r="I139" s="5">
        <f>Tabelle13[[#This Row],[%]]+I138</f>
        <v>0.61389410474260619</v>
      </c>
      <c r="J139" s="4">
        <f t="shared" si="16"/>
        <v>1.105583195135434E-4</v>
      </c>
      <c r="K139" s="5">
        <f t="shared" si="22"/>
        <v>1.5146489773355389E-2</v>
      </c>
      <c r="M139">
        <v>137</v>
      </c>
      <c r="N139" t="s">
        <v>11665</v>
      </c>
      <c r="O139">
        <f t="shared" si="19"/>
        <v>4</v>
      </c>
      <c r="P139" s="7">
        <f t="shared" si="23"/>
        <v>2.5844467991626394E-5</v>
      </c>
      <c r="Q139" s="5">
        <f t="shared" si="20"/>
        <v>0.9979518259116632</v>
      </c>
      <c r="R139" s="4">
        <f t="shared" si="18"/>
        <v>2.9498525073746312E-3</v>
      </c>
      <c r="S139" s="8">
        <f t="shared" si="21"/>
        <v>0.40412979351032319</v>
      </c>
      <c r="T139" s="8"/>
      <c r="U139" s="8"/>
      <c r="V139" s="8"/>
    </row>
    <row r="140" spans="1:22" x14ac:dyDescent="0.25">
      <c r="A140" t="s">
        <v>8858</v>
      </c>
      <c r="C140" t="s">
        <v>8859</v>
      </c>
      <c r="D140" t="s">
        <v>309</v>
      </c>
      <c r="E140" t="s">
        <v>6</v>
      </c>
      <c r="F140" t="s">
        <v>251</v>
      </c>
      <c r="G140">
        <v>289</v>
      </c>
      <c r="H140" s="2">
        <f>Tabelle13[[#This Row],[commits]]/Tabelle13[[#Totals],[commits]]</f>
        <v>1.3432114372827159E-3</v>
      </c>
      <c r="I140" s="5">
        <f>Tabelle13[[#This Row],[%]]+I139</f>
        <v>0.61523731617988886</v>
      </c>
      <c r="J140" s="4">
        <f t="shared" si="16"/>
        <v>1.105583195135434E-4</v>
      </c>
      <c r="K140" s="5">
        <f t="shared" si="22"/>
        <v>1.5257048092868932E-2</v>
      </c>
      <c r="M140">
        <v>138</v>
      </c>
      <c r="N140" t="s">
        <v>11680</v>
      </c>
      <c r="O140">
        <f t="shared" si="19"/>
        <v>4</v>
      </c>
      <c r="P140" s="7">
        <f t="shared" si="23"/>
        <v>2.5844467991626394E-5</v>
      </c>
      <c r="Q140" s="5">
        <f t="shared" si="20"/>
        <v>0.99797767037965479</v>
      </c>
      <c r="R140" s="4">
        <f t="shared" si="18"/>
        <v>2.9498525073746312E-3</v>
      </c>
      <c r="S140" s="8">
        <f t="shared" si="21"/>
        <v>0.4070796460176978</v>
      </c>
      <c r="T140" s="8"/>
      <c r="U140" s="8"/>
      <c r="V140" s="8"/>
    </row>
    <row r="141" spans="1:22" x14ac:dyDescent="0.25">
      <c r="A141" t="s">
        <v>8860</v>
      </c>
      <c r="C141" t="s">
        <v>8861</v>
      </c>
      <c r="D141" t="s">
        <v>309</v>
      </c>
      <c r="E141" t="s">
        <v>6</v>
      </c>
      <c r="F141" t="s">
        <v>251</v>
      </c>
      <c r="G141">
        <v>289</v>
      </c>
      <c r="H141" s="2">
        <f>Tabelle13[[#This Row],[commits]]/Tabelle13[[#Totals],[commits]]</f>
        <v>1.3432114372827159E-3</v>
      </c>
      <c r="I141" s="5">
        <f>Tabelle13[[#This Row],[%]]+I140</f>
        <v>0.61658052761717153</v>
      </c>
      <c r="J141" s="4">
        <f t="shared" si="16"/>
        <v>1.105583195135434E-4</v>
      </c>
      <c r="K141" s="5">
        <f t="shared" si="22"/>
        <v>1.5367606412382474E-2</v>
      </c>
      <c r="M141">
        <v>139</v>
      </c>
      <c r="N141" t="s">
        <v>11714</v>
      </c>
      <c r="O141">
        <f t="shared" si="19"/>
        <v>4</v>
      </c>
      <c r="P141" s="7">
        <f t="shared" si="23"/>
        <v>2.5844467991626394E-5</v>
      </c>
      <c r="Q141" s="5">
        <f t="shared" si="20"/>
        <v>0.99800351484764638</v>
      </c>
      <c r="R141" s="4">
        <f t="shared" si="18"/>
        <v>2.9498525073746312E-3</v>
      </c>
      <c r="S141" s="8">
        <f t="shared" si="21"/>
        <v>0.41002949852507242</v>
      </c>
      <c r="T141" s="8"/>
      <c r="U141" s="8"/>
      <c r="V141" s="8"/>
    </row>
    <row r="142" spans="1:22" x14ac:dyDescent="0.25">
      <c r="A142" t="s">
        <v>8862</v>
      </c>
      <c r="C142" t="s">
        <v>8863</v>
      </c>
      <c r="D142" t="s">
        <v>309</v>
      </c>
      <c r="E142" t="s">
        <v>6</v>
      </c>
      <c r="F142" t="s">
        <v>251</v>
      </c>
      <c r="G142">
        <v>288</v>
      </c>
      <c r="H142" s="2">
        <f>Tabelle13[[#This Row],[commits]]/Tabelle13[[#Totals],[commits]]</f>
        <v>1.3385636468422912E-3</v>
      </c>
      <c r="I142" s="5">
        <f>Tabelle13[[#This Row],[%]]+I141</f>
        <v>0.61791909126401379</v>
      </c>
      <c r="J142" s="4">
        <f t="shared" si="16"/>
        <v>1.105583195135434E-4</v>
      </c>
      <c r="K142" s="5">
        <f t="shared" si="22"/>
        <v>1.5478164731896017E-2</v>
      </c>
      <c r="M142">
        <v>140</v>
      </c>
      <c r="N142" t="s">
        <v>11763</v>
      </c>
      <c r="O142">
        <f t="shared" si="19"/>
        <v>4</v>
      </c>
      <c r="P142" s="7">
        <f t="shared" si="23"/>
        <v>2.5844467991626394E-5</v>
      </c>
      <c r="Q142" s="5">
        <f t="shared" si="20"/>
        <v>0.99802935931563797</v>
      </c>
      <c r="R142" s="4">
        <f t="shared" si="18"/>
        <v>2.9498525073746312E-3</v>
      </c>
      <c r="S142" s="8">
        <f t="shared" si="21"/>
        <v>0.41297935103244704</v>
      </c>
      <c r="T142" s="8"/>
      <c r="U142" s="8"/>
      <c r="V142" s="8"/>
    </row>
    <row r="143" spans="1:22" x14ac:dyDescent="0.25">
      <c r="A143" t="s">
        <v>8864</v>
      </c>
      <c r="C143" t="s">
        <v>8865</v>
      </c>
      <c r="D143" t="s">
        <v>309</v>
      </c>
      <c r="E143" t="s">
        <v>6</v>
      </c>
      <c r="F143" t="s">
        <v>251</v>
      </c>
      <c r="G143">
        <v>286</v>
      </c>
      <c r="H143" s="2">
        <f>Tabelle13[[#This Row],[commits]]/Tabelle13[[#Totals],[commits]]</f>
        <v>1.329268065961442E-3</v>
      </c>
      <c r="I143" s="5">
        <f>Tabelle13[[#This Row],[%]]+I142</f>
        <v>0.61924835932997524</v>
      </c>
      <c r="J143" s="4">
        <f t="shared" si="16"/>
        <v>1.105583195135434E-4</v>
      </c>
      <c r="K143" s="5">
        <f t="shared" si="22"/>
        <v>1.5588723051409559E-2</v>
      </c>
      <c r="M143">
        <v>141</v>
      </c>
      <c r="N143" t="s">
        <v>11780</v>
      </c>
      <c r="O143">
        <f t="shared" si="19"/>
        <v>4</v>
      </c>
      <c r="P143" s="7">
        <f t="shared" si="23"/>
        <v>2.5844467991626394E-5</v>
      </c>
      <c r="Q143" s="5">
        <f t="shared" si="20"/>
        <v>0.99805520378362955</v>
      </c>
      <c r="R143" s="4">
        <f t="shared" si="18"/>
        <v>2.9498525073746312E-3</v>
      </c>
      <c r="S143" s="8">
        <f t="shared" si="21"/>
        <v>0.41592920353982166</v>
      </c>
      <c r="T143" s="8"/>
      <c r="U143" s="8"/>
      <c r="V143" s="8"/>
    </row>
    <row r="144" spans="1:22" x14ac:dyDescent="0.25">
      <c r="A144" t="s">
        <v>8866</v>
      </c>
      <c r="C144" t="s">
        <v>8867</v>
      </c>
      <c r="D144" t="s">
        <v>309</v>
      </c>
      <c r="E144" t="s">
        <v>6</v>
      </c>
      <c r="F144" t="s">
        <v>251</v>
      </c>
      <c r="G144">
        <v>285</v>
      </c>
      <c r="H144" s="2">
        <f>Tabelle13[[#This Row],[commits]]/Tabelle13[[#Totals],[commits]]</f>
        <v>1.3246202755210173E-3</v>
      </c>
      <c r="I144" s="5">
        <f>Tabelle13[[#This Row],[%]]+I143</f>
        <v>0.62057297960549629</v>
      </c>
      <c r="J144" s="4">
        <f t="shared" si="16"/>
        <v>1.105583195135434E-4</v>
      </c>
      <c r="K144" s="5">
        <f t="shared" si="22"/>
        <v>1.5699281370923104E-2</v>
      </c>
      <c r="M144">
        <v>142</v>
      </c>
      <c r="N144" t="s">
        <v>11819</v>
      </c>
      <c r="O144">
        <f t="shared" si="19"/>
        <v>4</v>
      </c>
      <c r="P144" s="7">
        <f t="shared" si="23"/>
        <v>2.5844467991626394E-5</v>
      </c>
      <c r="Q144" s="5">
        <f t="shared" si="20"/>
        <v>0.99808104825162114</v>
      </c>
      <c r="R144" s="4">
        <f t="shared" si="18"/>
        <v>2.9498525073746312E-3</v>
      </c>
      <c r="S144" s="8">
        <f t="shared" si="21"/>
        <v>0.41887905604719627</v>
      </c>
      <c r="T144" s="8"/>
      <c r="U144" s="8"/>
      <c r="V144" s="8"/>
    </row>
    <row r="145" spans="1:22" x14ac:dyDescent="0.25">
      <c r="A145" t="s">
        <v>8868</v>
      </c>
      <c r="C145" t="s">
        <v>8869</v>
      </c>
      <c r="D145" t="s">
        <v>309</v>
      </c>
      <c r="E145" t="s">
        <v>6</v>
      </c>
      <c r="F145" t="s">
        <v>251</v>
      </c>
      <c r="G145">
        <v>284</v>
      </c>
      <c r="H145" s="2">
        <f>Tabelle13[[#This Row],[commits]]/Tabelle13[[#Totals],[commits]]</f>
        <v>1.3199724850805926E-3</v>
      </c>
      <c r="I145" s="5">
        <f>Tabelle13[[#This Row],[%]]+I144</f>
        <v>0.62189295209057693</v>
      </c>
      <c r="J145" s="4">
        <f t="shared" si="16"/>
        <v>1.105583195135434E-4</v>
      </c>
      <c r="K145" s="5">
        <f t="shared" si="22"/>
        <v>1.5809839690436648E-2</v>
      </c>
      <c r="M145">
        <v>143</v>
      </c>
      <c r="N145" t="s">
        <v>11869</v>
      </c>
      <c r="O145">
        <f t="shared" si="19"/>
        <v>4</v>
      </c>
      <c r="P145" s="7">
        <f t="shared" si="23"/>
        <v>2.5844467991626394E-5</v>
      </c>
      <c r="Q145" s="5">
        <f t="shared" si="20"/>
        <v>0.99810689271961273</v>
      </c>
      <c r="R145" s="4">
        <f t="shared" si="18"/>
        <v>2.9498525073746312E-3</v>
      </c>
      <c r="S145" s="8">
        <f t="shared" si="21"/>
        <v>0.42182890855457089</v>
      </c>
      <c r="T145" s="8"/>
      <c r="U145" s="8"/>
      <c r="V145" s="8"/>
    </row>
    <row r="146" spans="1:22" x14ac:dyDescent="0.25">
      <c r="A146" t="s">
        <v>8870</v>
      </c>
      <c r="C146" t="s">
        <v>8871</v>
      </c>
      <c r="D146" t="s">
        <v>309</v>
      </c>
      <c r="E146" t="s">
        <v>6</v>
      </c>
      <c r="F146" t="s">
        <v>251</v>
      </c>
      <c r="G146">
        <v>281</v>
      </c>
      <c r="H146" s="2">
        <f>Tabelle13[[#This Row],[commits]]/Tabelle13[[#Totals],[commits]]</f>
        <v>1.3060291137593188E-3</v>
      </c>
      <c r="I146" s="5">
        <f>Tabelle13[[#This Row],[%]]+I145</f>
        <v>0.62319898120433626</v>
      </c>
      <c r="J146" s="4">
        <f t="shared" si="16"/>
        <v>1.105583195135434E-4</v>
      </c>
      <c r="K146" s="5">
        <f t="shared" si="22"/>
        <v>1.5920398009950192E-2</v>
      </c>
      <c r="M146">
        <v>144</v>
      </c>
      <c r="N146" t="s">
        <v>5684</v>
      </c>
      <c r="O146">
        <f t="shared" si="19"/>
        <v>4</v>
      </c>
      <c r="P146" s="7">
        <f t="shared" si="23"/>
        <v>2.5844467991626394E-5</v>
      </c>
      <c r="Q146" s="5">
        <f t="shared" si="20"/>
        <v>0.99813273718760431</v>
      </c>
      <c r="R146" s="4">
        <f t="shared" si="18"/>
        <v>2.9498525073746312E-3</v>
      </c>
      <c r="S146" s="8">
        <f t="shared" si="21"/>
        <v>0.42477876106194551</v>
      </c>
      <c r="T146" s="8"/>
      <c r="U146" s="8"/>
      <c r="V146" s="8"/>
    </row>
    <row r="147" spans="1:22" x14ac:dyDescent="0.25">
      <c r="A147" t="s">
        <v>8872</v>
      </c>
      <c r="C147" t="s">
        <v>8873</v>
      </c>
      <c r="D147" t="s">
        <v>8874</v>
      </c>
      <c r="E147" t="s">
        <v>6</v>
      </c>
      <c r="F147" t="s">
        <v>251</v>
      </c>
      <c r="G147">
        <v>278</v>
      </c>
      <c r="H147" s="2">
        <f>Tabelle13[[#This Row],[commits]]/Tabelle13[[#Totals],[commits]]</f>
        <v>1.292085742438045E-3</v>
      </c>
      <c r="I147" s="5">
        <f>Tabelle13[[#This Row],[%]]+I146</f>
        <v>0.62449106694677425</v>
      </c>
      <c r="J147" s="4">
        <f t="shared" si="16"/>
        <v>1.105583195135434E-4</v>
      </c>
      <c r="K147" s="5">
        <f t="shared" si="22"/>
        <v>1.6030956329463737E-2</v>
      </c>
      <c r="M147">
        <v>145</v>
      </c>
      <c r="N147" t="s">
        <v>12381</v>
      </c>
      <c r="O147">
        <f t="shared" si="19"/>
        <v>4</v>
      </c>
      <c r="P147" s="7">
        <f t="shared" si="23"/>
        <v>2.5844467991626394E-5</v>
      </c>
      <c r="Q147" s="5">
        <f t="shared" si="20"/>
        <v>0.9981585816555959</v>
      </c>
      <c r="R147" s="4">
        <f t="shared" si="18"/>
        <v>2.9498525073746312E-3</v>
      </c>
      <c r="S147" s="8">
        <f t="shared" si="21"/>
        <v>0.42772861356932013</v>
      </c>
      <c r="T147" s="8"/>
      <c r="U147" s="8"/>
      <c r="V147" s="8"/>
    </row>
    <row r="148" spans="1:22" x14ac:dyDescent="0.25">
      <c r="A148" t="s">
        <v>8875</v>
      </c>
      <c r="C148" t="s">
        <v>8876</v>
      </c>
      <c r="D148" t="s">
        <v>309</v>
      </c>
      <c r="E148" t="s">
        <v>6</v>
      </c>
      <c r="F148" t="s">
        <v>251</v>
      </c>
      <c r="G148">
        <v>275</v>
      </c>
      <c r="H148" s="2">
        <f>Tabelle13[[#This Row],[commits]]/Tabelle13[[#Totals],[commits]]</f>
        <v>1.2781423711167711E-3</v>
      </c>
      <c r="I148" s="5">
        <f>Tabelle13[[#This Row],[%]]+I147</f>
        <v>0.62576920931789104</v>
      </c>
      <c r="J148" s="4">
        <f t="shared" si="16"/>
        <v>1.105583195135434E-4</v>
      </c>
      <c r="K148" s="5">
        <f t="shared" si="22"/>
        <v>1.6141514648977281E-2</v>
      </c>
      <c r="M148">
        <v>146</v>
      </c>
      <c r="N148" t="s">
        <v>264</v>
      </c>
      <c r="O148">
        <f t="shared" si="19"/>
        <v>3</v>
      </c>
      <c r="P148" s="7">
        <f t="shared" si="23"/>
        <v>1.9383350993719794E-5</v>
      </c>
      <c r="Q148" s="5">
        <f t="shared" si="20"/>
        <v>0.99817796500658962</v>
      </c>
      <c r="R148" s="4">
        <f t="shared" si="18"/>
        <v>2.9498525073746312E-3</v>
      </c>
      <c r="S148" s="8">
        <f t="shared" si="21"/>
        <v>0.43067846607669474</v>
      </c>
      <c r="T148" s="8"/>
      <c r="U148" s="8"/>
      <c r="V148" s="8"/>
    </row>
    <row r="149" spans="1:22" x14ac:dyDescent="0.25">
      <c r="A149" t="s">
        <v>8877</v>
      </c>
      <c r="C149" t="s">
        <v>8878</v>
      </c>
      <c r="D149" t="s">
        <v>309</v>
      </c>
      <c r="E149" t="s">
        <v>6</v>
      </c>
      <c r="F149" t="s">
        <v>251</v>
      </c>
      <c r="G149">
        <v>275</v>
      </c>
      <c r="H149" s="2">
        <f>Tabelle13[[#This Row],[commits]]/Tabelle13[[#Totals],[commits]]</f>
        <v>1.2781423711167711E-3</v>
      </c>
      <c r="I149" s="5">
        <f>Tabelle13[[#This Row],[%]]+I148</f>
        <v>0.62704735168900783</v>
      </c>
      <c r="J149" s="4">
        <f t="shared" si="16"/>
        <v>1.105583195135434E-4</v>
      </c>
      <c r="K149" s="5">
        <f t="shared" si="22"/>
        <v>1.6252072968490825E-2</v>
      </c>
      <c r="M149">
        <v>147</v>
      </c>
      <c r="N149" t="s">
        <v>316</v>
      </c>
      <c r="O149">
        <f t="shared" si="19"/>
        <v>3</v>
      </c>
      <c r="P149" s="7">
        <f t="shared" si="23"/>
        <v>1.9383350993719794E-5</v>
      </c>
      <c r="Q149" s="5">
        <f t="shared" si="20"/>
        <v>0.99819734835758334</v>
      </c>
      <c r="R149" s="4">
        <f t="shared" si="18"/>
        <v>2.9498525073746312E-3</v>
      </c>
      <c r="S149" s="8">
        <f t="shared" si="21"/>
        <v>0.43362831858406936</v>
      </c>
      <c r="T149" s="8"/>
      <c r="U149" s="8"/>
      <c r="V149" s="8"/>
    </row>
    <row r="150" spans="1:22" x14ac:dyDescent="0.25">
      <c r="A150" t="s">
        <v>8879</v>
      </c>
      <c r="C150" t="s">
        <v>8880</v>
      </c>
      <c r="D150" t="s">
        <v>309</v>
      </c>
      <c r="E150" t="s">
        <v>6</v>
      </c>
      <c r="F150" t="s">
        <v>251</v>
      </c>
      <c r="G150">
        <v>272</v>
      </c>
      <c r="H150" s="2">
        <f>Tabelle13[[#This Row],[commits]]/Tabelle13[[#Totals],[commits]]</f>
        <v>1.2641989997954973E-3</v>
      </c>
      <c r="I150" s="5">
        <f>Tabelle13[[#This Row],[%]]+I149</f>
        <v>0.62831155068880329</v>
      </c>
      <c r="J150" s="4">
        <f t="shared" si="16"/>
        <v>1.105583195135434E-4</v>
      </c>
      <c r="K150" s="5">
        <f t="shared" si="22"/>
        <v>1.6362631288004369E-2</v>
      </c>
      <c r="M150">
        <v>148</v>
      </c>
      <c r="N150" t="s">
        <v>1927</v>
      </c>
      <c r="O150">
        <f t="shared" si="19"/>
        <v>3</v>
      </c>
      <c r="P150" s="7">
        <f t="shared" si="23"/>
        <v>1.9383350993719794E-5</v>
      </c>
      <c r="Q150" s="5">
        <f t="shared" si="20"/>
        <v>0.99821673170857705</v>
      </c>
      <c r="R150" s="4">
        <f t="shared" si="18"/>
        <v>2.9498525073746312E-3</v>
      </c>
      <c r="S150" s="8">
        <f t="shared" si="21"/>
        <v>0.43657817109144398</v>
      </c>
      <c r="T150" s="8"/>
      <c r="U150" s="8"/>
      <c r="V150" s="8"/>
    </row>
    <row r="151" spans="1:22" x14ac:dyDescent="0.25">
      <c r="A151" t="s">
        <v>8881</v>
      </c>
      <c r="C151" t="s">
        <v>8882</v>
      </c>
      <c r="D151" t="s">
        <v>309</v>
      </c>
      <c r="E151" t="s">
        <v>6</v>
      </c>
      <c r="F151" t="s">
        <v>251</v>
      </c>
      <c r="G151">
        <v>271</v>
      </c>
      <c r="H151" s="2">
        <f>Tabelle13[[#This Row],[commits]]/Tabelle13[[#Totals],[commits]]</f>
        <v>1.2595512093550726E-3</v>
      </c>
      <c r="I151" s="5">
        <f>Tabelle13[[#This Row],[%]]+I150</f>
        <v>0.62957110189815835</v>
      </c>
      <c r="J151" s="4">
        <f t="shared" si="16"/>
        <v>1.105583195135434E-4</v>
      </c>
      <c r="K151" s="5">
        <f t="shared" si="22"/>
        <v>1.6473189607517914E-2</v>
      </c>
      <c r="M151">
        <v>149</v>
      </c>
      <c r="N151" t="s">
        <v>3053</v>
      </c>
      <c r="O151">
        <f t="shared" si="19"/>
        <v>3</v>
      </c>
      <c r="P151" s="7">
        <f t="shared" si="23"/>
        <v>1.9383350993719794E-5</v>
      </c>
      <c r="Q151" s="5">
        <f t="shared" si="20"/>
        <v>0.99823611505957077</v>
      </c>
      <c r="R151" s="4">
        <f t="shared" si="18"/>
        <v>2.9498525073746312E-3</v>
      </c>
      <c r="S151" s="8">
        <f t="shared" si="21"/>
        <v>0.4395280235988186</v>
      </c>
      <c r="T151" s="8"/>
      <c r="U151" s="8"/>
      <c r="V151" s="8"/>
    </row>
    <row r="152" spans="1:22" x14ac:dyDescent="0.25">
      <c r="A152" t="s">
        <v>8883</v>
      </c>
      <c r="C152" t="s">
        <v>8884</v>
      </c>
      <c r="D152" t="s">
        <v>309</v>
      </c>
      <c r="E152" t="s">
        <v>6</v>
      </c>
      <c r="F152" t="s">
        <v>251</v>
      </c>
      <c r="G152">
        <v>269</v>
      </c>
      <c r="H152" s="2">
        <f>Tabelle13[[#This Row],[commits]]/Tabelle13[[#Totals],[commits]]</f>
        <v>1.2502556284742234E-3</v>
      </c>
      <c r="I152" s="5">
        <f>Tabelle13[[#This Row],[%]]+I151</f>
        <v>0.6308213575266326</v>
      </c>
      <c r="J152" s="4">
        <f t="shared" si="16"/>
        <v>1.105583195135434E-4</v>
      </c>
      <c r="K152" s="5">
        <f t="shared" si="22"/>
        <v>1.6583747927031458E-2</v>
      </c>
      <c r="M152">
        <v>150</v>
      </c>
      <c r="N152" t="s">
        <v>3078</v>
      </c>
      <c r="O152">
        <f t="shared" si="19"/>
        <v>3</v>
      </c>
      <c r="P152" s="7">
        <f t="shared" si="23"/>
        <v>1.9383350993719794E-5</v>
      </c>
      <c r="Q152" s="5">
        <f t="shared" si="20"/>
        <v>0.99825549841056449</v>
      </c>
      <c r="R152" s="4">
        <f t="shared" si="18"/>
        <v>2.9498525073746312E-3</v>
      </c>
      <c r="S152" s="8">
        <f t="shared" si="21"/>
        <v>0.44247787610619321</v>
      </c>
      <c r="T152" s="8"/>
      <c r="U152" s="8"/>
      <c r="V152" s="8"/>
    </row>
    <row r="153" spans="1:22" x14ac:dyDescent="0.25">
      <c r="A153" t="s">
        <v>8885</v>
      </c>
      <c r="C153" t="s">
        <v>8886</v>
      </c>
      <c r="D153" t="s">
        <v>309</v>
      </c>
      <c r="E153" t="s">
        <v>6</v>
      </c>
      <c r="F153" t="s">
        <v>251</v>
      </c>
      <c r="G153">
        <v>267</v>
      </c>
      <c r="H153" s="2">
        <f>Tabelle13[[#This Row],[commits]]/Tabelle13[[#Totals],[commits]]</f>
        <v>1.2409600475933741E-3</v>
      </c>
      <c r="I153" s="5">
        <f>Tabelle13[[#This Row],[%]]+I152</f>
        <v>0.63206231757422593</v>
      </c>
      <c r="J153" s="4">
        <f t="shared" si="16"/>
        <v>1.105583195135434E-4</v>
      </c>
      <c r="K153" s="5">
        <f t="shared" si="22"/>
        <v>1.6694306246545002E-2</v>
      </c>
      <c r="M153">
        <v>151</v>
      </c>
      <c r="N153" t="s">
        <v>5607</v>
      </c>
      <c r="O153">
        <f t="shared" si="19"/>
        <v>3</v>
      </c>
      <c r="P153" s="7">
        <f t="shared" si="23"/>
        <v>1.9383350993719794E-5</v>
      </c>
      <c r="Q153" s="5">
        <f t="shared" si="20"/>
        <v>0.99827488176155821</v>
      </c>
      <c r="R153" s="4">
        <f t="shared" si="18"/>
        <v>2.9498525073746312E-3</v>
      </c>
      <c r="S153" s="8">
        <f t="shared" si="21"/>
        <v>0.44542772861356783</v>
      </c>
      <c r="T153" s="8"/>
      <c r="U153" s="8"/>
      <c r="V153" s="8"/>
    </row>
    <row r="154" spans="1:22" x14ac:dyDescent="0.25">
      <c r="A154" t="s">
        <v>8887</v>
      </c>
      <c r="C154" t="s">
        <v>8888</v>
      </c>
      <c r="D154" t="s">
        <v>309</v>
      </c>
      <c r="E154" t="s">
        <v>6</v>
      </c>
      <c r="F154" t="s">
        <v>251</v>
      </c>
      <c r="G154">
        <v>267</v>
      </c>
      <c r="H154" s="2">
        <f>Tabelle13[[#This Row],[commits]]/Tabelle13[[#Totals],[commits]]</f>
        <v>1.2409600475933741E-3</v>
      </c>
      <c r="I154" s="5">
        <f>Tabelle13[[#This Row],[%]]+I153</f>
        <v>0.63330327762181926</v>
      </c>
      <c r="J154" s="4">
        <f t="shared" si="16"/>
        <v>1.105583195135434E-4</v>
      </c>
      <c r="K154" s="5">
        <f t="shared" si="22"/>
        <v>1.6804864566058546E-2</v>
      </c>
      <c r="M154">
        <v>152</v>
      </c>
      <c r="N154" t="s">
        <v>5612</v>
      </c>
      <c r="O154">
        <f t="shared" si="19"/>
        <v>3</v>
      </c>
      <c r="P154" s="7">
        <f t="shared" si="23"/>
        <v>1.9383350993719794E-5</v>
      </c>
      <c r="Q154" s="5">
        <f t="shared" si="20"/>
        <v>0.99829426511255193</v>
      </c>
      <c r="R154" s="4">
        <f t="shared" si="18"/>
        <v>2.9498525073746312E-3</v>
      </c>
      <c r="S154" s="8">
        <f t="shared" si="21"/>
        <v>0.44837758112094245</v>
      </c>
      <c r="T154" s="8"/>
      <c r="U154" s="8"/>
      <c r="V154" s="8"/>
    </row>
    <row r="155" spans="1:22" x14ac:dyDescent="0.25">
      <c r="A155" t="s">
        <v>5189</v>
      </c>
      <c r="C155" t="s">
        <v>5190</v>
      </c>
      <c r="D155" t="s">
        <v>5175</v>
      </c>
      <c r="E155" t="s">
        <v>6</v>
      </c>
      <c r="F155" t="s">
        <v>28</v>
      </c>
      <c r="G155">
        <v>262</v>
      </c>
      <c r="H155" s="2">
        <f>Tabelle13[[#This Row],[commits]]/Tabelle13[[#Totals],[commits]]</f>
        <v>1.2177210953912511E-3</v>
      </c>
      <c r="I155" s="5">
        <f>Tabelle13[[#This Row],[%]]+I154</f>
        <v>0.63452099871721046</v>
      </c>
      <c r="J155" s="4">
        <f t="shared" si="16"/>
        <v>1.105583195135434E-4</v>
      </c>
      <c r="K155" s="5">
        <f t="shared" si="22"/>
        <v>1.6915422885572091E-2</v>
      </c>
      <c r="M155">
        <v>153</v>
      </c>
      <c r="N155" t="s">
        <v>5621</v>
      </c>
      <c r="O155">
        <f t="shared" si="19"/>
        <v>3</v>
      </c>
      <c r="P155" s="7">
        <f t="shared" si="23"/>
        <v>1.9383350993719794E-5</v>
      </c>
      <c r="Q155" s="5">
        <f t="shared" si="20"/>
        <v>0.99831364846354564</v>
      </c>
      <c r="R155" s="4">
        <f t="shared" si="18"/>
        <v>2.9498525073746312E-3</v>
      </c>
      <c r="S155" s="8">
        <f t="shared" si="21"/>
        <v>0.45132743362831707</v>
      </c>
      <c r="T155" s="8"/>
      <c r="U155" s="8"/>
      <c r="V155" s="8"/>
    </row>
    <row r="156" spans="1:22" x14ac:dyDescent="0.25">
      <c r="A156" t="s">
        <v>8889</v>
      </c>
      <c r="C156" t="s">
        <v>8890</v>
      </c>
      <c r="D156" t="s">
        <v>309</v>
      </c>
      <c r="E156" t="s">
        <v>6</v>
      </c>
      <c r="F156" t="s">
        <v>251</v>
      </c>
      <c r="G156">
        <v>262</v>
      </c>
      <c r="H156" s="2">
        <f>Tabelle13[[#This Row],[commits]]/Tabelle13[[#Totals],[commits]]</f>
        <v>1.2177210953912511E-3</v>
      </c>
      <c r="I156" s="5">
        <f>Tabelle13[[#This Row],[%]]+I155</f>
        <v>0.63573871981260166</v>
      </c>
      <c r="J156" s="4">
        <f t="shared" si="16"/>
        <v>1.105583195135434E-4</v>
      </c>
      <c r="K156" s="5">
        <f t="shared" si="22"/>
        <v>1.7025981205085635E-2</v>
      </c>
      <c r="M156">
        <v>154</v>
      </c>
      <c r="N156" t="s">
        <v>5637</v>
      </c>
      <c r="O156">
        <f t="shared" si="19"/>
        <v>3</v>
      </c>
      <c r="P156" s="7">
        <f t="shared" si="23"/>
        <v>1.9383350993719794E-5</v>
      </c>
      <c r="Q156" s="5">
        <f t="shared" si="20"/>
        <v>0.99833303181453936</v>
      </c>
      <c r="R156" s="4">
        <f t="shared" si="18"/>
        <v>2.9498525073746312E-3</v>
      </c>
      <c r="S156" s="8">
        <f t="shared" si="21"/>
        <v>0.45427728613569168</v>
      </c>
      <c r="T156" s="8"/>
      <c r="U156" s="8"/>
      <c r="V156" s="8"/>
    </row>
    <row r="157" spans="1:22" x14ac:dyDescent="0.25">
      <c r="A157" t="s">
        <v>8891</v>
      </c>
      <c r="C157" t="s">
        <v>8892</v>
      </c>
      <c r="D157" t="s">
        <v>309</v>
      </c>
      <c r="E157" t="s">
        <v>6</v>
      </c>
      <c r="F157" t="s">
        <v>251</v>
      </c>
      <c r="G157">
        <v>259</v>
      </c>
      <c r="H157" s="2">
        <f>Tabelle13[[#This Row],[commits]]/Tabelle13[[#Totals],[commits]]</f>
        <v>1.2037777240699772E-3</v>
      </c>
      <c r="I157" s="5">
        <f>Tabelle13[[#This Row],[%]]+I156</f>
        <v>0.63694249753667165</v>
      </c>
      <c r="J157" s="4">
        <f t="shared" si="16"/>
        <v>1.105583195135434E-4</v>
      </c>
      <c r="K157" s="5">
        <f t="shared" si="22"/>
        <v>1.7136539524599179E-2</v>
      </c>
      <c r="M157">
        <v>155</v>
      </c>
      <c r="N157" t="s">
        <v>5660</v>
      </c>
      <c r="O157">
        <f t="shared" si="19"/>
        <v>3</v>
      </c>
      <c r="P157" s="7">
        <f t="shared" si="23"/>
        <v>1.9383350993719794E-5</v>
      </c>
      <c r="Q157" s="5">
        <f t="shared" si="20"/>
        <v>0.99835241516553308</v>
      </c>
      <c r="R157" s="4">
        <f t="shared" si="18"/>
        <v>2.9498525073746312E-3</v>
      </c>
      <c r="S157" s="8">
        <f t="shared" si="21"/>
        <v>0.4572271386430663</v>
      </c>
      <c r="T157" s="8"/>
      <c r="U157" s="8"/>
      <c r="V157" s="8"/>
    </row>
    <row r="158" spans="1:22" x14ac:dyDescent="0.25">
      <c r="A158" t="s">
        <v>8893</v>
      </c>
      <c r="C158" t="s">
        <v>8894</v>
      </c>
      <c r="D158" t="s">
        <v>309</v>
      </c>
      <c r="E158" t="s">
        <v>6</v>
      </c>
      <c r="F158" t="s">
        <v>251</v>
      </c>
      <c r="G158">
        <v>256</v>
      </c>
      <c r="H158" s="2">
        <f>Tabelle13[[#This Row],[commits]]/Tabelle13[[#Totals],[commits]]</f>
        <v>1.1898343527487034E-3</v>
      </c>
      <c r="I158" s="5">
        <f>Tabelle13[[#This Row],[%]]+I157</f>
        <v>0.63813233188942031</v>
      </c>
      <c r="J158" s="4">
        <f t="shared" si="16"/>
        <v>1.105583195135434E-4</v>
      </c>
      <c r="K158" s="5">
        <f t="shared" si="22"/>
        <v>1.7247097844112724E-2</v>
      </c>
      <c r="M158">
        <v>156</v>
      </c>
      <c r="N158" t="s">
        <v>5701</v>
      </c>
      <c r="O158">
        <f t="shared" si="19"/>
        <v>3</v>
      </c>
      <c r="P158" s="7">
        <f t="shared" si="23"/>
        <v>1.9383350993719794E-5</v>
      </c>
      <c r="Q158" s="5">
        <f t="shared" si="20"/>
        <v>0.9983717985165268</v>
      </c>
      <c r="R158" s="4">
        <f t="shared" si="18"/>
        <v>2.9498525073746312E-3</v>
      </c>
      <c r="S158" s="8">
        <f t="shared" si="21"/>
        <v>0.46017699115044092</v>
      </c>
      <c r="T158" s="8"/>
      <c r="U158" s="8"/>
      <c r="V158" s="8"/>
    </row>
    <row r="159" spans="1:22" x14ac:dyDescent="0.25">
      <c r="A159" t="s">
        <v>8895</v>
      </c>
      <c r="C159" t="s">
        <v>8896</v>
      </c>
      <c r="D159" t="s">
        <v>309</v>
      </c>
      <c r="E159" t="s">
        <v>6</v>
      </c>
      <c r="F159" t="s">
        <v>251</v>
      </c>
      <c r="G159">
        <v>256</v>
      </c>
      <c r="H159" s="2">
        <f>Tabelle13[[#This Row],[commits]]/Tabelle13[[#Totals],[commits]]</f>
        <v>1.1898343527487034E-3</v>
      </c>
      <c r="I159" s="5">
        <f>Tabelle13[[#This Row],[%]]+I158</f>
        <v>0.63932216624216898</v>
      </c>
      <c r="J159" s="4">
        <f t="shared" si="16"/>
        <v>1.105583195135434E-4</v>
      </c>
      <c r="K159" s="5">
        <f t="shared" si="22"/>
        <v>1.7357656163626268E-2</v>
      </c>
      <c r="M159">
        <v>157</v>
      </c>
      <c r="N159" t="s">
        <v>11963</v>
      </c>
      <c r="O159">
        <f t="shared" si="19"/>
        <v>3</v>
      </c>
      <c r="P159" s="7">
        <f t="shared" si="23"/>
        <v>1.9383350993719794E-5</v>
      </c>
      <c r="Q159" s="5">
        <f t="shared" si="20"/>
        <v>0.99839118186752052</v>
      </c>
      <c r="R159" s="4">
        <f t="shared" si="18"/>
        <v>2.9498525073746312E-3</v>
      </c>
      <c r="S159" s="8">
        <f t="shared" si="21"/>
        <v>0.46312684365781553</v>
      </c>
      <c r="T159" s="8"/>
      <c r="U159" s="8"/>
      <c r="V159" s="8"/>
    </row>
    <row r="160" spans="1:22" x14ac:dyDescent="0.25">
      <c r="A160" t="s">
        <v>8897</v>
      </c>
      <c r="C160" t="s">
        <v>8898</v>
      </c>
      <c r="D160" t="s">
        <v>5</v>
      </c>
      <c r="E160" t="s">
        <v>6</v>
      </c>
      <c r="F160" t="s">
        <v>251</v>
      </c>
      <c r="G160">
        <v>252</v>
      </c>
      <c r="H160" s="2">
        <f>Tabelle13[[#This Row],[commits]]/Tabelle13[[#Totals],[commits]]</f>
        <v>1.1712431909870048E-3</v>
      </c>
      <c r="I160" s="5">
        <f>Tabelle13[[#This Row],[%]]+I159</f>
        <v>0.64049340943315602</v>
      </c>
      <c r="J160" s="4">
        <f t="shared" si="16"/>
        <v>1.105583195135434E-4</v>
      </c>
      <c r="K160" s="5">
        <f t="shared" si="22"/>
        <v>1.7468214483139812E-2</v>
      </c>
      <c r="M160">
        <v>158</v>
      </c>
      <c r="N160" t="s">
        <v>12033</v>
      </c>
      <c r="O160">
        <f t="shared" si="19"/>
        <v>3</v>
      </c>
      <c r="P160" s="7">
        <f t="shared" si="23"/>
        <v>1.9383350993719794E-5</v>
      </c>
      <c r="Q160" s="5">
        <f t="shared" si="20"/>
        <v>0.99841056521851423</v>
      </c>
      <c r="R160" s="4">
        <f t="shared" si="18"/>
        <v>2.9498525073746312E-3</v>
      </c>
      <c r="S160" s="8">
        <f t="shared" si="21"/>
        <v>0.46607669616519015</v>
      </c>
      <c r="T160" s="8"/>
      <c r="U160" s="8"/>
      <c r="V160" s="8"/>
    </row>
    <row r="161" spans="1:22" x14ac:dyDescent="0.25">
      <c r="A161" t="s">
        <v>8899</v>
      </c>
      <c r="C161" t="s">
        <v>8900</v>
      </c>
      <c r="D161" t="s">
        <v>309</v>
      </c>
      <c r="E161" t="s">
        <v>6</v>
      </c>
      <c r="F161" t="s">
        <v>251</v>
      </c>
      <c r="G161">
        <v>250</v>
      </c>
      <c r="H161" s="2">
        <f>Tabelle13[[#This Row],[commits]]/Tabelle13[[#Totals],[commits]]</f>
        <v>1.1619476101061555E-3</v>
      </c>
      <c r="I161" s="5">
        <f>Tabelle13[[#This Row],[%]]+I160</f>
        <v>0.64165535704326215</v>
      </c>
      <c r="J161" s="4">
        <f t="shared" si="16"/>
        <v>1.105583195135434E-4</v>
      </c>
      <c r="K161" s="5">
        <f t="shared" si="22"/>
        <v>1.7578772802653356E-2</v>
      </c>
      <c r="M161">
        <v>159</v>
      </c>
      <c r="N161" t="s">
        <v>12088</v>
      </c>
      <c r="O161">
        <f t="shared" si="19"/>
        <v>3</v>
      </c>
      <c r="P161" s="7">
        <f t="shared" si="23"/>
        <v>1.9383350993719794E-5</v>
      </c>
      <c r="Q161" s="5">
        <f t="shared" si="20"/>
        <v>0.99842994856950795</v>
      </c>
      <c r="R161" s="4">
        <f t="shared" si="18"/>
        <v>2.9498525073746312E-3</v>
      </c>
      <c r="S161" s="8">
        <f t="shared" si="21"/>
        <v>0.46902654867256477</v>
      </c>
      <c r="T161" s="8"/>
      <c r="U161" s="8"/>
      <c r="V161" s="8"/>
    </row>
    <row r="162" spans="1:22" x14ac:dyDescent="0.25">
      <c r="A162" t="s">
        <v>8901</v>
      </c>
      <c r="C162" t="s">
        <v>8902</v>
      </c>
      <c r="D162" t="s">
        <v>309</v>
      </c>
      <c r="E162" t="s">
        <v>6</v>
      </c>
      <c r="F162" t="s">
        <v>251</v>
      </c>
      <c r="G162">
        <v>249</v>
      </c>
      <c r="H162" s="2">
        <f>Tabelle13[[#This Row],[commits]]/Tabelle13[[#Totals],[commits]]</f>
        <v>1.157299819665731E-3</v>
      </c>
      <c r="I162" s="5">
        <f>Tabelle13[[#This Row],[%]]+I161</f>
        <v>0.64281265686292788</v>
      </c>
      <c r="J162" s="4">
        <f t="shared" si="16"/>
        <v>1.105583195135434E-4</v>
      </c>
      <c r="K162" s="5">
        <f t="shared" si="22"/>
        <v>1.7689331122166901E-2</v>
      </c>
      <c r="M162">
        <v>160</v>
      </c>
      <c r="N162" t="s">
        <v>12180</v>
      </c>
      <c r="O162">
        <f t="shared" si="19"/>
        <v>3</v>
      </c>
      <c r="P162" s="7">
        <f t="shared" si="23"/>
        <v>1.9383350993719794E-5</v>
      </c>
      <c r="Q162" s="5">
        <f t="shared" si="20"/>
        <v>0.99844933192050167</v>
      </c>
      <c r="R162" s="4">
        <f t="shared" si="18"/>
        <v>2.9498525073746312E-3</v>
      </c>
      <c r="S162" s="8">
        <f t="shared" si="21"/>
        <v>0.47197640117993939</v>
      </c>
      <c r="T162" s="8"/>
      <c r="U162" s="8"/>
      <c r="V162" s="8"/>
    </row>
    <row r="163" spans="1:22" x14ac:dyDescent="0.25">
      <c r="A163" t="s">
        <v>2262</v>
      </c>
      <c r="C163" t="s">
        <v>2263</v>
      </c>
      <c r="D163" t="s">
        <v>309</v>
      </c>
      <c r="E163" t="s">
        <v>6</v>
      </c>
      <c r="F163" t="s">
        <v>724</v>
      </c>
      <c r="G163">
        <v>248</v>
      </c>
      <c r="H163" s="2">
        <f>Tabelle13[[#This Row],[commits]]/Tabelle13[[#Totals],[commits]]</f>
        <v>1.1526520292253063E-3</v>
      </c>
      <c r="I163" s="5">
        <f>Tabelle13[[#This Row],[%]]+I162</f>
        <v>0.6439653088921532</v>
      </c>
      <c r="J163" s="4">
        <f t="shared" si="16"/>
        <v>1.105583195135434E-4</v>
      </c>
      <c r="K163" s="5">
        <f t="shared" si="22"/>
        <v>1.7799889441680445E-2</v>
      </c>
      <c r="M163">
        <v>161</v>
      </c>
      <c r="N163" t="s">
        <v>12201</v>
      </c>
      <c r="O163">
        <f t="shared" si="19"/>
        <v>3</v>
      </c>
      <c r="P163" s="7">
        <f t="shared" si="23"/>
        <v>1.9383350993719794E-5</v>
      </c>
      <c r="Q163" s="5">
        <f t="shared" si="20"/>
        <v>0.99846871527149539</v>
      </c>
      <c r="R163" s="4">
        <f t="shared" si="18"/>
        <v>2.9498525073746312E-3</v>
      </c>
      <c r="S163" s="8">
        <f t="shared" si="21"/>
        <v>0.474926253687314</v>
      </c>
      <c r="T163" s="8"/>
      <c r="U163" s="8"/>
      <c r="V163" s="8"/>
    </row>
    <row r="164" spans="1:22" x14ac:dyDescent="0.25">
      <c r="A164" t="s">
        <v>8903</v>
      </c>
      <c r="C164" t="s">
        <v>8904</v>
      </c>
      <c r="D164" t="s">
        <v>8760</v>
      </c>
      <c r="E164" t="s">
        <v>6</v>
      </c>
      <c r="F164" t="s">
        <v>251</v>
      </c>
      <c r="G164">
        <v>248</v>
      </c>
      <c r="H164" s="2">
        <f>Tabelle13[[#This Row],[commits]]/Tabelle13[[#Totals],[commits]]</f>
        <v>1.1526520292253063E-3</v>
      </c>
      <c r="I164" s="5">
        <f>Tabelle13[[#This Row],[%]]+I163</f>
        <v>0.64511796092137852</v>
      </c>
      <c r="J164" s="4">
        <f t="shared" si="16"/>
        <v>1.105583195135434E-4</v>
      </c>
      <c r="K164" s="5">
        <f t="shared" si="22"/>
        <v>1.7910447761193989E-2</v>
      </c>
      <c r="M164">
        <v>162</v>
      </c>
      <c r="N164" t="s">
        <v>341</v>
      </c>
      <c r="O164">
        <f t="shared" si="19"/>
        <v>3</v>
      </c>
      <c r="P164" s="7">
        <f t="shared" si="23"/>
        <v>1.9383350993719794E-5</v>
      </c>
      <c r="Q164" s="5">
        <f t="shared" si="20"/>
        <v>0.99848809862248911</v>
      </c>
      <c r="R164" s="4">
        <f t="shared" si="18"/>
        <v>2.9498525073746312E-3</v>
      </c>
      <c r="S164" s="8">
        <f t="shared" si="21"/>
        <v>0.47787610619468862</v>
      </c>
      <c r="T164" s="8"/>
      <c r="U164" s="8"/>
      <c r="V164" s="8"/>
    </row>
    <row r="165" spans="1:22" x14ac:dyDescent="0.25">
      <c r="A165" t="s">
        <v>2264</v>
      </c>
      <c r="C165" t="s">
        <v>2265</v>
      </c>
      <c r="D165" t="s">
        <v>309</v>
      </c>
      <c r="E165" t="s">
        <v>6</v>
      </c>
      <c r="F165" t="s">
        <v>724</v>
      </c>
      <c r="G165">
        <v>244</v>
      </c>
      <c r="H165" s="2">
        <f>Tabelle13[[#This Row],[commits]]/Tabelle13[[#Totals],[commits]]</f>
        <v>1.1340608674636078E-3</v>
      </c>
      <c r="I165" s="5">
        <f>Tabelle13[[#This Row],[%]]+I164</f>
        <v>0.64625202178884211</v>
      </c>
      <c r="J165" s="4">
        <f t="shared" si="16"/>
        <v>1.105583195135434E-4</v>
      </c>
      <c r="K165" s="5">
        <f t="shared" si="22"/>
        <v>1.8021006080707534E-2</v>
      </c>
      <c r="M165">
        <v>163</v>
      </c>
      <c r="N165" t="s">
        <v>399</v>
      </c>
      <c r="O165">
        <f t="shared" si="19"/>
        <v>3</v>
      </c>
      <c r="P165" s="7">
        <f t="shared" si="23"/>
        <v>1.9383350993719794E-5</v>
      </c>
      <c r="Q165" s="5">
        <f t="shared" si="20"/>
        <v>0.99850748197348282</v>
      </c>
      <c r="R165" s="4">
        <f t="shared" si="18"/>
        <v>2.9498525073746312E-3</v>
      </c>
      <c r="S165" s="8">
        <f t="shared" si="21"/>
        <v>0.48082595870206324</v>
      </c>
      <c r="T165" s="8"/>
      <c r="U165" s="8"/>
      <c r="V165" s="8"/>
    </row>
    <row r="166" spans="1:22" x14ac:dyDescent="0.25">
      <c r="A166" t="s">
        <v>8905</v>
      </c>
      <c r="C166" t="s">
        <v>8906</v>
      </c>
      <c r="D166" t="s">
        <v>309</v>
      </c>
      <c r="E166" t="s">
        <v>6</v>
      </c>
      <c r="F166" t="s">
        <v>251</v>
      </c>
      <c r="G166">
        <v>242</v>
      </c>
      <c r="H166" s="2">
        <f>Tabelle13[[#This Row],[commits]]/Tabelle13[[#Totals],[commits]]</f>
        <v>1.1247652865827586E-3</v>
      </c>
      <c r="I166" s="5">
        <f>Tabelle13[[#This Row],[%]]+I165</f>
        <v>0.6473767870754249</v>
      </c>
      <c r="J166" s="4">
        <f t="shared" si="16"/>
        <v>1.105583195135434E-4</v>
      </c>
      <c r="K166" s="5">
        <f t="shared" si="22"/>
        <v>1.8131564400221078E-2</v>
      </c>
      <c r="M166">
        <v>164</v>
      </c>
      <c r="N166" t="s">
        <v>12540</v>
      </c>
      <c r="O166">
        <f t="shared" si="19"/>
        <v>3</v>
      </c>
      <c r="P166" s="7">
        <f t="shared" si="23"/>
        <v>1.9383350993719794E-5</v>
      </c>
      <c r="Q166" s="5">
        <f t="shared" si="20"/>
        <v>0.99852686532447654</v>
      </c>
      <c r="R166" s="4">
        <f t="shared" si="18"/>
        <v>2.9498525073746312E-3</v>
      </c>
      <c r="S166" s="8">
        <f t="shared" si="21"/>
        <v>0.48377581120943786</v>
      </c>
      <c r="T166" s="8"/>
      <c r="U166" s="8"/>
      <c r="V166" s="8"/>
    </row>
    <row r="167" spans="1:22" x14ac:dyDescent="0.25">
      <c r="A167" t="s">
        <v>8907</v>
      </c>
      <c r="C167" t="s">
        <v>8908</v>
      </c>
      <c r="D167" t="s">
        <v>309</v>
      </c>
      <c r="E167" t="s">
        <v>6</v>
      </c>
      <c r="F167" t="s">
        <v>251</v>
      </c>
      <c r="G167">
        <v>240</v>
      </c>
      <c r="H167" s="2">
        <f>Tabelle13[[#This Row],[commits]]/Tabelle13[[#Totals],[commits]]</f>
        <v>1.1154697057019092E-3</v>
      </c>
      <c r="I167" s="5">
        <f>Tabelle13[[#This Row],[%]]+I166</f>
        <v>0.64849225678112676</v>
      </c>
      <c r="J167" s="4">
        <f t="shared" si="16"/>
        <v>1.105583195135434E-4</v>
      </c>
      <c r="K167" s="5">
        <f t="shared" si="22"/>
        <v>1.8242122719734622E-2</v>
      </c>
      <c r="M167">
        <v>165</v>
      </c>
      <c r="N167" t="s">
        <v>14349</v>
      </c>
      <c r="O167">
        <f t="shared" si="19"/>
        <v>3</v>
      </c>
      <c r="P167" s="7">
        <f t="shared" si="23"/>
        <v>1.9383350993719794E-5</v>
      </c>
      <c r="Q167" s="5">
        <f t="shared" si="20"/>
        <v>0.99854624867547026</v>
      </c>
      <c r="R167" s="4">
        <f t="shared" si="18"/>
        <v>2.9498525073746312E-3</v>
      </c>
      <c r="S167" s="8">
        <f t="shared" si="21"/>
        <v>0.48672566371681247</v>
      </c>
      <c r="T167" s="8"/>
      <c r="U167" s="8"/>
      <c r="V167" s="8"/>
    </row>
    <row r="168" spans="1:22" x14ac:dyDescent="0.25">
      <c r="A168" t="s">
        <v>2266</v>
      </c>
      <c r="C168" t="s">
        <v>2267</v>
      </c>
      <c r="D168" t="s">
        <v>309</v>
      </c>
      <c r="E168" t="s">
        <v>6</v>
      </c>
      <c r="F168" t="s">
        <v>724</v>
      </c>
      <c r="G168">
        <v>238</v>
      </c>
      <c r="H168" s="2">
        <f>Tabelle13[[#This Row],[commits]]/Tabelle13[[#Totals],[commits]]</f>
        <v>1.1061741248210601E-3</v>
      </c>
      <c r="I168" s="5">
        <f>Tabelle13[[#This Row],[%]]+I167</f>
        <v>0.64959843090594782</v>
      </c>
      <c r="J168" s="4">
        <f t="shared" si="16"/>
        <v>1.105583195135434E-4</v>
      </c>
      <c r="K168" s="5">
        <f t="shared" si="22"/>
        <v>1.8352681039248166E-2</v>
      </c>
      <c r="M168">
        <v>166</v>
      </c>
      <c r="N168" t="s">
        <v>15768</v>
      </c>
      <c r="O168">
        <f t="shared" si="19"/>
        <v>3</v>
      </c>
      <c r="P168" s="7">
        <f t="shared" si="23"/>
        <v>1.9383350993719794E-5</v>
      </c>
      <c r="Q168" s="5">
        <f t="shared" si="20"/>
        <v>0.99856563202646398</v>
      </c>
      <c r="R168" s="4">
        <f t="shared" si="18"/>
        <v>2.9498525073746312E-3</v>
      </c>
      <c r="S168" s="8">
        <f t="shared" si="21"/>
        <v>0.48967551622418709</v>
      </c>
      <c r="T168" s="8"/>
      <c r="U168" s="8"/>
      <c r="V168" s="8"/>
    </row>
    <row r="169" spans="1:22" x14ac:dyDescent="0.25">
      <c r="A169" t="s">
        <v>8909</v>
      </c>
      <c r="C169" t="s">
        <v>8910</v>
      </c>
      <c r="D169" t="s">
        <v>309</v>
      </c>
      <c r="E169" t="s">
        <v>6</v>
      </c>
      <c r="F169" t="s">
        <v>251</v>
      </c>
      <c r="G169">
        <v>237</v>
      </c>
      <c r="H169" s="2">
        <f>Tabelle13[[#This Row],[commits]]/Tabelle13[[#Totals],[commits]]</f>
        <v>1.1015263343806354E-3</v>
      </c>
      <c r="I169" s="5">
        <f>Tabelle13[[#This Row],[%]]+I168</f>
        <v>0.65069995724032847</v>
      </c>
      <c r="J169" s="4">
        <f t="shared" si="16"/>
        <v>1.105583195135434E-4</v>
      </c>
      <c r="K169" s="5">
        <f t="shared" si="22"/>
        <v>1.8463239358761711E-2</v>
      </c>
      <c r="M169">
        <v>167</v>
      </c>
      <c r="N169" t="s">
        <v>422</v>
      </c>
      <c r="O169">
        <f t="shared" si="19"/>
        <v>2</v>
      </c>
      <c r="P169" s="7">
        <f t="shared" si="23"/>
        <v>1.2922233995813197E-5</v>
      </c>
      <c r="Q169" s="5">
        <f t="shared" si="20"/>
        <v>0.99857855426045983</v>
      </c>
      <c r="R169" s="4">
        <f t="shared" si="18"/>
        <v>2.9498525073746312E-3</v>
      </c>
      <c r="S169" s="8">
        <f t="shared" si="21"/>
        <v>0.49262536873156171</v>
      </c>
      <c r="T169" s="8"/>
      <c r="U169" s="8"/>
      <c r="V169" s="8"/>
    </row>
    <row r="170" spans="1:22" x14ac:dyDescent="0.25">
      <c r="A170" t="s">
        <v>8911</v>
      </c>
      <c r="C170" t="s">
        <v>8912</v>
      </c>
      <c r="D170" t="s">
        <v>309</v>
      </c>
      <c r="E170" t="s">
        <v>6</v>
      </c>
      <c r="F170" t="s">
        <v>251</v>
      </c>
      <c r="G170">
        <v>236</v>
      </c>
      <c r="H170" s="2">
        <f>Tabelle13[[#This Row],[commits]]/Tabelle13[[#Totals],[commits]]</f>
        <v>1.0968785439402109E-3</v>
      </c>
      <c r="I170" s="5">
        <f>Tabelle13[[#This Row],[%]]+I169</f>
        <v>0.65179683578426872</v>
      </c>
      <c r="J170" s="4">
        <f t="shared" si="16"/>
        <v>1.105583195135434E-4</v>
      </c>
      <c r="K170" s="5">
        <f t="shared" si="22"/>
        <v>1.8573797678275255E-2</v>
      </c>
      <c r="M170">
        <v>168</v>
      </c>
      <c r="N170" t="s">
        <v>427</v>
      </c>
      <c r="O170">
        <f t="shared" si="19"/>
        <v>2</v>
      </c>
      <c r="P170" s="7">
        <f t="shared" si="23"/>
        <v>1.2922233995813197E-5</v>
      </c>
      <c r="Q170" s="5">
        <f t="shared" si="20"/>
        <v>0.99859147649445568</v>
      </c>
      <c r="R170" s="4">
        <f t="shared" si="18"/>
        <v>2.9498525073746312E-3</v>
      </c>
      <c r="S170" s="8">
        <f t="shared" si="21"/>
        <v>0.49557522123893633</v>
      </c>
      <c r="T170" s="8"/>
      <c r="U170" s="8"/>
      <c r="V170" s="8"/>
    </row>
    <row r="171" spans="1:22" x14ac:dyDescent="0.25">
      <c r="A171" t="s">
        <v>2268</v>
      </c>
      <c r="C171" t="s">
        <v>2269</v>
      </c>
      <c r="D171" t="s">
        <v>5</v>
      </c>
      <c r="E171" t="s">
        <v>6</v>
      </c>
      <c r="F171" t="s">
        <v>724</v>
      </c>
      <c r="G171">
        <v>235</v>
      </c>
      <c r="H171" s="2">
        <f>Tabelle13[[#This Row],[commits]]/Tabelle13[[#Totals],[commits]]</f>
        <v>1.0922307534997862E-3</v>
      </c>
      <c r="I171" s="5">
        <f>Tabelle13[[#This Row],[%]]+I170</f>
        <v>0.65288906653776846</v>
      </c>
      <c r="J171" s="4">
        <f t="shared" si="16"/>
        <v>1.105583195135434E-4</v>
      </c>
      <c r="K171" s="5">
        <f t="shared" si="22"/>
        <v>1.8684355997788799E-2</v>
      </c>
      <c r="M171">
        <v>169</v>
      </c>
      <c r="N171" t="s">
        <v>430</v>
      </c>
      <c r="O171">
        <f t="shared" si="19"/>
        <v>2</v>
      </c>
      <c r="P171" s="7">
        <f t="shared" si="23"/>
        <v>1.2922233995813197E-5</v>
      </c>
      <c r="Q171" s="5">
        <f t="shared" si="20"/>
        <v>0.99860439872845153</v>
      </c>
      <c r="R171" s="4">
        <f t="shared" si="18"/>
        <v>2.9498525073746312E-3</v>
      </c>
      <c r="S171" s="8">
        <f t="shared" si="21"/>
        <v>0.49852507374631094</v>
      </c>
      <c r="T171" s="8"/>
      <c r="U171" s="8"/>
      <c r="V171" s="8"/>
    </row>
    <row r="172" spans="1:22" x14ac:dyDescent="0.25">
      <c r="A172" t="s">
        <v>5191</v>
      </c>
      <c r="C172" t="s">
        <v>5192</v>
      </c>
      <c r="D172" t="s">
        <v>5</v>
      </c>
      <c r="E172" t="s">
        <v>6</v>
      </c>
      <c r="F172" t="s">
        <v>28</v>
      </c>
      <c r="G172">
        <v>233</v>
      </c>
      <c r="H172" s="2">
        <f>Tabelle13[[#This Row],[commits]]/Tabelle13[[#Totals],[commits]]</f>
        <v>1.0829351726189369E-3</v>
      </c>
      <c r="I172" s="5">
        <f>Tabelle13[[#This Row],[%]]+I171</f>
        <v>0.65397200171038739</v>
      </c>
      <c r="J172" s="4">
        <f t="shared" si="16"/>
        <v>1.105583195135434E-4</v>
      </c>
      <c r="K172" s="5">
        <f t="shared" si="22"/>
        <v>1.8794914317302343E-2</v>
      </c>
      <c r="M172">
        <v>170</v>
      </c>
      <c r="N172" t="s">
        <v>507</v>
      </c>
      <c r="O172">
        <f t="shared" si="19"/>
        <v>2</v>
      </c>
      <c r="P172" s="7">
        <f t="shared" si="23"/>
        <v>1.2922233995813197E-5</v>
      </c>
      <c r="Q172" s="5">
        <f t="shared" si="20"/>
        <v>0.99861732096244737</v>
      </c>
      <c r="R172" s="4">
        <f t="shared" si="18"/>
        <v>2.9498525073746312E-3</v>
      </c>
      <c r="S172" s="8">
        <f t="shared" si="21"/>
        <v>0.50147492625368562</v>
      </c>
      <c r="T172" s="8"/>
      <c r="U172" s="8"/>
      <c r="V172" s="8"/>
    </row>
    <row r="173" spans="1:22" x14ac:dyDescent="0.25">
      <c r="A173" t="s">
        <v>8913</v>
      </c>
      <c r="C173" t="s">
        <v>8914</v>
      </c>
      <c r="D173" t="s">
        <v>309</v>
      </c>
      <c r="E173" t="s">
        <v>6</v>
      </c>
      <c r="F173" t="s">
        <v>251</v>
      </c>
      <c r="G173">
        <v>233</v>
      </c>
      <c r="H173" s="2">
        <f>Tabelle13[[#This Row],[commits]]/Tabelle13[[#Totals],[commits]]</f>
        <v>1.0829351726189369E-3</v>
      </c>
      <c r="I173" s="5">
        <f>Tabelle13[[#This Row],[%]]+I172</f>
        <v>0.65505493688300631</v>
      </c>
      <c r="J173" s="4">
        <f t="shared" si="16"/>
        <v>1.105583195135434E-4</v>
      </c>
      <c r="K173" s="5">
        <f t="shared" si="22"/>
        <v>1.8905472636815888E-2</v>
      </c>
      <c r="M173">
        <v>171</v>
      </c>
      <c r="N173" t="s">
        <v>1793</v>
      </c>
      <c r="O173">
        <f t="shared" si="19"/>
        <v>2</v>
      </c>
      <c r="P173" s="7">
        <f t="shared" si="23"/>
        <v>1.2922233995813197E-5</v>
      </c>
      <c r="Q173" s="5">
        <f t="shared" si="20"/>
        <v>0.99863024319644322</v>
      </c>
      <c r="R173" s="4">
        <f t="shared" si="18"/>
        <v>2.9498525073746312E-3</v>
      </c>
      <c r="S173" s="8">
        <f t="shared" si="21"/>
        <v>0.50442477876106029</v>
      </c>
      <c r="T173" s="8"/>
      <c r="U173" s="8"/>
      <c r="V173" s="8"/>
    </row>
    <row r="174" spans="1:22" x14ac:dyDescent="0.25">
      <c r="A174" t="s">
        <v>8915</v>
      </c>
      <c r="C174" t="s">
        <v>8916</v>
      </c>
      <c r="D174" t="s">
        <v>5</v>
      </c>
      <c r="E174" t="s">
        <v>6</v>
      </c>
      <c r="F174" t="s">
        <v>251</v>
      </c>
      <c r="G174">
        <v>232</v>
      </c>
      <c r="H174" s="2">
        <f>Tabelle13[[#This Row],[commits]]/Tabelle13[[#Totals],[commits]]</f>
        <v>1.0782873821785124E-3</v>
      </c>
      <c r="I174" s="5">
        <f>Tabelle13[[#This Row],[%]]+I173</f>
        <v>0.65613322426518483</v>
      </c>
      <c r="J174" s="4">
        <f t="shared" si="16"/>
        <v>1.105583195135434E-4</v>
      </c>
      <c r="K174" s="5">
        <f t="shared" si="22"/>
        <v>1.9016030956329432E-2</v>
      </c>
      <c r="M174">
        <v>172</v>
      </c>
      <c r="N174" t="s">
        <v>3224</v>
      </c>
      <c r="O174">
        <f t="shared" si="19"/>
        <v>2</v>
      </c>
      <c r="P174" s="7">
        <f t="shared" si="23"/>
        <v>1.2922233995813197E-5</v>
      </c>
      <c r="Q174" s="5">
        <f t="shared" si="20"/>
        <v>0.99864316543043907</v>
      </c>
      <c r="R174" s="4">
        <f t="shared" si="18"/>
        <v>2.9498525073746312E-3</v>
      </c>
      <c r="S174" s="8">
        <f t="shared" si="21"/>
        <v>0.50737463126843496</v>
      </c>
      <c r="T174" s="8"/>
      <c r="U174" s="8"/>
      <c r="V174" s="8"/>
    </row>
    <row r="175" spans="1:22" x14ac:dyDescent="0.25">
      <c r="A175" t="s">
        <v>23</v>
      </c>
      <c r="C175" t="s">
        <v>24</v>
      </c>
      <c r="D175" t="s">
        <v>5</v>
      </c>
      <c r="E175" t="s">
        <v>6</v>
      </c>
      <c r="F175" t="s">
        <v>7</v>
      </c>
      <c r="G175">
        <v>231</v>
      </c>
      <c r="H175" s="2">
        <f>Tabelle13[[#This Row],[commits]]/Tabelle13[[#Totals],[commits]]</f>
        <v>1.0736395917380877E-3</v>
      </c>
      <c r="I175" s="5">
        <f>Tabelle13[[#This Row],[%]]+I174</f>
        <v>0.65720686385692295</v>
      </c>
      <c r="J175" s="4">
        <f t="shared" si="16"/>
        <v>1.105583195135434E-4</v>
      </c>
      <c r="K175" s="5">
        <f t="shared" si="22"/>
        <v>1.9126589275842976E-2</v>
      </c>
      <c r="M175">
        <v>173</v>
      </c>
      <c r="N175" t="s">
        <v>5804</v>
      </c>
      <c r="O175">
        <f t="shared" si="19"/>
        <v>2</v>
      </c>
      <c r="P175" s="7">
        <f t="shared" si="23"/>
        <v>1.2922233995813197E-5</v>
      </c>
      <c r="Q175" s="5">
        <f t="shared" si="20"/>
        <v>0.99865608766443492</v>
      </c>
      <c r="R175" s="4">
        <f t="shared" si="18"/>
        <v>2.9498525073746312E-3</v>
      </c>
      <c r="S175" s="8">
        <f t="shared" si="21"/>
        <v>0.51032448377580963</v>
      </c>
      <c r="T175" s="8"/>
      <c r="U175" s="8"/>
      <c r="V175" s="8"/>
    </row>
    <row r="176" spans="1:22" x14ac:dyDescent="0.25">
      <c r="A176" t="s">
        <v>2270</v>
      </c>
      <c r="C176" t="s">
        <v>2271</v>
      </c>
      <c r="D176" t="s">
        <v>309</v>
      </c>
      <c r="E176" t="s">
        <v>6</v>
      </c>
      <c r="F176" t="s">
        <v>724</v>
      </c>
      <c r="G176">
        <v>228</v>
      </c>
      <c r="H176" s="2">
        <f>Tabelle13[[#This Row],[commits]]/Tabelle13[[#Totals],[commits]]</f>
        <v>1.0596962204168139E-3</v>
      </c>
      <c r="I176" s="5">
        <f>Tabelle13[[#This Row],[%]]+I175</f>
        <v>0.65826656007733975</v>
      </c>
      <c r="J176" s="4">
        <f t="shared" si="16"/>
        <v>1.105583195135434E-4</v>
      </c>
      <c r="K176" s="5">
        <f t="shared" si="22"/>
        <v>1.9237147595356521E-2</v>
      </c>
      <c r="M176">
        <v>174</v>
      </c>
      <c r="N176" t="s">
        <v>6087</v>
      </c>
      <c r="O176">
        <f t="shared" si="19"/>
        <v>2</v>
      </c>
      <c r="P176" s="7">
        <f t="shared" si="23"/>
        <v>1.2922233995813197E-5</v>
      </c>
      <c r="Q176" s="5">
        <f t="shared" si="20"/>
        <v>0.99866900989843077</v>
      </c>
      <c r="R176" s="4">
        <f t="shared" si="18"/>
        <v>2.9498525073746312E-3</v>
      </c>
      <c r="S176" s="8">
        <f t="shared" si="21"/>
        <v>0.51327433628318431</v>
      </c>
      <c r="T176" s="8"/>
      <c r="U176" s="8"/>
      <c r="V176" s="8"/>
    </row>
    <row r="177" spans="1:22" x14ac:dyDescent="0.25">
      <c r="A177" t="s">
        <v>2272</v>
      </c>
      <c r="C177" t="s">
        <v>2273</v>
      </c>
      <c r="D177" t="s">
        <v>309</v>
      </c>
      <c r="E177" t="s">
        <v>6</v>
      </c>
      <c r="F177" t="s">
        <v>724</v>
      </c>
      <c r="G177">
        <v>228</v>
      </c>
      <c r="H177" s="2">
        <f>Tabelle13[[#This Row],[commits]]/Tabelle13[[#Totals],[commits]]</f>
        <v>1.0596962204168139E-3</v>
      </c>
      <c r="I177" s="5">
        <f>Tabelle13[[#This Row],[%]]+I176</f>
        <v>0.65932625629775654</v>
      </c>
      <c r="J177" s="4">
        <f t="shared" si="16"/>
        <v>1.105583195135434E-4</v>
      </c>
      <c r="K177" s="5">
        <f t="shared" si="22"/>
        <v>1.9347705914870065E-2</v>
      </c>
      <c r="M177">
        <v>175</v>
      </c>
      <c r="N177" t="s">
        <v>6132</v>
      </c>
      <c r="O177">
        <f t="shared" si="19"/>
        <v>2</v>
      </c>
      <c r="P177" s="7">
        <f t="shared" si="23"/>
        <v>1.2922233995813197E-5</v>
      </c>
      <c r="Q177" s="5">
        <f t="shared" si="20"/>
        <v>0.99868193213242662</v>
      </c>
      <c r="R177" s="4">
        <f t="shared" si="18"/>
        <v>2.9498525073746312E-3</v>
      </c>
      <c r="S177" s="8">
        <f t="shared" si="21"/>
        <v>0.51622418879055898</v>
      </c>
      <c r="T177" s="8"/>
      <c r="U177" s="8"/>
      <c r="V177" s="8"/>
    </row>
    <row r="178" spans="1:22" x14ac:dyDescent="0.25">
      <c r="A178" t="s">
        <v>8917</v>
      </c>
      <c r="C178" t="s">
        <v>8918</v>
      </c>
      <c r="D178" t="s">
        <v>309</v>
      </c>
      <c r="E178" t="s">
        <v>6</v>
      </c>
      <c r="F178" t="s">
        <v>251</v>
      </c>
      <c r="G178">
        <v>228</v>
      </c>
      <c r="H178" s="2">
        <f>Tabelle13[[#This Row],[commits]]/Tabelle13[[#Totals],[commits]]</f>
        <v>1.0596962204168139E-3</v>
      </c>
      <c r="I178" s="5">
        <f>Tabelle13[[#This Row],[%]]+I177</f>
        <v>0.66038595251817334</v>
      </c>
      <c r="J178" s="4">
        <f t="shared" si="16"/>
        <v>1.105583195135434E-4</v>
      </c>
      <c r="K178" s="5">
        <f t="shared" si="22"/>
        <v>1.9458264234383609E-2</v>
      </c>
      <c r="M178">
        <v>176</v>
      </c>
      <c r="N178" t="s">
        <v>6151</v>
      </c>
      <c r="O178">
        <f t="shared" si="19"/>
        <v>2</v>
      </c>
      <c r="P178" s="7">
        <f t="shared" si="23"/>
        <v>1.2922233995813197E-5</v>
      </c>
      <c r="Q178" s="5">
        <f t="shared" si="20"/>
        <v>0.99869485436642247</v>
      </c>
      <c r="R178" s="4">
        <f t="shared" si="18"/>
        <v>2.9498525073746312E-3</v>
      </c>
      <c r="S178" s="8">
        <f t="shared" si="21"/>
        <v>0.51917404129793365</v>
      </c>
      <c r="T178" s="8"/>
      <c r="U178" s="8"/>
      <c r="V178" s="8"/>
    </row>
    <row r="179" spans="1:22" x14ac:dyDescent="0.25">
      <c r="A179" t="s">
        <v>8919</v>
      </c>
      <c r="C179" t="s">
        <v>8920</v>
      </c>
      <c r="D179" t="s">
        <v>309</v>
      </c>
      <c r="E179" t="s">
        <v>6</v>
      </c>
      <c r="F179" t="s">
        <v>251</v>
      </c>
      <c r="G179">
        <v>227</v>
      </c>
      <c r="H179" s="2">
        <f>Tabelle13[[#This Row],[commits]]/Tabelle13[[#Totals],[commits]]</f>
        <v>1.0550484299763892E-3</v>
      </c>
      <c r="I179" s="5">
        <f>Tabelle13[[#This Row],[%]]+I178</f>
        <v>0.66144100094814973</v>
      </c>
      <c r="J179" s="4">
        <f t="shared" si="16"/>
        <v>1.105583195135434E-4</v>
      </c>
      <c r="K179" s="5">
        <f t="shared" si="22"/>
        <v>1.9568822553897153E-2</v>
      </c>
      <c r="M179">
        <v>177</v>
      </c>
      <c r="N179" t="s">
        <v>12473</v>
      </c>
      <c r="O179">
        <f t="shared" si="19"/>
        <v>2</v>
      </c>
      <c r="P179" s="7">
        <f t="shared" si="23"/>
        <v>1.2922233995813197E-5</v>
      </c>
      <c r="Q179" s="5">
        <f t="shared" si="20"/>
        <v>0.99870777660041832</v>
      </c>
      <c r="R179" s="4">
        <f t="shared" si="18"/>
        <v>2.9498525073746312E-3</v>
      </c>
      <c r="S179" s="8">
        <f t="shared" si="21"/>
        <v>0.52212389380530833</v>
      </c>
      <c r="T179" s="8"/>
      <c r="U179" s="8"/>
      <c r="V179" s="8"/>
    </row>
    <row r="180" spans="1:22" x14ac:dyDescent="0.25">
      <c r="A180" t="s">
        <v>8921</v>
      </c>
      <c r="C180" t="s">
        <v>8922</v>
      </c>
      <c r="D180" t="s">
        <v>309</v>
      </c>
      <c r="E180" t="s">
        <v>6</v>
      </c>
      <c r="F180" t="s">
        <v>251</v>
      </c>
      <c r="G180">
        <v>226</v>
      </c>
      <c r="H180" s="2">
        <f>Tabelle13[[#This Row],[commits]]/Tabelle13[[#Totals],[commits]]</f>
        <v>1.0504006395359645E-3</v>
      </c>
      <c r="I180" s="5">
        <f>Tabelle13[[#This Row],[%]]+I179</f>
        <v>0.66249140158768571</v>
      </c>
      <c r="J180" s="4">
        <f t="shared" si="16"/>
        <v>1.105583195135434E-4</v>
      </c>
      <c r="K180" s="5">
        <f t="shared" si="22"/>
        <v>1.9679380873410698E-2</v>
      </c>
      <c r="M180">
        <v>178</v>
      </c>
      <c r="N180" t="s">
        <v>12515</v>
      </c>
      <c r="O180">
        <f t="shared" si="19"/>
        <v>2</v>
      </c>
      <c r="P180" s="7">
        <f t="shared" si="23"/>
        <v>1.2922233995813197E-5</v>
      </c>
      <c r="Q180" s="5">
        <f t="shared" si="20"/>
        <v>0.99872069883441417</v>
      </c>
      <c r="R180" s="4">
        <f t="shared" si="18"/>
        <v>2.9498525073746312E-3</v>
      </c>
      <c r="S180" s="8">
        <f t="shared" si="21"/>
        <v>0.525073746312683</v>
      </c>
      <c r="T180" s="8"/>
      <c r="U180" s="8"/>
      <c r="V180" s="8"/>
    </row>
    <row r="181" spans="1:22" x14ac:dyDescent="0.25">
      <c r="A181" t="s">
        <v>8923</v>
      </c>
      <c r="C181" t="s">
        <v>8920</v>
      </c>
      <c r="D181" t="s">
        <v>5</v>
      </c>
      <c r="E181" t="s">
        <v>6</v>
      </c>
      <c r="F181" t="s">
        <v>251</v>
      </c>
      <c r="G181">
        <v>226</v>
      </c>
      <c r="H181" s="2">
        <f>Tabelle13[[#This Row],[commits]]/Tabelle13[[#Totals],[commits]]</f>
        <v>1.0504006395359645E-3</v>
      </c>
      <c r="I181" s="5">
        <f>Tabelle13[[#This Row],[%]]+I180</f>
        <v>0.6635418022272217</v>
      </c>
      <c r="J181" s="4">
        <f t="shared" si="16"/>
        <v>1.105583195135434E-4</v>
      </c>
      <c r="K181" s="5">
        <f t="shared" si="22"/>
        <v>1.9789939192924242E-2</v>
      </c>
      <c r="M181">
        <v>179</v>
      </c>
      <c r="N181" t="s">
        <v>12610</v>
      </c>
      <c r="O181">
        <f t="shared" si="19"/>
        <v>2</v>
      </c>
      <c r="P181" s="7">
        <f t="shared" si="23"/>
        <v>1.2922233995813197E-5</v>
      </c>
      <c r="Q181" s="5">
        <f t="shared" si="20"/>
        <v>0.99873362106841002</v>
      </c>
      <c r="R181" s="4">
        <f t="shared" si="18"/>
        <v>2.9498525073746312E-3</v>
      </c>
      <c r="S181" s="8">
        <f t="shared" si="21"/>
        <v>0.52802359882005767</v>
      </c>
      <c r="T181" s="8"/>
      <c r="U181" s="8"/>
      <c r="V181" s="8"/>
    </row>
    <row r="182" spans="1:22" x14ac:dyDescent="0.25">
      <c r="A182" t="s">
        <v>8924</v>
      </c>
      <c r="C182" t="s">
        <v>8925</v>
      </c>
      <c r="D182" t="s">
        <v>309</v>
      </c>
      <c r="E182" t="s">
        <v>6</v>
      </c>
      <c r="F182" t="s">
        <v>251</v>
      </c>
      <c r="G182">
        <v>221</v>
      </c>
      <c r="H182" s="2">
        <f>Tabelle13[[#This Row],[commits]]/Tabelle13[[#Totals],[commits]]</f>
        <v>1.0271616873338415E-3</v>
      </c>
      <c r="I182" s="5">
        <f>Tabelle13[[#This Row],[%]]+I181</f>
        <v>0.66456896391455555</v>
      </c>
      <c r="J182" s="4">
        <f t="shared" si="16"/>
        <v>1.105583195135434E-4</v>
      </c>
      <c r="K182" s="5">
        <f t="shared" si="22"/>
        <v>1.9900497512437786E-2</v>
      </c>
      <c r="M182">
        <v>180</v>
      </c>
      <c r="N182" t="s">
        <v>12639</v>
      </c>
      <c r="O182">
        <f t="shared" si="19"/>
        <v>2</v>
      </c>
      <c r="P182" s="7">
        <f t="shared" si="23"/>
        <v>1.2922233995813197E-5</v>
      </c>
      <c r="Q182" s="5">
        <f t="shared" si="20"/>
        <v>0.99874654330240586</v>
      </c>
      <c r="R182" s="4">
        <f t="shared" si="18"/>
        <v>2.9498525073746312E-3</v>
      </c>
      <c r="S182" s="8">
        <f t="shared" si="21"/>
        <v>0.53097345132743234</v>
      </c>
      <c r="T182" s="8"/>
      <c r="U182" s="8"/>
      <c r="V182" s="8"/>
    </row>
    <row r="183" spans="1:22" x14ac:dyDescent="0.25">
      <c r="A183" t="s">
        <v>8926</v>
      </c>
      <c r="C183" t="s">
        <v>8927</v>
      </c>
      <c r="D183" t="s">
        <v>309</v>
      </c>
      <c r="E183" t="s">
        <v>6</v>
      </c>
      <c r="F183" t="s">
        <v>251</v>
      </c>
      <c r="G183">
        <v>220</v>
      </c>
      <c r="H183" s="2">
        <f>Tabelle13[[#This Row],[commits]]/Tabelle13[[#Totals],[commits]]</f>
        <v>1.0225138968934168E-3</v>
      </c>
      <c r="I183" s="5">
        <f>Tabelle13[[#This Row],[%]]+I182</f>
        <v>0.66559147781144901</v>
      </c>
      <c r="J183" s="4">
        <f t="shared" si="16"/>
        <v>1.105583195135434E-4</v>
      </c>
      <c r="K183" s="5">
        <f t="shared" si="22"/>
        <v>2.0011055831951331E-2</v>
      </c>
      <c r="M183">
        <v>181</v>
      </c>
      <c r="N183" t="s">
        <v>12694</v>
      </c>
      <c r="O183">
        <f t="shared" si="19"/>
        <v>2</v>
      </c>
      <c r="P183" s="7">
        <f t="shared" si="23"/>
        <v>1.2922233995813197E-5</v>
      </c>
      <c r="Q183" s="5">
        <f t="shared" si="20"/>
        <v>0.99875946553640171</v>
      </c>
      <c r="R183" s="4">
        <f t="shared" si="18"/>
        <v>2.9498525073746312E-3</v>
      </c>
      <c r="S183" s="8">
        <f t="shared" si="21"/>
        <v>0.53392330383480702</v>
      </c>
      <c r="T183" s="8"/>
      <c r="U183" s="8"/>
      <c r="V183" s="8"/>
    </row>
    <row r="184" spans="1:22" x14ac:dyDescent="0.25">
      <c r="A184" t="s">
        <v>8928</v>
      </c>
      <c r="C184" t="s">
        <v>8929</v>
      </c>
      <c r="D184" t="s">
        <v>309</v>
      </c>
      <c r="E184" t="s">
        <v>6</v>
      </c>
      <c r="F184" t="s">
        <v>251</v>
      </c>
      <c r="G184">
        <v>217</v>
      </c>
      <c r="H184" s="2">
        <f>Tabelle13[[#This Row],[commits]]/Tabelle13[[#Totals],[commits]]</f>
        <v>1.008570525572143E-3</v>
      </c>
      <c r="I184" s="5">
        <f>Tabelle13[[#This Row],[%]]+I183</f>
        <v>0.66660004833702113</v>
      </c>
      <c r="J184" s="4">
        <f t="shared" si="16"/>
        <v>1.105583195135434E-4</v>
      </c>
      <c r="K184" s="5">
        <f t="shared" si="22"/>
        <v>2.0121614151464875E-2</v>
      </c>
      <c r="M184">
        <v>182</v>
      </c>
      <c r="N184" t="s">
        <v>12717</v>
      </c>
      <c r="O184">
        <f t="shared" si="19"/>
        <v>2</v>
      </c>
      <c r="P184" s="7">
        <f t="shared" si="23"/>
        <v>1.2922233995813197E-5</v>
      </c>
      <c r="Q184" s="5">
        <f t="shared" si="20"/>
        <v>0.99877238777039756</v>
      </c>
      <c r="R184" s="4">
        <f t="shared" si="18"/>
        <v>2.9498525073746312E-3</v>
      </c>
      <c r="S184" s="8">
        <f t="shared" si="21"/>
        <v>0.53687315634218169</v>
      </c>
      <c r="T184" s="8"/>
      <c r="U184" s="8"/>
      <c r="V184" s="8"/>
    </row>
    <row r="185" spans="1:22" x14ac:dyDescent="0.25">
      <c r="A185" t="s">
        <v>8930</v>
      </c>
      <c r="C185" t="s">
        <v>8931</v>
      </c>
      <c r="D185" t="s">
        <v>309</v>
      </c>
      <c r="E185" t="s">
        <v>6</v>
      </c>
      <c r="F185" t="s">
        <v>251</v>
      </c>
      <c r="G185">
        <v>217</v>
      </c>
      <c r="H185" s="2">
        <f>Tabelle13[[#This Row],[commits]]/Tabelle13[[#Totals],[commits]]</f>
        <v>1.008570525572143E-3</v>
      </c>
      <c r="I185" s="5">
        <f>Tabelle13[[#This Row],[%]]+I184</f>
        <v>0.66760861886259326</v>
      </c>
      <c r="J185" s="4">
        <f t="shared" si="16"/>
        <v>1.105583195135434E-4</v>
      </c>
      <c r="K185" s="5">
        <f t="shared" si="22"/>
        <v>2.0232172470978419E-2</v>
      </c>
      <c r="M185">
        <v>183</v>
      </c>
      <c r="N185" t="s">
        <v>12750</v>
      </c>
      <c r="O185">
        <f t="shared" si="19"/>
        <v>2</v>
      </c>
      <c r="P185" s="7">
        <f t="shared" si="23"/>
        <v>1.2922233995813197E-5</v>
      </c>
      <c r="Q185" s="5">
        <f t="shared" si="20"/>
        <v>0.99878531000439341</v>
      </c>
      <c r="R185" s="4">
        <f t="shared" si="18"/>
        <v>2.9498525073746312E-3</v>
      </c>
      <c r="S185" s="8">
        <f t="shared" si="21"/>
        <v>0.53982300884955636</v>
      </c>
      <c r="T185" s="8"/>
      <c r="U185" s="8"/>
      <c r="V185" s="8"/>
    </row>
    <row r="186" spans="1:22" x14ac:dyDescent="0.25">
      <c r="A186" t="s">
        <v>8932</v>
      </c>
      <c r="C186" t="s">
        <v>8933</v>
      </c>
      <c r="D186" t="s">
        <v>309</v>
      </c>
      <c r="E186" t="s">
        <v>6</v>
      </c>
      <c r="F186" t="s">
        <v>251</v>
      </c>
      <c r="G186">
        <v>211</v>
      </c>
      <c r="H186" s="2">
        <f>Tabelle13[[#This Row],[commits]]/Tabelle13[[#Totals],[commits]]</f>
        <v>9.8068378292959528E-4</v>
      </c>
      <c r="I186" s="5">
        <f>Tabelle13[[#This Row],[%]]+I185</f>
        <v>0.66858930264552285</v>
      </c>
      <c r="J186" s="4">
        <f t="shared" si="16"/>
        <v>1.105583195135434E-4</v>
      </c>
      <c r="K186" s="5">
        <f t="shared" si="22"/>
        <v>2.0342730790491963E-2</v>
      </c>
      <c r="M186">
        <v>184</v>
      </c>
      <c r="N186" t="s">
        <v>12771</v>
      </c>
      <c r="O186">
        <f t="shared" si="19"/>
        <v>2</v>
      </c>
      <c r="P186" s="7">
        <f t="shared" si="23"/>
        <v>1.2922233995813197E-5</v>
      </c>
      <c r="Q186" s="5">
        <f t="shared" si="20"/>
        <v>0.99879823223838926</v>
      </c>
      <c r="R186" s="4">
        <f t="shared" si="18"/>
        <v>2.9498525073746312E-3</v>
      </c>
      <c r="S186" s="8">
        <f t="shared" si="21"/>
        <v>0.54277286135693104</v>
      </c>
      <c r="T186" s="8"/>
      <c r="U186" s="8"/>
      <c r="V186" s="8"/>
    </row>
    <row r="187" spans="1:22" x14ac:dyDescent="0.25">
      <c r="A187" t="s">
        <v>25</v>
      </c>
      <c r="C187" t="s">
        <v>26</v>
      </c>
      <c r="D187" t="s">
        <v>5</v>
      </c>
      <c r="E187" t="s">
        <v>6</v>
      </c>
      <c r="F187" t="s">
        <v>7</v>
      </c>
      <c r="G187">
        <v>208</v>
      </c>
      <c r="H187" s="2">
        <f>Tabelle13[[#This Row],[commits]]/Tabelle13[[#Totals],[commits]]</f>
        <v>9.6674041160832143E-4</v>
      </c>
      <c r="I187" s="5">
        <f>Tabelle13[[#This Row],[%]]+I186</f>
        <v>0.66955604305713112</v>
      </c>
      <c r="J187" s="4">
        <f t="shared" si="16"/>
        <v>1.105583195135434E-4</v>
      </c>
      <c r="K187" s="5">
        <f t="shared" si="22"/>
        <v>2.0453289110005508E-2</v>
      </c>
      <c r="M187">
        <v>185</v>
      </c>
      <c r="N187" t="s">
        <v>12781</v>
      </c>
      <c r="O187">
        <f t="shared" si="19"/>
        <v>2</v>
      </c>
      <c r="P187" s="7">
        <f t="shared" si="23"/>
        <v>1.2922233995813197E-5</v>
      </c>
      <c r="Q187" s="5">
        <f t="shared" si="20"/>
        <v>0.99881115447238511</v>
      </c>
      <c r="R187" s="4">
        <f t="shared" si="18"/>
        <v>2.9498525073746312E-3</v>
      </c>
      <c r="S187" s="8">
        <f t="shared" si="21"/>
        <v>0.54572271386430571</v>
      </c>
      <c r="T187" s="8"/>
      <c r="U187" s="8"/>
      <c r="V187" s="8"/>
    </row>
    <row r="188" spans="1:22" x14ac:dyDescent="0.25">
      <c r="A188" t="s">
        <v>8934</v>
      </c>
      <c r="C188" t="s">
        <v>8935</v>
      </c>
      <c r="D188" t="s">
        <v>309</v>
      </c>
      <c r="E188" t="s">
        <v>6</v>
      </c>
      <c r="F188" t="s">
        <v>251</v>
      </c>
      <c r="G188">
        <v>207</v>
      </c>
      <c r="H188" s="2">
        <f>Tabelle13[[#This Row],[commits]]/Tabelle13[[#Totals],[commits]]</f>
        <v>9.6209262116789675E-4</v>
      </c>
      <c r="I188" s="5">
        <f>Tabelle13[[#This Row],[%]]+I187</f>
        <v>0.67051813567829899</v>
      </c>
      <c r="J188" s="4">
        <f t="shared" si="16"/>
        <v>1.105583195135434E-4</v>
      </c>
      <c r="K188" s="5">
        <f t="shared" si="22"/>
        <v>2.0563847429519052E-2</v>
      </c>
      <c r="M188">
        <v>186</v>
      </c>
      <c r="N188" t="s">
        <v>12848</v>
      </c>
      <c r="O188">
        <f t="shared" si="19"/>
        <v>2</v>
      </c>
      <c r="P188" s="7">
        <f t="shared" si="23"/>
        <v>1.2922233995813197E-5</v>
      </c>
      <c r="Q188" s="5">
        <f t="shared" si="20"/>
        <v>0.99882407670638096</v>
      </c>
      <c r="R188" s="4">
        <f t="shared" si="18"/>
        <v>2.9498525073746312E-3</v>
      </c>
      <c r="S188" s="8">
        <f t="shared" si="21"/>
        <v>0.54867256637168038</v>
      </c>
      <c r="T188" s="8"/>
      <c r="U188" s="8"/>
      <c r="V188" s="8"/>
    </row>
    <row r="189" spans="1:22" x14ac:dyDescent="0.25">
      <c r="A189" t="s">
        <v>8936</v>
      </c>
      <c r="C189" t="s">
        <v>8937</v>
      </c>
      <c r="D189" t="s">
        <v>309</v>
      </c>
      <c r="E189" t="s">
        <v>6</v>
      </c>
      <c r="F189" t="s">
        <v>251</v>
      </c>
      <c r="G189">
        <v>206</v>
      </c>
      <c r="H189" s="2">
        <f>Tabelle13[[#This Row],[commits]]/Tabelle13[[#Totals],[commits]]</f>
        <v>9.5744483072747217E-4</v>
      </c>
      <c r="I189" s="5">
        <f>Tabelle13[[#This Row],[%]]+I188</f>
        <v>0.67147558050902645</v>
      </c>
      <c r="J189" s="4">
        <f t="shared" si="16"/>
        <v>1.105583195135434E-4</v>
      </c>
      <c r="K189" s="5">
        <f t="shared" si="22"/>
        <v>2.0674405749032596E-2</v>
      </c>
      <c r="M189">
        <v>187</v>
      </c>
      <c r="N189" t="s">
        <v>12867</v>
      </c>
      <c r="O189">
        <f t="shared" si="19"/>
        <v>2</v>
      </c>
      <c r="P189" s="7">
        <f t="shared" si="23"/>
        <v>1.2922233995813197E-5</v>
      </c>
      <c r="Q189" s="5">
        <f t="shared" si="20"/>
        <v>0.99883699894037681</v>
      </c>
      <c r="R189" s="4">
        <f t="shared" si="18"/>
        <v>2.9498525073746312E-3</v>
      </c>
      <c r="S189" s="8">
        <f t="shared" si="21"/>
        <v>0.55162241887905505</v>
      </c>
      <c r="T189" s="8"/>
      <c r="U189" s="8"/>
      <c r="V189" s="8"/>
    </row>
    <row r="190" spans="1:22" x14ac:dyDescent="0.25">
      <c r="A190" t="s">
        <v>2274</v>
      </c>
      <c r="C190" t="s">
        <v>2275</v>
      </c>
      <c r="D190" t="s">
        <v>309</v>
      </c>
      <c r="E190" t="s">
        <v>6</v>
      </c>
      <c r="F190" t="s">
        <v>724</v>
      </c>
      <c r="G190">
        <v>204</v>
      </c>
      <c r="H190" s="2">
        <f>Tabelle13[[#This Row],[commits]]/Tabelle13[[#Totals],[commits]]</f>
        <v>9.481492498466229E-4</v>
      </c>
      <c r="I190" s="5">
        <f>Tabelle13[[#This Row],[%]]+I189</f>
        <v>0.6724237297588731</v>
      </c>
      <c r="J190" s="4">
        <f t="shared" si="16"/>
        <v>1.105583195135434E-4</v>
      </c>
      <c r="K190" s="5">
        <f t="shared" si="22"/>
        <v>2.0784964068546141E-2</v>
      </c>
      <c r="M190">
        <v>188</v>
      </c>
      <c r="N190" t="s">
        <v>12873</v>
      </c>
      <c r="O190">
        <f t="shared" si="19"/>
        <v>2</v>
      </c>
      <c r="P190" s="7">
        <f t="shared" si="23"/>
        <v>1.2922233995813197E-5</v>
      </c>
      <c r="Q190" s="5">
        <f t="shared" si="20"/>
        <v>0.99884992117437266</v>
      </c>
      <c r="R190" s="4">
        <f t="shared" si="18"/>
        <v>2.9498525073746312E-3</v>
      </c>
      <c r="S190" s="8">
        <f t="shared" si="21"/>
        <v>0.55457227138642973</v>
      </c>
      <c r="T190" s="8"/>
      <c r="U190" s="8"/>
      <c r="V190" s="8"/>
    </row>
    <row r="191" spans="1:22" x14ac:dyDescent="0.25">
      <c r="A191" t="s">
        <v>8938</v>
      </c>
      <c r="C191" t="s">
        <v>8939</v>
      </c>
      <c r="D191" t="s">
        <v>309</v>
      </c>
      <c r="E191" t="s">
        <v>6</v>
      </c>
      <c r="F191" t="s">
        <v>251</v>
      </c>
      <c r="G191">
        <v>204</v>
      </c>
      <c r="H191" s="2">
        <f>Tabelle13[[#This Row],[commits]]/Tabelle13[[#Totals],[commits]]</f>
        <v>9.481492498466229E-4</v>
      </c>
      <c r="I191" s="5">
        <f>Tabelle13[[#This Row],[%]]+I190</f>
        <v>0.67337187900871975</v>
      </c>
      <c r="J191" s="4">
        <f t="shared" si="16"/>
        <v>1.105583195135434E-4</v>
      </c>
      <c r="K191" s="5">
        <f t="shared" si="22"/>
        <v>2.0895522388059685E-2</v>
      </c>
      <c r="M191">
        <v>189</v>
      </c>
      <c r="N191" t="s">
        <v>12881</v>
      </c>
      <c r="O191">
        <f t="shared" si="19"/>
        <v>2</v>
      </c>
      <c r="P191" s="7">
        <f t="shared" si="23"/>
        <v>1.2922233995813197E-5</v>
      </c>
      <c r="Q191" s="5">
        <f t="shared" si="20"/>
        <v>0.99886284340836851</v>
      </c>
      <c r="R191" s="4">
        <f t="shared" si="18"/>
        <v>2.9498525073746312E-3</v>
      </c>
      <c r="S191" s="8">
        <f t="shared" si="21"/>
        <v>0.5575221238938044</v>
      </c>
      <c r="T191" s="8"/>
      <c r="U191" s="8"/>
      <c r="V191" s="8"/>
    </row>
    <row r="192" spans="1:22" x14ac:dyDescent="0.25">
      <c r="A192" t="s">
        <v>8940</v>
      </c>
      <c r="C192" t="s">
        <v>8941</v>
      </c>
      <c r="D192" t="s">
        <v>309</v>
      </c>
      <c r="E192" t="s">
        <v>6</v>
      </c>
      <c r="F192" t="s">
        <v>251</v>
      </c>
      <c r="G192">
        <v>202</v>
      </c>
      <c r="H192" s="2">
        <f>Tabelle13[[#This Row],[commits]]/Tabelle13[[#Totals],[commits]]</f>
        <v>9.3885366896577364E-4</v>
      </c>
      <c r="I192" s="5">
        <f>Tabelle13[[#This Row],[%]]+I191</f>
        <v>0.67431073267768549</v>
      </c>
      <c r="J192" s="4">
        <f t="shared" si="16"/>
        <v>1.105583195135434E-4</v>
      </c>
      <c r="K192" s="5">
        <f t="shared" si="22"/>
        <v>2.1006080707573229E-2</v>
      </c>
      <c r="M192">
        <v>190</v>
      </c>
      <c r="N192" t="s">
        <v>12884</v>
      </c>
      <c r="O192">
        <f t="shared" si="19"/>
        <v>2</v>
      </c>
      <c r="P192" s="7">
        <f t="shared" si="23"/>
        <v>1.2922233995813197E-5</v>
      </c>
      <c r="Q192" s="5">
        <f t="shared" si="20"/>
        <v>0.99887576564236435</v>
      </c>
      <c r="R192" s="4">
        <f t="shared" si="18"/>
        <v>2.9498525073746312E-3</v>
      </c>
      <c r="S192" s="8">
        <f t="shared" si="21"/>
        <v>0.56047197640117907</v>
      </c>
      <c r="T192" s="8"/>
      <c r="U192" s="8"/>
      <c r="V192" s="8"/>
    </row>
    <row r="193" spans="1:22" x14ac:dyDescent="0.25">
      <c r="A193" t="s">
        <v>2276</v>
      </c>
      <c r="C193" t="s">
        <v>2277</v>
      </c>
      <c r="D193" t="s">
        <v>5</v>
      </c>
      <c r="E193" t="s">
        <v>6</v>
      </c>
      <c r="F193" t="s">
        <v>724</v>
      </c>
      <c r="G193">
        <v>201</v>
      </c>
      <c r="H193" s="2">
        <f>Tabelle13[[#This Row],[commits]]/Tabelle13[[#Totals],[commits]]</f>
        <v>9.3420587852534906E-4</v>
      </c>
      <c r="I193" s="5">
        <f>Tabelle13[[#This Row],[%]]+I192</f>
        <v>0.67524493855621082</v>
      </c>
      <c r="J193" s="4">
        <f t="shared" si="16"/>
        <v>1.105583195135434E-4</v>
      </c>
      <c r="K193" s="5">
        <f t="shared" si="22"/>
        <v>2.1116639027086773E-2</v>
      </c>
      <c r="M193">
        <v>191</v>
      </c>
      <c r="N193" t="s">
        <v>12897</v>
      </c>
      <c r="O193">
        <f t="shared" si="19"/>
        <v>2</v>
      </c>
      <c r="P193" s="7">
        <f t="shared" si="23"/>
        <v>1.2922233995813197E-5</v>
      </c>
      <c r="Q193" s="5">
        <f t="shared" si="20"/>
        <v>0.9988886878763602</v>
      </c>
      <c r="R193" s="4">
        <f t="shared" si="18"/>
        <v>2.9498525073746312E-3</v>
      </c>
      <c r="S193" s="8">
        <f t="shared" si="21"/>
        <v>0.56342182890855375</v>
      </c>
      <c r="T193" s="8"/>
      <c r="U193" s="8"/>
      <c r="V193" s="8"/>
    </row>
    <row r="194" spans="1:22" x14ac:dyDescent="0.25">
      <c r="A194" t="s">
        <v>8942</v>
      </c>
      <c r="C194" t="s">
        <v>8943</v>
      </c>
      <c r="D194" t="s">
        <v>309</v>
      </c>
      <c r="E194" t="s">
        <v>6</v>
      </c>
      <c r="F194" t="s">
        <v>251</v>
      </c>
      <c r="G194">
        <v>201</v>
      </c>
      <c r="H194" s="2">
        <f>Tabelle13[[#This Row],[commits]]/Tabelle13[[#Totals],[commits]]</f>
        <v>9.3420587852534906E-4</v>
      </c>
      <c r="I194" s="5">
        <f>Tabelle13[[#This Row],[%]]+I193</f>
        <v>0.67617914443473615</v>
      </c>
      <c r="J194" s="4">
        <f t="shared" si="16"/>
        <v>1.105583195135434E-4</v>
      </c>
      <c r="K194" s="5">
        <f t="shared" si="22"/>
        <v>2.1227197346600318E-2</v>
      </c>
      <c r="M194">
        <v>192</v>
      </c>
      <c r="N194" t="s">
        <v>12920</v>
      </c>
      <c r="O194">
        <f t="shared" si="19"/>
        <v>2</v>
      </c>
      <c r="P194" s="7">
        <f t="shared" si="23"/>
        <v>1.2922233995813197E-5</v>
      </c>
      <c r="Q194" s="5">
        <f t="shared" si="20"/>
        <v>0.99890161011035605</v>
      </c>
      <c r="R194" s="4">
        <f t="shared" si="18"/>
        <v>2.9498525073746312E-3</v>
      </c>
      <c r="S194" s="8">
        <f t="shared" si="21"/>
        <v>0.56637168141592842</v>
      </c>
      <c r="T194" s="8"/>
      <c r="U194" s="8"/>
      <c r="V194" s="8"/>
    </row>
    <row r="195" spans="1:22" x14ac:dyDescent="0.25">
      <c r="A195" t="s">
        <v>2278</v>
      </c>
      <c r="C195" t="s">
        <v>2279</v>
      </c>
      <c r="D195" t="s">
        <v>309</v>
      </c>
      <c r="E195" t="s">
        <v>6</v>
      </c>
      <c r="F195" t="s">
        <v>724</v>
      </c>
      <c r="G195">
        <v>198</v>
      </c>
      <c r="H195" s="2">
        <f>Tabelle13[[#This Row],[commits]]/Tabelle13[[#Totals],[commits]]</f>
        <v>9.2026250720407521E-4</v>
      </c>
      <c r="I195" s="5">
        <f>Tabelle13[[#This Row],[%]]+I194</f>
        <v>0.67709940694194026</v>
      </c>
      <c r="J195" s="4">
        <f t="shared" ref="J195:J258" si="24">1/9045</f>
        <v>1.105583195135434E-4</v>
      </c>
      <c r="K195" s="5">
        <f t="shared" si="22"/>
        <v>2.1337755666113862E-2</v>
      </c>
      <c r="M195">
        <v>193</v>
      </c>
      <c r="N195" t="s">
        <v>13030</v>
      </c>
      <c r="O195">
        <f t="shared" si="19"/>
        <v>2</v>
      </c>
      <c r="P195" s="7">
        <f t="shared" si="23"/>
        <v>1.2922233995813197E-5</v>
      </c>
      <c r="Q195" s="5">
        <f t="shared" si="20"/>
        <v>0.9989145323443519</v>
      </c>
      <c r="R195" s="4">
        <f t="shared" si="18"/>
        <v>2.9498525073746312E-3</v>
      </c>
      <c r="S195" s="8">
        <f t="shared" si="21"/>
        <v>0.56932153392330309</v>
      </c>
      <c r="T195" s="8"/>
      <c r="U195" s="8"/>
      <c r="V195" s="8"/>
    </row>
    <row r="196" spans="1:22" x14ac:dyDescent="0.25">
      <c r="A196" t="s">
        <v>8944</v>
      </c>
      <c r="C196" t="s">
        <v>8945</v>
      </c>
      <c r="D196" t="s">
        <v>309</v>
      </c>
      <c r="E196" t="s">
        <v>6</v>
      </c>
      <c r="F196" t="s">
        <v>251</v>
      </c>
      <c r="G196">
        <v>198</v>
      </c>
      <c r="H196" s="2">
        <f>Tabelle13[[#This Row],[commits]]/Tabelle13[[#Totals],[commits]]</f>
        <v>9.2026250720407521E-4</v>
      </c>
      <c r="I196" s="5">
        <f>Tabelle13[[#This Row],[%]]+I195</f>
        <v>0.67801966944914438</v>
      </c>
      <c r="J196" s="4">
        <f t="shared" si="24"/>
        <v>1.105583195135434E-4</v>
      </c>
      <c r="K196" s="5">
        <f t="shared" si="22"/>
        <v>2.1448313985627406E-2</v>
      </c>
      <c r="M196">
        <v>194</v>
      </c>
      <c r="N196" t="s">
        <v>13067</v>
      </c>
      <c r="O196">
        <f t="shared" si="19"/>
        <v>2</v>
      </c>
      <c r="P196" s="7">
        <f t="shared" si="23"/>
        <v>1.2922233995813197E-5</v>
      </c>
      <c r="Q196" s="5">
        <f t="shared" si="20"/>
        <v>0.99892745457834775</v>
      </c>
      <c r="R196" s="4">
        <f t="shared" ref="R196:R259" si="25">1/339</f>
        <v>2.9498525073746312E-3</v>
      </c>
      <c r="S196" s="8">
        <f t="shared" si="21"/>
        <v>0.57227138643067776</v>
      </c>
      <c r="T196" s="8"/>
      <c r="U196" s="8"/>
      <c r="V196" s="8"/>
    </row>
    <row r="197" spans="1:22" x14ac:dyDescent="0.25">
      <c r="A197" t="s">
        <v>8946</v>
      </c>
      <c r="C197" t="s">
        <v>8947</v>
      </c>
      <c r="D197" t="s">
        <v>8948</v>
      </c>
      <c r="E197" t="s">
        <v>6</v>
      </c>
      <c r="F197" t="s">
        <v>251</v>
      </c>
      <c r="G197">
        <v>195</v>
      </c>
      <c r="H197" s="2">
        <f>Tabelle13[[#This Row],[commits]]/Tabelle13[[#Totals],[commits]]</f>
        <v>9.0631913588280137E-4</v>
      </c>
      <c r="I197" s="5">
        <f>Tabelle13[[#This Row],[%]]+I196</f>
        <v>0.67892598858502717</v>
      </c>
      <c r="J197" s="4">
        <f t="shared" si="24"/>
        <v>1.105583195135434E-4</v>
      </c>
      <c r="K197" s="5">
        <f t="shared" si="22"/>
        <v>2.155887230514095E-2</v>
      </c>
      <c r="M197">
        <v>195</v>
      </c>
      <c r="N197" t="s">
        <v>2139</v>
      </c>
      <c r="O197">
        <f t="shared" ref="O197:O260" si="26">SUMIFS($G$3:$G$9048,$D$3:$D$9048,N197)</f>
        <v>2</v>
      </c>
      <c r="P197" s="7">
        <f t="shared" si="23"/>
        <v>1.2922233995813197E-5</v>
      </c>
      <c r="Q197" s="5">
        <f t="shared" ref="Q197:Q260" si="27">Q196+P197</f>
        <v>0.9989403768123436</v>
      </c>
      <c r="R197" s="4">
        <f t="shared" si="25"/>
        <v>2.9498525073746312E-3</v>
      </c>
      <c r="S197" s="8">
        <f t="shared" ref="S197:S260" si="28">S196+R197</f>
        <v>0.57522123893805244</v>
      </c>
      <c r="T197" s="8"/>
      <c r="U197" s="8"/>
      <c r="V197" s="8"/>
    </row>
    <row r="198" spans="1:22" x14ac:dyDescent="0.25">
      <c r="A198" t="s">
        <v>8949</v>
      </c>
      <c r="C198" t="s">
        <v>8950</v>
      </c>
      <c r="D198" t="s">
        <v>309</v>
      </c>
      <c r="E198" t="s">
        <v>6</v>
      </c>
      <c r="F198" t="s">
        <v>251</v>
      </c>
      <c r="G198">
        <v>194</v>
      </c>
      <c r="H198" s="2">
        <f>Tabelle13[[#This Row],[commits]]/Tabelle13[[#Totals],[commits]]</f>
        <v>9.0167134544237668E-4</v>
      </c>
      <c r="I198" s="5">
        <f>Tabelle13[[#This Row],[%]]+I197</f>
        <v>0.67982765993046956</v>
      </c>
      <c r="J198" s="4">
        <f t="shared" si="24"/>
        <v>1.105583195135434E-4</v>
      </c>
      <c r="K198" s="5">
        <f t="shared" ref="K198:K261" si="29">J198+K197</f>
        <v>2.1669430624654495E-2</v>
      </c>
      <c r="M198">
        <v>196</v>
      </c>
      <c r="N198" t="s">
        <v>13116</v>
      </c>
      <c r="O198">
        <f t="shared" si="26"/>
        <v>2</v>
      </c>
      <c r="P198" s="7">
        <f t="shared" ref="P198:P261" si="30">O198/$O$343</f>
        <v>1.2922233995813197E-5</v>
      </c>
      <c r="Q198" s="5">
        <f t="shared" si="27"/>
        <v>0.99895329904633945</v>
      </c>
      <c r="R198" s="4">
        <f t="shared" si="25"/>
        <v>2.9498525073746312E-3</v>
      </c>
      <c r="S198" s="8">
        <f t="shared" si="28"/>
        <v>0.57817109144542711</v>
      </c>
      <c r="T198" s="8"/>
      <c r="U198" s="8"/>
      <c r="V198" s="8"/>
    </row>
    <row r="199" spans="1:22" x14ac:dyDescent="0.25">
      <c r="A199" t="s">
        <v>2280</v>
      </c>
      <c r="C199" t="s">
        <v>2281</v>
      </c>
      <c r="D199" t="s">
        <v>309</v>
      </c>
      <c r="E199" t="s">
        <v>6</v>
      </c>
      <c r="F199" t="s">
        <v>724</v>
      </c>
      <c r="G199">
        <v>193</v>
      </c>
      <c r="H199" s="2">
        <f>Tabelle13[[#This Row],[commits]]/Tabelle13[[#Totals],[commits]]</f>
        <v>8.970235550019521E-4</v>
      </c>
      <c r="I199" s="5">
        <f>Tabelle13[[#This Row],[%]]+I198</f>
        <v>0.68072468348547155</v>
      </c>
      <c r="J199" s="4">
        <f t="shared" si="24"/>
        <v>1.105583195135434E-4</v>
      </c>
      <c r="K199" s="5">
        <f t="shared" si="29"/>
        <v>2.1779988944168039E-2</v>
      </c>
      <c r="M199">
        <v>197</v>
      </c>
      <c r="N199" t="s">
        <v>13119</v>
      </c>
      <c r="O199">
        <f t="shared" si="26"/>
        <v>2</v>
      </c>
      <c r="P199" s="7">
        <f t="shared" si="30"/>
        <v>1.2922233995813197E-5</v>
      </c>
      <c r="Q199" s="5">
        <f t="shared" si="27"/>
        <v>0.9989662212803353</v>
      </c>
      <c r="R199" s="4">
        <f t="shared" si="25"/>
        <v>2.9498525073746312E-3</v>
      </c>
      <c r="S199" s="8">
        <f t="shared" si="28"/>
        <v>0.58112094395280178</v>
      </c>
      <c r="T199" s="8"/>
      <c r="U199" s="8"/>
      <c r="V199" s="8"/>
    </row>
    <row r="200" spans="1:22" x14ac:dyDescent="0.25">
      <c r="A200" t="s">
        <v>8951</v>
      </c>
      <c r="C200" t="s">
        <v>8952</v>
      </c>
      <c r="D200" t="s">
        <v>309</v>
      </c>
      <c r="E200" t="s">
        <v>6</v>
      </c>
      <c r="F200" t="s">
        <v>251</v>
      </c>
      <c r="G200">
        <v>192</v>
      </c>
      <c r="H200" s="2">
        <f>Tabelle13[[#This Row],[commits]]/Tabelle13[[#Totals],[commits]]</f>
        <v>8.9237576456152742E-4</v>
      </c>
      <c r="I200" s="5">
        <f>Tabelle13[[#This Row],[%]]+I199</f>
        <v>0.68161705925003313</v>
      </c>
      <c r="J200" s="4">
        <f t="shared" si="24"/>
        <v>1.105583195135434E-4</v>
      </c>
      <c r="K200" s="5">
        <f t="shared" si="29"/>
        <v>2.1890547263681583E-2</v>
      </c>
      <c r="M200">
        <v>198</v>
      </c>
      <c r="N200" t="s">
        <v>13217</v>
      </c>
      <c r="O200">
        <f t="shared" si="26"/>
        <v>2</v>
      </c>
      <c r="P200" s="7">
        <f t="shared" si="30"/>
        <v>1.2922233995813197E-5</v>
      </c>
      <c r="Q200" s="5">
        <f t="shared" si="27"/>
        <v>0.99897914351433115</v>
      </c>
      <c r="R200" s="4">
        <f t="shared" si="25"/>
        <v>2.9498525073746312E-3</v>
      </c>
      <c r="S200" s="8">
        <f t="shared" si="28"/>
        <v>0.58407079646017646</v>
      </c>
      <c r="T200" s="8"/>
      <c r="U200" s="8"/>
      <c r="V200" s="8"/>
    </row>
    <row r="201" spans="1:22" x14ac:dyDescent="0.25">
      <c r="A201" t="s">
        <v>2282</v>
      </c>
      <c r="C201" t="s">
        <v>2283</v>
      </c>
      <c r="D201" t="s">
        <v>309</v>
      </c>
      <c r="E201" t="s">
        <v>6</v>
      </c>
      <c r="F201" t="s">
        <v>724</v>
      </c>
      <c r="G201">
        <v>189</v>
      </c>
      <c r="H201" s="2">
        <f>Tabelle13[[#This Row],[commits]]/Tabelle13[[#Totals],[commits]]</f>
        <v>8.7843239324025357E-4</v>
      </c>
      <c r="I201" s="5">
        <f>Tabelle13[[#This Row],[%]]+I200</f>
        <v>0.68249549164327339</v>
      </c>
      <c r="J201" s="4">
        <f t="shared" si="24"/>
        <v>1.105583195135434E-4</v>
      </c>
      <c r="K201" s="5">
        <f t="shared" si="29"/>
        <v>2.2001105583195128E-2</v>
      </c>
      <c r="M201">
        <v>199</v>
      </c>
      <c r="N201" t="s">
        <v>10804</v>
      </c>
      <c r="O201">
        <f t="shared" si="26"/>
        <v>2</v>
      </c>
      <c r="P201" s="7">
        <f t="shared" si="30"/>
        <v>1.2922233995813197E-5</v>
      </c>
      <c r="Q201" s="5">
        <f t="shared" si="27"/>
        <v>0.998992065748327</v>
      </c>
      <c r="R201" s="4">
        <f t="shared" si="25"/>
        <v>2.9498525073746312E-3</v>
      </c>
      <c r="S201" s="8">
        <f t="shared" si="28"/>
        <v>0.58702064896755113</v>
      </c>
      <c r="T201" s="8"/>
      <c r="U201" s="8"/>
      <c r="V201" s="8"/>
    </row>
    <row r="202" spans="1:22" x14ac:dyDescent="0.25">
      <c r="A202" t="s">
        <v>8953</v>
      </c>
      <c r="C202" t="s">
        <v>8954</v>
      </c>
      <c r="D202" t="s">
        <v>309</v>
      </c>
      <c r="E202" t="s">
        <v>6</v>
      </c>
      <c r="F202" t="s">
        <v>251</v>
      </c>
      <c r="G202">
        <v>189</v>
      </c>
      <c r="H202" s="2">
        <f>Tabelle13[[#This Row],[commits]]/Tabelle13[[#Totals],[commits]]</f>
        <v>8.7843239324025357E-4</v>
      </c>
      <c r="I202" s="5">
        <f>Tabelle13[[#This Row],[%]]+I201</f>
        <v>0.68337392403651365</v>
      </c>
      <c r="J202" s="4">
        <f t="shared" si="24"/>
        <v>1.105583195135434E-4</v>
      </c>
      <c r="K202" s="5">
        <f t="shared" si="29"/>
        <v>2.2111663902708672E-2</v>
      </c>
      <c r="M202">
        <v>200</v>
      </c>
      <c r="N202" t="s">
        <v>13250</v>
      </c>
      <c r="O202">
        <f t="shared" si="26"/>
        <v>2</v>
      </c>
      <c r="P202" s="7">
        <f t="shared" si="30"/>
        <v>1.2922233995813197E-5</v>
      </c>
      <c r="Q202" s="5">
        <f t="shared" si="27"/>
        <v>0.99900498798232285</v>
      </c>
      <c r="R202" s="4">
        <f t="shared" si="25"/>
        <v>2.9498525073746312E-3</v>
      </c>
      <c r="S202" s="8">
        <f t="shared" si="28"/>
        <v>0.5899705014749258</v>
      </c>
      <c r="T202" s="8"/>
      <c r="U202" s="8"/>
      <c r="V202" s="8"/>
    </row>
    <row r="203" spans="1:22" x14ac:dyDescent="0.25">
      <c r="A203" t="s">
        <v>8955</v>
      </c>
      <c r="C203" t="s">
        <v>8956</v>
      </c>
      <c r="D203" t="s">
        <v>309</v>
      </c>
      <c r="E203" t="s">
        <v>6</v>
      </c>
      <c r="F203" t="s">
        <v>251</v>
      </c>
      <c r="G203">
        <v>189</v>
      </c>
      <c r="H203" s="2">
        <f>Tabelle13[[#This Row],[commits]]/Tabelle13[[#Totals],[commits]]</f>
        <v>8.7843239324025357E-4</v>
      </c>
      <c r="I203" s="5">
        <f>Tabelle13[[#This Row],[%]]+I202</f>
        <v>0.68425235642975391</v>
      </c>
      <c r="J203" s="4">
        <f t="shared" si="24"/>
        <v>1.105583195135434E-4</v>
      </c>
      <c r="K203" s="5">
        <f t="shared" si="29"/>
        <v>2.2222222222222216E-2</v>
      </c>
      <c r="M203">
        <v>201</v>
      </c>
      <c r="N203" t="s">
        <v>13260</v>
      </c>
      <c r="O203">
        <f t="shared" si="26"/>
        <v>2</v>
      </c>
      <c r="P203" s="7">
        <f t="shared" si="30"/>
        <v>1.2922233995813197E-5</v>
      </c>
      <c r="Q203" s="5">
        <f t="shared" si="27"/>
        <v>0.99901791021631869</v>
      </c>
      <c r="R203" s="4">
        <f t="shared" si="25"/>
        <v>2.9498525073746312E-3</v>
      </c>
      <c r="S203" s="8">
        <f t="shared" si="28"/>
        <v>0.59292035398230047</v>
      </c>
      <c r="T203" s="8"/>
      <c r="U203" s="8"/>
      <c r="V203" s="8"/>
    </row>
    <row r="204" spans="1:22" x14ac:dyDescent="0.25">
      <c r="A204" t="s">
        <v>8957</v>
      </c>
      <c r="C204" t="s">
        <v>8958</v>
      </c>
      <c r="D204" t="s">
        <v>5</v>
      </c>
      <c r="E204" t="s">
        <v>6</v>
      </c>
      <c r="F204" t="s">
        <v>251</v>
      </c>
      <c r="G204">
        <v>188</v>
      </c>
      <c r="H204" s="2">
        <f>Tabelle13[[#This Row],[commits]]/Tabelle13[[#Totals],[commits]]</f>
        <v>8.73784602799829E-4</v>
      </c>
      <c r="I204" s="5">
        <f>Tabelle13[[#This Row],[%]]+I203</f>
        <v>0.68512614103255376</v>
      </c>
      <c r="J204" s="4">
        <f t="shared" si="24"/>
        <v>1.105583195135434E-4</v>
      </c>
      <c r="K204" s="5">
        <f t="shared" si="29"/>
        <v>2.233278054173576E-2</v>
      </c>
      <c r="M204">
        <v>202</v>
      </c>
      <c r="N204" t="s">
        <v>13278</v>
      </c>
      <c r="O204">
        <f t="shared" si="26"/>
        <v>2</v>
      </c>
      <c r="P204" s="7">
        <f t="shared" si="30"/>
        <v>1.2922233995813197E-5</v>
      </c>
      <c r="Q204" s="5">
        <f t="shared" si="27"/>
        <v>0.99903083245031454</v>
      </c>
      <c r="R204" s="4">
        <f t="shared" si="25"/>
        <v>2.9498525073746312E-3</v>
      </c>
      <c r="S204" s="8">
        <f t="shared" si="28"/>
        <v>0.59587020648967515</v>
      </c>
      <c r="T204" s="8"/>
      <c r="U204" s="8"/>
      <c r="V204" s="8"/>
    </row>
    <row r="205" spans="1:22" x14ac:dyDescent="0.25">
      <c r="A205" t="s">
        <v>8959</v>
      </c>
      <c r="C205" t="s">
        <v>8960</v>
      </c>
      <c r="D205" t="s">
        <v>309</v>
      </c>
      <c r="E205" t="s">
        <v>6</v>
      </c>
      <c r="F205" t="s">
        <v>251</v>
      </c>
      <c r="G205">
        <v>188</v>
      </c>
      <c r="H205" s="2">
        <f>Tabelle13[[#This Row],[commits]]/Tabelle13[[#Totals],[commits]]</f>
        <v>8.73784602799829E-4</v>
      </c>
      <c r="I205" s="5">
        <f>Tabelle13[[#This Row],[%]]+I204</f>
        <v>0.68599992563535361</v>
      </c>
      <c r="J205" s="4">
        <f t="shared" si="24"/>
        <v>1.105583195135434E-4</v>
      </c>
      <c r="K205" s="5">
        <f t="shared" si="29"/>
        <v>2.2443338861249305E-2</v>
      </c>
      <c r="M205">
        <v>203</v>
      </c>
      <c r="N205" t="s">
        <v>13300</v>
      </c>
      <c r="O205">
        <f t="shared" si="26"/>
        <v>2</v>
      </c>
      <c r="P205" s="7">
        <f t="shared" si="30"/>
        <v>1.2922233995813197E-5</v>
      </c>
      <c r="Q205" s="5">
        <f t="shared" si="27"/>
        <v>0.99904375468431039</v>
      </c>
      <c r="R205" s="4">
        <f t="shared" si="25"/>
        <v>2.9498525073746312E-3</v>
      </c>
      <c r="S205" s="8">
        <f t="shared" si="28"/>
        <v>0.59882005899704982</v>
      </c>
      <c r="T205" s="8"/>
      <c r="U205" s="8"/>
      <c r="V205" s="8"/>
    </row>
    <row r="206" spans="1:22" x14ac:dyDescent="0.25">
      <c r="A206" t="s">
        <v>8961</v>
      </c>
      <c r="C206" t="s">
        <v>8962</v>
      </c>
      <c r="D206" t="s">
        <v>5</v>
      </c>
      <c r="E206" t="s">
        <v>6</v>
      </c>
      <c r="F206" t="s">
        <v>251</v>
      </c>
      <c r="G206">
        <v>187</v>
      </c>
      <c r="H206" s="2">
        <f>Tabelle13[[#This Row],[commits]]/Tabelle13[[#Totals],[commits]]</f>
        <v>8.6913681235940431E-4</v>
      </c>
      <c r="I206" s="5">
        <f>Tabelle13[[#This Row],[%]]+I205</f>
        <v>0.68686906244771306</v>
      </c>
      <c r="J206" s="4">
        <f t="shared" si="24"/>
        <v>1.105583195135434E-4</v>
      </c>
      <c r="K206" s="5">
        <f t="shared" si="29"/>
        <v>2.2553897180762849E-2</v>
      </c>
      <c r="M206">
        <v>204</v>
      </c>
      <c r="N206" t="s">
        <v>13337</v>
      </c>
      <c r="O206">
        <f t="shared" si="26"/>
        <v>2</v>
      </c>
      <c r="P206" s="7">
        <f t="shared" si="30"/>
        <v>1.2922233995813197E-5</v>
      </c>
      <c r="Q206" s="5">
        <f t="shared" si="27"/>
        <v>0.99905667691830624</v>
      </c>
      <c r="R206" s="4">
        <f t="shared" si="25"/>
        <v>2.9498525073746312E-3</v>
      </c>
      <c r="S206" s="8">
        <f t="shared" si="28"/>
        <v>0.60176991150442449</v>
      </c>
      <c r="T206" s="8"/>
      <c r="U206" s="8"/>
      <c r="V206" s="8"/>
    </row>
    <row r="207" spans="1:22" x14ac:dyDescent="0.25">
      <c r="A207" t="s">
        <v>8963</v>
      </c>
      <c r="C207" t="s">
        <v>8964</v>
      </c>
      <c r="D207" t="s">
        <v>309</v>
      </c>
      <c r="E207" t="s">
        <v>6</v>
      </c>
      <c r="F207" t="s">
        <v>251</v>
      </c>
      <c r="G207">
        <v>184</v>
      </c>
      <c r="H207" s="2">
        <f>Tabelle13[[#This Row],[commits]]/Tabelle13[[#Totals],[commits]]</f>
        <v>8.5519344103813046E-4</v>
      </c>
      <c r="I207" s="5">
        <f>Tabelle13[[#This Row],[%]]+I206</f>
        <v>0.68772425588875119</v>
      </c>
      <c r="J207" s="4">
        <f t="shared" si="24"/>
        <v>1.105583195135434E-4</v>
      </c>
      <c r="K207" s="5">
        <f t="shared" si="29"/>
        <v>2.2664455500276393E-2</v>
      </c>
      <c r="M207">
        <v>205</v>
      </c>
      <c r="N207" t="s">
        <v>13382</v>
      </c>
      <c r="O207">
        <f t="shared" si="26"/>
        <v>2</v>
      </c>
      <c r="P207" s="7">
        <f t="shared" si="30"/>
        <v>1.2922233995813197E-5</v>
      </c>
      <c r="Q207" s="5">
        <f t="shared" si="27"/>
        <v>0.99906959915230209</v>
      </c>
      <c r="R207" s="4">
        <f t="shared" si="25"/>
        <v>2.9498525073746312E-3</v>
      </c>
      <c r="S207" s="8">
        <f t="shared" si="28"/>
        <v>0.60471976401179917</v>
      </c>
      <c r="T207" s="8"/>
      <c r="U207" s="8"/>
      <c r="V207" s="8"/>
    </row>
    <row r="208" spans="1:22" x14ac:dyDescent="0.25">
      <c r="A208" t="s">
        <v>8965</v>
      </c>
      <c r="C208" t="s">
        <v>8966</v>
      </c>
      <c r="D208" t="s">
        <v>309</v>
      </c>
      <c r="E208" t="s">
        <v>6</v>
      </c>
      <c r="F208" t="s">
        <v>251</v>
      </c>
      <c r="G208">
        <v>183</v>
      </c>
      <c r="H208" s="2">
        <f>Tabelle13[[#This Row],[commits]]/Tabelle13[[#Totals],[commits]]</f>
        <v>8.5054565059770589E-4</v>
      </c>
      <c r="I208" s="5">
        <f>Tabelle13[[#This Row],[%]]+I207</f>
        <v>0.68857480153934891</v>
      </c>
      <c r="J208" s="4">
        <f t="shared" si="24"/>
        <v>1.105583195135434E-4</v>
      </c>
      <c r="K208" s="5">
        <f t="shared" si="29"/>
        <v>2.2775013819789938E-2</v>
      </c>
      <c r="M208">
        <v>206</v>
      </c>
      <c r="N208" t="s">
        <v>13408</v>
      </c>
      <c r="O208">
        <f t="shared" si="26"/>
        <v>2</v>
      </c>
      <c r="P208" s="7">
        <f t="shared" si="30"/>
        <v>1.2922233995813197E-5</v>
      </c>
      <c r="Q208" s="5">
        <f t="shared" si="27"/>
        <v>0.99908252138629794</v>
      </c>
      <c r="R208" s="4">
        <f t="shared" si="25"/>
        <v>2.9498525073746312E-3</v>
      </c>
      <c r="S208" s="8">
        <f t="shared" si="28"/>
        <v>0.60766961651917384</v>
      </c>
      <c r="T208" s="8"/>
      <c r="U208" s="8"/>
      <c r="V208" s="8"/>
    </row>
    <row r="209" spans="1:22" x14ac:dyDescent="0.25">
      <c r="A209" t="s">
        <v>8967</v>
      </c>
      <c r="C209" t="s">
        <v>8968</v>
      </c>
      <c r="D209" t="s">
        <v>309</v>
      </c>
      <c r="E209" t="s">
        <v>6</v>
      </c>
      <c r="F209" t="s">
        <v>251</v>
      </c>
      <c r="G209">
        <v>182</v>
      </c>
      <c r="H209" s="2">
        <f>Tabelle13[[#This Row],[commits]]/Tabelle13[[#Totals],[commits]]</f>
        <v>8.458978601572812E-4</v>
      </c>
      <c r="I209" s="5">
        <f>Tabelle13[[#This Row],[%]]+I208</f>
        <v>0.68942069939950623</v>
      </c>
      <c r="J209" s="4">
        <f t="shared" si="24"/>
        <v>1.105583195135434E-4</v>
      </c>
      <c r="K209" s="5">
        <f t="shared" si="29"/>
        <v>2.2885572139303482E-2</v>
      </c>
      <c r="M209">
        <v>207</v>
      </c>
      <c r="N209" t="s">
        <v>13496</v>
      </c>
      <c r="O209">
        <f t="shared" si="26"/>
        <v>2</v>
      </c>
      <c r="P209" s="7">
        <f t="shared" si="30"/>
        <v>1.2922233995813197E-5</v>
      </c>
      <c r="Q209" s="5">
        <f t="shared" si="27"/>
        <v>0.99909544362029379</v>
      </c>
      <c r="R209" s="4">
        <f t="shared" si="25"/>
        <v>2.9498525073746312E-3</v>
      </c>
      <c r="S209" s="8">
        <f t="shared" si="28"/>
        <v>0.61061946902654851</v>
      </c>
      <c r="T209" s="8"/>
      <c r="U209" s="8"/>
      <c r="V209" s="8"/>
    </row>
    <row r="210" spans="1:22" x14ac:dyDescent="0.25">
      <c r="A210" t="s">
        <v>8969</v>
      </c>
      <c r="C210" t="s">
        <v>8970</v>
      </c>
      <c r="D210" t="s">
        <v>309</v>
      </c>
      <c r="E210" t="s">
        <v>6</v>
      </c>
      <c r="F210" t="s">
        <v>251</v>
      </c>
      <c r="G210">
        <v>180</v>
      </c>
      <c r="H210" s="2">
        <f>Tabelle13[[#This Row],[commits]]/Tabelle13[[#Totals],[commits]]</f>
        <v>8.3660227927643193E-4</v>
      </c>
      <c r="I210" s="5">
        <f>Tabelle13[[#This Row],[%]]+I209</f>
        <v>0.69025730167878263</v>
      </c>
      <c r="J210" s="4">
        <f t="shared" si="24"/>
        <v>1.105583195135434E-4</v>
      </c>
      <c r="K210" s="5">
        <f t="shared" si="29"/>
        <v>2.2996130458817026E-2</v>
      </c>
      <c r="M210">
        <v>208</v>
      </c>
      <c r="N210" t="s">
        <v>17237</v>
      </c>
      <c r="O210">
        <f t="shared" si="26"/>
        <v>2</v>
      </c>
      <c r="P210" s="7">
        <f t="shared" si="30"/>
        <v>1.2922233995813197E-5</v>
      </c>
      <c r="Q210" s="5">
        <f t="shared" si="27"/>
        <v>0.99910836585428964</v>
      </c>
      <c r="R210" s="4">
        <f t="shared" si="25"/>
        <v>2.9498525073746312E-3</v>
      </c>
      <c r="S210" s="8">
        <f t="shared" si="28"/>
        <v>0.61356932153392318</v>
      </c>
      <c r="T210" s="8"/>
      <c r="U210" s="8"/>
      <c r="V210" s="8"/>
    </row>
    <row r="211" spans="1:22" x14ac:dyDescent="0.25">
      <c r="A211" t="s">
        <v>8971</v>
      </c>
      <c r="C211" t="s">
        <v>8972</v>
      </c>
      <c r="D211" t="s">
        <v>309</v>
      </c>
      <c r="E211" t="s">
        <v>6</v>
      </c>
      <c r="F211" t="s">
        <v>251</v>
      </c>
      <c r="G211">
        <v>179</v>
      </c>
      <c r="H211" s="2">
        <f>Tabelle13[[#This Row],[commits]]/Tabelle13[[#Totals],[commits]]</f>
        <v>8.3195448883600736E-4</v>
      </c>
      <c r="I211" s="5">
        <f>Tabelle13[[#This Row],[%]]+I210</f>
        <v>0.69108925616761863</v>
      </c>
      <c r="J211" s="4">
        <f t="shared" si="24"/>
        <v>1.105583195135434E-4</v>
      </c>
      <c r="K211" s="5">
        <f t="shared" si="29"/>
        <v>2.310668877833057E-2</v>
      </c>
      <c r="M211">
        <v>209</v>
      </c>
      <c r="N211" t="s">
        <v>13556</v>
      </c>
      <c r="O211">
        <f t="shared" si="26"/>
        <v>2</v>
      </c>
      <c r="P211" s="7">
        <f t="shared" si="30"/>
        <v>1.2922233995813197E-5</v>
      </c>
      <c r="Q211" s="5">
        <f t="shared" si="27"/>
        <v>0.99912128808828549</v>
      </c>
      <c r="R211" s="4">
        <f t="shared" si="25"/>
        <v>2.9498525073746312E-3</v>
      </c>
      <c r="S211" s="8">
        <f t="shared" si="28"/>
        <v>0.61651917404129786</v>
      </c>
      <c r="T211" s="8"/>
      <c r="U211" s="8"/>
      <c r="V211" s="8"/>
    </row>
    <row r="212" spans="1:22" x14ac:dyDescent="0.25">
      <c r="A212" t="s">
        <v>8973</v>
      </c>
      <c r="C212" t="s">
        <v>8974</v>
      </c>
      <c r="D212" t="s">
        <v>309</v>
      </c>
      <c r="E212" t="s">
        <v>6</v>
      </c>
      <c r="F212" t="s">
        <v>251</v>
      </c>
      <c r="G212">
        <v>178</v>
      </c>
      <c r="H212" s="2">
        <f>Tabelle13[[#This Row],[commits]]/Tabelle13[[#Totals],[commits]]</f>
        <v>8.2730669839558278E-4</v>
      </c>
      <c r="I212" s="5">
        <f>Tabelle13[[#This Row],[%]]+I211</f>
        <v>0.69191656286601422</v>
      </c>
      <c r="J212" s="4">
        <f t="shared" si="24"/>
        <v>1.105583195135434E-4</v>
      </c>
      <c r="K212" s="5">
        <f t="shared" si="29"/>
        <v>2.3217247097844115E-2</v>
      </c>
      <c r="M212">
        <v>210</v>
      </c>
      <c r="N212" t="s">
        <v>13898</v>
      </c>
      <c r="O212">
        <f t="shared" si="26"/>
        <v>2</v>
      </c>
      <c r="P212" s="7">
        <f t="shared" si="30"/>
        <v>1.2922233995813197E-5</v>
      </c>
      <c r="Q212" s="5">
        <f t="shared" si="27"/>
        <v>0.99913421032228134</v>
      </c>
      <c r="R212" s="4">
        <f t="shared" si="25"/>
        <v>2.9498525073746312E-3</v>
      </c>
      <c r="S212" s="8">
        <f t="shared" si="28"/>
        <v>0.61946902654867253</v>
      </c>
      <c r="T212" s="8"/>
      <c r="U212" s="8"/>
      <c r="V212" s="8"/>
    </row>
    <row r="213" spans="1:22" x14ac:dyDescent="0.25">
      <c r="A213" t="s">
        <v>2284</v>
      </c>
      <c r="C213" t="s">
        <v>2285</v>
      </c>
      <c r="D213" t="s">
        <v>309</v>
      </c>
      <c r="E213" t="s">
        <v>6</v>
      </c>
      <c r="F213" t="s">
        <v>724</v>
      </c>
      <c r="G213">
        <v>177</v>
      </c>
      <c r="H213" s="2">
        <f>Tabelle13[[#This Row],[commits]]/Tabelle13[[#Totals],[commits]]</f>
        <v>8.2265890795515809E-4</v>
      </c>
      <c r="I213" s="5">
        <f>Tabelle13[[#This Row],[%]]+I212</f>
        <v>0.6927392217739694</v>
      </c>
      <c r="J213" s="4">
        <f t="shared" si="24"/>
        <v>1.105583195135434E-4</v>
      </c>
      <c r="K213" s="5">
        <f t="shared" si="29"/>
        <v>2.3327805417357659E-2</v>
      </c>
      <c r="M213">
        <v>211</v>
      </c>
      <c r="N213" t="s">
        <v>15220</v>
      </c>
      <c r="O213">
        <f t="shared" si="26"/>
        <v>2</v>
      </c>
      <c r="P213" s="7">
        <f t="shared" si="30"/>
        <v>1.2922233995813197E-5</v>
      </c>
      <c r="Q213" s="5">
        <f t="shared" si="27"/>
        <v>0.99914713255627718</v>
      </c>
      <c r="R213" s="4">
        <f t="shared" si="25"/>
        <v>2.9498525073746312E-3</v>
      </c>
      <c r="S213" s="8">
        <f t="shared" si="28"/>
        <v>0.6224188790560472</v>
      </c>
      <c r="T213" s="8"/>
      <c r="U213" s="8"/>
      <c r="V213" s="8"/>
    </row>
    <row r="214" spans="1:22" x14ac:dyDescent="0.25">
      <c r="A214" t="s">
        <v>8975</v>
      </c>
      <c r="C214" t="s">
        <v>8976</v>
      </c>
      <c r="D214" t="s">
        <v>5</v>
      </c>
      <c r="E214" t="s">
        <v>6</v>
      </c>
      <c r="F214" t="s">
        <v>251</v>
      </c>
      <c r="G214">
        <v>177</v>
      </c>
      <c r="H214" s="2">
        <f>Tabelle13[[#This Row],[commits]]/Tabelle13[[#Totals],[commits]]</f>
        <v>8.2265890795515809E-4</v>
      </c>
      <c r="I214" s="5">
        <f>Tabelle13[[#This Row],[%]]+I213</f>
        <v>0.69356188068192459</v>
      </c>
      <c r="J214" s="4">
        <f t="shared" si="24"/>
        <v>1.105583195135434E-4</v>
      </c>
      <c r="K214" s="5">
        <f t="shared" si="29"/>
        <v>2.3438363736871203E-2</v>
      </c>
      <c r="M214">
        <v>212</v>
      </c>
      <c r="N214" t="s">
        <v>15724</v>
      </c>
      <c r="O214">
        <f t="shared" si="26"/>
        <v>2</v>
      </c>
      <c r="P214" s="7">
        <f t="shared" si="30"/>
        <v>1.2922233995813197E-5</v>
      </c>
      <c r="Q214" s="5">
        <f t="shared" si="27"/>
        <v>0.99916005479027303</v>
      </c>
      <c r="R214" s="4">
        <f t="shared" si="25"/>
        <v>2.9498525073746312E-3</v>
      </c>
      <c r="S214" s="8">
        <f t="shared" si="28"/>
        <v>0.62536873156342188</v>
      </c>
      <c r="T214" s="8"/>
      <c r="U214" s="8"/>
      <c r="V214" s="8"/>
    </row>
    <row r="215" spans="1:22" x14ac:dyDescent="0.25">
      <c r="A215" t="s">
        <v>8977</v>
      </c>
      <c r="C215" t="s">
        <v>8978</v>
      </c>
      <c r="D215" t="s">
        <v>5</v>
      </c>
      <c r="E215" t="s">
        <v>6</v>
      </c>
      <c r="F215" t="s">
        <v>251</v>
      </c>
      <c r="G215">
        <v>175</v>
      </c>
      <c r="H215" s="2">
        <f>Tabelle13[[#This Row],[commits]]/Tabelle13[[#Totals],[commits]]</f>
        <v>8.1336332707430882E-4</v>
      </c>
      <c r="I215" s="5">
        <f>Tabelle13[[#This Row],[%]]+I214</f>
        <v>0.69437524400899886</v>
      </c>
      <c r="J215" s="4">
        <f t="shared" si="24"/>
        <v>1.105583195135434E-4</v>
      </c>
      <c r="K215" s="5">
        <f t="shared" si="29"/>
        <v>2.3548922056384747E-2</v>
      </c>
      <c r="M215">
        <v>213</v>
      </c>
      <c r="N215" t="s">
        <v>15818</v>
      </c>
      <c r="O215">
        <f t="shared" si="26"/>
        <v>2</v>
      </c>
      <c r="P215" s="7">
        <f t="shared" si="30"/>
        <v>1.2922233995813197E-5</v>
      </c>
      <c r="Q215" s="5">
        <f t="shared" si="27"/>
        <v>0.99917297702426888</v>
      </c>
      <c r="R215" s="4">
        <f t="shared" si="25"/>
        <v>2.9498525073746312E-3</v>
      </c>
      <c r="S215" s="8">
        <f t="shared" si="28"/>
        <v>0.62831858407079655</v>
      </c>
      <c r="T215" s="8"/>
      <c r="U215" s="8"/>
      <c r="V215" s="8"/>
    </row>
    <row r="216" spans="1:22" x14ac:dyDescent="0.25">
      <c r="A216" t="s">
        <v>8979</v>
      </c>
      <c r="C216" t="s">
        <v>8980</v>
      </c>
      <c r="D216" t="s">
        <v>309</v>
      </c>
      <c r="E216" t="s">
        <v>6</v>
      </c>
      <c r="F216" t="s">
        <v>251</v>
      </c>
      <c r="G216">
        <v>175</v>
      </c>
      <c r="H216" s="2">
        <f>Tabelle13[[#This Row],[commits]]/Tabelle13[[#Totals],[commits]]</f>
        <v>8.1336332707430882E-4</v>
      </c>
      <c r="I216" s="5">
        <f>Tabelle13[[#This Row],[%]]+I215</f>
        <v>0.69518860733607313</v>
      </c>
      <c r="J216" s="4">
        <f t="shared" si="24"/>
        <v>1.105583195135434E-4</v>
      </c>
      <c r="K216" s="5">
        <f t="shared" si="29"/>
        <v>2.3659480375898292E-2</v>
      </c>
      <c r="M216">
        <v>214</v>
      </c>
      <c r="N216" t="s">
        <v>16554</v>
      </c>
      <c r="O216">
        <f t="shared" si="26"/>
        <v>2</v>
      </c>
      <c r="P216" s="7">
        <f t="shared" si="30"/>
        <v>1.2922233995813197E-5</v>
      </c>
      <c r="Q216" s="5">
        <f t="shared" si="27"/>
        <v>0.99918589925826473</v>
      </c>
      <c r="R216" s="4">
        <f t="shared" si="25"/>
        <v>2.9498525073746312E-3</v>
      </c>
      <c r="S216" s="8">
        <f t="shared" si="28"/>
        <v>0.63126843657817122</v>
      </c>
      <c r="T216" s="8"/>
      <c r="U216" s="8"/>
      <c r="V216" s="8"/>
    </row>
    <row r="217" spans="1:22" x14ac:dyDescent="0.25">
      <c r="A217" t="s">
        <v>8981</v>
      </c>
      <c r="C217" t="s">
        <v>8982</v>
      </c>
      <c r="D217" t="s">
        <v>309</v>
      </c>
      <c r="E217" t="s">
        <v>6</v>
      </c>
      <c r="F217" t="s">
        <v>251</v>
      </c>
      <c r="G217">
        <v>174</v>
      </c>
      <c r="H217" s="2">
        <f>Tabelle13[[#This Row],[commits]]/Tabelle13[[#Totals],[commits]]</f>
        <v>8.0871553663388425E-4</v>
      </c>
      <c r="I217" s="5">
        <f>Tabelle13[[#This Row],[%]]+I216</f>
        <v>0.69599732287270699</v>
      </c>
      <c r="J217" s="4">
        <f t="shared" si="24"/>
        <v>1.105583195135434E-4</v>
      </c>
      <c r="K217" s="5">
        <f t="shared" si="29"/>
        <v>2.3770038695411836E-2</v>
      </c>
      <c r="M217">
        <v>215</v>
      </c>
      <c r="N217" t="s">
        <v>17525</v>
      </c>
      <c r="O217">
        <f t="shared" si="26"/>
        <v>2</v>
      </c>
      <c r="P217" s="7">
        <f t="shared" si="30"/>
        <v>1.2922233995813197E-5</v>
      </c>
      <c r="Q217" s="5">
        <f t="shared" si="27"/>
        <v>0.99919882149226058</v>
      </c>
      <c r="R217" s="4">
        <f t="shared" si="25"/>
        <v>2.9498525073746312E-3</v>
      </c>
      <c r="S217" s="8">
        <f t="shared" si="28"/>
        <v>0.63421828908554589</v>
      </c>
      <c r="T217" s="8"/>
      <c r="U217" s="8"/>
      <c r="V217" s="8"/>
    </row>
    <row r="218" spans="1:22" x14ac:dyDescent="0.25">
      <c r="A218" t="s">
        <v>8983</v>
      </c>
      <c r="C218" t="s">
        <v>8984</v>
      </c>
      <c r="D218" t="s">
        <v>309</v>
      </c>
      <c r="E218" t="s">
        <v>6</v>
      </c>
      <c r="F218" t="s">
        <v>251</v>
      </c>
      <c r="G218">
        <v>174</v>
      </c>
      <c r="H218" s="2">
        <f>Tabelle13[[#This Row],[commits]]/Tabelle13[[#Totals],[commits]]</f>
        <v>8.0871553663388425E-4</v>
      </c>
      <c r="I218" s="5">
        <f>Tabelle13[[#This Row],[%]]+I217</f>
        <v>0.69680603840934086</v>
      </c>
      <c r="J218" s="4">
        <f t="shared" si="24"/>
        <v>1.105583195135434E-4</v>
      </c>
      <c r="K218" s="5">
        <f t="shared" si="29"/>
        <v>2.388059701492538E-2</v>
      </c>
      <c r="M218">
        <v>216</v>
      </c>
      <c r="N218" t="s">
        <v>1844</v>
      </c>
      <c r="O218">
        <f t="shared" si="26"/>
        <v>1</v>
      </c>
      <c r="P218" s="7">
        <f t="shared" si="30"/>
        <v>6.4611169979065984E-6</v>
      </c>
      <c r="Q218" s="5">
        <f t="shared" si="27"/>
        <v>0.99920528260925845</v>
      </c>
      <c r="R218" s="4">
        <f t="shared" si="25"/>
        <v>2.9498525073746312E-3</v>
      </c>
      <c r="S218" s="8">
        <f t="shared" si="28"/>
        <v>0.63716814159292057</v>
      </c>
      <c r="T218" s="8"/>
      <c r="U218" s="8"/>
      <c r="V218" s="8"/>
    </row>
    <row r="219" spans="1:22" x14ac:dyDescent="0.25">
      <c r="A219" t="s">
        <v>8985</v>
      </c>
      <c r="C219" t="s">
        <v>8986</v>
      </c>
      <c r="D219" t="s">
        <v>309</v>
      </c>
      <c r="E219" t="s">
        <v>6</v>
      </c>
      <c r="F219" t="s">
        <v>251</v>
      </c>
      <c r="G219">
        <v>174</v>
      </c>
      <c r="H219" s="2">
        <f>Tabelle13[[#This Row],[commits]]/Tabelle13[[#Totals],[commits]]</f>
        <v>8.0871553663388425E-4</v>
      </c>
      <c r="I219" s="5">
        <f>Tabelle13[[#This Row],[%]]+I218</f>
        <v>0.69761475394597472</v>
      </c>
      <c r="J219" s="4">
        <f t="shared" si="24"/>
        <v>1.105583195135434E-4</v>
      </c>
      <c r="K219" s="5">
        <f t="shared" si="29"/>
        <v>2.3991155334438925E-2</v>
      </c>
      <c r="M219">
        <v>217</v>
      </c>
      <c r="N219" t="s">
        <v>1871</v>
      </c>
      <c r="O219">
        <f t="shared" si="26"/>
        <v>1</v>
      </c>
      <c r="P219" s="7">
        <f t="shared" si="30"/>
        <v>6.4611169979065984E-6</v>
      </c>
      <c r="Q219" s="5">
        <f t="shared" si="27"/>
        <v>0.99921174372625632</v>
      </c>
      <c r="R219" s="4">
        <f t="shared" si="25"/>
        <v>2.9498525073746312E-3</v>
      </c>
      <c r="S219" s="8">
        <f t="shared" si="28"/>
        <v>0.64011799410029524</v>
      </c>
      <c r="T219" s="8"/>
      <c r="U219" s="8"/>
      <c r="V219" s="8"/>
    </row>
    <row r="220" spans="1:22" x14ac:dyDescent="0.25">
      <c r="A220" t="s">
        <v>5193</v>
      </c>
      <c r="C220" t="s">
        <v>5194</v>
      </c>
      <c r="D220" t="s">
        <v>5</v>
      </c>
      <c r="E220" t="s">
        <v>6</v>
      </c>
      <c r="F220" t="s">
        <v>28</v>
      </c>
      <c r="G220">
        <v>173</v>
      </c>
      <c r="H220" s="2">
        <f>Tabelle13[[#This Row],[commits]]/Tabelle13[[#Totals],[commits]]</f>
        <v>8.0406774619345967E-4</v>
      </c>
      <c r="I220" s="5">
        <f>Tabelle13[[#This Row],[%]]+I219</f>
        <v>0.69841882169216818</v>
      </c>
      <c r="J220" s="4">
        <f t="shared" si="24"/>
        <v>1.105583195135434E-4</v>
      </c>
      <c r="K220" s="5">
        <f t="shared" si="29"/>
        <v>2.4101713653952469E-2</v>
      </c>
      <c r="M220">
        <v>218</v>
      </c>
      <c r="N220" t="s">
        <v>4533</v>
      </c>
      <c r="O220">
        <f t="shared" si="26"/>
        <v>1</v>
      </c>
      <c r="P220" s="7">
        <f t="shared" si="30"/>
        <v>6.4611169979065984E-6</v>
      </c>
      <c r="Q220" s="5">
        <f t="shared" si="27"/>
        <v>0.99921820484325419</v>
      </c>
      <c r="R220" s="4">
        <f t="shared" si="25"/>
        <v>2.9498525073746312E-3</v>
      </c>
      <c r="S220" s="8">
        <f t="shared" si="28"/>
        <v>0.64306784660766991</v>
      </c>
      <c r="T220" s="8"/>
      <c r="U220" s="8"/>
      <c r="V220" s="8"/>
    </row>
    <row r="221" spans="1:22" x14ac:dyDescent="0.25">
      <c r="A221" t="s">
        <v>8987</v>
      </c>
      <c r="C221" t="s">
        <v>8988</v>
      </c>
      <c r="D221" t="s">
        <v>309</v>
      </c>
      <c r="E221" t="s">
        <v>6</v>
      </c>
      <c r="F221" t="s">
        <v>251</v>
      </c>
      <c r="G221">
        <v>172</v>
      </c>
      <c r="H221" s="2">
        <f>Tabelle13[[#This Row],[commits]]/Tabelle13[[#Totals],[commits]]</f>
        <v>7.9941995575303498E-4</v>
      </c>
      <c r="I221" s="5">
        <f>Tabelle13[[#This Row],[%]]+I220</f>
        <v>0.69921824164792123</v>
      </c>
      <c r="J221" s="4">
        <f t="shared" si="24"/>
        <v>1.105583195135434E-4</v>
      </c>
      <c r="K221" s="5">
        <f t="shared" si="29"/>
        <v>2.4212271973466013E-2</v>
      </c>
      <c r="M221">
        <v>219</v>
      </c>
      <c r="N221" t="s">
        <v>6518</v>
      </c>
      <c r="O221">
        <f t="shared" si="26"/>
        <v>1</v>
      </c>
      <c r="P221" s="7">
        <f t="shared" si="30"/>
        <v>6.4611169979065984E-6</v>
      </c>
      <c r="Q221" s="5">
        <f t="shared" si="27"/>
        <v>0.99922466596025206</v>
      </c>
      <c r="R221" s="4">
        <f t="shared" si="25"/>
        <v>2.9498525073746312E-3</v>
      </c>
      <c r="S221" s="8">
        <f t="shared" si="28"/>
        <v>0.64601769911504459</v>
      </c>
      <c r="T221" s="8"/>
      <c r="U221" s="8"/>
      <c r="V221" s="8"/>
    </row>
    <row r="222" spans="1:22" x14ac:dyDescent="0.25">
      <c r="A222" t="s">
        <v>8989</v>
      </c>
      <c r="C222" t="s">
        <v>8990</v>
      </c>
      <c r="D222" t="s">
        <v>309</v>
      </c>
      <c r="E222" t="s">
        <v>6</v>
      </c>
      <c r="F222" t="s">
        <v>251</v>
      </c>
      <c r="G222">
        <v>172</v>
      </c>
      <c r="H222" s="2">
        <f>Tabelle13[[#This Row],[commits]]/Tabelle13[[#Totals],[commits]]</f>
        <v>7.9941995575303498E-4</v>
      </c>
      <c r="I222" s="5">
        <f>Tabelle13[[#This Row],[%]]+I221</f>
        <v>0.70001766160367429</v>
      </c>
      <c r="J222" s="4">
        <f t="shared" si="24"/>
        <v>1.105583195135434E-4</v>
      </c>
      <c r="K222" s="5">
        <f t="shared" si="29"/>
        <v>2.4322830292979557E-2</v>
      </c>
      <c r="M222">
        <v>220</v>
      </c>
      <c r="N222" t="s">
        <v>6751</v>
      </c>
      <c r="O222">
        <f t="shared" si="26"/>
        <v>1</v>
      </c>
      <c r="P222" s="7">
        <f t="shared" si="30"/>
        <v>6.4611169979065984E-6</v>
      </c>
      <c r="Q222" s="5">
        <f t="shared" si="27"/>
        <v>0.99923112707724993</v>
      </c>
      <c r="R222" s="4">
        <f t="shared" si="25"/>
        <v>2.9498525073746312E-3</v>
      </c>
      <c r="S222" s="8">
        <f t="shared" si="28"/>
        <v>0.64896755162241926</v>
      </c>
      <c r="T222" s="8"/>
      <c r="U222" s="8"/>
      <c r="V222" s="8"/>
    </row>
    <row r="223" spans="1:22" x14ac:dyDescent="0.25">
      <c r="A223" t="s">
        <v>2286</v>
      </c>
      <c r="C223" t="s">
        <v>2287</v>
      </c>
      <c r="D223" t="s">
        <v>2288</v>
      </c>
      <c r="E223" t="s">
        <v>6</v>
      </c>
      <c r="F223" t="s">
        <v>724</v>
      </c>
      <c r="G223">
        <v>171</v>
      </c>
      <c r="H223" s="2">
        <f>Tabelle13[[#This Row],[commits]]/Tabelle13[[#Totals],[commits]]</f>
        <v>7.947721653126104E-4</v>
      </c>
      <c r="I223" s="5">
        <f>Tabelle13[[#This Row],[%]]+I222</f>
        <v>0.70081243376898694</v>
      </c>
      <c r="J223" s="4">
        <f t="shared" si="24"/>
        <v>1.105583195135434E-4</v>
      </c>
      <c r="K223" s="5">
        <f t="shared" si="29"/>
        <v>2.4433388612493102E-2</v>
      </c>
      <c r="M223">
        <v>221</v>
      </c>
      <c r="N223" t="s">
        <v>6775</v>
      </c>
      <c r="O223">
        <f t="shared" si="26"/>
        <v>1</v>
      </c>
      <c r="P223" s="7">
        <f t="shared" si="30"/>
        <v>6.4611169979065984E-6</v>
      </c>
      <c r="Q223" s="5">
        <f t="shared" si="27"/>
        <v>0.99923758819424779</v>
      </c>
      <c r="R223" s="4">
        <f t="shared" si="25"/>
        <v>2.9498525073746312E-3</v>
      </c>
      <c r="S223" s="8">
        <f t="shared" si="28"/>
        <v>0.65191740412979393</v>
      </c>
      <c r="T223" s="8"/>
      <c r="U223" s="8"/>
      <c r="V223" s="8"/>
    </row>
    <row r="224" spans="1:22" x14ac:dyDescent="0.25">
      <c r="A224" t="s">
        <v>8991</v>
      </c>
      <c r="C224" t="s">
        <v>8992</v>
      </c>
      <c r="D224" t="s">
        <v>8874</v>
      </c>
      <c r="E224" t="s">
        <v>6</v>
      </c>
      <c r="F224" t="s">
        <v>251</v>
      </c>
      <c r="G224">
        <v>171</v>
      </c>
      <c r="H224" s="2">
        <f>Tabelle13[[#This Row],[commits]]/Tabelle13[[#Totals],[commits]]</f>
        <v>7.947721653126104E-4</v>
      </c>
      <c r="I224" s="5">
        <f>Tabelle13[[#This Row],[%]]+I223</f>
        <v>0.70160720593429959</v>
      </c>
      <c r="J224" s="4">
        <f t="shared" si="24"/>
        <v>1.105583195135434E-4</v>
      </c>
      <c r="K224" s="5">
        <f t="shared" si="29"/>
        <v>2.4543946932006646E-2</v>
      </c>
      <c r="M224">
        <v>222</v>
      </c>
      <c r="N224" t="s">
        <v>7056</v>
      </c>
      <c r="O224">
        <f t="shared" si="26"/>
        <v>1</v>
      </c>
      <c r="P224" s="7">
        <f t="shared" si="30"/>
        <v>6.4611169979065984E-6</v>
      </c>
      <c r="Q224" s="5">
        <f t="shared" si="27"/>
        <v>0.99924404931124566</v>
      </c>
      <c r="R224" s="4">
        <f t="shared" si="25"/>
        <v>2.9498525073746312E-3</v>
      </c>
      <c r="S224" s="8">
        <f t="shared" si="28"/>
        <v>0.6548672566371686</v>
      </c>
      <c r="T224" s="8"/>
      <c r="U224" s="8"/>
      <c r="V224" s="8"/>
    </row>
    <row r="225" spans="1:22" x14ac:dyDescent="0.25">
      <c r="A225" t="s">
        <v>2289</v>
      </c>
      <c r="C225" t="s">
        <v>2290</v>
      </c>
      <c r="D225" t="s">
        <v>309</v>
      </c>
      <c r="E225" t="s">
        <v>6</v>
      </c>
      <c r="F225" t="s">
        <v>724</v>
      </c>
      <c r="G225">
        <v>170</v>
      </c>
      <c r="H225" s="2">
        <f>Tabelle13[[#This Row],[commits]]/Tabelle13[[#Totals],[commits]]</f>
        <v>7.9012437487218572E-4</v>
      </c>
      <c r="I225" s="5">
        <f>Tabelle13[[#This Row],[%]]+I224</f>
        <v>0.70239733030917173</v>
      </c>
      <c r="J225" s="4">
        <f t="shared" si="24"/>
        <v>1.105583195135434E-4</v>
      </c>
      <c r="K225" s="5">
        <f t="shared" si="29"/>
        <v>2.465450525152019E-2</v>
      </c>
      <c r="M225">
        <v>223</v>
      </c>
      <c r="N225" t="s">
        <v>7093</v>
      </c>
      <c r="O225">
        <f t="shared" si="26"/>
        <v>1</v>
      </c>
      <c r="P225" s="7">
        <f t="shared" si="30"/>
        <v>6.4611169979065984E-6</v>
      </c>
      <c r="Q225" s="5">
        <f t="shared" si="27"/>
        <v>0.99925051042824353</v>
      </c>
      <c r="R225" s="4">
        <f t="shared" si="25"/>
        <v>2.9498525073746312E-3</v>
      </c>
      <c r="S225" s="8">
        <f t="shared" si="28"/>
        <v>0.65781710914454328</v>
      </c>
      <c r="T225" s="8"/>
      <c r="U225" s="8"/>
      <c r="V225" s="8"/>
    </row>
    <row r="226" spans="1:22" x14ac:dyDescent="0.25">
      <c r="A226" t="s">
        <v>5195</v>
      </c>
      <c r="C226" t="s">
        <v>5196</v>
      </c>
      <c r="D226" t="s">
        <v>5</v>
      </c>
      <c r="E226" t="s">
        <v>6</v>
      </c>
      <c r="F226" t="s">
        <v>28</v>
      </c>
      <c r="G226">
        <v>170</v>
      </c>
      <c r="H226" s="2">
        <f>Tabelle13[[#This Row],[commits]]/Tabelle13[[#Totals],[commits]]</f>
        <v>7.9012437487218572E-4</v>
      </c>
      <c r="I226" s="5">
        <f>Tabelle13[[#This Row],[%]]+I225</f>
        <v>0.70318745468404387</v>
      </c>
      <c r="J226" s="4">
        <f t="shared" si="24"/>
        <v>1.105583195135434E-4</v>
      </c>
      <c r="K226" s="5">
        <f t="shared" si="29"/>
        <v>2.4765063571033735E-2</v>
      </c>
      <c r="M226">
        <v>224</v>
      </c>
      <c r="N226" t="s">
        <v>7297</v>
      </c>
      <c r="O226">
        <f t="shared" si="26"/>
        <v>1</v>
      </c>
      <c r="P226" s="7">
        <f t="shared" si="30"/>
        <v>6.4611169979065984E-6</v>
      </c>
      <c r="Q226" s="5">
        <f t="shared" si="27"/>
        <v>0.9992569715452414</v>
      </c>
      <c r="R226" s="4">
        <f t="shared" si="25"/>
        <v>2.9498525073746312E-3</v>
      </c>
      <c r="S226" s="8">
        <f t="shared" si="28"/>
        <v>0.66076696165191795</v>
      </c>
      <c r="T226" s="8"/>
      <c r="U226" s="8"/>
      <c r="V226" s="8"/>
    </row>
    <row r="227" spans="1:22" x14ac:dyDescent="0.25">
      <c r="A227" t="s">
        <v>8993</v>
      </c>
      <c r="C227" t="s">
        <v>8994</v>
      </c>
      <c r="D227" t="s">
        <v>309</v>
      </c>
      <c r="E227" t="s">
        <v>6</v>
      </c>
      <c r="F227" t="s">
        <v>251</v>
      </c>
      <c r="G227">
        <v>169</v>
      </c>
      <c r="H227" s="2">
        <f>Tabelle13[[#This Row],[commits]]/Tabelle13[[#Totals],[commits]]</f>
        <v>7.8547658443176114E-4</v>
      </c>
      <c r="I227" s="5">
        <f>Tabelle13[[#This Row],[%]]+I226</f>
        <v>0.7039729312684756</v>
      </c>
      <c r="J227" s="4">
        <f t="shared" si="24"/>
        <v>1.105583195135434E-4</v>
      </c>
      <c r="K227" s="5">
        <f t="shared" si="29"/>
        <v>2.4875621890547279E-2</v>
      </c>
      <c r="M227">
        <v>225</v>
      </c>
      <c r="N227" t="s">
        <v>7335</v>
      </c>
      <c r="O227">
        <f t="shared" si="26"/>
        <v>1</v>
      </c>
      <c r="P227" s="7">
        <f t="shared" si="30"/>
        <v>6.4611169979065984E-6</v>
      </c>
      <c r="Q227" s="5">
        <f t="shared" si="27"/>
        <v>0.99926343266223927</v>
      </c>
      <c r="R227" s="4">
        <f t="shared" si="25"/>
        <v>2.9498525073746312E-3</v>
      </c>
      <c r="S227" s="8">
        <f t="shared" si="28"/>
        <v>0.66371681415929262</v>
      </c>
      <c r="T227" s="8"/>
      <c r="U227" s="8"/>
      <c r="V227" s="8"/>
    </row>
    <row r="228" spans="1:22" x14ac:dyDescent="0.25">
      <c r="A228" t="s">
        <v>8995</v>
      </c>
      <c r="C228" t="s">
        <v>8996</v>
      </c>
      <c r="D228" t="s">
        <v>8948</v>
      </c>
      <c r="E228" t="s">
        <v>6</v>
      </c>
      <c r="F228" t="s">
        <v>251</v>
      </c>
      <c r="G228">
        <v>168</v>
      </c>
      <c r="H228" s="2">
        <f>Tabelle13[[#This Row],[commits]]/Tabelle13[[#Totals],[commits]]</f>
        <v>7.8082879399133656E-4</v>
      </c>
      <c r="I228" s="5">
        <f>Tabelle13[[#This Row],[%]]+I227</f>
        <v>0.70475376006246693</v>
      </c>
      <c r="J228" s="4">
        <f t="shared" si="24"/>
        <v>1.105583195135434E-4</v>
      </c>
      <c r="K228" s="5">
        <f t="shared" si="29"/>
        <v>2.4986180210060823E-2</v>
      </c>
      <c r="M228">
        <v>226</v>
      </c>
      <c r="N228" t="s">
        <v>7904</v>
      </c>
      <c r="O228">
        <f t="shared" si="26"/>
        <v>1</v>
      </c>
      <c r="P228" s="7">
        <f t="shared" si="30"/>
        <v>6.4611169979065984E-6</v>
      </c>
      <c r="Q228" s="5">
        <f t="shared" si="27"/>
        <v>0.99926989377923714</v>
      </c>
      <c r="R228" s="4">
        <f t="shared" si="25"/>
        <v>2.9498525073746312E-3</v>
      </c>
      <c r="S228" s="8">
        <f t="shared" si="28"/>
        <v>0.6666666666666673</v>
      </c>
      <c r="T228" s="8"/>
      <c r="U228" s="8"/>
      <c r="V228" s="8"/>
    </row>
    <row r="229" spans="1:22" x14ac:dyDescent="0.25">
      <c r="A229" t="s">
        <v>8997</v>
      </c>
      <c r="C229" t="s">
        <v>8998</v>
      </c>
      <c r="D229" t="s">
        <v>309</v>
      </c>
      <c r="E229" t="s">
        <v>6</v>
      </c>
      <c r="F229" t="s">
        <v>251</v>
      </c>
      <c r="G229">
        <v>168</v>
      </c>
      <c r="H229" s="2">
        <f>Tabelle13[[#This Row],[commits]]/Tabelle13[[#Totals],[commits]]</f>
        <v>7.8082879399133656E-4</v>
      </c>
      <c r="I229" s="5">
        <f>Tabelle13[[#This Row],[%]]+I228</f>
        <v>0.70553458885645826</v>
      </c>
      <c r="J229" s="4">
        <f t="shared" si="24"/>
        <v>1.105583195135434E-4</v>
      </c>
      <c r="K229" s="5">
        <f t="shared" si="29"/>
        <v>2.5096738529574367E-2</v>
      </c>
      <c r="M229">
        <v>227</v>
      </c>
      <c r="N229" t="s">
        <v>7991</v>
      </c>
      <c r="O229">
        <f t="shared" si="26"/>
        <v>1</v>
      </c>
      <c r="P229" s="7">
        <f t="shared" si="30"/>
        <v>6.4611169979065984E-6</v>
      </c>
      <c r="Q229" s="5">
        <f t="shared" si="27"/>
        <v>0.99927635489623501</v>
      </c>
      <c r="R229" s="4">
        <f t="shared" si="25"/>
        <v>2.9498525073746312E-3</v>
      </c>
      <c r="S229" s="8">
        <f t="shared" si="28"/>
        <v>0.66961651917404197</v>
      </c>
      <c r="T229" s="8"/>
      <c r="U229" s="8"/>
      <c r="V229" s="8"/>
    </row>
    <row r="230" spans="1:22" x14ac:dyDescent="0.25">
      <c r="A230" t="s">
        <v>8999</v>
      </c>
      <c r="C230" t="s">
        <v>9000</v>
      </c>
      <c r="D230" t="s">
        <v>309</v>
      </c>
      <c r="E230" t="s">
        <v>6</v>
      </c>
      <c r="F230" t="s">
        <v>251</v>
      </c>
      <c r="G230">
        <v>168</v>
      </c>
      <c r="H230" s="2">
        <f>Tabelle13[[#This Row],[commits]]/Tabelle13[[#Totals],[commits]]</f>
        <v>7.8082879399133656E-4</v>
      </c>
      <c r="I230" s="5">
        <f>Tabelle13[[#This Row],[%]]+I229</f>
        <v>0.70631541765044958</v>
      </c>
      <c r="J230" s="4">
        <f t="shared" si="24"/>
        <v>1.105583195135434E-4</v>
      </c>
      <c r="K230" s="5">
        <f t="shared" si="29"/>
        <v>2.5207296849087912E-2</v>
      </c>
      <c r="M230">
        <v>228</v>
      </c>
      <c r="N230" t="s">
        <v>8021</v>
      </c>
      <c r="O230">
        <f t="shared" si="26"/>
        <v>1</v>
      </c>
      <c r="P230" s="7">
        <f t="shared" si="30"/>
        <v>6.4611169979065984E-6</v>
      </c>
      <c r="Q230" s="5">
        <f t="shared" si="27"/>
        <v>0.99928281601323288</v>
      </c>
      <c r="R230" s="4">
        <f t="shared" si="25"/>
        <v>2.9498525073746312E-3</v>
      </c>
      <c r="S230" s="8">
        <f t="shared" si="28"/>
        <v>0.67256637168141664</v>
      </c>
      <c r="T230" s="8"/>
      <c r="U230" s="8"/>
      <c r="V230" s="8"/>
    </row>
    <row r="231" spans="1:22" x14ac:dyDescent="0.25">
      <c r="A231" t="s">
        <v>29</v>
      </c>
      <c r="C231" t="s">
        <v>9</v>
      </c>
      <c r="D231" t="s">
        <v>5</v>
      </c>
      <c r="E231" t="s">
        <v>6</v>
      </c>
      <c r="F231" t="s">
        <v>7</v>
      </c>
      <c r="G231">
        <v>166</v>
      </c>
      <c r="H231" s="2">
        <f>Tabelle13[[#This Row],[commits]]/Tabelle13[[#Totals],[commits]]</f>
        <v>7.7153321311048729E-4</v>
      </c>
      <c r="I231" s="5">
        <f>Tabelle13[[#This Row],[%]]+I230</f>
        <v>0.7070869508635601</v>
      </c>
      <c r="J231" s="4">
        <f t="shared" si="24"/>
        <v>1.105583195135434E-4</v>
      </c>
      <c r="K231" s="5">
        <f t="shared" si="29"/>
        <v>2.5317855168601456E-2</v>
      </c>
      <c r="M231">
        <v>229</v>
      </c>
      <c r="N231" t="s">
        <v>8084</v>
      </c>
      <c r="O231">
        <f t="shared" si="26"/>
        <v>1</v>
      </c>
      <c r="P231" s="7">
        <f t="shared" si="30"/>
        <v>6.4611169979065984E-6</v>
      </c>
      <c r="Q231" s="5">
        <f t="shared" si="27"/>
        <v>0.99928927713023075</v>
      </c>
      <c r="R231" s="4">
        <f t="shared" si="25"/>
        <v>2.9498525073746312E-3</v>
      </c>
      <c r="S231" s="8">
        <f t="shared" si="28"/>
        <v>0.67551622418879131</v>
      </c>
      <c r="T231" s="8"/>
      <c r="U231" s="8"/>
      <c r="V231" s="8"/>
    </row>
    <row r="232" spans="1:22" x14ac:dyDescent="0.25">
      <c r="A232" t="s">
        <v>9001</v>
      </c>
      <c r="C232" t="s">
        <v>9002</v>
      </c>
      <c r="D232" t="s">
        <v>309</v>
      </c>
      <c r="E232" t="s">
        <v>6</v>
      </c>
      <c r="F232" t="s">
        <v>251</v>
      </c>
      <c r="G232">
        <v>166</v>
      </c>
      <c r="H232" s="2">
        <f>Tabelle13[[#This Row],[commits]]/Tabelle13[[#Totals],[commits]]</f>
        <v>7.7153321311048729E-4</v>
      </c>
      <c r="I232" s="5">
        <f>Tabelle13[[#This Row],[%]]+I231</f>
        <v>0.70785848407667062</v>
      </c>
      <c r="J232" s="4">
        <f t="shared" si="24"/>
        <v>1.105583195135434E-4</v>
      </c>
      <c r="K232" s="5">
        <f t="shared" si="29"/>
        <v>2.5428413488115E-2</v>
      </c>
      <c r="M232">
        <v>230</v>
      </c>
      <c r="N232" t="s">
        <v>13611</v>
      </c>
      <c r="O232">
        <f t="shared" si="26"/>
        <v>1</v>
      </c>
      <c r="P232" s="7">
        <f t="shared" si="30"/>
        <v>6.4611169979065984E-6</v>
      </c>
      <c r="Q232" s="5">
        <f t="shared" si="27"/>
        <v>0.99929573824722862</v>
      </c>
      <c r="R232" s="4">
        <f t="shared" si="25"/>
        <v>2.9498525073746312E-3</v>
      </c>
      <c r="S232" s="8">
        <f t="shared" si="28"/>
        <v>0.67846607669616599</v>
      </c>
      <c r="T232" s="8"/>
      <c r="U232" s="8"/>
      <c r="V232" s="8"/>
    </row>
    <row r="233" spans="1:22" x14ac:dyDescent="0.25">
      <c r="A233" t="s">
        <v>9003</v>
      </c>
      <c r="C233" t="s">
        <v>9004</v>
      </c>
      <c r="D233" t="s">
        <v>8760</v>
      </c>
      <c r="E233" t="s">
        <v>6</v>
      </c>
      <c r="F233" t="s">
        <v>251</v>
      </c>
      <c r="G233">
        <v>165</v>
      </c>
      <c r="H233" s="2">
        <f>Tabelle13[[#This Row],[commits]]/Tabelle13[[#Totals],[commits]]</f>
        <v>7.6688542267006261E-4</v>
      </c>
      <c r="I233" s="5">
        <f>Tabelle13[[#This Row],[%]]+I232</f>
        <v>0.70862536949934074</v>
      </c>
      <c r="J233" s="4">
        <f t="shared" si="24"/>
        <v>1.105583195135434E-4</v>
      </c>
      <c r="K233" s="5">
        <f t="shared" si="29"/>
        <v>2.5538971807628544E-2</v>
      </c>
      <c r="M233">
        <v>231</v>
      </c>
      <c r="N233" t="s">
        <v>13626</v>
      </c>
      <c r="O233">
        <f t="shared" si="26"/>
        <v>1</v>
      </c>
      <c r="P233" s="7">
        <f t="shared" si="30"/>
        <v>6.4611169979065984E-6</v>
      </c>
      <c r="Q233" s="5">
        <f t="shared" si="27"/>
        <v>0.99930219936422648</v>
      </c>
      <c r="R233" s="4">
        <f t="shared" si="25"/>
        <v>2.9498525073746312E-3</v>
      </c>
      <c r="S233" s="8">
        <f t="shared" si="28"/>
        <v>0.68141592920354066</v>
      </c>
      <c r="T233" s="8"/>
      <c r="U233" s="8"/>
      <c r="V233" s="8"/>
    </row>
    <row r="234" spans="1:22" x14ac:dyDescent="0.25">
      <c r="A234" t="s">
        <v>9005</v>
      </c>
      <c r="C234" t="s">
        <v>9006</v>
      </c>
      <c r="D234" t="s">
        <v>309</v>
      </c>
      <c r="E234" t="s">
        <v>6</v>
      </c>
      <c r="F234" t="s">
        <v>251</v>
      </c>
      <c r="G234">
        <v>163</v>
      </c>
      <c r="H234" s="2">
        <f>Tabelle13[[#This Row],[commits]]/Tabelle13[[#Totals],[commits]]</f>
        <v>7.5758984178921345E-4</v>
      </c>
      <c r="I234" s="5">
        <f>Tabelle13[[#This Row],[%]]+I233</f>
        <v>0.70938295934112994</v>
      </c>
      <c r="J234" s="4">
        <f t="shared" si="24"/>
        <v>1.105583195135434E-4</v>
      </c>
      <c r="K234" s="5">
        <f t="shared" si="29"/>
        <v>2.5649530127142089E-2</v>
      </c>
      <c r="M234">
        <v>232</v>
      </c>
      <c r="N234" t="s">
        <v>13645</v>
      </c>
      <c r="O234">
        <f t="shared" si="26"/>
        <v>1</v>
      </c>
      <c r="P234" s="7">
        <f t="shared" si="30"/>
        <v>6.4611169979065984E-6</v>
      </c>
      <c r="Q234" s="5">
        <f t="shared" si="27"/>
        <v>0.99930866048122435</v>
      </c>
      <c r="R234" s="4">
        <f t="shared" si="25"/>
        <v>2.9498525073746312E-3</v>
      </c>
      <c r="S234" s="8">
        <f t="shared" si="28"/>
        <v>0.68436578171091533</v>
      </c>
      <c r="T234" s="8"/>
      <c r="U234" s="8"/>
      <c r="V234" s="8"/>
    </row>
    <row r="235" spans="1:22" x14ac:dyDescent="0.25">
      <c r="A235" t="s">
        <v>9007</v>
      </c>
      <c r="C235" t="s">
        <v>9008</v>
      </c>
      <c r="D235" t="s">
        <v>309</v>
      </c>
      <c r="E235" t="s">
        <v>6</v>
      </c>
      <c r="F235" t="s">
        <v>251</v>
      </c>
      <c r="G235">
        <v>163</v>
      </c>
      <c r="H235" s="2">
        <f>Tabelle13[[#This Row],[commits]]/Tabelle13[[#Totals],[commits]]</f>
        <v>7.5758984178921345E-4</v>
      </c>
      <c r="I235" s="5">
        <f>Tabelle13[[#This Row],[%]]+I234</f>
        <v>0.71014054918291913</v>
      </c>
      <c r="J235" s="4">
        <f t="shared" si="24"/>
        <v>1.105583195135434E-4</v>
      </c>
      <c r="K235" s="5">
        <f t="shared" si="29"/>
        <v>2.5760088446655633E-2</v>
      </c>
      <c r="M235">
        <v>233</v>
      </c>
      <c r="N235" t="s">
        <v>13700</v>
      </c>
      <c r="O235">
        <f t="shared" si="26"/>
        <v>1</v>
      </c>
      <c r="P235" s="7">
        <f t="shared" si="30"/>
        <v>6.4611169979065984E-6</v>
      </c>
      <c r="Q235" s="5">
        <f t="shared" si="27"/>
        <v>0.99931512159822222</v>
      </c>
      <c r="R235" s="4">
        <f t="shared" si="25"/>
        <v>2.9498525073746312E-3</v>
      </c>
      <c r="S235" s="8">
        <f t="shared" si="28"/>
        <v>0.68731563421829001</v>
      </c>
      <c r="T235" s="8"/>
      <c r="U235" s="8"/>
      <c r="V235" s="8"/>
    </row>
    <row r="236" spans="1:22" x14ac:dyDescent="0.25">
      <c r="A236" t="s">
        <v>2291</v>
      </c>
      <c r="C236" t="s">
        <v>2292</v>
      </c>
      <c r="D236" t="s">
        <v>5</v>
      </c>
      <c r="E236" t="s">
        <v>6</v>
      </c>
      <c r="F236" t="s">
        <v>724</v>
      </c>
      <c r="G236">
        <v>162</v>
      </c>
      <c r="H236" s="2">
        <f>Tabelle13[[#This Row],[commits]]/Tabelle13[[#Totals],[commits]]</f>
        <v>7.5294205134878876E-4</v>
      </c>
      <c r="I236" s="5">
        <f>Tabelle13[[#This Row],[%]]+I235</f>
        <v>0.71089349123426793</v>
      </c>
      <c r="J236" s="4">
        <f t="shared" si="24"/>
        <v>1.105583195135434E-4</v>
      </c>
      <c r="K236" s="5">
        <f t="shared" si="29"/>
        <v>2.5870646766169177E-2</v>
      </c>
      <c r="M236">
        <v>234</v>
      </c>
      <c r="N236" t="s">
        <v>13744</v>
      </c>
      <c r="O236">
        <f t="shared" si="26"/>
        <v>1</v>
      </c>
      <c r="P236" s="7">
        <f t="shared" si="30"/>
        <v>6.4611169979065984E-6</v>
      </c>
      <c r="Q236" s="5">
        <f t="shared" si="27"/>
        <v>0.99932158271522009</v>
      </c>
      <c r="R236" s="4">
        <f t="shared" si="25"/>
        <v>2.9498525073746312E-3</v>
      </c>
      <c r="S236" s="8">
        <f t="shared" si="28"/>
        <v>0.69026548672566468</v>
      </c>
      <c r="T236" s="8"/>
      <c r="U236" s="8"/>
      <c r="V236" s="8"/>
    </row>
    <row r="237" spans="1:22" x14ac:dyDescent="0.25">
      <c r="A237" t="s">
        <v>9009</v>
      </c>
      <c r="C237" t="s">
        <v>9010</v>
      </c>
      <c r="D237" t="s">
        <v>309</v>
      </c>
      <c r="E237" t="s">
        <v>6</v>
      </c>
      <c r="F237" t="s">
        <v>251</v>
      </c>
      <c r="G237">
        <v>162</v>
      </c>
      <c r="H237" s="2">
        <f>Tabelle13[[#This Row],[commits]]/Tabelle13[[#Totals],[commits]]</f>
        <v>7.5294205134878876E-4</v>
      </c>
      <c r="I237" s="5">
        <f>Tabelle13[[#This Row],[%]]+I236</f>
        <v>0.71164643328561672</v>
      </c>
      <c r="J237" s="4">
        <f t="shared" si="24"/>
        <v>1.105583195135434E-4</v>
      </c>
      <c r="K237" s="5">
        <f t="shared" si="29"/>
        <v>2.5981205085682722E-2</v>
      </c>
      <c r="M237">
        <v>235</v>
      </c>
      <c r="N237" t="s">
        <v>13833</v>
      </c>
      <c r="O237">
        <f t="shared" si="26"/>
        <v>1</v>
      </c>
      <c r="P237" s="7">
        <f t="shared" si="30"/>
        <v>6.4611169979065984E-6</v>
      </c>
      <c r="Q237" s="5">
        <f t="shared" si="27"/>
        <v>0.99932804383221796</v>
      </c>
      <c r="R237" s="4">
        <f t="shared" si="25"/>
        <v>2.9498525073746312E-3</v>
      </c>
      <c r="S237" s="8">
        <f t="shared" si="28"/>
        <v>0.69321533923303935</v>
      </c>
      <c r="T237" s="8"/>
      <c r="U237" s="8"/>
      <c r="V237" s="8"/>
    </row>
    <row r="238" spans="1:22" x14ac:dyDescent="0.25">
      <c r="A238" t="s">
        <v>9011</v>
      </c>
      <c r="C238" t="s">
        <v>9012</v>
      </c>
      <c r="D238" t="s">
        <v>309</v>
      </c>
      <c r="E238" t="s">
        <v>6</v>
      </c>
      <c r="F238" t="s">
        <v>251</v>
      </c>
      <c r="G238">
        <v>162</v>
      </c>
      <c r="H238" s="2">
        <f>Tabelle13[[#This Row],[commits]]/Tabelle13[[#Totals],[commits]]</f>
        <v>7.5294205134878876E-4</v>
      </c>
      <c r="I238" s="5">
        <f>Tabelle13[[#This Row],[%]]+I237</f>
        <v>0.71239937533696551</v>
      </c>
      <c r="J238" s="4">
        <f t="shared" si="24"/>
        <v>1.105583195135434E-4</v>
      </c>
      <c r="K238" s="5">
        <f t="shared" si="29"/>
        <v>2.6091763405196266E-2</v>
      </c>
      <c r="M238">
        <v>236</v>
      </c>
      <c r="N238" t="s">
        <v>13936</v>
      </c>
      <c r="O238">
        <f t="shared" si="26"/>
        <v>1</v>
      </c>
      <c r="P238" s="7">
        <f t="shared" si="30"/>
        <v>6.4611169979065984E-6</v>
      </c>
      <c r="Q238" s="5">
        <f t="shared" si="27"/>
        <v>0.99933450494921583</v>
      </c>
      <c r="R238" s="4">
        <f t="shared" si="25"/>
        <v>2.9498525073746312E-3</v>
      </c>
      <c r="S238" s="8">
        <f t="shared" si="28"/>
        <v>0.69616519174041402</v>
      </c>
      <c r="T238" s="8"/>
      <c r="U238" s="8"/>
      <c r="V238" s="8"/>
    </row>
    <row r="239" spans="1:22" x14ac:dyDescent="0.25">
      <c r="A239" t="s">
        <v>9013</v>
      </c>
      <c r="C239" t="s">
        <v>9014</v>
      </c>
      <c r="D239" t="s">
        <v>309</v>
      </c>
      <c r="E239" t="s">
        <v>6</v>
      </c>
      <c r="F239" t="s">
        <v>251</v>
      </c>
      <c r="G239">
        <v>162</v>
      </c>
      <c r="H239" s="2">
        <f>Tabelle13[[#This Row],[commits]]/Tabelle13[[#Totals],[commits]]</f>
        <v>7.5294205134878876E-4</v>
      </c>
      <c r="I239" s="5">
        <f>Tabelle13[[#This Row],[%]]+I238</f>
        <v>0.71315231738831431</v>
      </c>
      <c r="J239" s="4">
        <f t="shared" si="24"/>
        <v>1.105583195135434E-4</v>
      </c>
      <c r="K239" s="5">
        <f t="shared" si="29"/>
        <v>2.620232172470981E-2</v>
      </c>
      <c r="M239">
        <v>237</v>
      </c>
      <c r="N239" t="s">
        <v>13985</v>
      </c>
      <c r="O239">
        <f t="shared" si="26"/>
        <v>1</v>
      </c>
      <c r="P239" s="7">
        <f t="shared" si="30"/>
        <v>6.4611169979065984E-6</v>
      </c>
      <c r="Q239" s="5">
        <f t="shared" si="27"/>
        <v>0.9993409660662137</v>
      </c>
      <c r="R239" s="4">
        <f t="shared" si="25"/>
        <v>2.9498525073746312E-3</v>
      </c>
      <c r="S239" s="8">
        <f t="shared" si="28"/>
        <v>0.6991150442477887</v>
      </c>
      <c r="T239" s="8"/>
      <c r="U239" s="8"/>
      <c r="V239" s="8"/>
    </row>
    <row r="240" spans="1:22" x14ac:dyDescent="0.25">
      <c r="A240" t="s">
        <v>9015</v>
      </c>
      <c r="C240" t="s">
        <v>9016</v>
      </c>
      <c r="D240" t="s">
        <v>309</v>
      </c>
      <c r="E240" t="s">
        <v>6</v>
      </c>
      <c r="F240" t="s">
        <v>251</v>
      </c>
      <c r="G240">
        <v>161</v>
      </c>
      <c r="H240" s="2">
        <f>Tabelle13[[#This Row],[commits]]/Tabelle13[[#Totals],[commits]]</f>
        <v>7.4829426090836418E-4</v>
      </c>
      <c r="I240" s="5">
        <f>Tabelle13[[#This Row],[%]]+I239</f>
        <v>0.71390061164922269</v>
      </c>
      <c r="J240" s="4">
        <f t="shared" si="24"/>
        <v>1.105583195135434E-4</v>
      </c>
      <c r="K240" s="5">
        <f t="shared" si="29"/>
        <v>2.6312880044223354E-2</v>
      </c>
      <c r="M240">
        <v>238</v>
      </c>
      <c r="N240" t="s">
        <v>14003</v>
      </c>
      <c r="O240">
        <f t="shared" si="26"/>
        <v>1</v>
      </c>
      <c r="P240" s="7">
        <f t="shared" si="30"/>
        <v>6.4611169979065984E-6</v>
      </c>
      <c r="Q240" s="5">
        <f t="shared" si="27"/>
        <v>0.99934742718321157</v>
      </c>
      <c r="R240" s="4">
        <f t="shared" si="25"/>
        <v>2.9498525073746312E-3</v>
      </c>
      <c r="S240" s="8">
        <f t="shared" si="28"/>
        <v>0.70206489675516337</v>
      </c>
      <c r="T240" s="8"/>
      <c r="U240" s="8"/>
      <c r="V240" s="8"/>
    </row>
    <row r="241" spans="1:22" x14ac:dyDescent="0.25">
      <c r="A241" t="s">
        <v>9017</v>
      </c>
      <c r="C241" t="s">
        <v>9018</v>
      </c>
      <c r="D241" t="s">
        <v>309</v>
      </c>
      <c r="E241" t="s">
        <v>6</v>
      </c>
      <c r="F241" t="s">
        <v>251</v>
      </c>
      <c r="G241">
        <v>161</v>
      </c>
      <c r="H241" s="2">
        <f>Tabelle13[[#This Row],[commits]]/Tabelle13[[#Totals],[commits]]</f>
        <v>7.4829426090836418E-4</v>
      </c>
      <c r="I241" s="5">
        <f>Tabelle13[[#This Row],[%]]+I240</f>
        <v>0.71464890591013108</v>
      </c>
      <c r="J241" s="4">
        <f t="shared" si="24"/>
        <v>1.105583195135434E-4</v>
      </c>
      <c r="K241" s="5">
        <f t="shared" si="29"/>
        <v>2.6423438363736899E-2</v>
      </c>
      <c r="M241">
        <v>239</v>
      </c>
      <c r="N241" t="s">
        <v>14053</v>
      </c>
      <c r="O241">
        <f t="shared" si="26"/>
        <v>1</v>
      </c>
      <c r="P241" s="7">
        <f t="shared" si="30"/>
        <v>6.4611169979065984E-6</v>
      </c>
      <c r="Q241" s="5">
        <f t="shared" si="27"/>
        <v>0.99935388830020944</v>
      </c>
      <c r="R241" s="4">
        <f t="shared" si="25"/>
        <v>2.9498525073746312E-3</v>
      </c>
      <c r="S241" s="8">
        <f t="shared" si="28"/>
        <v>0.70501474926253804</v>
      </c>
      <c r="T241" s="8"/>
      <c r="U241" s="8"/>
      <c r="V241" s="8"/>
    </row>
    <row r="242" spans="1:22" x14ac:dyDescent="0.25">
      <c r="A242" t="s">
        <v>9019</v>
      </c>
      <c r="C242" t="s">
        <v>9020</v>
      </c>
      <c r="D242" t="s">
        <v>309</v>
      </c>
      <c r="E242" t="s">
        <v>6</v>
      </c>
      <c r="F242" t="s">
        <v>251</v>
      </c>
      <c r="G242">
        <v>159</v>
      </c>
      <c r="H242" s="2">
        <f>Tabelle13[[#This Row],[commits]]/Tabelle13[[#Totals],[commits]]</f>
        <v>7.3899868002751492E-4</v>
      </c>
      <c r="I242" s="5">
        <f>Tabelle13[[#This Row],[%]]+I241</f>
        <v>0.71538790459015855</v>
      </c>
      <c r="J242" s="4">
        <f t="shared" si="24"/>
        <v>1.105583195135434E-4</v>
      </c>
      <c r="K242" s="5">
        <f t="shared" si="29"/>
        <v>2.6533996683250443E-2</v>
      </c>
      <c r="M242">
        <v>240</v>
      </c>
      <c r="N242" t="s">
        <v>14062</v>
      </c>
      <c r="O242">
        <f t="shared" si="26"/>
        <v>1</v>
      </c>
      <c r="P242" s="7">
        <f t="shared" si="30"/>
        <v>6.4611169979065984E-6</v>
      </c>
      <c r="Q242" s="5">
        <f t="shared" si="27"/>
        <v>0.99936034941720731</v>
      </c>
      <c r="R242" s="4">
        <f t="shared" si="25"/>
        <v>2.9498525073746312E-3</v>
      </c>
      <c r="S242" s="8">
        <f t="shared" si="28"/>
        <v>0.70796460176991272</v>
      </c>
      <c r="T242" s="8"/>
      <c r="U242" s="8"/>
      <c r="V242" s="8"/>
    </row>
    <row r="243" spans="1:22" x14ac:dyDescent="0.25">
      <c r="A243" t="s">
        <v>2293</v>
      </c>
      <c r="C243" t="s">
        <v>2294</v>
      </c>
      <c r="D243" t="s">
        <v>309</v>
      </c>
      <c r="E243" t="s">
        <v>6</v>
      </c>
      <c r="F243" t="s">
        <v>724</v>
      </c>
      <c r="G243">
        <v>157</v>
      </c>
      <c r="H243" s="2">
        <f>Tabelle13[[#This Row],[commits]]/Tabelle13[[#Totals],[commits]]</f>
        <v>7.2970309914666565E-4</v>
      </c>
      <c r="I243" s="5">
        <f>Tabelle13[[#This Row],[%]]+I242</f>
        <v>0.71611760768930521</v>
      </c>
      <c r="J243" s="4">
        <f t="shared" si="24"/>
        <v>1.105583195135434E-4</v>
      </c>
      <c r="K243" s="5">
        <f t="shared" si="29"/>
        <v>2.6644555002763987E-2</v>
      </c>
      <c r="M243">
        <v>241</v>
      </c>
      <c r="N243" t="s">
        <v>14098</v>
      </c>
      <c r="O243">
        <f t="shared" si="26"/>
        <v>1</v>
      </c>
      <c r="P243" s="7">
        <f t="shared" si="30"/>
        <v>6.4611169979065984E-6</v>
      </c>
      <c r="Q243" s="5">
        <f t="shared" si="27"/>
        <v>0.99936681053420517</v>
      </c>
      <c r="R243" s="4">
        <f t="shared" si="25"/>
        <v>2.9498525073746312E-3</v>
      </c>
      <c r="S243" s="8">
        <f t="shared" si="28"/>
        <v>0.71091445427728739</v>
      </c>
      <c r="T243" s="8"/>
      <c r="U243" s="8"/>
      <c r="V243" s="8"/>
    </row>
    <row r="244" spans="1:22" x14ac:dyDescent="0.25">
      <c r="A244" t="s">
        <v>30</v>
      </c>
      <c r="C244" t="s">
        <v>31</v>
      </c>
      <c r="D244" t="s">
        <v>5</v>
      </c>
      <c r="E244" t="s">
        <v>6</v>
      </c>
      <c r="F244" t="s">
        <v>7</v>
      </c>
      <c r="G244">
        <v>156</v>
      </c>
      <c r="H244" s="2">
        <f>Tabelle13[[#This Row],[commits]]/Tabelle13[[#Totals],[commits]]</f>
        <v>7.2505530870624107E-4</v>
      </c>
      <c r="I244" s="5">
        <f>Tabelle13[[#This Row],[%]]+I243</f>
        <v>0.71684266299801147</v>
      </c>
      <c r="J244" s="4">
        <f t="shared" si="24"/>
        <v>1.105583195135434E-4</v>
      </c>
      <c r="K244" s="5">
        <f t="shared" si="29"/>
        <v>2.6755113322277532E-2</v>
      </c>
      <c r="M244">
        <v>242</v>
      </c>
      <c r="N244" t="s">
        <v>14127</v>
      </c>
      <c r="O244">
        <f t="shared" si="26"/>
        <v>1</v>
      </c>
      <c r="P244" s="7">
        <f t="shared" si="30"/>
        <v>6.4611169979065984E-6</v>
      </c>
      <c r="Q244" s="5">
        <f t="shared" si="27"/>
        <v>0.99937327165120304</v>
      </c>
      <c r="R244" s="4">
        <f t="shared" si="25"/>
        <v>2.9498525073746312E-3</v>
      </c>
      <c r="S244" s="8">
        <f t="shared" si="28"/>
        <v>0.71386430678466206</v>
      </c>
      <c r="T244" s="8"/>
      <c r="U244" s="8"/>
      <c r="V244" s="8"/>
    </row>
    <row r="245" spans="1:22" x14ac:dyDescent="0.25">
      <c r="A245" t="s">
        <v>5197</v>
      </c>
      <c r="C245" t="s">
        <v>5198</v>
      </c>
      <c r="D245" t="s">
        <v>5175</v>
      </c>
      <c r="E245" t="s">
        <v>6</v>
      </c>
      <c r="F245" t="s">
        <v>28</v>
      </c>
      <c r="G245">
        <v>156</v>
      </c>
      <c r="H245" s="2">
        <f>Tabelle13[[#This Row],[commits]]/Tabelle13[[#Totals],[commits]]</f>
        <v>7.2505530870624107E-4</v>
      </c>
      <c r="I245" s="5">
        <f>Tabelle13[[#This Row],[%]]+I244</f>
        <v>0.71756771830671773</v>
      </c>
      <c r="J245" s="4">
        <f t="shared" si="24"/>
        <v>1.105583195135434E-4</v>
      </c>
      <c r="K245" s="5">
        <f t="shared" si="29"/>
        <v>2.6865671641791076E-2</v>
      </c>
      <c r="M245">
        <v>243</v>
      </c>
      <c r="N245" t="s">
        <v>14132</v>
      </c>
      <c r="O245">
        <f t="shared" si="26"/>
        <v>1</v>
      </c>
      <c r="P245" s="7">
        <f t="shared" si="30"/>
        <v>6.4611169979065984E-6</v>
      </c>
      <c r="Q245" s="5">
        <f t="shared" si="27"/>
        <v>0.99937973276820091</v>
      </c>
      <c r="R245" s="4">
        <f t="shared" si="25"/>
        <v>2.9498525073746312E-3</v>
      </c>
      <c r="S245" s="8">
        <f t="shared" si="28"/>
        <v>0.71681415929203673</v>
      </c>
      <c r="T245" s="8"/>
      <c r="U245" s="8"/>
      <c r="V245" s="8"/>
    </row>
    <row r="246" spans="1:22" x14ac:dyDescent="0.25">
      <c r="A246" t="s">
        <v>9021</v>
      </c>
      <c r="C246" t="s">
        <v>9022</v>
      </c>
      <c r="D246" t="s">
        <v>309</v>
      </c>
      <c r="E246" t="s">
        <v>6</v>
      </c>
      <c r="F246" t="s">
        <v>251</v>
      </c>
      <c r="G246">
        <v>156</v>
      </c>
      <c r="H246" s="2">
        <f>Tabelle13[[#This Row],[commits]]/Tabelle13[[#Totals],[commits]]</f>
        <v>7.2505530870624107E-4</v>
      </c>
      <c r="I246" s="5">
        <f>Tabelle13[[#This Row],[%]]+I245</f>
        <v>0.71829277361542399</v>
      </c>
      <c r="J246" s="4">
        <f t="shared" si="24"/>
        <v>1.105583195135434E-4</v>
      </c>
      <c r="K246" s="5">
        <f t="shared" si="29"/>
        <v>2.697622996130462E-2</v>
      </c>
      <c r="M246">
        <v>244</v>
      </c>
      <c r="N246" t="s">
        <v>14146</v>
      </c>
      <c r="O246">
        <f t="shared" si="26"/>
        <v>1</v>
      </c>
      <c r="P246" s="7">
        <f t="shared" si="30"/>
        <v>6.4611169979065984E-6</v>
      </c>
      <c r="Q246" s="5">
        <f t="shared" si="27"/>
        <v>0.99938619388519878</v>
      </c>
      <c r="R246" s="4">
        <f t="shared" si="25"/>
        <v>2.9498525073746312E-3</v>
      </c>
      <c r="S246" s="8">
        <f t="shared" si="28"/>
        <v>0.71976401179941141</v>
      </c>
      <c r="T246" s="8"/>
      <c r="U246" s="8"/>
      <c r="V246" s="8"/>
    </row>
    <row r="247" spans="1:22" x14ac:dyDescent="0.25">
      <c r="A247" t="s">
        <v>2295</v>
      </c>
      <c r="C247" t="s">
        <v>2296</v>
      </c>
      <c r="D247" t="s">
        <v>5</v>
      </c>
      <c r="E247" t="s">
        <v>6</v>
      </c>
      <c r="F247" t="s">
        <v>724</v>
      </c>
      <c r="G247">
        <v>155</v>
      </c>
      <c r="H247" s="2">
        <f>Tabelle13[[#This Row],[commits]]/Tabelle13[[#Totals],[commits]]</f>
        <v>7.2040751826581639E-4</v>
      </c>
      <c r="I247" s="5">
        <f>Tabelle13[[#This Row],[%]]+I246</f>
        <v>0.71901318113368984</v>
      </c>
      <c r="J247" s="4">
        <f t="shared" si="24"/>
        <v>1.105583195135434E-4</v>
      </c>
      <c r="K247" s="5">
        <f t="shared" si="29"/>
        <v>2.7086788280818164E-2</v>
      </c>
      <c r="M247">
        <v>245</v>
      </c>
      <c r="N247" t="s">
        <v>14151</v>
      </c>
      <c r="O247">
        <f t="shared" si="26"/>
        <v>1</v>
      </c>
      <c r="P247" s="7">
        <f t="shared" si="30"/>
        <v>6.4611169979065984E-6</v>
      </c>
      <c r="Q247" s="5">
        <f t="shared" si="27"/>
        <v>0.99939265500219665</v>
      </c>
      <c r="R247" s="4">
        <f t="shared" si="25"/>
        <v>2.9498525073746312E-3</v>
      </c>
      <c r="S247" s="8">
        <f t="shared" si="28"/>
        <v>0.72271386430678608</v>
      </c>
      <c r="T247" s="8"/>
      <c r="U247" s="8"/>
      <c r="V247" s="8"/>
    </row>
    <row r="248" spans="1:22" x14ac:dyDescent="0.25">
      <c r="A248" t="s">
        <v>9023</v>
      </c>
      <c r="C248" t="s">
        <v>9024</v>
      </c>
      <c r="D248" t="s">
        <v>309</v>
      </c>
      <c r="E248" t="s">
        <v>6</v>
      </c>
      <c r="F248" t="s">
        <v>251</v>
      </c>
      <c r="G248">
        <v>155</v>
      </c>
      <c r="H248" s="2">
        <f>Tabelle13[[#This Row],[commits]]/Tabelle13[[#Totals],[commits]]</f>
        <v>7.2040751826581639E-4</v>
      </c>
      <c r="I248" s="5">
        <f>Tabelle13[[#This Row],[%]]+I247</f>
        <v>0.71973358865195569</v>
      </c>
      <c r="J248" s="4">
        <f t="shared" si="24"/>
        <v>1.105583195135434E-4</v>
      </c>
      <c r="K248" s="5">
        <f t="shared" si="29"/>
        <v>2.7197346600331709E-2</v>
      </c>
      <c r="M248">
        <v>246</v>
      </c>
      <c r="N248" t="s">
        <v>14233</v>
      </c>
      <c r="O248">
        <f t="shared" si="26"/>
        <v>1</v>
      </c>
      <c r="P248" s="7">
        <f t="shared" si="30"/>
        <v>6.4611169979065984E-6</v>
      </c>
      <c r="Q248" s="5">
        <f t="shared" si="27"/>
        <v>0.99939911611919452</v>
      </c>
      <c r="R248" s="4">
        <f t="shared" si="25"/>
        <v>2.9498525073746312E-3</v>
      </c>
      <c r="S248" s="8">
        <f t="shared" si="28"/>
        <v>0.72566371681416075</v>
      </c>
      <c r="T248" s="8"/>
      <c r="U248" s="8"/>
      <c r="V248" s="8"/>
    </row>
    <row r="249" spans="1:22" x14ac:dyDescent="0.25">
      <c r="A249" t="s">
        <v>9025</v>
      </c>
      <c r="C249" t="s">
        <v>9026</v>
      </c>
      <c r="D249" t="s">
        <v>5</v>
      </c>
      <c r="E249" t="s">
        <v>6</v>
      </c>
      <c r="F249" t="s">
        <v>251</v>
      </c>
      <c r="G249">
        <v>155</v>
      </c>
      <c r="H249" s="2">
        <f>Tabelle13[[#This Row],[commits]]/Tabelle13[[#Totals],[commits]]</f>
        <v>7.2040751826581639E-4</v>
      </c>
      <c r="I249" s="5">
        <f>Tabelle13[[#This Row],[%]]+I248</f>
        <v>0.72045399617022154</v>
      </c>
      <c r="J249" s="4">
        <f t="shared" si="24"/>
        <v>1.105583195135434E-4</v>
      </c>
      <c r="K249" s="5">
        <f t="shared" si="29"/>
        <v>2.7307904919845253E-2</v>
      </c>
      <c r="M249">
        <v>247</v>
      </c>
      <c r="N249" t="s">
        <v>14254</v>
      </c>
      <c r="O249">
        <f t="shared" si="26"/>
        <v>1</v>
      </c>
      <c r="P249" s="7">
        <f t="shared" si="30"/>
        <v>6.4611169979065984E-6</v>
      </c>
      <c r="Q249" s="5">
        <f t="shared" si="27"/>
        <v>0.99940557723619239</v>
      </c>
      <c r="R249" s="4">
        <f t="shared" si="25"/>
        <v>2.9498525073746312E-3</v>
      </c>
      <c r="S249" s="8">
        <f t="shared" si="28"/>
        <v>0.72861356932153543</v>
      </c>
      <c r="T249" s="8"/>
      <c r="U249" s="8"/>
      <c r="V249" s="8"/>
    </row>
    <row r="250" spans="1:22" x14ac:dyDescent="0.25">
      <c r="A250" t="s">
        <v>2297</v>
      </c>
      <c r="C250" t="s">
        <v>2298</v>
      </c>
      <c r="D250" t="s">
        <v>309</v>
      </c>
      <c r="E250" t="s">
        <v>6</v>
      </c>
      <c r="F250" t="s">
        <v>724</v>
      </c>
      <c r="G250">
        <v>154</v>
      </c>
      <c r="H250" s="2">
        <f>Tabelle13[[#This Row],[commits]]/Tabelle13[[#Totals],[commits]]</f>
        <v>7.1575972782539181E-4</v>
      </c>
      <c r="I250" s="5">
        <f>Tabelle13[[#This Row],[%]]+I249</f>
        <v>0.72116975589804688</v>
      </c>
      <c r="J250" s="4">
        <f t="shared" si="24"/>
        <v>1.105583195135434E-4</v>
      </c>
      <c r="K250" s="5">
        <f t="shared" si="29"/>
        <v>2.7418463239358797E-2</v>
      </c>
      <c r="M250">
        <v>248</v>
      </c>
      <c r="N250" t="s">
        <v>14289</v>
      </c>
      <c r="O250">
        <f t="shared" si="26"/>
        <v>1</v>
      </c>
      <c r="P250" s="7">
        <f t="shared" si="30"/>
        <v>6.4611169979065984E-6</v>
      </c>
      <c r="Q250" s="5">
        <f t="shared" si="27"/>
        <v>0.99941203835319026</v>
      </c>
      <c r="R250" s="4">
        <f t="shared" si="25"/>
        <v>2.9498525073746312E-3</v>
      </c>
      <c r="S250" s="8">
        <f t="shared" si="28"/>
        <v>0.7315634218289101</v>
      </c>
      <c r="T250" s="8"/>
      <c r="U250" s="8"/>
      <c r="V250" s="8"/>
    </row>
    <row r="251" spans="1:22" x14ac:dyDescent="0.25">
      <c r="A251" t="s">
        <v>2299</v>
      </c>
      <c r="C251" t="s">
        <v>2249</v>
      </c>
      <c r="D251" t="s">
        <v>5</v>
      </c>
      <c r="E251" t="s">
        <v>6</v>
      </c>
      <c r="F251" t="s">
        <v>724</v>
      </c>
      <c r="G251">
        <v>153</v>
      </c>
      <c r="H251" s="2">
        <f>Tabelle13[[#This Row],[commits]]/Tabelle13[[#Totals],[commits]]</f>
        <v>7.1111193738496723E-4</v>
      </c>
      <c r="I251" s="5">
        <f>Tabelle13[[#This Row],[%]]+I250</f>
        <v>0.72188086783543182</v>
      </c>
      <c r="J251" s="4">
        <f t="shared" si="24"/>
        <v>1.105583195135434E-4</v>
      </c>
      <c r="K251" s="5">
        <f t="shared" si="29"/>
        <v>2.7529021558872342E-2</v>
      </c>
      <c r="M251">
        <v>249</v>
      </c>
      <c r="N251" t="s">
        <v>14308</v>
      </c>
      <c r="O251">
        <f t="shared" si="26"/>
        <v>1</v>
      </c>
      <c r="P251" s="7">
        <f t="shared" si="30"/>
        <v>6.4611169979065984E-6</v>
      </c>
      <c r="Q251" s="5">
        <f t="shared" si="27"/>
        <v>0.99941849947018813</v>
      </c>
      <c r="R251" s="4">
        <f t="shared" si="25"/>
        <v>2.9498525073746312E-3</v>
      </c>
      <c r="S251" s="8">
        <f t="shared" si="28"/>
        <v>0.73451327433628477</v>
      </c>
      <c r="T251" s="8"/>
      <c r="U251" s="8"/>
      <c r="V251" s="8"/>
    </row>
    <row r="252" spans="1:22" x14ac:dyDescent="0.25">
      <c r="A252" t="s">
        <v>5199</v>
      </c>
      <c r="C252" t="s">
        <v>5200</v>
      </c>
      <c r="D252" t="s">
        <v>5</v>
      </c>
      <c r="E252" t="s">
        <v>6</v>
      </c>
      <c r="F252" t="s">
        <v>28</v>
      </c>
      <c r="G252">
        <v>149</v>
      </c>
      <c r="H252" s="2">
        <f>Tabelle13[[#This Row],[commits]]/Tabelle13[[#Totals],[commits]]</f>
        <v>6.925207756232687E-4</v>
      </c>
      <c r="I252" s="5">
        <f>Tabelle13[[#This Row],[%]]+I251</f>
        <v>0.72257338861105513</v>
      </c>
      <c r="J252" s="4">
        <f t="shared" si="24"/>
        <v>1.105583195135434E-4</v>
      </c>
      <c r="K252" s="5">
        <f t="shared" si="29"/>
        <v>2.7639579878385886E-2</v>
      </c>
      <c r="M252">
        <v>250</v>
      </c>
      <c r="N252" t="s">
        <v>14323</v>
      </c>
      <c r="O252">
        <f t="shared" si="26"/>
        <v>1</v>
      </c>
      <c r="P252" s="7">
        <f t="shared" si="30"/>
        <v>6.4611169979065984E-6</v>
      </c>
      <c r="Q252" s="5">
        <f t="shared" si="27"/>
        <v>0.999424960587186</v>
      </c>
      <c r="R252" s="4">
        <f t="shared" si="25"/>
        <v>2.9498525073746312E-3</v>
      </c>
      <c r="S252" s="8">
        <f t="shared" si="28"/>
        <v>0.73746312684365944</v>
      </c>
      <c r="T252" s="8"/>
      <c r="U252" s="8"/>
      <c r="V252" s="8"/>
    </row>
    <row r="253" spans="1:22" x14ac:dyDescent="0.25">
      <c r="A253" t="s">
        <v>9027</v>
      </c>
      <c r="C253" t="s">
        <v>9028</v>
      </c>
      <c r="D253" t="s">
        <v>309</v>
      </c>
      <c r="E253" t="s">
        <v>6</v>
      </c>
      <c r="F253" t="s">
        <v>251</v>
      </c>
      <c r="G253">
        <v>149</v>
      </c>
      <c r="H253" s="2">
        <f>Tabelle13[[#This Row],[commits]]/Tabelle13[[#Totals],[commits]]</f>
        <v>6.925207756232687E-4</v>
      </c>
      <c r="I253" s="5">
        <f>Tabelle13[[#This Row],[%]]+I252</f>
        <v>0.72326590938667845</v>
      </c>
      <c r="J253" s="4">
        <f t="shared" si="24"/>
        <v>1.105583195135434E-4</v>
      </c>
      <c r="K253" s="5">
        <f t="shared" si="29"/>
        <v>2.775013819789943E-2</v>
      </c>
      <c r="M253">
        <v>251</v>
      </c>
      <c r="N253" t="s">
        <v>14469</v>
      </c>
      <c r="O253">
        <f t="shared" si="26"/>
        <v>1</v>
      </c>
      <c r="P253" s="7">
        <f t="shared" si="30"/>
        <v>6.4611169979065984E-6</v>
      </c>
      <c r="Q253" s="5">
        <f t="shared" si="27"/>
        <v>0.99943142170418386</v>
      </c>
      <c r="R253" s="4">
        <f t="shared" si="25"/>
        <v>2.9498525073746312E-3</v>
      </c>
      <c r="S253" s="8">
        <f t="shared" si="28"/>
        <v>0.74041297935103412</v>
      </c>
      <c r="T253" s="8"/>
      <c r="U253" s="8"/>
      <c r="V253" s="8"/>
    </row>
    <row r="254" spans="1:22" x14ac:dyDescent="0.25">
      <c r="A254" t="s">
        <v>9029</v>
      </c>
      <c r="C254" t="s">
        <v>9030</v>
      </c>
      <c r="D254" t="s">
        <v>309</v>
      </c>
      <c r="E254" t="s">
        <v>6</v>
      </c>
      <c r="F254" t="s">
        <v>251</v>
      </c>
      <c r="G254">
        <v>148</v>
      </c>
      <c r="H254" s="2">
        <f>Tabelle13[[#This Row],[commits]]/Tabelle13[[#Totals],[commits]]</f>
        <v>6.8787298518284412E-4</v>
      </c>
      <c r="I254" s="5">
        <f>Tabelle13[[#This Row],[%]]+I253</f>
        <v>0.72395378237186125</v>
      </c>
      <c r="J254" s="4">
        <f t="shared" si="24"/>
        <v>1.105583195135434E-4</v>
      </c>
      <c r="K254" s="5">
        <f t="shared" si="29"/>
        <v>2.7860696517412974E-2</v>
      </c>
      <c r="M254">
        <v>252</v>
      </c>
      <c r="N254" t="s">
        <v>14502</v>
      </c>
      <c r="O254">
        <f t="shared" si="26"/>
        <v>1</v>
      </c>
      <c r="P254" s="7">
        <f t="shared" si="30"/>
        <v>6.4611169979065984E-6</v>
      </c>
      <c r="Q254" s="5">
        <f t="shared" si="27"/>
        <v>0.99943788282118173</v>
      </c>
      <c r="R254" s="4">
        <f t="shared" si="25"/>
        <v>2.9498525073746312E-3</v>
      </c>
      <c r="S254" s="8">
        <f t="shared" si="28"/>
        <v>0.74336283185840879</v>
      </c>
      <c r="T254" s="8"/>
      <c r="U254" s="8"/>
      <c r="V254" s="8"/>
    </row>
    <row r="255" spans="1:22" x14ac:dyDescent="0.25">
      <c r="A255" t="s">
        <v>9031</v>
      </c>
      <c r="C255" t="s">
        <v>9032</v>
      </c>
      <c r="D255" t="s">
        <v>309</v>
      </c>
      <c r="E255" t="s">
        <v>6</v>
      </c>
      <c r="F255" t="s">
        <v>251</v>
      </c>
      <c r="G255">
        <v>148</v>
      </c>
      <c r="H255" s="2">
        <f>Tabelle13[[#This Row],[commits]]/Tabelle13[[#Totals],[commits]]</f>
        <v>6.8787298518284412E-4</v>
      </c>
      <c r="I255" s="5">
        <f>Tabelle13[[#This Row],[%]]+I254</f>
        <v>0.72464165535704406</v>
      </c>
      <c r="J255" s="4">
        <f t="shared" si="24"/>
        <v>1.105583195135434E-4</v>
      </c>
      <c r="K255" s="5">
        <f t="shared" si="29"/>
        <v>2.7971254836926519E-2</v>
      </c>
      <c r="M255">
        <v>253</v>
      </c>
      <c r="N255" t="s">
        <v>14535</v>
      </c>
      <c r="O255">
        <f t="shared" si="26"/>
        <v>1</v>
      </c>
      <c r="P255" s="7">
        <f t="shared" si="30"/>
        <v>6.4611169979065984E-6</v>
      </c>
      <c r="Q255" s="5">
        <f t="shared" si="27"/>
        <v>0.9994443439381796</v>
      </c>
      <c r="R255" s="4">
        <f t="shared" si="25"/>
        <v>2.9498525073746312E-3</v>
      </c>
      <c r="S255" s="8">
        <f t="shared" si="28"/>
        <v>0.74631268436578346</v>
      </c>
      <c r="T255" s="8"/>
      <c r="U255" s="8"/>
      <c r="V255" s="8"/>
    </row>
    <row r="256" spans="1:22" x14ac:dyDescent="0.25">
      <c r="A256" t="s">
        <v>9033</v>
      </c>
      <c r="C256" t="s">
        <v>9034</v>
      </c>
      <c r="D256" t="s">
        <v>9035</v>
      </c>
      <c r="E256" t="s">
        <v>6</v>
      </c>
      <c r="F256" t="s">
        <v>251</v>
      </c>
      <c r="G256">
        <v>148</v>
      </c>
      <c r="H256" s="2">
        <f>Tabelle13[[#This Row],[commits]]/Tabelle13[[#Totals],[commits]]</f>
        <v>6.8787298518284412E-4</v>
      </c>
      <c r="I256" s="5">
        <f>Tabelle13[[#This Row],[%]]+I255</f>
        <v>0.72532952834222686</v>
      </c>
      <c r="J256" s="4">
        <f t="shared" si="24"/>
        <v>1.105583195135434E-4</v>
      </c>
      <c r="K256" s="5">
        <f t="shared" si="29"/>
        <v>2.8081813156440063E-2</v>
      </c>
      <c r="M256">
        <v>254</v>
      </c>
      <c r="N256" t="s">
        <v>14541</v>
      </c>
      <c r="O256">
        <f t="shared" si="26"/>
        <v>1</v>
      </c>
      <c r="P256" s="7">
        <f t="shared" si="30"/>
        <v>6.4611169979065984E-6</v>
      </c>
      <c r="Q256" s="5">
        <f t="shared" si="27"/>
        <v>0.99945080505517747</v>
      </c>
      <c r="R256" s="4">
        <f t="shared" si="25"/>
        <v>2.9498525073746312E-3</v>
      </c>
      <c r="S256" s="8">
        <f t="shared" si="28"/>
        <v>0.74926253687315814</v>
      </c>
      <c r="T256" s="8"/>
      <c r="U256" s="8"/>
      <c r="V256" s="8"/>
    </row>
    <row r="257" spans="1:22" x14ac:dyDescent="0.25">
      <c r="A257" t="s">
        <v>2300</v>
      </c>
      <c r="C257" t="s">
        <v>2301</v>
      </c>
      <c r="D257" t="s">
        <v>5</v>
      </c>
      <c r="E257" t="s">
        <v>6</v>
      </c>
      <c r="F257" t="s">
        <v>724</v>
      </c>
      <c r="G257">
        <v>146</v>
      </c>
      <c r="H257" s="2">
        <f>Tabelle13[[#This Row],[commits]]/Tabelle13[[#Totals],[commits]]</f>
        <v>6.7857740430199486E-4</v>
      </c>
      <c r="I257" s="5">
        <f>Tabelle13[[#This Row],[%]]+I256</f>
        <v>0.72600810574652885</v>
      </c>
      <c r="J257" s="4">
        <f t="shared" si="24"/>
        <v>1.105583195135434E-4</v>
      </c>
      <c r="K257" s="5">
        <f t="shared" si="29"/>
        <v>2.8192371475953607E-2</v>
      </c>
      <c r="M257">
        <v>255</v>
      </c>
      <c r="N257" t="s">
        <v>14546</v>
      </c>
      <c r="O257">
        <f t="shared" si="26"/>
        <v>1</v>
      </c>
      <c r="P257" s="7">
        <f t="shared" si="30"/>
        <v>6.4611169979065984E-6</v>
      </c>
      <c r="Q257" s="5">
        <f t="shared" si="27"/>
        <v>0.99945726617217534</v>
      </c>
      <c r="R257" s="4">
        <f t="shared" si="25"/>
        <v>2.9498525073746312E-3</v>
      </c>
      <c r="S257" s="8">
        <f t="shared" si="28"/>
        <v>0.75221238938053281</v>
      </c>
      <c r="T257" s="8"/>
      <c r="U257" s="8"/>
      <c r="V257" s="8"/>
    </row>
    <row r="258" spans="1:22" x14ac:dyDescent="0.25">
      <c r="A258" t="s">
        <v>9036</v>
      </c>
      <c r="C258" t="s">
        <v>9037</v>
      </c>
      <c r="D258" t="s">
        <v>309</v>
      </c>
      <c r="E258" t="s">
        <v>6</v>
      </c>
      <c r="F258" t="s">
        <v>251</v>
      </c>
      <c r="G258">
        <v>146</v>
      </c>
      <c r="H258" s="2">
        <f>Tabelle13[[#This Row],[commits]]/Tabelle13[[#Totals],[commits]]</f>
        <v>6.7857740430199486E-4</v>
      </c>
      <c r="I258" s="5">
        <f>Tabelle13[[#This Row],[%]]+I257</f>
        <v>0.72668668315083085</v>
      </c>
      <c r="J258" s="4">
        <f t="shared" si="24"/>
        <v>1.105583195135434E-4</v>
      </c>
      <c r="K258" s="5">
        <f t="shared" si="29"/>
        <v>2.8302929795467151E-2</v>
      </c>
      <c r="M258">
        <v>256</v>
      </c>
      <c r="N258" t="s">
        <v>14564</v>
      </c>
      <c r="O258">
        <f t="shared" si="26"/>
        <v>1</v>
      </c>
      <c r="P258" s="7">
        <f t="shared" si="30"/>
        <v>6.4611169979065984E-6</v>
      </c>
      <c r="Q258" s="5">
        <f t="shared" si="27"/>
        <v>0.99946372728917321</v>
      </c>
      <c r="R258" s="4">
        <f t="shared" si="25"/>
        <v>2.9498525073746312E-3</v>
      </c>
      <c r="S258" s="8">
        <f t="shared" si="28"/>
        <v>0.75516224188790748</v>
      </c>
      <c r="T258" s="8"/>
      <c r="U258" s="8"/>
      <c r="V258" s="8"/>
    </row>
    <row r="259" spans="1:22" x14ac:dyDescent="0.25">
      <c r="A259" t="s">
        <v>5201</v>
      </c>
      <c r="C259" t="s">
        <v>266</v>
      </c>
      <c r="D259" t="s">
        <v>5</v>
      </c>
      <c r="E259" t="s">
        <v>6</v>
      </c>
      <c r="F259" t="s">
        <v>28</v>
      </c>
      <c r="G259">
        <v>145</v>
      </c>
      <c r="H259" s="2">
        <f>Tabelle13[[#This Row],[commits]]/Tabelle13[[#Totals],[commits]]</f>
        <v>6.7392961386157017E-4</v>
      </c>
      <c r="I259" s="5">
        <f>Tabelle13[[#This Row],[%]]+I258</f>
        <v>0.72736061276469244</v>
      </c>
      <c r="J259" s="4">
        <f t="shared" ref="J259:J322" si="31">1/9045</f>
        <v>1.105583195135434E-4</v>
      </c>
      <c r="K259" s="5">
        <f t="shared" si="29"/>
        <v>2.8413488114980696E-2</v>
      </c>
      <c r="M259">
        <v>257</v>
      </c>
      <c r="N259" t="s">
        <v>14589</v>
      </c>
      <c r="O259">
        <f t="shared" si="26"/>
        <v>1</v>
      </c>
      <c r="P259" s="7">
        <f t="shared" si="30"/>
        <v>6.4611169979065984E-6</v>
      </c>
      <c r="Q259" s="5">
        <f t="shared" si="27"/>
        <v>0.99947018840617108</v>
      </c>
      <c r="R259" s="4">
        <f t="shared" si="25"/>
        <v>2.9498525073746312E-3</v>
      </c>
      <c r="S259" s="8">
        <f t="shared" si="28"/>
        <v>0.75811209439528215</v>
      </c>
      <c r="T259" s="8"/>
      <c r="U259" s="8"/>
      <c r="V259" s="8"/>
    </row>
    <row r="260" spans="1:22" x14ac:dyDescent="0.25">
      <c r="A260" t="s">
        <v>9038</v>
      </c>
      <c r="C260" t="s">
        <v>9039</v>
      </c>
      <c r="D260" t="s">
        <v>309</v>
      </c>
      <c r="E260" t="s">
        <v>6</v>
      </c>
      <c r="F260" t="s">
        <v>251</v>
      </c>
      <c r="G260">
        <v>145</v>
      </c>
      <c r="H260" s="2">
        <f>Tabelle13[[#This Row],[commits]]/Tabelle13[[#Totals],[commits]]</f>
        <v>6.7392961386157017E-4</v>
      </c>
      <c r="I260" s="5">
        <f>Tabelle13[[#This Row],[%]]+I259</f>
        <v>0.72803454237855403</v>
      </c>
      <c r="J260" s="4">
        <f t="shared" si="31"/>
        <v>1.105583195135434E-4</v>
      </c>
      <c r="K260" s="5">
        <f t="shared" si="29"/>
        <v>2.852404643449424E-2</v>
      </c>
      <c r="M260">
        <v>258</v>
      </c>
      <c r="N260" t="s">
        <v>14632</v>
      </c>
      <c r="O260">
        <f t="shared" si="26"/>
        <v>1</v>
      </c>
      <c r="P260" s="7">
        <f t="shared" si="30"/>
        <v>6.4611169979065984E-6</v>
      </c>
      <c r="Q260" s="5">
        <f t="shared" si="27"/>
        <v>0.99947664952316895</v>
      </c>
      <c r="R260" s="4">
        <f t="shared" ref="R260:R323" si="32">1/339</f>
        <v>2.9498525073746312E-3</v>
      </c>
      <c r="S260" s="8">
        <f t="shared" si="28"/>
        <v>0.76106194690265683</v>
      </c>
      <c r="T260" s="8"/>
      <c r="U260" s="8"/>
      <c r="V260" s="8"/>
    </row>
    <row r="261" spans="1:22" x14ac:dyDescent="0.25">
      <c r="A261" t="s">
        <v>9040</v>
      </c>
      <c r="C261" t="s">
        <v>9041</v>
      </c>
      <c r="D261" t="s">
        <v>309</v>
      </c>
      <c r="E261" t="s">
        <v>6</v>
      </c>
      <c r="F261" t="s">
        <v>251</v>
      </c>
      <c r="G261">
        <v>145</v>
      </c>
      <c r="H261" s="2">
        <f>Tabelle13[[#This Row],[commits]]/Tabelle13[[#Totals],[commits]]</f>
        <v>6.7392961386157017E-4</v>
      </c>
      <c r="I261" s="5">
        <f>Tabelle13[[#This Row],[%]]+I260</f>
        <v>0.72870847199241562</v>
      </c>
      <c r="J261" s="4">
        <f t="shared" si="31"/>
        <v>1.105583195135434E-4</v>
      </c>
      <c r="K261" s="5">
        <f t="shared" si="29"/>
        <v>2.8634604754007784E-2</v>
      </c>
      <c r="M261">
        <v>259</v>
      </c>
      <c r="N261" t="s">
        <v>14638</v>
      </c>
      <c r="O261">
        <f t="shared" ref="O261:O324" si="33">SUMIFS($G$3:$G$9048,$D$3:$D$9048,N261)</f>
        <v>1</v>
      </c>
      <c r="P261" s="7">
        <f t="shared" si="30"/>
        <v>6.4611169979065984E-6</v>
      </c>
      <c r="Q261" s="5">
        <f t="shared" ref="Q261:Q324" si="34">Q260+P261</f>
        <v>0.99948311064016682</v>
      </c>
      <c r="R261" s="4">
        <f t="shared" si="32"/>
        <v>2.9498525073746312E-3</v>
      </c>
      <c r="S261" s="8">
        <f t="shared" ref="S261:S324" si="35">S260+R261</f>
        <v>0.7640117994100315</v>
      </c>
      <c r="T261" s="8"/>
      <c r="U261" s="8"/>
      <c r="V261" s="8"/>
    </row>
    <row r="262" spans="1:22" x14ac:dyDescent="0.25">
      <c r="A262" t="s">
        <v>9042</v>
      </c>
      <c r="C262" t="s">
        <v>9043</v>
      </c>
      <c r="D262" t="s">
        <v>309</v>
      </c>
      <c r="E262" t="s">
        <v>6</v>
      </c>
      <c r="F262" t="s">
        <v>251</v>
      </c>
      <c r="G262">
        <v>145</v>
      </c>
      <c r="H262" s="2">
        <f>Tabelle13[[#This Row],[commits]]/Tabelle13[[#Totals],[commits]]</f>
        <v>6.7392961386157017E-4</v>
      </c>
      <c r="I262" s="5">
        <f>Tabelle13[[#This Row],[%]]+I261</f>
        <v>0.72938240160627721</v>
      </c>
      <c r="J262" s="4">
        <f t="shared" si="31"/>
        <v>1.105583195135434E-4</v>
      </c>
      <c r="K262" s="5">
        <f t="shared" ref="K262:K325" si="36">J262+K261</f>
        <v>2.8745163073521329E-2</v>
      </c>
      <c r="M262">
        <v>260</v>
      </c>
      <c r="N262" t="s">
        <v>14649</v>
      </c>
      <c r="O262">
        <f t="shared" si="33"/>
        <v>1</v>
      </c>
      <c r="P262" s="7">
        <f t="shared" ref="P262:P325" si="37">O262/$O$343</f>
        <v>6.4611169979065984E-6</v>
      </c>
      <c r="Q262" s="5">
        <f t="shared" si="34"/>
        <v>0.99948957175716469</v>
      </c>
      <c r="R262" s="4">
        <f t="shared" si="32"/>
        <v>2.9498525073746312E-3</v>
      </c>
      <c r="S262" s="8">
        <f t="shared" si="35"/>
        <v>0.76696165191740617</v>
      </c>
      <c r="T262" s="8"/>
      <c r="U262" s="8"/>
      <c r="V262" s="8"/>
    </row>
    <row r="263" spans="1:22" x14ac:dyDescent="0.25">
      <c r="A263" t="s">
        <v>9044</v>
      </c>
      <c r="C263" t="s">
        <v>9045</v>
      </c>
      <c r="D263" t="s">
        <v>309</v>
      </c>
      <c r="E263" t="s">
        <v>6</v>
      </c>
      <c r="F263" t="s">
        <v>251</v>
      </c>
      <c r="G263">
        <v>145</v>
      </c>
      <c r="H263" s="2">
        <f>Tabelle13[[#This Row],[commits]]/Tabelle13[[#Totals],[commits]]</f>
        <v>6.7392961386157017E-4</v>
      </c>
      <c r="I263" s="5">
        <f>Tabelle13[[#This Row],[%]]+I262</f>
        <v>0.7300563312201388</v>
      </c>
      <c r="J263" s="4">
        <f t="shared" si="31"/>
        <v>1.105583195135434E-4</v>
      </c>
      <c r="K263" s="5">
        <f t="shared" si="36"/>
        <v>2.8855721393034873E-2</v>
      </c>
      <c r="M263">
        <v>261</v>
      </c>
      <c r="N263" t="s">
        <v>14668</v>
      </c>
      <c r="O263">
        <f t="shared" si="33"/>
        <v>1</v>
      </c>
      <c r="P263" s="7">
        <f t="shared" si="37"/>
        <v>6.4611169979065984E-6</v>
      </c>
      <c r="Q263" s="5">
        <f t="shared" si="34"/>
        <v>0.99949603287416255</v>
      </c>
      <c r="R263" s="4">
        <f t="shared" si="32"/>
        <v>2.9498525073746312E-3</v>
      </c>
      <c r="S263" s="8">
        <f t="shared" si="35"/>
        <v>0.76991150442478085</v>
      </c>
      <c r="T263" s="8"/>
      <c r="U263" s="8"/>
      <c r="V263" s="8"/>
    </row>
    <row r="264" spans="1:22" x14ac:dyDescent="0.25">
      <c r="A264" t="s">
        <v>9046</v>
      </c>
      <c r="C264" t="s">
        <v>9047</v>
      </c>
      <c r="D264" t="s">
        <v>309</v>
      </c>
      <c r="E264" t="s">
        <v>6</v>
      </c>
      <c r="F264" t="s">
        <v>251</v>
      </c>
      <c r="G264">
        <v>144</v>
      </c>
      <c r="H264" s="2">
        <f>Tabelle13[[#This Row],[commits]]/Tabelle13[[#Totals],[commits]]</f>
        <v>6.6928182342114559E-4</v>
      </c>
      <c r="I264" s="5">
        <f>Tabelle13[[#This Row],[%]]+I263</f>
        <v>0.73072561304355999</v>
      </c>
      <c r="J264" s="4">
        <f t="shared" si="31"/>
        <v>1.105583195135434E-4</v>
      </c>
      <c r="K264" s="5">
        <f t="shared" si="36"/>
        <v>2.8966279712548417E-2</v>
      </c>
      <c r="M264">
        <v>262</v>
      </c>
      <c r="N264" t="s">
        <v>14695</v>
      </c>
      <c r="O264">
        <f t="shared" si="33"/>
        <v>1</v>
      </c>
      <c r="P264" s="7">
        <f t="shared" si="37"/>
        <v>6.4611169979065984E-6</v>
      </c>
      <c r="Q264" s="5">
        <f t="shared" si="34"/>
        <v>0.99950249399116042</v>
      </c>
      <c r="R264" s="4">
        <f t="shared" si="32"/>
        <v>2.9498525073746312E-3</v>
      </c>
      <c r="S264" s="8">
        <f t="shared" si="35"/>
        <v>0.77286135693215552</v>
      </c>
      <c r="T264" s="8"/>
      <c r="U264" s="8"/>
      <c r="V264" s="8"/>
    </row>
    <row r="265" spans="1:22" x14ac:dyDescent="0.25">
      <c r="A265" t="s">
        <v>2302</v>
      </c>
      <c r="C265" t="s">
        <v>2303</v>
      </c>
      <c r="D265" t="s">
        <v>309</v>
      </c>
      <c r="E265" t="s">
        <v>6</v>
      </c>
      <c r="F265" t="s">
        <v>724</v>
      </c>
      <c r="G265">
        <v>143</v>
      </c>
      <c r="H265" s="2">
        <f>Tabelle13[[#This Row],[commits]]/Tabelle13[[#Totals],[commits]]</f>
        <v>6.6463403298072101E-4</v>
      </c>
      <c r="I265" s="5">
        <f>Tabelle13[[#This Row],[%]]+I264</f>
        <v>0.73139024707654066</v>
      </c>
      <c r="J265" s="4">
        <f t="shared" si="31"/>
        <v>1.105583195135434E-4</v>
      </c>
      <c r="K265" s="5">
        <f t="shared" si="36"/>
        <v>2.9076838032061961E-2</v>
      </c>
      <c r="M265">
        <v>263</v>
      </c>
      <c r="N265" t="s">
        <v>14712</v>
      </c>
      <c r="O265">
        <f t="shared" si="33"/>
        <v>1</v>
      </c>
      <c r="P265" s="7">
        <f t="shared" si="37"/>
        <v>6.4611169979065984E-6</v>
      </c>
      <c r="Q265" s="5">
        <f t="shared" si="34"/>
        <v>0.99950895510815829</v>
      </c>
      <c r="R265" s="4">
        <f t="shared" si="32"/>
        <v>2.9498525073746312E-3</v>
      </c>
      <c r="S265" s="8">
        <f t="shared" si="35"/>
        <v>0.77581120943953019</v>
      </c>
      <c r="T265" s="8"/>
      <c r="U265" s="8"/>
      <c r="V265" s="8"/>
    </row>
    <row r="266" spans="1:22" x14ac:dyDescent="0.25">
      <c r="A266" t="s">
        <v>9048</v>
      </c>
      <c r="C266" t="s">
        <v>9049</v>
      </c>
      <c r="D266" t="s">
        <v>309</v>
      </c>
      <c r="E266" t="s">
        <v>6</v>
      </c>
      <c r="F266" t="s">
        <v>251</v>
      </c>
      <c r="G266">
        <v>143</v>
      </c>
      <c r="H266" s="2">
        <f>Tabelle13[[#This Row],[commits]]/Tabelle13[[#Totals],[commits]]</f>
        <v>6.6463403298072101E-4</v>
      </c>
      <c r="I266" s="5">
        <f>Tabelle13[[#This Row],[%]]+I265</f>
        <v>0.73205488110952133</v>
      </c>
      <c r="J266" s="4">
        <f t="shared" si="31"/>
        <v>1.105583195135434E-4</v>
      </c>
      <c r="K266" s="5">
        <f t="shared" si="36"/>
        <v>2.9187396351575506E-2</v>
      </c>
      <c r="M266">
        <v>264</v>
      </c>
      <c r="N266" t="s">
        <v>14723</v>
      </c>
      <c r="O266">
        <f t="shared" si="33"/>
        <v>1</v>
      </c>
      <c r="P266" s="7">
        <f t="shared" si="37"/>
        <v>6.4611169979065984E-6</v>
      </c>
      <c r="Q266" s="5">
        <f t="shared" si="34"/>
        <v>0.99951541622515616</v>
      </c>
      <c r="R266" s="4">
        <f t="shared" si="32"/>
        <v>2.9498525073746312E-3</v>
      </c>
      <c r="S266" s="8">
        <f t="shared" si="35"/>
        <v>0.77876106194690486</v>
      </c>
      <c r="T266" s="8"/>
      <c r="U266" s="8"/>
      <c r="V266" s="8"/>
    </row>
    <row r="267" spans="1:22" x14ac:dyDescent="0.25">
      <c r="A267" t="s">
        <v>9050</v>
      </c>
      <c r="C267" t="s">
        <v>9051</v>
      </c>
      <c r="D267" t="s">
        <v>309</v>
      </c>
      <c r="E267" t="s">
        <v>6</v>
      </c>
      <c r="F267" t="s">
        <v>251</v>
      </c>
      <c r="G267">
        <v>143</v>
      </c>
      <c r="H267" s="2">
        <f>Tabelle13[[#This Row],[commits]]/Tabelle13[[#Totals],[commits]]</f>
        <v>6.6463403298072101E-4</v>
      </c>
      <c r="I267" s="5">
        <f>Tabelle13[[#This Row],[%]]+I266</f>
        <v>0.732719515142502</v>
      </c>
      <c r="J267" s="4">
        <f t="shared" si="31"/>
        <v>1.105583195135434E-4</v>
      </c>
      <c r="K267" s="5">
        <f t="shared" si="36"/>
        <v>2.929795467108905E-2</v>
      </c>
      <c r="M267">
        <v>265</v>
      </c>
      <c r="N267" t="s">
        <v>14726</v>
      </c>
      <c r="O267">
        <f t="shared" si="33"/>
        <v>1</v>
      </c>
      <c r="P267" s="7">
        <f t="shared" si="37"/>
        <v>6.4611169979065984E-6</v>
      </c>
      <c r="Q267" s="5">
        <f t="shared" si="34"/>
        <v>0.99952187734215403</v>
      </c>
      <c r="R267" s="4">
        <f t="shared" si="32"/>
        <v>2.9498525073746312E-3</v>
      </c>
      <c r="S267" s="8">
        <f t="shared" si="35"/>
        <v>0.78171091445427954</v>
      </c>
      <c r="T267" s="8"/>
      <c r="U267" s="8"/>
      <c r="V267" s="8"/>
    </row>
    <row r="268" spans="1:22" x14ac:dyDescent="0.25">
      <c r="A268" t="s">
        <v>5202</v>
      </c>
      <c r="C268" t="s">
        <v>5190</v>
      </c>
      <c r="D268" t="s">
        <v>5</v>
      </c>
      <c r="E268" t="s">
        <v>6</v>
      </c>
      <c r="F268" t="s">
        <v>28</v>
      </c>
      <c r="G268">
        <v>142</v>
      </c>
      <c r="H268" s="2">
        <f>Tabelle13[[#This Row],[commits]]/Tabelle13[[#Totals],[commits]]</f>
        <v>6.5998624254029632E-4</v>
      </c>
      <c r="I268" s="5">
        <f>Tabelle13[[#This Row],[%]]+I267</f>
        <v>0.73337950138504227</v>
      </c>
      <c r="J268" s="4">
        <f t="shared" si="31"/>
        <v>1.105583195135434E-4</v>
      </c>
      <c r="K268" s="5">
        <f t="shared" si="36"/>
        <v>2.9408512990602594E-2</v>
      </c>
      <c r="M268">
        <v>266</v>
      </c>
      <c r="N268" t="s">
        <v>14745</v>
      </c>
      <c r="O268">
        <f t="shared" si="33"/>
        <v>1</v>
      </c>
      <c r="P268" s="7">
        <f t="shared" si="37"/>
        <v>6.4611169979065984E-6</v>
      </c>
      <c r="Q268" s="5">
        <f t="shared" si="34"/>
        <v>0.9995283384591519</v>
      </c>
      <c r="R268" s="4">
        <f t="shared" si="32"/>
        <v>2.9498525073746312E-3</v>
      </c>
      <c r="S268" s="8">
        <f t="shared" si="35"/>
        <v>0.78466076696165421</v>
      </c>
      <c r="T268" s="8"/>
      <c r="U268" s="8"/>
      <c r="V268" s="8"/>
    </row>
    <row r="269" spans="1:22" x14ac:dyDescent="0.25">
      <c r="A269" t="s">
        <v>9052</v>
      </c>
      <c r="C269" t="s">
        <v>9053</v>
      </c>
      <c r="D269" t="s">
        <v>309</v>
      </c>
      <c r="E269" t="s">
        <v>6</v>
      </c>
      <c r="F269" t="s">
        <v>251</v>
      </c>
      <c r="G269">
        <v>141</v>
      </c>
      <c r="H269" s="2">
        <f>Tabelle13[[#This Row],[commits]]/Tabelle13[[#Totals],[commits]]</f>
        <v>6.5533845209987175E-4</v>
      </c>
      <c r="I269" s="5">
        <f>Tabelle13[[#This Row],[%]]+I268</f>
        <v>0.73403483983714213</v>
      </c>
      <c r="J269" s="4">
        <f t="shared" si="31"/>
        <v>1.105583195135434E-4</v>
      </c>
      <c r="K269" s="5">
        <f t="shared" si="36"/>
        <v>2.9519071310116139E-2</v>
      </c>
      <c r="M269">
        <v>267</v>
      </c>
      <c r="N269" t="s">
        <v>14767</v>
      </c>
      <c r="O269">
        <f t="shared" si="33"/>
        <v>1</v>
      </c>
      <c r="P269" s="7">
        <f t="shared" si="37"/>
        <v>6.4611169979065984E-6</v>
      </c>
      <c r="Q269" s="5">
        <f t="shared" si="34"/>
        <v>0.99953479957614977</v>
      </c>
      <c r="R269" s="4">
        <f t="shared" si="32"/>
        <v>2.9498525073746312E-3</v>
      </c>
      <c r="S269" s="8">
        <f t="shared" si="35"/>
        <v>0.78761061946902888</v>
      </c>
      <c r="T269" s="8"/>
      <c r="U269" s="8"/>
      <c r="V269" s="8"/>
    </row>
    <row r="270" spans="1:22" x14ac:dyDescent="0.25">
      <c r="A270" t="s">
        <v>9054</v>
      </c>
      <c r="C270" t="s">
        <v>9055</v>
      </c>
      <c r="D270" t="s">
        <v>8760</v>
      </c>
      <c r="E270" t="s">
        <v>6</v>
      </c>
      <c r="F270" t="s">
        <v>251</v>
      </c>
      <c r="G270">
        <v>141</v>
      </c>
      <c r="H270" s="2">
        <f>Tabelle13[[#This Row],[commits]]/Tabelle13[[#Totals],[commits]]</f>
        <v>6.5533845209987175E-4</v>
      </c>
      <c r="I270" s="5">
        <f>Tabelle13[[#This Row],[%]]+I269</f>
        <v>0.73469017828924199</v>
      </c>
      <c r="J270" s="4">
        <f t="shared" si="31"/>
        <v>1.105583195135434E-4</v>
      </c>
      <c r="K270" s="5">
        <f t="shared" si="36"/>
        <v>2.9629629629629683E-2</v>
      </c>
      <c r="M270">
        <v>268</v>
      </c>
      <c r="N270" t="s">
        <v>14791</v>
      </c>
      <c r="O270">
        <f t="shared" si="33"/>
        <v>1</v>
      </c>
      <c r="P270" s="7">
        <f t="shared" si="37"/>
        <v>6.4611169979065984E-6</v>
      </c>
      <c r="Q270" s="5">
        <f t="shared" si="34"/>
        <v>0.99954126069314764</v>
      </c>
      <c r="R270" s="4">
        <f t="shared" si="32"/>
        <v>2.9498525073746312E-3</v>
      </c>
      <c r="S270" s="8">
        <f t="shared" si="35"/>
        <v>0.79056047197640356</v>
      </c>
      <c r="T270" s="8"/>
      <c r="U270" s="8"/>
      <c r="V270" s="8"/>
    </row>
    <row r="271" spans="1:22" x14ac:dyDescent="0.25">
      <c r="A271" t="s">
        <v>9056</v>
      </c>
      <c r="C271" t="s">
        <v>9057</v>
      </c>
      <c r="D271" t="s">
        <v>309</v>
      </c>
      <c r="E271" t="s">
        <v>6</v>
      </c>
      <c r="F271" t="s">
        <v>251</v>
      </c>
      <c r="G271">
        <v>141</v>
      </c>
      <c r="H271" s="2">
        <f>Tabelle13[[#This Row],[commits]]/Tabelle13[[#Totals],[commits]]</f>
        <v>6.5533845209987175E-4</v>
      </c>
      <c r="I271" s="5">
        <f>Tabelle13[[#This Row],[%]]+I270</f>
        <v>0.73534551674134185</v>
      </c>
      <c r="J271" s="4">
        <f t="shared" si="31"/>
        <v>1.105583195135434E-4</v>
      </c>
      <c r="K271" s="5">
        <f t="shared" si="36"/>
        <v>2.9740187949143227E-2</v>
      </c>
      <c r="M271">
        <v>269</v>
      </c>
      <c r="N271" t="s">
        <v>14889</v>
      </c>
      <c r="O271">
        <f t="shared" si="33"/>
        <v>1</v>
      </c>
      <c r="P271" s="7">
        <f t="shared" si="37"/>
        <v>6.4611169979065984E-6</v>
      </c>
      <c r="Q271" s="5">
        <f t="shared" si="34"/>
        <v>0.99954772181014551</v>
      </c>
      <c r="R271" s="4">
        <f t="shared" si="32"/>
        <v>2.9498525073746312E-3</v>
      </c>
      <c r="S271" s="8">
        <f t="shared" si="35"/>
        <v>0.79351032448377823</v>
      </c>
      <c r="T271" s="8"/>
      <c r="U271" s="8"/>
      <c r="V271" s="8"/>
    </row>
    <row r="272" spans="1:22" x14ac:dyDescent="0.25">
      <c r="A272" t="s">
        <v>9058</v>
      </c>
      <c r="C272" t="s">
        <v>9059</v>
      </c>
      <c r="D272" t="s">
        <v>309</v>
      </c>
      <c r="E272" t="s">
        <v>6</v>
      </c>
      <c r="F272" t="s">
        <v>251</v>
      </c>
      <c r="G272">
        <v>141</v>
      </c>
      <c r="H272" s="2">
        <f>Tabelle13[[#This Row],[commits]]/Tabelle13[[#Totals],[commits]]</f>
        <v>6.5533845209987175E-4</v>
      </c>
      <c r="I272" s="5">
        <f>Tabelle13[[#This Row],[%]]+I271</f>
        <v>0.73600085519344172</v>
      </c>
      <c r="J272" s="4">
        <f t="shared" si="31"/>
        <v>1.105583195135434E-4</v>
      </c>
      <c r="K272" s="5">
        <f t="shared" si="36"/>
        <v>2.9850746268656771E-2</v>
      </c>
      <c r="M272">
        <v>270</v>
      </c>
      <c r="N272" t="s">
        <v>14894</v>
      </c>
      <c r="O272">
        <f t="shared" si="33"/>
        <v>1</v>
      </c>
      <c r="P272" s="7">
        <f t="shared" si="37"/>
        <v>6.4611169979065984E-6</v>
      </c>
      <c r="Q272" s="5">
        <f t="shared" si="34"/>
        <v>0.99955418292714338</v>
      </c>
      <c r="R272" s="4">
        <f t="shared" si="32"/>
        <v>2.9498525073746312E-3</v>
      </c>
      <c r="S272" s="8">
        <f t="shared" si="35"/>
        <v>0.7964601769911529</v>
      </c>
      <c r="T272" s="8"/>
      <c r="U272" s="8"/>
      <c r="V272" s="8"/>
    </row>
    <row r="273" spans="1:22" x14ac:dyDescent="0.25">
      <c r="A273" t="s">
        <v>9060</v>
      </c>
      <c r="C273" t="s">
        <v>9061</v>
      </c>
      <c r="D273" t="s">
        <v>9062</v>
      </c>
      <c r="E273" t="s">
        <v>6</v>
      </c>
      <c r="F273" t="s">
        <v>251</v>
      </c>
      <c r="G273">
        <v>141</v>
      </c>
      <c r="H273" s="2">
        <f>Tabelle13[[#This Row],[commits]]/Tabelle13[[#Totals],[commits]]</f>
        <v>6.5533845209987175E-4</v>
      </c>
      <c r="I273" s="5">
        <f>Tabelle13[[#This Row],[%]]+I272</f>
        <v>0.73665619364554158</v>
      </c>
      <c r="J273" s="4">
        <f t="shared" si="31"/>
        <v>1.105583195135434E-4</v>
      </c>
      <c r="K273" s="5">
        <f t="shared" si="36"/>
        <v>2.9961304588170316E-2</v>
      </c>
      <c r="M273">
        <v>271</v>
      </c>
      <c r="N273" t="s">
        <v>14897</v>
      </c>
      <c r="O273">
        <f t="shared" si="33"/>
        <v>1</v>
      </c>
      <c r="P273" s="7">
        <f t="shared" si="37"/>
        <v>6.4611169979065984E-6</v>
      </c>
      <c r="Q273" s="5">
        <f t="shared" si="34"/>
        <v>0.99956064404414124</v>
      </c>
      <c r="R273" s="4">
        <f t="shared" si="32"/>
        <v>2.9498525073746312E-3</v>
      </c>
      <c r="S273" s="8">
        <f t="shared" si="35"/>
        <v>0.79941002949852757</v>
      </c>
      <c r="T273" s="8"/>
      <c r="U273" s="8"/>
      <c r="V273" s="8"/>
    </row>
    <row r="274" spans="1:22" x14ac:dyDescent="0.25">
      <c r="A274" t="s">
        <v>9063</v>
      </c>
      <c r="C274" t="s">
        <v>9064</v>
      </c>
      <c r="D274" t="s">
        <v>309</v>
      </c>
      <c r="E274" t="s">
        <v>6</v>
      </c>
      <c r="F274" t="s">
        <v>251</v>
      </c>
      <c r="G274">
        <v>140</v>
      </c>
      <c r="H274" s="2">
        <f>Tabelle13[[#This Row],[commits]]/Tabelle13[[#Totals],[commits]]</f>
        <v>6.5069066165944706E-4</v>
      </c>
      <c r="I274" s="5">
        <f>Tabelle13[[#This Row],[%]]+I273</f>
        <v>0.73730688430720104</v>
      </c>
      <c r="J274" s="4">
        <f t="shared" si="31"/>
        <v>1.105583195135434E-4</v>
      </c>
      <c r="K274" s="5">
        <f t="shared" si="36"/>
        <v>3.007186290768386E-2</v>
      </c>
      <c r="M274">
        <v>272</v>
      </c>
      <c r="N274" t="s">
        <v>14913</v>
      </c>
      <c r="O274">
        <f t="shared" si="33"/>
        <v>1</v>
      </c>
      <c r="P274" s="7">
        <f t="shared" si="37"/>
        <v>6.4611169979065984E-6</v>
      </c>
      <c r="Q274" s="5">
        <f t="shared" si="34"/>
        <v>0.99956710516113911</v>
      </c>
      <c r="R274" s="4">
        <f t="shared" si="32"/>
        <v>2.9498525073746312E-3</v>
      </c>
      <c r="S274" s="8">
        <f t="shared" si="35"/>
        <v>0.80235988200590225</v>
      </c>
      <c r="T274" s="8"/>
      <c r="U274" s="8"/>
      <c r="V274" s="8"/>
    </row>
    <row r="275" spans="1:22" x14ac:dyDescent="0.25">
      <c r="A275" t="s">
        <v>9065</v>
      </c>
      <c r="C275" t="s">
        <v>9066</v>
      </c>
      <c r="D275" t="s">
        <v>309</v>
      </c>
      <c r="E275" t="s">
        <v>6</v>
      </c>
      <c r="F275" t="s">
        <v>251</v>
      </c>
      <c r="G275">
        <v>140</v>
      </c>
      <c r="H275" s="2">
        <f>Tabelle13[[#This Row],[commits]]/Tabelle13[[#Totals],[commits]]</f>
        <v>6.5069066165944706E-4</v>
      </c>
      <c r="I275" s="5">
        <f>Tabelle13[[#This Row],[%]]+I274</f>
        <v>0.7379575749688605</v>
      </c>
      <c r="J275" s="4">
        <f t="shared" si="31"/>
        <v>1.105583195135434E-4</v>
      </c>
      <c r="K275" s="5">
        <f t="shared" si="36"/>
        <v>3.0182421227197404E-2</v>
      </c>
      <c r="M275">
        <v>273</v>
      </c>
      <c r="N275" t="s">
        <v>14954</v>
      </c>
      <c r="O275">
        <f t="shared" si="33"/>
        <v>1</v>
      </c>
      <c r="P275" s="7">
        <f t="shared" si="37"/>
        <v>6.4611169979065984E-6</v>
      </c>
      <c r="Q275" s="5">
        <f t="shared" si="34"/>
        <v>0.99957356627813698</v>
      </c>
      <c r="R275" s="4">
        <f t="shared" si="32"/>
        <v>2.9498525073746312E-3</v>
      </c>
      <c r="S275" s="8">
        <f t="shared" si="35"/>
        <v>0.80530973451327692</v>
      </c>
      <c r="T275" s="8"/>
      <c r="U275" s="8"/>
      <c r="V275" s="8"/>
    </row>
    <row r="276" spans="1:22" x14ac:dyDescent="0.25">
      <c r="A276" t="s">
        <v>9067</v>
      </c>
      <c r="C276" t="s">
        <v>9068</v>
      </c>
      <c r="D276" t="s">
        <v>309</v>
      </c>
      <c r="E276" t="s">
        <v>6</v>
      </c>
      <c r="F276" t="s">
        <v>251</v>
      </c>
      <c r="G276">
        <v>139</v>
      </c>
      <c r="H276" s="2">
        <f>Tabelle13[[#This Row],[commits]]/Tabelle13[[#Totals],[commits]]</f>
        <v>6.4604287121902248E-4</v>
      </c>
      <c r="I276" s="5">
        <f>Tabelle13[[#This Row],[%]]+I275</f>
        <v>0.73860361784007955</v>
      </c>
      <c r="J276" s="4">
        <f t="shared" si="31"/>
        <v>1.105583195135434E-4</v>
      </c>
      <c r="K276" s="5">
        <f t="shared" si="36"/>
        <v>3.0292979546710948E-2</v>
      </c>
      <c r="M276">
        <v>274</v>
      </c>
      <c r="N276" t="s">
        <v>14961</v>
      </c>
      <c r="O276">
        <f t="shared" si="33"/>
        <v>1</v>
      </c>
      <c r="P276" s="7">
        <f t="shared" si="37"/>
        <v>6.4611169979065984E-6</v>
      </c>
      <c r="Q276" s="5">
        <f t="shared" si="34"/>
        <v>0.99958002739513485</v>
      </c>
      <c r="R276" s="4">
        <f t="shared" si="32"/>
        <v>2.9498525073746312E-3</v>
      </c>
      <c r="S276" s="8">
        <f t="shared" si="35"/>
        <v>0.80825958702065159</v>
      </c>
      <c r="T276" s="8"/>
      <c r="U276" s="8"/>
      <c r="V276" s="8"/>
    </row>
    <row r="277" spans="1:22" x14ac:dyDescent="0.25">
      <c r="A277" t="s">
        <v>2304</v>
      </c>
      <c r="C277" t="s">
        <v>2305</v>
      </c>
      <c r="D277" t="s">
        <v>5</v>
      </c>
      <c r="E277" t="s">
        <v>6</v>
      </c>
      <c r="F277" t="s">
        <v>724</v>
      </c>
      <c r="G277">
        <v>138</v>
      </c>
      <c r="H277" s="2">
        <f>Tabelle13[[#This Row],[commits]]/Tabelle13[[#Totals],[commits]]</f>
        <v>6.413950807785979E-4</v>
      </c>
      <c r="I277" s="5">
        <f>Tabelle13[[#This Row],[%]]+I276</f>
        <v>0.7392450129208582</v>
      </c>
      <c r="J277" s="4">
        <f t="shared" si="31"/>
        <v>1.105583195135434E-4</v>
      </c>
      <c r="K277" s="5">
        <f t="shared" si="36"/>
        <v>3.0403537866224493E-2</v>
      </c>
      <c r="M277">
        <v>275</v>
      </c>
      <c r="N277" t="s">
        <v>14986</v>
      </c>
      <c r="O277">
        <f t="shared" si="33"/>
        <v>1</v>
      </c>
      <c r="P277" s="7">
        <f t="shared" si="37"/>
        <v>6.4611169979065984E-6</v>
      </c>
      <c r="Q277" s="5">
        <f t="shared" si="34"/>
        <v>0.99958648851213272</v>
      </c>
      <c r="R277" s="4">
        <f t="shared" si="32"/>
        <v>2.9498525073746312E-3</v>
      </c>
      <c r="S277" s="8">
        <f t="shared" si="35"/>
        <v>0.81120943952802627</v>
      </c>
      <c r="T277" s="8"/>
      <c r="U277" s="8"/>
      <c r="V277" s="8"/>
    </row>
    <row r="278" spans="1:22" x14ac:dyDescent="0.25">
      <c r="A278" t="s">
        <v>9069</v>
      </c>
      <c r="C278" t="s">
        <v>9070</v>
      </c>
      <c r="D278" t="s">
        <v>309</v>
      </c>
      <c r="E278" t="s">
        <v>6</v>
      </c>
      <c r="F278" t="s">
        <v>251</v>
      </c>
      <c r="G278">
        <v>138</v>
      </c>
      <c r="H278" s="2">
        <f>Tabelle13[[#This Row],[commits]]/Tabelle13[[#Totals],[commits]]</f>
        <v>6.413950807785979E-4</v>
      </c>
      <c r="I278" s="5">
        <f>Tabelle13[[#This Row],[%]]+I277</f>
        <v>0.73988640800163685</v>
      </c>
      <c r="J278" s="4">
        <f t="shared" si="31"/>
        <v>1.105583195135434E-4</v>
      </c>
      <c r="K278" s="5">
        <f t="shared" si="36"/>
        <v>3.0514096185738037E-2</v>
      </c>
      <c r="M278">
        <v>276</v>
      </c>
      <c r="N278" t="s">
        <v>15052</v>
      </c>
      <c r="O278">
        <f t="shared" si="33"/>
        <v>1</v>
      </c>
      <c r="P278" s="7">
        <f t="shared" si="37"/>
        <v>6.4611169979065984E-6</v>
      </c>
      <c r="Q278" s="5">
        <f t="shared" si="34"/>
        <v>0.99959294962913059</v>
      </c>
      <c r="R278" s="4">
        <f t="shared" si="32"/>
        <v>2.9498525073746312E-3</v>
      </c>
      <c r="S278" s="8">
        <f t="shared" si="35"/>
        <v>0.81415929203540094</v>
      </c>
      <c r="T278" s="8"/>
      <c r="U278" s="8"/>
      <c r="V278" s="8"/>
    </row>
    <row r="279" spans="1:22" x14ac:dyDescent="0.25">
      <c r="A279" t="s">
        <v>9071</v>
      </c>
      <c r="C279" t="s">
        <v>9072</v>
      </c>
      <c r="D279" t="s">
        <v>8760</v>
      </c>
      <c r="E279" t="s">
        <v>6</v>
      </c>
      <c r="F279" t="s">
        <v>251</v>
      </c>
      <c r="G279">
        <v>138</v>
      </c>
      <c r="H279" s="2">
        <f>Tabelle13[[#This Row],[commits]]/Tabelle13[[#Totals],[commits]]</f>
        <v>6.413950807785979E-4</v>
      </c>
      <c r="I279" s="5">
        <f>Tabelle13[[#This Row],[%]]+I278</f>
        <v>0.7405278030824155</v>
      </c>
      <c r="J279" s="4">
        <f t="shared" si="31"/>
        <v>1.105583195135434E-4</v>
      </c>
      <c r="K279" s="5">
        <f t="shared" si="36"/>
        <v>3.0624654505251581E-2</v>
      </c>
      <c r="M279">
        <v>277</v>
      </c>
      <c r="N279" t="s">
        <v>15067</v>
      </c>
      <c r="O279">
        <f t="shared" si="33"/>
        <v>1</v>
      </c>
      <c r="P279" s="7">
        <f t="shared" si="37"/>
        <v>6.4611169979065984E-6</v>
      </c>
      <c r="Q279" s="5">
        <f t="shared" si="34"/>
        <v>0.99959941074612846</v>
      </c>
      <c r="R279" s="4">
        <f t="shared" si="32"/>
        <v>2.9498525073746312E-3</v>
      </c>
      <c r="S279" s="8">
        <f t="shared" si="35"/>
        <v>0.81710914454277561</v>
      </c>
      <c r="T279" s="8"/>
      <c r="U279" s="8"/>
      <c r="V279" s="8"/>
    </row>
    <row r="280" spans="1:22" x14ac:dyDescent="0.25">
      <c r="A280" t="s">
        <v>9073</v>
      </c>
      <c r="C280" t="s">
        <v>9074</v>
      </c>
      <c r="D280" t="s">
        <v>309</v>
      </c>
      <c r="E280" t="s">
        <v>6</v>
      </c>
      <c r="F280" t="s">
        <v>251</v>
      </c>
      <c r="G280">
        <v>137</v>
      </c>
      <c r="H280" s="2">
        <f>Tabelle13[[#This Row],[commits]]/Tabelle13[[#Totals],[commits]]</f>
        <v>6.3674729033817322E-4</v>
      </c>
      <c r="I280" s="5">
        <f>Tabelle13[[#This Row],[%]]+I279</f>
        <v>0.74116455037275364</v>
      </c>
      <c r="J280" s="4">
        <f t="shared" si="31"/>
        <v>1.105583195135434E-4</v>
      </c>
      <c r="K280" s="5">
        <f t="shared" si="36"/>
        <v>3.0735212824765126E-2</v>
      </c>
      <c r="M280">
        <v>278</v>
      </c>
      <c r="N280" t="s">
        <v>15074</v>
      </c>
      <c r="O280">
        <f t="shared" si="33"/>
        <v>1</v>
      </c>
      <c r="P280" s="7">
        <f t="shared" si="37"/>
        <v>6.4611169979065984E-6</v>
      </c>
      <c r="Q280" s="5">
        <f t="shared" si="34"/>
        <v>0.99960587186312633</v>
      </c>
      <c r="R280" s="4">
        <f t="shared" si="32"/>
        <v>2.9498525073746312E-3</v>
      </c>
      <c r="S280" s="8">
        <f t="shared" si="35"/>
        <v>0.82005899705015028</v>
      </c>
      <c r="T280" s="8"/>
      <c r="U280" s="8"/>
      <c r="V280" s="8"/>
    </row>
    <row r="281" spans="1:22" x14ac:dyDescent="0.25">
      <c r="A281" t="s">
        <v>9075</v>
      </c>
      <c r="C281" t="s">
        <v>9076</v>
      </c>
      <c r="D281" t="s">
        <v>309</v>
      </c>
      <c r="E281" t="s">
        <v>6</v>
      </c>
      <c r="F281" t="s">
        <v>251</v>
      </c>
      <c r="G281">
        <v>136</v>
      </c>
      <c r="H281" s="2">
        <f>Tabelle13[[#This Row],[commits]]/Tabelle13[[#Totals],[commits]]</f>
        <v>6.3209949989774864E-4</v>
      </c>
      <c r="I281" s="5">
        <f>Tabelle13[[#This Row],[%]]+I280</f>
        <v>0.74179664987265137</v>
      </c>
      <c r="J281" s="4">
        <f t="shared" si="31"/>
        <v>1.105583195135434E-4</v>
      </c>
      <c r="K281" s="5">
        <f t="shared" si="36"/>
        <v>3.084577114427867E-2</v>
      </c>
      <c r="M281">
        <v>279</v>
      </c>
      <c r="N281" t="s">
        <v>15093</v>
      </c>
      <c r="O281">
        <f t="shared" si="33"/>
        <v>1</v>
      </c>
      <c r="P281" s="7">
        <f t="shared" si="37"/>
        <v>6.4611169979065984E-6</v>
      </c>
      <c r="Q281" s="5">
        <f t="shared" si="34"/>
        <v>0.9996123329801242</v>
      </c>
      <c r="R281" s="4">
        <f t="shared" si="32"/>
        <v>2.9498525073746312E-3</v>
      </c>
      <c r="S281" s="8">
        <f t="shared" si="35"/>
        <v>0.82300884955752496</v>
      </c>
      <c r="T281" s="8"/>
      <c r="U281" s="8"/>
      <c r="V281" s="8"/>
    </row>
    <row r="282" spans="1:22" x14ac:dyDescent="0.25">
      <c r="A282" t="s">
        <v>32</v>
      </c>
      <c r="C282" t="s">
        <v>33</v>
      </c>
      <c r="D282" t="s">
        <v>5</v>
      </c>
      <c r="E282" t="s">
        <v>6</v>
      </c>
      <c r="F282" t="s">
        <v>7</v>
      </c>
      <c r="G282">
        <v>135</v>
      </c>
      <c r="H282" s="2">
        <f>Tabelle13[[#This Row],[commits]]/Tabelle13[[#Totals],[commits]]</f>
        <v>6.2745170945732395E-4</v>
      </c>
      <c r="I282" s="5">
        <f>Tabelle13[[#This Row],[%]]+I281</f>
        <v>0.7424241015821087</v>
      </c>
      <c r="J282" s="4">
        <f t="shared" si="31"/>
        <v>1.105583195135434E-4</v>
      </c>
      <c r="K282" s="5">
        <f t="shared" si="36"/>
        <v>3.0956329463792214E-2</v>
      </c>
      <c r="M282">
        <v>280</v>
      </c>
      <c r="N282" t="s">
        <v>15096</v>
      </c>
      <c r="O282">
        <f t="shared" si="33"/>
        <v>1</v>
      </c>
      <c r="P282" s="7">
        <f t="shared" si="37"/>
        <v>6.4611169979065984E-6</v>
      </c>
      <c r="Q282" s="5">
        <f t="shared" si="34"/>
        <v>0.99961879409712207</v>
      </c>
      <c r="R282" s="4">
        <f t="shared" si="32"/>
        <v>2.9498525073746312E-3</v>
      </c>
      <c r="S282" s="8">
        <f t="shared" si="35"/>
        <v>0.82595870206489963</v>
      </c>
      <c r="T282" s="8"/>
      <c r="U282" s="8"/>
      <c r="V282" s="8"/>
    </row>
    <row r="283" spans="1:22" x14ac:dyDescent="0.25">
      <c r="A283" t="s">
        <v>9077</v>
      </c>
      <c r="C283" t="s">
        <v>9078</v>
      </c>
      <c r="D283" t="s">
        <v>309</v>
      </c>
      <c r="E283" t="s">
        <v>6</v>
      </c>
      <c r="F283" t="s">
        <v>251</v>
      </c>
      <c r="G283">
        <v>135</v>
      </c>
      <c r="H283" s="2">
        <f>Tabelle13[[#This Row],[commits]]/Tabelle13[[#Totals],[commits]]</f>
        <v>6.2745170945732395E-4</v>
      </c>
      <c r="I283" s="5">
        <f>Tabelle13[[#This Row],[%]]+I282</f>
        <v>0.74305155329156602</v>
      </c>
      <c r="J283" s="4">
        <f t="shared" si="31"/>
        <v>1.105583195135434E-4</v>
      </c>
      <c r="K283" s="5">
        <f t="shared" si="36"/>
        <v>3.1066887783305758E-2</v>
      </c>
      <c r="M283">
        <v>281</v>
      </c>
      <c r="N283" t="s">
        <v>15121</v>
      </c>
      <c r="O283">
        <f t="shared" si="33"/>
        <v>1</v>
      </c>
      <c r="P283" s="7">
        <f t="shared" si="37"/>
        <v>6.4611169979065984E-6</v>
      </c>
      <c r="Q283" s="5">
        <f t="shared" si="34"/>
        <v>0.99962525521411993</v>
      </c>
      <c r="R283" s="4">
        <f t="shared" si="32"/>
        <v>2.9498525073746312E-3</v>
      </c>
      <c r="S283" s="8">
        <f t="shared" si="35"/>
        <v>0.8289085545722743</v>
      </c>
      <c r="T283" s="8"/>
      <c r="U283" s="8"/>
      <c r="V283" s="8"/>
    </row>
    <row r="284" spans="1:22" x14ac:dyDescent="0.25">
      <c r="A284" t="s">
        <v>9079</v>
      </c>
      <c r="C284" t="s">
        <v>9080</v>
      </c>
      <c r="D284" t="s">
        <v>309</v>
      </c>
      <c r="E284" t="s">
        <v>6</v>
      </c>
      <c r="F284" t="s">
        <v>251</v>
      </c>
      <c r="G284">
        <v>135</v>
      </c>
      <c r="H284" s="2">
        <f>Tabelle13[[#This Row],[commits]]/Tabelle13[[#Totals],[commits]]</f>
        <v>6.2745170945732395E-4</v>
      </c>
      <c r="I284" s="5">
        <f>Tabelle13[[#This Row],[%]]+I283</f>
        <v>0.74367900500102335</v>
      </c>
      <c r="J284" s="4">
        <f t="shared" si="31"/>
        <v>1.105583195135434E-4</v>
      </c>
      <c r="K284" s="5">
        <f t="shared" si="36"/>
        <v>3.1177446102819303E-2</v>
      </c>
      <c r="M284">
        <v>282</v>
      </c>
      <c r="N284" t="s">
        <v>15137</v>
      </c>
      <c r="O284">
        <f t="shared" si="33"/>
        <v>1</v>
      </c>
      <c r="P284" s="7">
        <f t="shared" si="37"/>
        <v>6.4611169979065984E-6</v>
      </c>
      <c r="Q284" s="5">
        <f t="shared" si="34"/>
        <v>0.9996317163311178</v>
      </c>
      <c r="R284" s="4">
        <f t="shared" si="32"/>
        <v>2.9498525073746312E-3</v>
      </c>
      <c r="S284" s="8">
        <f t="shared" si="35"/>
        <v>0.83185840707964898</v>
      </c>
      <c r="T284" s="8"/>
      <c r="U284" s="8"/>
      <c r="V284" s="8"/>
    </row>
    <row r="285" spans="1:22" x14ac:dyDescent="0.25">
      <c r="A285" t="s">
        <v>2306</v>
      </c>
      <c r="C285" t="s">
        <v>2307</v>
      </c>
      <c r="D285" t="s">
        <v>309</v>
      </c>
      <c r="E285" t="s">
        <v>6</v>
      </c>
      <c r="F285" t="s">
        <v>724</v>
      </c>
      <c r="G285">
        <v>133</v>
      </c>
      <c r="H285" s="2">
        <f>Tabelle13[[#This Row],[commits]]/Tabelle13[[#Totals],[commits]]</f>
        <v>6.1815612857647479E-4</v>
      </c>
      <c r="I285" s="5">
        <f>Tabelle13[[#This Row],[%]]+I284</f>
        <v>0.74429716112959987</v>
      </c>
      <c r="J285" s="4">
        <f t="shared" si="31"/>
        <v>1.105583195135434E-4</v>
      </c>
      <c r="K285" s="5">
        <f t="shared" si="36"/>
        <v>3.1288004422332844E-2</v>
      </c>
      <c r="M285">
        <v>283</v>
      </c>
      <c r="N285" t="s">
        <v>15162</v>
      </c>
      <c r="O285">
        <f t="shared" si="33"/>
        <v>1</v>
      </c>
      <c r="P285" s="7">
        <f t="shared" si="37"/>
        <v>6.4611169979065984E-6</v>
      </c>
      <c r="Q285" s="5">
        <f t="shared" si="34"/>
        <v>0.99963817744811567</v>
      </c>
      <c r="R285" s="4">
        <f t="shared" si="32"/>
        <v>2.9498525073746312E-3</v>
      </c>
      <c r="S285" s="8">
        <f t="shared" si="35"/>
        <v>0.83480825958702365</v>
      </c>
      <c r="T285" s="8"/>
      <c r="U285" s="8"/>
      <c r="V285" s="8"/>
    </row>
    <row r="286" spans="1:22" x14ac:dyDescent="0.25">
      <c r="A286" t="s">
        <v>9081</v>
      </c>
      <c r="C286" t="s">
        <v>9082</v>
      </c>
      <c r="D286" t="s">
        <v>5</v>
      </c>
      <c r="E286" t="s">
        <v>6</v>
      </c>
      <c r="F286" t="s">
        <v>251</v>
      </c>
      <c r="G286">
        <v>132</v>
      </c>
      <c r="H286" s="2">
        <f>Tabelle13[[#This Row],[commits]]/Tabelle13[[#Totals],[commits]]</f>
        <v>6.1350833813605011E-4</v>
      </c>
      <c r="I286" s="5">
        <f>Tabelle13[[#This Row],[%]]+I285</f>
        <v>0.74491066946773588</v>
      </c>
      <c r="J286" s="4">
        <f t="shared" si="31"/>
        <v>1.105583195135434E-4</v>
      </c>
      <c r="K286" s="5">
        <f t="shared" si="36"/>
        <v>3.1398562741846388E-2</v>
      </c>
      <c r="M286">
        <v>284</v>
      </c>
      <c r="N286" t="s">
        <v>15273</v>
      </c>
      <c r="O286">
        <f t="shared" si="33"/>
        <v>1</v>
      </c>
      <c r="P286" s="7">
        <f t="shared" si="37"/>
        <v>6.4611169979065984E-6</v>
      </c>
      <c r="Q286" s="5">
        <f t="shared" si="34"/>
        <v>0.99964463856511354</v>
      </c>
      <c r="R286" s="4">
        <f t="shared" si="32"/>
        <v>2.9498525073746312E-3</v>
      </c>
      <c r="S286" s="8">
        <f t="shared" si="35"/>
        <v>0.83775811209439832</v>
      </c>
      <c r="T286" s="8"/>
      <c r="U286" s="8"/>
      <c r="V286" s="8"/>
    </row>
    <row r="287" spans="1:22" x14ac:dyDescent="0.25">
      <c r="A287" t="s">
        <v>9083</v>
      </c>
      <c r="C287" t="s">
        <v>9084</v>
      </c>
      <c r="D287" t="s">
        <v>9085</v>
      </c>
      <c r="E287" t="s">
        <v>6</v>
      </c>
      <c r="F287" t="s">
        <v>251</v>
      </c>
      <c r="G287">
        <v>131</v>
      </c>
      <c r="H287" s="2">
        <f>Tabelle13[[#This Row],[commits]]/Tabelle13[[#Totals],[commits]]</f>
        <v>6.0886054769562553E-4</v>
      </c>
      <c r="I287" s="5">
        <f>Tabelle13[[#This Row],[%]]+I286</f>
        <v>0.74551953001543148</v>
      </c>
      <c r="J287" s="4">
        <f t="shared" si="31"/>
        <v>1.105583195135434E-4</v>
      </c>
      <c r="K287" s="5">
        <f t="shared" si="36"/>
        <v>3.1509121061359932E-2</v>
      </c>
      <c r="M287">
        <v>285</v>
      </c>
      <c r="N287" t="s">
        <v>15278</v>
      </c>
      <c r="O287">
        <f t="shared" si="33"/>
        <v>1</v>
      </c>
      <c r="P287" s="7">
        <f t="shared" si="37"/>
        <v>6.4611169979065984E-6</v>
      </c>
      <c r="Q287" s="5">
        <f t="shared" si="34"/>
        <v>0.99965109968211141</v>
      </c>
      <c r="R287" s="4">
        <f t="shared" si="32"/>
        <v>2.9498525073746312E-3</v>
      </c>
      <c r="S287" s="8">
        <f t="shared" si="35"/>
        <v>0.84070796460177299</v>
      </c>
      <c r="T287" s="8"/>
      <c r="U287" s="8"/>
      <c r="V287" s="8"/>
    </row>
    <row r="288" spans="1:22" x14ac:dyDescent="0.25">
      <c r="A288" t="s">
        <v>2308</v>
      </c>
      <c r="C288" t="s">
        <v>2309</v>
      </c>
      <c r="D288" t="s">
        <v>5</v>
      </c>
      <c r="E288" t="s">
        <v>6</v>
      </c>
      <c r="F288" t="s">
        <v>724</v>
      </c>
      <c r="G288">
        <v>130</v>
      </c>
      <c r="H288" s="2">
        <f>Tabelle13[[#This Row],[commits]]/Tabelle13[[#Totals],[commits]]</f>
        <v>6.0421275725520084E-4</v>
      </c>
      <c r="I288" s="5">
        <f>Tabelle13[[#This Row],[%]]+I287</f>
        <v>0.74612374277268667</v>
      </c>
      <c r="J288" s="4">
        <f t="shared" si="31"/>
        <v>1.105583195135434E-4</v>
      </c>
      <c r="K288" s="5">
        <f t="shared" si="36"/>
        <v>3.1619679380873476E-2</v>
      </c>
      <c r="M288">
        <v>286</v>
      </c>
      <c r="N288" t="s">
        <v>15289</v>
      </c>
      <c r="O288">
        <f t="shared" si="33"/>
        <v>1</v>
      </c>
      <c r="P288" s="7">
        <f t="shared" si="37"/>
        <v>6.4611169979065984E-6</v>
      </c>
      <c r="Q288" s="5">
        <f t="shared" si="34"/>
        <v>0.99965756079910928</v>
      </c>
      <c r="R288" s="4">
        <f t="shared" si="32"/>
        <v>2.9498525073746312E-3</v>
      </c>
      <c r="S288" s="8">
        <f t="shared" si="35"/>
        <v>0.84365781710914767</v>
      </c>
      <c r="T288" s="8"/>
      <c r="U288" s="8"/>
      <c r="V288" s="8"/>
    </row>
    <row r="289" spans="1:22" x14ac:dyDescent="0.25">
      <c r="A289" t="s">
        <v>2310</v>
      </c>
      <c r="C289" t="s">
        <v>2311</v>
      </c>
      <c r="D289" t="s">
        <v>5</v>
      </c>
      <c r="E289" t="s">
        <v>6</v>
      </c>
      <c r="F289" t="s">
        <v>724</v>
      </c>
      <c r="G289">
        <v>130</v>
      </c>
      <c r="H289" s="2">
        <f>Tabelle13[[#This Row],[commits]]/Tabelle13[[#Totals],[commits]]</f>
        <v>6.0421275725520084E-4</v>
      </c>
      <c r="I289" s="5">
        <f>Tabelle13[[#This Row],[%]]+I288</f>
        <v>0.74672795552994187</v>
      </c>
      <c r="J289" s="4">
        <f t="shared" si="31"/>
        <v>1.105583195135434E-4</v>
      </c>
      <c r="K289" s="5">
        <f t="shared" si="36"/>
        <v>3.1730237700387021E-2</v>
      </c>
      <c r="M289">
        <v>287</v>
      </c>
      <c r="N289" t="s">
        <v>15325</v>
      </c>
      <c r="O289">
        <f t="shared" si="33"/>
        <v>1</v>
      </c>
      <c r="P289" s="7">
        <f t="shared" si="37"/>
        <v>6.4611169979065984E-6</v>
      </c>
      <c r="Q289" s="5">
        <f t="shared" si="34"/>
        <v>0.99966402191610715</v>
      </c>
      <c r="R289" s="4">
        <f t="shared" si="32"/>
        <v>2.9498525073746312E-3</v>
      </c>
      <c r="S289" s="8">
        <f t="shared" si="35"/>
        <v>0.84660766961652234</v>
      </c>
      <c r="T289" s="8"/>
      <c r="U289" s="8"/>
      <c r="V289" s="8"/>
    </row>
    <row r="290" spans="1:22" x14ac:dyDescent="0.25">
      <c r="A290" t="s">
        <v>9086</v>
      </c>
      <c r="C290" t="s">
        <v>9087</v>
      </c>
      <c r="D290" t="s">
        <v>309</v>
      </c>
      <c r="E290" t="s">
        <v>6</v>
      </c>
      <c r="F290" t="s">
        <v>251</v>
      </c>
      <c r="G290">
        <v>130</v>
      </c>
      <c r="H290" s="2">
        <f>Tabelle13[[#This Row],[commits]]/Tabelle13[[#Totals],[commits]]</f>
        <v>6.0421275725520084E-4</v>
      </c>
      <c r="I290" s="5">
        <f>Tabelle13[[#This Row],[%]]+I289</f>
        <v>0.74733216828719706</v>
      </c>
      <c r="J290" s="4">
        <f t="shared" si="31"/>
        <v>1.105583195135434E-4</v>
      </c>
      <c r="K290" s="5">
        <f t="shared" si="36"/>
        <v>3.1840796019900565E-2</v>
      </c>
      <c r="M290">
        <v>288</v>
      </c>
      <c r="N290" t="s">
        <v>15330</v>
      </c>
      <c r="O290">
        <f t="shared" si="33"/>
        <v>1</v>
      </c>
      <c r="P290" s="7">
        <f t="shared" si="37"/>
        <v>6.4611169979065984E-6</v>
      </c>
      <c r="Q290" s="5">
        <f t="shared" si="34"/>
        <v>0.99967048303310502</v>
      </c>
      <c r="R290" s="4">
        <f t="shared" si="32"/>
        <v>2.9498525073746312E-3</v>
      </c>
      <c r="S290" s="8">
        <f t="shared" si="35"/>
        <v>0.84955752212389701</v>
      </c>
      <c r="T290" s="8"/>
      <c r="U290" s="8"/>
      <c r="V290" s="8"/>
    </row>
    <row r="291" spans="1:22" x14ac:dyDescent="0.25">
      <c r="A291" t="s">
        <v>9088</v>
      </c>
      <c r="C291" t="s">
        <v>9089</v>
      </c>
      <c r="D291" t="s">
        <v>309</v>
      </c>
      <c r="E291" t="s">
        <v>6</v>
      </c>
      <c r="F291" t="s">
        <v>251</v>
      </c>
      <c r="G291">
        <v>129</v>
      </c>
      <c r="H291" s="2">
        <f>Tabelle13[[#This Row],[commits]]/Tabelle13[[#Totals],[commits]]</f>
        <v>5.9956496681477626E-4</v>
      </c>
      <c r="I291" s="5">
        <f>Tabelle13[[#This Row],[%]]+I290</f>
        <v>0.74793173325401185</v>
      </c>
      <c r="J291" s="4">
        <f t="shared" si="31"/>
        <v>1.105583195135434E-4</v>
      </c>
      <c r="K291" s="5">
        <f t="shared" si="36"/>
        <v>3.1951354339414109E-2</v>
      </c>
      <c r="M291">
        <v>289</v>
      </c>
      <c r="N291" t="s">
        <v>15333</v>
      </c>
      <c r="O291">
        <f t="shared" si="33"/>
        <v>1</v>
      </c>
      <c r="P291" s="7">
        <f t="shared" si="37"/>
        <v>6.4611169979065984E-6</v>
      </c>
      <c r="Q291" s="5">
        <f t="shared" si="34"/>
        <v>0.99967694415010289</v>
      </c>
      <c r="R291" s="4">
        <f t="shared" si="32"/>
        <v>2.9498525073746312E-3</v>
      </c>
      <c r="S291" s="8">
        <f t="shared" si="35"/>
        <v>0.85250737463127169</v>
      </c>
      <c r="T291" s="8"/>
      <c r="U291" s="8"/>
      <c r="V291" s="8"/>
    </row>
    <row r="292" spans="1:22" x14ac:dyDescent="0.25">
      <c r="A292" t="s">
        <v>9090</v>
      </c>
      <c r="C292" t="s">
        <v>9091</v>
      </c>
      <c r="D292" t="s">
        <v>309</v>
      </c>
      <c r="E292" t="s">
        <v>6</v>
      </c>
      <c r="F292" t="s">
        <v>251</v>
      </c>
      <c r="G292">
        <v>128</v>
      </c>
      <c r="H292" s="2">
        <f>Tabelle13[[#This Row],[commits]]/Tabelle13[[#Totals],[commits]]</f>
        <v>5.9491717637435168E-4</v>
      </c>
      <c r="I292" s="5">
        <f>Tabelle13[[#This Row],[%]]+I291</f>
        <v>0.74852665043038624</v>
      </c>
      <c r="J292" s="4">
        <f t="shared" si="31"/>
        <v>1.105583195135434E-4</v>
      </c>
      <c r="K292" s="5">
        <f t="shared" si="36"/>
        <v>3.2061912658927653E-2</v>
      </c>
      <c r="M292">
        <v>290</v>
      </c>
      <c r="N292" t="s">
        <v>15353</v>
      </c>
      <c r="O292">
        <f t="shared" si="33"/>
        <v>1</v>
      </c>
      <c r="P292" s="7">
        <f t="shared" si="37"/>
        <v>6.4611169979065984E-6</v>
      </c>
      <c r="Q292" s="5">
        <f t="shared" si="34"/>
        <v>0.99968340526710076</v>
      </c>
      <c r="R292" s="4">
        <f t="shared" si="32"/>
        <v>2.9498525073746312E-3</v>
      </c>
      <c r="S292" s="8">
        <f t="shared" si="35"/>
        <v>0.85545722713864636</v>
      </c>
      <c r="T292" s="8"/>
      <c r="U292" s="8"/>
      <c r="V292" s="8"/>
    </row>
    <row r="293" spans="1:22" x14ac:dyDescent="0.25">
      <c r="A293" t="s">
        <v>9092</v>
      </c>
      <c r="C293" t="s">
        <v>9093</v>
      </c>
      <c r="D293" t="s">
        <v>309</v>
      </c>
      <c r="E293" t="s">
        <v>6</v>
      </c>
      <c r="F293" t="s">
        <v>251</v>
      </c>
      <c r="G293">
        <v>128</v>
      </c>
      <c r="H293" s="2">
        <f>Tabelle13[[#This Row],[commits]]/Tabelle13[[#Totals],[commits]]</f>
        <v>5.9491717637435168E-4</v>
      </c>
      <c r="I293" s="5">
        <f>Tabelle13[[#This Row],[%]]+I292</f>
        <v>0.74912156760676063</v>
      </c>
      <c r="J293" s="4">
        <f t="shared" si="31"/>
        <v>1.105583195135434E-4</v>
      </c>
      <c r="K293" s="5">
        <f t="shared" si="36"/>
        <v>3.2172470978441198E-2</v>
      </c>
      <c r="M293">
        <v>291</v>
      </c>
      <c r="N293" t="s">
        <v>15411</v>
      </c>
      <c r="O293">
        <f t="shared" si="33"/>
        <v>1</v>
      </c>
      <c r="P293" s="7">
        <f t="shared" si="37"/>
        <v>6.4611169979065984E-6</v>
      </c>
      <c r="Q293" s="5">
        <f t="shared" si="34"/>
        <v>0.99968986638409862</v>
      </c>
      <c r="R293" s="4">
        <f t="shared" si="32"/>
        <v>2.9498525073746312E-3</v>
      </c>
      <c r="S293" s="8">
        <f t="shared" si="35"/>
        <v>0.85840707964602103</v>
      </c>
      <c r="T293" s="8"/>
      <c r="U293" s="8"/>
      <c r="V293" s="8"/>
    </row>
    <row r="294" spans="1:22" x14ac:dyDescent="0.25">
      <c r="A294" t="s">
        <v>9094</v>
      </c>
      <c r="C294" t="s">
        <v>9095</v>
      </c>
      <c r="D294" t="s">
        <v>309</v>
      </c>
      <c r="E294" t="s">
        <v>6</v>
      </c>
      <c r="F294" t="s">
        <v>251</v>
      </c>
      <c r="G294">
        <v>127</v>
      </c>
      <c r="H294" s="2">
        <f>Tabelle13[[#This Row],[commits]]/Tabelle13[[#Totals],[commits]]</f>
        <v>5.90269385933927E-4</v>
      </c>
      <c r="I294" s="5">
        <f>Tabelle13[[#This Row],[%]]+I293</f>
        <v>0.7497118369926945</v>
      </c>
      <c r="J294" s="4">
        <f t="shared" si="31"/>
        <v>1.105583195135434E-4</v>
      </c>
      <c r="K294" s="5">
        <f t="shared" si="36"/>
        <v>3.2283029297954742E-2</v>
      </c>
      <c r="M294">
        <v>292</v>
      </c>
      <c r="N294" t="s">
        <v>15465</v>
      </c>
      <c r="O294">
        <f t="shared" si="33"/>
        <v>1</v>
      </c>
      <c r="P294" s="7">
        <f t="shared" si="37"/>
        <v>6.4611169979065984E-6</v>
      </c>
      <c r="Q294" s="5">
        <f t="shared" si="34"/>
        <v>0.99969632750109649</v>
      </c>
      <c r="R294" s="4">
        <f t="shared" si="32"/>
        <v>2.9498525073746312E-3</v>
      </c>
      <c r="S294" s="8">
        <f t="shared" si="35"/>
        <v>0.8613569321533957</v>
      </c>
      <c r="T294" s="8"/>
      <c r="U294" s="8"/>
      <c r="V294" s="8"/>
    </row>
    <row r="295" spans="1:22" x14ac:dyDescent="0.25">
      <c r="A295" t="s">
        <v>9096</v>
      </c>
      <c r="C295" t="s">
        <v>9097</v>
      </c>
      <c r="D295" t="s">
        <v>309</v>
      </c>
      <c r="E295" t="s">
        <v>6</v>
      </c>
      <c r="F295" t="s">
        <v>251</v>
      </c>
      <c r="G295">
        <v>127</v>
      </c>
      <c r="H295" s="2">
        <f>Tabelle13[[#This Row],[commits]]/Tabelle13[[#Totals],[commits]]</f>
        <v>5.90269385933927E-4</v>
      </c>
      <c r="I295" s="5">
        <f>Tabelle13[[#This Row],[%]]+I294</f>
        <v>0.75030210637862838</v>
      </c>
      <c r="J295" s="4">
        <f t="shared" si="31"/>
        <v>1.105583195135434E-4</v>
      </c>
      <c r="K295" s="5">
        <f t="shared" si="36"/>
        <v>3.2393587617468286E-2</v>
      </c>
      <c r="M295">
        <v>293</v>
      </c>
      <c r="N295" t="s">
        <v>15486</v>
      </c>
      <c r="O295">
        <f t="shared" si="33"/>
        <v>1</v>
      </c>
      <c r="P295" s="7">
        <f t="shared" si="37"/>
        <v>6.4611169979065984E-6</v>
      </c>
      <c r="Q295" s="5">
        <f t="shared" si="34"/>
        <v>0.99970278861809436</v>
      </c>
      <c r="R295" s="4">
        <f t="shared" si="32"/>
        <v>2.9498525073746312E-3</v>
      </c>
      <c r="S295" s="8">
        <f t="shared" si="35"/>
        <v>0.86430678466077038</v>
      </c>
      <c r="T295" s="8"/>
      <c r="U295" s="8"/>
      <c r="V295" s="8"/>
    </row>
    <row r="296" spans="1:22" x14ac:dyDescent="0.25">
      <c r="A296" t="s">
        <v>9098</v>
      </c>
      <c r="C296" t="s">
        <v>9099</v>
      </c>
      <c r="D296" t="s">
        <v>309</v>
      </c>
      <c r="E296" t="s">
        <v>6</v>
      </c>
      <c r="F296" t="s">
        <v>251</v>
      </c>
      <c r="G296">
        <v>127</v>
      </c>
      <c r="H296" s="2">
        <f>Tabelle13[[#This Row],[commits]]/Tabelle13[[#Totals],[commits]]</f>
        <v>5.90269385933927E-4</v>
      </c>
      <c r="I296" s="5">
        <f>Tabelle13[[#This Row],[%]]+I295</f>
        <v>0.75089237576456225</v>
      </c>
      <c r="J296" s="4">
        <f t="shared" si="31"/>
        <v>1.105583195135434E-4</v>
      </c>
      <c r="K296" s="5">
        <f t="shared" si="36"/>
        <v>3.2504145936981831E-2</v>
      </c>
      <c r="M296">
        <v>294</v>
      </c>
      <c r="N296" t="s">
        <v>15502</v>
      </c>
      <c r="O296">
        <f t="shared" si="33"/>
        <v>1</v>
      </c>
      <c r="P296" s="7">
        <f t="shared" si="37"/>
        <v>6.4611169979065984E-6</v>
      </c>
      <c r="Q296" s="5">
        <f t="shared" si="34"/>
        <v>0.99970924973509223</v>
      </c>
      <c r="R296" s="4">
        <f t="shared" si="32"/>
        <v>2.9498525073746312E-3</v>
      </c>
      <c r="S296" s="8">
        <f t="shared" si="35"/>
        <v>0.86725663716814505</v>
      </c>
      <c r="T296" s="8"/>
      <c r="U296" s="8"/>
      <c r="V296" s="8"/>
    </row>
    <row r="297" spans="1:22" x14ac:dyDescent="0.25">
      <c r="A297" t="s">
        <v>9100</v>
      </c>
      <c r="C297" t="s">
        <v>9101</v>
      </c>
      <c r="D297" t="s">
        <v>309</v>
      </c>
      <c r="E297" t="s">
        <v>6</v>
      </c>
      <c r="F297" t="s">
        <v>251</v>
      </c>
      <c r="G297">
        <v>127</v>
      </c>
      <c r="H297" s="2">
        <f>Tabelle13[[#This Row],[commits]]/Tabelle13[[#Totals],[commits]]</f>
        <v>5.90269385933927E-4</v>
      </c>
      <c r="I297" s="5">
        <f>Tabelle13[[#This Row],[%]]+I296</f>
        <v>0.75148264515049612</v>
      </c>
      <c r="J297" s="4">
        <f t="shared" si="31"/>
        <v>1.105583195135434E-4</v>
      </c>
      <c r="K297" s="5">
        <f t="shared" si="36"/>
        <v>3.2614704256495375E-2</v>
      </c>
      <c r="M297">
        <v>295</v>
      </c>
      <c r="N297" t="s">
        <v>15620</v>
      </c>
      <c r="O297">
        <f t="shared" si="33"/>
        <v>1</v>
      </c>
      <c r="P297" s="7">
        <f t="shared" si="37"/>
        <v>6.4611169979065984E-6</v>
      </c>
      <c r="Q297" s="5">
        <f t="shared" si="34"/>
        <v>0.9997157108520901</v>
      </c>
      <c r="R297" s="4">
        <f t="shared" si="32"/>
        <v>2.9498525073746312E-3</v>
      </c>
      <c r="S297" s="8">
        <f t="shared" si="35"/>
        <v>0.87020648967551972</v>
      </c>
      <c r="T297" s="8"/>
      <c r="U297" s="8"/>
      <c r="V297" s="8"/>
    </row>
    <row r="298" spans="1:22" x14ac:dyDescent="0.25">
      <c r="A298" t="s">
        <v>9102</v>
      </c>
      <c r="C298" t="s">
        <v>9103</v>
      </c>
      <c r="D298" t="s">
        <v>309</v>
      </c>
      <c r="E298" t="s">
        <v>6</v>
      </c>
      <c r="F298" t="s">
        <v>251</v>
      </c>
      <c r="G298">
        <v>127</v>
      </c>
      <c r="H298" s="2">
        <f>Tabelle13[[#This Row],[commits]]/Tabelle13[[#Totals],[commits]]</f>
        <v>5.90269385933927E-4</v>
      </c>
      <c r="I298" s="5">
        <f>Tabelle13[[#This Row],[%]]+I297</f>
        <v>0.75207291453642999</v>
      </c>
      <c r="J298" s="4">
        <f t="shared" si="31"/>
        <v>1.105583195135434E-4</v>
      </c>
      <c r="K298" s="5">
        <f t="shared" si="36"/>
        <v>3.2725262576008919E-2</v>
      </c>
      <c r="M298">
        <v>296</v>
      </c>
      <c r="N298" t="s">
        <v>15641</v>
      </c>
      <c r="O298">
        <f t="shared" si="33"/>
        <v>1</v>
      </c>
      <c r="P298" s="7">
        <f t="shared" si="37"/>
        <v>6.4611169979065984E-6</v>
      </c>
      <c r="Q298" s="5">
        <f t="shared" si="34"/>
        <v>0.99972217196908797</v>
      </c>
      <c r="R298" s="4">
        <f t="shared" si="32"/>
        <v>2.9498525073746312E-3</v>
      </c>
      <c r="S298" s="8">
        <f t="shared" si="35"/>
        <v>0.8731563421828944</v>
      </c>
      <c r="T298" s="8"/>
      <c r="U298" s="8"/>
      <c r="V298" s="8"/>
    </row>
    <row r="299" spans="1:22" x14ac:dyDescent="0.25">
      <c r="A299" t="s">
        <v>9104</v>
      </c>
      <c r="C299" t="s">
        <v>9105</v>
      </c>
      <c r="D299" t="s">
        <v>309</v>
      </c>
      <c r="E299" t="s">
        <v>6</v>
      </c>
      <c r="F299" t="s">
        <v>251</v>
      </c>
      <c r="G299">
        <v>127</v>
      </c>
      <c r="H299" s="2">
        <f>Tabelle13[[#This Row],[commits]]/Tabelle13[[#Totals],[commits]]</f>
        <v>5.90269385933927E-4</v>
      </c>
      <c r="I299" s="5">
        <f>Tabelle13[[#This Row],[%]]+I298</f>
        <v>0.75266318392236387</v>
      </c>
      <c r="J299" s="4">
        <f t="shared" si="31"/>
        <v>1.105583195135434E-4</v>
      </c>
      <c r="K299" s="5">
        <f t="shared" si="36"/>
        <v>3.2835820895522463E-2</v>
      </c>
      <c r="M299">
        <v>297</v>
      </c>
      <c r="N299" t="s">
        <v>15661</v>
      </c>
      <c r="O299">
        <f t="shared" si="33"/>
        <v>1</v>
      </c>
      <c r="P299" s="7">
        <f t="shared" si="37"/>
        <v>6.4611169979065984E-6</v>
      </c>
      <c r="Q299" s="5">
        <f t="shared" si="34"/>
        <v>0.99972863308608584</v>
      </c>
      <c r="R299" s="4">
        <f t="shared" si="32"/>
        <v>2.9498525073746312E-3</v>
      </c>
      <c r="S299" s="8">
        <f t="shared" si="35"/>
        <v>0.87610619469026907</v>
      </c>
      <c r="T299" s="8"/>
      <c r="U299" s="8"/>
      <c r="V299" s="8"/>
    </row>
    <row r="300" spans="1:22" x14ac:dyDescent="0.25">
      <c r="A300" t="s">
        <v>9106</v>
      </c>
      <c r="C300" t="s">
        <v>9107</v>
      </c>
      <c r="D300" t="s">
        <v>309</v>
      </c>
      <c r="E300" t="s">
        <v>6</v>
      </c>
      <c r="F300" t="s">
        <v>251</v>
      </c>
      <c r="G300">
        <v>126</v>
      </c>
      <c r="H300" s="2">
        <f>Tabelle13[[#This Row],[commits]]/Tabelle13[[#Totals],[commits]]</f>
        <v>5.8562159549350242E-4</v>
      </c>
      <c r="I300" s="5">
        <f>Tabelle13[[#This Row],[%]]+I299</f>
        <v>0.75324880551785733</v>
      </c>
      <c r="J300" s="4">
        <f t="shared" si="31"/>
        <v>1.105583195135434E-4</v>
      </c>
      <c r="K300" s="5">
        <f t="shared" si="36"/>
        <v>3.2946379215036008E-2</v>
      </c>
      <c r="M300">
        <v>298</v>
      </c>
      <c r="N300" t="s">
        <v>15677</v>
      </c>
      <c r="O300">
        <f t="shared" si="33"/>
        <v>1</v>
      </c>
      <c r="P300" s="7">
        <f t="shared" si="37"/>
        <v>6.4611169979065984E-6</v>
      </c>
      <c r="Q300" s="5">
        <f t="shared" si="34"/>
        <v>0.99973509420308371</v>
      </c>
      <c r="R300" s="4">
        <f t="shared" si="32"/>
        <v>2.9498525073746312E-3</v>
      </c>
      <c r="S300" s="8">
        <f t="shared" si="35"/>
        <v>0.87905604719764374</v>
      </c>
      <c r="T300" s="8"/>
      <c r="U300" s="8"/>
      <c r="V300" s="8"/>
    </row>
    <row r="301" spans="1:22" x14ac:dyDescent="0.25">
      <c r="A301" t="s">
        <v>9108</v>
      </c>
      <c r="C301" t="s">
        <v>9109</v>
      </c>
      <c r="D301" t="s">
        <v>309</v>
      </c>
      <c r="E301" t="s">
        <v>6</v>
      </c>
      <c r="F301" t="s">
        <v>251</v>
      </c>
      <c r="G301">
        <v>125</v>
      </c>
      <c r="H301" s="2">
        <f>Tabelle13[[#This Row],[commits]]/Tabelle13[[#Totals],[commits]]</f>
        <v>5.8097380505307773E-4</v>
      </c>
      <c r="I301" s="5">
        <f>Tabelle13[[#This Row],[%]]+I300</f>
        <v>0.7538297793229104</v>
      </c>
      <c r="J301" s="4">
        <f t="shared" si="31"/>
        <v>1.105583195135434E-4</v>
      </c>
      <c r="K301" s="5">
        <f t="shared" si="36"/>
        <v>3.3056937534549552E-2</v>
      </c>
      <c r="M301">
        <v>299</v>
      </c>
      <c r="N301" t="s">
        <v>15793</v>
      </c>
      <c r="O301">
        <f t="shared" si="33"/>
        <v>1</v>
      </c>
      <c r="P301" s="7">
        <f t="shared" si="37"/>
        <v>6.4611169979065984E-6</v>
      </c>
      <c r="Q301" s="5">
        <f t="shared" si="34"/>
        <v>0.99974155532008158</v>
      </c>
      <c r="R301" s="4">
        <f t="shared" si="32"/>
        <v>2.9498525073746312E-3</v>
      </c>
      <c r="S301" s="8">
        <f t="shared" si="35"/>
        <v>0.88200589970501841</v>
      </c>
      <c r="T301" s="8"/>
      <c r="U301" s="8"/>
      <c r="V301" s="8"/>
    </row>
    <row r="302" spans="1:22" x14ac:dyDescent="0.25">
      <c r="A302" t="s">
        <v>9110</v>
      </c>
      <c r="C302" t="s">
        <v>9111</v>
      </c>
      <c r="D302" t="s">
        <v>309</v>
      </c>
      <c r="E302" t="s">
        <v>6</v>
      </c>
      <c r="F302" t="s">
        <v>251</v>
      </c>
      <c r="G302">
        <v>125</v>
      </c>
      <c r="H302" s="2">
        <f>Tabelle13[[#This Row],[commits]]/Tabelle13[[#Totals],[commits]]</f>
        <v>5.8097380505307773E-4</v>
      </c>
      <c r="I302" s="5">
        <f>Tabelle13[[#This Row],[%]]+I301</f>
        <v>0.75441075312796346</v>
      </c>
      <c r="J302" s="4">
        <f t="shared" si="31"/>
        <v>1.105583195135434E-4</v>
      </c>
      <c r="K302" s="5">
        <f t="shared" si="36"/>
        <v>3.3167495854063096E-2</v>
      </c>
      <c r="M302">
        <v>300</v>
      </c>
      <c r="N302" t="s">
        <v>15803</v>
      </c>
      <c r="O302">
        <f t="shared" si="33"/>
        <v>1</v>
      </c>
      <c r="P302" s="7">
        <f t="shared" si="37"/>
        <v>6.4611169979065984E-6</v>
      </c>
      <c r="Q302" s="5">
        <f t="shared" si="34"/>
        <v>0.99974801643707945</v>
      </c>
      <c r="R302" s="4">
        <f t="shared" si="32"/>
        <v>2.9498525073746312E-3</v>
      </c>
      <c r="S302" s="8">
        <f t="shared" si="35"/>
        <v>0.88495575221239309</v>
      </c>
      <c r="T302" s="8"/>
      <c r="U302" s="8"/>
      <c r="V302" s="8"/>
    </row>
    <row r="303" spans="1:22" x14ac:dyDescent="0.25">
      <c r="A303" t="s">
        <v>2312</v>
      </c>
      <c r="C303" t="s">
        <v>2313</v>
      </c>
      <c r="D303" t="s">
        <v>5</v>
      </c>
      <c r="E303" t="s">
        <v>6</v>
      </c>
      <c r="F303" t="s">
        <v>724</v>
      </c>
      <c r="G303">
        <v>124</v>
      </c>
      <c r="H303" s="2">
        <f>Tabelle13[[#This Row],[commits]]/Tabelle13[[#Totals],[commits]]</f>
        <v>5.7632601461265315E-4</v>
      </c>
      <c r="I303" s="5">
        <f>Tabelle13[[#This Row],[%]]+I302</f>
        <v>0.75498707914257612</v>
      </c>
      <c r="J303" s="4">
        <f t="shared" si="31"/>
        <v>1.105583195135434E-4</v>
      </c>
      <c r="K303" s="5">
        <f t="shared" si="36"/>
        <v>3.3278054173576641E-2</v>
      </c>
      <c r="M303">
        <v>301</v>
      </c>
      <c r="N303" t="s">
        <v>15833</v>
      </c>
      <c r="O303">
        <f t="shared" si="33"/>
        <v>1</v>
      </c>
      <c r="P303" s="7">
        <f t="shared" si="37"/>
        <v>6.4611169979065984E-6</v>
      </c>
      <c r="Q303" s="5">
        <f t="shared" si="34"/>
        <v>0.99975447755407731</v>
      </c>
      <c r="R303" s="4">
        <f t="shared" si="32"/>
        <v>2.9498525073746312E-3</v>
      </c>
      <c r="S303" s="8">
        <f t="shared" si="35"/>
        <v>0.88790560471976776</v>
      </c>
      <c r="T303" s="8"/>
      <c r="U303" s="8"/>
      <c r="V303" s="8"/>
    </row>
    <row r="304" spans="1:22" x14ac:dyDescent="0.25">
      <c r="A304" t="s">
        <v>9112</v>
      </c>
      <c r="C304" t="s">
        <v>9113</v>
      </c>
      <c r="D304" t="s">
        <v>9035</v>
      </c>
      <c r="E304" t="s">
        <v>6</v>
      </c>
      <c r="F304" t="s">
        <v>251</v>
      </c>
      <c r="G304">
        <v>124</v>
      </c>
      <c r="H304" s="2">
        <f>Tabelle13[[#This Row],[commits]]/Tabelle13[[#Totals],[commits]]</f>
        <v>5.7632601461265315E-4</v>
      </c>
      <c r="I304" s="5">
        <f>Tabelle13[[#This Row],[%]]+I303</f>
        <v>0.75556340515718878</v>
      </c>
      <c r="J304" s="4">
        <f t="shared" si="31"/>
        <v>1.105583195135434E-4</v>
      </c>
      <c r="K304" s="5">
        <f t="shared" si="36"/>
        <v>3.3388612493090185E-2</v>
      </c>
      <c r="M304">
        <v>302</v>
      </c>
      <c r="N304" t="s">
        <v>15849</v>
      </c>
      <c r="O304">
        <f t="shared" si="33"/>
        <v>1</v>
      </c>
      <c r="P304" s="7">
        <f t="shared" si="37"/>
        <v>6.4611169979065984E-6</v>
      </c>
      <c r="Q304" s="5">
        <f t="shared" si="34"/>
        <v>0.99976093867107518</v>
      </c>
      <c r="R304" s="4">
        <f t="shared" si="32"/>
        <v>2.9498525073746312E-3</v>
      </c>
      <c r="S304" s="8">
        <f t="shared" si="35"/>
        <v>0.89085545722714243</v>
      </c>
      <c r="T304" s="8"/>
      <c r="U304" s="8"/>
      <c r="V304" s="8"/>
    </row>
    <row r="305" spans="1:22" x14ac:dyDescent="0.25">
      <c r="A305" t="s">
        <v>9114</v>
      </c>
      <c r="C305" t="s">
        <v>9115</v>
      </c>
      <c r="D305" t="s">
        <v>8760</v>
      </c>
      <c r="E305" t="s">
        <v>6</v>
      </c>
      <c r="F305" t="s">
        <v>251</v>
      </c>
      <c r="G305">
        <v>124</v>
      </c>
      <c r="H305" s="2">
        <f>Tabelle13[[#This Row],[commits]]/Tabelle13[[#Totals],[commits]]</f>
        <v>5.7632601461265315E-4</v>
      </c>
      <c r="I305" s="5">
        <f>Tabelle13[[#This Row],[%]]+I304</f>
        <v>0.75613973117180144</v>
      </c>
      <c r="J305" s="4">
        <f t="shared" si="31"/>
        <v>1.105583195135434E-4</v>
      </c>
      <c r="K305" s="5">
        <f t="shared" si="36"/>
        <v>3.3499170812603729E-2</v>
      </c>
      <c r="M305">
        <v>303</v>
      </c>
      <c r="N305" t="s">
        <v>15929</v>
      </c>
      <c r="O305">
        <f t="shared" si="33"/>
        <v>1</v>
      </c>
      <c r="P305" s="7">
        <f t="shared" si="37"/>
        <v>6.4611169979065984E-6</v>
      </c>
      <c r="Q305" s="5">
        <f t="shared" si="34"/>
        <v>0.99976739978807305</v>
      </c>
      <c r="R305" s="4">
        <f t="shared" si="32"/>
        <v>2.9498525073746312E-3</v>
      </c>
      <c r="S305" s="8">
        <f t="shared" si="35"/>
        <v>0.89380530973451711</v>
      </c>
      <c r="T305" s="8"/>
      <c r="U305" s="8"/>
      <c r="V305" s="8"/>
    </row>
    <row r="306" spans="1:22" x14ac:dyDescent="0.25">
      <c r="A306" t="s">
        <v>9116</v>
      </c>
      <c r="C306" t="s">
        <v>9117</v>
      </c>
      <c r="D306" t="s">
        <v>309</v>
      </c>
      <c r="E306" t="s">
        <v>6</v>
      </c>
      <c r="F306" t="s">
        <v>251</v>
      </c>
      <c r="G306">
        <v>124</v>
      </c>
      <c r="H306" s="2">
        <f>Tabelle13[[#This Row],[commits]]/Tabelle13[[#Totals],[commits]]</f>
        <v>5.7632601461265315E-4</v>
      </c>
      <c r="I306" s="5">
        <f>Tabelle13[[#This Row],[%]]+I305</f>
        <v>0.7567160571864141</v>
      </c>
      <c r="J306" s="4">
        <f t="shared" si="31"/>
        <v>1.105583195135434E-4</v>
      </c>
      <c r="K306" s="5">
        <f t="shared" si="36"/>
        <v>3.3609729132117273E-2</v>
      </c>
      <c r="M306">
        <v>304</v>
      </c>
      <c r="N306" t="s">
        <v>15949</v>
      </c>
      <c r="O306">
        <f t="shared" si="33"/>
        <v>1</v>
      </c>
      <c r="P306" s="7">
        <f t="shared" si="37"/>
        <v>6.4611169979065984E-6</v>
      </c>
      <c r="Q306" s="5">
        <f t="shared" si="34"/>
        <v>0.99977386090507092</v>
      </c>
      <c r="R306" s="4">
        <f t="shared" si="32"/>
        <v>2.9498525073746312E-3</v>
      </c>
      <c r="S306" s="8">
        <f t="shared" si="35"/>
        <v>0.89675516224189178</v>
      </c>
      <c r="T306" s="8"/>
      <c r="U306" s="8"/>
      <c r="V306" s="8"/>
    </row>
    <row r="307" spans="1:22" x14ac:dyDescent="0.25">
      <c r="A307" t="s">
        <v>9118</v>
      </c>
      <c r="C307" t="s">
        <v>9119</v>
      </c>
      <c r="D307" t="s">
        <v>309</v>
      </c>
      <c r="E307" t="s">
        <v>6</v>
      </c>
      <c r="F307" t="s">
        <v>251</v>
      </c>
      <c r="G307">
        <v>124</v>
      </c>
      <c r="H307" s="2">
        <f>Tabelle13[[#This Row],[commits]]/Tabelle13[[#Totals],[commits]]</f>
        <v>5.7632601461265315E-4</v>
      </c>
      <c r="I307" s="5">
        <f>Tabelle13[[#This Row],[%]]+I306</f>
        <v>0.75729238320102676</v>
      </c>
      <c r="J307" s="4">
        <f t="shared" si="31"/>
        <v>1.105583195135434E-4</v>
      </c>
      <c r="K307" s="5">
        <f t="shared" si="36"/>
        <v>3.3720287451630818E-2</v>
      </c>
      <c r="M307">
        <v>305</v>
      </c>
      <c r="N307" t="s">
        <v>15954</v>
      </c>
      <c r="O307">
        <f t="shared" si="33"/>
        <v>1</v>
      </c>
      <c r="P307" s="7">
        <f t="shared" si="37"/>
        <v>6.4611169979065984E-6</v>
      </c>
      <c r="Q307" s="5">
        <f t="shared" si="34"/>
        <v>0.99978032202206879</v>
      </c>
      <c r="R307" s="4">
        <f t="shared" si="32"/>
        <v>2.9498525073746312E-3</v>
      </c>
      <c r="S307" s="8">
        <f t="shared" si="35"/>
        <v>0.89970501474926645</v>
      </c>
      <c r="T307" s="8"/>
      <c r="U307" s="8"/>
      <c r="V307" s="8"/>
    </row>
    <row r="308" spans="1:22" x14ac:dyDescent="0.25">
      <c r="A308" t="s">
        <v>9120</v>
      </c>
      <c r="C308" t="s">
        <v>9121</v>
      </c>
      <c r="D308" t="s">
        <v>251</v>
      </c>
      <c r="E308" t="s">
        <v>6</v>
      </c>
      <c r="F308" t="s">
        <v>251</v>
      </c>
      <c r="G308">
        <v>123</v>
      </c>
      <c r="H308" s="2">
        <f>Tabelle13[[#This Row],[commits]]/Tabelle13[[#Totals],[commits]]</f>
        <v>5.7167822417222857E-4</v>
      </c>
      <c r="I308" s="5">
        <f>Tabelle13[[#This Row],[%]]+I307</f>
        <v>0.75786406142519902</v>
      </c>
      <c r="J308" s="4">
        <f t="shared" si="31"/>
        <v>1.105583195135434E-4</v>
      </c>
      <c r="K308" s="5">
        <f t="shared" si="36"/>
        <v>3.3830845771144362E-2</v>
      </c>
      <c r="M308">
        <v>306</v>
      </c>
      <c r="N308" t="s">
        <v>15957</v>
      </c>
      <c r="O308">
        <f t="shared" si="33"/>
        <v>1</v>
      </c>
      <c r="P308" s="7">
        <f t="shared" si="37"/>
        <v>6.4611169979065984E-6</v>
      </c>
      <c r="Q308" s="5">
        <f t="shared" si="34"/>
        <v>0.99978678313906666</v>
      </c>
      <c r="R308" s="4">
        <f t="shared" si="32"/>
        <v>2.9498525073746312E-3</v>
      </c>
      <c r="S308" s="8">
        <f t="shared" si="35"/>
        <v>0.90265486725664112</v>
      </c>
      <c r="T308" s="8"/>
      <c r="U308" s="8"/>
      <c r="V308" s="8"/>
    </row>
    <row r="309" spans="1:22" x14ac:dyDescent="0.25">
      <c r="A309" t="s">
        <v>9122</v>
      </c>
      <c r="C309" t="s">
        <v>9123</v>
      </c>
      <c r="D309" t="s">
        <v>309</v>
      </c>
      <c r="E309" t="s">
        <v>6</v>
      </c>
      <c r="F309" t="s">
        <v>251</v>
      </c>
      <c r="G309">
        <v>122</v>
      </c>
      <c r="H309" s="2">
        <f>Tabelle13[[#This Row],[commits]]/Tabelle13[[#Totals],[commits]]</f>
        <v>5.6703043373180389E-4</v>
      </c>
      <c r="I309" s="5">
        <f>Tabelle13[[#This Row],[%]]+I308</f>
        <v>0.75843109185893087</v>
      </c>
      <c r="J309" s="4">
        <f t="shared" si="31"/>
        <v>1.105583195135434E-4</v>
      </c>
      <c r="K309" s="5">
        <f t="shared" si="36"/>
        <v>3.3941404090657906E-2</v>
      </c>
      <c r="M309">
        <v>307</v>
      </c>
      <c r="N309" t="s">
        <v>16021</v>
      </c>
      <c r="O309">
        <f t="shared" si="33"/>
        <v>1</v>
      </c>
      <c r="P309" s="7">
        <f t="shared" si="37"/>
        <v>6.4611169979065984E-6</v>
      </c>
      <c r="Q309" s="5">
        <f t="shared" si="34"/>
        <v>0.99979324425606453</v>
      </c>
      <c r="R309" s="4">
        <f t="shared" si="32"/>
        <v>2.9498525073746312E-3</v>
      </c>
      <c r="S309" s="8">
        <f t="shared" si="35"/>
        <v>0.9056047197640158</v>
      </c>
      <c r="T309" s="8"/>
      <c r="U309" s="8"/>
      <c r="V309" s="8"/>
    </row>
    <row r="310" spans="1:22" x14ac:dyDescent="0.25">
      <c r="A310" t="s">
        <v>9124</v>
      </c>
      <c r="C310" t="s">
        <v>9125</v>
      </c>
      <c r="D310" t="s">
        <v>8760</v>
      </c>
      <c r="E310" t="s">
        <v>6</v>
      </c>
      <c r="F310" t="s">
        <v>251</v>
      </c>
      <c r="G310">
        <v>122</v>
      </c>
      <c r="H310" s="2">
        <f>Tabelle13[[#This Row],[commits]]/Tabelle13[[#Totals],[commits]]</f>
        <v>5.6703043373180389E-4</v>
      </c>
      <c r="I310" s="5">
        <f>Tabelle13[[#This Row],[%]]+I309</f>
        <v>0.75899812229266272</v>
      </c>
      <c r="J310" s="4">
        <f t="shared" si="31"/>
        <v>1.105583195135434E-4</v>
      </c>
      <c r="K310" s="5">
        <f t="shared" si="36"/>
        <v>3.405196241017145E-2</v>
      </c>
      <c r="M310">
        <v>308</v>
      </c>
      <c r="N310" t="s">
        <v>16028</v>
      </c>
      <c r="O310">
        <f t="shared" si="33"/>
        <v>1</v>
      </c>
      <c r="P310" s="7">
        <f t="shared" si="37"/>
        <v>6.4611169979065984E-6</v>
      </c>
      <c r="Q310" s="5">
        <f t="shared" si="34"/>
        <v>0.9997997053730624</v>
      </c>
      <c r="R310" s="4">
        <f t="shared" si="32"/>
        <v>2.9498525073746312E-3</v>
      </c>
      <c r="S310" s="8">
        <f t="shared" si="35"/>
        <v>0.90855457227139047</v>
      </c>
      <c r="T310" s="8"/>
      <c r="U310" s="8"/>
      <c r="V310" s="8"/>
    </row>
    <row r="311" spans="1:22" x14ac:dyDescent="0.25">
      <c r="A311" t="s">
        <v>9126</v>
      </c>
      <c r="C311" t="s">
        <v>9127</v>
      </c>
      <c r="D311" t="s">
        <v>309</v>
      </c>
      <c r="E311" t="s">
        <v>6</v>
      </c>
      <c r="F311" t="s">
        <v>251</v>
      </c>
      <c r="G311">
        <v>121</v>
      </c>
      <c r="H311" s="2">
        <f>Tabelle13[[#This Row],[commits]]/Tabelle13[[#Totals],[commits]]</f>
        <v>5.6238264329137931E-4</v>
      </c>
      <c r="I311" s="5">
        <f>Tabelle13[[#This Row],[%]]+I310</f>
        <v>0.75956050493595406</v>
      </c>
      <c r="J311" s="4">
        <f t="shared" si="31"/>
        <v>1.105583195135434E-4</v>
      </c>
      <c r="K311" s="5">
        <f t="shared" si="36"/>
        <v>3.4162520729684995E-2</v>
      </c>
      <c r="M311">
        <v>309</v>
      </c>
      <c r="N311" t="s">
        <v>16039</v>
      </c>
      <c r="O311">
        <f t="shared" si="33"/>
        <v>1</v>
      </c>
      <c r="P311" s="7">
        <f t="shared" si="37"/>
        <v>6.4611169979065984E-6</v>
      </c>
      <c r="Q311" s="5">
        <f t="shared" si="34"/>
        <v>0.99980616649006027</v>
      </c>
      <c r="R311" s="4">
        <f t="shared" si="32"/>
        <v>2.9498525073746312E-3</v>
      </c>
      <c r="S311" s="8">
        <f t="shared" si="35"/>
        <v>0.91150442477876514</v>
      </c>
      <c r="T311" s="8"/>
      <c r="U311" s="8"/>
      <c r="V311" s="8"/>
    </row>
    <row r="312" spans="1:22" x14ac:dyDescent="0.25">
      <c r="A312" t="s">
        <v>9128</v>
      </c>
      <c r="C312" t="s">
        <v>9129</v>
      </c>
      <c r="D312" t="s">
        <v>309</v>
      </c>
      <c r="E312" t="s">
        <v>6</v>
      </c>
      <c r="F312" t="s">
        <v>251</v>
      </c>
      <c r="G312">
        <v>121</v>
      </c>
      <c r="H312" s="2">
        <f>Tabelle13[[#This Row],[commits]]/Tabelle13[[#Totals],[commits]]</f>
        <v>5.6238264329137931E-4</v>
      </c>
      <c r="I312" s="5">
        <f>Tabelle13[[#This Row],[%]]+I311</f>
        <v>0.7601228875792454</v>
      </c>
      <c r="J312" s="4">
        <f t="shared" si="31"/>
        <v>1.105583195135434E-4</v>
      </c>
      <c r="K312" s="5">
        <f t="shared" si="36"/>
        <v>3.4273079049198539E-2</v>
      </c>
      <c r="M312">
        <v>310</v>
      </c>
      <c r="N312" t="s">
        <v>16079</v>
      </c>
      <c r="O312">
        <f t="shared" si="33"/>
        <v>1</v>
      </c>
      <c r="P312" s="7">
        <f t="shared" si="37"/>
        <v>6.4611169979065984E-6</v>
      </c>
      <c r="Q312" s="5">
        <f t="shared" si="34"/>
        <v>0.99981262760705814</v>
      </c>
      <c r="R312" s="4">
        <f t="shared" si="32"/>
        <v>2.9498525073746312E-3</v>
      </c>
      <c r="S312" s="8">
        <f t="shared" si="35"/>
        <v>0.91445427728613982</v>
      </c>
      <c r="T312" s="8"/>
      <c r="U312" s="8"/>
      <c r="V312" s="8"/>
    </row>
    <row r="313" spans="1:22" x14ac:dyDescent="0.25">
      <c r="A313" t="s">
        <v>9130</v>
      </c>
      <c r="C313" t="s">
        <v>9131</v>
      </c>
      <c r="D313" t="s">
        <v>9062</v>
      </c>
      <c r="E313" t="s">
        <v>6</v>
      </c>
      <c r="F313" t="s">
        <v>251</v>
      </c>
      <c r="G313">
        <v>121</v>
      </c>
      <c r="H313" s="2">
        <f>Tabelle13[[#This Row],[commits]]/Tabelle13[[#Totals],[commits]]</f>
        <v>5.6238264329137931E-4</v>
      </c>
      <c r="I313" s="5">
        <f>Tabelle13[[#This Row],[%]]+I312</f>
        <v>0.76068527022253674</v>
      </c>
      <c r="J313" s="4">
        <f t="shared" si="31"/>
        <v>1.105583195135434E-4</v>
      </c>
      <c r="K313" s="5">
        <f t="shared" si="36"/>
        <v>3.4383637368712083E-2</v>
      </c>
      <c r="M313">
        <v>311</v>
      </c>
      <c r="N313" t="s">
        <v>16181</v>
      </c>
      <c r="O313">
        <f t="shared" si="33"/>
        <v>1</v>
      </c>
      <c r="P313" s="7">
        <f t="shared" si="37"/>
        <v>6.4611169979065984E-6</v>
      </c>
      <c r="Q313" s="5">
        <f t="shared" si="34"/>
        <v>0.999819088724056</v>
      </c>
      <c r="R313" s="4">
        <f t="shared" si="32"/>
        <v>2.9498525073746312E-3</v>
      </c>
      <c r="S313" s="8">
        <f t="shared" si="35"/>
        <v>0.91740412979351449</v>
      </c>
      <c r="T313" s="8"/>
      <c r="U313" s="8"/>
      <c r="V313" s="8"/>
    </row>
    <row r="314" spans="1:22" x14ac:dyDescent="0.25">
      <c r="A314" t="s">
        <v>9132</v>
      </c>
      <c r="C314" t="s">
        <v>9133</v>
      </c>
      <c r="D314" t="s">
        <v>8948</v>
      </c>
      <c r="E314" t="s">
        <v>6</v>
      </c>
      <c r="F314" t="s">
        <v>251</v>
      </c>
      <c r="G314">
        <v>120</v>
      </c>
      <c r="H314" s="2">
        <f>Tabelle13[[#This Row],[commits]]/Tabelle13[[#Totals],[commits]]</f>
        <v>5.5773485285095462E-4</v>
      </c>
      <c r="I314" s="5">
        <f>Tabelle13[[#This Row],[%]]+I313</f>
        <v>0.76124300507538767</v>
      </c>
      <c r="J314" s="4">
        <f t="shared" si="31"/>
        <v>1.105583195135434E-4</v>
      </c>
      <c r="K314" s="5">
        <f t="shared" si="36"/>
        <v>3.4494195688225628E-2</v>
      </c>
      <c r="M314">
        <v>312</v>
      </c>
      <c r="N314" t="s">
        <v>16338</v>
      </c>
      <c r="O314">
        <f t="shared" si="33"/>
        <v>1</v>
      </c>
      <c r="P314" s="7">
        <f t="shared" si="37"/>
        <v>6.4611169979065984E-6</v>
      </c>
      <c r="Q314" s="5">
        <f t="shared" si="34"/>
        <v>0.99982554984105387</v>
      </c>
      <c r="R314" s="4">
        <f t="shared" si="32"/>
        <v>2.9498525073746312E-3</v>
      </c>
      <c r="S314" s="8">
        <f t="shared" si="35"/>
        <v>0.92035398230088916</v>
      </c>
      <c r="T314" s="8"/>
      <c r="U314" s="8"/>
      <c r="V314" s="8"/>
    </row>
    <row r="315" spans="1:22" x14ac:dyDescent="0.25">
      <c r="A315" t="s">
        <v>9134</v>
      </c>
      <c r="C315" t="s">
        <v>9135</v>
      </c>
      <c r="D315" t="s">
        <v>309</v>
      </c>
      <c r="E315" t="s">
        <v>6</v>
      </c>
      <c r="F315" t="s">
        <v>251</v>
      </c>
      <c r="G315">
        <v>120</v>
      </c>
      <c r="H315" s="2">
        <f>Tabelle13[[#This Row],[commits]]/Tabelle13[[#Totals],[commits]]</f>
        <v>5.5773485285095462E-4</v>
      </c>
      <c r="I315" s="5">
        <f>Tabelle13[[#This Row],[%]]+I314</f>
        <v>0.7618007399282386</v>
      </c>
      <c r="J315" s="4">
        <f t="shared" si="31"/>
        <v>1.105583195135434E-4</v>
      </c>
      <c r="K315" s="5">
        <f t="shared" si="36"/>
        <v>3.4604754007739172E-2</v>
      </c>
      <c r="M315">
        <v>313</v>
      </c>
      <c r="N315" t="s">
        <v>16365</v>
      </c>
      <c r="O315">
        <f t="shared" si="33"/>
        <v>1</v>
      </c>
      <c r="P315" s="7">
        <f t="shared" si="37"/>
        <v>6.4611169979065984E-6</v>
      </c>
      <c r="Q315" s="5">
        <f t="shared" si="34"/>
        <v>0.99983201095805174</v>
      </c>
      <c r="R315" s="4">
        <f t="shared" si="32"/>
        <v>2.9498525073746312E-3</v>
      </c>
      <c r="S315" s="8">
        <f t="shared" si="35"/>
        <v>0.92330383480826383</v>
      </c>
      <c r="T315" s="8"/>
      <c r="U315" s="8"/>
      <c r="V315" s="8"/>
    </row>
    <row r="316" spans="1:22" x14ac:dyDescent="0.25">
      <c r="A316" t="s">
        <v>9136</v>
      </c>
      <c r="C316" t="s">
        <v>9137</v>
      </c>
      <c r="D316" t="s">
        <v>309</v>
      </c>
      <c r="E316" t="s">
        <v>6</v>
      </c>
      <c r="F316" t="s">
        <v>251</v>
      </c>
      <c r="G316">
        <v>119</v>
      </c>
      <c r="H316" s="2">
        <f>Tabelle13[[#This Row],[commits]]/Tabelle13[[#Totals],[commits]]</f>
        <v>5.5308706241053004E-4</v>
      </c>
      <c r="I316" s="5">
        <f>Tabelle13[[#This Row],[%]]+I315</f>
        <v>0.76235382699064913</v>
      </c>
      <c r="J316" s="4">
        <f t="shared" si="31"/>
        <v>1.105583195135434E-4</v>
      </c>
      <c r="K316" s="5">
        <f t="shared" si="36"/>
        <v>3.4715312327252716E-2</v>
      </c>
      <c r="M316">
        <v>314</v>
      </c>
      <c r="N316" t="s">
        <v>16422</v>
      </c>
      <c r="O316">
        <f t="shared" si="33"/>
        <v>1</v>
      </c>
      <c r="P316" s="7">
        <f t="shared" si="37"/>
        <v>6.4611169979065984E-6</v>
      </c>
      <c r="Q316" s="5">
        <f t="shared" si="34"/>
        <v>0.99983847207504961</v>
      </c>
      <c r="R316" s="4">
        <f t="shared" si="32"/>
        <v>2.9498525073746312E-3</v>
      </c>
      <c r="S316" s="8">
        <f t="shared" si="35"/>
        <v>0.92625368731563851</v>
      </c>
      <c r="T316" s="8"/>
      <c r="U316" s="8"/>
      <c r="V316" s="8"/>
    </row>
    <row r="317" spans="1:22" x14ac:dyDescent="0.25">
      <c r="A317" t="s">
        <v>9138</v>
      </c>
      <c r="C317" t="s">
        <v>9139</v>
      </c>
      <c r="D317" t="s">
        <v>309</v>
      </c>
      <c r="E317" t="s">
        <v>6</v>
      </c>
      <c r="F317" t="s">
        <v>251</v>
      </c>
      <c r="G317">
        <v>119</v>
      </c>
      <c r="H317" s="2">
        <f>Tabelle13[[#This Row],[commits]]/Tabelle13[[#Totals],[commits]]</f>
        <v>5.5308706241053004E-4</v>
      </c>
      <c r="I317" s="5">
        <f>Tabelle13[[#This Row],[%]]+I316</f>
        <v>0.76290691405305966</v>
      </c>
      <c r="J317" s="4">
        <f t="shared" si="31"/>
        <v>1.105583195135434E-4</v>
      </c>
      <c r="K317" s="5">
        <f t="shared" si="36"/>
        <v>3.482587064676626E-2</v>
      </c>
      <c r="M317">
        <v>315</v>
      </c>
      <c r="N317" t="s">
        <v>16530</v>
      </c>
      <c r="O317">
        <f t="shared" si="33"/>
        <v>1</v>
      </c>
      <c r="P317" s="7">
        <f t="shared" si="37"/>
        <v>6.4611169979065984E-6</v>
      </c>
      <c r="Q317" s="5">
        <f t="shared" si="34"/>
        <v>0.99984493319204748</v>
      </c>
      <c r="R317" s="4">
        <f t="shared" si="32"/>
        <v>2.9498525073746312E-3</v>
      </c>
      <c r="S317" s="8">
        <f t="shared" si="35"/>
        <v>0.92920353982301318</v>
      </c>
      <c r="T317" s="8"/>
      <c r="U317" s="8"/>
      <c r="V317" s="8"/>
    </row>
    <row r="318" spans="1:22" x14ac:dyDescent="0.25">
      <c r="A318" t="s">
        <v>9140</v>
      </c>
      <c r="C318" t="s">
        <v>9141</v>
      </c>
      <c r="D318" t="s">
        <v>309</v>
      </c>
      <c r="E318" t="s">
        <v>6</v>
      </c>
      <c r="F318" t="s">
        <v>251</v>
      </c>
      <c r="G318">
        <v>118</v>
      </c>
      <c r="H318" s="2">
        <f>Tabelle13[[#This Row],[commits]]/Tabelle13[[#Totals],[commits]]</f>
        <v>5.4843927197010547E-4</v>
      </c>
      <c r="I318" s="5">
        <f>Tabelle13[[#This Row],[%]]+I317</f>
        <v>0.76345535332502978</v>
      </c>
      <c r="J318" s="4">
        <f t="shared" si="31"/>
        <v>1.105583195135434E-4</v>
      </c>
      <c r="K318" s="5">
        <f t="shared" si="36"/>
        <v>3.4936428966279805E-2</v>
      </c>
      <c r="M318">
        <v>316</v>
      </c>
      <c r="N318" t="s">
        <v>16680</v>
      </c>
      <c r="O318">
        <f t="shared" si="33"/>
        <v>1</v>
      </c>
      <c r="P318" s="7">
        <f t="shared" si="37"/>
        <v>6.4611169979065984E-6</v>
      </c>
      <c r="Q318" s="5">
        <f t="shared" si="34"/>
        <v>0.99985139430904535</v>
      </c>
      <c r="R318" s="4">
        <f t="shared" si="32"/>
        <v>2.9498525073746312E-3</v>
      </c>
      <c r="S318" s="8">
        <f t="shared" si="35"/>
        <v>0.93215339233038785</v>
      </c>
      <c r="T318" s="8"/>
      <c r="U318" s="8"/>
      <c r="V318" s="8"/>
    </row>
    <row r="319" spans="1:22" x14ac:dyDescent="0.25">
      <c r="A319" t="s">
        <v>9142</v>
      </c>
      <c r="C319" t="s">
        <v>9143</v>
      </c>
      <c r="D319" t="s">
        <v>309</v>
      </c>
      <c r="E319" t="s">
        <v>6</v>
      </c>
      <c r="F319" t="s">
        <v>251</v>
      </c>
      <c r="G319">
        <v>117</v>
      </c>
      <c r="H319" s="2">
        <f>Tabelle13[[#This Row],[commits]]/Tabelle13[[#Totals],[commits]]</f>
        <v>5.4379148152968078E-4</v>
      </c>
      <c r="I319" s="5">
        <f>Tabelle13[[#This Row],[%]]+I318</f>
        <v>0.7639991448065595</v>
      </c>
      <c r="J319" s="4">
        <f t="shared" si="31"/>
        <v>1.105583195135434E-4</v>
      </c>
      <c r="K319" s="5">
        <f t="shared" si="36"/>
        <v>3.5046987285793349E-2</v>
      </c>
      <c r="M319">
        <v>317</v>
      </c>
      <c r="N319" t="s">
        <v>16683</v>
      </c>
      <c r="O319">
        <f t="shared" si="33"/>
        <v>1</v>
      </c>
      <c r="P319" s="7">
        <f t="shared" si="37"/>
        <v>6.4611169979065984E-6</v>
      </c>
      <c r="Q319" s="5">
        <f t="shared" si="34"/>
        <v>0.99985785542604322</v>
      </c>
      <c r="R319" s="4">
        <f t="shared" si="32"/>
        <v>2.9498525073746312E-3</v>
      </c>
      <c r="S319" s="8">
        <f t="shared" si="35"/>
        <v>0.93510324483776253</v>
      </c>
      <c r="T319" s="8"/>
      <c r="U319" s="8"/>
      <c r="V319" s="8"/>
    </row>
    <row r="320" spans="1:22" x14ac:dyDescent="0.25">
      <c r="A320" t="s">
        <v>9144</v>
      </c>
      <c r="C320" t="s">
        <v>9145</v>
      </c>
      <c r="D320" t="s">
        <v>309</v>
      </c>
      <c r="E320" t="s">
        <v>6</v>
      </c>
      <c r="F320" t="s">
        <v>251</v>
      </c>
      <c r="G320">
        <v>117</v>
      </c>
      <c r="H320" s="2">
        <f>Tabelle13[[#This Row],[commits]]/Tabelle13[[#Totals],[commits]]</f>
        <v>5.4379148152968078E-4</v>
      </c>
      <c r="I320" s="5">
        <f>Tabelle13[[#This Row],[%]]+I319</f>
        <v>0.76454293628808923</v>
      </c>
      <c r="J320" s="4">
        <f t="shared" si="31"/>
        <v>1.105583195135434E-4</v>
      </c>
      <c r="K320" s="5">
        <f t="shared" si="36"/>
        <v>3.5157545605306893E-2</v>
      </c>
      <c r="M320">
        <v>318</v>
      </c>
      <c r="N320" t="s">
        <v>16738</v>
      </c>
      <c r="O320">
        <f t="shared" si="33"/>
        <v>1</v>
      </c>
      <c r="P320" s="7">
        <f t="shared" si="37"/>
        <v>6.4611169979065984E-6</v>
      </c>
      <c r="Q320" s="5">
        <f t="shared" si="34"/>
        <v>0.99986431654304109</v>
      </c>
      <c r="R320" s="4">
        <f t="shared" si="32"/>
        <v>2.9498525073746312E-3</v>
      </c>
      <c r="S320" s="8">
        <f t="shared" si="35"/>
        <v>0.9380530973451372</v>
      </c>
      <c r="T320" s="8"/>
      <c r="U320" s="8"/>
      <c r="V320" s="8"/>
    </row>
    <row r="321" spans="1:22" x14ac:dyDescent="0.25">
      <c r="A321" t="s">
        <v>9146</v>
      </c>
      <c r="C321" t="s">
        <v>9147</v>
      </c>
      <c r="D321" t="s">
        <v>8760</v>
      </c>
      <c r="E321" t="s">
        <v>6</v>
      </c>
      <c r="F321" t="s">
        <v>251</v>
      </c>
      <c r="G321">
        <v>115</v>
      </c>
      <c r="H321" s="2">
        <f>Tabelle13[[#This Row],[commits]]/Tabelle13[[#Totals],[commits]]</f>
        <v>5.3449590064883151E-4</v>
      </c>
      <c r="I321" s="5">
        <f>Tabelle13[[#This Row],[%]]+I320</f>
        <v>0.76507743218873803</v>
      </c>
      <c r="J321" s="4">
        <f t="shared" si="31"/>
        <v>1.105583195135434E-4</v>
      </c>
      <c r="K321" s="5">
        <f t="shared" si="36"/>
        <v>3.5268103924820438E-2</v>
      </c>
      <c r="M321">
        <v>319</v>
      </c>
      <c r="N321" t="s">
        <v>16793</v>
      </c>
      <c r="O321">
        <f t="shared" si="33"/>
        <v>1</v>
      </c>
      <c r="P321" s="7">
        <f t="shared" si="37"/>
        <v>6.4611169979065984E-6</v>
      </c>
      <c r="Q321" s="5">
        <f t="shared" si="34"/>
        <v>0.99987077766003896</v>
      </c>
      <c r="R321" s="4">
        <f t="shared" si="32"/>
        <v>2.9498525073746312E-3</v>
      </c>
      <c r="S321" s="8">
        <f t="shared" si="35"/>
        <v>0.94100294985251187</v>
      </c>
      <c r="T321" s="8"/>
      <c r="U321" s="8"/>
      <c r="V321" s="8"/>
    </row>
    <row r="322" spans="1:22" x14ac:dyDescent="0.25">
      <c r="A322" t="s">
        <v>9148</v>
      </c>
      <c r="C322" t="s">
        <v>9149</v>
      </c>
      <c r="D322" t="s">
        <v>8948</v>
      </c>
      <c r="E322" t="s">
        <v>6</v>
      </c>
      <c r="F322" t="s">
        <v>251</v>
      </c>
      <c r="G322">
        <v>115</v>
      </c>
      <c r="H322" s="2">
        <f>Tabelle13[[#This Row],[commits]]/Tabelle13[[#Totals],[commits]]</f>
        <v>5.3449590064883151E-4</v>
      </c>
      <c r="I322" s="5">
        <f>Tabelle13[[#This Row],[%]]+I321</f>
        <v>0.76561192808938683</v>
      </c>
      <c r="J322" s="4">
        <f t="shared" si="31"/>
        <v>1.105583195135434E-4</v>
      </c>
      <c r="K322" s="5">
        <f t="shared" si="36"/>
        <v>3.5378662244333982E-2</v>
      </c>
      <c r="M322">
        <v>320</v>
      </c>
      <c r="N322" t="s">
        <v>16807</v>
      </c>
      <c r="O322">
        <f t="shared" si="33"/>
        <v>1</v>
      </c>
      <c r="P322" s="7">
        <f t="shared" si="37"/>
        <v>6.4611169979065984E-6</v>
      </c>
      <c r="Q322" s="5">
        <f t="shared" si="34"/>
        <v>0.99987723877703683</v>
      </c>
      <c r="R322" s="4">
        <f t="shared" si="32"/>
        <v>2.9498525073746312E-3</v>
      </c>
      <c r="S322" s="8">
        <f t="shared" si="35"/>
        <v>0.94395280235988654</v>
      </c>
      <c r="T322" s="8"/>
      <c r="U322" s="8"/>
      <c r="V322" s="8"/>
    </row>
    <row r="323" spans="1:22" x14ac:dyDescent="0.25">
      <c r="A323" t="s">
        <v>9150</v>
      </c>
      <c r="C323" t="s">
        <v>9151</v>
      </c>
      <c r="D323" t="s">
        <v>309</v>
      </c>
      <c r="E323" t="s">
        <v>6</v>
      </c>
      <c r="F323" t="s">
        <v>251</v>
      </c>
      <c r="G323">
        <v>115</v>
      </c>
      <c r="H323" s="2">
        <f>Tabelle13[[#This Row],[commits]]/Tabelle13[[#Totals],[commits]]</f>
        <v>5.3449590064883151E-4</v>
      </c>
      <c r="I323" s="5">
        <f>Tabelle13[[#This Row],[%]]+I322</f>
        <v>0.76614642399003563</v>
      </c>
      <c r="J323" s="4">
        <f t="shared" ref="J323:J386" si="38">1/9045</f>
        <v>1.105583195135434E-4</v>
      </c>
      <c r="K323" s="5">
        <f t="shared" si="36"/>
        <v>3.5489220563847526E-2</v>
      </c>
      <c r="M323">
        <v>321</v>
      </c>
      <c r="N323" t="s">
        <v>16812</v>
      </c>
      <c r="O323">
        <f t="shared" si="33"/>
        <v>1</v>
      </c>
      <c r="P323" s="7">
        <f t="shared" si="37"/>
        <v>6.4611169979065984E-6</v>
      </c>
      <c r="Q323" s="5">
        <f t="shared" si="34"/>
        <v>0.99988369989403469</v>
      </c>
      <c r="R323" s="4">
        <f t="shared" si="32"/>
        <v>2.9498525073746312E-3</v>
      </c>
      <c r="S323" s="8">
        <f t="shared" si="35"/>
        <v>0.94690265486726122</v>
      </c>
      <c r="T323" s="8"/>
      <c r="U323" s="8"/>
      <c r="V323" s="8"/>
    </row>
    <row r="324" spans="1:22" x14ac:dyDescent="0.25">
      <c r="A324" t="s">
        <v>9152</v>
      </c>
      <c r="C324" t="s">
        <v>9153</v>
      </c>
      <c r="D324" t="s">
        <v>309</v>
      </c>
      <c r="E324" t="s">
        <v>6</v>
      </c>
      <c r="F324" t="s">
        <v>251</v>
      </c>
      <c r="G324">
        <v>115</v>
      </c>
      <c r="H324" s="2">
        <f>Tabelle13[[#This Row],[commits]]/Tabelle13[[#Totals],[commits]]</f>
        <v>5.3449590064883151E-4</v>
      </c>
      <c r="I324" s="5">
        <f>Tabelle13[[#This Row],[%]]+I323</f>
        <v>0.76668091989068443</v>
      </c>
      <c r="J324" s="4">
        <f t="shared" si="38"/>
        <v>1.105583195135434E-4</v>
      </c>
      <c r="K324" s="5">
        <f t="shared" si="36"/>
        <v>3.559977888336107E-2</v>
      </c>
      <c r="M324">
        <v>322</v>
      </c>
      <c r="N324" t="s">
        <v>16844</v>
      </c>
      <c r="O324">
        <f t="shared" si="33"/>
        <v>1</v>
      </c>
      <c r="P324" s="7">
        <f t="shared" si="37"/>
        <v>6.4611169979065984E-6</v>
      </c>
      <c r="Q324" s="5">
        <f t="shared" si="34"/>
        <v>0.99989016101103256</v>
      </c>
      <c r="R324" s="4">
        <f t="shared" ref="R324:R341" si="39">1/339</f>
        <v>2.9498525073746312E-3</v>
      </c>
      <c r="S324" s="8">
        <f t="shared" si="35"/>
        <v>0.94985250737463589</v>
      </c>
      <c r="T324" s="8"/>
      <c r="U324" s="8"/>
      <c r="V324" s="8"/>
    </row>
    <row r="325" spans="1:22" x14ac:dyDescent="0.25">
      <c r="A325" t="s">
        <v>9154</v>
      </c>
      <c r="C325" t="s">
        <v>9155</v>
      </c>
      <c r="D325" t="s">
        <v>309</v>
      </c>
      <c r="E325" t="s">
        <v>6</v>
      </c>
      <c r="F325" t="s">
        <v>251</v>
      </c>
      <c r="G325">
        <v>115</v>
      </c>
      <c r="H325" s="2">
        <f>Tabelle13[[#This Row],[commits]]/Tabelle13[[#Totals],[commits]]</f>
        <v>5.3449590064883151E-4</v>
      </c>
      <c r="I325" s="5">
        <f>Tabelle13[[#This Row],[%]]+I324</f>
        <v>0.76721541579133323</v>
      </c>
      <c r="J325" s="4">
        <f t="shared" si="38"/>
        <v>1.105583195135434E-4</v>
      </c>
      <c r="K325" s="5">
        <f t="shared" si="36"/>
        <v>3.5710337202874615E-2</v>
      </c>
      <c r="M325">
        <v>323</v>
      </c>
      <c r="N325" t="s">
        <v>16969</v>
      </c>
      <c r="O325">
        <f t="shared" ref="O325:O341" si="40">SUMIFS($G$3:$G$9048,$D$3:$D$9048,N325)</f>
        <v>1</v>
      </c>
      <c r="P325" s="7">
        <f t="shared" si="37"/>
        <v>6.4611169979065984E-6</v>
      </c>
      <c r="Q325" s="5">
        <f t="shared" ref="Q325:Q341" si="41">Q324+P325</f>
        <v>0.99989662212803043</v>
      </c>
      <c r="R325" s="4">
        <f t="shared" si="39"/>
        <v>2.9498525073746312E-3</v>
      </c>
      <c r="S325" s="8">
        <f t="shared" ref="S325:S341" si="42">S324+R325</f>
        <v>0.95280235988201056</v>
      </c>
      <c r="T325" s="8"/>
      <c r="U325" s="8"/>
      <c r="V325" s="8"/>
    </row>
    <row r="326" spans="1:22" x14ac:dyDescent="0.25">
      <c r="A326" t="s">
        <v>17130</v>
      </c>
      <c r="C326" t="s">
        <v>17131</v>
      </c>
      <c r="D326" t="s">
        <v>5</v>
      </c>
      <c r="E326" t="s">
        <v>6</v>
      </c>
      <c r="F326" t="s">
        <v>334</v>
      </c>
      <c r="G326">
        <v>113</v>
      </c>
      <c r="H326" s="2">
        <f>Tabelle13[[#This Row],[commits]]/Tabelle13[[#Totals],[commits]]</f>
        <v>5.2520031976798225E-4</v>
      </c>
      <c r="I326" s="5">
        <f>Tabelle13[[#This Row],[%]]+I325</f>
        <v>0.76774061611110123</v>
      </c>
      <c r="J326" s="4">
        <f t="shared" si="38"/>
        <v>1.105583195135434E-4</v>
      </c>
      <c r="K326" s="5">
        <f t="shared" ref="K326:K389" si="43">J326+K325</f>
        <v>3.5820895522388159E-2</v>
      </c>
      <c r="M326">
        <v>324</v>
      </c>
      <c r="N326" t="s">
        <v>16988</v>
      </c>
      <c r="O326">
        <f t="shared" si="40"/>
        <v>1</v>
      </c>
      <c r="P326" s="7">
        <f t="shared" ref="P326:P342" si="44">O326/$O$343</f>
        <v>6.4611169979065984E-6</v>
      </c>
      <c r="Q326" s="5">
        <f t="shared" si="41"/>
        <v>0.9999030832450283</v>
      </c>
      <c r="R326" s="4">
        <f t="shared" si="39"/>
        <v>2.9498525073746312E-3</v>
      </c>
      <c r="S326" s="8">
        <f t="shared" si="42"/>
        <v>0.95575221238938524</v>
      </c>
      <c r="T326" s="8"/>
      <c r="U326" s="8"/>
      <c r="V326" s="8"/>
    </row>
    <row r="327" spans="1:22" x14ac:dyDescent="0.25">
      <c r="A327" t="s">
        <v>5203</v>
      </c>
      <c r="C327" t="s">
        <v>5204</v>
      </c>
      <c r="D327" t="s">
        <v>5</v>
      </c>
      <c r="E327" t="s">
        <v>6</v>
      </c>
      <c r="F327" t="s">
        <v>28</v>
      </c>
      <c r="G327">
        <v>112</v>
      </c>
      <c r="H327" s="2">
        <f>Tabelle13[[#This Row],[commits]]/Tabelle13[[#Totals],[commits]]</f>
        <v>5.2055252932755767E-4</v>
      </c>
      <c r="I327" s="5">
        <f>Tabelle13[[#This Row],[%]]+I326</f>
        <v>0.76826116864042882</v>
      </c>
      <c r="J327" s="4">
        <f t="shared" si="38"/>
        <v>1.105583195135434E-4</v>
      </c>
      <c r="K327" s="5">
        <f t="shared" si="43"/>
        <v>3.5931453841901703E-2</v>
      </c>
      <c r="M327">
        <v>325</v>
      </c>
      <c r="N327" t="s">
        <v>16993</v>
      </c>
      <c r="O327">
        <f t="shared" si="40"/>
        <v>1</v>
      </c>
      <c r="P327" s="7">
        <f t="shared" si="44"/>
        <v>6.4611169979065984E-6</v>
      </c>
      <c r="Q327" s="5">
        <f t="shared" si="41"/>
        <v>0.99990954436202617</v>
      </c>
      <c r="R327" s="4">
        <f t="shared" si="39"/>
        <v>2.9498525073746312E-3</v>
      </c>
      <c r="S327" s="8">
        <f t="shared" si="42"/>
        <v>0.95870206489675991</v>
      </c>
      <c r="T327" s="8"/>
      <c r="U327" s="8"/>
      <c r="V327" s="8"/>
    </row>
    <row r="328" spans="1:22" x14ac:dyDescent="0.25">
      <c r="A328" t="s">
        <v>9156</v>
      </c>
      <c r="C328" t="s">
        <v>9157</v>
      </c>
      <c r="D328" t="s">
        <v>9035</v>
      </c>
      <c r="E328" t="s">
        <v>6</v>
      </c>
      <c r="F328" t="s">
        <v>251</v>
      </c>
      <c r="G328">
        <v>112</v>
      </c>
      <c r="H328" s="2">
        <f>Tabelle13[[#This Row],[commits]]/Tabelle13[[#Totals],[commits]]</f>
        <v>5.2055252932755767E-4</v>
      </c>
      <c r="I328" s="5">
        <f>Tabelle13[[#This Row],[%]]+I327</f>
        <v>0.7687817211697564</v>
      </c>
      <c r="J328" s="4">
        <f t="shared" si="38"/>
        <v>1.105583195135434E-4</v>
      </c>
      <c r="K328" s="5">
        <f t="shared" si="43"/>
        <v>3.6042012161415247E-2</v>
      </c>
      <c r="M328">
        <v>326</v>
      </c>
      <c r="N328" t="s">
        <v>17009</v>
      </c>
      <c r="O328">
        <f t="shared" si="40"/>
        <v>1</v>
      </c>
      <c r="P328" s="7">
        <f t="shared" si="44"/>
        <v>6.4611169979065984E-6</v>
      </c>
      <c r="Q328" s="5">
        <f t="shared" si="41"/>
        <v>0.99991600547902404</v>
      </c>
      <c r="R328" s="4">
        <f t="shared" si="39"/>
        <v>2.9498525073746312E-3</v>
      </c>
      <c r="S328" s="8">
        <f t="shared" si="42"/>
        <v>0.96165191740413458</v>
      </c>
      <c r="T328" s="8"/>
      <c r="U328" s="8"/>
      <c r="V328" s="8"/>
    </row>
    <row r="329" spans="1:22" x14ac:dyDescent="0.25">
      <c r="A329" t="s">
        <v>9158</v>
      </c>
      <c r="C329" t="s">
        <v>9159</v>
      </c>
      <c r="D329" t="s">
        <v>309</v>
      </c>
      <c r="E329" t="s">
        <v>6</v>
      </c>
      <c r="F329" t="s">
        <v>251</v>
      </c>
      <c r="G329">
        <v>111</v>
      </c>
      <c r="H329" s="2">
        <f>Tabelle13[[#This Row],[commits]]/Tabelle13[[#Totals],[commits]]</f>
        <v>5.1590473888713309E-4</v>
      </c>
      <c r="I329" s="5">
        <f>Tabelle13[[#This Row],[%]]+I328</f>
        <v>0.76929762590864359</v>
      </c>
      <c r="J329" s="4">
        <f t="shared" si="38"/>
        <v>1.105583195135434E-4</v>
      </c>
      <c r="K329" s="5">
        <f t="shared" si="43"/>
        <v>3.6152570480928792E-2</v>
      </c>
      <c r="M329">
        <v>327</v>
      </c>
      <c r="N329" t="s">
        <v>17287</v>
      </c>
      <c r="O329">
        <f t="shared" si="40"/>
        <v>1</v>
      </c>
      <c r="P329" s="7">
        <f t="shared" si="44"/>
        <v>6.4611169979065984E-6</v>
      </c>
      <c r="Q329" s="5">
        <f t="shared" si="41"/>
        <v>0.99992246659602191</v>
      </c>
      <c r="R329" s="4">
        <f t="shared" si="39"/>
        <v>2.9498525073746312E-3</v>
      </c>
      <c r="S329" s="8">
        <f t="shared" si="42"/>
        <v>0.96460176991150925</v>
      </c>
      <c r="T329" s="8"/>
      <c r="U329" s="8"/>
      <c r="V329" s="8"/>
    </row>
    <row r="330" spans="1:22" x14ac:dyDescent="0.25">
      <c r="A330" t="s">
        <v>9160</v>
      </c>
      <c r="C330" t="s">
        <v>9161</v>
      </c>
      <c r="D330" t="s">
        <v>309</v>
      </c>
      <c r="E330" t="s">
        <v>6</v>
      </c>
      <c r="F330" t="s">
        <v>251</v>
      </c>
      <c r="G330">
        <v>111</v>
      </c>
      <c r="H330" s="2">
        <f>Tabelle13[[#This Row],[commits]]/Tabelle13[[#Totals],[commits]]</f>
        <v>5.1590473888713309E-4</v>
      </c>
      <c r="I330" s="5">
        <f>Tabelle13[[#This Row],[%]]+I329</f>
        <v>0.76981353064753077</v>
      </c>
      <c r="J330" s="4">
        <f t="shared" si="38"/>
        <v>1.105583195135434E-4</v>
      </c>
      <c r="K330" s="5">
        <f t="shared" si="43"/>
        <v>3.6263128800442336E-2</v>
      </c>
      <c r="M330">
        <v>328</v>
      </c>
      <c r="N330" t="s">
        <v>17304</v>
      </c>
      <c r="O330">
        <f t="shared" si="40"/>
        <v>1</v>
      </c>
      <c r="P330" s="7">
        <f t="shared" si="44"/>
        <v>6.4611169979065984E-6</v>
      </c>
      <c r="Q330" s="5">
        <f t="shared" si="41"/>
        <v>0.99992892771301978</v>
      </c>
      <c r="R330" s="4">
        <f t="shared" si="39"/>
        <v>2.9498525073746312E-3</v>
      </c>
      <c r="S330" s="8">
        <f t="shared" si="42"/>
        <v>0.96755162241888393</v>
      </c>
      <c r="T330" s="8"/>
      <c r="U330" s="8"/>
      <c r="V330" s="8"/>
    </row>
    <row r="331" spans="1:22" x14ac:dyDescent="0.25">
      <c r="A331" t="s">
        <v>9162</v>
      </c>
      <c r="C331" t="s">
        <v>9163</v>
      </c>
      <c r="D331" t="s">
        <v>8760</v>
      </c>
      <c r="E331" t="s">
        <v>6</v>
      </c>
      <c r="F331" t="s">
        <v>251</v>
      </c>
      <c r="G331">
        <v>111</v>
      </c>
      <c r="H331" s="2">
        <f>Tabelle13[[#This Row],[commits]]/Tabelle13[[#Totals],[commits]]</f>
        <v>5.1590473888713309E-4</v>
      </c>
      <c r="I331" s="5">
        <f>Tabelle13[[#This Row],[%]]+I330</f>
        <v>0.77032943538641796</v>
      </c>
      <c r="J331" s="4">
        <f t="shared" si="38"/>
        <v>1.105583195135434E-4</v>
      </c>
      <c r="K331" s="5">
        <f t="shared" si="43"/>
        <v>3.637368711995588E-2</v>
      </c>
      <c r="M331">
        <v>329</v>
      </c>
      <c r="N331" t="s">
        <v>17409</v>
      </c>
      <c r="O331">
        <f t="shared" si="40"/>
        <v>1</v>
      </c>
      <c r="P331" s="7">
        <f t="shared" si="44"/>
        <v>6.4611169979065984E-6</v>
      </c>
      <c r="Q331" s="5">
        <f t="shared" si="41"/>
        <v>0.99993538883001765</v>
      </c>
      <c r="R331" s="4">
        <f t="shared" si="39"/>
        <v>2.9498525073746312E-3</v>
      </c>
      <c r="S331" s="8">
        <f t="shared" si="42"/>
        <v>0.9705014749262586</v>
      </c>
      <c r="T331" s="8"/>
      <c r="U331" s="8"/>
      <c r="V331" s="8"/>
    </row>
    <row r="332" spans="1:22" x14ac:dyDescent="0.25">
      <c r="A332" t="s">
        <v>9164</v>
      </c>
      <c r="C332" t="s">
        <v>9165</v>
      </c>
      <c r="D332" t="s">
        <v>309</v>
      </c>
      <c r="E332" t="s">
        <v>6</v>
      </c>
      <c r="F332" t="s">
        <v>251</v>
      </c>
      <c r="G332">
        <v>111</v>
      </c>
      <c r="H332" s="2">
        <f>Tabelle13[[#This Row],[commits]]/Tabelle13[[#Totals],[commits]]</f>
        <v>5.1590473888713309E-4</v>
      </c>
      <c r="I332" s="5">
        <f>Tabelle13[[#This Row],[%]]+I331</f>
        <v>0.77084534012530515</v>
      </c>
      <c r="J332" s="4">
        <f t="shared" si="38"/>
        <v>1.105583195135434E-4</v>
      </c>
      <c r="K332" s="5">
        <f t="shared" si="43"/>
        <v>3.6484245439469425E-2</v>
      </c>
      <c r="M332">
        <v>330</v>
      </c>
      <c r="N332" t="s">
        <v>17416</v>
      </c>
      <c r="O332">
        <f t="shared" si="40"/>
        <v>1</v>
      </c>
      <c r="P332" s="7">
        <f t="shared" si="44"/>
        <v>6.4611169979065984E-6</v>
      </c>
      <c r="Q332" s="5">
        <f t="shared" si="41"/>
        <v>0.99994184994701552</v>
      </c>
      <c r="R332" s="4">
        <f t="shared" si="39"/>
        <v>2.9498525073746312E-3</v>
      </c>
      <c r="S332" s="8">
        <f t="shared" si="42"/>
        <v>0.97345132743363327</v>
      </c>
      <c r="T332" s="8"/>
      <c r="U332" s="8"/>
      <c r="V332" s="8"/>
    </row>
    <row r="333" spans="1:22" x14ac:dyDescent="0.25">
      <c r="A333" t="s">
        <v>9166</v>
      </c>
      <c r="C333" t="s">
        <v>9167</v>
      </c>
      <c r="D333" t="s">
        <v>309</v>
      </c>
      <c r="E333" t="s">
        <v>6</v>
      </c>
      <c r="F333" t="s">
        <v>251</v>
      </c>
      <c r="G333">
        <v>111</v>
      </c>
      <c r="H333" s="2">
        <f>Tabelle13[[#This Row],[commits]]/Tabelle13[[#Totals],[commits]]</f>
        <v>5.1590473888713309E-4</v>
      </c>
      <c r="I333" s="5">
        <f>Tabelle13[[#This Row],[%]]+I332</f>
        <v>0.77136124486419233</v>
      </c>
      <c r="J333" s="4">
        <f t="shared" si="38"/>
        <v>1.105583195135434E-4</v>
      </c>
      <c r="K333" s="5">
        <f t="shared" si="43"/>
        <v>3.6594803758982969E-2</v>
      </c>
      <c r="M333">
        <v>331</v>
      </c>
      <c r="N333" t="s">
        <v>17459</v>
      </c>
      <c r="O333">
        <f t="shared" si="40"/>
        <v>1</v>
      </c>
      <c r="P333" s="7">
        <f t="shared" si="44"/>
        <v>6.4611169979065984E-6</v>
      </c>
      <c r="Q333" s="5">
        <f t="shared" si="41"/>
        <v>0.99994831106401338</v>
      </c>
      <c r="R333" s="4">
        <f t="shared" si="39"/>
        <v>2.9498525073746312E-3</v>
      </c>
      <c r="S333" s="8">
        <f t="shared" si="42"/>
        <v>0.97640117994100795</v>
      </c>
      <c r="T333" s="8"/>
      <c r="U333" s="8"/>
      <c r="V333" s="8"/>
    </row>
    <row r="334" spans="1:22" x14ac:dyDescent="0.25">
      <c r="A334" t="s">
        <v>9168</v>
      </c>
      <c r="C334" t="s">
        <v>9169</v>
      </c>
      <c r="D334" t="s">
        <v>309</v>
      </c>
      <c r="E334" t="s">
        <v>6</v>
      </c>
      <c r="F334" t="s">
        <v>251</v>
      </c>
      <c r="G334">
        <v>111</v>
      </c>
      <c r="H334" s="2">
        <f>Tabelle13[[#This Row],[commits]]/Tabelle13[[#Totals],[commits]]</f>
        <v>5.1590473888713309E-4</v>
      </c>
      <c r="I334" s="5">
        <f>Tabelle13[[#This Row],[%]]+I333</f>
        <v>0.77187714960307952</v>
      </c>
      <c r="J334" s="4">
        <f t="shared" si="38"/>
        <v>1.105583195135434E-4</v>
      </c>
      <c r="K334" s="5">
        <f t="shared" si="43"/>
        <v>3.6705362078496513E-2</v>
      </c>
      <c r="M334">
        <v>332</v>
      </c>
      <c r="N334" t="s">
        <v>17469</v>
      </c>
      <c r="O334">
        <f t="shared" si="40"/>
        <v>1</v>
      </c>
      <c r="P334" s="7">
        <f t="shared" si="44"/>
        <v>6.4611169979065984E-6</v>
      </c>
      <c r="Q334" s="5">
        <f t="shared" si="41"/>
        <v>0.99995477218101125</v>
      </c>
      <c r="R334" s="4">
        <f t="shared" si="39"/>
        <v>2.9498525073746312E-3</v>
      </c>
      <c r="S334" s="8">
        <f t="shared" si="42"/>
        <v>0.97935103244838262</v>
      </c>
      <c r="T334" s="8"/>
      <c r="U334" s="8"/>
      <c r="V334" s="8"/>
    </row>
    <row r="335" spans="1:22" x14ac:dyDescent="0.25">
      <c r="A335" t="s">
        <v>9170</v>
      </c>
      <c r="C335" t="s">
        <v>9171</v>
      </c>
      <c r="D335" t="s">
        <v>309</v>
      </c>
      <c r="E335" t="s">
        <v>6</v>
      </c>
      <c r="F335" t="s">
        <v>251</v>
      </c>
      <c r="G335">
        <v>110</v>
      </c>
      <c r="H335" s="2">
        <f>Tabelle13[[#This Row],[commits]]/Tabelle13[[#Totals],[commits]]</f>
        <v>5.112569484467084E-4</v>
      </c>
      <c r="I335" s="5">
        <f>Tabelle13[[#This Row],[%]]+I334</f>
        <v>0.77238840655152619</v>
      </c>
      <c r="J335" s="4">
        <f t="shared" si="38"/>
        <v>1.105583195135434E-4</v>
      </c>
      <c r="K335" s="5">
        <f t="shared" si="43"/>
        <v>3.6815920398010057E-2</v>
      </c>
      <c r="M335">
        <v>333</v>
      </c>
      <c r="N335" t="s">
        <v>17489</v>
      </c>
      <c r="O335">
        <f t="shared" si="40"/>
        <v>1</v>
      </c>
      <c r="P335" s="7">
        <f t="shared" si="44"/>
        <v>6.4611169979065984E-6</v>
      </c>
      <c r="Q335" s="5">
        <f t="shared" si="41"/>
        <v>0.99996123329800912</v>
      </c>
      <c r="R335" s="4">
        <f t="shared" si="39"/>
        <v>2.9498525073746312E-3</v>
      </c>
      <c r="S335" s="8">
        <f t="shared" si="42"/>
        <v>0.98230088495575729</v>
      </c>
      <c r="T335" s="8"/>
      <c r="U335" s="8"/>
      <c r="V335" s="8"/>
    </row>
    <row r="336" spans="1:22" x14ac:dyDescent="0.25">
      <c r="A336" t="s">
        <v>9172</v>
      </c>
      <c r="C336" t="s">
        <v>9173</v>
      </c>
      <c r="D336" t="s">
        <v>8760</v>
      </c>
      <c r="E336" t="s">
        <v>6</v>
      </c>
      <c r="F336" t="s">
        <v>251</v>
      </c>
      <c r="G336">
        <v>110</v>
      </c>
      <c r="H336" s="2">
        <f>Tabelle13[[#This Row],[commits]]/Tabelle13[[#Totals],[commits]]</f>
        <v>5.112569484467084E-4</v>
      </c>
      <c r="I336" s="5">
        <f>Tabelle13[[#This Row],[%]]+I335</f>
        <v>0.77289966349997286</v>
      </c>
      <c r="J336" s="4">
        <f t="shared" si="38"/>
        <v>1.105583195135434E-4</v>
      </c>
      <c r="K336" s="5">
        <f t="shared" si="43"/>
        <v>3.6926478717523602E-2</v>
      </c>
      <c r="M336">
        <v>334</v>
      </c>
      <c r="N336" t="s">
        <v>17538</v>
      </c>
      <c r="O336">
        <f t="shared" si="40"/>
        <v>1</v>
      </c>
      <c r="P336" s="7">
        <f t="shared" si="44"/>
        <v>6.4611169979065984E-6</v>
      </c>
      <c r="Q336" s="5">
        <f t="shared" si="41"/>
        <v>0.99996769441500699</v>
      </c>
      <c r="R336" s="4">
        <f t="shared" si="39"/>
        <v>2.9498525073746312E-3</v>
      </c>
      <c r="S336" s="8">
        <f t="shared" si="42"/>
        <v>0.98525073746313196</v>
      </c>
      <c r="T336" s="8"/>
      <c r="U336" s="8"/>
      <c r="V336" s="8"/>
    </row>
    <row r="337" spans="1:22" x14ac:dyDescent="0.25">
      <c r="A337" t="s">
        <v>34</v>
      </c>
      <c r="C337" t="s">
        <v>35</v>
      </c>
      <c r="D337" t="s">
        <v>36</v>
      </c>
      <c r="E337" t="s">
        <v>6</v>
      </c>
      <c r="F337" t="s">
        <v>7</v>
      </c>
      <c r="G337">
        <v>109</v>
      </c>
      <c r="H337" s="2">
        <f>Tabelle13[[#This Row],[commits]]/Tabelle13[[#Totals],[commits]]</f>
        <v>5.0660915800628383E-4</v>
      </c>
      <c r="I337" s="5">
        <f>Tabelle13[[#This Row],[%]]+I336</f>
        <v>0.77340627265797912</v>
      </c>
      <c r="J337" s="4">
        <f t="shared" si="38"/>
        <v>1.105583195135434E-4</v>
      </c>
      <c r="K337" s="5">
        <f t="shared" si="43"/>
        <v>3.7037037037037146E-2</v>
      </c>
      <c r="M337">
        <v>335</v>
      </c>
      <c r="N337" t="s">
        <v>17561</v>
      </c>
      <c r="O337">
        <f t="shared" si="40"/>
        <v>1</v>
      </c>
      <c r="P337" s="7">
        <f t="shared" si="44"/>
        <v>6.4611169979065984E-6</v>
      </c>
      <c r="Q337" s="5">
        <f t="shared" si="41"/>
        <v>0.99997415553200486</v>
      </c>
      <c r="R337" s="4">
        <f t="shared" si="39"/>
        <v>2.9498525073746312E-3</v>
      </c>
      <c r="S337" s="8">
        <f t="shared" si="42"/>
        <v>0.98820058997050664</v>
      </c>
      <c r="T337" s="8"/>
      <c r="U337" s="8"/>
      <c r="V337" s="8"/>
    </row>
    <row r="338" spans="1:22" x14ac:dyDescent="0.25">
      <c r="A338" t="s">
        <v>9174</v>
      </c>
      <c r="C338" t="s">
        <v>9175</v>
      </c>
      <c r="D338" t="s">
        <v>309</v>
      </c>
      <c r="E338" t="s">
        <v>6</v>
      </c>
      <c r="F338" t="s">
        <v>251</v>
      </c>
      <c r="G338">
        <v>109</v>
      </c>
      <c r="H338" s="2">
        <f>Tabelle13[[#This Row],[commits]]/Tabelle13[[#Totals],[commits]]</f>
        <v>5.0660915800628383E-4</v>
      </c>
      <c r="I338" s="5">
        <f>Tabelle13[[#This Row],[%]]+I337</f>
        <v>0.77391288181598539</v>
      </c>
      <c r="J338" s="4">
        <f t="shared" si="38"/>
        <v>1.105583195135434E-4</v>
      </c>
      <c r="K338" s="5">
        <f t="shared" si="43"/>
        <v>3.714759535655069E-2</v>
      </c>
      <c r="M338">
        <v>336</v>
      </c>
      <c r="N338" t="s">
        <v>17595</v>
      </c>
      <c r="O338">
        <f t="shared" si="40"/>
        <v>1</v>
      </c>
      <c r="P338" s="7">
        <f t="shared" si="44"/>
        <v>6.4611169979065984E-6</v>
      </c>
      <c r="Q338" s="5">
        <f t="shared" si="41"/>
        <v>0.99998061664900273</v>
      </c>
      <c r="R338" s="4">
        <f t="shared" si="39"/>
        <v>2.9498525073746312E-3</v>
      </c>
      <c r="S338" s="8">
        <f t="shared" si="42"/>
        <v>0.99115044247788131</v>
      </c>
      <c r="T338" s="8"/>
      <c r="U338" s="8"/>
      <c r="V338" s="8"/>
    </row>
    <row r="339" spans="1:22" x14ac:dyDescent="0.25">
      <c r="A339" t="s">
        <v>9176</v>
      </c>
      <c r="C339" t="s">
        <v>9177</v>
      </c>
      <c r="D339" t="s">
        <v>309</v>
      </c>
      <c r="E339" t="s">
        <v>6</v>
      </c>
      <c r="F339" t="s">
        <v>251</v>
      </c>
      <c r="G339">
        <v>109</v>
      </c>
      <c r="H339" s="2">
        <f>Tabelle13[[#This Row],[commits]]/Tabelle13[[#Totals],[commits]]</f>
        <v>5.0660915800628383E-4</v>
      </c>
      <c r="I339" s="5">
        <f>Tabelle13[[#This Row],[%]]+I338</f>
        <v>0.77441949097399165</v>
      </c>
      <c r="J339" s="4">
        <f t="shared" si="38"/>
        <v>1.105583195135434E-4</v>
      </c>
      <c r="K339" s="5">
        <f t="shared" si="43"/>
        <v>3.7258153676064235E-2</v>
      </c>
      <c r="M339">
        <v>337</v>
      </c>
      <c r="N339" t="s">
        <v>17638</v>
      </c>
      <c r="O339">
        <f t="shared" si="40"/>
        <v>1</v>
      </c>
      <c r="P339" s="7">
        <f t="shared" si="44"/>
        <v>6.4611169979065984E-6</v>
      </c>
      <c r="Q339" s="5">
        <f t="shared" si="41"/>
        <v>0.9999870777660006</v>
      </c>
      <c r="R339" s="4">
        <f t="shared" si="39"/>
        <v>2.9498525073746312E-3</v>
      </c>
      <c r="S339" s="8">
        <f t="shared" si="42"/>
        <v>0.99410029498525598</v>
      </c>
      <c r="T339" s="8"/>
      <c r="U339" s="8"/>
      <c r="V339" s="8"/>
    </row>
    <row r="340" spans="1:22" x14ac:dyDescent="0.25">
      <c r="A340" t="s">
        <v>9178</v>
      </c>
      <c r="C340" t="s">
        <v>9179</v>
      </c>
      <c r="D340" t="s">
        <v>7531</v>
      </c>
      <c r="E340" t="s">
        <v>6</v>
      </c>
      <c r="F340" t="s">
        <v>251</v>
      </c>
      <c r="G340">
        <v>108</v>
      </c>
      <c r="H340" s="2">
        <f>Tabelle13[[#This Row],[commits]]/Tabelle13[[#Totals],[commits]]</f>
        <v>5.0196136756585914E-4</v>
      </c>
      <c r="I340" s="5">
        <f>Tabelle13[[#This Row],[%]]+I339</f>
        <v>0.77492145234155752</v>
      </c>
      <c r="J340" s="4">
        <f t="shared" si="38"/>
        <v>1.105583195135434E-4</v>
      </c>
      <c r="K340" s="5">
        <f t="shared" si="43"/>
        <v>3.7368711995577779E-2</v>
      </c>
      <c r="M340">
        <v>338</v>
      </c>
      <c r="N340" t="s">
        <v>17718</v>
      </c>
      <c r="O340">
        <f t="shared" si="40"/>
        <v>1</v>
      </c>
      <c r="P340" s="7">
        <f t="shared" si="44"/>
        <v>6.4611169979065984E-6</v>
      </c>
      <c r="Q340" s="5">
        <f t="shared" si="41"/>
        <v>0.99999353888299847</v>
      </c>
      <c r="R340" s="4">
        <f t="shared" si="39"/>
        <v>2.9498525073746312E-3</v>
      </c>
      <c r="S340" s="8">
        <f t="shared" si="42"/>
        <v>0.99705014749263066</v>
      </c>
      <c r="T340" s="8"/>
      <c r="U340" s="8"/>
      <c r="V340" s="8"/>
    </row>
    <row r="341" spans="1:22" x14ac:dyDescent="0.25">
      <c r="A341" t="s">
        <v>9180</v>
      </c>
      <c r="C341" t="s">
        <v>9181</v>
      </c>
      <c r="D341" t="s">
        <v>309</v>
      </c>
      <c r="E341" t="s">
        <v>6</v>
      </c>
      <c r="F341" t="s">
        <v>251</v>
      </c>
      <c r="G341">
        <v>107</v>
      </c>
      <c r="H341" s="2">
        <f>Tabelle13[[#This Row],[commits]]/Tabelle13[[#Totals],[commits]]</f>
        <v>4.9731357712543456E-4</v>
      </c>
      <c r="I341" s="5">
        <f>Tabelle13[[#This Row],[%]]+I340</f>
        <v>0.77541876591868297</v>
      </c>
      <c r="J341" s="4">
        <f t="shared" si="38"/>
        <v>1.105583195135434E-4</v>
      </c>
      <c r="K341" s="5">
        <f t="shared" si="43"/>
        <v>3.7479270315091323E-2</v>
      </c>
      <c r="M341">
        <v>339</v>
      </c>
      <c r="N341" t="s">
        <v>17759</v>
      </c>
      <c r="O341">
        <f t="shared" si="40"/>
        <v>1</v>
      </c>
      <c r="P341" s="7">
        <f t="shared" si="44"/>
        <v>6.4611169979065984E-6</v>
      </c>
      <c r="Q341" s="5">
        <f t="shared" si="41"/>
        <v>0.99999999999999634</v>
      </c>
      <c r="R341" s="4">
        <f t="shared" si="39"/>
        <v>2.9498525073746312E-3</v>
      </c>
      <c r="S341" s="8">
        <f t="shared" si="42"/>
        <v>1.0000000000000053</v>
      </c>
      <c r="T341" s="8"/>
      <c r="U341" s="8"/>
      <c r="V341" s="8"/>
    </row>
    <row r="342" spans="1:22" x14ac:dyDescent="0.25">
      <c r="A342" t="s">
        <v>9182</v>
      </c>
      <c r="C342" t="s">
        <v>9183</v>
      </c>
      <c r="D342" t="s">
        <v>309</v>
      </c>
      <c r="E342" t="s">
        <v>6</v>
      </c>
      <c r="F342" t="s">
        <v>251</v>
      </c>
      <c r="G342">
        <v>107</v>
      </c>
      <c r="H342" s="2">
        <f>Tabelle13[[#This Row],[commits]]/Tabelle13[[#Totals],[commits]]</f>
        <v>4.9731357712543456E-4</v>
      </c>
      <c r="I342" s="5">
        <f>Tabelle13[[#This Row],[%]]+I341</f>
        <v>0.77591607949580843</v>
      </c>
      <c r="J342" s="4">
        <f t="shared" si="38"/>
        <v>1.105583195135434E-4</v>
      </c>
      <c r="K342" s="5">
        <f t="shared" si="43"/>
        <v>3.7589828634604867E-2</v>
      </c>
      <c r="P342" s="6">
        <f t="shared" si="44"/>
        <v>0</v>
      </c>
    </row>
    <row r="343" spans="1:22" x14ac:dyDescent="0.25">
      <c r="A343" t="s">
        <v>9184</v>
      </c>
      <c r="C343" t="s">
        <v>9185</v>
      </c>
      <c r="D343" t="s">
        <v>309</v>
      </c>
      <c r="E343" t="s">
        <v>6</v>
      </c>
      <c r="F343" t="s">
        <v>251</v>
      </c>
      <c r="G343">
        <v>107</v>
      </c>
      <c r="H343" s="2">
        <f>Tabelle13[[#This Row],[commits]]/Tabelle13[[#Totals],[commits]]</f>
        <v>4.9731357712543456E-4</v>
      </c>
      <c r="I343" s="5">
        <f>Tabelle13[[#This Row],[%]]+I342</f>
        <v>0.77641339307293389</v>
      </c>
      <c r="J343" s="4">
        <f t="shared" si="38"/>
        <v>1.105583195135434E-4</v>
      </c>
      <c r="K343" s="5">
        <f t="shared" si="43"/>
        <v>3.7700386954118412E-2</v>
      </c>
      <c r="O343">
        <f>SUM(O2:O342)</f>
        <v>154772</v>
      </c>
    </row>
    <row r="344" spans="1:22" x14ac:dyDescent="0.25">
      <c r="A344" t="s">
        <v>9186</v>
      </c>
      <c r="C344" t="s">
        <v>9187</v>
      </c>
      <c r="D344" t="s">
        <v>309</v>
      </c>
      <c r="E344" t="s">
        <v>6</v>
      </c>
      <c r="F344" t="s">
        <v>251</v>
      </c>
      <c r="G344">
        <v>107</v>
      </c>
      <c r="H344" s="2">
        <f>Tabelle13[[#This Row],[commits]]/Tabelle13[[#Totals],[commits]]</f>
        <v>4.9731357712543456E-4</v>
      </c>
      <c r="I344" s="5">
        <f>Tabelle13[[#This Row],[%]]+I343</f>
        <v>0.77691070665005935</v>
      </c>
      <c r="J344" s="4">
        <f t="shared" si="38"/>
        <v>1.105583195135434E-4</v>
      </c>
      <c r="K344" s="5">
        <f t="shared" si="43"/>
        <v>3.7810945273631956E-2</v>
      </c>
    </row>
    <row r="345" spans="1:22" x14ac:dyDescent="0.25">
      <c r="A345" t="s">
        <v>9188</v>
      </c>
      <c r="C345" t="s">
        <v>9189</v>
      </c>
      <c r="D345" t="s">
        <v>309</v>
      </c>
      <c r="E345" t="s">
        <v>6</v>
      </c>
      <c r="F345" t="s">
        <v>251</v>
      </c>
      <c r="G345">
        <v>106</v>
      </c>
      <c r="H345" s="2">
        <f>Tabelle13[[#This Row],[commits]]/Tabelle13[[#Totals],[commits]]</f>
        <v>4.9266578668500998E-4</v>
      </c>
      <c r="I345" s="5">
        <f>Tabelle13[[#This Row],[%]]+I344</f>
        <v>0.7774033724367444</v>
      </c>
      <c r="J345" s="4">
        <f t="shared" si="38"/>
        <v>1.105583195135434E-4</v>
      </c>
      <c r="K345" s="5">
        <f t="shared" si="43"/>
        <v>3.79215035931455E-2</v>
      </c>
    </row>
    <row r="346" spans="1:22" x14ac:dyDescent="0.25">
      <c r="A346" t="s">
        <v>9190</v>
      </c>
      <c r="C346" t="s">
        <v>9191</v>
      </c>
      <c r="D346" t="s">
        <v>309</v>
      </c>
      <c r="E346" t="s">
        <v>6</v>
      </c>
      <c r="F346" t="s">
        <v>251</v>
      </c>
      <c r="G346">
        <v>105</v>
      </c>
      <c r="H346" s="2">
        <f>Tabelle13[[#This Row],[commits]]/Tabelle13[[#Totals],[commits]]</f>
        <v>4.8801799624458535E-4</v>
      </c>
      <c r="I346" s="5">
        <f>Tabelle13[[#This Row],[%]]+I345</f>
        <v>0.77789139043298894</v>
      </c>
      <c r="J346" s="4">
        <f t="shared" si="38"/>
        <v>1.105583195135434E-4</v>
      </c>
      <c r="K346" s="5">
        <f t="shared" si="43"/>
        <v>3.8032061912659045E-2</v>
      </c>
    </row>
    <row r="347" spans="1:22" x14ac:dyDescent="0.25">
      <c r="A347" t="s">
        <v>9192</v>
      </c>
      <c r="C347" t="s">
        <v>9193</v>
      </c>
      <c r="D347" t="s">
        <v>5</v>
      </c>
      <c r="E347" t="s">
        <v>6</v>
      </c>
      <c r="F347" t="s">
        <v>251</v>
      </c>
      <c r="G347">
        <v>105</v>
      </c>
      <c r="H347" s="2">
        <f>Tabelle13[[#This Row],[commits]]/Tabelle13[[#Totals],[commits]]</f>
        <v>4.8801799624458535E-4</v>
      </c>
      <c r="I347" s="5">
        <f>Tabelle13[[#This Row],[%]]+I346</f>
        <v>0.77837940842923348</v>
      </c>
      <c r="J347" s="4">
        <f t="shared" si="38"/>
        <v>1.105583195135434E-4</v>
      </c>
      <c r="K347" s="5">
        <f t="shared" si="43"/>
        <v>3.8142620232172589E-2</v>
      </c>
    </row>
    <row r="348" spans="1:22" x14ac:dyDescent="0.25">
      <c r="A348" t="s">
        <v>9194</v>
      </c>
      <c r="C348" t="s">
        <v>7537</v>
      </c>
      <c r="D348" t="s">
        <v>5</v>
      </c>
      <c r="E348" t="s">
        <v>6</v>
      </c>
      <c r="F348" t="s">
        <v>251</v>
      </c>
      <c r="G348">
        <v>105</v>
      </c>
      <c r="H348" s="2">
        <f>Tabelle13[[#This Row],[commits]]/Tabelle13[[#Totals],[commits]]</f>
        <v>4.8801799624458535E-4</v>
      </c>
      <c r="I348" s="5">
        <f>Tabelle13[[#This Row],[%]]+I347</f>
        <v>0.77886742642547802</v>
      </c>
      <c r="J348" s="4">
        <f t="shared" si="38"/>
        <v>1.105583195135434E-4</v>
      </c>
      <c r="K348" s="5">
        <f t="shared" si="43"/>
        <v>3.8253178551686133E-2</v>
      </c>
    </row>
    <row r="349" spans="1:22" x14ac:dyDescent="0.25">
      <c r="A349" t="s">
        <v>9195</v>
      </c>
      <c r="C349" t="s">
        <v>9196</v>
      </c>
      <c r="D349" t="s">
        <v>309</v>
      </c>
      <c r="E349" t="s">
        <v>6</v>
      </c>
      <c r="F349" t="s">
        <v>251</v>
      </c>
      <c r="G349">
        <v>104</v>
      </c>
      <c r="H349" s="2">
        <f>Tabelle13[[#This Row],[commits]]/Tabelle13[[#Totals],[commits]]</f>
        <v>4.8337020580416072E-4</v>
      </c>
      <c r="I349" s="5">
        <f>Tabelle13[[#This Row],[%]]+I348</f>
        <v>0.77935079663128215</v>
      </c>
      <c r="J349" s="4">
        <f t="shared" si="38"/>
        <v>1.105583195135434E-4</v>
      </c>
      <c r="K349" s="5">
        <f t="shared" si="43"/>
        <v>3.8363736871199677E-2</v>
      </c>
    </row>
    <row r="350" spans="1:22" x14ac:dyDescent="0.25">
      <c r="A350" t="s">
        <v>9197</v>
      </c>
      <c r="C350" t="s">
        <v>9198</v>
      </c>
      <c r="D350" t="s">
        <v>8948</v>
      </c>
      <c r="E350" t="s">
        <v>6</v>
      </c>
      <c r="F350" t="s">
        <v>251</v>
      </c>
      <c r="G350">
        <v>104</v>
      </c>
      <c r="H350" s="2">
        <f>Tabelle13[[#This Row],[commits]]/Tabelle13[[#Totals],[commits]]</f>
        <v>4.8337020580416072E-4</v>
      </c>
      <c r="I350" s="5">
        <f>Tabelle13[[#This Row],[%]]+I349</f>
        <v>0.77983416683708628</v>
      </c>
      <c r="J350" s="4">
        <f t="shared" si="38"/>
        <v>1.105583195135434E-4</v>
      </c>
      <c r="K350" s="5">
        <f t="shared" si="43"/>
        <v>3.8474295190713222E-2</v>
      </c>
    </row>
    <row r="351" spans="1:22" x14ac:dyDescent="0.25">
      <c r="A351" t="s">
        <v>9199</v>
      </c>
      <c r="C351" t="s">
        <v>9200</v>
      </c>
      <c r="D351" t="s">
        <v>309</v>
      </c>
      <c r="E351" t="s">
        <v>6</v>
      </c>
      <c r="F351" t="s">
        <v>251</v>
      </c>
      <c r="G351">
        <v>104</v>
      </c>
      <c r="H351" s="2">
        <f>Tabelle13[[#This Row],[commits]]/Tabelle13[[#Totals],[commits]]</f>
        <v>4.8337020580416072E-4</v>
      </c>
      <c r="I351" s="5">
        <f>Tabelle13[[#This Row],[%]]+I350</f>
        <v>0.78031753704289042</v>
      </c>
      <c r="J351" s="4">
        <f t="shared" si="38"/>
        <v>1.105583195135434E-4</v>
      </c>
      <c r="K351" s="5">
        <f t="shared" si="43"/>
        <v>3.8584853510226766E-2</v>
      </c>
    </row>
    <row r="352" spans="1:22" x14ac:dyDescent="0.25">
      <c r="A352" t="s">
        <v>2314</v>
      </c>
      <c r="C352" t="s">
        <v>2315</v>
      </c>
      <c r="D352" t="s">
        <v>5</v>
      </c>
      <c r="E352" t="s">
        <v>6</v>
      </c>
      <c r="F352" t="s">
        <v>724</v>
      </c>
      <c r="G352">
        <v>103</v>
      </c>
      <c r="H352" s="2">
        <f>Tabelle13[[#This Row],[commits]]/Tabelle13[[#Totals],[commits]]</f>
        <v>4.7872241536373608E-4</v>
      </c>
      <c r="I352" s="5">
        <f>Tabelle13[[#This Row],[%]]+I351</f>
        <v>0.78079625945825415</v>
      </c>
      <c r="J352" s="4">
        <f t="shared" si="38"/>
        <v>1.105583195135434E-4</v>
      </c>
      <c r="K352" s="5">
        <f t="shared" si="43"/>
        <v>3.869541182974031E-2</v>
      </c>
    </row>
    <row r="353" spans="1:11" x14ac:dyDescent="0.25">
      <c r="A353" t="s">
        <v>9201</v>
      </c>
      <c r="C353" t="s">
        <v>9202</v>
      </c>
      <c r="D353" t="s">
        <v>309</v>
      </c>
      <c r="E353" t="s">
        <v>6</v>
      </c>
      <c r="F353" t="s">
        <v>251</v>
      </c>
      <c r="G353">
        <v>103</v>
      </c>
      <c r="H353" s="2">
        <f>Tabelle13[[#This Row],[commits]]/Tabelle13[[#Totals],[commits]]</f>
        <v>4.7872241536373608E-4</v>
      </c>
      <c r="I353" s="5">
        <f>Tabelle13[[#This Row],[%]]+I352</f>
        <v>0.78127498187361788</v>
      </c>
      <c r="J353" s="4">
        <f t="shared" si="38"/>
        <v>1.105583195135434E-4</v>
      </c>
      <c r="K353" s="5">
        <f t="shared" si="43"/>
        <v>3.8805970149253854E-2</v>
      </c>
    </row>
    <row r="354" spans="1:11" x14ac:dyDescent="0.25">
      <c r="A354" t="s">
        <v>9203</v>
      </c>
      <c r="C354" t="s">
        <v>9204</v>
      </c>
      <c r="D354" t="s">
        <v>309</v>
      </c>
      <c r="E354" t="s">
        <v>6</v>
      </c>
      <c r="F354" t="s">
        <v>251</v>
      </c>
      <c r="G354">
        <v>103</v>
      </c>
      <c r="H354" s="2">
        <f>Tabelle13[[#This Row],[commits]]/Tabelle13[[#Totals],[commits]]</f>
        <v>4.7872241536373608E-4</v>
      </c>
      <c r="I354" s="5">
        <f>Tabelle13[[#This Row],[%]]+I353</f>
        <v>0.78175370428898161</v>
      </c>
      <c r="J354" s="4">
        <f t="shared" si="38"/>
        <v>1.105583195135434E-4</v>
      </c>
      <c r="K354" s="5">
        <f t="shared" si="43"/>
        <v>3.8916528468767399E-2</v>
      </c>
    </row>
    <row r="355" spans="1:11" x14ac:dyDescent="0.25">
      <c r="A355" t="s">
        <v>9205</v>
      </c>
      <c r="C355" t="s">
        <v>9206</v>
      </c>
      <c r="D355" t="s">
        <v>309</v>
      </c>
      <c r="E355" t="s">
        <v>6</v>
      </c>
      <c r="F355" t="s">
        <v>251</v>
      </c>
      <c r="G355">
        <v>103</v>
      </c>
      <c r="H355" s="2">
        <f>Tabelle13[[#This Row],[commits]]/Tabelle13[[#Totals],[commits]]</f>
        <v>4.7872241536373608E-4</v>
      </c>
      <c r="I355" s="5">
        <f>Tabelle13[[#This Row],[%]]+I354</f>
        <v>0.78223242670434534</v>
      </c>
      <c r="J355" s="4">
        <f t="shared" si="38"/>
        <v>1.105583195135434E-4</v>
      </c>
      <c r="K355" s="5">
        <f t="shared" si="43"/>
        <v>3.9027086788280943E-2</v>
      </c>
    </row>
    <row r="356" spans="1:11" x14ac:dyDescent="0.25">
      <c r="A356" t="s">
        <v>9207</v>
      </c>
      <c r="C356" t="s">
        <v>9208</v>
      </c>
      <c r="D356" t="s">
        <v>309</v>
      </c>
      <c r="E356" t="s">
        <v>6</v>
      </c>
      <c r="F356" t="s">
        <v>251</v>
      </c>
      <c r="G356">
        <v>102</v>
      </c>
      <c r="H356" s="2">
        <f>Tabelle13[[#This Row],[commits]]/Tabelle13[[#Totals],[commits]]</f>
        <v>4.7407462492331145E-4</v>
      </c>
      <c r="I356" s="5">
        <f>Tabelle13[[#This Row],[%]]+I355</f>
        <v>0.78270650132926867</v>
      </c>
      <c r="J356" s="4">
        <f t="shared" si="38"/>
        <v>1.105583195135434E-4</v>
      </c>
      <c r="K356" s="5">
        <f t="shared" si="43"/>
        <v>3.9137645107794487E-2</v>
      </c>
    </row>
    <row r="357" spans="1:11" x14ac:dyDescent="0.25">
      <c r="A357" t="s">
        <v>9209</v>
      </c>
      <c r="C357" t="s">
        <v>8738</v>
      </c>
      <c r="D357" t="s">
        <v>5</v>
      </c>
      <c r="E357" t="s">
        <v>6</v>
      </c>
      <c r="F357" t="s">
        <v>251</v>
      </c>
      <c r="G357">
        <v>101</v>
      </c>
      <c r="H357" s="2">
        <f>Tabelle13[[#This Row],[commits]]/Tabelle13[[#Totals],[commits]]</f>
        <v>4.6942683448288682E-4</v>
      </c>
      <c r="I357" s="5">
        <f>Tabelle13[[#This Row],[%]]+I356</f>
        <v>0.78317592816375159</v>
      </c>
      <c r="J357" s="4">
        <f t="shared" si="38"/>
        <v>1.105583195135434E-4</v>
      </c>
      <c r="K357" s="5">
        <f t="shared" si="43"/>
        <v>3.9248203427308032E-2</v>
      </c>
    </row>
    <row r="358" spans="1:11" x14ac:dyDescent="0.25">
      <c r="A358" t="s">
        <v>9210</v>
      </c>
      <c r="C358" t="s">
        <v>9211</v>
      </c>
      <c r="D358" t="s">
        <v>8948</v>
      </c>
      <c r="E358" t="s">
        <v>6</v>
      </c>
      <c r="F358" t="s">
        <v>251</v>
      </c>
      <c r="G358">
        <v>99</v>
      </c>
      <c r="H358" s="2">
        <f>Tabelle13[[#This Row],[commits]]/Tabelle13[[#Totals],[commits]]</f>
        <v>4.6013125360203761E-4</v>
      </c>
      <c r="I358" s="5">
        <f>Tabelle13[[#This Row],[%]]+I357</f>
        <v>0.78363605941735359</v>
      </c>
      <c r="J358" s="4">
        <f t="shared" si="38"/>
        <v>1.105583195135434E-4</v>
      </c>
      <c r="K358" s="5">
        <f t="shared" si="43"/>
        <v>3.9358761746821576E-2</v>
      </c>
    </row>
    <row r="359" spans="1:11" x14ac:dyDescent="0.25">
      <c r="A359" t="s">
        <v>9212</v>
      </c>
      <c r="C359" t="s">
        <v>9213</v>
      </c>
      <c r="D359" t="s">
        <v>8948</v>
      </c>
      <c r="E359" t="s">
        <v>6</v>
      </c>
      <c r="F359" t="s">
        <v>251</v>
      </c>
      <c r="G359">
        <v>99</v>
      </c>
      <c r="H359" s="2">
        <f>Tabelle13[[#This Row],[commits]]/Tabelle13[[#Totals],[commits]]</f>
        <v>4.6013125360203761E-4</v>
      </c>
      <c r="I359" s="5">
        <f>Tabelle13[[#This Row],[%]]+I358</f>
        <v>0.7840961906709556</v>
      </c>
      <c r="J359" s="4">
        <f t="shared" si="38"/>
        <v>1.105583195135434E-4</v>
      </c>
      <c r="K359" s="5">
        <f t="shared" si="43"/>
        <v>3.946932006633512E-2</v>
      </c>
    </row>
    <row r="360" spans="1:11" x14ac:dyDescent="0.25">
      <c r="A360" t="s">
        <v>2316</v>
      </c>
      <c r="C360" t="s">
        <v>2317</v>
      </c>
      <c r="D360" t="s">
        <v>5</v>
      </c>
      <c r="E360" t="s">
        <v>6</v>
      </c>
      <c r="F360" t="s">
        <v>724</v>
      </c>
      <c r="G360">
        <v>98</v>
      </c>
      <c r="H360" s="2">
        <f>Tabelle13[[#This Row],[commits]]/Tabelle13[[#Totals],[commits]]</f>
        <v>4.5548346316161297E-4</v>
      </c>
      <c r="I360" s="5">
        <f>Tabelle13[[#This Row],[%]]+I359</f>
        <v>0.78455167413411719</v>
      </c>
      <c r="J360" s="4">
        <f t="shared" si="38"/>
        <v>1.105583195135434E-4</v>
      </c>
      <c r="K360" s="5">
        <f t="shared" si="43"/>
        <v>3.9579878385848664E-2</v>
      </c>
    </row>
    <row r="361" spans="1:11" x14ac:dyDescent="0.25">
      <c r="A361" t="s">
        <v>9214</v>
      </c>
      <c r="C361" t="s">
        <v>9215</v>
      </c>
      <c r="D361" t="s">
        <v>309</v>
      </c>
      <c r="E361" t="s">
        <v>6</v>
      </c>
      <c r="F361" t="s">
        <v>251</v>
      </c>
      <c r="G361">
        <v>98</v>
      </c>
      <c r="H361" s="2">
        <f>Tabelle13[[#This Row],[commits]]/Tabelle13[[#Totals],[commits]]</f>
        <v>4.5548346316161297E-4</v>
      </c>
      <c r="I361" s="5">
        <f>Tabelle13[[#This Row],[%]]+I360</f>
        <v>0.78500715759727879</v>
      </c>
      <c r="J361" s="4">
        <f t="shared" si="38"/>
        <v>1.105583195135434E-4</v>
      </c>
      <c r="K361" s="5">
        <f t="shared" si="43"/>
        <v>3.9690436705362209E-2</v>
      </c>
    </row>
    <row r="362" spans="1:11" x14ac:dyDescent="0.25">
      <c r="A362" t="s">
        <v>9216</v>
      </c>
      <c r="C362" t="s">
        <v>9217</v>
      </c>
      <c r="D362" t="s">
        <v>309</v>
      </c>
      <c r="E362" t="s">
        <v>6</v>
      </c>
      <c r="F362" t="s">
        <v>251</v>
      </c>
      <c r="G362">
        <v>98</v>
      </c>
      <c r="H362" s="2">
        <f>Tabelle13[[#This Row],[commits]]/Tabelle13[[#Totals],[commits]]</f>
        <v>4.5548346316161297E-4</v>
      </c>
      <c r="I362" s="5">
        <f>Tabelle13[[#This Row],[%]]+I361</f>
        <v>0.78546264106044039</v>
      </c>
      <c r="J362" s="4">
        <f t="shared" si="38"/>
        <v>1.105583195135434E-4</v>
      </c>
      <c r="K362" s="5">
        <f t="shared" si="43"/>
        <v>3.9800995024875753E-2</v>
      </c>
    </row>
    <row r="363" spans="1:11" x14ac:dyDescent="0.25">
      <c r="A363" t="s">
        <v>9218</v>
      </c>
      <c r="C363" t="s">
        <v>1868</v>
      </c>
      <c r="D363" t="s">
        <v>9219</v>
      </c>
      <c r="E363" t="s">
        <v>6</v>
      </c>
      <c r="F363" t="s">
        <v>251</v>
      </c>
      <c r="G363">
        <v>98</v>
      </c>
      <c r="H363" s="2">
        <f>Tabelle13[[#This Row],[commits]]/Tabelle13[[#Totals],[commits]]</f>
        <v>4.5548346316161297E-4</v>
      </c>
      <c r="I363" s="5">
        <f>Tabelle13[[#This Row],[%]]+I362</f>
        <v>0.78591812452360199</v>
      </c>
      <c r="J363" s="4">
        <f t="shared" si="38"/>
        <v>1.105583195135434E-4</v>
      </c>
      <c r="K363" s="5">
        <f t="shared" si="43"/>
        <v>3.9911553344389297E-2</v>
      </c>
    </row>
    <row r="364" spans="1:11" x14ac:dyDescent="0.25">
      <c r="A364" t="s">
        <v>9220</v>
      </c>
      <c r="C364" t="s">
        <v>6770</v>
      </c>
      <c r="D364" t="s">
        <v>309</v>
      </c>
      <c r="E364" t="s">
        <v>6</v>
      </c>
      <c r="F364" t="s">
        <v>251</v>
      </c>
      <c r="G364">
        <v>98</v>
      </c>
      <c r="H364" s="2">
        <f>Tabelle13[[#This Row],[commits]]/Tabelle13[[#Totals],[commits]]</f>
        <v>4.5548346316161297E-4</v>
      </c>
      <c r="I364" s="5">
        <f>Tabelle13[[#This Row],[%]]+I363</f>
        <v>0.78637360798676359</v>
      </c>
      <c r="J364" s="4">
        <f t="shared" si="38"/>
        <v>1.105583195135434E-4</v>
      </c>
      <c r="K364" s="5">
        <f t="shared" si="43"/>
        <v>4.0022111663902842E-2</v>
      </c>
    </row>
    <row r="365" spans="1:11" x14ac:dyDescent="0.25">
      <c r="A365" t="s">
        <v>5205</v>
      </c>
      <c r="C365" t="s">
        <v>5206</v>
      </c>
      <c r="D365" t="s">
        <v>5175</v>
      </c>
      <c r="E365" t="s">
        <v>6</v>
      </c>
      <c r="F365" t="s">
        <v>28</v>
      </c>
      <c r="G365">
        <v>97</v>
      </c>
      <c r="H365" s="2">
        <f>Tabelle13[[#This Row],[commits]]/Tabelle13[[#Totals],[commits]]</f>
        <v>4.5083567272118834E-4</v>
      </c>
      <c r="I365" s="5">
        <f>Tabelle13[[#This Row],[%]]+I364</f>
        <v>0.78682444365948478</v>
      </c>
      <c r="J365" s="4">
        <f t="shared" si="38"/>
        <v>1.105583195135434E-4</v>
      </c>
      <c r="K365" s="5">
        <f t="shared" si="43"/>
        <v>4.0132669983416386E-2</v>
      </c>
    </row>
    <row r="366" spans="1:11" x14ac:dyDescent="0.25">
      <c r="A366" t="s">
        <v>6769</v>
      </c>
      <c r="C366" t="s">
        <v>6770</v>
      </c>
      <c r="D366" t="s">
        <v>309</v>
      </c>
      <c r="E366" t="s">
        <v>6</v>
      </c>
      <c r="F366" t="s">
        <v>251</v>
      </c>
      <c r="G366">
        <v>97</v>
      </c>
      <c r="H366" s="2">
        <f>Tabelle13[[#This Row],[commits]]/Tabelle13[[#Totals],[commits]]</f>
        <v>4.5083567272118834E-4</v>
      </c>
      <c r="I366" s="5">
        <f>Tabelle13[[#This Row],[%]]+I365</f>
        <v>0.78727527933220598</v>
      </c>
      <c r="J366" s="4">
        <f t="shared" si="38"/>
        <v>1.105583195135434E-4</v>
      </c>
      <c r="K366" s="5">
        <f t="shared" si="43"/>
        <v>4.024322830292993E-2</v>
      </c>
    </row>
    <row r="367" spans="1:11" x14ac:dyDescent="0.25">
      <c r="A367" t="s">
        <v>9221</v>
      </c>
      <c r="C367" t="s">
        <v>9222</v>
      </c>
      <c r="D367" t="s">
        <v>309</v>
      </c>
      <c r="E367" t="s">
        <v>6</v>
      </c>
      <c r="F367" t="s">
        <v>251</v>
      </c>
      <c r="G367">
        <v>97</v>
      </c>
      <c r="H367" s="2">
        <f>Tabelle13[[#This Row],[commits]]/Tabelle13[[#Totals],[commits]]</f>
        <v>4.5083567272118834E-4</v>
      </c>
      <c r="I367" s="5">
        <f>Tabelle13[[#This Row],[%]]+I366</f>
        <v>0.78772611500492717</v>
      </c>
      <c r="J367" s="4">
        <f t="shared" si="38"/>
        <v>1.105583195135434E-4</v>
      </c>
      <c r="K367" s="5">
        <f t="shared" si="43"/>
        <v>4.0353786622443474E-2</v>
      </c>
    </row>
    <row r="368" spans="1:11" x14ac:dyDescent="0.25">
      <c r="A368" t="s">
        <v>9223</v>
      </c>
      <c r="C368" t="s">
        <v>9224</v>
      </c>
      <c r="D368" t="s">
        <v>8948</v>
      </c>
      <c r="E368" t="s">
        <v>6</v>
      </c>
      <c r="F368" t="s">
        <v>251</v>
      </c>
      <c r="G368">
        <v>97</v>
      </c>
      <c r="H368" s="2">
        <f>Tabelle13[[#This Row],[commits]]/Tabelle13[[#Totals],[commits]]</f>
        <v>4.5083567272118834E-4</v>
      </c>
      <c r="I368" s="5">
        <f>Tabelle13[[#This Row],[%]]+I367</f>
        <v>0.78817695067764837</v>
      </c>
      <c r="J368" s="4">
        <f t="shared" si="38"/>
        <v>1.105583195135434E-4</v>
      </c>
      <c r="K368" s="5">
        <f t="shared" si="43"/>
        <v>4.0464344941957019E-2</v>
      </c>
    </row>
    <row r="369" spans="1:11" x14ac:dyDescent="0.25">
      <c r="A369" t="s">
        <v>9225</v>
      </c>
      <c r="C369" t="s">
        <v>9226</v>
      </c>
      <c r="D369" t="s">
        <v>5</v>
      </c>
      <c r="E369" t="s">
        <v>6</v>
      </c>
      <c r="F369" t="s">
        <v>251</v>
      </c>
      <c r="G369">
        <v>97</v>
      </c>
      <c r="H369" s="2">
        <f>Tabelle13[[#This Row],[commits]]/Tabelle13[[#Totals],[commits]]</f>
        <v>4.5083567272118834E-4</v>
      </c>
      <c r="I369" s="5">
        <f>Tabelle13[[#This Row],[%]]+I368</f>
        <v>0.78862778635036956</v>
      </c>
      <c r="J369" s="4">
        <f t="shared" si="38"/>
        <v>1.105583195135434E-4</v>
      </c>
      <c r="K369" s="5">
        <f t="shared" si="43"/>
        <v>4.0574903261470563E-2</v>
      </c>
    </row>
    <row r="370" spans="1:11" x14ac:dyDescent="0.25">
      <c r="A370" t="s">
        <v>9227</v>
      </c>
      <c r="C370" t="s">
        <v>9228</v>
      </c>
      <c r="D370" t="s">
        <v>309</v>
      </c>
      <c r="E370" t="s">
        <v>6</v>
      </c>
      <c r="F370" t="s">
        <v>251</v>
      </c>
      <c r="G370">
        <v>96</v>
      </c>
      <c r="H370" s="2">
        <f>Tabelle13[[#This Row],[commits]]/Tabelle13[[#Totals],[commits]]</f>
        <v>4.4618788228076371E-4</v>
      </c>
      <c r="I370" s="5">
        <f>Tabelle13[[#This Row],[%]]+I369</f>
        <v>0.78907397423265035</v>
      </c>
      <c r="J370" s="4">
        <f t="shared" si="38"/>
        <v>1.105583195135434E-4</v>
      </c>
      <c r="K370" s="5">
        <f t="shared" si="43"/>
        <v>4.0685461580984107E-2</v>
      </c>
    </row>
    <row r="371" spans="1:11" x14ac:dyDescent="0.25">
      <c r="A371" t="s">
        <v>9229</v>
      </c>
      <c r="C371" t="s">
        <v>9230</v>
      </c>
      <c r="D371" t="s">
        <v>309</v>
      </c>
      <c r="E371" t="s">
        <v>6</v>
      </c>
      <c r="F371" t="s">
        <v>251</v>
      </c>
      <c r="G371">
        <v>96</v>
      </c>
      <c r="H371" s="2">
        <f>Tabelle13[[#This Row],[commits]]/Tabelle13[[#Totals],[commits]]</f>
        <v>4.4618788228076371E-4</v>
      </c>
      <c r="I371" s="5">
        <f>Tabelle13[[#This Row],[%]]+I370</f>
        <v>0.78952016211493115</v>
      </c>
      <c r="J371" s="4">
        <f t="shared" si="38"/>
        <v>1.105583195135434E-4</v>
      </c>
      <c r="K371" s="5">
        <f t="shared" si="43"/>
        <v>4.0796019900497651E-2</v>
      </c>
    </row>
    <row r="372" spans="1:11" x14ac:dyDescent="0.25">
      <c r="A372" t="s">
        <v>37</v>
      </c>
      <c r="C372" t="s">
        <v>38</v>
      </c>
      <c r="D372" t="s">
        <v>5</v>
      </c>
      <c r="E372" t="s">
        <v>6</v>
      </c>
      <c r="F372" t="s">
        <v>7</v>
      </c>
      <c r="G372">
        <v>95</v>
      </c>
      <c r="H372" s="2">
        <f>Tabelle13[[#This Row],[commits]]/Tabelle13[[#Totals],[commits]]</f>
        <v>4.4154009184033908E-4</v>
      </c>
      <c r="I372" s="5">
        <f>Tabelle13[[#This Row],[%]]+I371</f>
        <v>0.78996170220677153</v>
      </c>
      <c r="J372" s="4">
        <f t="shared" si="38"/>
        <v>1.105583195135434E-4</v>
      </c>
      <c r="K372" s="5">
        <f t="shared" si="43"/>
        <v>4.0906578220011196E-2</v>
      </c>
    </row>
    <row r="373" spans="1:11" x14ac:dyDescent="0.25">
      <c r="A373" t="s">
        <v>5207</v>
      </c>
      <c r="C373" t="s">
        <v>5208</v>
      </c>
      <c r="D373" t="s">
        <v>5209</v>
      </c>
      <c r="E373" t="s">
        <v>6</v>
      </c>
      <c r="F373" t="s">
        <v>28</v>
      </c>
      <c r="G373">
        <v>94</v>
      </c>
      <c r="H373" s="2">
        <f>Tabelle13[[#This Row],[commits]]/Tabelle13[[#Totals],[commits]]</f>
        <v>4.368923013999145E-4</v>
      </c>
      <c r="I373" s="5">
        <f>Tabelle13[[#This Row],[%]]+I372</f>
        <v>0.7903985945081714</v>
      </c>
      <c r="J373" s="4">
        <f t="shared" si="38"/>
        <v>1.105583195135434E-4</v>
      </c>
      <c r="K373" s="5">
        <f t="shared" si="43"/>
        <v>4.101713653952474E-2</v>
      </c>
    </row>
    <row r="374" spans="1:11" x14ac:dyDescent="0.25">
      <c r="A374" t="s">
        <v>9231</v>
      </c>
      <c r="C374" t="s">
        <v>9232</v>
      </c>
      <c r="D374" t="s">
        <v>309</v>
      </c>
      <c r="E374" t="s">
        <v>6</v>
      </c>
      <c r="F374" t="s">
        <v>251</v>
      </c>
      <c r="G374">
        <v>94</v>
      </c>
      <c r="H374" s="2">
        <f>Tabelle13[[#This Row],[commits]]/Tabelle13[[#Totals],[commits]]</f>
        <v>4.368923013999145E-4</v>
      </c>
      <c r="I374" s="5">
        <f>Tabelle13[[#This Row],[%]]+I373</f>
        <v>0.79083548680957128</v>
      </c>
      <c r="J374" s="4">
        <f t="shared" si="38"/>
        <v>1.105583195135434E-4</v>
      </c>
      <c r="K374" s="5">
        <f t="shared" si="43"/>
        <v>4.1127694859038284E-2</v>
      </c>
    </row>
    <row r="375" spans="1:11" x14ac:dyDescent="0.25">
      <c r="A375" t="s">
        <v>9233</v>
      </c>
      <c r="C375" t="s">
        <v>9234</v>
      </c>
      <c r="D375" t="s">
        <v>309</v>
      </c>
      <c r="E375" t="s">
        <v>6</v>
      </c>
      <c r="F375" t="s">
        <v>251</v>
      </c>
      <c r="G375">
        <v>94</v>
      </c>
      <c r="H375" s="2">
        <f>Tabelle13[[#This Row],[commits]]/Tabelle13[[#Totals],[commits]]</f>
        <v>4.368923013999145E-4</v>
      </c>
      <c r="I375" s="5">
        <f>Tabelle13[[#This Row],[%]]+I374</f>
        <v>0.79127237911097115</v>
      </c>
      <c r="J375" s="4">
        <f t="shared" si="38"/>
        <v>1.105583195135434E-4</v>
      </c>
      <c r="K375" s="5">
        <f t="shared" si="43"/>
        <v>4.1238253178551829E-2</v>
      </c>
    </row>
    <row r="376" spans="1:11" x14ac:dyDescent="0.25">
      <c r="A376" t="s">
        <v>9235</v>
      </c>
      <c r="C376" t="s">
        <v>9236</v>
      </c>
      <c r="D376" t="s">
        <v>309</v>
      </c>
      <c r="E376" t="s">
        <v>6</v>
      </c>
      <c r="F376" t="s">
        <v>251</v>
      </c>
      <c r="G376">
        <v>94</v>
      </c>
      <c r="H376" s="2">
        <f>Tabelle13[[#This Row],[commits]]/Tabelle13[[#Totals],[commits]]</f>
        <v>4.368923013999145E-4</v>
      </c>
      <c r="I376" s="5">
        <f>Tabelle13[[#This Row],[%]]+I375</f>
        <v>0.79170927141237102</v>
      </c>
      <c r="J376" s="4">
        <f t="shared" si="38"/>
        <v>1.105583195135434E-4</v>
      </c>
      <c r="K376" s="5">
        <f t="shared" si="43"/>
        <v>4.1348811498065373E-2</v>
      </c>
    </row>
    <row r="377" spans="1:11" x14ac:dyDescent="0.25">
      <c r="A377" t="s">
        <v>2318</v>
      </c>
      <c r="C377" t="s">
        <v>2319</v>
      </c>
      <c r="D377" t="s">
        <v>309</v>
      </c>
      <c r="E377" t="s">
        <v>6</v>
      </c>
      <c r="F377" t="s">
        <v>724</v>
      </c>
      <c r="G377">
        <v>93</v>
      </c>
      <c r="H377" s="2">
        <f>Tabelle13[[#This Row],[commits]]/Tabelle13[[#Totals],[commits]]</f>
        <v>4.3224451095948986E-4</v>
      </c>
      <c r="I377" s="5">
        <f>Tabelle13[[#This Row],[%]]+I376</f>
        <v>0.79214151592333049</v>
      </c>
      <c r="J377" s="4">
        <f t="shared" si="38"/>
        <v>1.105583195135434E-4</v>
      </c>
      <c r="K377" s="5">
        <f t="shared" si="43"/>
        <v>4.1459369817578917E-2</v>
      </c>
    </row>
    <row r="378" spans="1:11" x14ac:dyDescent="0.25">
      <c r="A378" t="s">
        <v>9237</v>
      </c>
      <c r="C378" t="s">
        <v>9238</v>
      </c>
      <c r="D378" t="s">
        <v>309</v>
      </c>
      <c r="E378" t="s">
        <v>6</v>
      </c>
      <c r="F378" t="s">
        <v>251</v>
      </c>
      <c r="G378">
        <v>93</v>
      </c>
      <c r="H378" s="2">
        <f>Tabelle13[[#This Row],[commits]]/Tabelle13[[#Totals],[commits]]</f>
        <v>4.3224451095948986E-4</v>
      </c>
      <c r="I378" s="5">
        <f>Tabelle13[[#This Row],[%]]+I377</f>
        <v>0.79257376043428995</v>
      </c>
      <c r="J378" s="4">
        <f t="shared" si="38"/>
        <v>1.105583195135434E-4</v>
      </c>
      <c r="K378" s="5">
        <f t="shared" si="43"/>
        <v>4.1569928137092461E-2</v>
      </c>
    </row>
    <row r="379" spans="1:11" x14ac:dyDescent="0.25">
      <c r="A379" t="s">
        <v>9239</v>
      </c>
      <c r="C379" t="s">
        <v>9240</v>
      </c>
      <c r="D379" t="s">
        <v>309</v>
      </c>
      <c r="E379" t="s">
        <v>6</v>
      </c>
      <c r="F379" t="s">
        <v>251</v>
      </c>
      <c r="G379">
        <v>93</v>
      </c>
      <c r="H379" s="2">
        <f>Tabelle13[[#This Row],[commits]]/Tabelle13[[#Totals],[commits]]</f>
        <v>4.3224451095948986E-4</v>
      </c>
      <c r="I379" s="5">
        <f>Tabelle13[[#This Row],[%]]+I378</f>
        <v>0.79300600494524942</v>
      </c>
      <c r="J379" s="4">
        <f t="shared" si="38"/>
        <v>1.105583195135434E-4</v>
      </c>
      <c r="K379" s="5">
        <f t="shared" si="43"/>
        <v>4.1680486456606006E-2</v>
      </c>
    </row>
    <row r="380" spans="1:11" x14ac:dyDescent="0.25">
      <c r="A380" t="s">
        <v>9241</v>
      </c>
      <c r="C380" t="s">
        <v>9242</v>
      </c>
      <c r="D380" t="s">
        <v>309</v>
      </c>
      <c r="E380" t="s">
        <v>6</v>
      </c>
      <c r="F380" t="s">
        <v>251</v>
      </c>
      <c r="G380">
        <v>93</v>
      </c>
      <c r="H380" s="2">
        <f>Tabelle13[[#This Row],[commits]]/Tabelle13[[#Totals],[commits]]</f>
        <v>4.3224451095948986E-4</v>
      </c>
      <c r="I380" s="5">
        <f>Tabelle13[[#This Row],[%]]+I379</f>
        <v>0.79343824945620889</v>
      </c>
      <c r="J380" s="4">
        <f t="shared" si="38"/>
        <v>1.105583195135434E-4</v>
      </c>
      <c r="K380" s="5">
        <f t="shared" si="43"/>
        <v>4.179104477611955E-2</v>
      </c>
    </row>
    <row r="381" spans="1:11" x14ac:dyDescent="0.25">
      <c r="A381" t="s">
        <v>9243</v>
      </c>
      <c r="C381" t="s">
        <v>9244</v>
      </c>
      <c r="D381" t="s">
        <v>309</v>
      </c>
      <c r="E381" t="s">
        <v>6</v>
      </c>
      <c r="F381" t="s">
        <v>251</v>
      </c>
      <c r="G381">
        <v>93</v>
      </c>
      <c r="H381" s="2">
        <f>Tabelle13[[#This Row],[commits]]/Tabelle13[[#Totals],[commits]]</f>
        <v>4.3224451095948986E-4</v>
      </c>
      <c r="I381" s="5">
        <f>Tabelle13[[#This Row],[%]]+I380</f>
        <v>0.79387049396716836</v>
      </c>
      <c r="J381" s="4">
        <f t="shared" si="38"/>
        <v>1.105583195135434E-4</v>
      </c>
      <c r="K381" s="5">
        <f t="shared" si="43"/>
        <v>4.1901603095633094E-2</v>
      </c>
    </row>
    <row r="382" spans="1:11" x14ac:dyDescent="0.25">
      <c r="A382" t="s">
        <v>2320</v>
      </c>
      <c r="C382" t="s">
        <v>2321</v>
      </c>
      <c r="D382" t="s">
        <v>309</v>
      </c>
      <c r="E382" t="s">
        <v>6</v>
      </c>
      <c r="F382" t="s">
        <v>724</v>
      </c>
      <c r="G382">
        <v>91</v>
      </c>
      <c r="H382" s="2">
        <f>Tabelle13[[#This Row],[commits]]/Tabelle13[[#Totals],[commits]]</f>
        <v>4.229489300786406E-4</v>
      </c>
      <c r="I382" s="5">
        <f>Tabelle13[[#This Row],[%]]+I381</f>
        <v>0.79429344289724702</v>
      </c>
      <c r="J382" s="4">
        <f t="shared" si="38"/>
        <v>1.105583195135434E-4</v>
      </c>
      <c r="K382" s="5">
        <f t="shared" si="43"/>
        <v>4.2012161415146639E-2</v>
      </c>
    </row>
    <row r="383" spans="1:11" x14ac:dyDescent="0.25">
      <c r="A383" t="s">
        <v>9245</v>
      </c>
      <c r="C383" t="s">
        <v>9246</v>
      </c>
      <c r="D383" t="s">
        <v>309</v>
      </c>
      <c r="E383" t="s">
        <v>6</v>
      </c>
      <c r="F383" t="s">
        <v>251</v>
      </c>
      <c r="G383">
        <v>90</v>
      </c>
      <c r="H383" s="2">
        <f>Tabelle13[[#This Row],[commits]]/Tabelle13[[#Totals],[commits]]</f>
        <v>4.1830113963821597E-4</v>
      </c>
      <c r="I383" s="5">
        <f>Tabelle13[[#This Row],[%]]+I382</f>
        <v>0.79471174403688527</v>
      </c>
      <c r="J383" s="4">
        <f t="shared" si="38"/>
        <v>1.105583195135434E-4</v>
      </c>
      <c r="K383" s="5">
        <f t="shared" si="43"/>
        <v>4.2122719734660183E-2</v>
      </c>
    </row>
    <row r="384" spans="1:11" x14ac:dyDescent="0.25">
      <c r="A384" t="s">
        <v>9247</v>
      </c>
      <c r="C384" t="s">
        <v>9248</v>
      </c>
      <c r="D384" t="s">
        <v>309</v>
      </c>
      <c r="E384" t="s">
        <v>6</v>
      </c>
      <c r="F384" t="s">
        <v>251</v>
      </c>
      <c r="G384">
        <v>90</v>
      </c>
      <c r="H384" s="2">
        <f>Tabelle13[[#This Row],[commits]]/Tabelle13[[#Totals],[commits]]</f>
        <v>4.1830113963821597E-4</v>
      </c>
      <c r="I384" s="5">
        <f>Tabelle13[[#This Row],[%]]+I383</f>
        <v>0.79513004517652353</v>
      </c>
      <c r="J384" s="4">
        <f t="shared" si="38"/>
        <v>1.105583195135434E-4</v>
      </c>
      <c r="K384" s="5">
        <f t="shared" si="43"/>
        <v>4.2233278054173727E-2</v>
      </c>
    </row>
    <row r="385" spans="1:11" x14ac:dyDescent="0.25">
      <c r="A385" t="s">
        <v>9249</v>
      </c>
      <c r="C385" t="s">
        <v>9250</v>
      </c>
      <c r="D385" t="s">
        <v>309</v>
      </c>
      <c r="E385" t="s">
        <v>6</v>
      </c>
      <c r="F385" t="s">
        <v>251</v>
      </c>
      <c r="G385">
        <v>89</v>
      </c>
      <c r="H385" s="2">
        <f>Tabelle13[[#This Row],[commits]]/Tabelle13[[#Totals],[commits]]</f>
        <v>4.1365334919779139E-4</v>
      </c>
      <c r="I385" s="5">
        <f>Tabelle13[[#This Row],[%]]+I384</f>
        <v>0.79554369852572127</v>
      </c>
      <c r="J385" s="4">
        <f t="shared" si="38"/>
        <v>1.105583195135434E-4</v>
      </c>
      <c r="K385" s="5">
        <f t="shared" si="43"/>
        <v>4.2343836373687271E-2</v>
      </c>
    </row>
    <row r="386" spans="1:11" x14ac:dyDescent="0.25">
      <c r="A386" t="s">
        <v>9251</v>
      </c>
      <c r="C386" t="s">
        <v>9252</v>
      </c>
      <c r="D386" t="s">
        <v>309</v>
      </c>
      <c r="E386" t="s">
        <v>6</v>
      </c>
      <c r="F386" t="s">
        <v>251</v>
      </c>
      <c r="G386">
        <v>89</v>
      </c>
      <c r="H386" s="2">
        <f>Tabelle13[[#This Row],[commits]]/Tabelle13[[#Totals],[commits]]</f>
        <v>4.1365334919779139E-4</v>
      </c>
      <c r="I386" s="5">
        <f>Tabelle13[[#This Row],[%]]+I385</f>
        <v>0.79595735187491901</v>
      </c>
      <c r="J386" s="4">
        <f t="shared" si="38"/>
        <v>1.105583195135434E-4</v>
      </c>
      <c r="K386" s="5">
        <f t="shared" si="43"/>
        <v>4.2454394693200816E-2</v>
      </c>
    </row>
    <row r="387" spans="1:11" x14ac:dyDescent="0.25">
      <c r="A387" t="s">
        <v>9253</v>
      </c>
      <c r="C387" t="s">
        <v>9254</v>
      </c>
      <c r="D387" t="s">
        <v>309</v>
      </c>
      <c r="E387" t="s">
        <v>6</v>
      </c>
      <c r="F387" t="s">
        <v>251</v>
      </c>
      <c r="G387">
        <v>89</v>
      </c>
      <c r="H387" s="2">
        <f>Tabelle13[[#This Row],[commits]]/Tabelle13[[#Totals],[commits]]</f>
        <v>4.1365334919779139E-4</v>
      </c>
      <c r="I387" s="5">
        <f>Tabelle13[[#This Row],[%]]+I386</f>
        <v>0.79637100522411675</v>
      </c>
      <c r="J387" s="4">
        <f t="shared" ref="J387:J450" si="45">1/9045</f>
        <v>1.105583195135434E-4</v>
      </c>
      <c r="K387" s="5">
        <f t="shared" si="43"/>
        <v>4.256495301271436E-2</v>
      </c>
    </row>
    <row r="388" spans="1:11" x14ac:dyDescent="0.25">
      <c r="A388" t="s">
        <v>9255</v>
      </c>
      <c r="C388" t="s">
        <v>9256</v>
      </c>
      <c r="D388" t="s">
        <v>8948</v>
      </c>
      <c r="E388" t="s">
        <v>6</v>
      </c>
      <c r="F388" t="s">
        <v>251</v>
      </c>
      <c r="G388">
        <v>89</v>
      </c>
      <c r="H388" s="2">
        <f>Tabelle13[[#This Row],[commits]]/Tabelle13[[#Totals],[commits]]</f>
        <v>4.1365334919779139E-4</v>
      </c>
      <c r="I388" s="5">
        <f>Tabelle13[[#This Row],[%]]+I387</f>
        <v>0.79678465857331449</v>
      </c>
      <c r="J388" s="4">
        <f t="shared" si="45"/>
        <v>1.105583195135434E-4</v>
      </c>
      <c r="K388" s="5">
        <f t="shared" si="43"/>
        <v>4.2675511332227904E-2</v>
      </c>
    </row>
    <row r="389" spans="1:11" x14ac:dyDescent="0.25">
      <c r="A389" t="s">
        <v>9257</v>
      </c>
      <c r="C389" t="s">
        <v>9258</v>
      </c>
      <c r="D389" t="s">
        <v>8760</v>
      </c>
      <c r="E389" t="s">
        <v>6</v>
      </c>
      <c r="F389" t="s">
        <v>251</v>
      </c>
      <c r="G389">
        <v>89</v>
      </c>
      <c r="H389" s="2">
        <f>Tabelle13[[#This Row],[commits]]/Tabelle13[[#Totals],[commits]]</f>
        <v>4.1365334919779139E-4</v>
      </c>
      <c r="I389" s="5">
        <f>Tabelle13[[#This Row],[%]]+I388</f>
        <v>0.79719831192251223</v>
      </c>
      <c r="J389" s="4">
        <f t="shared" si="45"/>
        <v>1.105583195135434E-4</v>
      </c>
      <c r="K389" s="5">
        <f t="shared" si="43"/>
        <v>4.2786069651741448E-2</v>
      </c>
    </row>
    <row r="390" spans="1:11" x14ac:dyDescent="0.25">
      <c r="A390" t="s">
        <v>2322</v>
      </c>
      <c r="C390" t="s">
        <v>2323</v>
      </c>
      <c r="D390" t="s">
        <v>5</v>
      </c>
      <c r="E390" t="s">
        <v>6</v>
      </c>
      <c r="F390" t="s">
        <v>724</v>
      </c>
      <c r="G390">
        <v>88</v>
      </c>
      <c r="H390" s="2">
        <f>Tabelle13[[#This Row],[commits]]/Tabelle13[[#Totals],[commits]]</f>
        <v>4.0900555875736676E-4</v>
      </c>
      <c r="I390" s="5">
        <f>Tabelle13[[#This Row],[%]]+I389</f>
        <v>0.79760731748126956</v>
      </c>
      <c r="J390" s="4">
        <f t="shared" si="45"/>
        <v>1.105583195135434E-4</v>
      </c>
      <c r="K390" s="5">
        <f t="shared" ref="K390:K453" si="46">J390+K389</f>
        <v>4.2896627971254993E-2</v>
      </c>
    </row>
    <row r="391" spans="1:11" x14ac:dyDescent="0.25">
      <c r="A391" t="s">
        <v>39</v>
      </c>
      <c r="C391" t="s">
        <v>40</v>
      </c>
      <c r="D391" t="s">
        <v>5</v>
      </c>
      <c r="E391" t="s">
        <v>6</v>
      </c>
      <c r="F391" t="s">
        <v>7</v>
      </c>
      <c r="G391">
        <v>86</v>
      </c>
      <c r="H391" s="2">
        <f>Tabelle13[[#This Row],[commits]]/Tabelle13[[#Totals],[commits]]</f>
        <v>3.9970997787651749E-4</v>
      </c>
      <c r="I391" s="5">
        <f>Tabelle13[[#This Row],[%]]+I390</f>
        <v>0.79800702745914609</v>
      </c>
      <c r="J391" s="4">
        <f t="shared" si="45"/>
        <v>1.105583195135434E-4</v>
      </c>
      <c r="K391" s="5">
        <f t="shared" si="46"/>
        <v>4.3007186290768537E-2</v>
      </c>
    </row>
    <row r="392" spans="1:11" x14ac:dyDescent="0.25">
      <c r="A392" t="s">
        <v>2324</v>
      </c>
      <c r="C392" t="s">
        <v>2325</v>
      </c>
      <c r="D392" t="s">
        <v>5</v>
      </c>
      <c r="E392" t="s">
        <v>6</v>
      </c>
      <c r="F392" t="s">
        <v>724</v>
      </c>
      <c r="G392">
        <v>86</v>
      </c>
      <c r="H392" s="2">
        <f>Tabelle13[[#This Row],[commits]]/Tabelle13[[#Totals],[commits]]</f>
        <v>3.9970997787651749E-4</v>
      </c>
      <c r="I392" s="5">
        <f>Tabelle13[[#This Row],[%]]+I391</f>
        <v>0.79840673743702262</v>
      </c>
      <c r="J392" s="4">
        <f t="shared" si="45"/>
        <v>1.105583195135434E-4</v>
      </c>
      <c r="K392" s="5">
        <f t="shared" si="46"/>
        <v>4.3117744610282081E-2</v>
      </c>
    </row>
    <row r="393" spans="1:11" x14ac:dyDescent="0.25">
      <c r="A393" t="s">
        <v>9259</v>
      </c>
      <c r="C393" t="s">
        <v>9260</v>
      </c>
      <c r="D393" t="s">
        <v>309</v>
      </c>
      <c r="E393" t="s">
        <v>6</v>
      </c>
      <c r="F393" t="s">
        <v>251</v>
      </c>
      <c r="G393">
        <v>86</v>
      </c>
      <c r="H393" s="2">
        <f>Tabelle13[[#This Row],[commits]]/Tabelle13[[#Totals],[commits]]</f>
        <v>3.9970997787651749E-4</v>
      </c>
      <c r="I393" s="5">
        <f>Tabelle13[[#This Row],[%]]+I392</f>
        <v>0.79880644741489915</v>
      </c>
      <c r="J393" s="4">
        <f t="shared" si="45"/>
        <v>1.105583195135434E-4</v>
      </c>
      <c r="K393" s="5">
        <f t="shared" si="46"/>
        <v>4.3228302929795626E-2</v>
      </c>
    </row>
    <row r="394" spans="1:11" x14ac:dyDescent="0.25">
      <c r="A394" t="s">
        <v>9261</v>
      </c>
      <c r="C394" t="s">
        <v>9262</v>
      </c>
      <c r="D394" t="s">
        <v>5</v>
      </c>
      <c r="E394" t="s">
        <v>6</v>
      </c>
      <c r="F394" t="s">
        <v>251</v>
      </c>
      <c r="G394">
        <v>86</v>
      </c>
      <c r="H394" s="2">
        <f>Tabelle13[[#This Row],[commits]]/Tabelle13[[#Totals],[commits]]</f>
        <v>3.9970997787651749E-4</v>
      </c>
      <c r="I394" s="5">
        <f>Tabelle13[[#This Row],[%]]+I393</f>
        <v>0.79920615739277567</v>
      </c>
      <c r="J394" s="4">
        <f t="shared" si="45"/>
        <v>1.105583195135434E-4</v>
      </c>
      <c r="K394" s="5">
        <f t="shared" si="46"/>
        <v>4.333886124930917E-2</v>
      </c>
    </row>
    <row r="395" spans="1:11" x14ac:dyDescent="0.25">
      <c r="A395" t="s">
        <v>2326</v>
      </c>
      <c r="C395" t="s">
        <v>2327</v>
      </c>
      <c r="D395" t="s">
        <v>5</v>
      </c>
      <c r="E395" t="s">
        <v>6</v>
      </c>
      <c r="F395" t="s">
        <v>724</v>
      </c>
      <c r="G395">
        <v>84</v>
      </c>
      <c r="H395" s="2">
        <f>Tabelle13[[#This Row],[commits]]/Tabelle13[[#Totals],[commits]]</f>
        <v>3.9041439699566828E-4</v>
      </c>
      <c r="I395" s="5">
        <f>Tabelle13[[#This Row],[%]]+I394</f>
        <v>0.79959657178977139</v>
      </c>
      <c r="J395" s="4">
        <f t="shared" si="45"/>
        <v>1.105583195135434E-4</v>
      </c>
      <c r="K395" s="5">
        <f t="shared" si="46"/>
        <v>4.3449419568822714E-2</v>
      </c>
    </row>
    <row r="396" spans="1:11" x14ac:dyDescent="0.25">
      <c r="A396" t="s">
        <v>2328</v>
      </c>
      <c r="C396" t="s">
        <v>2329</v>
      </c>
      <c r="D396" t="s">
        <v>309</v>
      </c>
      <c r="E396" t="s">
        <v>6</v>
      </c>
      <c r="F396" t="s">
        <v>724</v>
      </c>
      <c r="G396">
        <v>84</v>
      </c>
      <c r="H396" s="2">
        <f>Tabelle13[[#This Row],[commits]]/Tabelle13[[#Totals],[commits]]</f>
        <v>3.9041439699566828E-4</v>
      </c>
      <c r="I396" s="5">
        <f>Tabelle13[[#This Row],[%]]+I395</f>
        <v>0.79998698618676711</v>
      </c>
      <c r="J396" s="4">
        <f t="shared" si="45"/>
        <v>1.105583195135434E-4</v>
      </c>
      <c r="K396" s="5">
        <f t="shared" si="46"/>
        <v>4.3559977888336258E-2</v>
      </c>
    </row>
    <row r="397" spans="1:11" x14ac:dyDescent="0.25">
      <c r="A397" t="s">
        <v>2330</v>
      </c>
      <c r="C397" t="s">
        <v>2331</v>
      </c>
      <c r="D397" t="s">
        <v>309</v>
      </c>
      <c r="E397" t="s">
        <v>6</v>
      </c>
      <c r="F397" t="s">
        <v>724</v>
      </c>
      <c r="G397">
        <v>84</v>
      </c>
      <c r="H397" s="2">
        <f>Tabelle13[[#This Row],[commits]]/Tabelle13[[#Totals],[commits]]</f>
        <v>3.9041439699566828E-4</v>
      </c>
      <c r="I397" s="5">
        <f>Tabelle13[[#This Row],[%]]+I396</f>
        <v>0.80037740058376283</v>
      </c>
      <c r="J397" s="4">
        <f t="shared" si="45"/>
        <v>1.105583195135434E-4</v>
      </c>
      <c r="K397" s="5">
        <f t="shared" si="46"/>
        <v>4.3670536207849803E-2</v>
      </c>
    </row>
    <row r="398" spans="1:11" x14ac:dyDescent="0.25">
      <c r="A398" t="s">
        <v>2332</v>
      </c>
      <c r="C398" t="s">
        <v>2333</v>
      </c>
      <c r="D398" t="s">
        <v>5</v>
      </c>
      <c r="E398" t="s">
        <v>6</v>
      </c>
      <c r="F398" t="s">
        <v>724</v>
      </c>
      <c r="G398">
        <v>82</v>
      </c>
      <c r="H398" s="2">
        <f>Tabelle13[[#This Row],[commits]]/Tabelle13[[#Totals],[commits]]</f>
        <v>3.8111881611481901E-4</v>
      </c>
      <c r="I398" s="5">
        <f>Tabelle13[[#This Row],[%]]+I397</f>
        <v>0.80075851939987763</v>
      </c>
      <c r="J398" s="4">
        <f t="shared" si="45"/>
        <v>1.105583195135434E-4</v>
      </c>
      <c r="K398" s="5">
        <f t="shared" si="46"/>
        <v>4.3781094527363347E-2</v>
      </c>
    </row>
    <row r="399" spans="1:11" x14ac:dyDescent="0.25">
      <c r="A399" t="s">
        <v>9263</v>
      </c>
      <c r="C399" t="s">
        <v>9264</v>
      </c>
      <c r="D399" t="s">
        <v>309</v>
      </c>
      <c r="E399" t="s">
        <v>6</v>
      </c>
      <c r="F399" t="s">
        <v>251</v>
      </c>
      <c r="G399">
        <v>82</v>
      </c>
      <c r="H399" s="2">
        <f>Tabelle13[[#This Row],[commits]]/Tabelle13[[#Totals],[commits]]</f>
        <v>3.8111881611481901E-4</v>
      </c>
      <c r="I399" s="5">
        <f>Tabelle13[[#This Row],[%]]+I398</f>
        <v>0.80113963821599243</v>
      </c>
      <c r="J399" s="4">
        <f t="shared" si="45"/>
        <v>1.105583195135434E-4</v>
      </c>
      <c r="K399" s="5">
        <f t="shared" si="46"/>
        <v>4.3891652846876891E-2</v>
      </c>
    </row>
    <row r="400" spans="1:11" x14ac:dyDescent="0.25">
      <c r="A400" t="s">
        <v>9265</v>
      </c>
      <c r="C400" t="s">
        <v>9266</v>
      </c>
      <c r="D400" t="s">
        <v>309</v>
      </c>
      <c r="E400" t="s">
        <v>6</v>
      </c>
      <c r="F400" t="s">
        <v>251</v>
      </c>
      <c r="G400">
        <v>81</v>
      </c>
      <c r="H400" s="2">
        <f>Tabelle13[[#This Row],[commits]]/Tabelle13[[#Totals],[commits]]</f>
        <v>3.7647102567439438E-4</v>
      </c>
      <c r="I400" s="5">
        <f>Tabelle13[[#This Row],[%]]+I399</f>
        <v>0.80151610924166683</v>
      </c>
      <c r="J400" s="4">
        <f t="shared" si="45"/>
        <v>1.105583195135434E-4</v>
      </c>
      <c r="K400" s="5">
        <f t="shared" si="46"/>
        <v>4.4002211166390436E-2</v>
      </c>
    </row>
    <row r="401" spans="1:11" x14ac:dyDescent="0.25">
      <c r="A401" t="s">
        <v>9267</v>
      </c>
      <c r="C401" t="s">
        <v>9268</v>
      </c>
      <c r="D401" t="s">
        <v>309</v>
      </c>
      <c r="E401" t="s">
        <v>6</v>
      </c>
      <c r="F401" t="s">
        <v>251</v>
      </c>
      <c r="G401">
        <v>81</v>
      </c>
      <c r="H401" s="2">
        <f>Tabelle13[[#This Row],[commits]]/Tabelle13[[#Totals],[commits]]</f>
        <v>3.7647102567439438E-4</v>
      </c>
      <c r="I401" s="5">
        <f>Tabelle13[[#This Row],[%]]+I400</f>
        <v>0.80189258026734123</v>
      </c>
      <c r="J401" s="4">
        <f t="shared" si="45"/>
        <v>1.105583195135434E-4</v>
      </c>
      <c r="K401" s="5">
        <f t="shared" si="46"/>
        <v>4.411276948590398E-2</v>
      </c>
    </row>
    <row r="402" spans="1:11" x14ac:dyDescent="0.25">
      <c r="A402" t="s">
        <v>2334</v>
      </c>
      <c r="C402" t="s">
        <v>2335</v>
      </c>
      <c r="D402" t="s">
        <v>309</v>
      </c>
      <c r="E402" t="s">
        <v>6</v>
      </c>
      <c r="F402" t="s">
        <v>724</v>
      </c>
      <c r="G402">
        <v>80</v>
      </c>
      <c r="H402" s="2">
        <f>Tabelle13[[#This Row],[commits]]/Tabelle13[[#Totals],[commits]]</f>
        <v>3.7182323523396975E-4</v>
      </c>
      <c r="I402" s="5">
        <f>Tabelle13[[#This Row],[%]]+I401</f>
        <v>0.80226440350257522</v>
      </c>
      <c r="J402" s="4">
        <f t="shared" si="45"/>
        <v>1.105583195135434E-4</v>
      </c>
      <c r="K402" s="5">
        <f t="shared" si="46"/>
        <v>4.4223327805417524E-2</v>
      </c>
    </row>
    <row r="403" spans="1:11" x14ac:dyDescent="0.25">
      <c r="A403" t="s">
        <v>2336</v>
      </c>
      <c r="C403" t="s">
        <v>2337</v>
      </c>
      <c r="D403" t="s">
        <v>309</v>
      </c>
      <c r="E403" t="s">
        <v>6</v>
      </c>
      <c r="F403" t="s">
        <v>724</v>
      </c>
      <c r="G403">
        <v>80</v>
      </c>
      <c r="H403" s="2">
        <f>Tabelle13[[#This Row],[commits]]/Tabelle13[[#Totals],[commits]]</f>
        <v>3.7182323523396975E-4</v>
      </c>
      <c r="I403" s="5">
        <f>Tabelle13[[#This Row],[%]]+I402</f>
        <v>0.80263622673780921</v>
      </c>
      <c r="J403" s="4">
        <f t="shared" si="45"/>
        <v>1.105583195135434E-4</v>
      </c>
      <c r="K403" s="5">
        <f t="shared" si="46"/>
        <v>4.4333886124931068E-2</v>
      </c>
    </row>
    <row r="404" spans="1:11" x14ac:dyDescent="0.25">
      <c r="A404" t="s">
        <v>9269</v>
      </c>
      <c r="C404" t="s">
        <v>9270</v>
      </c>
      <c r="D404" t="s">
        <v>309</v>
      </c>
      <c r="E404" t="s">
        <v>6</v>
      </c>
      <c r="F404" t="s">
        <v>251</v>
      </c>
      <c r="G404">
        <v>80</v>
      </c>
      <c r="H404" s="2">
        <f>Tabelle13[[#This Row],[commits]]/Tabelle13[[#Totals],[commits]]</f>
        <v>3.7182323523396975E-4</v>
      </c>
      <c r="I404" s="5">
        <f>Tabelle13[[#This Row],[%]]+I403</f>
        <v>0.8030080499730432</v>
      </c>
      <c r="J404" s="4">
        <f t="shared" si="45"/>
        <v>1.105583195135434E-4</v>
      </c>
      <c r="K404" s="5">
        <f t="shared" si="46"/>
        <v>4.4444444444444613E-2</v>
      </c>
    </row>
    <row r="405" spans="1:11" x14ac:dyDescent="0.25">
      <c r="A405" t="s">
        <v>9271</v>
      </c>
      <c r="C405" t="s">
        <v>9272</v>
      </c>
      <c r="D405" t="s">
        <v>309</v>
      </c>
      <c r="E405" t="s">
        <v>6</v>
      </c>
      <c r="F405" t="s">
        <v>251</v>
      </c>
      <c r="G405">
        <v>80</v>
      </c>
      <c r="H405" s="2">
        <f>Tabelle13[[#This Row],[commits]]/Tabelle13[[#Totals],[commits]]</f>
        <v>3.7182323523396975E-4</v>
      </c>
      <c r="I405" s="5">
        <f>Tabelle13[[#This Row],[%]]+I404</f>
        <v>0.8033798732082772</v>
      </c>
      <c r="J405" s="4">
        <f t="shared" si="45"/>
        <v>1.105583195135434E-4</v>
      </c>
      <c r="K405" s="5">
        <f t="shared" si="46"/>
        <v>4.4555002763958157E-2</v>
      </c>
    </row>
    <row r="406" spans="1:11" x14ac:dyDescent="0.25">
      <c r="A406" t="s">
        <v>9273</v>
      </c>
      <c r="C406" t="s">
        <v>9274</v>
      </c>
      <c r="D406" t="s">
        <v>309</v>
      </c>
      <c r="E406" t="s">
        <v>6</v>
      </c>
      <c r="F406" t="s">
        <v>251</v>
      </c>
      <c r="G406">
        <v>80</v>
      </c>
      <c r="H406" s="2">
        <f>Tabelle13[[#This Row],[commits]]/Tabelle13[[#Totals],[commits]]</f>
        <v>3.7182323523396975E-4</v>
      </c>
      <c r="I406" s="5">
        <f>Tabelle13[[#This Row],[%]]+I405</f>
        <v>0.80375169644351119</v>
      </c>
      <c r="J406" s="4">
        <f t="shared" si="45"/>
        <v>1.105583195135434E-4</v>
      </c>
      <c r="K406" s="5">
        <f t="shared" si="46"/>
        <v>4.4665561083471701E-2</v>
      </c>
    </row>
    <row r="407" spans="1:11" x14ac:dyDescent="0.25">
      <c r="A407" t="s">
        <v>9275</v>
      </c>
      <c r="C407" t="s">
        <v>9276</v>
      </c>
      <c r="D407" t="s">
        <v>309</v>
      </c>
      <c r="E407" t="s">
        <v>6</v>
      </c>
      <c r="F407" t="s">
        <v>251</v>
      </c>
      <c r="G407">
        <v>80</v>
      </c>
      <c r="H407" s="2">
        <f>Tabelle13[[#This Row],[commits]]/Tabelle13[[#Totals],[commits]]</f>
        <v>3.7182323523396975E-4</v>
      </c>
      <c r="I407" s="5">
        <f>Tabelle13[[#This Row],[%]]+I406</f>
        <v>0.80412351967874518</v>
      </c>
      <c r="J407" s="4">
        <f t="shared" si="45"/>
        <v>1.105583195135434E-4</v>
      </c>
      <c r="K407" s="5">
        <f t="shared" si="46"/>
        <v>4.4776119402985246E-2</v>
      </c>
    </row>
    <row r="408" spans="1:11" x14ac:dyDescent="0.25">
      <c r="A408" t="s">
        <v>9277</v>
      </c>
      <c r="C408" t="s">
        <v>9278</v>
      </c>
      <c r="D408" t="s">
        <v>309</v>
      </c>
      <c r="E408" t="s">
        <v>6</v>
      </c>
      <c r="F408" t="s">
        <v>251</v>
      </c>
      <c r="G408">
        <v>80</v>
      </c>
      <c r="H408" s="2">
        <f>Tabelle13[[#This Row],[commits]]/Tabelle13[[#Totals],[commits]]</f>
        <v>3.7182323523396975E-4</v>
      </c>
      <c r="I408" s="5">
        <f>Tabelle13[[#This Row],[%]]+I407</f>
        <v>0.80449534291397917</v>
      </c>
      <c r="J408" s="4">
        <f t="shared" si="45"/>
        <v>1.105583195135434E-4</v>
      </c>
      <c r="K408" s="5">
        <f t="shared" si="46"/>
        <v>4.488667772249879E-2</v>
      </c>
    </row>
    <row r="409" spans="1:11" x14ac:dyDescent="0.25">
      <c r="A409" t="s">
        <v>9279</v>
      </c>
      <c r="C409" t="s">
        <v>9280</v>
      </c>
      <c r="D409" t="s">
        <v>309</v>
      </c>
      <c r="E409" t="s">
        <v>6</v>
      </c>
      <c r="F409" t="s">
        <v>251</v>
      </c>
      <c r="G409">
        <v>80</v>
      </c>
      <c r="H409" s="2">
        <f>Tabelle13[[#This Row],[commits]]/Tabelle13[[#Totals],[commits]]</f>
        <v>3.7182323523396975E-4</v>
      </c>
      <c r="I409" s="5">
        <f>Tabelle13[[#This Row],[%]]+I408</f>
        <v>0.80486716614921316</v>
      </c>
      <c r="J409" s="4">
        <f t="shared" si="45"/>
        <v>1.105583195135434E-4</v>
      </c>
      <c r="K409" s="5">
        <f t="shared" si="46"/>
        <v>4.4997236042012334E-2</v>
      </c>
    </row>
    <row r="410" spans="1:11" x14ac:dyDescent="0.25">
      <c r="A410" t="s">
        <v>9281</v>
      </c>
      <c r="C410" t="s">
        <v>8962</v>
      </c>
      <c r="D410" t="s">
        <v>9282</v>
      </c>
      <c r="E410" t="s">
        <v>6</v>
      </c>
      <c r="F410" t="s">
        <v>251</v>
      </c>
      <c r="G410">
        <v>80</v>
      </c>
      <c r="H410" s="2">
        <f>Tabelle13[[#This Row],[commits]]/Tabelle13[[#Totals],[commits]]</f>
        <v>3.7182323523396975E-4</v>
      </c>
      <c r="I410" s="5">
        <f>Tabelle13[[#This Row],[%]]+I409</f>
        <v>0.80523898938444716</v>
      </c>
      <c r="J410" s="4">
        <f t="shared" si="45"/>
        <v>1.105583195135434E-4</v>
      </c>
      <c r="K410" s="5">
        <f t="shared" si="46"/>
        <v>4.5107794361525878E-2</v>
      </c>
    </row>
    <row r="411" spans="1:11" x14ac:dyDescent="0.25">
      <c r="A411" t="s">
        <v>9283</v>
      </c>
      <c r="C411" t="s">
        <v>9284</v>
      </c>
      <c r="D411" t="s">
        <v>309</v>
      </c>
      <c r="E411" t="s">
        <v>6</v>
      </c>
      <c r="F411" t="s">
        <v>251</v>
      </c>
      <c r="G411">
        <v>80</v>
      </c>
      <c r="H411" s="2">
        <f>Tabelle13[[#This Row],[commits]]/Tabelle13[[#Totals],[commits]]</f>
        <v>3.7182323523396975E-4</v>
      </c>
      <c r="I411" s="5">
        <f>Tabelle13[[#This Row],[%]]+I410</f>
        <v>0.80561081261968115</v>
      </c>
      <c r="J411" s="4">
        <f t="shared" si="45"/>
        <v>1.105583195135434E-4</v>
      </c>
      <c r="K411" s="5">
        <f t="shared" si="46"/>
        <v>4.5218352681039423E-2</v>
      </c>
    </row>
    <row r="412" spans="1:11" x14ac:dyDescent="0.25">
      <c r="A412" t="s">
        <v>9285</v>
      </c>
      <c r="C412" t="s">
        <v>9286</v>
      </c>
      <c r="D412" t="s">
        <v>309</v>
      </c>
      <c r="E412" t="s">
        <v>6</v>
      </c>
      <c r="F412" t="s">
        <v>251</v>
      </c>
      <c r="G412">
        <v>79</v>
      </c>
      <c r="H412" s="2">
        <f>Tabelle13[[#This Row],[commits]]/Tabelle13[[#Totals],[commits]]</f>
        <v>3.6717544479354517E-4</v>
      </c>
      <c r="I412" s="5">
        <f>Tabelle13[[#This Row],[%]]+I411</f>
        <v>0.80597798806447474</v>
      </c>
      <c r="J412" s="4">
        <f t="shared" si="45"/>
        <v>1.105583195135434E-4</v>
      </c>
      <c r="K412" s="5">
        <f t="shared" si="46"/>
        <v>4.5328911000552967E-2</v>
      </c>
    </row>
    <row r="413" spans="1:11" x14ac:dyDescent="0.25">
      <c r="A413" t="s">
        <v>9287</v>
      </c>
      <c r="C413" t="s">
        <v>9288</v>
      </c>
      <c r="D413" t="s">
        <v>309</v>
      </c>
      <c r="E413" t="s">
        <v>6</v>
      </c>
      <c r="F413" t="s">
        <v>251</v>
      </c>
      <c r="G413">
        <v>79</v>
      </c>
      <c r="H413" s="2">
        <f>Tabelle13[[#This Row],[commits]]/Tabelle13[[#Totals],[commits]]</f>
        <v>3.6717544479354517E-4</v>
      </c>
      <c r="I413" s="5">
        <f>Tabelle13[[#This Row],[%]]+I412</f>
        <v>0.80634516350926833</v>
      </c>
      <c r="J413" s="4">
        <f t="shared" si="45"/>
        <v>1.105583195135434E-4</v>
      </c>
      <c r="K413" s="5">
        <f t="shared" si="46"/>
        <v>4.5439469320066511E-2</v>
      </c>
    </row>
    <row r="414" spans="1:11" x14ac:dyDescent="0.25">
      <c r="A414" t="s">
        <v>9289</v>
      </c>
      <c r="C414" t="s">
        <v>9290</v>
      </c>
      <c r="D414" t="s">
        <v>8948</v>
      </c>
      <c r="E414" t="s">
        <v>6</v>
      </c>
      <c r="F414" t="s">
        <v>251</v>
      </c>
      <c r="G414">
        <v>79</v>
      </c>
      <c r="H414" s="2">
        <f>Tabelle13[[#This Row],[commits]]/Tabelle13[[#Totals],[commits]]</f>
        <v>3.6717544479354517E-4</v>
      </c>
      <c r="I414" s="5">
        <f>Tabelle13[[#This Row],[%]]+I413</f>
        <v>0.80671233895406191</v>
      </c>
      <c r="J414" s="4">
        <f t="shared" si="45"/>
        <v>1.105583195135434E-4</v>
      </c>
      <c r="K414" s="5">
        <f t="shared" si="46"/>
        <v>4.5550027639580055E-2</v>
      </c>
    </row>
    <row r="415" spans="1:11" x14ac:dyDescent="0.25">
      <c r="A415" t="s">
        <v>9291</v>
      </c>
      <c r="C415" t="s">
        <v>9292</v>
      </c>
      <c r="D415" t="s">
        <v>309</v>
      </c>
      <c r="E415" t="s">
        <v>6</v>
      </c>
      <c r="F415" t="s">
        <v>251</v>
      </c>
      <c r="G415">
        <v>79</v>
      </c>
      <c r="H415" s="2">
        <f>Tabelle13[[#This Row],[commits]]/Tabelle13[[#Totals],[commits]]</f>
        <v>3.6717544479354517E-4</v>
      </c>
      <c r="I415" s="5">
        <f>Tabelle13[[#This Row],[%]]+I414</f>
        <v>0.8070795143988555</v>
      </c>
      <c r="J415" s="4">
        <f t="shared" si="45"/>
        <v>1.105583195135434E-4</v>
      </c>
      <c r="K415" s="5">
        <f t="shared" si="46"/>
        <v>4.56605859590936E-2</v>
      </c>
    </row>
    <row r="416" spans="1:11" x14ac:dyDescent="0.25">
      <c r="A416" t="s">
        <v>9293</v>
      </c>
      <c r="C416" t="s">
        <v>9294</v>
      </c>
      <c r="D416" t="s">
        <v>309</v>
      </c>
      <c r="E416" t="s">
        <v>6</v>
      </c>
      <c r="F416" t="s">
        <v>251</v>
      </c>
      <c r="G416">
        <v>79</v>
      </c>
      <c r="H416" s="2">
        <f>Tabelle13[[#This Row],[commits]]/Tabelle13[[#Totals],[commits]]</f>
        <v>3.6717544479354517E-4</v>
      </c>
      <c r="I416" s="5">
        <f>Tabelle13[[#This Row],[%]]+I415</f>
        <v>0.80744668984364909</v>
      </c>
      <c r="J416" s="4">
        <f t="shared" si="45"/>
        <v>1.105583195135434E-4</v>
      </c>
      <c r="K416" s="5">
        <f t="shared" si="46"/>
        <v>4.5771144278607144E-2</v>
      </c>
    </row>
    <row r="417" spans="1:11" x14ac:dyDescent="0.25">
      <c r="A417" t="s">
        <v>9295</v>
      </c>
      <c r="C417" t="s">
        <v>2051</v>
      </c>
      <c r="D417" t="s">
        <v>5</v>
      </c>
      <c r="E417" t="s">
        <v>6</v>
      </c>
      <c r="F417" t="s">
        <v>251</v>
      </c>
      <c r="G417">
        <v>79</v>
      </c>
      <c r="H417" s="2">
        <f>Tabelle13[[#This Row],[commits]]/Tabelle13[[#Totals],[commits]]</f>
        <v>3.6717544479354517E-4</v>
      </c>
      <c r="I417" s="5">
        <f>Tabelle13[[#This Row],[%]]+I416</f>
        <v>0.80781386528844268</v>
      </c>
      <c r="J417" s="4">
        <f t="shared" si="45"/>
        <v>1.105583195135434E-4</v>
      </c>
      <c r="K417" s="5">
        <f t="shared" si="46"/>
        <v>4.5881702598120688E-2</v>
      </c>
    </row>
    <row r="418" spans="1:11" x14ac:dyDescent="0.25">
      <c r="A418" t="s">
        <v>9296</v>
      </c>
      <c r="C418" t="s">
        <v>9297</v>
      </c>
      <c r="D418" t="s">
        <v>309</v>
      </c>
      <c r="E418" t="s">
        <v>6</v>
      </c>
      <c r="F418" t="s">
        <v>251</v>
      </c>
      <c r="G418">
        <v>78</v>
      </c>
      <c r="H418" s="2">
        <f>Tabelle13[[#This Row],[commits]]/Tabelle13[[#Totals],[commits]]</f>
        <v>3.6252765435312054E-4</v>
      </c>
      <c r="I418" s="5">
        <f>Tabelle13[[#This Row],[%]]+I417</f>
        <v>0.80817639294279575</v>
      </c>
      <c r="J418" s="4">
        <f t="shared" si="45"/>
        <v>1.105583195135434E-4</v>
      </c>
      <c r="K418" s="5">
        <f t="shared" si="46"/>
        <v>4.5992260917634233E-2</v>
      </c>
    </row>
    <row r="419" spans="1:11" x14ac:dyDescent="0.25">
      <c r="A419" t="s">
        <v>9298</v>
      </c>
      <c r="C419" t="s">
        <v>9299</v>
      </c>
      <c r="D419" t="s">
        <v>5</v>
      </c>
      <c r="E419" t="s">
        <v>6</v>
      </c>
      <c r="F419" t="s">
        <v>251</v>
      </c>
      <c r="G419">
        <v>78</v>
      </c>
      <c r="H419" s="2">
        <f>Tabelle13[[#This Row],[commits]]/Tabelle13[[#Totals],[commits]]</f>
        <v>3.6252765435312054E-4</v>
      </c>
      <c r="I419" s="5">
        <f>Tabelle13[[#This Row],[%]]+I418</f>
        <v>0.80853892059714882</v>
      </c>
      <c r="J419" s="4">
        <f t="shared" si="45"/>
        <v>1.105583195135434E-4</v>
      </c>
      <c r="K419" s="5">
        <f t="shared" si="46"/>
        <v>4.6102819237147777E-2</v>
      </c>
    </row>
    <row r="420" spans="1:11" x14ac:dyDescent="0.25">
      <c r="A420" t="s">
        <v>9300</v>
      </c>
      <c r="C420" t="s">
        <v>9301</v>
      </c>
      <c r="D420" t="s">
        <v>309</v>
      </c>
      <c r="E420" t="s">
        <v>6</v>
      </c>
      <c r="F420" t="s">
        <v>251</v>
      </c>
      <c r="G420">
        <v>77</v>
      </c>
      <c r="H420" s="2">
        <f>Tabelle13[[#This Row],[commits]]/Tabelle13[[#Totals],[commits]]</f>
        <v>3.578798639126959E-4</v>
      </c>
      <c r="I420" s="5">
        <f>Tabelle13[[#This Row],[%]]+I419</f>
        <v>0.80889680046106149</v>
      </c>
      <c r="J420" s="4">
        <f t="shared" si="45"/>
        <v>1.105583195135434E-4</v>
      </c>
      <c r="K420" s="5">
        <f t="shared" si="46"/>
        <v>4.6213377556661321E-2</v>
      </c>
    </row>
    <row r="421" spans="1:11" x14ac:dyDescent="0.25">
      <c r="A421" t="s">
        <v>9302</v>
      </c>
      <c r="C421" t="s">
        <v>9303</v>
      </c>
      <c r="D421" t="s">
        <v>309</v>
      </c>
      <c r="E421" t="s">
        <v>6</v>
      </c>
      <c r="F421" t="s">
        <v>251</v>
      </c>
      <c r="G421">
        <v>77</v>
      </c>
      <c r="H421" s="2">
        <f>Tabelle13[[#This Row],[commits]]/Tabelle13[[#Totals],[commits]]</f>
        <v>3.578798639126959E-4</v>
      </c>
      <c r="I421" s="5">
        <f>Tabelle13[[#This Row],[%]]+I420</f>
        <v>0.80925468032497416</v>
      </c>
      <c r="J421" s="4">
        <f t="shared" si="45"/>
        <v>1.105583195135434E-4</v>
      </c>
      <c r="K421" s="5">
        <f t="shared" si="46"/>
        <v>4.6323935876174865E-2</v>
      </c>
    </row>
    <row r="422" spans="1:11" x14ac:dyDescent="0.25">
      <c r="A422" t="s">
        <v>9304</v>
      </c>
      <c r="C422" t="s">
        <v>9305</v>
      </c>
      <c r="D422" t="s">
        <v>309</v>
      </c>
      <c r="E422" t="s">
        <v>6</v>
      </c>
      <c r="F422" t="s">
        <v>251</v>
      </c>
      <c r="G422">
        <v>77</v>
      </c>
      <c r="H422" s="2">
        <f>Tabelle13[[#This Row],[commits]]/Tabelle13[[#Totals],[commits]]</f>
        <v>3.578798639126959E-4</v>
      </c>
      <c r="I422" s="5">
        <f>Tabelle13[[#This Row],[%]]+I421</f>
        <v>0.80961256018888683</v>
      </c>
      <c r="J422" s="4">
        <f t="shared" si="45"/>
        <v>1.105583195135434E-4</v>
      </c>
      <c r="K422" s="5">
        <f t="shared" si="46"/>
        <v>4.643449419568841E-2</v>
      </c>
    </row>
    <row r="423" spans="1:11" x14ac:dyDescent="0.25">
      <c r="A423" t="s">
        <v>2338</v>
      </c>
      <c r="C423" t="s">
        <v>2339</v>
      </c>
      <c r="D423" t="s">
        <v>309</v>
      </c>
      <c r="E423" t="s">
        <v>6</v>
      </c>
      <c r="F423" t="s">
        <v>724</v>
      </c>
      <c r="G423">
        <v>76</v>
      </c>
      <c r="H423" s="2">
        <f>Tabelle13[[#This Row],[commits]]/Tabelle13[[#Totals],[commits]]</f>
        <v>3.5323207347227127E-4</v>
      </c>
      <c r="I423" s="5">
        <f>Tabelle13[[#This Row],[%]]+I422</f>
        <v>0.8099657922623591</v>
      </c>
      <c r="J423" s="4">
        <f t="shared" si="45"/>
        <v>1.105583195135434E-4</v>
      </c>
      <c r="K423" s="5">
        <f t="shared" si="46"/>
        <v>4.6545052515201954E-2</v>
      </c>
    </row>
    <row r="424" spans="1:11" x14ac:dyDescent="0.25">
      <c r="A424" t="s">
        <v>5133</v>
      </c>
      <c r="C424" t="s">
        <v>5134</v>
      </c>
      <c r="D424" t="s">
        <v>309</v>
      </c>
      <c r="E424" t="s">
        <v>6</v>
      </c>
      <c r="F424" t="s">
        <v>251</v>
      </c>
      <c r="G424">
        <v>76</v>
      </c>
      <c r="H424" s="2">
        <f>Tabelle13[[#This Row],[commits]]/Tabelle13[[#Totals],[commits]]</f>
        <v>3.5323207347227127E-4</v>
      </c>
      <c r="I424" s="5">
        <f>Tabelle13[[#This Row],[%]]+I423</f>
        <v>0.81031902433583136</v>
      </c>
      <c r="J424" s="4">
        <f t="shared" si="45"/>
        <v>1.105583195135434E-4</v>
      </c>
      <c r="K424" s="5">
        <f t="shared" si="46"/>
        <v>4.6655610834715498E-2</v>
      </c>
    </row>
    <row r="425" spans="1:11" x14ac:dyDescent="0.25">
      <c r="A425" t="s">
        <v>9306</v>
      </c>
      <c r="C425" t="s">
        <v>9307</v>
      </c>
      <c r="D425" t="s">
        <v>309</v>
      </c>
      <c r="E425" t="s">
        <v>6</v>
      </c>
      <c r="F425" t="s">
        <v>251</v>
      </c>
      <c r="G425">
        <v>76</v>
      </c>
      <c r="H425" s="2">
        <f>Tabelle13[[#This Row],[commits]]/Tabelle13[[#Totals],[commits]]</f>
        <v>3.5323207347227127E-4</v>
      </c>
      <c r="I425" s="5">
        <f>Tabelle13[[#This Row],[%]]+I424</f>
        <v>0.81067225640930363</v>
      </c>
      <c r="J425" s="4">
        <f t="shared" si="45"/>
        <v>1.105583195135434E-4</v>
      </c>
      <c r="K425" s="5">
        <f t="shared" si="46"/>
        <v>4.6766169154229043E-2</v>
      </c>
    </row>
    <row r="426" spans="1:11" x14ac:dyDescent="0.25">
      <c r="A426" t="s">
        <v>9308</v>
      </c>
      <c r="C426" t="s">
        <v>9309</v>
      </c>
      <c r="D426" t="s">
        <v>309</v>
      </c>
      <c r="E426" t="s">
        <v>6</v>
      </c>
      <c r="F426" t="s">
        <v>251</v>
      </c>
      <c r="G426">
        <v>76</v>
      </c>
      <c r="H426" s="2">
        <f>Tabelle13[[#This Row],[commits]]/Tabelle13[[#Totals],[commits]]</f>
        <v>3.5323207347227127E-4</v>
      </c>
      <c r="I426" s="5">
        <f>Tabelle13[[#This Row],[%]]+I425</f>
        <v>0.81102548848277589</v>
      </c>
      <c r="J426" s="4">
        <f t="shared" si="45"/>
        <v>1.105583195135434E-4</v>
      </c>
      <c r="K426" s="5">
        <f t="shared" si="46"/>
        <v>4.6876727473742587E-2</v>
      </c>
    </row>
    <row r="427" spans="1:11" x14ac:dyDescent="0.25">
      <c r="A427" t="s">
        <v>9310</v>
      </c>
      <c r="C427" t="s">
        <v>9311</v>
      </c>
      <c r="D427" t="s">
        <v>309</v>
      </c>
      <c r="E427" t="s">
        <v>6</v>
      </c>
      <c r="F427" t="s">
        <v>251</v>
      </c>
      <c r="G427">
        <v>76</v>
      </c>
      <c r="H427" s="2">
        <f>Tabelle13[[#This Row],[commits]]/Tabelle13[[#Totals],[commits]]</f>
        <v>3.5323207347227127E-4</v>
      </c>
      <c r="I427" s="5">
        <f>Tabelle13[[#This Row],[%]]+I426</f>
        <v>0.81137872055624816</v>
      </c>
      <c r="J427" s="4">
        <f t="shared" si="45"/>
        <v>1.105583195135434E-4</v>
      </c>
      <c r="K427" s="5">
        <f t="shared" si="46"/>
        <v>4.6987285793256131E-2</v>
      </c>
    </row>
    <row r="428" spans="1:11" x14ac:dyDescent="0.25">
      <c r="A428" t="s">
        <v>41</v>
      </c>
      <c r="C428" t="s">
        <v>42</v>
      </c>
      <c r="D428" t="s">
        <v>36</v>
      </c>
      <c r="E428" t="s">
        <v>6</v>
      </c>
      <c r="F428" t="s">
        <v>7</v>
      </c>
      <c r="G428">
        <v>75</v>
      </c>
      <c r="H428" s="2">
        <f>Tabelle13[[#This Row],[commits]]/Tabelle13[[#Totals],[commits]]</f>
        <v>3.4858428303184664E-4</v>
      </c>
      <c r="I428" s="5">
        <f>Tabelle13[[#This Row],[%]]+I427</f>
        <v>0.81172730483928002</v>
      </c>
      <c r="J428" s="4">
        <f t="shared" si="45"/>
        <v>1.105583195135434E-4</v>
      </c>
      <c r="K428" s="5">
        <f t="shared" si="46"/>
        <v>4.7097844112769675E-2</v>
      </c>
    </row>
    <row r="429" spans="1:11" x14ac:dyDescent="0.25">
      <c r="A429" t="s">
        <v>9312</v>
      </c>
      <c r="C429" t="s">
        <v>9313</v>
      </c>
      <c r="D429" t="s">
        <v>309</v>
      </c>
      <c r="E429" t="s">
        <v>6</v>
      </c>
      <c r="F429" t="s">
        <v>251</v>
      </c>
      <c r="G429">
        <v>75</v>
      </c>
      <c r="H429" s="2">
        <f>Tabelle13[[#This Row],[commits]]/Tabelle13[[#Totals],[commits]]</f>
        <v>3.4858428303184664E-4</v>
      </c>
      <c r="I429" s="5">
        <f>Tabelle13[[#This Row],[%]]+I428</f>
        <v>0.81207588912231188</v>
      </c>
      <c r="J429" s="4">
        <f t="shared" si="45"/>
        <v>1.105583195135434E-4</v>
      </c>
      <c r="K429" s="5">
        <f t="shared" si="46"/>
        <v>4.720840243228322E-2</v>
      </c>
    </row>
    <row r="430" spans="1:11" x14ac:dyDescent="0.25">
      <c r="A430" t="s">
        <v>9314</v>
      </c>
      <c r="C430" t="s">
        <v>9315</v>
      </c>
      <c r="D430" t="s">
        <v>309</v>
      </c>
      <c r="E430" t="s">
        <v>6</v>
      </c>
      <c r="F430" t="s">
        <v>251</v>
      </c>
      <c r="G430">
        <v>75</v>
      </c>
      <c r="H430" s="2">
        <f>Tabelle13[[#This Row],[commits]]/Tabelle13[[#Totals],[commits]]</f>
        <v>3.4858428303184664E-4</v>
      </c>
      <c r="I430" s="5">
        <f>Tabelle13[[#This Row],[%]]+I429</f>
        <v>0.81242447340534374</v>
      </c>
      <c r="J430" s="4">
        <f t="shared" si="45"/>
        <v>1.105583195135434E-4</v>
      </c>
      <c r="K430" s="5">
        <f t="shared" si="46"/>
        <v>4.7318960751796764E-2</v>
      </c>
    </row>
    <row r="431" spans="1:11" x14ac:dyDescent="0.25">
      <c r="A431" t="s">
        <v>9316</v>
      </c>
      <c r="C431" t="s">
        <v>9317</v>
      </c>
      <c r="D431" t="s">
        <v>8948</v>
      </c>
      <c r="E431" t="s">
        <v>6</v>
      </c>
      <c r="F431" t="s">
        <v>251</v>
      </c>
      <c r="G431">
        <v>75</v>
      </c>
      <c r="H431" s="2">
        <f>Tabelle13[[#This Row],[commits]]/Tabelle13[[#Totals],[commits]]</f>
        <v>3.4858428303184664E-4</v>
      </c>
      <c r="I431" s="5">
        <f>Tabelle13[[#This Row],[%]]+I430</f>
        <v>0.8127730576883756</v>
      </c>
      <c r="J431" s="4">
        <f t="shared" si="45"/>
        <v>1.105583195135434E-4</v>
      </c>
      <c r="K431" s="5">
        <f t="shared" si="46"/>
        <v>4.7429519071310308E-2</v>
      </c>
    </row>
    <row r="432" spans="1:11" x14ac:dyDescent="0.25">
      <c r="A432" t="s">
        <v>9318</v>
      </c>
      <c r="C432" t="s">
        <v>9319</v>
      </c>
      <c r="D432" t="s">
        <v>309</v>
      </c>
      <c r="E432" t="s">
        <v>6</v>
      </c>
      <c r="F432" t="s">
        <v>251</v>
      </c>
      <c r="G432">
        <v>74</v>
      </c>
      <c r="H432" s="2">
        <f>Tabelle13[[#This Row],[commits]]/Tabelle13[[#Totals],[commits]]</f>
        <v>3.4393649259142206E-4</v>
      </c>
      <c r="I432" s="5">
        <f>Tabelle13[[#This Row],[%]]+I431</f>
        <v>0.81311699418096706</v>
      </c>
      <c r="J432" s="4">
        <f t="shared" si="45"/>
        <v>1.105583195135434E-4</v>
      </c>
      <c r="K432" s="5">
        <f t="shared" si="46"/>
        <v>4.7540077390823852E-2</v>
      </c>
    </row>
    <row r="433" spans="1:11" x14ac:dyDescent="0.25">
      <c r="A433" t="s">
        <v>9320</v>
      </c>
      <c r="C433" t="s">
        <v>9321</v>
      </c>
      <c r="D433" t="s">
        <v>309</v>
      </c>
      <c r="E433" t="s">
        <v>6</v>
      </c>
      <c r="F433" t="s">
        <v>251</v>
      </c>
      <c r="G433">
        <v>74</v>
      </c>
      <c r="H433" s="2">
        <f>Tabelle13[[#This Row],[commits]]/Tabelle13[[#Totals],[commits]]</f>
        <v>3.4393649259142206E-4</v>
      </c>
      <c r="I433" s="5">
        <f>Tabelle13[[#This Row],[%]]+I432</f>
        <v>0.81346093067355851</v>
      </c>
      <c r="J433" s="4">
        <f t="shared" si="45"/>
        <v>1.105583195135434E-4</v>
      </c>
      <c r="K433" s="5">
        <f t="shared" si="46"/>
        <v>4.7650635710337397E-2</v>
      </c>
    </row>
    <row r="434" spans="1:11" x14ac:dyDescent="0.25">
      <c r="A434" t="s">
        <v>9322</v>
      </c>
      <c r="C434" t="s">
        <v>9323</v>
      </c>
      <c r="D434" t="s">
        <v>8757</v>
      </c>
      <c r="E434" t="s">
        <v>6</v>
      </c>
      <c r="F434" t="s">
        <v>251</v>
      </c>
      <c r="G434">
        <v>74</v>
      </c>
      <c r="H434" s="2">
        <f>Tabelle13[[#This Row],[commits]]/Tabelle13[[#Totals],[commits]]</f>
        <v>3.4393649259142206E-4</v>
      </c>
      <c r="I434" s="5">
        <f>Tabelle13[[#This Row],[%]]+I433</f>
        <v>0.81380486716614997</v>
      </c>
      <c r="J434" s="4">
        <f t="shared" si="45"/>
        <v>1.105583195135434E-4</v>
      </c>
      <c r="K434" s="5">
        <f t="shared" si="46"/>
        <v>4.7761194029850941E-2</v>
      </c>
    </row>
    <row r="435" spans="1:11" x14ac:dyDescent="0.25">
      <c r="A435" t="s">
        <v>2340</v>
      </c>
      <c r="C435" t="s">
        <v>2341</v>
      </c>
      <c r="D435" t="s">
        <v>309</v>
      </c>
      <c r="E435" t="s">
        <v>6</v>
      </c>
      <c r="F435" t="s">
        <v>724</v>
      </c>
      <c r="G435">
        <v>73</v>
      </c>
      <c r="H435" s="2">
        <f>Tabelle13[[#This Row],[commits]]/Tabelle13[[#Totals],[commits]]</f>
        <v>3.3928870215099743E-4</v>
      </c>
      <c r="I435" s="5">
        <f>Tabelle13[[#This Row],[%]]+I434</f>
        <v>0.81414415586830102</v>
      </c>
      <c r="J435" s="4">
        <f t="shared" si="45"/>
        <v>1.105583195135434E-4</v>
      </c>
      <c r="K435" s="5">
        <f t="shared" si="46"/>
        <v>4.7871752349364485E-2</v>
      </c>
    </row>
    <row r="436" spans="1:11" x14ac:dyDescent="0.25">
      <c r="A436" t="s">
        <v>5210</v>
      </c>
      <c r="C436" t="s">
        <v>5174</v>
      </c>
      <c r="D436" t="s">
        <v>5175</v>
      </c>
      <c r="E436" t="s">
        <v>6</v>
      </c>
      <c r="F436" t="s">
        <v>28</v>
      </c>
      <c r="G436">
        <v>73</v>
      </c>
      <c r="H436" s="2">
        <f>Tabelle13[[#This Row],[commits]]/Tabelle13[[#Totals],[commits]]</f>
        <v>3.3928870215099743E-4</v>
      </c>
      <c r="I436" s="5">
        <f>Tabelle13[[#This Row],[%]]+I435</f>
        <v>0.81448344457045208</v>
      </c>
      <c r="J436" s="4">
        <f t="shared" si="45"/>
        <v>1.105583195135434E-4</v>
      </c>
      <c r="K436" s="5">
        <f t="shared" si="46"/>
        <v>4.798231066887803E-2</v>
      </c>
    </row>
    <row r="437" spans="1:11" x14ac:dyDescent="0.25">
      <c r="A437" t="s">
        <v>9324</v>
      </c>
      <c r="C437" t="s">
        <v>9325</v>
      </c>
      <c r="D437" t="s">
        <v>309</v>
      </c>
      <c r="E437" t="s">
        <v>6</v>
      </c>
      <c r="F437" t="s">
        <v>251</v>
      </c>
      <c r="G437">
        <v>73</v>
      </c>
      <c r="H437" s="2">
        <f>Tabelle13[[#This Row],[commits]]/Tabelle13[[#Totals],[commits]]</f>
        <v>3.3928870215099743E-4</v>
      </c>
      <c r="I437" s="5">
        <f>Tabelle13[[#This Row],[%]]+I436</f>
        <v>0.81482273327260313</v>
      </c>
      <c r="J437" s="4">
        <f t="shared" si="45"/>
        <v>1.105583195135434E-4</v>
      </c>
      <c r="K437" s="5">
        <f t="shared" si="46"/>
        <v>4.8092868988391574E-2</v>
      </c>
    </row>
    <row r="438" spans="1:11" x14ac:dyDescent="0.25">
      <c r="A438" t="s">
        <v>9326</v>
      </c>
      <c r="C438" t="s">
        <v>9327</v>
      </c>
      <c r="D438" t="s">
        <v>309</v>
      </c>
      <c r="E438" t="s">
        <v>6</v>
      </c>
      <c r="F438" t="s">
        <v>251</v>
      </c>
      <c r="G438">
        <v>73</v>
      </c>
      <c r="H438" s="2">
        <f>Tabelle13[[#This Row],[commits]]/Tabelle13[[#Totals],[commits]]</f>
        <v>3.3928870215099743E-4</v>
      </c>
      <c r="I438" s="5">
        <f>Tabelle13[[#This Row],[%]]+I437</f>
        <v>0.81516202197475418</v>
      </c>
      <c r="J438" s="4">
        <f t="shared" si="45"/>
        <v>1.105583195135434E-4</v>
      </c>
      <c r="K438" s="5">
        <f t="shared" si="46"/>
        <v>4.8203427307905118E-2</v>
      </c>
    </row>
    <row r="439" spans="1:11" x14ac:dyDescent="0.25">
      <c r="A439" t="s">
        <v>2342</v>
      </c>
      <c r="C439" t="s">
        <v>2343</v>
      </c>
      <c r="D439" t="s">
        <v>309</v>
      </c>
      <c r="E439" t="s">
        <v>6</v>
      </c>
      <c r="F439" t="s">
        <v>724</v>
      </c>
      <c r="G439">
        <v>72</v>
      </c>
      <c r="H439" s="2">
        <f>Tabelle13[[#This Row],[commits]]/Tabelle13[[#Totals],[commits]]</f>
        <v>3.346409117105728E-4</v>
      </c>
      <c r="I439" s="5">
        <f>Tabelle13[[#This Row],[%]]+I438</f>
        <v>0.81549666288646472</v>
      </c>
      <c r="J439" s="4">
        <f t="shared" si="45"/>
        <v>1.105583195135434E-4</v>
      </c>
      <c r="K439" s="5">
        <f t="shared" si="46"/>
        <v>4.8313985627418662E-2</v>
      </c>
    </row>
    <row r="440" spans="1:11" x14ac:dyDescent="0.25">
      <c r="A440" t="s">
        <v>9328</v>
      </c>
      <c r="C440" t="s">
        <v>9329</v>
      </c>
      <c r="D440" t="s">
        <v>309</v>
      </c>
      <c r="E440" t="s">
        <v>6</v>
      </c>
      <c r="F440" t="s">
        <v>251</v>
      </c>
      <c r="G440">
        <v>72</v>
      </c>
      <c r="H440" s="2">
        <f>Tabelle13[[#This Row],[commits]]/Tabelle13[[#Totals],[commits]]</f>
        <v>3.346409117105728E-4</v>
      </c>
      <c r="I440" s="5">
        <f>Tabelle13[[#This Row],[%]]+I439</f>
        <v>0.81583130379817526</v>
      </c>
      <c r="J440" s="4">
        <f t="shared" si="45"/>
        <v>1.105583195135434E-4</v>
      </c>
      <c r="K440" s="5">
        <f t="shared" si="46"/>
        <v>4.8424543946932207E-2</v>
      </c>
    </row>
    <row r="441" spans="1:11" x14ac:dyDescent="0.25">
      <c r="A441" t="s">
        <v>9330</v>
      </c>
      <c r="C441" t="s">
        <v>9331</v>
      </c>
      <c r="D441" t="s">
        <v>5</v>
      </c>
      <c r="E441" t="s">
        <v>6</v>
      </c>
      <c r="F441" t="s">
        <v>251</v>
      </c>
      <c r="G441">
        <v>72</v>
      </c>
      <c r="H441" s="2">
        <f>Tabelle13[[#This Row],[commits]]/Tabelle13[[#Totals],[commits]]</f>
        <v>3.346409117105728E-4</v>
      </c>
      <c r="I441" s="5">
        <f>Tabelle13[[#This Row],[%]]+I440</f>
        <v>0.81616594470988579</v>
      </c>
      <c r="J441" s="4">
        <f t="shared" si="45"/>
        <v>1.105583195135434E-4</v>
      </c>
      <c r="K441" s="5">
        <f t="shared" si="46"/>
        <v>4.8535102266445751E-2</v>
      </c>
    </row>
    <row r="442" spans="1:11" x14ac:dyDescent="0.25">
      <c r="A442" t="s">
        <v>2344</v>
      </c>
      <c r="C442" t="s">
        <v>2345</v>
      </c>
      <c r="D442" t="s">
        <v>5</v>
      </c>
      <c r="E442" t="s">
        <v>6</v>
      </c>
      <c r="F442" t="s">
        <v>724</v>
      </c>
      <c r="G442">
        <v>71</v>
      </c>
      <c r="H442" s="2">
        <f>Tabelle13[[#This Row],[commits]]/Tabelle13[[#Totals],[commits]]</f>
        <v>3.2999312127014816E-4</v>
      </c>
      <c r="I442" s="5">
        <f>Tabelle13[[#This Row],[%]]+I441</f>
        <v>0.81649593783115593</v>
      </c>
      <c r="J442" s="4">
        <f t="shared" si="45"/>
        <v>1.105583195135434E-4</v>
      </c>
      <c r="K442" s="5">
        <f t="shared" si="46"/>
        <v>4.8645660585959295E-2</v>
      </c>
    </row>
    <row r="443" spans="1:11" x14ac:dyDescent="0.25">
      <c r="A443" t="s">
        <v>9332</v>
      </c>
      <c r="C443" t="s">
        <v>9333</v>
      </c>
      <c r="D443" t="s">
        <v>309</v>
      </c>
      <c r="E443" t="s">
        <v>6</v>
      </c>
      <c r="F443" t="s">
        <v>251</v>
      </c>
      <c r="G443">
        <v>71</v>
      </c>
      <c r="H443" s="2">
        <f>Tabelle13[[#This Row],[commits]]/Tabelle13[[#Totals],[commits]]</f>
        <v>3.2999312127014816E-4</v>
      </c>
      <c r="I443" s="5">
        <f>Tabelle13[[#This Row],[%]]+I442</f>
        <v>0.81682593095242606</v>
      </c>
      <c r="J443" s="4">
        <f t="shared" si="45"/>
        <v>1.105583195135434E-4</v>
      </c>
      <c r="K443" s="5">
        <f t="shared" si="46"/>
        <v>4.875621890547284E-2</v>
      </c>
    </row>
    <row r="444" spans="1:11" x14ac:dyDescent="0.25">
      <c r="A444" t="s">
        <v>9334</v>
      </c>
      <c r="C444" t="s">
        <v>9335</v>
      </c>
      <c r="D444" t="s">
        <v>309</v>
      </c>
      <c r="E444" t="s">
        <v>6</v>
      </c>
      <c r="F444" t="s">
        <v>251</v>
      </c>
      <c r="G444">
        <v>71</v>
      </c>
      <c r="H444" s="2">
        <f>Tabelle13[[#This Row],[commits]]/Tabelle13[[#Totals],[commits]]</f>
        <v>3.2999312127014816E-4</v>
      </c>
      <c r="I444" s="5">
        <f>Tabelle13[[#This Row],[%]]+I443</f>
        <v>0.81715592407369619</v>
      </c>
      <c r="J444" s="4">
        <f t="shared" si="45"/>
        <v>1.105583195135434E-4</v>
      </c>
      <c r="K444" s="5">
        <f t="shared" si="46"/>
        <v>4.8866777224986384E-2</v>
      </c>
    </row>
    <row r="445" spans="1:11" x14ac:dyDescent="0.25">
      <c r="A445" t="s">
        <v>9336</v>
      </c>
      <c r="C445" t="s">
        <v>9337</v>
      </c>
      <c r="D445" t="s">
        <v>309</v>
      </c>
      <c r="E445" t="s">
        <v>6</v>
      </c>
      <c r="F445" t="s">
        <v>251</v>
      </c>
      <c r="G445">
        <v>71</v>
      </c>
      <c r="H445" s="2">
        <f>Tabelle13[[#This Row],[commits]]/Tabelle13[[#Totals],[commits]]</f>
        <v>3.2999312127014816E-4</v>
      </c>
      <c r="I445" s="5">
        <f>Tabelle13[[#This Row],[%]]+I444</f>
        <v>0.81748591719496633</v>
      </c>
      <c r="J445" s="4">
        <f t="shared" si="45"/>
        <v>1.105583195135434E-4</v>
      </c>
      <c r="K445" s="5">
        <f t="shared" si="46"/>
        <v>4.8977335544499928E-2</v>
      </c>
    </row>
    <row r="446" spans="1:11" x14ac:dyDescent="0.25">
      <c r="A446" t="s">
        <v>9338</v>
      </c>
      <c r="C446" t="s">
        <v>9339</v>
      </c>
      <c r="D446" t="s">
        <v>9340</v>
      </c>
      <c r="E446" t="s">
        <v>6</v>
      </c>
      <c r="F446" t="s">
        <v>251</v>
      </c>
      <c r="G446">
        <v>71</v>
      </c>
      <c r="H446" s="2">
        <f>Tabelle13[[#This Row],[commits]]/Tabelle13[[#Totals],[commits]]</f>
        <v>3.2999312127014816E-4</v>
      </c>
      <c r="I446" s="5">
        <f>Tabelle13[[#This Row],[%]]+I445</f>
        <v>0.81781591031623646</v>
      </c>
      <c r="J446" s="4">
        <f t="shared" si="45"/>
        <v>1.105583195135434E-4</v>
      </c>
      <c r="K446" s="5">
        <f t="shared" si="46"/>
        <v>4.9087893864013472E-2</v>
      </c>
    </row>
    <row r="447" spans="1:11" x14ac:dyDescent="0.25">
      <c r="A447" t="s">
        <v>43</v>
      </c>
      <c r="C447" t="s">
        <v>44</v>
      </c>
      <c r="D447" t="s">
        <v>5</v>
      </c>
      <c r="E447" t="s">
        <v>6</v>
      </c>
      <c r="F447" t="s">
        <v>7</v>
      </c>
      <c r="G447">
        <v>69</v>
      </c>
      <c r="H447" s="2">
        <f>Tabelle13[[#This Row],[commits]]/Tabelle13[[#Totals],[commits]]</f>
        <v>3.2069754038929895E-4</v>
      </c>
      <c r="I447" s="5">
        <f>Tabelle13[[#This Row],[%]]+I446</f>
        <v>0.81813660785662579</v>
      </c>
      <c r="J447" s="4">
        <f t="shared" si="45"/>
        <v>1.105583195135434E-4</v>
      </c>
      <c r="K447" s="5">
        <f t="shared" si="46"/>
        <v>4.9198452183527017E-2</v>
      </c>
    </row>
    <row r="448" spans="1:11" x14ac:dyDescent="0.25">
      <c r="A448" t="s">
        <v>2346</v>
      </c>
      <c r="C448" t="s">
        <v>2347</v>
      </c>
      <c r="D448" t="s">
        <v>5</v>
      </c>
      <c r="E448" t="s">
        <v>6</v>
      </c>
      <c r="F448" t="s">
        <v>724</v>
      </c>
      <c r="G448">
        <v>69</v>
      </c>
      <c r="H448" s="2">
        <f>Tabelle13[[#This Row],[commits]]/Tabelle13[[#Totals],[commits]]</f>
        <v>3.2069754038929895E-4</v>
      </c>
      <c r="I448" s="5">
        <f>Tabelle13[[#This Row],[%]]+I447</f>
        <v>0.81845730539701511</v>
      </c>
      <c r="J448" s="4">
        <f t="shared" si="45"/>
        <v>1.105583195135434E-4</v>
      </c>
      <c r="K448" s="5">
        <f t="shared" si="46"/>
        <v>4.9309010503040561E-2</v>
      </c>
    </row>
    <row r="449" spans="1:11" x14ac:dyDescent="0.25">
      <c r="A449" t="s">
        <v>2348</v>
      </c>
      <c r="C449" t="s">
        <v>2349</v>
      </c>
      <c r="D449" t="s">
        <v>5</v>
      </c>
      <c r="E449" t="s">
        <v>6</v>
      </c>
      <c r="F449" t="s">
        <v>724</v>
      </c>
      <c r="G449">
        <v>69</v>
      </c>
      <c r="H449" s="2">
        <f>Tabelle13[[#This Row],[commits]]/Tabelle13[[#Totals],[commits]]</f>
        <v>3.2069754038929895E-4</v>
      </c>
      <c r="I449" s="5">
        <f>Tabelle13[[#This Row],[%]]+I448</f>
        <v>0.81877800293740444</v>
      </c>
      <c r="J449" s="4">
        <f t="shared" si="45"/>
        <v>1.105583195135434E-4</v>
      </c>
      <c r="K449" s="5">
        <f t="shared" si="46"/>
        <v>4.9419568822554105E-2</v>
      </c>
    </row>
    <row r="450" spans="1:11" x14ac:dyDescent="0.25">
      <c r="A450" t="s">
        <v>9341</v>
      </c>
      <c r="C450" t="s">
        <v>9342</v>
      </c>
      <c r="D450" t="s">
        <v>8948</v>
      </c>
      <c r="E450" t="s">
        <v>6</v>
      </c>
      <c r="F450" t="s">
        <v>251</v>
      </c>
      <c r="G450">
        <v>69</v>
      </c>
      <c r="H450" s="2">
        <f>Tabelle13[[#This Row],[commits]]/Tabelle13[[#Totals],[commits]]</f>
        <v>3.2069754038929895E-4</v>
      </c>
      <c r="I450" s="5">
        <f>Tabelle13[[#This Row],[%]]+I449</f>
        <v>0.81909870047779376</v>
      </c>
      <c r="J450" s="4">
        <f t="shared" si="45"/>
        <v>1.105583195135434E-4</v>
      </c>
      <c r="K450" s="5">
        <f t="shared" si="46"/>
        <v>4.9530127142067649E-2</v>
      </c>
    </row>
    <row r="451" spans="1:11" x14ac:dyDescent="0.25">
      <c r="A451" t="s">
        <v>9343</v>
      </c>
      <c r="C451" t="s">
        <v>9344</v>
      </c>
      <c r="D451" t="s">
        <v>8948</v>
      </c>
      <c r="E451" t="s">
        <v>6</v>
      </c>
      <c r="F451" t="s">
        <v>251</v>
      </c>
      <c r="G451">
        <v>69</v>
      </c>
      <c r="H451" s="2">
        <f>Tabelle13[[#This Row],[commits]]/Tabelle13[[#Totals],[commits]]</f>
        <v>3.2069754038929895E-4</v>
      </c>
      <c r="I451" s="5">
        <f>Tabelle13[[#This Row],[%]]+I450</f>
        <v>0.81941939801818309</v>
      </c>
      <c r="J451" s="4">
        <f t="shared" ref="J451:J514" si="47">1/9045</f>
        <v>1.105583195135434E-4</v>
      </c>
      <c r="K451" s="5">
        <f t="shared" si="46"/>
        <v>4.9640685461581194E-2</v>
      </c>
    </row>
    <row r="452" spans="1:11" x14ac:dyDescent="0.25">
      <c r="A452" t="s">
        <v>9345</v>
      </c>
      <c r="C452" t="s">
        <v>9346</v>
      </c>
      <c r="D452" t="s">
        <v>309</v>
      </c>
      <c r="E452" t="s">
        <v>6</v>
      </c>
      <c r="F452" t="s">
        <v>251</v>
      </c>
      <c r="G452">
        <v>69</v>
      </c>
      <c r="H452" s="2">
        <f>Tabelle13[[#This Row],[commits]]/Tabelle13[[#Totals],[commits]]</f>
        <v>3.2069754038929895E-4</v>
      </c>
      <c r="I452" s="5">
        <f>Tabelle13[[#This Row],[%]]+I451</f>
        <v>0.81974009555857241</v>
      </c>
      <c r="J452" s="4">
        <f t="shared" si="47"/>
        <v>1.105583195135434E-4</v>
      </c>
      <c r="K452" s="5">
        <f t="shared" si="46"/>
        <v>4.9751243781094738E-2</v>
      </c>
    </row>
    <row r="453" spans="1:11" x14ac:dyDescent="0.25">
      <c r="A453" t="s">
        <v>9347</v>
      </c>
      <c r="C453" t="s">
        <v>9348</v>
      </c>
      <c r="D453" t="s">
        <v>309</v>
      </c>
      <c r="E453" t="s">
        <v>6</v>
      </c>
      <c r="F453" t="s">
        <v>251</v>
      </c>
      <c r="G453">
        <v>69</v>
      </c>
      <c r="H453" s="2">
        <f>Tabelle13[[#This Row],[commits]]/Tabelle13[[#Totals],[commits]]</f>
        <v>3.2069754038929895E-4</v>
      </c>
      <c r="I453" s="5">
        <f>Tabelle13[[#This Row],[%]]+I452</f>
        <v>0.82006079309896174</v>
      </c>
      <c r="J453" s="4">
        <f t="shared" si="47"/>
        <v>1.105583195135434E-4</v>
      </c>
      <c r="K453" s="5">
        <f t="shared" si="46"/>
        <v>4.9861802100608282E-2</v>
      </c>
    </row>
    <row r="454" spans="1:11" x14ac:dyDescent="0.25">
      <c r="A454" t="s">
        <v>45</v>
      </c>
      <c r="C454" t="s">
        <v>46</v>
      </c>
      <c r="D454" t="s">
        <v>5</v>
      </c>
      <c r="E454" t="s">
        <v>6</v>
      </c>
      <c r="F454" t="s">
        <v>7</v>
      </c>
      <c r="G454">
        <v>68</v>
      </c>
      <c r="H454" s="2">
        <f>Tabelle13[[#This Row],[commits]]/Tabelle13[[#Totals],[commits]]</f>
        <v>3.1604974994887432E-4</v>
      </c>
      <c r="I454" s="5">
        <f>Tabelle13[[#This Row],[%]]+I453</f>
        <v>0.82037684284891066</v>
      </c>
      <c r="J454" s="4">
        <f t="shared" si="47"/>
        <v>1.105583195135434E-4</v>
      </c>
      <c r="K454" s="5">
        <f t="shared" ref="K454:K517" si="48">J454+K453</f>
        <v>4.9972360420121827E-2</v>
      </c>
    </row>
    <row r="455" spans="1:11" x14ac:dyDescent="0.25">
      <c r="A455" t="s">
        <v>2350</v>
      </c>
      <c r="C455" t="s">
        <v>2351</v>
      </c>
      <c r="D455" t="s">
        <v>5</v>
      </c>
      <c r="E455" t="s">
        <v>6</v>
      </c>
      <c r="F455" t="s">
        <v>724</v>
      </c>
      <c r="G455">
        <v>68</v>
      </c>
      <c r="H455" s="2">
        <f>Tabelle13[[#This Row],[commits]]/Tabelle13[[#Totals],[commits]]</f>
        <v>3.1604974994887432E-4</v>
      </c>
      <c r="I455" s="5">
        <f>Tabelle13[[#This Row],[%]]+I454</f>
        <v>0.82069289259885958</v>
      </c>
      <c r="J455" s="4">
        <f t="shared" si="47"/>
        <v>1.105583195135434E-4</v>
      </c>
      <c r="K455" s="5">
        <f t="shared" si="48"/>
        <v>5.0082918739635371E-2</v>
      </c>
    </row>
    <row r="456" spans="1:11" x14ac:dyDescent="0.25">
      <c r="A456" t="s">
        <v>2352</v>
      </c>
      <c r="C456" t="s">
        <v>2353</v>
      </c>
      <c r="D456" t="s">
        <v>5</v>
      </c>
      <c r="E456" t="s">
        <v>6</v>
      </c>
      <c r="F456" t="s">
        <v>724</v>
      </c>
      <c r="G456">
        <v>68</v>
      </c>
      <c r="H456" s="2">
        <f>Tabelle13[[#This Row],[commits]]/Tabelle13[[#Totals],[commits]]</f>
        <v>3.1604974994887432E-4</v>
      </c>
      <c r="I456" s="5">
        <f>Tabelle13[[#This Row],[%]]+I455</f>
        <v>0.8210089423488085</v>
      </c>
      <c r="J456" s="4">
        <f t="shared" si="47"/>
        <v>1.105583195135434E-4</v>
      </c>
      <c r="K456" s="5">
        <f t="shared" si="48"/>
        <v>5.0193477059148915E-2</v>
      </c>
    </row>
    <row r="457" spans="1:11" x14ac:dyDescent="0.25">
      <c r="A457" t="s">
        <v>5211</v>
      </c>
      <c r="C457" t="s">
        <v>187</v>
      </c>
      <c r="D457" t="s">
        <v>5</v>
      </c>
      <c r="E457" t="s">
        <v>6</v>
      </c>
      <c r="F457" t="s">
        <v>28</v>
      </c>
      <c r="G457">
        <v>68</v>
      </c>
      <c r="H457" s="2">
        <f>Tabelle13[[#This Row],[commits]]/Tabelle13[[#Totals],[commits]]</f>
        <v>3.1604974994887432E-4</v>
      </c>
      <c r="I457" s="5">
        <f>Tabelle13[[#This Row],[%]]+I456</f>
        <v>0.82132499209875742</v>
      </c>
      <c r="J457" s="4">
        <f t="shared" si="47"/>
        <v>1.105583195135434E-4</v>
      </c>
      <c r="K457" s="5">
        <f t="shared" si="48"/>
        <v>5.0304035378662459E-2</v>
      </c>
    </row>
    <row r="458" spans="1:11" x14ac:dyDescent="0.25">
      <c r="A458" t="s">
        <v>2354</v>
      </c>
      <c r="C458" t="s">
        <v>2355</v>
      </c>
      <c r="D458" t="s">
        <v>309</v>
      </c>
      <c r="E458" t="s">
        <v>6</v>
      </c>
      <c r="F458" t="s">
        <v>724</v>
      </c>
      <c r="G458">
        <v>67</v>
      </c>
      <c r="H458" s="2">
        <f>Tabelle13[[#This Row],[commits]]/Tabelle13[[#Totals],[commits]]</f>
        <v>3.1140195950844969E-4</v>
      </c>
      <c r="I458" s="5">
        <f>Tabelle13[[#This Row],[%]]+I457</f>
        <v>0.82163639405826583</v>
      </c>
      <c r="J458" s="4">
        <f t="shared" si="47"/>
        <v>1.105583195135434E-4</v>
      </c>
      <c r="K458" s="5">
        <f t="shared" si="48"/>
        <v>5.0414593698176004E-2</v>
      </c>
    </row>
    <row r="459" spans="1:11" x14ac:dyDescent="0.25">
      <c r="A459" t="s">
        <v>5212</v>
      </c>
      <c r="C459" t="s">
        <v>5213</v>
      </c>
      <c r="D459" t="s">
        <v>5</v>
      </c>
      <c r="E459" t="s">
        <v>6</v>
      </c>
      <c r="F459" t="s">
        <v>28</v>
      </c>
      <c r="G459">
        <v>67</v>
      </c>
      <c r="H459" s="2">
        <f>Tabelle13[[#This Row],[commits]]/Tabelle13[[#Totals],[commits]]</f>
        <v>3.1140195950844969E-4</v>
      </c>
      <c r="I459" s="5">
        <f>Tabelle13[[#This Row],[%]]+I458</f>
        <v>0.82194779601777423</v>
      </c>
      <c r="J459" s="4">
        <f t="shared" si="47"/>
        <v>1.105583195135434E-4</v>
      </c>
      <c r="K459" s="5">
        <f t="shared" si="48"/>
        <v>5.0525152017689548E-2</v>
      </c>
    </row>
    <row r="460" spans="1:11" x14ac:dyDescent="0.25">
      <c r="A460" t="s">
        <v>9349</v>
      </c>
      <c r="C460" t="s">
        <v>9350</v>
      </c>
      <c r="D460" t="s">
        <v>8757</v>
      </c>
      <c r="E460" t="s">
        <v>6</v>
      </c>
      <c r="F460" t="s">
        <v>251</v>
      </c>
      <c r="G460">
        <v>67</v>
      </c>
      <c r="H460" s="2">
        <f>Tabelle13[[#This Row],[commits]]/Tabelle13[[#Totals],[commits]]</f>
        <v>3.1140195950844969E-4</v>
      </c>
      <c r="I460" s="5">
        <f>Tabelle13[[#This Row],[%]]+I459</f>
        <v>0.82225919797728264</v>
      </c>
      <c r="J460" s="4">
        <f t="shared" si="47"/>
        <v>1.105583195135434E-4</v>
      </c>
      <c r="K460" s="5">
        <f t="shared" si="48"/>
        <v>5.0635710337203092E-2</v>
      </c>
    </row>
    <row r="461" spans="1:11" x14ac:dyDescent="0.25">
      <c r="A461" t="s">
        <v>9351</v>
      </c>
      <c r="C461" t="s">
        <v>9352</v>
      </c>
      <c r="D461" t="s">
        <v>8760</v>
      </c>
      <c r="E461" t="s">
        <v>6</v>
      </c>
      <c r="F461" t="s">
        <v>251</v>
      </c>
      <c r="G461">
        <v>67</v>
      </c>
      <c r="H461" s="2">
        <f>Tabelle13[[#This Row],[commits]]/Tabelle13[[#Totals],[commits]]</f>
        <v>3.1140195950844969E-4</v>
      </c>
      <c r="I461" s="5">
        <f>Tabelle13[[#This Row],[%]]+I460</f>
        <v>0.82257059993679105</v>
      </c>
      <c r="J461" s="4">
        <f t="shared" si="47"/>
        <v>1.105583195135434E-4</v>
      </c>
      <c r="K461" s="5">
        <f t="shared" si="48"/>
        <v>5.0746268656716637E-2</v>
      </c>
    </row>
    <row r="462" spans="1:11" x14ac:dyDescent="0.25">
      <c r="A462" t="s">
        <v>9353</v>
      </c>
      <c r="C462" t="s">
        <v>9354</v>
      </c>
      <c r="D462" t="s">
        <v>309</v>
      </c>
      <c r="E462" t="s">
        <v>6</v>
      </c>
      <c r="F462" t="s">
        <v>251</v>
      </c>
      <c r="G462">
        <v>67</v>
      </c>
      <c r="H462" s="2">
        <f>Tabelle13[[#This Row],[commits]]/Tabelle13[[#Totals],[commits]]</f>
        <v>3.1140195950844969E-4</v>
      </c>
      <c r="I462" s="5">
        <f>Tabelle13[[#This Row],[%]]+I461</f>
        <v>0.82288200189629945</v>
      </c>
      <c r="J462" s="4">
        <f t="shared" si="47"/>
        <v>1.105583195135434E-4</v>
      </c>
      <c r="K462" s="5">
        <f t="shared" si="48"/>
        <v>5.0856826976230181E-2</v>
      </c>
    </row>
    <row r="463" spans="1:11" x14ac:dyDescent="0.25">
      <c r="A463" t="s">
        <v>9355</v>
      </c>
      <c r="C463" t="s">
        <v>9356</v>
      </c>
      <c r="D463" t="s">
        <v>5</v>
      </c>
      <c r="E463" t="s">
        <v>6</v>
      </c>
      <c r="F463" t="s">
        <v>251</v>
      </c>
      <c r="G463">
        <v>67</v>
      </c>
      <c r="H463" s="2">
        <f>Tabelle13[[#This Row],[commits]]/Tabelle13[[#Totals],[commits]]</f>
        <v>3.1140195950844969E-4</v>
      </c>
      <c r="I463" s="5">
        <f>Tabelle13[[#This Row],[%]]+I462</f>
        <v>0.82319340385580786</v>
      </c>
      <c r="J463" s="4">
        <f t="shared" si="47"/>
        <v>1.105583195135434E-4</v>
      </c>
      <c r="K463" s="5">
        <f t="shared" si="48"/>
        <v>5.0967385295743725E-2</v>
      </c>
    </row>
    <row r="464" spans="1:11" x14ac:dyDescent="0.25">
      <c r="A464" t="s">
        <v>2356</v>
      </c>
      <c r="C464" t="s">
        <v>2357</v>
      </c>
      <c r="D464" t="s">
        <v>309</v>
      </c>
      <c r="E464" t="s">
        <v>6</v>
      </c>
      <c r="F464" t="s">
        <v>724</v>
      </c>
      <c r="G464">
        <v>66</v>
      </c>
      <c r="H464" s="2">
        <f>Tabelle13[[#This Row],[commits]]/Tabelle13[[#Totals],[commits]]</f>
        <v>3.0675416906802505E-4</v>
      </c>
      <c r="I464" s="5">
        <f>Tabelle13[[#This Row],[%]]+I463</f>
        <v>0.82350015802487586</v>
      </c>
      <c r="J464" s="4">
        <f t="shared" si="47"/>
        <v>1.105583195135434E-4</v>
      </c>
      <c r="K464" s="5">
        <f t="shared" si="48"/>
        <v>5.1077943615257269E-2</v>
      </c>
    </row>
    <row r="465" spans="1:11" x14ac:dyDescent="0.25">
      <c r="A465" t="s">
        <v>5214</v>
      </c>
      <c r="C465" t="s">
        <v>5215</v>
      </c>
      <c r="D465" t="s">
        <v>5</v>
      </c>
      <c r="E465" t="s">
        <v>6</v>
      </c>
      <c r="F465" t="s">
        <v>28</v>
      </c>
      <c r="G465">
        <v>66</v>
      </c>
      <c r="H465" s="2">
        <f>Tabelle13[[#This Row],[commits]]/Tabelle13[[#Totals],[commits]]</f>
        <v>3.0675416906802505E-4</v>
      </c>
      <c r="I465" s="5">
        <f>Tabelle13[[#This Row],[%]]+I464</f>
        <v>0.82380691219394386</v>
      </c>
      <c r="J465" s="4">
        <f t="shared" si="47"/>
        <v>1.105583195135434E-4</v>
      </c>
      <c r="K465" s="5">
        <f t="shared" si="48"/>
        <v>5.1188501934770814E-2</v>
      </c>
    </row>
    <row r="466" spans="1:11" x14ac:dyDescent="0.25">
      <c r="A466" t="s">
        <v>5216</v>
      </c>
      <c r="C466" t="s">
        <v>5217</v>
      </c>
      <c r="D466" t="s">
        <v>5</v>
      </c>
      <c r="E466" t="s">
        <v>6</v>
      </c>
      <c r="F466" t="s">
        <v>28</v>
      </c>
      <c r="G466">
        <v>66</v>
      </c>
      <c r="H466" s="2">
        <f>Tabelle13[[#This Row],[commits]]/Tabelle13[[#Totals],[commits]]</f>
        <v>3.0675416906802505E-4</v>
      </c>
      <c r="I466" s="5">
        <f>Tabelle13[[#This Row],[%]]+I465</f>
        <v>0.82411366636301187</v>
      </c>
      <c r="J466" s="4">
        <f t="shared" si="47"/>
        <v>1.105583195135434E-4</v>
      </c>
      <c r="K466" s="5">
        <f t="shared" si="48"/>
        <v>5.1299060254284358E-2</v>
      </c>
    </row>
    <row r="467" spans="1:11" x14ac:dyDescent="0.25">
      <c r="A467" t="s">
        <v>9357</v>
      </c>
      <c r="C467" t="s">
        <v>9358</v>
      </c>
      <c r="D467" t="s">
        <v>309</v>
      </c>
      <c r="E467" t="s">
        <v>6</v>
      </c>
      <c r="F467" t="s">
        <v>251</v>
      </c>
      <c r="G467">
        <v>66</v>
      </c>
      <c r="H467" s="2">
        <f>Tabelle13[[#This Row],[commits]]/Tabelle13[[#Totals],[commits]]</f>
        <v>3.0675416906802505E-4</v>
      </c>
      <c r="I467" s="5">
        <f>Tabelle13[[#This Row],[%]]+I466</f>
        <v>0.82442042053207987</v>
      </c>
      <c r="J467" s="4">
        <f t="shared" si="47"/>
        <v>1.105583195135434E-4</v>
      </c>
      <c r="K467" s="5">
        <f t="shared" si="48"/>
        <v>5.1409618573797902E-2</v>
      </c>
    </row>
    <row r="468" spans="1:11" x14ac:dyDescent="0.25">
      <c r="A468" t="s">
        <v>9359</v>
      </c>
      <c r="C468" t="s">
        <v>938</v>
      </c>
      <c r="D468" t="s">
        <v>5</v>
      </c>
      <c r="E468" t="s">
        <v>6</v>
      </c>
      <c r="F468" t="s">
        <v>251</v>
      </c>
      <c r="G468">
        <v>66</v>
      </c>
      <c r="H468" s="2">
        <f>Tabelle13[[#This Row],[commits]]/Tabelle13[[#Totals],[commits]]</f>
        <v>3.0675416906802505E-4</v>
      </c>
      <c r="I468" s="5">
        <f>Tabelle13[[#This Row],[%]]+I467</f>
        <v>0.82472717470114787</v>
      </c>
      <c r="J468" s="4">
        <f t="shared" si="47"/>
        <v>1.105583195135434E-4</v>
      </c>
      <c r="K468" s="5">
        <f t="shared" si="48"/>
        <v>5.1520176893311447E-2</v>
      </c>
    </row>
    <row r="469" spans="1:11" x14ac:dyDescent="0.25">
      <c r="A469" t="s">
        <v>9360</v>
      </c>
      <c r="C469" t="s">
        <v>9361</v>
      </c>
      <c r="D469" t="s">
        <v>9362</v>
      </c>
      <c r="E469" t="s">
        <v>6</v>
      </c>
      <c r="F469" t="s">
        <v>251</v>
      </c>
      <c r="G469">
        <v>66</v>
      </c>
      <c r="H469" s="2">
        <f>Tabelle13[[#This Row],[commits]]/Tabelle13[[#Totals],[commits]]</f>
        <v>3.0675416906802505E-4</v>
      </c>
      <c r="I469" s="5">
        <f>Tabelle13[[#This Row],[%]]+I468</f>
        <v>0.82503392887021587</v>
      </c>
      <c r="J469" s="4">
        <f t="shared" si="47"/>
        <v>1.105583195135434E-4</v>
      </c>
      <c r="K469" s="5">
        <f t="shared" si="48"/>
        <v>5.1630735212824991E-2</v>
      </c>
    </row>
    <row r="470" spans="1:11" x14ac:dyDescent="0.25">
      <c r="A470" t="s">
        <v>9363</v>
      </c>
      <c r="C470" t="s">
        <v>9364</v>
      </c>
      <c r="D470" t="s">
        <v>309</v>
      </c>
      <c r="E470" t="s">
        <v>6</v>
      </c>
      <c r="F470" t="s">
        <v>251</v>
      </c>
      <c r="G470">
        <v>66</v>
      </c>
      <c r="H470" s="2">
        <f>Tabelle13[[#This Row],[commits]]/Tabelle13[[#Totals],[commits]]</f>
        <v>3.0675416906802505E-4</v>
      </c>
      <c r="I470" s="5">
        <f>Tabelle13[[#This Row],[%]]+I469</f>
        <v>0.82534068303928387</v>
      </c>
      <c r="J470" s="4">
        <f t="shared" si="47"/>
        <v>1.105583195135434E-4</v>
      </c>
      <c r="K470" s="5">
        <f t="shared" si="48"/>
        <v>5.1741293532338535E-2</v>
      </c>
    </row>
    <row r="471" spans="1:11" x14ac:dyDescent="0.25">
      <c r="A471" t="s">
        <v>47</v>
      </c>
      <c r="C471" t="s">
        <v>48</v>
      </c>
      <c r="D471" t="s">
        <v>5</v>
      </c>
      <c r="E471" t="s">
        <v>6</v>
      </c>
      <c r="F471" t="s">
        <v>7</v>
      </c>
      <c r="G471">
        <v>65</v>
      </c>
      <c r="H471" s="2">
        <f>Tabelle13[[#This Row],[commits]]/Tabelle13[[#Totals],[commits]]</f>
        <v>3.0210637862760042E-4</v>
      </c>
      <c r="I471" s="5">
        <f>Tabelle13[[#This Row],[%]]+I470</f>
        <v>0.82564278941791147</v>
      </c>
      <c r="J471" s="4">
        <f t="shared" si="47"/>
        <v>1.105583195135434E-4</v>
      </c>
      <c r="K471" s="5">
        <f t="shared" si="48"/>
        <v>5.1851851851852079E-2</v>
      </c>
    </row>
    <row r="472" spans="1:11" x14ac:dyDescent="0.25">
      <c r="A472" t="s">
        <v>5218</v>
      </c>
      <c r="C472" t="s">
        <v>5219</v>
      </c>
      <c r="D472" t="s">
        <v>5175</v>
      </c>
      <c r="E472" t="s">
        <v>6</v>
      </c>
      <c r="F472" t="s">
        <v>28</v>
      </c>
      <c r="G472">
        <v>65</v>
      </c>
      <c r="H472" s="2">
        <f>Tabelle13[[#This Row],[commits]]/Tabelle13[[#Totals],[commits]]</f>
        <v>3.0210637862760042E-4</v>
      </c>
      <c r="I472" s="5">
        <f>Tabelle13[[#This Row],[%]]+I471</f>
        <v>0.82594489579653907</v>
      </c>
      <c r="J472" s="4">
        <f t="shared" si="47"/>
        <v>1.105583195135434E-4</v>
      </c>
      <c r="K472" s="5">
        <f t="shared" si="48"/>
        <v>5.1962410171365624E-2</v>
      </c>
    </row>
    <row r="473" spans="1:11" x14ac:dyDescent="0.25">
      <c r="A473" t="s">
        <v>9365</v>
      </c>
      <c r="C473" t="s">
        <v>9366</v>
      </c>
      <c r="D473" t="s">
        <v>309</v>
      </c>
      <c r="E473" t="s">
        <v>6</v>
      </c>
      <c r="F473" t="s">
        <v>251</v>
      </c>
      <c r="G473">
        <v>65</v>
      </c>
      <c r="H473" s="2">
        <f>Tabelle13[[#This Row],[commits]]/Tabelle13[[#Totals],[commits]]</f>
        <v>3.0210637862760042E-4</v>
      </c>
      <c r="I473" s="5">
        <f>Tabelle13[[#This Row],[%]]+I472</f>
        <v>0.82624700217516667</v>
      </c>
      <c r="J473" s="4">
        <f t="shared" si="47"/>
        <v>1.105583195135434E-4</v>
      </c>
      <c r="K473" s="5">
        <f t="shared" si="48"/>
        <v>5.2072968490879168E-2</v>
      </c>
    </row>
    <row r="474" spans="1:11" x14ac:dyDescent="0.25">
      <c r="A474" t="s">
        <v>9367</v>
      </c>
      <c r="C474" t="s">
        <v>9368</v>
      </c>
      <c r="D474" t="s">
        <v>309</v>
      </c>
      <c r="E474" t="s">
        <v>6</v>
      </c>
      <c r="F474" t="s">
        <v>251</v>
      </c>
      <c r="G474">
        <v>65</v>
      </c>
      <c r="H474" s="2">
        <f>Tabelle13[[#This Row],[commits]]/Tabelle13[[#Totals],[commits]]</f>
        <v>3.0210637862760042E-4</v>
      </c>
      <c r="I474" s="5">
        <f>Tabelle13[[#This Row],[%]]+I473</f>
        <v>0.82654910855379427</v>
      </c>
      <c r="J474" s="4">
        <f t="shared" si="47"/>
        <v>1.105583195135434E-4</v>
      </c>
      <c r="K474" s="5">
        <f t="shared" si="48"/>
        <v>5.2183526810392712E-2</v>
      </c>
    </row>
    <row r="475" spans="1:11" x14ac:dyDescent="0.25">
      <c r="A475" t="s">
        <v>49</v>
      </c>
      <c r="C475" t="s">
        <v>50</v>
      </c>
      <c r="D475" t="s">
        <v>5</v>
      </c>
      <c r="E475" t="s">
        <v>6</v>
      </c>
      <c r="F475" t="s">
        <v>7</v>
      </c>
      <c r="G475">
        <v>64</v>
      </c>
      <c r="H475" s="2">
        <f>Tabelle13[[#This Row],[commits]]/Tabelle13[[#Totals],[commits]]</f>
        <v>2.9745858818717584E-4</v>
      </c>
      <c r="I475" s="5">
        <f>Tabelle13[[#This Row],[%]]+I474</f>
        <v>0.82684656714198146</v>
      </c>
      <c r="J475" s="4">
        <f t="shared" si="47"/>
        <v>1.105583195135434E-4</v>
      </c>
      <c r="K475" s="5">
        <f t="shared" si="48"/>
        <v>5.2294085129906256E-2</v>
      </c>
    </row>
    <row r="476" spans="1:11" x14ac:dyDescent="0.25">
      <c r="A476" t="s">
        <v>9369</v>
      </c>
      <c r="C476" t="s">
        <v>9370</v>
      </c>
      <c r="D476" t="s">
        <v>309</v>
      </c>
      <c r="E476" t="s">
        <v>6</v>
      </c>
      <c r="F476" t="s">
        <v>251</v>
      </c>
      <c r="G476">
        <v>64</v>
      </c>
      <c r="H476" s="2">
        <f>Tabelle13[[#This Row],[commits]]/Tabelle13[[#Totals],[commits]]</f>
        <v>2.9745858818717584E-4</v>
      </c>
      <c r="I476" s="5">
        <f>Tabelle13[[#This Row],[%]]+I475</f>
        <v>0.82714402573016865</v>
      </c>
      <c r="J476" s="4">
        <f t="shared" si="47"/>
        <v>1.105583195135434E-4</v>
      </c>
      <c r="K476" s="5">
        <f t="shared" si="48"/>
        <v>5.2404643449419801E-2</v>
      </c>
    </row>
    <row r="477" spans="1:11" x14ac:dyDescent="0.25">
      <c r="A477" t="s">
        <v>9371</v>
      </c>
      <c r="C477" t="s">
        <v>9372</v>
      </c>
      <c r="D477" t="s">
        <v>309</v>
      </c>
      <c r="E477" t="s">
        <v>6</v>
      </c>
      <c r="F477" t="s">
        <v>251</v>
      </c>
      <c r="G477">
        <v>64</v>
      </c>
      <c r="H477" s="2">
        <f>Tabelle13[[#This Row],[commits]]/Tabelle13[[#Totals],[commits]]</f>
        <v>2.9745858818717584E-4</v>
      </c>
      <c r="I477" s="5">
        <f>Tabelle13[[#This Row],[%]]+I476</f>
        <v>0.82744148431835585</v>
      </c>
      <c r="J477" s="4">
        <f t="shared" si="47"/>
        <v>1.105583195135434E-4</v>
      </c>
      <c r="K477" s="5">
        <f t="shared" si="48"/>
        <v>5.2515201768933345E-2</v>
      </c>
    </row>
    <row r="478" spans="1:11" x14ac:dyDescent="0.25">
      <c r="A478" t="s">
        <v>2358</v>
      </c>
      <c r="C478" t="s">
        <v>2359</v>
      </c>
      <c r="D478" t="s">
        <v>309</v>
      </c>
      <c r="E478" t="s">
        <v>6</v>
      </c>
      <c r="F478" t="s">
        <v>724</v>
      </c>
      <c r="G478">
        <v>63</v>
      </c>
      <c r="H478" s="2">
        <f>Tabelle13[[#This Row],[commits]]/Tabelle13[[#Totals],[commits]]</f>
        <v>2.9281079774675121E-4</v>
      </c>
      <c r="I478" s="5">
        <f>Tabelle13[[#This Row],[%]]+I477</f>
        <v>0.82773429511610264</v>
      </c>
      <c r="J478" s="4">
        <f t="shared" si="47"/>
        <v>1.105583195135434E-4</v>
      </c>
      <c r="K478" s="5">
        <f t="shared" si="48"/>
        <v>5.2625760088446889E-2</v>
      </c>
    </row>
    <row r="479" spans="1:11" x14ac:dyDescent="0.25">
      <c r="A479" t="s">
        <v>9373</v>
      </c>
      <c r="C479" t="s">
        <v>9374</v>
      </c>
      <c r="D479" t="s">
        <v>309</v>
      </c>
      <c r="E479" t="s">
        <v>6</v>
      </c>
      <c r="F479" t="s">
        <v>251</v>
      </c>
      <c r="G479">
        <v>63</v>
      </c>
      <c r="H479" s="2">
        <f>Tabelle13[[#This Row],[commits]]/Tabelle13[[#Totals],[commits]]</f>
        <v>2.9281079774675121E-4</v>
      </c>
      <c r="I479" s="5">
        <f>Tabelle13[[#This Row],[%]]+I478</f>
        <v>0.82802710591384943</v>
      </c>
      <c r="J479" s="4">
        <f t="shared" si="47"/>
        <v>1.105583195135434E-4</v>
      </c>
      <c r="K479" s="5">
        <f t="shared" si="48"/>
        <v>5.2736318407960434E-2</v>
      </c>
    </row>
    <row r="480" spans="1:11" x14ac:dyDescent="0.25">
      <c r="A480" t="s">
        <v>9375</v>
      </c>
      <c r="C480" t="s">
        <v>9376</v>
      </c>
      <c r="D480" t="s">
        <v>309</v>
      </c>
      <c r="E480" t="s">
        <v>6</v>
      </c>
      <c r="F480" t="s">
        <v>251</v>
      </c>
      <c r="G480">
        <v>63</v>
      </c>
      <c r="H480" s="2">
        <f>Tabelle13[[#This Row],[commits]]/Tabelle13[[#Totals],[commits]]</f>
        <v>2.9281079774675121E-4</v>
      </c>
      <c r="I480" s="5">
        <f>Tabelle13[[#This Row],[%]]+I479</f>
        <v>0.82831991671159622</v>
      </c>
      <c r="J480" s="4">
        <f t="shared" si="47"/>
        <v>1.105583195135434E-4</v>
      </c>
      <c r="K480" s="5">
        <f t="shared" si="48"/>
        <v>5.2846876727473978E-2</v>
      </c>
    </row>
    <row r="481" spans="1:11" x14ac:dyDescent="0.25">
      <c r="A481" t="s">
        <v>9377</v>
      </c>
      <c r="C481" t="s">
        <v>9378</v>
      </c>
      <c r="D481" t="s">
        <v>9379</v>
      </c>
      <c r="E481" t="s">
        <v>6</v>
      </c>
      <c r="F481" t="s">
        <v>251</v>
      </c>
      <c r="G481">
        <v>63</v>
      </c>
      <c r="H481" s="2">
        <f>Tabelle13[[#This Row],[commits]]/Tabelle13[[#Totals],[commits]]</f>
        <v>2.9281079774675121E-4</v>
      </c>
      <c r="I481" s="5">
        <f>Tabelle13[[#This Row],[%]]+I480</f>
        <v>0.82861272750934301</v>
      </c>
      <c r="J481" s="4">
        <f t="shared" si="47"/>
        <v>1.105583195135434E-4</v>
      </c>
      <c r="K481" s="5">
        <f t="shared" si="48"/>
        <v>5.2957435046987522E-2</v>
      </c>
    </row>
    <row r="482" spans="1:11" x14ac:dyDescent="0.25">
      <c r="A482" t="s">
        <v>9380</v>
      </c>
      <c r="C482" t="s">
        <v>9381</v>
      </c>
      <c r="D482" t="s">
        <v>309</v>
      </c>
      <c r="E482" t="s">
        <v>6</v>
      </c>
      <c r="F482" t="s">
        <v>251</v>
      </c>
      <c r="G482">
        <v>63</v>
      </c>
      <c r="H482" s="2">
        <f>Tabelle13[[#This Row],[commits]]/Tabelle13[[#Totals],[commits]]</f>
        <v>2.9281079774675121E-4</v>
      </c>
      <c r="I482" s="5">
        <f>Tabelle13[[#This Row],[%]]+I481</f>
        <v>0.8289055383070898</v>
      </c>
      <c r="J482" s="4">
        <f t="shared" si="47"/>
        <v>1.105583195135434E-4</v>
      </c>
      <c r="K482" s="5">
        <f t="shared" si="48"/>
        <v>5.3067993366501066E-2</v>
      </c>
    </row>
    <row r="483" spans="1:11" x14ac:dyDescent="0.25">
      <c r="A483" t="s">
        <v>9382</v>
      </c>
      <c r="C483" t="s">
        <v>9383</v>
      </c>
      <c r="D483" t="s">
        <v>309</v>
      </c>
      <c r="E483" t="s">
        <v>6</v>
      </c>
      <c r="F483" t="s">
        <v>251</v>
      </c>
      <c r="G483">
        <v>63</v>
      </c>
      <c r="H483" s="2">
        <f>Tabelle13[[#This Row],[commits]]/Tabelle13[[#Totals],[commits]]</f>
        <v>2.9281079774675121E-4</v>
      </c>
      <c r="I483" s="5">
        <f>Tabelle13[[#This Row],[%]]+I482</f>
        <v>0.82919834910483659</v>
      </c>
      <c r="J483" s="4">
        <f t="shared" si="47"/>
        <v>1.105583195135434E-4</v>
      </c>
      <c r="K483" s="5">
        <f t="shared" si="48"/>
        <v>5.3178551686014611E-2</v>
      </c>
    </row>
    <row r="484" spans="1:11" x14ac:dyDescent="0.25">
      <c r="A484" t="s">
        <v>9384</v>
      </c>
      <c r="C484" t="s">
        <v>9385</v>
      </c>
      <c r="D484" t="s">
        <v>5</v>
      </c>
      <c r="E484" t="s">
        <v>6</v>
      </c>
      <c r="F484" t="s">
        <v>251</v>
      </c>
      <c r="G484">
        <v>63</v>
      </c>
      <c r="H484" s="2">
        <f>Tabelle13[[#This Row],[commits]]/Tabelle13[[#Totals],[commits]]</f>
        <v>2.9281079774675121E-4</v>
      </c>
      <c r="I484" s="5">
        <f>Tabelle13[[#This Row],[%]]+I483</f>
        <v>0.82949115990258337</v>
      </c>
      <c r="J484" s="4">
        <f t="shared" si="47"/>
        <v>1.105583195135434E-4</v>
      </c>
      <c r="K484" s="5">
        <f t="shared" si="48"/>
        <v>5.3289110005528155E-2</v>
      </c>
    </row>
    <row r="485" spans="1:11" x14ac:dyDescent="0.25">
      <c r="A485" t="s">
        <v>51</v>
      </c>
      <c r="C485" t="s">
        <v>52</v>
      </c>
      <c r="D485" t="s">
        <v>5</v>
      </c>
      <c r="E485" t="s">
        <v>6</v>
      </c>
      <c r="F485" t="s">
        <v>7</v>
      </c>
      <c r="G485">
        <v>62</v>
      </c>
      <c r="H485" s="2">
        <f>Tabelle13[[#This Row],[commits]]/Tabelle13[[#Totals],[commits]]</f>
        <v>2.8816300730632658E-4</v>
      </c>
      <c r="I485" s="5">
        <f>Tabelle13[[#This Row],[%]]+I484</f>
        <v>0.82977932290988965</v>
      </c>
      <c r="J485" s="4">
        <f t="shared" si="47"/>
        <v>1.105583195135434E-4</v>
      </c>
      <c r="K485" s="5">
        <f t="shared" si="48"/>
        <v>5.3399668325041699E-2</v>
      </c>
    </row>
    <row r="486" spans="1:11" x14ac:dyDescent="0.25">
      <c r="A486" t="s">
        <v>2360</v>
      </c>
      <c r="C486" t="s">
        <v>2361</v>
      </c>
      <c r="D486" t="s">
        <v>5</v>
      </c>
      <c r="E486" t="s">
        <v>6</v>
      </c>
      <c r="F486" t="s">
        <v>724</v>
      </c>
      <c r="G486">
        <v>62</v>
      </c>
      <c r="H486" s="2">
        <f>Tabelle13[[#This Row],[commits]]/Tabelle13[[#Totals],[commits]]</f>
        <v>2.8816300730632658E-4</v>
      </c>
      <c r="I486" s="5">
        <f>Tabelle13[[#This Row],[%]]+I485</f>
        <v>0.83006748591719592</v>
      </c>
      <c r="J486" s="4">
        <f t="shared" si="47"/>
        <v>1.105583195135434E-4</v>
      </c>
      <c r="K486" s="5">
        <f t="shared" si="48"/>
        <v>5.3510226644555244E-2</v>
      </c>
    </row>
    <row r="487" spans="1:11" x14ac:dyDescent="0.25">
      <c r="A487" t="s">
        <v>2362</v>
      </c>
      <c r="C487" t="s">
        <v>2363</v>
      </c>
      <c r="D487" t="s">
        <v>5</v>
      </c>
      <c r="E487" t="s">
        <v>6</v>
      </c>
      <c r="F487" t="s">
        <v>724</v>
      </c>
      <c r="G487">
        <v>62</v>
      </c>
      <c r="H487" s="2">
        <f>Tabelle13[[#This Row],[commits]]/Tabelle13[[#Totals],[commits]]</f>
        <v>2.8816300730632658E-4</v>
      </c>
      <c r="I487" s="5">
        <f>Tabelle13[[#This Row],[%]]+I486</f>
        <v>0.8303556489245022</v>
      </c>
      <c r="J487" s="4">
        <f t="shared" si="47"/>
        <v>1.105583195135434E-4</v>
      </c>
      <c r="K487" s="5">
        <f t="shared" si="48"/>
        <v>5.3620784964068788E-2</v>
      </c>
    </row>
    <row r="488" spans="1:11" x14ac:dyDescent="0.25">
      <c r="A488" t="s">
        <v>9386</v>
      </c>
      <c r="C488" t="s">
        <v>9387</v>
      </c>
      <c r="D488" t="s">
        <v>5</v>
      </c>
      <c r="E488" t="s">
        <v>6</v>
      </c>
      <c r="F488" t="s">
        <v>251</v>
      </c>
      <c r="G488">
        <v>62</v>
      </c>
      <c r="H488" s="2">
        <f>Tabelle13[[#This Row],[commits]]/Tabelle13[[#Totals],[commits]]</f>
        <v>2.8816300730632658E-4</v>
      </c>
      <c r="I488" s="5">
        <f>Tabelle13[[#This Row],[%]]+I487</f>
        <v>0.83064381193180847</v>
      </c>
      <c r="J488" s="4">
        <f t="shared" si="47"/>
        <v>1.105583195135434E-4</v>
      </c>
      <c r="K488" s="5">
        <f t="shared" si="48"/>
        <v>5.3731343283582332E-2</v>
      </c>
    </row>
    <row r="489" spans="1:11" x14ac:dyDescent="0.25">
      <c r="A489" t="s">
        <v>2364</v>
      </c>
      <c r="C489" t="s">
        <v>2317</v>
      </c>
      <c r="D489" t="s">
        <v>309</v>
      </c>
      <c r="E489" t="s">
        <v>6</v>
      </c>
      <c r="F489" t="s">
        <v>724</v>
      </c>
      <c r="G489">
        <v>61</v>
      </c>
      <c r="H489" s="2">
        <f>Tabelle13[[#This Row],[commits]]/Tabelle13[[#Totals],[commits]]</f>
        <v>2.8351521686590194E-4</v>
      </c>
      <c r="I489" s="5">
        <f>Tabelle13[[#This Row],[%]]+I488</f>
        <v>0.83092732714867434</v>
      </c>
      <c r="J489" s="4">
        <f t="shared" si="47"/>
        <v>1.105583195135434E-4</v>
      </c>
      <c r="K489" s="5">
        <f t="shared" si="48"/>
        <v>5.3841901603095876E-2</v>
      </c>
    </row>
    <row r="490" spans="1:11" x14ac:dyDescent="0.25">
      <c r="A490" t="s">
        <v>9388</v>
      </c>
      <c r="C490" t="s">
        <v>9389</v>
      </c>
      <c r="D490" t="s">
        <v>5</v>
      </c>
      <c r="E490" t="s">
        <v>6</v>
      </c>
      <c r="F490" t="s">
        <v>251</v>
      </c>
      <c r="G490">
        <v>61</v>
      </c>
      <c r="H490" s="2">
        <f>Tabelle13[[#This Row],[commits]]/Tabelle13[[#Totals],[commits]]</f>
        <v>2.8351521686590194E-4</v>
      </c>
      <c r="I490" s="5">
        <f>Tabelle13[[#This Row],[%]]+I489</f>
        <v>0.83121084236554021</v>
      </c>
      <c r="J490" s="4">
        <f t="shared" si="47"/>
        <v>1.105583195135434E-4</v>
      </c>
      <c r="K490" s="5">
        <f t="shared" si="48"/>
        <v>5.3952459922609421E-2</v>
      </c>
    </row>
    <row r="491" spans="1:11" x14ac:dyDescent="0.25">
      <c r="A491" t="s">
        <v>9390</v>
      </c>
      <c r="C491" t="s">
        <v>9391</v>
      </c>
      <c r="D491" t="s">
        <v>5</v>
      </c>
      <c r="E491" t="s">
        <v>6</v>
      </c>
      <c r="F491" t="s">
        <v>251</v>
      </c>
      <c r="G491">
        <v>61</v>
      </c>
      <c r="H491" s="2">
        <f>Tabelle13[[#This Row],[commits]]/Tabelle13[[#Totals],[commits]]</f>
        <v>2.8351521686590194E-4</v>
      </c>
      <c r="I491" s="5">
        <f>Tabelle13[[#This Row],[%]]+I490</f>
        <v>0.83149435758240609</v>
      </c>
      <c r="J491" s="4">
        <f t="shared" si="47"/>
        <v>1.105583195135434E-4</v>
      </c>
      <c r="K491" s="5">
        <f t="shared" si="48"/>
        <v>5.4063018242122965E-2</v>
      </c>
    </row>
    <row r="492" spans="1:11" x14ac:dyDescent="0.25">
      <c r="A492" t="s">
        <v>2365</v>
      </c>
      <c r="C492" t="s">
        <v>2366</v>
      </c>
      <c r="D492" t="s">
        <v>5</v>
      </c>
      <c r="E492" t="s">
        <v>6</v>
      </c>
      <c r="F492" t="s">
        <v>724</v>
      </c>
      <c r="G492">
        <v>60</v>
      </c>
      <c r="H492" s="2">
        <f>Tabelle13[[#This Row],[commits]]/Tabelle13[[#Totals],[commits]]</f>
        <v>2.7886742642547731E-4</v>
      </c>
      <c r="I492" s="5">
        <f>Tabelle13[[#This Row],[%]]+I491</f>
        <v>0.83177322500883155</v>
      </c>
      <c r="J492" s="4">
        <f t="shared" si="47"/>
        <v>1.105583195135434E-4</v>
      </c>
      <c r="K492" s="5">
        <f t="shared" si="48"/>
        <v>5.4173576561636509E-2</v>
      </c>
    </row>
    <row r="493" spans="1:11" x14ac:dyDescent="0.25">
      <c r="A493" t="s">
        <v>2367</v>
      </c>
      <c r="C493" t="s">
        <v>2368</v>
      </c>
      <c r="D493" t="s">
        <v>309</v>
      </c>
      <c r="E493" t="s">
        <v>6</v>
      </c>
      <c r="F493" t="s">
        <v>724</v>
      </c>
      <c r="G493">
        <v>60</v>
      </c>
      <c r="H493" s="2">
        <f>Tabelle13[[#This Row],[commits]]/Tabelle13[[#Totals],[commits]]</f>
        <v>2.7886742642547731E-4</v>
      </c>
      <c r="I493" s="5">
        <f>Tabelle13[[#This Row],[%]]+I492</f>
        <v>0.83205209243525702</v>
      </c>
      <c r="J493" s="4">
        <f t="shared" si="47"/>
        <v>1.105583195135434E-4</v>
      </c>
      <c r="K493" s="5">
        <f t="shared" si="48"/>
        <v>5.4284134881150053E-2</v>
      </c>
    </row>
    <row r="494" spans="1:11" x14ac:dyDescent="0.25">
      <c r="A494" t="s">
        <v>9392</v>
      </c>
      <c r="C494" t="s">
        <v>9393</v>
      </c>
      <c r="D494" t="s">
        <v>309</v>
      </c>
      <c r="E494" t="s">
        <v>6</v>
      </c>
      <c r="F494" t="s">
        <v>251</v>
      </c>
      <c r="G494">
        <v>60</v>
      </c>
      <c r="H494" s="2">
        <f>Tabelle13[[#This Row],[commits]]/Tabelle13[[#Totals],[commits]]</f>
        <v>2.7886742642547731E-4</v>
      </c>
      <c r="I494" s="5">
        <f>Tabelle13[[#This Row],[%]]+I493</f>
        <v>0.83233095986168248</v>
      </c>
      <c r="J494" s="4">
        <f t="shared" si="47"/>
        <v>1.105583195135434E-4</v>
      </c>
      <c r="K494" s="5">
        <f t="shared" si="48"/>
        <v>5.4394693200663598E-2</v>
      </c>
    </row>
    <row r="495" spans="1:11" x14ac:dyDescent="0.25">
      <c r="A495" t="s">
        <v>9394</v>
      </c>
      <c r="C495" t="s">
        <v>9395</v>
      </c>
      <c r="D495" t="s">
        <v>8948</v>
      </c>
      <c r="E495" t="s">
        <v>6</v>
      </c>
      <c r="F495" t="s">
        <v>251</v>
      </c>
      <c r="G495">
        <v>60</v>
      </c>
      <c r="H495" s="2">
        <f>Tabelle13[[#This Row],[commits]]/Tabelle13[[#Totals],[commits]]</f>
        <v>2.7886742642547731E-4</v>
      </c>
      <c r="I495" s="5">
        <f>Tabelle13[[#This Row],[%]]+I494</f>
        <v>0.83260982728810795</v>
      </c>
      <c r="J495" s="4">
        <f t="shared" si="47"/>
        <v>1.105583195135434E-4</v>
      </c>
      <c r="K495" s="5">
        <f t="shared" si="48"/>
        <v>5.4505251520177142E-2</v>
      </c>
    </row>
    <row r="496" spans="1:11" x14ac:dyDescent="0.25">
      <c r="A496" t="s">
        <v>9396</v>
      </c>
      <c r="C496" t="s">
        <v>9397</v>
      </c>
      <c r="D496" t="s">
        <v>309</v>
      </c>
      <c r="E496" t="s">
        <v>6</v>
      </c>
      <c r="F496" t="s">
        <v>251</v>
      </c>
      <c r="G496">
        <v>60</v>
      </c>
      <c r="H496" s="2">
        <f>Tabelle13[[#This Row],[commits]]/Tabelle13[[#Totals],[commits]]</f>
        <v>2.7886742642547731E-4</v>
      </c>
      <c r="I496" s="5">
        <f>Tabelle13[[#This Row],[%]]+I495</f>
        <v>0.83288869471453342</v>
      </c>
      <c r="J496" s="4">
        <f t="shared" si="47"/>
        <v>1.105583195135434E-4</v>
      </c>
      <c r="K496" s="5">
        <f t="shared" si="48"/>
        <v>5.4615809839690686E-2</v>
      </c>
    </row>
    <row r="497" spans="1:11" x14ac:dyDescent="0.25">
      <c r="A497" t="s">
        <v>9398</v>
      </c>
      <c r="C497" t="s">
        <v>9399</v>
      </c>
      <c r="D497" t="s">
        <v>8948</v>
      </c>
      <c r="E497" t="s">
        <v>6</v>
      </c>
      <c r="F497" t="s">
        <v>251</v>
      </c>
      <c r="G497">
        <v>60</v>
      </c>
      <c r="H497" s="2">
        <f>Tabelle13[[#This Row],[commits]]/Tabelle13[[#Totals],[commits]]</f>
        <v>2.7886742642547731E-4</v>
      </c>
      <c r="I497" s="5">
        <f>Tabelle13[[#This Row],[%]]+I496</f>
        <v>0.83316756214095888</v>
      </c>
      <c r="J497" s="4">
        <f t="shared" si="47"/>
        <v>1.105583195135434E-4</v>
      </c>
      <c r="K497" s="5">
        <f t="shared" si="48"/>
        <v>5.4726368159204231E-2</v>
      </c>
    </row>
    <row r="498" spans="1:11" x14ac:dyDescent="0.25">
      <c r="A498" t="s">
        <v>53</v>
      </c>
      <c r="C498" t="s">
        <v>54</v>
      </c>
      <c r="D498" t="s">
        <v>5</v>
      </c>
      <c r="E498" t="s">
        <v>6</v>
      </c>
      <c r="F498" t="s">
        <v>7</v>
      </c>
      <c r="G498">
        <v>59</v>
      </c>
      <c r="H498" s="2">
        <f>Tabelle13[[#This Row],[commits]]/Tabelle13[[#Totals],[commits]]</f>
        <v>2.7421963598505273E-4</v>
      </c>
      <c r="I498" s="5">
        <f>Tabelle13[[#This Row],[%]]+I497</f>
        <v>0.83344178177694395</v>
      </c>
      <c r="J498" s="4">
        <f t="shared" si="47"/>
        <v>1.105583195135434E-4</v>
      </c>
      <c r="K498" s="5">
        <f t="shared" si="48"/>
        <v>5.4836926478717775E-2</v>
      </c>
    </row>
    <row r="499" spans="1:11" x14ac:dyDescent="0.25">
      <c r="A499" t="s">
        <v>2369</v>
      </c>
      <c r="C499" t="s">
        <v>2307</v>
      </c>
      <c r="D499" t="s">
        <v>5</v>
      </c>
      <c r="E499" t="s">
        <v>6</v>
      </c>
      <c r="F499" t="s">
        <v>724</v>
      </c>
      <c r="G499">
        <v>59</v>
      </c>
      <c r="H499" s="2">
        <f>Tabelle13[[#This Row],[commits]]/Tabelle13[[#Totals],[commits]]</f>
        <v>2.7421963598505273E-4</v>
      </c>
      <c r="I499" s="5">
        <f>Tabelle13[[#This Row],[%]]+I498</f>
        <v>0.83371600141292901</v>
      </c>
      <c r="J499" s="4">
        <f t="shared" si="47"/>
        <v>1.105583195135434E-4</v>
      </c>
      <c r="K499" s="5">
        <f t="shared" si="48"/>
        <v>5.4947484798231319E-2</v>
      </c>
    </row>
    <row r="500" spans="1:11" x14ac:dyDescent="0.25">
      <c r="A500" t="s">
        <v>2370</v>
      </c>
      <c r="C500" t="s">
        <v>2371</v>
      </c>
      <c r="D500" t="s">
        <v>5</v>
      </c>
      <c r="E500" t="s">
        <v>6</v>
      </c>
      <c r="F500" t="s">
        <v>724</v>
      </c>
      <c r="G500">
        <v>59</v>
      </c>
      <c r="H500" s="2">
        <f>Tabelle13[[#This Row],[commits]]/Tabelle13[[#Totals],[commits]]</f>
        <v>2.7421963598505273E-4</v>
      </c>
      <c r="I500" s="5">
        <f>Tabelle13[[#This Row],[%]]+I499</f>
        <v>0.83399022104891407</v>
      </c>
      <c r="J500" s="4">
        <f t="shared" si="47"/>
        <v>1.105583195135434E-4</v>
      </c>
      <c r="K500" s="5">
        <f t="shared" si="48"/>
        <v>5.5058043117744863E-2</v>
      </c>
    </row>
    <row r="501" spans="1:11" x14ac:dyDescent="0.25">
      <c r="A501" t="s">
        <v>9400</v>
      </c>
      <c r="C501" t="s">
        <v>9401</v>
      </c>
      <c r="D501" t="s">
        <v>309</v>
      </c>
      <c r="E501" t="s">
        <v>6</v>
      </c>
      <c r="F501" t="s">
        <v>251</v>
      </c>
      <c r="G501">
        <v>59</v>
      </c>
      <c r="H501" s="2">
        <f>Tabelle13[[#This Row],[commits]]/Tabelle13[[#Totals],[commits]]</f>
        <v>2.7421963598505273E-4</v>
      </c>
      <c r="I501" s="5">
        <f>Tabelle13[[#This Row],[%]]+I500</f>
        <v>0.83426444068489913</v>
      </c>
      <c r="J501" s="4">
        <f t="shared" si="47"/>
        <v>1.105583195135434E-4</v>
      </c>
      <c r="K501" s="5">
        <f t="shared" si="48"/>
        <v>5.5168601437258408E-2</v>
      </c>
    </row>
    <row r="502" spans="1:11" x14ac:dyDescent="0.25">
      <c r="A502" t="s">
        <v>9402</v>
      </c>
      <c r="C502" t="s">
        <v>9403</v>
      </c>
      <c r="D502" t="s">
        <v>309</v>
      </c>
      <c r="E502" t="s">
        <v>6</v>
      </c>
      <c r="F502" t="s">
        <v>251</v>
      </c>
      <c r="G502">
        <v>59</v>
      </c>
      <c r="H502" s="2">
        <f>Tabelle13[[#This Row],[commits]]/Tabelle13[[#Totals],[commits]]</f>
        <v>2.7421963598505273E-4</v>
      </c>
      <c r="I502" s="5">
        <f>Tabelle13[[#This Row],[%]]+I501</f>
        <v>0.8345386603208842</v>
      </c>
      <c r="J502" s="4">
        <f t="shared" si="47"/>
        <v>1.105583195135434E-4</v>
      </c>
      <c r="K502" s="5">
        <f t="shared" si="48"/>
        <v>5.5279159756771952E-2</v>
      </c>
    </row>
    <row r="503" spans="1:11" x14ac:dyDescent="0.25">
      <c r="A503" t="s">
        <v>9404</v>
      </c>
      <c r="C503" t="s">
        <v>9405</v>
      </c>
      <c r="D503" t="s">
        <v>9406</v>
      </c>
      <c r="E503" t="s">
        <v>6</v>
      </c>
      <c r="F503" t="s">
        <v>251</v>
      </c>
      <c r="G503">
        <v>59</v>
      </c>
      <c r="H503" s="2">
        <f>Tabelle13[[#This Row],[commits]]/Tabelle13[[#Totals],[commits]]</f>
        <v>2.7421963598505273E-4</v>
      </c>
      <c r="I503" s="5">
        <f>Tabelle13[[#This Row],[%]]+I502</f>
        <v>0.83481287995686926</v>
      </c>
      <c r="J503" s="4">
        <f t="shared" si="47"/>
        <v>1.105583195135434E-4</v>
      </c>
      <c r="K503" s="5">
        <f t="shared" si="48"/>
        <v>5.5389718076285496E-2</v>
      </c>
    </row>
    <row r="504" spans="1:11" x14ac:dyDescent="0.25">
      <c r="A504" t="s">
        <v>9407</v>
      </c>
      <c r="C504" t="s">
        <v>9408</v>
      </c>
      <c r="D504" t="s">
        <v>5</v>
      </c>
      <c r="E504" t="s">
        <v>6</v>
      </c>
      <c r="F504" t="s">
        <v>251</v>
      </c>
      <c r="G504">
        <v>59</v>
      </c>
      <c r="H504" s="2">
        <f>Tabelle13[[#This Row],[commits]]/Tabelle13[[#Totals],[commits]]</f>
        <v>2.7421963598505273E-4</v>
      </c>
      <c r="I504" s="5">
        <f>Tabelle13[[#This Row],[%]]+I503</f>
        <v>0.83508709959285432</v>
      </c>
      <c r="J504" s="4">
        <f t="shared" si="47"/>
        <v>1.105583195135434E-4</v>
      </c>
      <c r="K504" s="5">
        <f t="shared" si="48"/>
        <v>5.5500276395799041E-2</v>
      </c>
    </row>
    <row r="505" spans="1:11" x14ac:dyDescent="0.25">
      <c r="A505" t="s">
        <v>2372</v>
      </c>
      <c r="C505" t="s">
        <v>2373</v>
      </c>
      <c r="D505" t="s">
        <v>5</v>
      </c>
      <c r="E505" t="s">
        <v>6</v>
      </c>
      <c r="F505" t="s">
        <v>724</v>
      </c>
      <c r="G505">
        <v>58</v>
      </c>
      <c r="H505" s="2">
        <f>Tabelle13[[#This Row],[commits]]/Tabelle13[[#Totals],[commits]]</f>
        <v>2.695718455446281E-4</v>
      </c>
      <c r="I505" s="5">
        <f>Tabelle13[[#This Row],[%]]+I504</f>
        <v>0.83535667143839898</v>
      </c>
      <c r="J505" s="4">
        <f t="shared" si="47"/>
        <v>1.105583195135434E-4</v>
      </c>
      <c r="K505" s="5">
        <f t="shared" si="48"/>
        <v>5.5610834715312585E-2</v>
      </c>
    </row>
    <row r="506" spans="1:11" x14ac:dyDescent="0.25">
      <c r="A506" t="s">
        <v>9409</v>
      </c>
      <c r="C506" t="s">
        <v>9410</v>
      </c>
      <c r="D506" t="s">
        <v>309</v>
      </c>
      <c r="E506" t="s">
        <v>6</v>
      </c>
      <c r="F506" t="s">
        <v>251</v>
      </c>
      <c r="G506">
        <v>58</v>
      </c>
      <c r="H506" s="2">
        <f>Tabelle13[[#This Row],[commits]]/Tabelle13[[#Totals],[commits]]</f>
        <v>2.695718455446281E-4</v>
      </c>
      <c r="I506" s="5">
        <f>Tabelle13[[#This Row],[%]]+I505</f>
        <v>0.83562624328394364</v>
      </c>
      <c r="J506" s="4">
        <f t="shared" si="47"/>
        <v>1.105583195135434E-4</v>
      </c>
      <c r="K506" s="5">
        <f t="shared" si="48"/>
        <v>5.5721393034826129E-2</v>
      </c>
    </row>
    <row r="507" spans="1:11" x14ac:dyDescent="0.25">
      <c r="A507" t="s">
        <v>9411</v>
      </c>
      <c r="C507" t="s">
        <v>9412</v>
      </c>
      <c r="D507" t="s">
        <v>8760</v>
      </c>
      <c r="E507" t="s">
        <v>6</v>
      </c>
      <c r="F507" t="s">
        <v>251</v>
      </c>
      <c r="G507">
        <v>58</v>
      </c>
      <c r="H507" s="2">
        <f>Tabelle13[[#This Row],[commits]]/Tabelle13[[#Totals],[commits]]</f>
        <v>2.695718455446281E-4</v>
      </c>
      <c r="I507" s="5">
        <f>Tabelle13[[#This Row],[%]]+I506</f>
        <v>0.8358958151294883</v>
      </c>
      <c r="J507" s="4">
        <f t="shared" si="47"/>
        <v>1.105583195135434E-4</v>
      </c>
      <c r="K507" s="5">
        <f t="shared" si="48"/>
        <v>5.5831951354339673E-2</v>
      </c>
    </row>
    <row r="508" spans="1:11" x14ac:dyDescent="0.25">
      <c r="A508" t="s">
        <v>9413</v>
      </c>
      <c r="C508" t="s">
        <v>9414</v>
      </c>
      <c r="D508" t="s">
        <v>9035</v>
      </c>
      <c r="E508" t="s">
        <v>6</v>
      </c>
      <c r="F508" t="s">
        <v>251</v>
      </c>
      <c r="G508">
        <v>58</v>
      </c>
      <c r="H508" s="2">
        <f>Tabelle13[[#This Row],[commits]]/Tabelle13[[#Totals],[commits]]</f>
        <v>2.695718455446281E-4</v>
      </c>
      <c r="I508" s="5">
        <f>Tabelle13[[#This Row],[%]]+I507</f>
        <v>0.83616538697503295</v>
      </c>
      <c r="J508" s="4">
        <f t="shared" si="47"/>
        <v>1.105583195135434E-4</v>
      </c>
      <c r="K508" s="5">
        <f t="shared" si="48"/>
        <v>5.5942509673853218E-2</v>
      </c>
    </row>
    <row r="509" spans="1:11" x14ac:dyDescent="0.25">
      <c r="A509" t="s">
        <v>9415</v>
      </c>
      <c r="C509" t="s">
        <v>9416</v>
      </c>
      <c r="D509" t="s">
        <v>8760</v>
      </c>
      <c r="E509" t="s">
        <v>6</v>
      </c>
      <c r="F509" t="s">
        <v>251</v>
      </c>
      <c r="G509">
        <v>58</v>
      </c>
      <c r="H509" s="2">
        <f>Tabelle13[[#This Row],[commits]]/Tabelle13[[#Totals],[commits]]</f>
        <v>2.695718455446281E-4</v>
      </c>
      <c r="I509" s="5">
        <f>Tabelle13[[#This Row],[%]]+I508</f>
        <v>0.83643495882057761</v>
      </c>
      <c r="J509" s="4">
        <f t="shared" si="47"/>
        <v>1.105583195135434E-4</v>
      </c>
      <c r="K509" s="5">
        <f t="shared" si="48"/>
        <v>5.6053067993366762E-2</v>
      </c>
    </row>
    <row r="510" spans="1:11" x14ac:dyDescent="0.25">
      <c r="A510" t="s">
        <v>9417</v>
      </c>
      <c r="C510" t="s">
        <v>9418</v>
      </c>
      <c r="D510" t="s">
        <v>309</v>
      </c>
      <c r="E510" t="s">
        <v>6</v>
      </c>
      <c r="F510" t="s">
        <v>251</v>
      </c>
      <c r="G510">
        <v>57</v>
      </c>
      <c r="H510" s="2">
        <f>Tabelle13[[#This Row],[commits]]/Tabelle13[[#Totals],[commits]]</f>
        <v>2.6492405510420347E-4</v>
      </c>
      <c r="I510" s="5">
        <f>Tabelle13[[#This Row],[%]]+I509</f>
        <v>0.83669988287568187</v>
      </c>
      <c r="J510" s="4">
        <f t="shared" si="47"/>
        <v>1.105583195135434E-4</v>
      </c>
      <c r="K510" s="5">
        <f t="shared" si="48"/>
        <v>5.6163626312880306E-2</v>
      </c>
    </row>
    <row r="511" spans="1:11" x14ac:dyDescent="0.25">
      <c r="A511" t="s">
        <v>9419</v>
      </c>
      <c r="C511" t="s">
        <v>9420</v>
      </c>
      <c r="D511" t="s">
        <v>8874</v>
      </c>
      <c r="E511" t="s">
        <v>6</v>
      </c>
      <c r="F511" t="s">
        <v>251</v>
      </c>
      <c r="G511">
        <v>57</v>
      </c>
      <c r="H511" s="2">
        <f>Tabelle13[[#This Row],[commits]]/Tabelle13[[#Totals],[commits]]</f>
        <v>2.6492405510420347E-4</v>
      </c>
      <c r="I511" s="5">
        <f>Tabelle13[[#This Row],[%]]+I510</f>
        <v>0.83696480693078612</v>
      </c>
      <c r="J511" s="4">
        <f t="shared" si="47"/>
        <v>1.105583195135434E-4</v>
      </c>
      <c r="K511" s="5">
        <f t="shared" si="48"/>
        <v>5.627418463239385E-2</v>
      </c>
    </row>
    <row r="512" spans="1:11" x14ac:dyDescent="0.25">
      <c r="A512" t="s">
        <v>9421</v>
      </c>
      <c r="C512" t="s">
        <v>9422</v>
      </c>
      <c r="D512" t="s">
        <v>309</v>
      </c>
      <c r="E512" t="s">
        <v>6</v>
      </c>
      <c r="F512" t="s">
        <v>251</v>
      </c>
      <c r="G512">
        <v>57</v>
      </c>
      <c r="H512" s="2">
        <f>Tabelle13[[#This Row],[commits]]/Tabelle13[[#Totals],[commits]]</f>
        <v>2.6492405510420347E-4</v>
      </c>
      <c r="I512" s="5">
        <f>Tabelle13[[#This Row],[%]]+I511</f>
        <v>0.83722973098589037</v>
      </c>
      <c r="J512" s="4">
        <f t="shared" si="47"/>
        <v>1.105583195135434E-4</v>
      </c>
      <c r="K512" s="5">
        <f t="shared" si="48"/>
        <v>5.6384742951907395E-2</v>
      </c>
    </row>
    <row r="513" spans="1:11" x14ac:dyDescent="0.25">
      <c r="A513" t="s">
        <v>9423</v>
      </c>
      <c r="C513" t="s">
        <v>9424</v>
      </c>
      <c r="D513" t="s">
        <v>9035</v>
      </c>
      <c r="E513" t="s">
        <v>6</v>
      </c>
      <c r="F513" t="s">
        <v>251</v>
      </c>
      <c r="G513">
        <v>57</v>
      </c>
      <c r="H513" s="2">
        <f>Tabelle13[[#This Row],[commits]]/Tabelle13[[#Totals],[commits]]</f>
        <v>2.6492405510420347E-4</v>
      </c>
      <c r="I513" s="5">
        <f>Tabelle13[[#This Row],[%]]+I512</f>
        <v>0.83749465504099463</v>
      </c>
      <c r="J513" s="4">
        <f t="shared" si="47"/>
        <v>1.105583195135434E-4</v>
      </c>
      <c r="K513" s="5">
        <f t="shared" si="48"/>
        <v>5.6495301271420939E-2</v>
      </c>
    </row>
    <row r="514" spans="1:11" x14ac:dyDescent="0.25">
      <c r="A514" t="s">
        <v>9425</v>
      </c>
      <c r="C514" t="s">
        <v>9426</v>
      </c>
      <c r="D514" t="s">
        <v>309</v>
      </c>
      <c r="E514" t="s">
        <v>6</v>
      </c>
      <c r="F514" t="s">
        <v>251</v>
      </c>
      <c r="G514">
        <v>57</v>
      </c>
      <c r="H514" s="2">
        <f>Tabelle13[[#This Row],[commits]]/Tabelle13[[#Totals],[commits]]</f>
        <v>2.6492405510420347E-4</v>
      </c>
      <c r="I514" s="5">
        <f>Tabelle13[[#This Row],[%]]+I513</f>
        <v>0.83775957909609888</v>
      </c>
      <c r="J514" s="4">
        <f t="shared" si="47"/>
        <v>1.105583195135434E-4</v>
      </c>
      <c r="K514" s="5">
        <f t="shared" si="48"/>
        <v>5.6605859590934483E-2</v>
      </c>
    </row>
    <row r="515" spans="1:11" x14ac:dyDescent="0.25">
      <c r="A515" t="s">
        <v>55</v>
      </c>
      <c r="C515" t="s">
        <v>56</v>
      </c>
      <c r="D515" t="s">
        <v>5</v>
      </c>
      <c r="E515" t="s">
        <v>6</v>
      </c>
      <c r="F515" t="s">
        <v>7</v>
      </c>
      <c r="G515">
        <v>56</v>
      </c>
      <c r="H515" s="2">
        <f>Tabelle13[[#This Row],[commits]]/Tabelle13[[#Totals],[commits]]</f>
        <v>2.6027626466377883E-4</v>
      </c>
      <c r="I515" s="5">
        <f>Tabelle13[[#This Row],[%]]+I514</f>
        <v>0.83801985536076262</v>
      </c>
      <c r="J515" s="4">
        <f t="shared" ref="J515:J578" si="49">1/9045</f>
        <v>1.105583195135434E-4</v>
      </c>
      <c r="K515" s="5">
        <f t="shared" si="48"/>
        <v>5.6716417910448028E-2</v>
      </c>
    </row>
    <row r="516" spans="1:11" x14ac:dyDescent="0.25">
      <c r="A516" t="s">
        <v>2374</v>
      </c>
      <c r="C516" t="s">
        <v>2375</v>
      </c>
      <c r="D516" t="s">
        <v>5</v>
      </c>
      <c r="E516" t="s">
        <v>6</v>
      </c>
      <c r="F516" t="s">
        <v>724</v>
      </c>
      <c r="G516">
        <v>56</v>
      </c>
      <c r="H516" s="2">
        <f>Tabelle13[[#This Row],[commits]]/Tabelle13[[#Totals],[commits]]</f>
        <v>2.6027626466377883E-4</v>
      </c>
      <c r="I516" s="5">
        <f>Tabelle13[[#This Row],[%]]+I515</f>
        <v>0.83828013162542636</v>
      </c>
      <c r="J516" s="4">
        <f t="shared" si="49"/>
        <v>1.105583195135434E-4</v>
      </c>
      <c r="K516" s="5">
        <f t="shared" si="48"/>
        <v>5.6826976229961572E-2</v>
      </c>
    </row>
    <row r="517" spans="1:11" x14ac:dyDescent="0.25">
      <c r="A517" t="s">
        <v>2376</v>
      </c>
      <c r="C517" t="s">
        <v>2377</v>
      </c>
      <c r="D517" t="s">
        <v>5</v>
      </c>
      <c r="E517" t="s">
        <v>6</v>
      </c>
      <c r="F517" t="s">
        <v>724</v>
      </c>
      <c r="G517">
        <v>55</v>
      </c>
      <c r="H517" s="2">
        <f>Tabelle13[[#This Row],[commits]]/Tabelle13[[#Totals],[commits]]</f>
        <v>2.556284742233542E-4</v>
      </c>
      <c r="I517" s="5">
        <f>Tabelle13[[#This Row],[%]]+I516</f>
        <v>0.8385357600996497</v>
      </c>
      <c r="J517" s="4">
        <f t="shared" si="49"/>
        <v>1.105583195135434E-4</v>
      </c>
      <c r="K517" s="5">
        <f t="shared" si="48"/>
        <v>5.6937534549475116E-2</v>
      </c>
    </row>
    <row r="518" spans="1:11" x14ac:dyDescent="0.25">
      <c r="A518" t="s">
        <v>2378</v>
      </c>
      <c r="C518" t="s">
        <v>2379</v>
      </c>
      <c r="D518" t="s">
        <v>309</v>
      </c>
      <c r="E518" t="s">
        <v>6</v>
      </c>
      <c r="F518" t="s">
        <v>724</v>
      </c>
      <c r="G518">
        <v>55</v>
      </c>
      <c r="H518" s="2">
        <f>Tabelle13[[#This Row],[commits]]/Tabelle13[[#Totals],[commits]]</f>
        <v>2.556284742233542E-4</v>
      </c>
      <c r="I518" s="5">
        <f>Tabelle13[[#This Row],[%]]+I517</f>
        <v>0.83879138857387303</v>
      </c>
      <c r="J518" s="4">
        <f t="shared" si="49"/>
        <v>1.105583195135434E-4</v>
      </c>
      <c r="K518" s="5">
        <f t="shared" ref="K518:K581" si="50">J518+K517</f>
        <v>5.704809286898866E-2</v>
      </c>
    </row>
    <row r="519" spans="1:11" x14ac:dyDescent="0.25">
      <c r="A519" t="s">
        <v>9427</v>
      </c>
      <c r="C519" t="s">
        <v>9428</v>
      </c>
      <c r="D519" t="s">
        <v>309</v>
      </c>
      <c r="E519" t="s">
        <v>6</v>
      </c>
      <c r="F519" t="s">
        <v>251</v>
      </c>
      <c r="G519">
        <v>55</v>
      </c>
      <c r="H519" s="2">
        <f>Tabelle13[[#This Row],[commits]]/Tabelle13[[#Totals],[commits]]</f>
        <v>2.556284742233542E-4</v>
      </c>
      <c r="I519" s="5">
        <f>Tabelle13[[#This Row],[%]]+I518</f>
        <v>0.83904701704809637</v>
      </c>
      <c r="J519" s="4">
        <f t="shared" si="49"/>
        <v>1.105583195135434E-4</v>
      </c>
      <c r="K519" s="5">
        <f t="shared" si="50"/>
        <v>5.7158651188502205E-2</v>
      </c>
    </row>
    <row r="520" spans="1:11" x14ac:dyDescent="0.25">
      <c r="A520" t="s">
        <v>9429</v>
      </c>
      <c r="C520" t="s">
        <v>9430</v>
      </c>
      <c r="D520" t="s">
        <v>309</v>
      </c>
      <c r="E520" t="s">
        <v>6</v>
      </c>
      <c r="F520" t="s">
        <v>251</v>
      </c>
      <c r="G520">
        <v>55</v>
      </c>
      <c r="H520" s="2">
        <f>Tabelle13[[#This Row],[commits]]/Tabelle13[[#Totals],[commits]]</f>
        <v>2.556284742233542E-4</v>
      </c>
      <c r="I520" s="5">
        <f>Tabelle13[[#This Row],[%]]+I519</f>
        <v>0.8393026455223197</v>
      </c>
      <c r="J520" s="4">
        <f t="shared" si="49"/>
        <v>1.105583195135434E-4</v>
      </c>
      <c r="K520" s="5">
        <f t="shared" si="50"/>
        <v>5.7269209508015749E-2</v>
      </c>
    </row>
    <row r="521" spans="1:11" x14ac:dyDescent="0.25">
      <c r="A521" t="s">
        <v>9431</v>
      </c>
      <c r="C521" t="s">
        <v>9432</v>
      </c>
      <c r="D521" t="s">
        <v>8757</v>
      </c>
      <c r="E521" t="s">
        <v>6</v>
      </c>
      <c r="F521" t="s">
        <v>251</v>
      </c>
      <c r="G521">
        <v>55</v>
      </c>
      <c r="H521" s="2">
        <f>Tabelle13[[#This Row],[commits]]/Tabelle13[[#Totals],[commits]]</f>
        <v>2.556284742233542E-4</v>
      </c>
      <c r="I521" s="5">
        <f>Tabelle13[[#This Row],[%]]+I520</f>
        <v>0.83955827399654304</v>
      </c>
      <c r="J521" s="4">
        <f t="shared" si="49"/>
        <v>1.105583195135434E-4</v>
      </c>
      <c r="K521" s="5">
        <f t="shared" si="50"/>
        <v>5.7379767827529293E-2</v>
      </c>
    </row>
    <row r="522" spans="1:11" x14ac:dyDescent="0.25">
      <c r="A522" t="s">
        <v>9433</v>
      </c>
      <c r="C522" t="s">
        <v>9434</v>
      </c>
      <c r="D522" t="s">
        <v>309</v>
      </c>
      <c r="E522" t="s">
        <v>6</v>
      </c>
      <c r="F522" t="s">
        <v>251</v>
      </c>
      <c r="G522">
        <v>55</v>
      </c>
      <c r="H522" s="2">
        <f>Tabelle13[[#This Row],[commits]]/Tabelle13[[#Totals],[commits]]</f>
        <v>2.556284742233542E-4</v>
      </c>
      <c r="I522" s="5">
        <f>Tabelle13[[#This Row],[%]]+I521</f>
        <v>0.83981390247076637</v>
      </c>
      <c r="J522" s="4">
        <f t="shared" si="49"/>
        <v>1.105583195135434E-4</v>
      </c>
      <c r="K522" s="5">
        <f t="shared" si="50"/>
        <v>5.7490326147042838E-2</v>
      </c>
    </row>
    <row r="523" spans="1:11" x14ac:dyDescent="0.25">
      <c r="A523" t="s">
        <v>9435</v>
      </c>
      <c r="C523" t="s">
        <v>9436</v>
      </c>
      <c r="D523" t="s">
        <v>309</v>
      </c>
      <c r="E523" t="s">
        <v>6</v>
      </c>
      <c r="F523" t="s">
        <v>251</v>
      </c>
      <c r="G523">
        <v>55</v>
      </c>
      <c r="H523" s="2">
        <f>Tabelle13[[#This Row],[commits]]/Tabelle13[[#Totals],[commits]]</f>
        <v>2.556284742233542E-4</v>
      </c>
      <c r="I523" s="5">
        <f>Tabelle13[[#This Row],[%]]+I522</f>
        <v>0.84006953094498971</v>
      </c>
      <c r="J523" s="4">
        <f t="shared" si="49"/>
        <v>1.105583195135434E-4</v>
      </c>
      <c r="K523" s="5">
        <f t="shared" si="50"/>
        <v>5.7600884466556382E-2</v>
      </c>
    </row>
    <row r="524" spans="1:11" x14ac:dyDescent="0.25">
      <c r="A524" t="s">
        <v>9437</v>
      </c>
      <c r="C524" t="s">
        <v>9438</v>
      </c>
      <c r="D524" t="s">
        <v>309</v>
      </c>
      <c r="E524" t="s">
        <v>6</v>
      </c>
      <c r="F524" t="s">
        <v>251</v>
      </c>
      <c r="G524">
        <v>55</v>
      </c>
      <c r="H524" s="2">
        <f>Tabelle13[[#This Row],[commits]]/Tabelle13[[#Totals],[commits]]</f>
        <v>2.556284742233542E-4</v>
      </c>
      <c r="I524" s="5">
        <f>Tabelle13[[#This Row],[%]]+I523</f>
        <v>0.84032515941921304</v>
      </c>
      <c r="J524" s="4">
        <f t="shared" si="49"/>
        <v>1.105583195135434E-4</v>
      </c>
      <c r="K524" s="5">
        <f t="shared" si="50"/>
        <v>5.7711442786069926E-2</v>
      </c>
    </row>
    <row r="525" spans="1:11" x14ac:dyDescent="0.25">
      <c r="A525" t="s">
        <v>9439</v>
      </c>
      <c r="C525" t="s">
        <v>9440</v>
      </c>
      <c r="D525" t="s">
        <v>309</v>
      </c>
      <c r="E525" t="s">
        <v>6</v>
      </c>
      <c r="F525" t="s">
        <v>251</v>
      </c>
      <c r="G525">
        <v>55</v>
      </c>
      <c r="H525" s="2">
        <f>Tabelle13[[#This Row],[commits]]/Tabelle13[[#Totals],[commits]]</f>
        <v>2.556284742233542E-4</v>
      </c>
      <c r="I525" s="5">
        <f>Tabelle13[[#This Row],[%]]+I524</f>
        <v>0.84058078789343638</v>
      </c>
      <c r="J525" s="4">
        <f t="shared" si="49"/>
        <v>1.105583195135434E-4</v>
      </c>
      <c r="K525" s="5">
        <f t="shared" si="50"/>
        <v>5.782200110558347E-2</v>
      </c>
    </row>
    <row r="526" spans="1:11" x14ac:dyDescent="0.25">
      <c r="A526" t="s">
        <v>9441</v>
      </c>
      <c r="C526" t="s">
        <v>9442</v>
      </c>
      <c r="D526" t="s">
        <v>309</v>
      </c>
      <c r="E526" t="s">
        <v>6</v>
      </c>
      <c r="F526" t="s">
        <v>251</v>
      </c>
      <c r="G526">
        <v>54</v>
      </c>
      <c r="H526" s="2">
        <f>Tabelle13[[#This Row],[commits]]/Tabelle13[[#Totals],[commits]]</f>
        <v>2.5098068378292957E-4</v>
      </c>
      <c r="I526" s="5">
        <f>Tabelle13[[#This Row],[%]]+I525</f>
        <v>0.84083176857721931</v>
      </c>
      <c r="J526" s="4">
        <f t="shared" si="49"/>
        <v>1.105583195135434E-4</v>
      </c>
      <c r="K526" s="5">
        <f t="shared" si="50"/>
        <v>5.7932559425097015E-2</v>
      </c>
    </row>
    <row r="527" spans="1:11" x14ac:dyDescent="0.25">
      <c r="A527" t="s">
        <v>9443</v>
      </c>
      <c r="C527" t="s">
        <v>9444</v>
      </c>
      <c r="D527" t="s">
        <v>8874</v>
      </c>
      <c r="E527" t="s">
        <v>6</v>
      </c>
      <c r="F527" t="s">
        <v>251</v>
      </c>
      <c r="G527">
        <v>54</v>
      </c>
      <c r="H527" s="2">
        <f>Tabelle13[[#This Row],[commits]]/Tabelle13[[#Totals],[commits]]</f>
        <v>2.5098068378292957E-4</v>
      </c>
      <c r="I527" s="5">
        <f>Tabelle13[[#This Row],[%]]+I526</f>
        <v>0.84108274926100224</v>
      </c>
      <c r="J527" s="4">
        <f t="shared" si="49"/>
        <v>1.105583195135434E-4</v>
      </c>
      <c r="K527" s="5">
        <f t="shared" si="50"/>
        <v>5.8043117744610559E-2</v>
      </c>
    </row>
    <row r="528" spans="1:11" x14ac:dyDescent="0.25">
      <c r="A528" t="s">
        <v>57</v>
      </c>
      <c r="C528" t="s">
        <v>58</v>
      </c>
      <c r="D528" t="s">
        <v>5</v>
      </c>
      <c r="E528" t="s">
        <v>6</v>
      </c>
      <c r="F528" t="s">
        <v>7</v>
      </c>
      <c r="G528">
        <v>53</v>
      </c>
      <c r="H528" s="2">
        <f>Tabelle13[[#This Row],[commits]]/Tabelle13[[#Totals],[commits]]</f>
        <v>2.4633289334250499E-4</v>
      </c>
      <c r="I528" s="5">
        <f>Tabelle13[[#This Row],[%]]+I527</f>
        <v>0.84132908215434477</v>
      </c>
      <c r="J528" s="4">
        <f t="shared" si="49"/>
        <v>1.105583195135434E-4</v>
      </c>
      <c r="K528" s="5">
        <f t="shared" si="50"/>
        <v>5.8153676064124103E-2</v>
      </c>
    </row>
    <row r="529" spans="1:11" x14ac:dyDescent="0.25">
      <c r="A529" t="s">
        <v>2380</v>
      </c>
      <c r="C529" t="s">
        <v>2381</v>
      </c>
      <c r="D529" t="s">
        <v>5</v>
      </c>
      <c r="E529" t="s">
        <v>6</v>
      </c>
      <c r="F529" t="s">
        <v>724</v>
      </c>
      <c r="G529">
        <v>53</v>
      </c>
      <c r="H529" s="2">
        <f>Tabelle13[[#This Row],[commits]]/Tabelle13[[#Totals],[commits]]</f>
        <v>2.4633289334250499E-4</v>
      </c>
      <c r="I529" s="5">
        <f>Tabelle13[[#This Row],[%]]+I528</f>
        <v>0.84157541504768729</v>
      </c>
      <c r="J529" s="4">
        <f t="shared" si="49"/>
        <v>1.105583195135434E-4</v>
      </c>
      <c r="K529" s="5">
        <f t="shared" si="50"/>
        <v>5.8264234383637648E-2</v>
      </c>
    </row>
    <row r="530" spans="1:11" x14ac:dyDescent="0.25">
      <c r="A530" t="s">
        <v>5220</v>
      </c>
      <c r="C530" t="s">
        <v>1152</v>
      </c>
      <c r="D530" t="s">
        <v>5</v>
      </c>
      <c r="E530" t="s">
        <v>6</v>
      </c>
      <c r="F530" t="s">
        <v>28</v>
      </c>
      <c r="G530">
        <v>53</v>
      </c>
      <c r="H530" s="2">
        <f>Tabelle13[[#This Row],[commits]]/Tabelle13[[#Totals],[commits]]</f>
        <v>2.4633289334250499E-4</v>
      </c>
      <c r="I530" s="5">
        <f>Tabelle13[[#This Row],[%]]+I529</f>
        <v>0.84182174794102982</v>
      </c>
      <c r="J530" s="4">
        <f t="shared" si="49"/>
        <v>1.105583195135434E-4</v>
      </c>
      <c r="K530" s="5">
        <f t="shared" si="50"/>
        <v>5.8374792703151192E-2</v>
      </c>
    </row>
    <row r="531" spans="1:11" x14ac:dyDescent="0.25">
      <c r="A531" t="s">
        <v>9445</v>
      </c>
      <c r="C531" t="s">
        <v>9446</v>
      </c>
      <c r="D531" t="s">
        <v>309</v>
      </c>
      <c r="E531" t="s">
        <v>6</v>
      </c>
      <c r="F531" t="s">
        <v>251</v>
      </c>
      <c r="G531">
        <v>53</v>
      </c>
      <c r="H531" s="2">
        <f>Tabelle13[[#This Row],[commits]]/Tabelle13[[#Totals],[commits]]</f>
        <v>2.4633289334250499E-4</v>
      </c>
      <c r="I531" s="5">
        <f>Tabelle13[[#This Row],[%]]+I530</f>
        <v>0.84206808083437235</v>
      </c>
      <c r="J531" s="4">
        <f t="shared" si="49"/>
        <v>1.105583195135434E-4</v>
      </c>
      <c r="K531" s="5">
        <f t="shared" si="50"/>
        <v>5.8485351022664736E-2</v>
      </c>
    </row>
    <row r="532" spans="1:11" x14ac:dyDescent="0.25">
      <c r="A532" t="s">
        <v>9447</v>
      </c>
      <c r="C532" t="s">
        <v>9448</v>
      </c>
      <c r="D532" t="s">
        <v>309</v>
      </c>
      <c r="E532" t="s">
        <v>6</v>
      </c>
      <c r="F532" t="s">
        <v>251</v>
      </c>
      <c r="G532">
        <v>53</v>
      </c>
      <c r="H532" s="2">
        <f>Tabelle13[[#This Row],[commits]]/Tabelle13[[#Totals],[commits]]</f>
        <v>2.4633289334250499E-4</v>
      </c>
      <c r="I532" s="5">
        <f>Tabelle13[[#This Row],[%]]+I531</f>
        <v>0.84231441372771487</v>
      </c>
      <c r="J532" s="4">
        <f t="shared" si="49"/>
        <v>1.105583195135434E-4</v>
      </c>
      <c r="K532" s="5">
        <f t="shared" si="50"/>
        <v>5.859590934217828E-2</v>
      </c>
    </row>
    <row r="533" spans="1:11" x14ac:dyDescent="0.25">
      <c r="A533" t="s">
        <v>9449</v>
      </c>
      <c r="C533" t="s">
        <v>9450</v>
      </c>
      <c r="D533" t="s">
        <v>5</v>
      </c>
      <c r="E533" t="s">
        <v>6</v>
      </c>
      <c r="F533" t="s">
        <v>251</v>
      </c>
      <c r="G533">
        <v>53</v>
      </c>
      <c r="H533" s="2">
        <f>Tabelle13[[#This Row],[commits]]/Tabelle13[[#Totals],[commits]]</f>
        <v>2.4633289334250499E-4</v>
      </c>
      <c r="I533" s="5">
        <f>Tabelle13[[#This Row],[%]]+I532</f>
        <v>0.8425607466210574</v>
      </c>
      <c r="J533" s="4">
        <f t="shared" si="49"/>
        <v>1.105583195135434E-4</v>
      </c>
      <c r="K533" s="5">
        <f t="shared" si="50"/>
        <v>5.8706467661691825E-2</v>
      </c>
    </row>
    <row r="534" spans="1:11" x14ac:dyDescent="0.25">
      <c r="A534" t="s">
        <v>9451</v>
      </c>
      <c r="C534" t="s">
        <v>9452</v>
      </c>
      <c r="D534" t="s">
        <v>9453</v>
      </c>
      <c r="E534" t="s">
        <v>6</v>
      </c>
      <c r="F534" t="s">
        <v>251</v>
      </c>
      <c r="G534">
        <v>53</v>
      </c>
      <c r="H534" s="2">
        <f>Tabelle13[[#This Row],[commits]]/Tabelle13[[#Totals],[commits]]</f>
        <v>2.4633289334250499E-4</v>
      </c>
      <c r="I534" s="5">
        <f>Tabelle13[[#This Row],[%]]+I533</f>
        <v>0.84280707951439993</v>
      </c>
      <c r="J534" s="4">
        <f t="shared" si="49"/>
        <v>1.105583195135434E-4</v>
      </c>
      <c r="K534" s="5">
        <f t="shared" si="50"/>
        <v>5.8817025981205369E-2</v>
      </c>
    </row>
    <row r="535" spans="1:11" x14ac:dyDescent="0.25">
      <c r="A535" t="s">
        <v>2382</v>
      </c>
      <c r="C535" t="s">
        <v>2383</v>
      </c>
      <c r="D535" t="s">
        <v>5</v>
      </c>
      <c r="E535" t="s">
        <v>6</v>
      </c>
      <c r="F535" t="s">
        <v>724</v>
      </c>
      <c r="G535">
        <v>52</v>
      </c>
      <c r="H535" s="2">
        <f>Tabelle13[[#This Row],[commits]]/Tabelle13[[#Totals],[commits]]</f>
        <v>2.4168510290208036E-4</v>
      </c>
      <c r="I535" s="5">
        <f>Tabelle13[[#This Row],[%]]+I534</f>
        <v>0.84304876461730205</v>
      </c>
      <c r="J535" s="4">
        <f t="shared" si="49"/>
        <v>1.105583195135434E-4</v>
      </c>
      <c r="K535" s="5">
        <f t="shared" si="50"/>
        <v>5.8927584300718913E-2</v>
      </c>
    </row>
    <row r="536" spans="1:11" x14ac:dyDescent="0.25">
      <c r="A536" t="s">
        <v>5221</v>
      </c>
      <c r="C536" t="s">
        <v>5222</v>
      </c>
      <c r="D536" t="s">
        <v>5</v>
      </c>
      <c r="E536" t="s">
        <v>6</v>
      </c>
      <c r="F536" t="s">
        <v>28</v>
      </c>
      <c r="G536">
        <v>52</v>
      </c>
      <c r="H536" s="2">
        <f>Tabelle13[[#This Row],[commits]]/Tabelle13[[#Totals],[commits]]</f>
        <v>2.4168510290208036E-4</v>
      </c>
      <c r="I536" s="5">
        <f>Tabelle13[[#This Row],[%]]+I535</f>
        <v>0.84329044972020417</v>
      </c>
      <c r="J536" s="4">
        <f t="shared" si="49"/>
        <v>1.105583195135434E-4</v>
      </c>
      <c r="K536" s="5">
        <f t="shared" si="50"/>
        <v>5.9038142620232457E-2</v>
      </c>
    </row>
    <row r="537" spans="1:11" x14ac:dyDescent="0.25">
      <c r="A537" t="s">
        <v>9454</v>
      </c>
      <c r="C537" t="s">
        <v>9455</v>
      </c>
      <c r="D537" t="s">
        <v>309</v>
      </c>
      <c r="E537" t="s">
        <v>6</v>
      </c>
      <c r="F537" t="s">
        <v>251</v>
      </c>
      <c r="G537">
        <v>52</v>
      </c>
      <c r="H537" s="2">
        <f>Tabelle13[[#This Row],[commits]]/Tabelle13[[#Totals],[commits]]</f>
        <v>2.4168510290208036E-4</v>
      </c>
      <c r="I537" s="5">
        <f>Tabelle13[[#This Row],[%]]+I536</f>
        <v>0.84353213482310629</v>
      </c>
      <c r="J537" s="4">
        <f t="shared" si="49"/>
        <v>1.105583195135434E-4</v>
      </c>
      <c r="K537" s="5">
        <f t="shared" si="50"/>
        <v>5.9148700939746002E-2</v>
      </c>
    </row>
    <row r="538" spans="1:11" x14ac:dyDescent="0.25">
      <c r="A538" t="s">
        <v>9456</v>
      </c>
      <c r="C538" t="s">
        <v>9457</v>
      </c>
      <c r="D538" t="s">
        <v>309</v>
      </c>
      <c r="E538" t="s">
        <v>6</v>
      </c>
      <c r="F538" t="s">
        <v>251</v>
      </c>
      <c r="G538">
        <v>52</v>
      </c>
      <c r="H538" s="2">
        <f>Tabelle13[[#This Row],[commits]]/Tabelle13[[#Totals],[commits]]</f>
        <v>2.4168510290208036E-4</v>
      </c>
      <c r="I538" s="5">
        <f>Tabelle13[[#This Row],[%]]+I537</f>
        <v>0.84377381992600842</v>
      </c>
      <c r="J538" s="4">
        <f t="shared" si="49"/>
        <v>1.105583195135434E-4</v>
      </c>
      <c r="K538" s="5">
        <f t="shared" si="50"/>
        <v>5.9259259259259546E-2</v>
      </c>
    </row>
    <row r="539" spans="1:11" x14ac:dyDescent="0.25">
      <c r="A539" t="s">
        <v>9458</v>
      </c>
      <c r="C539" t="s">
        <v>9459</v>
      </c>
      <c r="D539" t="s">
        <v>9340</v>
      </c>
      <c r="E539" t="s">
        <v>6</v>
      </c>
      <c r="F539" t="s">
        <v>251</v>
      </c>
      <c r="G539">
        <v>52</v>
      </c>
      <c r="H539" s="2">
        <f>Tabelle13[[#This Row],[commits]]/Tabelle13[[#Totals],[commits]]</f>
        <v>2.4168510290208036E-4</v>
      </c>
      <c r="I539" s="5">
        <f>Tabelle13[[#This Row],[%]]+I538</f>
        <v>0.84401550502891054</v>
      </c>
      <c r="J539" s="4">
        <f t="shared" si="49"/>
        <v>1.105583195135434E-4</v>
      </c>
      <c r="K539" s="5">
        <f t="shared" si="50"/>
        <v>5.936981757877309E-2</v>
      </c>
    </row>
    <row r="540" spans="1:11" x14ac:dyDescent="0.25">
      <c r="A540" t="s">
        <v>9460</v>
      </c>
      <c r="C540" t="s">
        <v>9461</v>
      </c>
      <c r="D540" t="s">
        <v>309</v>
      </c>
      <c r="E540" t="s">
        <v>6</v>
      </c>
      <c r="F540" t="s">
        <v>251</v>
      </c>
      <c r="G540">
        <v>52</v>
      </c>
      <c r="H540" s="2">
        <f>Tabelle13[[#This Row],[commits]]/Tabelle13[[#Totals],[commits]]</f>
        <v>2.4168510290208036E-4</v>
      </c>
      <c r="I540" s="5">
        <f>Tabelle13[[#This Row],[%]]+I539</f>
        <v>0.84425719013181266</v>
      </c>
      <c r="J540" s="4">
        <f t="shared" si="49"/>
        <v>1.105583195135434E-4</v>
      </c>
      <c r="K540" s="5">
        <f t="shared" si="50"/>
        <v>5.9480375898286635E-2</v>
      </c>
    </row>
    <row r="541" spans="1:11" x14ac:dyDescent="0.25">
      <c r="A541" t="s">
        <v>9462</v>
      </c>
      <c r="C541" t="s">
        <v>9463</v>
      </c>
      <c r="D541" t="s">
        <v>5</v>
      </c>
      <c r="E541" t="s">
        <v>6</v>
      </c>
      <c r="F541" t="s">
        <v>251</v>
      </c>
      <c r="G541">
        <v>52</v>
      </c>
      <c r="H541" s="2">
        <f>Tabelle13[[#This Row],[commits]]/Tabelle13[[#Totals],[commits]]</f>
        <v>2.4168510290208036E-4</v>
      </c>
      <c r="I541" s="5">
        <f>Tabelle13[[#This Row],[%]]+I540</f>
        <v>0.84449887523471479</v>
      </c>
      <c r="J541" s="4">
        <f t="shared" si="49"/>
        <v>1.105583195135434E-4</v>
      </c>
      <c r="K541" s="5">
        <f t="shared" si="50"/>
        <v>5.9590934217800179E-2</v>
      </c>
    </row>
    <row r="542" spans="1:11" x14ac:dyDescent="0.25">
      <c r="A542" t="s">
        <v>9464</v>
      </c>
      <c r="C542" t="s">
        <v>9465</v>
      </c>
      <c r="D542" t="s">
        <v>5</v>
      </c>
      <c r="E542" t="s">
        <v>6</v>
      </c>
      <c r="F542" t="s">
        <v>251</v>
      </c>
      <c r="G542">
        <v>52</v>
      </c>
      <c r="H542" s="2">
        <f>Tabelle13[[#This Row],[commits]]/Tabelle13[[#Totals],[commits]]</f>
        <v>2.4168510290208036E-4</v>
      </c>
      <c r="I542" s="5">
        <f>Tabelle13[[#This Row],[%]]+I541</f>
        <v>0.84474056033761691</v>
      </c>
      <c r="J542" s="4">
        <f t="shared" si="49"/>
        <v>1.105583195135434E-4</v>
      </c>
      <c r="K542" s="5">
        <f t="shared" si="50"/>
        <v>5.9701492537313723E-2</v>
      </c>
    </row>
    <row r="543" spans="1:11" x14ac:dyDescent="0.25">
      <c r="A543" t="s">
        <v>59</v>
      </c>
      <c r="C543" t="s">
        <v>60</v>
      </c>
      <c r="D543" t="s">
        <v>5</v>
      </c>
      <c r="E543" t="s">
        <v>6</v>
      </c>
      <c r="F543" t="s">
        <v>7</v>
      </c>
      <c r="G543">
        <v>51</v>
      </c>
      <c r="H543" s="2">
        <f>Tabelle13[[#This Row],[commits]]/Tabelle13[[#Totals],[commits]]</f>
        <v>2.3703731246165573E-4</v>
      </c>
      <c r="I543" s="5">
        <f>Tabelle13[[#This Row],[%]]+I542</f>
        <v>0.84497759765007852</v>
      </c>
      <c r="J543" s="4">
        <f t="shared" si="49"/>
        <v>1.105583195135434E-4</v>
      </c>
      <c r="K543" s="5">
        <f t="shared" si="50"/>
        <v>5.9812050856827267E-2</v>
      </c>
    </row>
    <row r="544" spans="1:11" x14ac:dyDescent="0.25">
      <c r="A544" t="s">
        <v>2384</v>
      </c>
      <c r="C544" t="s">
        <v>2385</v>
      </c>
      <c r="D544" t="s">
        <v>309</v>
      </c>
      <c r="E544" t="s">
        <v>6</v>
      </c>
      <c r="F544" t="s">
        <v>724</v>
      </c>
      <c r="G544">
        <v>51</v>
      </c>
      <c r="H544" s="2">
        <f>Tabelle13[[#This Row],[commits]]/Tabelle13[[#Totals],[commits]]</f>
        <v>2.3703731246165573E-4</v>
      </c>
      <c r="I544" s="5">
        <f>Tabelle13[[#This Row],[%]]+I543</f>
        <v>0.84521463496254012</v>
      </c>
      <c r="J544" s="4">
        <f t="shared" si="49"/>
        <v>1.105583195135434E-4</v>
      </c>
      <c r="K544" s="5">
        <f t="shared" si="50"/>
        <v>5.9922609176340812E-2</v>
      </c>
    </row>
    <row r="545" spans="1:11" x14ac:dyDescent="0.25">
      <c r="A545" t="s">
        <v>2386</v>
      </c>
      <c r="C545" t="s">
        <v>2387</v>
      </c>
      <c r="D545" t="s">
        <v>5</v>
      </c>
      <c r="E545" t="s">
        <v>6</v>
      </c>
      <c r="F545" t="s">
        <v>724</v>
      </c>
      <c r="G545">
        <v>51</v>
      </c>
      <c r="H545" s="2">
        <f>Tabelle13[[#This Row],[commits]]/Tabelle13[[#Totals],[commits]]</f>
        <v>2.3703731246165573E-4</v>
      </c>
      <c r="I545" s="5">
        <f>Tabelle13[[#This Row],[%]]+I544</f>
        <v>0.84545167227500173</v>
      </c>
      <c r="J545" s="4">
        <f t="shared" si="49"/>
        <v>1.105583195135434E-4</v>
      </c>
      <c r="K545" s="5">
        <f t="shared" si="50"/>
        <v>6.0033167495854356E-2</v>
      </c>
    </row>
    <row r="546" spans="1:11" x14ac:dyDescent="0.25">
      <c r="A546" t="s">
        <v>5223</v>
      </c>
      <c r="C546" t="s">
        <v>2051</v>
      </c>
      <c r="D546" t="s">
        <v>5175</v>
      </c>
      <c r="E546" t="s">
        <v>6</v>
      </c>
      <c r="F546" t="s">
        <v>28</v>
      </c>
      <c r="G546">
        <v>51</v>
      </c>
      <c r="H546" s="2">
        <f>Tabelle13[[#This Row],[commits]]/Tabelle13[[#Totals],[commits]]</f>
        <v>2.3703731246165573E-4</v>
      </c>
      <c r="I546" s="5">
        <f>Tabelle13[[#This Row],[%]]+I545</f>
        <v>0.84568870958746334</v>
      </c>
      <c r="J546" s="4">
        <f t="shared" si="49"/>
        <v>1.105583195135434E-4</v>
      </c>
      <c r="K546" s="5">
        <f t="shared" si="50"/>
        <v>6.01437258153679E-2</v>
      </c>
    </row>
    <row r="547" spans="1:11" x14ac:dyDescent="0.25">
      <c r="A547" t="s">
        <v>9466</v>
      </c>
      <c r="C547" t="s">
        <v>9467</v>
      </c>
      <c r="D547" t="s">
        <v>309</v>
      </c>
      <c r="E547" t="s">
        <v>6</v>
      </c>
      <c r="F547" t="s">
        <v>251</v>
      </c>
      <c r="G547">
        <v>51</v>
      </c>
      <c r="H547" s="2">
        <f>Tabelle13[[#This Row],[commits]]/Tabelle13[[#Totals],[commits]]</f>
        <v>2.3703731246165573E-4</v>
      </c>
      <c r="I547" s="5">
        <f>Tabelle13[[#This Row],[%]]+I546</f>
        <v>0.84592574689992495</v>
      </c>
      <c r="J547" s="4">
        <f t="shared" si="49"/>
        <v>1.105583195135434E-4</v>
      </c>
      <c r="K547" s="5">
        <f t="shared" si="50"/>
        <v>6.0254284134881445E-2</v>
      </c>
    </row>
    <row r="548" spans="1:11" x14ac:dyDescent="0.25">
      <c r="A548" t="s">
        <v>9468</v>
      </c>
      <c r="C548" t="s">
        <v>9469</v>
      </c>
      <c r="D548" t="s">
        <v>309</v>
      </c>
      <c r="E548" t="s">
        <v>6</v>
      </c>
      <c r="F548" t="s">
        <v>251</v>
      </c>
      <c r="G548">
        <v>51</v>
      </c>
      <c r="H548" s="2">
        <f>Tabelle13[[#This Row],[commits]]/Tabelle13[[#Totals],[commits]]</f>
        <v>2.3703731246165573E-4</v>
      </c>
      <c r="I548" s="5">
        <f>Tabelle13[[#This Row],[%]]+I547</f>
        <v>0.84616278421238655</v>
      </c>
      <c r="J548" s="4">
        <f t="shared" si="49"/>
        <v>1.105583195135434E-4</v>
      </c>
      <c r="K548" s="5">
        <f t="shared" si="50"/>
        <v>6.0364842454394989E-2</v>
      </c>
    </row>
    <row r="549" spans="1:11" x14ac:dyDescent="0.25">
      <c r="A549" t="s">
        <v>9470</v>
      </c>
      <c r="C549" t="s">
        <v>197</v>
      </c>
      <c r="D549" t="s">
        <v>5</v>
      </c>
      <c r="E549" t="s">
        <v>6</v>
      </c>
      <c r="F549" t="s">
        <v>251</v>
      </c>
      <c r="G549">
        <v>51</v>
      </c>
      <c r="H549" s="2">
        <f>Tabelle13[[#This Row],[commits]]/Tabelle13[[#Totals],[commits]]</f>
        <v>2.3703731246165573E-4</v>
      </c>
      <c r="I549" s="5">
        <f>Tabelle13[[#This Row],[%]]+I548</f>
        <v>0.84639982152484816</v>
      </c>
      <c r="J549" s="4">
        <f t="shared" si="49"/>
        <v>1.105583195135434E-4</v>
      </c>
      <c r="K549" s="5">
        <f t="shared" si="50"/>
        <v>6.0475400773908533E-2</v>
      </c>
    </row>
    <row r="550" spans="1:11" x14ac:dyDescent="0.25">
      <c r="A550" t="s">
        <v>61</v>
      </c>
      <c r="C550" t="s">
        <v>62</v>
      </c>
      <c r="D550" t="s">
        <v>5</v>
      </c>
      <c r="E550" t="s">
        <v>6</v>
      </c>
      <c r="F550" t="s">
        <v>7</v>
      </c>
      <c r="G550">
        <v>50</v>
      </c>
      <c r="H550" s="2">
        <f>Tabelle13[[#This Row],[commits]]/Tabelle13[[#Totals],[commits]]</f>
        <v>2.3238952202123112E-4</v>
      </c>
      <c r="I550" s="5">
        <f>Tabelle13[[#This Row],[%]]+I549</f>
        <v>0.84663221104686937</v>
      </c>
      <c r="J550" s="4">
        <f t="shared" si="49"/>
        <v>1.105583195135434E-4</v>
      </c>
      <c r="K550" s="5">
        <f t="shared" si="50"/>
        <v>6.0585959093422077E-2</v>
      </c>
    </row>
    <row r="551" spans="1:11" x14ac:dyDescent="0.25">
      <c r="A551" t="s">
        <v>9471</v>
      </c>
      <c r="C551" t="s">
        <v>9472</v>
      </c>
      <c r="D551" t="s">
        <v>8757</v>
      </c>
      <c r="E551" t="s">
        <v>6</v>
      </c>
      <c r="F551" t="s">
        <v>251</v>
      </c>
      <c r="G551">
        <v>50</v>
      </c>
      <c r="H551" s="2">
        <f>Tabelle13[[#This Row],[commits]]/Tabelle13[[#Totals],[commits]]</f>
        <v>2.3238952202123112E-4</v>
      </c>
      <c r="I551" s="5">
        <f>Tabelle13[[#This Row],[%]]+I550</f>
        <v>0.84686460056889057</v>
      </c>
      <c r="J551" s="4">
        <f t="shared" si="49"/>
        <v>1.105583195135434E-4</v>
      </c>
      <c r="K551" s="5">
        <f t="shared" si="50"/>
        <v>6.0696517412935622E-2</v>
      </c>
    </row>
    <row r="552" spans="1:11" x14ac:dyDescent="0.25">
      <c r="A552" t="s">
        <v>9473</v>
      </c>
      <c r="C552" t="s">
        <v>9474</v>
      </c>
      <c r="D552" t="s">
        <v>309</v>
      </c>
      <c r="E552" t="s">
        <v>6</v>
      </c>
      <c r="F552" t="s">
        <v>251</v>
      </c>
      <c r="G552">
        <v>50</v>
      </c>
      <c r="H552" s="2">
        <f>Tabelle13[[#This Row],[commits]]/Tabelle13[[#Totals],[commits]]</f>
        <v>2.3238952202123112E-4</v>
      </c>
      <c r="I552" s="5">
        <f>Tabelle13[[#This Row],[%]]+I551</f>
        <v>0.84709699009091177</v>
      </c>
      <c r="J552" s="4">
        <f t="shared" si="49"/>
        <v>1.105583195135434E-4</v>
      </c>
      <c r="K552" s="5">
        <f t="shared" si="50"/>
        <v>6.0807075732449166E-2</v>
      </c>
    </row>
    <row r="553" spans="1:11" x14ac:dyDescent="0.25">
      <c r="A553" t="s">
        <v>9475</v>
      </c>
      <c r="C553" t="s">
        <v>9476</v>
      </c>
      <c r="D553" t="s">
        <v>309</v>
      </c>
      <c r="E553" t="s">
        <v>6</v>
      </c>
      <c r="F553" t="s">
        <v>251</v>
      </c>
      <c r="G553">
        <v>50</v>
      </c>
      <c r="H553" s="2">
        <f>Tabelle13[[#This Row],[commits]]/Tabelle13[[#Totals],[commits]]</f>
        <v>2.3238952202123112E-4</v>
      </c>
      <c r="I553" s="5">
        <f>Tabelle13[[#This Row],[%]]+I552</f>
        <v>0.84732937961293298</v>
      </c>
      <c r="J553" s="4">
        <f t="shared" si="49"/>
        <v>1.105583195135434E-4</v>
      </c>
      <c r="K553" s="5">
        <f t="shared" si="50"/>
        <v>6.091763405196271E-2</v>
      </c>
    </row>
    <row r="554" spans="1:11" x14ac:dyDescent="0.25">
      <c r="A554" t="s">
        <v>63</v>
      </c>
      <c r="C554" t="s">
        <v>64</v>
      </c>
      <c r="D554" t="s">
        <v>5</v>
      </c>
      <c r="E554" t="s">
        <v>6</v>
      </c>
      <c r="F554" t="s">
        <v>7</v>
      </c>
      <c r="G554">
        <v>49</v>
      </c>
      <c r="H554" s="2">
        <f>Tabelle13[[#This Row],[commits]]/Tabelle13[[#Totals],[commits]]</f>
        <v>2.2774173158080649E-4</v>
      </c>
      <c r="I554" s="5">
        <f>Tabelle13[[#This Row],[%]]+I553</f>
        <v>0.84755712134451378</v>
      </c>
      <c r="J554" s="4">
        <f t="shared" si="49"/>
        <v>1.105583195135434E-4</v>
      </c>
      <c r="K554" s="5">
        <f t="shared" si="50"/>
        <v>6.1028192371476254E-2</v>
      </c>
    </row>
    <row r="555" spans="1:11" x14ac:dyDescent="0.25">
      <c r="A555" t="s">
        <v>2388</v>
      </c>
      <c r="C555" t="s">
        <v>2389</v>
      </c>
      <c r="D555" t="s">
        <v>5</v>
      </c>
      <c r="E555" t="s">
        <v>6</v>
      </c>
      <c r="F555" t="s">
        <v>724</v>
      </c>
      <c r="G555">
        <v>49</v>
      </c>
      <c r="H555" s="2">
        <f>Tabelle13[[#This Row],[commits]]/Tabelle13[[#Totals],[commits]]</f>
        <v>2.2774173158080649E-4</v>
      </c>
      <c r="I555" s="5">
        <f>Tabelle13[[#This Row],[%]]+I554</f>
        <v>0.84778486307609457</v>
      </c>
      <c r="J555" s="4">
        <f t="shared" si="49"/>
        <v>1.105583195135434E-4</v>
      </c>
      <c r="K555" s="5">
        <f t="shared" si="50"/>
        <v>6.1138750690989799E-2</v>
      </c>
    </row>
    <row r="556" spans="1:11" x14ac:dyDescent="0.25">
      <c r="A556" t="s">
        <v>9477</v>
      </c>
      <c r="C556" t="s">
        <v>9478</v>
      </c>
      <c r="D556" t="s">
        <v>309</v>
      </c>
      <c r="E556" t="s">
        <v>6</v>
      </c>
      <c r="F556" t="s">
        <v>251</v>
      </c>
      <c r="G556">
        <v>49</v>
      </c>
      <c r="H556" s="2">
        <f>Tabelle13[[#This Row],[commits]]/Tabelle13[[#Totals],[commits]]</f>
        <v>2.2774173158080649E-4</v>
      </c>
      <c r="I556" s="5">
        <f>Tabelle13[[#This Row],[%]]+I555</f>
        <v>0.84801260480767537</v>
      </c>
      <c r="J556" s="4">
        <f t="shared" si="49"/>
        <v>1.105583195135434E-4</v>
      </c>
      <c r="K556" s="5">
        <f t="shared" si="50"/>
        <v>6.1249309010503343E-2</v>
      </c>
    </row>
    <row r="557" spans="1:11" x14ac:dyDescent="0.25">
      <c r="A557" t="s">
        <v>9479</v>
      </c>
      <c r="C557" t="s">
        <v>9480</v>
      </c>
      <c r="D557" t="s">
        <v>309</v>
      </c>
      <c r="E557" t="s">
        <v>6</v>
      </c>
      <c r="F557" t="s">
        <v>251</v>
      </c>
      <c r="G557">
        <v>49</v>
      </c>
      <c r="H557" s="2">
        <f>Tabelle13[[#This Row],[commits]]/Tabelle13[[#Totals],[commits]]</f>
        <v>2.2774173158080649E-4</v>
      </c>
      <c r="I557" s="5">
        <f>Tabelle13[[#This Row],[%]]+I556</f>
        <v>0.84824034653925617</v>
      </c>
      <c r="J557" s="4">
        <f t="shared" si="49"/>
        <v>1.105583195135434E-4</v>
      </c>
      <c r="K557" s="5">
        <f t="shared" si="50"/>
        <v>6.1359867330016887E-2</v>
      </c>
    </row>
    <row r="558" spans="1:11" x14ac:dyDescent="0.25">
      <c r="A558" t="s">
        <v>9481</v>
      </c>
      <c r="C558" t="s">
        <v>9482</v>
      </c>
      <c r="D558" t="s">
        <v>5</v>
      </c>
      <c r="E558" t="s">
        <v>6</v>
      </c>
      <c r="F558" t="s">
        <v>251</v>
      </c>
      <c r="G558">
        <v>49</v>
      </c>
      <c r="H558" s="2">
        <f>Tabelle13[[#This Row],[commits]]/Tabelle13[[#Totals],[commits]]</f>
        <v>2.2774173158080649E-4</v>
      </c>
      <c r="I558" s="5">
        <f>Tabelle13[[#This Row],[%]]+I557</f>
        <v>0.84846808827083697</v>
      </c>
      <c r="J558" s="4">
        <f t="shared" si="49"/>
        <v>1.105583195135434E-4</v>
      </c>
      <c r="K558" s="5">
        <f t="shared" si="50"/>
        <v>6.1470425649530432E-2</v>
      </c>
    </row>
    <row r="559" spans="1:11" x14ac:dyDescent="0.25">
      <c r="A559" t="s">
        <v>9483</v>
      </c>
      <c r="C559" t="s">
        <v>9484</v>
      </c>
      <c r="D559" t="s">
        <v>309</v>
      </c>
      <c r="E559" t="s">
        <v>6</v>
      </c>
      <c r="F559" t="s">
        <v>251</v>
      </c>
      <c r="G559">
        <v>49</v>
      </c>
      <c r="H559" s="2">
        <f>Tabelle13[[#This Row],[commits]]/Tabelle13[[#Totals],[commits]]</f>
        <v>2.2774173158080649E-4</v>
      </c>
      <c r="I559" s="5">
        <f>Tabelle13[[#This Row],[%]]+I558</f>
        <v>0.84869583000241777</v>
      </c>
      <c r="J559" s="4">
        <f t="shared" si="49"/>
        <v>1.105583195135434E-4</v>
      </c>
      <c r="K559" s="5">
        <f t="shared" si="50"/>
        <v>6.1580983969043976E-2</v>
      </c>
    </row>
    <row r="560" spans="1:11" x14ac:dyDescent="0.25">
      <c r="A560" t="s">
        <v>9485</v>
      </c>
      <c r="C560" t="s">
        <v>9486</v>
      </c>
      <c r="D560" t="s">
        <v>309</v>
      </c>
      <c r="E560" t="s">
        <v>6</v>
      </c>
      <c r="F560" t="s">
        <v>251</v>
      </c>
      <c r="G560">
        <v>49</v>
      </c>
      <c r="H560" s="2">
        <f>Tabelle13[[#This Row],[commits]]/Tabelle13[[#Totals],[commits]]</f>
        <v>2.2774173158080649E-4</v>
      </c>
      <c r="I560" s="5">
        <f>Tabelle13[[#This Row],[%]]+I559</f>
        <v>0.84892357173399857</v>
      </c>
      <c r="J560" s="4">
        <f t="shared" si="49"/>
        <v>1.105583195135434E-4</v>
      </c>
      <c r="K560" s="5">
        <f t="shared" si="50"/>
        <v>6.169154228855752E-2</v>
      </c>
    </row>
    <row r="561" spans="1:11" x14ac:dyDescent="0.25">
      <c r="A561" t="s">
        <v>5224</v>
      </c>
      <c r="C561" t="s">
        <v>5225</v>
      </c>
      <c r="D561" t="s">
        <v>5175</v>
      </c>
      <c r="E561" t="s">
        <v>6</v>
      </c>
      <c r="F561" t="s">
        <v>28</v>
      </c>
      <c r="G561">
        <v>48</v>
      </c>
      <c r="H561" s="2">
        <f>Tabelle13[[#This Row],[commits]]/Tabelle13[[#Totals],[commits]]</f>
        <v>2.2309394114038185E-4</v>
      </c>
      <c r="I561" s="5">
        <f>Tabelle13[[#This Row],[%]]+I560</f>
        <v>0.84914666567513897</v>
      </c>
      <c r="J561" s="4">
        <f t="shared" si="49"/>
        <v>1.105583195135434E-4</v>
      </c>
      <c r="K561" s="5">
        <f t="shared" si="50"/>
        <v>6.1802100608071064E-2</v>
      </c>
    </row>
    <row r="562" spans="1:11" x14ac:dyDescent="0.25">
      <c r="A562" t="s">
        <v>9487</v>
      </c>
      <c r="C562" t="s">
        <v>9488</v>
      </c>
      <c r="D562" t="s">
        <v>309</v>
      </c>
      <c r="E562" t="s">
        <v>6</v>
      </c>
      <c r="F562" t="s">
        <v>251</v>
      </c>
      <c r="G562">
        <v>48</v>
      </c>
      <c r="H562" s="2">
        <f>Tabelle13[[#This Row],[commits]]/Tabelle13[[#Totals],[commits]]</f>
        <v>2.2309394114038185E-4</v>
      </c>
      <c r="I562" s="5">
        <f>Tabelle13[[#This Row],[%]]+I561</f>
        <v>0.84936975961627936</v>
      </c>
      <c r="J562" s="4">
        <f t="shared" si="49"/>
        <v>1.105583195135434E-4</v>
      </c>
      <c r="K562" s="5">
        <f t="shared" si="50"/>
        <v>6.1912658927584609E-2</v>
      </c>
    </row>
    <row r="563" spans="1:11" x14ac:dyDescent="0.25">
      <c r="A563" t="s">
        <v>9489</v>
      </c>
      <c r="C563" t="s">
        <v>9490</v>
      </c>
      <c r="D563" t="s">
        <v>309</v>
      </c>
      <c r="E563" t="s">
        <v>6</v>
      </c>
      <c r="F563" t="s">
        <v>251</v>
      </c>
      <c r="G563">
        <v>48</v>
      </c>
      <c r="H563" s="2">
        <f>Tabelle13[[#This Row],[commits]]/Tabelle13[[#Totals],[commits]]</f>
        <v>2.2309394114038185E-4</v>
      </c>
      <c r="I563" s="5">
        <f>Tabelle13[[#This Row],[%]]+I562</f>
        <v>0.84959285355741976</v>
      </c>
      <c r="J563" s="4">
        <f t="shared" si="49"/>
        <v>1.105583195135434E-4</v>
      </c>
      <c r="K563" s="5">
        <f t="shared" si="50"/>
        <v>6.2023217247098153E-2</v>
      </c>
    </row>
    <row r="564" spans="1:11" x14ac:dyDescent="0.25">
      <c r="A564" t="s">
        <v>9491</v>
      </c>
      <c r="C564" t="s">
        <v>9492</v>
      </c>
      <c r="D564" t="s">
        <v>9453</v>
      </c>
      <c r="E564" t="s">
        <v>6</v>
      </c>
      <c r="F564" t="s">
        <v>251</v>
      </c>
      <c r="G564">
        <v>48</v>
      </c>
      <c r="H564" s="2">
        <f>Tabelle13[[#This Row],[commits]]/Tabelle13[[#Totals],[commits]]</f>
        <v>2.2309394114038185E-4</v>
      </c>
      <c r="I564" s="5">
        <f>Tabelle13[[#This Row],[%]]+I563</f>
        <v>0.84981594749856015</v>
      </c>
      <c r="J564" s="4">
        <f t="shared" si="49"/>
        <v>1.105583195135434E-4</v>
      </c>
      <c r="K564" s="5">
        <f t="shared" si="50"/>
        <v>6.2133775566611697E-2</v>
      </c>
    </row>
    <row r="565" spans="1:11" x14ac:dyDescent="0.25">
      <c r="A565" t="s">
        <v>9493</v>
      </c>
      <c r="C565" t="s">
        <v>9494</v>
      </c>
      <c r="D565" t="s">
        <v>9062</v>
      </c>
      <c r="E565" t="s">
        <v>6</v>
      </c>
      <c r="F565" t="s">
        <v>251</v>
      </c>
      <c r="G565">
        <v>48</v>
      </c>
      <c r="H565" s="2">
        <f>Tabelle13[[#This Row],[commits]]/Tabelle13[[#Totals],[commits]]</f>
        <v>2.2309394114038185E-4</v>
      </c>
      <c r="I565" s="5">
        <f>Tabelle13[[#This Row],[%]]+I564</f>
        <v>0.85003904143970055</v>
      </c>
      <c r="J565" s="4">
        <f t="shared" si="49"/>
        <v>1.105583195135434E-4</v>
      </c>
      <c r="K565" s="5">
        <f t="shared" si="50"/>
        <v>6.2244333886125242E-2</v>
      </c>
    </row>
    <row r="566" spans="1:11" x14ac:dyDescent="0.25">
      <c r="A566" t="s">
        <v>65</v>
      </c>
      <c r="C566" t="s">
        <v>66</v>
      </c>
      <c r="D566" t="s">
        <v>5</v>
      </c>
      <c r="E566" t="s">
        <v>6</v>
      </c>
      <c r="F566" t="s">
        <v>7</v>
      </c>
      <c r="G566">
        <v>47</v>
      </c>
      <c r="H566" s="2">
        <f>Tabelle13[[#This Row],[commits]]/Tabelle13[[#Totals],[commits]]</f>
        <v>2.1844615069995725E-4</v>
      </c>
      <c r="I566" s="5">
        <f>Tabelle13[[#This Row],[%]]+I565</f>
        <v>0.85025748759040054</v>
      </c>
      <c r="J566" s="4">
        <f t="shared" si="49"/>
        <v>1.105583195135434E-4</v>
      </c>
      <c r="K566" s="5">
        <f t="shared" si="50"/>
        <v>6.2354892205638786E-2</v>
      </c>
    </row>
    <row r="567" spans="1:11" x14ac:dyDescent="0.25">
      <c r="A567" t="s">
        <v>2390</v>
      </c>
      <c r="C567" t="s">
        <v>2391</v>
      </c>
      <c r="D567" t="s">
        <v>5</v>
      </c>
      <c r="E567" t="s">
        <v>6</v>
      </c>
      <c r="F567" t="s">
        <v>724</v>
      </c>
      <c r="G567">
        <v>47</v>
      </c>
      <c r="H567" s="2">
        <f>Tabelle13[[#This Row],[commits]]/Tabelle13[[#Totals],[commits]]</f>
        <v>2.1844615069995725E-4</v>
      </c>
      <c r="I567" s="5">
        <f>Tabelle13[[#This Row],[%]]+I566</f>
        <v>0.85047593374110053</v>
      </c>
      <c r="J567" s="4">
        <f t="shared" si="49"/>
        <v>1.105583195135434E-4</v>
      </c>
      <c r="K567" s="5">
        <f t="shared" si="50"/>
        <v>6.246545052515233E-2</v>
      </c>
    </row>
    <row r="568" spans="1:11" x14ac:dyDescent="0.25">
      <c r="A568" t="s">
        <v>2392</v>
      </c>
      <c r="C568" t="s">
        <v>2393</v>
      </c>
      <c r="D568" t="s">
        <v>309</v>
      </c>
      <c r="E568" t="s">
        <v>6</v>
      </c>
      <c r="F568" t="s">
        <v>724</v>
      </c>
      <c r="G568">
        <v>47</v>
      </c>
      <c r="H568" s="2">
        <f>Tabelle13[[#This Row],[commits]]/Tabelle13[[#Totals],[commits]]</f>
        <v>2.1844615069995725E-4</v>
      </c>
      <c r="I568" s="5">
        <f>Tabelle13[[#This Row],[%]]+I567</f>
        <v>0.85069437989180052</v>
      </c>
      <c r="J568" s="4">
        <f t="shared" si="49"/>
        <v>1.105583195135434E-4</v>
      </c>
      <c r="K568" s="5">
        <f t="shared" si="50"/>
        <v>6.2576008844665867E-2</v>
      </c>
    </row>
    <row r="569" spans="1:11" x14ac:dyDescent="0.25">
      <c r="A569" t="s">
        <v>9495</v>
      </c>
      <c r="C569" t="s">
        <v>9496</v>
      </c>
      <c r="D569" t="s">
        <v>309</v>
      </c>
      <c r="E569" t="s">
        <v>6</v>
      </c>
      <c r="F569" t="s">
        <v>251</v>
      </c>
      <c r="G569">
        <v>47</v>
      </c>
      <c r="H569" s="2">
        <f>Tabelle13[[#This Row],[commits]]/Tabelle13[[#Totals],[commits]]</f>
        <v>2.1844615069995725E-4</v>
      </c>
      <c r="I569" s="5">
        <f>Tabelle13[[#This Row],[%]]+I568</f>
        <v>0.85091282604250051</v>
      </c>
      <c r="J569" s="4">
        <f t="shared" si="49"/>
        <v>1.105583195135434E-4</v>
      </c>
      <c r="K569" s="5">
        <f t="shared" si="50"/>
        <v>6.2686567164179405E-2</v>
      </c>
    </row>
    <row r="570" spans="1:11" x14ac:dyDescent="0.25">
      <c r="A570" t="s">
        <v>9497</v>
      </c>
      <c r="C570" t="s">
        <v>9498</v>
      </c>
      <c r="D570" t="s">
        <v>309</v>
      </c>
      <c r="E570" t="s">
        <v>6</v>
      </c>
      <c r="F570" t="s">
        <v>251</v>
      </c>
      <c r="G570">
        <v>47</v>
      </c>
      <c r="H570" s="2">
        <f>Tabelle13[[#This Row],[commits]]/Tabelle13[[#Totals],[commits]]</f>
        <v>2.1844615069995725E-4</v>
      </c>
      <c r="I570" s="5">
        <f>Tabelle13[[#This Row],[%]]+I569</f>
        <v>0.85113127219320051</v>
      </c>
      <c r="J570" s="4">
        <f t="shared" si="49"/>
        <v>1.105583195135434E-4</v>
      </c>
      <c r="K570" s="5">
        <f t="shared" si="50"/>
        <v>6.2797125483692942E-2</v>
      </c>
    </row>
    <row r="571" spans="1:11" x14ac:dyDescent="0.25">
      <c r="A571" t="s">
        <v>9499</v>
      </c>
      <c r="C571" t="s">
        <v>9500</v>
      </c>
      <c r="D571" t="s">
        <v>309</v>
      </c>
      <c r="E571" t="s">
        <v>6</v>
      </c>
      <c r="F571" t="s">
        <v>251</v>
      </c>
      <c r="G571">
        <v>47</v>
      </c>
      <c r="H571" s="2">
        <f>Tabelle13[[#This Row],[commits]]/Tabelle13[[#Totals],[commits]]</f>
        <v>2.1844615069995725E-4</v>
      </c>
      <c r="I571" s="5">
        <f>Tabelle13[[#This Row],[%]]+I570</f>
        <v>0.8513497183439005</v>
      </c>
      <c r="J571" s="4">
        <f t="shared" si="49"/>
        <v>1.105583195135434E-4</v>
      </c>
      <c r="K571" s="5">
        <f t="shared" si="50"/>
        <v>6.2907683803206479E-2</v>
      </c>
    </row>
    <row r="572" spans="1:11" x14ac:dyDescent="0.25">
      <c r="A572" t="s">
        <v>9501</v>
      </c>
      <c r="C572" t="s">
        <v>9502</v>
      </c>
      <c r="D572" t="s">
        <v>309</v>
      </c>
      <c r="E572" t="s">
        <v>6</v>
      </c>
      <c r="F572" t="s">
        <v>251</v>
      </c>
      <c r="G572">
        <v>47</v>
      </c>
      <c r="H572" s="2">
        <f>Tabelle13[[#This Row],[commits]]/Tabelle13[[#Totals],[commits]]</f>
        <v>2.1844615069995725E-4</v>
      </c>
      <c r="I572" s="5">
        <f>Tabelle13[[#This Row],[%]]+I571</f>
        <v>0.85156816449460049</v>
      </c>
      <c r="J572" s="4">
        <f t="shared" si="49"/>
        <v>1.105583195135434E-4</v>
      </c>
      <c r="K572" s="5">
        <f t="shared" si="50"/>
        <v>6.3018242122720017E-2</v>
      </c>
    </row>
    <row r="573" spans="1:11" x14ac:dyDescent="0.25">
      <c r="A573" t="s">
        <v>9503</v>
      </c>
      <c r="C573" t="s">
        <v>9504</v>
      </c>
      <c r="D573" t="s">
        <v>309</v>
      </c>
      <c r="E573" t="s">
        <v>6</v>
      </c>
      <c r="F573" t="s">
        <v>251</v>
      </c>
      <c r="G573">
        <v>47</v>
      </c>
      <c r="H573" s="2">
        <f>Tabelle13[[#This Row],[commits]]/Tabelle13[[#Totals],[commits]]</f>
        <v>2.1844615069995725E-4</v>
      </c>
      <c r="I573" s="5">
        <f>Tabelle13[[#This Row],[%]]+I572</f>
        <v>0.85178661064530048</v>
      </c>
      <c r="J573" s="4">
        <f t="shared" si="49"/>
        <v>1.105583195135434E-4</v>
      </c>
      <c r="K573" s="5">
        <f t="shared" si="50"/>
        <v>6.3128800442233554E-2</v>
      </c>
    </row>
    <row r="574" spans="1:11" x14ac:dyDescent="0.25">
      <c r="A574" t="s">
        <v>9505</v>
      </c>
      <c r="C574" t="s">
        <v>9506</v>
      </c>
      <c r="D574" t="s">
        <v>309</v>
      </c>
      <c r="E574" t="s">
        <v>6</v>
      </c>
      <c r="F574" t="s">
        <v>251</v>
      </c>
      <c r="G574">
        <v>47</v>
      </c>
      <c r="H574" s="2">
        <f>Tabelle13[[#This Row],[commits]]/Tabelle13[[#Totals],[commits]]</f>
        <v>2.1844615069995725E-4</v>
      </c>
      <c r="I574" s="5">
        <f>Tabelle13[[#This Row],[%]]+I573</f>
        <v>0.85200505679600047</v>
      </c>
      <c r="J574" s="4">
        <f t="shared" si="49"/>
        <v>1.105583195135434E-4</v>
      </c>
      <c r="K574" s="5">
        <f t="shared" si="50"/>
        <v>6.3239358761747091E-2</v>
      </c>
    </row>
    <row r="575" spans="1:11" x14ac:dyDescent="0.25">
      <c r="A575" t="s">
        <v>17132</v>
      </c>
      <c r="C575" t="s">
        <v>17133</v>
      </c>
      <c r="D575" t="s">
        <v>5</v>
      </c>
      <c r="E575" t="s">
        <v>6</v>
      </c>
      <c r="F575" t="s">
        <v>334</v>
      </c>
      <c r="G575">
        <v>47</v>
      </c>
      <c r="H575" s="2">
        <f>Tabelle13[[#This Row],[commits]]/Tabelle13[[#Totals],[commits]]</f>
        <v>2.1844615069995725E-4</v>
      </c>
      <c r="I575" s="5">
        <f>Tabelle13[[#This Row],[%]]+I574</f>
        <v>0.85222350294670046</v>
      </c>
      <c r="J575" s="4">
        <f t="shared" si="49"/>
        <v>1.105583195135434E-4</v>
      </c>
      <c r="K575" s="5">
        <f t="shared" si="50"/>
        <v>6.3349917081260629E-2</v>
      </c>
    </row>
    <row r="576" spans="1:11" x14ac:dyDescent="0.25">
      <c r="A576" t="s">
        <v>2394</v>
      </c>
      <c r="C576" t="s">
        <v>2395</v>
      </c>
      <c r="D576" t="s">
        <v>5</v>
      </c>
      <c r="E576" t="s">
        <v>6</v>
      </c>
      <c r="F576" t="s">
        <v>724</v>
      </c>
      <c r="G576">
        <v>46</v>
      </c>
      <c r="H576" s="2">
        <f>Tabelle13[[#This Row],[commits]]/Tabelle13[[#Totals],[commits]]</f>
        <v>2.1379836025953262E-4</v>
      </c>
      <c r="I576" s="5">
        <f>Tabelle13[[#This Row],[%]]+I575</f>
        <v>0.85243730130696005</v>
      </c>
      <c r="J576" s="4">
        <f t="shared" si="49"/>
        <v>1.105583195135434E-4</v>
      </c>
      <c r="K576" s="5">
        <f t="shared" si="50"/>
        <v>6.3460475400774166E-2</v>
      </c>
    </row>
    <row r="577" spans="1:11" x14ac:dyDescent="0.25">
      <c r="A577" t="s">
        <v>2396</v>
      </c>
      <c r="C577" t="s">
        <v>2397</v>
      </c>
      <c r="D577" t="s">
        <v>309</v>
      </c>
      <c r="E577" t="s">
        <v>6</v>
      </c>
      <c r="F577" t="s">
        <v>724</v>
      </c>
      <c r="G577">
        <v>46</v>
      </c>
      <c r="H577" s="2">
        <f>Tabelle13[[#This Row],[commits]]/Tabelle13[[#Totals],[commits]]</f>
        <v>2.1379836025953262E-4</v>
      </c>
      <c r="I577" s="5">
        <f>Tabelle13[[#This Row],[%]]+I576</f>
        <v>0.85265109966721964</v>
      </c>
      <c r="J577" s="4">
        <f t="shared" si="49"/>
        <v>1.105583195135434E-4</v>
      </c>
      <c r="K577" s="5">
        <f t="shared" si="50"/>
        <v>6.3571033720287703E-2</v>
      </c>
    </row>
    <row r="578" spans="1:11" x14ac:dyDescent="0.25">
      <c r="A578" t="s">
        <v>9507</v>
      </c>
      <c r="C578" t="s">
        <v>9508</v>
      </c>
      <c r="D578" t="s">
        <v>309</v>
      </c>
      <c r="E578" t="s">
        <v>6</v>
      </c>
      <c r="F578" t="s">
        <v>251</v>
      </c>
      <c r="G578">
        <v>46</v>
      </c>
      <c r="H578" s="2">
        <f>Tabelle13[[#This Row],[commits]]/Tabelle13[[#Totals],[commits]]</f>
        <v>2.1379836025953262E-4</v>
      </c>
      <c r="I578" s="5">
        <f>Tabelle13[[#This Row],[%]]+I577</f>
        <v>0.85286489802747922</v>
      </c>
      <c r="J578" s="4">
        <f t="shared" si="49"/>
        <v>1.105583195135434E-4</v>
      </c>
      <c r="K578" s="5">
        <f t="shared" si="50"/>
        <v>6.3681592039801241E-2</v>
      </c>
    </row>
    <row r="579" spans="1:11" x14ac:dyDescent="0.25">
      <c r="A579" t="s">
        <v>9509</v>
      </c>
      <c r="C579" t="s">
        <v>9510</v>
      </c>
      <c r="D579" t="s">
        <v>309</v>
      </c>
      <c r="E579" t="s">
        <v>6</v>
      </c>
      <c r="F579" t="s">
        <v>251</v>
      </c>
      <c r="G579">
        <v>46</v>
      </c>
      <c r="H579" s="2">
        <f>Tabelle13[[#This Row],[commits]]/Tabelle13[[#Totals],[commits]]</f>
        <v>2.1379836025953262E-4</v>
      </c>
      <c r="I579" s="5">
        <f>Tabelle13[[#This Row],[%]]+I578</f>
        <v>0.85307869638773881</v>
      </c>
      <c r="J579" s="4">
        <f t="shared" ref="J579:J642" si="51">1/9045</f>
        <v>1.105583195135434E-4</v>
      </c>
      <c r="K579" s="5">
        <f t="shared" si="50"/>
        <v>6.3792150359314778E-2</v>
      </c>
    </row>
    <row r="580" spans="1:11" x14ac:dyDescent="0.25">
      <c r="A580" t="s">
        <v>9511</v>
      </c>
      <c r="C580" t="s">
        <v>9512</v>
      </c>
      <c r="D580" t="s">
        <v>309</v>
      </c>
      <c r="E580" t="s">
        <v>6</v>
      </c>
      <c r="F580" t="s">
        <v>251</v>
      </c>
      <c r="G580">
        <v>46</v>
      </c>
      <c r="H580" s="2">
        <f>Tabelle13[[#This Row],[commits]]/Tabelle13[[#Totals],[commits]]</f>
        <v>2.1379836025953262E-4</v>
      </c>
      <c r="I580" s="5">
        <f>Tabelle13[[#This Row],[%]]+I579</f>
        <v>0.8532924947479984</v>
      </c>
      <c r="J580" s="4">
        <f t="shared" si="51"/>
        <v>1.105583195135434E-4</v>
      </c>
      <c r="K580" s="5">
        <f t="shared" si="50"/>
        <v>6.3902708678828316E-2</v>
      </c>
    </row>
    <row r="581" spans="1:11" x14ac:dyDescent="0.25">
      <c r="A581" t="s">
        <v>9513</v>
      </c>
      <c r="C581" t="s">
        <v>9514</v>
      </c>
      <c r="D581" t="s">
        <v>5</v>
      </c>
      <c r="E581" t="s">
        <v>6</v>
      </c>
      <c r="F581" t="s">
        <v>251</v>
      </c>
      <c r="G581">
        <v>46</v>
      </c>
      <c r="H581" s="2">
        <f>Tabelle13[[#This Row],[commits]]/Tabelle13[[#Totals],[commits]]</f>
        <v>2.1379836025953262E-4</v>
      </c>
      <c r="I581" s="5">
        <f>Tabelle13[[#This Row],[%]]+I580</f>
        <v>0.85350629310825799</v>
      </c>
      <c r="J581" s="4">
        <f t="shared" si="51"/>
        <v>1.105583195135434E-4</v>
      </c>
      <c r="K581" s="5">
        <f t="shared" si="50"/>
        <v>6.4013266998341853E-2</v>
      </c>
    </row>
    <row r="582" spans="1:11" x14ac:dyDescent="0.25">
      <c r="A582" t="s">
        <v>9515</v>
      </c>
      <c r="C582" t="s">
        <v>9516</v>
      </c>
      <c r="D582" t="s">
        <v>8948</v>
      </c>
      <c r="E582" t="s">
        <v>6</v>
      </c>
      <c r="F582" t="s">
        <v>251</v>
      </c>
      <c r="G582">
        <v>46</v>
      </c>
      <c r="H582" s="2">
        <f>Tabelle13[[#This Row],[commits]]/Tabelle13[[#Totals],[commits]]</f>
        <v>2.1379836025953262E-4</v>
      </c>
      <c r="I582" s="5">
        <f>Tabelle13[[#This Row],[%]]+I581</f>
        <v>0.85372009146851757</v>
      </c>
      <c r="J582" s="4">
        <f t="shared" si="51"/>
        <v>1.105583195135434E-4</v>
      </c>
      <c r="K582" s="5">
        <f t="shared" ref="K582:K645" si="52">J582+K581</f>
        <v>6.412382531785539E-2</v>
      </c>
    </row>
    <row r="583" spans="1:11" x14ac:dyDescent="0.25">
      <c r="A583" t="s">
        <v>9517</v>
      </c>
      <c r="C583" t="s">
        <v>9518</v>
      </c>
      <c r="D583" t="s">
        <v>309</v>
      </c>
      <c r="E583" t="s">
        <v>6</v>
      </c>
      <c r="F583" t="s">
        <v>251</v>
      </c>
      <c r="G583">
        <v>46</v>
      </c>
      <c r="H583" s="2">
        <f>Tabelle13[[#This Row],[commits]]/Tabelle13[[#Totals],[commits]]</f>
        <v>2.1379836025953262E-4</v>
      </c>
      <c r="I583" s="5">
        <f>Tabelle13[[#This Row],[%]]+I582</f>
        <v>0.85393388982877716</v>
      </c>
      <c r="J583" s="4">
        <f t="shared" si="51"/>
        <v>1.105583195135434E-4</v>
      </c>
      <c r="K583" s="5">
        <f t="shared" si="52"/>
        <v>6.4234383637368928E-2</v>
      </c>
    </row>
    <row r="584" spans="1:11" x14ac:dyDescent="0.25">
      <c r="A584" t="s">
        <v>9519</v>
      </c>
      <c r="C584" t="s">
        <v>9520</v>
      </c>
      <c r="D584" t="s">
        <v>309</v>
      </c>
      <c r="E584" t="s">
        <v>6</v>
      </c>
      <c r="F584" t="s">
        <v>251</v>
      </c>
      <c r="G584">
        <v>46</v>
      </c>
      <c r="H584" s="2">
        <f>Tabelle13[[#This Row],[commits]]/Tabelle13[[#Totals],[commits]]</f>
        <v>2.1379836025953262E-4</v>
      </c>
      <c r="I584" s="5">
        <f>Tabelle13[[#This Row],[%]]+I583</f>
        <v>0.85414768818903675</v>
      </c>
      <c r="J584" s="4">
        <f t="shared" si="51"/>
        <v>1.105583195135434E-4</v>
      </c>
      <c r="K584" s="5">
        <f t="shared" si="52"/>
        <v>6.4344941956882465E-2</v>
      </c>
    </row>
    <row r="585" spans="1:11" x14ac:dyDescent="0.25">
      <c r="A585" t="s">
        <v>2398</v>
      </c>
      <c r="C585" t="s">
        <v>2399</v>
      </c>
      <c r="D585" t="s">
        <v>5</v>
      </c>
      <c r="E585" t="s">
        <v>6</v>
      </c>
      <c r="F585" t="s">
        <v>724</v>
      </c>
      <c r="G585">
        <v>45</v>
      </c>
      <c r="H585" s="2">
        <f>Tabelle13[[#This Row],[commits]]/Tabelle13[[#Totals],[commits]]</f>
        <v>2.0915056981910798E-4</v>
      </c>
      <c r="I585" s="5">
        <f>Tabelle13[[#This Row],[%]]+I584</f>
        <v>0.85435683875885582</v>
      </c>
      <c r="J585" s="4">
        <f t="shared" si="51"/>
        <v>1.105583195135434E-4</v>
      </c>
      <c r="K585" s="5">
        <f t="shared" si="52"/>
        <v>6.4455500276396002E-2</v>
      </c>
    </row>
    <row r="586" spans="1:11" x14ac:dyDescent="0.25">
      <c r="A586" t="s">
        <v>2400</v>
      </c>
      <c r="C586" t="s">
        <v>2401</v>
      </c>
      <c r="D586" t="s">
        <v>5</v>
      </c>
      <c r="E586" t="s">
        <v>6</v>
      </c>
      <c r="F586" t="s">
        <v>724</v>
      </c>
      <c r="G586">
        <v>45</v>
      </c>
      <c r="H586" s="2">
        <f>Tabelle13[[#This Row],[commits]]/Tabelle13[[#Totals],[commits]]</f>
        <v>2.0915056981910798E-4</v>
      </c>
      <c r="I586" s="5">
        <f>Tabelle13[[#This Row],[%]]+I585</f>
        <v>0.85456598932867489</v>
      </c>
      <c r="J586" s="4">
        <f t="shared" si="51"/>
        <v>1.105583195135434E-4</v>
      </c>
      <c r="K586" s="5">
        <f t="shared" si="52"/>
        <v>6.456605859590954E-2</v>
      </c>
    </row>
    <row r="587" spans="1:11" x14ac:dyDescent="0.25">
      <c r="A587" t="s">
        <v>2402</v>
      </c>
      <c r="C587" t="s">
        <v>2403</v>
      </c>
      <c r="D587" t="s">
        <v>309</v>
      </c>
      <c r="E587" t="s">
        <v>6</v>
      </c>
      <c r="F587" t="s">
        <v>724</v>
      </c>
      <c r="G587">
        <v>45</v>
      </c>
      <c r="H587" s="2">
        <f>Tabelle13[[#This Row],[commits]]/Tabelle13[[#Totals],[commits]]</f>
        <v>2.0915056981910798E-4</v>
      </c>
      <c r="I587" s="5">
        <f>Tabelle13[[#This Row],[%]]+I586</f>
        <v>0.85477513989849396</v>
      </c>
      <c r="J587" s="4">
        <f t="shared" si="51"/>
        <v>1.105583195135434E-4</v>
      </c>
      <c r="K587" s="5">
        <f t="shared" si="52"/>
        <v>6.4676616915423077E-2</v>
      </c>
    </row>
    <row r="588" spans="1:11" x14ac:dyDescent="0.25">
      <c r="A588" t="s">
        <v>5226</v>
      </c>
      <c r="C588" t="s">
        <v>5227</v>
      </c>
      <c r="D588" t="s">
        <v>5</v>
      </c>
      <c r="E588" t="s">
        <v>6</v>
      </c>
      <c r="F588" t="s">
        <v>28</v>
      </c>
      <c r="G588">
        <v>45</v>
      </c>
      <c r="H588" s="2">
        <f>Tabelle13[[#This Row],[commits]]/Tabelle13[[#Totals],[commits]]</f>
        <v>2.0915056981910798E-4</v>
      </c>
      <c r="I588" s="5">
        <f>Tabelle13[[#This Row],[%]]+I587</f>
        <v>0.85498429046831304</v>
      </c>
      <c r="J588" s="4">
        <f t="shared" si="51"/>
        <v>1.105583195135434E-4</v>
      </c>
      <c r="K588" s="5">
        <f t="shared" si="52"/>
        <v>6.4787175234936614E-2</v>
      </c>
    </row>
    <row r="589" spans="1:11" x14ac:dyDescent="0.25">
      <c r="A589" t="s">
        <v>5228</v>
      </c>
      <c r="C589" t="s">
        <v>5229</v>
      </c>
      <c r="D589" t="s">
        <v>5</v>
      </c>
      <c r="E589" t="s">
        <v>6</v>
      </c>
      <c r="F589" t="s">
        <v>28</v>
      </c>
      <c r="G589">
        <v>45</v>
      </c>
      <c r="H589" s="2">
        <f>Tabelle13[[#This Row],[commits]]/Tabelle13[[#Totals],[commits]]</f>
        <v>2.0915056981910798E-4</v>
      </c>
      <c r="I589" s="5">
        <f>Tabelle13[[#This Row],[%]]+I588</f>
        <v>0.85519344103813211</v>
      </c>
      <c r="J589" s="4">
        <f t="shared" si="51"/>
        <v>1.105583195135434E-4</v>
      </c>
      <c r="K589" s="5">
        <f t="shared" si="52"/>
        <v>6.4897733554450152E-2</v>
      </c>
    </row>
    <row r="590" spans="1:11" x14ac:dyDescent="0.25">
      <c r="A590" t="s">
        <v>9521</v>
      </c>
      <c r="C590" t="s">
        <v>9522</v>
      </c>
      <c r="D590" t="s">
        <v>309</v>
      </c>
      <c r="E590" t="s">
        <v>6</v>
      </c>
      <c r="F590" t="s">
        <v>251</v>
      </c>
      <c r="G590">
        <v>45</v>
      </c>
      <c r="H590" s="2">
        <f>Tabelle13[[#This Row],[commits]]/Tabelle13[[#Totals],[commits]]</f>
        <v>2.0915056981910798E-4</v>
      </c>
      <c r="I590" s="5">
        <f>Tabelle13[[#This Row],[%]]+I589</f>
        <v>0.85540259160795118</v>
      </c>
      <c r="J590" s="4">
        <f t="shared" si="51"/>
        <v>1.105583195135434E-4</v>
      </c>
      <c r="K590" s="5">
        <f t="shared" si="52"/>
        <v>6.5008291873963689E-2</v>
      </c>
    </row>
    <row r="591" spans="1:11" x14ac:dyDescent="0.25">
      <c r="A591" t="s">
        <v>9523</v>
      </c>
      <c r="C591" t="s">
        <v>9524</v>
      </c>
      <c r="D591" t="s">
        <v>309</v>
      </c>
      <c r="E591" t="s">
        <v>6</v>
      </c>
      <c r="F591" t="s">
        <v>251</v>
      </c>
      <c r="G591">
        <v>45</v>
      </c>
      <c r="H591" s="2">
        <f>Tabelle13[[#This Row],[commits]]/Tabelle13[[#Totals],[commits]]</f>
        <v>2.0915056981910798E-4</v>
      </c>
      <c r="I591" s="5">
        <f>Tabelle13[[#This Row],[%]]+I590</f>
        <v>0.85561174217777025</v>
      </c>
      <c r="J591" s="4">
        <f t="shared" si="51"/>
        <v>1.105583195135434E-4</v>
      </c>
      <c r="K591" s="5">
        <f t="shared" si="52"/>
        <v>6.5118850193477226E-2</v>
      </c>
    </row>
    <row r="592" spans="1:11" x14ac:dyDescent="0.25">
      <c r="A592" t="s">
        <v>9525</v>
      </c>
      <c r="C592" t="s">
        <v>9526</v>
      </c>
      <c r="D592" t="s">
        <v>8760</v>
      </c>
      <c r="E592" t="s">
        <v>6</v>
      </c>
      <c r="F592" t="s">
        <v>251</v>
      </c>
      <c r="G592">
        <v>45</v>
      </c>
      <c r="H592" s="2">
        <f>Tabelle13[[#This Row],[commits]]/Tabelle13[[#Totals],[commits]]</f>
        <v>2.0915056981910798E-4</v>
      </c>
      <c r="I592" s="5">
        <f>Tabelle13[[#This Row],[%]]+I591</f>
        <v>0.85582089274758932</v>
      </c>
      <c r="J592" s="4">
        <f t="shared" si="51"/>
        <v>1.105583195135434E-4</v>
      </c>
      <c r="K592" s="5">
        <f t="shared" si="52"/>
        <v>6.5229408512990764E-2</v>
      </c>
    </row>
    <row r="593" spans="1:11" x14ac:dyDescent="0.25">
      <c r="A593" t="s">
        <v>9527</v>
      </c>
      <c r="C593" t="s">
        <v>9528</v>
      </c>
      <c r="D593" t="s">
        <v>9529</v>
      </c>
      <c r="E593" t="s">
        <v>6</v>
      </c>
      <c r="F593" t="s">
        <v>251</v>
      </c>
      <c r="G593">
        <v>45</v>
      </c>
      <c r="H593" s="2">
        <f>Tabelle13[[#This Row],[commits]]/Tabelle13[[#Totals],[commits]]</f>
        <v>2.0915056981910798E-4</v>
      </c>
      <c r="I593" s="5">
        <f>Tabelle13[[#This Row],[%]]+I592</f>
        <v>0.8560300433174084</v>
      </c>
      <c r="J593" s="4">
        <f t="shared" si="51"/>
        <v>1.105583195135434E-4</v>
      </c>
      <c r="K593" s="5">
        <f t="shared" si="52"/>
        <v>6.5339966832504301E-2</v>
      </c>
    </row>
    <row r="594" spans="1:11" x14ac:dyDescent="0.25">
      <c r="A594" t="s">
        <v>9530</v>
      </c>
      <c r="C594" t="s">
        <v>9531</v>
      </c>
      <c r="D594" t="s">
        <v>309</v>
      </c>
      <c r="E594" t="s">
        <v>6</v>
      </c>
      <c r="F594" t="s">
        <v>251</v>
      </c>
      <c r="G594">
        <v>45</v>
      </c>
      <c r="H594" s="2">
        <f>Tabelle13[[#This Row],[commits]]/Tabelle13[[#Totals],[commits]]</f>
        <v>2.0915056981910798E-4</v>
      </c>
      <c r="I594" s="5">
        <f>Tabelle13[[#This Row],[%]]+I593</f>
        <v>0.85623919388722747</v>
      </c>
      <c r="J594" s="4">
        <f t="shared" si="51"/>
        <v>1.105583195135434E-4</v>
      </c>
      <c r="K594" s="5">
        <f t="shared" si="52"/>
        <v>6.5450525152017838E-2</v>
      </c>
    </row>
    <row r="595" spans="1:11" x14ac:dyDescent="0.25">
      <c r="A595" t="s">
        <v>9532</v>
      </c>
      <c r="C595" t="s">
        <v>9533</v>
      </c>
      <c r="D595" t="s">
        <v>309</v>
      </c>
      <c r="E595" t="s">
        <v>6</v>
      </c>
      <c r="F595" t="s">
        <v>251</v>
      </c>
      <c r="G595">
        <v>45</v>
      </c>
      <c r="H595" s="2">
        <f>Tabelle13[[#This Row],[commits]]/Tabelle13[[#Totals],[commits]]</f>
        <v>2.0915056981910798E-4</v>
      </c>
      <c r="I595" s="5">
        <f>Tabelle13[[#This Row],[%]]+I594</f>
        <v>0.85644834445704654</v>
      </c>
      <c r="J595" s="4">
        <f t="shared" si="51"/>
        <v>1.105583195135434E-4</v>
      </c>
      <c r="K595" s="5">
        <f t="shared" si="52"/>
        <v>6.5561083471531376E-2</v>
      </c>
    </row>
    <row r="596" spans="1:11" x14ac:dyDescent="0.25">
      <c r="A596" t="s">
        <v>9534</v>
      </c>
      <c r="C596" t="s">
        <v>9535</v>
      </c>
      <c r="D596" t="s">
        <v>309</v>
      </c>
      <c r="E596" t="s">
        <v>6</v>
      </c>
      <c r="F596" t="s">
        <v>251</v>
      </c>
      <c r="G596">
        <v>45</v>
      </c>
      <c r="H596" s="2">
        <f>Tabelle13[[#This Row],[commits]]/Tabelle13[[#Totals],[commits]]</f>
        <v>2.0915056981910798E-4</v>
      </c>
      <c r="I596" s="5">
        <f>Tabelle13[[#This Row],[%]]+I595</f>
        <v>0.85665749502686561</v>
      </c>
      <c r="J596" s="4">
        <f t="shared" si="51"/>
        <v>1.105583195135434E-4</v>
      </c>
      <c r="K596" s="5">
        <f t="shared" si="52"/>
        <v>6.5671641791044913E-2</v>
      </c>
    </row>
    <row r="597" spans="1:11" x14ac:dyDescent="0.25">
      <c r="A597" t="s">
        <v>9536</v>
      </c>
      <c r="C597" t="s">
        <v>9537</v>
      </c>
      <c r="D597" t="s">
        <v>309</v>
      </c>
      <c r="E597" t="s">
        <v>6</v>
      </c>
      <c r="F597" t="s">
        <v>251</v>
      </c>
      <c r="G597">
        <v>45</v>
      </c>
      <c r="H597" s="2">
        <f>Tabelle13[[#This Row],[commits]]/Tabelle13[[#Totals],[commits]]</f>
        <v>2.0915056981910798E-4</v>
      </c>
      <c r="I597" s="5">
        <f>Tabelle13[[#This Row],[%]]+I596</f>
        <v>0.85686664559668468</v>
      </c>
      <c r="J597" s="4">
        <f t="shared" si="51"/>
        <v>1.105583195135434E-4</v>
      </c>
      <c r="K597" s="5">
        <f t="shared" si="52"/>
        <v>6.578220011055845E-2</v>
      </c>
    </row>
    <row r="598" spans="1:11" x14ac:dyDescent="0.25">
      <c r="A598" t="s">
        <v>67</v>
      </c>
      <c r="C598" t="s">
        <v>68</v>
      </c>
      <c r="D598" t="s">
        <v>5</v>
      </c>
      <c r="E598" t="s">
        <v>6</v>
      </c>
      <c r="F598" t="s">
        <v>7</v>
      </c>
      <c r="G598">
        <v>44</v>
      </c>
      <c r="H598" s="2">
        <f>Tabelle13[[#This Row],[commits]]/Tabelle13[[#Totals],[commits]]</f>
        <v>2.0450277937868338E-4</v>
      </c>
      <c r="I598" s="5">
        <f>Tabelle13[[#This Row],[%]]+I597</f>
        <v>0.85707114837606335</v>
      </c>
      <c r="J598" s="4">
        <f t="shared" si="51"/>
        <v>1.105583195135434E-4</v>
      </c>
      <c r="K598" s="5">
        <f t="shared" si="52"/>
        <v>6.5892758430071988E-2</v>
      </c>
    </row>
    <row r="599" spans="1:11" x14ac:dyDescent="0.25">
      <c r="A599" t="s">
        <v>2404</v>
      </c>
      <c r="C599" t="s">
        <v>2405</v>
      </c>
      <c r="D599" t="s">
        <v>309</v>
      </c>
      <c r="E599" t="s">
        <v>6</v>
      </c>
      <c r="F599" t="s">
        <v>724</v>
      </c>
      <c r="G599">
        <v>44</v>
      </c>
      <c r="H599" s="2">
        <f>Tabelle13[[#This Row],[commits]]/Tabelle13[[#Totals],[commits]]</f>
        <v>2.0450277937868338E-4</v>
      </c>
      <c r="I599" s="5">
        <f>Tabelle13[[#This Row],[%]]+I598</f>
        <v>0.85727565115544202</v>
      </c>
      <c r="J599" s="4">
        <f t="shared" si="51"/>
        <v>1.105583195135434E-4</v>
      </c>
      <c r="K599" s="5">
        <f t="shared" si="52"/>
        <v>6.6003316749585525E-2</v>
      </c>
    </row>
    <row r="600" spans="1:11" x14ac:dyDescent="0.25">
      <c r="A600" t="s">
        <v>2406</v>
      </c>
      <c r="C600" t="s">
        <v>2407</v>
      </c>
      <c r="D600" t="s">
        <v>5</v>
      </c>
      <c r="E600" t="s">
        <v>6</v>
      </c>
      <c r="F600" t="s">
        <v>724</v>
      </c>
      <c r="G600">
        <v>44</v>
      </c>
      <c r="H600" s="2">
        <f>Tabelle13[[#This Row],[commits]]/Tabelle13[[#Totals],[commits]]</f>
        <v>2.0450277937868338E-4</v>
      </c>
      <c r="I600" s="5">
        <f>Tabelle13[[#This Row],[%]]+I599</f>
        <v>0.85748015393482069</v>
      </c>
      <c r="J600" s="4">
        <f t="shared" si="51"/>
        <v>1.105583195135434E-4</v>
      </c>
      <c r="K600" s="5">
        <f t="shared" si="52"/>
        <v>6.6113875069099062E-2</v>
      </c>
    </row>
    <row r="601" spans="1:11" x14ac:dyDescent="0.25">
      <c r="A601" t="s">
        <v>2408</v>
      </c>
      <c r="C601" t="s">
        <v>2409</v>
      </c>
      <c r="D601" t="s">
        <v>5</v>
      </c>
      <c r="E601" t="s">
        <v>6</v>
      </c>
      <c r="F601" t="s">
        <v>724</v>
      </c>
      <c r="G601">
        <v>44</v>
      </c>
      <c r="H601" s="2">
        <f>Tabelle13[[#This Row],[commits]]/Tabelle13[[#Totals],[commits]]</f>
        <v>2.0450277937868338E-4</v>
      </c>
      <c r="I601" s="5">
        <f>Tabelle13[[#This Row],[%]]+I600</f>
        <v>0.85768465671419936</v>
      </c>
      <c r="J601" s="4">
        <f t="shared" si="51"/>
        <v>1.105583195135434E-4</v>
      </c>
      <c r="K601" s="5">
        <f t="shared" si="52"/>
        <v>6.62244333886126E-2</v>
      </c>
    </row>
    <row r="602" spans="1:11" x14ac:dyDescent="0.25">
      <c r="A602" t="s">
        <v>2410</v>
      </c>
      <c r="C602" t="s">
        <v>2411</v>
      </c>
      <c r="D602" t="s">
        <v>5</v>
      </c>
      <c r="E602" t="s">
        <v>6</v>
      </c>
      <c r="F602" t="s">
        <v>724</v>
      </c>
      <c r="G602">
        <v>44</v>
      </c>
      <c r="H602" s="2">
        <f>Tabelle13[[#This Row],[commits]]/Tabelle13[[#Totals],[commits]]</f>
        <v>2.0450277937868338E-4</v>
      </c>
      <c r="I602" s="5">
        <f>Tabelle13[[#This Row],[%]]+I601</f>
        <v>0.85788915949357802</v>
      </c>
      <c r="J602" s="4">
        <f t="shared" si="51"/>
        <v>1.105583195135434E-4</v>
      </c>
      <c r="K602" s="5">
        <f t="shared" si="52"/>
        <v>6.6334991708126137E-2</v>
      </c>
    </row>
    <row r="603" spans="1:11" x14ac:dyDescent="0.25">
      <c r="A603" t="s">
        <v>2412</v>
      </c>
      <c r="C603" t="s">
        <v>2413</v>
      </c>
      <c r="D603" t="s">
        <v>5</v>
      </c>
      <c r="E603" t="s">
        <v>6</v>
      </c>
      <c r="F603" t="s">
        <v>724</v>
      </c>
      <c r="G603">
        <v>44</v>
      </c>
      <c r="H603" s="2">
        <f>Tabelle13[[#This Row],[commits]]/Tabelle13[[#Totals],[commits]]</f>
        <v>2.0450277937868338E-4</v>
      </c>
      <c r="I603" s="5">
        <f>Tabelle13[[#This Row],[%]]+I602</f>
        <v>0.85809366227295669</v>
      </c>
      <c r="J603" s="4">
        <f t="shared" si="51"/>
        <v>1.105583195135434E-4</v>
      </c>
      <c r="K603" s="5">
        <f t="shared" si="52"/>
        <v>6.6445550027639674E-2</v>
      </c>
    </row>
    <row r="604" spans="1:11" x14ac:dyDescent="0.25">
      <c r="A604" t="s">
        <v>5230</v>
      </c>
      <c r="C604" t="s">
        <v>5231</v>
      </c>
      <c r="D604" t="s">
        <v>5</v>
      </c>
      <c r="E604" t="s">
        <v>6</v>
      </c>
      <c r="F604" t="s">
        <v>28</v>
      </c>
      <c r="G604">
        <v>44</v>
      </c>
      <c r="H604" s="2">
        <f>Tabelle13[[#This Row],[commits]]/Tabelle13[[#Totals],[commits]]</f>
        <v>2.0450277937868338E-4</v>
      </c>
      <c r="I604" s="5">
        <f>Tabelle13[[#This Row],[%]]+I603</f>
        <v>0.85829816505233536</v>
      </c>
      <c r="J604" s="4">
        <f t="shared" si="51"/>
        <v>1.105583195135434E-4</v>
      </c>
      <c r="K604" s="5">
        <f t="shared" si="52"/>
        <v>6.6556108347153212E-2</v>
      </c>
    </row>
    <row r="605" spans="1:11" x14ac:dyDescent="0.25">
      <c r="A605" t="s">
        <v>9538</v>
      </c>
      <c r="C605" t="s">
        <v>9539</v>
      </c>
      <c r="D605" t="s">
        <v>309</v>
      </c>
      <c r="E605" t="s">
        <v>6</v>
      </c>
      <c r="F605" t="s">
        <v>251</v>
      </c>
      <c r="G605">
        <v>44</v>
      </c>
      <c r="H605" s="2">
        <f>Tabelle13[[#This Row],[commits]]/Tabelle13[[#Totals],[commits]]</f>
        <v>2.0450277937868338E-4</v>
      </c>
      <c r="I605" s="5">
        <f>Tabelle13[[#This Row],[%]]+I604</f>
        <v>0.85850266783171403</v>
      </c>
      <c r="J605" s="4">
        <f t="shared" si="51"/>
        <v>1.105583195135434E-4</v>
      </c>
      <c r="K605" s="5">
        <f t="shared" si="52"/>
        <v>6.6666666666666749E-2</v>
      </c>
    </row>
    <row r="606" spans="1:11" x14ac:dyDescent="0.25">
      <c r="A606" t="s">
        <v>9540</v>
      </c>
      <c r="C606" t="s">
        <v>9541</v>
      </c>
      <c r="D606" t="s">
        <v>5</v>
      </c>
      <c r="E606" t="s">
        <v>6</v>
      </c>
      <c r="F606" t="s">
        <v>251</v>
      </c>
      <c r="G606">
        <v>44</v>
      </c>
      <c r="H606" s="2">
        <f>Tabelle13[[#This Row],[commits]]/Tabelle13[[#Totals],[commits]]</f>
        <v>2.0450277937868338E-4</v>
      </c>
      <c r="I606" s="5">
        <f>Tabelle13[[#This Row],[%]]+I605</f>
        <v>0.8587071706110927</v>
      </c>
      <c r="J606" s="4">
        <f t="shared" si="51"/>
        <v>1.105583195135434E-4</v>
      </c>
      <c r="K606" s="5">
        <f t="shared" si="52"/>
        <v>6.6777224986180286E-2</v>
      </c>
    </row>
    <row r="607" spans="1:11" x14ac:dyDescent="0.25">
      <c r="A607" t="s">
        <v>9542</v>
      </c>
      <c r="C607" t="s">
        <v>9543</v>
      </c>
      <c r="D607" t="s">
        <v>309</v>
      </c>
      <c r="E607" t="s">
        <v>6</v>
      </c>
      <c r="F607" t="s">
        <v>251</v>
      </c>
      <c r="G607">
        <v>44</v>
      </c>
      <c r="H607" s="2">
        <f>Tabelle13[[#This Row],[commits]]/Tabelle13[[#Totals],[commits]]</f>
        <v>2.0450277937868338E-4</v>
      </c>
      <c r="I607" s="5">
        <f>Tabelle13[[#This Row],[%]]+I606</f>
        <v>0.85891167339047136</v>
      </c>
      <c r="J607" s="4">
        <f t="shared" si="51"/>
        <v>1.105583195135434E-4</v>
      </c>
      <c r="K607" s="5">
        <f t="shared" si="52"/>
        <v>6.6887783305693824E-2</v>
      </c>
    </row>
    <row r="608" spans="1:11" x14ac:dyDescent="0.25">
      <c r="A608" t="s">
        <v>9544</v>
      </c>
      <c r="C608" t="s">
        <v>9545</v>
      </c>
      <c r="D608" t="s">
        <v>309</v>
      </c>
      <c r="E608" t="s">
        <v>6</v>
      </c>
      <c r="F608" t="s">
        <v>251</v>
      </c>
      <c r="G608">
        <v>44</v>
      </c>
      <c r="H608" s="2">
        <f>Tabelle13[[#This Row],[commits]]/Tabelle13[[#Totals],[commits]]</f>
        <v>2.0450277937868338E-4</v>
      </c>
      <c r="I608" s="5">
        <f>Tabelle13[[#This Row],[%]]+I607</f>
        <v>0.85911617616985003</v>
      </c>
      <c r="J608" s="4">
        <f t="shared" si="51"/>
        <v>1.105583195135434E-4</v>
      </c>
      <c r="K608" s="5">
        <f t="shared" si="52"/>
        <v>6.6998341625207361E-2</v>
      </c>
    </row>
    <row r="609" spans="1:11" x14ac:dyDescent="0.25">
      <c r="A609" t="s">
        <v>9546</v>
      </c>
      <c r="C609" t="s">
        <v>9547</v>
      </c>
      <c r="D609" t="s">
        <v>309</v>
      </c>
      <c r="E609" t="s">
        <v>6</v>
      </c>
      <c r="F609" t="s">
        <v>251</v>
      </c>
      <c r="G609">
        <v>44</v>
      </c>
      <c r="H609" s="2">
        <f>Tabelle13[[#This Row],[commits]]/Tabelle13[[#Totals],[commits]]</f>
        <v>2.0450277937868338E-4</v>
      </c>
      <c r="I609" s="5">
        <f>Tabelle13[[#This Row],[%]]+I608</f>
        <v>0.8593206789492287</v>
      </c>
      <c r="J609" s="4">
        <f t="shared" si="51"/>
        <v>1.105583195135434E-4</v>
      </c>
      <c r="K609" s="5">
        <f t="shared" si="52"/>
        <v>6.7108899944720898E-2</v>
      </c>
    </row>
    <row r="610" spans="1:11" x14ac:dyDescent="0.25">
      <c r="A610" t="s">
        <v>9548</v>
      </c>
      <c r="C610" t="s">
        <v>9549</v>
      </c>
      <c r="D610" t="s">
        <v>309</v>
      </c>
      <c r="E610" t="s">
        <v>6</v>
      </c>
      <c r="F610" t="s">
        <v>251</v>
      </c>
      <c r="G610">
        <v>44</v>
      </c>
      <c r="H610" s="2">
        <f>Tabelle13[[#This Row],[commits]]/Tabelle13[[#Totals],[commits]]</f>
        <v>2.0450277937868338E-4</v>
      </c>
      <c r="I610" s="5">
        <f>Tabelle13[[#This Row],[%]]+I609</f>
        <v>0.85952518172860737</v>
      </c>
      <c r="J610" s="4">
        <f t="shared" si="51"/>
        <v>1.105583195135434E-4</v>
      </c>
      <c r="K610" s="5">
        <f t="shared" si="52"/>
        <v>6.7219458264234436E-2</v>
      </c>
    </row>
    <row r="611" spans="1:11" x14ac:dyDescent="0.25">
      <c r="A611" t="s">
        <v>9550</v>
      </c>
      <c r="C611" t="s">
        <v>9551</v>
      </c>
      <c r="D611" t="s">
        <v>8760</v>
      </c>
      <c r="E611" t="s">
        <v>6</v>
      </c>
      <c r="F611" t="s">
        <v>251</v>
      </c>
      <c r="G611">
        <v>44</v>
      </c>
      <c r="H611" s="2">
        <f>Tabelle13[[#This Row],[commits]]/Tabelle13[[#Totals],[commits]]</f>
        <v>2.0450277937868338E-4</v>
      </c>
      <c r="I611" s="5">
        <f>Tabelle13[[#This Row],[%]]+I610</f>
        <v>0.85972968450798604</v>
      </c>
      <c r="J611" s="4">
        <f t="shared" si="51"/>
        <v>1.105583195135434E-4</v>
      </c>
      <c r="K611" s="5">
        <f t="shared" si="52"/>
        <v>6.7330016583747973E-2</v>
      </c>
    </row>
    <row r="612" spans="1:11" x14ac:dyDescent="0.25">
      <c r="A612" t="s">
        <v>9552</v>
      </c>
      <c r="C612" t="s">
        <v>9553</v>
      </c>
      <c r="D612" t="s">
        <v>309</v>
      </c>
      <c r="E612" t="s">
        <v>6</v>
      </c>
      <c r="F612" t="s">
        <v>251</v>
      </c>
      <c r="G612">
        <v>44</v>
      </c>
      <c r="H612" s="2">
        <f>Tabelle13[[#This Row],[commits]]/Tabelle13[[#Totals],[commits]]</f>
        <v>2.0450277937868338E-4</v>
      </c>
      <c r="I612" s="5">
        <f>Tabelle13[[#This Row],[%]]+I611</f>
        <v>0.8599341872873647</v>
      </c>
      <c r="J612" s="4">
        <f t="shared" si="51"/>
        <v>1.105583195135434E-4</v>
      </c>
      <c r="K612" s="5">
        <f t="shared" si="52"/>
        <v>6.744057490326151E-2</v>
      </c>
    </row>
    <row r="613" spans="1:11" x14ac:dyDescent="0.25">
      <c r="A613" t="s">
        <v>2414</v>
      </c>
      <c r="C613" t="s">
        <v>2415</v>
      </c>
      <c r="D613" t="s">
        <v>5</v>
      </c>
      <c r="E613" t="s">
        <v>6</v>
      </c>
      <c r="F613" t="s">
        <v>724</v>
      </c>
      <c r="G613">
        <v>43</v>
      </c>
      <c r="H613" s="2">
        <f>Tabelle13[[#This Row],[commits]]/Tabelle13[[#Totals],[commits]]</f>
        <v>1.9985498893825875E-4</v>
      </c>
      <c r="I613" s="5">
        <f>Tabelle13[[#This Row],[%]]+I612</f>
        <v>0.86013404227630297</v>
      </c>
      <c r="J613" s="4">
        <f t="shared" si="51"/>
        <v>1.105583195135434E-4</v>
      </c>
      <c r="K613" s="5">
        <f t="shared" si="52"/>
        <v>6.7551133222775048E-2</v>
      </c>
    </row>
    <row r="614" spans="1:11" x14ac:dyDescent="0.25">
      <c r="A614" t="s">
        <v>9554</v>
      </c>
      <c r="C614" t="s">
        <v>9555</v>
      </c>
      <c r="D614" t="s">
        <v>309</v>
      </c>
      <c r="E614" t="s">
        <v>6</v>
      </c>
      <c r="F614" t="s">
        <v>251</v>
      </c>
      <c r="G614">
        <v>43</v>
      </c>
      <c r="H614" s="2">
        <f>Tabelle13[[#This Row],[commits]]/Tabelle13[[#Totals],[commits]]</f>
        <v>1.9985498893825875E-4</v>
      </c>
      <c r="I614" s="5">
        <f>Tabelle13[[#This Row],[%]]+I613</f>
        <v>0.86033389726524123</v>
      </c>
      <c r="J614" s="4">
        <f t="shared" si="51"/>
        <v>1.105583195135434E-4</v>
      </c>
      <c r="K614" s="5">
        <f t="shared" si="52"/>
        <v>6.7661691542288585E-2</v>
      </c>
    </row>
    <row r="615" spans="1:11" x14ac:dyDescent="0.25">
      <c r="A615" t="s">
        <v>9556</v>
      </c>
      <c r="C615" t="s">
        <v>9557</v>
      </c>
      <c r="D615" t="s">
        <v>309</v>
      </c>
      <c r="E615" t="s">
        <v>6</v>
      </c>
      <c r="F615" t="s">
        <v>251</v>
      </c>
      <c r="G615">
        <v>43</v>
      </c>
      <c r="H615" s="2">
        <f>Tabelle13[[#This Row],[commits]]/Tabelle13[[#Totals],[commits]]</f>
        <v>1.9985498893825875E-4</v>
      </c>
      <c r="I615" s="5">
        <f>Tabelle13[[#This Row],[%]]+I614</f>
        <v>0.8605337522541795</v>
      </c>
      <c r="J615" s="4">
        <f t="shared" si="51"/>
        <v>1.105583195135434E-4</v>
      </c>
      <c r="K615" s="5">
        <f t="shared" si="52"/>
        <v>6.7772249861802122E-2</v>
      </c>
    </row>
    <row r="616" spans="1:11" x14ac:dyDescent="0.25">
      <c r="A616" t="s">
        <v>9558</v>
      </c>
      <c r="C616" t="s">
        <v>9559</v>
      </c>
      <c r="D616" t="s">
        <v>8874</v>
      </c>
      <c r="E616" t="s">
        <v>6</v>
      </c>
      <c r="F616" t="s">
        <v>251</v>
      </c>
      <c r="G616">
        <v>43</v>
      </c>
      <c r="H616" s="2">
        <f>Tabelle13[[#This Row],[commits]]/Tabelle13[[#Totals],[commits]]</f>
        <v>1.9985498893825875E-4</v>
      </c>
      <c r="I616" s="5">
        <f>Tabelle13[[#This Row],[%]]+I615</f>
        <v>0.86073360724311776</v>
      </c>
      <c r="J616" s="4">
        <f t="shared" si="51"/>
        <v>1.105583195135434E-4</v>
      </c>
      <c r="K616" s="5">
        <f t="shared" si="52"/>
        <v>6.788280818131566E-2</v>
      </c>
    </row>
    <row r="617" spans="1:11" x14ac:dyDescent="0.25">
      <c r="A617" t="s">
        <v>9560</v>
      </c>
      <c r="C617" t="s">
        <v>9561</v>
      </c>
      <c r="D617" t="s">
        <v>8874</v>
      </c>
      <c r="E617" t="s">
        <v>6</v>
      </c>
      <c r="F617" t="s">
        <v>251</v>
      </c>
      <c r="G617">
        <v>43</v>
      </c>
      <c r="H617" s="2">
        <f>Tabelle13[[#This Row],[commits]]/Tabelle13[[#Totals],[commits]]</f>
        <v>1.9985498893825875E-4</v>
      </c>
      <c r="I617" s="5">
        <f>Tabelle13[[#This Row],[%]]+I616</f>
        <v>0.86093346223205602</v>
      </c>
      <c r="J617" s="4">
        <f t="shared" si="51"/>
        <v>1.105583195135434E-4</v>
      </c>
      <c r="K617" s="5">
        <f t="shared" si="52"/>
        <v>6.7993366500829197E-2</v>
      </c>
    </row>
    <row r="618" spans="1:11" x14ac:dyDescent="0.25">
      <c r="A618" t="s">
        <v>9562</v>
      </c>
      <c r="C618" t="s">
        <v>9563</v>
      </c>
      <c r="D618" t="s">
        <v>309</v>
      </c>
      <c r="E618" t="s">
        <v>6</v>
      </c>
      <c r="F618" t="s">
        <v>251</v>
      </c>
      <c r="G618">
        <v>43</v>
      </c>
      <c r="H618" s="2">
        <f>Tabelle13[[#This Row],[commits]]/Tabelle13[[#Totals],[commits]]</f>
        <v>1.9985498893825875E-4</v>
      </c>
      <c r="I618" s="5">
        <f>Tabelle13[[#This Row],[%]]+I617</f>
        <v>0.86113331722099429</v>
      </c>
      <c r="J618" s="4">
        <f t="shared" si="51"/>
        <v>1.105583195135434E-4</v>
      </c>
      <c r="K618" s="5">
        <f t="shared" si="52"/>
        <v>6.8103924820342734E-2</v>
      </c>
    </row>
    <row r="619" spans="1:11" x14ac:dyDescent="0.25">
      <c r="A619" t="s">
        <v>2416</v>
      </c>
      <c r="C619" t="s">
        <v>2417</v>
      </c>
      <c r="D619" t="s">
        <v>5</v>
      </c>
      <c r="E619" t="s">
        <v>6</v>
      </c>
      <c r="F619" t="s">
        <v>724</v>
      </c>
      <c r="G619">
        <v>42</v>
      </c>
      <c r="H619" s="2">
        <f>Tabelle13[[#This Row],[commits]]/Tabelle13[[#Totals],[commits]]</f>
        <v>1.9520719849783414E-4</v>
      </c>
      <c r="I619" s="5">
        <f>Tabelle13[[#This Row],[%]]+I618</f>
        <v>0.86132852441949215</v>
      </c>
      <c r="J619" s="4">
        <f t="shared" si="51"/>
        <v>1.105583195135434E-4</v>
      </c>
      <c r="K619" s="5">
        <f t="shared" si="52"/>
        <v>6.8214483139856272E-2</v>
      </c>
    </row>
    <row r="620" spans="1:11" x14ac:dyDescent="0.25">
      <c r="A620" t="s">
        <v>5232</v>
      </c>
      <c r="C620" t="s">
        <v>5233</v>
      </c>
      <c r="D620" t="s">
        <v>5175</v>
      </c>
      <c r="E620" t="s">
        <v>6</v>
      </c>
      <c r="F620" t="s">
        <v>28</v>
      </c>
      <c r="G620">
        <v>42</v>
      </c>
      <c r="H620" s="2">
        <f>Tabelle13[[#This Row],[commits]]/Tabelle13[[#Totals],[commits]]</f>
        <v>1.9520719849783414E-4</v>
      </c>
      <c r="I620" s="5">
        <f>Tabelle13[[#This Row],[%]]+I619</f>
        <v>0.86152373161799001</v>
      </c>
      <c r="J620" s="4">
        <f t="shared" si="51"/>
        <v>1.105583195135434E-4</v>
      </c>
      <c r="K620" s="5">
        <f t="shared" si="52"/>
        <v>6.8325041459369809E-2</v>
      </c>
    </row>
    <row r="621" spans="1:11" x14ac:dyDescent="0.25">
      <c r="A621" t="s">
        <v>9564</v>
      </c>
      <c r="C621" t="s">
        <v>9565</v>
      </c>
      <c r="D621" t="s">
        <v>309</v>
      </c>
      <c r="E621" t="s">
        <v>6</v>
      </c>
      <c r="F621" t="s">
        <v>251</v>
      </c>
      <c r="G621">
        <v>42</v>
      </c>
      <c r="H621" s="2">
        <f>Tabelle13[[#This Row],[commits]]/Tabelle13[[#Totals],[commits]]</f>
        <v>1.9520719849783414E-4</v>
      </c>
      <c r="I621" s="5">
        <f>Tabelle13[[#This Row],[%]]+I620</f>
        <v>0.86171893881648787</v>
      </c>
      <c r="J621" s="4">
        <f t="shared" si="51"/>
        <v>1.105583195135434E-4</v>
      </c>
      <c r="K621" s="5">
        <f t="shared" si="52"/>
        <v>6.8435599778883346E-2</v>
      </c>
    </row>
    <row r="622" spans="1:11" x14ac:dyDescent="0.25">
      <c r="A622" t="s">
        <v>9566</v>
      </c>
      <c r="C622" t="s">
        <v>3451</v>
      </c>
      <c r="D622" t="s">
        <v>309</v>
      </c>
      <c r="E622" t="s">
        <v>6</v>
      </c>
      <c r="F622" t="s">
        <v>251</v>
      </c>
      <c r="G622">
        <v>42</v>
      </c>
      <c r="H622" s="2">
        <f>Tabelle13[[#This Row],[commits]]/Tabelle13[[#Totals],[commits]]</f>
        <v>1.9520719849783414E-4</v>
      </c>
      <c r="I622" s="5">
        <f>Tabelle13[[#This Row],[%]]+I621</f>
        <v>0.86191414601498573</v>
      </c>
      <c r="J622" s="4">
        <f t="shared" si="51"/>
        <v>1.105583195135434E-4</v>
      </c>
      <c r="K622" s="5">
        <f t="shared" si="52"/>
        <v>6.8546158098396884E-2</v>
      </c>
    </row>
    <row r="623" spans="1:11" x14ac:dyDescent="0.25">
      <c r="A623" t="s">
        <v>9567</v>
      </c>
      <c r="C623" t="s">
        <v>9568</v>
      </c>
      <c r="D623" t="s">
        <v>309</v>
      </c>
      <c r="E623" t="s">
        <v>6</v>
      </c>
      <c r="F623" t="s">
        <v>251</v>
      </c>
      <c r="G623">
        <v>42</v>
      </c>
      <c r="H623" s="2">
        <f>Tabelle13[[#This Row],[commits]]/Tabelle13[[#Totals],[commits]]</f>
        <v>1.9520719849783414E-4</v>
      </c>
      <c r="I623" s="5">
        <f>Tabelle13[[#This Row],[%]]+I622</f>
        <v>0.86210935321348359</v>
      </c>
      <c r="J623" s="4">
        <f t="shared" si="51"/>
        <v>1.105583195135434E-4</v>
      </c>
      <c r="K623" s="5">
        <f t="shared" si="52"/>
        <v>6.8656716417910421E-2</v>
      </c>
    </row>
    <row r="624" spans="1:11" x14ac:dyDescent="0.25">
      <c r="A624" t="s">
        <v>9569</v>
      </c>
      <c r="C624" t="s">
        <v>9570</v>
      </c>
      <c r="D624" t="s">
        <v>9571</v>
      </c>
      <c r="E624" t="s">
        <v>6</v>
      </c>
      <c r="F624" t="s">
        <v>251</v>
      </c>
      <c r="G624">
        <v>42</v>
      </c>
      <c r="H624" s="2">
        <f>Tabelle13[[#This Row],[commits]]/Tabelle13[[#Totals],[commits]]</f>
        <v>1.9520719849783414E-4</v>
      </c>
      <c r="I624" s="5">
        <f>Tabelle13[[#This Row],[%]]+I623</f>
        <v>0.86230456041198145</v>
      </c>
      <c r="J624" s="4">
        <f t="shared" si="51"/>
        <v>1.105583195135434E-4</v>
      </c>
      <c r="K624" s="5">
        <f t="shared" si="52"/>
        <v>6.8767274737423958E-2</v>
      </c>
    </row>
    <row r="625" spans="1:11" x14ac:dyDescent="0.25">
      <c r="A625" t="s">
        <v>9572</v>
      </c>
      <c r="C625" t="s">
        <v>9573</v>
      </c>
      <c r="D625" t="s">
        <v>309</v>
      </c>
      <c r="E625" t="s">
        <v>6</v>
      </c>
      <c r="F625" t="s">
        <v>251</v>
      </c>
      <c r="G625">
        <v>41</v>
      </c>
      <c r="H625" s="2">
        <f>Tabelle13[[#This Row],[commits]]/Tabelle13[[#Totals],[commits]]</f>
        <v>1.9055940805740951E-4</v>
      </c>
      <c r="I625" s="5">
        <f>Tabelle13[[#This Row],[%]]+I624</f>
        <v>0.8624951198200389</v>
      </c>
      <c r="J625" s="4">
        <f t="shared" si="51"/>
        <v>1.105583195135434E-4</v>
      </c>
      <c r="K625" s="5">
        <f t="shared" si="52"/>
        <v>6.8877833056937496E-2</v>
      </c>
    </row>
    <row r="626" spans="1:11" x14ac:dyDescent="0.25">
      <c r="A626" t="s">
        <v>9574</v>
      </c>
      <c r="C626" t="s">
        <v>9575</v>
      </c>
      <c r="D626" t="s">
        <v>309</v>
      </c>
      <c r="E626" t="s">
        <v>6</v>
      </c>
      <c r="F626" t="s">
        <v>251</v>
      </c>
      <c r="G626">
        <v>41</v>
      </c>
      <c r="H626" s="2">
        <f>Tabelle13[[#This Row],[commits]]/Tabelle13[[#Totals],[commits]]</f>
        <v>1.9055940805740951E-4</v>
      </c>
      <c r="I626" s="5">
        <f>Tabelle13[[#This Row],[%]]+I625</f>
        <v>0.86268567922809636</v>
      </c>
      <c r="J626" s="4">
        <f t="shared" si="51"/>
        <v>1.105583195135434E-4</v>
      </c>
      <c r="K626" s="5">
        <f t="shared" si="52"/>
        <v>6.8988391376451033E-2</v>
      </c>
    </row>
    <row r="627" spans="1:11" x14ac:dyDescent="0.25">
      <c r="A627" t="s">
        <v>9576</v>
      </c>
      <c r="C627" t="s">
        <v>9577</v>
      </c>
      <c r="D627" t="s">
        <v>5</v>
      </c>
      <c r="E627" t="s">
        <v>6</v>
      </c>
      <c r="F627" t="s">
        <v>251</v>
      </c>
      <c r="G627">
        <v>41</v>
      </c>
      <c r="H627" s="2">
        <f>Tabelle13[[#This Row],[commits]]/Tabelle13[[#Totals],[commits]]</f>
        <v>1.9055940805740951E-4</v>
      </c>
      <c r="I627" s="5">
        <f>Tabelle13[[#This Row],[%]]+I626</f>
        <v>0.86287623863615381</v>
      </c>
      <c r="J627" s="4">
        <f t="shared" si="51"/>
        <v>1.105583195135434E-4</v>
      </c>
      <c r="K627" s="5">
        <f t="shared" si="52"/>
        <v>6.909894969596457E-2</v>
      </c>
    </row>
    <row r="628" spans="1:11" x14ac:dyDescent="0.25">
      <c r="A628" t="s">
        <v>9578</v>
      </c>
      <c r="C628" t="s">
        <v>9579</v>
      </c>
      <c r="D628" t="s">
        <v>309</v>
      </c>
      <c r="E628" t="s">
        <v>6</v>
      </c>
      <c r="F628" t="s">
        <v>251</v>
      </c>
      <c r="G628">
        <v>41</v>
      </c>
      <c r="H628" s="2">
        <f>Tabelle13[[#This Row],[commits]]/Tabelle13[[#Totals],[commits]]</f>
        <v>1.9055940805740951E-4</v>
      </c>
      <c r="I628" s="5">
        <f>Tabelle13[[#This Row],[%]]+I627</f>
        <v>0.86306679804421127</v>
      </c>
      <c r="J628" s="4">
        <f t="shared" si="51"/>
        <v>1.105583195135434E-4</v>
      </c>
      <c r="K628" s="5">
        <f t="shared" si="52"/>
        <v>6.9209508015478108E-2</v>
      </c>
    </row>
    <row r="629" spans="1:11" x14ac:dyDescent="0.25">
      <c r="A629" t="s">
        <v>2418</v>
      </c>
      <c r="C629" t="s">
        <v>2419</v>
      </c>
      <c r="D629" t="s">
        <v>309</v>
      </c>
      <c r="E629" t="s">
        <v>6</v>
      </c>
      <c r="F629" t="s">
        <v>724</v>
      </c>
      <c r="G629">
        <v>40</v>
      </c>
      <c r="H629" s="2">
        <f>Tabelle13[[#This Row],[commits]]/Tabelle13[[#Totals],[commits]]</f>
        <v>1.8591161761698487E-4</v>
      </c>
      <c r="I629" s="5">
        <f>Tabelle13[[#This Row],[%]]+I628</f>
        <v>0.86325270966182821</v>
      </c>
      <c r="J629" s="4">
        <f t="shared" si="51"/>
        <v>1.105583195135434E-4</v>
      </c>
      <c r="K629" s="5">
        <f t="shared" si="52"/>
        <v>6.9320066334991645E-2</v>
      </c>
    </row>
    <row r="630" spans="1:11" x14ac:dyDescent="0.25">
      <c r="A630" t="s">
        <v>2420</v>
      </c>
      <c r="C630" t="s">
        <v>2421</v>
      </c>
      <c r="D630" t="s">
        <v>5</v>
      </c>
      <c r="E630" t="s">
        <v>6</v>
      </c>
      <c r="F630" t="s">
        <v>724</v>
      </c>
      <c r="G630">
        <v>40</v>
      </c>
      <c r="H630" s="2">
        <f>Tabelle13[[#This Row],[commits]]/Tabelle13[[#Totals],[commits]]</f>
        <v>1.8591161761698487E-4</v>
      </c>
      <c r="I630" s="5">
        <f>Tabelle13[[#This Row],[%]]+I629</f>
        <v>0.86343862127944515</v>
      </c>
      <c r="J630" s="4">
        <f t="shared" si="51"/>
        <v>1.105583195135434E-4</v>
      </c>
      <c r="K630" s="5">
        <f t="shared" si="52"/>
        <v>6.9430624654505183E-2</v>
      </c>
    </row>
    <row r="631" spans="1:11" x14ac:dyDescent="0.25">
      <c r="A631" t="s">
        <v>9580</v>
      </c>
      <c r="C631" t="s">
        <v>9581</v>
      </c>
      <c r="D631" t="s">
        <v>8757</v>
      </c>
      <c r="E631" t="s">
        <v>6</v>
      </c>
      <c r="F631" t="s">
        <v>251</v>
      </c>
      <c r="G631">
        <v>40</v>
      </c>
      <c r="H631" s="2">
        <f>Tabelle13[[#This Row],[commits]]/Tabelle13[[#Totals],[commits]]</f>
        <v>1.8591161761698487E-4</v>
      </c>
      <c r="I631" s="5">
        <f>Tabelle13[[#This Row],[%]]+I630</f>
        <v>0.86362453289706209</v>
      </c>
      <c r="J631" s="4">
        <f t="shared" si="51"/>
        <v>1.105583195135434E-4</v>
      </c>
      <c r="K631" s="5">
        <f t="shared" si="52"/>
        <v>6.954118297401872E-2</v>
      </c>
    </row>
    <row r="632" spans="1:11" x14ac:dyDescent="0.25">
      <c r="A632" t="s">
        <v>9582</v>
      </c>
      <c r="C632" t="s">
        <v>9583</v>
      </c>
      <c r="D632" t="s">
        <v>5</v>
      </c>
      <c r="E632" t="s">
        <v>6</v>
      </c>
      <c r="F632" t="s">
        <v>251</v>
      </c>
      <c r="G632">
        <v>40</v>
      </c>
      <c r="H632" s="2">
        <f>Tabelle13[[#This Row],[commits]]/Tabelle13[[#Totals],[commits]]</f>
        <v>1.8591161761698487E-4</v>
      </c>
      <c r="I632" s="5">
        <f>Tabelle13[[#This Row],[%]]+I631</f>
        <v>0.86381044451467903</v>
      </c>
      <c r="J632" s="4">
        <f t="shared" si="51"/>
        <v>1.105583195135434E-4</v>
      </c>
      <c r="K632" s="5">
        <f t="shared" si="52"/>
        <v>6.9651741293532257E-2</v>
      </c>
    </row>
    <row r="633" spans="1:11" x14ac:dyDescent="0.25">
      <c r="A633" t="s">
        <v>9584</v>
      </c>
      <c r="C633" t="s">
        <v>9585</v>
      </c>
      <c r="D633" t="s">
        <v>309</v>
      </c>
      <c r="E633" t="s">
        <v>6</v>
      </c>
      <c r="F633" t="s">
        <v>251</v>
      </c>
      <c r="G633">
        <v>40</v>
      </c>
      <c r="H633" s="2">
        <f>Tabelle13[[#This Row],[commits]]/Tabelle13[[#Totals],[commits]]</f>
        <v>1.8591161761698487E-4</v>
      </c>
      <c r="I633" s="5">
        <f>Tabelle13[[#This Row],[%]]+I632</f>
        <v>0.86399635613229597</v>
      </c>
      <c r="J633" s="4">
        <f t="shared" si="51"/>
        <v>1.105583195135434E-4</v>
      </c>
      <c r="K633" s="5">
        <f t="shared" si="52"/>
        <v>6.9762299613045795E-2</v>
      </c>
    </row>
    <row r="634" spans="1:11" x14ac:dyDescent="0.25">
      <c r="A634" t="s">
        <v>9586</v>
      </c>
      <c r="C634" t="s">
        <v>9587</v>
      </c>
      <c r="D634" t="s">
        <v>309</v>
      </c>
      <c r="E634" t="s">
        <v>6</v>
      </c>
      <c r="F634" t="s">
        <v>251</v>
      </c>
      <c r="G634">
        <v>40</v>
      </c>
      <c r="H634" s="2">
        <f>Tabelle13[[#This Row],[commits]]/Tabelle13[[#Totals],[commits]]</f>
        <v>1.8591161761698487E-4</v>
      </c>
      <c r="I634" s="5">
        <f>Tabelle13[[#This Row],[%]]+I633</f>
        <v>0.86418226774991291</v>
      </c>
      <c r="J634" s="4">
        <f t="shared" si="51"/>
        <v>1.105583195135434E-4</v>
      </c>
      <c r="K634" s="5">
        <f t="shared" si="52"/>
        <v>6.9872857932559332E-2</v>
      </c>
    </row>
    <row r="635" spans="1:11" x14ac:dyDescent="0.25">
      <c r="A635" t="s">
        <v>9588</v>
      </c>
      <c r="C635" t="s">
        <v>9589</v>
      </c>
      <c r="D635" t="s">
        <v>8874</v>
      </c>
      <c r="E635" t="s">
        <v>6</v>
      </c>
      <c r="F635" t="s">
        <v>251</v>
      </c>
      <c r="G635">
        <v>40</v>
      </c>
      <c r="H635" s="2">
        <f>Tabelle13[[#This Row],[commits]]/Tabelle13[[#Totals],[commits]]</f>
        <v>1.8591161761698487E-4</v>
      </c>
      <c r="I635" s="5">
        <f>Tabelle13[[#This Row],[%]]+I634</f>
        <v>0.86436817936752985</v>
      </c>
      <c r="J635" s="4">
        <f t="shared" si="51"/>
        <v>1.105583195135434E-4</v>
      </c>
      <c r="K635" s="5">
        <f t="shared" si="52"/>
        <v>6.9983416252072869E-2</v>
      </c>
    </row>
    <row r="636" spans="1:11" x14ac:dyDescent="0.25">
      <c r="A636" t="s">
        <v>9590</v>
      </c>
      <c r="C636" t="s">
        <v>9591</v>
      </c>
      <c r="D636" t="s">
        <v>5</v>
      </c>
      <c r="E636" t="s">
        <v>6</v>
      </c>
      <c r="F636" t="s">
        <v>251</v>
      </c>
      <c r="G636">
        <v>40</v>
      </c>
      <c r="H636" s="2">
        <f>Tabelle13[[#This Row],[commits]]/Tabelle13[[#Totals],[commits]]</f>
        <v>1.8591161761698487E-4</v>
      </c>
      <c r="I636" s="5">
        <f>Tabelle13[[#This Row],[%]]+I635</f>
        <v>0.86455409098514679</v>
      </c>
      <c r="J636" s="4">
        <f t="shared" si="51"/>
        <v>1.105583195135434E-4</v>
      </c>
      <c r="K636" s="5">
        <f t="shared" si="52"/>
        <v>7.0093974571586407E-2</v>
      </c>
    </row>
    <row r="637" spans="1:11" x14ac:dyDescent="0.25">
      <c r="A637" t="s">
        <v>9592</v>
      </c>
      <c r="C637" t="s">
        <v>9593</v>
      </c>
      <c r="D637" t="s">
        <v>309</v>
      </c>
      <c r="E637" t="s">
        <v>6</v>
      </c>
      <c r="F637" t="s">
        <v>251</v>
      </c>
      <c r="G637">
        <v>40</v>
      </c>
      <c r="H637" s="2">
        <f>Tabelle13[[#This Row],[commits]]/Tabelle13[[#Totals],[commits]]</f>
        <v>1.8591161761698487E-4</v>
      </c>
      <c r="I637" s="5">
        <f>Tabelle13[[#This Row],[%]]+I636</f>
        <v>0.86474000260276374</v>
      </c>
      <c r="J637" s="4">
        <f t="shared" si="51"/>
        <v>1.105583195135434E-4</v>
      </c>
      <c r="K637" s="5">
        <f t="shared" si="52"/>
        <v>7.0204532891099944E-2</v>
      </c>
    </row>
    <row r="638" spans="1:11" x14ac:dyDescent="0.25">
      <c r="A638" t="s">
        <v>9594</v>
      </c>
      <c r="C638" t="s">
        <v>9595</v>
      </c>
      <c r="D638" t="s">
        <v>8948</v>
      </c>
      <c r="E638" t="s">
        <v>6</v>
      </c>
      <c r="F638" t="s">
        <v>251</v>
      </c>
      <c r="G638">
        <v>40</v>
      </c>
      <c r="H638" s="2">
        <f>Tabelle13[[#This Row],[commits]]/Tabelle13[[#Totals],[commits]]</f>
        <v>1.8591161761698487E-4</v>
      </c>
      <c r="I638" s="5">
        <f>Tabelle13[[#This Row],[%]]+I637</f>
        <v>0.86492591422038068</v>
      </c>
      <c r="J638" s="4">
        <f t="shared" si="51"/>
        <v>1.105583195135434E-4</v>
      </c>
      <c r="K638" s="5">
        <f t="shared" si="52"/>
        <v>7.0315091210613481E-2</v>
      </c>
    </row>
    <row r="639" spans="1:11" x14ac:dyDescent="0.25">
      <c r="A639" t="s">
        <v>9596</v>
      </c>
      <c r="C639" t="s">
        <v>9597</v>
      </c>
      <c r="D639" t="s">
        <v>8948</v>
      </c>
      <c r="E639" t="s">
        <v>6</v>
      </c>
      <c r="F639" t="s">
        <v>251</v>
      </c>
      <c r="G639">
        <v>40</v>
      </c>
      <c r="H639" s="2">
        <f>Tabelle13[[#This Row],[commits]]/Tabelle13[[#Totals],[commits]]</f>
        <v>1.8591161761698487E-4</v>
      </c>
      <c r="I639" s="5">
        <f>Tabelle13[[#This Row],[%]]+I638</f>
        <v>0.86511182583799762</v>
      </c>
      <c r="J639" s="4">
        <f t="shared" si="51"/>
        <v>1.105583195135434E-4</v>
      </c>
      <c r="K639" s="5">
        <f t="shared" si="52"/>
        <v>7.0425649530127019E-2</v>
      </c>
    </row>
    <row r="640" spans="1:11" x14ac:dyDescent="0.25">
      <c r="A640" t="s">
        <v>9598</v>
      </c>
      <c r="C640" t="s">
        <v>9599</v>
      </c>
      <c r="D640" t="s">
        <v>309</v>
      </c>
      <c r="E640" t="s">
        <v>6</v>
      </c>
      <c r="F640" t="s">
        <v>251</v>
      </c>
      <c r="G640">
        <v>40</v>
      </c>
      <c r="H640" s="2">
        <f>Tabelle13[[#This Row],[commits]]/Tabelle13[[#Totals],[commits]]</f>
        <v>1.8591161761698487E-4</v>
      </c>
      <c r="I640" s="5">
        <f>Tabelle13[[#This Row],[%]]+I639</f>
        <v>0.86529773745561456</v>
      </c>
      <c r="J640" s="4">
        <f t="shared" si="51"/>
        <v>1.105583195135434E-4</v>
      </c>
      <c r="K640" s="5">
        <f t="shared" si="52"/>
        <v>7.0536207849640556E-2</v>
      </c>
    </row>
    <row r="641" spans="1:11" x14ac:dyDescent="0.25">
      <c r="A641" t="s">
        <v>9600</v>
      </c>
      <c r="C641" t="s">
        <v>9601</v>
      </c>
      <c r="D641" t="s">
        <v>309</v>
      </c>
      <c r="E641" t="s">
        <v>6</v>
      </c>
      <c r="F641" t="s">
        <v>251</v>
      </c>
      <c r="G641">
        <v>40</v>
      </c>
      <c r="H641" s="2">
        <f>Tabelle13[[#This Row],[commits]]/Tabelle13[[#Totals],[commits]]</f>
        <v>1.8591161761698487E-4</v>
      </c>
      <c r="I641" s="5">
        <f>Tabelle13[[#This Row],[%]]+I640</f>
        <v>0.8654836490732315</v>
      </c>
      <c r="J641" s="4">
        <f t="shared" si="51"/>
        <v>1.105583195135434E-4</v>
      </c>
      <c r="K641" s="5">
        <f t="shared" si="52"/>
        <v>7.0646766169154093E-2</v>
      </c>
    </row>
    <row r="642" spans="1:11" x14ac:dyDescent="0.25">
      <c r="A642" t="s">
        <v>9602</v>
      </c>
      <c r="C642" t="s">
        <v>9603</v>
      </c>
      <c r="D642" t="s">
        <v>309</v>
      </c>
      <c r="E642" t="s">
        <v>6</v>
      </c>
      <c r="F642" t="s">
        <v>251</v>
      </c>
      <c r="G642">
        <v>40</v>
      </c>
      <c r="H642" s="2">
        <f>Tabelle13[[#This Row],[commits]]/Tabelle13[[#Totals],[commits]]</f>
        <v>1.8591161761698487E-4</v>
      </c>
      <c r="I642" s="5">
        <f>Tabelle13[[#This Row],[%]]+I641</f>
        <v>0.86566956069084844</v>
      </c>
      <c r="J642" s="4">
        <f t="shared" si="51"/>
        <v>1.105583195135434E-4</v>
      </c>
      <c r="K642" s="5">
        <f t="shared" si="52"/>
        <v>7.0757324488667631E-2</v>
      </c>
    </row>
    <row r="643" spans="1:11" x14ac:dyDescent="0.25">
      <c r="A643" t="s">
        <v>9604</v>
      </c>
      <c r="C643" t="s">
        <v>9605</v>
      </c>
      <c r="D643" t="s">
        <v>9606</v>
      </c>
      <c r="E643" t="s">
        <v>6</v>
      </c>
      <c r="F643" t="s">
        <v>251</v>
      </c>
      <c r="G643">
        <v>40</v>
      </c>
      <c r="H643" s="2">
        <f>Tabelle13[[#This Row],[commits]]/Tabelle13[[#Totals],[commits]]</f>
        <v>1.8591161761698487E-4</v>
      </c>
      <c r="I643" s="5">
        <f>Tabelle13[[#This Row],[%]]+I642</f>
        <v>0.86585547230846538</v>
      </c>
      <c r="J643" s="4">
        <f t="shared" ref="J643:J706" si="53">1/9045</f>
        <v>1.105583195135434E-4</v>
      </c>
      <c r="K643" s="5">
        <f t="shared" si="52"/>
        <v>7.0867882808181168E-2</v>
      </c>
    </row>
    <row r="644" spans="1:11" x14ac:dyDescent="0.25">
      <c r="A644" t="s">
        <v>9607</v>
      </c>
      <c r="C644" t="s">
        <v>9608</v>
      </c>
      <c r="D644" t="s">
        <v>309</v>
      </c>
      <c r="E644" t="s">
        <v>6</v>
      </c>
      <c r="F644" t="s">
        <v>251</v>
      </c>
      <c r="G644">
        <v>40</v>
      </c>
      <c r="H644" s="2">
        <f>Tabelle13[[#This Row],[commits]]/Tabelle13[[#Totals],[commits]]</f>
        <v>1.8591161761698487E-4</v>
      </c>
      <c r="I644" s="5">
        <f>Tabelle13[[#This Row],[%]]+I643</f>
        <v>0.86604138392608232</v>
      </c>
      <c r="J644" s="4">
        <f t="shared" si="53"/>
        <v>1.105583195135434E-4</v>
      </c>
      <c r="K644" s="5">
        <f t="shared" si="52"/>
        <v>7.0978441127694705E-2</v>
      </c>
    </row>
    <row r="645" spans="1:11" x14ac:dyDescent="0.25">
      <c r="A645" t="s">
        <v>9609</v>
      </c>
      <c r="C645" t="s">
        <v>9610</v>
      </c>
      <c r="D645" t="s">
        <v>309</v>
      </c>
      <c r="E645" t="s">
        <v>6</v>
      </c>
      <c r="F645" t="s">
        <v>251</v>
      </c>
      <c r="G645">
        <v>40</v>
      </c>
      <c r="H645" s="2">
        <f>Tabelle13[[#This Row],[commits]]/Tabelle13[[#Totals],[commits]]</f>
        <v>1.8591161761698487E-4</v>
      </c>
      <c r="I645" s="5">
        <f>Tabelle13[[#This Row],[%]]+I644</f>
        <v>0.86622729554369926</v>
      </c>
      <c r="J645" s="4">
        <f t="shared" si="53"/>
        <v>1.105583195135434E-4</v>
      </c>
      <c r="K645" s="5">
        <f t="shared" si="52"/>
        <v>7.1088999447208243E-2</v>
      </c>
    </row>
    <row r="646" spans="1:11" x14ac:dyDescent="0.25">
      <c r="A646" t="s">
        <v>2422</v>
      </c>
      <c r="C646" t="s">
        <v>2423</v>
      </c>
      <c r="D646" t="s">
        <v>5</v>
      </c>
      <c r="E646" t="s">
        <v>6</v>
      </c>
      <c r="F646" t="s">
        <v>724</v>
      </c>
      <c r="G646">
        <v>39</v>
      </c>
      <c r="H646" s="2">
        <f>Tabelle13[[#This Row],[commits]]/Tabelle13[[#Totals],[commits]]</f>
        <v>1.8126382717656027E-4</v>
      </c>
      <c r="I646" s="5">
        <f>Tabelle13[[#This Row],[%]]+I645</f>
        <v>0.8664085593708758</v>
      </c>
      <c r="J646" s="4">
        <f t="shared" si="53"/>
        <v>1.105583195135434E-4</v>
      </c>
      <c r="K646" s="5">
        <f t="shared" ref="K646:K709" si="54">J646+K645</f>
        <v>7.119955776672178E-2</v>
      </c>
    </row>
    <row r="647" spans="1:11" x14ac:dyDescent="0.25">
      <c r="A647" t="s">
        <v>2424</v>
      </c>
      <c r="C647" t="s">
        <v>2425</v>
      </c>
      <c r="D647" t="s">
        <v>5</v>
      </c>
      <c r="E647" t="s">
        <v>6</v>
      </c>
      <c r="F647" t="s">
        <v>724</v>
      </c>
      <c r="G647">
        <v>39</v>
      </c>
      <c r="H647" s="2">
        <f>Tabelle13[[#This Row],[commits]]/Tabelle13[[#Totals],[commits]]</f>
        <v>1.8126382717656027E-4</v>
      </c>
      <c r="I647" s="5">
        <f>Tabelle13[[#This Row],[%]]+I646</f>
        <v>0.86658982319805233</v>
      </c>
      <c r="J647" s="4">
        <f t="shared" si="53"/>
        <v>1.105583195135434E-4</v>
      </c>
      <c r="K647" s="5">
        <f t="shared" si="54"/>
        <v>7.1310116086235317E-2</v>
      </c>
    </row>
    <row r="648" spans="1:11" x14ac:dyDescent="0.25">
      <c r="A648" t="s">
        <v>5234</v>
      </c>
      <c r="C648" t="s">
        <v>5235</v>
      </c>
      <c r="D648" t="s">
        <v>5</v>
      </c>
      <c r="E648" t="s">
        <v>6</v>
      </c>
      <c r="F648" t="s">
        <v>28</v>
      </c>
      <c r="G648">
        <v>39</v>
      </c>
      <c r="H648" s="2">
        <f>Tabelle13[[#This Row],[commits]]/Tabelle13[[#Totals],[commits]]</f>
        <v>1.8126382717656027E-4</v>
      </c>
      <c r="I648" s="5">
        <f>Tabelle13[[#This Row],[%]]+I647</f>
        <v>0.86677108702522887</v>
      </c>
      <c r="J648" s="4">
        <f t="shared" si="53"/>
        <v>1.105583195135434E-4</v>
      </c>
      <c r="K648" s="5">
        <f t="shared" si="54"/>
        <v>7.1420674405748855E-2</v>
      </c>
    </row>
    <row r="649" spans="1:11" x14ac:dyDescent="0.25">
      <c r="A649" t="s">
        <v>9611</v>
      </c>
      <c r="C649" t="s">
        <v>9612</v>
      </c>
      <c r="D649" t="s">
        <v>309</v>
      </c>
      <c r="E649" t="s">
        <v>6</v>
      </c>
      <c r="F649" t="s">
        <v>251</v>
      </c>
      <c r="G649">
        <v>39</v>
      </c>
      <c r="H649" s="2">
        <f>Tabelle13[[#This Row],[commits]]/Tabelle13[[#Totals],[commits]]</f>
        <v>1.8126382717656027E-4</v>
      </c>
      <c r="I649" s="5">
        <f>Tabelle13[[#This Row],[%]]+I648</f>
        <v>0.86695235085240541</v>
      </c>
      <c r="J649" s="4">
        <f t="shared" si="53"/>
        <v>1.105583195135434E-4</v>
      </c>
      <c r="K649" s="5">
        <f t="shared" si="54"/>
        <v>7.1531232725262392E-2</v>
      </c>
    </row>
    <row r="650" spans="1:11" x14ac:dyDescent="0.25">
      <c r="A650" t="s">
        <v>9613</v>
      </c>
      <c r="C650" t="s">
        <v>9614</v>
      </c>
      <c r="D650" t="s">
        <v>309</v>
      </c>
      <c r="E650" t="s">
        <v>6</v>
      </c>
      <c r="F650" t="s">
        <v>251</v>
      </c>
      <c r="G650">
        <v>39</v>
      </c>
      <c r="H650" s="2">
        <f>Tabelle13[[#This Row],[commits]]/Tabelle13[[#Totals],[commits]]</f>
        <v>1.8126382717656027E-4</v>
      </c>
      <c r="I650" s="5">
        <f>Tabelle13[[#This Row],[%]]+I649</f>
        <v>0.86713361467958194</v>
      </c>
      <c r="J650" s="4">
        <f t="shared" si="53"/>
        <v>1.105583195135434E-4</v>
      </c>
      <c r="K650" s="5">
        <f t="shared" si="54"/>
        <v>7.1641791044775929E-2</v>
      </c>
    </row>
    <row r="651" spans="1:11" x14ac:dyDescent="0.25">
      <c r="A651" t="s">
        <v>9615</v>
      </c>
      <c r="C651" t="s">
        <v>9616</v>
      </c>
      <c r="D651" t="s">
        <v>5</v>
      </c>
      <c r="E651" t="s">
        <v>6</v>
      </c>
      <c r="F651" t="s">
        <v>251</v>
      </c>
      <c r="G651">
        <v>39</v>
      </c>
      <c r="H651" s="2">
        <f>Tabelle13[[#This Row],[commits]]/Tabelle13[[#Totals],[commits]]</f>
        <v>1.8126382717656027E-4</v>
      </c>
      <c r="I651" s="5">
        <f>Tabelle13[[#This Row],[%]]+I650</f>
        <v>0.86731487850675848</v>
      </c>
      <c r="J651" s="4">
        <f t="shared" si="53"/>
        <v>1.105583195135434E-4</v>
      </c>
      <c r="K651" s="5">
        <f t="shared" si="54"/>
        <v>7.1752349364289467E-2</v>
      </c>
    </row>
    <row r="652" spans="1:11" x14ac:dyDescent="0.25">
      <c r="A652" t="s">
        <v>9617</v>
      </c>
      <c r="C652" t="s">
        <v>9618</v>
      </c>
      <c r="D652" t="s">
        <v>309</v>
      </c>
      <c r="E652" t="s">
        <v>6</v>
      </c>
      <c r="F652" t="s">
        <v>251</v>
      </c>
      <c r="G652">
        <v>39</v>
      </c>
      <c r="H652" s="2">
        <f>Tabelle13[[#This Row],[commits]]/Tabelle13[[#Totals],[commits]]</f>
        <v>1.8126382717656027E-4</v>
      </c>
      <c r="I652" s="5">
        <f>Tabelle13[[#This Row],[%]]+I651</f>
        <v>0.86749614233393502</v>
      </c>
      <c r="J652" s="4">
        <f t="shared" si="53"/>
        <v>1.105583195135434E-4</v>
      </c>
      <c r="K652" s="5">
        <f t="shared" si="54"/>
        <v>7.1862907683803004E-2</v>
      </c>
    </row>
    <row r="653" spans="1:11" x14ac:dyDescent="0.25">
      <c r="A653" t="s">
        <v>9619</v>
      </c>
      <c r="C653" t="s">
        <v>9620</v>
      </c>
      <c r="D653" t="s">
        <v>309</v>
      </c>
      <c r="E653" t="s">
        <v>6</v>
      </c>
      <c r="F653" t="s">
        <v>251</v>
      </c>
      <c r="G653">
        <v>39</v>
      </c>
      <c r="H653" s="2">
        <f>Tabelle13[[#This Row],[commits]]/Tabelle13[[#Totals],[commits]]</f>
        <v>1.8126382717656027E-4</v>
      </c>
      <c r="I653" s="5">
        <f>Tabelle13[[#This Row],[%]]+I652</f>
        <v>0.86767740616111155</v>
      </c>
      <c r="J653" s="4">
        <f t="shared" si="53"/>
        <v>1.105583195135434E-4</v>
      </c>
      <c r="K653" s="5">
        <f t="shared" si="54"/>
        <v>7.1973466003316541E-2</v>
      </c>
    </row>
    <row r="654" spans="1:11" x14ac:dyDescent="0.25">
      <c r="A654" t="s">
        <v>9621</v>
      </c>
      <c r="C654" t="s">
        <v>9622</v>
      </c>
      <c r="D654" t="s">
        <v>5</v>
      </c>
      <c r="E654" t="s">
        <v>6</v>
      </c>
      <c r="F654" t="s">
        <v>251</v>
      </c>
      <c r="G654">
        <v>39</v>
      </c>
      <c r="H654" s="2">
        <f>Tabelle13[[#This Row],[commits]]/Tabelle13[[#Totals],[commits]]</f>
        <v>1.8126382717656027E-4</v>
      </c>
      <c r="I654" s="5">
        <f>Tabelle13[[#This Row],[%]]+I653</f>
        <v>0.86785866998828809</v>
      </c>
      <c r="J654" s="4">
        <f t="shared" si="53"/>
        <v>1.105583195135434E-4</v>
      </c>
      <c r="K654" s="5">
        <f t="shared" si="54"/>
        <v>7.2084024322830079E-2</v>
      </c>
    </row>
    <row r="655" spans="1:11" x14ac:dyDescent="0.25">
      <c r="A655" t="s">
        <v>2426</v>
      </c>
      <c r="C655" t="s">
        <v>2427</v>
      </c>
      <c r="D655" t="s">
        <v>5</v>
      </c>
      <c r="E655" t="s">
        <v>6</v>
      </c>
      <c r="F655" t="s">
        <v>724</v>
      </c>
      <c r="G655">
        <v>38</v>
      </c>
      <c r="H655" s="2">
        <f>Tabelle13[[#This Row],[commits]]/Tabelle13[[#Totals],[commits]]</f>
        <v>1.7661603673613564E-4</v>
      </c>
      <c r="I655" s="5">
        <f>Tabelle13[[#This Row],[%]]+I654</f>
        <v>0.86803528602502422</v>
      </c>
      <c r="J655" s="4">
        <f t="shared" si="53"/>
        <v>1.105583195135434E-4</v>
      </c>
      <c r="K655" s="5">
        <f t="shared" si="54"/>
        <v>7.2194582642343616E-2</v>
      </c>
    </row>
    <row r="656" spans="1:11" x14ac:dyDescent="0.25">
      <c r="A656" t="s">
        <v>5236</v>
      </c>
      <c r="C656" t="s">
        <v>5237</v>
      </c>
      <c r="D656" t="s">
        <v>5</v>
      </c>
      <c r="E656" t="s">
        <v>6</v>
      </c>
      <c r="F656" t="s">
        <v>28</v>
      </c>
      <c r="G656">
        <v>38</v>
      </c>
      <c r="H656" s="2">
        <f>Tabelle13[[#This Row],[commits]]/Tabelle13[[#Totals],[commits]]</f>
        <v>1.7661603673613564E-4</v>
      </c>
      <c r="I656" s="5">
        <f>Tabelle13[[#This Row],[%]]+I655</f>
        <v>0.86821190206176035</v>
      </c>
      <c r="J656" s="4">
        <f t="shared" si="53"/>
        <v>1.105583195135434E-4</v>
      </c>
      <c r="K656" s="5">
        <f t="shared" si="54"/>
        <v>7.2305140961857153E-2</v>
      </c>
    </row>
    <row r="657" spans="1:11" x14ac:dyDescent="0.25">
      <c r="A657" t="s">
        <v>5238</v>
      </c>
      <c r="C657" t="s">
        <v>5239</v>
      </c>
      <c r="D657" t="s">
        <v>5175</v>
      </c>
      <c r="E657" t="s">
        <v>6</v>
      </c>
      <c r="F657" t="s">
        <v>28</v>
      </c>
      <c r="G657">
        <v>38</v>
      </c>
      <c r="H657" s="2">
        <f>Tabelle13[[#This Row],[commits]]/Tabelle13[[#Totals],[commits]]</f>
        <v>1.7661603673613564E-4</v>
      </c>
      <c r="I657" s="5">
        <f>Tabelle13[[#This Row],[%]]+I656</f>
        <v>0.86838851809849649</v>
      </c>
      <c r="J657" s="4">
        <f t="shared" si="53"/>
        <v>1.105583195135434E-4</v>
      </c>
      <c r="K657" s="5">
        <f t="shared" si="54"/>
        <v>7.2415699281370691E-2</v>
      </c>
    </row>
    <row r="658" spans="1:11" x14ac:dyDescent="0.25">
      <c r="A658" t="s">
        <v>9623</v>
      </c>
      <c r="C658" t="s">
        <v>9624</v>
      </c>
      <c r="D658" t="s">
        <v>309</v>
      </c>
      <c r="E658" t="s">
        <v>6</v>
      </c>
      <c r="F658" t="s">
        <v>251</v>
      </c>
      <c r="G658">
        <v>38</v>
      </c>
      <c r="H658" s="2">
        <f>Tabelle13[[#This Row],[commits]]/Tabelle13[[#Totals],[commits]]</f>
        <v>1.7661603673613564E-4</v>
      </c>
      <c r="I658" s="5">
        <f>Tabelle13[[#This Row],[%]]+I657</f>
        <v>0.86856513413523262</v>
      </c>
      <c r="J658" s="4">
        <f t="shared" si="53"/>
        <v>1.105583195135434E-4</v>
      </c>
      <c r="K658" s="5">
        <f t="shared" si="54"/>
        <v>7.2526257600884228E-2</v>
      </c>
    </row>
    <row r="659" spans="1:11" x14ac:dyDescent="0.25">
      <c r="A659" t="s">
        <v>9625</v>
      </c>
      <c r="C659" t="s">
        <v>9626</v>
      </c>
      <c r="D659" t="s">
        <v>309</v>
      </c>
      <c r="E659" t="s">
        <v>6</v>
      </c>
      <c r="F659" t="s">
        <v>251</v>
      </c>
      <c r="G659">
        <v>38</v>
      </c>
      <c r="H659" s="2">
        <f>Tabelle13[[#This Row],[commits]]/Tabelle13[[#Totals],[commits]]</f>
        <v>1.7661603673613564E-4</v>
      </c>
      <c r="I659" s="5">
        <f>Tabelle13[[#This Row],[%]]+I658</f>
        <v>0.86874175017196875</v>
      </c>
      <c r="J659" s="4">
        <f t="shared" si="53"/>
        <v>1.105583195135434E-4</v>
      </c>
      <c r="K659" s="5">
        <f t="shared" si="54"/>
        <v>7.2636815920397765E-2</v>
      </c>
    </row>
    <row r="660" spans="1:11" x14ac:dyDescent="0.25">
      <c r="A660" t="s">
        <v>9627</v>
      </c>
      <c r="C660" t="s">
        <v>9628</v>
      </c>
      <c r="D660" t="s">
        <v>309</v>
      </c>
      <c r="E660" t="s">
        <v>6</v>
      </c>
      <c r="F660" t="s">
        <v>251</v>
      </c>
      <c r="G660">
        <v>38</v>
      </c>
      <c r="H660" s="2">
        <f>Tabelle13[[#This Row],[commits]]/Tabelle13[[#Totals],[commits]]</f>
        <v>1.7661603673613564E-4</v>
      </c>
      <c r="I660" s="5">
        <f>Tabelle13[[#This Row],[%]]+I659</f>
        <v>0.86891836620870488</v>
      </c>
      <c r="J660" s="4">
        <f t="shared" si="53"/>
        <v>1.105583195135434E-4</v>
      </c>
      <c r="K660" s="5">
        <f t="shared" si="54"/>
        <v>7.2747374239911303E-2</v>
      </c>
    </row>
    <row r="661" spans="1:11" x14ac:dyDescent="0.25">
      <c r="A661" t="s">
        <v>9629</v>
      </c>
      <c r="C661" t="s">
        <v>9630</v>
      </c>
      <c r="D661" t="s">
        <v>309</v>
      </c>
      <c r="E661" t="s">
        <v>6</v>
      </c>
      <c r="F661" t="s">
        <v>251</v>
      </c>
      <c r="G661">
        <v>38</v>
      </c>
      <c r="H661" s="2">
        <f>Tabelle13[[#This Row],[commits]]/Tabelle13[[#Totals],[commits]]</f>
        <v>1.7661603673613564E-4</v>
      </c>
      <c r="I661" s="5">
        <f>Tabelle13[[#This Row],[%]]+I660</f>
        <v>0.86909498224544102</v>
      </c>
      <c r="J661" s="4">
        <f t="shared" si="53"/>
        <v>1.105583195135434E-4</v>
      </c>
      <c r="K661" s="5">
        <f t="shared" si="54"/>
        <v>7.285793255942484E-2</v>
      </c>
    </row>
    <row r="662" spans="1:11" x14ac:dyDescent="0.25">
      <c r="A662" t="s">
        <v>9631</v>
      </c>
      <c r="C662" t="s">
        <v>9632</v>
      </c>
      <c r="D662" t="s">
        <v>9633</v>
      </c>
      <c r="E662" t="s">
        <v>6</v>
      </c>
      <c r="F662" t="s">
        <v>251</v>
      </c>
      <c r="G662">
        <v>38</v>
      </c>
      <c r="H662" s="2">
        <f>Tabelle13[[#This Row],[commits]]/Tabelle13[[#Totals],[commits]]</f>
        <v>1.7661603673613564E-4</v>
      </c>
      <c r="I662" s="5">
        <f>Tabelle13[[#This Row],[%]]+I661</f>
        <v>0.86927159828217715</v>
      </c>
      <c r="J662" s="4">
        <f t="shared" si="53"/>
        <v>1.105583195135434E-4</v>
      </c>
      <c r="K662" s="5">
        <f t="shared" si="54"/>
        <v>7.2968490878938377E-2</v>
      </c>
    </row>
    <row r="663" spans="1:11" x14ac:dyDescent="0.25">
      <c r="A663" t="s">
        <v>9634</v>
      </c>
      <c r="C663" t="s">
        <v>9635</v>
      </c>
      <c r="D663" t="s">
        <v>9636</v>
      </c>
      <c r="E663" t="s">
        <v>6</v>
      </c>
      <c r="F663" t="s">
        <v>251</v>
      </c>
      <c r="G663">
        <v>38</v>
      </c>
      <c r="H663" s="2">
        <f>Tabelle13[[#This Row],[commits]]/Tabelle13[[#Totals],[commits]]</f>
        <v>1.7661603673613564E-4</v>
      </c>
      <c r="I663" s="5">
        <f>Tabelle13[[#This Row],[%]]+I662</f>
        <v>0.86944821431891328</v>
      </c>
      <c r="J663" s="4">
        <f t="shared" si="53"/>
        <v>1.105583195135434E-4</v>
      </c>
      <c r="K663" s="5">
        <f t="shared" si="54"/>
        <v>7.3079049198451915E-2</v>
      </c>
    </row>
    <row r="664" spans="1:11" x14ac:dyDescent="0.25">
      <c r="A664" t="s">
        <v>9637</v>
      </c>
      <c r="C664" t="s">
        <v>9638</v>
      </c>
      <c r="D664" t="s">
        <v>5</v>
      </c>
      <c r="E664" t="s">
        <v>6</v>
      </c>
      <c r="F664" t="s">
        <v>251</v>
      </c>
      <c r="G664">
        <v>38</v>
      </c>
      <c r="H664" s="2">
        <f>Tabelle13[[#This Row],[commits]]/Tabelle13[[#Totals],[commits]]</f>
        <v>1.7661603673613564E-4</v>
      </c>
      <c r="I664" s="5">
        <f>Tabelle13[[#This Row],[%]]+I663</f>
        <v>0.86962483035564941</v>
      </c>
      <c r="J664" s="4">
        <f t="shared" si="53"/>
        <v>1.105583195135434E-4</v>
      </c>
      <c r="K664" s="5">
        <f t="shared" si="54"/>
        <v>7.3189607517965452E-2</v>
      </c>
    </row>
    <row r="665" spans="1:11" x14ac:dyDescent="0.25">
      <c r="A665" t="s">
        <v>9639</v>
      </c>
      <c r="C665" t="s">
        <v>9640</v>
      </c>
      <c r="D665" t="s">
        <v>309</v>
      </c>
      <c r="E665" t="s">
        <v>6</v>
      </c>
      <c r="F665" t="s">
        <v>251</v>
      </c>
      <c r="G665">
        <v>38</v>
      </c>
      <c r="H665" s="2">
        <f>Tabelle13[[#This Row],[commits]]/Tabelle13[[#Totals],[commits]]</f>
        <v>1.7661603673613564E-4</v>
      </c>
      <c r="I665" s="5">
        <f>Tabelle13[[#This Row],[%]]+I664</f>
        <v>0.86980144639238555</v>
      </c>
      <c r="J665" s="4">
        <f t="shared" si="53"/>
        <v>1.105583195135434E-4</v>
      </c>
      <c r="K665" s="5">
        <f t="shared" si="54"/>
        <v>7.3300165837478989E-2</v>
      </c>
    </row>
    <row r="666" spans="1:11" x14ac:dyDescent="0.25">
      <c r="A666" t="s">
        <v>9641</v>
      </c>
      <c r="C666" t="s">
        <v>9642</v>
      </c>
      <c r="D666" t="s">
        <v>5</v>
      </c>
      <c r="E666" t="s">
        <v>6</v>
      </c>
      <c r="F666" t="s">
        <v>251</v>
      </c>
      <c r="G666">
        <v>38</v>
      </c>
      <c r="H666" s="2">
        <f>Tabelle13[[#This Row],[commits]]/Tabelle13[[#Totals],[commits]]</f>
        <v>1.7661603673613564E-4</v>
      </c>
      <c r="I666" s="5">
        <f>Tabelle13[[#This Row],[%]]+I665</f>
        <v>0.86997806242912168</v>
      </c>
      <c r="J666" s="4">
        <f t="shared" si="53"/>
        <v>1.105583195135434E-4</v>
      </c>
      <c r="K666" s="5">
        <f t="shared" si="54"/>
        <v>7.3410724156992527E-2</v>
      </c>
    </row>
    <row r="667" spans="1:11" x14ac:dyDescent="0.25">
      <c r="A667" t="s">
        <v>69</v>
      </c>
      <c r="C667" t="s">
        <v>70</v>
      </c>
      <c r="D667" t="s">
        <v>71</v>
      </c>
      <c r="E667" t="s">
        <v>6</v>
      </c>
      <c r="F667" t="s">
        <v>7</v>
      </c>
      <c r="G667">
        <v>37</v>
      </c>
      <c r="H667" s="2">
        <f>Tabelle13[[#This Row],[commits]]/Tabelle13[[#Totals],[commits]]</f>
        <v>1.7196824629571103E-4</v>
      </c>
      <c r="I667" s="5">
        <f>Tabelle13[[#This Row],[%]]+I666</f>
        <v>0.87015003067541741</v>
      </c>
      <c r="J667" s="4">
        <f t="shared" si="53"/>
        <v>1.105583195135434E-4</v>
      </c>
      <c r="K667" s="5">
        <f t="shared" si="54"/>
        <v>7.3521282476506064E-2</v>
      </c>
    </row>
    <row r="668" spans="1:11" x14ac:dyDescent="0.25">
      <c r="A668" t="s">
        <v>2428</v>
      </c>
      <c r="C668" t="s">
        <v>2429</v>
      </c>
      <c r="D668" t="s">
        <v>5</v>
      </c>
      <c r="E668" t="s">
        <v>6</v>
      </c>
      <c r="F668" t="s">
        <v>724</v>
      </c>
      <c r="G668">
        <v>37</v>
      </c>
      <c r="H668" s="2">
        <f>Tabelle13[[#This Row],[commits]]/Tabelle13[[#Totals],[commits]]</f>
        <v>1.7196824629571103E-4</v>
      </c>
      <c r="I668" s="5">
        <f>Tabelle13[[#This Row],[%]]+I667</f>
        <v>0.87032199892171314</v>
      </c>
      <c r="J668" s="4">
        <f t="shared" si="53"/>
        <v>1.105583195135434E-4</v>
      </c>
      <c r="K668" s="5">
        <f t="shared" si="54"/>
        <v>7.3631840796019601E-2</v>
      </c>
    </row>
    <row r="669" spans="1:11" x14ac:dyDescent="0.25">
      <c r="A669" t="s">
        <v>2430</v>
      </c>
      <c r="C669" t="s">
        <v>2431</v>
      </c>
      <c r="D669" t="s">
        <v>309</v>
      </c>
      <c r="E669" t="s">
        <v>6</v>
      </c>
      <c r="F669" t="s">
        <v>724</v>
      </c>
      <c r="G669">
        <v>37</v>
      </c>
      <c r="H669" s="2">
        <f>Tabelle13[[#This Row],[commits]]/Tabelle13[[#Totals],[commits]]</f>
        <v>1.7196824629571103E-4</v>
      </c>
      <c r="I669" s="5">
        <f>Tabelle13[[#This Row],[%]]+I668</f>
        <v>0.87049396716800886</v>
      </c>
      <c r="J669" s="4">
        <f t="shared" si="53"/>
        <v>1.105583195135434E-4</v>
      </c>
      <c r="K669" s="5">
        <f t="shared" si="54"/>
        <v>7.3742399115533139E-2</v>
      </c>
    </row>
    <row r="670" spans="1:11" x14ac:dyDescent="0.25">
      <c r="A670" t="s">
        <v>2432</v>
      </c>
      <c r="C670" t="s">
        <v>2433</v>
      </c>
      <c r="D670" t="s">
        <v>5</v>
      </c>
      <c r="E670" t="s">
        <v>6</v>
      </c>
      <c r="F670" t="s">
        <v>724</v>
      </c>
      <c r="G670">
        <v>37</v>
      </c>
      <c r="H670" s="2">
        <f>Tabelle13[[#This Row],[commits]]/Tabelle13[[#Totals],[commits]]</f>
        <v>1.7196824629571103E-4</v>
      </c>
      <c r="I670" s="5">
        <f>Tabelle13[[#This Row],[%]]+I669</f>
        <v>0.87066593541430459</v>
      </c>
      <c r="J670" s="4">
        <f t="shared" si="53"/>
        <v>1.105583195135434E-4</v>
      </c>
      <c r="K670" s="5">
        <f t="shared" si="54"/>
        <v>7.3852957435046676E-2</v>
      </c>
    </row>
    <row r="671" spans="1:11" x14ac:dyDescent="0.25">
      <c r="A671" t="s">
        <v>9643</v>
      </c>
      <c r="C671" t="s">
        <v>9644</v>
      </c>
      <c r="D671" t="s">
        <v>309</v>
      </c>
      <c r="E671" t="s">
        <v>6</v>
      </c>
      <c r="F671" t="s">
        <v>251</v>
      </c>
      <c r="G671">
        <v>37</v>
      </c>
      <c r="H671" s="2">
        <f>Tabelle13[[#This Row],[commits]]/Tabelle13[[#Totals],[commits]]</f>
        <v>1.7196824629571103E-4</v>
      </c>
      <c r="I671" s="5">
        <f>Tabelle13[[#This Row],[%]]+I670</f>
        <v>0.87083790366060032</v>
      </c>
      <c r="J671" s="4">
        <f t="shared" si="53"/>
        <v>1.105583195135434E-4</v>
      </c>
      <c r="K671" s="5">
        <f t="shared" si="54"/>
        <v>7.3963515754560213E-2</v>
      </c>
    </row>
    <row r="672" spans="1:11" x14ac:dyDescent="0.25">
      <c r="A672" t="s">
        <v>9645</v>
      </c>
      <c r="C672" t="s">
        <v>9646</v>
      </c>
      <c r="D672" t="s">
        <v>309</v>
      </c>
      <c r="E672" t="s">
        <v>6</v>
      </c>
      <c r="F672" t="s">
        <v>251</v>
      </c>
      <c r="G672">
        <v>37</v>
      </c>
      <c r="H672" s="2">
        <f>Tabelle13[[#This Row],[commits]]/Tabelle13[[#Totals],[commits]]</f>
        <v>1.7196824629571103E-4</v>
      </c>
      <c r="I672" s="5">
        <f>Tabelle13[[#This Row],[%]]+I671</f>
        <v>0.87100987190689605</v>
      </c>
      <c r="J672" s="4">
        <f t="shared" si="53"/>
        <v>1.105583195135434E-4</v>
      </c>
      <c r="K672" s="5">
        <f t="shared" si="54"/>
        <v>7.4074074074073751E-2</v>
      </c>
    </row>
    <row r="673" spans="1:11" x14ac:dyDescent="0.25">
      <c r="A673" t="s">
        <v>9647</v>
      </c>
      <c r="C673" t="s">
        <v>9648</v>
      </c>
      <c r="D673" t="s">
        <v>5</v>
      </c>
      <c r="E673" t="s">
        <v>6</v>
      </c>
      <c r="F673" t="s">
        <v>251</v>
      </c>
      <c r="G673">
        <v>37</v>
      </c>
      <c r="H673" s="2">
        <f>Tabelle13[[#This Row],[commits]]/Tabelle13[[#Totals],[commits]]</f>
        <v>1.7196824629571103E-4</v>
      </c>
      <c r="I673" s="5">
        <f>Tabelle13[[#This Row],[%]]+I672</f>
        <v>0.87118184015319178</v>
      </c>
      <c r="J673" s="4">
        <f t="shared" si="53"/>
        <v>1.105583195135434E-4</v>
      </c>
      <c r="K673" s="5">
        <f t="shared" si="54"/>
        <v>7.4184632393587288E-2</v>
      </c>
    </row>
    <row r="674" spans="1:11" x14ac:dyDescent="0.25">
      <c r="A674" t="s">
        <v>9649</v>
      </c>
      <c r="C674" t="s">
        <v>9650</v>
      </c>
      <c r="D674" t="s">
        <v>5</v>
      </c>
      <c r="E674" t="s">
        <v>6</v>
      </c>
      <c r="F674" t="s">
        <v>251</v>
      </c>
      <c r="G674">
        <v>37</v>
      </c>
      <c r="H674" s="2">
        <f>Tabelle13[[#This Row],[commits]]/Tabelle13[[#Totals],[commits]]</f>
        <v>1.7196824629571103E-4</v>
      </c>
      <c r="I674" s="5">
        <f>Tabelle13[[#This Row],[%]]+I673</f>
        <v>0.87135380839948751</v>
      </c>
      <c r="J674" s="4">
        <f t="shared" si="53"/>
        <v>1.105583195135434E-4</v>
      </c>
      <c r="K674" s="5">
        <f t="shared" si="54"/>
        <v>7.4295190713100825E-2</v>
      </c>
    </row>
    <row r="675" spans="1:11" x14ac:dyDescent="0.25">
      <c r="A675" t="s">
        <v>9651</v>
      </c>
      <c r="C675" t="s">
        <v>9652</v>
      </c>
      <c r="D675" t="s">
        <v>5</v>
      </c>
      <c r="E675" t="s">
        <v>6</v>
      </c>
      <c r="F675" t="s">
        <v>251</v>
      </c>
      <c r="G675">
        <v>37</v>
      </c>
      <c r="H675" s="2">
        <f>Tabelle13[[#This Row],[commits]]/Tabelle13[[#Totals],[commits]]</f>
        <v>1.7196824629571103E-4</v>
      </c>
      <c r="I675" s="5">
        <f>Tabelle13[[#This Row],[%]]+I674</f>
        <v>0.87152577664578323</v>
      </c>
      <c r="J675" s="4">
        <f t="shared" si="53"/>
        <v>1.105583195135434E-4</v>
      </c>
      <c r="K675" s="5">
        <f t="shared" si="54"/>
        <v>7.4405749032614363E-2</v>
      </c>
    </row>
    <row r="676" spans="1:11" x14ac:dyDescent="0.25">
      <c r="A676" t="s">
        <v>9653</v>
      </c>
      <c r="C676" t="s">
        <v>9654</v>
      </c>
      <c r="D676" t="s">
        <v>309</v>
      </c>
      <c r="E676" t="s">
        <v>6</v>
      </c>
      <c r="F676" t="s">
        <v>251</v>
      </c>
      <c r="G676">
        <v>37</v>
      </c>
      <c r="H676" s="2">
        <f>Tabelle13[[#This Row],[commits]]/Tabelle13[[#Totals],[commits]]</f>
        <v>1.7196824629571103E-4</v>
      </c>
      <c r="I676" s="5">
        <f>Tabelle13[[#This Row],[%]]+I675</f>
        <v>0.87169774489207896</v>
      </c>
      <c r="J676" s="4">
        <f t="shared" si="53"/>
        <v>1.105583195135434E-4</v>
      </c>
      <c r="K676" s="5">
        <f t="shared" si="54"/>
        <v>7.45163073521279E-2</v>
      </c>
    </row>
    <row r="677" spans="1:11" x14ac:dyDescent="0.25">
      <c r="A677" t="s">
        <v>2434</v>
      </c>
      <c r="C677" t="s">
        <v>2435</v>
      </c>
      <c r="D677" t="s">
        <v>309</v>
      </c>
      <c r="E677" t="s">
        <v>6</v>
      </c>
      <c r="F677" t="s">
        <v>724</v>
      </c>
      <c r="G677">
        <v>36</v>
      </c>
      <c r="H677" s="2">
        <f>Tabelle13[[#This Row],[commits]]/Tabelle13[[#Totals],[commits]]</f>
        <v>1.673204558552864E-4</v>
      </c>
      <c r="I677" s="5">
        <f>Tabelle13[[#This Row],[%]]+I676</f>
        <v>0.87186506534793429</v>
      </c>
      <c r="J677" s="4">
        <f t="shared" si="53"/>
        <v>1.105583195135434E-4</v>
      </c>
      <c r="K677" s="5">
        <f t="shared" si="54"/>
        <v>7.4626865671641437E-2</v>
      </c>
    </row>
    <row r="678" spans="1:11" x14ac:dyDescent="0.25">
      <c r="A678" t="s">
        <v>2436</v>
      </c>
      <c r="C678" t="s">
        <v>2437</v>
      </c>
      <c r="D678" t="s">
        <v>309</v>
      </c>
      <c r="E678" t="s">
        <v>6</v>
      </c>
      <c r="F678" t="s">
        <v>724</v>
      </c>
      <c r="G678">
        <v>36</v>
      </c>
      <c r="H678" s="2">
        <f>Tabelle13[[#This Row],[commits]]/Tabelle13[[#Totals],[commits]]</f>
        <v>1.673204558552864E-4</v>
      </c>
      <c r="I678" s="5">
        <f>Tabelle13[[#This Row],[%]]+I677</f>
        <v>0.87203238580378961</v>
      </c>
      <c r="J678" s="4">
        <f t="shared" si="53"/>
        <v>1.105583195135434E-4</v>
      </c>
      <c r="K678" s="5">
        <f t="shared" si="54"/>
        <v>7.4737423991154975E-2</v>
      </c>
    </row>
    <row r="679" spans="1:11" x14ac:dyDescent="0.25">
      <c r="A679" t="s">
        <v>2438</v>
      </c>
      <c r="C679" t="s">
        <v>2439</v>
      </c>
      <c r="D679" t="s">
        <v>5</v>
      </c>
      <c r="E679" t="s">
        <v>6</v>
      </c>
      <c r="F679" t="s">
        <v>724</v>
      </c>
      <c r="G679">
        <v>36</v>
      </c>
      <c r="H679" s="2">
        <f>Tabelle13[[#This Row],[commits]]/Tabelle13[[#Totals],[commits]]</f>
        <v>1.673204558552864E-4</v>
      </c>
      <c r="I679" s="5">
        <f>Tabelle13[[#This Row],[%]]+I678</f>
        <v>0.87219970625964494</v>
      </c>
      <c r="J679" s="4">
        <f t="shared" si="53"/>
        <v>1.105583195135434E-4</v>
      </c>
      <c r="K679" s="5">
        <f t="shared" si="54"/>
        <v>7.4847982310668512E-2</v>
      </c>
    </row>
    <row r="680" spans="1:11" x14ac:dyDescent="0.25">
      <c r="A680" t="s">
        <v>9655</v>
      </c>
      <c r="C680" t="s">
        <v>9656</v>
      </c>
      <c r="D680" t="s">
        <v>8948</v>
      </c>
      <c r="E680" t="s">
        <v>6</v>
      </c>
      <c r="F680" t="s">
        <v>251</v>
      </c>
      <c r="G680">
        <v>36</v>
      </c>
      <c r="H680" s="2">
        <f>Tabelle13[[#This Row],[commits]]/Tabelle13[[#Totals],[commits]]</f>
        <v>1.673204558552864E-4</v>
      </c>
      <c r="I680" s="5">
        <f>Tabelle13[[#This Row],[%]]+I679</f>
        <v>0.87236702671550026</v>
      </c>
      <c r="J680" s="4">
        <f t="shared" si="53"/>
        <v>1.105583195135434E-4</v>
      </c>
      <c r="K680" s="5">
        <f t="shared" si="54"/>
        <v>7.4958540630182049E-2</v>
      </c>
    </row>
    <row r="681" spans="1:11" x14ac:dyDescent="0.25">
      <c r="A681" t="s">
        <v>9657</v>
      </c>
      <c r="C681" t="s">
        <v>9658</v>
      </c>
      <c r="D681" t="s">
        <v>309</v>
      </c>
      <c r="E681" t="s">
        <v>6</v>
      </c>
      <c r="F681" t="s">
        <v>251</v>
      </c>
      <c r="G681">
        <v>36</v>
      </c>
      <c r="H681" s="2">
        <f>Tabelle13[[#This Row],[commits]]/Tabelle13[[#Totals],[commits]]</f>
        <v>1.673204558552864E-4</v>
      </c>
      <c r="I681" s="5">
        <f>Tabelle13[[#This Row],[%]]+I680</f>
        <v>0.87253434717135558</v>
      </c>
      <c r="J681" s="4">
        <f t="shared" si="53"/>
        <v>1.105583195135434E-4</v>
      </c>
      <c r="K681" s="5">
        <f t="shared" si="54"/>
        <v>7.5069098949695587E-2</v>
      </c>
    </row>
    <row r="682" spans="1:11" x14ac:dyDescent="0.25">
      <c r="A682" t="s">
        <v>9659</v>
      </c>
      <c r="C682" t="s">
        <v>9660</v>
      </c>
      <c r="D682" t="s">
        <v>9340</v>
      </c>
      <c r="E682" t="s">
        <v>6</v>
      </c>
      <c r="F682" t="s">
        <v>251</v>
      </c>
      <c r="G682">
        <v>36</v>
      </c>
      <c r="H682" s="2">
        <f>Tabelle13[[#This Row],[commits]]/Tabelle13[[#Totals],[commits]]</f>
        <v>1.673204558552864E-4</v>
      </c>
      <c r="I682" s="5">
        <f>Tabelle13[[#This Row],[%]]+I681</f>
        <v>0.87270166762721091</v>
      </c>
      <c r="J682" s="4">
        <f t="shared" si="53"/>
        <v>1.105583195135434E-4</v>
      </c>
      <c r="K682" s="5">
        <f t="shared" si="54"/>
        <v>7.5179657269209124E-2</v>
      </c>
    </row>
    <row r="683" spans="1:11" x14ac:dyDescent="0.25">
      <c r="A683" t="s">
        <v>9661</v>
      </c>
      <c r="C683" t="s">
        <v>9662</v>
      </c>
      <c r="D683" t="s">
        <v>5</v>
      </c>
      <c r="E683" t="s">
        <v>6</v>
      </c>
      <c r="F683" t="s">
        <v>251</v>
      </c>
      <c r="G683">
        <v>36</v>
      </c>
      <c r="H683" s="2">
        <f>Tabelle13[[#This Row],[commits]]/Tabelle13[[#Totals],[commits]]</f>
        <v>1.673204558552864E-4</v>
      </c>
      <c r="I683" s="5">
        <f>Tabelle13[[#This Row],[%]]+I682</f>
        <v>0.87286898808306623</v>
      </c>
      <c r="J683" s="4">
        <f t="shared" si="53"/>
        <v>1.105583195135434E-4</v>
      </c>
      <c r="K683" s="5">
        <f t="shared" si="54"/>
        <v>7.5290215588722662E-2</v>
      </c>
    </row>
    <row r="684" spans="1:11" x14ac:dyDescent="0.25">
      <c r="A684" t="s">
        <v>9663</v>
      </c>
      <c r="C684" t="s">
        <v>9664</v>
      </c>
      <c r="D684" t="s">
        <v>8874</v>
      </c>
      <c r="E684" t="s">
        <v>6</v>
      </c>
      <c r="F684" t="s">
        <v>251</v>
      </c>
      <c r="G684">
        <v>36</v>
      </c>
      <c r="H684" s="2">
        <f>Tabelle13[[#This Row],[commits]]/Tabelle13[[#Totals],[commits]]</f>
        <v>1.673204558552864E-4</v>
      </c>
      <c r="I684" s="5">
        <f>Tabelle13[[#This Row],[%]]+I683</f>
        <v>0.87303630853892156</v>
      </c>
      <c r="J684" s="4">
        <f t="shared" si="53"/>
        <v>1.105583195135434E-4</v>
      </c>
      <c r="K684" s="5">
        <f t="shared" si="54"/>
        <v>7.5400773908236199E-2</v>
      </c>
    </row>
    <row r="685" spans="1:11" x14ac:dyDescent="0.25">
      <c r="A685" t="s">
        <v>9665</v>
      </c>
      <c r="C685" t="s">
        <v>9666</v>
      </c>
      <c r="D685" t="s">
        <v>309</v>
      </c>
      <c r="E685" t="s">
        <v>6</v>
      </c>
      <c r="F685" t="s">
        <v>251</v>
      </c>
      <c r="G685">
        <v>36</v>
      </c>
      <c r="H685" s="2">
        <f>Tabelle13[[#This Row],[commits]]/Tabelle13[[#Totals],[commits]]</f>
        <v>1.673204558552864E-4</v>
      </c>
      <c r="I685" s="5">
        <f>Tabelle13[[#This Row],[%]]+I684</f>
        <v>0.87320362899477688</v>
      </c>
      <c r="J685" s="4">
        <f t="shared" si="53"/>
        <v>1.105583195135434E-4</v>
      </c>
      <c r="K685" s="5">
        <f t="shared" si="54"/>
        <v>7.5511332227749736E-2</v>
      </c>
    </row>
    <row r="686" spans="1:11" x14ac:dyDescent="0.25">
      <c r="A686" t="s">
        <v>9667</v>
      </c>
      <c r="C686" t="s">
        <v>9262</v>
      </c>
      <c r="D686" t="s">
        <v>309</v>
      </c>
      <c r="E686" t="s">
        <v>6</v>
      </c>
      <c r="F686" t="s">
        <v>251</v>
      </c>
      <c r="G686">
        <v>36</v>
      </c>
      <c r="H686" s="2">
        <f>Tabelle13[[#This Row],[commits]]/Tabelle13[[#Totals],[commits]]</f>
        <v>1.673204558552864E-4</v>
      </c>
      <c r="I686" s="5">
        <f>Tabelle13[[#This Row],[%]]+I685</f>
        <v>0.87337094945063221</v>
      </c>
      <c r="J686" s="4">
        <f t="shared" si="53"/>
        <v>1.105583195135434E-4</v>
      </c>
      <c r="K686" s="5">
        <f t="shared" si="54"/>
        <v>7.5621890547263274E-2</v>
      </c>
    </row>
    <row r="687" spans="1:11" x14ac:dyDescent="0.25">
      <c r="A687" t="s">
        <v>17134</v>
      </c>
      <c r="C687" t="s">
        <v>17135</v>
      </c>
      <c r="D687" t="s">
        <v>5</v>
      </c>
      <c r="E687" t="s">
        <v>6</v>
      </c>
      <c r="F687" t="s">
        <v>334</v>
      </c>
      <c r="G687">
        <v>36</v>
      </c>
      <c r="H687" s="2">
        <f>Tabelle13[[#This Row],[commits]]/Tabelle13[[#Totals],[commits]]</f>
        <v>1.673204558552864E-4</v>
      </c>
      <c r="I687" s="5">
        <f>Tabelle13[[#This Row],[%]]+I686</f>
        <v>0.87353826990648753</v>
      </c>
      <c r="J687" s="4">
        <f t="shared" si="53"/>
        <v>1.105583195135434E-4</v>
      </c>
      <c r="K687" s="5">
        <f t="shared" si="54"/>
        <v>7.5732448866776811E-2</v>
      </c>
    </row>
    <row r="688" spans="1:11" x14ac:dyDescent="0.25">
      <c r="A688" t="s">
        <v>9668</v>
      </c>
      <c r="C688" t="s">
        <v>9669</v>
      </c>
      <c r="D688" t="s">
        <v>309</v>
      </c>
      <c r="E688" t="s">
        <v>6</v>
      </c>
      <c r="F688" t="s">
        <v>251</v>
      </c>
      <c r="G688">
        <v>35</v>
      </c>
      <c r="H688" s="2">
        <f>Tabelle13[[#This Row],[commits]]/Tabelle13[[#Totals],[commits]]</f>
        <v>1.6267266541486176E-4</v>
      </c>
      <c r="I688" s="5">
        <f>Tabelle13[[#This Row],[%]]+I687</f>
        <v>0.87370094257190234</v>
      </c>
      <c r="J688" s="4">
        <f t="shared" si="53"/>
        <v>1.105583195135434E-4</v>
      </c>
      <c r="K688" s="5">
        <f t="shared" si="54"/>
        <v>7.5843007186290348E-2</v>
      </c>
    </row>
    <row r="689" spans="1:11" x14ac:dyDescent="0.25">
      <c r="A689" t="s">
        <v>9670</v>
      </c>
      <c r="C689" t="s">
        <v>9671</v>
      </c>
      <c r="D689" t="s">
        <v>309</v>
      </c>
      <c r="E689" t="s">
        <v>6</v>
      </c>
      <c r="F689" t="s">
        <v>251</v>
      </c>
      <c r="G689">
        <v>35</v>
      </c>
      <c r="H689" s="2">
        <f>Tabelle13[[#This Row],[commits]]/Tabelle13[[#Totals],[commits]]</f>
        <v>1.6267266541486176E-4</v>
      </c>
      <c r="I689" s="5">
        <f>Tabelle13[[#This Row],[%]]+I688</f>
        <v>0.87386361523731715</v>
      </c>
      <c r="J689" s="4">
        <f t="shared" si="53"/>
        <v>1.105583195135434E-4</v>
      </c>
      <c r="K689" s="5">
        <f t="shared" si="54"/>
        <v>7.5953565505803886E-2</v>
      </c>
    </row>
    <row r="690" spans="1:11" x14ac:dyDescent="0.25">
      <c r="A690" t="s">
        <v>9672</v>
      </c>
      <c r="C690" t="s">
        <v>9673</v>
      </c>
      <c r="D690" t="s">
        <v>9035</v>
      </c>
      <c r="E690" t="s">
        <v>6</v>
      </c>
      <c r="F690" t="s">
        <v>251</v>
      </c>
      <c r="G690">
        <v>35</v>
      </c>
      <c r="H690" s="2">
        <f>Tabelle13[[#This Row],[commits]]/Tabelle13[[#Totals],[commits]]</f>
        <v>1.6267266541486176E-4</v>
      </c>
      <c r="I690" s="5">
        <f>Tabelle13[[#This Row],[%]]+I689</f>
        <v>0.87402628790273196</v>
      </c>
      <c r="J690" s="4">
        <f t="shared" si="53"/>
        <v>1.105583195135434E-4</v>
      </c>
      <c r="K690" s="5">
        <f t="shared" si="54"/>
        <v>7.6064123825317423E-2</v>
      </c>
    </row>
    <row r="691" spans="1:11" x14ac:dyDescent="0.25">
      <c r="A691" t="s">
        <v>9674</v>
      </c>
      <c r="C691" t="s">
        <v>9675</v>
      </c>
      <c r="D691" t="s">
        <v>5</v>
      </c>
      <c r="E691" t="s">
        <v>6</v>
      </c>
      <c r="F691" t="s">
        <v>251</v>
      </c>
      <c r="G691">
        <v>35</v>
      </c>
      <c r="H691" s="2">
        <f>Tabelle13[[#This Row],[commits]]/Tabelle13[[#Totals],[commits]]</f>
        <v>1.6267266541486176E-4</v>
      </c>
      <c r="I691" s="5">
        <f>Tabelle13[[#This Row],[%]]+I690</f>
        <v>0.87418896056814677</v>
      </c>
      <c r="J691" s="4">
        <f t="shared" si="53"/>
        <v>1.105583195135434E-4</v>
      </c>
      <c r="K691" s="5">
        <f t="shared" si="54"/>
        <v>7.617468214483096E-2</v>
      </c>
    </row>
    <row r="692" spans="1:11" x14ac:dyDescent="0.25">
      <c r="A692" t="s">
        <v>9676</v>
      </c>
      <c r="C692" t="s">
        <v>9677</v>
      </c>
      <c r="D692" t="s">
        <v>7531</v>
      </c>
      <c r="E692" t="s">
        <v>6</v>
      </c>
      <c r="F692" t="s">
        <v>251</v>
      </c>
      <c r="G692">
        <v>35</v>
      </c>
      <c r="H692" s="2">
        <f>Tabelle13[[#This Row],[commits]]/Tabelle13[[#Totals],[commits]]</f>
        <v>1.6267266541486176E-4</v>
      </c>
      <c r="I692" s="5">
        <f>Tabelle13[[#This Row],[%]]+I691</f>
        <v>0.87435163323356158</v>
      </c>
      <c r="J692" s="4">
        <f t="shared" si="53"/>
        <v>1.105583195135434E-4</v>
      </c>
      <c r="K692" s="5">
        <f t="shared" si="54"/>
        <v>7.6285240464344498E-2</v>
      </c>
    </row>
    <row r="693" spans="1:11" x14ac:dyDescent="0.25">
      <c r="A693" t="s">
        <v>9678</v>
      </c>
      <c r="C693" t="s">
        <v>9679</v>
      </c>
      <c r="D693" t="s">
        <v>309</v>
      </c>
      <c r="E693" t="s">
        <v>6</v>
      </c>
      <c r="F693" t="s">
        <v>251</v>
      </c>
      <c r="G693">
        <v>35</v>
      </c>
      <c r="H693" s="2">
        <f>Tabelle13[[#This Row],[commits]]/Tabelle13[[#Totals],[commits]]</f>
        <v>1.6267266541486176E-4</v>
      </c>
      <c r="I693" s="5">
        <f>Tabelle13[[#This Row],[%]]+I692</f>
        <v>0.87451430589897639</v>
      </c>
      <c r="J693" s="4">
        <f t="shared" si="53"/>
        <v>1.105583195135434E-4</v>
      </c>
      <c r="K693" s="5">
        <f t="shared" si="54"/>
        <v>7.6395798783858035E-2</v>
      </c>
    </row>
    <row r="694" spans="1:11" x14ac:dyDescent="0.25">
      <c r="A694" t="s">
        <v>2440</v>
      </c>
      <c r="C694" t="s">
        <v>2441</v>
      </c>
      <c r="D694" t="s">
        <v>5</v>
      </c>
      <c r="E694" t="s">
        <v>6</v>
      </c>
      <c r="F694" t="s">
        <v>724</v>
      </c>
      <c r="G694">
        <v>34</v>
      </c>
      <c r="H694" s="2">
        <f>Tabelle13[[#This Row],[commits]]/Tabelle13[[#Totals],[commits]]</f>
        <v>1.5802487497443716E-4</v>
      </c>
      <c r="I694" s="5">
        <f>Tabelle13[[#This Row],[%]]+I693</f>
        <v>0.87467233077395079</v>
      </c>
      <c r="J694" s="4">
        <f t="shared" si="53"/>
        <v>1.105583195135434E-4</v>
      </c>
      <c r="K694" s="5">
        <f t="shared" si="54"/>
        <v>7.6506357103371572E-2</v>
      </c>
    </row>
    <row r="695" spans="1:11" x14ac:dyDescent="0.25">
      <c r="A695" t="s">
        <v>9680</v>
      </c>
      <c r="C695" t="s">
        <v>9681</v>
      </c>
      <c r="D695" t="s">
        <v>309</v>
      </c>
      <c r="E695" t="s">
        <v>6</v>
      </c>
      <c r="F695" t="s">
        <v>251</v>
      </c>
      <c r="G695">
        <v>34</v>
      </c>
      <c r="H695" s="2">
        <f>Tabelle13[[#This Row],[commits]]/Tabelle13[[#Totals],[commits]]</f>
        <v>1.5802487497443716E-4</v>
      </c>
      <c r="I695" s="5">
        <f>Tabelle13[[#This Row],[%]]+I694</f>
        <v>0.8748303556489252</v>
      </c>
      <c r="J695" s="4">
        <f t="shared" si="53"/>
        <v>1.105583195135434E-4</v>
      </c>
      <c r="K695" s="5">
        <f t="shared" si="54"/>
        <v>7.661691542288511E-2</v>
      </c>
    </row>
    <row r="696" spans="1:11" x14ac:dyDescent="0.25">
      <c r="A696" t="s">
        <v>9682</v>
      </c>
      <c r="C696" t="s">
        <v>9683</v>
      </c>
      <c r="D696" t="s">
        <v>309</v>
      </c>
      <c r="E696" t="s">
        <v>6</v>
      </c>
      <c r="F696" t="s">
        <v>251</v>
      </c>
      <c r="G696">
        <v>34</v>
      </c>
      <c r="H696" s="2">
        <f>Tabelle13[[#This Row],[commits]]/Tabelle13[[#Totals],[commits]]</f>
        <v>1.5802487497443716E-4</v>
      </c>
      <c r="I696" s="5">
        <f>Tabelle13[[#This Row],[%]]+I695</f>
        <v>0.8749883805238996</v>
      </c>
      <c r="J696" s="4">
        <f t="shared" si="53"/>
        <v>1.105583195135434E-4</v>
      </c>
      <c r="K696" s="5">
        <f t="shared" si="54"/>
        <v>7.6727473742398647E-2</v>
      </c>
    </row>
    <row r="697" spans="1:11" x14ac:dyDescent="0.25">
      <c r="A697" t="s">
        <v>9684</v>
      </c>
      <c r="C697" t="s">
        <v>9685</v>
      </c>
      <c r="D697" t="s">
        <v>309</v>
      </c>
      <c r="E697" t="s">
        <v>6</v>
      </c>
      <c r="F697" t="s">
        <v>251</v>
      </c>
      <c r="G697">
        <v>34</v>
      </c>
      <c r="H697" s="2">
        <f>Tabelle13[[#This Row],[commits]]/Tabelle13[[#Totals],[commits]]</f>
        <v>1.5802487497443716E-4</v>
      </c>
      <c r="I697" s="5">
        <f>Tabelle13[[#This Row],[%]]+I696</f>
        <v>0.87514640539887401</v>
      </c>
      <c r="J697" s="4">
        <f t="shared" si="53"/>
        <v>1.105583195135434E-4</v>
      </c>
      <c r="K697" s="5">
        <f t="shared" si="54"/>
        <v>7.6838032061912184E-2</v>
      </c>
    </row>
    <row r="698" spans="1:11" x14ac:dyDescent="0.25">
      <c r="A698" t="s">
        <v>9686</v>
      </c>
      <c r="C698" t="s">
        <v>9687</v>
      </c>
      <c r="D698" t="s">
        <v>309</v>
      </c>
      <c r="E698" t="s">
        <v>6</v>
      </c>
      <c r="F698" t="s">
        <v>251</v>
      </c>
      <c r="G698">
        <v>34</v>
      </c>
      <c r="H698" s="2">
        <f>Tabelle13[[#This Row],[commits]]/Tabelle13[[#Totals],[commits]]</f>
        <v>1.5802487497443716E-4</v>
      </c>
      <c r="I698" s="5">
        <f>Tabelle13[[#This Row],[%]]+I697</f>
        <v>0.87530443027384841</v>
      </c>
      <c r="J698" s="4">
        <f t="shared" si="53"/>
        <v>1.105583195135434E-4</v>
      </c>
      <c r="K698" s="5">
        <f t="shared" si="54"/>
        <v>7.6948590381425722E-2</v>
      </c>
    </row>
    <row r="699" spans="1:11" x14ac:dyDescent="0.25">
      <c r="A699" t="s">
        <v>9688</v>
      </c>
      <c r="C699" t="s">
        <v>9689</v>
      </c>
      <c r="D699" t="s">
        <v>309</v>
      </c>
      <c r="E699" t="s">
        <v>6</v>
      </c>
      <c r="F699" t="s">
        <v>251</v>
      </c>
      <c r="G699">
        <v>34</v>
      </c>
      <c r="H699" s="2">
        <f>Tabelle13[[#This Row],[commits]]/Tabelle13[[#Totals],[commits]]</f>
        <v>1.5802487497443716E-4</v>
      </c>
      <c r="I699" s="5">
        <f>Tabelle13[[#This Row],[%]]+I698</f>
        <v>0.87546245514882282</v>
      </c>
      <c r="J699" s="4">
        <f t="shared" si="53"/>
        <v>1.105583195135434E-4</v>
      </c>
      <c r="K699" s="5">
        <f t="shared" si="54"/>
        <v>7.7059148700939259E-2</v>
      </c>
    </row>
    <row r="700" spans="1:11" x14ac:dyDescent="0.25">
      <c r="A700" t="s">
        <v>9690</v>
      </c>
      <c r="C700" t="s">
        <v>9691</v>
      </c>
      <c r="D700" t="s">
        <v>309</v>
      </c>
      <c r="E700" t="s">
        <v>6</v>
      </c>
      <c r="F700" t="s">
        <v>251</v>
      </c>
      <c r="G700">
        <v>34</v>
      </c>
      <c r="H700" s="2">
        <f>Tabelle13[[#This Row],[commits]]/Tabelle13[[#Totals],[commits]]</f>
        <v>1.5802487497443716E-4</v>
      </c>
      <c r="I700" s="5">
        <f>Tabelle13[[#This Row],[%]]+I699</f>
        <v>0.87562048002379722</v>
      </c>
      <c r="J700" s="4">
        <f t="shared" si="53"/>
        <v>1.105583195135434E-4</v>
      </c>
      <c r="K700" s="5">
        <f t="shared" si="54"/>
        <v>7.7169707020452796E-2</v>
      </c>
    </row>
    <row r="701" spans="1:11" x14ac:dyDescent="0.25">
      <c r="A701" t="s">
        <v>9692</v>
      </c>
      <c r="C701" t="s">
        <v>9693</v>
      </c>
      <c r="D701" t="s">
        <v>7531</v>
      </c>
      <c r="E701" t="s">
        <v>6</v>
      </c>
      <c r="F701" t="s">
        <v>251</v>
      </c>
      <c r="G701">
        <v>34</v>
      </c>
      <c r="H701" s="2">
        <f>Tabelle13[[#This Row],[commits]]/Tabelle13[[#Totals],[commits]]</f>
        <v>1.5802487497443716E-4</v>
      </c>
      <c r="I701" s="5">
        <f>Tabelle13[[#This Row],[%]]+I700</f>
        <v>0.87577850489877163</v>
      </c>
      <c r="J701" s="4">
        <f t="shared" si="53"/>
        <v>1.105583195135434E-4</v>
      </c>
      <c r="K701" s="5">
        <f t="shared" si="54"/>
        <v>7.7280265339966334E-2</v>
      </c>
    </row>
    <row r="702" spans="1:11" x14ac:dyDescent="0.25">
      <c r="A702" t="s">
        <v>9694</v>
      </c>
      <c r="C702" t="s">
        <v>9695</v>
      </c>
      <c r="D702" t="s">
        <v>309</v>
      </c>
      <c r="E702" t="s">
        <v>6</v>
      </c>
      <c r="F702" t="s">
        <v>251</v>
      </c>
      <c r="G702">
        <v>34</v>
      </c>
      <c r="H702" s="2">
        <f>Tabelle13[[#This Row],[commits]]/Tabelle13[[#Totals],[commits]]</f>
        <v>1.5802487497443716E-4</v>
      </c>
      <c r="I702" s="5">
        <f>Tabelle13[[#This Row],[%]]+I701</f>
        <v>0.87593652977374603</v>
      </c>
      <c r="J702" s="4">
        <f t="shared" si="53"/>
        <v>1.105583195135434E-4</v>
      </c>
      <c r="K702" s="5">
        <f t="shared" si="54"/>
        <v>7.7390823659479871E-2</v>
      </c>
    </row>
    <row r="703" spans="1:11" x14ac:dyDescent="0.25">
      <c r="A703" t="s">
        <v>17136</v>
      </c>
      <c r="C703" t="s">
        <v>17137</v>
      </c>
      <c r="D703" t="s">
        <v>5</v>
      </c>
      <c r="E703" t="s">
        <v>6</v>
      </c>
      <c r="F703" t="s">
        <v>334</v>
      </c>
      <c r="G703">
        <v>34</v>
      </c>
      <c r="H703" s="2">
        <f>Tabelle13[[#This Row],[commits]]/Tabelle13[[#Totals],[commits]]</f>
        <v>1.5802487497443716E-4</v>
      </c>
      <c r="I703" s="5">
        <f>Tabelle13[[#This Row],[%]]+I702</f>
        <v>0.87609455464872044</v>
      </c>
      <c r="J703" s="4">
        <f t="shared" si="53"/>
        <v>1.105583195135434E-4</v>
      </c>
      <c r="K703" s="5">
        <f t="shared" si="54"/>
        <v>7.7501381978993408E-2</v>
      </c>
    </row>
    <row r="704" spans="1:11" x14ac:dyDescent="0.25">
      <c r="A704" t="s">
        <v>72</v>
      </c>
      <c r="C704" t="s">
        <v>73</v>
      </c>
      <c r="D704" t="s">
        <v>36</v>
      </c>
      <c r="E704" t="s">
        <v>6</v>
      </c>
      <c r="F704" t="s">
        <v>7</v>
      </c>
      <c r="G704">
        <v>33</v>
      </c>
      <c r="H704" s="2">
        <f>Tabelle13[[#This Row],[commits]]/Tabelle13[[#Totals],[commits]]</f>
        <v>1.5337708453401253E-4</v>
      </c>
      <c r="I704" s="5">
        <f>Tabelle13[[#This Row],[%]]+I703</f>
        <v>0.87624793173325444</v>
      </c>
      <c r="J704" s="4">
        <f t="shared" si="53"/>
        <v>1.105583195135434E-4</v>
      </c>
      <c r="K704" s="5">
        <f t="shared" si="54"/>
        <v>7.7611940298506946E-2</v>
      </c>
    </row>
    <row r="705" spans="1:11" x14ac:dyDescent="0.25">
      <c r="A705" t="s">
        <v>2442</v>
      </c>
      <c r="C705" t="s">
        <v>151</v>
      </c>
      <c r="D705" t="s">
        <v>5</v>
      </c>
      <c r="E705" t="s">
        <v>6</v>
      </c>
      <c r="F705" t="s">
        <v>724</v>
      </c>
      <c r="G705">
        <v>33</v>
      </c>
      <c r="H705" s="2">
        <f>Tabelle13[[#This Row],[commits]]/Tabelle13[[#Totals],[commits]]</f>
        <v>1.5337708453401253E-4</v>
      </c>
      <c r="I705" s="5">
        <f>Tabelle13[[#This Row],[%]]+I704</f>
        <v>0.87640130881778844</v>
      </c>
      <c r="J705" s="4">
        <f t="shared" si="53"/>
        <v>1.105583195135434E-4</v>
      </c>
      <c r="K705" s="5">
        <f t="shared" si="54"/>
        <v>7.7722498618020483E-2</v>
      </c>
    </row>
    <row r="706" spans="1:11" x14ac:dyDescent="0.25">
      <c r="A706" t="s">
        <v>9696</v>
      </c>
      <c r="C706" t="s">
        <v>9697</v>
      </c>
      <c r="D706" t="s">
        <v>309</v>
      </c>
      <c r="E706" t="s">
        <v>6</v>
      </c>
      <c r="F706" t="s">
        <v>251</v>
      </c>
      <c r="G706">
        <v>33</v>
      </c>
      <c r="H706" s="2">
        <f>Tabelle13[[#This Row],[commits]]/Tabelle13[[#Totals],[commits]]</f>
        <v>1.5337708453401253E-4</v>
      </c>
      <c r="I706" s="5">
        <f>Tabelle13[[#This Row],[%]]+I705</f>
        <v>0.87655468590232244</v>
      </c>
      <c r="J706" s="4">
        <f t="shared" si="53"/>
        <v>1.105583195135434E-4</v>
      </c>
      <c r="K706" s="5">
        <f t="shared" si="54"/>
        <v>7.783305693753402E-2</v>
      </c>
    </row>
    <row r="707" spans="1:11" x14ac:dyDescent="0.25">
      <c r="A707" t="s">
        <v>9698</v>
      </c>
      <c r="C707" t="s">
        <v>9699</v>
      </c>
      <c r="D707" t="s">
        <v>309</v>
      </c>
      <c r="E707" t="s">
        <v>6</v>
      </c>
      <c r="F707" t="s">
        <v>251</v>
      </c>
      <c r="G707">
        <v>33</v>
      </c>
      <c r="H707" s="2">
        <f>Tabelle13[[#This Row],[commits]]/Tabelle13[[#Totals],[commits]]</f>
        <v>1.5337708453401253E-4</v>
      </c>
      <c r="I707" s="5">
        <f>Tabelle13[[#This Row],[%]]+I706</f>
        <v>0.87670806298685644</v>
      </c>
      <c r="J707" s="4">
        <f t="shared" ref="J707:J770" si="55">1/9045</f>
        <v>1.105583195135434E-4</v>
      </c>
      <c r="K707" s="5">
        <f t="shared" si="54"/>
        <v>7.7943615257047558E-2</v>
      </c>
    </row>
    <row r="708" spans="1:11" x14ac:dyDescent="0.25">
      <c r="A708" t="s">
        <v>9700</v>
      </c>
      <c r="C708" t="s">
        <v>9701</v>
      </c>
      <c r="D708" t="s">
        <v>309</v>
      </c>
      <c r="E708" t="s">
        <v>6</v>
      </c>
      <c r="F708" t="s">
        <v>251</v>
      </c>
      <c r="G708">
        <v>33</v>
      </c>
      <c r="H708" s="2">
        <f>Tabelle13[[#This Row],[commits]]/Tabelle13[[#Totals],[commits]]</f>
        <v>1.5337708453401253E-4</v>
      </c>
      <c r="I708" s="5">
        <f>Tabelle13[[#This Row],[%]]+I707</f>
        <v>0.87686144007139044</v>
      </c>
      <c r="J708" s="4">
        <f t="shared" si="55"/>
        <v>1.105583195135434E-4</v>
      </c>
      <c r="K708" s="5">
        <f t="shared" si="54"/>
        <v>7.8054173576561095E-2</v>
      </c>
    </row>
    <row r="709" spans="1:11" x14ac:dyDescent="0.25">
      <c r="A709" t="s">
        <v>9702</v>
      </c>
      <c r="C709" t="s">
        <v>9703</v>
      </c>
      <c r="D709" t="s">
        <v>309</v>
      </c>
      <c r="E709" t="s">
        <v>6</v>
      </c>
      <c r="F709" t="s">
        <v>251</v>
      </c>
      <c r="G709">
        <v>33</v>
      </c>
      <c r="H709" s="2">
        <f>Tabelle13[[#This Row],[commits]]/Tabelle13[[#Totals],[commits]]</f>
        <v>1.5337708453401253E-4</v>
      </c>
      <c r="I709" s="5">
        <f>Tabelle13[[#This Row],[%]]+I708</f>
        <v>0.87701481715592444</v>
      </c>
      <c r="J709" s="4">
        <f t="shared" si="55"/>
        <v>1.105583195135434E-4</v>
      </c>
      <c r="K709" s="5">
        <f t="shared" si="54"/>
        <v>7.8164731896074632E-2</v>
      </c>
    </row>
    <row r="710" spans="1:11" x14ac:dyDescent="0.25">
      <c r="A710" t="s">
        <v>9704</v>
      </c>
      <c r="C710" t="s">
        <v>9705</v>
      </c>
      <c r="D710" t="s">
        <v>8760</v>
      </c>
      <c r="E710" t="s">
        <v>6</v>
      </c>
      <c r="F710" t="s">
        <v>251</v>
      </c>
      <c r="G710">
        <v>33</v>
      </c>
      <c r="H710" s="2">
        <f>Tabelle13[[#This Row],[commits]]/Tabelle13[[#Totals],[commits]]</f>
        <v>1.5337708453401253E-4</v>
      </c>
      <c r="I710" s="5">
        <f>Tabelle13[[#This Row],[%]]+I709</f>
        <v>0.87716819424045844</v>
      </c>
      <c r="J710" s="4">
        <f t="shared" si="55"/>
        <v>1.105583195135434E-4</v>
      </c>
      <c r="K710" s="5">
        <f t="shared" ref="K710:K773" si="56">J710+K709</f>
        <v>7.827529021558817E-2</v>
      </c>
    </row>
    <row r="711" spans="1:11" x14ac:dyDescent="0.25">
      <c r="A711" t="s">
        <v>9706</v>
      </c>
      <c r="C711" t="s">
        <v>151</v>
      </c>
      <c r="D711" t="s">
        <v>5</v>
      </c>
      <c r="E711" t="s">
        <v>6</v>
      </c>
      <c r="F711" t="s">
        <v>251</v>
      </c>
      <c r="G711">
        <v>33</v>
      </c>
      <c r="H711" s="2">
        <f>Tabelle13[[#This Row],[commits]]/Tabelle13[[#Totals],[commits]]</f>
        <v>1.5337708453401253E-4</v>
      </c>
      <c r="I711" s="5">
        <f>Tabelle13[[#This Row],[%]]+I710</f>
        <v>0.87732157132499244</v>
      </c>
      <c r="J711" s="4">
        <f t="shared" si="55"/>
        <v>1.105583195135434E-4</v>
      </c>
      <c r="K711" s="5">
        <f t="shared" si="56"/>
        <v>7.8385848535101707E-2</v>
      </c>
    </row>
    <row r="712" spans="1:11" x14ac:dyDescent="0.25">
      <c r="A712" t="s">
        <v>9707</v>
      </c>
      <c r="C712" t="s">
        <v>9708</v>
      </c>
      <c r="D712" t="s">
        <v>309</v>
      </c>
      <c r="E712" t="s">
        <v>6</v>
      </c>
      <c r="F712" t="s">
        <v>251</v>
      </c>
      <c r="G712">
        <v>33</v>
      </c>
      <c r="H712" s="2">
        <f>Tabelle13[[#This Row],[commits]]/Tabelle13[[#Totals],[commits]]</f>
        <v>1.5337708453401253E-4</v>
      </c>
      <c r="I712" s="5">
        <f>Tabelle13[[#This Row],[%]]+I711</f>
        <v>0.87747494840952645</v>
      </c>
      <c r="J712" s="4">
        <f t="shared" si="55"/>
        <v>1.105583195135434E-4</v>
      </c>
      <c r="K712" s="5">
        <f t="shared" si="56"/>
        <v>7.8496406854615244E-2</v>
      </c>
    </row>
    <row r="713" spans="1:11" x14ac:dyDescent="0.25">
      <c r="A713" t="s">
        <v>9709</v>
      </c>
      <c r="C713" t="s">
        <v>9710</v>
      </c>
      <c r="D713" t="s">
        <v>5</v>
      </c>
      <c r="E713" t="s">
        <v>6</v>
      </c>
      <c r="F713" t="s">
        <v>251</v>
      </c>
      <c r="G713">
        <v>33</v>
      </c>
      <c r="H713" s="2">
        <f>Tabelle13[[#This Row],[commits]]/Tabelle13[[#Totals],[commits]]</f>
        <v>1.5337708453401253E-4</v>
      </c>
      <c r="I713" s="5">
        <f>Tabelle13[[#This Row],[%]]+I712</f>
        <v>0.87762832549406045</v>
      </c>
      <c r="J713" s="4">
        <f t="shared" si="55"/>
        <v>1.105583195135434E-4</v>
      </c>
      <c r="K713" s="5">
        <f t="shared" si="56"/>
        <v>7.8606965174128782E-2</v>
      </c>
    </row>
    <row r="714" spans="1:11" x14ac:dyDescent="0.25">
      <c r="A714" t="s">
        <v>9711</v>
      </c>
      <c r="C714" t="s">
        <v>8912</v>
      </c>
      <c r="D714" t="s">
        <v>5175</v>
      </c>
      <c r="E714" t="s">
        <v>6</v>
      </c>
      <c r="F714" t="s">
        <v>251</v>
      </c>
      <c r="G714">
        <v>33</v>
      </c>
      <c r="H714" s="2">
        <f>Tabelle13[[#This Row],[commits]]/Tabelle13[[#Totals],[commits]]</f>
        <v>1.5337708453401253E-4</v>
      </c>
      <c r="I714" s="5">
        <f>Tabelle13[[#This Row],[%]]+I713</f>
        <v>0.87778170257859445</v>
      </c>
      <c r="J714" s="4">
        <f t="shared" si="55"/>
        <v>1.105583195135434E-4</v>
      </c>
      <c r="K714" s="5">
        <f t="shared" si="56"/>
        <v>7.8717523493642319E-2</v>
      </c>
    </row>
    <row r="715" spans="1:11" x14ac:dyDescent="0.25">
      <c r="A715" t="s">
        <v>2443</v>
      </c>
      <c r="C715" t="s">
        <v>2444</v>
      </c>
      <c r="D715" t="s">
        <v>309</v>
      </c>
      <c r="E715" t="s">
        <v>6</v>
      </c>
      <c r="F715" t="s">
        <v>724</v>
      </c>
      <c r="G715">
        <v>32</v>
      </c>
      <c r="H715" s="2">
        <f>Tabelle13[[#This Row],[commits]]/Tabelle13[[#Totals],[commits]]</f>
        <v>1.4872929409358792E-4</v>
      </c>
      <c r="I715" s="5">
        <f>Tabelle13[[#This Row],[%]]+I714</f>
        <v>0.87793043187268804</v>
      </c>
      <c r="J715" s="4">
        <f t="shared" si="55"/>
        <v>1.105583195135434E-4</v>
      </c>
      <c r="K715" s="5">
        <f t="shared" si="56"/>
        <v>7.8828081813155856E-2</v>
      </c>
    </row>
    <row r="716" spans="1:11" x14ac:dyDescent="0.25">
      <c r="A716" t="s">
        <v>2445</v>
      </c>
      <c r="C716" t="s">
        <v>2446</v>
      </c>
      <c r="D716" t="s">
        <v>5</v>
      </c>
      <c r="E716" t="s">
        <v>6</v>
      </c>
      <c r="F716" t="s">
        <v>724</v>
      </c>
      <c r="G716">
        <v>32</v>
      </c>
      <c r="H716" s="2">
        <f>Tabelle13[[#This Row],[commits]]/Tabelle13[[#Totals],[commits]]</f>
        <v>1.4872929409358792E-4</v>
      </c>
      <c r="I716" s="5">
        <f>Tabelle13[[#This Row],[%]]+I715</f>
        <v>0.87807916116678164</v>
      </c>
      <c r="J716" s="4">
        <f t="shared" si="55"/>
        <v>1.105583195135434E-4</v>
      </c>
      <c r="K716" s="5">
        <f t="shared" si="56"/>
        <v>7.8938640132669394E-2</v>
      </c>
    </row>
    <row r="717" spans="1:11" x14ac:dyDescent="0.25">
      <c r="A717" t="s">
        <v>2447</v>
      </c>
      <c r="C717" t="s">
        <v>2448</v>
      </c>
      <c r="D717" t="s">
        <v>5</v>
      </c>
      <c r="E717" t="s">
        <v>6</v>
      </c>
      <c r="F717" t="s">
        <v>724</v>
      </c>
      <c r="G717">
        <v>32</v>
      </c>
      <c r="H717" s="2">
        <f>Tabelle13[[#This Row],[commits]]/Tabelle13[[#Totals],[commits]]</f>
        <v>1.4872929409358792E-4</v>
      </c>
      <c r="I717" s="5">
        <f>Tabelle13[[#This Row],[%]]+I716</f>
        <v>0.87822789046087524</v>
      </c>
      <c r="J717" s="4">
        <f t="shared" si="55"/>
        <v>1.105583195135434E-4</v>
      </c>
      <c r="K717" s="5">
        <f t="shared" si="56"/>
        <v>7.9049198452182931E-2</v>
      </c>
    </row>
    <row r="718" spans="1:11" x14ac:dyDescent="0.25">
      <c r="A718" t="s">
        <v>2449</v>
      </c>
      <c r="C718" t="s">
        <v>2450</v>
      </c>
      <c r="D718" t="s">
        <v>5</v>
      </c>
      <c r="E718" t="s">
        <v>6</v>
      </c>
      <c r="F718" t="s">
        <v>724</v>
      </c>
      <c r="G718">
        <v>32</v>
      </c>
      <c r="H718" s="2">
        <f>Tabelle13[[#This Row],[commits]]/Tabelle13[[#Totals],[commits]]</f>
        <v>1.4872929409358792E-4</v>
      </c>
      <c r="I718" s="5">
        <f>Tabelle13[[#This Row],[%]]+I717</f>
        <v>0.87837661975496883</v>
      </c>
      <c r="J718" s="4">
        <f t="shared" si="55"/>
        <v>1.105583195135434E-4</v>
      </c>
      <c r="K718" s="5">
        <f t="shared" si="56"/>
        <v>7.9159756771696468E-2</v>
      </c>
    </row>
    <row r="719" spans="1:11" x14ac:dyDescent="0.25">
      <c r="A719" t="s">
        <v>2451</v>
      </c>
      <c r="C719" t="s">
        <v>2452</v>
      </c>
      <c r="D719" t="s">
        <v>309</v>
      </c>
      <c r="E719" t="s">
        <v>6</v>
      </c>
      <c r="F719" t="s">
        <v>724</v>
      </c>
      <c r="G719">
        <v>32</v>
      </c>
      <c r="H719" s="2">
        <f>Tabelle13[[#This Row],[commits]]/Tabelle13[[#Totals],[commits]]</f>
        <v>1.4872929409358792E-4</v>
      </c>
      <c r="I719" s="5">
        <f>Tabelle13[[#This Row],[%]]+I718</f>
        <v>0.87852534904906243</v>
      </c>
      <c r="J719" s="4">
        <f t="shared" si="55"/>
        <v>1.105583195135434E-4</v>
      </c>
      <c r="K719" s="5">
        <f t="shared" si="56"/>
        <v>7.9270315091210006E-2</v>
      </c>
    </row>
    <row r="720" spans="1:11" x14ac:dyDescent="0.25">
      <c r="A720" t="s">
        <v>5240</v>
      </c>
      <c r="C720" t="s">
        <v>5241</v>
      </c>
      <c r="D720" t="s">
        <v>5175</v>
      </c>
      <c r="E720" t="s">
        <v>6</v>
      </c>
      <c r="F720" t="s">
        <v>28</v>
      </c>
      <c r="G720">
        <v>32</v>
      </c>
      <c r="H720" s="2">
        <f>Tabelle13[[#This Row],[commits]]/Tabelle13[[#Totals],[commits]]</f>
        <v>1.4872929409358792E-4</v>
      </c>
      <c r="I720" s="5">
        <f>Tabelle13[[#This Row],[%]]+I719</f>
        <v>0.87867407834315603</v>
      </c>
      <c r="J720" s="4">
        <f t="shared" si="55"/>
        <v>1.105583195135434E-4</v>
      </c>
      <c r="K720" s="5">
        <f t="shared" si="56"/>
        <v>7.9380873410723543E-2</v>
      </c>
    </row>
    <row r="721" spans="1:11" x14ac:dyDescent="0.25">
      <c r="A721" t="s">
        <v>9712</v>
      </c>
      <c r="C721" t="s">
        <v>9713</v>
      </c>
      <c r="D721" t="s">
        <v>309</v>
      </c>
      <c r="E721" t="s">
        <v>6</v>
      </c>
      <c r="F721" t="s">
        <v>251</v>
      </c>
      <c r="G721">
        <v>32</v>
      </c>
      <c r="H721" s="2">
        <f>Tabelle13[[#This Row],[commits]]/Tabelle13[[#Totals],[commits]]</f>
        <v>1.4872929409358792E-4</v>
      </c>
      <c r="I721" s="5">
        <f>Tabelle13[[#This Row],[%]]+I720</f>
        <v>0.87882280763724963</v>
      </c>
      <c r="J721" s="4">
        <f t="shared" si="55"/>
        <v>1.105583195135434E-4</v>
      </c>
      <c r="K721" s="5">
        <f t="shared" si="56"/>
        <v>7.949143173023708E-2</v>
      </c>
    </row>
    <row r="722" spans="1:11" x14ac:dyDescent="0.25">
      <c r="A722" t="s">
        <v>9714</v>
      </c>
      <c r="C722" t="s">
        <v>9715</v>
      </c>
      <c r="D722" t="s">
        <v>309</v>
      </c>
      <c r="E722" t="s">
        <v>6</v>
      </c>
      <c r="F722" t="s">
        <v>251</v>
      </c>
      <c r="G722">
        <v>32</v>
      </c>
      <c r="H722" s="2">
        <f>Tabelle13[[#This Row],[commits]]/Tabelle13[[#Totals],[commits]]</f>
        <v>1.4872929409358792E-4</v>
      </c>
      <c r="I722" s="5">
        <f>Tabelle13[[#This Row],[%]]+I721</f>
        <v>0.87897153693134322</v>
      </c>
      <c r="J722" s="4">
        <f t="shared" si="55"/>
        <v>1.105583195135434E-4</v>
      </c>
      <c r="K722" s="5">
        <f t="shared" si="56"/>
        <v>7.9601990049750618E-2</v>
      </c>
    </row>
    <row r="723" spans="1:11" x14ac:dyDescent="0.25">
      <c r="A723" t="s">
        <v>9716</v>
      </c>
      <c r="C723" t="s">
        <v>9717</v>
      </c>
      <c r="D723" t="s">
        <v>8760</v>
      </c>
      <c r="E723" t="s">
        <v>6</v>
      </c>
      <c r="F723" t="s">
        <v>251</v>
      </c>
      <c r="G723">
        <v>32</v>
      </c>
      <c r="H723" s="2">
        <f>Tabelle13[[#This Row],[commits]]/Tabelle13[[#Totals],[commits]]</f>
        <v>1.4872929409358792E-4</v>
      </c>
      <c r="I723" s="5">
        <f>Tabelle13[[#This Row],[%]]+I722</f>
        <v>0.87912026622543682</v>
      </c>
      <c r="J723" s="4">
        <f t="shared" si="55"/>
        <v>1.105583195135434E-4</v>
      </c>
      <c r="K723" s="5">
        <f t="shared" si="56"/>
        <v>7.9712548369264155E-2</v>
      </c>
    </row>
    <row r="724" spans="1:11" x14ac:dyDescent="0.25">
      <c r="A724" t="s">
        <v>9718</v>
      </c>
      <c r="C724" t="s">
        <v>9719</v>
      </c>
      <c r="D724" t="s">
        <v>309</v>
      </c>
      <c r="E724" t="s">
        <v>6</v>
      </c>
      <c r="F724" t="s">
        <v>251</v>
      </c>
      <c r="G724">
        <v>32</v>
      </c>
      <c r="H724" s="2">
        <f>Tabelle13[[#This Row],[commits]]/Tabelle13[[#Totals],[commits]]</f>
        <v>1.4872929409358792E-4</v>
      </c>
      <c r="I724" s="5">
        <f>Tabelle13[[#This Row],[%]]+I723</f>
        <v>0.87926899551953042</v>
      </c>
      <c r="J724" s="4">
        <f t="shared" si="55"/>
        <v>1.105583195135434E-4</v>
      </c>
      <c r="K724" s="5">
        <f t="shared" si="56"/>
        <v>7.9823106688777692E-2</v>
      </c>
    </row>
    <row r="725" spans="1:11" x14ac:dyDescent="0.25">
      <c r="A725" t="s">
        <v>9720</v>
      </c>
      <c r="C725" t="s">
        <v>9721</v>
      </c>
      <c r="D725" t="s">
        <v>309</v>
      </c>
      <c r="E725" t="s">
        <v>6</v>
      </c>
      <c r="F725" t="s">
        <v>251</v>
      </c>
      <c r="G725">
        <v>32</v>
      </c>
      <c r="H725" s="2">
        <f>Tabelle13[[#This Row],[commits]]/Tabelle13[[#Totals],[commits]]</f>
        <v>1.4872929409358792E-4</v>
      </c>
      <c r="I725" s="5">
        <f>Tabelle13[[#This Row],[%]]+I724</f>
        <v>0.87941772481362401</v>
      </c>
      <c r="J725" s="4">
        <f t="shared" si="55"/>
        <v>1.105583195135434E-4</v>
      </c>
      <c r="K725" s="5">
        <f t="shared" si="56"/>
        <v>7.993366500829123E-2</v>
      </c>
    </row>
    <row r="726" spans="1:11" x14ac:dyDescent="0.25">
      <c r="A726" t="s">
        <v>9722</v>
      </c>
      <c r="C726" t="s">
        <v>9723</v>
      </c>
      <c r="D726" t="s">
        <v>309</v>
      </c>
      <c r="E726" t="s">
        <v>6</v>
      </c>
      <c r="F726" t="s">
        <v>251</v>
      </c>
      <c r="G726">
        <v>32</v>
      </c>
      <c r="H726" s="2">
        <f>Tabelle13[[#This Row],[commits]]/Tabelle13[[#Totals],[commits]]</f>
        <v>1.4872929409358792E-4</v>
      </c>
      <c r="I726" s="5">
        <f>Tabelle13[[#This Row],[%]]+I725</f>
        <v>0.87956645410771761</v>
      </c>
      <c r="J726" s="4">
        <f t="shared" si="55"/>
        <v>1.105583195135434E-4</v>
      </c>
      <c r="K726" s="5">
        <f t="shared" si="56"/>
        <v>8.0044223327804767E-2</v>
      </c>
    </row>
    <row r="727" spans="1:11" x14ac:dyDescent="0.25">
      <c r="A727" t="s">
        <v>9724</v>
      </c>
      <c r="C727" t="s">
        <v>9725</v>
      </c>
      <c r="D727" t="s">
        <v>8760</v>
      </c>
      <c r="E727" t="s">
        <v>6</v>
      </c>
      <c r="F727" t="s">
        <v>251</v>
      </c>
      <c r="G727">
        <v>32</v>
      </c>
      <c r="H727" s="2">
        <f>Tabelle13[[#This Row],[commits]]/Tabelle13[[#Totals],[commits]]</f>
        <v>1.4872929409358792E-4</v>
      </c>
      <c r="I727" s="5">
        <f>Tabelle13[[#This Row],[%]]+I726</f>
        <v>0.87971518340181121</v>
      </c>
      <c r="J727" s="4">
        <f t="shared" si="55"/>
        <v>1.105583195135434E-4</v>
      </c>
      <c r="K727" s="5">
        <f t="shared" si="56"/>
        <v>8.0154781647318304E-2</v>
      </c>
    </row>
    <row r="728" spans="1:11" x14ac:dyDescent="0.25">
      <c r="A728" t="s">
        <v>9726</v>
      </c>
      <c r="C728" t="s">
        <v>9727</v>
      </c>
      <c r="D728" t="s">
        <v>309</v>
      </c>
      <c r="E728" t="s">
        <v>6</v>
      </c>
      <c r="F728" t="s">
        <v>251</v>
      </c>
      <c r="G728">
        <v>32</v>
      </c>
      <c r="H728" s="2">
        <f>Tabelle13[[#This Row],[commits]]/Tabelle13[[#Totals],[commits]]</f>
        <v>1.4872929409358792E-4</v>
      </c>
      <c r="I728" s="5">
        <f>Tabelle13[[#This Row],[%]]+I727</f>
        <v>0.8798639126959048</v>
      </c>
      <c r="J728" s="4">
        <f t="shared" si="55"/>
        <v>1.105583195135434E-4</v>
      </c>
      <c r="K728" s="5">
        <f t="shared" si="56"/>
        <v>8.0265339966831842E-2</v>
      </c>
    </row>
    <row r="729" spans="1:11" x14ac:dyDescent="0.25">
      <c r="A729" t="s">
        <v>9728</v>
      </c>
      <c r="C729" t="s">
        <v>9729</v>
      </c>
      <c r="D729" t="s">
        <v>8760</v>
      </c>
      <c r="E729" t="s">
        <v>6</v>
      </c>
      <c r="F729" t="s">
        <v>251</v>
      </c>
      <c r="G729">
        <v>32</v>
      </c>
      <c r="H729" s="2">
        <f>Tabelle13[[#This Row],[commits]]/Tabelle13[[#Totals],[commits]]</f>
        <v>1.4872929409358792E-4</v>
      </c>
      <c r="I729" s="5">
        <f>Tabelle13[[#This Row],[%]]+I728</f>
        <v>0.8800126419899984</v>
      </c>
      <c r="J729" s="4">
        <f t="shared" si="55"/>
        <v>1.105583195135434E-4</v>
      </c>
      <c r="K729" s="5">
        <f t="shared" si="56"/>
        <v>8.0375898286345379E-2</v>
      </c>
    </row>
    <row r="730" spans="1:11" x14ac:dyDescent="0.25">
      <c r="A730" t="s">
        <v>9730</v>
      </c>
      <c r="C730" t="s">
        <v>9731</v>
      </c>
      <c r="D730" t="s">
        <v>5</v>
      </c>
      <c r="E730" t="s">
        <v>6</v>
      </c>
      <c r="F730" t="s">
        <v>251</v>
      </c>
      <c r="G730">
        <v>32</v>
      </c>
      <c r="H730" s="2">
        <f>Tabelle13[[#This Row],[commits]]/Tabelle13[[#Totals],[commits]]</f>
        <v>1.4872929409358792E-4</v>
      </c>
      <c r="I730" s="5">
        <f>Tabelle13[[#This Row],[%]]+I729</f>
        <v>0.880161371284092</v>
      </c>
      <c r="J730" s="4">
        <f t="shared" si="55"/>
        <v>1.105583195135434E-4</v>
      </c>
      <c r="K730" s="5">
        <f t="shared" si="56"/>
        <v>8.0486456605858916E-2</v>
      </c>
    </row>
    <row r="731" spans="1:11" x14ac:dyDescent="0.25">
      <c r="A731" t="s">
        <v>17138</v>
      </c>
      <c r="C731" t="s">
        <v>17139</v>
      </c>
      <c r="D731" t="s">
        <v>5</v>
      </c>
      <c r="E731" t="s">
        <v>6</v>
      </c>
      <c r="F731" t="s">
        <v>334</v>
      </c>
      <c r="G731">
        <v>32</v>
      </c>
      <c r="H731" s="2">
        <f>Tabelle13[[#This Row],[commits]]/Tabelle13[[#Totals],[commits]]</f>
        <v>1.4872929409358792E-4</v>
      </c>
      <c r="I731" s="5">
        <f>Tabelle13[[#This Row],[%]]+I730</f>
        <v>0.88031010057818559</v>
      </c>
      <c r="J731" s="4">
        <f t="shared" si="55"/>
        <v>1.105583195135434E-4</v>
      </c>
      <c r="K731" s="5">
        <f t="shared" si="56"/>
        <v>8.0597014925372454E-2</v>
      </c>
    </row>
    <row r="732" spans="1:11" x14ac:dyDescent="0.25">
      <c r="A732" t="s">
        <v>2453</v>
      </c>
      <c r="C732" t="s">
        <v>2454</v>
      </c>
      <c r="D732" t="s">
        <v>5</v>
      </c>
      <c r="E732" t="s">
        <v>6</v>
      </c>
      <c r="F732" t="s">
        <v>724</v>
      </c>
      <c r="G732">
        <v>31</v>
      </c>
      <c r="H732" s="2">
        <f>Tabelle13[[#This Row],[commits]]/Tabelle13[[#Totals],[commits]]</f>
        <v>1.4408150365316329E-4</v>
      </c>
      <c r="I732" s="5">
        <f>Tabelle13[[#This Row],[%]]+I731</f>
        <v>0.88045418208183879</v>
      </c>
      <c r="J732" s="4">
        <f t="shared" si="55"/>
        <v>1.105583195135434E-4</v>
      </c>
      <c r="K732" s="5">
        <f t="shared" si="56"/>
        <v>8.0707573244885991E-2</v>
      </c>
    </row>
    <row r="733" spans="1:11" x14ac:dyDescent="0.25">
      <c r="A733" t="s">
        <v>2455</v>
      </c>
      <c r="C733" t="s">
        <v>2456</v>
      </c>
      <c r="D733" t="s">
        <v>5</v>
      </c>
      <c r="E733" t="s">
        <v>6</v>
      </c>
      <c r="F733" t="s">
        <v>724</v>
      </c>
      <c r="G733">
        <v>31</v>
      </c>
      <c r="H733" s="2">
        <f>Tabelle13[[#This Row],[commits]]/Tabelle13[[#Totals],[commits]]</f>
        <v>1.4408150365316329E-4</v>
      </c>
      <c r="I733" s="5">
        <f>Tabelle13[[#This Row],[%]]+I732</f>
        <v>0.88059826358549198</v>
      </c>
      <c r="J733" s="4">
        <f t="shared" si="55"/>
        <v>1.105583195135434E-4</v>
      </c>
      <c r="K733" s="5">
        <f t="shared" si="56"/>
        <v>8.0818131564399528E-2</v>
      </c>
    </row>
    <row r="734" spans="1:11" x14ac:dyDescent="0.25">
      <c r="A734" t="s">
        <v>2457</v>
      </c>
      <c r="C734" t="s">
        <v>2458</v>
      </c>
      <c r="D734" t="s">
        <v>309</v>
      </c>
      <c r="E734" t="s">
        <v>6</v>
      </c>
      <c r="F734" t="s">
        <v>724</v>
      </c>
      <c r="G734">
        <v>31</v>
      </c>
      <c r="H734" s="2">
        <f>Tabelle13[[#This Row],[commits]]/Tabelle13[[#Totals],[commits]]</f>
        <v>1.4408150365316329E-4</v>
      </c>
      <c r="I734" s="5">
        <f>Tabelle13[[#This Row],[%]]+I733</f>
        <v>0.88074234508914517</v>
      </c>
      <c r="J734" s="4">
        <f t="shared" si="55"/>
        <v>1.105583195135434E-4</v>
      </c>
      <c r="K734" s="5">
        <f t="shared" si="56"/>
        <v>8.0928689883913066E-2</v>
      </c>
    </row>
    <row r="735" spans="1:11" x14ac:dyDescent="0.25">
      <c r="A735" t="s">
        <v>2459</v>
      </c>
      <c r="C735" t="s">
        <v>2460</v>
      </c>
      <c r="D735" t="s">
        <v>5</v>
      </c>
      <c r="E735" t="s">
        <v>6</v>
      </c>
      <c r="F735" t="s">
        <v>724</v>
      </c>
      <c r="G735">
        <v>31</v>
      </c>
      <c r="H735" s="2">
        <f>Tabelle13[[#This Row],[commits]]/Tabelle13[[#Totals],[commits]]</f>
        <v>1.4408150365316329E-4</v>
      </c>
      <c r="I735" s="5">
        <f>Tabelle13[[#This Row],[%]]+I734</f>
        <v>0.88088642659279837</v>
      </c>
      <c r="J735" s="4">
        <f t="shared" si="55"/>
        <v>1.105583195135434E-4</v>
      </c>
      <c r="K735" s="5">
        <f t="shared" si="56"/>
        <v>8.1039248203426603E-2</v>
      </c>
    </row>
    <row r="736" spans="1:11" x14ac:dyDescent="0.25">
      <c r="A736" t="s">
        <v>2461</v>
      </c>
      <c r="C736" t="s">
        <v>2462</v>
      </c>
      <c r="D736" t="s">
        <v>309</v>
      </c>
      <c r="E736" t="s">
        <v>6</v>
      </c>
      <c r="F736" t="s">
        <v>724</v>
      </c>
      <c r="G736">
        <v>31</v>
      </c>
      <c r="H736" s="2">
        <f>Tabelle13[[#This Row],[commits]]/Tabelle13[[#Totals],[commits]]</f>
        <v>1.4408150365316329E-4</v>
      </c>
      <c r="I736" s="5">
        <f>Tabelle13[[#This Row],[%]]+I735</f>
        <v>0.88103050809645156</v>
      </c>
      <c r="J736" s="4">
        <f t="shared" si="55"/>
        <v>1.105583195135434E-4</v>
      </c>
      <c r="K736" s="5">
        <f t="shared" si="56"/>
        <v>8.1149806522940141E-2</v>
      </c>
    </row>
    <row r="737" spans="1:11" x14ac:dyDescent="0.25">
      <c r="A737" t="s">
        <v>2463</v>
      </c>
      <c r="C737" t="s">
        <v>2464</v>
      </c>
      <c r="D737" t="s">
        <v>5</v>
      </c>
      <c r="E737" t="s">
        <v>6</v>
      </c>
      <c r="F737" t="s">
        <v>724</v>
      </c>
      <c r="G737">
        <v>31</v>
      </c>
      <c r="H737" s="2">
        <f>Tabelle13[[#This Row],[commits]]/Tabelle13[[#Totals],[commits]]</f>
        <v>1.4408150365316329E-4</v>
      </c>
      <c r="I737" s="5">
        <f>Tabelle13[[#This Row],[%]]+I736</f>
        <v>0.88117458960010475</v>
      </c>
      <c r="J737" s="4">
        <f t="shared" si="55"/>
        <v>1.105583195135434E-4</v>
      </c>
      <c r="K737" s="5">
        <f t="shared" si="56"/>
        <v>8.1260364842453678E-2</v>
      </c>
    </row>
    <row r="738" spans="1:11" x14ac:dyDescent="0.25">
      <c r="A738" t="s">
        <v>5242</v>
      </c>
      <c r="C738" t="s">
        <v>5243</v>
      </c>
      <c r="D738" t="s">
        <v>5</v>
      </c>
      <c r="E738" t="s">
        <v>6</v>
      </c>
      <c r="F738" t="s">
        <v>28</v>
      </c>
      <c r="G738">
        <v>31</v>
      </c>
      <c r="H738" s="2">
        <f>Tabelle13[[#This Row],[commits]]/Tabelle13[[#Totals],[commits]]</f>
        <v>1.4408150365316329E-4</v>
      </c>
      <c r="I738" s="5">
        <f>Tabelle13[[#This Row],[%]]+I737</f>
        <v>0.88131867110375794</v>
      </c>
      <c r="J738" s="4">
        <f t="shared" si="55"/>
        <v>1.105583195135434E-4</v>
      </c>
      <c r="K738" s="5">
        <f t="shared" si="56"/>
        <v>8.1370923161967215E-2</v>
      </c>
    </row>
    <row r="739" spans="1:11" x14ac:dyDescent="0.25">
      <c r="A739" t="s">
        <v>9732</v>
      </c>
      <c r="C739" t="s">
        <v>9733</v>
      </c>
      <c r="D739" t="s">
        <v>309</v>
      </c>
      <c r="E739" t="s">
        <v>6</v>
      </c>
      <c r="F739" t="s">
        <v>251</v>
      </c>
      <c r="G739">
        <v>31</v>
      </c>
      <c r="H739" s="2">
        <f>Tabelle13[[#This Row],[commits]]/Tabelle13[[#Totals],[commits]]</f>
        <v>1.4408150365316329E-4</v>
      </c>
      <c r="I739" s="5">
        <f>Tabelle13[[#This Row],[%]]+I738</f>
        <v>0.88146275260741114</v>
      </c>
      <c r="J739" s="4">
        <f t="shared" si="55"/>
        <v>1.105583195135434E-4</v>
      </c>
      <c r="K739" s="5">
        <f t="shared" si="56"/>
        <v>8.1481481481480753E-2</v>
      </c>
    </row>
    <row r="740" spans="1:11" x14ac:dyDescent="0.25">
      <c r="A740" t="s">
        <v>9734</v>
      </c>
      <c r="C740" t="s">
        <v>9735</v>
      </c>
      <c r="D740" t="s">
        <v>309</v>
      </c>
      <c r="E740" t="s">
        <v>6</v>
      </c>
      <c r="F740" t="s">
        <v>251</v>
      </c>
      <c r="G740">
        <v>31</v>
      </c>
      <c r="H740" s="2">
        <f>Tabelle13[[#This Row],[commits]]/Tabelle13[[#Totals],[commits]]</f>
        <v>1.4408150365316329E-4</v>
      </c>
      <c r="I740" s="5">
        <f>Tabelle13[[#This Row],[%]]+I739</f>
        <v>0.88160683411106433</v>
      </c>
      <c r="J740" s="4">
        <f t="shared" si="55"/>
        <v>1.105583195135434E-4</v>
      </c>
      <c r="K740" s="5">
        <f t="shared" si="56"/>
        <v>8.159203980099429E-2</v>
      </c>
    </row>
    <row r="741" spans="1:11" x14ac:dyDescent="0.25">
      <c r="A741" t="s">
        <v>9736</v>
      </c>
      <c r="C741" t="s">
        <v>9737</v>
      </c>
      <c r="D741" t="s">
        <v>309</v>
      </c>
      <c r="E741" t="s">
        <v>6</v>
      </c>
      <c r="F741" t="s">
        <v>251</v>
      </c>
      <c r="G741">
        <v>31</v>
      </c>
      <c r="H741" s="2">
        <f>Tabelle13[[#This Row],[commits]]/Tabelle13[[#Totals],[commits]]</f>
        <v>1.4408150365316329E-4</v>
      </c>
      <c r="I741" s="5">
        <f>Tabelle13[[#This Row],[%]]+I740</f>
        <v>0.88175091561471752</v>
      </c>
      <c r="J741" s="4">
        <f t="shared" si="55"/>
        <v>1.105583195135434E-4</v>
      </c>
      <c r="K741" s="5">
        <f t="shared" si="56"/>
        <v>8.1702598120507827E-2</v>
      </c>
    </row>
    <row r="742" spans="1:11" x14ac:dyDescent="0.25">
      <c r="A742" t="s">
        <v>9738</v>
      </c>
      <c r="C742" t="s">
        <v>9739</v>
      </c>
      <c r="D742" t="s">
        <v>309</v>
      </c>
      <c r="E742" t="s">
        <v>6</v>
      </c>
      <c r="F742" t="s">
        <v>251</v>
      </c>
      <c r="G742">
        <v>31</v>
      </c>
      <c r="H742" s="2">
        <f>Tabelle13[[#This Row],[commits]]/Tabelle13[[#Totals],[commits]]</f>
        <v>1.4408150365316329E-4</v>
      </c>
      <c r="I742" s="5">
        <f>Tabelle13[[#This Row],[%]]+I741</f>
        <v>0.88189499711837072</v>
      </c>
      <c r="J742" s="4">
        <f t="shared" si="55"/>
        <v>1.105583195135434E-4</v>
      </c>
      <c r="K742" s="5">
        <f t="shared" si="56"/>
        <v>8.1813156440021365E-2</v>
      </c>
    </row>
    <row r="743" spans="1:11" x14ac:dyDescent="0.25">
      <c r="A743" t="s">
        <v>9740</v>
      </c>
      <c r="C743" t="s">
        <v>9741</v>
      </c>
      <c r="D743" t="s">
        <v>309</v>
      </c>
      <c r="E743" t="s">
        <v>6</v>
      </c>
      <c r="F743" t="s">
        <v>251</v>
      </c>
      <c r="G743">
        <v>31</v>
      </c>
      <c r="H743" s="2">
        <f>Tabelle13[[#This Row],[commits]]/Tabelle13[[#Totals],[commits]]</f>
        <v>1.4408150365316329E-4</v>
      </c>
      <c r="I743" s="5">
        <f>Tabelle13[[#This Row],[%]]+I742</f>
        <v>0.88203907862202391</v>
      </c>
      <c r="J743" s="4">
        <f t="shared" si="55"/>
        <v>1.105583195135434E-4</v>
      </c>
      <c r="K743" s="5">
        <f t="shared" si="56"/>
        <v>8.1923714759534902E-2</v>
      </c>
    </row>
    <row r="744" spans="1:11" x14ac:dyDescent="0.25">
      <c r="A744" t="s">
        <v>9742</v>
      </c>
      <c r="C744" t="s">
        <v>9743</v>
      </c>
      <c r="D744" t="s">
        <v>309</v>
      </c>
      <c r="E744" t="s">
        <v>6</v>
      </c>
      <c r="F744" t="s">
        <v>251</v>
      </c>
      <c r="G744">
        <v>31</v>
      </c>
      <c r="H744" s="2">
        <f>Tabelle13[[#This Row],[commits]]/Tabelle13[[#Totals],[commits]]</f>
        <v>1.4408150365316329E-4</v>
      </c>
      <c r="I744" s="5">
        <f>Tabelle13[[#This Row],[%]]+I743</f>
        <v>0.8821831601256771</v>
      </c>
      <c r="J744" s="4">
        <f t="shared" si="55"/>
        <v>1.105583195135434E-4</v>
      </c>
      <c r="K744" s="5">
        <f t="shared" si="56"/>
        <v>8.2034273079048439E-2</v>
      </c>
    </row>
    <row r="745" spans="1:11" x14ac:dyDescent="0.25">
      <c r="A745" t="s">
        <v>9744</v>
      </c>
      <c r="C745" t="s">
        <v>9745</v>
      </c>
      <c r="D745" t="s">
        <v>309</v>
      </c>
      <c r="E745" t="s">
        <v>6</v>
      </c>
      <c r="F745" t="s">
        <v>251</v>
      </c>
      <c r="G745">
        <v>31</v>
      </c>
      <c r="H745" s="2">
        <f>Tabelle13[[#This Row],[commits]]/Tabelle13[[#Totals],[commits]]</f>
        <v>1.4408150365316329E-4</v>
      </c>
      <c r="I745" s="5">
        <f>Tabelle13[[#This Row],[%]]+I744</f>
        <v>0.88232724162933029</v>
      </c>
      <c r="J745" s="4">
        <f t="shared" si="55"/>
        <v>1.105583195135434E-4</v>
      </c>
      <c r="K745" s="5">
        <f t="shared" si="56"/>
        <v>8.2144831398561977E-2</v>
      </c>
    </row>
    <row r="746" spans="1:11" x14ac:dyDescent="0.25">
      <c r="A746" t="s">
        <v>9746</v>
      </c>
      <c r="C746" t="s">
        <v>9747</v>
      </c>
      <c r="D746" t="s">
        <v>5</v>
      </c>
      <c r="E746" t="s">
        <v>6</v>
      </c>
      <c r="F746" t="s">
        <v>251</v>
      </c>
      <c r="G746">
        <v>31</v>
      </c>
      <c r="H746" s="2">
        <f>Tabelle13[[#This Row],[commits]]/Tabelle13[[#Totals],[commits]]</f>
        <v>1.4408150365316329E-4</v>
      </c>
      <c r="I746" s="5">
        <f>Tabelle13[[#This Row],[%]]+I745</f>
        <v>0.88247132313298349</v>
      </c>
      <c r="J746" s="4">
        <f t="shared" si="55"/>
        <v>1.105583195135434E-4</v>
      </c>
      <c r="K746" s="5">
        <f t="shared" si="56"/>
        <v>8.2255389718075514E-2</v>
      </c>
    </row>
    <row r="747" spans="1:11" x14ac:dyDescent="0.25">
      <c r="A747" t="s">
        <v>9748</v>
      </c>
      <c r="C747" t="s">
        <v>9749</v>
      </c>
      <c r="D747" t="s">
        <v>5</v>
      </c>
      <c r="E747" t="s">
        <v>6</v>
      </c>
      <c r="F747" t="s">
        <v>251</v>
      </c>
      <c r="G747">
        <v>31</v>
      </c>
      <c r="H747" s="2">
        <f>Tabelle13[[#This Row],[commits]]/Tabelle13[[#Totals],[commits]]</f>
        <v>1.4408150365316329E-4</v>
      </c>
      <c r="I747" s="5">
        <f>Tabelle13[[#This Row],[%]]+I746</f>
        <v>0.88261540463663668</v>
      </c>
      <c r="J747" s="4">
        <f t="shared" si="55"/>
        <v>1.105583195135434E-4</v>
      </c>
      <c r="K747" s="5">
        <f t="shared" si="56"/>
        <v>8.2365948037589051E-2</v>
      </c>
    </row>
    <row r="748" spans="1:11" x14ac:dyDescent="0.25">
      <c r="A748" t="s">
        <v>9750</v>
      </c>
      <c r="C748" t="s">
        <v>9751</v>
      </c>
      <c r="D748" t="s">
        <v>9752</v>
      </c>
      <c r="E748" t="s">
        <v>6</v>
      </c>
      <c r="F748" t="s">
        <v>251</v>
      </c>
      <c r="G748">
        <v>31</v>
      </c>
      <c r="H748" s="2">
        <f>Tabelle13[[#This Row],[commits]]/Tabelle13[[#Totals],[commits]]</f>
        <v>1.4408150365316329E-4</v>
      </c>
      <c r="I748" s="5">
        <f>Tabelle13[[#This Row],[%]]+I747</f>
        <v>0.88275948614028987</v>
      </c>
      <c r="J748" s="4">
        <f t="shared" si="55"/>
        <v>1.105583195135434E-4</v>
      </c>
      <c r="K748" s="5">
        <f t="shared" si="56"/>
        <v>8.2476506357102589E-2</v>
      </c>
    </row>
    <row r="749" spans="1:11" x14ac:dyDescent="0.25">
      <c r="A749" t="s">
        <v>9753</v>
      </c>
      <c r="C749" t="s">
        <v>9754</v>
      </c>
      <c r="D749" t="s">
        <v>5</v>
      </c>
      <c r="E749" t="s">
        <v>6</v>
      </c>
      <c r="F749" t="s">
        <v>251</v>
      </c>
      <c r="G749">
        <v>31</v>
      </c>
      <c r="H749" s="2">
        <f>Tabelle13[[#This Row],[commits]]/Tabelle13[[#Totals],[commits]]</f>
        <v>1.4408150365316329E-4</v>
      </c>
      <c r="I749" s="5">
        <f>Tabelle13[[#This Row],[%]]+I748</f>
        <v>0.88290356764394307</v>
      </c>
      <c r="J749" s="4">
        <f t="shared" si="55"/>
        <v>1.105583195135434E-4</v>
      </c>
      <c r="K749" s="5">
        <f t="shared" si="56"/>
        <v>8.2587064676616126E-2</v>
      </c>
    </row>
    <row r="750" spans="1:11" x14ac:dyDescent="0.25">
      <c r="A750" t="s">
        <v>9755</v>
      </c>
      <c r="C750" t="s">
        <v>9756</v>
      </c>
      <c r="D750" t="s">
        <v>5</v>
      </c>
      <c r="E750" t="s">
        <v>6</v>
      </c>
      <c r="F750" t="s">
        <v>251</v>
      </c>
      <c r="G750">
        <v>31</v>
      </c>
      <c r="H750" s="2">
        <f>Tabelle13[[#This Row],[commits]]/Tabelle13[[#Totals],[commits]]</f>
        <v>1.4408150365316329E-4</v>
      </c>
      <c r="I750" s="5">
        <f>Tabelle13[[#This Row],[%]]+I749</f>
        <v>0.88304764914759626</v>
      </c>
      <c r="J750" s="4">
        <f t="shared" si="55"/>
        <v>1.105583195135434E-4</v>
      </c>
      <c r="K750" s="5">
        <f t="shared" si="56"/>
        <v>8.2697622996129663E-2</v>
      </c>
    </row>
    <row r="751" spans="1:11" x14ac:dyDescent="0.25">
      <c r="A751" t="s">
        <v>9757</v>
      </c>
      <c r="C751" t="s">
        <v>9758</v>
      </c>
      <c r="D751" t="s">
        <v>5</v>
      </c>
      <c r="E751" t="s">
        <v>6</v>
      </c>
      <c r="F751" t="s">
        <v>251</v>
      </c>
      <c r="G751">
        <v>31</v>
      </c>
      <c r="H751" s="2">
        <f>Tabelle13[[#This Row],[commits]]/Tabelle13[[#Totals],[commits]]</f>
        <v>1.4408150365316329E-4</v>
      </c>
      <c r="I751" s="5">
        <f>Tabelle13[[#This Row],[%]]+I750</f>
        <v>0.88319173065124945</v>
      </c>
      <c r="J751" s="4">
        <f t="shared" si="55"/>
        <v>1.105583195135434E-4</v>
      </c>
      <c r="K751" s="5">
        <f t="shared" si="56"/>
        <v>8.2808181315643201E-2</v>
      </c>
    </row>
    <row r="752" spans="1:11" x14ac:dyDescent="0.25">
      <c r="A752" t="s">
        <v>2465</v>
      </c>
      <c r="C752" t="s">
        <v>26</v>
      </c>
      <c r="D752" t="s">
        <v>5</v>
      </c>
      <c r="E752" t="s">
        <v>6</v>
      </c>
      <c r="F752" t="s">
        <v>724</v>
      </c>
      <c r="G752">
        <v>30</v>
      </c>
      <c r="H752" s="2">
        <f>Tabelle13[[#This Row],[commits]]/Tabelle13[[#Totals],[commits]]</f>
        <v>1.3943371321273866E-4</v>
      </c>
      <c r="I752" s="5">
        <f>Tabelle13[[#This Row],[%]]+I751</f>
        <v>0.88333116436446224</v>
      </c>
      <c r="J752" s="4">
        <f t="shared" si="55"/>
        <v>1.105583195135434E-4</v>
      </c>
      <c r="K752" s="5">
        <f t="shared" si="56"/>
        <v>8.2918739635156738E-2</v>
      </c>
    </row>
    <row r="753" spans="1:11" x14ac:dyDescent="0.25">
      <c r="A753" t="s">
        <v>2466</v>
      </c>
      <c r="C753" t="s">
        <v>2467</v>
      </c>
      <c r="D753" t="s">
        <v>309</v>
      </c>
      <c r="E753" t="s">
        <v>6</v>
      </c>
      <c r="F753" t="s">
        <v>724</v>
      </c>
      <c r="G753">
        <v>30</v>
      </c>
      <c r="H753" s="2">
        <f>Tabelle13[[#This Row],[commits]]/Tabelle13[[#Totals],[commits]]</f>
        <v>1.3943371321273866E-4</v>
      </c>
      <c r="I753" s="5">
        <f>Tabelle13[[#This Row],[%]]+I752</f>
        <v>0.88347059807767503</v>
      </c>
      <c r="J753" s="4">
        <f t="shared" si="55"/>
        <v>1.105583195135434E-4</v>
      </c>
      <c r="K753" s="5">
        <f t="shared" si="56"/>
        <v>8.3029297954670275E-2</v>
      </c>
    </row>
    <row r="754" spans="1:11" x14ac:dyDescent="0.25">
      <c r="A754" t="s">
        <v>5244</v>
      </c>
      <c r="C754" t="s">
        <v>5245</v>
      </c>
      <c r="D754" t="s">
        <v>5175</v>
      </c>
      <c r="E754" t="s">
        <v>6</v>
      </c>
      <c r="F754" t="s">
        <v>28</v>
      </c>
      <c r="G754">
        <v>30</v>
      </c>
      <c r="H754" s="2">
        <f>Tabelle13[[#This Row],[commits]]/Tabelle13[[#Totals],[commits]]</f>
        <v>1.3943371321273866E-4</v>
      </c>
      <c r="I754" s="5">
        <f>Tabelle13[[#This Row],[%]]+I753</f>
        <v>0.88361003179088782</v>
      </c>
      <c r="J754" s="4">
        <f t="shared" si="55"/>
        <v>1.105583195135434E-4</v>
      </c>
      <c r="K754" s="5">
        <f t="shared" si="56"/>
        <v>8.3139856274183813E-2</v>
      </c>
    </row>
    <row r="755" spans="1:11" x14ac:dyDescent="0.25">
      <c r="A755" t="s">
        <v>9759</v>
      </c>
      <c r="C755" t="s">
        <v>9760</v>
      </c>
      <c r="D755" t="s">
        <v>8948</v>
      </c>
      <c r="E755" t="s">
        <v>6</v>
      </c>
      <c r="F755" t="s">
        <v>251</v>
      </c>
      <c r="G755">
        <v>30</v>
      </c>
      <c r="H755" s="2">
        <f>Tabelle13[[#This Row],[commits]]/Tabelle13[[#Totals],[commits]]</f>
        <v>1.3943371321273866E-4</v>
      </c>
      <c r="I755" s="5">
        <f>Tabelle13[[#This Row],[%]]+I754</f>
        <v>0.88374946550410061</v>
      </c>
      <c r="J755" s="4">
        <f t="shared" si="55"/>
        <v>1.105583195135434E-4</v>
      </c>
      <c r="K755" s="5">
        <f t="shared" si="56"/>
        <v>8.325041459369735E-2</v>
      </c>
    </row>
    <row r="756" spans="1:11" x14ac:dyDescent="0.25">
      <c r="A756" t="s">
        <v>9761</v>
      </c>
      <c r="C756" t="s">
        <v>9762</v>
      </c>
      <c r="D756" t="s">
        <v>309</v>
      </c>
      <c r="E756" t="s">
        <v>6</v>
      </c>
      <c r="F756" t="s">
        <v>251</v>
      </c>
      <c r="G756">
        <v>30</v>
      </c>
      <c r="H756" s="2">
        <f>Tabelle13[[#This Row],[commits]]/Tabelle13[[#Totals],[commits]]</f>
        <v>1.3943371321273866E-4</v>
      </c>
      <c r="I756" s="5">
        <f>Tabelle13[[#This Row],[%]]+I755</f>
        <v>0.8838888992173134</v>
      </c>
      <c r="J756" s="4">
        <f t="shared" si="55"/>
        <v>1.105583195135434E-4</v>
      </c>
      <c r="K756" s="5">
        <f t="shared" si="56"/>
        <v>8.3360972913210887E-2</v>
      </c>
    </row>
    <row r="757" spans="1:11" x14ac:dyDescent="0.25">
      <c r="A757" t="s">
        <v>9763</v>
      </c>
      <c r="C757" t="s">
        <v>9764</v>
      </c>
      <c r="D757" t="s">
        <v>8325</v>
      </c>
      <c r="E757" t="s">
        <v>6</v>
      </c>
      <c r="F757" t="s">
        <v>251</v>
      </c>
      <c r="G757">
        <v>30</v>
      </c>
      <c r="H757" s="2">
        <f>Tabelle13[[#This Row],[commits]]/Tabelle13[[#Totals],[commits]]</f>
        <v>1.3943371321273866E-4</v>
      </c>
      <c r="I757" s="5">
        <f>Tabelle13[[#This Row],[%]]+I756</f>
        <v>0.88402833293052618</v>
      </c>
      <c r="J757" s="4">
        <f t="shared" si="55"/>
        <v>1.105583195135434E-4</v>
      </c>
      <c r="K757" s="5">
        <f t="shared" si="56"/>
        <v>8.3471531232724425E-2</v>
      </c>
    </row>
    <row r="758" spans="1:11" x14ac:dyDescent="0.25">
      <c r="A758" t="s">
        <v>9765</v>
      </c>
      <c r="C758" t="s">
        <v>9766</v>
      </c>
      <c r="D758" t="s">
        <v>5</v>
      </c>
      <c r="E758" t="s">
        <v>6</v>
      </c>
      <c r="F758" t="s">
        <v>251</v>
      </c>
      <c r="G758">
        <v>30</v>
      </c>
      <c r="H758" s="2">
        <f>Tabelle13[[#This Row],[commits]]/Tabelle13[[#Totals],[commits]]</f>
        <v>1.3943371321273866E-4</v>
      </c>
      <c r="I758" s="5">
        <f>Tabelle13[[#This Row],[%]]+I757</f>
        <v>0.88416776664373897</v>
      </c>
      <c r="J758" s="4">
        <f t="shared" si="55"/>
        <v>1.105583195135434E-4</v>
      </c>
      <c r="K758" s="5">
        <f t="shared" si="56"/>
        <v>8.3582089552237962E-2</v>
      </c>
    </row>
    <row r="759" spans="1:11" x14ac:dyDescent="0.25">
      <c r="A759" t="s">
        <v>9767</v>
      </c>
      <c r="C759" t="s">
        <v>9768</v>
      </c>
      <c r="D759" t="s">
        <v>309</v>
      </c>
      <c r="E759" t="s">
        <v>6</v>
      </c>
      <c r="F759" t="s">
        <v>251</v>
      </c>
      <c r="G759">
        <v>30</v>
      </c>
      <c r="H759" s="2">
        <f>Tabelle13[[#This Row],[commits]]/Tabelle13[[#Totals],[commits]]</f>
        <v>1.3943371321273866E-4</v>
      </c>
      <c r="I759" s="5">
        <f>Tabelle13[[#This Row],[%]]+I758</f>
        <v>0.88430720035695176</v>
      </c>
      <c r="J759" s="4">
        <f t="shared" si="55"/>
        <v>1.105583195135434E-4</v>
      </c>
      <c r="K759" s="5">
        <f t="shared" si="56"/>
        <v>8.3692647871751499E-2</v>
      </c>
    </row>
    <row r="760" spans="1:11" x14ac:dyDescent="0.25">
      <c r="A760" t="s">
        <v>9769</v>
      </c>
      <c r="C760" t="s">
        <v>9770</v>
      </c>
      <c r="D760" t="s">
        <v>309</v>
      </c>
      <c r="E760" t="s">
        <v>6</v>
      </c>
      <c r="F760" t="s">
        <v>251</v>
      </c>
      <c r="G760">
        <v>30</v>
      </c>
      <c r="H760" s="2">
        <f>Tabelle13[[#This Row],[commits]]/Tabelle13[[#Totals],[commits]]</f>
        <v>1.3943371321273866E-4</v>
      </c>
      <c r="I760" s="5">
        <f>Tabelle13[[#This Row],[%]]+I759</f>
        <v>0.88444663407016455</v>
      </c>
      <c r="J760" s="4">
        <f t="shared" si="55"/>
        <v>1.105583195135434E-4</v>
      </c>
      <c r="K760" s="5">
        <f t="shared" si="56"/>
        <v>8.3803206191265037E-2</v>
      </c>
    </row>
    <row r="761" spans="1:11" x14ac:dyDescent="0.25">
      <c r="A761" t="s">
        <v>9771</v>
      </c>
      <c r="C761" t="s">
        <v>9772</v>
      </c>
      <c r="D761" t="s">
        <v>9773</v>
      </c>
      <c r="E761" t="s">
        <v>6</v>
      </c>
      <c r="F761" t="s">
        <v>251</v>
      </c>
      <c r="G761">
        <v>30</v>
      </c>
      <c r="H761" s="2">
        <f>Tabelle13[[#This Row],[commits]]/Tabelle13[[#Totals],[commits]]</f>
        <v>1.3943371321273866E-4</v>
      </c>
      <c r="I761" s="5">
        <f>Tabelle13[[#This Row],[%]]+I760</f>
        <v>0.88458606778337734</v>
      </c>
      <c r="J761" s="4">
        <f t="shared" si="55"/>
        <v>1.105583195135434E-4</v>
      </c>
      <c r="K761" s="5">
        <f t="shared" si="56"/>
        <v>8.3913764510778574E-2</v>
      </c>
    </row>
    <row r="762" spans="1:11" x14ac:dyDescent="0.25">
      <c r="A762" t="s">
        <v>9774</v>
      </c>
      <c r="C762" t="s">
        <v>9775</v>
      </c>
      <c r="D762" t="s">
        <v>309</v>
      </c>
      <c r="E762" t="s">
        <v>6</v>
      </c>
      <c r="F762" t="s">
        <v>251</v>
      </c>
      <c r="G762">
        <v>30</v>
      </c>
      <c r="H762" s="2">
        <f>Tabelle13[[#This Row],[commits]]/Tabelle13[[#Totals],[commits]]</f>
        <v>1.3943371321273866E-4</v>
      </c>
      <c r="I762" s="5">
        <f>Tabelle13[[#This Row],[%]]+I761</f>
        <v>0.88472550149659013</v>
      </c>
      <c r="J762" s="4">
        <f t="shared" si="55"/>
        <v>1.105583195135434E-4</v>
      </c>
      <c r="K762" s="5">
        <f t="shared" si="56"/>
        <v>8.4024322830292111E-2</v>
      </c>
    </row>
    <row r="763" spans="1:11" x14ac:dyDescent="0.25">
      <c r="A763" t="s">
        <v>9776</v>
      </c>
      <c r="C763" t="s">
        <v>9777</v>
      </c>
      <c r="D763" t="s">
        <v>309</v>
      </c>
      <c r="E763" t="s">
        <v>6</v>
      </c>
      <c r="F763" t="s">
        <v>251</v>
      </c>
      <c r="G763">
        <v>30</v>
      </c>
      <c r="H763" s="2">
        <f>Tabelle13[[#This Row],[commits]]/Tabelle13[[#Totals],[commits]]</f>
        <v>1.3943371321273866E-4</v>
      </c>
      <c r="I763" s="5">
        <f>Tabelle13[[#This Row],[%]]+I762</f>
        <v>0.88486493520980292</v>
      </c>
      <c r="J763" s="4">
        <f t="shared" si="55"/>
        <v>1.105583195135434E-4</v>
      </c>
      <c r="K763" s="5">
        <f t="shared" si="56"/>
        <v>8.4134881149805649E-2</v>
      </c>
    </row>
    <row r="764" spans="1:11" x14ac:dyDescent="0.25">
      <c r="A764" t="s">
        <v>9778</v>
      </c>
      <c r="C764" t="s">
        <v>9779</v>
      </c>
      <c r="D764" t="s">
        <v>5</v>
      </c>
      <c r="E764" t="s">
        <v>6</v>
      </c>
      <c r="F764" t="s">
        <v>251</v>
      </c>
      <c r="G764">
        <v>30</v>
      </c>
      <c r="H764" s="2">
        <f>Tabelle13[[#This Row],[commits]]/Tabelle13[[#Totals],[commits]]</f>
        <v>1.3943371321273866E-4</v>
      </c>
      <c r="I764" s="5">
        <f>Tabelle13[[#This Row],[%]]+I763</f>
        <v>0.88500436892301571</v>
      </c>
      <c r="J764" s="4">
        <f t="shared" si="55"/>
        <v>1.105583195135434E-4</v>
      </c>
      <c r="K764" s="5">
        <f t="shared" si="56"/>
        <v>8.4245439469319186E-2</v>
      </c>
    </row>
    <row r="765" spans="1:11" x14ac:dyDescent="0.25">
      <c r="A765" t="s">
        <v>9780</v>
      </c>
      <c r="C765" t="s">
        <v>9781</v>
      </c>
      <c r="D765" t="s">
        <v>9062</v>
      </c>
      <c r="E765" t="s">
        <v>6</v>
      </c>
      <c r="F765" t="s">
        <v>251</v>
      </c>
      <c r="G765">
        <v>30</v>
      </c>
      <c r="H765" s="2">
        <f>Tabelle13[[#This Row],[commits]]/Tabelle13[[#Totals],[commits]]</f>
        <v>1.3943371321273866E-4</v>
      </c>
      <c r="I765" s="5">
        <f>Tabelle13[[#This Row],[%]]+I764</f>
        <v>0.88514380263622849</v>
      </c>
      <c r="J765" s="4">
        <f t="shared" si="55"/>
        <v>1.105583195135434E-4</v>
      </c>
      <c r="K765" s="5">
        <f t="shared" si="56"/>
        <v>8.4355997788832723E-2</v>
      </c>
    </row>
    <row r="766" spans="1:11" x14ac:dyDescent="0.25">
      <c r="A766" t="s">
        <v>9782</v>
      </c>
      <c r="C766" t="s">
        <v>9037</v>
      </c>
      <c r="D766" t="s">
        <v>5</v>
      </c>
      <c r="E766" t="s">
        <v>6</v>
      </c>
      <c r="F766" t="s">
        <v>251</v>
      </c>
      <c r="G766">
        <v>30</v>
      </c>
      <c r="H766" s="2">
        <f>Tabelle13[[#This Row],[commits]]/Tabelle13[[#Totals],[commits]]</f>
        <v>1.3943371321273866E-4</v>
      </c>
      <c r="I766" s="5">
        <f>Tabelle13[[#This Row],[%]]+I765</f>
        <v>0.88528323634944128</v>
      </c>
      <c r="J766" s="4">
        <f t="shared" si="55"/>
        <v>1.105583195135434E-4</v>
      </c>
      <c r="K766" s="5">
        <f t="shared" si="56"/>
        <v>8.4466556108346261E-2</v>
      </c>
    </row>
    <row r="767" spans="1:11" x14ac:dyDescent="0.25">
      <c r="A767" t="s">
        <v>9783</v>
      </c>
      <c r="C767" t="s">
        <v>9784</v>
      </c>
      <c r="D767" t="s">
        <v>309</v>
      </c>
      <c r="E767" t="s">
        <v>6</v>
      </c>
      <c r="F767" t="s">
        <v>251</v>
      </c>
      <c r="G767">
        <v>30</v>
      </c>
      <c r="H767" s="2">
        <f>Tabelle13[[#This Row],[commits]]/Tabelle13[[#Totals],[commits]]</f>
        <v>1.3943371321273866E-4</v>
      </c>
      <c r="I767" s="5">
        <f>Tabelle13[[#This Row],[%]]+I766</f>
        <v>0.88542267006265407</v>
      </c>
      <c r="J767" s="4">
        <f t="shared" si="55"/>
        <v>1.105583195135434E-4</v>
      </c>
      <c r="K767" s="5">
        <f t="shared" si="56"/>
        <v>8.4577114427859798E-2</v>
      </c>
    </row>
    <row r="768" spans="1:11" x14ac:dyDescent="0.25">
      <c r="A768" t="s">
        <v>75</v>
      </c>
      <c r="C768" t="s">
        <v>76</v>
      </c>
      <c r="D768" t="s">
        <v>5</v>
      </c>
      <c r="E768" t="s">
        <v>6</v>
      </c>
      <c r="F768" t="s">
        <v>7</v>
      </c>
      <c r="G768">
        <v>29</v>
      </c>
      <c r="H768" s="2">
        <f>Tabelle13[[#This Row],[commits]]/Tabelle13[[#Totals],[commits]]</f>
        <v>1.3478592277231405E-4</v>
      </c>
      <c r="I768" s="5">
        <f>Tabelle13[[#This Row],[%]]+I767</f>
        <v>0.88555745598542635</v>
      </c>
      <c r="J768" s="4">
        <f t="shared" si="55"/>
        <v>1.105583195135434E-4</v>
      </c>
      <c r="K768" s="5">
        <f t="shared" si="56"/>
        <v>8.4687672747373335E-2</v>
      </c>
    </row>
    <row r="769" spans="1:11" x14ac:dyDescent="0.25">
      <c r="A769" t="s">
        <v>2468</v>
      </c>
      <c r="C769" t="s">
        <v>2469</v>
      </c>
      <c r="D769" t="s">
        <v>5</v>
      </c>
      <c r="E769" t="s">
        <v>6</v>
      </c>
      <c r="F769" t="s">
        <v>724</v>
      </c>
      <c r="G769">
        <v>29</v>
      </c>
      <c r="H769" s="2">
        <f>Tabelle13[[#This Row],[commits]]/Tabelle13[[#Totals],[commits]]</f>
        <v>1.3478592277231405E-4</v>
      </c>
      <c r="I769" s="5">
        <f>Tabelle13[[#This Row],[%]]+I768</f>
        <v>0.88569224190819862</v>
      </c>
      <c r="J769" s="4">
        <f t="shared" si="55"/>
        <v>1.105583195135434E-4</v>
      </c>
      <c r="K769" s="5">
        <f t="shared" si="56"/>
        <v>8.4798231066886873E-2</v>
      </c>
    </row>
    <row r="770" spans="1:11" x14ac:dyDescent="0.25">
      <c r="A770" t="s">
        <v>2470</v>
      </c>
      <c r="C770" t="s">
        <v>2471</v>
      </c>
      <c r="D770" t="s">
        <v>309</v>
      </c>
      <c r="E770" t="s">
        <v>6</v>
      </c>
      <c r="F770" t="s">
        <v>724</v>
      </c>
      <c r="G770">
        <v>29</v>
      </c>
      <c r="H770" s="2">
        <f>Tabelle13[[#This Row],[commits]]/Tabelle13[[#Totals],[commits]]</f>
        <v>1.3478592277231405E-4</v>
      </c>
      <c r="I770" s="5">
        <f>Tabelle13[[#This Row],[%]]+I769</f>
        <v>0.88582702783097089</v>
      </c>
      <c r="J770" s="4">
        <f t="shared" si="55"/>
        <v>1.105583195135434E-4</v>
      </c>
      <c r="K770" s="5">
        <f t="shared" si="56"/>
        <v>8.490878938640041E-2</v>
      </c>
    </row>
    <row r="771" spans="1:11" x14ac:dyDescent="0.25">
      <c r="A771" t="s">
        <v>2472</v>
      </c>
      <c r="C771" t="s">
        <v>2473</v>
      </c>
      <c r="D771" t="s">
        <v>5</v>
      </c>
      <c r="E771" t="s">
        <v>6</v>
      </c>
      <c r="F771" t="s">
        <v>724</v>
      </c>
      <c r="G771">
        <v>29</v>
      </c>
      <c r="H771" s="2">
        <f>Tabelle13[[#This Row],[commits]]/Tabelle13[[#Totals],[commits]]</f>
        <v>1.3478592277231405E-4</v>
      </c>
      <c r="I771" s="5">
        <f>Tabelle13[[#This Row],[%]]+I770</f>
        <v>0.88596181375374317</v>
      </c>
      <c r="J771" s="4">
        <f t="shared" ref="J771:J834" si="57">1/9045</f>
        <v>1.105583195135434E-4</v>
      </c>
      <c r="K771" s="5">
        <f t="shared" si="56"/>
        <v>8.5019347705913947E-2</v>
      </c>
    </row>
    <row r="772" spans="1:11" x14ac:dyDescent="0.25">
      <c r="A772" t="s">
        <v>5246</v>
      </c>
      <c r="C772" t="s">
        <v>5247</v>
      </c>
      <c r="D772" t="s">
        <v>5</v>
      </c>
      <c r="E772" t="s">
        <v>6</v>
      </c>
      <c r="F772" t="s">
        <v>28</v>
      </c>
      <c r="G772">
        <v>29</v>
      </c>
      <c r="H772" s="2">
        <f>Tabelle13[[#This Row],[commits]]/Tabelle13[[#Totals],[commits]]</f>
        <v>1.3478592277231405E-4</v>
      </c>
      <c r="I772" s="5">
        <f>Tabelle13[[#This Row],[%]]+I771</f>
        <v>0.88609659967651544</v>
      </c>
      <c r="J772" s="4">
        <f t="shared" si="57"/>
        <v>1.105583195135434E-4</v>
      </c>
      <c r="K772" s="5">
        <f t="shared" si="56"/>
        <v>8.5129906025427485E-2</v>
      </c>
    </row>
    <row r="773" spans="1:11" x14ac:dyDescent="0.25">
      <c r="A773" t="s">
        <v>5248</v>
      </c>
      <c r="C773" t="s">
        <v>5249</v>
      </c>
      <c r="D773" t="s">
        <v>5175</v>
      </c>
      <c r="E773" t="s">
        <v>6</v>
      </c>
      <c r="F773" t="s">
        <v>28</v>
      </c>
      <c r="G773">
        <v>29</v>
      </c>
      <c r="H773" s="2">
        <f>Tabelle13[[#This Row],[commits]]/Tabelle13[[#Totals],[commits]]</f>
        <v>1.3478592277231405E-4</v>
      </c>
      <c r="I773" s="5">
        <f>Tabelle13[[#This Row],[%]]+I772</f>
        <v>0.88623138559928771</v>
      </c>
      <c r="J773" s="4">
        <f t="shared" si="57"/>
        <v>1.105583195135434E-4</v>
      </c>
      <c r="K773" s="5">
        <f t="shared" si="56"/>
        <v>8.5240464344941022E-2</v>
      </c>
    </row>
    <row r="774" spans="1:11" x14ac:dyDescent="0.25">
      <c r="A774" t="s">
        <v>9785</v>
      </c>
      <c r="C774" t="s">
        <v>9786</v>
      </c>
      <c r="D774" t="s">
        <v>8948</v>
      </c>
      <c r="E774" t="s">
        <v>6</v>
      </c>
      <c r="F774" t="s">
        <v>251</v>
      </c>
      <c r="G774">
        <v>29</v>
      </c>
      <c r="H774" s="2">
        <f>Tabelle13[[#This Row],[commits]]/Tabelle13[[#Totals],[commits]]</f>
        <v>1.3478592277231405E-4</v>
      </c>
      <c r="I774" s="5">
        <f>Tabelle13[[#This Row],[%]]+I773</f>
        <v>0.88636617152205999</v>
      </c>
      <c r="J774" s="4">
        <f t="shared" si="57"/>
        <v>1.105583195135434E-4</v>
      </c>
      <c r="K774" s="5">
        <f t="shared" ref="K774:K837" si="58">J774+K773</f>
        <v>8.5351022664454559E-2</v>
      </c>
    </row>
    <row r="775" spans="1:11" x14ac:dyDescent="0.25">
      <c r="A775" t="s">
        <v>9787</v>
      </c>
      <c r="C775" t="s">
        <v>9788</v>
      </c>
      <c r="D775" t="s">
        <v>5</v>
      </c>
      <c r="E775" t="s">
        <v>6</v>
      </c>
      <c r="F775" t="s">
        <v>251</v>
      </c>
      <c r="G775">
        <v>29</v>
      </c>
      <c r="H775" s="2">
        <f>Tabelle13[[#This Row],[commits]]/Tabelle13[[#Totals],[commits]]</f>
        <v>1.3478592277231405E-4</v>
      </c>
      <c r="I775" s="5">
        <f>Tabelle13[[#This Row],[%]]+I774</f>
        <v>0.88650095744483226</v>
      </c>
      <c r="J775" s="4">
        <f t="shared" si="57"/>
        <v>1.105583195135434E-4</v>
      </c>
      <c r="K775" s="5">
        <f t="shared" si="58"/>
        <v>8.5461580983968097E-2</v>
      </c>
    </row>
    <row r="776" spans="1:11" x14ac:dyDescent="0.25">
      <c r="A776" t="s">
        <v>9789</v>
      </c>
      <c r="C776" t="s">
        <v>9790</v>
      </c>
      <c r="D776" t="s">
        <v>309</v>
      </c>
      <c r="E776" t="s">
        <v>6</v>
      </c>
      <c r="F776" t="s">
        <v>251</v>
      </c>
      <c r="G776">
        <v>29</v>
      </c>
      <c r="H776" s="2">
        <f>Tabelle13[[#This Row],[commits]]/Tabelle13[[#Totals],[commits]]</f>
        <v>1.3478592277231405E-4</v>
      </c>
      <c r="I776" s="5">
        <f>Tabelle13[[#This Row],[%]]+I775</f>
        <v>0.88663574336760453</v>
      </c>
      <c r="J776" s="4">
        <f t="shared" si="57"/>
        <v>1.105583195135434E-4</v>
      </c>
      <c r="K776" s="5">
        <f t="shared" si="58"/>
        <v>8.5572139303481634E-2</v>
      </c>
    </row>
    <row r="777" spans="1:11" x14ac:dyDescent="0.25">
      <c r="A777" t="s">
        <v>9791</v>
      </c>
      <c r="C777" t="s">
        <v>9792</v>
      </c>
      <c r="D777" t="s">
        <v>5</v>
      </c>
      <c r="E777" t="s">
        <v>6</v>
      </c>
      <c r="F777" t="s">
        <v>251</v>
      </c>
      <c r="G777">
        <v>29</v>
      </c>
      <c r="H777" s="2">
        <f>Tabelle13[[#This Row],[commits]]/Tabelle13[[#Totals],[commits]]</f>
        <v>1.3478592277231405E-4</v>
      </c>
      <c r="I777" s="5">
        <f>Tabelle13[[#This Row],[%]]+I776</f>
        <v>0.88677052929037681</v>
      </c>
      <c r="J777" s="4">
        <f t="shared" si="57"/>
        <v>1.105583195135434E-4</v>
      </c>
      <c r="K777" s="5">
        <f t="shared" si="58"/>
        <v>8.5682697622995171E-2</v>
      </c>
    </row>
    <row r="778" spans="1:11" x14ac:dyDescent="0.25">
      <c r="A778" t="s">
        <v>9793</v>
      </c>
      <c r="C778" t="s">
        <v>9794</v>
      </c>
      <c r="D778" t="s">
        <v>309</v>
      </c>
      <c r="E778" t="s">
        <v>6</v>
      </c>
      <c r="F778" t="s">
        <v>251</v>
      </c>
      <c r="G778">
        <v>29</v>
      </c>
      <c r="H778" s="2">
        <f>Tabelle13[[#This Row],[commits]]/Tabelle13[[#Totals],[commits]]</f>
        <v>1.3478592277231405E-4</v>
      </c>
      <c r="I778" s="5">
        <f>Tabelle13[[#This Row],[%]]+I777</f>
        <v>0.88690531521314908</v>
      </c>
      <c r="J778" s="4">
        <f t="shared" si="57"/>
        <v>1.105583195135434E-4</v>
      </c>
      <c r="K778" s="5">
        <f t="shared" si="58"/>
        <v>8.5793255942508709E-2</v>
      </c>
    </row>
    <row r="779" spans="1:11" x14ac:dyDescent="0.25">
      <c r="A779" t="s">
        <v>9795</v>
      </c>
      <c r="C779" t="s">
        <v>9796</v>
      </c>
      <c r="D779" t="s">
        <v>5</v>
      </c>
      <c r="E779" t="s">
        <v>6</v>
      </c>
      <c r="F779" t="s">
        <v>251</v>
      </c>
      <c r="G779">
        <v>29</v>
      </c>
      <c r="H779" s="2">
        <f>Tabelle13[[#This Row],[commits]]/Tabelle13[[#Totals],[commits]]</f>
        <v>1.3478592277231405E-4</v>
      </c>
      <c r="I779" s="5">
        <f>Tabelle13[[#This Row],[%]]+I778</f>
        <v>0.88704010113592136</v>
      </c>
      <c r="J779" s="4">
        <f t="shared" si="57"/>
        <v>1.105583195135434E-4</v>
      </c>
      <c r="K779" s="5">
        <f t="shared" si="58"/>
        <v>8.5903814262022246E-2</v>
      </c>
    </row>
    <row r="780" spans="1:11" x14ac:dyDescent="0.25">
      <c r="A780" t="s">
        <v>9797</v>
      </c>
      <c r="C780" t="s">
        <v>9798</v>
      </c>
      <c r="D780" t="s">
        <v>9062</v>
      </c>
      <c r="E780" t="s">
        <v>6</v>
      </c>
      <c r="F780" t="s">
        <v>251</v>
      </c>
      <c r="G780">
        <v>29</v>
      </c>
      <c r="H780" s="2">
        <f>Tabelle13[[#This Row],[commits]]/Tabelle13[[#Totals],[commits]]</f>
        <v>1.3478592277231405E-4</v>
      </c>
      <c r="I780" s="5">
        <f>Tabelle13[[#This Row],[%]]+I779</f>
        <v>0.88717488705869363</v>
      </c>
      <c r="J780" s="4">
        <f t="shared" si="57"/>
        <v>1.105583195135434E-4</v>
      </c>
      <c r="K780" s="5">
        <f t="shared" si="58"/>
        <v>8.6014372581535783E-2</v>
      </c>
    </row>
    <row r="781" spans="1:11" x14ac:dyDescent="0.25">
      <c r="A781" t="s">
        <v>2474</v>
      </c>
      <c r="C781" t="s">
        <v>2475</v>
      </c>
      <c r="D781" t="s">
        <v>5</v>
      </c>
      <c r="E781" t="s">
        <v>6</v>
      </c>
      <c r="F781" t="s">
        <v>724</v>
      </c>
      <c r="G781">
        <v>28</v>
      </c>
      <c r="H781" s="2">
        <f>Tabelle13[[#This Row],[commits]]/Tabelle13[[#Totals],[commits]]</f>
        <v>1.3013813233188942E-4</v>
      </c>
      <c r="I781" s="5">
        <f>Tabelle13[[#This Row],[%]]+I780</f>
        <v>0.8873050251910255</v>
      </c>
      <c r="J781" s="4">
        <f t="shared" si="57"/>
        <v>1.105583195135434E-4</v>
      </c>
      <c r="K781" s="5">
        <f t="shared" si="58"/>
        <v>8.6124930901049321E-2</v>
      </c>
    </row>
    <row r="782" spans="1:11" x14ac:dyDescent="0.25">
      <c r="A782" t="s">
        <v>2476</v>
      </c>
      <c r="C782" t="s">
        <v>2477</v>
      </c>
      <c r="D782" t="s">
        <v>309</v>
      </c>
      <c r="E782" t="s">
        <v>6</v>
      </c>
      <c r="F782" t="s">
        <v>724</v>
      </c>
      <c r="G782">
        <v>28</v>
      </c>
      <c r="H782" s="2">
        <f>Tabelle13[[#This Row],[commits]]/Tabelle13[[#Totals],[commits]]</f>
        <v>1.3013813233188942E-4</v>
      </c>
      <c r="I782" s="5">
        <f>Tabelle13[[#This Row],[%]]+I781</f>
        <v>0.88743516332335737</v>
      </c>
      <c r="J782" s="4">
        <f t="shared" si="57"/>
        <v>1.105583195135434E-4</v>
      </c>
      <c r="K782" s="5">
        <f t="shared" si="58"/>
        <v>8.6235489220562858E-2</v>
      </c>
    </row>
    <row r="783" spans="1:11" x14ac:dyDescent="0.25">
      <c r="A783" t="s">
        <v>2478</v>
      </c>
      <c r="C783" t="s">
        <v>2479</v>
      </c>
      <c r="D783" t="s">
        <v>309</v>
      </c>
      <c r="E783" t="s">
        <v>6</v>
      </c>
      <c r="F783" t="s">
        <v>724</v>
      </c>
      <c r="G783">
        <v>28</v>
      </c>
      <c r="H783" s="2">
        <f>Tabelle13[[#This Row],[commits]]/Tabelle13[[#Totals],[commits]]</f>
        <v>1.3013813233188942E-4</v>
      </c>
      <c r="I783" s="5">
        <f>Tabelle13[[#This Row],[%]]+I782</f>
        <v>0.88756530145568924</v>
      </c>
      <c r="J783" s="4">
        <f t="shared" si="57"/>
        <v>1.105583195135434E-4</v>
      </c>
      <c r="K783" s="5">
        <f t="shared" si="58"/>
        <v>8.6346047540076395E-2</v>
      </c>
    </row>
    <row r="784" spans="1:11" x14ac:dyDescent="0.25">
      <c r="A784" t="s">
        <v>2480</v>
      </c>
      <c r="C784" t="s">
        <v>2481</v>
      </c>
      <c r="D784" t="s">
        <v>5</v>
      </c>
      <c r="E784" t="s">
        <v>6</v>
      </c>
      <c r="F784" t="s">
        <v>724</v>
      </c>
      <c r="G784">
        <v>28</v>
      </c>
      <c r="H784" s="2">
        <f>Tabelle13[[#This Row],[commits]]/Tabelle13[[#Totals],[commits]]</f>
        <v>1.3013813233188942E-4</v>
      </c>
      <c r="I784" s="5">
        <f>Tabelle13[[#This Row],[%]]+I783</f>
        <v>0.88769543958802111</v>
      </c>
      <c r="J784" s="4">
        <f t="shared" si="57"/>
        <v>1.105583195135434E-4</v>
      </c>
      <c r="K784" s="5">
        <f t="shared" si="58"/>
        <v>8.6456605859589933E-2</v>
      </c>
    </row>
    <row r="785" spans="1:11" x14ac:dyDescent="0.25">
      <c r="A785" t="s">
        <v>5250</v>
      </c>
      <c r="C785" t="s">
        <v>26</v>
      </c>
      <c r="D785" t="s">
        <v>5175</v>
      </c>
      <c r="E785" t="s">
        <v>6</v>
      </c>
      <c r="F785" t="s">
        <v>28</v>
      </c>
      <c r="G785">
        <v>28</v>
      </c>
      <c r="H785" s="2">
        <f>Tabelle13[[#This Row],[commits]]/Tabelle13[[#Totals],[commits]]</f>
        <v>1.3013813233188942E-4</v>
      </c>
      <c r="I785" s="5">
        <f>Tabelle13[[#This Row],[%]]+I784</f>
        <v>0.88782557772035298</v>
      </c>
      <c r="J785" s="4">
        <f t="shared" si="57"/>
        <v>1.105583195135434E-4</v>
      </c>
      <c r="K785" s="5">
        <f t="shared" si="58"/>
        <v>8.656716417910347E-2</v>
      </c>
    </row>
    <row r="786" spans="1:11" x14ac:dyDescent="0.25">
      <c r="A786" t="s">
        <v>5251</v>
      </c>
      <c r="C786" t="s">
        <v>5252</v>
      </c>
      <c r="D786" t="s">
        <v>5175</v>
      </c>
      <c r="E786" t="s">
        <v>6</v>
      </c>
      <c r="F786" t="s">
        <v>28</v>
      </c>
      <c r="G786">
        <v>28</v>
      </c>
      <c r="H786" s="2">
        <f>Tabelle13[[#This Row],[commits]]/Tabelle13[[#Totals],[commits]]</f>
        <v>1.3013813233188942E-4</v>
      </c>
      <c r="I786" s="5">
        <f>Tabelle13[[#This Row],[%]]+I785</f>
        <v>0.88795571585268485</v>
      </c>
      <c r="J786" s="4">
        <f t="shared" si="57"/>
        <v>1.105583195135434E-4</v>
      </c>
      <c r="K786" s="5">
        <f t="shared" si="58"/>
        <v>8.6677722498617008E-2</v>
      </c>
    </row>
    <row r="787" spans="1:11" x14ac:dyDescent="0.25">
      <c r="A787" t="s">
        <v>5253</v>
      </c>
      <c r="C787" t="s">
        <v>5254</v>
      </c>
      <c r="D787" t="s">
        <v>5175</v>
      </c>
      <c r="E787" t="s">
        <v>6</v>
      </c>
      <c r="F787" t="s">
        <v>28</v>
      </c>
      <c r="G787">
        <v>28</v>
      </c>
      <c r="H787" s="2">
        <f>Tabelle13[[#This Row],[commits]]/Tabelle13[[#Totals],[commits]]</f>
        <v>1.3013813233188942E-4</v>
      </c>
      <c r="I787" s="5">
        <f>Tabelle13[[#This Row],[%]]+I786</f>
        <v>0.88808585398501672</v>
      </c>
      <c r="J787" s="4">
        <f t="shared" si="57"/>
        <v>1.105583195135434E-4</v>
      </c>
      <c r="K787" s="5">
        <f t="shared" si="58"/>
        <v>8.6788280818130545E-2</v>
      </c>
    </row>
    <row r="788" spans="1:11" x14ac:dyDescent="0.25">
      <c r="A788" t="s">
        <v>9799</v>
      </c>
      <c r="C788" t="s">
        <v>9800</v>
      </c>
      <c r="D788" t="s">
        <v>309</v>
      </c>
      <c r="E788" t="s">
        <v>6</v>
      </c>
      <c r="F788" t="s">
        <v>251</v>
      </c>
      <c r="G788">
        <v>28</v>
      </c>
      <c r="H788" s="2">
        <f>Tabelle13[[#This Row],[commits]]/Tabelle13[[#Totals],[commits]]</f>
        <v>1.3013813233188942E-4</v>
      </c>
      <c r="I788" s="5">
        <f>Tabelle13[[#This Row],[%]]+I787</f>
        <v>0.88821599211734859</v>
      </c>
      <c r="J788" s="4">
        <f t="shared" si="57"/>
        <v>1.105583195135434E-4</v>
      </c>
      <c r="K788" s="5">
        <f t="shared" si="58"/>
        <v>8.6898839137644082E-2</v>
      </c>
    </row>
    <row r="789" spans="1:11" x14ac:dyDescent="0.25">
      <c r="A789" t="s">
        <v>9801</v>
      </c>
      <c r="C789" t="s">
        <v>9802</v>
      </c>
      <c r="D789" t="s">
        <v>309</v>
      </c>
      <c r="E789" t="s">
        <v>6</v>
      </c>
      <c r="F789" t="s">
        <v>251</v>
      </c>
      <c r="G789">
        <v>28</v>
      </c>
      <c r="H789" s="2">
        <f>Tabelle13[[#This Row],[commits]]/Tabelle13[[#Totals],[commits]]</f>
        <v>1.3013813233188942E-4</v>
      </c>
      <c r="I789" s="5">
        <f>Tabelle13[[#This Row],[%]]+I788</f>
        <v>0.88834613024968045</v>
      </c>
      <c r="J789" s="4">
        <f t="shared" si="57"/>
        <v>1.105583195135434E-4</v>
      </c>
      <c r="K789" s="5">
        <f t="shared" si="58"/>
        <v>8.700939745715762E-2</v>
      </c>
    </row>
    <row r="790" spans="1:11" x14ac:dyDescent="0.25">
      <c r="A790" t="s">
        <v>9803</v>
      </c>
      <c r="C790" t="s">
        <v>9804</v>
      </c>
      <c r="D790" t="s">
        <v>309</v>
      </c>
      <c r="E790" t="s">
        <v>6</v>
      </c>
      <c r="F790" t="s">
        <v>251</v>
      </c>
      <c r="G790">
        <v>28</v>
      </c>
      <c r="H790" s="2">
        <f>Tabelle13[[#This Row],[commits]]/Tabelle13[[#Totals],[commits]]</f>
        <v>1.3013813233188942E-4</v>
      </c>
      <c r="I790" s="5">
        <f>Tabelle13[[#This Row],[%]]+I789</f>
        <v>0.88847626838201232</v>
      </c>
      <c r="J790" s="4">
        <f t="shared" si="57"/>
        <v>1.105583195135434E-4</v>
      </c>
      <c r="K790" s="5">
        <f t="shared" si="58"/>
        <v>8.7119955776671157E-2</v>
      </c>
    </row>
    <row r="791" spans="1:11" x14ac:dyDescent="0.25">
      <c r="A791" t="s">
        <v>9805</v>
      </c>
      <c r="C791" t="s">
        <v>9806</v>
      </c>
      <c r="D791" t="s">
        <v>309</v>
      </c>
      <c r="E791" t="s">
        <v>6</v>
      </c>
      <c r="F791" t="s">
        <v>251</v>
      </c>
      <c r="G791">
        <v>28</v>
      </c>
      <c r="H791" s="2">
        <f>Tabelle13[[#This Row],[commits]]/Tabelle13[[#Totals],[commits]]</f>
        <v>1.3013813233188942E-4</v>
      </c>
      <c r="I791" s="5">
        <f>Tabelle13[[#This Row],[%]]+I790</f>
        <v>0.88860640651434419</v>
      </c>
      <c r="J791" s="4">
        <f t="shared" si="57"/>
        <v>1.105583195135434E-4</v>
      </c>
      <c r="K791" s="5">
        <f t="shared" si="58"/>
        <v>8.7230514096184694E-2</v>
      </c>
    </row>
    <row r="792" spans="1:11" x14ac:dyDescent="0.25">
      <c r="A792" t="s">
        <v>9807</v>
      </c>
      <c r="C792" t="s">
        <v>9808</v>
      </c>
      <c r="D792" t="s">
        <v>9035</v>
      </c>
      <c r="E792" t="s">
        <v>6</v>
      </c>
      <c r="F792" t="s">
        <v>251</v>
      </c>
      <c r="G792">
        <v>28</v>
      </c>
      <c r="H792" s="2">
        <f>Tabelle13[[#This Row],[commits]]/Tabelle13[[#Totals],[commits]]</f>
        <v>1.3013813233188942E-4</v>
      </c>
      <c r="I792" s="5">
        <f>Tabelle13[[#This Row],[%]]+I791</f>
        <v>0.88873654464667606</v>
      </c>
      <c r="J792" s="4">
        <f t="shared" si="57"/>
        <v>1.105583195135434E-4</v>
      </c>
      <c r="K792" s="5">
        <f t="shared" si="58"/>
        <v>8.7341072415698232E-2</v>
      </c>
    </row>
    <row r="793" spans="1:11" x14ac:dyDescent="0.25">
      <c r="A793" t="s">
        <v>9809</v>
      </c>
      <c r="C793" t="s">
        <v>9810</v>
      </c>
      <c r="D793" t="s">
        <v>309</v>
      </c>
      <c r="E793" t="s">
        <v>6</v>
      </c>
      <c r="F793" t="s">
        <v>251</v>
      </c>
      <c r="G793">
        <v>28</v>
      </c>
      <c r="H793" s="2">
        <f>Tabelle13[[#This Row],[commits]]/Tabelle13[[#Totals],[commits]]</f>
        <v>1.3013813233188942E-4</v>
      </c>
      <c r="I793" s="5">
        <f>Tabelle13[[#This Row],[%]]+I792</f>
        <v>0.88886668277900793</v>
      </c>
      <c r="J793" s="4">
        <f t="shared" si="57"/>
        <v>1.105583195135434E-4</v>
      </c>
      <c r="K793" s="5">
        <f t="shared" si="58"/>
        <v>8.7451630735211769E-2</v>
      </c>
    </row>
    <row r="794" spans="1:11" x14ac:dyDescent="0.25">
      <c r="A794" t="s">
        <v>9811</v>
      </c>
      <c r="C794" t="s">
        <v>9812</v>
      </c>
      <c r="D794" t="s">
        <v>9813</v>
      </c>
      <c r="E794" t="s">
        <v>6</v>
      </c>
      <c r="F794" t="s">
        <v>251</v>
      </c>
      <c r="G794">
        <v>28</v>
      </c>
      <c r="H794" s="2">
        <f>Tabelle13[[#This Row],[commits]]/Tabelle13[[#Totals],[commits]]</f>
        <v>1.3013813233188942E-4</v>
      </c>
      <c r="I794" s="5">
        <f>Tabelle13[[#This Row],[%]]+I793</f>
        <v>0.8889968209113398</v>
      </c>
      <c r="J794" s="4">
        <f t="shared" si="57"/>
        <v>1.105583195135434E-4</v>
      </c>
      <c r="K794" s="5">
        <f t="shared" si="58"/>
        <v>8.7562189054725306E-2</v>
      </c>
    </row>
    <row r="795" spans="1:11" x14ac:dyDescent="0.25">
      <c r="A795" t="s">
        <v>9814</v>
      </c>
      <c r="C795" t="s">
        <v>9815</v>
      </c>
      <c r="D795" t="s">
        <v>5</v>
      </c>
      <c r="E795" t="s">
        <v>6</v>
      </c>
      <c r="F795" t="s">
        <v>251</v>
      </c>
      <c r="G795">
        <v>28</v>
      </c>
      <c r="H795" s="2">
        <f>Tabelle13[[#This Row],[commits]]/Tabelle13[[#Totals],[commits]]</f>
        <v>1.3013813233188942E-4</v>
      </c>
      <c r="I795" s="5">
        <f>Tabelle13[[#This Row],[%]]+I794</f>
        <v>0.88912695904367167</v>
      </c>
      <c r="J795" s="4">
        <f t="shared" si="57"/>
        <v>1.105583195135434E-4</v>
      </c>
      <c r="K795" s="5">
        <f t="shared" si="58"/>
        <v>8.7672747374238844E-2</v>
      </c>
    </row>
    <row r="796" spans="1:11" x14ac:dyDescent="0.25">
      <c r="A796" t="s">
        <v>9816</v>
      </c>
      <c r="C796" t="s">
        <v>9817</v>
      </c>
      <c r="D796" t="s">
        <v>309</v>
      </c>
      <c r="E796" t="s">
        <v>6</v>
      </c>
      <c r="F796" t="s">
        <v>251</v>
      </c>
      <c r="G796">
        <v>28</v>
      </c>
      <c r="H796" s="2">
        <f>Tabelle13[[#This Row],[commits]]/Tabelle13[[#Totals],[commits]]</f>
        <v>1.3013813233188942E-4</v>
      </c>
      <c r="I796" s="5">
        <f>Tabelle13[[#This Row],[%]]+I795</f>
        <v>0.88925709717600354</v>
      </c>
      <c r="J796" s="4">
        <f t="shared" si="57"/>
        <v>1.105583195135434E-4</v>
      </c>
      <c r="K796" s="5">
        <f t="shared" si="58"/>
        <v>8.7783305693752381E-2</v>
      </c>
    </row>
    <row r="797" spans="1:11" x14ac:dyDescent="0.25">
      <c r="A797" t="s">
        <v>9818</v>
      </c>
      <c r="C797" t="s">
        <v>9819</v>
      </c>
      <c r="D797" t="s">
        <v>309</v>
      </c>
      <c r="E797" t="s">
        <v>6</v>
      </c>
      <c r="F797" t="s">
        <v>251</v>
      </c>
      <c r="G797">
        <v>28</v>
      </c>
      <c r="H797" s="2">
        <f>Tabelle13[[#This Row],[commits]]/Tabelle13[[#Totals],[commits]]</f>
        <v>1.3013813233188942E-4</v>
      </c>
      <c r="I797" s="5">
        <f>Tabelle13[[#This Row],[%]]+I796</f>
        <v>0.88938723530833541</v>
      </c>
      <c r="J797" s="4">
        <f t="shared" si="57"/>
        <v>1.105583195135434E-4</v>
      </c>
      <c r="K797" s="5">
        <f t="shared" si="58"/>
        <v>8.7893864013265918E-2</v>
      </c>
    </row>
    <row r="798" spans="1:11" x14ac:dyDescent="0.25">
      <c r="A798" t="s">
        <v>9820</v>
      </c>
      <c r="C798" t="s">
        <v>9821</v>
      </c>
      <c r="D798" t="s">
        <v>309</v>
      </c>
      <c r="E798" t="s">
        <v>6</v>
      </c>
      <c r="F798" t="s">
        <v>251</v>
      </c>
      <c r="G798">
        <v>28</v>
      </c>
      <c r="H798" s="2">
        <f>Tabelle13[[#This Row],[commits]]/Tabelle13[[#Totals],[commits]]</f>
        <v>1.3013813233188942E-4</v>
      </c>
      <c r="I798" s="5">
        <f>Tabelle13[[#This Row],[%]]+I797</f>
        <v>0.88951737344066728</v>
      </c>
      <c r="J798" s="4">
        <f t="shared" si="57"/>
        <v>1.105583195135434E-4</v>
      </c>
      <c r="K798" s="5">
        <f t="shared" si="58"/>
        <v>8.8004422332779456E-2</v>
      </c>
    </row>
    <row r="799" spans="1:11" x14ac:dyDescent="0.25">
      <c r="A799" t="s">
        <v>77</v>
      </c>
      <c r="C799" t="s">
        <v>78</v>
      </c>
      <c r="D799" t="s">
        <v>5</v>
      </c>
      <c r="E799" t="s">
        <v>6</v>
      </c>
      <c r="F799" t="s">
        <v>7</v>
      </c>
      <c r="G799">
        <v>27</v>
      </c>
      <c r="H799" s="2">
        <f>Tabelle13[[#This Row],[commits]]/Tabelle13[[#Totals],[commits]]</f>
        <v>1.2549034189146478E-4</v>
      </c>
      <c r="I799" s="5">
        <f>Tabelle13[[#This Row],[%]]+I798</f>
        <v>0.88964286378255875</v>
      </c>
      <c r="J799" s="4">
        <f t="shared" si="57"/>
        <v>1.105583195135434E-4</v>
      </c>
      <c r="K799" s="5">
        <f t="shared" si="58"/>
        <v>8.8114980652292993E-2</v>
      </c>
    </row>
    <row r="800" spans="1:11" x14ac:dyDescent="0.25">
      <c r="A800" t="s">
        <v>2482</v>
      </c>
      <c r="C800" t="s">
        <v>2483</v>
      </c>
      <c r="D800" t="s">
        <v>5</v>
      </c>
      <c r="E800" t="s">
        <v>6</v>
      </c>
      <c r="F800" t="s">
        <v>724</v>
      </c>
      <c r="G800">
        <v>27</v>
      </c>
      <c r="H800" s="2">
        <f>Tabelle13[[#This Row],[commits]]/Tabelle13[[#Totals],[commits]]</f>
        <v>1.2549034189146478E-4</v>
      </c>
      <c r="I800" s="5">
        <f>Tabelle13[[#This Row],[%]]+I799</f>
        <v>0.88976835412445021</v>
      </c>
      <c r="J800" s="4">
        <f t="shared" si="57"/>
        <v>1.105583195135434E-4</v>
      </c>
      <c r="K800" s="5">
        <f t="shared" si="58"/>
        <v>8.822553897180653E-2</v>
      </c>
    </row>
    <row r="801" spans="1:11" x14ac:dyDescent="0.25">
      <c r="A801" t="s">
        <v>5255</v>
      </c>
      <c r="C801" t="s">
        <v>5256</v>
      </c>
      <c r="D801" t="s">
        <v>5175</v>
      </c>
      <c r="E801" t="s">
        <v>6</v>
      </c>
      <c r="F801" t="s">
        <v>28</v>
      </c>
      <c r="G801">
        <v>27</v>
      </c>
      <c r="H801" s="2">
        <f>Tabelle13[[#This Row],[commits]]/Tabelle13[[#Totals],[commits]]</f>
        <v>1.2549034189146478E-4</v>
      </c>
      <c r="I801" s="5">
        <f>Tabelle13[[#This Row],[%]]+I800</f>
        <v>0.88989384446634168</v>
      </c>
      <c r="J801" s="4">
        <f t="shared" si="57"/>
        <v>1.105583195135434E-4</v>
      </c>
      <c r="K801" s="5">
        <f t="shared" si="58"/>
        <v>8.8336097291320068E-2</v>
      </c>
    </row>
    <row r="802" spans="1:11" x14ac:dyDescent="0.25">
      <c r="A802" t="s">
        <v>9822</v>
      </c>
      <c r="C802" t="s">
        <v>9823</v>
      </c>
      <c r="D802" t="s">
        <v>309</v>
      </c>
      <c r="E802" t="s">
        <v>6</v>
      </c>
      <c r="F802" t="s">
        <v>251</v>
      </c>
      <c r="G802">
        <v>27</v>
      </c>
      <c r="H802" s="2">
        <f>Tabelle13[[#This Row],[commits]]/Tabelle13[[#Totals],[commits]]</f>
        <v>1.2549034189146478E-4</v>
      </c>
      <c r="I802" s="5">
        <f>Tabelle13[[#This Row],[%]]+I801</f>
        <v>0.89001933480823314</v>
      </c>
      <c r="J802" s="4">
        <f t="shared" si="57"/>
        <v>1.105583195135434E-4</v>
      </c>
      <c r="K802" s="5">
        <f t="shared" si="58"/>
        <v>8.8446655610833605E-2</v>
      </c>
    </row>
    <row r="803" spans="1:11" x14ac:dyDescent="0.25">
      <c r="A803" t="s">
        <v>9824</v>
      </c>
      <c r="C803" t="s">
        <v>9825</v>
      </c>
      <c r="D803" t="s">
        <v>309</v>
      </c>
      <c r="E803" t="s">
        <v>6</v>
      </c>
      <c r="F803" t="s">
        <v>251</v>
      </c>
      <c r="G803">
        <v>27</v>
      </c>
      <c r="H803" s="2">
        <f>Tabelle13[[#This Row],[commits]]/Tabelle13[[#Totals],[commits]]</f>
        <v>1.2549034189146478E-4</v>
      </c>
      <c r="I803" s="5">
        <f>Tabelle13[[#This Row],[%]]+I802</f>
        <v>0.89014482515012461</v>
      </c>
      <c r="J803" s="4">
        <f t="shared" si="57"/>
        <v>1.105583195135434E-4</v>
      </c>
      <c r="K803" s="5">
        <f t="shared" si="58"/>
        <v>8.8557213930347142E-2</v>
      </c>
    </row>
    <row r="804" spans="1:11" x14ac:dyDescent="0.25">
      <c r="A804" t="s">
        <v>9826</v>
      </c>
      <c r="C804" t="s">
        <v>9827</v>
      </c>
      <c r="D804" t="s">
        <v>309</v>
      </c>
      <c r="E804" t="s">
        <v>6</v>
      </c>
      <c r="F804" t="s">
        <v>251</v>
      </c>
      <c r="G804">
        <v>27</v>
      </c>
      <c r="H804" s="2">
        <f>Tabelle13[[#This Row],[commits]]/Tabelle13[[#Totals],[commits]]</f>
        <v>1.2549034189146478E-4</v>
      </c>
      <c r="I804" s="5">
        <f>Tabelle13[[#This Row],[%]]+I803</f>
        <v>0.89027031549201607</v>
      </c>
      <c r="J804" s="4">
        <f t="shared" si="57"/>
        <v>1.105583195135434E-4</v>
      </c>
      <c r="K804" s="5">
        <f t="shared" si="58"/>
        <v>8.866777224986068E-2</v>
      </c>
    </row>
    <row r="805" spans="1:11" x14ac:dyDescent="0.25">
      <c r="A805" t="s">
        <v>9828</v>
      </c>
      <c r="C805" t="s">
        <v>9829</v>
      </c>
      <c r="D805" t="s">
        <v>5</v>
      </c>
      <c r="E805" t="s">
        <v>6</v>
      </c>
      <c r="F805" t="s">
        <v>251</v>
      </c>
      <c r="G805">
        <v>27</v>
      </c>
      <c r="H805" s="2">
        <f>Tabelle13[[#This Row],[commits]]/Tabelle13[[#Totals],[commits]]</f>
        <v>1.2549034189146478E-4</v>
      </c>
      <c r="I805" s="5">
        <f>Tabelle13[[#This Row],[%]]+I804</f>
        <v>0.89039580583390754</v>
      </c>
      <c r="J805" s="4">
        <f t="shared" si="57"/>
        <v>1.105583195135434E-4</v>
      </c>
      <c r="K805" s="5">
        <f t="shared" si="58"/>
        <v>8.8778330569374217E-2</v>
      </c>
    </row>
    <row r="806" spans="1:11" x14ac:dyDescent="0.25">
      <c r="A806" t="s">
        <v>9830</v>
      </c>
      <c r="C806" t="s">
        <v>9459</v>
      </c>
      <c r="D806" t="s">
        <v>9831</v>
      </c>
      <c r="E806" t="s">
        <v>6</v>
      </c>
      <c r="F806" t="s">
        <v>251</v>
      </c>
      <c r="G806">
        <v>27</v>
      </c>
      <c r="H806" s="2">
        <f>Tabelle13[[#This Row],[commits]]/Tabelle13[[#Totals],[commits]]</f>
        <v>1.2549034189146478E-4</v>
      </c>
      <c r="I806" s="5">
        <f>Tabelle13[[#This Row],[%]]+I805</f>
        <v>0.890521296175799</v>
      </c>
      <c r="J806" s="4">
        <f t="shared" si="57"/>
        <v>1.105583195135434E-4</v>
      </c>
      <c r="K806" s="5">
        <f t="shared" si="58"/>
        <v>8.8888888888887754E-2</v>
      </c>
    </row>
    <row r="807" spans="1:11" x14ac:dyDescent="0.25">
      <c r="A807" t="s">
        <v>9832</v>
      </c>
      <c r="C807" t="s">
        <v>9833</v>
      </c>
      <c r="D807" t="s">
        <v>309</v>
      </c>
      <c r="E807" t="s">
        <v>6</v>
      </c>
      <c r="F807" t="s">
        <v>251</v>
      </c>
      <c r="G807">
        <v>27</v>
      </c>
      <c r="H807" s="2">
        <f>Tabelle13[[#This Row],[commits]]/Tabelle13[[#Totals],[commits]]</f>
        <v>1.2549034189146478E-4</v>
      </c>
      <c r="I807" s="5">
        <f>Tabelle13[[#This Row],[%]]+I806</f>
        <v>0.89064678651769047</v>
      </c>
      <c r="J807" s="4">
        <f t="shared" si="57"/>
        <v>1.105583195135434E-4</v>
      </c>
      <c r="K807" s="5">
        <f t="shared" si="58"/>
        <v>8.8999447208401292E-2</v>
      </c>
    </row>
    <row r="808" spans="1:11" x14ac:dyDescent="0.25">
      <c r="A808" t="s">
        <v>9834</v>
      </c>
      <c r="C808" t="s">
        <v>9835</v>
      </c>
      <c r="D808" t="s">
        <v>532</v>
      </c>
      <c r="E808" t="s">
        <v>6</v>
      </c>
      <c r="F808" t="s">
        <v>251</v>
      </c>
      <c r="G808">
        <v>27</v>
      </c>
      <c r="H808" s="2">
        <f>Tabelle13[[#This Row],[commits]]/Tabelle13[[#Totals],[commits]]</f>
        <v>1.2549034189146478E-4</v>
      </c>
      <c r="I808" s="5">
        <f>Tabelle13[[#This Row],[%]]+I807</f>
        <v>0.89077227685958194</v>
      </c>
      <c r="J808" s="4">
        <f t="shared" si="57"/>
        <v>1.105583195135434E-4</v>
      </c>
      <c r="K808" s="5">
        <f t="shared" si="58"/>
        <v>8.9110005527914829E-2</v>
      </c>
    </row>
    <row r="809" spans="1:11" x14ac:dyDescent="0.25">
      <c r="A809" t="s">
        <v>9836</v>
      </c>
      <c r="C809" t="s">
        <v>9837</v>
      </c>
      <c r="D809" t="s">
        <v>5</v>
      </c>
      <c r="E809" t="s">
        <v>6</v>
      </c>
      <c r="F809" t="s">
        <v>251</v>
      </c>
      <c r="G809">
        <v>27</v>
      </c>
      <c r="H809" s="2">
        <f>Tabelle13[[#This Row],[commits]]/Tabelle13[[#Totals],[commits]]</f>
        <v>1.2549034189146478E-4</v>
      </c>
      <c r="I809" s="5">
        <f>Tabelle13[[#This Row],[%]]+I808</f>
        <v>0.8908977672014734</v>
      </c>
      <c r="J809" s="4">
        <f t="shared" si="57"/>
        <v>1.105583195135434E-4</v>
      </c>
      <c r="K809" s="5">
        <f t="shared" si="58"/>
        <v>8.9220563847428366E-2</v>
      </c>
    </row>
    <row r="810" spans="1:11" x14ac:dyDescent="0.25">
      <c r="A810" t="s">
        <v>9838</v>
      </c>
      <c r="C810" t="s">
        <v>9839</v>
      </c>
      <c r="D810" t="s">
        <v>5</v>
      </c>
      <c r="E810" t="s">
        <v>6</v>
      </c>
      <c r="F810" t="s">
        <v>251</v>
      </c>
      <c r="G810">
        <v>27</v>
      </c>
      <c r="H810" s="2">
        <f>Tabelle13[[#This Row],[commits]]/Tabelle13[[#Totals],[commits]]</f>
        <v>1.2549034189146478E-4</v>
      </c>
      <c r="I810" s="5">
        <f>Tabelle13[[#This Row],[%]]+I809</f>
        <v>0.89102325754336487</v>
      </c>
      <c r="J810" s="4">
        <f t="shared" si="57"/>
        <v>1.105583195135434E-4</v>
      </c>
      <c r="K810" s="5">
        <f t="shared" si="58"/>
        <v>8.9331122166941904E-2</v>
      </c>
    </row>
    <row r="811" spans="1:11" x14ac:dyDescent="0.25">
      <c r="A811" t="s">
        <v>2484</v>
      </c>
      <c r="C811" t="s">
        <v>2485</v>
      </c>
      <c r="D811" t="s">
        <v>5</v>
      </c>
      <c r="E811" t="s">
        <v>6</v>
      </c>
      <c r="F811" t="s">
        <v>724</v>
      </c>
      <c r="G811">
        <v>26</v>
      </c>
      <c r="H811" s="2">
        <f>Tabelle13[[#This Row],[commits]]/Tabelle13[[#Totals],[commits]]</f>
        <v>1.2084255145104018E-4</v>
      </c>
      <c r="I811" s="5">
        <f>Tabelle13[[#This Row],[%]]+I810</f>
        <v>0.89114410009481593</v>
      </c>
      <c r="J811" s="4">
        <f t="shared" si="57"/>
        <v>1.105583195135434E-4</v>
      </c>
      <c r="K811" s="5">
        <f t="shared" si="58"/>
        <v>8.9441680486455441E-2</v>
      </c>
    </row>
    <row r="812" spans="1:11" x14ac:dyDescent="0.25">
      <c r="A812" t="s">
        <v>2486</v>
      </c>
      <c r="C812" t="s">
        <v>2487</v>
      </c>
      <c r="D812" t="s">
        <v>5</v>
      </c>
      <c r="E812" t="s">
        <v>6</v>
      </c>
      <c r="F812" t="s">
        <v>724</v>
      </c>
      <c r="G812">
        <v>26</v>
      </c>
      <c r="H812" s="2">
        <f>Tabelle13[[#This Row],[commits]]/Tabelle13[[#Totals],[commits]]</f>
        <v>1.2084255145104018E-4</v>
      </c>
      <c r="I812" s="5">
        <f>Tabelle13[[#This Row],[%]]+I811</f>
        <v>0.89126494264626699</v>
      </c>
      <c r="J812" s="4">
        <f t="shared" si="57"/>
        <v>1.105583195135434E-4</v>
      </c>
      <c r="K812" s="5">
        <f t="shared" si="58"/>
        <v>8.9552238805968978E-2</v>
      </c>
    </row>
    <row r="813" spans="1:11" x14ac:dyDescent="0.25">
      <c r="A813" t="s">
        <v>2488</v>
      </c>
      <c r="C813" t="s">
        <v>2489</v>
      </c>
      <c r="D813" t="s">
        <v>5</v>
      </c>
      <c r="E813" t="s">
        <v>6</v>
      </c>
      <c r="F813" t="s">
        <v>724</v>
      </c>
      <c r="G813">
        <v>26</v>
      </c>
      <c r="H813" s="2">
        <f>Tabelle13[[#This Row],[commits]]/Tabelle13[[#Totals],[commits]]</f>
        <v>1.2084255145104018E-4</v>
      </c>
      <c r="I813" s="5">
        <f>Tabelle13[[#This Row],[%]]+I812</f>
        <v>0.89138578519771805</v>
      </c>
      <c r="J813" s="4">
        <f t="shared" si="57"/>
        <v>1.105583195135434E-4</v>
      </c>
      <c r="K813" s="5">
        <f t="shared" si="58"/>
        <v>8.9662797125482516E-2</v>
      </c>
    </row>
    <row r="814" spans="1:11" x14ac:dyDescent="0.25">
      <c r="A814" t="s">
        <v>2490</v>
      </c>
      <c r="C814" t="s">
        <v>2491</v>
      </c>
      <c r="D814" t="s">
        <v>309</v>
      </c>
      <c r="E814" t="s">
        <v>6</v>
      </c>
      <c r="F814" t="s">
        <v>724</v>
      </c>
      <c r="G814">
        <v>26</v>
      </c>
      <c r="H814" s="2">
        <f>Tabelle13[[#This Row],[commits]]/Tabelle13[[#Totals],[commits]]</f>
        <v>1.2084255145104018E-4</v>
      </c>
      <c r="I814" s="5">
        <f>Tabelle13[[#This Row],[%]]+I813</f>
        <v>0.89150662774916911</v>
      </c>
      <c r="J814" s="4">
        <f t="shared" si="57"/>
        <v>1.105583195135434E-4</v>
      </c>
      <c r="K814" s="5">
        <f t="shared" si="58"/>
        <v>8.9773355444996053E-2</v>
      </c>
    </row>
    <row r="815" spans="1:11" x14ac:dyDescent="0.25">
      <c r="A815" t="s">
        <v>5257</v>
      </c>
      <c r="C815" t="s">
        <v>5258</v>
      </c>
      <c r="D815" t="s">
        <v>5175</v>
      </c>
      <c r="E815" t="s">
        <v>6</v>
      </c>
      <c r="F815" t="s">
        <v>28</v>
      </c>
      <c r="G815">
        <v>26</v>
      </c>
      <c r="H815" s="2">
        <f>Tabelle13[[#This Row],[commits]]/Tabelle13[[#Totals],[commits]]</f>
        <v>1.2084255145104018E-4</v>
      </c>
      <c r="I815" s="5">
        <f>Tabelle13[[#This Row],[%]]+I814</f>
        <v>0.89162747030062017</v>
      </c>
      <c r="J815" s="4">
        <f t="shared" si="57"/>
        <v>1.105583195135434E-4</v>
      </c>
      <c r="K815" s="5">
        <f t="shared" si="58"/>
        <v>8.988391376450959E-2</v>
      </c>
    </row>
    <row r="816" spans="1:11" x14ac:dyDescent="0.25">
      <c r="A816" t="s">
        <v>5259</v>
      </c>
      <c r="C816" t="s">
        <v>5260</v>
      </c>
      <c r="D816" t="s">
        <v>5</v>
      </c>
      <c r="E816" t="s">
        <v>6</v>
      </c>
      <c r="F816" t="s">
        <v>28</v>
      </c>
      <c r="G816">
        <v>26</v>
      </c>
      <c r="H816" s="2">
        <f>Tabelle13[[#This Row],[commits]]/Tabelle13[[#Totals],[commits]]</f>
        <v>1.2084255145104018E-4</v>
      </c>
      <c r="I816" s="5">
        <f>Tabelle13[[#This Row],[%]]+I815</f>
        <v>0.89174831285207123</v>
      </c>
      <c r="J816" s="4">
        <f t="shared" si="57"/>
        <v>1.105583195135434E-4</v>
      </c>
      <c r="K816" s="5">
        <f t="shared" si="58"/>
        <v>8.9994472084023128E-2</v>
      </c>
    </row>
    <row r="817" spans="1:11" x14ac:dyDescent="0.25">
      <c r="A817" t="s">
        <v>9840</v>
      </c>
      <c r="C817" t="s">
        <v>9841</v>
      </c>
      <c r="D817" t="s">
        <v>309</v>
      </c>
      <c r="E817" t="s">
        <v>6</v>
      </c>
      <c r="F817" t="s">
        <v>251</v>
      </c>
      <c r="G817">
        <v>26</v>
      </c>
      <c r="H817" s="2">
        <f>Tabelle13[[#This Row],[commits]]/Tabelle13[[#Totals],[commits]]</f>
        <v>1.2084255145104018E-4</v>
      </c>
      <c r="I817" s="5">
        <f>Tabelle13[[#This Row],[%]]+I816</f>
        <v>0.8918691554035223</v>
      </c>
      <c r="J817" s="4">
        <f t="shared" si="57"/>
        <v>1.105583195135434E-4</v>
      </c>
      <c r="K817" s="5">
        <f t="shared" si="58"/>
        <v>9.0105030403536665E-2</v>
      </c>
    </row>
    <row r="818" spans="1:11" x14ac:dyDescent="0.25">
      <c r="A818" t="s">
        <v>9842</v>
      </c>
      <c r="C818" t="s">
        <v>9843</v>
      </c>
      <c r="D818" t="s">
        <v>5</v>
      </c>
      <c r="E818" t="s">
        <v>6</v>
      </c>
      <c r="F818" t="s">
        <v>251</v>
      </c>
      <c r="G818">
        <v>26</v>
      </c>
      <c r="H818" s="2">
        <f>Tabelle13[[#This Row],[commits]]/Tabelle13[[#Totals],[commits]]</f>
        <v>1.2084255145104018E-4</v>
      </c>
      <c r="I818" s="5">
        <f>Tabelle13[[#This Row],[%]]+I817</f>
        <v>0.89198999795497336</v>
      </c>
      <c r="J818" s="4">
        <f t="shared" si="57"/>
        <v>1.105583195135434E-4</v>
      </c>
      <c r="K818" s="5">
        <f t="shared" si="58"/>
        <v>9.0215588723050202E-2</v>
      </c>
    </row>
    <row r="819" spans="1:11" x14ac:dyDescent="0.25">
      <c r="A819" t="s">
        <v>9844</v>
      </c>
      <c r="C819" t="s">
        <v>9845</v>
      </c>
      <c r="D819" t="s">
        <v>309</v>
      </c>
      <c r="E819" t="s">
        <v>6</v>
      </c>
      <c r="F819" t="s">
        <v>251</v>
      </c>
      <c r="G819">
        <v>26</v>
      </c>
      <c r="H819" s="2">
        <f>Tabelle13[[#This Row],[commits]]/Tabelle13[[#Totals],[commits]]</f>
        <v>1.2084255145104018E-4</v>
      </c>
      <c r="I819" s="5">
        <f>Tabelle13[[#This Row],[%]]+I818</f>
        <v>0.89211084050642442</v>
      </c>
      <c r="J819" s="4">
        <f t="shared" si="57"/>
        <v>1.105583195135434E-4</v>
      </c>
      <c r="K819" s="5">
        <f t="shared" si="58"/>
        <v>9.032614704256374E-2</v>
      </c>
    </row>
    <row r="820" spans="1:11" x14ac:dyDescent="0.25">
      <c r="A820" t="s">
        <v>9846</v>
      </c>
      <c r="C820" t="s">
        <v>9847</v>
      </c>
      <c r="D820" t="s">
        <v>5</v>
      </c>
      <c r="E820" t="s">
        <v>6</v>
      </c>
      <c r="F820" t="s">
        <v>251</v>
      </c>
      <c r="G820">
        <v>26</v>
      </c>
      <c r="H820" s="2">
        <f>Tabelle13[[#This Row],[commits]]/Tabelle13[[#Totals],[commits]]</f>
        <v>1.2084255145104018E-4</v>
      </c>
      <c r="I820" s="5">
        <f>Tabelle13[[#This Row],[%]]+I819</f>
        <v>0.89223168305787548</v>
      </c>
      <c r="J820" s="4">
        <f t="shared" si="57"/>
        <v>1.105583195135434E-4</v>
      </c>
      <c r="K820" s="5">
        <f t="shared" si="58"/>
        <v>9.0436705362077277E-2</v>
      </c>
    </row>
    <row r="821" spans="1:11" x14ac:dyDescent="0.25">
      <c r="A821" t="s">
        <v>9848</v>
      </c>
      <c r="C821" t="s">
        <v>9849</v>
      </c>
      <c r="D821" t="s">
        <v>9035</v>
      </c>
      <c r="E821" t="s">
        <v>6</v>
      </c>
      <c r="F821" t="s">
        <v>251</v>
      </c>
      <c r="G821">
        <v>26</v>
      </c>
      <c r="H821" s="2">
        <f>Tabelle13[[#This Row],[commits]]/Tabelle13[[#Totals],[commits]]</f>
        <v>1.2084255145104018E-4</v>
      </c>
      <c r="I821" s="5">
        <f>Tabelle13[[#This Row],[%]]+I820</f>
        <v>0.89235252560932654</v>
      </c>
      <c r="J821" s="4">
        <f t="shared" si="57"/>
        <v>1.105583195135434E-4</v>
      </c>
      <c r="K821" s="5">
        <f t="shared" si="58"/>
        <v>9.0547263681590814E-2</v>
      </c>
    </row>
    <row r="822" spans="1:11" x14ac:dyDescent="0.25">
      <c r="A822" t="s">
        <v>9850</v>
      </c>
      <c r="C822" t="s">
        <v>9851</v>
      </c>
      <c r="D822" t="s">
        <v>5</v>
      </c>
      <c r="E822" t="s">
        <v>6</v>
      </c>
      <c r="F822" t="s">
        <v>251</v>
      </c>
      <c r="G822">
        <v>26</v>
      </c>
      <c r="H822" s="2">
        <f>Tabelle13[[#This Row],[commits]]/Tabelle13[[#Totals],[commits]]</f>
        <v>1.2084255145104018E-4</v>
      </c>
      <c r="I822" s="5">
        <f>Tabelle13[[#This Row],[%]]+I821</f>
        <v>0.8924733681607776</v>
      </c>
      <c r="J822" s="4">
        <f t="shared" si="57"/>
        <v>1.105583195135434E-4</v>
      </c>
      <c r="K822" s="5">
        <f t="shared" si="58"/>
        <v>9.0657822001104352E-2</v>
      </c>
    </row>
    <row r="823" spans="1:11" x14ac:dyDescent="0.25">
      <c r="A823" t="s">
        <v>9852</v>
      </c>
      <c r="C823" t="s">
        <v>9853</v>
      </c>
      <c r="D823" t="s">
        <v>8760</v>
      </c>
      <c r="E823" t="s">
        <v>6</v>
      </c>
      <c r="F823" t="s">
        <v>251</v>
      </c>
      <c r="G823">
        <v>26</v>
      </c>
      <c r="H823" s="2">
        <f>Tabelle13[[#This Row],[commits]]/Tabelle13[[#Totals],[commits]]</f>
        <v>1.2084255145104018E-4</v>
      </c>
      <c r="I823" s="5">
        <f>Tabelle13[[#This Row],[%]]+I822</f>
        <v>0.89259421071222866</v>
      </c>
      <c r="J823" s="4">
        <f t="shared" si="57"/>
        <v>1.105583195135434E-4</v>
      </c>
      <c r="K823" s="5">
        <f t="shared" si="58"/>
        <v>9.0768380320617889E-2</v>
      </c>
    </row>
    <row r="824" spans="1:11" x14ac:dyDescent="0.25">
      <c r="A824" t="s">
        <v>9854</v>
      </c>
      <c r="C824" t="s">
        <v>9855</v>
      </c>
      <c r="D824" t="s">
        <v>309</v>
      </c>
      <c r="E824" t="s">
        <v>6</v>
      </c>
      <c r="F824" t="s">
        <v>251</v>
      </c>
      <c r="G824">
        <v>26</v>
      </c>
      <c r="H824" s="2">
        <f>Tabelle13[[#This Row],[commits]]/Tabelle13[[#Totals],[commits]]</f>
        <v>1.2084255145104018E-4</v>
      </c>
      <c r="I824" s="5">
        <f>Tabelle13[[#This Row],[%]]+I823</f>
        <v>0.89271505326367973</v>
      </c>
      <c r="J824" s="4">
        <f t="shared" si="57"/>
        <v>1.105583195135434E-4</v>
      </c>
      <c r="K824" s="5">
        <f t="shared" si="58"/>
        <v>9.0878938640131426E-2</v>
      </c>
    </row>
    <row r="825" spans="1:11" x14ac:dyDescent="0.25">
      <c r="A825" t="s">
        <v>9856</v>
      </c>
      <c r="C825" t="s">
        <v>9857</v>
      </c>
      <c r="D825" t="s">
        <v>5</v>
      </c>
      <c r="E825" t="s">
        <v>6</v>
      </c>
      <c r="F825" t="s">
        <v>251</v>
      </c>
      <c r="G825">
        <v>26</v>
      </c>
      <c r="H825" s="2">
        <f>Tabelle13[[#This Row],[commits]]/Tabelle13[[#Totals],[commits]]</f>
        <v>1.2084255145104018E-4</v>
      </c>
      <c r="I825" s="5">
        <f>Tabelle13[[#This Row],[%]]+I824</f>
        <v>0.89283589581513079</v>
      </c>
      <c r="J825" s="4">
        <f t="shared" si="57"/>
        <v>1.105583195135434E-4</v>
      </c>
      <c r="K825" s="5">
        <f t="shared" si="58"/>
        <v>9.0989496959644964E-2</v>
      </c>
    </row>
    <row r="826" spans="1:11" x14ac:dyDescent="0.25">
      <c r="A826" t="s">
        <v>79</v>
      </c>
      <c r="C826" t="s">
        <v>80</v>
      </c>
      <c r="D826" t="s">
        <v>5</v>
      </c>
      <c r="E826" t="s">
        <v>6</v>
      </c>
      <c r="F826" t="s">
        <v>7</v>
      </c>
      <c r="G826">
        <v>25</v>
      </c>
      <c r="H826" s="2">
        <f>Tabelle13[[#This Row],[commits]]/Tabelle13[[#Totals],[commits]]</f>
        <v>1.1619476101061556E-4</v>
      </c>
      <c r="I826" s="5">
        <f>Tabelle13[[#This Row],[%]]+I825</f>
        <v>0.89295209057614144</v>
      </c>
      <c r="J826" s="4">
        <f t="shared" si="57"/>
        <v>1.105583195135434E-4</v>
      </c>
      <c r="K826" s="5">
        <f t="shared" si="58"/>
        <v>9.1100055279158501E-2</v>
      </c>
    </row>
    <row r="827" spans="1:11" x14ac:dyDescent="0.25">
      <c r="A827" t="s">
        <v>2492</v>
      </c>
      <c r="C827" t="s">
        <v>2493</v>
      </c>
      <c r="D827" t="s">
        <v>5</v>
      </c>
      <c r="E827" t="s">
        <v>6</v>
      </c>
      <c r="F827" t="s">
        <v>724</v>
      </c>
      <c r="G827">
        <v>25</v>
      </c>
      <c r="H827" s="2">
        <f>Tabelle13[[#This Row],[commits]]/Tabelle13[[#Totals],[commits]]</f>
        <v>1.1619476101061556E-4</v>
      </c>
      <c r="I827" s="5">
        <f>Tabelle13[[#This Row],[%]]+I826</f>
        <v>0.8930682853371521</v>
      </c>
      <c r="J827" s="4">
        <f t="shared" si="57"/>
        <v>1.105583195135434E-4</v>
      </c>
      <c r="K827" s="5">
        <f t="shared" si="58"/>
        <v>9.1210613598672038E-2</v>
      </c>
    </row>
    <row r="828" spans="1:11" x14ac:dyDescent="0.25">
      <c r="A828" t="s">
        <v>2494</v>
      </c>
      <c r="C828" t="s">
        <v>2495</v>
      </c>
      <c r="D828" t="s">
        <v>309</v>
      </c>
      <c r="E828" t="s">
        <v>6</v>
      </c>
      <c r="F828" t="s">
        <v>724</v>
      </c>
      <c r="G828">
        <v>25</v>
      </c>
      <c r="H828" s="2">
        <f>Tabelle13[[#This Row],[commits]]/Tabelle13[[#Totals],[commits]]</f>
        <v>1.1619476101061556E-4</v>
      </c>
      <c r="I828" s="5">
        <f>Tabelle13[[#This Row],[%]]+I827</f>
        <v>0.89318448009816276</v>
      </c>
      <c r="J828" s="4">
        <f t="shared" si="57"/>
        <v>1.105583195135434E-4</v>
      </c>
      <c r="K828" s="5">
        <f t="shared" si="58"/>
        <v>9.1321171918185576E-2</v>
      </c>
    </row>
    <row r="829" spans="1:11" x14ac:dyDescent="0.25">
      <c r="A829" t="s">
        <v>2496</v>
      </c>
      <c r="C829" t="s">
        <v>2497</v>
      </c>
      <c r="D829" t="s">
        <v>5</v>
      </c>
      <c r="E829" t="s">
        <v>6</v>
      </c>
      <c r="F829" t="s">
        <v>724</v>
      </c>
      <c r="G829">
        <v>25</v>
      </c>
      <c r="H829" s="2">
        <f>Tabelle13[[#This Row],[commits]]/Tabelle13[[#Totals],[commits]]</f>
        <v>1.1619476101061556E-4</v>
      </c>
      <c r="I829" s="5">
        <f>Tabelle13[[#This Row],[%]]+I828</f>
        <v>0.89330067485917342</v>
      </c>
      <c r="J829" s="4">
        <f t="shared" si="57"/>
        <v>1.105583195135434E-4</v>
      </c>
      <c r="K829" s="5">
        <f t="shared" si="58"/>
        <v>9.1431730237699113E-2</v>
      </c>
    </row>
    <row r="830" spans="1:11" x14ac:dyDescent="0.25">
      <c r="A830" t="s">
        <v>2498</v>
      </c>
      <c r="C830" t="s">
        <v>2499</v>
      </c>
      <c r="D830" t="s">
        <v>309</v>
      </c>
      <c r="E830" t="s">
        <v>6</v>
      </c>
      <c r="F830" t="s">
        <v>724</v>
      </c>
      <c r="G830">
        <v>25</v>
      </c>
      <c r="H830" s="2">
        <f>Tabelle13[[#This Row],[commits]]/Tabelle13[[#Totals],[commits]]</f>
        <v>1.1619476101061556E-4</v>
      </c>
      <c r="I830" s="5">
        <f>Tabelle13[[#This Row],[%]]+I829</f>
        <v>0.89341686962018407</v>
      </c>
      <c r="J830" s="4">
        <f t="shared" si="57"/>
        <v>1.105583195135434E-4</v>
      </c>
      <c r="K830" s="5">
        <f t="shared" si="58"/>
        <v>9.154228855721265E-2</v>
      </c>
    </row>
    <row r="831" spans="1:11" x14ac:dyDescent="0.25">
      <c r="A831" t="s">
        <v>2500</v>
      </c>
      <c r="C831" t="s">
        <v>2501</v>
      </c>
      <c r="D831" t="s">
        <v>5</v>
      </c>
      <c r="E831" t="s">
        <v>6</v>
      </c>
      <c r="F831" t="s">
        <v>724</v>
      </c>
      <c r="G831">
        <v>25</v>
      </c>
      <c r="H831" s="2">
        <f>Tabelle13[[#This Row],[commits]]/Tabelle13[[#Totals],[commits]]</f>
        <v>1.1619476101061556E-4</v>
      </c>
      <c r="I831" s="5">
        <f>Tabelle13[[#This Row],[%]]+I830</f>
        <v>0.89353306438119473</v>
      </c>
      <c r="J831" s="4">
        <f t="shared" si="57"/>
        <v>1.105583195135434E-4</v>
      </c>
      <c r="K831" s="5">
        <f t="shared" si="58"/>
        <v>9.1652846876726188E-2</v>
      </c>
    </row>
    <row r="832" spans="1:11" x14ac:dyDescent="0.25">
      <c r="A832" t="s">
        <v>2502</v>
      </c>
      <c r="C832" t="s">
        <v>2229</v>
      </c>
      <c r="D832" t="s">
        <v>309</v>
      </c>
      <c r="E832" t="s">
        <v>6</v>
      </c>
      <c r="F832" t="s">
        <v>724</v>
      </c>
      <c r="G832">
        <v>25</v>
      </c>
      <c r="H832" s="2">
        <f>Tabelle13[[#This Row],[commits]]/Tabelle13[[#Totals],[commits]]</f>
        <v>1.1619476101061556E-4</v>
      </c>
      <c r="I832" s="5">
        <f>Tabelle13[[#This Row],[%]]+I831</f>
        <v>0.89364925914220539</v>
      </c>
      <c r="J832" s="4">
        <f t="shared" si="57"/>
        <v>1.105583195135434E-4</v>
      </c>
      <c r="K832" s="5">
        <f t="shared" si="58"/>
        <v>9.1763405196239725E-2</v>
      </c>
    </row>
    <row r="833" spans="1:11" x14ac:dyDescent="0.25">
      <c r="A833" t="s">
        <v>2503</v>
      </c>
      <c r="C833" t="s">
        <v>2504</v>
      </c>
      <c r="D833" t="s">
        <v>5</v>
      </c>
      <c r="E833" t="s">
        <v>6</v>
      </c>
      <c r="F833" t="s">
        <v>724</v>
      </c>
      <c r="G833">
        <v>25</v>
      </c>
      <c r="H833" s="2">
        <f>Tabelle13[[#This Row],[commits]]/Tabelle13[[#Totals],[commits]]</f>
        <v>1.1619476101061556E-4</v>
      </c>
      <c r="I833" s="5">
        <f>Tabelle13[[#This Row],[%]]+I832</f>
        <v>0.89376545390321605</v>
      </c>
      <c r="J833" s="4">
        <f t="shared" si="57"/>
        <v>1.105583195135434E-4</v>
      </c>
      <c r="K833" s="5">
        <f t="shared" si="58"/>
        <v>9.1873963515753262E-2</v>
      </c>
    </row>
    <row r="834" spans="1:11" x14ac:dyDescent="0.25">
      <c r="A834" t="s">
        <v>5261</v>
      </c>
      <c r="C834" t="s">
        <v>5198</v>
      </c>
      <c r="D834" t="s">
        <v>5175</v>
      </c>
      <c r="E834" t="s">
        <v>6</v>
      </c>
      <c r="F834" t="s">
        <v>28</v>
      </c>
      <c r="G834">
        <v>25</v>
      </c>
      <c r="H834" s="2">
        <f>Tabelle13[[#This Row],[commits]]/Tabelle13[[#Totals],[commits]]</f>
        <v>1.1619476101061556E-4</v>
      </c>
      <c r="I834" s="5">
        <f>Tabelle13[[#This Row],[%]]+I833</f>
        <v>0.8938816486642267</v>
      </c>
      <c r="J834" s="4">
        <f t="shared" si="57"/>
        <v>1.105583195135434E-4</v>
      </c>
      <c r="K834" s="5">
        <f t="shared" si="58"/>
        <v>9.19845218352668E-2</v>
      </c>
    </row>
    <row r="835" spans="1:11" x14ac:dyDescent="0.25">
      <c r="A835" t="s">
        <v>5262</v>
      </c>
      <c r="C835" t="s">
        <v>5263</v>
      </c>
      <c r="D835" t="s">
        <v>5</v>
      </c>
      <c r="E835" t="s">
        <v>6</v>
      </c>
      <c r="F835" t="s">
        <v>28</v>
      </c>
      <c r="G835">
        <v>25</v>
      </c>
      <c r="H835" s="2">
        <f>Tabelle13[[#This Row],[commits]]/Tabelle13[[#Totals],[commits]]</f>
        <v>1.1619476101061556E-4</v>
      </c>
      <c r="I835" s="5">
        <f>Tabelle13[[#This Row],[%]]+I834</f>
        <v>0.89399784342523736</v>
      </c>
      <c r="J835" s="4">
        <f t="shared" ref="J835:J898" si="59">1/9045</f>
        <v>1.105583195135434E-4</v>
      </c>
      <c r="K835" s="5">
        <f t="shared" si="58"/>
        <v>9.2095080154780337E-2</v>
      </c>
    </row>
    <row r="836" spans="1:11" x14ac:dyDescent="0.25">
      <c r="A836" t="s">
        <v>9858</v>
      </c>
      <c r="C836" t="s">
        <v>9859</v>
      </c>
      <c r="D836" t="s">
        <v>309</v>
      </c>
      <c r="E836" t="s">
        <v>6</v>
      </c>
      <c r="F836" t="s">
        <v>251</v>
      </c>
      <c r="G836">
        <v>25</v>
      </c>
      <c r="H836" s="2">
        <f>Tabelle13[[#This Row],[commits]]/Tabelle13[[#Totals],[commits]]</f>
        <v>1.1619476101061556E-4</v>
      </c>
      <c r="I836" s="5">
        <f>Tabelle13[[#This Row],[%]]+I835</f>
        <v>0.89411403818624802</v>
      </c>
      <c r="J836" s="4">
        <f t="shared" si="59"/>
        <v>1.105583195135434E-4</v>
      </c>
      <c r="K836" s="5">
        <f t="shared" si="58"/>
        <v>9.2205638474293874E-2</v>
      </c>
    </row>
    <row r="837" spans="1:11" x14ac:dyDescent="0.25">
      <c r="A837" t="s">
        <v>9860</v>
      </c>
      <c r="C837" t="s">
        <v>9861</v>
      </c>
      <c r="D837" t="s">
        <v>309</v>
      </c>
      <c r="E837" t="s">
        <v>6</v>
      </c>
      <c r="F837" t="s">
        <v>251</v>
      </c>
      <c r="G837">
        <v>25</v>
      </c>
      <c r="H837" s="2">
        <f>Tabelle13[[#This Row],[commits]]/Tabelle13[[#Totals],[commits]]</f>
        <v>1.1619476101061556E-4</v>
      </c>
      <c r="I837" s="5">
        <f>Tabelle13[[#This Row],[%]]+I836</f>
        <v>0.89423023294725867</v>
      </c>
      <c r="J837" s="4">
        <f t="shared" si="59"/>
        <v>1.105583195135434E-4</v>
      </c>
      <c r="K837" s="5">
        <f t="shared" si="58"/>
        <v>9.2316196793807412E-2</v>
      </c>
    </row>
    <row r="838" spans="1:11" x14ac:dyDescent="0.25">
      <c r="A838" t="s">
        <v>9862</v>
      </c>
      <c r="C838" t="s">
        <v>9863</v>
      </c>
      <c r="D838" t="s">
        <v>8948</v>
      </c>
      <c r="E838" t="s">
        <v>6</v>
      </c>
      <c r="F838" t="s">
        <v>251</v>
      </c>
      <c r="G838">
        <v>25</v>
      </c>
      <c r="H838" s="2">
        <f>Tabelle13[[#This Row],[commits]]/Tabelle13[[#Totals],[commits]]</f>
        <v>1.1619476101061556E-4</v>
      </c>
      <c r="I838" s="5">
        <f>Tabelle13[[#This Row],[%]]+I837</f>
        <v>0.89434642770826933</v>
      </c>
      <c r="J838" s="4">
        <f t="shared" si="59"/>
        <v>1.105583195135434E-4</v>
      </c>
      <c r="K838" s="5">
        <f t="shared" ref="K838:K901" si="60">J838+K837</f>
        <v>9.2426755113320949E-2</v>
      </c>
    </row>
    <row r="839" spans="1:11" x14ac:dyDescent="0.25">
      <c r="A839" t="s">
        <v>9864</v>
      </c>
      <c r="C839" t="s">
        <v>9865</v>
      </c>
      <c r="D839" t="s">
        <v>5</v>
      </c>
      <c r="E839" t="s">
        <v>6</v>
      </c>
      <c r="F839" t="s">
        <v>251</v>
      </c>
      <c r="G839">
        <v>25</v>
      </c>
      <c r="H839" s="2">
        <f>Tabelle13[[#This Row],[commits]]/Tabelle13[[#Totals],[commits]]</f>
        <v>1.1619476101061556E-4</v>
      </c>
      <c r="I839" s="5">
        <f>Tabelle13[[#This Row],[%]]+I838</f>
        <v>0.89446262246927999</v>
      </c>
      <c r="J839" s="4">
        <f t="shared" si="59"/>
        <v>1.105583195135434E-4</v>
      </c>
      <c r="K839" s="5">
        <f t="shared" si="60"/>
        <v>9.2537313432834487E-2</v>
      </c>
    </row>
    <row r="840" spans="1:11" x14ac:dyDescent="0.25">
      <c r="A840" t="s">
        <v>9866</v>
      </c>
      <c r="C840" t="s">
        <v>9867</v>
      </c>
      <c r="D840" t="s">
        <v>8948</v>
      </c>
      <c r="E840" t="s">
        <v>6</v>
      </c>
      <c r="F840" t="s">
        <v>251</v>
      </c>
      <c r="G840">
        <v>25</v>
      </c>
      <c r="H840" s="2">
        <f>Tabelle13[[#This Row],[commits]]/Tabelle13[[#Totals],[commits]]</f>
        <v>1.1619476101061556E-4</v>
      </c>
      <c r="I840" s="5">
        <f>Tabelle13[[#This Row],[%]]+I839</f>
        <v>0.89457881723029065</v>
      </c>
      <c r="J840" s="4">
        <f t="shared" si="59"/>
        <v>1.105583195135434E-4</v>
      </c>
      <c r="K840" s="5">
        <f t="shared" si="60"/>
        <v>9.2647871752348024E-2</v>
      </c>
    </row>
    <row r="841" spans="1:11" x14ac:dyDescent="0.25">
      <c r="A841" t="s">
        <v>9868</v>
      </c>
      <c r="C841" t="s">
        <v>9869</v>
      </c>
      <c r="D841" t="s">
        <v>309</v>
      </c>
      <c r="E841" t="s">
        <v>6</v>
      </c>
      <c r="F841" t="s">
        <v>251</v>
      </c>
      <c r="G841">
        <v>25</v>
      </c>
      <c r="H841" s="2">
        <f>Tabelle13[[#This Row],[commits]]/Tabelle13[[#Totals],[commits]]</f>
        <v>1.1619476101061556E-4</v>
      </c>
      <c r="I841" s="5">
        <f>Tabelle13[[#This Row],[%]]+I840</f>
        <v>0.8946950119913013</v>
      </c>
      <c r="J841" s="4">
        <f t="shared" si="59"/>
        <v>1.105583195135434E-4</v>
      </c>
      <c r="K841" s="5">
        <f t="shared" si="60"/>
        <v>9.2758430071861561E-2</v>
      </c>
    </row>
    <row r="842" spans="1:11" x14ac:dyDescent="0.25">
      <c r="A842" t="s">
        <v>9870</v>
      </c>
      <c r="C842" t="s">
        <v>9871</v>
      </c>
      <c r="D842" t="s">
        <v>5</v>
      </c>
      <c r="E842" t="s">
        <v>6</v>
      </c>
      <c r="F842" t="s">
        <v>251</v>
      </c>
      <c r="G842">
        <v>25</v>
      </c>
      <c r="H842" s="2">
        <f>Tabelle13[[#This Row],[commits]]/Tabelle13[[#Totals],[commits]]</f>
        <v>1.1619476101061556E-4</v>
      </c>
      <c r="I842" s="5">
        <f>Tabelle13[[#This Row],[%]]+I841</f>
        <v>0.89481120675231196</v>
      </c>
      <c r="J842" s="4">
        <f t="shared" si="59"/>
        <v>1.105583195135434E-4</v>
      </c>
      <c r="K842" s="5">
        <f t="shared" si="60"/>
        <v>9.2868988391375099E-2</v>
      </c>
    </row>
    <row r="843" spans="1:11" x14ac:dyDescent="0.25">
      <c r="A843" t="s">
        <v>17140</v>
      </c>
      <c r="C843" t="s">
        <v>17141</v>
      </c>
      <c r="D843" t="s">
        <v>5</v>
      </c>
      <c r="E843" t="s">
        <v>6</v>
      </c>
      <c r="F843" t="s">
        <v>334</v>
      </c>
      <c r="G843">
        <v>25</v>
      </c>
      <c r="H843" s="2">
        <f>Tabelle13[[#This Row],[commits]]/Tabelle13[[#Totals],[commits]]</f>
        <v>1.1619476101061556E-4</v>
      </c>
      <c r="I843" s="5">
        <f>Tabelle13[[#This Row],[%]]+I842</f>
        <v>0.89492740151332262</v>
      </c>
      <c r="J843" s="4">
        <f t="shared" si="59"/>
        <v>1.105583195135434E-4</v>
      </c>
      <c r="K843" s="5">
        <f t="shared" si="60"/>
        <v>9.2979546710888636E-2</v>
      </c>
    </row>
    <row r="844" spans="1:11" x14ac:dyDescent="0.25">
      <c r="A844" t="s">
        <v>81</v>
      </c>
      <c r="C844" t="s">
        <v>82</v>
      </c>
      <c r="D844" t="s">
        <v>5</v>
      </c>
      <c r="E844" t="s">
        <v>6</v>
      </c>
      <c r="F844" t="s">
        <v>7</v>
      </c>
      <c r="G844">
        <v>24</v>
      </c>
      <c r="H844" s="2">
        <f>Tabelle13[[#This Row],[commits]]/Tabelle13[[#Totals],[commits]]</f>
        <v>1.1154697057019093E-4</v>
      </c>
      <c r="I844" s="5">
        <f>Tabelle13[[#This Row],[%]]+I843</f>
        <v>0.89503894848389276</v>
      </c>
      <c r="J844" s="4">
        <f t="shared" si="59"/>
        <v>1.105583195135434E-4</v>
      </c>
      <c r="K844" s="5">
        <f t="shared" si="60"/>
        <v>9.3090105030402173E-2</v>
      </c>
    </row>
    <row r="845" spans="1:11" x14ac:dyDescent="0.25">
      <c r="A845" t="s">
        <v>2505</v>
      </c>
      <c r="C845" t="s">
        <v>2506</v>
      </c>
      <c r="D845" t="s">
        <v>5</v>
      </c>
      <c r="E845" t="s">
        <v>6</v>
      </c>
      <c r="F845" t="s">
        <v>724</v>
      </c>
      <c r="G845">
        <v>24</v>
      </c>
      <c r="H845" s="2">
        <f>Tabelle13[[#This Row],[commits]]/Tabelle13[[#Totals],[commits]]</f>
        <v>1.1154697057019093E-4</v>
      </c>
      <c r="I845" s="5">
        <f>Tabelle13[[#This Row],[%]]+I844</f>
        <v>0.8951504954544629</v>
      </c>
      <c r="J845" s="4">
        <f t="shared" si="59"/>
        <v>1.105583195135434E-4</v>
      </c>
      <c r="K845" s="5">
        <f t="shared" si="60"/>
        <v>9.3200663349915711E-2</v>
      </c>
    </row>
    <row r="846" spans="1:11" x14ac:dyDescent="0.25">
      <c r="A846" t="s">
        <v>2507</v>
      </c>
      <c r="C846" t="s">
        <v>2508</v>
      </c>
      <c r="D846" t="s">
        <v>309</v>
      </c>
      <c r="E846" t="s">
        <v>6</v>
      </c>
      <c r="F846" t="s">
        <v>724</v>
      </c>
      <c r="G846">
        <v>24</v>
      </c>
      <c r="H846" s="2">
        <f>Tabelle13[[#This Row],[commits]]/Tabelle13[[#Totals],[commits]]</f>
        <v>1.1154697057019093E-4</v>
      </c>
      <c r="I846" s="5">
        <f>Tabelle13[[#This Row],[%]]+I845</f>
        <v>0.89526204242503304</v>
      </c>
      <c r="J846" s="4">
        <f t="shared" si="59"/>
        <v>1.105583195135434E-4</v>
      </c>
      <c r="K846" s="5">
        <f t="shared" si="60"/>
        <v>9.3311221669429248E-2</v>
      </c>
    </row>
    <row r="847" spans="1:11" x14ac:dyDescent="0.25">
      <c r="A847" t="s">
        <v>5264</v>
      </c>
      <c r="C847" t="s">
        <v>5265</v>
      </c>
      <c r="D847" t="s">
        <v>5</v>
      </c>
      <c r="E847" t="s">
        <v>6</v>
      </c>
      <c r="F847" t="s">
        <v>28</v>
      </c>
      <c r="G847">
        <v>24</v>
      </c>
      <c r="H847" s="2">
        <f>Tabelle13[[#This Row],[commits]]/Tabelle13[[#Totals],[commits]]</f>
        <v>1.1154697057019093E-4</v>
      </c>
      <c r="I847" s="5">
        <f>Tabelle13[[#This Row],[%]]+I846</f>
        <v>0.89537358939560319</v>
      </c>
      <c r="J847" s="4">
        <f t="shared" si="59"/>
        <v>1.105583195135434E-4</v>
      </c>
      <c r="K847" s="5">
        <f t="shared" si="60"/>
        <v>9.3421779988942785E-2</v>
      </c>
    </row>
    <row r="848" spans="1:11" x14ac:dyDescent="0.25">
      <c r="A848" t="s">
        <v>9872</v>
      </c>
      <c r="C848" t="s">
        <v>9873</v>
      </c>
      <c r="D848" t="s">
        <v>309</v>
      </c>
      <c r="E848" t="s">
        <v>6</v>
      </c>
      <c r="F848" t="s">
        <v>251</v>
      </c>
      <c r="G848">
        <v>24</v>
      </c>
      <c r="H848" s="2">
        <f>Tabelle13[[#This Row],[commits]]/Tabelle13[[#Totals],[commits]]</f>
        <v>1.1154697057019093E-4</v>
      </c>
      <c r="I848" s="5">
        <f>Tabelle13[[#This Row],[%]]+I847</f>
        <v>0.89548513636617333</v>
      </c>
      <c r="J848" s="4">
        <f t="shared" si="59"/>
        <v>1.105583195135434E-4</v>
      </c>
      <c r="K848" s="5">
        <f t="shared" si="60"/>
        <v>9.3532338308456323E-2</v>
      </c>
    </row>
    <row r="849" spans="1:11" x14ac:dyDescent="0.25">
      <c r="A849" t="s">
        <v>9874</v>
      </c>
      <c r="C849" t="s">
        <v>9875</v>
      </c>
      <c r="D849" t="s">
        <v>309</v>
      </c>
      <c r="E849" t="s">
        <v>6</v>
      </c>
      <c r="F849" t="s">
        <v>251</v>
      </c>
      <c r="G849">
        <v>24</v>
      </c>
      <c r="H849" s="2">
        <f>Tabelle13[[#This Row],[commits]]/Tabelle13[[#Totals],[commits]]</f>
        <v>1.1154697057019093E-4</v>
      </c>
      <c r="I849" s="5">
        <f>Tabelle13[[#This Row],[%]]+I848</f>
        <v>0.89559668333674347</v>
      </c>
      <c r="J849" s="4">
        <f t="shared" si="59"/>
        <v>1.105583195135434E-4</v>
      </c>
      <c r="K849" s="5">
        <f t="shared" si="60"/>
        <v>9.364289662796986E-2</v>
      </c>
    </row>
    <row r="850" spans="1:11" x14ac:dyDescent="0.25">
      <c r="A850" t="s">
        <v>9876</v>
      </c>
      <c r="C850" t="s">
        <v>9877</v>
      </c>
      <c r="D850" t="s">
        <v>309</v>
      </c>
      <c r="E850" t="s">
        <v>6</v>
      </c>
      <c r="F850" t="s">
        <v>251</v>
      </c>
      <c r="G850">
        <v>24</v>
      </c>
      <c r="H850" s="2">
        <f>Tabelle13[[#This Row],[commits]]/Tabelle13[[#Totals],[commits]]</f>
        <v>1.1154697057019093E-4</v>
      </c>
      <c r="I850" s="5">
        <f>Tabelle13[[#This Row],[%]]+I849</f>
        <v>0.89570823030731361</v>
      </c>
      <c r="J850" s="4">
        <f t="shared" si="59"/>
        <v>1.105583195135434E-4</v>
      </c>
      <c r="K850" s="5">
        <f t="shared" si="60"/>
        <v>9.3753454947483397E-2</v>
      </c>
    </row>
    <row r="851" spans="1:11" x14ac:dyDescent="0.25">
      <c r="A851" t="s">
        <v>9878</v>
      </c>
      <c r="C851" t="s">
        <v>9879</v>
      </c>
      <c r="D851" t="s">
        <v>309</v>
      </c>
      <c r="E851" t="s">
        <v>6</v>
      </c>
      <c r="F851" t="s">
        <v>251</v>
      </c>
      <c r="G851">
        <v>24</v>
      </c>
      <c r="H851" s="2">
        <f>Tabelle13[[#This Row],[commits]]/Tabelle13[[#Totals],[commits]]</f>
        <v>1.1154697057019093E-4</v>
      </c>
      <c r="I851" s="5">
        <f>Tabelle13[[#This Row],[%]]+I850</f>
        <v>0.89581977727788376</v>
      </c>
      <c r="J851" s="4">
        <f t="shared" si="59"/>
        <v>1.105583195135434E-4</v>
      </c>
      <c r="K851" s="5">
        <f t="shared" si="60"/>
        <v>9.3864013266996935E-2</v>
      </c>
    </row>
    <row r="852" spans="1:11" x14ac:dyDescent="0.25">
      <c r="A852" t="s">
        <v>9880</v>
      </c>
      <c r="C852" t="s">
        <v>9881</v>
      </c>
      <c r="D852" t="s">
        <v>309</v>
      </c>
      <c r="E852" t="s">
        <v>6</v>
      </c>
      <c r="F852" t="s">
        <v>251</v>
      </c>
      <c r="G852">
        <v>24</v>
      </c>
      <c r="H852" s="2">
        <f>Tabelle13[[#This Row],[commits]]/Tabelle13[[#Totals],[commits]]</f>
        <v>1.1154697057019093E-4</v>
      </c>
      <c r="I852" s="5">
        <f>Tabelle13[[#This Row],[%]]+I851</f>
        <v>0.8959313242484539</v>
      </c>
      <c r="J852" s="4">
        <f t="shared" si="59"/>
        <v>1.105583195135434E-4</v>
      </c>
      <c r="K852" s="5">
        <f t="shared" si="60"/>
        <v>9.3974571586510472E-2</v>
      </c>
    </row>
    <row r="853" spans="1:11" x14ac:dyDescent="0.25">
      <c r="A853" t="s">
        <v>9882</v>
      </c>
      <c r="C853" t="s">
        <v>9883</v>
      </c>
      <c r="D853" t="s">
        <v>309</v>
      </c>
      <c r="E853" t="s">
        <v>6</v>
      </c>
      <c r="F853" t="s">
        <v>251</v>
      </c>
      <c r="G853">
        <v>24</v>
      </c>
      <c r="H853" s="2">
        <f>Tabelle13[[#This Row],[commits]]/Tabelle13[[#Totals],[commits]]</f>
        <v>1.1154697057019093E-4</v>
      </c>
      <c r="I853" s="5">
        <f>Tabelle13[[#This Row],[%]]+I852</f>
        <v>0.89604287121902404</v>
      </c>
      <c r="J853" s="4">
        <f t="shared" si="59"/>
        <v>1.105583195135434E-4</v>
      </c>
      <c r="K853" s="5">
        <f t="shared" si="60"/>
        <v>9.4085129906024009E-2</v>
      </c>
    </row>
    <row r="854" spans="1:11" x14ac:dyDescent="0.25">
      <c r="A854" t="s">
        <v>9884</v>
      </c>
      <c r="C854" t="s">
        <v>9885</v>
      </c>
      <c r="D854" t="s">
        <v>309</v>
      </c>
      <c r="E854" t="s">
        <v>6</v>
      </c>
      <c r="F854" t="s">
        <v>251</v>
      </c>
      <c r="G854">
        <v>24</v>
      </c>
      <c r="H854" s="2">
        <f>Tabelle13[[#This Row],[commits]]/Tabelle13[[#Totals],[commits]]</f>
        <v>1.1154697057019093E-4</v>
      </c>
      <c r="I854" s="5">
        <f>Tabelle13[[#This Row],[%]]+I853</f>
        <v>0.89615441818959418</v>
      </c>
      <c r="J854" s="4">
        <f t="shared" si="59"/>
        <v>1.105583195135434E-4</v>
      </c>
      <c r="K854" s="5">
        <f t="shared" si="60"/>
        <v>9.4195688225537547E-2</v>
      </c>
    </row>
    <row r="855" spans="1:11" x14ac:dyDescent="0.25">
      <c r="A855" t="s">
        <v>9886</v>
      </c>
      <c r="C855" t="s">
        <v>9887</v>
      </c>
      <c r="D855" t="s">
        <v>309</v>
      </c>
      <c r="E855" t="s">
        <v>6</v>
      </c>
      <c r="F855" t="s">
        <v>251</v>
      </c>
      <c r="G855">
        <v>24</v>
      </c>
      <c r="H855" s="2">
        <f>Tabelle13[[#This Row],[commits]]/Tabelle13[[#Totals],[commits]]</f>
        <v>1.1154697057019093E-4</v>
      </c>
      <c r="I855" s="5">
        <f>Tabelle13[[#This Row],[%]]+I854</f>
        <v>0.89626596516016432</v>
      </c>
      <c r="J855" s="4">
        <f t="shared" si="59"/>
        <v>1.105583195135434E-4</v>
      </c>
      <c r="K855" s="5">
        <f t="shared" si="60"/>
        <v>9.4306246545051084E-2</v>
      </c>
    </row>
    <row r="856" spans="1:11" x14ac:dyDescent="0.25">
      <c r="A856" t="s">
        <v>9888</v>
      </c>
      <c r="C856" t="s">
        <v>9889</v>
      </c>
      <c r="D856" t="s">
        <v>5</v>
      </c>
      <c r="E856" t="s">
        <v>6</v>
      </c>
      <c r="F856" t="s">
        <v>251</v>
      </c>
      <c r="G856">
        <v>24</v>
      </c>
      <c r="H856" s="2">
        <f>Tabelle13[[#This Row],[commits]]/Tabelle13[[#Totals],[commits]]</f>
        <v>1.1154697057019093E-4</v>
      </c>
      <c r="I856" s="5">
        <f>Tabelle13[[#This Row],[%]]+I855</f>
        <v>0.89637751213073447</v>
      </c>
      <c r="J856" s="4">
        <f t="shared" si="59"/>
        <v>1.105583195135434E-4</v>
      </c>
      <c r="K856" s="5">
        <f t="shared" si="60"/>
        <v>9.4416804864564621E-2</v>
      </c>
    </row>
    <row r="857" spans="1:11" x14ac:dyDescent="0.25">
      <c r="A857" t="s">
        <v>9890</v>
      </c>
      <c r="C857" t="s">
        <v>9891</v>
      </c>
      <c r="D857" t="s">
        <v>8948</v>
      </c>
      <c r="E857" t="s">
        <v>6</v>
      </c>
      <c r="F857" t="s">
        <v>251</v>
      </c>
      <c r="G857">
        <v>24</v>
      </c>
      <c r="H857" s="2">
        <f>Tabelle13[[#This Row],[commits]]/Tabelle13[[#Totals],[commits]]</f>
        <v>1.1154697057019093E-4</v>
      </c>
      <c r="I857" s="5">
        <f>Tabelle13[[#This Row],[%]]+I856</f>
        <v>0.89648905910130461</v>
      </c>
      <c r="J857" s="4">
        <f t="shared" si="59"/>
        <v>1.105583195135434E-4</v>
      </c>
      <c r="K857" s="5">
        <f t="shared" si="60"/>
        <v>9.4527363184078159E-2</v>
      </c>
    </row>
    <row r="858" spans="1:11" x14ac:dyDescent="0.25">
      <c r="A858" t="s">
        <v>9892</v>
      </c>
      <c r="C858" t="s">
        <v>9893</v>
      </c>
      <c r="D858" t="s">
        <v>309</v>
      </c>
      <c r="E858" t="s">
        <v>6</v>
      </c>
      <c r="F858" t="s">
        <v>251</v>
      </c>
      <c r="G858">
        <v>24</v>
      </c>
      <c r="H858" s="2">
        <f>Tabelle13[[#This Row],[commits]]/Tabelle13[[#Totals],[commits]]</f>
        <v>1.1154697057019093E-4</v>
      </c>
      <c r="I858" s="5">
        <f>Tabelle13[[#This Row],[%]]+I857</f>
        <v>0.89660060607187475</v>
      </c>
      <c r="J858" s="4">
        <f t="shared" si="59"/>
        <v>1.105583195135434E-4</v>
      </c>
      <c r="K858" s="5">
        <f t="shared" si="60"/>
        <v>9.4637921503591696E-2</v>
      </c>
    </row>
    <row r="859" spans="1:11" x14ac:dyDescent="0.25">
      <c r="A859" t="s">
        <v>9894</v>
      </c>
      <c r="C859" t="s">
        <v>9895</v>
      </c>
      <c r="D859" t="s">
        <v>309</v>
      </c>
      <c r="E859" t="s">
        <v>6</v>
      </c>
      <c r="F859" t="s">
        <v>251</v>
      </c>
      <c r="G859">
        <v>24</v>
      </c>
      <c r="H859" s="2">
        <f>Tabelle13[[#This Row],[commits]]/Tabelle13[[#Totals],[commits]]</f>
        <v>1.1154697057019093E-4</v>
      </c>
      <c r="I859" s="5">
        <f>Tabelle13[[#This Row],[%]]+I858</f>
        <v>0.89671215304244489</v>
      </c>
      <c r="J859" s="4">
        <f t="shared" si="59"/>
        <v>1.105583195135434E-4</v>
      </c>
      <c r="K859" s="5">
        <f t="shared" si="60"/>
        <v>9.4748479823105233E-2</v>
      </c>
    </row>
    <row r="860" spans="1:11" x14ac:dyDescent="0.25">
      <c r="A860" t="s">
        <v>9896</v>
      </c>
      <c r="C860" t="s">
        <v>9897</v>
      </c>
      <c r="D860" t="s">
        <v>5</v>
      </c>
      <c r="E860" t="s">
        <v>6</v>
      </c>
      <c r="F860" t="s">
        <v>251</v>
      </c>
      <c r="G860">
        <v>24</v>
      </c>
      <c r="H860" s="2">
        <f>Tabelle13[[#This Row],[commits]]/Tabelle13[[#Totals],[commits]]</f>
        <v>1.1154697057019093E-4</v>
      </c>
      <c r="I860" s="5">
        <f>Tabelle13[[#This Row],[%]]+I859</f>
        <v>0.89682370001301503</v>
      </c>
      <c r="J860" s="4">
        <f t="shared" si="59"/>
        <v>1.105583195135434E-4</v>
      </c>
      <c r="K860" s="5">
        <f t="shared" si="60"/>
        <v>9.4859038142618771E-2</v>
      </c>
    </row>
    <row r="861" spans="1:11" x14ac:dyDescent="0.25">
      <c r="A861" t="s">
        <v>9898</v>
      </c>
      <c r="C861" t="s">
        <v>9899</v>
      </c>
      <c r="D861" t="s">
        <v>8760</v>
      </c>
      <c r="E861" t="s">
        <v>6</v>
      </c>
      <c r="F861" t="s">
        <v>251</v>
      </c>
      <c r="G861">
        <v>24</v>
      </c>
      <c r="H861" s="2">
        <f>Tabelle13[[#This Row],[commits]]/Tabelle13[[#Totals],[commits]]</f>
        <v>1.1154697057019093E-4</v>
      </c>
      <c r="I861" s="5">
        <f>Tabelle13[[#This Row],[%]]+I860</f>
        <v>0.89693524698358518</v>
      </c>
      <c r="J861" s="4">
        <f t="shared" si="59"/>
        <v>1.105583195135434E-4</v>
      </c>
      <c r="K861" s="5">
        <f t="shared" si="60"/>
        <v>9.4969596462132308E-2</v>
      </c>
    </row>
    <row r="862" spans="1:11" x14ac:dyDescent="0.25">
      <c r="A862" t="s">
        <v>9900</v>
      </c>
      <c r="C862" t="s">
        <v>9901</v>
      </c>
      <c r="D862" t="s">
        <v>9902</v>
      </c>
      <c r="E862" t="s">
        <v>6</v>
      </c>
      <c r="F862" t="s">
        <v>251</v>
      </c>
      <c r="G862">
        <v>24</v>
      </c>
      <c r="H862" s="2">
        <f>Tabelle13[[#This Row],[commits]]/Tabelle13[[#Totals],[commits]]</f>
        <v>1.1154697057019093E-4</v>
      </c>
      <c r="I862" s="5">
        <f>Tabelle13[[#This Row],[%]]+I861</f>
        <v>0.89704679395415532</v>
      </c>
      <c r="J862" s="4">
        <f t="shared" si="59"/>
        <v>1.105583195135434E-4</v>
      </c>
      <c r="K862" s="5">
        <f t="shared" si="60"/>
        <v>9.5080154781645845E-2</v>
      </c>
    </row>
    <row r="863" spans="1:11" x14ac:dyDescent="0.25">
      <c r="A863" t="s">
        <v>9903</v>
      </c>
      <c r="C863" t="s">
        <v>9904</v>
      </c>
      <c r="D863" t="s">
        <v>309</v>
      </c>
      <c r="E863" t="s">
        <v>6</v>
      </c>
      <c r="F863" t="s">
        <v>251</v>
      </c>
      <c r="G863">
        <v>24</v>
      </c>
      <c r="H863" s="2">
        <f>Tabelle13[[#This Row],[commits]]/Tabelle13[[#Totals],[commits]]</f>
        <v>1.1154697057019093E-4</v>
      </c>
      <c r="I863" s="5">
        <f>Tabelle13[[#This Row],[%]]+I862</f>
        <v>0.89715834092472546</v>
      </c>
      <c r="J863" s="4">
        <f t="shared" si="59"/>
        <v>1.105583195135434E-4</v>
      </c>
      <c r="K863" s="5">
        <f t="shared" si="60"/>
        <v>9.5190713101159383E-2</v>
      </c>
    </row>
    <row r="864" spans="1:11" x14ac:dyDescent="0.25">
      <c r="A864" t="s">
        <v>9905</v>
      </c>
      <c r="C864" t="s">
        <v>9906</v>
      </c>
      <c r="D864" t="s">
        <v>309</v>
      </c>
      <c r="E864" t="s">
        <v>6</v>
      </c>
      <c r="F864" t="s">
        <v>251</v>
      </c>
      <c r="G864">
        <v>24</v>
      </c>
      <c r="H864" s="2">
        <f>Tabelle13[[#This Row],[commits]]/Tabelle13[[#Totals],[commits]]</f>
        <v>1.1154697057019093E-4</v>
      </c>
      <c r="I864" s="5">
        <f>Tabelle13[[#This Row],[%]]+I863</f>
        <v>0.8972698878952956</v>
      </c>
      <c r="J864" s="4">
        <f t="shared" si="59"/>
        <v>1.105583195135434E-4</v>
      </c>
      <c r="K864" s="5">
        <f t="shared" si="60"/>
        <v>9.530127142067292E-2</v>
      </c>
    </row>
    <row r="865" spans="1:11" x14ac:dyDescent="0.25">
      <c r="A865" t="s">
        <v>9907</v>
      </c>
      <c r="C865" t="s">
        <v>9908</v>
      </c>
      <c r="D865" t="s">
        <v>9909</v>
      </c>
      <c r="E865" t="s">
        <v>6</v>
      </c>
      <c r="F865" t="s">
        <v>251</v>
      </c>
      <c r="G865">
        <v>24</v>
      </c>
      <c r="H865" s="2">
        <f>Tabelle13[[#This Row],[commits]]/Tabelle13[[#Totals],[commits]]</f>
        <v>1.1154697057019093E-4</v>
      </c>
      <c r="I865" s="5">
        <f>Tabelle13[[#This Row],[%]]+I864</f>
        <v>0.89738143486586575</v>
      </c>
      <c r="J865" s="4">
        <f t="shared" si="59"/>
        <v>1.105583195135434E-4</v>
      </c>
      <c r="K865" s="5">
        <f t="shared" si="60"/>
        <v>9.5411829740186457E-2</v>
      </c>
    </row>
    <row r="866" spans="1:11" x14ac:dyDescent="0.25">
      <c r="A866" t="s">
        <v>9910</v>
      </c>
      <c r="C866" t="s">
        <v>4915</v>
      </c>
      <c r="D866" t="s">
        <v>5</v>
      </c>
      <c r="E866" t="s">
        <v>6</v>
      </c>
      <c r="F866" t="s">
        <v>251</v>
      </c>
      <c r="G866">
        <v>24</v>
      </c>
      <c r="H866" s="2">
        <f>Tabelle13[[#This Row],[commits]]/Tabelle13[[#Totals],[commits]]</f>
        <v>1.1154697057019093E-4</v>
      </c>
      <c r="I866" s="5">
        <f>Tabelle13[[#This Row],[%]]+I865</f>
        <v>0.89749298183643589</v>
      </c>
      <c r="J866" s="4">
        <f t="shared" si="59"/>
        <v>1.105583195135434E-4</v>
      </c>
      <c r="K866" s="5">
        <f t="shared" si="60"/>
        <v>9.5522388059699995E-2</v>
      </c>
    </row>
    <row r="867" spans="1:11" x14ac:dyDescent="0.25">
      <c r="A867" t="s">
        <v>83</v>
      </c>
      <c r="C867" t="s">
        <v>84</v>
      </c>
      <c r="D867" t="s">
        <v>5</v>
      </c>
      <c r="E867" t="s">
        <v>6</v>
      </c>
      <c r="F867" t="s">
        <v>7</v>
      </c>
      <c r="G867">
        <v>23</v>
      </c>
      <c r="H867" s="2">
        <f>Tabelle13[[#This Row],[commits]]/Tabelle13[[#Totals],[commits]]</f>
        <v>1.0689918012976631E-4</v>
      </c>
      <c r="I867" s="5">
        <f>Tabelle13[[#This Row],[%]]+I866</f>
        <v>0.89759988101656563</v>
      </c>
      <c r="J867" s="4">
        <f t="shared" si="59"/>
        <v>1.105583195135434E-4</v>
      </c>
      <c r="K867" s="5">
        <f t="shared" si="60"/>
        <v>9.5632946379213532E-2</v>
      </c>
    </row>
    <row r="868" spans="1:11" x14ac:dyDescent="0.25">
      <c r="A868" t="s">
        <v>2509</v>
      </c>
      <c r="C868" t="s">
        <v>2510</v>
      </c>
      <c r="D868" t="s">
        <v>5</v>
      </c>
      <c r="E868" t="s">
        <v>6</v>
      </c>
      <c r="F868" t="s">
        <v>724</v>
      </c>
      <c r="G868">
        <v>23</v>
      </c>
      <c r="H868" s="2">
        <f>Tabelle13[[#This Row],[commits]]/Tabelle13[[#Totals],[commits]]</f>
        <v>1.0689918012976631E-4</v>
      </c>
      <c r="I868" s="5">
        <f>Tabelle13[[#This Row],[%]]+I867</f>
        <v>0.89770678019669536</v>
      </c>
      <c r="J868" s="4">
        <f t="shared" si="59"/>
        <v>1.105583195135434E-4</v>
      </c>
      <c r="K868" s="5">
        <f t="shared" si="60"/>
        <v>9.5743504698727069E-2</v>
      </c>
    </row>
    <row r="869" spans="1:11" x14ac:dyDescent="0.25">
      <c r="A869" t="s">
        <v>2511</v>
      </c>
      <c r="C869" t="s">
        <v>2512</v>
      </c>
      <c r="D869" t="s">
        <v>5</v>
      </c>
      <c r="E869" t="s">
        <v>6</v>
      </c>
      <c r="F869" t="s">
        <v>724</v>
      </c>
      <c r="G869">
        <v>23</v>
      </c>
      <c r="H869" s="2">
        <f>Tabelle13[[#This Row],[commits]]/Tabelle13[[#Totals],[commits]]</f>
        <v>1.0689918012976631E-4</v>
      </c>
      <c r="I869" s="5">
        <f>Tabelle13[[#This Row],[%]]+I868</f>
        <v>0.8978136793768251</v>
      </c>
      <c r="J869" s="4">
        <f t="shared" si="59"/>
        <v>1.105583195135434E-4</v>
      </c>
      <c r="K869" s="5">
        <f t="shared" si="60"/>
        <v>9.5854063018240607E-2</v>
      </c>
    </row>
    <row r="870" spans="1:11" x14ac:dyDescent="0.25">
      <c r="A870" t="s">
        <v>9911</v>
      </c>
      <c r="C870" t="s">
        <v>9912</v>
      </c>
      <c r="D870" t="s">
        <v>8760</v>
      </c>
      <c r="E870" t="s">
        <v>6</v>
      </c>
      <c r="F870" t="s">
        <v>251</v>
      </c>
      <c r="G870">
        <v>23</v>
      </c>
      <c r="H870" s="2">
        <f>Tabelle13[[#This Row],[commits]]/Tabelle13[[#Totals],[commits]]</f>
        <v>1.0689918012976631E-4</v>
      </c>
      <c r="I870" s="5">
        <f>Tabelle13[[#This Row],[%]]+I869</f>
        <v>0.89792057855695484</v>
      </c>
      <c r="J870" s="4">
        <f t="shared" si="59"/>
        <v>1.105583195135434E-4</v>
      </c>
      <c r="K870" s="5">
        <f t="shared" si="60"/>
        <v>9.5964621337754144E-2</v>
      </c>
    </row>
    <row r="871" spans="1:11" x14ac:dyDescent="0.25">
      <c r="A871" t="s">
        <v>9913</v>
      </c>
      <c r="C871" t="s">
        <v>9914</v>
      </c>
      <c r="D871" t="s">
        <v>309</v>
      </c>
      <c r="E871" t="s">
        <v>6</v>
      </c>
      <c r="F871" t="s">
        <v>251</v>
      </c>
      <c r="G871">
        <v>23</v>
      </c>
      <c r="H871" s="2">
        <f>Tabelle13[[#This Row],[commits]]/Tabelle13[[#Totals],[commits]]</f>
        <v>1.0689918012976631E-4</v>
      </c>
      <c r="I871" s="5">
        <f>Tabelle13[[#This Row],[%]]+I870</f>
        <v>0.89802747773708458</v>
      </c>
      <c r="J871" s="4">
        <f t="shared" si="59"/>
        <v>1.105583195135434E-4</v>
      </c>
      <c r="K871" s="5">
        <f t="shared" si="60"/>
        <v>9.6075179657267681E-2</v>
      </c>
    </row>
    <row r="872" spans="1:11" x14ac:dyDescent="0.25">
      <c r="A872" t="s">
        <v>9915</v>
      </c>
      <c r="C872" t="s">
        <v>9916</v>
      </c>
      <c r="D872" t="s">
        <v>309</v>
      </c>
      <c r="E872" t="s">
        <v>6</v>
      </c>
      <c r="F872" t="s">
        <v>251</v>
      </c>
      <c r="G872">
        <v>23</v>
      </c>
      <c r="H872" s="2">
        <f>Tabelle13[[#This Row],[commits]]/Tabelle13[[#Totals],[commits]]</f>
        <v>1.0689918012976631E-4</v>
      </c>
      <c r="I872" s="5">
        <f>Tabelle13[[#This Row],[%]]+I871</f>
        <v>0.89813437691721432</v>
      </c>
      <c r="J872" s="4">
        <f t="shared" si="59"/>
        <v>1.105583195135434E-4</v>
      </c>
      <c r="K872" s="5">
        <f t="shared" si="60"/>
        <v>9.6185737976781219E-2</v>
      </c>
    </row>
    <row r="873" spans="1:11" x14ac:dyDescent="0.25">
      <c r="A873" t="s">
        <v>9917</v>
      </c>
      <c r="C873" t="s">
        <v>9918</v>
      </c>
      <c r="D873" t="s">
        <v>5</v>
      </c>
      <c r="E873" t="s">
        <v>6</v>
      </c>
      <c r="F873" t="s">
        <v>251</v>
      </c>
      <c r="G873">
        <v>23</v>
      </c>
      <c r="H873" s="2">
        <f>Tabelle13[[#This Row],[commits]]/Tabelle13[[#Totals],[commits]]</f>
        <v>1.0689918012976631E-4</v>
      </c>
      <c r="I873" s="5">
        <f>Tabelle13[[#This Row],[%]]+I872</f>
        <v>0.89824127609734405</v>
      </c>
      <c r="J873" s="4">
        <f t="shared" si="59"/>
        <v>1.105583195135434E-4</v>
      </c>
      <c r="K873" s="5">
        <f t="shared" si="60"/>
        <v>9.6296296296294756E-2</v>
      </c>
    </row>
    <row r="874" spans="1:11" x14ac:dyDescent="0.25">
      <c r="A874" t="s">
        <v>9919</v>
      </c>
      <c r="C874" t="s">
        <v>9920</v>
      </c>
      <c r="D874" t="s">
        <v>8757</v>
      </c>
      <c r="E874" t="s">
        <v>6</v>
      </c>
      <c r="F874" t="s">
        <v>251</v>
      </c>
      <c r="G874">
        <v>23</v>
      </c>
      <c r="H874" s="2">
        <f>Tabelle13[[#This Row],[commits]]/Tabelle13[[#Totals],[commits]]</f>
        <v>1.0689918012976631E-4</v>
      </c>
      <c r="I874" s="5">
        <f>Tabelle13[[#This Row],[%]]+I873</f>
        <v>0.89834817527747379</v>
      </c>
      <c r="J874" s="4">
        <f t="shared" si="59"/>
        <v>1.105583195135434E-4</v>
      </c>
      <c r="K874" s="5">
        <f t="shared" si="60"/>
        <v>9.6406854615808293E-2</v>
      </c>
    </row>
    <row r="875" spans="1:11" x14ac:dyDescent="0.25">
      <c r="A875" t="s">
        <v>9921</v>
      </c>
      <c r="C875" t="s">
        <v>9922</v>
      </c>
      <c r="D875" t="s">
        <v>5</v>
      </c>
      <c r="E875" t="s">
        <v>6</v>
      </c>
      <c r="F875" t="s">
        <v>251</v>
      </c>
      <c r="G875">
        <v>23</v>
      </c>
      <c r="H875" s="2">
        <f>Tabelle13[[#This Row],[commits]]/Tabelle13[[#Totals],[commits]]</f>
        <v>1.0689918012976631E-4</v>
      </c>
      <c r="I875" s="5">
        <f>Tabelle13[[#This Row],[%]]+I874</f>
        <v>0.89845507445760353</v>
      </c>
      <c r="J875" s="4">
        <f t="shared" si="59"/>
        <v>1.105583195135434E-4</v>
      </c>
      <c r="K875" s="5">
        <f t="shared" si="60"/>
        <v>9.6517412935321831E-2</v>
      </c>
    </row>
    <row r="876" spans="1:11" x14ac:dyDescent="0.25">
      <c r="A876" t="s">
        <v>9923</v>
      </c>
      <c r="C876" t="s">
        <v>9924</v>
      </c>
      <c r="D876" t="s">
        <v>309</v>
      </c>
      <c r="E876" t="s">
        <v>6</v>
      </c>
      <c r="F876" t="s">
        <v>251</v>
      </c>
      <c r="G876">
        <v>23</v>
      </c>
      <c r="H876" s="2">
        <f>Tabelle13[[#This Row],[commits]]/Tabelle13[[#Totals],[commits]]</f>
        <v>1.0689918012976631E-4</v>
      </c>
      <c r="I876" s="5">
        <f>Tabelle13[[#This Row],[%]]+I875</f>
        <v>0.89856197363773327</v>
      </c>
      <c r="J876" s="4">
        <f t="shared" si="59"/>
        <v>1.105583195135434E-4</v>
      </c>
      <c r="K876" s="5">
        <f t="shared" si="60"/>
        <v>9.6627971254835368E-2</v>
      </c>
    </row>
    <row r="877" spans="1:11" x14ac:dyDescent="0.25">
      <c r="A877" t="s">
        <v>9925</v>
      </c>
      <c r="C877" t="s">
        <v>9926</v>
      </c>
      <c r="D877" t="s">
        <v>5</v>
      </c>
      <c r="E877" t="s">
        <v>6</v>
      </c>
      <c r="F877" t="s">
        <v>251</v>
      </c>
      <c r="G877">
        <v>23</v>
      </c>
      <c r="H877" s="2">
        <f>Tabelle13[[#This Row],[commits]]/Tabelle13[[#Totals],[commits]]</f>
        <v>1.0689918012976631E-4</v>
      </c>
      <c r="I877" s="5">
        <f>Tabelle13[[#This Row],[%]]+I876</f>
        <v>0.89866887281786301</v>
      </c>
      <c r="J877" s="4">
        <f t="shared" si="59"/>
        <v>1.105583195135434E-4</v>
      </c>
      <c r="K877" s="5">
        <f t="shared" si="60"/>
        <v>9.6738529574348905E-2</v>
      </c>
    </row>
    <row r="878" spans="1:11" x14ac:dyDescent="0.25">
      <c r="A878" t="s">
        <v>9927</v>
      </c>
      <c r="C878" t="s">
        <v>9928</v>
      </c>
      <c r="D878" t="s">
        <v>9929</v>
      </c>
      <c r="E878" t="s">
        <v>6</v>
      </c>
      <c r="F878" t="s">
        <v>251</v>
      </c>
      <c r="G878">
        <v>23</v>
      </c>
      <c r="H878" s="2">
        <f>Tabelle13[[#This Row],[commits]]/Tabelle13[[#Totals],[commits]]</f>
        <v>1.0689918012976631E-4</v>
      </c>
      <c r="I878" s="5">
        <f>Tabelle13[[#This Row],[%]]+I877</f>
        <v>0.89877577199799275</v>
      </c>
      <c r="J878" s="4">
        <f t="shared" si="59"/>
        <v>1.105583195135434E-4</v>
      </c>
      <c r="K878" s="5">
        <f t="shared" si="60"/>
        <v>9.6849087893862443E-2</v>
      </c>
    </row>
    <row r="879" spans="1:11" x14ac:dyDescent="0.25">
      <c r="A879" t="s">
        <v>9930</v>
      </c>
      <c r="C879" t="s">
        <v>9931</v>
      </c>
      <c r="D879" t="s">
        <v>309</v>
      </c>
      <c r="E879" t="s">
        <v>6</v>
      </c>
      <c r="F879" t="s">
        <v>251</v>
      </c>
      <c r="G879">
        <v>23</v>
      </c>
      <c r="H879" s="2">
        <f>Tabelle13[[#This Row],[commits]]/Tabelle13[[#Totals],[commits]]</f>
        <v>1.0689918012976631E-4</v>
      </c>
      <c r="I879" s="5">
        <f>Tabelle13[[#This Row],[%]]+I878</f>
        <v>0.89888267117812248</v>
      </c>
      <c r="J879" s="4">
        <f t="shared" si="59"/>
        <v>1.105583195135434E-4</v>
      </c>
      <c r="K879" s="5">
        <f t="shared" si="60"/>
        <v>9.695964621337598E-2</v>
      </c>
    </row>
    <row r="880" spans="1:11" x14ac:dyDescent="0.25">
      <c r="A880" t="s">
        <v>9932</v>
      </c>
      <c r="C880" t="s">
        <v>9933</v>
      </c>
      <c r="D880" t="s">
        <v>5</v>
      </c>
      <c r="E880" t="s">
        <v>6</v>
      </c>
      <c r="F880" t="s">
        <v>251</v>
      </c>
      <c r="G880">
        <v>23</v>
      </c>
      <c r="H880" s="2">
        <f>Tabelle13[[#This Row],[commits]]/Tabelle13[[#Totals],[commits]]</f>
        <v>1.0689918012976631E-4</v>
      </c>
      <c r="I880" s="5">
        <f>Tabelle13[[#This Row],[%]]+I879</f>
        <v>0.89898957035825222</v>
      </c>
      <c r="J880" s="4">
        <f t="shared" si="59"/>
        <v>1.105583195135434E-4</v>
      </c>
      <c r="K880" s="5">
        <f t="shared" si="60"/>
        <v>9.7070204532889517E-2</v>
      </c>
    </row>
    <row r="881" spans="1:11" x14ac:dyDescent="0.25">
      <c r="A881" t="s">
        <v>9934</v>
      </c>
      <c r="C881" t="s">
        <v>9935</v>
      </c>
      <c r="D881" t="s">
        <v>309</v>
      </c>
      <c r="E881" t="s">
        <v>6</v>
      </c>
      <c r="F881" t="s">
        <v>251</v>
      </c>
      <c r="G881">
        <v>23</v>
      </c>
      <c r="H881" s="2">
        <f>Tabelle13[[#This Row],[commits]]/Tabelle13[[#Totals],[commits]]</f>
        <v>1.0689918012976631E-4</v>
      </c>
      <c r="I881" s="5">
        <f>Tabelle13[[#This Row],[%]]+I880</f>
        <v>0.89909646953838196</v>
      </c>
      <c r="J881" s="4">
        <f t="shared" si="59"/>
        <v>1.105583195135434E-4</v>
      </c>
      <c r="K881" s="5">
        <f t="shared" si="60"/>
        <v>9.7180762852403055E-2</v>
      </c>
    </row>
    <row r="882" spans="1:11" x14ac:dyDescent="0.25">
      <c r="A882" t="s">
        <v>9936</v>
      </c>
      <c r="C882" t="s">
        <v>9937</v>
      </c>
      <c r="D882" t="s">
        <v>8948</v>
      </c>
      <c r="E882" t="s">
        <v>6</v>
      </c>
      <c r="F882" t="s">
        <v>251</v>
      </c>
      <c r="G882">
        <v>23</v>
      </c>
      <c r="H882" s="2">
        <f>Tabelle13[[#This Row],[commits]]/Tabelle13[[#Totals],[commits]]</f>
        <v>1.0689918012976631E-4</v>
      </c>
      <c r="I882" s="5">
        <f>Tabelle13[[#This Row],[%]]+I881</f>
        <v>0.8992033687185117</v>
      </c>
      <c r="J882" s="4">
        <f t="shared" si="59"/>
        <v>1.105583195135434E-4</v>
      </c>
      <c r="K882" s="5">
        <f t="shared" si="60"/>
        <v>9.7291321171916592E-2</v>
      </c>
    </row>
    <row r="883" spans="1:11" x14ac:dyDescent="0.25">
      <c r="A883" t="s">
        <v>9938</v>
      </c>
      <c r="C883" t="s">
        <v>9939</v>
      </c>
      <c r="D883" t="s">
        <v>5</v>
      </c>
      <c r="E883" t="s">
        <v>6</v>
      </c>
      <c r="F883" t="s">
        <v>251</v>
      </c>
      <c r="G883">
        <v>23</v>
      </c>
      <c r="H883" s="2">
        <f>Tabelle13[[#This Row],[commits]]/Tabelle13[[#Totals],[commits]]</f>
        <v>1.0689918012976631E-4</v>
      </c>
      <c r="I883" s="5">
        <f>Tabelle13[[#This Row],[%]]+I882</f>
        <v>0.89931026789864144</v>
      </c>
      <c r="J883" s="4">
        <f t="shared" si="59"/>
        <v>1.105583195135434E-4</v>
      </c>
      <c r="K883" s="5">
        <f t="shared" si="60"/>
        <v>9.7401879491430129E-2</v>
      </c>
    </row>
    <row r="884" spans="1:11" x14ac:dyDescent="0.25">
      <c r="A884" t="s">
        <v>9940</v>
      </c>
      <c r="C884" t="s">
        <v>9941</v>
      </c>
      <c r="D884" t="s">
        <v>5</v>
      </c>
      <c r="E884" t="s">
        <v>6</v>
      </c>
      <c r="F884" t="s">
        <v>251</v>
      </c>
      <c r="G884">
        <v>23</v>
      </c>
      <c r="H884" s="2">
        <f>Tabelle13[[#This Row],[commits]]/Tabelle13[[#Totals],[commits]]</f>
        <v>1.0689918012976631E-4</v>
      </c>
      <c r="I884" s="5">
        <f>Tabelle13[[#This Row],[%]]+I883</f>
        <v>0.89941716707877117</v>
      </c>
      <c r="J884" s="4">
        <f t="shared" si="59"/>
        <v>1.105583195135434E-4</v>
      </c>
      <c r="K884" s="5">
        <f t="shared" si="60"/>
        <v>9.7512437810943667E-2</v>
      </c>
    </row>
    <row r="885" spans="1:11" x14ac:dyDescent="0.25">
      <c r="A885" t="s">
        <v>17142</v>
      </c>
      <c r="C885" t="s">
        <v>17143</v>
      </c>
      <c r="D885" t="s">
        <v>17144</v>
      </c>
      <c r="E885" t="s">
        <v>6</v>
      </c>
      <c r="F885" t="s">
        <v>334</v>
      </c>
      <c r="G885">
        <v>23</v>
      </c>
      <c r="H885" s="2">
        <f>Tabelle13[[#This Row],[commits]]/Tabelle13[[#Totals],[commits]]</f>
        <v>1.0689918012976631E-4</v>
      </c>
      <c r="I885" s="5">
        <f>Tabelle13[[#This Row],[%]]+I884</f>
        <v>0.89952406625890091</v>
      </c>
      <c r="J885" s="4">
        <f t="shared" si="59"/>
        <v>1.105583195135434E-4</v>
      </c>
      <c r="K885" s="5">
        <f t="shared" si="60"/>
        <v>9.7622996130457204E-2</v>
      </c>
    </row>
    <row r="886" spans="1:11" x14ac:dyDescent="0.25">
      <c r="A886" t="s">
        <v>17145</v>
      </c>
      <c r="C886" t="s">
        <v>17146</v>
      </c>
      <c r="D886" t="s">
        <v>5</v>
      </c>
      <c r="E886" t="s">
        <v>6</v>
      </c>
      <c r="F886" t="s">
        <v>334</v>
      </c>
      <c r="G886">
        <v>23</v>
      </c>
      <c r="H886" s="2">
        <f>Tabelle13[[#This Row],[commits]]/Tabelle13[[#Totals],[commits]]</f>
        <v>1.0689918012976631E-4</v>
      </c>
      <c r="I886" s="5">
        <f>Tabelle13[[#This Row],[%]]+I885</f>
        <v>0.89963096543903065</v>
      </c>
      <c r="J886" s="4">
        <f t="shared" si="59"/>
        <v>1.105583195135434E-4</v>
      </c>
      <c r="K886" s="5">
        <f t="shared" si="60"/>
        <v>9.7733554449970741E-2</v>
      </c>
    </row>
    <row r="887" spans="1:11" x14ac:dyDescent="0.25">
      <c r="A887" t="s">
        <v>85</v>
      </c>
      <c r="C887" t="s">
        <v>86</v>
      </c>
      <c r="D887" t="s">
        <v>5</v>
      </c>
      <c r="E887" t="s">
        <v>6</v>
      </c>
      <c r="F887" t="s">
        <v>7</v>
      </c>
      <c r="G887">
        <v>22</v>
      </c>
      <c r="H887" s="2">
        <f>Tabelle13[[#This Row],[commits]]/Tabelle13[[#Totals],[commits]]</f>
        <v>1.0225138968934169E-4</v>
      </c>
      <c r="I887" s="5">
        <f>Tabelle13[[#This Row],[%]]+I886</f>
        <v>0.89973321682871998</v>
      </c>
      <c r="J887" s="4">
        <f t="shared" si="59"/>
        <v>1.105583195135434E-4</v>
      </c>
      <c r="K887" s="5">
        <f t="shared" si="60"/>
        <v>9.7844112769484279E-2</v>
      </c>
    </row>
    <row r="888" spans="1:11" x14ac:dyDescent="0.25">
      <c r="A888" t="s">
        <v>87</v>
      </c>
      <c r="C888" t="s">
        <v>88</v>
      </c>
      <c r="D888" t="s">
        <v>5</v>
      </c>
      <c r="E888" t="s">
        <v>6</v>
      </c>
      <c r="F888" t="s">
        <v>7</v>
      </c>
      <c r="G888">
        <v>22</v>
      </c>
      <c r="H888" s="2">
        <f>Tabelle13[[#This Row],[commits]]/Tabelle13[[#Totals],[commits]]</f>
        <v>1.0225138968934169E-4</v>
      </c>
      <c r="I888" s="5">
        <f>Tabelle13[[#This Row],[%]]+I887</f>
        <v>0.89983546821840932</v>
      </c>
      <c r="J888" s="4">
        <f t="shared" si="59"/>
        <v>1.105583195135434E-4</v>
      </c>
      <c r="K888" s="5">
        <f t="shared" si="60"/>
        <v>9.7954671088997816E-2</v>
      </c>
    </row>
    <row r="889" spans="1:11" x14ac:dyDescent="0.25">
      <c r="A889" t="s">
        <v>2513</v>
      </c>
      <c r="C889" t="s">
        <v>2514</v>
      </c>
      <c r="D889" t="s">
        <v>5</v>
      </c>
      <c r="E889" t="s">
        <v>6</v>
      </c>
      <c r="F889" t="s">
        <v>724</v>
      </c>
      <c r="G889">
        <v>22</v>
      </c>
      <c r="H889" s="2">
        <f>Tabelle13[[#This Row],[commits]]/Tabelle13[[#Totals],[commits]]</f>
        <v>1.0225138968934169E-4</v>
      </c>
      <c r="I889" s="5">
        <f>Tabelle13[[#This Row],[%]]+I888</f>
        <v>0.89993771960809865</v>
      </c>
      <c r="J889" s="4">
        <f t="shared" si="59"/>
        <v>1.105583195135434E-4</v>
      </c>
      <c r="K889" s="5">
        <f t="shared" si="60"/>
        <v>9.8065229408511354E-2</v>
      </c>
    </row>
    <row r="890" spans="1:11" x14ac:dyDescent="0.25">
      <c r="A890" t="s">
        <v>2515</v>
      </c>
      <c r="C890" t="s">
        <v>2516</v>
      </c>
      <c r="D890" t="s">
        <v>5</v>
      </c>
      <c r="E890" t="s">
        <v>6</v>
      </c>
      <c r="F890" t="s">
        <v>724</v>
      </c>
      <c r="G890">
        <v>22</v>
      </c>
      <c r="H890" s="2">
        <f>Tabelle13[[#This Row],[commits]]/Tabelle13[[#Totals],[commits]]</f>
        <v>1.0225138968934169E-4</v>
      </c>
      <c r="I890" s="5">
        <f>Tabelle13[[#This Row],[%]]+I889</f>
        <v>0.90003997099778799</v>
      </c>
      <c r="J890" s="4">
        <f t="shared" si="59"/>
        <v>1.105583195135434E-4</v>
      </c>
      <c r="K890" s="5">
        <f t="shared" si="60"/>
        <v>9.8175787728024891E-2</v>
      </c>
    </row>
    <row r="891" spans="1:11" x14ac:dyDescent="0.25">
      <c r="A891" t="s">
        <v>2517</v>
      </c>
      <c r="C891" t="s">
        <v>2518</v>
      </c>
      <c r="D891" t="s">
        <v>5</v>
      </c>
      <c r="E891" t="s">
        <v>6</v>
      </c>
      <c r="F891" t="s">
        <v>724</v>
      </c>
      <c r="G891">
        <v>22</v>
      </c>
      <c r="H891" s="2">
        <f>Tabelle13[[#This Row],[commits]]/Tabelle13[[#Totals],[commits]]</f>
        <v>1.0225138968934169E-4</v>
      </c>
      <c r="I891" s="5">
        <f>Tabelle13[[#This Row],[%]]+I890</f>
        <v>0.90014222238747732</v>
      </c>
      <c r="J891" s="4">
        <f t="shared" si="59"/>
        <v>1.105583195135434E-4</v>
      </c>
      <c r="K891" s="5">
        <f t="shared" si="60"/>
        <v>9.8286346047538428E-2</v>
      </c>
    </row>
    <row r="892" spans="1:11" x14ac:dyDescent="0.25">
      <c r="A892" t="s">
        <v>2519</v>
      </c>
      <c r="C892" t="s">
        <v>2520</v>
      </c>
      <c r="D892" t="s">
        <v>309</v>
      </c>
      <c r="E892" t="s">
        <v>6</v>
      </c>
      <c r="F892" t="s">
        <v>724</v>
      </c>
      <c r="G892">
        <v>22</v>
      </c>
      <c r="H892" s="2">
        <f>Tabelle13[[#This Row],[commits]]/Tabelle13[[#Totals],[commits]]</f>
        <v>1.0225138968934169E-4</v>
      </c>
      <c r="I892" s="5">
        <f>Tabelle13[[#This Row],[%]]+I891</f>
        <v>0.90024447377716665</v>
      </c>
      <c r="J892" s="4">
        <f t="shared" si="59"/>
        <v>1.105583195135434E-4</v>
      </c>
      <c r="K892" s="5">
        <f t="shared" si="60"/>
        <v>9.8396904367051966E-2</v>
      </c>
    </row>
    <row r="893" spans="1:11" x14ac:dyDescent="0.25">
      <c r="A893" t="s">
        <v>2521</v>
      </c>
      <c r="C893" t="s">
        <v>2522</v>
      </c>
      <c r="D893" t="s">
        <v>5</v>
      </c>
      <c r="E893" t="s">
        <v>6</v>
      </c>
      <c r="F893" t="s">
        <v>724</v>
      </c>
      <c r="G893">
        <v>22</v>
      </c>
      <c r="H893" s="2">
        <f>Tabelle13[[#This Row],[commits]]/Tabelle13[[#Totals],[commits]]</f>
        <v>1.0225138968934169E-4</v>
      </c>
      <c r="I893" s="5">
        <f>Tabelle13[[#This Row],[%]]+I892</f>
        <v>0.90034672516685599</v>
      </c>
      <c r="J893" s="4">
        <f t="shared" si="59"/>
        <v>1.105583195135434E-4</v>
      </c>
      <c r="K893" s="5">
        <f t="shared" si="60"/>
        <v>9.8507462686565503E-2</v>
      </c>
    </row>
    <row r="894" spans="1:11" x14ac:dyDescent="0.25">
      <c r="A894" t="s">
        <v>2523</v>
      </c>
      <c r="C894" t="s">
        <v>2524</v>
      </c>
      <c r="D894" t="s">
        <v>5</v>
      </c>
      <c r="E894" t="s">
        <v>6</v>
      </c>
      <c r="F894" t="s">
        <v>724</v>
      </c>
      <c r="G894">
        <v>22</v>
      </c>
      <c r="H894" s="2">
        <f>Tabelle13[[#This Row],[commits]]/Tabelle13[[#Totals],[commits]]</f>
        <v>1.0225138968934169E-4</v>
      </c>
      <c r="I894" s="5">
        <f>Tabelle13[[#This Row],[%]]+I893</f>
        <v>0.90044897655654532</v>
      </c>
      <c r="J894" s="4">
        <f t="shared" si="59"/>
        <v>1.105583195135434E-4</v>
      </c>
      <c r="K894" s="5">
        <f t="shared" si="60"/>
        <v>9.861802100607904E-2</v>
      </c>
    </row>
    <row r="895" spans="1:11" x14ac:dyDescent="0.25">
      <c r="A895" t="s">
        <v>2525</v>
      </c>
      <c r="C895" t="s">
        <v>2526</v>
      </c>
      <c r="D895" t="s">
        <v>5</v>
      </c>
      <c r="E895" t="s">
        <v>6</v>
      </c>
      <c r="F895" t="s">
        <v>724</v>
      </c>
      <c r="G895">
        <v>22</v>
      </c>
      <c r="H895" s="2">
        <f>Tabelle13[[#This Row],[commits]]/Tabelle13[[#Totals],[commits]]</f>
        <v>1.0225138968934169E-4</v>
      </c>
      <c r="I895" s="5">
        <f>Tabelle13[[#This Row],[%]]+I894</f>
        <v>0.90055122794623466</v>
      </c>
      <c r="J895" s="4">
        <f t="shared" si="59"/>
        <v>1.105583195135434E-4</v>
      </c>
      <c r="K895" s="5">
        <f t="shared" si="60"/>
        <v>9.8728579325592578E-2</v>
      </c>
    </row>
    <row r="896" spans="1:11" x14ac:dyDescent="0.25">
      <c r="A896" t="s">
        <v>5266</v>
      </c>
      <c r="C896" t="s">
        <v>5267</v>
      </c>
      <c r="D896" t="s">
        <v>5</v>
      </c>
      <c r="E896" t="s">
        <v>6</v>
      </c>
      <c r="F896" t="s">
        <v>28</v>
      </c>
      <c r="G896">
        <v>22</v>
      </c>
      <c r="H896" s="2">
        <f>Tabelle13[[#This Row],[commits]]/Tabelle13[[#Totals],[commits]]</f>
        <v>1.0225138968934169E-4</v>
      </c>
      <c r="I896" s="5">
        <f>Tabelle13[[#This Row],[%]]+I895</f>
        <v>0.90065347933592399</v>
      </c>
      <c r="J896" s="4">
        <f t="shared" si="59"/>
        <v>1.105583195135434E-4</v>
      </c>
      <c r="K896" s="5">
        <f t="shared" si="60"/>
        <v>9.8839137645106115E-2</v>
      </c>
    </row>
    <row r="897" spans="1:11" x14ac:dyDescent="0.25">
      <c r="A897" t="s">
        <v>9942</v>
      </c>
      <c r="C897" t="s">
        <v>9943</v>
      </c>
      <c r="D897" t="s">
        <v>309</v>
      </c>
      <c r="E897" t="s">
        <v>6</v>
      </c>
      <c r="F897" t="s">
        <v>251</v>
      </c>
      <c r="G897">
        <v>22</v>
      </c>
      <c r="H897" s="2">
        <f>Tabelle13[[#This Row],[commits]]/Tabelle13[[#Totals],[commits]]</f>
        <v>1.0225138968934169E-4</v>
      </c>
      <c r="I897" s="5">
        <f>Tabelle13[[#This Row],[%]]+I896</f>
        <v>0.90075573072561332</v>
      </c>
      <c r="J897" s="4">
        <f t="shared" si="59"/>
        <v>1.105583195135434E-4</v>
      </c>
      <c r="K897" s="5">
        <f t="shared" si="60"/>
        <v>9.8949695964619652E-2</v>
      </c>
    </row>
    <row r="898" spans="1:11" x14ac:dyDescent="0.25">
      <c r="A898" t="s">
        <v>9944</v>
      </c>
      <c r="C898" t="s">
        <v>9945</v>
      </c>
      <c r="D898" t="s">
        <v>309</v>
      </c>
      <c r="E898" t="s">
        <v>6</v>
      </c>
      <c r="F898" t="s">
        <v>251</v>
      </c>
      <c r="G898">
        <v>22</v>
      </c>
      <c r="H898" s="2">
        <f>Tabelle13[[#This Row],[commits]]/Tabelle13[[#Totals],[commits]]</f>
        <v>1.0225138968934169E-4</v>
      </c>
      <c r="I898" s="5">
        <f>Tabelle13[[#This Row],[%]]+I897</f>
        <v>0.90085798211530266</v>
      </c>
      <c r="J898" s="4">
        <f t="shared" si="59"/>
        <v>1.105583195135434E-4</v>
      </c>
      <c r="K898" s="5">
        <f t="shared" si="60"/>
        <v>9.906025428413319E-2</v>
      </c>
    </row>
    <row r="899" spans="1:11" x14ac:dyDescent="0.25">
      <c r="A899" t="s">
        <v>9946</v>
      </c>
      <c r="C899" t="s">
        <v>9947</v>
      </c>
      <c r="D899" t="s">
        <v>309</v>
      </c>
      <c r="E899" t="s">
        <v>6</v>
      </c>
      <c r="F899" t="s">
        <v>251</v>
      </c>
      <c r="G899">
        <v>22</v>
      </c>
      <c r="H899" s="2">
        <f>Tabelle13[[#This Row],[commits]]/Tabelle13[[#Totals],[commits]]</f>
        <v>1.0225138968934169E-4</v>
      </c>
      <c r="I899" s="5">
        <f>Tabelle13[[#This Row],[%]]+I898</f>
        <v>0.90096023350499199</v>
      </c>
      <c r="J899" s="4">
        <f t="shared" ref="J899:J962" si="61">1/9045</f>
        <v>1.105583195135434E-4</v>
      </c>
      <c r="K899" s="5">
        <f t="shared" si="60"/>
        <v>9.9170812603646727E-2</v>
      </c>
    </row>
    <row r="900" spans="1:11" x14ac:dyDescent="0.25">
      <c r="A900" t="s">
        <v>9948</v>
      </c>
      <c r="C900" t="s">
        <v>9949</v>
      </c>
      <c r="D900" t="s">
        <v>309</v>
      </c>
      <c r="E900" t="s">
        <v>6</v>
      </c>
      <c r="F900" t="s">
        <v>251</v>
      </c>
      <c r="G900">
        <v>22</v>
      </c>
      <c r="H900" s="2">
        <f>Tabelle13[[#This Row],[commits]]/Tabelle13[[#Totals],[commits]]</f>
        <v>1.0225138968934169E-4</v>
      </c>
      <c r="I900" s="5">
        <f>Tabelle13[[#This Row],[%]]+I899</f>
        <v>0.90106248489468133</v>
      </c>
      <c r="J900" s="4">
        <f t="shared" si="61"/>
        <v>1.105583195135434E-4</v>
      </c>
      <c r="K900" s="5">
        <f t="shared" si="60"/>
        <v>9.9281370923160264E-2</v>
      </c>
    </row>
    <row r="901" spans="1:11" x14ac:dyDescent="0.25">
      <c r="A901" t="s">
        <v>9950</v>
      </c>
      <c r="C901" t="s">
        <v>9951</v>
      </c>
      <c r="D901" t="s">
        <v>5</v>
      </c>
      <c r="E901" t="s">
        <v>6</v>
      </c>
      <c r="F901" t="s">
        <v>251</v>
      </c>
      <c r="G901">
        <v>22</v>
      </c>
      <c r="H901" s="2">
        <f>Tabelle13[[#This Row],[commits]]/Tabelle13[[#Totals],[commits]]</f>
        <v>1.0225138968934169E-4</v>
      </c>
      <c r="I901" s="5">
        <f>Tabelle13[[#This Row],[%]]+I900</f>
        <v>0.90116473628437066</v>
      </c>
      <c r="J901" s="4">
        <f t="shared" si="61"/>
        <v>1.105583195135434E-4</v>
      </c>
      <c r="K901" s="5">
        <f t="shared" si="60"/>
        <v>9.9391929242673802E-2</v>
      </c>
    </row>
    <row r="902" spans="1:11" x14ac:dyDescent="0.25">
      <c r="A902" t="s">
        <v>9952</v>
      </c>
      <c r="C902" t="s">
        <v>9953</v>
      </c>
      <c r="D902" t="s">
        <v>309</v>
      </c>
      <c r="E902" t="s">
        <v>6</v>
      </c>
      <c r="F902" t="s">
        <v>251</v>
      </c>
      <c r="G902">
        <v>22</v>
      </c>
      <c r="H902" s="2">
        <f>Tabelle13[[#This Row],[commits]]/Tabelle13[[#Totals],[commits]]</f>
        <v>1.0225138968934169E-4</v>
      </c>
      <c r="I902" s="5">
        <f>Tabelle13[[#This Row],[%]]+I901</f>
        <v>0.90126698767405999</v>
      </c>
      <c r="J902" s="4">
        <f t="shared" si="61"/>
        <v>1.105583195135434E-4</v>
      </c>
      <c r="K902" s="5">
        <f t="shared" ref="K902:K965" si="62">J902+K901</f>
        <v>9.9502487562187339E-2</v>
      </c>
    </row>
    <row r="903" spans="1:11" x14ac:dyDescent="0.25">
      <c r="A903" t="s">
        <v>9954</v>
      </c>
      <c r="C903" t="s">
        <v>9955</v>
      </c>
      <c r="D903" t="s">
        <v>309</v>
      </c>
      <c r="E903" t="s">
        <v>6</v>
      </c>
      <c r="F903" t="s">
        <v>251</v>
      </c>
      <c r="G903">
        <v>22</v>
      </c>
      <c r="H903" s="2">
        <f>Tabelle13[[#This Row],[commits]]/Tabelle13[[#Totals],[commits]]</f>
        <v>1.0225138968934169E-4</v>
      </c>
      <c r="I903" s="5">
        <f>Tabelle13[[#This Row],[%]]+I902</f>
        <v>0.90136923906374933</v>
      </c>
      <c r="J903" s="4">
        <f t="shared" si="61"/>
        <v>1.105583195135434E-4</v>
      </c>
      <c r="K903" s="5">
        <f t="shared" si="62"/>
        <v>9.9613045881700876E-2</v>
      </c>
    </row>
    <row r="904" spans="1:11" x14ac:dyDescent="0.25">
      <c r="A904" t="s">
        <v>9956</v>
      </c>
      <c r="C904" t="s">
        <v>9957</v>
      </c>
      <c r="D904" t="s">
        <v>309</v>
      </c>
      <c r="E904" t="s">
        <v>6</v>
      </c>
      <c r="F904" t="s">
        <v>251</v>
      </c>
      <c r="G904">
        <v>22</v>
      </c>
      <c r="H904" s="2">
        <f>Tabelle13[[#This Row],[commits]]/Tabelle13[[#Totals],[commits]]</f>
        <v>1.0225138968934169E-4</v>
      </c>
      <c r="I904" s="5">
        <f>Tabelle13[[#This Row],[%]]+I903</f>
        <v>0.90147149045343866</v>
      </c>
      <c r="J904" s="4">
        <f t="shared" si="61"/>
        <v>1.105583195135434E-4</v>
      </c>
      <c r="K904" s="5">
        <f t="shared" si="62"/>
        <v>9.9723604201214414E-2</v>
      </c>
    </row>
    <row r="905" spans="1:11" x14ac:dyDescent="0.25">
      <c r="A905" t="s">
        <v>9958</v>
      </c>
      <c r="C905" t="s">
        <v>9959</v>
      </c>
      <c r="D905" t="s">
        <v>309</v>
      </c>
      <c r="E905" t="s">
        <v>6</v>
      </c>
      <c r="F905" t="s">
        <v>251</v>
      </c>
      <c r="G905">
        <v>22</v>
      </c>
      <c r="H905" s="2">
        <f>Tabelle13[[#This Row],[commits]]/Tabelle13[[#Totals],[commits]]</f>
        <v>1.0225138968934169E-4</v>
      </c>
      <c r="I905" s="5">
        <f>Tabelle13[[#This Row],[%]]+I904</f>
        <v>0.901573741843128</v>
      </c>
      <c r="J905" s="4">
        <f t="shared" si="61"/>
        <v>1.105583195135434E-4</v>
      </c>
      <c r="K905" s="5">
        <f t="shared" si="62"/>
        <v>9.9834162520727951E-2</v>
      </c>
    </row>
    <row r="906" spans="1:11" x14ac:dyDescent="0.25">
      <c r="A906" t="s">
        <v>9960</v>
      </c>
      <c r="C906" t="s">
        <v>9961</v>
      </c>
      <c r="D906" t="s">
        <v>309</v>
      </c>
      <c r="E906" t="s">
        <v>6</v>
      </c>
      <c r="F906" t="s">
        <v>251</v>
      </c>
      <c r="G906">
        <v>22</v>
      </c>
      <c r="H906" s="2">
        <f>Tabelle13[[#This Row],[commits]]/Tabelle13[[#Totals],[commits]]</f>
        <v>1.0225138968934169E-4</v>
      </c>
      <c r="I906" s="5">
        <f>Tabelle13[[#This Row],[%]]+I905</f>
        <v>0.90167599323281733</v>
      </c>
      <c r="J906" s="4">
        <f t="shared" si="61"/>
        <v>1.105583195135434E-4</v>
      </c>
      <c r="K906" s="5">
        <f t="shared" si="62"/>
        <v>9.9944720840241488E-2</v>
      </c>
    </row>
    <row r="907" spans="1:11" x14ac:dyDescent="0.25">
      <c r="A907" t="s">
        <v>9962</v>
      </c>
      <c r="C907" t="s">
        <v>9963</v>
      </c>
      <c r="D907" t="s">
        <v>309</v>
      </c>
      <c r="E907" t="s">
        <v>6</v>
      </c>
      <c r="F907" t="s">
        <v>251</v>
      </c>
      <c r="G907">
        <v>22</v>
      </c>
      <c r="H907" s="2">
        <f>Tabelle13[[#This Row],[commits]]/Tabelle13[[#Totals],[commits]]</f>
        <v>1.0225138968934169E-4</v>
      </c>
      <c r="I907" s="5">
        <f>Tabelle13[[#This Row],[%]]+I906</f>
        <v>0.90177824462250666</v>
      </c>
      <c r="J907" s="4">
        <f t="shared" si="61"/>
        <v>1.105583195135434E-4</v>
      </c>
      <c r="K907" s="5">
        <f t="shared" si="62"/>
        <v>0.10005527915975503</v>
      </c>
    </row>
    <row r="908" spans="1:11" x14ac:dyDescent="0.25">
      <c r="A908" t="s">
        <v>9964</v>
      </c>
      <c r="C908" t="s">
        <v>9965</v>
      </c>
      <c r="D908" t="s">
        <v>9636</v>
      </c>
      <c r="E908" t="s">
        <v>6</v>
      </c>
      <c r="F908" t="s">
        <v>251</v>
      </c>
      <c r="G908">
        <v>22</v>
      </c>
      <c r="H908" s="2">
        <f>Tabelle13[[#This Row],[commits]]/Tabelle13[[#Totals],[commits]]</f>
        <v>1.0225138968934169E-4</v>
      </c>
      <c r="I908" s="5">
        <f>Tabelle13[[#This Row],[%]]+I907</f>
        <v>0.901880496012196</v>
      </c>
      <c r="J908" s="4">
        <f t="shared" si="61"/>
        <v>1.105583195135434E-4</v>
      </c>
      <c r="K908" s="5">
        <f t="shared" si="62"/>
        <v>0.10016583747926856</v>
      </c>
    </row>
    <row r="909" spans="1:11" x14ac:dyDescent="0.25">
      <c r="A909" t="s">
        <v>9966</v>
      </c>
      <c r="C909" t="s">
        <v>9967</v>
      </c>
      <c r="D909" t="s">
        <v>5</v>
      </c>
      <c r="E909" t="s">
        <v>6</v>
      </c>
      <c r="F909" t="s">
        <v>251</v>
      </c>
      <c r="G909">
        <v>22</v>
      </c>
      <c r="H909" s="2">
        <f>Tabelle13[[#This Row],[commits]]/Tabelle13[[#Totals],[commits]]</f>
        <v>1.0225138968934169E-4</v>
      </c>
      <c r="I909" s="5">
        <f>Tabelle13[[#This Row],[%]]+I908</f>
        <v>0.90198274740188533</v>
      </c>
      <c r="J909" s="4">
        <f t="shared" si="61"/>
        <v>1.105583195135434E-4</v>
      </c>
      <c r="K909" s="5">
        <f t="shared" si="62"/>
        <v>0.1002763957987821</v>
      </c>
    </row>
    <row r="910" spans="1:11" x14ac:dyDescent="0.25">
      <c r="A910" t="s">
        <v>9968</v>
      </c>
      <c r="C910" t="s">
        <v>9969</v>
      </c>
      <c r="D910" t="s">
        <v>5</v>
      </c>
      <c r="E910" t="s">
        <v>6</v>
      </c>
      <c r="F910" t="s">
        <v>251</v>
      </c>
      <c r="G910">
        <v>22</v>
      </c>
      <c r="H910" s="2">
        <f>Tabelle13[[#This Row],[commits]]/Tabelle13[[#Totals],[commits]]</f>
        <v>1.0225138968934169E-4</v>
      </c>
      <c r="I910" s="5">
        <f>Tabelle13[[#This Row],[%]]+I909</f>
        <v>0.90208499879157467</v>
      </c>
      <c r="J910" s="4">
        <f t="shared" si="61"/>
        <v>1.105583195135434E-4</v>
      </c>
      <c r="K910" s="5">
        <f t="shared" si="62"/>
        <v>0.10038695411829564</v>
      </c>
    </row>
    <row r="911" spans="1:11" x14ac:dyDescent="0.25">
      <c r="A911" t="s">
        <v>9970</v>
      </c>
      <c r="C911" t="s">
        <v>9971</v>
      </c>
      <c r="D911" t="s">
        <v>5</v>
      </c>
      <c r="E911" t="s">
        <v>6</v>
      </c>
      <c r="F911" t="s">
        <v>251</v>
      </c>
      <c r="G911">
        <v>22</v>
      </c>
      <c r="H911" s="2">
        <f>Tabelle13[[#This Row],[commits]]/Tabelle13[[#Totals],[commits]]</f>
        <v>1.0225138968934169E-4</v>
      </c>
      <c r="I911" s="5">
        <f>Tabelle13[[#This Row],[%]]+I910</f>
        <v>0.902187250181264</v>
      </c>
      <c r="J911" s="4">
        <f t="shared" si="61"/>
        <v>1.105583195135434E-4</v>
      </c>
      <c r="K911" s="5">
        <f t="shared" si="62"/>
        <v>0.10049751243780917</v>
      </c>
    </row>
    <row r="912" spans="1:11" x14ac:dyDescent="0.25">
      <c r="A912" t="s">
        <v>9972</v>
      </c>
      <c r="C912" t="s">
        <v>9973</v>
      </c>
      <c r="D912" t="s">
        <v>9974</v>
      </c>
      <c r="E912" t="s">
        <v>6</v>
      </c>
      <c r="F912" t="s">
        <v>251</v>
      </c>
      <c r="G912">
        <v>22</v>
      </c>
      <c r="H912" s="2">
        <f>Tabelle13[[#This Row],[commits]]/Tabelle13[[#Totals],[commits]]</f>
        <v>1.0225138968934169E-4</v>
      </c>
      <c r="I912" s="5">
        <f>Tabelle13[[#This Row],[%]]+I911</f>
        <v>0.90228950157095333</v>
      </c>
      <c r="J912" s="4">
        <f t="shared" si="61"/>
        <v>1.105583195135434E-4</v>
      </c>
      <c r="K912" s="5">
        <f t="shared" si="62"/>
        <v>0.10060807075732271</v>
      </c>
    </row>
    <row r="913" spans="1:11" x14ac:dyDescent="0.25">
      <c r="A913" t="s">
        <v>9975</v>
      </c>
      <c r="C913" t="s">
        <v>9976</v>
      </c>
      <c r="D913" t="s">
        <v>8757</v>
      </c>
      <c r="E913" t="s">
        <v>6</v>
      </c>
      <c r="F913" t="s">
        <v>251</v>
      </c>
      <c r="G913">
        <v>22</v>
      </c>
      <c r="H913" s="2">
        <f>Tabelle13[[#This Row],[commits]]/Tabelle13[[#Totals],[commits]]</f>
        <v>1.0225138968934169E-4</v>
      </c>
      <c r="I913" s="5">
        <f>Tabelle13[[#This Row],[%]]+I912</f>
        <v>0.90239175296064267</v>
      </c>
      <c r="J913" s="4">
        <f t="shared" si="61"/>
        <v>1.105583195135434E-4</v>
      </c>
      <c r="K913" s="5">
        <f t="shared" si="62"/>
        <v>0.10071862907683625</v>
      </c>
    </row>
    <row r="914" spans="1:11" x14ac:dyDescent="0.25">
      <c r="A914" t="s">
        <v>9977</v>
      </c>
      <c r="C914" t="s">
        <v>9978</v>
      </c>
      <c r="D914" t="s">
        <v>309</v>
      </c>
      <c r="E914" t="s">
        <v>6</v>
      </c>
      <c r="F914" t="s">
        <v>251</v>
      </c>
      <c r="G914">
        <v>22</v>
      </c>
      <c r="H914" s="2">
        <f>Tabelle13[[#This Row],[commits]]/Tabelle13[[#Totals],[commits]]</f>
        <v>1.0225138968934169E-4</v>
      </c>
      <c r="I914" s="5">
        <f>Tabelle13[[#This Row],[%]]+I913</f>
        <v>0.902494004350332</v>
      </c>
      <c r="J914" s="4">
        <f t="shared" si="61"/>
        <v>1.105583195135434E-4</v>
      </c>
      <c r="K914" s="5">
        <f t="shared" si="62"/>
        <v>0.10082918739634979</v>
      </c>
    </row>
    <row r="915" spans="1:11" x14ac:dyDescent="0.25">
      <c r="A915" t="s">
        <v>9979</v>
      </c>
      <c r="C915" t="s">
        <v>9980</v>
      </c>
      <c r="D915" t="s">
        <v>8760</v>
      </c>
      <c r="E915" t="s">
        <v>6</v>
      </c>
      <c r="F915" t="s">
        <v>251</v>
      </c>
      <c r="G915">
        <v>22</v>
      </c>
      <c r="H915" s="2">
        <f>Tabelle13[[#This Row],[commits]]/Tabelle13[[#Totals],[commits]]</f>
        <v>1.0225138968934169E-4</v>
      </c>
      <c r="I915" s="5">
        <f>Tabelle13[[#This Row],[%]]+I914</f>
        <v>0.90259625574002134</v>
      </c>
      <c r="J915" s="4">
        <f t="shared" si="61"/>
        <v>1.105583195135434E-4</v>
      </c>
      <c r="K915" s="5">
        <f t="shared" si="62"/>
        <v>0.10093974571586332</v>
      </c>
    </row>
    <row r="916" spans="1:11" x14ac:dyDescent="0.25">
      <c r="A916" t="s">
        <v>9981</v>
      </c>
      <c r="C916" t="s">
        <v>9982</v>
      </c>
      <c r="D916" t="s">
        <v>309</v>
      </c>
      <c r="E916" t="s">
        <v>6</v>
      </c>
      <c r="F916" t="s">
        <v>251</v>
      </c>
      <c r="G916">
        <v>22</v>
      </c>
      <c r="H916" s="2">
        <f>Tabelle13[[#This Row],[commits]]/Tabelle13[[#Totals],[commits]]</f>
        <v>1.0225138968934169E-4</v>
      </c>
      <c r="I916" s="5">
        <f>Tabelle13[[#This Row],[%]]+I915</f>
        <v>0.90269850712971067</v>
      </c>
      <c r="J916" s="4">
        <f t="shared" si="61"/>
        <v>1.105583195135434E-4</v>
      </c>
      <c r="K916" s="5">
        <f t="shared" si="62"/>
        <v>0.10105030403537686</v>
      </c>
    </row>
    <row r="917" spans="1:11" x14ac:dyDescent="0.25">
      <c r="A917" t="s">
        <v>17147</v>
      </c>
      <c r="C917" t="s">
        <v>17148</v>
      </c>
      <c r="D917" t="s">
        <v>5</v>
      </c>
      <c r="E917" t="s">
        <v>6</v>
      </c>
      <c r="F917" t="s">
        <v>334</v>
      </c>
      <c r="G917">
        <v>22</v>
      </c>
      <c r="H917" s="2">
        <f>Tabelle13[[#This Row],[commits]]/Tabelle13[[#Totals],[commits]]</f>
        <v>1.0225138968934169E-4</v>
      </c>
      <c r="I917" s="5">
        <f>Tabelle13[[#This Row],[%]]+I916</f>
        <v>0.9028007585194</v>
      </c>
      <c r="J917" s="4">
        <f t="shared" si="61"/>
        <v>1.105583195135434E-4</v>
      </c>
      <c r="K917" s="5">
        <f t="shared" si="62"/>
        <v>0.1011608623548904</v>
      </c>
    </row>
    <row r="918" spans="1:11" x14ac:dyDescent="0.25">
      <c r="A918" t="s">
        <v>89</v>
      </c>
      <c r="C918" t="s">
        <v>90</v>
      </c>
      <c r="D918" t="s">
        <v>5</v>
      </c>
      <c r="E918" t="s">
        <v>6</v>
      </c>
      <c r="F918" t="s">
        <v>7</v>
      </c>
      <c r="G918">
        <v>21</v>
      </c>
      <c r="H918" s="2">
        <f>Tabelle13[[#This Row],[commits]]/Tabelle13[[#Totals],[commits]]</f>
        <v>9.760359924891707E-5</v>
      </c>
      <c r="I918" s="5">
        <f>Tabelle13[[#This Row],[%]]+I917</f>
        <v>0.90289836211864893</v>
      </c>
      <c r="J918" s="4">
        <f t="shared" si="61"/>
        <v>1.105583195135434E-4</v>
      </c>
      <c r="K918" s="5">
        <f t="shared" si="62"/>
        <v>0.10127142067440394</v>
      </c>
    </row>
    <row r="919" spans="1:11" x14ac:dyDescent="0.25">
      <c r="A919" t="s">
        <v>2527</v>
      </c>
      <c r="C919" t="s">
        <v>2528</v>
      </c>
      <c r="D919" t="s">
        <v>309</v>
      </c>
      <c r="E919" t="s">
        <v>6</v>
      </c>
      <c r="F919" t="s">
        <v>724</v>
      </c>
      <c r="G919">
        <v>21</v>
      </c>
      <c r="H919" s="2">
        <f>Tabelle13[[#This Row],[commits]]/Tabelle13[[#Totals],[commits]]</f>
        <v>9.760359924891707E-5</v>
      </c>
      <c r="I919" s="5">
        <f>Tabelle13[[#This Row],[%]]+I918</f>
        <v>0.90299596571789786</v>
      </c>
      <c r="J919" s="4">
        <f t="shared" si="61"/>
        <v>1.105583195135434E-4</v>
      </c>
      <c r="K919" s="5">
        <f t="shared" si="62"/>
        <v>0.10138197899391747</v>
      </c>
    </row>
    <row r="920" spans="1:11" x14ac:dyDescent="0.25">
      <c r="A920" t="s">
        <v>2529</v>
      </c>
      <c r="C920" t="s">
        <v>2530</v>
      </c>
      <c r="D920" t="s">
        <v>5</v>
      </c>
      <c r="E920" t="s">
        <v>6</v>
      </c>
      <c r="F920" t="s">
        <v>724</v>
      </c>
      <c r="G920">
        <v>21</v>
      </c>
      <c r="H920" s="2">
        <f>Tabelle13[[#This Row],[commits]]/Tabelle13[[#Totals],[commits]]</f>
        <v>9.760359924891707E-5</v>
      </c>
      <c r="I920" s="5">
        <f>Tabelle13[[#This Row],[%]]+I919</f>
        <v>0.90309356931714679</v>
      </c>
      <c r="J920" s="4">
        <f t="shared" si="61"/>
        <v>1.105583195135434E-4</v>
      </c>
      <c r="K920" s="5">
        <f t="shared" si="62"/>
        <v>0.10149253731343101</v>
      </c>
    </row>
    <row r="921" spans="1:11" x14ac:dyDescent="0.25">
      <c r="A921" t="s">
        <v>2531</v>
      </c>
      <c r="C921" t="s">
        <v>2532</v>
      </c>
      <c r="D921" t="s">
        <v>309</v>
      </c>
      <c r="E921" t="s">
        <v>6</v>
      </c>
      <c r="F921" t="s">
        <v>724</v>
      </c>
      <c r="G921">
        <v>21</v>
      </c>
      <c r="H921" s="2">
        <f>Tabelle13[[#This Row],[commits]]/Tabelle13[[#Totals],[commits]]</f>
        <v>9.760359924891707E-5</v>
      </c>
      <c r="I921" s="5">
        <f>Tabelle13[[#This Row],[%]]+I920</f>
        <v>0.90319117291639572</v>
      </c>
      <c r="J921" s="4">
        <f t="shared" si="61"/>
        <v>1.105583195135434E-4</v>
      </c>
      <c r="K921" s="5">
        <f t="shared" si="62"/>
        <v>0.10160309563294455</v>
      </c>
    </row>
    <row r="922" spans="1:11" x14ac:dyDescent="0.25">
      <c r="A922" t="s">
        <v>2533</v>
      </c>
      <c r="C922" t="s">
        <v>2534</v>
      </c>
      <c r="D922" t="s">
        <v>309</v>
      </c>
      <c r="E922" t="s">
        <v>6</v>
      </c>
      <c r="F922" t="s">
        <v>724</v>
      </c>
      <c r="G922">
        <v>21</v>
      </c>
      <c r="H922" s="2">
        <f>Tabelle13[[#This Row],[commits]]/Tabelle13[[#Totals],[commits]]</f>
        <v>9.760359924891707E-5</v>
      </c>
      <c r="I922" s="5">
        <f>Tabelle13[[#This Row],[%]]+I921</f>
        <v>0.90328877651564465</v>
      </c>
      <c r="J922" s="4">
        <f t="shared" si="61"/>
        <v>1.105583195135434E-4</v>
      </c>
      <c r="K922" s="5">
        <f t="shared" si="62"/>
        <v>0.10171365395245809</v>
      </c>
    </row>
    <row r="923" spans="1:11" x14ac:dyDescent="0.25">
      <c r="A923" t="s">
        <v>2535</v>
      </c>
      <c r="C923" t="s">
        <v>2536</v>
      </c>
      <c r="D923" t="s">
        <v>5</v>
      </c>
      <c r="E923" t="s">
        <v>6</v>
      </c>
      <c r="F923" t="s">
        <v>724</v>
      </c>
      <c r="G923">
        <v>21</v>
      </c>
      <c r="H923" s="2">
        <f>Tabelle13[[#This Row],[commits]]/Tabelle13[[#Totals],[commits]]</f>
        <v>9.760359924891707E-5</v>
      </c>
      <c r="I923" s="5">
        <f>Tabelle13[[#This Row],[%]]+I922</f>
        <v>0.90338638011489358</v>
      </c>
      <c r="J923" s="4">
        <f t="shared" si="61"/>
        <v>1.105583195135434E-4</v>
      </c>
      <c r="K923" s="5">
        <f t="shared" si="62"/>
        <v>0.10182421227197162</v>
      </c>
    </row>
    <row r="924" spans="1:11" x14ac:dyDescent="0.25">
      <c r="A924" t="s">
        <v>5268</v>
      </c>
      <c r="C924" t="s">
        <v>5269</v>
      </c>
      <c r="D924" t="s">
        <v>5</v>
      </c>
      <c r="E924" t="s">
        <v>6</v>
      </c>
      <c r="F924" t="s">
        <v>28</v>
      </c>
      <c r="G924">
        <v>21</v>
      </c>
      <c r="H924" s="2">
        <f>Tabelle13[[#This Row],[commits]]/Tabelle13[[#Totals],[commits]]</f>
        <v>9.760359924891707E-5</v>
      </c>
      <c r="I924" s="5">
        <f>Tabelle13[[#This Row],[%]]+I923</f>
        <v>0.90348398371414251</v>
      </c>
      <c r="J924" s="4">
        <f t="shared" si="61"/>
        <v>1.105583195135434E-4</v>
      </c>
      <c r="K924" s="5">
        <f t="shared" si="62"/>
        <v>0.10193477059148516</v>
      </c>
    </row>
    <row r="925" spans="1:11" x14ac:dyDescent="0.25">
      <c r="A925" t="s">
        <v>5270</v>
      </c>
      <c r="C925" t="s">
        <v>5271</v>
      </c>
      <c r="D925" t="s">
        <v>5175</v>
      </c>
      <c r="E925" t="s">
        <v>6</v>
      </c>
      <c r="F925" t="s">
        <v>28</v>
      </c>
      <c r="G925">
        <v>21</v>
      </c>
      <c r="H925" s="2">
        <f>Tabelle13[[#This Row],[commits]]/Tabelle13[[#Totals],[commits]]</f>
        <v>9.760359924891707E-5</v>
      </c>
      <c r="I925" s="5">
        <f>Tabelle13[[#This Row],[%]]+I924</f>
        <v>0.90358158731339144</v>
      </c>
      <c r="J925" s="4">
        <f t="shared" si="61"/>
        <v>1.105583195135434E-4</v>
      </c>
      <c r="K925" s="5">
        <f t="shared" si="62"/>
        <v>0.1020453289109987</v>
      </c>
    </row>
    <row r="926" spans="1:11" x14ac:dyDescent="0.25">
      <c r="A926" t="s">
        <v>9983</v>
      </c>
      <c r="C926" t="s">
        <v>9984</v>
      </c>
      <c r="D926" t="s">
        <v>8948</v>
      </c>
      <c r="E926" t="s">
        <v>6</v>
      </c>
      <c r="F926" t="s">
        <v>251</v>
      </c>
      <c r="G926">
        <v>21</v>
      </c>
      <c r="H926" s="2">
        <f>Tabelle13[[#This Row],[commits]]/Tabelle13[[#Totals],[commits]]</f>
        <v>9.760359924891707E-5</v>
      </c>
      <c r="I926" s="5">
        <f>Tabelle13[[#This Row],[%]]+I925</f>
        <v>0.90367919091264037</v>
      </c>
      <c r="J926" s="4">
        <f t="shared" si="61"/>
        <v>1.105583195135434E-4</v>
      </c>
      <c r="K926" s="5">
        <f t="shared" si="62"/>
        <v>0.10215588723051224</v>
      </c>
    </row>
    <row r="927" spans="1:11" x14ac:dyDescent="0.25">
      <c r="A927" t="s">
        <v>9985</v>
      </c>
      <c r="C927" t="s">
        <v>9986</v>
      </c>
      <c r="D927" t="s">
        <v>8948</v>
      </c>
      <c r="E927" t="s">
        <v>6</v>
      </c>
      <c r="F927" t="s">
        <v>251</v>
      </c>
      <c r="G927">
        <v>21</v>
      </c>
      <c r="H927" s="2">
        <f>Tabelle13[[#This Row],[commits]]/Tabelle13[[#Totals],[commits]]</f>
        <v>9.760359924891707E-5</v>
      </c>
      <c r="I927" s="5">
        <f>Tabelle13[[#This Row],[%]]+I926</f>
        <v>0.9037767945118893</v>
      </c>
      <c r="J927" s="4">
        <f t="shared" si="61"/>
        <v>1.105583195135434E-4</v>
      </c>
      <c r="K927" s="5">
        <f t="shared" si="62"/>
        <v>0.10226644555002577</v>
      </c>
    </row>
    <row r="928" spans="1:11" x14ac:dyDescent="0.25">
      <c r="A928" t="s">
        <v>9987</v>
      </c>
      <c r="C928" t="s">
        <v>9988</v>
      </c>
      <c r="D928" t="s">
        <v>309</v>
      </c>
      <c r="E928" t="s">
        <v>6</v>
      </c>
      <c r="F928" t="s">
        <v>251</v>
      </c>
      <c r="G928">
        <v>21</v>
      </c>
      <c r="H928" s="2">
        <f>Tabelle13[[#This Row],[commits]]/Tabelle13[[#Totals],[commits]]</f>
        <v>9.760359924891707E-5</v>
      </c>
      <c r="I928" s="5">
        <f>Tabelle13[[#This Row],[%]]+I927</f>
        <v>0.90387439811113823</v>
      </c>
      <c r="J928" s="4">
        <f t="shared" si="61"/>
        <v>1.105583195135434E-4</v>
      </c>
      <c r="K928" s="5">
        <f t="shared" si="62"/>
        <v>0.10237700386953931</v>
      </c>
    </row>
    <row r="929" spans="1:11" x14ac:dyDescent="0.25">
      <c r="A929" t="s">
        <v>9989</v>
      </c>
      <c r="C929" t="s">
        <v>9990</v>
      </c>
      <c r="D929" t="s">
        <v>309</v>
      </c>
      <c r="E929" t="s">
        <v>6</v>
      </c>
      <c r="F929" t="s">
        <v>251</v>
      </c>
      <c r="G929">
        <v>21</v>
      </c>
      <c r="H929" s="2">
        <f>Tabelle13[[#This Row],[commits]]/Tabelle13[[#Totals],[commits]]</f>
        <v>9.760359924891707E-5</v>
      </c>
      <c r="I929" s="5">
        <f>Tabelle13[[#This Row],[%]]+I928</f>
        <v>0.90397200171038716</v>
      </c>
      <c r="J929" s="4">
        <f t="shared" si="61"/>
        <v>1.105583195135434E-4</v>
      </c>
      <c r="K929" s="5">
        <f t="shared" si="62"/>
        <v>0.10248756218905285</v>
      </c>
    </row>
    <row r="930" spans="1:11" x14ac:dyDescent="0.25">
      <c r="A930" t="s">
        <v>9991</v>
      </c>
      <c r="C930" t="s">
        <v>9992</v>
      </c>
      <c r="D930" t="s">
        <v>5</v>
      </c>
      <c r="E930" t="s">
        <v>6</v>
      </c>
      <c r="F930" t="s">
        <v>251</v>
      </c>
      <c r="G930">
        <v>21</v>
      </c>
      <c r="H930" s="2">
        <f>Tabelle13[[#This Row],[commits]]/Tabelle13[[#Totals],[commits]]</f>
        <v>9.760359924891707E-5</v>
      </c>
      <c r="I930" s="5">
        <f>Tabelle13[[#This Row],[%]]+I929</f>
        <v>0.90406960530963609</v>
      </c>
      <c r="J930" s="4">
        <f t="shared" si="61"/>
        <v>1.105583195135434E-4</v>
      </c>
      <c r="K930" s="5">
        <f t="shared" si="62"/>
        <v>0.10259812050856638</v>
      </c>
    </row>
    <row r="931" spans="1:11" x14ac:dyDescent="0.25">
      <c r="A931" t="s">
        <v>9993</v>
      </c>
      <c r="C931" t="s">
        <v>9994</v>
      </c>
      <c r="D931" t="s">
        <v>5</v>
      </c>
      <c r="E931" t="s">
        <v>6</v>
      </c>
      <c r="F931" t="s">
        <v>251</v>
      </c>
      <c r="G931">
        <v>21</v>
      </c>
      <c r="H931" s="2">
        <f>Tabelle13[[#This Row],[commits]]/Tabelle13[[#Totals],[commits]]</f>
        <v>9.760359924891707E-5</v>
      </c>
      <c r="I931" s="5">
        <f>Tabelle13[[#This Row],[%]]+I930</f>
        <v>0.90416720890888502</v>
      </c>
      <c r="J931" s="4">
        <f t="shared" si="61"/>
        <v>1.105583195135434E-4</v>
      </c>
      <c r="K931" s="5">
        <f t="shared" si="62"/>
        <v>0.10270867882807992</v>
      </c>
    </row>
    <row r="932" spans="1:11" x14ac:dyDescent="0.25">
      <c r="A932" t="s">
        <v>9995</v>
      </c>
      <c r="C932" t="s">
        <v>9996</v>
      </c>
      <c r="D932" t="s">
        <v>9997</v>
      </c>
      <c r="E932" t="s">
        <v>6</v>
      </c>
      <c r="F932" t="s">
        <v>251</v>
      </c>
      <c r="G932">
        <v>21</v>
      </c>
      <c r="H932" s="2">
        <f>Tabelle13[[#This Row],[commits]]/Tabelle13[[#Totals],[commits]]</f>
        <v>9.760359924891707E-5</v>
      </c>
      <c r="I932" s="5">
        <f>Tabelle13[[#This Row],[%]]+I931</f>
        <v>0.90426481250813395</v>
      </c>
      <c r="J932" s="4">
        <f t="shared" si="61"/>
        <v>1.105583195135434E-4</v>
      </c>
      <c r="K932" s="5">
        <f t="shared" si="62"/>
        <v>0.10281923714759346</v>
      </c>
    </row>
    <row r="933" spans="1:11" x14ac:dyDescent="0.25">
      <c r="A933" t="s">
        <v>9998</v>
      </c>
      <c r="C933" t="s">
        <v>9999</v>
      </c>
      <c r="D933" t="s">
        <v>309</v>
      </c>
      <c r="E933" t="s">
        <v>6</v>
      </c>
      <c r="F933" t="s">
        <v>251</v>
      </c>
      <c r="G933">
        <v>21</v>
      </c>
      <c r="H933" s="2">
        <f>Tabelle13[[#This Row],[commits]]/Tabelle13[[#Totals],[commits]]</f>
        <v>9.760359924891707E-5</v>
      </c>
      <c r="I933" s="5">
        <f>Tabelle13[[#This Row],[%]]+I932</f>
        <v>0.90436241610738288</v>
      </c>
      <c r="J933" s="4">
        <f t="shared" si="61"/>
        <v>1.105583195135434E-4</v>
      </c>
      <c r="K933" s="5">
        <f t="shared" si="62"/>
        <v>0.102929795467107</v>
      </c>
    </row>
    <row r="934" spans="1:11" x14ac:dyDescent="0.25">
      <c r="A934" t="s">
        <v>10000</v>
      </c>
      <c r="C934" t="s">
        <v>10001</v>
      </c>
      <c r="D934" t="s">
        <v>8760</v>
      </c>
      <c r="E934" t="s">
        <v>6</v>
      </c>
      <c r="F934" t="s">
        <v>251</v>
      </c>
      <c r="G934">
        <v>21</v>
      </c>
      <c r="H934" s="2">
        <f>Tabelle13[[#This Row],[commits]]/Tabelle13[[#Totals],[commits]]</f>
        <v>9.760359924891707E-5</v>
      </c>
      <c r="I934" s="5">
        <f>Tabelle13[[#This Row],[%]]+I933</f>
        <v>0.90446001970663181</v>
      </c>
      <c r="J934" s="4">
        <f t="shared" si="61"/>
        <v>1.105583195135434E-4</v>
      </c>
      <c r="K934" s="5">
        <f t="shared" si="62"/>
        <v>0.10304035378662053</v>
      </c>
    </row>
    <row r="935" spans="1:11" x14ac:dyDescent="0.25">
      <c r="A935" t="s">
        <v>10002</v>
      </c>
      <c r="C935" t="s">
        <v>10003</v>
      </c>
      <c r="D935" t="s">
        <v>9379</v>
      </c>
      <c r="E935" t="s">
        <v>6</v>
      </c>
      <c r="F935" t="s">
        <v>251</v>
      </c>
      <c r="G935">
        <v>21</v>
      </c>
      <c r="H935" s="2">
        <f>Tabelle13[[#This Row],[commits]]/Tabelle13[[#Totals],[commits]]</f>
        <v>9.760359924891707E-5</v>
      </c>
      <c r="I935" s="5">
        <f>Tabelle13[[#This Row],[%]]+I934</f>
        <v>0.90455762330588074</v>
      </c>
      <c r="J935" s="4">
        <f t="shared" si="61"/>
        <v>1.105583195135434E-4</v>
      </c>
      <c r="K935" s="5">
        <f t="shared" si="62"/>
        <v>0.10315091210613407</v>
      </c>
    </row>
    <row r="936" spans="1:11" x14ac:dyDescent="0.25">
      <c r="A936" t="s">
        <v>10004</v>
      </c>
      <c r="C936" t="s">
        <v>10005</v>
      </c>
      <c r="D936" t="s">
        <v>309</v>
      </c>
      <c r="E936" t="s">
        <v>6</v>
      </c>
      <c r="F936" t="s">
        <v>251</v>
      </c>
      <c r="G936">
        <v>21</v>
      </c>
      <c r="H936" s="2">
        <f>Tabelle13[[#This Row],[commits]]/Tabelle13[[#Totals],[commits]]</f>
        <v>9.760359924891707E-5</v>
      </c>
      <c r="I936" s="5">
        <f>Tabelle13[[#This Row],[%]]+I935</f>
        <v>0.90465522690512967</v>
      </c>
      <c r="J936" s="4">
        <f t="shared" si="61"/>
        <v>1.105583195135434E-4</v>
      </c>
      <c r="K936" s="5">
        <f t="shared" si="62"/>
        <v>0.10326147042564761</v>
      </c>
    </row>
    <row r="937" spans="1:11" x14ac:dyDescent="0.25">
      <c r="A937" t="s">
        <v>10006</v>
      </c>
      <c r="C937" t="s">
        <v>10007</v>
      </c>
      <c r="D937" t="s">
        <v>309</v>
      </c>
      <c r="E937" t="s">
        <v>6</v>
      </c>
      <c r="F937" t="s">
        <v>251</v>
      </c>
      <c r="G937">
        <v>21</v>
      </c>
      <c r="H937" s="2">
        <f>Tabelle13[[#This Row],[commits]]/Tabelle13[[#Totals],[commits]]</f>
        <v>9.760359924891707E-5</v>
      </c>
      <c r="I937" s="5">
        <f>Tabelle13[[#This Row],[%]]+I936</f>
        <v>0.9047528305043786</v>
      </c>
      <c r="J937" s="4">
        <f t="shared" si="61"/>
        <v>1.105583195135434E-4</v>
      </c>
      <c r="K937" s="5">
        <f t="shared" si="62"/>
        <v>0.10337202874516115</v>
      </c>
    </row>
    <row r="938" spans="1:11" x14ac:dyDescent="0.25">
      <c r="A938" t="s">
        <v>10008</v>
      </c>
      <c r="C938" t="s">
        <v>10009</v>
      </c>
      <c r="D938" t="s">
        <v>5</v>
      </c>
      <c r="E938" t="s">
        <v>6</v>
      </c>
      <c r="F938" t="s">
        <v>251</v>
      </c>
      <c r="G938">
        <v>21</v>
      </c>
      <c r="H938" s="2">
        <f>Tabelle13[[#This Row],[commits]]/Tabelle13[[#Totals],[commits]]</f>
        <v>9.760359924891707E-5</v>
      </c>
      <c r="I938" s="5">
        <f>Tabelle13[[#This Row],[%]]+I937</f>
        <v>0.90485043410362753</v>
      </c>
      <c r="J938" s="4">
        <f t="shared" si="61"/>
        <v>1.105583195135434E-4</v>
      </c>
      <c r="K938" s="5">
        <f t="shared" si="62"/>
        <v>0.10348258706467468</v>
      </c>
    </row>
    <row r="939" spans="1:11" x14ac:dyDescent="0.25">
      <c r="A939" t="s">
        <v>10010</v>
      </c>
      <c r="C939" t="s">
        <v>10011</v>
      </c>
      <c r="D939" t="s">
        <v>5</v>
      </c>
      <c r="E939" t="s">
        <v>6</v>
      </c>
      <c r="F939" t="s">
        <v>251</v>
      </c>
      <c r="G939">
        <v>21</v>
      </c>
      <c r="H939" s="2">
        <f>Tabelle13[[#This Row],[commits]]/Tabelle13[[#Totals],[commits]]</f>
        <v>9.760359924891707E-5</v>
      </c>
      <c r="I939" s="5">
        <f>Tabelle13[[#This Row],[%]]+I938</f>
        <v>0.90494803770287646</v>
      </c>
      <c r="J939" s="4">
        <f t="shared" si="61"/>
        <v>1.105583195135434E-4</v>
      </c>
      <c r="K939" s="5">
        <f t="shared" si="62"/>
        <v>0.10359314538418822</v>
      </c>
    </row>
    <row r="940" spans="1:11" x14ac:dyDescent="0.25">
      <c r="A940" t="s">
        <v>10012</v>
      </c>
      <c r="C940" t="s">
        <v>10013</v>
      </c>
      <c r="D940" t="s">
        <v>309</v>
      </c>
      <c r="E940" t="s">
        <v>6</v>
      </c>
      <c r="F940" t="s">
        <v>251</v>
      </c>
      <c r="G940">
        <v>21</v>
      </c>
      <c r="H940" s="2">
        <f>Tabelle13[[#This Row],[commits]]/Tabelle13[[#Totals],[commits]]</f>
        <v>9.760359924891707E-5</v>
      </c>
      <c r="I940" s="5">
        <f>Tabelle13[[#This Row],[%]]+I939</f>
        <v>0.90504564130212539</v>
      </c>
      <c r="J940" s="4">
        <f t="shared" si="61"/>
        <v>1.105583195135434E-4</v>
      </c>
      <c r="K940" s="5">
        <f t="shared" si="62"/>
        <v>0.10370370370370176</v>
      </c>
    </row>
    <row r="941" spans="1:11" x14ac:dyDescent="0.25">
      <c r="A941" t="s">
        <v>10014</v>
      </c>
      <c r="C941" t="s">
        <v>10015</v>
      </c>
      <c r="D941" t="s">
        <v>309</v>
      </c>
      <c r="E941" t="s">
        <v>6</v>
      </c>
      <c r="F941" t="s">
        <v>251</v>
      </c>
      <c r="G941">
        <v>21</v>
      </c>
      <c r="H941" s="2">
        <f>Tabelle13[[#This Row],[commits]]/Tabelle13[[#Totals],[commits]]</f>
        <v>9.760359924891707E-5</v>
      </c>
      <c r="I941" s="5">
        <f>Tabelle13[[#This Row],[%]]+I940</f>
        <v>0.90514324490137432</v>
      </c>
      <c r="J941" s="4">
        <f t="shared" si="61"/>
        <v>1.105583195135434E-4</v>
      </c>
      <c r="K941" s="5">
        <f t="shared" si="62"/>
        <v>0.1038142620232153</v>
      </c>
    </row>
    <row r="942" spans="1:11" x14ac:dyDescent="0.25">
      <c r="A942" t="s">
        <v>10016</v>
      </c>
      <c r="C942" t="s">
        <v>10017</v>
      </c>
      <c r="D942" t="s">
        <v>5</v>
      </c>
      <c r="E942" t="s">
        <v>6</v>
      </c>
      <c r="F942" t="s">
        <v>251</v>
      </c>
      <c r="G942">
        <v>21</v>
      </c>
      <c r="H942" s="2">
        <f>Tabelle13[[#This Row],[commits]]/Tabelle13[[#Totals],[commits]]</f>
        <v>9.760359924891707E-5</v>
      </c>
      <c r="I942" s="5">
        <f>Tabelle13[[#This Row],[%]]+I941</f>
        <v>0.90524084850062325</v>
      </c>
      <c r="J942" s="4">
        <f t="shared" si="61"/>
        <v>1.105583195135434E-4</v>
      </c>
      <c r="K942" s="5">
        <f t="shared" si="62"/>
        <v>0.10392482034272883</v>
      </c>
    </row>
    <row r="943" spans="1:11" x14ac:dyDescent="0.25">
      <c r="A943" t="s">
        <v>10018</v>
      </c>
      <c r="C943" t="s">
        <v>10019</v>
      </c>
      <c r="D943" t="s">
        <v>7531</v>
      </c>
      <c r="E943" t="s">
        <v>6</v>
      </c>
      <c r="F943" t="s">
        <v>251</v>
      </c>
      <c r="G943">
        <v>21</v>
      </c>
      <c r="H943" s="2">
        <f>Tabelle13[[#This Row],[commits]]/Tabelle13[[#Totals],[commits]]</f>
        <v>9.760359924891707E-5</v>
      </c>
      <c r="I943" s="5">
        <f>Tabelle13[[#This Row],[%]]+I942</f>
        <v>0.90533845209987218</v>
      </c>
      <c r="J943" s="4">
        <f t="shared" si="61"/>
        <v>1.105583195135434E-4</v>
      </c>
      <c r="K943" s="5">
        <f t="shared" si="62"/>
        <v>0.10403537866224237</v>
      </c>
    </row>
    <row r="944" spans="1:11" x14ac:dyDescent="0.25">
      <c r="A944" t="s">
        <v>2537</v>
      </c>
      <c r="C944" t="s">
        <v>2538</v>
      </c>
      <c r="D944" t="s">
        <v>5</v>
      </c>
      <c r="E944" t="s">
        <v>6</v>
      </c>
      <c r="F944" t="s">
        <v>724</v>
      </c>
      <c r="G944">
        <v>20</v>
      </c>
      <c r="H944" s="2">
        <f>Tabelle13[[#This Row],[commits]]/Tabelle13[[#Totals],[commits]]</f>
        <v>9.2955808808492437E-5</v>
      </c>
      <c r="I944" s="5">
        <f>Tabelle13[[#This Row],[%]]+I943</f>
        <v>0.90543140790868071</v>
      </c>
      <c r="J944" s="4">
        <f t="shared" si="61"/>
        <v>1.105583195135434E-4</v>
      </c>
      <c r="K944" s="5">
        <f t="shared" si="62"/>
        <v>0.10414593698175591</v>
      </c>
    </row>
    <row r="945" spans="1:11" x14ac:dyDescent="0.25">
      <c r="A945" t="s">
        <v>2539</v>
      </c>
      <c r="C945" t="s">
        <v>2540</v>
      </c>
      <c r="D945" t="s">
        <v>5</v>
      </c>
      <c r="E945" t="s">
        <v>6</v>
      </c>
      <c r="F945" t="s">
        <v>724</v>
      </c>
      <c r="G945">
        <v>20</v>
      </c>
      <c r="H945" s="2">
        <f>Tabelle13[[#This Row],[commits]]/Tabelle13[[#Totals],[commits]]</f>
        <v>9.2955808808492437E-5</v>
      </c>
      <c r="I945" s="5">
        <f>Tabelle13[[#This Row],[%]]+I944</f>
        <v>0.90552436371748923</v>
      </c>
      <c r="J945" s="4">
        <f t="shared" si="61"/>
        <v>1.105583195135434E-4</v>
      </c>
      <c r="K945" s="5">
        <f t="shared" si="62"/>
        <v>0.10425649530126944</v>
      </c>
    </row>
    <row r="946" spans="1:11" x14ac:dyDescent="0.25">
      <c r="A946" t="s">
        <v>10020</v>
      </c>
      <c r="C946" t="s">
        <v>10021</v>
      </c>
      <c r="D946" t="s">
        <v>9636</v>
      </c>
      <c r="E946" t="s">
        <v>6</v>
      </c>
      <c r="F946" t="s">
        <v>251</v>
      </c>
      <c r="G946">
        <v>20</v>
      </c>
      <c r="H946" s="2">
        <f>Tabelle13[[#This Row],[commits]]/Tabelle13[[#Totals],[commits]]</f>
        <v>9.2955808808492437E-5</v>
      </c>
      <c r="I946" s="5">
        <f>Tabelle13[[#This Row],[%]]+I945</f>
        <v>0.90561731952629776</v>
      </c>
      <c r="J946" s="4">
        <f t="shared" si="61"/>
        <v>1.105583195135434E-4</v>
      </c>
      <c r="K946" s="5">
        <f t="shared" si="62"/>
        <v>0.10436705362078298</v>
      </c>
    </row>
    <row r="947" spans="1:11" x14ac:dyDescent="0.25">
      <c r="A947" t="s">
        <v>10022</v>
      </c>
      <c r="C947" t="s">
        <v>10023</v>
      </c>
      <c r="D947" t="s">
        <v>309</v>
      </c>
      <c r="E947" t="s">
        <v>6</v>
      </c>
      <c r="F947" t="s">
        <v>251</v>
      </c>
      <c r="G947">
        <v>20</v>
      </c>
      <c r="H947" s="2">
        <f>Tabelle13[[#This Row],[commits]]/Tabelle13[[#Totals],[commits]]</f>
        <v>9.2955808808492437E-5</v>
      </c>
      <c r="I947" s="5">
        <f>Tabelle13[[#This Row],[%]]+I946</f>
        <v>0.90571027533510629</v>
      </c>
      <c r="J947" s="4">
        <f t="shared" si="61"/>
        <v>1.105583195135434E-4</v>
      </c>
      <c r="K947" s="5">
        <f t="shared" si="62"/>
        <v>0.10447761194029652</v>
      </c>
    </row>
    <row r="948" spans="1:11" x14ac:dyDescent="0.25">
      <c r="A948" t="s">
        <v>10024</v>
      </c>
      <c r="C948" t="s">
        <v>9951</v>
      </c>
      <c r="D948" t="s">
        <v>5</v>
      </c>
      <c r="E948" t="s">
        <v>6</v>
      </c>
      <c r="F948" t="s">
        <v>251</v>
      </c>
      <c r="G948">
        <v>20</v>
      </c>
      <c r="H948" s="2">
        <f>Tabelle13[[#This Row],[commits]]/Tabelle13[[#Totals],[commits]]</f>
        <v>9.2955808808492437E-5</v>
      </c>
      <c r="I948" s="5">
        <f>Tabelle13[[#This Row],[%]]+I947</f>
        <v>0.90580323114391481</v>
      </c>
      <c r="J948" s="4">
        <f t="shared" si="61"/>
        <v>1.105583195135434E-4</v>
      </c>
      <c r="K948" s="5">
        <f t="shared" si="62"/>
        <v>0.10458817025981006</v>
      </c>
    </row>
    <row r="949" spans="1:11" x14ac:dyDescent="0.25">
      <c r="A949" t="s">
        <v>10025</v>
      </c>
      <c r="C949" t="s">
        <v>10026</v>
      </c>
      <c r="D949" t="s">
        <v>309</v>
      </c>
      <c r="E949" t="s">
        <v>6</v>
      </c>
      <c r="F949" t="s">
        <v>251</v>
      </c>
      <c r="G949">
        <v>20</v>
      </c>
      <c r="H949" s="2">
        <f>Tabelle13[[#This Row],[commits]]/Tabelle13[[#Totals],[commits]]</f>
        <v>9.2955808808492437E-5</v>
      </c>
      <c r="I949" s="5">
        <f>Tabelle13[[#This Row],[%]]+I948</f>
        <v>0.90589618695272334</v>
      </c>
      <c r="J949" s="4">
        <f t="shared" si="61"/>
        <v>1.105583195135434E-4</v>
      </c>
      <c r="K949" s="5">
        <f t="shared" si="62"/>
        <v>0.10469872857932359</v>
      </c>
    </row>
    <row r="950" spans="1:11" x14ac:dyDescent="0.25">
      <c r="A950" t="s">
        <v>10027</v>
      </c>
      <c r="C950" t="s">
        <v>10028</v>
      </c>
      <c r="D950" t="s">
        <v>8760</v>
      </c>
      <c r="E950" t="s">
        <v>6</v>
      </c>
      <c r="F950" t="s">
        <v>251</v>
      </c>
      <c r="G950">
        <v>20</v>
      </c>
      <c r="H950" s="2">
        <f>Tabelle13[[#This Row],[commits]]/Tabelle13[[#Totals],[commits]]</f>
        <v>9.2955808808492437E-5</v>
      </c>
      <c r="I950" s="5">
        <f>Tabelle13[[#This Row],[%]]+I949</f>
        <v>0.90598914276153186</v>
      </c>
      <c r="J950" s="4">
        <f t="shared" si="61"/>
        <v>1.105583195135434E-4</v>
      </c>
      <c r="K950" s="5">
        <f t="shared" si="62"/>
        <v>0.10480928689883713</v>
      </c>
    </row>
    <row r="951" spans="1:11" x14ac:dyDescent="0.25">
      <c r="A951" t="s">
        <v>10029</v>
      </c>
      <c r="C951" t="s">
        <v>10030</v>
      </c>
      <c r="D951" t="s">
        <v>309</v>
      </c>
      <c r="E951" t="s">
        <v>6</v>
      </c>
      <c r="F951" t="s">
        <v>251</v>
      </c>
      <c r="G951">
        <v>20</v>
      </c>
      <c r="H951" s="2">
        <f>Tabelle13[[#This Row],[commits]]/Tabelle13[[#Totals],[commits]]</f>
        <v>9.2955808808492437E-5</v>
      </c>
      <c r="I951" s="5">
        <f>Tabelle13[[#This Row],[%]]+I950</f>
        <v>0.90608209857034039</v>
      </c>
      <c r="J951" s="4">
        <f t="shared" si="61"/>
        <v>1.105583195135434E-4</v>
      </c>
      <c r="K951" s="5">
        <f t="shared" si="62"/>
        <v>0.10491984521835067</v>
      </c>
    </row>
    <row r="952" spans="1:11" x14ac:dyDescent="0.25">
      <c r="A952" t="s">
        <v>10031</v>
      </c>
      <c r="C952" t="s">
        <v>10032</v>
      </c>
      <c r="D952" t="s">
        <v>309</v>
      </c>
      <c r="E952" t="s">
        <v>6</v>
      </c>
      <c r="F952" t="s">
        <v>251</v>
      </c>
      <c r="G952">
        <v>20</v>
      </c>
      <c r="H952" s="2">
        <f>Tabelle13[[#This Row],[commits]]/Tabelle13[[#Totals],[commits]]</f>
        <v>9.2955808808492437E-5</v>
      </c>
      <c r="I952" s="5">
        <f>Tabelle13[[#This Row],[%]]+I951</f>
        <v>0.90617505437914891</v>
      </c>
      <c r="J952" s="4">
        <f t="shared" si="61"/>
        <v>1.105583195135434E-4</v>
      </c>
      <c r="K952" s="5">
        <f t="shared" si="62"/>
        <v>0.10503040353786421</v>
      </c>
    </row>
    <row r="953" spans="1:11" x14ac:dyDescent="0.25">
      <c r="A953" t="s">
        <v>10033</v>
      </c>
      <c r="C953" t="s">
        <v>10034</v>
      </c>
      <c r="D953" t="s">
        <v>8948</v>
      </c>
      <c r="E953" t="s">
        <v>6</v>
      </c>
      <c r="F953" t="s">
        <v>251</v>
      </c>
      <c r="G953">
        <v>20</v>
      </c>
      <c r="H953" s="2">
        <f>Tabelle13[[#This Row],[commits]]/Tabelle13[[#Totals],[commits]]</f>
        <v>9.2955808808492437E-5</v>
      </c>
      <c r="I953" s="5">
        <f>Tabelle13[[#This Row],[%]]+I952</f>
        <v>0.90626801018795744</v>
      </c>
      <c r="J953" s="4">
        <f t="shared" si="61"/>
        <v>1.105583195135434E-4</v>
      </c>
      <c r="K953" s="5">
        <f t="shared" si="62"/>
        <v>0.10514096185737774</v>
      </c>
    </row>
    <row r="954" spans="1:11" x14ac:dyDescent="0.25">
      <c r="A954" t="s">
        <v>10035</v>
      </c>
      <c r="C954" t="s">
        <v>10036</v>
      </c>
      <c r="D954" t="s">
        <v>8874</v>
      </c>
      <c r="E954" t="s">
        <v>6</v>
      </c>
      <c r="F954" t="s">
        <v>251</v>
      </c>
      <c r="G954">
        <v>20</v>
      </c>
      <c r="H954" s="2">
        <f>Tabelle13[[#This Row],[commits]]/Tabelle13[[#Totals],[commits]]</f>
        <v>9.2955808808492437E-5</v>
      </c>
      <c r="I954" s="5">
        <f>Tabelle13[[#This Row],[%]]+I953</f>
        <v>0.90636096599676597</v>
      </c>
      <c r="J954" s="4">
        <f t="shared" si="61"/>
        <v>1.105583195135434E-4</v>
      </c>
      <c r="K954" s="5">
        <f t="shared" si="62"/>
        <v>0.10525152017689128</v>
      </c>
    </row>
    <row r="955" spans="1:11" x14ac:dyDescent="0.25">
      <c r="A955" t="s">
        <v>10037</v>
      </c>
      <c r="C955" t="s">
        <v>10038</v>
      </c>
      <c r="D955" t="s">
        <v>5</v>
      </c>
      <c r="E955" t="s">
        <v>6</v>
      </c>
      <c r="F955" t="s">
        <v>251</v>
      </c>
      <c r="G955">
        <v>20</v>
      </c>
      <c r="H955" s="2">
        <f>Tabelle13[[#This Row],[commits]]/Tabelle13[[#Totals],[commits]]</f>
        <v>9.2955808808492437E-5</v>
      </c>
      <c r="I955" s="5">
        <f>Tabelle13[[#This Row],[%]]+I954</f>
        <v>0.90645392180557449</v>
      </c>
      <c r="J955" s="4">
        <f t="shared" si="61"/>
        <v>1.105583195135434E-4</v>
      </c>
      <c r="K955" s="5">
        <f t="shared" si="62"/>
        <v>0.10536207849640482</v>
      </c>
    </row>
    <row r="956" spans="1:11" x14ac:dyDescent="0.25">
      <c r="A956" t="s">
        <v>10039</v>
      </c>
      <c r="C956" t="s">
        <v>10040</v>
      </c>
      <c r="D956" t="s">
        <v>5</v>
      </c>
      <c r="E956" t="s">
        <v>6</v>
      </c>
      <c r="F956" t="s">
        <v>251</v>
      </c>
      <c r="G956">
        <v>20</v>
      </c>
      <c r="H956" s="2">
        <f>Tabelle13[[#This Row],[commits]]/Tabelle13[[#Totals],[commits]]</f>
        <v>9.2955808808492437E-5</v>
      </c>
      <c r="I956" s="5">
        <f>Tabelle13[[#This Row],[%]]+I955</f>
        <v>0.90654687761438302</v>
      </c>
      <c r="J956" s="4">
        <f t="shared" si="61"/>
        <v>1.105583195135434E-4</v>
      </c>
      <c r="K956" s="5">
        <f t="shared" si="62"/>
        <v>0.10547263681591836</v>
      </c>
    </row>
    <row r="957" spans="1:11" x14ac:dyDescent="0.25">
      <c r="A957" t="s">
        <v>10041</v>
      </c>
      <c r="C957" t="s">
        <v>10042</v>
      </c>
      <c r="D957" t="s">
        <v>309</v>
      </c>
      <c r="E957" t="s">
        <v>6</v>
      </c>
      <c r="F957" t="s">
        <v>251</v>
      </c>
      <c r="G957">
        <v>20</v>
      </c>
      <c r="H957" s="2">
        <f>Tabelle13[[#This Row],[commits]]/Tabelle13[[#Totals],[commits]]</f>
        <v>9.2955808808492437E-5</v>
      </c>
      <c r="I957" s="5">
        <f>Tabelle13[[#This Row],[%]]+I956</f>
        <v>0.90663983342319154</v>
      </c>
      <c r="J957" s="4">
        <f t="shared" si="61"/>
        <v>1.105583195135434E-4</v>
      </c>
      <c r="K957" s="5">
        <f t="shared" si="62"/>
        <v>0.10558319513543189</v>
      </c>
    </row>
    <row r="958" spans="1:11" x14ac:dyDescent="0.25">
      <c r="A958" t="s">
        <v>10043</v>
      </c>
      <c r="C958" t="s">
        <v>10044</v>
      </c>
      <c r="D958" t="s">
        <v>9633</v>
      </c>
      <c r="E958" t="s">
        <v>6</v>
      </c>
      <c r="F958" t="s">
        <v>251</v>
      </c>
      <c r="G958">
        <v>20</v>
      </c>
      <c r="H958" s="2">
        <f>Tabelle13[[#This Row],[commits]]/Tabelle13[[#Totals],[commits]]</f>
        <v>9.2955808808492437E-5</v>
      </c>
      <c r="I958" s="5">
        <f>Tabelle13[[#This Row],[%]]+I957</f>
        <v>0.90673278923200007</v>
      </c>
      <c r="J958" s="4">
        <f t="shared" si="61"/>
        <v>1.105583195135434E-4</v>
      </c>
      <c r="K958" s="5">
        <f t="shared" si="62"/>
        <v>0.10569375345494543</v>
      </c>
    </row>
    <row r="959" spans="1:11" x14ac:dyDescent="0.25">
      <c r="A959" t="s">
        <v>10045</v>
      </c>
      <c r="C959" t="s">
        <v>10046</v>
      </c>
      <c r="D959" t="s">
        <v>10047</v>
      </c>
      <c r="E959" t="s">
        <v>6</v>
      </c>
      <c r="F959" t="s">
        <v>251</v>
      </c>
      <c r="G959">
        <v>20</v>
      </c>
      <c r="H959" s="2">
        <f>Tabelle13[[#This Row],[commits]]/Tabelle13[[#Totals],[commits]]</f>
        <v>9.2955808808492437E-5</v>
      </c>
      <c r="I959" s="5">
        <f>Tabelle13[[#This Row],[%]]+I958</f>
        <v>0.9068257450408086</v>
      </c>
      <c r="J959" s="4">
        <f t="shared" si="61"/>
        <v>1.105583195135434E-4</v>
      </c>
      <c r="K959" s="5">
        <f t="shared" si="62"/>
        <v>0.10580431177445897</v>
      </c>
    </row>
    <row r="960" spans="1:11" x14ac:dyDescent="0.25">
      <c r="A960" t="s">
        <v>10048</v>
      </c>
      <c r="C960" t="s">
        <v>10049</v>
      </c>
      <c r="D960" t="s">
        <v>309</v>
      </c>
      <c r="E960" t="s">
        <v>6</v>
      </c>
      <c r="F960" t="s">
        <v>251</v>
      </c>
      <c r="G960">
        <v>20</v>
      </c>
      <c r="H960" s="2">
        <f>Tabelle13[[#This Row],[commits]]/Tabelle13[[#Totals],[commits]]</f>
        <v>9.2955808808492437E-5</v>
      </c>
      <c r="I960" s="5">
        <f>Tabelle13[[#This Row],[%]]+I959</f>
        <v>0.90691870084961712</v>
      </c>
      <c r="J960" s="4">
        <f t="shared" si="61"/>
        <v>1.105583195135434E-4</v>
      </c>
      <c r="K960" s="5">
        <f t="shared" si="62"/>
        <v>0.1059148700939725</v>
      </c>
    </row>
    <row r="961" spans="1:11" x14ac:dyDescent="0.25">
      <c r="A961" t="s">
        <v>10050</v>
      </c>
      <c r="C961" t="s">
        <v>10051</v>
      </c>
      <c r="D961" t="s">
        <v>8948</v>
      </c>
      <c r="E961" t="s">
        <v>6</v>
      </c>
      <c r="F961" t="s">
        <v>251</v>
      </c>
      <c r="G961">
        <v>20</v>
      </c>
      <c r="H961" s="2">
        <f>Tabelle13[[#This Row],[commits]]/Tabelle13[[#Totals],[commits]]</f>
        <v>9.2955808808492437E-5</v>
      </c>
      <c r="I961" s="5">
        <f>Tabelle13[[#This Row],[%]]+I960</f>
        <v>0.90701165665842565</v>
      </c>
      <c r="J961" s="4">
        <f t="shared" si="61"/>
        <v>1.105583195135434E-4</v>
      </c>
      <c r="K961" s="5">
        <f t="shared" si="62"/>
        <v>0.10602542841348604</v>
      </c>
    </row>
    <row r="962" spans="1:11" x14ac:dyDescent="0.25">
      <c r="A962" t="s">
        <v>10052</v>
      </c>
      <c r="C962" t="s">
        <v>8962</v>
      </c>
      <c r="D962" t="s">
        <v>9282</v>
      </c>
      <c r="E962" t="s">
        <v>6</v>
      </c>
      <c r="F962" t="s">
        <v>251</v>
      </c>
      <c r="G962">
        <v>20</v>
      </c>
      <c r="H962" s="2">
        <f>Tabelle13[[#This Row],[commits]]/Tabelle13[[#Totals],[commits]]</f>
        <v>9.2955808808492437E-5</v>
      </c>
      <c r="I962" s="5">
        <f>Tabelle13[[#This Row],[%]]+I961</f>
        <v>0.90710461246723417</v>
      </c>
      <c r="J962" s="4">
        <f t="shared" si="61"/>
        <v>1.105583195135434E-4</v>
      </c>
      <c r="K962" s="5">
        <f t="shared" si="62"/>
        <v>0.10613598673299958</v>
      </c>
    </row>
    <row r="963" spans="1:11" x14ac:dyDescent="0.25">
      <c r="A963" t="s">
        <v>91</v>
      </c>
      <c r="C963" t="s">
        <v>92</v>
      </c>
      <c r="D963" t="s">
        <v>5</v>
      </c>
      <c r="E963" t="s">
        <v>6</v>
      </c>
      <c r="F963" t="s">
        <v>7</v>
      </c>
      <c r="G963">
        <v>19</v>
      </c>
      <c r="H963" s="2">
        <f>Tabelle13[[#This Row],[commits]]/Tabelle13[[#Totals],[commits]]</f>
        <v>8.8308018368067818E-5</v>
      </c>
      <c r="I963" s="5">
        <f>Tabelle13[[#This Row],[%]]+I962</f>
        <v>0.90719292048560229</v>
      </c>
      <c r="J963" s="4">
        <f t="shared" ref="J963:J1026" si="63">1/9045</f>
        <v>1.105583195135434E-4</v>
      </c>
      <c r="K963" s="5">
        <f t="shared" si="62"/>
        <v>0.10624654505251312</v>
      </c>
    </row>
    <row r="964" spans="1:11" x14ac:dyDescent="0.25">
      <c r="A964" t="s">
        <v>2541</v>
      </c>
      <c r="C964" t="s">
        <v>2542</v>
      </c>
      <c r="D964" t="s">
        <v>5</v>
      </c>
      <c r="E964" t="s">
        <v>6</v>
      </c>
      <c r="F964" t="s">
        <v>724</v>
      </c>
      <c r="G964">
        <v>19</v>
      </c>
      <c r="H964" s="2">
        <f>Tabelle13[[#This Row],[commits]]/Tabelle13[[#Totals],[commits]]</f>
        <v>8.8308018368067818E-5</v>
      </c>
      <c r="I964" s="5">
        <f>Tabelle13[[#This Row],[%]]+I963</f>
        <v>0.90728122850397042</v>
      </c>
      <c r="J964" s="4">
        <f t="shared" si="63"/>
        <v>1.105583195135434E-4</v>
      </c>
      <c r="K964" s="5">
        <f t="shared" si="62"/>
        <v>0.10635710337202665</v>
      </c>
    </row>
    <row r="965" spans="1:11" x14ac:dyDescent="0.25">
      <c r="A965" t="s">
        <v>2543</v>
      </c>
      <c r="C965" t="s">
        <v>2544</v>
      </c>
      <c r="D965" t="s">
        <v>5</v>
      </c>
      <c r="E965" t="s">
        <v>6</v>
      </c>
      <c r="F965" t="s">
        <v>724</v>
      </c>
      <c r="G965">
        <v>19</v>
      </c>
      <c r="H965" s="2">
        <f>Tabelle13[[#This Row],[commits]]/Tabelle13[[#Totals],[commits]]</f>
        <v>8.8308018368067818E-5</v>
      </c>
      <c r="I965" s="5">
        <f>Tabelle13[[#This Row],[%]]+I964</f>
        <v>0.90736953652233854</v>
      </c>
      <c r="J965" s="4">
        <f t="shared" si="63"/>
        <v>1.105583195135434E-4</v>
      </c>
      <c r="K965" s="5">
        <f t="shared" si="62"/>
        <v>0.10646766169154019</v>
      </c>
    </row>
    <row r="966" spans="1:11" x14ac:dyDescent="0.25">
      <c r="A966" t="s">
        <v>2545</v>
      </c>
      <c r="C966" t="s">
        <v>2546</v>
      </c>
      <c r="D966" t="s">
        <v>309</v>
      </c>
      <c r="E966" t="s">
        <v>6</v>
      </c>
      <c r="F966" t="s">
        <v>724</v>
      </c>
      <c r="G966">
        <v>19</v>
      </c>
      <c r="H966" s="2">
        <f>Tabelle13[[#This Row],[commits]]/Tabelle13[[#Totals],[commits]]</f>
        <v>8.8308018368067818E-5</v>
      </c>
      <c r="I966" s="5">
        <f>Tabelle13[[#This Row],[%]]+I965</f>
        <v>0.90745784454070666</v>
      </c>
      <c r="J966" s="4">
        <f t="shared" si="63"/>
        <v>1.105583195135434E-4</v>
      </c>
      <c r="K966" s="5">
        <f t="shared" ref="K966:K1029" si="64">J966+K965</f>
        <v>0.10657822001105373</v>
      </c>
    </row>
    <row r="967" spans="1:11" x14ac:dyDescent="0.25">
      <c r="A967" t="s">
        <v>2547</v>
      </c>
      <c r="C967" t="s">
        <v>2548</v>
      </c>
      <c r="D967" t="s">
        <v>5</v>
      </c>
      <c r="E967" t="s">
        <v>6</v>
      </c>
      <c r="F967" t="s">
        <v>724</v>
      </c>
      <c r="G967">
        <v>19</v>
      </c>
      <c r="H967" s="2">
        <f>Tabelle13[[#This Row],[commits]]/Tabelle13[[#Totals],[commits]]</f>
        <v>8.8308018368067818E-5</v>
      </c>
      <c r="I967" s="5">
        <f>Tabelle13[[#This Row],[%]]+I966</f>
        <v>0.90754615255907478</v>
      </c>
      <c r="J967" s="4">
        <f t="shared" si="63"/>
        <v>1.105583195135434E-4</v>
      </c>
      <c r="K967" s="5">
        <f t="shared" si="64"/>
        <v>0.10668877833056727</v>
      </c>
    </row>
    <row r="968" spans="1:11" x14ac:dyDescent="0.25">
      <c r="A968" t="s">
        <v>2549</v>
      </c>
      <c r="C968" t="s">
        <v>2550</v>
      </c>
      <c r="D968" t="s">
        <v>309</v>
      </c>
      <c r="E968" t="s">
        <v>6</v>
      </c>
      <c r="F968" t="s">
        <v>724</v>
      </c>
      <c r="G968">
        <v>19</v>
      </c>
      <c r="H968" s="2">
        <f>Tabelle13[[#This Row],[commits]]/Tabelle13[[#Totals],[commits]]</f>
        <v>8.8308018368067818E-5</v>
      </c>
      <c r="I968" s="5">
        <f>Tabelle13[[#This Row],[%]]+I967</f>
        <v>0.9076344605774429</v>
      </c>
      <c r="J968" s="4">
        <f t="shared" si="63"/>
        <v>1.105583195135434E-4</v>
      </c>
      <c r="K968" s="5">
        <f t="shared" si="64"/>
        <v>0.1067993366500808</v>
      </c>
    </row>
    <row r="969" spans="1:11" x14ac:dyDescent="0.25">
      <c r="A969" t="s">
        <v>5272</v>
      </c>
      <c r="C969" t="s">
        <v>5273</v>
      </c>
      <c r="D969" t="s">
        <v>5175</v>
      </c>
      <c r="E969" t="s">
        <v>6</v>
      </c>
      <c r="F969" t="s">
        <v>28</v>
      </c>
      <c r="G969">
        <v>19</v>
      </c>
      <c r="H969" s="2">
        <f>Tabelle13[[#This Row],[commits]]/Tabelle13[[#Totals],[commits]]</f>
        <v>8.8308018368067818E-5</v>
      </c>
      <c r="I969" s="5">
        <f>Tabelle13[[#This Row],[%]]+I968</f>
        <v>0.90772276859581102</v>
      </c>
      <c r="J969" s="4">
        <f t="shared" si="63"/>
        <v>1.105583195135434E-4</v>
      </c>
      <c r="K969" s="5">
        <f t="shared" si="64"/>
        <v>0.10690989496959434</v>
      </c>
    </row>
    <row r="970" spans="1:11" x14ac:dyDescent="0.25">
      <c r="A970" t="s">
        <v>5274</v>
      </c>
      <c r="C970" t="s">
        <v>5275</v>
      </c>
      <c r="D970" t="s">
        <v>5</v>
      </c>
      <c r="E970" t="s">
        <v>6</v>
      </c>
      <c r="F970" t="s">
        <v>28</v>
      </c>
      <c r="G970">
        <v>19</v>
      </c>
      <c r="H970" s="2">
        <f>Tabelle13[[#This Row],[commits]]/Tabelle13[[#Totals],[commits]]</f>
        <v>8.8308018368067818E-5</v>
      </c>
      <c r="I970" s="5">
        <f>Tabelle13[[#This Row],[%]]+I969</f>
        <v>0.90781107661417915</v>
      </c>
      <c r="J970" s="4">
        <f t="shared" si="63"/>
        <v>1.105583195135434E-4</v>
      </c>
      <c r="K970" s="5">
        <f t="shared" si="64"/>
        <v>0.10702045328910788</v>
      </c>
    </row>
    <row r="971" spans="1:11" x14ac:dyDescent="0.25">
      <c r="A971" t="s">
        <v>10053</v>
      </c>
      <c r="C971" t="s">
        <v>10054</v>
      </c>
      <c r="D971" t="s">
        <v>309</v>
      </c>
      <c r="E971" t="s">
        <v>6</v>
      </c>
      <c r="F971" t="s">
        <v>251</v>
      </c>
      <c r="G971">
        <v>19</v>
      </c>
      <c r="H971" s="2">
        <f>Tabelle13[[#This Row],[commits]]/Tabelle13[[#Totals],[commits]]</f>
        <v>8.8308018368067818E-5</v>
      </c>
      <c r="I971" s="5">
        <f>Tabelle13[[#This Row],[%]]+I970</f>
        <v>0.90789938463254727</v>
      </c>
      <c r="J971" s="4">
        <f t="shared" si="63"/>
        <v>1.105583195135434E-4</v>
      </c>
      <c r="K971" s="5">
        <f t="shared" si="64"/>
        <v>0.10713101160862142</v>
      </c>
    </row>
    <row r="972" spans="1:11" x14ac:dyDescent="0.25">
      <c r="A972" t="s">
        <v>10055</v>
      </c>
      <c r="C972" t="s">
        <v>10056</v>
      </c>
      <c r="D972" t="s">
        <v>309</v>
      </c>
      <c r="E972" t="s">
        <v>6</v>
      </c>
      <c r="F972" t="s">
        <v>251</v>
      </c>
      <c r="G972">
        <v>19</v>
      </c>
      <c r="H972" s="2">
        <f>Tabelle13[[#This Row],[commits]]/Tabelle13[[#Totals],[commits]]</f>
        <v>8.8308018368067818E-5</v>
      </c>
      <c r="I972" s="5">
        <f>Tabelle13[[#This Row],[%]]+I971</f>
        <v>0.90798769265091539</v>
      </c>
      <c r="J972" s="4">
        <f t="shared" si="63"/>
        <v>1.105583195135434E-4</v>
      </c>
      <c r="K972" s="5">
        <f t="shared" si="64"/>
        <v>0.10724156992813495</v>
      </c>
    </row>
    <row r="973" spans="1:11" x14ac:dyDescent="0.25">
      <c r="A973" t="s">
        <v>10057</v>
      </c>
      <c r="C973" t="s">
        <v>10058</v>
      </c>
      <c r="D973" t="s">
        <v>309</v>
      </c>
      <c r="E973" t="s">
        <v>6</v>
      </c>
      <c r="F973" t="s">
        <v>251</v>
      </c>
      <c r="G973">
        <v>19</v>
      </c>
      <c r="H973" s="2">
        <f>Tabelle13[[#This Row],[commits]]/Tabelle13[[#Totals],[commits]]</f>
        <v>8.8308018368067818E-5</v>
      </c>
      <c r="I973" s="5">
        <f>Tabelle13[[#This Row],[%]]+I972</f>
        <v>0.90807600066928351</v>
      </c>
      <c r="J973" s="4">
        <f t="shared" si="63"/>
        <v>1.105583195135434E-4</v>
      </c>
      <c r="K973" s="5">
        <f t="shared" si="64"/>
        <v>0.10735212824764849</v>
      </c>
    </row>
    <row r="974" spans="1:11" x14ac:dyDescent="0.25">
      <c r="A974" t="s">
        <v>10059</v>
      </c>
      <c r="C974" t="s">
        <v>10060</v>
      </c>
      <c r="D974" t="s">
        <v>5</v>
      </c>
      <c r="E974" t="s">
        <v>6</v>
      </c>
      <c r="F974" t="s">
        <v>251</v>
      </c>
      <c r="G974">
        <v>19</v>
      </c>
      <c r="H974" s="2">
        <f>Tabelle13[[#This Row],[commits]]/Tabelle13[[#Totals],[commits]]</f>
        <v>8.8308018368067818E-5</v>
      </c>
      <c r="I974" s="5">
        <f>Tabelle13[[#This Row],[%]]+I973</f>
        <v>0.90816430868765163</v>
      </c>
      <c r="J974" s="4">
        <f t="shared" si="63"/>
        <v>1.105583195135434E-4</v>
      </c>
      <c r="K974" s="5">
        <f t="shared" si="64"/>
        <v>0.10746268656716203</v>
      </c>
    </row>
    <row r="975" spans="1:11" x14ac:dyDescent="0.25">
      <c r="A975" t="s">
        <v>10061</v>
      </c>
      <c r="C975" t="s">
        <v>10062</v>
      </c>
      <c r="D975" t="s">
        <v>309</v>
      </c>
      <c r="E975" t="s">
        <v>6</v>
      </c>
      <c r="F975" t="s">
        <v>251</v>
      </c>
      <c r="G975">
        <v>19</v>
      </c>
      <c r="H975" s="2">
        <f>Tabelle13[[#This Row],[commits]]/Tabelle13[[#Totals],[commits]]</f>
        <v>8.8308018368067818E-5</v>
      </c>
      <c r="I975" s="5">
        <f>Tabelle13[[#This Row],[%]]+I974</f>
        <v>0.90825261670601976</v>
      </c>
      <c r="J975" s="4">
        <f t="shared" si="63"/>
        <v>1.105583195135434E-4</v>
      </c>
      <c r="K975" s="5">
        <f t="shared" si="64"/>
        <v>0.10757324488667556</v>
      </c>
    </row>
    <row r="976" spans="1:11" x14ac:dyDescent="0.25">
      <c r="A976" t="s">
        <v>10063</v>
      </c>
      <c r="C976" t="s">
        <v>10064</v>
      </c>
      <c r="D976" t="s">
        <v>309</v>
      </c>
      <c r="E976" t="s">
        <v>6</v>
      </c>
      <c r="F976" t="s">
        <v>251</v>
      </c>
      <c r="G976">
        <v>19</v>
      </c>
      <c r="H976" s="2">
        <f>Tabelle13[[#This Row],[commits]]/Tabelle13[[#Totals],[commits]]</f>
        <v>8.8308018368067818E-5</v>
      </c>
      <c r="I976" s="5">
        <f>Tabelle13[[#This Row],[%]]+I975</f>
        <v>0.90834092472438788</v>
      </c>
      <c r="J976" s="4">
        <f t="shared" si="63"/>
        <v>1.105583195135434E-4</v>
      </c>
      <c r="K976" s="5">
        <f t="shared" si="64"/>
        <v>0.1076838032061891</v>
      </c>
    </row>
    <row r="977" spans="1:11" x14ac:dyDescent="0.25">
      <c r="A977" t="s">
        <v>10065</v>
      </c>
      <c r="C977" t="s">
        <v>10066</v>
      </c>
      <c r="D977" t="s">
        <v>5</v>
      </c>
      <c r="E977" t="s">
        <v>6</v>
      </c>
      <c r="F977" t="s">
        <v>251</v>
      </c>
      <c r="G977">
        <v>19</v>
      </c>
      <c r="H977" s="2">
        <f>Tabelle13[[#This Row],[commits]]/Tabelle13[[#Totals],[commits]]</f>
        <v>8.8308018368067818E-5</v>
      </c>
      <c r="I977" s="5">
        <f>Tabelle13[[#This Row],[%]]+I976</f>
        <v>0.908429232742756</v>
      </c>
      <c r="J977" s="4">
        <f t="shared" si="63"/>
        <v>1.105583195135434E-4</v>
      </c>
      <c r="K977" s="5">
        <f t="shared" si="64"/>
        <v>0.10779436152570264</v>
      </c>
    </row>
    <row r="978" spans="1:11" x14ac:dyDescent="0.25">
      <c r="A978" t="s">
        <v>10067</v>
      </c>
      <c r="C978" t="s">
        <v>10068</v>
      </c>
      <c r="D978" t="s">
        <v>309</v>
      </c>
      <c r="E978" t="s">
        <v>6</v>
      </c>
      <c r="F978" t="s">
        <v>251</v>
      </c>
      <c r="G978">
        <v>19</v>
      </c>
      <c r="H978" s="2">
        <f>Tabelle13[[#This Row],[commits]]/Tabelle13[[#Totals],[commits]]</f>
        <v>8.8308018368067818E-5</v>
      </c>
      <c r="I978" s="5">
        <f>Tabelle13[[#This Row],[%]]+I977</f>
        <v>0.90851754076112412</v>
      </c>
      <c r="J978" s="4">
        <f t="shared" si="63"/>
        <v>1.105583195135434E-4</v>
      </c>
      <c r="K978" s="5">
        <f t="shared" si="64"/>
        <v>0.10790491984521618</v>
      </c>
    </row>
    <row r="979" spans="1:11" x14ac:dyDescent="0.25">
      <c r="A979" t="s">
        <v>10069</v>
      </c>
      <c r="C979" t="s">
        <v>10070</v>
      </c>
      <c r="D979" t="s">
        <v>10071</v>
      </c>
      <c r="E979" t="s">
        <v>6</v>
      </c>
      <c r="F979" t="s">
        <v>251</v>
      </c>
      <c r="G979">
        <v>19</v>
      </c>
      <c r="H979" s="2">
        <f>Tabelle13[[#This Row],[commits]]/Tabelle13[[#Totals],[commits]]</f>
        <v>8.8308018368067818E-5</v>
      </c>
      <c r="I979" s="5">
        <f>Tabelle13[[#This Row],[%]]+I978</f>
        <v>0.90860584877949224</v>
      </c>
      <c r="J979" s="4">
        <f t="shared" si="63"/>
        <v>1.105583195135434E-4</v>
      </c>
      <c r="K979" s="5">
        <f t="shared" si="64"/>
        <v>0.10801547816472971</v>
      </c>
    </row>
    <row r="980" spans="1:11" x14ac:dyDescent="0.25">
      <c r="A980" t="s">
        <v>10072</v>
      </c>
      <c r="C980" t="s">
        <v>10073</v>
      </c>
      <c r="D980" t="s">
        <v>9636</v>
      </c>
      <c r="E980" t="s">
        <v>6</v>
      </c>
      <c r="F980" t="s">
        <v>251</v>
      </c>
      <c r="G980">
        <v>19</v>
      </c>
      <c r="H980" s="2">
        <f>Tabelle13[[#This Row],[commits]]/Tabelle13[[#Totals],[commits]]</f>
        <v>8.8308018368067818E-5</v>
      </c>
      <c r="I980" s="5">
        <f>Tabelle13[[#This Row],[%]]+I979</f>
        <v>0.90869415679786036</v>
      </c>
      <c r="J980" s="4">
        <f t="shared" si="63"/>
        <v>1.105583195135434E-4</v>
      </c>
      <c r="K980" s="5">
        <f t="shared" si="64"/>
        <v>0.10812603648424325</v>
      </c>
    </row>
    <row r="981" spans="1:11" x14ac:dyDescent="0.25">
      <c r="A981" t="s">
        <v>10074</v>
      </c>
      <c r="C981" t="s">
        <v>10075</v>
      </c>
      <c r="D981" t="s">
        <v>5</v>
      </c>
      <c r="E981" t="s">
        <v>6</v>
      </c>
      <c r="F981" t="s">
        <v>251</v>
      </c>
      <c r="G981">
        <v>19</v>
      </c>
      <c r="H981" s="2">
        <f>Tabelle13[[#This Row],[commits]]/Tabelle13[[#Totals],[commits]]</f>
        <v>8.8308018368067818E-5</v>
      </c>
      <c r="I981" s="5">
        <f>Tabelle13[[#This Row],[%]]+I980</f>
        <v>0.90878246481622849</v>
      </c>
      <c r="J981" s="4">
        <f t="shared" si="63"/>
        <v>1.105583195135434E-4</v>
      </c>
      <c r="K981" s="5">
        <f t="shared" si="64"/>
        <v>0.10823659480375679</v>
      </c>
    </row>
    <row r="982" spans="1:11" x14ac:dyDescent="0.25">
      <c r="A982" t="s">
        <v>10076</v>
      </c>
      <c r="C982" t="s">
        <v>10077</v>
      </c>
      <c r="D982" t="s">
        <v>309</v>
      </c>
      <c r="E982" t="s">
        <v>6</v>
      </c>
      <c r="F982" t="s">
        <v>251</v>
      </c>
      <c r="G982">
        <v>19</v>
      </c>
      <c r="H982" s="2">
        <f>Tabelle13[[#This Row],[commits]]/Tabelle13[[#Totals],[commits]]</f>
        <v>8.8308018368067818E-5</v>
      </c>
      <c r="I982" s="5">
        <f>Tabelle13[[#This Row],[%]]+I981</f>
        <v>0.90887077283459661</v>
      </c>
      <c r="J982" s="4">
        <f t="shared" si="63"/>
        <v>1.105583195135434E-4</v>
      </c>
      <c r="K982" s="5">
        <f t="shared" si="64"/>
        <v>0.10834715312327033</v>
      </c>
    </row>
    <row r="983" spans="1:11" x14ac:dyDescent="0.25">
      <c r="A983" t="s">
        <v>10078</v>
      </c>
      <c r="C983" t="s">
        <v>10079</v>
      </c>
      <c r="D983" t="s">
        <v>5</v>
      </c>
      <c r="E983" t="s">
        <v>6</v>
      </c>
      <c r="F983" t="s">
        <v>251</v>
      </c>
      <c r="G983">
        <v>19</v>
      </c>
      <c r="H983" s="2">
        <f>Tabelle13[[#This Row],[commits]]/Tabelle13[[#Totals],[commits]]</f>
        <v>8.8308018368067818E-5</v>
      </c>
      <c r="I983" s="5">
        <f>Tabelle13[[#This Row],[%]]+I982</f>
        <v>0.90895908085296473</v>
      </c>
      <c r="J983" s="4">
        <f t="shared" si="63"/>
        <v>1.105583195135434E-4</v>
      </c>
      <c r="K983" s="5">
        <f t="shared" si="64"/>
        <v>0.10845771144278386</v>
      </c>
    </row>
    <row r="984" spans="1:11" x14ac:dyDescent="0.25">
      <c r="A984" t="s">
        <v>10080</v>
      </c>
      <c r="C984" t="s">
        <v>10081</v>
      </c>
      <c r="D984" t="s">
        <v>8757</v>
      </c>
      <c r="E984" t="s">
        <v>6</v>
      </c>
      <c r="F984" t="s">
        <v>251</v>
      </c>
      <c r="G984">
        <v>19</v>
      </c>
      <c r="H984" s="2">
        <f>Tabelle13[[#This Row],[commits]]/Tabelle13[[#Totals],[commits]]</f>
        <v>8.8308018368067818E-5</v>
      </c>
      <c r="I984" s="5">
        <f>Tabelle13[[#This Row],[%]]+I983</f>
        <v>0.90904738887133285</v>
      </c>
      <c r="J984" s="4">
        <f t="shared" si="63"/>
        <v>1.105583195135434E-4</v>
      </c>
      <c r="K984" s="5">
        <f t="shared" si="64"/>
        <v>0.1085682697622974</v>
      </c>
    </row>
    <row r="985" spans="1:11" x14ac:dyDescent="0.25">
      <c r="A985" t="s">
        <v>10082</v>
      </c>
      <c r="C985" t="s">
        <v>10083</v>
      </c>
      <c r="D985" t="s">
        <v>4461</v>
      </c>
      <c r="E985" t="s">
        <v>6</v>
      </c>
      <c r="F985" t="s">
        <v>251</v>
      </c>
      <c r="G985">
        <v>19</v>
      </c>
      <c r="H985" s="2">
        <f>Tabelle13[[#This Row],[commits]]/Tabelle13[[#Totals],[commits]]</f>
        <v>8.8308018368067818E-5</v>
      </c>
      <c r="I985" s="5">
        <f>Tabelle13[[#This Row],[%]]+I984</f>
        <v>0.90913569688970097</v>
      </c>
      <c r="J985" s="4">
        <f t="shared" si="63"/>
        <v>1.105583195135434E-4</v>
      </c>
      <c r="K985" s="5">
        <f t="shared" si="64"/>
        <v>0.10867882808181094</v>
      </c>
    </row>
    <row r="986" spans="1:11" x14ac:dyDescent="0.25">
      <c r="A986" t="s">
        <v>10084</v>
      </c>
      <c r="C986" t="s">
        <v>211</v>
      </c>
      <c r="D986" t="s">
        <v>5</v>
      </c>
      <c r="E986" t="s">
        <v>6</v>
      </c>
      <c r="F986" t="s">
        <v>251</v>
      </c>
      <c r="G986">
        <v>19</v>
      </c>
      <c r="H986" s="2">
        <f>Tabelle13[[#This Row],[commits]]/Tabelle13[[#Totals],[commits]]</f>
        <v>8.8308018368067818E-5</v>
      </c>
      <c r="I986" s="5">
        <f>Tabelle13[[#This Row],[%]]+I985</f>
        <v>0.90922400490806909</v>
      </c>
      <c r="J986" s="4">
        <f t="shared" si="63"/>
        <v>1.105583195135434E-4</v>
      </c>
      <c r="K986" s="5">
        <f t="shared" si="64"/>
        <v>0.10878938640132448</v>
      </c>
    </row>
    <row r="987" spans="1:11" x14ac:dyDescent="0.25">
      <c r="A987" t="s">
        <v>10085</v>
      </c>
      <c r="C987" t="s">
        <v>10086</v>
      </c>
      <c r="D987" t="s">
        <v>10087</v>
      </c>
      <c r="E987" t="s">
        <v>6</v>
      </c>
      <c r="F987" t="s">
        <v>251</v>
      </c>
      <c r="G987">
        <v>19</v>
      </c>
      <c r="H987" s="2">
        <f>Tabelle13[[#This Row],[commits]]/Tabelle13[[#Totals],[commits]]</f>
        <v>8.8308018368067818E-5</v>
      </c>
      <c r="I987" s="5">
        <f>Tabelle13[[#This Row],[%]]+I986</f>
        <v>0.90931231292643722</v>
      </c>
      <c r="J987" s="4">
        <f t="shared" si="63"/>
        <v>1.105583195135434E-4</v>
      </c>
      <c r="K987" s="5">
        <f t="shared" si="64"/>
        <v>0.10889994472083801</v>
      </c>
    </row>
    <row r="988" spans="1:11" x14ac:dyDescent="0.25">
      <c r="A988" t="s">
        <v>10088</v>
      </c>
      <c r="C988" t="s">
        <v>10089</v>
      </c>
      <c r="D988" t="s">
        <v>309</v>
      </c>
      <c r="E988" t="s">
        <v>6</v>
      </c>
      <c r="F988" t="s">
        <v>251</v>
      </c>
      <c r="G988">
        <v>19</v>
      </c>
      <c r="H988" s="2">
        <f>Tabelle13[[#This Row],[commits]]/Tabelle13[[#Totals],[commits]]</f>
        <v>8.8308018368067818E-5</v>
      </c>
      <c r="I988" s="5">
        <f>Tabelle13[[#This Row],[%]]+I987</f>
        <v>0.90940062094480534</v>
      </c>
      <c r="J988" s="4">
        <f t="shared" si="63"/>
        <v>1.105583195135434E-4</v>
      </c>
      <c r="K988" s="5">
        <f t="shared" si="64"/>
        <v>0.10901050304035155</v>
      </c>
    </row>
    <row r="989" spans="1:11" x14ac:dyDescent="0.25">
      <c r="A989" t="s">
        <v>10090</v>
      </c>
      <c r="C989" t="s">
        <v>10091</v>
      </c>
      <c r="D989" t="s">
        <v>5</v>
      </c>
      <c r="E989" t="s">
        <v>6</v>
      </c>
      <c r="F989" t="s">
        <v>251</v>
      </c>
      <c r="G989">
        <v>19</v>
      </c>
      <c r="H989" s="2">
        <f>Tabelle13[[#This Row],[commits]]/Tabelle13[[#Totals],[commits]]</f>
        <v>8.8308018368067818E-5</v>
      </c>
      <c r="I989" s="5">
        <f>Tabelle13[[#This Row],[%]]+I988</f>
        <v>0.90948892896317346</v>
      </c>
      <c r="J989" s="4">
        <f t="shared" si="63"/>
        <v>1.105583195135434E-4</v>
      </c>
      <c r="K989" s="5">
        <f t="shared" si="64"/>
        <v>0.10912106135986509</v>
      </c>
    </row>
    <row r="990" spans="1:11" x14ac:dyDescent="0.25">
      <c r="A990" t="s">
        <v>10092</v>
      </c>
      <c r="C990" t="s">
        <v>10093</v>
      </c>
      <c r="D990" t="s">
        <v>10094</v>
      </c>
      <c r="E990" t="s">
        <v>6</v>
      </c>
      <c r="F990" t="s">
        <v>251</v>
      </c>
      <c r="G990">
        <v>19</v>
      </c>
      <c r="H990" s="2">
        <f>Tabelle13[[#This Row],[commits]]/Tabelle13[[#Totals],[commits]]</f>
        <v>8.8308018368067818E-5</v>
      </c>
      <c r="I990" s="5">
        <f>Tabelle13[[#This Row],[%]]+I989</f>
        <v>0.90957723698154158</v>
      </c>
      <c r="J990" s="4">
        <f t="shared" si="63"/>
        <v>1.105583195135434E-4</v>
      </c>
      <c r="K990" s="5">
        <f t="shared" si="64"/>
        <v>0.10923161967937862</v>
      </c>
    </row>
    <row r="991" spans="1:11" x14ac:dyDescent="0.25">
      <c r="A991" t="s">
        <v>10095</v>
      </c>
      <c r="C991" t="s">
        <v>10096</v>
      </c>
      <c r="D991" t="s">
        <v>5</v>
      </c>
      <c r="E991" t="s">
        <v>6</v>
      </c>
      <c r="F991" t="s">
        <v>251</v>
      </c>
      <c r="G991">
        <v>19</v>
      </c>
      <c r="H991" s="2">
        <f>Tabelle13[[#This Row],[commits]]/Tabelle13[[#Totals],[commits]]</f>
        <v>8.8308018368067818E-5</v>
      </c>
      <c r="I991" s="5">
        <f>Tabelle13[[#This Row],[%]]+I990</f>
        <v>0.9096655449999097</v>
      </c>
      <c r="J991" s="4">
        <f t="shared" si="63"/>
        <v>1.105583195135434E-4</v>
      </c>
      <c r="K991" s="5">
        <f t="shared" si="64"/>
        <v>0.10934217799889216</v>
      </c>
    </row>
    <row r="992" spans="1:11" x14ac:dyDescent="0.25">
      <c r="A992" t="s">
        <v>10097</v>
      </c>
      <c r="C992" t="s">
        <v>10098</v>
      </c>
      <c r="D992" t="s">
        <v>309</v>
      </c>
      <c r="E992" t="s">
        <v>6</v>
      </c>
      <c r="F992" t="s">
        <v>251</v>
      </c>
      <c r="G992">
        <v>19</v>
      </c>
      <c r="H992" s="2">
        <f>Tabelle13[[#This Row],[commits]]/Tabelle13[[#Totals],[commits]]</f>
        <v>8.8308018368067818E-5</v>
      </c>
      <c r="I992" s="5">
        <f>Tabelle13[[#This Row],[%]]+I991</f>
        <v>0.90975385301827782</v>
      </c>
      <c r="J992" s="4">
        <f t="shared" si="63"/>
        <v>1.105583195135434E-4</v>
      </c>
      <c r="K992" s="5">
        <f t="shared" si="64"/>
        <v>0.1094527363184057</v>
      </c>
    </row>
    <row r="993" spans="1:11" x14ac:dyDescent="0.25">
      <c r="A993" t="s">
        <v>93</v>
      </c>
      <c r="C993" t="s">
        <v>94</v>
      </c>
      <c r="D993" t="s">
        <v>5</v>
      </c>
      <c r="E993" t="s">
        <v>6</v>
      </c>
      <c r="F993" t="s">
        <v>7</v>
      </c>
      <c r="G993">
        <v>18</v>
      </c>
      <c r="H993" s="2">
        <f>Tabelle13[[#This Row],[commits]]/Tabelle13[[#Totals],[commits]]</f>
        <v>8.3660227927643199E-5</v>
      </c>
      <c r="I993" s="5">
        <f>Tabelle13[[#This Row],[%]]+I992</f>
        <v>0.90983751324620543</v>
      </c>
      <c r="J993" s="4">
        <f t="shared" si="63"/>
        <v>1.105583195135434E-4</v>
      </c>
      <c r="K993" s="5">
        <f t="shared" si="64"/>
        <v>0.10956329463791924</v>
      </c>
    </row>
    <row r="994" spans="1:11" x14ac:dyDescent="0.25">
      <c r="A994" t="s">
        <v>95</v>
      </c>
      <c r="C994" t="s">
        <v>96</v>
      </c>
      <c r="D994" t="s">
        <v>5</v>
      </c>
      <c r="E994" t="s">
        <v>6</v>
      </c>
      <c r="F994" t="s">
        <v>7</v>
      </c>
      <c r="G994">
        <v>18</v>
      </c>
      <c r="H994" s="2">
        <f>Tabelle13[[#This Row],[commits]]/Tabelle13[[#Totals],[commits]]</f>
        <v>8.3660227927643199E-5</v>
      </c>
      <c r="I994" s="5">
        <f>Tabelle13[[#This Row],[%]]+I993</f>
        <v>0.90992117347413304</v>
      </c>
      <c r="J994" s="4">
        <f t="shared" si="63"/>
        <v>1.105583195135434E-4</v>
      </c>
      <c r="K994" s="5">
        <f t="shared" si="64"/>
        <v>0.10967385295743277</v>
      </c>
    </row>
    <row r="995" spans="1:11" x14ac:dyDescent="0.25">
      <c r="A995" t="s">
        <v>97</v>
      </c>
      <c r="C995" t="s">
        <v>26</v>
      </c>
      <c r="D995" t="s">
        <v>5</v>
      </c>
      <c r="E995" t="s">
        <v>6</v>
      </c>
      <c r="F995" t="s">
        <v>7</v>
      </c>
      <c r="G995">
        <v>18</v>
      </c>
      <c r="H995" s="2">
        <f>Tabelle13[[#This Row],[commits]]/Tabelle13[[#Totals],[commits]]</f>
        <v>8.3660227927643199E-5</v>
      </c>
      <c r="I995" s="5">
        <f>Tabelle13[[#This Row],[%]]+I994</f>
        <v>0.91000483370206064</v>
      </c>
      <c r="J995" s="4">
        <f t="shared" si="63"/>
        <v>1.105583195135434E-4</v>
      </c>
      <c r="K995" s="5">
        <f t="shared" si="64"/>
        <v>0.10978441127694631</v>
      </c>
    </row>
    <row r="996" spans="1:11" x14ac:dyDescent="0.25">
      <c r="A996" t="s">
        <v>1340</v>
      </c>
      <c r="C996" t="s">
        <v>1341</v>
      </c>
      <c r="D996" t="s">
        <v>5</v>
      </c>
      <c r="E996" t="s">
        <v>6</v>
      </c>
      <c r="F996" t="s">
        <v>28</v>
      </c>
      <c r="G996">
        <v>18</v>
      </c>
      <c r="H996" s="2">
        <f>Tabelle13[[#This Row],[commits]]/Tabelle13[[#Totals],[commits]]</f>
        <v>8.3660227927643199E-5</v>
      </c>
      <c r="I996" s="5">
        <f>Tabelle13[[#This Row],[%]]+I995</f>
        <v>0.91008849392998825</v>
      </c>
      <c r="J996" s="4">
        <f t="shared" si="63"/>
        <v>1.105583195135434E-4</v>
      </c>
      <c r="K996" s="5">
        <f t="shared" si="64"/>
        <v>0.10989496959645985</v>
      </c>
    </row>
    <row r="997" spans="1:11" x14ac:dyDescent="0.25">
      <c r="A997" t="s">
        <v>2551</v>
      </c>
      <c r="C997" t="s">
        <v>2552</v>
      </c>
      <c r="D997" t="s">
        <v>309</v>
      </c>
      <c r="E997" t="s">
        <v>6</v>
      </c>
      <c r="F997" t="s">
        <v>724</v>
      </c>
      <c r="G997">
        <v>18</v>
      </c>
      <c r="H997" s="2">
        <f>Tabelle13[[#This Row],[commits]]/Tabelle13[[#Totals],[commits]]</f>
        <v>8.3660227927643199E-5</v>
      </c>
      <c r="I997" s="5">
        <f>Tabelle13[[#This Row],[%]]+I996</f>
        <v>0.91017215415791586</v>
      </c>
      <c r="J997" s="4">
        <f t="shared" si="63"/>
        <v>1.105583195135434E-4</v>
      </c>
      <c r="K997" s="5">
        <f t="shared" si="64"/>
        <v>0.11000552791597339</v>
      </c>
    </row>
    <row r="998" spans="1:11" x14ac:dyDescent="0.25">
      <c r="A998" t="s">
        <v>2553</v>
      </c>
      <c r="C998" t="s">
        <v>2554</v>
      </c>
      <c r="D998" t="s">
        <v>2555</v>
      </c>
      <c r="E998" t="s">
        <v>6</v>
      </c>
      <c r="F998" t="s">
        <v>724</v>
      </c>
      <c r="G998">
        <v>18</v>
      </c>
      <c r="H998" s="2">
        <f>Tabelle13[[#This Row],[commits]]/Tabelle13[[#Totals],[commits]]</f>
        <v>8.3660227927643199E-5</v>
      </c>
      <c r="I998" s="5">
        <f>Tabelle13[[#This Row],[%]]+I997</f>
        <v>0.91025581438584346</v>
      </c>
      <c r="J998" s="4">
        <f t="shared" si="63"/>
        <v>1.105583195135434E-4</v>
      </c>
      <c r="K998" s="5">
        <f t="shared" si="64"/>
        <v>0.11011608623548692</v>
      </c>
    </row>
    <row r="999" spans="1:11" x14ac:dyDescent="0.25">
      <c r="A999" t="s">
        <v>2556</v>
      </c>
      <c r="C999" t="s">
        <v>2557</v>
      </c>
      <c r="D999" t="s">
        <v>5</v>
      </c>
      <c r="E999" t="s">
        <v>6</v>
      </c>
      <c r="F999" t="s">
        <v>724</v>
      </c>
      <c r="G999">
        <v>18</v>
      </c>
      <c r="H999" s="2">
        <f>Tabelle13[[#This Row],[commits]]/Tabelle13[[#Totals],[commits]]</f>
        <v>8.3660227927643199E-5</v>
      </c>
      <c r="I999" s="5">
        <f>Tabelle13[[#This Row],[%]]+I998</f>
        <v>0.91033947461377107</v>
      </c>
      <c r="J999" s="4">
        <f t="shared" si="63"/>
        <v>1.105583195135434E-4</v>
      </c>
      <c r="K999" s="5">
        <f t="shared" si="64"/>
        <v>0.11022664455500046</v>
      </c>
    </row>
    <row r="1000" spans="1:11" x14ac:dyDescent="0.25">
      <c r="A1000" t="s">
        <v>2558</v>
      </c>
      <c r="C1000" t="s">
        <v>2559</v>
      </c>
      <c r="D1000" t="s">
        <v>2560</v>
      </c>
      <c r="E1000" t="s">
        <v>6</v>
      </c>
      <c r="F1000" t="s">
        <v>724</v>
      </c>
      <c r="G1000">
        <v>18</v>
      </c>
      <c r="H1000" s="2">
        <f>Tabelle13[[#This Row],[commits]]/Tabelle13[[#Totals],[commits]]</f>
        <v>8.3660227927643199E-5</v>
      </c>
      <c r="I1000" s="5">
        <f>Tabelle13[[#This Row],[%]]+I999</f>
        <v>0.91042313484169868</v>
      </c>
      <c r="J1000" s="4">
        <f t="shared" si="63"/>
        <v>1.105583195135434E-4</v>
      </c>
      <c r="K1000" s="5">
        <f t="shared" si="64"/>
        <v>0.110337202874514</v>
      </c>
    </row>
    <row r="1001" spans="1:11" x14ac:dyDescent="0.25">
      <c r="A1001" t="s">
        <v>2561</v>
      </c>
      <c r="C1001" t="s">
        <v>2425</v>
      </c>
      <c r="D1001" t="s">
        <v>309</v>
      </c>
      <c r="E1001" t="s">
        <v>6</v>
      </c>
      <c r="F1001" t="s">
        <v>724</v>
      </c>
      <c r="G1001">
        <v>18</v>
      </c>
      <c r="H1001" s="2">
        <f>Tabelle13[[#This Row],[commits]]/Tabelle13[[#Totals],[commits]]</f>
        <v>8.3660227927643199E-5</v>
      </c>
      <c r="I1001" s="5">
        <f>Tabelle13[[#This Row],[%]]+I1000</f>
        <v>0.91050679506962628</v>
      </c>
      <c r="J1001" s="4">
        <f t="shared" si="63"/>
        <v>1.105583195135434E-4</v>
      </c>
      <c r="K1001" s="5">
        <f t="shared" si="64"/>
        <v>0.11044776119402754</v>
      </c>
    </row>
    <row r="1002" spans="1:11" x14ac:dyDescent="0.25">
      <c r="A1002" t="s">
        <v>5276</v>
      </c>
      <c r="C1002" t="s">
        <v>532</v>
      </c>
      <c r="D1002" t="s">
        <v>5</v>
      </c>
      <c r="E1002" t="s">
        <v>6</v>
      </c>
      <c r="F1002" t="s">
        <v>28</v>
      </c>
      <c r="G1002">
        <v>18</v>
      </c>
      <c r="H1002" s="2">
        <f>Tabelle13[[#This Row],[commits]]/Tabelle13[[#Totals],[commits]]</f>
        <v>8.3660227927643199E-5</v>
      </c>
      <c r="I1002" s="5">
        <f>Tabelle13[[#This Row],[%]]+I1001</f>
        <v>0.91059045529755389</v>
      </c>
      <c r="J1002" s="4">
        <f t="shared" si="63"/>
        <v>1.105583195135434E-4</v>
      </c>
      <c r="K1002" s="5">
        <f t="shared" si="64"/>
        <v>0.11055831951354107</v>
      </c>
    </row>
    <row r="1003" spans="1:11" x14ac:dyDescent="0.25">
      <c r="A1003" t="s">
        <v>5277</v>
      </c>
      <c r="C1003" t="s">
        <v>5278</v>
      </c>
      <c r="D1003" t="s">
        <v>5</v>
      </c>
      <c r="E1003" t="s">
        <v>6</v>
      </c>
      <c r="F1003" t="s">
        <v>28</v>
      </c>
      <c r="G1003">
        <v>18</v>
      </c>
      <c r="H1003" s="2">
        <f>Tabelle13[[#This Row],[commits]]/Tabelle13[[#Totals],[commits]]</f>
        <v>8.3660227927643199E-5</v>
      </c>
      <c r="I1003" s="5">
        <f>Tabelle13[[#This Row],[%]]+I1002</f>
        <v>0.9106741155254815</v>
      </c>
      <c r="J1003" s="4">
        <f t="shared" si="63"/>
        <v>1.105583195135434E-4</v>
      </c>
      <c r="K1003" s="5">
        <f t="shared" si="64"/>
        <v>0.11066887783305461</v>
      </c>
    </row>
    <row r="1004" spans="1:11" x14ac:dyDescent="0.25">
      <c r="A1004" t="s">
        <v>10099</v>
      </c>
      <c r="C1004" t="s">
        <v>10100</v>
      </c>
      <c r="D1004" t="s">
        <v>309</v>
      </c>
      <c r="E1004" t="s">
        <v>6</v>
      </c>
      <c r="F1004" t="s">
        <v>251</v>
      </c>
      <c r="G1004">
        <v>18</v>
      </c>
      <c r="H1004" s="2">
        <f>Tabelle13[[#This Row],[commits]]/Tabelle13[[#Totals],[commits]]</f>
        <v>8.3660227927643199E-5</v>
      </c>
      <c r="I1004" s="5">
        <f>Tabelle13[[#This Row],[%]]+I1003</f>
        <v>0.9107577757534091</v>
      </c>
      <c r="J1004" s="4">
        <f t="shared" si="63"/>
        <v>1.105583195135434E-4</v>
      </c>
      <c r="K1004" s="5">
        <f t="shared" si="64"/>
        <v>0.11077943615256815</v>
      </c>
    </row>
    <row r="1005" spans="1:11" x14ac:dyDescent="0.25">
      <c r="A1005" t="s">
        <v>10101</v>
      </c>
      <c r="C1005" t="s">
        <v>10102</v>
      </c>
      <c r="D1005" t="s">
        <v>309</v>
      </c>
      <c r="E1005" t="s">
        <v>6</v>
      </c>
      <c r="F1005" t="s">
        <v>251</v>
      </c>
      <c r="G1005">
        <v>18</v>
      </c>
      <c r="H1005" s="2">
        <f>Tabelle13[[#This Row],[commits]]/Tabelle13[[#Totals],[commits]]</f>
        <v>8.3660227927643199E-5</v>
      </c>
      <c r="I1005" s="5">
        <f>Tabelle13[[#This Row],[%]]+I1004</f>
        <v>0.91084143598133671</v>
      </c>
      <c r="J1005" s="4">
        <f t="shared" si="63"/>
        <v>1.105583195135434E-4</v>
      </c>
      <c r="K1005" s="5">
        <f t="shared" si="64"/>
        <v>0.11088999447208168</v>
      </c>
    </row>
    <row r="1006" spans="1:11" x14ac:dyDescent="0.25">
      <c r="A1006" t="s">
        <v>10103</v>
      </c>
      <c r="C1006" t="s">
        <v>10104</v>
      </c>
      <c r="D1006" t="s">
        <v>9035</v>
      </c>
      <c r="E1006" t="s">
        <v>6</v>
      </c>
      <c r="F1006" t="s">
        <v>251</v>
      </c>
      <c r="G1006">
        <v>18</v>
      </c>
      <c r="H1006" s="2">
        <f>Tabelle13[[#This Row],[commits]]/Tabelle13[[#Totals],[commits]]</f>
        <v>8.3660227927643199E-5</v>
      </c>
      <c r="I1006" s="5">
        <f>Tabelle13[[#This Row],[%]]+I1005</f>
        <v>0.91092509620926432</v>
      </c>
      <c r="J1006" s="4">
        <f t="shared" si="63"/>
        <v>1.105583195135434E-4</v>
      </c>
      <c r="K1006" s="5">
        <f t="shared" si="64"/>
        <v>0.11100055279159522</v>
      </c>
    </row>
    <row r="1007" spans="1:11" x14ac:dyDescent="0.25">
      <c r="A1007" t="s">
        <v>10105</v>
      </c>
      <c r="C1007" t="s">
        <v>10106</v>
      </c>
      <c r="D1007" t="s">
        <v>9035</v>
      </c>
      <c r="E1007" t="s">
        <v>6</v>
      </c>
      <c r="F1007" t="s">
        <v>251</v>
      </c>
      <c r="G1007">
        <v>18</v>
      </c>
      <c r="H1007" s="2">
        <f>Tabelle13[[#This Row],[commits]]/Tabelle13[[#Totals],[commits]]</f>
        <v>8.3660227927643199E-5</v>
      </c>
      <c r="I1007" s="5">
        <f>Tabelle13[[#This Row],[%]]+I1006</f>
        <v>0.91100875643719192</v>
      </c>
      <c r="J1007" s="4">
        <f t="shared" si="63"/>
        <v>1.105583195135434E-4</v>
      </c>
      <c r="K1007" s="5">
        <f t="shared" si="64"/>
        <v>0.11111111111110876</v>
      </c>
    </row>
    <row r="1008" spans="1:11" x14ac:dyDescent="0.25">
      <c r="A1008" t="s">
        <v>10107</v>
      </c>
      <c r="C1008" t="s">
        <v>10108</v>
      </c>
      <c r="D1008" t="s">
        <v>10109</v>
      </c>
      <c r="E1008" t="s">
        <v>6</v>
      </c>
      <c r="F1008" t="s">
        <v>251</v>
      </c>
      <c r="G1008">
        <v>18</v>
      </c>
      <c r="H1008" s="2">
        <f>Tabelle13[[#This Row],[commits]]/Tabelle13[[#Totals],[commits]]</f>
        <v>8.3660227927643199E-5</v>
      </c>
      <c r="I1008" s="5">
        <f>Tabelle13[[#This Row],[%]]+I1007</f>
        <v>0.91109241666511953</v>
      </c>
      <c r="J1008" s="4">
        <f t="shared" si="63"/>
        <v>1.105583195135434E-4</v>
      </c>
      <c r="K1008" s="5">
        <f t="shared" si="64"/>
        <v>0.1112216694306223</v>
      </c>
    </row>
    <row r="1009" spans="1:11" x14ac:dyDescent="0.25">
      <c r="A1009" t="s">
        <v>10110</v>
      </c>
      <c r="C1009" t="s">
        <v>10111</v>
      </c>
      <c r="D1009" t="s">
        <v>5</v>
      </c>
      <c r="E1009" t="s">
        <v>6</v>
      </c>
      <c r="F1009" t="s">
        <v>251</v>
      </c>
      <c r="G1009">
        <v>18</v>
      </c>
      <c r="H1009" s="2">
        <f>Tabelle13[[#This Row],[commits]]/Tabelle13[[#Totals],[commits]]</f>
        <v>8.3660227927643199E-5</v>
      </c>
      <c r="I1009" s="5">
        <f>Tabelle13[[#This Row],[%]]+I1008</f>
        <v>0.91117607689304714</v>
      </c>
      <c r="J1009" s="4">
        <f t="shared" si="63"/>
        <v>1.105583195135434E-4</v>
      </c>
      <c r="K1009" s="5">
        <f t="shared" si="64"/>
        <v>0.11133222775013583</v>
      </c>
    </row>
    <row r="1010" spans="1:11" x14ac:dyDescent="0.25">
      <c r="A1010" t="s">
        <v>10112</v>
      </c>
      <c r="C1010">
        <v>895521320</v>
      </c>
      <c r="D1010" t="s">
        <v>5</v>
      </c>
      <c r="E1010" t="s">
        <v>6</v>
      </c>
      <c r="F1010" t="s">
        <v>251</v>
      </c>
      <c r="G1010">
        <v>18</v>
      </c>
      <c r="H1010" s="2">
        <f>Tabelle13[[#This Row],[commits]]/Tabelle13[[#Totals],[commits]]</f>
        <v>8.3660227927643199E-5</v>
      </c>
      <c r="I1010" s="5">
        <f>Tabelle13[[#This Row],[%]]+I1009</f>
        <v>0.91125973712097474</v>
      </c>
      <c r="J1010" s="4">
        <f t="shared" si="63"/>
        <v>1.105583195135434E-4</v>
      </c>
      <c r="K1010" s="5">
        <f t="shared" si="64"/>
        <v>0.11144278606964937</v>
      </c>
    </row>
    <row r="1011" spans="1:11" x14ac:dyDescent="0.25">
      <c r="A1011" t="s">
        <v>10113</v>
      </c>
      <c r="C1011" t="s">
        <v>10114</v>
      </c>
      <c r="D1011" t="s">
        <v>5</v>
      </c>
      <c r="E1011" t="s">
        <v>6</v>
      </c>
      <c r="F1011" t="s">
        <v>251</v>
      </c>
      <c r="G1011">
        <v>18</v>
      </c>
      <c r="H1011" s="2">
        <f>Tabelle13[[#This Row],[commits]]/Tabelle13[[#Totals],[commits]]</f>
        <v>8.3660227927643199E-5</v>
      </c>
      <c r="I1011" s="5">
        <f>Tabelle13[[#This Row],[%]]+I1010</f>
        <v>0.91134339734890235</v>
      </c>
      <c r="J1011" s="4">
        <f t="shared" si="63"/>
        <v>1.105583195135434E-4</v>
      </c>
      <c r="K1011" s="5">
        <f t="shared" si="64"/>
        <v>0.11155334438916291</v>
      </c>
    </row>
    <row r="1012" spans="1:11" x14ac:dyDescent="0.25">
      <c r="A1012" t="s">
        <v>10115</v>
      </c>
      <c r="C1012" t="s">
        <v>10116</v>
      </c>
      <c r="D1012" t="s">
        <v>5</v>
      </c>
      <c r="E1012" t="s">
        <v>6</v>
      </c>
      <c r="F1012" t="s">
        <v>251</v>
      </c>
      <c r="G1012">
        <v>18</v>
      </c>
      <c r="H1012" s="2">
        <f>Tabelle13[[#This Row],[commits]]/Tabelle13[[#Totals],[commits]]</f>
        <v>8.3660227927643199E-5</v>
      </c>
      <c r="I1012" s="5">
        <f>Tabelle13[[#This Row],[%]]+I1011</f>
        <v>0.91142705757682996</v>
      </c>
      <c r="J1012" s="4">
        <f t="shared" si="63"/>
        <v>1.105583195135434E-4</v>
      </c>
      <c r="K1012" s="5">
        <f t="shared" si="64"/>
        <v>0.11166390270867645</v>
      </c>
    </row>
    <row r="1013" spans="1:11" x14ac:dyDescent="0.25">
      <c r="A1013" t="s">
        <v>10117</v>
      </c>
      <c r="C1013" t="s">
        <v>10118</v>
      </c>
      <c r="D1013" t="s">
        <v>5</v>
      </c>
      <c r="E1013" t="s">
        <v>6</v>
      </c>
      <c r="F1013" t="s">
        <v>251</v>
      </c>
      <c r="G1013">
        <v>18</v>
      </c>
      <c r="H1013" s="2">
        <f>Tabelle13[[#This Row],[commits]]/Tabelle13[[#Totals],[commits]]</f>
        <v>8.3660227927643199E-5</v>
      </c>
      <c r="I1013" s="5">
        <f>Tabelle13[[#This Row],[%]]+I1012</f>
        <v>0.91151071780475756</v>
      </c>
      <c r="J1013" s="4">
        <f t="shared" si="63"/>
        <v>1.105583195135434E-4</v>
      </c>
      <c r="K1013" s="5">
        <f t="shared" si="64"/>
        <v>0.11177446102818998</v>
      </c>
    </row>
    <row r="1014" spans="1:11" x14ac:dyDescent="0.25">
      <c r="A1014" t="s">
        <v>10119</v>
      </c>
      <c r="C1014" t="s">
        <v>10120</v>
      </c>
      <c r="D1014" t="s">
        <v>9062</v>
      </c>
      <c r="E1014" t="s">
        <v>6</v>
      </c>
      <c r="F1014" t="s">
        <v>251</v>
      </c>
      <c r="G1014">
        <v>18</v>
      </c>
      <c r="H1014" s="2">
        <f>Tabelle13[[#This Row],[commits]]/Tabelle13[[#Totals],[commits]]</f>
        <v>8.3660227927643199E-5</v>
      </c>
      <c r="I1014" s="5">
        <f>Tabelle13[[#This Row],[%]]+I1013</f>
        <v>0.91159437803268517</v>
      </c>
      <c r="J1014" s="4">
        <f t="shared" si="63"/>
        <v>1.105583195135434E-4</v>
      </c>
      <c r="K1014" s="5">
        <f t="shared" si="64"/>
        <v>0.11188501934770352</v>
      </c>
    </row>
    <row r="1015" spans="1:11" x14ac:dyDescent="0.25">
      <c r="A1015" t="s">
        <v>10121</v>
      </c>
      <c r="C1015" t="s">
        <v>10122</v>
      </c>
      <c r="D1015" t="s">
        <v>8948</v>
      </c>
      <c r="E1015" t="s">
        <v>6</v>
      </c>
      <c r="F1015" t="s">
        <v>251</v>
      </c>
      <c r="G1015">
        <v>18</v>
      </c>
      <c r="H1015" s="2">
        <f>Tabelle13[[#This Row],[commits]]/Tabelle13[[#Totals],[commits]]</f>
        <v>8.3660227927643199E-5</v>
      </c>
      <c r="I1015" s="5">
        <f>Tabelle13[[#This Row],[%]]+I1014</f>
        <v>0.91167803826061278</v>
      </c>
      <c r="J1015" s="4">
        <f t="shared" si="63"/>
        <v>1.105583195135434E-4</v>
      </c>
      <c r="K1015" s="5">
        <f t="shared" si="64"/>
        <v>0.11199557766721706</v>
      </c>
    </row>
    <row r="1016" spans="1:11" x14ac:dyDescent="0.25">
      <c r="A1016" t="s">
        <v>10123</v>
      </c>
      <c r="C1016" t="s">
        <v>10124</v>
      </c>
      <c r="D1016" t="s">
        <v>5</v>
      </c>
      <c r="E1016" t="s">
        <v>6</v>
      </c>
      <c r="F1016" t="s">
        <v>251</v>
      </c>
      <c r="G1016">
        <v>18</v>
      </c>
      <c r="H1016" s="2">
        <f>Tabelle13[[#This Row],[commits]]/Tabelle13[[#Totals],[commits]]</f>
        <v>8.3660227927643199E-5</v>
      </c>
      <c r="I1016" s="5">
        <f>Tabelle13[[#This Row],[%]]+I1015</f>
        <v>0.91176169848854038</v>
      </c>
      <c r="J1016" s="4">
        <f t="shared" si="63"/>
        <v>1.105583195135434E-4</v>
      </c>
      <c r="K1016" s="5">
        <f t="shared" si="64"/>
        <v>0.1121061359867306</v>
      </c>
    </row>
    <row r="1017" spans="1:11" x14ac:dyDescent="0.25">
      <c r="A1017" t="s">
        <v>98</v>
      </c>
      <c r="C1017" t="s">
        <v>99</v>
      </c>
      <c r="D1017" t="s">
        <v>5</v>
      </c>
      <c r="E1017" t="s">
        <v>6</v>
      </c>
      <c r="F1017" t="s">
        <v>7</v>
      </c>
      <c r="G1017">
        <v>17</v>
      </c>
      <c r="H1017" s="2">
        <f>Tabelle13[[#This Row],[commits]]/Tabelle13[[#Totals],[commits]]</f>
        <v>7.901243748721858E-5</v>
      </c>
      <c r="I1017" s="5">
        <f>Tabelle13[[#This Row],[%]]+I1016</f>
        <v>0.91184071092602759</v>
      </c>
      <c r="J1017" s="4">
        <f t="shared" si="63"/>
        <v>1.105583195135434E-4</v>
      </c>
      <c r="K1017" s="5">
        <f t="shared" si="64"/>
        <v>0.11221669430624413</v>
      </c>
    </row>
    <row r="1018" spans="1:11" x14ac:dyDescent="0.25">
      <c r="A1018" t="s">
        <v>100</v>
      </c>
      <c r="C1018" t="s">
        <v>101</v>
      </c>
      <c r="D1018" t="s">
        <v>102</v>
      </c>
      <c r="E1018" t="s">
        <v>6</v>
      </c>
      <c r="F1018" t="s">
        <v>7</v>
      </c>
      <c r="G1018">
        <v>17</v>
      </c>
      <c r="H1018" s="2">
        <f>Tabelle13[[#This Row],[commits]]/Tabelle13[[#Totals],[commits]]</f>
        <v>7.901243748721858E-5</v>
      </c>
      <c r="I1018" s="5">
        <f>Tabelle13[[#This Row],[%]]+I1017</f>
        <v>0.91191972336351479</v>
      </c>
      <c r="J1018" s="4">
        <f t="shared" si="63"/>
        <v>1.105583195135434E-4</v>
      </c>
      <c r="K1018" s="5">
        <f t="shared" si="64"/>
        <v>0.11232725262575767</v>
      </c>
    </row>
    <row r="1019" spans="1:11" x14ac:dyDescent="0.25">
      <c r="A1019" t="s">
        <v>2562</v>
      </c>
      <c r="C1019" t="s">
        <v>2563</v>
      </c>
      <c r="D1019" t="s">
        <v>309</v>
      </c>
      <c r="E1019" t="s">
        <v>6</v>
      </c>
      <c r="F1019" t="s">
        <v>724</v>
      </c>
      <c r="G1019">
        <v>17</v>
      </c>
      <c r="H1019" s="2">
        <f>Tabelle13[[#This Row],[commits]]/Tabelle13[[#Totals],[commits]]</f>
        <v>7.901243748721858E-5</v>
      </c>
      <c r="I1019" s="5">
        <f>Tabelle13[[#This Row],[%]]+I1018</f>
        <v>0.91199873580100199</v>
      </c>
      <c r="J1019" s="4">
        <f t="shared" si="63"/>
        <v>1.105583195135434E-4</v>
      </c>
      <c r="K1019" s="5">
        <f t="shared" si="64"/>
        <v>0.11243781094527121</v>
      </c>
    </row>
    <row r="1020" spans="1:11" x14ac:dyDescent="0.25">
      <c r="A1020" t="s">
        <v>2564</v>
      </c>
      <c r="C1020" t="s">
        <v>2565</v>
      </c>
      <c r="D1020" t="s">
        <v>5</v>
      </c>
      <c r="E1020" t="s">
        <v>6</v>
      </c>
      <c r="F1020" t="s">
        <v>724</v>
      </c>
      <c r="G1020">
        <v>17</v>
      </c>
      <c r="H1020" s="2">
        <f>Tabelle13[[#This Row],[commits]]/Tabelle13[[#Totals],[commits]]</f>
        <v>7.901243748721858E-5</v>
      </c>
      <c r="I1020" s="5">
        <f>Tabelle13[[#This Row],[%]]+I1019</f>
        <v>0.91207774823848919</v>
      </c>
      <c r="J1020" s="4">
        <f t="shared" si="63"/>
        <v>1.105583195135434E-4</v>
      </c>
      <c r="K1020" s="5">
        <f t="shared" si="64"/>
        <v>0.11254836926478475</v>
      </c>
    </row>
    <row r="1021" spans="1:11" x14ac:dyDescent="0.25">
      <c r="A1021" t="s">
        <v>2566</v>
      </c>
      <c r="C1021" t="s">
        <v>2567</v>
      </c>
      <c r="D1021" t="s">
        <v>5</v>
      </c>
      <c r="E1021" t="s">
        <v>6</v>
      </c>
      <c r="F1021" t="s">
        <v>724</v>
      </c>
      <c r="G1021">
        <v>17</v>
      </c>
      <c r="H1021" s="2">
        <f>Tabelle13[[#This Row],[commits]]/Tabelle13[[#Totals],[commits]]</f>
        <v>7.901243748721858E-5</v>
      </c>
      <c r="I1021" s="5">
        <f>Tabelle13[[#This Row],[%]]+I1020</f>
        <v>0.9121567606759764</v>
      </c>
      <c r="J1021" s="4">
        <f t="shared" si="63"/>
        <v>1.105583195135434E-4</v>
      </c>
      <c r="K1021" s="5">
        <f t="shared" si="64"/>
        <v>0.11265892758429828</v>
      </c>
    </row>
    <row r="1022" spans="1:11" x14ac:dyDescent="0.25">
      <c r="A1022" t="s">
        <v>5279</v>
      </c>
      <c r="C1022" t="s">
        <v>5280</v>
      </c>
      <c r="D1022" t="s">
        <v>5281</v>
      </c>
      <c r="E1022" t="s">
        <v>6</v>
      </c>
      <c r="F1022" t="s">
        <v>28</v>
      </c>
      <c r="G1022">
        <v>17</v>
      </c>
      <c r="H1022" s="2">
        <f>Tabelle13[[#This Row],[commits]]/Tabelle13[[#Totals],[commits]]</f>
        <v>7.901243748721858E-5</v>
      </c>
      <c r="I1022" s="5">
        <f>Tabelle13[[#This Row],[%]]+I1021</f>
        <v>0.9122357731134636</v>
      </c>
      <c r="J1022" s="4">
        <f t="shared" si="63"/>
        <v>1.105583195135434E-4</v>
      </c>
      <c r="K1022" s="5">
        <f t="shared" si="64"/>
        <v>0.11276948590381182</v>
      </c>
    </row>
    <row r="1023" spans="1:11" x14ac:dyDescent="0.25">
      <c r="A1023" t="s">
        <v>10125</v>
      </c>
      <c r="C1023" t="s">
        <v>10126</v>
      </c>
      <c r="D1023" t="s">
        <v>5</v>
      </c>
      <c r="E1023" t="s">
        <v>6</v>
      </c>
      <c r="F1023" t="s">
        <v>251</v>
      </c>
      <c r="G1023">
        <v>17</v>
      </c>
      <c r="H1023" s="2">
        <f>Tabelle13[[#This Row],[commits]]/Tabelle13[[#Totals],[commits]]</f>
        <v>7.901243748721858E-5</v>
      </c>
      <c r="I1023" s="5">
        <f>Tabelle13[[#This Row],[%]]+I1022</f>
        <v>0.9123147855509508</v>
      </c>
      <c r="J1023" s="4">
        <f t="shared" si="63"/>
        <v>1.105583195135434E-4</v>
      </c>
      <c r="K1023" s="5">
        <f t="shared" si="64"/>
        <v>0.11288004422332536</v>
      </c>
    </row>
    <row r="1024" spans="1:11" x14ac:dyDescent="0.25">
      <c r="A1024" t="s">
        <v>10127</v>
      </c>
      <c r="C1024" t="s">
        <v>10128</v>
      </c>
      <c r="D1024" t="s">
        <v>8757</v>
      </c>
      <c r="E1024" t="s">
        <v>6</v>
      </c>
      <c r="F1024" t="s">
        <v>251</v>
      </c>
      <c r="G1024">
        <v>17</v>
      </c>
      <c r="H1024" s="2">
        <f>Tabelle13[[#This Row],[commits]]/Tabelle13[[#Totals],[commits]]</f>
        <v>7.901243748721858E-5</v>
      </c>
      <c r="I1024" s="5">
        <f>Tabelle13[[#This Row],[%]]+I1023</f>
        <v>0.912393797988438</v>
      </c>
      <c r="J1024" s="4">
        <f t="shared" si="63"/>
        <v>1.105583195135434E-4</v>
      </c>
      <c r="K1024" s="5">
        <f t="shared" si="64"/>
        <v>0.11299060254283889</v>
      </c>
    </row>
    <row r="1025" spans="1:11" x14ac:dyDescent="0.25">
      <c r="A1025" t="s">
        <v>10129</v>
      </c>
      <c r="C1025" t="s">
        <v>10130</v>
      </c>
      <c r="D1025" t="s">
        <v>309</v>
      </c>
      <c r="E1025" t="s">
        <v>6</v>
      </c>
      <c r="F1025" t="s">
        <v>251</v>
      </c>
      <c r="G1025">
        <v>17</v>
      </c>
      <c r="H1025" s="2">
        <f>Tabelle13[[#This Row],[commits]]/Tabelle13[[#Totals],[commits]]</f>
        <v>7.901243748721858E-5</v>
      </c>
      <c r="I1025" s="5">
        <f>Tabelle13[[#This Row],[%]]+I1024</f>
        <v>0.91247281042592521</v>
      </c>
      <c r="J1025" s="4">
        <f t="shared" si="63"/>
        <v>1.105583195135434E-4</v>
      </c>
      <c r="K1025" s="5">
        <f t="shared" si="64"/>
        <v>0.11310116086235243</v>
      </c>
    </row>
    <row r="1026" spans="1:11" x14ac:dyDescent="0.25">
      <c r="A1026" t="s">
        <v>10131</v>
      </c>
      <c r="C1026" t="s">
        <v>10132</v>
      </c>
      <c r="D1026" t="s">
        <v>309</v>
      </c>
      <c r="E1026" t="s">
        <v>6</v>
      </c>
      <c r="F1026" t="s">
        <v>251</v>
      </c>
      <c r="G1026">
        <v>17</v>
      </c>
      <c r="H1026" s="2">
        <f>Tabelle13[[#This Row],[commits]]/Tabelle13[[#Totals],[commits]]</f>
        <v>7.901243748721858E-5</v>
      </c>
      <c r="I1026" s="5">
        <f>Tabelle13[[#This Row],[%]]+I1025</f>
        <v>0.91255182286341241</v>
      </c>
      <c r="J1026" s="4">
        <f t="shared" si="63"/>
        <v>1.105583195135434E-4</v>
      </c>
      <c r="K1026" s="5">
        <f t="shared" si="64"/>
        <v>0.11321171918186597</v>
      </c>
    </row>
    <row r="1027" spans="1:11" x14ac:dyDescent="0.25">
      <c r="A1027" t="s">
        <v>10133</v>
      </c>
      <c r="C1027" t="s">
        <v>10134</v>
      </c>
      <c r="D1027" t="s">
        <v>309</v>
      </c>
      <c r="E1027" t="s">
        <v>6</v>
      </c>
      <c r="F1027" t="s">
        <v>251</v>
      </c>
      <c r="G1027">
        <v>17</v>
      </c>
      <c r="H1027" s="2">
        <f>Tabelle13[[#This Row],[commits]]/Tabelle13[[#Totals],[commits]]</f>
        <v>7.901243748721858E-5</v>
      </c>
      <c r="I1027" s="5">
        <f>Tabelle13[[#This Row],[%]]+I1026</f>
        <v>0.91263083530089961</v>
      </c>
      <c r="J1027" s="4">
        <f t="shared" ref="J1027:J1090" si="65">1/9045</f>
        <v>1.105583195135434E-4</v>
      </c>
      <c r="K1027" s="5">
        <f t="shared" si="64"/>
        <v>0.11332227750137951</v>
      </c>
    </row>
    <row r="1028" spans="1:11" x14ac:dyDescent="0.25">
      <c r="A1028" t="s">
        <v>10135</v>
      </c>
      <c r="C1028" t="s">
        <v>10136</v>
      </c>
      <c r="D1028" t="s">
        <v>309</v>
      </c>
      <c r="E1028" t="s">
        <v>6</v>
      </c>
      <c r="F1028" t="s">
        <v>251</v>
      </c>
      <c r="G1028">
        <v>17</v>
      </c>
      <c r="H1028" s="2">
        <f>Tabelle13[[#This Row],[commits]]/Tabelle13[[#Totals],[commits]]</f>
        <v>7.901243748721858E-5</v>
      </c>
      <c r="I1028" s="5">
        <f>Tabelle13[[#This Row],[%]]+I1027</f>
        <v>0.91270984773838681</v>
      </c>
      <c r="J1028" s="4">
        <f t="shared" si="65"/>
        <v>1.105583195135434E-4</v>
      </c>
      <c r="K1028" s="5">
        <f t="shared" si="64"/>
        <v>0.11343283582089304</v>
      </c>
    </row>
    <row r="1029" spans="1:11" x14ac:dyDescent="0.25">
      <c r="A1029" t="s">
        <v>10137</v>
      </c>
      <c r="C1029" t="s">
        <v>10138</v>
      </c>
      <c r="D1029" t="s">
        <v>5</v>
      </c>
      <c r="E1029" t="s">
        <v>6</v>
      </c>
      <c r="F1029" t="s">
        <v>251</v>
      </c>
      <c r="G1029">
        <v>17</v>
      </c>
      <c r="H1029" s="2">
        <f>Tabelle13[[#This Row],[commits]]/Tabelle13[[#Totals],[commits]]</f>
        <v>7.901243748721858E-5</v>
      </c>
      <c r="I1029" s="5">
        <f>Tabelle13[[#This Row],[%]]+I1028</f>
        <v>0.91278886017587402</v>
      </c>
      <c r="J1029" s="4">
        <f t="shared" si="65"/>
        <v>1.105583195135434E-4</v>
      </c>
      <c r="K1029" s="5">
        <f t="shared" si="64"/>
        <v>0.11354339414040658</v>
      </c>
    </row>
    <row r="1030" spans="1:11" x14ac:dyDescent="0.25">
      <c r="A1030" t="s">
        <v>10139</v>
      </c>
      <c r="C1030" t="s">
        <v>10140</v>
      </c>
      <c r="D1030" t="s">
        <v>5</v>
      </c>
      <c r="E1030" t="s">
        <v>6</v>
      </c>
      <c r="F1030" t="s">
        <v>251</v>
      </c>
      <c r="G1030">
        <v>17</v>
      </c>
      <c r="H1030" s="2">
        <f>Tabelle13[[#This Row],[commits]]/Tabelle13[[#Totals],[commits]]</f>
        <v>7.901243748721858E-5</v>
      </c>
      <c r="I1030" s="5">
        <f>Tabelle13[[#This Row],[%]]+I1029</f>
        <v>0.91286787261336122</v>
      </c>
      <c r="J1030" s="4">
        <f t="shared" si="65"/>
        <v>1.105583195135434E-4</v>
      </c>
      <c r="K1030" s="5">
        <f t="shared" ref="K1030:K1093" si="66">J1030+K1029</f>
        <v>0.11365395245992012</v>
      </c>
    </row>
    <row r="1031" spans="1:11" x14ac:dyDescent="0.25">
      <c r="A1031" t="s">
        <v>10141</v>
      </c>
      <c r="C1031" t="s">
        <v>10142</v>
      </c>
      <c r="D1031" t="s">
        <v>5</v>
      </c>
      <c r="E1031" t="s">
        <v>6</v>
      </c>
      <c r="F1031" t="s">
        <v>251</v>
      </c>
      <c r="G1031">
        <v>17</v>
      </c>
      <c r="H1031" s="2">
        <f>Tabelle13[[#This Row],[commits]]/Tabelle13[[#Totals],[commits]]</f>
        <v>7.901243748721858E-5</v>
      </c>
      <c r="I1031" s="5">
        <f>Tabelle13[[#This Row],[%]]+I1030</f>
        <v>0.91294688505084842</v>
      </c>
      <c r="J1031" s="4">
        <f t="shared" si="65"/>
        <v>1.105583195135434E-4</v>
      </c>
      <c r="K1031" s="5">
        <f t="shared" si="66"/>
        <v>0.11376451077943366</v>
      </c>
    </row>
    <row r="1032" spans="1:11" x14ac:dyDescent="0.25">
      <c r="A1032" t="s">
        <v>10143</v>
      </c>
      <c r="C1032" t="s">
        <v>10144</v>
      </c>
      <c r="D1032" t="s">
        <v>309</v>
      </c>
      <c r="E1032" t="s">
        <v>6</v>
      </c>
      <c r="F1032" t="s">
        <v>251</v>
      </c>
      <c r="G1032">
        <v>17</v>
      </c>
      <c r="H1032" s="2">
        <f>Tabelle13[[#This Row],[commits]]/Tabelle13[[#Totals],[commits]]</f>
        <v>7.901243748721858E-5</v>
      </c>
      <c r="I1032" s="5">
        <f>Tabelle13[[#This Row],[%]]+I1031</f>
        <v>0.91302589748833562</v>
      </c>
      <c r="J1032" s="4">
        <f t="shared" si="65"/>
        <v>1.105583195135434E-4</v>
      </c>
      <c r="K1032" s="5">
        <f t="shared" si="66"/>
        <v>0.11387506909894719</v>
      </c>
    </row>
    <row r="1033" spans="1:11" x14ac:dyDescent="0.25">
      <c r="A1033" t="s">
        <v>10145</v>
      </c>
      <c r="C1033" t="s">
        <v>10146</v>
      </c>
      <c r="D1033" t="s">
        <v>5</v>
      </c>
      <c r="E1033" t="s">
        <v>6</v>
      </c>
      <c r="F1033" t="s">
        <v>251</v>
      </c>
      <c r="G1033">
        <v>17</v>
      </c>
      <c r="H1033" s="2">
        <f>Tabelle13[[#This Row],[commits]]/Tabelle13[[#Totals],[commits]]</f>
        <v>7.901243748721858E-5</v>
      </c>
      <c r="I1033" s="5">
        <f>Tabelle13[[#This Row],[%]]+I1032</f>
        <v>0.91310490992582283</v>
      </c>
      <c r="J1033" s="4">
        <f t="shared" si="65"/>
        <v>1.105583195135434E-4</v>
      </c>
      <c r="K1033" s="5">
        <f t="shared" si="66"/>
        <v>0.11398562741846073</v>
      </c>
    </row>
    <row r="1034" spans="1:11" x14ac:dyDescent="0.25">
      <c r="A1034" t="s">
        <v>10147</v>
      </c>
      <c r="C1034" t="s">
        <v>10148</v>
      </c>
      <c r="D1034" t="s">
        <v>309</v>
      </c>
      <c r="E1034" t="s">
        <v>6</v>
      </c>
      <c r="F1034" t="s">
        <v>251</v>
      </c>
      <c r="G1034">
        <v>17</v>
      </c>
      <c r="H1034" s="2">
        <f>Tabelle13[[#This Row],[commits]]/Tabelle13[[#Totals],[commits]]</f>
        <v>7.901243748721858E-5</v>
      </c>
      <c r="I1034" s="5">
        <f>Tabelle13[[#This Row],[%]]+I1033</f>
        <v>0.91318392236331003</v>
      </c>
      <c r="J1034" s="4">
        <f t="shared" si="65"/>
        <v>1.105583195135434E-4</v>
      </c>
      <c r="K1034" s="5">
        <f t="shared" si="66"/>
        <v>0.11409618573797427</v>
      </c>
    </row>
    <row r="1035" spans="1:11" x14ac:dyDescent="0.25">
      <c r="A1035" t="s">
        <v>10149</v>
      </c>
      <c r="C1035" t="s">
        <v>10150</v>
      </c>
      <c r="D1035" t="s">
        <v>309</v>
      </c>
      <c r="E1035" t="s">
        <v>6</v>
      </c>
      <c r="F1035" t="s">
        <v>251</v>
      </c>
      <c r="G1035">
        <v>17</v>
      </c>
      <c r="H1035" s="2">
        <f>Tabelle13[[#This Row],[commits]]/Tabelle13[[#Totals],[commits]]</f>
        <v>7.901243748721858E-5</v>
      </c>
      <c r="I1035" s="5">
        <f>Tabelle13[[#This Row],[%]]+I1034</f>
        <v>0.91326293480079723</v>
      </c>
      <c r="J1035" s="4">
        <f t="shared" si="65"/>
        <v>1.105583195135434E-4</v>
      </c>
      <c r="K1035" s="5">
        <f t="shared" si="66"/>
        <v>0.11420674405748781</v>
      </c>
    </row>
    <row r="1036" spans="1:11" x14ac:dyDescent="0.25">
      <c r="A1036" t="s">
        <v>10151</v>
      </c>
      <c r="C1036" t="s">
        <v>10152</v>
      </c>
      <c r="D1036" t="s">
        <v>309</v>
      </c>
      <c r="E1036" t="s">
        <v>6</v>
      </c>
      <c r="F1036" t="s">
        <v>251</v>
      </c>
      <c r="G1036">
        <v>17</v>
      </c>
      <c r="H1036" s="2">
        <f>Tabelle13[[#This Row],[commits]]/Tabelle13[[#Totals],[commits]]</f>
        <v>7.901243748721858E-5</v>
      </c>
      <c r="I1036" s="5">
        <f>Tabelle13[[#This Row],[%]]+I1035</f>
        <v>0.91334194723828444</v>
      </c>
      <c r="J1036" s="4">
        <f t="shared" si="65"/>
        <v>1.105583195135434E-4</v>
      </c>
      <c r="K1036" s="5">
        <f t="shared" si="66"/>
        <v>0.11431730237700134</v>
      </c>
    </row>
    <row r="1037" spans="1:11" x14ac:dyDescent="0.25">
      <c r="A1037" t="s">
        <v>10153</v>
      </c>
      <c r="C1037" t="s">
        <v>10154</v>
      </c>
      <c r="D1037" t="s">
        <v>5</v>
      </c>
      <c r="E1037" t="s">
        <v>6</v>
      </c>
      <c r="F1037" t="s">
        <v>251</v>
      </c>
      <c r="G1037">
        <v>17</v>
      </c>
      <c r="H1037" s="2">
        <f>Tabelle13[[#This Row],[commits]]/Tabelle13[[#Totals],[commits]]</f>
        <v>7.901243748721858E-5</v>
      </c>
      <c r="I1037" s="5">
        <f>Tabelle13[[#This Row],[%]]+I1036</f>
        <v>0.91342095967577164</v>
      </c>
      <c r="J1037" s="4">
        <f t="shared" si="65"/>
        <v>1.105583195135434E-4</v>
      </c>
      <c r="K1037" s="5">
        <f t="shared" si="66"/>
        <v>0.11442786069651488</v>
      </c>
    </row>
    <row r="1038" spans="1:11" x14ac:dyDescent="0.25">
      <c r="A1038" t="s">
        <v>10155</v>
      </c>
      <c r="C1038" t="s">
        <v>10156</v>
      </c>
      <c r="D1038" t="s">
        <v>5</v>
      </c>
      <c r="E1038" t="s">
        <v>6</v>
      </c>
      <c r="F1038" t="s">
        <v>251</v>
      </c>
      <c r="G1038">
        <v>17</v>
      </c>
      <c r="H1038" s="2">
        <f>Tabelle13[[#This Row],[commits]]/Tabelle13[[#Totals],[commits]]</f>
        <v>7.901243748721858E-5</v>
      </c>
      <c r="I1038" s="5">
        <f>Tabelle13[[#This Row],[%]]+I1037</f>
        <v>0.91349997211325884</v>
      </c>
      <c r="J1038" s="4">
        <f t="shared" si="65"/>
        <v>1.105583195135434E-4</v>
      </c>
      <c r="K1038" s="5">
        <f t="shared" si="66"/>
        <v>0.11453841901602842</v>
      </c>
    </row>
    <row r="1039" spans="1:11" x14ac:dyDescent="0.25">
      <c r="A1039" t="s">
        <v>103</v>
      </c>
      <c r="C1039" t="s">
        <v>104</v>
      </c>
      <c r="D1039" t="s">
        <v>5</v>
      </c>
      <c r="E1039" t="s">
        <v>6</v>
      </c>
      <c r="F1039" t="s">
        <v>7</v>
      </c>
      <c r="G1039">
        <v>16</v>
      </c>
      <c r="H1039" s="2">
        <f>Tabelle13[[#This Row],[commits]]/Tabelle13[[#Totals],[commits]]</f>
        <v>7.4364647046793961E-5</v>
      </c>
      <c r="I1039" s="5">
        <f>Tabelle13[[#This Row],[%]]+I1038</f>
        <v>0.91357433676030564</v>
      </c>
      <c r="J1039" s="4">
        <f t="shared" si="65"/>
        <v>1.105583195135434E-4</v>
      </c>
      <c r="K1039" s="5">
        <f t="shared" si="66"/>
        <v>0.11464897733554195</v>
      </c>
    </row>
    <row r="1040" spans="1:11" x14ac:dyDescent="0.25">
      <c r="A1040" t="s">
        <v>105</v>
      </c>
      <c r="C1040" t="s">
        <v>106</v>
      </c>
      <c r="D1040" t="s">
        <v>5</v>
      </c>
      <c r="E1040" t="s">
        <v>6</v>
      </c>
      <c r="F1040" t="s">
        <v>7</v>
      </c>
      <c r="G1040">
        <v>16</v>
      </c>
      <c r="H1040" s="2">
        <f>Tabelle13[[#This Row],[commits]]/Tabelle13[[#Totals],[commits]]</f>
        <v>7.4364647046793961E-5</v>
      </c>
      <c r="I1040" s="5">
        <f>Tabelle13[[#This Row],[%]]+I1039</f>
        <v>0.91364870140735244</v>
      </c>
      <c r="J1040" s="4">
        <f t="shared" si="65"/>
        <v>1.105583195135434E-4</v>
      </c>
      <c r="K1040" s="5">
        <f t="shared" si="66"/>
        <v>0.11475953565505549</v>
      </c>
    </row>
    <row r="1041" spans="1:11" x14ac:dyDescent="0.25">
      <c r="A1041" t="s">
        <v>2568</v>
      </c>
      <c r="C1041" t="s">
        <v>2569</v>
      </c>
      <c r="D1041" t="s">
        <v>309</v>
      </c>
      <c r="E1041" t="s">
        <v>6</v>
      </c>
      <c r="F1041" t="s">
        <v>724</v>
      </c>
      <c r="G1041">
        <v>16</v>
      </c>
      <c r="H1041" s="2">
        <f>Tabelle13[[#This Row],[commits]]/Tabelle13[[#Totals],[commits]]</f>
        <v>7.4364647046793961E-5</v>
      </c>
      <c r="I1041" s="5">
        <f>Tabelle13[[#This Row],[%]]+I1040</f>
        <v>0.91372306605439924</v>
      </c>
      <c r="J1041" s="4">
        <f t="shared" si="65"/>
        <v>1.105583195135434E-4</v>
      </c>
      <c r="K1041" s="5">
        <f t="shared" si="66"/>
        <v>0.11487009397456903</v>
      </c>
    </row>
    <row r="1042" spans="1:11" x14ac:dyDescent="0.25">
      <c r="A1042" t="s">
        <v>2570</v>
      </c>
      <c r="C1042" t="s">
        <v>2571</v>
      </c>
      <c r="D1042" t="s">
        <v>5</v>
      </c>
      <c r="E1042" t="s">
        <v>6</v>
      </c>
      <c r="F1042" t="s">
        <v>724</v>
      </c>
      <c r="G1042">
        <v>16</v>
      </c>
      <c r="H1042" s="2">
        <f>Tabelle13[[#This Row],[commits]]/Tabelle13[[#Totals],[commits]]</f>
        <v>7.4364647046793961E-5</v>
      </c>
      <c r="I1042" s="5">
        <f>Tabelle13[[#This Row],[%]]+I1041</f>
        <v>0.91379743070144603</v>
      </c>
      <c r="J1042" s="4">
        <f t="shared" si="65"/>
        <v>1.105583195135434E-4</v>
      </c>
      <c r="K1042" s="5">
        <f t="shared" si="66"/>
        <v>0.11498065229408257</v>
      </c>
    </row>
    <row r="1043" spans="1:11" x14ac:dyDescent="0.25">
      <c r="A1043" t="s">
        <v>5282</v>
      </c>
      <c r="C1043" t="s">
        <v>5283</v>
      </c>
      <c r="D1043" t="s">
        <v>5</v>
      </c>
      <c r="E1043" t="s">
        <v>6</v>
      </c>
      <c r="F1043" t="s">
        <v>28</v>
      </c>
      <c r="G1043">
        <v>16</v>
      </c>
      <c r="H1043" s="2">
        <f>Tabelle13[[#This Row],[commits]]/Tabelle13[[#Totals],[commits]]</f>
        <v>7.4364647046793961E-5</v>
      </c>
      <c r="I1043" s="5">
        <f>Tabelle13[[#This Row],[%]]+I1042</f>
        <v>0.91387179534849283</v>
      </c>
      <c r="J1043" s="4">
        <f t="shared" si="65"/>
        <v>1.105583195135434E-4</v>
      </c>
      <c r="K1043" s="5">
        <f t="shared" si="66"/>
        <v>0.1150912106135961</v>
      </c>
    </row>
    <row r="1044" spans="1:11" x14ac:dyDescent="0.25">
      <c r="A1044" t="s">
        <v>5284</v>
      </c>
      <c r="C1044" t="s">
        <v>5285</v>
      </c>
      <c r="D1044" t="s">
        <v>5</v>
      </c>
      <c r="E1044" t="s">
        <v>6</v>
      </c>
      <c r="F1044" t="s">
        <v>28</v>
      </c>
      <c r="G1044">
        <v>16</v>
      </c>
      <c r="H1044" s="2">
        <f>Tabelle13[[#This Row],[commits]]/Tabelle13[[#Totals],[commits]]</f>
        <v>7.4364647046793961E-5</v>
      </c>
      <c r="I1044" s="5">
        <f>Tabelle13[[#This Row],[%]]+I1043</f>
        <v>0.91394615999553963</v>
      </c>
      <c r="J1044" s="4">
        <f t="shared" si="65"/>
        <v>1.105583195135434E-4</v>
      </c>
      <c r="K1044" s="5">
        <f t="shared" si="66"/>
        <v>0.11520176893310964</v>
      </c>
    </row>
    <row r="1045" spans="1:11" x14ac:dyDescent="0.25">
      <c r="A1045" t="s">
        <v>5286</v>
      </c>
      <c r="C1045" t="s">
        <v>5287</v>
      </c>
      <c r="D1045" t="s">
        <v>5175</v>
      </c>
      <c r="E1045" t="s">
        <v>6</v>
      </c>
      <c r="F1045" t="s">
        <v>28</v>
      </c>
      <c r="G1045">
        <v>16</v>
      </c>
      <c r="H1045" s="2">
        <f>Tabelle13[[#This Row],[commits]]/Tabelle13[[#Totals],[commits]]</f>
        <v>7.4364647046793961E-5</v>
      </c>
      <c r="I1045" s="5">
        <f>Tabelle13[[#This Row],[%]]+I1044</f>
        <v>0.91402052464258643</v>
      </c>
      <c r="J1045" s="4">
        <f t="shared" si="65"/>
        <v>1.105583195135434E-4</v>
      </c>
      <c r="K1045" s="5">
        <f t="shared" si="66"/>
        <v>0.11531232725262318</v>
      </c>
    </row>
    <row r="1046" spans="1:11" x14ac:dyDescent="0.25">
      <c r="A1046" t="s">
        <v>5288</v>
      </c>
      <c r="C1046" t="s">
        <v>5271</v>
      </c>
      <c r="D1046" t="s">
        <v>5</v>
      </c>
      <c r="E1046" t="s">
        <v>6</v>
      </c>
      <c r="F1046" t="s">
        <v>28</v>
      </c>
      <c r="G1046">
        <v>16</v>
      </c>
      <c r="H1046" s="2">
        <f>Tabelle13[[#This Row],[commits]]/Tabelle13[[#Totals],[commits]]</f>
        <v>7.4364647046793961E-5</v>
      </c>
      <c r="I1046" s="5">
        <f>Tabelle13[[#This Row],[%]]+I1045</f>
        <v>0.91409488928963323</v>
      </c>
      <c r="J1046" s="4">
        <f t="shared" si="65"/>
        <v>1.105583195135434E-4</v>
      </c>
      <c r="K1046" s="5">
        <f t="shared" si="66"/>
        <v>0.11542288557213672</v>
      </c>
    </row>
    <row r="1047" spans="1:11" x14ac:dyDescent="0.25">
      <c r="A1047" t="s">
        <v>10157</v>
      </c>
      <c r="C1047" t="s">
        <v>10158</v>
      </c>
      <c r="D1047" t="s">
        <v>309</v>
      </c>
      <c r="E1047" t="s">
        <v>6</v>
      </c>
      <c r="F1047" t="s">
        <v>251</v>
      </c>
      <c r="G1047">
        <v>16</v>
      </c>
      <c r="H1047" s="2">
        <f>Tabelle13[[#This Row],[commits]]/Tabelle13[[#Totals],[commits]]</f>
        <v>7.4364647046793961E-5</v>
      </c>
      <c r="I1047" s="5">
        <f>Tabelle13[[#This Row],[%]]+I1046</f>
        <v>0.91416925393668003</v>
      </c>
      <c r="J1047" s="4">
        <f t="shared" si="65"/>
        <v>1.105583195135434E-4</v>
      </c>
      <c r="K1047" s="5">
        <f t="shared" si="66"/>
        <v>0.11553344389165025</v>
      </c>
    </row>
    <row r="1048" spans="1:11" x14ac:dyDescent="0.25">
      <c r="A1048" t="s">
        <v>10159</v>
      </c>
      <c r="C1048" t="s">
        <v>10160</v>
      </c>
      <c r="D1048" t="s">
        <v>309</v>
      </c>
      <c r="E1048" t="s">
        <v>6</v>
      </c>
      <c r="F1048" t="s">
        <v>251</v>
      </c>
      <c r="G1048">
        <v>16</v>
      </c>
      <c r="H1048" s="2">
        <f>Tabelle13[[#This Row],[commits]]/Tabelle13[[#Totals],[commits]]</f>
        <v>7.4364647046793961E-5</v>
      </c>
      <c r="I1048" s="5">
        <f>Tabelle13[[#This Row],[%]]+I1047</f>
        <v>0.91424361858372682</v>
      </c>
      <c r="J1048" s="4">
        <f t="shared" si="65"/>
        <v>1.105583195135434E-4</v>
      </c>
      <c r="K1048" s="5">
        <f t="shared" si="66"/>
        <v>0.11564400221116379</v>
      </c>
    </row>
    <row r="1049" spans="1:11" x14ac:dyDescent="0.25">
      <c r="A1049" t="s">
        <v>10161</v>
      </c>
      <c r="C1049" t="s">
        <v>10162</v>
      </c>
      <c r="D1049" t="s">
        <v>5</v>
      </c>
      <c r="E1049" t="s">
        <v>6</v>
      </c>
      <c r="F1049" t="s">
        <v>251</v>
      </c>
      <c r="G1049">
        <v>16</v>
      </c>
      <c r="H1049" s="2">
        <f>Tabelle13[[#This Row],[commits]]/Tabelle13[[#Totals],[commits]]</f>
        <v>7.4364647046793961E-5</v>
      </c>
      <c r="I1049" s="5">
        <f>Tabelle13[[#This Row],[%]]+I1048</f>
        <v>0.91431798323077362</v>
      </c>
      <c r="J1049" s="4">
        <f t="shared" si="65"/>
        <v>1.105583195135434E-4</v>
      </c>
      <c r="K1049" s="5">
        <f t="shared" si="66"/>
        <v>0.11575456053067733</v>
      </c>
    </row>
    <row r="1050" spans="1:11" x14ac:dyDescent="0.25">
      <c r="A1050" t="s">
        <v>10163</v>
      </c>
      <c r="C1050" t="s">
        <v>10164</v>
      </c>
      <c r="D1050" t="s">
        <v>9035</v>
      </c>
      <c r="E1050" t="s">
        <v>6</v>
      </c>
      <c r="F1050" t="s">
        <v>251</v>
      </c>
      <c r="G1050">
        <v>16</v>
      </c>
      <c r="H1050" s="2">
        <f>Tabelle13[[#This Row],[commits]]/Tabelle13[[#Totals],[commits]]</f>
        <v>7.4364647046793961E-5</v>
      </c>
      <c r="I1050" s="5">
        <f>Tabelle13[[#This Row],[%]]+I1049</f>
        <v>0.91439234787782042</v>
      </c>
      <c r="J1050" s="4">
        <f t="shared" si="65"/>
        <v>1.105583195135434E-4</v>
      </c>
      <c r="K1050" s="5">
        <f t="shared" si="66"/>
        <v>0.11586511885019087</v>
      </c>
    </row>
    <row r="1051" spans="1:11" x14ac:dyDescent="0.25">
      <c r="A1051" t="s">
        <v>10165</v>
      </c>
      <c r="C1051" t="s">
        <v>10166</v>
      </c>
      <c r="D1051" t="s">
        <v>5</v>
      </c>
      <c r="E1051" t="s">
        <v>6</v>
      </c>
      <c r="F1051" t="s">
        <v>251</v>
      </c>
      <c r="G1051">
        <v>16</v>
      </c>
      <c r="H1051" s="2">
        <f>Tabelle13[[#This Row],[commits]]/Tabelle13[[#Totals],[commits]]</f>
        <v>7.4364647046793961E-5</v>
      </c>
      <c r="I1051" s="5">
        <f>Tabelle13[[#This Row],[%]]+I1050</f>
        <v>0.91446671252486722</v>
      </c>
      <c r="J1051" s="4">
        <f t="shared" si="65"/>
        <v>1.105583195135434E-4</v>
      </c>
      <c r="K1051" s="5">
        <f t="shared" si="66"/>
        <v>0.1159756771697044</v>
      </c>
    </row>
    <row r="1052" spans="1:11" x14ac:dyDescent="0.25">
      <c r="A1052" t="s">
        <v>10167</v>
      </c>
      <c r="C1052" t="s">
        <v>10168</v>
      </c>
      <c r="D1052" t="s">
        <v>8760</v>
      </c>
      <c r="E1052" t="s">
        <v>6</v>
      </c>
      <c r="F1052" t="s">
        <v>251</v>
      </c>
      <c r="G1052">
        <v>16</v>
      </c>
      <c r="H1052" s="2">
        <f>Tabelle13[[#This Row],[commits]]/Tabelle13[[#Totals],[commits]]</f>
        <v>7.4364647046793961E-5</v>
      </c>
      <c r="I1052" s="5">
        <f>Tabelle13[[#This Row],[%]]+I1051</f>
        <v>0.91454107717191402</v>
      </c>
      <c r="J1052" s="4">
        <f t="shared" si="65"/>
        <v>1.105583195135434E-4</v>
      </c>
      <c r="K1052" s="5">
        <f t="shared" si="66"/>
        <v>0.11608623548921794</v>
      </c>
    </row>
    <row r="1053" spans="1:11" x14ac:dyDescent="0.25">
      <c r="A1053" t="s">
        <v>10169</v>
      </c>
      <c r="C1053" t="s">
        <v>10170</v>
      </c>
      <c r="D1053" t="s">
        <v>9636</v>
      </c>
      <c r="E1053" t="s">
        <v>6</v>
      </c>
      <c r="F1053" t="s">
        <v>251</v>
      </c>
      <c r="G1053">
        <v>16</v>
      </c>
      <c r="H1053" s="2">
        <f>Tabelle13[[#This Row],[commits]]/Tabelle13[[#Totals],[commits]]</f>
        <v>7.4364647046793961E-5</v>
      </c>
      <c r="I1053" s="5">
        <f>Tabelle13[[#This Row],[%]]+I1052</f>
        <v>0.91461544181896082</v>
      </c>
      <c r="J1053" s="4">
        <f t="shared" si="65"/>
        <v>1.105583195135434E-4</v>
      </c>
      <c r="K1053" s="5">
        <f t="shared" si="66"/>
        <v>0.11619679380873148</v>
      </c>
    </row>
    <row r="1054" spans="1:11" x14ac:dyDescent="0.25">
      <c r="A1054" t="s">
        <v>10171</v>
      </c>
      <c r="C1054" t="s">
        <v>10172</v>
      </c>
      <c r="D1054" t="s">
        <v>5</v>
      </c>
      <c r="E1054" t="s">
        <v>6</v>
      </c>
      <c r="F1054" t="s">
        <v>251</v>
      </c>
      <c r="G1054">
        <v>16</v>
      </c>
      <c r="H1054" s="2">
        <f>Tabelle13[[#This Row],[commits]]/Tabelle13[[#Totals],[commits]]</f>
        <v>7.4364647046793961E-5</v>
      </c>
      <c r="I1054" s="5">
        <f>Tabelle13[[#This Row],[%]]+I1053</f>
        <v>0.91468980646600762</v>
      </c>
      <c r="J1054" s="4">
        <f t="shared" si="65"/>
        <v>1.105583195135434E-4</v>
      </c>
      <c r="K1054" s="5">
        <f t="shared" si="66"/>
        <v>0.11630735212824501</v>
      </c>
    </row>
    <row r="1055" spans="1:11" x14ac:dyDescent="0.25">
      <c r="A1055" t="s">
        <v>10173</v>
      </c>
      <c r="C1055" t="s">
        <v>10174</v>
      </c>
      <c r="D1055" t="s">
        <v>309</v>
      </c>
      <c r="E1055" t="s">
        <v>6</v>
      </c>
      <c r="F1055" t="s">
        <v>251</v>
      </c>
      <c r="G1055">
        <v>16</v>
      </c>
      <c r="H1055" s="2">
        <f>Tabelle13[[#This Row],[commits]]/Tabelle13[[#Totals],[commits]]</f>
        <v>7.4364647046793961E-5</v>
      </c>
      <c r="I1055" s="5">
        <f>Tabelle13[[#This Row],[%]]+I1054</f>
        <v>0.91476417111305441</v>
      </c>
      <c r="J1055" s="4">
        <f t="shared" si="65"/>
        <v>1.105583195135434E-4</v>
      </c>
      <c r="K1055" s="5">
        <f t="shared" si="66"/>
        <v>0.11641791044775855</v>
      </c>
    </row>
    <row r="1056" spans="1:11" x14ac:dyDescent="0.25">
      <c r="A1056" t="s">
        <v>10175</v>
      </c>
      <c r="C1056" t="s">
        <v>10176</v>
      </c>
      <c r="D1056" t="s">
        <v>309</v>
      </c>
      <c r="E1056" t="s">
        <v>6</v>
      </c>
      <c r="F1056" t="s">
        <v>251</v>
      </c>
      <c r="G1056">
        <v>16</v>
      </c>
      <c r="H1056" s="2">
        <f>Tabelle13[[#This Row],[commits]]/Tabelle13[[#Totals],[commits]]</f>
        <v>7.4364647046793961E-5</v>
      </c>
      <c r="I1056" s="5">
        <f>Tabelle13[[#This Row],[%]]+I1055</f>
        <v>0.91483853576010121</v>
      </c>
      <c r="J1056" s="4">
        <f t="shared" si="65"/>
        <v>1.105583195135434E-4</v>
      </c>
      <c r="K1056" s="5">
        <f t="shared" si="66"/>
        <v>0.11652846876727209</v>
      </c>
    </row>
    <row r="1057" spans="1:11" x14ac:dyDescent="0.25">
      <c r="A1057" t="s">
        <v>10177</v>
      </c>
      <c r="C1057" t="s">
        <v>10178</v>
      </c>
      <c r="D1057" t="s">
        <v>5</v>
      </c>
      <c r="E1057" t="s">
        <v>6</v>
      </c>
      <c r="F1057" t="s">
        <v>251</v>
      </c>
      <c r="G1057">
        <v>16</v>
      </c>
      <c r="H1057" s="2">
        <f>Tabelle13[[#This Row],[commits]]/Tabelle13[[#Totals],[commits]]</f>
        <v>7.4364647046793961E-5</v>
      </c>
      <c r="I1057" s="5">
        <f>Tabelle13[[#This Row],[%]]+I1056</f>
        <v>0.91491290040714801</v>
      </c>
      <c r="J1057" s="4">
        <f t="shared" si="65"/>
        <v>1.105583195135434E-4</v>
      </c>
      <c r="K1057" s="5">
        <f t="shared" si="66"/>
        <v>0.11663902708678563</v>
      </c>
    </row>
    <row r="1058" spans="1:11" x14ac:dyDescent="0.25">
      <c r="A1058" t="s">
        <v>10179</v>
      </c>
      <c r="C1058" t="s">
        <v>10180</v>
      </c>
      <c r="D1058" t="s">
        <v>5</v>
      </c>
      <c r="E1058" t="s">
        <v>6</v>
      </c>
      <c r="F1058" t="s">
        <v>251</v>
      </c>
      <c r="G1058">
        <v>16</v>
      </c>
      <c r="H1058" s="2">
        <f>Tabelle13[[#This Row],[commits]]/Tabelle13[[#Totals],[commits]]</f>
        <v>7.4364647046793961E-5</v>
      </c>
      <c r="I1058" s="5">
        <f>Tabelle13[[#This Row],[%]]+I1057</f>
        <v>0.91498726505419481</v>
      </c>
      <c r="J1058" s="4">
        <f t="shared" si="65"/>
        <v>1.105583195135434E-4</v>
      </c>
      <c r="K1058" s="5">
        <f t="shared" si="66"/>
        <v>0.11674958540629916</v>
      </c>
    </row>
    <row r="1059" spans="1:11" x14ac:dyDescent="0.25">
      <c r="A1059" t="s">
        <v>10181</v>
      </c>
      <c r="C1059" t="s">
        <v>10182</v>
      </c>
      <c r="D1059" t="s">
        <v>10183</v>
      </c>
      <c r="E1059" t="s">
        <v>6</v>
      </c>
      <c r="F1059" t="s">
        <v>251</v>
      </c>
      <c r="G1059">
        <v>16</v>
      </c>
      <c r="H1059" s="2">
        <f>Tabelle13[[#This Row],[commits]]/Tabelle13[[#Totals],[commits]]</f>
        <v>7.4364647046793961E-5</v>
      </c>
      <c r="I1059" s="5">
        <f>Tabelle13[[#This Row],[%]]+I1058</f>
        <v>0.91506162970124161</v>
      </c>
      <c r="J1059" s="4">
        <f t="shared" si="65"/>
        <v>1.105583195135434E-4</v>
      </c>
      <c r="K1059" s="5">
        <f t="shared" si="66"/>
        <v>0.1168601437258127</v>
      </c>
    </row>
    <row r="1060" spans="1:11" x14ac:dyDescent="0.25">
      <c r="A1060" t="s">
        <v>10184</v>
      </c>
      <c r="C1060" t="s">
        <v>10185</v>
      </c>
      <c r="D1060" t="s">
        <v>10109</v>
      </c>
      <c r="E1060" t="s">
        <v>6</v>
      </c>
      <c r="F1060" t="s">
        <v>251</v>
      </c>
      <c r="G1060">
        <v>16</v>
      </c>
      <c r="H1060" s="2">
        <f>Tabelle13[[#This Row],[commits]]/Tabelle13[[#Totals],[commits]]</f>
        <v>7.4364647046793961E-5</v>
      </c>
      <c r="I1060" s="5">
        <f>Tabelle13[[#This Row],[%]]+I1059</f>
        <v>0.91513599434828841</v>
      </c>
      <c r="J1060" s="4">
        <f t="shared" si="65"/>
        <v>1.105583195135434E-4</v>
      </c>
      <c r="K1060" s="5">
        <f t="shared" si="66"/>
        <v>0.11697070204532624</v>
      </c>
    </row>
    <row r="1061" spans="1:11" x14ac:dyDescent="0.25">
      <c r="A1061" t="s">
        <v>10186</v>
      </c>
      <c r="C1061" t="s">
        <v>10187</v>
      </c>
      <c r="D1061" t="s">
        <v>309</v>
      </c>
      <c r="E1061" t="s">
        <v>6</v>
      </c>
      <c r="F1061" t="s">
        <v>251</v>
      </c>
      <c r="G1061">
        <v>16</v>
      </c>
      <c r="H1061" s="2">
        <f>Tabelle13[[#This Row],[commits]]/Tabelle13[[#Totals],[commits]]</f>
        <v>7.4364647046793961E-5</v>
      </c>
      <c r="I1061" s="5">
        <f>Tabelle13[[#This Row],[%]]+I1060</f>
        <v>0.9152103589953352</v>
      </c>
      <c r="J1061" s="4">
        <f t="shared" si="65"/>
        <v>1.105583195135434E-4</v>
      </c>
      <c r="K1061" s="5">
        <f t="shared" si="66"/>
        <v>0.11708126036483978</v>
      </c>
    </row>
    <row r="1062" spans="1:11" x14ac:dyDescent="0.25">
      <c r="A1062" t="s">
        <v>10188</v>
      </c>
      <c r="C1062" t="s">
        <v>10189</v>
      </c>
      <c r="D1062" t="s">
        <v>5</v>
      </c>
      <c r="E1062" t="s">
        <v>6</v>
      </c>
      <c r="F1062" t="s">
        <v>251</v>
      </c>
      <c r="G1062">
        <v>16</v>
      </c>
      <c r="H1062" s="2">
        <f>Tabelle13[[#This Row],[commits]]/Tabelle13[[#Totals],[commits]]</f>
        <v>7.4364647046793961E-5</v>
      </c>
      <c r="I1062" s="5">
        <f>Tabelle13[[#This Row],[%]]+I1061</f>
        <v>0.915284723642382</v>
      </c>
      <c r="J1062" s="4">
        <f t="shared" si="65"/>
        <v>1.105583195135434E-4</v>
      </c>
      <c r="K1062" s="5">
        <f t="shared" si="66"/>
        <v>0.11719181868435331</v>
      </c>
    </row>
    <row r="1063" spans="1:11" x14ac:dyDescent="0.25">
      <c r="A1063" t="s">
        <v>10190</v>
      </c>
      <c r="C1063" t="s">
        <v>10191</v>
      </c>
      <c r="D1063" t="s">
        <v>5</v>
      </c>
      <c r="E1063" t="s">
        <v>6</v>
      </c>
      <c r="F1063" t="s">
        <v>251</v>
      </c>
      <c r="G1063">
        <v>16</v>
      </c>
      <c r="H1063" s="2">
        <f>Tabelle13[[#This Row],[commits]]/Tabelle13[[#Totals],[commits]]</f>
        <v>7.4364647046793961E-5</v>
      </c>
      <c r="I1063" s="5">
        <f>Tabelle13[[#This Row],[%]]+I1062</f>
        <v>0.9153590882894288</v>
      </c>
      <c r="J1063" s="4">
        <f t="shared" si="65"/>
        <v>1.105583195135434E-4</v>
      </c>
      <c r="K1063" s="5">
        <f t="shared" si="66"/>
        <v>0.11730237700386685</v>
      </c>
    </row>
    <row r="1064" spans="1:11" x14ac:dyDescent="0.25">
      <c r="A1064" t="s">
        <v>10192</v>
      </c>
      <c r="C1064" t="s">
        <v>10193</v>
      </c>
      <c r="D1064" t="s">
        <v>8948</v>
      </c>
      <c r="E1064" t="s">
        <v>6</v>
      </c>
      <c r="F1064" t="s">
        <v>251</v>
      </c>
      <c r="G1064">
        <v>16</v>
      </c>
      <c r="H1064" s="2">
        <f>Tabelle13[[#This Row],[commits]]/Tabelle13[[#Totals],[commits]]</f>
        <v>7.4364647046793961E-5</v>
      </c>
      <c r="I1064" s="5">
        <f>Tabelle13[[#This Row],[%]]+I1063</f>
        <v>0.9154334529364756</v>
      </c>
      <c r="J1064" s="4">
        <f t="shared" si="65"/>
        <v>1.105583195135434E-4</v>
      </c>
      <c r="K1064" s="5">
        <f t="shared" si="66"/>
        <v>0.11741293532338039</v>
      </c>
    </row>
    <row r="1065" spans="1:11" x14ac:dyDescent="0.25">
      <c r="A1065" t="s">
        <v>10194</v>
      </c>
      <c r="C1065" t="s">
        <v>10195</v>
      </c>
      <c r="D1065" t="s">
        <v>10196</v>
      </c>
      <c r="E1065" t="s">
        <v>6</v>
      </c>
      <c r="F1065" t="s">
        <v>251</v>
      </c>
      <c r="G1065">
        <v>16</v>
      </c>
      <c r="H1065" s="2">
        <f>Tabelle13[[#This Row],[commits]]/Tabelle13[[#Totals],[commits]]</f>
        <v>7.4364647046793961E-5</v>
      </c>
      <c r="I1065" s="5">
        <f>Tabelle13[[#This Row],[%]]+I1064</f>
        <v>0.9155078175835224</v>
      </c>
      <c r="J1065" s="4">
        <f t="shared" si="65"/>
        <v>1.105583195135434E-4</v>
      </c>
      <c r="K1065" s="5">
        <f t="shared" si="66"/>
        <v>0.11752349364289393</v>
      </c>
    </row>
    <row r="1066" spans="1:11" x14ac:dyDescent="0.25">
      <c r="A1066" t="s">
        <v>10197</v>
      </c>
      <c r="C1066" t="s">
        <v>10198</v>
      </c>
      <c r="D1066" t="s">
        <v>309</v>
      </c>
      <c r="E1066" t="s">
        <v>6</v>
      </c>
      <c r="F1066" t="s">
        <v>251</v>
      </c>
      <c r="G1066">
        <v>16</v>
      </c>
      <c r="H1066" s="2">
        <f>Tabelle13[[#This Row],[commits]]/Tabelle13[[#Totals],[commits]]</f>
        <v>7.4364647046793961E-5</v>
      </c>
      <c r="I1066" s="5">
        <f>Tabelle13[[#This Row],[%]]+I1065</f>
        <v>0.9155821822305692</v>
      </c>
      <c r="J1066" s="4">
        <f t="shared" si="65"/>
        <v>1.105583195135434E-4</v>
      </c>
      <c r="K1066" s="5">
        <f t="shared" si="66"/>
        <v>0.11763405196240746</v>
      </c>
    </row>
    <row r="1067" spans="1:11" x14ac:dyDescent="0.25">
      <c r="A1067" t="s">
        <v>10199</v>
      </c>
      <c r="C1067" t="s">
        <v>10200</v>
      </c>
      <c r="D1067" t="s">
        <v>5</v>
      </c>
      <c r="E1067" t="s">
        <v>6</v>
      </c>
      <c r="F1067" t="s">
        <v>251</v>
      </c>
      <c r="G1067">
        <v>16</v>
      </c>
      <c r="H1067" s="2">
        <f>Tabelle13[[#This Row],[commits]]/Tabelle13[[#Totals],[commits]]</f>
        <v>7.4364647046793961E-5</v>
      </c>
      <c r="I1067" s="5">
        <f>Tabelle13[[#This Row],[%]]+I1066</f>
        <v>0.915656546877616</v>
      </c>
      <c r="J1067" s="4">
        <f t="shared" si="65"/>
        <v>1.105583195135434E-4</v>
      </c>
      <c r="K1067" s="5">
        <f t="shared" si="66"/>
        <v>0.117744610281921</v>
      </c>
    </row>
    <row r="1068" spans="1:11" x14ac:dyDescent="0.25">
      <c r="A1068" t="s">
        <v>10201</v>
      </c>
      <c r="C1068" t="s">
        <v>10202</v>
      </c>
      <c r="D1068" t="s">
        <v>5</v>
      </c>
      <c r="E1068" t="s">
        <v>6</v>
      </c>
      <c r="F1068" t="s">
        <v>251</v>
      </c>
      <c r="G1068">
        <v>16</v>
      </c>
      <c r="H1068" s="2">
        <f>Tabelle13[[#This Row],[commits]]/Tabelle13[[#Totals],[commits]]</f>
        <v>7.4364647046793961E-5</v>
      </c>
      <c r="I1068" s="5">
        <f>Tabelle13[[#This Row],[%]]+I1067</f>
        <v>0.91573091152466279</v>
      </c>
      <c r="J1068" s="4">
        <f t="shared" si="65"/>
        <v>1.105583195135434E-4</v>
      </c>
      <c r="K1068" s="5">
        <f t="shared" si="66"/>
        <v>0.11785516860143454</v>
      </c>
    </row>
    <row r="1069" spans="1:11" x14ac:dyDescent="0.25">
      <c r="A1069" t="s">
        <v>10203</v>
      </c>
      <c r="C1069" t="s">
        <v>10204</v>
      </c>
      <c r="D1069" t="s">
        <v>7531</v>
      </c>
      <c r="E1069" t="s">
        <v>6</v>
      </c>
      <c r="F1069" t="s">
        <v>251</v>
      </c>
      <c r="G1069">
        <v>16</v>
      </c>
      <c r="H1069" s="2">
        <f>Tabelle13[[#This Row],[commits]]/Tabelle13[[#Totals],[commits]]</f>
        <v>7.4364647046793961E-5</v>
      </c>
      <c r="I1069" s="5">
        <f>Tabelle13[[#This Row],[%]]+I1068</f>
        <v>0.91580527617170959</v>
      </c>
      <c r="J1069" s="4">
        <f t="shared" si="65"/>
        <v>1.105583195135434E-4</v>
      </c>
      <c r="K1069" s="5">
        <f t="shared" si="66"/>
        <v>0.11796572692094807</v>
      </c>
    </row>
    <row r="1070" spans="1:11" x14ac:dyDescent="0.25">
      <c r="A1070" t="s">
        <v>10205</v>
      </c>
      <c r="C1070" t="s">
        <v>10206</v>
      </c>
      <c r="D1070" t="s">
        <v>5</v>
      </c>
      <c r="E1070" t="s">
        <v>6</v>
      </c>
      <c r="F1070" t="s">
        <v>251</v>
      </c>
      <c r="G1070">
        <v>16</v>
      </c>
      <c r="H1070" s="2">
        <f>Tabelle13[[#This Row],[commits]]/Tabelle13[[#Totals],[commits]]</f>
        <v>7.4364647046793961E-5</v>
      </c>
      <c r="I1070" s="5">
        <f>Tabelle13[[#This Row],[%]]+I1069</f>
        <v>0.91587964081875639</v>
      </c>
      <c r="J1070" s="4">
        <f t="shared" si="65"/>
        <v>1.105583195135434E-4</v>
      </c>
      <c r="K1070" s="5">
        <f t="shared" si="66"/>
        <v>0.11807628524046161</v>
      </c>
    </row>
    <row r="1071" spans="1:11" x14ac:dyDescent="0.25">
      <c r="A1071" t="s">
        <v>17149</v>
      </c>
      <c r="C1071" t="s">
        <v>17150</v>
      </c>
      <c r="D1071" t="s">
        <v>5</v>
      </c>
      <c r="E1071" t="s">
        <v>6</v>
      </c>
      <c r="F1071" t="s">
        <v>334</v>
      </c>
      <c r="G1071">
        <v>16</v>
      </c>
      <c r="H1071" s="2">
        <f>Tabelle13[[#This Row],[commits]]/Tabelle13[[#Totals],[commits]]</f>
        <v>7.4364647046793961E-5</v>
      </c>
      <c r="I1071" s="5">
        <f>Tabelle13[[#This Row],[%]]+I1070</f>
        <v>0.91595400546580319</v>
      </c>
      <c r="J1071" s="4">
        <f t="shared" si="65"/>
        <v>1.105583195135434E-4</v>
      </c>
      <c r="K1071" s="5">
        <f t="shared" si="66"/>
        <v>0.11818684355997515</v>
      </c>
    </row>
    <row r="1072" spans="1:11" x14ac:dyDescent="0.25">
      <c r="A1072" t="s">
        <v>2572</v>
      </c>
      <c r="C1072" t="s">
        <v>2573</v>
      </c>
      <c r="D1072" t="s">
        <v>5</v>
      </c>
      <c r="E1072" t="s">
        <v>6</v>
      </c>
      <c r="F1072" t="s">
        <v>724</v>
      </c>
      <c r="G1072">
        <v>15</v>
      </c>
      <c r="H1072" s="2">
        <f>Tabelle13[[#This Row],[commits]]/Tabelle13[[#Totals],[commits]]</f>
        <v>6.9716856606369328E-5</v>
      </c>
      <c r="I1072" s="5">
        <f>Tabelle13[[#This Row],[%]]+I1071</f>
        <v>0.91602372232240958</v>
      </c>
      <c r="J1072" s="4">
        <f t="shared" si="65"/>
        <v>1.105583195135434E-4</v>
      </c>
      <c r="K1072" s="5">
        <f t="shared" si="66"/>
        <v>0.11829740187948869</v>
      </c>
    </row>
    <row r="1073" spans="1:11" x14ac:dyDescent="0.25">
      <c r="A1073" t="s">
        <v>2574</v>
      </c>
      <c r="C1073" t="s">
        <v>2575</v>
      </c>
      <c r="D1073" t="s">
        <v>5</v>
      </c>
      <c r="E1073" t="s">
        <v>6</v>
      </c>
      <c r="F1073" t="s">
        <v>724</v>
      </c>
      <c r="G1073">
        <v>15</v>
      </c>
      <c r="H1073" s="2">
        <f>Tabelle13[[#This Row],[commits]]/Tabelle13[[#Totals],[commits]]</f>
        <v>6.9716856606369328E-5</v>
      </c>
      <c r="I1073" s="5">
        <f>Tabelle13[[#This Row],[%]]+I1072</f>
        <v>0.91609343917901598</v>
      </c>
      <c r="J1073" s="4">
        <f t="shared" si="65"/>
        <v>1.105583195135434E-4</v>
      </c>
      <c r="K1073" s="5">
        <f t="shared" si="66"/>
        <v>0.11840796019900222</v>
      </c>
    </row>
    <row r="1074" spans="1:11" x14ac:dyDescent="0.25">
      <c r="A1074" t="s">
        <v>2576</v>
      </c>
      <c r="C1074" t="s">
        <v>2577</v>
      </c>
      <c r="D1074" t="s">
        <v>5</v>
      </c>
      <c r="E1074" t="s">
        <v>6</v>
      </c>
      <c r="F1074" t="s">
        <v>724</v>
      </c>
      <c r="G1074">
        <v>15</v>
      </c>
      <c r="H1074" s="2">
        <f>Tabelle13[[#This Row],[commits]]/Tabelle13[[#Totals],[commits]]</f>
        <v>6.9716856606369328E-5</v>
      </c>
      <c r="I1074" s="5">
        <f>Tabelle13[[#This Row],[%]]+I1073</f>
        <v>0.91616315603562237</v>
      </c>
      <c r="J1074" s="4">
        <f t="shared" si="65"/>
        <v>1.105583195135434E-4</v>
      </c>
      <c r="K1074" s="5">
        <f t="shared" si="66"/>
        <v>0.11851851851851576</v>
      </c>
    </row>
    <row r="1075" spans="1:11" x14ac:dyDescent="0.25">
      <c r="A1075" t="s">
        <v>2578</v>
      </c>
      <c r="C1075" t="s">
        <v>2579</v>
      </c>
      <c r="D1075" t="s">
        <v>5</v>
      </c>
      <c r="E1075" t="s">
        <v>6</v>
      </c>
      <c r="F1075" t="s">
        <v>724</v>
      </c>
      <c r="G1075">
        <v>15</v>
      </c>
      <c r="H1075" s="2">
        <f>Tabelle13[[#This Row],[commits]]/Tabelle13[[#Totals],[commits]]</f>
        <v>6.9716856606369328E-5</v>
      </c>
      <c r="I1075" s="5">
        <f>Tabelle13[[#This Row],[%]]+I1074</f>
        <v>0.91623287289222877</v>
      </c>
      <c r="J1075" s="4">
        <f t="shared" si="65"/>
        <v>1.105583195135434E-4</v>
      </c>
      <c r="K1075" s="5">
        <f t="shared" si="66"/>
        <v>0.1186290768380293</v>
      </c>
    </row>
    <row r="1076" spans="1:11" x14ac:dyDescent="0.25">
      <c r="A1076" t="s">
        <v>2580</v>
      </c>
      <c r="C1076" t="s">
        <v>2581</v>
      </c>
      <c r="D1076" t="s">
        <v>5</v>
      </c>
      <c r="E1076" t="s">
        <v>6</v>
      </c>
      <c r="F1076" t="s">
        <v>724</v>
      </c>
      <c r="G1076">
        <v>15</v>
      </c>
      <c r="H1076" s="2">
        <f>Tabelle13[[#This Row],[commits]]/Tabelle13[[#Totals],[commits]]</f>
        <v>6.9716856606369328E-5</v>
      </c>
      <c r="I1076" s="5">
        <f>Tabelle13[[#This Row],[%]]+I1075</f>
        <v>0.91630258974883516</v>
      </c>
      <c r="J1076" s="4">
        <f t="shared" si="65"/>
        <v>1.105583195135434E-4</v>
      </c>
      <c r="K1076" s="5">
        <f t="shared" si="66"/>
        <v>0.11873963515754284</v>
      </c>
    </row>
    <row r="1077" spans="1:11" x14ac:dyDescent="0.25">
      <c r="A1077" t="s">
        <v>2582</v>
      </c>
      <c r="C1077" t="s">
        <v>2583</v>
      </c>
      <c r="D1077" t="s">
        <v>5</v>
      </c>
      <c r="E1077" t="s">
        <v>6</v>
      </c>
      <c r="F1077" t="s">
        <v>724</v>
      </c>
      <c r="G1077">
        <v>15</v>
      </c>
      <c r="H1077" s="2">
        <f>Tabelle13[[#This Row],[commits]]/Tabelle13[[#Totals],[commits]]</f>
        <v>6.9716856606369328E-5</v>
      </c>
      <c r="I1077" s="5">
        <f>Tabelle13[[#This Row],[%]]+I1076</f>
        <v>0.91637230660544156</v>
      </c>
      <c r="J1077" s="4">
        <f t="shared" si="65"/>
        <v>1.105583195135434E-4</v>
      </c>
      <c r="K1077" s="5">
        <f t="shared" si="66"/>
        <v>0.11885019347705637</v>
      </c>
    </row>
    <row r="1078" spans="1:11" x14ac:dyDescent="0.25">
      <c r="A1078" t="s">
        <v>3333</v>
      </c>
      <c r="C1078" t="s">
        <v>3334</v>
      </c>
      <c r="D1078" t="s">
        <v>5</v>
      </c>
      <c r="E1078" t="s">
        <v>6</v>
      </c>
      <c r="F1078" t="s">
        <v>251</v>
      </c>
      <c r="G1078">
        <v>15</v>
      </c>
      <c r="H1078" s="2">
        <f>Tabelle13[[#This Row],[commits]]/Tabelle13[[#Totals],[commits]]</f>
        <v>6.9716856606369328E-5</v>
      </c>
      <c r="I1078" s="5">
        <f>Tabelle13[[#This Row],[%]]+I1077</f>
        <v>0.91644202346204795</v>
      </c>
      <c r="J1078" s="4">
        <f t="shared" si="65"/>
        <v>1.105583195135434E-4</v>
      </c>
      <c r="K1078" s="5">
        <f t="shared" si="66"/>
        <v>0.11896075179656991</v>
      </c>
    </row>
    <row r="1079" spans="1:11" x14ac:dyDescent="0.25">
      <c r="A1079" t="s">
        <v>5289</v>
      </c>
      <c r="C1079" t="s">
        <v>5290</v>
      </c>
      <c r="D1079" t="s">
        <v>5</v>
      </c>
      <c r="E1079" t="s">
        <v>6</v>
      </c>
      <c r="F1079" t="s">
        <v>28</v>
      </c>
      <c r="G1079">
        <v>15</v>
      </c>
      <c r="H1079" s="2">
        <f>Tabelle13[[#This Row],[commits]]/Tabelle13[[#Totals],[commits]]</f>
        <v>6.9716856606369328E-5</v>
      </c>
      <c r="I1079" s="5">
        <f>Tabelle13[[#This Row],[%]]+I1078</f>
        <v>0.91651174031865434</v>
      </c>
      <c r="J1079" s="4">
        <f t="shared" si="65"/>
        <v>1.105583195135434E-4</v>
      </c>
      <c r="K1079" s="5">
        <f t="shared" si="66"/>
        <v>0.11907131011608345</v>
      </c>
    </row>
    <row r="1080" spans="1:11" x14ac:dyDescent="0.25">
      <c r="A1080" t="s">
        <v>5291</v>
      </c>
      <c r="C1080" t="s">
        <v>5292</v>
      </c>
      <c r="D1080" t="s">
        <v>5</v>
      </c>
      <c r="E1080" t="s">
        <v>6</v>
      </c>
      <c r="F1080" t="s">
        <v>28</v>
      </c>
      <c r="G1080">
        <v>15</v>
      </c>
      <c r="H1080" s="2">
        <f>Tabelle13[[#This Row],[commits]]/Tabelle13[[#Totals],[commits]]</f>
        <v>6.9716856606369328E-5</v>
      </c>
      <c r="I1080" s="5">
        <f>Tabelle13[[#This Row],[%]]+I1079</f>
        <v>0.91658145717526074</v>
      </c>
      <c r="J1080" s="4">
        <f t="shared" si="65"/>
        <v>1.105583195135434E-4</v>
      </c>
      <c r="K1080" s="5">
        <f t="shared" si="66"/>
        <v>0.11918186843559699</v>
      </c>
    </row>
    <row r="1081" spans="1:11" x14ac:dyDescent="0.25">
      <c r="A1081" t="s">
        <v>5293</v>
      </c>
      <c r="C1081" t="s">
        <v>5294</v>
      </c>
      <c r="D1081" t="s">
        <v>5</v>
      </c>
      <c r="E1081" t="s">
        <v>6</v>
      </c>
      <c r="F1081" t="s">
        <v>28</v>
      </c>
      <c r="G1081">
        <v>15</v>
      </c>
      <c r="H1081" s="2">
        <f>Tabelle13[[#This Row],[commits]]/Tabelle13[[#Totals],[commits]]</f>
        <v>6.9716856606369328E-5</v>
      </c>
      <c r="I1081" s="5">
        <f>Tabelle13[[#This Row],[%]]+I1080</f>
        <v>0.91665117403186713</v>
      </c>
      <c r="J1081" s="4">
        <f t="shared" si="65"/>
        <v>1.105583195135434E-4</v>
      </c>
      <c r="K1081" s="5">
        <f t="shared" si="66"/>
        <v>0.11929242675511052</v>
      </c>
    </row>
    <row r="1082" spans="1:11" x14ac:dyDescent="0.25">
      <c r="A1082" t="s">
        <v>5295</v>
      </c>
      <c r="C1082" t="s">
        <v>5296</v>
      </c>
      <c r="D1082" t="s">
        <v>5</v>
      </c>
      <c r="E1082" t="s">
        <v>6</v>
      </c>
      <c r="F1082" t="s">
        <v>28</v>
      </c>
      <c r="G1082">
        <v>15</v>
      </c>
      <c r="H1082" s="2">
        <f>Tabelle13[[#This Row],[commits]]/Tabelle13[[#Totals],[commits]]</f>
        <v>6.9716856606369328E-5</v>
      </c>
      <c r="I1082" s="5">
        <f>Tabelle13[[#This Row],[%]]+I1081</f>
        <v>0.91672089088847353</v>
      </c>
      <c r="J1082" s="4">
        <f t="shared" si="65"/>
        <v>1.105583195135434E-4</v>
      </c>
      <c r="K1082" s="5">
        <f t="shared" si="66"/>
        <v>0.11940298507462406</v>
      </c>
    </row>
    <row r="1083" spans="1:11" x14ac:dyDescent="0.25">
      <c r="A1083" t="s">
        <v>5889</v>
      </c>
      <c r="C1083" t="s">
        <v>5890</v>
      </c>
      <c r="D1083" t="s">
        <v>5</v>
      </c>
      <c r="E1083" t="s">
        <v>6</v>
      </c>
      <c r="F1083" t="s">
        <v>334</v>
      </c>
      <c r="G1083">
        <v>15</v>
      </c>
      <c r="H1083" s="2">
        <f>Tabelle13[[#This Row],[commits]]/Tabelle13[[#Totals],[commits]]</f>
        <v>6.9716856606369328E-5</v>
      </c>
      <c r="I1083" s="5">
        <f>Tabelle13[[#This Row],[%]]+I1082</f>
        <v>0.91679060774507992</v>
      </c>
      <c r="J1083" s="4">
        <f t="shared" si="65"/>
        <v>1.105583195135434E-4</v>
      </c>
      <c r="K1083" s="5">
        <f t="shared" si="66"/>
        <v>0.1195135433941376</v>
      </c>
    </row>
    <row r="1084" spans="1:11" x14ac:dyDescent="0.25">
      <c r="A1084" t="s">
        <v>10207</v>
      </c>
      <c r="C1084" t="s">
        <v>10208</v>
      </c>
      <c r="D1084" t="s">
        <v>309</v>
      </c>
      <c r="E1084" t="s">
        <v>6</v>
      </c>
      <c r="F1084" t="s">
        <v>251</v>
      </c>
      <c r="G1084">
        <v>15</v>
      </c>
      <c r="H1084" s="2">
        <f>Tabelle13[[#This Row],[commits]]/Tabelle13[[#Totals],[commits]]</f>
        <v>6.9716856606369328E-5</v>
      </c>
      <c r="I1084" s="5">
        <f>Tabelle13[[#This Row],[%]]+I1083</f>
        <v>0.91686032460168632</v>
      </c>
      <c r="J1084" s="4">
        <f t="shared" si="65"/>
        <v>1.105583195135434E-4</v>
      </c>
      <c r="K1084" s="5">
        <f t="shared" si="66"/>
        <v>0.11962410171365113</v>
      </c>
    </row>
    <row r="1085" spans="1:11" x14ac:dyDescent="0.25">
      <c r="A1085" t="s">
        <v>10209</v>
      </c>
      <c r="C1085" t="s">
        <v>10210</v>
      </c>
      <c r="D1085" t="s">
        <v>309</v>
      </c>
      <c r="E1085" t="s">
        <v>6</v>
      </c>
      <c r="F1085" t="s">
        <v>251</v>
      </c>
      <c r="G1085">
        <v>15</v>
      </c>
      <c r="H1085" s="2">
        <f>Tabelle13[[#This Row],[commits]]/Tabelle13[[#Totals],[commits]]</f>
        <v>6.9716856606369328E-5</v>
      </c>
      <c r="I1085" s="5">
        <f>Tabelle13[[#This Row],[%]]+I1084</f>
        <v>0.91693004145829271</v>
      </c>
      <c r="J1085" s="4">
        <f t="shared" si="65"/>
        <v>1.105583195135434E-4</v>
      </c>
      <c r="K1085" s="5">
        <f t="shared" si="66"/>
        <v>0.11973466003316467</v>
      </c>
    </row>
    <row r="1086" spans="1:11" x14ac:dyDescent="0.25">
      <c r="A1086" t="s">
        <v>10211</v>
      </c>
      <c r="C1086" t="s">
        <v>10212</v>
      </c>
      <c r="D1086" t="s">
        <v>309</v>
      </c>
      <c r="E1086" t="s">
        <v>6</v>
      </c>
      <c r="F1086" t="s">
        <v>251</v>
      </c>
      <c r="G1086">
        <v>15</v>
      </c>
      <c r="H1086" s="2">
        <f>Tabelle13[[#This Row],[commits]]/Tabelle13[[#Totals],[commits]]</f>
        <v>6.9716856606369328E-5</v>
      </c>
      <c r="I1086" s="5">
        <f>Tabelle13[[#This Row],[%]]+I1085</f>
        <v>0.9169997583148991</v>
      </c>
      <c r="J1086" s="4">
        <f t="shared" si="65"/>
        <v>1.105583195135434E-4</v>
      </c>
      <c r="K1086" s="5">
        <f t="shared" si="66"/>
        <v>0.11984521835267821</v>
      </c>
    </row>
    <row r="1087" spans="1:11" x14ac:dyDescent="0.25">
      <c r="A1087" t="s">
        <v>10213</v>
      </c>
      <c r="C1087" t="s">
        <v>10214</v>
      </c>
      <c r="D1087" t="s">
        <v>10215</v>
      </c>
      <c r="E1087" t="s">
        <v>6</v>
      </c>
      <c r="F1087" t="s">
        <v>251</v>
      </c>
      <c r="G1087">
        <v>15</v>
      </c>
      <c r="H1087" s="2">
        <f>Tabelle13[[#This Row],[commits]]/Tabelle13[[#Totals],[commits]]</f>
        <v>6.9716856606369328E-5</v>
      </c>
      <c r="I1087" s="5">
        <f>Tabelle13[[#This Row],[%]]+I1086</f>
        <v>0.9170694751715055</v>
      </c>
      <c r="J1087" s="4">
        <f t="shared" si="65"/>
        <v>1.105583195135434E-4</v>
      </c>
      <c r="K1087" s="5">
        <f t="shared" si="66"/>
        <v>0.11995577667219175</v>
      </c>
    </row>
    <row r="1088" spans="1:11" x14ac:dyDescent="0.25">
      <c r="A1088" t="s">
        <v>10216</v>
      </c>
      <c r="C1088" t="s">
        <v>10217</v>
      </c>
      <c r="D1088" t="s">
        <v>9035</v>
      </c>
      <c r="E1088" t="s">
        <v>6</v>
      </c>
      <c r="F1088" t="s">
        <v>251</v>
      </c>
      <c r="G1088">
        <v>15</v>
      </c>
      <c r="H1088" s="2">
        <f>Tabelle13[[#This Row],[commits]]/Tabelle13[[#Totals],[commits]]</f>
        <v>6.9716856606369328E-5</v>
      </c>
      <c r="I1088" s="5">
        <f>Tabelle13[[#This Row],[%]]+I1087</f>
        <v>0.91713919202811189</v>
      </c>
      <c r="J1088" s="4">
        <f t="shared" si="65"/>
        <v>1.105583195135434E-4</v>
      </c>
      <c r="K1088" s="5">
        <f t="shared" si="66"/>
        <v>0.12006633499170528</v>
      </c>
    </row>
    <row r="1089" spans="1:11" x14ac:dyDescent="0.25">
      <c r="A1089" t="s">
        <v>10218</v>
      </c>
      <c r="C1089" t="s">
        <v>10219</v>
      </c>
      <c r="D1089" t="s">
        <v>10220</v>
      </c>
      <c r="E1089" t="s">
        <v>6</v>
      </c>
      <c r="F1089" t="s">
        <v>251</v>
      </c>
      <c r="G1089">
        <v>15</v>
      </c>
      <c r="H1089" s="2">
        <f>Tabelle13[[#This Row],[commits]]/Tabelle13[[#Totals],[commits]]</f>
        <v>6.9716856606369328E-5</v>
      </c>
      <c r="I1089" s="5">
        <f>Tabelle13[[#This Row],[%]]+I1088</f>
        <v>0.91720890888471829</v>
      </c>
      <c r="J1089" s="4">
        <f t="shared" si="65"/>
        <v>1.105583195135434E-4</v>
      </c>
      <c r="K1089" s="5">
        <f t="shared" si="66"/>
        <v>0.12017689331121882</v>
      </c>
    </row>
    <row r="1090" spans="1:11" x14ac:dyDescent="0.25">
      <c r="A1090" t="s">
        <v>10221</v>
      </c>
      <c r="C1090" t="s">
        <v>10222</v>
      </c>
      <c r="D1090" t="s">
        <v>5</v>
      </c>
      <c r="E1090" t="s">
        <v>6</v>
      </c>
      <c r="F1090" t="s">
        <v>251</v>
      </c>
      <c r="G1090">
        <v>15</v>
      </c>
      <c r="H1090" s="2">
        <f>Tabelle13[[#This Row],[commits]]/Tabelle13[[#Totals],[commits]]</f>
        <v>6.9716856606369328E-5</v>
      </c>
      <c r="I1090" s="5">
        <f>Tabelle13[[#This Row],[%]]+I1089</f>
        <v>0.91727862574132468</v>
      </c>
      <c r="J1090" s="4">
        <f t="shared" si="65"/>
        <v>1.105583195135434E-4</v>
      </c>
      <c r="K1090" s="5">
        <f t="shared" si="66"/>
        <v>0.12028745163073236</v>
      </c>
    </row>
    <row r="1091" spans="1:11" x14ac:dyDescent="0.25">
      <c r="A1091" t="s">
        <v>10223</v>
      </c>
      <c r="C1091" t="s">
        <v>10224</v>
      </c>
      <c r="D1091" t="s">
        <v>309</v>
      </c>
      <c r="E1091" t="s">
        <v>6</v>
      </c>
      <c r="F1091" t="s">
        <v>251</v>
      </c>
      <c r="G1091">
        <v>15</v>
      </c>
      <c r="H1091" s="2">
        <f>Tabelle13[[#This Row],[commits]]/Tabelle13[[#Totals],[commits]]</f>
        <v>6.9716856606369328E-5</v>
      </c>
      <c r="I1091" s="5">
        <f>Tabelle13[[#This Row],[%]]+I1090</f>
        <v>0.91734834259793108</v>
      </c>
      <c r="J1091" s="4">
        <f t="shared" ref="J1091:J1154" si="67">1/9045</f>
        <v>1.105583195135434E-4</v>
      </c>
      <c r="K1091" s="5">
        <f t="shared" si="66"/>
        <v>0.1203980099502459</v>
      </c>
    </row>
    <row r="1092" spans="1:11" x14ac:dyDescent="0.25">
      <c r="A1092" t="s">
        <v>10225</v>
      </c>
      <c r="C1092" t="s">
        <v>10226</v>
      </c>
      <c r="D1092" t="s">
        <v>5</v>
      </c>
      <c r="E1092" t="s">
        <v>6</v>
      </c>
      <c r="F1092" t="s">
        <v>251</v>
      </c>
      <c r="G1092">
        <v>15</v>
      </c>
      <c r="H1092" s="2">
        <f>Tabelle13[[#This Row],[commits]]/Tabelle13[[#Totals],[commits]]</f>
        <v>6.9716856606369328E-5</v>
      </c>
      <c r="I1092" s="5">
        <f>Tabelle13[[#This Row],[%]]+I1091</f>
        <v>0.91741805945453747</v>
      </c>
      <c r="J1092" s="4">
        <f t="shared" si="67"/>
        <v>1.105583195135434E-4</v>
      </c>
      <c r="K1092" s="5">
        <f t="shared" si="66"/>
        <v>0.12050856826975943</v>
      </c>
    </row>
    <row r="1093" spans="1:11" x14ac:dyDescent="0.25">
      <c r="A1093" t="s">
        <v>10227</v>
      </c>
      <c r="C1093" t="s">
        <v>10228</v>
      </c>
      <c r="D1093" t="s">
        <v>8948</v>
      </c>
      <c r="E1093" t="s">
        <v>6</v>
      </c>
      <c r="F1093" t="s">
        <v>251</v>
      </c>
      <c r="G1093">
        <v>15</v>
      </c>
      <c r="H1093" s="2">
        <f>Tabelle13[[#This Row],[commits]]/Tabelle13[[#Totals],[commits]]</f>
        <v>6.9716856606369328E-5</v>
      </c>
      <c r="I1093" s="5">
        <f>Tabelle13[[#This Row],[%]]+I1092</f>
        <v>0.91748777631114387</v>
      </c>
      <c r="J1093" s="4">
        <f t="shared" si="67"/>
        <v>1.105583195135434E-4</v>
      </c>
      <c r="K1093" s="5">
        <f t="shared" si="66"/>
        <v>0.12061912658927297</v>
      </c>
    </row>
    <row r="1094" spans="1:11" x14ac:dyDescent="0.25">
      <c r="A1094" t="s">
        <v>10229</v>
      </c>
      <c r="C1094" t="s">
        <v>10230</v>
      </c>
      <c r="D1094" t="s">
        <v>309</v>
      </c>
      <c r="E1094" t="s">
        <v>6</v>
      </c>
      <c r="F1094" t="s">
        <v>251</v>
      </c>
      <c r="G1094">
        <v>15</v>
      </c>
      <c r="H1094" s="2">
        <f>Tabelle13[[#This Row],[commits]]/Tabelle13[[#Totals],[commits]]</f>
        <v>6.9716856606369328E-5</v>
      </c>
      <c r="I1094" s="5">
        <f>Tabelle13[[#This Row],[%]]+I1093</f>
        <v>0.91755749316775026</v>
      </c>
      <c r="J1094" s="4">
        <f t="shared" si="67"/>
        <v>1.105583195135434E-4</v>
      </c>
      <c r="K1094" s="5">
        <f t="shared" ref="K1094:K1157" si="68">J1094+K1093</f>
        <v>0.12072968490878651</v>
      </c>
    </row>
    <row r="1095" spans="1:11" x14ac:dyDescent="0.25">
      <c r="A1095" t="s">
        <v>10231</v>
      </c>
      <c r="C1095">
        <v>18633059886</v>
      </c>
      <c r="D1095" t="s">
        <v>5</v>
      </c>
      <c r="E1095" t="s">
        <v>6</v>
      </c>
      <c r="F1095" t="s">
        <v>251</v>
      </c>
      <c r="G1095">
        <v>15</v>
      </c>
      <c r="H1095" s="2">
        <f>Tabelle13[[#This Row],[commits]]/Tabelle13[[#Totals],[commits]]</f>
        <v>6.9716856606369328E-5</v>
      </c>
      <c r="I1095" s="5">
        <f>Tabelle13[[#This Row],[%]]+I1094</f>
        <v>0.91762721002435665</v>
      </c>
      <c r="J1095" s="4">
        <f t="shared" si="67"/>
        <v>1.105583195135434E-4</v>
      </c>
      <c r="K1095" s="5">
        <f t="shared" si="68"/>
        <v>0.12084024322830005</v>
      </c>
    </row>
    <row r="1096" spans="1:11" x14ac:dyDescent="0.25">
      <c r="A1096" t="s">
        <v>10232</v>
      </c>
      <c r="C1096" t="s">
        <v>10233</v>
      </c>
      <c r="D1096" t="s">
        <v>9453</v>
      </c>
      <c r="E1096" t="s">
        <v>6</v>
      </c>
      <c r="F1096" t="s">
        <v>251</v>
      </c>
      <c r="G1096">
        <v>15</v>
      </c>
      <c r="H1096" s="2">
        <f>Tabelle13[[#This Row],[commits]]/Tabelle13[[#Totals],[commits]]</f>
        <v>6.9716856606369328E-5</v>
      </c>
      <c r="I1096" s="5">
        <f>Tabelle13[[#This Row],[%]]+I1095</f>
        <v>0.91769692688096305</v>
      </c>
      <c r="J1096" s="4">
        <f t="shared" si="67"/>
        <v>1.105583195135434E-4</v>
      </c>
      <c r="K1096" s="5">
        <f t="shared" si="68"/>
        <v>0.12095080154781358</v>
      </c>
    </row>
    <row r="1097" spans="1:11" x14ac:dyDescent="0.25">
      <c r="A1097" t="s">
        <v>10234</v>
      </c>
      <c r="C1097" t="s">
        <v>10235</v>
      </c>
      <c r="D1097" t="s">
        <v>5</v>
      </c>
      <c r="E1097" t="s">
        <v>6</v>
      </c>
      <c r="F1097" t="s">
        <v>251</v>
      </c>
      <c r="G1097">
        <v>15</v>
      </c>
      <c r="H1097" s="2">
        <f>Tabelle13[[#This Row],[commits]]/Tabelle13[[#Totals],[commits]]</f>
        <v>6.9716856606369328E-5</v>
      </c>
      <c r="I1097" s="5">
        <f>Tabelle13[[#This Row],[%]]+I1096</f>
        <v>0.91776664373756944</v>
      </c>
      <c r="J1097" s="4">
        <f t="shared" si="67"/>
        <v>1.105583195135434E-4</v>
      </c>
      <c r="K1097" s="5">
        <f t="shared" si="68"/>
        <v>0.12106135986732712</v>
      </c>
    </row>
    <row r="1098" spans="1:11" x14ac:dyDescent="0.25">
      <c r="A1098" t="s">
        <v>10236</v>
      </c>
      <c r="C1098" t="s">
        <v>10237</v>
      </c>
      <c r="D1098" t="s">
        <v>4461</v>
      </c>
      <c r="E1098" t="s">
        <v>6</v>
      </c>
      <c r="F1098" t="s">
        <v>251</v>
      </c>
      <c r="G1098">
        <v>15</v>
      </c>
      <c r="H1098" s="2">
        <f>Tabelle13[[#This Row],[commits]]/Tabelle13[[#Totals],[commits]]</f>
        <v>6.9716856606369328E-5</v>
      </c>
      <c r="I1098" s="5">
        <f>Tabelle13[[#This Row],[%]]+I1097</f>
        <v>0.91783636059417584</v>
      </c>
      <c r="J1098" s="4">
        <f t="shared" si="67"/>
        <v>1.105583195135434E-4</v>
      </c>
      <c r="K1098" s="5">
        <f t="shared" si="68"/>
        <v>0.12117191818684066</v>
      </c>
    </row>
    <row r="1099" spans="1:11" x14ac:dyDescent="0.25">
      <c r="A1099" t="s">
        <v>10238</v>
      </c>
      <c r="C1099" t="s">
        <v>10239</v>
      </c>
      <c r="D1099" t="s">
        <v>5</v>
      </c>
      <c r="E1099" t="s">
        <v>6</v>
      </c>
      <c r="F1099" t="s">
        <v>251</v>
      </c>
      <c r="G1099">
        <v>15</v>
      </c>
      <c r="H1099" s="2">
        <f>Tabelle13[[#This Row],[commits]]/Tabelle13[[#Totals],[commits]]</f>
        <v>6.9716856606369328E-5</v>
      </c>
      <c r="I1099" s="5">
        <f>Tabelle13[[#This Row],[%]]+I1098</f>
        <v>0.91790607745078223</v>
      </c>
      <c r="J1099" s="4">
        <f t="shared" si="67"/>
        <v>1.105583195135434E-4</v>
      </c>
      <c r="K1099" s="5">
        <f t="shared" si="68"/>
        <v>0.12128247650635419</v>
      </c>
    </row>
    <row r="1100" spans="1:11" x14ac:dyDescent="0.25">
      <c r="A1100" t="s">
        <v>10240</v>
      </c>
      <c r="C1100" t="s">
        <v>10241</v>
      </c>
      <c r="D1100" t="s">
        <v>8948</v>
      </c>
      <c r="E1100" t="s">
        <v>6</v>
      </c>
      <c r="F1100" t="s">
        <v>251</v>
      </c>
      <c r="G1100">
        <v>15</v>
      </c>
      <c r="H1100" s="2">
        <f>Tabelle13[[#This Row],[commits]]/Tabelle13[[#Totals],[commits]]</f>
        <v>6.9716856606369328E-5</v>
      </c>
      <c r="I1100" s="5">
        <f>Tabelle13[[#This Row],[%]]+I1099</f>
        <v>0.91797579430738863</v>
      </c>
      <c r="J1100" s="4">
        <f t="shared" si="67"/>
        <v>1.105583195135434E-4</v>
      </c>
      <c r="K1100" s="5">
        <f t="shared" si="68"/>
        <v>0.12139303482586773</v>
      </c>
    </row>
    <row r="1101" spans="1:11" x14ac:dyDescent="0.25">
      <c r="A1101" t="s">
        <v>10242</v>
      </c>
      <c r="C1101" t="s">
        <v>10243</v>
      </c>
      <c r="D1101" t="s">
        <v>309</v>
      </c>
      <c r="E1101" t="s">
        <v>6</v>
      </c>
      <c r="F1101" t="s">
        <v>251</v>
      </c>
      <c r="G1101">
        <v>15</v>
      </c>
      <c r="H1101" s="2">
        <f>Tabelle13[[#This Row],[commits]]/Tabelle13[[#Totals],[commits]]</f>
        <v>6.9716856606369328E-5</v>
      </c>
      <c r="I1101" s="5">
        <f>Tabelle13[[#This Row],[%]]+I1100</f>
        <v>0.91804551116399502</v>
      </c>
      <c r="J1101" s="4">
        <f t="shared" si="67"/>
        <v>1.105583195135434E-4</v>
      </c>
      <c r="K1101" s="5">
        <f t="shared" si="68"/>
        <v>0.12150359314538127</v>
      </c>
    </row>
    <row r="1102" spans="1:11" x14ac:dyDescent="0.25">
      <c r="A1102" t="s">
        <v>10244</v>
      </c>
      <c r="C1102" t="s">
        <v>10245</v>
      </c>
      <c r="D1102" t="s">
        <v>5</v>
      </c>
      <c r="E1102" t="s">
        <v>6</v>
      </c>
      <c r="F1102" t="s">
        <v>251</v>
      </c>
      <c r="G1102">
        <v>15</v>
      </c>
      <c r="H1102" s="2">
        <f>Tabelle13[[#This Row],[commits]]/Tabelle13[[#Totals],[commits]]</f>
        <v>6.9716856606369328E-5</v>
      </c>
      <c r="I1102" s="5">
        <f>Tabelle13[[#This Row],[%]]+I1101</f>
        <v>0.91811522802060141</v>
      </c>
      <c r="J1102" s="4">
        <f t="shared" si="67"/>
        <v>1.105583195135434E-4</v>
      </c>
      <c r="K1102" s="5">
        <f t="shared" si="68"/>
        <v>0.12161415146489481</v>
      </c>
    </row>
    <row r="1103" spans="1:11" x14ac:dyDescent="0.25">
      <c r="A1103" t="s">
        <v>10246</v>
      </c>
      <c r="C1103" t="s">
        <v>10247</v>
      </c>
      <c r="D1103" t="s">
        <v>5</v>
      </c>
      <c r="E1103" t="s">
        <v>6</v>
      </c>
      <c r="F1103" t="s">
        <v>251</v>
      </c>
      <c r="G1103">
        <v>15</v>
      </c>
      <c r="H1103" s="2">
        <f>Tabelle13[[#This Row],[commits]]/Tabelle13[[#Totals],[commits]]</f>
        <v>6.9716856606369328E-5</v>
      </c>
      <c r="I1103" s="5">
        <f>Tabelle13[[#This Row],[%]]+I1102</f>
        <v>0.91818494487720781</v>
      </c>
      <c r="J1103" s="4">
        <f t="shared" si="67"/>
        <v>1.105583195135434E-4</v>
      </c>
      <c r="K1103" s="5">
        <f t="shared" si="68"/>
        <v>0.12172470978440834</v>
      </c>
    </row>
    <row r="1104" spans="1:11" x14ac:dyDescent="0.25">
      <c r="A1104" t="s">
        <v>17151</v>
      </c>
      <c r="C1104" t="s">
        <v>17152</v>
      </c>
      <c r="D1104" t="s">
        <v>5</v>
      </c>
      <c r="E1104" t="s">
        <v>6</v>
      </c>
      <c r="F1104" t="s">
        <v>334</v>
      </c>
      <c r="G1104">
        <v>15</v>
      </c>
      <c r="H1104" s="2">
        <f>Tabelle13[[#This Row],[commits]]/Tabelle13[[#Totals],[commits]]</f>
        <v>6.9716856606369328E-5</v>
      </c>
      <c r="I1104" s="5">
        <f>Tabelle13[[#This Row],[%]]+I1103</f>
        <v>0.9182546617338142</v>
      </c>
      <c r="J1104" s="4">
        <f t="shared" si="67"/>
        <v>1.105583195135434E-4</v>
      </c>
      <c r="K1104" s="5">
        <f t="shared" si="68"/>
        <v>0.12183526810392188</v>
      </c>
    </row>
    <row r="1105" spans="1:11" x14ac:dyDescent="0.25">
      <c r="A1105" t="s">
        <v>17153</v>
      </c>
      <c r="C1105">
        <v>805037171</v>
      </c>
      <c r="D1105" t="s">
        <v>5</v>
      </c>
      <c r="E1105" t="s">
        <v>6</v>
      </c>
      <c r="F1105" t="s">
        <v>334</v>
      </c>
      <c r="G1105">
        <v>15</v>
      </c>
      <c r="H1105" s="2">
        <f>Tabelle13[[#This Row],[commits]]/Tabelle13[[#Totals],[commits]]</f>
        <v>6.9716856606369328E-5</v>
      </c>
      <c r="I1105" s="5">
        <f>Tabelle13[[#This Row],[%]]+I1104</f>
        <v>0.9183243785904206</v>
      </c>
      <c r="J1105" s="4">
        <f t="shared" si="67"/>
        <v>1.105583195135434E-4</v>
      </c>
      <c r="K1105" s="5">
        <f t="shared" si="68"/>
        <v>0.12194582642343542</v>
      </c>
    </row>
    <row r="1106" spans="1:11" x14ac:dyDescent="0.25">
      <c r="A1106" t="s">
        <v>2584</v>
      </c>
      <c r="C1106" t="s">
        <v>2585</v>
      </c>
      <c r="D1106" t="s">
        <v>5</v>
      </c>
      <c r="E1106" t="s">
        <v>6</v>
      </c>
      <c r="F1106" t="s">
        <v>724</v>
      </c>
      <c r="G1106">
        <v>14</v>
      </c>
      <c r="H1106" s="2">
        <f>Tabelle13[[#This Row],[commits]]/Tabelle13[[#Totals],[commits]]</f>
        <v>6.5069066165944709E-5</v>
      </c>
      <c r="I1106" s="5">
        <f>Tabelle13[[#This Row],[%]]+I1105</f>
        <v>0.91838944765658659</v>
      </c>
      <c r="J1106" s="4">
        <f t="shared" si="67"/>
        <v>1.105583195135434E-4</v>
      </c>
      <c r="K1106" s="5">
        <f t="shared" si="68"/>
        <v>0.12205638474294896</v>
      </c>
    </row>
    <row r="1107" spans="1:11" x14ac:dyDescent="0.25">
      <c r="A1107" t="s">
        <v>2586</v>
      </c>
      <c r="C1107" t="s">
        <v>2587</v>
      </c>
      <c r="D1107" t="s">
        <v>5</v>
      </c>
      <c r="E1107" t="s">
        <v>6</v>
      </c>
      <c r="F1107" t="s">
        <v>724</v>
      </c>
      <c r="G1107">
        <v>14</v>
      </c>
      <c r="H1107" s="2">
        <f>Tabelle13[[#This Row],[commits]]/Tabelle13[[#Totals],[commits]]</f>
        <v>6.5069066165944709E-5</v>
      </c>
      <c r="I1107" s="5">
        <f>Tabelle13[[#This Row],[%]]+I1106</f>
        <v>0.91845451672275258</v>
      </c>
      <c r="J1107" s="4">
        <f t="shared" si="67"/>
        <v>1.105583195135434E-4</v>
      </c>
      <c r="K1107" s="5">
        <f t="shared" si="68"/>
        <v>0.12216694306246249</v>
      </c>
    </row>
    <row r="1108" spans="1:11" x14ac:dyDescent="0.25">
      <c r="A1108" t="s">
        <v>2588</v>
      </c>
      <c r="C1108" t="s">
        <v>2589</v>
      </c>
      <c r="D1108" t="s">
        <v>309</v>
      </c>
      <c r="E1108" t="s">
        <v>6</v>
      </c>
      <c r="F1108" t="s">
        <v>724</v>
      </c>
      <c r="G1108">
        <v>14</v>
      </c>
      <c r="H1108" s="2">
        <f>Tabelle13[[#This Row],[commits]]/Tabelle13[[#Totals],[commits]]</f>
        <v>6.5069066165944709E-5</v>
      </c>
      <c r="I1108" s="5">
        <f>Tabelle13[[#This Row],[%]]+I1107</f>
        <v>0.91851958578891857</v>
      </c>
      <c r="J1108" s="4">
        <f t="shared" si="67"/>
        <v>1.105583195135434E-4</v>
      </c>
      <c r="K1108" s="5">
        <f t="shared" si="68"/>
        <v>0.12227750138197603</v>
      </c>
    </row>
    <row r="1109" spans="1:11" x14ac:dyDescent="0.25">
      <c r="A1109" t="s">
        <v>2590</v>
      </c>
      <c r="C1109" t="s">
        <v>2591</v>
      </c>
      <c r="D1109" t="s">
        <v>5</v>
      </c>
      <c r="E1109" t="s">
        <v>6</v>
      </c>
      <c r="F1109" t="s">
        <v>724</v>
      </c>
      <c r="G1109">
        <v>14</v>
      </c>
      <c r="H1109" s="2">
        <f>Tabelle13[[#This Row],[commits]]/Tabelle13[[#Totals],[commits]]</f>
        <v>6.5069066165944709E-5</v>
      </c>
      <c r="I1109" s="5">
        <f>Tabelle13[[#This Row],[%]]+I1108</f>
        <v>0.91858465485508456</v>
      </c>
      <c r="J1109" s="4">
        <f t="shared" si="67"/>
        <v>1.105583195135434E-4</v>
      </c>
      <c r="K1109" s="5">
        <f t="shared" si="68"/>
        <v>0.12238805970148957</v>
      </c>
    </row>
    <row r="1110" spans="1:11" x14ac:dyDescent="0.25">
      <c r="A1110" t="s">
        <v>2592</v>
      </c>
      <c r="C1110" t="s">
        <v>2593</v>
      </c>
      <c r="D1110" t="s">
        <v>309</v>
      </c>
      <c r="E1110" t="s">
        <v>6</v>
      </c>
      <c r="F1110" t="s">
        <v>724</v>
      </c>
      <c r="G1110">
        <v>14</v>
      </c>
      <c r="H1110" s="2">
        <f>Tabelle13[[#This Row],[commits]]/Tabelle13[[#Totals],[commits]]</f>
        <v>6.5069066165944709E-5</v>
      </c>
      <c r="I1110" s="5">
        <f>Tabelle13[[#This Row],[%]]+I1109</f>
        <v>0.91864972392125055</v>
      </c>
      <c r="J1110" s="4">
        <f t="shared" si="67"/>
        <v>1.105583195135434E-4</v>
      </c>
      <c r="K1110" s="5">
        <f t="shared" si="68"/>
        <v>0.12249861802100311</v>
      </c>
    </row>
    <row r="1111" spans="1:11" x14ac:dyDescent="0.25">
      <c r="A1111" t="s">
        <v>2594</v>
      </c>
      <c r="C1111" t="s">
        <v>2595</v>
      </c>
      <c r="D1111" t="s">
        <v>5</v>
      </c>
      <c r="E1111" t="s">
        <v>6</v>
      </c>
      <c r="F1111" t="s">
        <v>724</v>
      </c>
      <c r="G1111">
        <v>14</v>
      </c>
      <c r="H1111" s="2">
        <f>Tabelle13[[#This Row],[commits]]/Tabelle13[[#Totals],[commits]]</f>
        <v>6.5069066165944709E-5</v>
      </c>
      <c r="I1111" s="5">
        <f>Tabelle13[[#This Row],[%]]+I1110</f>
        <v>0.91871479298741654</v>
      </c>
      <c r="J1111" s="4">
        <f t="shared" si="67"/>
        <v>1.105583195135434E-4</v>
      </c>
      <c r="K1111" s="5">
        <f t="shared" si="68"/>
        <v>0.12260917634051664</v>
      </c>
    </row>
    <row r="1112" spans="1:11" x14ac:dyDescent="0.25">
      <c r="A1112" t="s">
        <v>2596</v>
      </c>
      <c r="C1112" t="s">
        <v>2597</v>
      </c>
      <c r="D1112" t="s">
        <v>5</v>
      </c>
      <c r="E1112" t="s">
        <v>6</v>
      </c>
      <c r="F1112" t="s">
        <v>724</v>
      </c>
      <c r="G1112">
        <v>14</v>
      </c>
      <c r="H1112" s="2">
        <f>Tabelle13[[#This Row],[commits]]/Tabelle13[[#Totals],[commits]]</f>
        <v>6.5069066165944709E-5</v>
      </c>
      <c r="I1112" s="5">
        <f>Tabelle13[[#This Row],[%]]+I1111</f>
        <v>0.91877986205358253</v>
      </c>
      <c r="J1112" s="4">
        <f t="shared" si="67"/>
        <v>1.105583195135434E-4</v>
      </c>
      <c r="K1112" s="5">
        <f t="shared" si="68"/>
        <v>0.12271973466003018</v>
      </c>
    </row>
    <row r="1113" spans="1:11" x14ac:dyDescent="0.25">
      <c r="A1113" t="s">
        <v>5297</v>
      </c>
      <c r="C1113" t="s">
        <v>5298</v>
      </c>
      <c r="D1113" t="s">
        <v>5</v>
      </c>
      <c r="E1113" t="s">
        <v>6</v>
      </c>
      <c r="F1113" t="s">
        <v>28</v>
      </c>
      <c r="G1113">
        <v>14</v>
      </c>
      <c r="H1113" s="2">
        <f>Tabelle13[[#This Row],[commits]]/Tabelle13[[#Totals],[commits]]</f>
        <v>6.5069066165944709E-5</v>
      </c>
      <c r="I1113" s="5">
        <f>Tabelle13[[#This Row],[%]]+I1112</f>
        <v>0.91884493111974852</v>
      </c>
      <c r="J1113" s="4">
        <f t="shared" si="67"/>
        <v>1.105583195135434E-4</v>
      </c>
      <c r="K1113" s="5">
        <f t="shared" si="68"/>
        <v>0.12283029297954372</v>
      </c>
    </row>
    <row r="1114" spans="1:11" x14ac:dyDescent="0.25">
      <c r="A1114" t="s">
        <v>5299</v>
      </c>
      <c r="C1114" t="s">
        <v>5300</v>
      </c>
      <c r="D1114" t="s">
        <v>5</v>
      </c>
      <c r="E1114" t="s">
        <v>6</v>
      </c>
      <c r="F1114" t="s">
        <v>28</v>
      </c>
      <c r="G1114">
        <v>14</v>
      </c>
      <c r="H1114" s="2">
        <f>Tabelle13[[#This Row],[commits]]/Tabelle13[[#Totals],[commits]]</f>
        <v>6.5069066165944709E-5</v>
      </c>
      <c r="I1114" s="5">
        <f>Tabelle13[[#This Row],[%]]+I1113</f>
        <v>0.91891000018591451</v>
      </c>
      <c r="J1114" s="4">
        <f t="shared" si="67"/>
        <v>1.105583195135434E-4</v>
      </c>
      <c r="K1114" s="5">
        <f t="shared" si="68"/>
        <v>0.12294085129905725</v>
      </c>
    </row>
    <row r="1115" spans="1:11" x14ac:dyDescent="0.25">
      <c r="A1115" t="s">
        <v>5301</v>
      </c>
      <c r="C1115" t="s">
        <v>5302</v>
      </c>
      <c r="D1115" t="s">
        <v>5303</v>
      </c>
      <c r="E1115" t="s">
        <v>6</v>
      </c>
      <c r="F1115" t="s">
        <v>28</v>
      </c>
      <c r="G1115">
        <v>14</v>
      </c>
      <c r="H1115" s="2">
        <f>Tabelle13[[#This Row],[commits]]/Tabelle13[[#Totals],[commits]]</f>
        <v>6.5069066165944709E-5</v>
      </c>
      <c r="I1115" s="5">
        <f>Tabelle13[[#This Row],[%]]+I1114</f>
        <v>0.9189750692520805</v>
      </c>
      <c r="J1115" s="4">
        <f t="shared" si="67"/>
        <v>1.105583195135434E-4</v>
      </c>
      <c r="K1115" s="5">
        <f t="shared" si="68"/>
        <v>0.12305140961857079</v>
      </c>
    </row>
    <row r="1116" spans="1:11" x14ac:dyDescent="0.25">
      <c r="A1116" t="s">
        <v>5304</v>
      </c>
      <c r="C1116" t="s">
        <v>5305</v>
      </c>
      <c r="D1116" t="s">
        <v>5</v>
      </c>
      <c r="E1116" t="s">
        <v>6</v>
      </c>
      <c r="F1116" t="s">
        <v>28</v>
      </c>
      <c r="G1116">
        <v>14</v>
      </c>
      <c r="H1116" s="2">
        <f>Tabelle13[[#This Row],[commits]]/Tabelle13[[#Totals],[commits]]</f>
        <v>6.5069066165944709E-5</v>
      </c>
      <c r="I1116" s="5">
        <f>Tabelle13[[#This Row],[%]]+I1115</f>
        <v>0.91904013831824649</v>
      </c>
      <c r="J1116" s="4">
        <f t="shared" si="67"/>
        <v>1.105583195135434E-4</v>
      </c>
      <c r="K1116" s="5">
        <f t="shared" si="68"/>
        <v>0.12316196793808433</v>
      </c>
    </row>
    <row r="1117" spans="1:11" x14ac:dyDescent="0.25">
      <c r="A1117" t="s">
        <v>5306</v>
      </c>
      <c r="C1117" t="s">
        <v>5307</v>
      </c>
      <c r="D1117" t="s">
        <v>5175</v>
      </c>
      <c r="E1117" t="s">
        <v>6</v>
      </c>
      <c r="F1117" t="s">
        <v>28</v>
      </c>
      <c r="G1117">
        <v>14</v>
      </c>
      <c r="H1117" s="2">
        <f>Tabelle13[[#This Row],[commits]]/Tabelle13[[#Totals],[commits]]</f>
        <v>6.5069066165944709E-5</v>
      </c>
      <c r="I1117" s="5">
        <f>Tabelle13[[#This Row],[%]]+I1116</f>
        <v>0.91910520738441248</v>
      </c>
      <c r="J1117" s="4">
        <f t="shared" si="67"/>
        <v>1.105583195135434E-4</v>
      </c>
      <c r="K1117" s="5">
        <f t="shared" si="68"/>
        <v>0.12327252625759787</v>
      </c>
    </row>
    <row r="1118" spans="1:11" x14ac:dyDescent="0.25">
      <c r="A1118" t="s">
        <v>5308</v>
      </c>
      <c r="C1118" t="s">
        <v>5309</v>
      </c>
      <c r="D1118" t="s">
        <v>5175</v>
      </c>
      <c r="E1118" t="s">
        <v>6</v>
      </c>
      <c r="F1118" t="s">
        <v>28</v>
      </c>
      <c r="G1118">
        <v>14</v>
      </c>
      <c r="H1118" s="2">
        <f>Tabelle13[[#This Row],[commits]]/Tabelle13[[#Totals],[commits]]</f>
        <v>6.5069066165944709E-5</v>
      </c>
      <c r="I1118" s="5">
        <f>Tabelle13[[#This Row],[%]]+I1117</f>
        <v>0.91917027645057847</v>
      </c>
      <c r="J1118" s="4">
        <f t="shared" si="67"/>
        <v>1.105583195135434E-4</v>
      </c>
      <c r="K1118" s="5">
        <f t="shared" si="68"/>
        <v>0.1233830845771114</v>
      </c>
    </row>
    <row r="1119" spans="1:11" x14ac:dyDescent="0.25">
      <c r="A1119" t="s">
        <v>5310</v>
      </c>
      <c r="C1119" t="s">
        <v>5311</v>
      </c>
      <c r="D1119" t="s">
        <v>5</v>
      </c>
      <c r="E1119" t="s">
        <v>6</v>
      </c>
      <c r="F1119" t="s">
        <v>28</v>
      </c>
      <c r="G1119">
        <v>14</v>
      </c>
      <c r="H1119" s="2">
        <f>Tabelle13[[#This Row],[commits]]/Tabelle13[[#Totals],[commits]]</f>
        <v>6.5069066165944709E-5</v>
      </c>
      <c r="I1119" s="5">
        <f>Tabelle13[[#This Row],[%]]+I1118</f>
        <v>0.91923534551674446</v>
      </c>
      <c r="J1119" s="4">
        <f t="shared" si="67"/>
        <v>1.105583195135434E-4</v>
      </c>
      <c r="K1119" s="5">
        <f t="shared" si="68"/>
        <v>0.12349364289662494</v>
      </c>
    </row>
    <row r="1120" spans="1:11" x14ac:dyDescent="0.25">
      <c r="A1120" t="s">
        <v>10248</v>
      </c>
      <c r="C1120" t="s">
        <v>10249</v>
      </c>
      <c r="D1120" t="s">
        <v>309</v>
      </c>
      <c r="E1120" t="s">
        <v>6</v>
      </c>
      <c r="F1120" t="s">
        <v>251</v>
      </c>
      <c r="G1120">
        <v>14</v>
      </c>
      <c r="H1120" s="2">
        <f>Tabelle13[[#This Row],[commits]]/Tabelle13[[#Totals],[commits]]</f>
        <v>6.5069066165944709E-5</v>
      </c>
      <c r="I1120" s="5">
        <f>Tabelle13[[#This Row],[%]]+I1119</f>
        <v>0.91930041458291045</v>
      </c>
      <c r="J1120" s="4">
        <f t="shared" si="67"/>
        <v>1.105583195135434E-4</v>
      </c>
      <c r="K1120" s="5">
        <f t="shared" si="68"/>
        <v>0.12360420121613848</v>
      </c>
    </row>
    <row r="1121" spans="1:11" x14ac:dyDescent="0.25">
      <c r="A1121" t="s">
        <v>10250</v>
      </c>
      <c r="C1121" t="s">
        <v>10251</v>
      </c>
      <c r="D1121" t="s">
        <v>309</v>
      </c>
      <c r="E1121" t="s">
        <v>6</v>
      </c>
      <c r="F1121" t="s">
        <v>251</v>
      </c>
      <c r="G1121">
        <v>14</v>
      </c>
      <c r="H1121" s="2">
        <f>Tabelle13[[#This Row],[commits]]/Tabelle13[[#Totals],[commits]]</f>
        <v>6.5069066165944709E-5</v>
      </c>
      <c r="I1121" s="5">
        <f>Tabelle13[[#This Row],[%]]+I1120</f>
        <v>0.91936548364907644</v>
      </c>
      <c r="J1121" s="4">
        <f t="shared" si="67"/>
        <v>1.105583195135434E-4</v>
      </c>
      <c r="K1121" s="5">
        <f t="shared" si="68"/>
        <v>0.12371475953565202</v>
      </c>
    </row>
    <row r="1122" spans="1:11" x14ac:dyDescent="0.25">
      <c r="A1122" t="s">
        <v>10252</v>
      </c>
      <c r="C1122" t="s">
        <v>10253</v>
      </c>
      <c r="D1122" t="s">
        <v>309</v>
      </c>
      <c r="E1122" t="s">
        <v>6</v>
      </c>
      <c r="F1122" t="s">
        <v>251</v>
      </c>
      <c r="G1122">
        <v>14</v>
      </c>
      <c r="H1122" s="2">
        <f>Tabelle13[[#This Row],[commits]]/Tabelle13[[#Totals],[commits]]</f>
        <v>6.5069066165944709E-5</v>
      </c>
      <c r="I1122" s="5">
        <f>Tabelle13[[#This Row],[%]]+I1121</f>
        <v>0.91943055271524243</v>
      </c>
      <c r="J1122" s="4">
        <f t="shared" si="67"/>
        <v>1.105583195135434E-4</v>
      </c>
      <c r="K1122" s="5">
        <f t="shared" si="68"/>
        <v>0.12382531785516555</v>
      </c>
    </row>
    <row r="1123" spans="1:11" x14ac:dyDescent="0.25">
      <c r="A1123" t="s">
        <v>10254</v>
      </c>
      <c r="C1123" t="s">
        <v>10255</v>
      </c>
      <c r="D1123" t="s">
        <v>309</v>
      </c>
      <c r="E1123" t="s">
        <v>6</v>
      </c>
      <c r="F1123" t="s">
        <v>251</v>
      </c>
      <c r="G1123">
        <v>14</v>
      </c>
      <c r="H1123" s="2">
        <f>Tabelle13[[#This Row],[commits]]/Tabelle13[[#Totals],[commits]]</f>
        <v>6.5069066165944709E-5</v>
      </c>
      <c r="I1123" s="5">
        <f>Tabelle13[[#This Row],[%]]+I1122</f>
        <v>0.91949562178140842</v>
      </c>
      <c r="J1123" s="4">
        <f t="shared" si="67"/>
        <v>1.105583195135434E-4</v>
      </c>
      <c r="K1123" s="5">
        <f t="shared" si="68"/>
        <v>0.12393587617467909</v>
      </c>
    </row>
    <row r="1124" spans="1:11" x14ac:dyDescent="0.25">
      <c r="A1124" t="s">
        <v>10256</v>
      </c>
      <c r="C1124" t="s">
        <v>10257</v>
      </c>
      <c r="D1124" t="s">
        <v>309</v>
      </c>
      <c r="E1124" t="s">
        <v>6</v>
      </c>
      <c r="F1124" t="s">
        <v>251</v>
      </c>
      <c r="G1124">
        <v>14</v>
      </c>
      <c r="H1124" s="2">
        <f>Tabelle13[[#This Row],[commits]]/Tabelle13[[#Totals],[commits]]</f>
        <v>6.5069066165944709E-5</v>
      </c>
      <c r="I1124" s="5">
        <f>Tabelle13[[#This Row],[%]]+I1123</f>
        <v>0.91956069084757441</v>
      </c>
      <c r="J1124" s="4">
        <f t="shared" si="67"/>
        <v>1.105583195135434E-4</v>
      </c>
      <c r="K1124" s="5">
        <f t="shared" si="68"/>
        <v>0.12404643449419263</v>
      </c>
    </row>
    <row r="1125" spans="1:11" x14ac:dyDescent="0.25">
      <c r="A1125" t="s">
        <v>10258</v>
      </c>
      <c r="C1125" t="s">
        <v>10259</v>
      </c>
      <c r="D1125" t="s">
        <v>309</v>
      </c>
      <c r="E1125" t="s">
        <v>6</v>
      </c>
      <c r="F1125" t="s">
        <v>251</v>
      </c>
      <c r="G1125">
        <v>14</v>
      </c>
      <c r="H1125" s="2">
        <f>Tabelle13[[#This Row],[commits]]/Tabelle13[[#Totals],[commits]]</f>
        <v>6.5069066165944709E-5</v>
      </c>
      <c r="I1125" s="5">
        <f>Tabelle13[[#This Row],[%]]+I1124</f>
        <v>0.9196257599137404</v>
      </c>
      <c r="J1125" s="4">
        <f t="shared" si="67"/>
        <v>1.105583195135434E-4</v>
      </c>
      <c r="K1125" s="5">
        <f t="shared" si="68"/>
        <v>0.12415699281370617</v>
      </c>
    </row>
    <row r="1126" spans="1:11" x14ac:dyDescent="0.25">
      <c r="A1126" t="s">
        <v>10260</v>
      </c>
      <c r="C1126" t="s">
        <v>10261</v>
      </c>
      <c r="D1126" t="s">
        <v>10262</v>
      </c>
      <c r="E1126" t="s">
        <v>6</v>
      </c>
      <c r="F1126" t="s">
        <v>251</v>
      </c>
      <c r="G1126">
        <v>14</v>
      </c>
      <c r="H1126" s="2">
        <f>Tabelle13[[#This Row],[commits]]/Tabelle13[[#Totals],[commits]]</f>
        <v>6.5069066165944709E-5</v>
      </c>
      <c r="I1126" s="5">
        <f>Tabelle13[[#This Row],[%]]+I1125</f>
        <v>0.91969082897990639</v>
      </c>
      <c r="J1126" s="4">
        <f t="shared" si="67"/>
        <v>1.105583195135434E-4</v>
      </c>
      <c r="K1126" s="5">
        <f t="shared" si="68"/>
        <v>0.1242675511332197</v>
      </c>
    </row>
    <row r="1127" spans="1:11" x14ac:dyDescent="0.25">
      <c r="A1127" t="s">
        <v>10263</v>
      </c>
      <c r="C1127" t="s">
        <v>10264</v>
      </c>
      <c r="D1127" t="s">
        <v>309</v>
      </c>
      <c r="E1127" t="s">
        <v>6</v>
      </c>
      <c r="F1127" t="s">
        <v>251</v>
      </c>
      <c r="G1127">
        <v>14</v>
      </c>
      <c r="H1127" s="2">
        <f>Tabelle13[[#This Row],[commits]]/Tabelle13[[#Totals],[commits]]</f>
        <v>6.5069066165944709E-5</v>
      </c>
      <c r="I1127" s="5">
        <f>Tabelle13[[#This Row],[%]]+I1126</f>
        <v>0.91975589804607238</v>
      </c>
      <c r="J1127" s="4">
        <f t="shared" si="67"/>
        <v>1.105583195135434E-4</v>
      </c>
      <c r="K1127" s="5">
        <f t="shared" si="68"/>
        <v>0.12437810945273324</v>
      </c>
    </row>
    <row r="1128" spans="1:11" x14ac:dyDescent="0.25">
      <c r="A1128" t="s">
        <v>10265</v>
      </c>
      <c r="C1128" t="s">
        <v>10266</v>
      </c>
      <c r="D1128" t="s">
        <v>5</v>
      </c>
      <c r="E1128" t="s">
        <v>6</v>
      </c>
      <c r="F1128" t="s">
        <v>251</v>
      </c>
      <c r="G1128">
        <v>14</v>
      </c>
      <c r="H1128" s="2">
        <f>Tabelle13[[#This Row],[commits]]/Tabelle13[[#Totals],[commits]]</f>
        <v>6.5069066165944709E-5</v>
      </c>
      <c r="I1128" s="5">
        <f>Tabelle13[[#This Row],[%]]+I1127</f>
        <v>0.91982096711223837</v>
      </c>
      <c r="J1128" s="4">
        <f t="shared" si="67"/>
        <v>1.105583195135434E-4</v>
      </c>
      <c r="K1128" s="5">
        <f t="shared" si="68"/>
        <v>0.12448866777224678</v>
      </c>
    </row>
    <row r="1129" spans="1:11" x14ac:dyDescent="0.25">
      <c r="A1129" t="s">
        <v>10267</v>
      </c>
      <c r="C1129" t="s">
        <v>10268</v>
      </c>
      <c r="D1129" t="s">
        <v>309</v>
      </c>
      <c r="E1129" t="s">
        <v>6</v>
      </c>
      <c r="F1129" t="s">
        <v>251</v>
      </c>
      <c r="G1129">
        <v>14</v>
      </c>
      <c r="H1129" s="2">
        <f>Tabelle13[[#This Row],[commits]]/Tabelle13[[#Totals],[commits]]</f>
        <v>6.5069066165944709E-5</v>
      </c>
      <c r="I1129" s="5">
        <f>Tabelle13[[#This Row],[%]]+I1128</f>
        <v>0.91988603617840436</v>
      </c>
      <c r="J1129" s="4">
        <f t="shared" si="67"/>
        <v>1.105583195135434E-4</v>
      </c>
      <c r="K1129" s="5">
        <f t="shared" si="68"/>
        <v>0.12459922609176032</v>
      </c>
    </row>
    <row r="1130" spans="1:11" x14ac:dyDescent="0.25">
      <c r="A1130" t="s">
        <v>10269</v>
      </c>
      <c r="C1130" t="s">
        <v>10270</v>
      </c>
      <c r="D1130" t="s">
        <v>9633</v>
      </c>
      <c r="E1130" t="s">
        <v>6</v>
      </c>
      <c r="F1130" t="s">
        <v>251</v>
      </c>
      <c r="G1130">
        <v>14</v>
      </c>
      <c r="H1130" s="2">
        <f>Tabelle13[[#This Row],[commits]]/Tabelle13[[#Totals],[commits]]</f>
        <v>6.5069066165944709E-5</v>
      </c>
      <c r="I1130" s="5">
        <f>Tabelle13[[#This Row],[%]]+I1129</f>
        <v>0.91995110524457036</v>
      </c>
      <c r="J1130" s="4">
        <f t="shared" si="67"/>
        <v>1.105583195135434E-4</v>
      </c>
      <c r="K1130" s="5">
        <f t="shared" si="68"/>
        <v>0.12470978441127385</v>
      </c>
    </row>
    <row r="1131" spans="1:11" x14ac:dyDescent="0.25">
      <c r="A1131" t="s">
        <v>10271</v>
      </c>
      <c r="C1131" t="s">
        <v>10272</v>
      </c>
      <c r="D1131" t="s">
        <v>8948</v>
      </c>
      <c r="E1131" t="s">
        <v>6</v>
      </c>
      <c r="F1131" t="s">
        <v>251</v>
      </c>
      <c r="G1131">
        <v>14</v>
      </c>
      <c r="H1131" s="2">
        <f>Tabelle13[[#This Row],[commits]]/Tabelle13[[#Totals],[commits]]</f>
        <v>6.5069066165944709E-5</v>
      </c>
      <c r="I1131" s="5">
        <f>Tabelle13[[#This Row],[%]]+I1130</f>
        <v>0.92001617431073635</v>
      </c>
      <c r="J1131" s="4">
        <f t="shared" si="67"/>
        <v>1.105583195135434E-4</v>
      </c>
      <c r="K1131" s="5">
        <f t="shared" si="68"/>
        <v>0.12482034273078739</v>
      </c>
    </row>
    <row r="1132" spans="1:11" x14ac:dyDescent="0.25">
      <c r="A1132" t="s">
        <v>10273</v>
      </c>
      <c r="C1132" t="s">
        <v>10274</v>
      </c>
      <c r="D1132" t="s">
        <v>5</v>
      </c>
      <c r="E1132" t="s">
        <v>6</v>
      </c>
      <c r="F1132" t="s">
        <v>251</v>
      </c>
      <c r="G1132">
        <v>14</v>
      </c>
      <c r="H1132" s="2">
        <f>Tabelle13[[#This Row],[commits]]/Tabelle13[[#Totals],[commits]]</f>
        <v>6.5069066165944709E-5</v>
      </c>
      <c r="I1132" s="5">
        <f>Tabelle13[[#This Row],[%]]+I1131</f>
        <v>0.92008124337690234</v>
      </c>
      <c r="J1132" s="4">
        <f t="shared" si="67"/>
        <v>1.105583195135434E-4</v>
      </c>
      <c r="K1132" s="5">
        <f t="shared" si="68"/>
        <v>0.12493090105030093</v>
      </c>
    </row>
    <row r="1133" spans="1:11" x14ac:dyDescent="0.25">
      <c r="A1133" t="s">
        <v>10275</v>
      </c>
      <c r="C1133" t="s">
        <v>10276</v>
      </c>
      <c r="D1133" t="s">
        <v>5</v>
      </c>
      <c r="E1133" t="s">
        <v>6</v>
      </c>
      <c r="F1133" t="s">
        <v>251</v>
      </c>
      <c r="G1133">
        <v>14</v>
      </c>
      <c r="H1133" s="2">
        <f>Tabelle13[[#This Row],[commits]]/Tabelle13[[#Totals],[commits]]</f>
        <v>6.5069066165944709E-5</v>
      </c>
      <c r="I1133" s="5">
        <f>Tabelle13[[#This Row],[%]]+I1132</f>
        <v>0.92014631244306833</v>
      </c>
      <c r="J1133" s="4">
        <f t="shared" si="67"/>
        <v>1.105583195135434E-4</v>
      </c>
      <c r="K1133" s="5">
        <f t="shared" si="68"/>
        <v>0.12504145936981448</v>
      </c>
    </row>
    <row r="1134" spans="1:11" x14ac:dyDescent="0.25">
      <c r="A1134" t="s">
        <v>10277</v>
      </c>
      <c r="C1134" t="s">
        <v>10278</v>
      </c>
      <c r="D1134" t="s">
        <v>9636</v>
      </c>
      <c r="E1134" t="s">
        <v>6</v>
      </c>
      <c r="F1134" t="s">
        <v>251</v>
      </c>
      <c r="G1134">
        <v>14</v>
      </c>
      <c r="H1134" s="2">
        <f>Tabelle13[[#This Row],[commits]]/Tabelle13[[#Totals],[commits]]</f>
        <v>6.5069066165944709E-5</v>
      </c>
      <c r="I1134" s="5">
        <f>Tabelle13[[#This Row],[%]]+I1133</f>
        <v>0.92021138150923432</v>
      </c>
      <c r="J1134" s="4">
        <f t="shared" si="67"/>
        <v>1.105583195135434E-4</v>
      </c>
      <c r="K1134" s="5">
        <f t="shared" si="68"/>
        <v>0.12515201768932802</v>
      </c>
    </row>
    <row r="1135" spans="1:11" x14ac:dyDescent="0.25">
      <c r="A1135" t="s">
        <v>10279</v>
      </c>
      <c r="C1135" t="s">
        <v>10280</v>
      </c>
      <c r="D1135" t="s">
        <v>5</v>
      </c>
      <c r="E1135" t="s">
        <v>6</v>
      </c>
      <c r="F1135" t="s">
        <v>251</v>
      </c>
      <c r="G1135">
        <v>14</v>
      </c>
      <c r="H1135" s="2">
        <f>Tabelle13[[#This Row],[commits]]/Tabelle13[[#Totals],[commits]]</f>
        <v>6.5069066165944709E-5</v>
      </c>
      <c r="I1135" s="5">
        <f>Tabelle13[[#This Row],[%]]+I1134</f>
        <v>0.92027645057540031</v>
      </c>
      <c r="J1135" s="4">
        <f t="shared" si="67"/>
        <v>1.105583195135434E-4</v>
      </c>
      <c r="K1135" s="5">
        <f t="shared" si="68"/>
        <v>0.12526257600884155</v>
      </c>
    </row>
    <row r="1136" spans="1:11" x14ac:dyDescent="0.25">
      <c r="A1136" t="s">
        <v>10281</v>
      </c>
      <c r="C1136" t="s">
        <v>10282</v>
      </c>
      <c r="D1136" t="s">
        <v>5</v>
      </c>
      <c r="E1136" t="s">
        <v>6</v>
      </c>
      <c r="F1136" t="s">
        <v>251</v>
      </c>
      <c r="G1136">
        <v>14</v>
      </c>
      <c r="H1136" s="2">
        <f>Tabelle13[[#This Row],[commits]]/Tabelle13[[#Totals],[commits]]</f>
        <v>6.5069066165944709E-5</v>
      </c>
      <c r="I1136" s="5">
        <f>Tabelle13[[#This Row],[%]]+I1135</f>
        <v>0.9203415196415663</v>
      </c>
      <c r="J1136" s="4">
        <f t="shared" si="67"/>
        <v>1.105583195135434E-4</v>
      </c>
      <c r="K1136" s="5">
        <f t="shared" si="68"/>
        <v>0.12537313432835509</v>
      </c>
    </row>
    <row r="1137" spans="1:11" x14ac:dyDescent="0.25">
      <c r="A1137" t="s">
        <v>10283</v>
      </c>
      <c r="C1137" t="s">
        <v>10284</v>
      </c>
      <c r="D1137" t="s">
        <v>5</v>
      </c>
      <c r="E1137" t="s">
        <v>6</v>
      </c>
      <c r="F1137" t="s">
        <v>251</v>
      </c>
      <c r="G1137">
        <v>14</v>
      </c>
      <c r="H1137" s="2">
        <f>Tabelle13[[#This Row],[commits]]/Tabelle13[[#Totals],[commits]]</f>
        <v>6.5069066165944709E-5</v>
      </c>
      <c r="I1137" s="5">
        <f>Tabelle13[[#This Row],[%]]+I1136</f>
        <v>0.92040658870773229</v>
      </c>
      <c r="J1137" s="4">
        <f t="shared" si="67"/>
        <v>1.105583195135434E-4</v>
      </c>
      <c r="K1137" s="5">
        <f t="shared" si="68"/>
        <v>0.12548369264786863</v>
      </c>
    </row>
    <row r="1138" spans="1:11" x14ac:dyDescent="0.25">
      <c r="A1138" t="s">
        <v>10285</v>
      </c>
      <c r="C1138" t="s">
        <v>10286</v>
      </c>
      <c r="D1138" t="s">
        <v>5</v>
      </c>
      <c r="E1138" t="s">
        <v>6</v>
      </c>
      <c r="F1138" t="s">
        <v>251</v>
      </c>
      <c r="G1138">
        <v>14</v>
      </c>
      <c r="H1138" s="2">
        <f>Tabelle13[[#This Row],[commits]]/Tabelle13[[#Totals],[commits]]</f>
        <v>6.5069066165944709E-5</v>
      </c>
      <c r="I1138" s="5">
        <f>Tabelle13[[#This Row],[%]]+I1137</f>
        <v>0.92047165777389828</v>
      </c>
      <c r="J1138" s="4">
        <f t="shared" si="67"/>
        <v>1.105583195135434E-4</v>
      </c>
      <c r="K1138" s="5">
        <f t="shared" si="68"/>
        <v>0.12559425096738216</v>
      </c>
    </row>
    <row r="1139" spans="1:11" x14ac:dyDescent="0.25">
      <c r="A1139" t="s">
        <v>10287</v>
      </c>
      <c r="C1139" t="s">
        <v>10288</v>
      </c>
      <c r="D1139" t="s">
        <v>309</v>
      </c>
      <c r="E1139" t="s">
        <v>6</v>
      </c>
      <c r="F1139" t="s">
        <v>251</v>
      </c>
      <c r="G1139">
        <v>14</v>
      </c>
      <c r="H1139" s="2">
        <f>Tabelle13[[#This Row],[commits]]/Tabelle13[[#Totals],[commits]]</f>
        <v>6.5069066165944709E-5</v>
      </c>
      <c r="I1139" s="5">
        <f>Tabelle13[[#This Row],[%]]+I1138</f>
        <v>0.92053672684006427</v>
      </c>
      <c r="J1139" s="4">
        <f t="shared" si="67"/>
        <v>1.105583195135434E-4</v>
      </c>
      <c r="K1139" s="5">
        <f t="shared" si="68"/>
        <v>0.1257048092868957</v>
      </c>
    </row>
    <row r="1140" spans="1:11" x14ac:dyDescent="0.25">
      <c r="A1140" t="s">
        <v>10289</v>
      </c>
      <c r="C1140" t="s">
        <v>10290</v>
      </c>
      <c r="D1140" t="s">
        <v>10291</v>
      </c>
      <c r="E1140" t="s">
        <v>6</v>
      </c>
      <c r="F1140" t="s">
        <v>251</v>
      </c>
      <c r="G1140">
        <v>14</v>
      </c>
      <c r="H1140" s="2">
        <f>Tabelle13[[#This Row],[commits]]/Tabelle13[[#Totals],[commits]]</f>
        <v>6.5069066165944709E-5</v>
      </c>
      <c r="I1140" s="5">
        <f>Tabelle13[[#This Row],[%]]+I1139</f>
        <v>0.92060179590623026</v>
      </c>
      <c r="J1140" s="4">
        <f t="shared" si="67"/>
        <v>1.105583195135434E-4</v>
      </c>
      <c r="K1140" s="5">
        <f t="shared" si="68"/>
        <v>0.12581536760640924</v>
      </c>
    </row>
    <row r="1141" spans="1:11" x14ac:dyDescent="0.25">
      <c r="A1141" t="s">
        <v>10292</v>
      </c>
      <c r="C1141" t="s">
        <v>10293</v>
      </c>
      <c r="D1141" t="s">
        <v>309</v>
      </c>
      <c r="E1141" t="s">
        <v>6</v>
      </c>
      <c r="F1141" t="s">
        <v>251</v>
      </c>
      <c r="G1141">
        <v>14</v>
      </c>
      <c r="H1141" s="2">
        <f>Tabelle13[[#This Row],[commits]]/Tabelle13[[#Totals],[commits]]</f>
        <v>6.5069066165944709E-5</v>
      </c>
      <c r="I1141" s="5">
        <f>Tabelle13[[#This Row],[%]]+I1140</f>
        <v>0.92066686497239625</v>
      </c>
      <c r="J1141" s="4">
        <f t="shared" si="67"/>
        <v>1.105583195135434E-4</v>
      </c>
      <c r="K1141" s="5">
        <f t="shared" si="68"/>
        <v>0.12592592592592278</v>
      </c>
    </row>
    <row r="1142" spans="1:11" x14ac:dyDescent="0.25">
      <c r="A1142" t="s">
        <v>10294</v>
      </c>
      <c r="C1142" t="s">
        <v>10295</v>
      </c>
      <c r="D1142" t="s">
        <v>5</v>
      </c>
      <c r="E1142" t="s">
        <v>6</v>
      </c>
      <c r="F1142" t="s">
        <v>251</v>
      </c>
      <c r="G1142">
        <v>14</v>
      </c>
      <c r="H1142" s="2">
        <f>Tabelle13[[#This Row],[commits]]/Tabelle13[[#Totals],[commits]]</f>
        <v>6.5069066165944709E-5</v>
      </c>
      <c r="I1142" s="5">
        <f>Tabelle13[[#This Row],[%]]+I1141</f>
        <v>0.92073193403856224</v>
      </c>
      <c r="J1142" s="4">
        <f t="shared" si="67"/>
        <v>1.105583195135434E-4</v>
      </c>
      <c r="K1142" s="5">
        <f t="shared" si="68"/>
        <v>0.12603648424543631</v>
      </c>
    </row>
    <row r="1143" spans="1:11" x14ac:dyDescent="0.25">
      <c r="A1143" t="s">
        <v>10296</v>
      </c>
      <c r="C1143" t="s">
        <v>10297</v>
      </c>
      <c r="D1143" t="s">
        <v>5</v>
      </c>
      <c r="E1143" t="s">
        <v>6</v>
      </c>
      <c r="F1143" t="s">
        <v>251</v>
      </c>
      <c r="G1143">
        <v>14</v>
      </c>
      <c r="H1143" s="2">
        <f>Tabelle13[[#This Row],[commits]]/Tabelle13[[#Totals],[commits]]</f>
        <v>6.5069066165944709E-5</v>
      </c>
      <c r="I1143" s="5">
        <f>Tabelle13[[#This Row],[%]]+I1142</f>
        <v>0.92079700310472823</v>
      </c>
      <c r="J1143" s="4">
        <f t="shared" si="67"/>
        <v>1.105583195135434E-4</v>
      </c>
      <c r="K1143" s="5">
        <f t="shared" si="68"/>
        <v>0.12614704256494985</v>
      </c>
    </row>
    <row r="1144" spans="1:11" x14ac:dyDescent="0.25">
      <c r="A1144" t="s">
        <v>10298</v>
      </c>
      <c r="C1144" t="s">
        <v>10299</v>
      </c>
      <c r="D1144" t="s">
        <v>5</v>
      </c>
      <c r="E1144" t="s">
        <v>6</v>
      </c>
      <c r="F1144" t="s">
        <v>251</v>
      </c>
      <c r="G1144">
        <v>14</v>
      </c>
      <c r="H1144" s="2">
        <f>Tabelle13[[#This Row],[commits]]/Tabelle13[[#Totals],[commits]]</f>
        <v>6.5069066165944709E-5</v>
      </c>
      <c r="I1144" s="5">
        <f>Tabelle13[[#This Row],[%]]+I1143</f>
        <v>0.92086207217089422</v>
      </c>
      <c r="J1144" s="4">
        <f t="shared" si="67"/>
        <v>1.105583195135434E-4</v>
      </c>
      <c r="K1144" s="5">
        <f t="shared" si="68"/>
        <v>0.12625760088446339</v>
      </c>
    </row>
    <row r="1145" spans="1:11" x14ac:dyDescent="0.25">
      <c r="A1145" t="s">
        <v>10300</v>
      </c>
      <c r="C1145" t="s">
        <v>10301</v>
      </c>
      <c r="D1145" t="s">
        <v>9062</v>
      </c>
      <c r="E1145" t="s">
        <v>6</v>
      </c>
      <c r="F1145" t="s">
        <v>251</v>
      </c>
      <c r="G1145">
        <v>14</v>
      </c>
      <c r="H1145" s="2">
        <f>Tabelle13[[#This Row],[commits]]/Tabelle13[[#Totals],[commits]]</f>
        <v>6.5069066165944709E-5</v>
      </c>
      <c r="I1145" s="5">
        <f>Tabelle13[[#This Row],[%]]+I1144</f>
        <v>0.92092714123706021</v>
      </c>
      <c r="J1145" s="4">
        <f t="shared" si="67"/>
        <v>1.105583195135434E-4</v>
      </c>
      <c r="K1145" s="5">
        <f t="shared" si="68"/>
        <v>0.12636815920397693</v>
      </c>
    </row>
    <row r="1146" spans="1:11" x14ac:dyDescent="0.25">
      <c r="A1146" t="s">
        <v>10302</v>
      </c>
      <c r="C1146" t="s">
        <v>10303</v>
      </c>
      <c r="D1146" t="s">
        <v>2659</v>
      </c>
      <c r="E1146" t="s">
        <v>6</v>
      </c>
      <c r="F1146" t="s">
        <v>251</v>
      </c>
      <c r="G1146">
        <v>14</v>
      </c>
      <c r="H1146" s="2">
        <f>Tabelle13[[#This Row],[commits]]/Tabelle13[[#Totals],[commits]]</f>
        <v>6.5069066165944709E-5</v>
      </c>
      <c r="I1146" s="5">
        <f>Tabelle13[[#This Row],[%]]+I1145</f>
        <v>0.9209922103032262</v>
      </c>
      <c r="J1146" s="4">
        <f t="shared" si="67"/>
        <v>1.105583195135434E-4</v>
      </c>
      <c r="K1146" s="5">
        <f t="shared" si="68"/>
        <v>0.12647871752349046</v>
      </c>
    </row>
    <row r="1147" spans="1:11" x14ac:dyDescent="0.25">
      <c r="A1147" t="s">
        <v>107</v>
      </c>
      <c r="C1147" t="s">
        <v>108</v>
      </c>
      <c r="D1147" t="s">
        <v>5</v>
      </c>
      <c r="E1147" t="s">
        <v>6</v>
      </c>
      <c r="F1147" t="s">
        <v>7</v>
      </c>
      <c r="G1147">
        <v>13</v>
      </c>
      <c r="H1147" s="2">
        <f>Tabelle13[[#This Row],[commits]]/Tabelle13[[#Totals],[commits]]</f>
        <v>6.042127572552009E-5</v>
      </c>
      <c r="I1147" s="5">
        <f>Tabelle13[[#This Row],[%]]+I1146</f>
        <v>0.92105263157895167</v>
      </c>
      <c r="J1147" s="4">
        <f t="shared" si="67"/>
        <v>1.105583195135434E-4</v>
      </c>
      <c r="K1147" s="5">
        <f t="shared" si="68"/>
        <v>0.126589275843004</v>
      </c>
    </row>
    <row r="1148" spans="1:11" x14ac:dyDescent="0.25">
      <c r="A1148" t="s">
        <v>2598</v>
      </c>
      <c r="C1148" t="s">
        <v>2599</v>
      </c>
      <c r="D1148" t="s">
        <v>5</v>
      </c>
      <c r="E1148" t="s">
        <v>6</v>
      </c>
      <c r="F1148" t="s">
        <v>724</v>
      </c>
      <c r="G1148">
        <v>13</v>
      </c>
      <c r="H1148" s="2">
        <f>Tabelle13[[#This Row],[commits]]/Tabelle13[[#Totals],[commits]]</f>
        <v>6.042127572552009E-5</v>
      </c>
      <c r="I1148" s="5">
        <f>Tabelle13[[#This Row],[%]]+I1147</f>
        <v>0.92111305285467715</v>
      </c>
      <c r="J1148" s="4">
        <f t="shared" si="67"/>
        <v>1.105583195135434E-4</v>
      </c>
      <c r="K1148" s="5">
        <f t="shared" si="68"/>
        <v>0.12669983416251754</v>
      </c>
    </row>
    <row r="1149" spans="1:11" x14ac:dyDescent="0.25">
      <c r="A1149" t="s">
        <v>2600</v>
      </c>
      <c r="C1149" t="s">
        <v>2601</v>
      </c>
      <c r="D1149" t="s">
        <v>309</v>
      </c>
      <c r="E1149" t="s">
        <v>6</v>
      </c>
      <c r="F1149" t="s">
        <v>724</v>
      </c>
      <c r="G1149">
        <v>13</v>
      </c>
      <c r="H1149" s="2">
        <f>Tabelle13[[#This Row],[commits]]/Tabelle13[[#Totals],[commits]]</f>
        <v>6.042127572552009E-5</v>
      </c>
      <c r="I1149" s="5">
        <f>Tabelle13[[#This Row],[%]]+I1148</f>
        <v>0.92117347413040263</v>
      </c>
      <c r="J1149" s="4">
        <f t="shared" si="67"/>
        <v>1.105583195135434E-4</v>
      </c>
      <c r="K1149" s="5">
        <f t="shared" si="68"/>
        <v>0.12681039248203108</v>
      </c>
    </row>
    <row r="1150" spans="1:11" x14ac:dyDescent="0.25">
      <c r="A1150" t="s">
        <v>2602</v>
      </c>
      <c r="C1150" t="s">
        <v>2603</v>
      </c>
      <c r="D1150" t="s">
        <v>5</v>
      </c>
      <c r="E1150" t="s">
        <v>6</v>
      </c>
      <c r="F1150" t="s">
        <v>724</v>
      </c>
      <c r="G1150">
        <v>13</v>
      </c>
      <c r="H1150" s="2">
        <f>Tabelle13[[#This Row],[commits]]/Tabelle13[[#Totals],[commits]]</f>
        <v>6.042127572552009E-5</v>
      </c>
      <c r="I1150" s="5">
        <f>Tabelle13[[#This Row],[%]]+I1149</f>
        <v>0.9212338954061281</v>
      </c>
      <c r="J1150" s="4">
        <f t="shared" si="67"/>
        <v>1.105583195135434E-4</v>
      </c>
      <c r="K1150" s="5">
        <f t="shared" si="68"/>
        <v>0.12692095080154461</v>
      </c>
    </row>
    <row r="1151" spans="1:11" x14ac:dyDescent="0.25">
      <c r="A1151" t="s">
        <v>2604</v>
      </c>
      <c r="C1151" t="s">
        <v>2605</v>
      </c>
      <c r="D1151" t="s">
        <v>2606</v>
      </c>
      <c r="E1151" t="s">
        <v>6</v>
      </c>
      <c r="F1151" t="s">
        <v>724</v>
      </c>
      <c r="G1151">
        <v>13</v>
      </c>
      <c r="H1151" s="2">
        <f>Tabelle13[[#This Row],[commits]]/Tabelle13[[#Totals],[commits]]</f>
        <v>6.042127572552009E-5</v>
      </c>
      <c r="I1151" s="5">
        <f>Tabelle13[[#This Row],[%]]+I1150</f>
        <v>0.92129431668185358</v>
      </c>
      <c r="J1151" s="4">
        <f t="shared" si="67"/>
        <v>1.105583195135434E-4</v>
      </c>
      <c r="K1151" s="5">
        <f t="shared" si="68"/>
        <v>0.12703150912105815</v>
      </c>
    </row>
    <row r="1152" spans="1:11" x14ac:dyDescent="0.25">
      <c r="A1152" t="s">
        <v>2607</v>
      </c>
      <c r="C1152" t="s">
        <v>2608</v>
      </c>
      <c r="D1152" t="s">
        <v>5</v>
      </c>
      <c r="E1152" t="s">
        <v>6</v>
      </c>
      <c r="F1152" t="s">
        <v>724</v>
      </c>
      <c r="G1152">
        <v>13</v>
      </c>
      <c r="H1152" s="2">
        <f>Tabelle13[[#This Row],[commits]]/Tabelle13[[#Totals],[commits]]</f>
        <v>6.042127572552009E-5</v>
      </c>
      <c r="I1152" s="5">
        <f>Tabelle13[[#This Row],[%]]+I1151</f>
        <v>0.92135473795757905</v>
      </c>
      <c r="J1152" s="4">
        <f t="shared" si="67"/>
        <v>1.105583195135434E-4</v>
      </c>
      <c r="K1152" s="5">
        <f t="shared" si="68"/>
        <v>0.12714206744057169</v>
      </c>
    </row>
    <row r="1153" spans="1:11" x14ac:dyDescent="0.25">
      <c r="A1153" t="s">
        <v>2609</v>
      </c>
      <c r="C1153" t="s">
        <v>2610</v>
      </c>
      <c r="D1153" t="s">
        <v>5</v>
      </c>
      <c r="E1153" t="s">
        <v>6</v>
      </c>
      <c r="F1153" t="s">
        <v>724</v>
      </c>
      <c r="G1153">
        <v>13</v>
      </c>
      <c r="H1153" s="2">
        <f>Tabelle13[[#This Row],[commits]]/Tabelle13[[#Totals],[commits]]</f>
        <v>6.042127572552009E-5</v>
      </c>
      <c r="I1153" s="5">
        <f>Tabelle13[[#This Row],[%]]+I1152</f>
        <v>0.92141515923330453</v>
      </c>
      <c r="J1153" s="4">
        <f t="shared" si="67"/>
        <v>1.105583195135434E-4</v>
      </c>
      <c r="K1153" s="5">
        <f t="shared" si="68"/>
        <v>0.12725262576008523</v>
      </c>
    </row>
    <row r="1154" spans="1:11" x14ac:dyDescent="0.25">
      <c r="A1154" t="s">
        <v>2611</v>
      </c>
      <c r="C1154" t="s">
        <v>2218</v>
      </c>
      <c r="D1154" t="s">
        <v>5</v>
      </c>
      <c r="E1154" t="s">
        <v>6</v>
      </c>
      <c r="F1154" t="s">
        <v>724</v>
      </c>
      <c r="G1154">
        <v>13</v>
      </c>
      <c r="H1154" s="2">
        <f>Tabelle13[[#This Row],[commits]]/Tabelle13[[#Totals],[commits]]</f>
        <v>6.042127572552009E-5</v>
      </c>
      <c r="I1154" s="5">
        <f>Tabelle13[[#This Row],[%]]+I1153</f>
        <v>0.92147558050903</v>
      </c>
      <c r="J1154" s="4">
        <f t="shared" si="67"/>
        <v>1.105583195135434E-4</v>
      </c>
      <c r="K1154" s="5">
        <f t="shared" si="68"/>
        <v>0.12736318407959876</v>
      </c>
    </row>
    <row r="1155" spans="1:11" x14ac:dyDescent="0.25">
      <c r="A1155" t="s">
        <v>5312</v>
      </c>
      <c r="C1155" t="s">
        <v>5313</v>
      </c>
      <c r="D1155" t="s">
        <v>5175</v>
      </c>
      <c r="E1155" t="s">
        <v>6</v>
      </c>
      <c r="F1155" t="s">
        <v>28</v>
      </c>
      <c r="G1155">
        <v>13</v>
      </c>
      <c r="H1155" s="2">
        <f>Tabelle13[[#This Row],[commits]]/Tabelle13[[#Totals],[commits]]</f>
        <v>6.042127572552009E-5</v>
      </c>
      <c r="I1155" s="5">
        <f>Tabelle13[[#This Row],[%]]+I1154</f>
        <v>0.92153600178475548</v>
      </c>
      <c r="J1155" s="4">
        <f t="shared" ref="J1155:J1218" si="69">1/9045</f>
        <v>1.105583195135434E-4</v>
      </c>
      <c r="K1155" s="5">
        <f t="shared" si="68"/>
        <v>0.1274737423991123</v>
      </c>
    </row>
    <row r="1156" spans="1:11" x14ac:dyDescent="0.25">
      <c r="A1156" t="s">
        <v>5314</v>
      </c>
      <c r="C1156" t="s">
        <v>5315</v>
      </c>
      <c r="D1156" t="s">
        <v>5</v>
      </c>
      <c r="E1156" t="s">
        <v>6</v>
      </c>
      <c r="F1156" t="s">
        <v>28</v>
      </c>
      <c r="G1156">
        <v>13</v>
      </c>
      <c r="H1156" s="2">
        <f>Tabelle13[[#This Row],[commits]]/Tabelle13[[#Totals],[commits]]</f>
        <v>6.042127572552009E-5</v>
      </c>
      <c r="I1156" s="5">
        <f>Tabelle13[[#This Row],[%]]+I1155</f>
        <v>0.92159642306048095</v>
      </c>
      <c r="J1156" s="4">
        <f t="shared" si="69"/>
        <v>1.105583195135434E-4</v>
      </c>
      <c r="K1156" s="5">
        <f t="shared" si="68"/>
        <v>0.12758430071862584</v>
      </c>
    </row>
    <row r="1157" spans="1:11" x14ac:dyDescent="0.25">
      <c r="A1157" t="s">
        <v>5316</v>
      </c>
      <c r="C1157" t="s">
        <v>5317</v>
      </c>
      <c r="D1157" t="s">
        <v>5175</v>
      </c>
      <c r="E1157" t="s">
        <v>6</v>
      </c>
      <c r="F1157" t="s">
        <v>28</v>
      </c>
      <c r="G1157">
        <v>13</v>
      </c>
      <c r="H1157" s="2">
        <f>Tabelle13[[#This Row],[commits]]/Tabelle13[[#Totals],[commits]]</f>
        <v>6.042127572552009E-5</v>
      </c>
      <c r="I1157" s="5">
        <f>Tabelle13[[#This Row],[%]]+I1156</f>
        <v>0.92165684433620643</v>
      </c>
      <c r="J1157" s="4">
        <f t="shared" si="69"/>
        <v>1.105583195135434E-4</v>
      </c>
      <c r="K1157" s="5">
        <f t="shared" si="68"/>
        <v>0.12769485903813937</v>
      </c>
    </row>
    <row r="1158" spans="1:11" x14ac:dyDescent="0.25">
      <c r="A1158" t="s">
        <v>5318</v>
      </c>
      <c r="C1158" t="s">
        <v>5254</v>
      </c>
      <c r="D1158" t="s">
        <v>5</v>
      </c>
      <c r="E1158" t="s">
        <v>6</v>
      </c>
      <c r="F1158" t="s">
        <v>28</v>
      </c>
      <c r="G1158">
        <v>13</v>
      </c>
      <c r="H1158" s="2">
        <f>Tabelle13[[#This Row],[commits]]/Tabelle13[[#Totals],[commits]]</f>
        <v>6.042127572552009E-5</v>
      </c>
      <c r="I1158" s="5">
        <f>Tabelle13[[#This Row],[%]]+I1157</f>
        <v>0.9217172656119319</v>
      </c>
      <c r="J1158" s="4">
        <f t="shared" si="69"/>
        <v>1.105583195135434E-4</v>
      </c>
      <c r="K1158" s="5">
        <f t="shared" ref="K1158:K1221" si="70">J1158+K1157</f>
        <v>0.12780541735765291</v>
      </c>
    </row>
    <row r="1159" spans="1:11" x14ac:dyDescent="0.25">
      <c r="A1159" t="s">
        <v>10304</v>
      </c>
      <c r="C1159" t="s">
        <v>10305</v>
      </c>
      <c r="D1159" t="s">
        <v>5</v>
      </c>
      <c r="E1159" t="s">
        <v>6</v>
      </c>
      <c r="F1159" t="s">
        <v>251</v>
      </c>
      <c r="G1159">
        <v>13</v>
      </c>
      <c r="H1159" s="2">
        <f>Tabelle13[[#This Row],[commits]]/Tabelle13[[#Totals],[commits]]</f>
        <v>6.042127572552009E-5</v>
      </c>
      <c r="I1159" s="5">
        <f>Tabelle13[[#This Row],[%]]+I1158</f>
        <v>0.92177768688765738</v>
      </c>
      <c r="J1159" s="4">
        <f t="shared" si="69"/>
        <v>1.105583195135434E-4</v>
      </c>
      <c r="K1159" s="5">
        <f t="shared" si="70"/>
        <v>0.12791597567716645</v>
      </c>
    </row>
    <row r="1160" spans="1:11" x14ac:dyDescent="0.25">
      <c r="A1160" t="s">
        <v>10306</v>
      </c>
      <c r="C1160" t="s">
        <v>10307</v>
      </c>
      <c r="D1160" t="s">
        <v>309</v>
      </c>
      <c r="E1160" t="s">
        <v>6</v>
      </c>
      <c r="F1160" t="s">
        <v>251</v>
      </c>
      <c r="G1160">
        <v>13</v>
      </c>
      <c r="H1160" s="2">
        <f>Tabelle13[[#This Row],[commits]]/Tabelle13[[#Totals],[commits]]</f>
        <v>6.042127572552009E-5</v>
      </c>
      <c r="I1160" s="5">
        <f>Tabelle13[[#This Row],[%]]+I1159</f>
        <v>0.92183810816338285</v>
      </c>
      <c r="J1160" s="4">
        <f t="shared" si="69"/>
        <v>1.105583195135434E-4</v>
      </c>
      <c r="K1160" s="5">
        <f t="shared" si="70"/>
        <v>0.12802653399667999</v>
      </c>
    </row>
    <row r="1161" spans="1:11" x14ac:dyDescent="0.25">
      <c r="A1161" t="s">
        <v>10308</v>
      </c>
      <c r="C1161" t="s">
        <v>10309</v>
      </c>
      <c r="D1161" t="s">
        <v>8948</v>
      </c>
      <c r="E1161" t="s">
        <v>6</v>
      </c>
      <c r="F1161" t="s">
        <v>251</v>
      </c>
      <c r="G1161">
        <v>13</v>
      </c>
      <c r="H1161" s="2">
        <f>Tabelle13[[#This Row],[commits]]/Tabelle13[[#Totals],[commits]]</f>
        <v>6.042127572552009E-5</v>
      </c>
      <c r="I1161" s="5">
        <f>Tabelle13[[#This Row],[%]]+I1160</f>
        <v>0.92189852943910833</v>
      </c>
      <c r="J1161" s="4">
        <f t="shared" si="69"/>
        <v>1.105583195135434E-4</v>
      </c>
      <c r="K1161" s="5">
        <f t="shared" si="70"/>
        <v>0.12813709231619352</v>
      </c>
    </row>
    <row r="1162" spans="1:11" x14ac:dyDescent="0.25">
      <c r="A1162" t="s">
        <v>10310</v>
      </c>
      <c r="C1162" t="s">
        <v>10311</v>
      </c>
      <c r="D1162" t="s">
        <v>5</v>
      </c>
      <c r="E1162" t="s">
        <v>6</v>
      </c>
      <c r="F1162" t="s">
        <v>251</v>
      </c>
      <c r="G1162">
        <v>13</v>
      </c>
      <c r="H1162" s="2">
        <f>Tabelle13[[#This Row],[commits]]/Tabelle13[[#Totals],[commits]]</f>
        <v>6.042127572552009E-5</v>
      </c>
      <c r="I1162" s="5">
        <f>Tabelle13[[#This Row],[%]]+I1161</f>
        <v>0.9219589507148338</v>
      </c>
      <c r="J1162" s="4">
        <f t="shared" si="69"/>
        <v>1.105583195135434E-4</v>
      </c>
      <c r="K1162" s="5">
        <f t="shared" si="70"/>
        <v>0.12824765063570706</v>
      </c>
    </row>
    <row r="1163" spans="1:11" x14ac:dyDescent="0.25">
      <c r="A1163" t="s">
        <v>10312</v>
      </c>
      <c r="C1163" t="s">
        <v>10313</v>
      </c>
      <c r="D1163" t="s">
        <v>8760</v>
      </c>
      <c r="E1163" t="s">
        <v>6</v>
      </c>
      <c r="F1163" t="s">
        <v>251</v>
      </c>
      <c r="G1163">
        <v>13</v>
      </c>
      <c r="H1163" s="2">
        <f>Tabelle13[[#This Row],[commits]]/Tabelle13[[#Totals],[commits]]</f>
        <v>6.042127572552009E-5</v>
      </c>
      <c r="I1163" s="5">
        <f>Tabelle13[[#This Row],[%]]+I1162</f>
        <v>0.92201937199055928</v>
      </c>
      <c r="J1163" s="4">
        <f t="shared" si="69"/>
        <v>1.105583195135434E-4</v>
      </c>
      <c r="K1163" s="5">
        <f t="shared" si="70"/>
        <v>0.1283582089552206</v>
      </c>
    </row>
    <row r="1164" spans="1:11" x14ac:dyDescent="0.25">
      <c r="A1164" t="s">
        <v>10314</v>
      </c>
      <c r="C1164" t="s">
        <v>10315</v>
      </c>
      <c r="D1164" t="s">
        <v>309</v>
      </c>
      <c r="E1164" t="s">
        <v>6</v>
      </c>
      <c r="F1164" t="s">
        <v>251</v>
      </c>
      <c r="G1164">
        <v>13</v>
      </c>
      <c r="H1164" s="2">
        <f>Tabelle13[[#This Row],[commits]]/Tabelle13[[#Totals],[commits]]</f>
        <v>6.042127572552009E-5</v>
      </c>
      <c r="I1164" s="5">
        <f>Tabelle13[[#This Row],[%]]+I1163</f>
        <v>0.92207979326628475</v>
      </c>
      <c r="J1164" s="4">
        <f t="shared" si="69"/>
        <v>1.105583195135434E-4</v>
      </c>
      <c r="K1164" s="5">
        <f t="shared" si="70"/>
        <v>0.12846876727473414</v>
      </c>
    </row>
    <row r="1165" spans="1:11" x14ac:dyDescent="0.25">
      <c r="A1165" t="s">
        <v>10316</v>
      </c>
      <c r="C1165" t="s">
        <v>10317</v>
      </c>
      <c r="D1165" t="s">
        <v>309</v>
      </c>
      <c r="E1165" t="s">
        <v>6</v>
      </c>
      <c r="F1165" t="s">
        <v>251</v>
      </c>
      <c r="G1165">
        <v>13</v>
      </c>
      <c r="H1165" s="2">
        <f>Tabelle13[[#This Row],[commits]]/Tabelle13[[#Totals],[commits]]</f>
        <v>6.042127572552009E-5</v>
      </c>
      <c r="I1165" s="5">
        <f>Tabelle13[[#This Row],[%]]+I1164</f>
        <v>0.92214021454201023</v>
      </c>
      <c r="J1165" s="4">
        <f t="shared" si="69"/>
        <v>1.105583195135434E-4</v>
      </c>
      <c r="K1165" s="5">
        <f t="shared" si="70"/>
        <v>0.12857932559424767</v>
      </c>
    </row>
    <row r="1166" spans="1:11" x14ac:dyDescent="0.25">
      <c r="A1166" t="s">
        <v>10318</v>
      </c>
      <c r="C1166" t="s">
        <v>10319</v>
      </c>
      <c r="D1166" t="s">
        <v>5</v>
      </c>
      <c r="E1166" t="s">
        <v>6</v>
      </c>
      <c r="F1166" t="s">
        <v>251</v>
      </c>
      <c r="G1166">
        <v>13</v>
      </c>
      <c r="H1166" s="2">
        <f>Tabelle13[[#This Row],[commits]]/Tabelle13[[#Totals],[commits]]</f>
        <v>6.042127572552009E-5</v>
      </c>
      <c r="I1166" s="5">
        <f>Tabelle13[[#This Row],[%]]+I1165</f>
        <v>0.9222006358177357</v>
      </c>
      <c r="J1166" s="4">
        <f t="shared" si="69"/>
        <v>1.105583195135434E-4</v>
      </c>
      <c r="K1166" s="5">
        <f t="shared" si="70"/>
        <v>0.12868988391376121</v>
      </c>
    </row>
    <row r="1167" spans="1:11" x14ac:dyDescent="0.25">
      <c r="A1167" t="s">
        <v>10320</v>
      </c>
      <c r="C1167" t="s">
        <v>10321</v>
      </c>
      <c r="D1167" t="s">
        <v>309</v>
      </c>
      <c r="E1167" t="s">
        <v>6</v>
      </c>
      <c r="F1167" t="s">
        <v>251</v>
      </c>
      <c r="G1167">
        <v>13</v>
      </c>
      <c r="H1167" s="2">
        <f>Tabelle13[[#This Row],[commits]]/Tabelle13[[#Totals],[commits]]</f>
        <v>6.042127572552009E-5</v>
      </c>
      <c r="I1167" s="5">
        <f>Tabelle13[[#This Row],[%]]+I1166</f>
        <v>0.92226105709346118</v>
      </c>
      <c r="J1167" s="4">
        <f t="shared" si="69"/>
        <v>1.105583195135434E-4</v>
      </c>
      <c r="K1167" s="5">
        <f t="shared" si="70"/>
        <v>0.12880044223327475</v>
      </c>
    </row>
    <row r="1168" spans="1:11" x14ac:dyDescent="0.25">
      <c r="A1168" t="s">
        <v>10322</v>
      </c>
      <c r="C1168" t="s">
        <v>10323</v>
      </c>
      <c r="D1168" t="s">
        <v>10324</v>
      </c>
      <c r="E1168" t="s">
        <v>6</v>
      </c>
      <c r="F1168" t="s">
        <v>251</v>
      </c>
      <c r="G1168">
        <v>13</v>
      </c>
      <c r="H1168" s="2">
        <f>Tabelle13[[#This Row],[commits]]/Tabelle13[[#Totals],[commits]]</f>
        <v>6.042127572552009E-5</v>
      </c>
      <c r="I1168" s="5">
        <f>Tabelle13[[#This Row],[%]]+I1167</f>
        <v>0.92232147836918665</v>
      </c>
      <c r="J1168" s="4">
        <f t="shared" si="69"/>
        <v>1.105583195135434E-4</v>
      </c>
      <c r="K1168" s="5">
        <f t="shared" si="70"/>
        <v>0.12891100055278829</v>
      </c>
    </row>
    <row r="1169" spans="1:11" x14ac:dyDescent="0.25">
      <c r="A1169" t="s">
        <v>10325</v>
      </c>
      <c r="C1169" t="s">
        <v>10326</v>
      </c>
      <c r="D1169" t="s">
        <v>5</v>
      </c>
      <c r="E1169" t="s">
        <v>6</v>
      </c>
      <c r="F1169" t="s">
        <v>251</v>
      </c>
      <c r="G1169">
        <v>13</v>
      </c>
      <c r="H1169" s="2">
        <f>Tabelle13[[#This Row],[commits]]/Tabelle13[[#Totals],[commits]]</f>
        <v>6.042127572552009E-5</v>
      </c>
      <c r="I1169" s="5">
        <f>Tabelle13[[#This Row],[%]]+I1168</f>
        <v>0.92238189964491213</v>
      </c>
      <c r="J1169" s="4">
        <f t="shared" si="69"/>
        <v>1.105583195135434E-4</v>
      </c>
      <c r="K1169" s="5">
        <f t="shared" si="70"/>
        <v>0.12902155887230182</v>
      </c>
    </row>
    <row r="1170" spans="1:11" x14ac:dyDescent="0.25">
      <c r="A1170" t="s">
        <v>10327</v>
      </c>
      <c r="C1170" t="s">
        <v>10328</v>
      </c>
      <c r="D1170" t="s">
        <v>309</v>
      </c>
      <c r="E1170" t="s">
        <v>6</v>
      </c>
      <c r="F1170" t="s">
        <v>251</v>
      </c>
      <c r="G1170">
        <v>13</v>
      </c>
      <c r="H1170" s="2">
        <f>Tabelle13[[#This Row],[commits]]/Tabelle13[[#Totals],[commits]]</f>
        <v>6.042127572552009E-5</v>
      </c>
      <c r="I1170" s="5">
        <f>Tabelle13[[#This Row],[%]]+I1169</f>
        <v>0.9224423209206376</v>
      </c>
      <c r="J1170" s="4">
        <f t="shared" si="69"/>
        <v>1.105583195135434E-4</v>
      </c>
      <c r="K1170" s="5">
        <f t="shared" si="70"/>
        <v>0.12913211719181536</v>
      </c>
    </row>
    <row r="1171" spans="1:11" x14ac:dyDescent="0.25">
      <c r="A1171" t="s">
        <v>10329</v>
      </c>
      <c r="C1171" t="s">
        <v>10330</v>
      </c>
      <c r="D1171" t="s">
        <v>309</v>
      </c>
      <c r="E1171" t="s">
        <v>6</v>
      </c>
      <c r="F1171" t="s">
        <v>251</v>
      </c>
      <c r="G1171">
        <v>13</v>
      </c>
      <c r="H1171" s="2">
        <f>Tabelle13[[#This Row],[commits]]/Tabelle13[[#Totals],[commits]]</f>
        <v>6.042127572552009E-5</v>
      </c>
      <c r="I1171" s="5">
        <f>Tabelle13[[#This Row],[%]]+I1170</f>
        <v>0.92250274219636308</v>
      </c>
      <c r="J1171" s="4">
        <f t="shared" si="69"/>
        <v>1.105583195135434E-4</v>
      </c>
      <c r="K1171" s="5">
        <f t="shared" si="70"/>
        <v>0.1292426755113289</v>
      </c>
    </row>
    <row r="1172" spans="1:11" x14ac:dyDescent="0.25">
      <c r="A1172" t="s">
        <v>10331</v>
      </c>
      <c r="C1172" t="s">
        <v>10332</v>
      </c>
      <c r="D1172" t="s">
        <v>10109</v>
      </c>
      <c r="E1172" t="s">
        <v>6</v>
      </c>
      <c r="F1172" t="s">
        <v>251</v>
      </c>
      <c r="G1172">
        <v>13</v>
      </c>
      <c r="H1172" s="2">
        <f>Tabelle13[[#This Row],[commits]]/Tabelle13[[#Totals],[commits]]</f>
        <v>6.042127572552009E-5</v>
      </c>
      <c r="I1172" s="5">
        <f>Tabelle13[[#This Row],[%]]+I1171</f>
        <v>0.92256316347208855</v>
      </c>
      <c r="J1172" s="4">
        <f t="shared" si="69"/>
        <v>1.105583195135434E-4</v>
      </c>
      <c r="K1172" s="5">
        <f t="shared" si="70"/>
        <v>0.12935323383084243</v>
      </c>
    </row>
    <row r="1173" spans="1:11" x14ac:dyDescent="0.25">
      <c r="A1173" t="s">
        <v>10333</v>
      </c>
      <c r="C1173" t="s">
        <v>10334</v>
      </c>
      <c r="D1173" t="s">
        <v>5</v>
      </c>
      <c r="E1173" t="s">
        <v>6</v>
      </c>
      <c r="F1173" t="s">
        <v>251</v>
      </c>
      <c r="G1173">
        <v>13</v>
      </c>
      <c r="H1173" s="2">
        <f>Tabelle13[[#This Row],[commits]]/Tabelle13[[#Totals],[commits]]</f>
        <v>6.042127572552009E-5</v>
      </c>
      <c r="I1173" s="5">
        <f>Tabelle13[[#This Row],[%]]+I1172</f>
        <v>0.92262358474781403</v>
      </c>
      <c r="J1173" s="4">
        <f t="shared" si="69"/>
        <v>1.105583195135434E-4</v>
      </c>
      <c r="K1173" s="5">
        <f t="shared" si="70"/>
        <v>0.12946379215035597</v>
      </c>
    </row>
    <row r="1174" spans="1:11" x14ac:dyDescent="0.25">
      <c r="A1174" t="s">
        <v>10335</v>
      </c>
      <c r="C1174" t="s">
        <v>10336</v>
      </c>
      <c r="D1174" t="s">
        <v>9062</v>
      </c>
      <c r="E1174" t="s">
        <v>6</v>
      </c>
      <c r="F1174" t="s">
        <v>251</v>
      </c>
      <c r="G1174">
        <v>13</v>
      </c>
      <c r="H1174" s="2">
        <f>Tabelle13[[#This Row],[commits]]/Tabelle13[[#Totals],[commits]]</f>
        <v>6.042127572552009E-5</v>
      </c>
      <c r="I1174" s="5">
        <f>Tabelle13[[#This Row],[%]]+I1173</f>
        <v>0.9226840060235395</v>
      </c>
      <c r="J1174" s="4">
        <f t="shared" si="69"/>
        <v>1.105583195135434E-4</v>
      </c>
      <c r="K1174" s="5">
        <f t="shared" si="70"/>
        <v>0.12957435046986951</v>
      </c>
    </row>
    <row r="1175" spans="1:11" x14ac:dyDescent="0.25">
      <c r="A1175" t="s">
        <v>10337</v>
      </c>
      <c r="C1175" t="s">
        <v>10338</v>
      </c>
      <c r="D1175" t="s">
        <v>5</v>
      </c>
      <c r="E1175" t="s">
        <v>6</v>
      </c>
      <c r="F1175" t="s">
        <v>251</v>
      </c>
      <c r="G1175">
        <v>13</v>
      </c>
      <c r="H1175" s="2">
        <f>Tabelle13[[#This Row],[commits]]/Tabelle13[[#Totals],[commits]]</f>
        <v>6.042127572552009E-5</v>
      </c>
      <c r="I1175" s="5">
        <f>Tabelle13[[#This Row],[%]]+I1174</f>
        <v>0.92274442729926498</v>
      </c>
      <c r="J1175" s="4">
        <f t="shared" si="69"/>
        <v>1.105583195135434E-4</v>
      </c>
      <c r="K1175" s="5">
        <f t="shared" si="70"/>
        <v>0.12968490878938305</v>
      </c>
    </row>
    <row r="1176" spans="1:11" x14ac:dyDescent="0.25">
      <c r="A1176" t="s">
        <v>10339</v>
      </c>
      <c r="C1176" t="s">
        <v>10340</v>
      </c>
      <c r="D1176" t="s">
        <v>5</v>
      </c>
      <c r="E1176" t="s">
        <v>6</v>
      </c>
      <c r="F1176" t="s">
        <v>251</v>
      </c>
      <c r="G1176">
        <v>13</v>
      </c>
      <c r="H1176" s="2">
        <f>Tabelle13[[#This Row],[commits]]/Tabelle13[[#Totals],[commits]]</f>
        <v>6.042127572552009E-5</v>
      </c>
      <c r="I1176" s="5">
        <f>Tabelle13[[#This Row],[%]]+I1175</f>
        <v>0.92280484857499046</v>
      </c>
      <c r="J1176" s="4">
        <f t="shared" si="69"/>
        <v>1.105583195135434E-4</v>
      </c>
      <c r="K1176" s="5">
        <f t="shared" si="70"/>
        <v>0.12979546710889658</v>
      </c>
    </row>
    <row r="1177" spans="1:11" x14ac:dyDescent="0.25">
      <c r="A1177" t="s">
        <v>10341</v>
      </c>
      <c r="C1177" t="s">
        <v>10342</v>
      </c>
      <c r="D1177" t="s">
        <v>309</v>
      </c>
      <c r="E1177" t="s">
        <v>6</v>
      </c>
      <c r="F1177" t="s">
        <v>251</v>
      </c>
      <c r="G1177">
        <v>13</v>
      </c>
      <c r="H1177" s="2">
        <f>Tabelle13[[#This Row],[commits]]/Tabelle13[[#Totals],[commits]]</f>
        <v>6.042127572552009E-5</v>
      </c>
      <c r="I1177" s="5">
        <f>Tabelle13[[#This Row],[%]]+I1176</f>
        <v>0.92286526985071593</v>
      </c>
      <c r="J1177" s="4">
        <f t="shared" si="69"/>
        <v>1.105583195135434E-4</v>
      </c>
      <c r="K1177" s="5">
        <f t="shared" si="70"/>
        <v>0.12990602542841012</v>
      </c>
    </row>
    <row r="1178" spans="1:11" x14ac:dyDescent="0.25">
      <c r="A1178" t="s">
        <v>10343</v>
      </c>
      <c r="C1178" t="s">
        <v>10344</v>
      </c>
      <c r="D1178" t="s">
        <v>8948</v>
      </c>
      <c r="E1178" t="s">
        <v>6</v>
      </c>
      <c r="F1178" t="s">
        <v>251</v>
      </c>
      <c r="G1178">
        <v>13</v>
      </c>
      <c r="H1178" s="2">
        <f>Tabelle13[[#This Row],[commits]]/Tabelle13[[#Totals],[commits]]</f>
        <v>6.042127572552009E-5</v>
      </c>
      <c r="I1178" s="5">
        <f>Tabelle13[[#This Row],[%]]+I1177</f>
        <v>0.92292569112644141</v>
      </c>
      <c r="J1178" s="4">
        <f t="shared" si="69"/>
        <v>1.105583195135434E-4</v>
      </c>
      <c r="K1178" s="5">
        <f t="shared" si="70"/>
        <v>0.13001658374792366</v>
      </c>
    </row>
    <row r="1179" spans="1:11" x14ac:dyDescent="0.25">
      <c r="A1179" t="s">
        <v>10345</v>
      </c>
      <c r="C1179" t="s">
        <v>10346</v>
      </c>
      <c r="D1179" t="s">
        <v>5</v>
      </c>
      <c r="E1179" t="s">
        <v>6</v>
      </c>
      <c r="F1179" t="s">
        <v>251</v>
      </c>
      <c r="G1179">
        <v>13</v>
      </c>
      <c r="H1179" s="2">
        <f>Tabelle13[[#This Row],[commits]]/Tabelle13[[#Totals],[commits]]</f>
        <v>6.042127572552009E-5</v>
      </c>
      <c r="I1179" s="5">
        <f>Tabelle13[[#This Row],[%]]+I1178</f>
        <v>0.92298611240216688</v>
      </c>
      <c r="J1179" s="4">
        <f t="shared" si="69"/>
        <v>1.105583195135434E-4</v>
      </c>
      <c r="K1179" s="5">
        <f t="shared" si="70"/>
        <v>0.1301271420674372</v>
      </c>
    </row>
    <row r="1180" spans="1:11" x14ac:dyDescent="0.25">
      <c r="A1180" t="s">
        <v>10347</v>
      </c>
      <c r="C1180" t="s">
        <v>10348</v>
      </c>
      <c r="D1180" t="s">
        <v>5</v>
      </c>
      <c r="E1180" t="s">
        <v>6</v>
      </c>
      <c r="F1180" t="s">
        <v>251</v>
      </c>
      <c r="G1180">
        <v>13</v>
      </c>
      <c r="H1180" s="2">
        <f>Tabelle13[[#This Row],[commits]]/Tabelle13[[#Totals],[commits]]</f>
        <v>6.042127572552009E-5</v>
      </c>
      <c r="I1180" s="5">
        <f>Tabelle13[[#This Row],[%]]+I1179</f>
        <v>0.92304653367789236</v>
      </c>
      <c r="J1180" s="4">
        <f t="shared" si="69"/>
        <v>1.105583195135434E-4</v>
      </c>
      <c r="K1180" s="5">
        <f t="shared" si="70"/>
        <v>0.13023770038695073</v>
      </c>
    </row>
    <row r="1181" spans="1:11" x14ac:dyDescent="0.25">
      <c r="A1181" t="s">
        <v>10349</v>
      </c>
      <c r="C1181" t="s">
        <v>10350</v>
      </c>
      <c r="D1181" t="s">
        <v>5</v>
      </c>
      <c r="E1181" t="s">
        <v>6</v>
      </c>
      <c r="F1181" t="s">
        <v>251</v>
      </c>
      <c r="G1181">
        <v>13</v>
      </c>
      <c r="H1181" s="2">
        <f>Tabelle13[[#This Row],[commits]]/Tabelle13[[#Totals],[commits]]</f>
        <v>6.042127572552009E-5</v>
      </c>
      <c r="I1181" s="5">
        <f>Tabelle13[[#This Row],[%]]+I1180</f>
        <v>0.92310695495361783</v>
      </c>
      <c r="J1181" s="4">
        <f t="shared" si="69"/>
        <v>1.105583195135434E-4</v>
      </c>
      <c r="K1181" s="5">
        <f t="shared" si="70"/>
        <v>0.13034825870646427</v>
      </c>
    </row>
    <row r="1182" spans="1:11" x14ac:dyDescent="0.25">
      <c r="A1182" t="s">
        <v>10351</v>
      </c>
      <c r="C1182" t="s">
        <v>10352</v>
      </c>
      <c r="D1182" t="s">
        <v>5</v>
      </c>
      <c r="E1182" t="s">
        <v>6</v>
      </c>
      <c r="F1182" t="s">
        <v>251</v>
      </c>
      <c r="G1182">
        <v>13</v>
      </c>
      <c r="H1182" s="2">
        <f>Tabelle13[[#This Row],[commits]]/Tabelle13[[#Totals],[commits]]</f>
        <v>6.042127572552009E-5</v>
      </c>
      <c r="I1182" s="5">
        <f>Tabelle13[[#This Row],[%]]+I1181</f>
        <v>0.92316737622934331</v>
      </c>
      <c r="J1182" s="4">
        <f t="shared" si="69"/>
        <v>1.105583195135434E-4</v>
      </c>
      <c r="K1182" s="5">
        <f t="shared" si="70"/>
        <v>0.13045881702597781</v>
      </c>
    </row>
    <row r="1183" spans="1:11" x14ac:dyDescent="0.25">
      <c r="A1183" t="s">
        <v>10353</v>
      </c>
      <c r="C1183" t="s">
        <v>6419</v>
      </c>
      <c r="D1183" t="s">
        <v>5</v>
      </c>
      <c r="E1183" t="s">
        <v>6</v>
      </c>
      <c r="F1183" t="s">
        <v>251</v>
      </c>
      <c r="G1183">
        <v>13</v>
      </c>
      <c r="H1183" s="2">
        <f>Tabelle13[[#This Row],[commits]]/Tabelle13[[#Totals],[commits]]</f>
        <v>6.042127572552009E-5</v>
      </c>
      <c r="I1183" s="5">
        <f>Tabelle13[[#This Row],[%]]+I1182</f>
        <v>0.92322779750506878</v>
      </c>
      <c r="J1183" s="4">
        <f t="shared" si="69"/>
        <v>1.105583195135434E-4</v>
      </c>
      <c r="K1183" s="5">
        <f t="shared" si="70"/>
        <v>0.13056937534549135</v>
      </c>
    </row>
    <row r="1184" spans="1:11" x14ac:dyDescent="0.25">
      <c r="A1184" t="s">
        <v>10354</v>
      </c>
      <c r="C1184" t="s">
        <v>10355</v>
      </c>
      <c r="D1184" t="s">
        <v>309</v>
      </c>
      <c r="E1184" t="s">
        <v>6</v>
      </c>
      <c r="F1184" t="s">
        <v>251</v>
      </c>
      <c r="G1184">
        <v>13</v>
      </c>
      <c r="H1184" s="2">
        <f>Tabelle13[[#This Row],[commits]]/Tabelle13[[#Totals],[commits]]</f>
        <v>6.042127572552009E-5</v>
      </c>
      <c r="I1184" s="5">
        <f>Tabelle13[[#This Row],[%]]+I1183</f>
        <v>0.92328821878079426</v>
      </c>
      <c r="J1184" s="4">
        <f t="shared" si="69"/>
        <v>1.105583195135434E-4</v>
      </c>
      <c r="K1184" s="5">
        <f t="shared" si="70"/>
        <v>0.13067993366500488</v>
      </c>
    </row>
    <row r="1185" spans="1:11" x14ac:dyDescent="0.25">
      <c r="A1185" t="s">
        <v>109</v>
      </c>
      <c r="C1185" t="s">
        <v>110</v>
      </c>
      <c r="D1185" t="s">
        <v>36</v>
      </c>
      <c r="E1185" t="s">
        <v>6</v>
      </c>
      <c r="F1185" t="s">
        <v>7</v>
      </c>
      <c r="G1185">
        <v>12</v>
      </c>
      <c r="H1185" s="2">
        <f>Tabelle13[[#This Row],[commits]]/Tabelle13[[#Totals],[commits]]</f>
        <v>5.5773485285095464E-5</v>
      </c>
      <c r="I1185" s="5">
        <f>Tabelle13[[#This Row],[%]]+I1184</f>
        <v>0.92334399226607933</v>
      </c>
      <c r="J1185" s="4">
        <f t="shared" si="69"/>
        <v>1.105583195135434E-4</v>
      </c>
      <c r="K1185" s="5">
        <f t="shared" si="70"/>
        <v>0.13079049198451842</v>
      </c>
    </row>
    <row r="1186" spans="1:11" x14ac:dyDescent="0.25">
      <c r="A1186" t="s">
        <v>111</v>
      </c>
      <c r="C1186" t="s">
        <v>112</v>
      </c>
      <c r="D1186" t="s">
        <v>5</v>
      </c>
      <c r="E1186" t="s">
        <v>6</v>
      </c>
      <c r="F1186" t="s">
        <v>7</v>
      </c>
      <c r="G1186">
        <v>12</v>
      </c>
      <c r="H1186" s="2">
        <f>Tabelle13[[#This Row],[commits]]/Tabelle13[[#Totals],[commits]]</f>
        <v>5.5773485285095464E-5</v>
      </c>
      <c r="I1186" s="5">
        <f>Tabelle13[[#This Row],[%]]+I1185</f>
        <v>0.9233997657513644</v>
      </c>
      <c r="J1186" s="4">
        <f t="shared" si="69"/>
        <v>1.105583195135434E-4</v>
      </c>
      <c r="K1186" s="5">
        <f t="shared" si="70"/>
        <v>0.13090105030403196</v>
      </c>
    </row>
    <row r="1187" spans="1:11" x14ac:dyDescent="0.25">
      <c r="A1187" t="s">
        <v>115</v>
      </c>
      <c r="C1187" t="s">
        <v>116</v>
      </c>
      <c r="D1187" t="s">
        <v>5</v>
      </c>
      <c r="E1187" t="s">
        <v>6</v>
      </c>
      <c r="F1187" t="s">
        <v>7</v>
      </c>
      <c r="G1187">
        <v>12</v>
      </c>
      <c r="H1187" s="2">
        <f>Tabelle13[[#This Row],[commits]]/Tabelle13[[#Totals],[commits]]</f>
        <v>5.5773485285095464E-5</v>
      </c>
      <c r="I1187" s="5">
        <f>Tabelle13[[#This Row],[%]]+I1186</f>
        <v>0.92345553923664947</v>
      </c>
      <c r="J1187" s="4">
        <f t="shared" si="69"/>
        <v>1.105583195135434E-4</v>
      </c>
      <c r="K1187" s="5">
        <f t="shared" si="70"/>
        <v>0.13101160862354549</v>
      </c>
    </row>
    <row r="1188" spans="1:11" x14ac:dyDescent="0.25">
      <c r="A1188" t="s">
        <v>117</v>
      </c>
      <c r="C1188" t="s">
        <v>118</v>
      </c>
      <c r="D1188" t="s">
        <v>5</v>
      </c>
      <c r="E1188" t="s">
        <v>6</v>
      </c>
      <c r="F1188" t="s">
        <v>7</v>
      </c>
      <c r="G1188">
        <v>12</v>
      </c>
      <c r="H1188" s="2">
        <f>Tabelle13[[#This Row],[commits]]/Tabelle13[[#Totals],[commits]]</f>
        <v>5.5773485285095464E-5</v>
      </c>
      <c r="I1188" s="5">
        <f>Tabelle13[[#This Row],[%]]+I1187</f>
        <v>0.92351131272193454</v>
      </c>
      <c r="J1188" s="4">
        <f t="shared" si="69"/>
        <v>1.105583195135434E-4</v>
      </c>
      <c r="K1188" s="5">
        <f t="shared" si="70"/>
        <v>0.13112216694305903</v>
      </c>
    </row>
    <row r="1189" spans="1:11" x14ac:dyDescent="0.25">
      <c r="A1189" t="s">
        <v>2612</v>
      </c>
      <c r="C1189" t="s">
        <v>2613</v>
      </c>
      <c r="D1189" t="s">
        <v>5</v>
      </c>
      <c r="E1189" t="s">
        <v>6</v>
      </c>
      <c r="F1189" t="s">
        <v>724</v>
      </c>
      <c r="G1189">
        <v>12</v>
      </c>
      <c r="H1189" s="2">
        <f>Tabelle13[[#This Row],[commits]]/Tabelle13[[#Totals],[commits]]</f>
        <v>5.5773485285095464E-5</v>
      </c>
      <c r="I1189" s="5">
        <f>Tabelle13[[#This Row],[%]]+I1188</f>
        <v>0.92356708620721961</v>
      </c>
      <c r="J1189" s="4">
        <f t="shared" si="69"/>
        <v>1.105583195135434E-4</v>
      </c>
      <c r="K1189" s="5">
        <f t="shared" si="70"/>
        <v>0.13123272526257257</v>
      </c>
    </row>
    <row r="1190" spans="1:11" x14ac:dyDescent="0.25">
      <c r="A1190" t="s">
        <v>2614</v>
      </c>
      <c r="C1190" t="s">
        <v>2615</v>
      </c>
      <c r="D1190" t="s">
        <v>5</v>
      </c>
      <c r="E1190" t="s">
        <v>6</v>
      </c>
      <c r="F1190" t="s">
        <v>724</v>
      </c>
      <c r="G1190">
        <v>12</v>
      </c>
      <c r="H1190" s="2">
        <f>Tabelle13[[#This Row],[commits]]/Tabelle13[[#Totals],[commits]]</f>
        <v>5.5773485285095464E-5</v>
      </c>
      <c r="I1190" s="5">
        <f>Tabelle13[[#This Row],[%]]+I1189</f>
        <v>0.92362285969250468</v>
      </c>
      <c r="J1190" s="4">
        <f t="shared" si="69"/>
        <v>1.105583195135434E-4</v>
      </c>
      <c r="K1190" s="5">
        <f t="shared" si="70"/>
        <v>0.13134328358208611</v>
      </c>
    </row>
    <row r="1191" spans="1:11" x14ac:dyDescent="0.25">
      <c r="A1191" t="s">
        <v>2616</v>
      </c>
      <c r="C1191" t="s">
        <v>2617</v>
      </c>
      <c r="D1191" t="s">
        <v>5</v>
      </c>
      <c r="E1191" t="s">
        <v>6</v>
      </c>
      <c r="F1191" t="s">
        <v>724</v>
      </c>
      <c r="G1191">
        <v>12</v>
      </c>
      <c r="H1191" s="2">
        <f>Tabelle13[[#This Row],[commits]]/Tabelle13[[#Totals],[commits]]</f>
        <v>5.5773485285095464E-5</v>
      </c>
      <c r="I1191" s="5">
        <f>Tabelle13[[#This Row],[%]]+I1190</f>
        <v>0.92367863317778975</v>
      </c>
      <c r="J1191" s="4">
        <f t="shared" si="69"/>
        <v>1.105583195135434E-4</v>
      </c>
      <c r="K1191" s="5">
        <f t="shared" si="70"/>
        <v>0.13145384190159964</v>
      </c>
    </row>
    <row r="1192" spans="1:11" x14ac:dyDescent="0.25">
      <c r="A1192" t="s">
        <v>2618</v>
      </c>
      <c r="C1192" t="s">
        <v>2619</v>
      </c>
      <c r="D1192" t="s">
        <v>309</v>
      </c>
      <c r="E1192" t="s">
        <v>6</v>
      </c>
      <c r="F1192" t="s">
        <v>724</v>
      </c>
      <c r="G1192">
        <v>12</v>
      </c>
      <c r="H1192" s="2">
        <f>Tabelle13[[#This Row],[commits]]/Tabelle13[[#Totals],[commits]]</f>
        <v>5.5773485285095464E-5</v>
      </c>
      <c r="I1192" s="5">
        <f>Tabelle13[[#This Row],[%]]+I1191</f>
        <v>0.92373440666307483</v>
      </c>
      <c r="J1192" s="4">
        <f t="shared" si="69"/>
        <v>1.105583195135434E-4</v>
      </c>
      <c r="K1192" s="5">
        <f t="shared" si="70"/>
        <v>0.13156440022111318</v>
      </c>
    </row>
    <row r="1193" spans="1:11" x14ac:dyDescent="0.25">
      <c r="A1193" t="s">
        <v>2620</v>
      </c>
      <c r="C1193" t="s">
        <v>2621</v>
      </c>
      <c r="D1193" t="s">
        <v>309</v>
      </c>
      <c r="E1193" t="s">
        <v>6</v>
      </c>
      <c r="F1193" t="s">
        <v>724</v>
      </c>
      <c r="G1193">
        <v>12</v>
      </c>
      <c r="H1193" s="2">
        <f>Tabelle13[[#This Row],[commits]]/Tabelle13[[#Totals],[commits]]</f>
        <v>5.5773485285095464E-5</v>
      </c>
      <c r="I1193" s="5">
        <f>Tabelle13[[#This Row],[%]]+I1192</f>
        <v>0.9237901801483599</v>
      </c>
      <c r="J1193" s="4">
        <f t="shared" si="69"/>
        <v>1.105583195135434E-4</v>
      </c>
      <c r="K1193" s="5">
        <f t="shared" si="70"/>
        <v>0.13167495854062672</v>
      </c>
    </row>
    <row r="1194" spans="1:11" x14ac:dyDescent="0.25">
      <c r="A1194" t="s">
        <v>2622</v>
      </c>
      <c r="C1194" t="s">
        <v>2623</v>
      </c>
      <c r="D1194" t="s">
        <v>309</v>
      </c>
      <c r="E1194" t="s">
        <v>6</v>
      </c>
      <c r="F1194" t="s">
        <v>724</v>
      </c>
      <c r="G1194">
        <v>12</v>
      </c>
      <c r="H1194" s="2">
        <f>Tabelle13[[#This Row],[commits]]/Tabelle13[[#Totals],[commits]]</f>
        <v>5.5773485285095464E-5</v>
      </c>
      <c r="I1194" s="5">
        <f>Tabelle13[[#This Row],[%]]+I1193</f>
        <v>0.92384595363364497</v>
      </c>
      <c r="J1194" s="4">
        <f t="shared" si="69"/>
        <v>1.105583195135434E-4</v>
      </c>
      <c r="K1194" s="5">
        <f t="shared" si="70"/>
        <v>0.13178551686014026</v>
      </c>
    </row>
    <row r="1195" spans="1:11" x14ac:dyDescent="0.25">
      <c r="A1195" t="s">
        <v>2624</v>
      </c>
      <c r="C1195" t="s">
        <v>2625</v>
      </c>
      <c r="D1195" t="s">
        <v>5</v>
      </c>
      <c r="E1195" t="s">
        <v>6</v>
      </c>
      <c r="F1195" t="s">
        <v>724</v>
      </c>
      <c r="G1195">
        <v>12</v>
      </c>
      <c r="H1195" s="2">
        <f>Tabelle13[[#This Row],[commits]]/Tabelle13[[#Totals],[commits]]</f>
        <v>5.5773485285095464E-5</v>
      </c>
      <c r="I1195" s="5">
        <f>Tabelle13[[#This Row],[%]]+I1194</f>
        <v>0.92390172711893004</v>
      </c>
      <c r="J1195" s="4">
        <f t="shared" si="69"/>
        <v>1.105583195135434E-4</v>
      </c>
      <c r="K1195" s="5">
        <f t="shared" si="70"/>
        <v>0.13189607517965379</v>
      </c>
    </row>
    <row r="1196" spans="1:11" x14ac:dyDescent="0.25">
      <c r="A1196" t="s">
        <v>2626</v>
      </c>
      <c r="C1196" t="s">
        <v>2627</v>
      </c>
      <c r="D1196" t="s">
        <v>5</v>
      </c>
      <c r="E1196" t="s">
        <v>6</v>
      </c>
      <c r="F1196" t="s">
        <v>724</v>
      </c>
      <c r="G1196">
        <v>12</v>
      </c>
      <c r="H1196" s="2">
        <f>Tabelle13[[#This Row],[commits]]/Tabelle13[[#Totals],[commits]]</f>
        <v>5.5773485285095464E-5</v>
      </c>
      <c r="I1196" s="5">
        <f>Tabelle13[[#This Row],[%]]+I1195</f>
        <v>0.92395750060421511</v>
      </c>
      <c r="J1196" s="4">
        <f t="shared" si="69"/>
        <v>1.105583195135434E-4</v>
      </c>
      <c r="K1196" s="5">
        <f t="shared" si="70"/>
        <v>0.13200663349916733</v>
      </c>
    </row>
    <row r="1197" spans="1:11" x14ac:dyDescent="0.25">
      <c r="A1197" t="s">
        <v>2628</v>
      </c>
      <c r="C1197" t="s">
        <v>2629</v>
      </c>
      <c r="D1197" t="s">
        <v>309</v>
      </c>
      <c r="E1197" t="s">
        <v>6</v>
      </c>
      <c r="F1197" t="s">
        <v>724</v>
      </c>
      <c r="G1197">
        <v>12</v>
      </c>
      <c r="H1197" s="2">
        <f>Tabelle13[[#This Row],[commits]]/Tabelle13[[#Totals],[commits]]</f>
        <v>5.5773485285095464E-5</v>
      </c>
      <c r="I1197" s="5">
        <f>Tabelle13[[#This Row],[%]]+I1196</f>
        <v>0.92401327408950018</v>
      </c>
      <c r="J1197" s="4">
        <f t="shared" si="69"/>
        <v>1.105583195135434E-4</v>
      </c>
      <c r="K1197" s="5">
        <f t="shared" si="70"/>
        <v>0.13211719181868087</v>
      </c>
    </row>
    <row r="1198" spans="1:11" x14ac:dyDescent="0.25">
      <c r="A1198" t="s">
        <v>2630</v>
      </c>
      <c r="C1198" t="s">
        <v>2631</v>
      </c>
      <c r="D1198" t="s">
        <v>309</v>
      </c>
      <c r="E1198" t="s">
        <v>6</v>
      </c>
      <c r="F1198" t="s">
        <v>724</v>
      </c>
      <c r="G1198">
        <v>12</v>
      </c>
      <c r="H1198" s="2">
        <f>Tabelle13[[#This Row],[commits]]/Tabelle13[[#Totals],[commits]]</f>
        <v>5.5773485285095464E-5</v>
      </c>
      <c r="I1198" s="5">
        <f>Tabelle13[[#This Row],[%]]+I1197</f>
        <v>0.92406904757478525</v>
      </c>
      <c r="J1198" s="4">
        <f t="shared" si="69"/>
        <v>1.105583195135434E-4</v>
      </c>
      <c r="K1198" s="5">
        <f t="shared" si="70"/>
        <v>0.13222775013819441</v>
      </c>
    </row>
    <row r="1199" spans="1:11" x14ac:dyDescent="0.25">
      <c r="A1199" t="s">
        <v>2632</v>
      </c>
      <c r="C1199" t="s">
        <v>2633</v>
      </c>
      <c r="D1199" t="s">
        <v>5</v>
      </c>
      <c r="E1199" t="s">
        <v>6</v>
      </c>
      <c r="F1199" t="s">
        <v>724</v>
      </c>
      <c r="G1199">
        <v>12</v>
      </c>
      <c r="H1199" s="2">
        <f>Tabelle13[[#This Row],[commits]]/Tabelle13[[#Totals],[commits]]</f>
        <v>5.5773485285095464E-5</v>
      </c>
      <c r="I1199" s="5">
        <f>Tabelle13[[#This Row],[%]]+I1198</f>
        <v>0.92412482106007032</v>
      </c>
      <c r="J1199" s="4">
        <f t="shared" si="69"/>
        <v>1.105583195135434E-4</v>
      </c>
      <c r="K1199" s="5">
        <f t="shared" si="70"/>
        <v>0.13233830845770794</v>
      </c>
    </row>
    <row r="1200" spans="1:11" x14ac:dyDescent="0.25">
      <c r="A1200" t="s">
        <v>2634</v>
      </c>
      <c r="C1200" t="s">
        <v>2411</v>
      </c>
      <c r="D1200" t="s">
        <v>309</v>
      </c>
      <c r="E1200" t="s">
        <v>6</v>
      </c>
      <c r="F1200" t="s">
        <v>724</v>
      </c>
      <c r="G1200">
        <v>12</v>
      </c>
      <c r="H1200" s="2">
        <f>Tabelle13[[#This Row],[commits]]/Tabelle13[[#Totals],[commits]]</f>
        <v>5.5773485285095464E-5</v>
      </c>
      <c r="I1200" s="5">
        <f>Tabelle13[[#This Row],[%]]+I1199</f>
        <v>0.92418059454535539</v>
      </c>
      <c r="J1200" s="4">
        <f t="shared" si="69"/>
        <v>1.105583195135434E-4</v>
      </c>
      <c r="K1200" s="5">
        <f t="shared" si="70"/>
        <v>0.13244886677722148</v>
      </c>
    </row>
    <row r="1201" spans="1:11" x14ac:dyDescent="0.25">
      <c r="A1201" t="s">
        <v>5319</v>
      </c>
      <c r="C1201" t="s">
        <v>5320</v>
      </c>
      <c r="D1201" t="s">
        <v>5</v>
      </c>
      <c r="E1201" t="s">
        <v>6</v>
      </c>
      <c r="F1201" t="s">
        <v>28</v>
      </c>
      <c r="G1201">
        <v>12</v>
      </c>
      <c r="H1201" s="2">
        <f>Tabelle13[[#This Row],[commits]]/Tabelle13[[#Totals],[commits]]</f>
        <v>5.5773485285095464E-5</v>
      </c>
      <c r="I1201" s="5">
        <f>Tabelle13[[#This Row],[%]]+I1200</f>
        <v>0.92423636803064046</v>
      </c>
      <c r="J1201" s="4">
        <f t="shared" si="69"/>
        <v>1.105583195135434E-4</v>
      </c>
      <c r="K1201" s="5">
        <f t="shared" si="70"/>
        <v>0.13255942509673502</v>
      </c>
    </row>
    <row r="1202" spans="1:11" x14ac:dyDescent="0.25">
      <c r="A1202" t="s">
        <v>5321</v>
      </c>
      <c r="C1202" t="s">
        <v>5322</v>
      </c>
      <c r="D1202" t="s">
        <v>5175</v>
      </c>
      <c r="E1202" t="s">
        <v>6</v>
      </c>
      <c r="F1202" t="s">
        <v>28</v>
      </c>
      <c r="G1202">
        <v>12</v>
      </c>
      <c r="H1202" s="2">
        <f>Tabelle13[[#This Row],[commits]]/Tabelle13[[#Totals],[commits]]</f>
        <v>5.5773485285095464E-5</v>
      </c>
      <c r="I1202" s="5">
        <f>Tabelle13[[#This Row],[%]]+I1201</f>
        <v>0.92429214151592554</v>
      </c>
      <c r="J1202" s="4">
        <f t="shared" si="69"/>
        <v>1.105583195135434E-4</v>
      </c>
      <c r="K1202" s="5">
        <f t="shared" si="70"/>
        <v>0.13266998341624855</v>
      </c>
    </row>
    <row r="1203" spans="1:11" x14ac:dyDescent="0.25">
      <c r="A1203" t="s">
        <v>5323</v>
      </c>
      <c r="C1203" t="s">
        <v>5324</v>
      </c>
      <c r="D1203" t="s">
        <v>5</v>
      </c>
      <c r="E1203" t="s">
        <v>6</v>
      </c>
      <c r="F1203" t="s">
        <v>28</v>
      </c>
      <c r="G1203">
        <v>12</v>
      </c>
      <c r="H1203" s="2">
        <f>Tabelle13[[#This Row],[commits]]/Tabelle13[[#Totals],[commits]]</f>
        <v>5.5773485285095464E-5</v>
      </c>
      <c r="I1203" s="5">
        <f>Tabelle13[[#This Row],[%]]+I1202</f>
        <v>0.92434791500121061</v>
      </c>
      <c r="J1203" s="4">
        <f t="shared" si="69"/>
        <v>1.105583195135434E-4</v>
      </c>
      <c r="K1203" s="5">
        <f t="shared" si="70"/>
        <v>0.13278054173576209</v>
      </c>
    </row>
    <row r="1204" spans="1:11" x14ac:dyDescent="0.25">
      <c r="A1204" t="s">
        <v>10356</v>
      </c>
      <c r="C1204" t="s">
        <v>10357</v>
      </c>
      <c r="D1204" t="s">
        <v>309</v>
      </c>
      <c r="E1204" t="s">
        <v>6</v>
      </c>
      <c r="F1204" t="s">
        <v>251</v>
      </c>
      <c r="G1204">
        <v>12</v>
      </c>
      <c r="H1204" s="2">
        <f>Tabelle13[[#This Row],[commits]]/Tabelle13[[#Totals],[commits]]</f>
        <v>5.5773485285095464E-5</v>
      </c>
      <c r="I1204" s="5">
        <f>Tabelle13[[#This Row],[%]]+I1203</f>
        <v>0.92440368848649568</v>
      </c>
      <c r="J1204" s="4">
        <f t="shared" si="69"/>
        <v>1.105583195135434E-4</v>
      </c>
      <c r="K1204" s="5">
        <f t="shared" si="70"/>
        <v>0.13289110005527563</v>
      </c>
    </row>
    <row r="1205" spans="1:11" x14ac:dyDescent="0.25">
      <c r="A1205" t="s">
        <v>10358</v>
      </c>
      <c r="C1205" t="s">
        <v>10359</v>
      </c>
      <c r="D1205" t="s">
        <v>309</v>
      </c>
      <c r="E1205" t="s">
        <v>6</v>
      </c>
      <c r="F1205" t="s">
        <v>251</v>
      </c>
      <c r="G1205">
        <v>12</v>
      </c>
      <c r="H1205" s="2">
        <f>Tabelle13[[#This Row],[commits]]/Tabelle13[[#Totals],[commits]]</f>
        <v>5.5773485285095464E-5</v>
      </c>
      <c r="I1205" s="5">
        <f>Tabelle13[[#This Row],[%]]+I1204</f>
        <v>0.92445946197178075</v>
      </c>
      <c r="J1205" s="4">
        <f t="shared" si="69"/>
        <v>1.105583195135434E-4</v>
      </c>
      <c r="K1205" s="5">
        <f t="shared" si="70"/>
        <v>0.13300165837478917</v>
      </c>
    </row>
    <row r="1206" spans="1:11" x14ac:dyDescent="0.25">
      <c r="A1206" t="s">
        <v>10360</v>
      </c>
      <c r="C1206" t="s">
        <v>10361</v>
      </c>
      <c r="D1206" t="s">
        <v>309</v>
      </c>
      <c r="E1206" t="s">
        <v>6</v>
      </c>
      <c r="F1206" t="s">
        <v>251</v>
      </c>
      <c r="G1206">
        <v>12</v>
      </c>
      <c r="H1206" s="2">
        <f>Tabelle13[[#This Row],[commits]]/Tabelle13[[#Totals],[commits]]</f>
        <v>5.5773485285095464E-5</v>
      </c>
      <c r="I1206" s="5">
        <f>Tabelle13[[#This Row],[%]]+I1205</f>
        <v>0.92451523545706582</v>
      </c>
      <c r="J1206" s="4">
        <f t="shared" si="69"/>
        <v>1.105583195135434E-4</v>
      </c>
      <c r="K1206" s="5">
        <f t="shared" si="70"/>
        <v>0.1331122166943027</v>
      </c>
    </row>
    <row r="1207" spans="1:11" x14ac:dyDescent="0.25">
      <c r="A1207" t="s">
        <v>10362</v>
      </c>
      <c r="C1207" t="s">
        <v>10363</v>
      </c>
      <c r="D1207" t="s">
        <v>8948</v>
      </c>
      <c r="E1207" t="s">
        <v>6</v>
      </c>
      <c r="F1207" t="s">
        <v>251</v>
      </c>
      <c r="G1207">
        <v>12</v>
      </c>
      <c r="H1207" s="2">
        <f>Tabelle13[[#This Row],[commits]]/Tabelle13[[#Totals],[commits]]</f>
        <v>5.5773485285095464E-5</v>
      </c>
      <c r="I1207" s="5">
        <f>Tabelle13[[#This Row],[%]]+I1206</f>
        <v>0.92457100894235089</v>
      </c>
      <c r="J1207" s="4">
        <f t="shared" si="69"/>
        <v>1.105583195135434E-4</v>
      </c>
      <c r="K1207" s="5">
        <f t="shared" si="70"/>
        <v>0.13322277501381624</v>
      </c>
    </row>
    <row r="1208" spans="1:11" x14ac:dyDescent="0.25">
      <c r="A1208" t="s">
        <v>10364</v>
      </c>
      <c r="C1208" t="s">
        <v>10365</v>
      </c>
      <c r="D1208" t="s">
        <v>10366</v>
      </c>
      <c r="E1208" t="s">
        <v>6</v>
      </c>
      <c r="F1208" t="s">
        <v>251</v>
      </c>
      <c r="G1208">
        <v>12</v>
      </c>
      <c r="H1208" s="2">
        <f>Tabelle13[[#This Row],[commits]]/Tabelle13[[#Totals],[commits]]</f>
        <v>5.5773485285095464E-5</v>
      </c>
      <c r="I1208" s="5">
        <f>Tabelle13[[#This Row],[%]]+I1207</f>
        <v>0.92462678242763596</v>
      </c>
      <c r="J1208" s="4">
        <f t="shared" si="69"/>
        <v>1.105583195135434E-4</v>
      </c>
      <c r="K1208" s="5">
        <f t="shared" si="70"/>
        <v>0.13333333333332978</v>
      </c>
    </row>
    <row r="1209" spans="1:11" x14ac:dyDescent="0.25">
      <c r="A1209" t="s">
        <v>10367</v>
      </c>
      <c r="C1209" t="s">
        <v>10368</v>
      </c>
      <c r="D1209" t="s">
        <v>8757</v>
      </c>
      <c r="E1209" t="s">
        <v>6</v>
      </c>
      <c r="F1209" t="s">
        <v>251</v>
      </c>
      <c r="G1209">
        <v>12</v>
      </c>
      <c r="H1209" s="2">
        <f>Tabelle13[[#This Row],[commits]]/Tabelle13[[#Totals],[commits]]</f>
        <v>5.5773485285095464E-5</v>
      </c>
      <c r="I1209" s="5">
        <f>Tabelle13[[#This Row],[%]]+I1208</f>
        <v>0.92468255591292103</v>
      </c>
      <c r="J1209" s="4">
        <f t="shared" si="69"/>
        <v>1.105583195135434E-4</v>
      </c>
      <c r="K1209" s="5">
        <f t="shared" si="70"/>
        <v>0.13344389165284332</v>
      </c>
    </row>
    <row r="1210" spans="1:11" x14ac:dyDescent="0.25">
      <c r="A1210" t="s">
        <v>10369</v>
      </c>
      <c r="C1210" t="s">
        <v>10370</v>
      </c>
      <c r="D1210" t="s">
        <v>8757</v>
      </c>
      <c r="E1210" t="s">
        <v>6</v>
      </c>
      <c r="F1210" t="s">
        <v>251</v>
      </c>
      <c r="G1210">
        <v>12</v>
      </c>
      <c r="H1210" s="2">
        <f>Tabelle13[[#This Row],[commits]]/Tabelle13[[#Totals],[commits]]</f>
        <v>5.5773485285095464E-5</v>
      </c>
      <c r="I1210" s="5">
        <f>Tabelle13[[#This Row],[%]]+I1209</f>
        <v>0.9247383293982061</v>
      </c>
      <c r="J1210" s="4">
        <f t="shared" si="69"/>
        <v>1.105583195135434E-4</v>
      </c>
      <c r="K1210" s="5">
        <f t="shared" si="70"/>
        <v>0.13355444997235685</v>
      </c>
    </row>
    <row r="1211" spans="1:11" x14ac:dyDescent="0.25">
      <c r="A1211" t="s">
        <v>10371</v>
      </c>
      <c r="C1211" t="s">
        <v>10372</v>
      </c>
      <c r="D1211" t="s">
        <v>309</v>
      </c>
      <c r="E1211" t="s">
        <v>6</v>
      </c>
      <c r="F1211" t="s">
        <v>251</v>
      </c>
      <c r="G1211">
        <v>12</v>
      </c>
      <c r="H1211" s="2">
        <f>Tabelle13[[#This Row],[commits]]/Tabelle13[[#Totals],[commits]]</f>
        <v>5.5773485285095464E-5</v>
      </c>
      <c r="I1211" s="5">
        <f>Tabelle13[[#This Row],[%]]+I1210</f>
        <v>0.92479410288349118</v>
      </c>
      <c r="J1211" s="4">
        <f t="shared" si="69"/>
        <v>1.105583195135434E-4</v>
      </c>
      <c r="K1211" s="5">
        <f t="shared" si="70"/>
        <v>0.13366500829187039</v>
      </c>
    </row>
    <row r="1212" spans="1:11" x14ac:dyDescent="0.25">
      <c r="A1212" t="s">
        <v>10373</v>
      </c>
      <c r="C1212" t="s">
        <v>10374</v>
      </c>
      <c r="D1212" t="s">
        <v>309</v>
      </c>
      <c r="E1212" t="s">
        <v>6</v>
      </c>
      <c r="F1212" t="s">
        <v>251</v>
      </c>
      <c r="G1212">
        <v>12</v>
      </c>
      <c r="H1212" s="2">
        <f>Tabelle13[[#This Row],[commits]]/Tabelle13[[#Totals],[commits]]</f>
        <v>5.5773485285095464E-5</v>
      </c>
      <c r="I1212" s="5">
        <f>Tabelle13[[#This Row],[%]]+I1211</f>
        <v>0.92484987636877625</v>
      </c>
      <c r="J1212" s="4">
        <f t="shared" si="69"/>
        <v>1.105583195135434E-4</v>
      </c>
      <c r="K1212" s="5">
        <f t="shared" si="70"/>
        <v>0.13377556661138393</v>
      </c>
    </row>
    <row r="1213" spans="1:11" x14ac:dyDescent="0.25">
      <c r="A1213" t="s">
        <v>10375</v>
      </c>
      <c r="C1213" t="s">
        <v>10376</v>
      </c>
      <c r="D1213" t="s">
        <v>10377</v>
      </c>
      <c r="E1213" t="s">
        <v>6</v>
      </c>
      <c r="F1213" t="s">
        <v>251</v>
      </c>
      <c r="G1213">
        <v>12</v>
      </c>
      <c r="H1213" s="2">
        <f>Tabelle13[[#This Row],[commits]]/Tabelle13[[#Totals],[commits]]</f>
        <v>5.5773485285095464E-5</v>
      </c>
      <c r="I1213" s="5">
        <f>Tabelle13[[#This Row],[%]]+I1212</f>
        <v>0.92490564985406132</v>
      </c>
      <c r="J1213" s="4">
        <f t="shared" si="69"/>
        <v>1.105583195135434E-4</v>
      </c>
      <c r="K1213" s="5">
        <f t="shared" si="70"/>
        <v>0.13388612493089747</v>
      </c>
    </row>
    <row r="1214" spans="1:11" x14ac:dyDescent="0.25">
      <c r="A1214" t="s">
        <v>10378</v>
      </c>
      <c r="C1214" t="s">
        <v>10379</v>
      </c>
      <c r="D1214" t="s">
        <v>5</v>
      </c>
      <c r="E1214" t="s">
        <v>6</v>
      </c>
      <c r="F1214" t="s">
        <v>251</v>
      </c>
      <c r="G1214">
        <v>12</v>
      </c>
      <c r="H1214" s="2">
        <f>Tabelle13[[#This Row],[commits]]/Tabelle13[[#Totals],[commits]]</f>
        <v>5.5773485285095464E-5</v>
      </c>
      <c r="I1214" s="5">
        <f>Tabelle13[[#This Row],[%]]+I1213</f>
        <v>0.92496142333934639</v>
      </c>
      <c r="J1214" s="4">
        <f t="shared" si="69"/>
        <v>1.105583195135434E-4</v>
      </c>
      <c r="K1214" s="5">
        <f t="shared" si="70"/>
        <v>0.133996683250411</v>
      </c>
    </row>
    <row r="1215" spans="1:11" x14ac:dyDescent="0.25">
      <c r="A1215" t="s">
        <v>10380</v>
      </c>
      <c r="C1215" t="s">
        <v>10381</v>
      </c>
      <c r="D1215" t="s">
        <v>5</v>
      </c>
      <c r="E1215" t="s">
        <v>6</v>
      </c>
      <c r="F1215" t="s">
        <v>251</v>
      </c>
      <c r="G1215">
        <v>12</v>
      </c>
      <c r="H1215" s="2">
        <f>Tabelle13[[#This Row],[commits]]/Tabelle13[[#Totals],[commits]]</f>
        <v>5.5773485285095464E-5</v>
      </c>
      <c r="I1215" s="5">
        <f>Tabelle13[[#This Row],[%]]+I1214</f>
        <v>0.92501719682463146</v>
      </c>
      <c r="J1215" s="4">
        <f t="shared" si="69"/>
        <v>1.105583195135434E-4</v>
      </c>
      <c r="K1215" s="5">
        <f t="shared" si="70"/>
        <v>0.13410724156992454</v>
      </c>
    </row>
    <row r="1216" spans="1:11" x14ac:dyDescent="0.25">
      <c r="A1216" t="s">
        <v>10382</v>
      </c>
      <c r="C1216" t="s">
        <v>10383</v>
      </c>
      <c r="D1216" t="s">
        <v>309</v>
      </c>
      <c r="E1216" t="s">
        <v>6</v>
      </c>
      <c r="F1216" t="s">
        <v>251</v>
      </c>
      <c r="G1216">
        <v>12</v>
      </c>
      <c r="H1216" s="2">
        <f>Tabelle13[[#This Row],[commits]]/Tabelle13[[#Totals],[commits]]</f>
        <v>5.5773485285095464E-5</v>
      </c>
      <c r="I1216" s="5">
        <f>Tabelle13[[#This Row],[%]]+I1215</f>
        <v>0.92507297030991653</v>
      </c>
      <c r="J1216" s="4">
        <f t="shared" si="69"/>
        <v>1.105583195135434E-4</v>
      </c>
      <c r="K1216" s="5">
        <f t="shared" si="70"/>
        <v>0.13421779988943808</v>
      </c>
    </row>
    <row r="1217" spans="1:11" x14ac:dyDescent="0.25">
      <c r="A1217" t="s">
        <v>10384</v>
      </c>
      <c r="C1217" t="s">
        <v>10385</v>
      </c>
      <c r="D1217" t="s">
        <v>309</v>
      </c>
      <c r="E1217" t="s">
        <v>6</v>
      </c>
      <c r="F1217" t="s">
        <v>251</v>
      </c>
      <c r="G1217">
        <v>12</v>
      </c>
      <c r="H1217" s="2">
        <f>Tabelle13[[#This Row],[commits]]/Tabelle13[[#Totals],[commits]]</f>
        <v>5.5773485285095464E-5</v>
      </c>
      <c r="I1217" s="5">
        <f>Tabelle13[[#This Row],[%]]+I1216</f>
        <v>0.9251287437952016</v>
      </c>
      <c r="J1217" s="4">
        <f t="shared" si="69"/>
        <v>1.105583195135434E-4</v>
      </c>
      <c r="K1217" s="5">
        <f t="shared" si="70"/>
        <v>0.13432835820895161</v>
      </c>
    </row>
    <row r="1218" spans="1:11" x14ac:dyDescent="0.25">
      <c r="A1218" t="s">
        <v>10386</v>
      </c>
      <c r="C1218" t="s">
        <v>114</v>
      </c>
      <c r="D1218" t="s">
        <v>10387</v>
      </c>
      <c r="E1218" t="s">
        <v>6</v>
      </c>
      <c r="F1218" t="s">
        <v>251</v>
      </c>
      <c r="G1218">
        <v>12</v>
      </c>
      <c r="H1218" s="2">
        <f>Tabelle13[[#This Row],[commits]]/Tabelle13[[#Totals],[commits]]</f>
        <v>5.5773485285095464E-5</v>
      </c>
      <c r="I1218" s="5">
        <f>Tabelle13[[#This Row],[%]]+I1217</f>
        <v>0.92518451728048667</v>
      </c>
      <c r="J1218" s="4">
        <f t="shared" si="69"/>
        <v>1.105583195135434E-4</v>
      </c>
      <c r="K1218" s="5">
        <f t="shared" si="70"/>
        <v>0.13443891652846515</v>
      </c>
    </row>
    <row r="1219" spans="1:11" x14ac:dyDescent="0.25">
      <c r="A1219" t="s">
        <v>10388</v>
      </c>
      <c r="C1219" t="s">
        <v>10389</v>
      </c>
      <c r="D1219" t="s">
        <v>5</v>
      </c>
      <c r="E1219" t="s">
        <v>6</v>
      </c>
      <c r="F1219" t="s">
        <v>251</v>
      </c>
      <c r="G1219">
        <v>12</v>
      </c>
      <c r="H1219" s="2">
        <f>Tabelle13[[#This Row],[commits]]/Tabelle13[[#Totals],[commits]]</f>
        <v>5.5773485285095464E-5</v>
      </c>
      <c r="I1219" s="5">
        <f>Tabelle13[[#This Row],[%]]+I1218</f>
        <v>0.92524029076577174</v>
      </c>
      <c r="J1219" s="4">
        <f t="shared" ref="J1219:J1282" si="71">1/9045</f>
        <v>1.105583195135434E-4</v>
      </c>
      <c r="K1219" s="5">
        <f t="shared" si="70"/>
        <v>0.13454947484797869</v>
      </c>
    </row>
    <row r="1220" spans="1:11" x14ac:dyDescent="0.25">
      <c r="A1220" t="s">
        <v>10390</v>
      </c>
      <c r="C1220" t="s">
        <v>10391</v>
      </c>
      <c r="D1220" t="s">
        <v>9453</v>
      </c>
      <c r="E1220" t="s">
        <v>6</v>
      </c>
      <c r="F1220" t="s">
        <v>251</v>
      </c>
      <c r="G1220">
        <v>12</v>
      </c>
      <c r="H1220" s="2">
        <f>Tabelle13[[#This Row],[commits]]/Tabelle13[[#Totals],[commits]]</f>
        <v>5.5773485285095464E-5</v>
      </c>
      <c r="I1220" s="5">
        <f>Tabelle13[[#This Row],[%]]+I1219</f>
        <v>0.92529606425105682</v>
      </c>
      <c r="J1220" s="4">
        <f t="shared" si="71"/>
        <v>1.105583195135434E-4</v>
      </c>
      <c r="K1220" s="5">
        <f t="shared" si="70"/>
        <v>0.13466003316749223</v>
      </c>
    </row>
    <row r="1221" spans="1:11" x14ac:dyDescent="0.25">
      <c r="A1221" t="s">
        <v>10392</v>
      </c>
      <c r="C1221" t="s">
        <v>10393</v>
      </c>
      <c r="D1221" t="s">
        <v>309</v>
      </c>
      <c r="E1221" t="s">
        <v>6</v>
      </c>
      <c r="F1221" t="s">
        <v>251</v>
      </c>
      <c r="G1221">
        <v>12</v>
      </c>
      <c r="H1221" s="2">
        <f>Tabelle13[[#This Row],[commits]]/Tabelle13[[#Totals],[commits]]</f>
        <v>5.5773485285095464E-5</v>
      </c>
      <c r="I1221" s="5">
        <f>Tabelle13[[#This Row],[%]]+I1220</f>
        <v>0.92535183773634189</v>
      </c>
      <c r="J1221" s="4">
        <f t="shared" si="71"/>
        <v>1.105583195135434E-4</v>
      </c>
      <c r="K1221" s="5">
        <f t="shared" si="70"/>
        <v>0.13477059148700576</v>
      </c>
    </row>
    <row r="1222" spans="1:11" x14ac:dyDescent="0.25">
      <c r="A1222" t="s">
        <v>10394</v>
      </c>
      <c r="C1222" t="s">
        <v>10395</v>
      </c>
      <c r="D1222" t="s">
        <v>309</v>
      </c>
      <c r="E1222" t="s">
        <v>6</v>
      </c>
      <c r="F1222" t="s">
        <v>251</v>
      </c>
      <c r="G1222">
        <v>12</v>
      </c>
      <c r="H1222" s="2">
        <f>Tabelle13[[#This Row],[commits]]/Tabelle13[[#Totals],[commits]]</f>
        <v>5.5773485285095464E-5</v>
      </c>
      <c r="I1222" s="5">
        <f>Tabelle13[[#This Row],[%]]+I1221</f>
        <v>0.92540761122162696</v>
      </c>
      <c r="J1222" s="4">
        <f t="shared" si="71"/>
        <v>1.105583195135434E-4</v>
      </c>
      <c r="K1222" s="5">
        <f t="shared" ref="K1222:K1285" si="72">J1222+K1221</f>
        <v>0.1348811498065193</v>
      </c>
    </row>
    <row r="1223" spans="1:11" x14ac:dyDescent="0.25">
      <c r="A1223" t="s">
        <v>10396</v>
      </c>
      <c r="C1223" t="s">
        <v>10397</v>
      </c>
      <c r="D1223" t="s">
        <v>309</v>
      </c>
      <c r="E1223" t="s">
        <v>6</v>
      </c>
      <c r="F1223" t="s">
        <v>251</v>
      </c>
      <c r="G1223">
        <v>12</v>
      </c>
      <c r="H1223" s="2">
        <f>Tabelle13[[#This Row],[commits]]/Tabelle13[[#Totals],[commits]]</f>
        <v>5.5773485285095464E-5</v>
      </c>
      <c r="I1223" s="5">
        <f>Tabelle13[[#This Row],[%]]+I1222</f>
        <v>0.92546338470691203</v>
      </c>
      <c r="J1223" s="4">
        <f t="shared" si="71"/>
        <v>1.105583195135434E-4</v>
      </c>
      <c r="K1223" s="5">
        <f t="shared" si="72"/>
        <v>0.13499170812603284</v>
      </c>
    </row>
    <row r="1224" spans="1:11" x14ac:dyDescent="0.25">
      <c r="A1224" t="s">
        <v>10398</v>
      </c>
      <c r="C1224" t="s">
        <v>10399</v>
      </c>
      <c r="D1224" t="s">
        <v>309</v>
      </c>
      <c r="E1224" t="s">
        <v>6</v>
      </c>
      <c r="F1224" t="s">
        <v>251</v>
      </c>
      <c r="G1224">
        <v>12</v>
      </c>
      <c r="H1224" s="2">
        <f>Tabelle13[[#This Row],[commits]]/Tabelle13[[#Totals],[commits]]</f>
        <v>5.5773485285095464E-5</v>
      </c>
      <c r="I1224" s="5">
        <f>Tabelle13[[#This Row],[%]]+I1223</f>
        <v>0.9255191581921971</v>
      </c>
      <c r="J1224" s="4">
        <f t="shared" si="71"/>
        <v>1.105583195135434E-4</v>
      </c>
      <c r="K1224" s="5">
        <f t="shared" si="72"/>
        <v>0.13510226644554638</v>
      </c>
    </row>
    <row r="1225" spans="1:11" x14ac:dyDescent="0.25">
      <c r="A1225" t="s">
        <v>10400</v>
      </c>
      <c r="C1225" t="s">
        <v>10401</v>
      </c>
      <c r="D1225" t="s">
        <v>309</v>
      </c>
      <c r="E1225" t="s">
        <v>6</v>
      </c>
      <c r="F1225" t="s">
        <v>251</v>
      </c>
      <c r="G1225">
        <v>12</v>
      </c>
      <c r="H1225" s="2">
        <f>Tabelle13[[#This Row],[commits]]/Tabelle13[[#Totals],[commits]]</f>
        <v>5.5773485285095464E-5</v>
      </c>
      <c r="I1225" s="5">
        <f>Tabelle13[[#This Row],[%]]+I1224</f>
        <v>0.92557493167748217</v>
      </c>
      <c r="J1225" s="4">
        <f t="shared" si="71"/>
        <v>1.105583195135434E-4</v>
      </c>
      <c r="K1225" s="5">
        <f t="shared" si="72"/>
        <v>0.13521282476505991</v>
      </c>
    </row>
    <row r="1226" spans="1:11" x14ac:dyDescent="0.25">
      <c r="A1226" t="s">
        <v>10402</v>
      </c>
      <c r="C1226" t="s">
        <v>10403</v>
      </c>
      <c r="D1226" t="s">
        <v>309</v>
      </c>
      <c r="E1226" t="s">
        <v>6</v>
      </c>
      <c r="F1226" t="s">
        <v>251</v>
      </c>
      <c r="G1226">
        <v>12</v>
      </c>
      <c r="H1226" s="2">
        <f>Tabelle13[[#This Row],[commits]]/Tabelle13[[#Totals],[commits]]</f>
        <v>5.5773485285095464E-5</v>
      </c>
      <c r="I1226" s="5">
        <f>Tabelle13[[#This Row],[%]]+I1225</f>
        <v>0.92563070516276724</v>
      </c>
      <c r="J1226" s="4">
        <f t="shared" si="71"/>
        <v>1.105583195135434E-4</v>
      </c>
      <c r="K1226" s="5">
        <f t="shared" si="72"/>
        <v>0.13532338308457345</v>
      </c>
    </row>
    <row r="1227" spans="1:11" x14ac:dyDescent="0.25">
      <c r="A1227" t="s">
        <v>10404</v>
      </c>
      <c r="C1227" t="s">
        <v>10405</v>
      </c>
      <c r="D1227" t="s">
        <v>309</v>
      </c>
      <c r="E1227" t="s">
        <v>6</v>
      </c>
      <c r="F1227" t="s">
        <v>251</v>
      </c>
      <c r="G1227">
        <v>12</v>
      </c>
      <c r="H1227" s="2">
        <f>Tabelle13[[#This Row],[commits]]/Tabelle13[[#Totals],[commits]]</f>
        <v>5.5773485285095464E-5</v>
      </c>
      <c r="I1227" s="5">
        <f>Tabelle13[[#This Row],[%]]+I1226</f>
        <v>0.92568647864805231</v>
      </c>
      <c r="J1227" s="4">
        <f t="shared" si="71"/>
        <v>1.105583195135434E-4</v>
      </c>
      <c r="K1227" s="5">
        <f t="shared" si="72"/>
        <v>0.13543394140408699</v>
      </c>
    </row>
    <row r="1228" spans="1:11" x14ac:dyDescent="0.25">
      <c r="A1228" t="s">
        <v>10406</v>
      </c>
      <c r="C1228" t="s">
        <v>10407</v>
      </c>
      <c r="D1228" t="s">
        <v>5</v>
      </c>
      <c r="E1228" t="s">
        <v>6</v>
      </c>
      <c r="F1228" t="s">
        <v>251</v>
      </c>
      <c r="G1228">
        <v>12</v>
      </c>
      <c r="H1228" s="2">
        <f>Tabelle13[[#This Row],[commits]]/Tabelle13[[#Totals],[commits]]</f>
        <v>5.5773485285095464E-5</v>
      </c>
      <c r="I1228" s="5">
        <f>Tabelle13[[#This Row],[%]]+I1227</f>
        <v>0.92574225213333738</v>
      </c>
      <c r="J1228" s="4">
        <f t="shared" si="71"/>
        <v>1.105583195135434E-4</v>
      </c>
      <c r="K1228" s="5">
        <f t="shared" si="72"/>
        <v>0.13554449972360053</v>
      </c>
    </row>
    <row r="1229" spans="1:11" x14ac:dyDescent="0.25">
      <c r="A1229" t="s">
        <v>10408</v>
      </c>
      <c r="C1229" t="s">
        <v>10409</v>
      </c>
      <c r="D1229" t="s">
        <v>5</v>
      </c>
      <c r="E1229" t="s">
        <v>6</v>
      </c>
      <c r="F1229" t="s">
        <v>251</v>
      </c>
      <c r="G1229">
        <v>12</v>
      </c>
      <c r="H1229" s="2">
        <f>Tabelle13[[#This Row],[commits]]/Tabelle13[[#Totals],[commits]]</f>
        <v>5.5773485285095464E-5</v>
      </c>
      <c r="I1229" s="5">
        <f>Tabelle13[[#This Row],[%]]+I1228</f>
        <v>0.92579802561862246</v>
      </c>
      <c r="J1229" s="4">
        <f t="shared" si="71"/>
        <v>1.105583195135434E-4</v>
      </c>
      <c r="K1229" s="5">
        <f t="shared" si="72"/>
        <v>0.13565505804311406</v>
      </c>
    </row>
    <row r="1230" spans="1:11" x14ac:dyDescent="0.25">
      <c r="A1230" t="s">
        <v>10410</v>
      </c>
      <c r="C1230" t="s">
        <v>10411</v>
      </c>
      <c r="D1230" t="s">
        <v>5</v>
      </c>
      <c r="E1230" t="s">
        <v>6</v>
      </c>
      <c r="F1230" t="s">
        <v>251</v>
      </c>
      <c r="G1230">
        <v>12</v>
      </c>
      <c r="H1230" s="2">
        <f>Tabelle13[[#This Row],[commits]]/Tabelle13[[#Totals],[commits]]</f>
        <v>5.5773485285095464E-5</v>
      </c>
      <c r="I1230" s="5">
        <f>Tabelle13[[#This Row],[%]]+I1229</f>
        <v>0.92585379910390753</v>
      </c>
      <c r="J1230" s="4">
        <f t="shared" si="71"/>
        <v>1.105583195135434E-4</v>
      </c>
      <c r="K1230" s="5">
        <f t="shared" si="72"/>
        <v>0.1357656163626276</v>
      </c>
    </row>
    <row r="1231" spans="1:11" x14ac:dyDescent="0.25">
      <c r="A1231" t="s">
        <v>10412</v>
      </c>
      <c r="C1231" t="s">
        <v>10413</v>
      </c>
      <c r="D1231" t="s">
        <v>5</v>
      </c>
      <c r="E1231" t="s">
        <v>6</v>
      </c>
      <c r="F1231" t="s">
        <v>251</v>
      </c>
      <c r="G1231">
        <v>12</v>
      </c>
      <c r="H1231" s="2">
        <f>Tabelle13[[#This Row],[commits]]/Tabelle13[[#Totals],[commits]]</f>
        <v>5.5773485285095464E-5</v>
      </c>
      <c r="I1231" s="5">
        <f>Tabelle13[[#This Row],[%]]+I1230</f>
        <v>0.9259095725891926</v>
      </c>
      <c r="J1231" s="4">
        <f t="shared" si="71"/>
        <v>1.105583195135434E-4</v>
      </c>
      <c r="K1231" s="5">
        <f t="shared" si="72"/>
        <v>0.13587617468214114</v>
      </c>
    </row>
    <row r="1232" spans="1:11" x14ac:dyDescent="0.25">
      <c r="A1232" t="s">
        <v>10414</v>
      </c>
      <c r="C1232" t="s">
        <v>10415</v>
      </c>
      <c r="D1232" t="s">
        <v>9035</v>
      </c>
      <c r="E1232" t="s">
        <v>6</v>
      </c>
      <c r="F1232" t="s">
        <v>251</v>
      </c>
      <c r="G1232">
        <v>12</v>
      </c>
      <c r="H1232" s="2">
        <f>Tabelle13[[#This Row],[commits]]/Tabelle13[[#Totals],[commits]]</f>
        <v>5.5773485285095464E-5</v>
      </c>
      <c r="I1232" s="5">
        <f>Tabelle13[[#This Row],[%]]+I1231</f>
        <v>0.92596534607447767</v>
      </c>
      <c r="J1232" s="4">
        <f t="shared" si="71"/>
        <v>1.105583195135434E-4</v>
      </c>
      <c r="K1232" s="5">
        <f t="shared" si="72"/>
        <v>0.13598673300165467</v>
      </c>
    </row>
    <row r="1233" spans="1:11" x14ac:dyDescent="0.25">
      <c r="A1233" t="s">
        <v>10416</v>
      </c>
      <c r="C1233" t="s">
        <v>10417</v>
      </c>
      <c r="D1233" t="s">
        <v>5</v>
      </c>
      <c r="E1233" t="s">
        <v>6</v>
      </c>
      <c r="F1233" t="s">
        <v>251</v>
      </c>
      <c r="G1233">
        <v>12</v>
      </c>
      <c r="H1233" s="2">
        <f>Tabelle13[[#This Row],[commits]]/Tabelle13[[#Totals],[commits]]</f>
        <v>5.5773485285095464E-5</v>
      </c>
      <c r="I1233" s="5">
        <f>Tabelle13[[#This Row],[%]]+I1232</f>
        <v>0.92602111955976274</v>
      </c>
      <c r="J1233" s="4">
        <f t="shared" si="71"/>
        <v>1.105583195135434E-4</v>
      </c>
      <c r="K1233" s="5">
        <f t="shared" si="72"/>
        <v>0.13609729132116821</v>
      </c>
    </row>
    <row r="1234" spans="1:11" x14ac:dyDescent="0.25">
      <c r="A1234" t="s">
        <v>10418</v>
      </c>
      <c r="C1234" t="s">
        <v>10419</v>
      </c>
      <c r="D1234" t="s">
        <v>5</v>
      </c>
      <c r="E1234" t="s">
        <v>6</v>
      </c>
      <c r="F1234" t="s">
        <v>251</v>
      </c>
      <c r="G1234">
        <v>12</v>
      </c>
      <c r="H1234" s="2">
        <f>Tabelle13[[#This Row],[commits]]/Tabelle13[[#Totals],[commits]]</f>
        <v>5.5773485285095464E-5</v>
      </c>
      <c r="I1234" s="5">
        <f>Tabelle13[[#This Row],[%]]+I1233</f>
        <v>0.92607689304504781</v>
      </c>
      <c r="J1234" s="4">
        <f t="shared" si="71"/>
        <v>1.105583195135434E-4</v>
      </c>
      <c r="K1234" s="5">
        <f t="shared" si="72"/>
        <v>0.13620784964068175</v>
      </c>
    </row>
    <row r="1235" spans="1:11" x14ac:dyDescent="0.25">
      <c r="A1235" t="s">
        <v>10420</v>
      </c>
      <c r="C1235" t="s">
        <v>10421</v>
      </c>
      <c r="D1235" t="s">
        <v>5</v>
      </c>
      <c r="E1235" t="s">
        <v>6</v>
      </c>
      <c r="F1235" t="s">
        <v>251</v>
      </c>
      <c r="G1235">
        <v>12</v>
      </c>
      <c r="H1235" s="2">
        <f>Tabelle13[[#This Row],[commits]]/Tabelle13[[#Totals],[commits]]</f>
        <v>5.5773485285095464E-5</v>
      </c>
      <c r="I1235" s="5">
        <f>Tabelle13[[#This Row],[%]]+I1234</f>
        <v>0.92613266653033288</v>
      </c>
      <c r="J1235" s="4">
        <f t="shared" si="71"/>
        <v>1.105583195135434E-4</v>
      </c>
      <c r="K1235" s="5">
        <f t="shared" si="72"/>
        <v>0.13631840796019529</v>
      </c>
    </row>
    <row r="1236" spans="1:11" x14ac:dyDescent="0.25">
      <c r="A1236" t="s">
        <v>10422</v>
      </c>
      <c r="C1236" t="s">
        <v>10423</v>
      </c>
      <c r="D1236" t="s">
        <v>5</v>
      </c>
      <c r="E1236" t="s">
        <v>6</v>
      </c>
      <c r="F1236" t="s">
        <v>251</v>
      </c>
      <c r="G1236">
        <v>12</v>
      </c>
      <c r="H1236" s="2">
        <f>Tabelle13[[#This Row],[commits]]/Tabelle13[[#Totals],[commits]]</f>
        <v>5.5773485285095464E-5</v>
      </c>
      <c r="I1236" s="5">
        <f>Tabelle13[[#This Row],[%]]+I1235</f>
        <v>0.92618844001561795</v>
      </c>
      <c r="J1236" s="4">
        <f t="shared" si="71"/>
        <v>1.105583195135434E-4</v>
      </c>
      <c r="K1236" s="5">
        <f t="shared" si="72"/>
        <v>0.13642896627970882</v>
      </c>
    </row>
    <row r="1237" spans="1:11" x14ac:dyDescent="0.25">
      <c r="A1237" t="s">
        <v>10424</v>
      </c>
      <c r="C1237" t="s">
        <v>10425</v>
      </c>
      <c r="D1237" t="s">
        <v>5</v>
      </c>
      <c r="E1237" t="s">
        <v>6</v>
      </c>
      <c r="F1237" t="s">
        <v>251</v>
      </c>
      <c r="G1237">
        <v>12</v>
      </c>
      <c r="H1237" s="2">
        <f>Tabelle13[[#This Row],[commits]]/Tabelle13[[#Totals],[commits]]</f>
        <v>5.5773485285095464E-5</v>
      </c>
      <c r="I1237" s="5">
        <f>Tabelle13[[#This Row],[%]]+I1236</f>
        <v>0.92624421350090302</v>
      </c>
      <c r="J1237" s="4">
        <f t="shared" si="71"/>
        <v>1.105583195135434E-4</v>
      </c>
      <c r="K1237" s="5">
        <f t="shared" si="72"/>
        <v>0.13653952459922236</v>
      </c>
    </row>
    <row r="1238" spans="1:11" x14ac:dyDescent="0.25">
      <c r="A1238" t="s">
        <v>10426</v>
      </c>
      <c r="C1238" t="s">
        <v>10427</v>
      </c>
      <c r="D1238" t="s">
        <v>309</v>
      </c>
      <c r="E1238" t="s">
        <v>6</v>
      </c>
      <c r="F1238" t="s">
        <v>251</v>
      </c>
      <c r="G1238">
        <v>12</v>
      </c>
      <c r="H1238" s="2">
        <f>Tabelle13[[#This Row],[commits]]/Tabelle13[[#Totals],[commits]]</f>
        <v>5.5773485285095464E-5</v>
      </c>
      <c r="I1238" s="5">
        <f>Tabelle13[[#This Row],[%]]+I1237</f>
        <v>0.9262999869861881</v>
      </c>
      <c r="J1238" s="4">
        <f t="shared" si="71"/>
        <v>1.105583195135434E-4</v>
      </c>
      <c r="K1238" s="5">
        <f t="shared" si="72"/>
        <v>0.1366500829187359</v>
      </c>
    </row>
    <row r="1239" spans="1:11" x14ac:dyDescent="0.25">
      <c r="A1239" t="s">
        <v>10428</v>
      </c>
      <c r="C1239" t="s">
        <v>10429</v>
      </c>
      <c r="D1239" t="s">
        <v>9062</v>
      </c>
      <c r="E1239" t="s">
        <v>6</v>
      </c>
      <c r="F1239" t="s">
        <v>251</v>
      </c>
      <c r="G1239">
        <v>12</v>
      </c>
      <c r="H1239" s="2">
        <f>Tabelle13[[#This Row],[commits]]/Tabelle13[[#Totals],[commits]]</f>
        <v>5.5773485285095464E-5</v>
      </c>
      <c r="I1239" s="5">
        <f>Tabelle13[[#This Row],[%]]+I1238</f>
        <v>0.92635576047147317</v>
      </c>
      <c r="J1239" s="4">
        <f t="shared" si="71"/>
        <v>1.105583195135434E-4</v>
      </c>
      <c r="K1239" s="5">
        <f t="shared" si="72"/>
        <v>0.13676064123824944</v>
      </c>
    </row>
    <row r="1240" spans="1:11" x14ac:dyDescent="0.25">
      <c r="A1240" t="s">
        <v>10430</v>
      </c>
      <c r="C1240" t="s">
        <v>10431</v>
      </c>
      <c r="D1240" t="s">
        <v>8948</v>
      </c>
      <c r="E1240" t="s">
        <v>6</v>
      </c>
      <c r="F1240" t="s">
        <v>251</v>
      </c>
      <c r="G1240">
        <v>12</v>
      </c>
      <c r="H1240" s="2">
        <f>Tabelle13[[#This Row],[commits]]/Tabelle13[[#Totals],[commits]]</f>
        <v>5.5773485285095464E-5</v>
      </c>
      <c r="I1240" s="5">
        <f>Tabelle13[[#This Row],[%]]+I1239</f>
        <v>0.92641153395675824</v>
      </c>
      <c r="J1240" s="4">
        <f t="shared" si="71"/>
        <v>1.105583195135434E-4</v>
      </c>
      <c r="K1240" s="5">
        <f t="shared" si="72"/>
        <v>0.13687119955776297</v>
      </c>
    </row>
    <row r="1241" spans="1:11" x14ac:dyDescent="0.25">
      <c r="A1241" t="s">
        <v>10432</v>
      </c>
      <c r="C1241" t="s">
        <v>10433</v>
      </c>
      <c r="D1241" t="s">
        <v>8874</v>
      </c>
      <c r="E1241" t="s">
        <v>6</v>
      </c>
      <c r="F1241" t="s">
        <v>251</v>
      </c>
      <c r="G1241">
        <v>12</v>
      </c>
      <c r="H1241" s="2">
        <f>Tabelle13[[#This Row],[commits]]/Tabelle13[[#Totals],[commits]]</f>
        <v>5.5773485285095464E-5</v>
      </c>
      <c r="I1241" s="5">
        <f>Tabelle13[[#This Row],[%]]+I1240</f>
        <v>0.92646730744204331</v>
      </c>
      <c r="J1241" s="4">
        <f t="shared" si="71"/>
        <v>1.105583195135434E-4</v>
      </c>
      <c r="K1241" s="5">
        <f t="shared" si="72"/>
        <v>0.13698175787727651</v>
      </c>
    </row>
    <row r="1242" spans="1:11" x14ac:dyDescent="0.25">
      <c r="A1242" t="s">
        <v>10434</v>
      </c>
      <c r="C1242" t="s">
        <v>10435</v>
      </c>
      <c r="D1242" t="s">
        <v>5</v>
      </c>
      <c r="E1242" t="s">
        <v>6</v>
      </c>
      <c r="F1242" t="s">
        <v>251</v>
      </c>
      <c r="G1242">
        <v>12</v>
      </c>
      <c r="H1242" s="2">
        <f>Tabelle13[[#This Row],[commits]]/Tabelle13[[#Totals],[commits]]</f>
        <v>5.5773485285095464E-5</v>
      </c>
      <c r="I1242" s="5">
        <f>Tabelle13[[#This Row],[%]]+I1241</f>
        <v>0.92652308092732838</v>
      </c>
      <c r="J1242" s="4">
        <f t="shared" si="71"/>
        <v>1.105583195135434E-4</v>
      </c>
      <c r="K1242" s="5">
        <f t="shared" si="72"/>
        <v>0.13709231619679005</v>
      </c>
    </row>
    <row r="1243" spans="1:11" x14ac:dyDescent="0.25">
      <c r="A1243" t="s">
        <v>10436</v>
      </c>
      <c r="C1243" t="s">
        <v>10437</v>
      </c>
      <c r="D1243" t="s">
        <v>5</v>
      </c>
      <c r="E1243" t="s">
        <v>6</v>
      </c>
      <c r="F1243" t="s">
        <v>251</v>
      </c>
      <c r="G1243">
        <v>12</v>
      </c>
      <c r="H1243" s="2">
        <f>Tabelle13[[#This Row],[commits]]/Tabelle13[[#Totals],[commits]]</f>
        <v>5.5773485285095464E-5</v>
      </c>
      <c r="I1243" s="5">
        <f>Tabelle13[[#This Row],[%]]+I1242</f>
        <v>0.92657885441261345</v>
      </c>
      <c r="J1243" s="4">
        <f t="shared" si="71"/>
        <v>1.105583195135434E-4</v>
      </c>
      <c r="K1243" s="5">
        <f t="shared" si="72"/>
        <v>0.13720287451630359</v>
      </c>
    </row>
    <row r="1244" spans="1:11" x14ac:dyDescent="0.25">
      <c r="A1244" t="s">
        <v>10438</v>
      </c>
      <c r="C1244" t="s">
        <v>10439</v>
      </c>
      <c r="D1244" t="s">
        <v>10440</v>
      </c>
      <c r="E1244" t="s">
        <v>6</v>
      </c>
      <c r="F1244" t="s">
        <v>251</v>
      </c>
      <c r="G1244">
        <v>12</v>
      </c>
      <c r="H1244" s="2">
        <f>Tabelle13[[#This Row],[commits]]/Tabelle13[[#Totals],[commits]]</f>
        <v>5.5773485285095464E-5</v>
      </c>
      <c r="I1244" s="5">
        <f>Tabelle13[[#This Row],[%]]+I1243</f>
        <v>0.92663462789789852</v>
      </c>
      <c r="J1244" s="4">
        <f t="shared" si="71"/>
        <v>1.105583195135434E-4</v>
      </c>
      <c r="K1244" s="5">
        <f t="shared" si="72"/>
        <v>0.13731343283581712</v>
      </c>
    </row>
    <row r="1245" spans="1:11" x14ac:dyDescent="0.25">
      <c r="A1245" t="s">
        <v>10441</v>
      </c>
      <c r="C1245" t="s">
        <v>10442</v>
      </c>
      <c r="D1245" t="s">
        <v>5</v>
      </c>
      <c r="E1245" t="s">
        <v>6</v>
      </c>
      <c r="F1245" t="s">
        <v>251</v>
      </c>
      <c r="G1245">
        <v>12</v>
      </c>
      <c r="H1245" s="2">
        <f>Tabelle13[[#This Row],[commits]]/Tabelle13[[#Totals],[commits]]</f>
        <v>5.5773485285095464E-5</v>
      </c>
      <c r="I1245" s="5">
        <f>Tabelle13[[#This Row],[%]]+I1244</f>
        <v>0.92669040138318359</v>
      </c>
      <c r="J1245" s="4">
        <f t="shared" si="71"/>
        <v>1.105583195135434E-4</v>
      </c>
      <c r="K1245" s="5">
        <f t="shared" si="72"/>
        <v>0.13742399115533066</v>
      </c>
    </row>
    <row r="1246" spans="1:11" x14ac:dyDescent="0.25">
      <c r="A1246" t="s">
        <v>10443</v>
      </c>
      <c r="C1246" t="s">
        <v>10444</v>
      </c>
      <c r="D1246" t="s">
        <v>309</v>
      </c>
      <c r="E1246" t="s">
        <v>6</v>
      </c>
      <c r="F1246" t="s">
        <v>251</v>
      </c>
      <c r="G1246">
        <v>12</v>
      </c>
      <c r="H1246" s="2">
        <f>Tabelle13[[#This Row],[commits]]/Tabelle13[[#Totals],[commits]]</f>
        <v>5.5773485285095464E-5</v>
      </c>
      <c r="I1246" s="5">
        <f>Tabelle13[[#This Row],[%]]+I1245</f>
        <v>0.92674617486846866</v>
      </c>
      <c r="J1246" s="4">
        <f t="shared" si="71"/>
        <v>1.105583195135434E-4</v>
      </c>
      <c r="K1246" s="5">
        <f t="shared" si="72"/>
        <v>0.1375345494748442</v>
      </c>
    </row>
    <row r="1247" spans="1:11" x14ac:dyDescent="0.25">
      <c r="A1247" t="s">
        <v>10445</v>
      </c>
      <c r="C1247" t="s">
        <v>10446</v>
      </c>
      <c r="D1247" t="s">
        <v>5</v>
      </c>
      <c r="E1247" t="s">
        <v>6</v>
      </c>
      <c r="F1247" t="s">
        <v>251</v>
      </c>
      <c r="G1247">
        <v>12</v>
      </c>
      <c r="H1247" s="2">
        <f>Tabelle13[[#This Row],[commits]]/Tabelle13[[#Totals],[commits]]</f>
        <v>5.5773485285095464E-5</v>
      </c>
      <c r="I1247" s="5">
        <f>Tabelle13[[#This Row],[%]]+I1246</f>
        <v>0.92680194835375374</v>
      </c>
      <c r="J1247" s="4">
        <f t="shared" si="71"/>
        <v>1.105583195135434E-4</v>
      </c>
      <c r="K1247" s="5">
        <f t="shared" si="72"/>
        <v>0.13764510779435774</v>
      </c>
    </row>
    <row r="1248" spans="1:11" x14ac:dyDescent="0.25">
      <c r="A1248" t="s">
        <v>10447</v>
      </c>
      <c r="C1248" t="s">
        <v>10448</v>
      </c>
      <c r="D1248" t="s">
        <v>5</v>
      </c>
      <c r="E1248" t="s">
        <v>6</v>
      </c>
      <c r="F1248" t="s">
        <v>251</v>
      </c>
      <c r="G1248">
        <v>12</v>
      </c>
      <c r="H1248" s="2">
        <f>Tabelle13[[#This Row],[commits]]/Tabelle13[[#Totals],[commits]]</f>
        <v>5.5773485285095464E-5</v>
      </c>
      <c r="I1248" s="5">
        <f>Tabelle13[[#This Row],[%]]+I1247</f>
        <v>0.92685772183903881</v>
      </c>
      <c r="J1248" s="4">
        <f t="shared" si="71"/>
        <v>1.105583195135434E-4</v>
      </c>
      <c r="K1248" s="5">
        <f t="shared" si="72"/>
        <v>0.13775566611387127</v>
      </c>
    </row>
    <row r="1249" spans="1:11" x14ac:dyDescent="0.25">
      <c r="A1249" t="s">
        <v>10449</v>
      </c>
      <c r="C1249" t="s">
        <v>10450</v>
      </c>
      <c r="D1249" t="s">
        <v>5</v>
      </c>
      <c r="E1249" t="s">
        <v>6</v>
      </c>
      <c r="F1249" t="s">
        <v>251</v>
      </c>
      <c r="G1249">
        <v>12</v>
      </c>
      <c r="H1249" s="2">
        <f>Tabelle13[[#This Row],[commits]]/Tabelle13[[#Totals],[commits]]</f>
        <v>5.5773485285095464E-5</v>
      </c>
      <c r="I1249" s="5">
        <f>Tabelle13[[#This Row],[%]]+I1248</f>
        <v>0.92691349532432388</v>
      </c>
      <c r="J1249" s="4">
        <f t="shared" si="71"/>
        <v>1.105583195135434E-4</v>
      </c>
      <c r="K1249" s="5">
        <f t="shared" si="72"/>
        <v>0.13786622443338481</v>
      </c>
    </row>
    <row r="1250" spans="1:11" x14ac:dyDescent="0.25">
      <c r="A1250" t="s">
        <v>10451</v>
      </c>
      <c r="C1250" t="s">
        <v>9206</v>
      </c>
      <c r="D1250" t="s">
        <v>10452</v>
      </c>
      <c r="E1250" t="s">
        <v>6</v>
      </c>
      <c r="F1250" t="s">
        <v>251</v>
      </c>
      <c r="G1250">
        <v>12</v>
      </c>
      <c r="H1250" s="2">
        <f>Tabelle13[[#This Row],[commits]]/Tabelle13[[#Totals],[commits]]</f>
        <v>5.5773485285095464E-5</v>
      </c>
      <c r="I1250" s="5">
        <f>Tabelle13[[#This Row],[%]]+I1249</f>
        <v>0.92696926880960895</v>
      </c>
      <c r="J1250" s="4">
        <f t="shared" si="71"/>
        <v>1.105583195135434E-4</v>
      </c>
      <c r="K1250" s="5">
        <f t="shared" si="72"/>
        <v>0.13797678275289835</v>
      </c>
    </row>
    <row r="1251" spans="1:11" x14ac:dyDescent="0.25">
      <c r="A1251" t="s">
        <v>10453</v>
      </c>
      <c r="C1251" t="s">
        <v>10017</v>
      </c>
      <c r="D1251" t="s">
        <v>309</v>
      </c>
      <c r="E1251" t="s">
        <v>6</v>
      </c>
      <c r="F1251" t="s">
        <v>251</v>
      </c>
      <c r="G1251">
        <v>12</v>
      </c>
      <c r="H1251" s="2">
        <f>Tabelle13[[#This Row],[commits]]/Tabelle13[[#Totals],[commits]]</f>
        <v>5.5773485285095464E-5</v>
      </c>
      <c r="I1251" s="5">
        <f>Tabelle13[[#This Row],[%]]+I1250</f>
        <v>0.92702504229489402</v>
      </c>
      <c r="J1251" s="4">
        <f t="shared" si="71"/>
        <v>1.105583195135434E-4</v>
      </c>
      <c r="K1251" s="5">
        <f t="shared" si="72"/>
        <v>0.13808734107241188</v>
      </c>
    </row>
    <row r="1252" spans="1:11" x14ac:dyDescent="0.25">
      <c r="A1252" t="s">
        <v>10454</v>
      </c>
      <c r="C1252" t="s">
        <v>9721</v>
      </c>
      <c r="D1252" t="s">
        <v>5</v>
      </c>
      <c r="E1252" t="s">
        <v>6</v>
      </c>
      <c r="F1252" t="s">
        <v>251</v>
      </c>
      <c r="G1252">
        <v>12</v>
      </c>
      <c r="H1252" s="2">
        <f>Tabelle13[[#This Row],[commits]]/Tabelle13[[#Totals],[commits]]</f>
        <v>5.5773485285095464E-5</v>
      </c>
      <c r="I1252" s="5">
        <f>Tabelle13[[#This Row],[%]]+I1251</f>
        <v>0.92708081578017909</v>
      </c>
      <c r="J1252" s="4">
        <f t="shared" si="71"/>
        <v>1.105583195135434E-4</v>
      </c>
      <c r="K1252" s="5">
        <f t="shared" si="72"/>
        <v>0.13819789939192542</v>
      </c>
    </row>
    <row r="1253" spans="1:11" x14ac:dyDescent="0.25">
      <c r="A1253" t="s">
        <v>119</v>
      </c>
      <c r="C1253" t="s">
        <v>120</v>
      </c>
      <c r="D1253" t="s">
        <v>5</v>
      </c>
      <c r="E1253" t="s">
        <v>6</v>
      </c>
      <c r="F1253" t="s">
        <v>7</v>
      </c>
      <c r="G1253">
        <v>11</v>
      </c>
      <c r="H1253" s="2">
        <f>Tabelle13[[#This Row],[commits]]/Tabelle13[[#Totals],[commits]]</f>
        <v>5.1125694844670844E-5</v>
      </c>
      <c r="I1253" s="5">
        <f>Tabelle13[[#This Row],[%]]+I1252</f>
        <v>0.92713194147502376</v>
      </c>
      <c r="J1253" s="4">
        <f t="shared" si="71"/>
        <v>1.105583195135434E-4</v>
      </c>
      <c r="K1253" s="5">
        <f t="shared" si="72"/>
        <v>0.13830845771143896</v>
      </c>
    </row>
    <row r="1254" spans="1:11" x14ac:dyDescent="0.25">
      <c r="A1254" t="s">
        <v>121</v>
      </c>
      <c r="C1254" t="s">
        <v>122</v>
      </c>
      <c r="D1254" t="s">
        <v>5</v>
      </c>
      <c r="E1254" t="s">
        <v>6</v>
      </c>
      <c r="F1254" t="s">
        <v>7</v>
      </c>
      <c r="G1254">
        <v>11</v>
      </c>
      <c r="H1254" s="2">
        <f>Tabelle13[[#This Row],[commits]]/Tabelle13[[#Totals],[commits]]</f>
        <v>5.1125694844670844E-5</v>
      </c>
      <c r="I1254" s="5">
        <f>Tabelle13[[#This Row],[%]]+I1253</f>
        <v>0.92718306716986842</v>
      </c>
      <c r="J1254" s="4">
        <f t="shared" si="71"/>
        <v>1.105583195135434E-4</v>
      </c>
      <c r="K1254" s="5">
        <f t="shared" si="72"/>
        <v>0.1384190160309525</v>
      </c>
    </row>
    <row r="1255" spans="1:11" x14ac:dyDescent="0.25">
      <c r="A1255" t="s">
        <v>2635</v>
      </c>
      <c r="C1255" t="s">
        <v>2636</v>
      </c>
      <c r="D1255" t="s">
        <v>5</v>
      </c>
      <c r="E1255" t="s">
        <v>6</v>
      </c>
      <c r="F1255" t="s">
        <v>724</v>
      </c>
      <c r="G1255">
        <v>11</v>
      </c>
      <c r="H1255" s="2">
        <f>Tabelle13[[#This Row],[commits]]/Tabelle13[[#Totals],[commits]]</f>
        <v>5.1125694844670844E-5</v>
      </c>
      <c r="I1255" s="5">
        <f>Tabelle13[[#This Row],[%]]+I1254</f>
        <v>0.92723419286471309</v>
      </c>
      <c r="J1255" s="4">
        <f t="shared" si="71"/>
        <v>1.105583195135434E-4</v>
      </c>
      <c r="K1255" s="5">
        <f t="shared" si="72"/>
        <v>0.13852957435046603</v>
      </c>
    </row>
    <row r="1256" spans="1:11" x14ac:dyDescent="0.25">
      <c r="A1256" t="s">
        <v>2637</v>
      </c>
      <c r="C1256" t="s">
        <v>2638</v>
      </c>
      <c r="D1256" t="s">
        <v>5</v>
      </c>
      <c r="E1256" t="s">
        <v>6</v>
      </c>
      <c r="F1256" t="s">
        <v>724</v>
      </c>
      <c r="G1256">
        <v>11</v>
      </c>
      <c r="H1256" s="2">
        <f>Tabelle13[[#This Row],[commits]]/Tabelle13[[#Totals],[commits]]</f>
        <v>5.1125694844670844E-5</v>
      </c>
      <c r="I1256" s="5">
        <f>Tabelle13[[#This Row],[%]]+I1255</f>
        <v>0.92728531855955776</v>
      </c>
      <c r="J1256" s="4">
        <f t="shared" si="71"/>
        <v>1.105583195135434E-4</v>
      </c>
      <c r="K1256" s="5">
        <f t="shared" si="72"/>
        <v>0.13864013266997957</v>
      </c>
    </row>
    <row r="1257" spans="1:11" x14ac:dyDescent="0.25">
      <c r="A1257" t="s">
        <v>2639</v>
      </c>
      <c r="C1257" t="s">
        <v>2640</v>
      </c>
      <c r="D1257" t="s">
        <v>2641</v>
      </c>
      <c r="E1257" t="s">
        <v>6</v>
      </c>
      <c r="F1257" t="s">
        <v>724</v>
      </c>
      <c r="G1257">
        <v>11</v>
      </c>
      <c r="H1257" s="2">
        <f>Tabelle13[[#This Row],[commits]]/Tabelle13[[#Totals],[commits]]</f>
        <v>5.1125694844670844E-5</v>
      </c>
      <c r="I1257" s="5">
        <f>Tabelle13[[#This Row],[%]]+I1256</f>
        <v>0.92733644425440243</v>
      </c>
      <c r="J1257" s="4">
        <f t="shared" si="71"/>
        <v>1.105583195135434E-4</v>
      </c>
      <c r="K1257" s="5">
        <f t="shared" si="72"/>
        <v>0.13875069098949311</v>
      </c>
    </row>
    <row r="1258" spans="1:11" x14ac:dyDescent="0.25">
      <c r="A1258" t="s">
        <v>2642</v>
      </c>
      <c r="C1258" t="s">
        <v>2643</v>
      </c>
      <c r="D1258" t="s">
        <v>5</v>
      </c>
      <c r="E1258" t="s">
        <v>6</v>
      </c>
      <c r="F1258" t="s">
        <v>724</v>
      </c>
      <c r="G1258">
        <v>11</v>
      </c>
      <c r="H1258" s="2">
        <f>Tabelle13[[#This Row],[commits]]/Tabelle13[[#Totals],[commits]]</f>
        <v>5.1125694844670844E-5</v>
      </c>
      <c r="I1258" s="5">
        <f>Tabelle13[[#This Row],[%]]+I1257</f>
        <v>0.92738756994924709</v>
      </c>
      <c r="J1258" s="4">
        <f t="shared" si="71"/>
        <v>1.105583195135434E-4</v>
      </c>
      <c r="K1258" s="5">
        <f t="shared" si="72"/>
        <v>0.13886124930900665</v>
      </c>
    </row>
    <row r="1259" spans="1:11" x14ac:dyDescent="0.25">
      <c r="A1259" t="s">
        <v>2644</v>
      </c>
      <c r="C1259" t="s">
        <v>2645</v>
      </c>
      <c r="D1259" t="s">
        <v>309</v>
      </c>
      <c r="E1259" t="s">
        <v>6</v>
      </c>
      <c r="F1259" t="s">
        <v>724</v>
      </c>
      <c r="G1259">
        <v>11</v>
      </c>
      <c r="H1259" s="2">
        <f>Tabelle13[[#This Row],[commits]]/Tabelle13[[#Totals],[commits]]</f>
        <v>5.1125694844670844E-5</v>
      </c>
      <c r="I1259" s="5">
        <f>Tabelle13[[#This Row],[%]]+I1258</f>
        <v>0.92743869564409176</v>
      </c>
      <c r="J1259" s="4">
        <f t="shared" si="71"/>
        <v>1.105583195135434E-4</v>
      </c>
      <c r="K1259" s="5">
        <f t="shared" si="72"/>
        <v>0.13897180762852018</v>
      </c>
    </row>
    <row r="1260" spans="1:11" x14ac:dyDescent="0.25">
      <c r="A1260" t="s">
        <v>2646</v>
      </c>
      <c r="C1260" t="s">
        <v>2647</v>
      </c>
      <c r="D1260" t="s">
        <v>5</v>
      </c>
      <c r="E1260" t="s">
        <v>6</v>
      </c>
      <c r="F1260" t="s">
        <v>724</v>
      </c>
      <c r="G1260">
        <v>11</v>
      </c>
      <c r="H1260" s="2">
        <f>Tabelle13[[#This Row],[commits]]/Tabelle13[[#Totals],[commits]]</f>
        <v>5.1125694844670844E-5</v>
      </c>
      <c r="I1260" s="5">
        <f>Tabelle13[[#This Row],[%]]+I1259</f>
        <v>0.92748982133893643</v>
      </c>
      <c r="J1260" s="4">
        <f t="shared" si="71"/>
        <v>1.105583195135434E-4</v>
      </c>
      <c r="K1260" s="5">
        <f t="shared" si="72"/>
        <v>0.13908236594803372</v>
      </c>
    </row>
    <row r="1261" spans="1:11" x14ac:dyDescent="0.25">
      <c r="A1261" t="s">
        <v>2648</v>
      </c>
      <c r="C1261" t="s">
        <v>2649</v>
      </c>
      <c r="D1261" t="s">
        <v>5</v>
      </c>
      <c r="E1261" t="s">
        <v>6</v>
      </c>
      <c r="F1261" t="s">
        <v>724</v>
      </c>
      <c r="G1261">
        <v>11</v>
      </c>
      <c r="H1261" s="2">
        <f>Tabelle13[[#This Row],[commits]]/Tabelle13[[#Totals],[commits]]</f>
        <v>5.1125694844670844E-5</v>
      </c>
      <c r="I1261" s="5">
        <f>Tabelle13[[#This Row],[%]]+I1260</f>
        <v>0.92754094703378109</v>
      </c>
      <c r="J1261" s="4">
        <f t="shared" si="71"/>
        <v>1.105583195135434E-4</v>
      </c>
      <c r="K1261" s="5">
        <f t="shared" si="72"/>
        <v>0.13919292426754726</v>
      </c>
    </row>
    <row r="1262" spans="1:11" x14ac:dyDescent="0.25">
      <c r="A1262" t="s">
        <v>2650</v>
      </c>
      <c r="C1262" t="s">
        <v>2651</v>
      </c>
      <c r="D1262" t="s">
        <v>5</v>
      </c>
      <c r="E1262" t="s">
        <v>6</v>
      </c>
      <c r="F1262" t="s">
        <v>724</v>
      </c>
      <c r="G1262">
        <v>11</v>
      </c>
      <c r="H1262" s="2">
        <f>Tabelle13[[#This Row],[commits]]/Tabelle13[[#Totals],[commits]]</f>
        <v>5.1125694844670844E-5</v>
      </c>
      <c r="I1262" s="5">
        <f>Tabelle13[[#This Row],[%]]+I1261</f>
        <v>0.92759207272862576</v>
      </c>
      <c r="J1262" s="4">
        <f t="shared" si="71"/>
        <v>1.105583195135434E-4</v>
      </c>
      <c r="K1262" s="5">
        <f t="shared" si="72"/>
        <v>0.1393034825870608</v>
      </c>
    </row>
    <row r="1263" spans="1:11" x14ac:dyDescent="0.25">
      <c r="A1263" t="s">
        <v>2652</v>
      </c>
      <c r="C1263" t="s">
        <v>2653</v>
      </c>
      <c r="D1263" t="s">
        <v>5</v>
      </c>
      <c r="E1263" t="s">
        <v>6</v>
      </c>
      <c r="F1263" t="s">
        <v>724</v>
      </c>
      <c r="G1263">
        <v>11</v>
      </c>
      <c r="H1263" s="2">
        <f>Tabelle13[[#This Row],[commits]]/Tabelle13[[#Totals],[commits]]</f>
        <v>5.1125694844670844E-5</v>
      </c>
      <c r="I1263" s="5">
        <f>Tabelle13[[#This Row],[%]]+I1262</f>
        <v>0.92764319842347043</v>
      </c>
      <c r="J1263" s="4">
        <f t="shared" si="71"/>
        <v>1.105583195135434E-4</v>
      </c>
      <c r="K1263" s="5">
        <f t="shared" si="72"/>
        <v>0.13941404090657433</v>
      </c>
    </row>
    <row r="1264" spans="1:11" x14ac:dyDescent="0.25">
      <c r="A1264" t="s">
        <v>2654</v>
      </c>
      <c r="C1264" t="s">
        <v>2655</v>
      </c>
      <c r="D1264" t="s">
        <v>5</v>
      </c>
      <c r="E1264" t="s">
        <v>6</v>
      </c>
      <c r="F1264" t="s">
        <v>724</v>
      </c>
      <c r="G1264">
        <v>11</v>
      </c>
      <c r="H1264" s="2">
        <f>Tabelle13[[#This Row],[commits]]/Tabelle13[[#Totals],[commits]]</f>
        <v>5.1125694844670844E-5</v>
      </c>
      <c r="I1264" s="5">
        <f>Tabelle13[[#This Row],[%]]+I1263</f>
        <v>0.92769432411831509</v>
      </c>
      <c r="J1264" s="4">
        <f t="shared" si="71"/>
        <v>1.105583195135434E-4</v>
      </c>
      <c r="K1264" s="5">
        <f t="shared" si="72"/>
        <v>0.13952459922608787</v>
      </c>
    </row>
    <row r="1265" spans="1:11" x14ac:dyDescent="0.25">
      <c r="A1265" t="s">
        <v>5325</v>
      </c>
      <c r="C1265" t="s">
        <v>26</v>
      </c>
      <c r="D1265" t="s">
        <v>5</v>
      </c>
      <c r="E1265" t="s">
        <v>6</v>
      </c>
      <c r="F1265" t="s">
        <v>28</v>
      </c>
      <c r="G1265">
        <v>11</v>
      </c>
      <c r="H1265" s="2">
        <f>Tabelle13[[#This Row],[commits]]/Tabelle13[[#Totals],[commits]]</f>
        <v>5.1125694844670844E-5</v>
      </c>
      <c r="I1265" s="5">
        <f>Tabelle13[[#This Row],[%]]+I1264</f>
        <v>0.92774544981315976</v>
      </c>
      <c r="J1265" s="4">
        <f t="shared" si="71"/>
        <v>1.105583195135434E-4</v>
      </c>
      <c r="K1265" s="5">
        <f t="shared" si="72"/>
        <v>0.13963515754560141</v>
      </c>
    </row>
    <row r="1266" spans="1:11" x14ac:dyDescent="0.25">
      <c r="A1266" t="s">
        <v>5326</v>
      </c>
      <c r="C1266" t="s">
        <v>5327</v>
      </c>
      <c r="D1266" t="s">
        <v>5328</v>
      </c>
      <c r="E1266" t="s">
        <v>6</v>
      </c>
      <c r="F1266" t="s">
        <v>28</v>
      </c>
      <c r="G1266">
        <v>11</v>
      </c>
      <c r="H1266" s="2">
        <f>Tabelle13[[#This Row],[commits]]/Tabelle13[[#Totals],[commits]]</f>
        <v>5.1125694844670844E-5</v>
      </c>
      <c r="I1266" s="5">
        <f>Tabelle13[[#This Row],[%]]+I1265</f>
        <v>0.92779657550800443</v>
      </c>
      <c r="J1266" s="4">
        <f t="shared" si="71"/>
        <v>1.105583195135434E-4</v>
      </c>
      <c r="K1266" s="5">
        <f t="shared" si="72"/>
        <v>0.13974571586511494</v>
      </c>
    </row>
    <row r="1267" spans="1:11" x14ac:dyDescent="0.25">
      <c r="A1267" t="s">
        <v>5329</v>
      </c>
      <c r="C1267" t="s">
        <v>5271</v>
      </c>
      <c r="D1267" t="s">
        <v>5175</v>
      </c>
      <c r="E1267" t="s">
        <v>6</v>
      </c>
      <c r="F1267" t="s">
        <v>28</v>
      </c>
      <c r="G1267">
        <v>11</v>
      </c>
      <c r="H1267" s="2">
        <f>Tabelle13[[#This Row],[commits]]/Tabelle13[[#Totals],[commits]]</f>
        <v>5.1125694844670844E-5</v>
      </c>
      <c r="I1267" s="5">
        <f>Tabelle13[[#This Row],[%]]+I1266</f>
        <v>0.9278477012028491</v>
      </c>
      <c r="J1267" s="4">
        <f t="shared" si="71"/>
        <v>1.105583195135434E-4</v>
      </c>
      <c r="K1267" s="5">
        <f t="shared" si="72"/>
        <v>0.13985627418462848</v>
      </c>
    </row>
    <row r="1268" spans="1:11" x14ac:dyDescent="0.25">
      <c r="A1268" t="s">
        <v>5822</v>
      </c>
      <c r="C1268" t="s">
        <v>5823</v>
      </c>
      <c r="D1268" t="s">
        <v>5</v>
      </c>
      <c r="E1268" t="s">
        <v>6</v>
      </c>
      <c r="F1268" t="s">
        <v>334</v>
      </c>
      <c r="G1268">
        <v>11</v>
      </c>
      <c r="H1268" s="2">
        <f>Tabelle13[[#This Row],[commits]]/Tabelle13[[#Totals],[commits]]</f>
        <v>5.1125694844670844E-5</v>
      </c>
      <c r="I1268" s="5">
        <f>Tabelle13[[#This Row],[%]]+I1267</f>
        <v>0.92789882689769376</v>
      </c>
      <c r="J1268" s="4">
        <f t="shared" si="71"/>
        <v>1.105583195135434E-4</v>
      </c>
      <c r="K1268" s="5">
        <f t="shared" si="72"/>
        <v>0.13996683250414202</v>
      </c>
    </row>
    <row r="1269" spans="1:11" x14ac:dyDescent="0.25">
      <c r="A1269" t="s">
        <v>6084</v>
      </c>
      <c r="C1269" t="s">
        <v>6085</v>
      </c>
      <c r="D1269" t="s">
        <v>5</v>
      </c>
      <c r="E1269" t="s">
        <v>6</v>
      </c>
      <c r="F1269" t="s">
        <v>251</v>
      </c>
      <c r="G1269">
        <v>11</v>
      </c>
      <c r="H1269" s="2">
        <f>Tabelle13[[#This Row],[commits]]/Tabelle13[[#Totals],[commits]]</f>
        <v>5.1125694844670844E-5</v>
      </c>
      <c r="I1269" s="5">
        <f>Tabelle13[[#This Row],[%]]+I1268</f>
        <v>0.92794995259253843</v>
      </c>
      <c r="J1269" s="4">
        <f t="shared" si="71"/>
        <v>1.105583195135434E-4</v>
      </c>
      <c r="K1269" s="5">
        <f t="shared" si="72"/>
        <v>0.14007739082365556</v>
      </c>
    </row>
    <row r="1270" spans="1:11" x14ac:dyDescent="0.25">
      <c r="A1270" t="s">
        <v>10455</v>
      </c>
      <c r="C1270" t="s">
        <v>10456</v>
      </c>
      <c r="D1270" t="s">
        <v>309</v>
      </c>
      <c r="E1270" t="s">
        <v>6</v>
      </c>
      <c r="F1270" t="s">
        <v>251</v>
      </c>
      <c r="G1270">
        <v>11</v>
      </c>
      <c r="H1270" s="2">
        <f>Tabelle13[[#This Row],[commits]]/Tabelle13[[#Totals],[commits]]</f>
        <v>5.1125694844670844E-5</v>
      </c>
      <c r="I1270" s="5">
        <f>Tabelle13[[#This Row],[%]]+I1269</f>
        <v>0.9280010782873831</v>
      </c>
      <c r="J1270" s="4">
        <f t="shared" si="71"/>
        <v>1.105583195135434E-4</v>
      </c>
      <c r="K1270" s="5">
        <f t="shared" si="72"/>
        <v>0.14018794914316909</v>
      </c>
    </row>
    <row r="1271" spans="1:11" x14ac:dyDescent="0.25">
      <c r="A1271" t="s">
        <v>10457</v>
      </c>
      <c r="C1271" t="s">
        <v>10458</v>
      </c>
      <c r="D1271" t="s">
        <v>309</v>
      </c>
      <c r="E1271" t="s">
        <v>6</v>
      </c>
      <c r="F1271" t="s">
        <v>251</v>
      </c>
      <c r="G1271">
        <v>11</v>
      </c>
      <c r="H1271" s="2">
        <f>Tabelle13[[#This Row],[commits]]/Tabelle13[[#Totals],[commits]]</f>
        <v>5.1125694844670844E-5</v>
      </c>
      <c r="I1271" s="5">
        <f>Tabelle13[[#This Row],[%]]+I1270</f>
        <v>0.92805220398222776</v>
      </c>
      <c r="J1271" s="4">
        <f t="shared" si="71"/>
        <v>1.105583195135434E-4</v>
      </c>
      <c r="K1271" s="5">
        <f t="shared" si="72"/>
        <v>0.14029850746268263</v>
      </c>
    </row>
    <row r="1272" spans="1:11" x14ac:dyDescent="0.25">
      <c r="A1272" t="s">
        <v>10459</v>
      </c>
      <c r="C1272" t="s">
        <v>10460</v>
      </c>
      <c r="D1272" t="s">
        <v>10461</v>
      </c>
      <c r="E1272" t="s">
        <v>6</v>
      </c>
      <c r="F1272" t="s">
        <v>251</v>
      </c>
      <c r="G1272">
        <v>11</v>
      </c>
      <c r="H1272" s="2">
        <f>Tabelle13[[#This Row],[commits]]/Tabelle13[[#Totals],[commits]]</f>
        <v>5.1125694844670844E-5</v>
      </c>
      <c r="I1272" s="5">
        <f>Tabelle13[[#This Row],[%]]+I1271</f>
        <v>0.92810332967707243</v>
      </c>
      <c r="J1272" s="4">
        <f t="shared" si="71"/>
        <v>1.105583195135434E-4</v>
      </c>
      <c r="K1272" s="5">
        <f t="shared" si="72"/>
        <v>0.14040906578219617</v>
      </c>
    </row>
    <row r="1273" spans="1:11" x14ac:dyDescent="0.25">
      <c r="A1273" t="s">
        <v>10462</v>
      </c>
      <c r="C1273" t="s">
        <v>10463</v>
      </c>
      <c r="D1273" t="s">
        <v>309</v>
      </c>
      <c r="E1273" t="s">
        <v>6</v>
      </c>
      <c r="F1273" t="s">
        <v>251</v>
      </c>
      <c r="G1273">
        <v>11</v>
      </c>
      <c r="H1273" s="2">
        <f>Tabelle13[[#This Row],[commits]]/Tabelle13[[#Totals],[commits]]</f>
        <v>5.1125694844670844E-5</v>
      </c>
      <c r="I1273" s="5">
        <f>Tabelle13[[#This Row],[%]]+I1272</f>
        <v>0.9281544553719171</v>
      </c>
      <c r="J1273" s="4">
        <f t="shared" si="71"/>
        <v>1.105583195135434E-4</v>
      </c>
      <c r="K1273" s="5">
        <f t="shared" si="72"/>
        <v>0.14051962410170971</v>
      </c>
    </row>
    <row r="1274" spans="1:11" x14ac:dyDescent="0.25">
      <c r="A1274" t="s">
        <v>10464</v>
      </c>
      <c r="C1274" t="s">
        <v>10465</v>
      </c>
      <c r="D1274" t="s">
        <v>5</v>
      </c>
      <c r="E1274" t="s">
        <v>6</v>
      </c>
      <c r="F1274" t="s">
        <v>251</v>
      </c>
      <c r="G1274">
        <v>11</v>
      </c>
      <c r="H1274" s="2">
        <f>Tabelle13[[#This Row],[commits]]/Tabelle13[[#Totals],[commits]]</f>
        <v>5.1125694844670844E-5</v>
      </c>
      <c r="I1274" s="5">
        <f>Tabelle13[[#This Row],[%]]+I1273</f>
        <v>0.92820558106676176</v>
      </c>
      <c r="J1274" s="4">
        <f t="shared" si="71"/>
        <v>1.105583195135434E-4</v>
      </c>
      <c r="K1274" s="5">
        <f t="shared" si="72"/>
        <v>0.14063018242122324</v>
      </c>
    </row>
    <row r="1275" spans="1:11" x14ac:dyDescent="0.25">
      <c r="A1275" t="s">
        <v>10466</v>
      </c>
      <c r="C1275" t="s">
        <v>10467</v>
      </c>
      <c r="D1275" t="s">
        <v>309</v>
      </c>
      <c r="E1275" t="s">
        <v>6</v>
      </c>
      <c r="F1275" t="s">
        <v>251</v>
      </c>
      <c r="G1275">
        <v>11</v>
      </c>
      <c r="H1275" s="2">
        <f>Tabelle13[[#This Row],[commits]]/Tabelle13[[#Totals],[commits]]</f>
        <v>5.1125694844670844E-5</v>
      </c>
      <c r="I1275" s="5">
        <f>Tabelle13[[#This Row],[%]]+I1274</f>
        <v>0.92825670676160643</v>
      </c>
      <c r="J1275" s="4">
        <f t="shared" si="71"/>
        <v>1.105583195135434E-4</v>
      </c>
      <c r="K1275" s="5">
        <f t="shared" si="72"/>
        <v>0.14074074074073678</v>
      </c>
    </row>
    <row r="1276" spans="1:11" x14ac:dyDescent="0.25">
      <c r="A1276" t="s">
        <v>10468</v>
      </c>
      <c r="C1276" t="s">
        <v>10469</v>
      </c>
      <c r="D1276" t="s">
        <v>5</v>
      </c>
      <c r="E1276" t="s">
        <v>6</v>
      </c>
      <c r="F1276" t="s">
        <v>251</v>
      </c>
      <c r="G1276">
        <v>11</v>
      </c>
      <c r="H1276" s="2">
        <f>Tabelle13[[#This Row],[commits]]/Tabelle13[[#Totals],[commits]]</f>
        <v>5.1125694844670844E-5</v>
      </c>
      <c r="I1276" s="5">
        <f>Tabelle13[[#This Row],[%]]+I1275</f>
        <v>0.9283078324564511</v>
      </c>
      <c r="J1276" s="4">
        <f t="shared" si="71"/>
        <v>1.105583195135434E-4</v>
      </c>
      <c r="K1276" s="5">
        <f t="shared" si="72"/>
        <v>0.14085129906025032</v>
      </c>
    </row>
    <row r="1277" spans="1:11" x14ac:dyDescent="0.25">
      <c r="A1277" t="s">
        <v>10470</v>
      </c>
      <c r="C1277" t="s">
        <v>10471</v>
      </c>
      <c r="D1277" t="s">
        <v>309</v>
      </c>
      <c r="E1277" t="s">
        <v>6</v>
      </c>
      <c r="F1277" t="s">
        <v>251</v>
      </c>
      <c r="G1277">
        <v>11</v>
      </c>
      <c r="H1277" s="2">
        <f>Tabelle13[[#This Row],[commits]]/Tabelle13[[#Totals],[commits]]</f>
        <v>5.1125694844670844E-5</v>
      </c>
      <c r="I1277" s="5">
        <f>Tabelle13[[#This Row],[%]]+I1276</f>
        <v>0.92835895815129577</v>
      </c>
      <c r="J1277" s="4">
        <f t="shared" si="71"/>
        <v>1.105583195135434E-4</v>
      </c>
      <c r="K1277" s="5">
        <f t="shared" si="72"/>
        <v>0.14096185737976386</v>
      </c>
    </row>
    <row r="1278" spans="1:11" x14ac:dyDescent="0.25">
      <c r="A1278" t="s">
        <v>10472</v>
      </c>
      <c r="C1278" t="s">
        <v>10473</v>
      </c>
      <c r="D1278" t="s">
        <v>9453</v>
      </c>
      <c r="E1278" t="s">
        <v>6</v>
      </c>
      <c r="F1278" t="s">
        <v>251</v>
      </c>
      <c r="G1278">
        <v>11</v>
      </c>
      <c r="H1278" s="2">
        <f>Tabelle13[[#This Row],[commits]]/Tabelle13[[#Totals],[commits]]</f>
        <v>5.1125694844670844E-5</v>
      </c>
      <c r="I1278" s="5">
        <f>Tabelle13[[#This Row],[%]]+I1277</f>
        <v>0.92841008384614043</v>
      </c>
      <c r="J1278" s="4">
        <f t="shared" si="71"/>
        <v>1.105583195135434E-4</v>
      </c>
      <c r="K1278" s="5">
        <f t="shared" si="72"/>
        <v>0.14107241569927739</v>
      </c>
    </row>
    <row r="1279" spans="1:11" x14ac:dyDescent="0.25">
      <c r="A1279" t="s">
        <v>10474</v>
      </c>
      <c r="C1279" t="s">
        <v>10475</v>
      </c>
      <c r="D1279" t="s">
        <v>8757</v>
      </c>
      <c r="E1279" t="s">
        <v>6</v>
      </c>
      <c r="F1279" t="s">
        <v>251</v>
      </c>
      <c r="G1279">
        <v>11</v>
      </c>
      <c r="H1279" s="2">
        <f>Tabelle13[[#This Row],[commits]]/Tabelle13[[#Totals],[commits]]</f>
        <v>5.1125694844670844E-5</v>
      </c>
      <c r="I1279" s="5">
        <f>Tabelle13[[#This Row],[%]]+I1278</f>
        <v>0.9284612095409851</v>
      </c>
      <c r="J1279" s="4">
        <f t="shared" si="71"/>
        <v>1.105583195135434E-4</v>
      </c>
      <c r="K1279" s="5">
        <f t="shared" si="72"/>
        <v>0.14118297401879093</v>
      </c>
    </row>
    <row r="1280" spans="1:11" x14ac:dyDescent="0.25">
      <c r="A1280" t="s">
        <v>10476</v>
      </c>
      <c r="C1280" t="s">
        <v>10477</v>
      </c>
      <c r="D1280" t="s">
        <v>5</v>
      </c>
      <c r="E1280" t="s">
        <v>6</v>
      </c>
      <c r="F1280" t="s">
        <v>251</v>
      </c>
      <c r="G1280">
        <v>11</v>
      </c>
      <c r="H1280" s="2">
        <f>Tabelle13[[#This Row],[commits]]/Tabelle13[[#Totals],[commits]]</f>
        <v>5.1125694844670844E-5</v>
      </c>
      <c r="I1280" s="5">
        <f>Tabelle13[[#This Row],[%]]+I1279</f>
        <v>0.92851233523582977</v>
      </c>
      <c r="J1280" s="4">
        <f t="shared" si="71"/>
        <v>1.105583195135434E-4</v>
      </c>
      <c r="K1280" s="5">
        <f t="shared" si="72"/>
        <v>0.14129353233830447</v>
      </c>
    </row>
    <row r="1281" spans="1:11" x14ac:dyDescent="0.25">
      <c r="A1281" t="s">
        <v>10478</v>
      </c>
      <c r="C1281" t="s">
        <v>10479</v>
      </c>
      <c r="D1281" t="s">
        <v>9035</v>
      </c>
      <c r="E1281" t="s">
        <v>6</v>
      </c>
      <c r="F1281" t="s">
        <v>251</v>
      </c>
      <c r="G1281">
        <v>11</v>
      </c>
      <c r="H1281" s="2">
        <f>Tabelle13[[#This Row],[commits]]/Tabelle13[[#Totals],[commits]]</f>
        <v>5.1125694844670844E-5</v>
      </c>
      <c r="I1281" s="5">
        <f>Tabelle13[[#This Row],[%]]+I1280</f>
        <v>0.92856346093067443</v>
      </c>
      <c r="J1281" s="4">
        <f t="shared" si="71"/>
        <v>1.105583195135434E-4</v>
      </c>
      <c r="K1281" s="5">
        <f t="shared" si="72"/>
        <v>0.141404090657818</v>
      </c>
    </row>
    <row r="1282" spans="1:11" x14ac:dyDescent="0.25">
      <c r="A1282" t="s">
        <v>10480</v>
      </c>
      <c r="C1282" t="s">
        <v>10481</v>
      </c>
      <c r="D1282" t="s">
        <v>309</v>
      </c>
      <c r="E1282" t="s">
        <v>6</v>
      </c>
      <c r="F1282" t="s">
        <v>251</v>
      </c>
      <c r="G1282">
        <v>11</v>
      </c>
      <c r="H1282" s="2">
        <f>Tabelle13[[#This Row],[commits]]/Tabelle13[[#Totals],[commits]]</f>
        <v>5.1125694844670844E-5</v>
      </c>
      <c r="I1282" s="5">
        <f>Tabelle13[[#This Row],[%]]+I1281</f>
        <v>0.9286145866255191</v>
      </c>
      <c r="J1282" s="4">
        <f t="shared" si="71"/>
        <v>1.105583195135434E-4</v>
      </c>
      <c r="K1282" s="5">
        <f t="shared" si="72"/>
        <v>0.14151464897733154</v>
      </c>
    </row>
    <row r="1283" spans="1:11" x14ac:dyDescent="0.25">
      <c r="A1283" t="s">
        <v>10482</v>
      </c>
      <c r="C1283" t="s">
        <v>10483</v>
      </c>
      <c r="D1283" t="s">
        <v>5</v>
      </c>
      <c r="E1283" t="s">
        <v>6</v>
      </c>
      <c r="F1283" t="s">
        <v>251</v>
      </c>
      <c r="G1283">
        <v>11</v>
      </c>
      <c r="H1283" s="2">
        <f>Tabelle13[[#This Row],[commits]]/Tabelle13[[#Totals],[commits]]</f>
        <v>5.1125694844670844E-5</v>
      </c>
      <c r="I1283" s="5">
        <f>Tabelle13[[#This Row],[%]]+I1282</f>
        <v>0.92866571232036377</v>
      </c>
      <c r="J1283" s="4">
        <f t="shared" ref="J1283:J1346" si="73">1/9045</f>
        <v>1.105583195135434E-4</v>
      </c>
      <c r="K1283" s="5">
        <f t="shared" si="72"/>
        <v>0.14162520729684508</v>
      </c>
    </row>
    <row r="1284" spans="1:11" x14ac:dyDescent="0.25">
      <c r="A1284" t="s">
        <v>10484</v>
      </c>
      <c r="C1284" t="s">
        <v>10485</v>
      </c>
      <c r="D1284" t="s">
        <v>309</v>
      </c>
      <c r="E1284" t="s">
        <v>6</v>
      </c>
      <c r="F1284" t="s">
        <v>251</v>
      </c>
      <c r="G1284">
        <v>11</v>
      </c>
      <c r="H1284" s="2">
        <f>Tabelle13[[#This Row],[commits]]/Tabelle13[[#Totals],[commits]]</f>
        <v>5.1125694844670844E-5</v>
      </c>
      <c r="I1284" s="5">
        <f>Tabelle13[[#This Row],[%]]+I1283</f>
        <v>0.92871683801520843</v>
      </c>
      <c r="J1284" s="4">
        <f t="shared" si="73"/>
        <v>1.105583195135434E-4</v>
      </c>
      <c r="K1284" s="5">
        <f t="shared" si="72"/>
        <v>0.14173576561635862</v>
      </c>
    </row>
    <row r="1285" spans="1:11" x14ac:dyDescent="0.25">
      <c r="A1285" t="s">
        <v>10486</v>
      </c>
      <c r="C1285" t="s">
        <v>10487</v>
      </c>
      <c r="D1285" t="s">
        <v>9035</v>
      </c>
      <c r="E1285" t="s">
        <v>6</v>
      </c>
      <c r="F1285" t="s">
        <v>251</v>
      </c>
      <c r="G1285">
        <v>11</v>
      </c>
      <c r="H1285" s="2">
        <f>Tabelle13[[#This Row],[commits]]/Tabelle13[[#Totals],[commits]]</f>
        <v>5.1125694844670844E-5</v>
      </c>
      <c r="I1285" s="5">
        <f>Tabelle13[[#This Row],[%]]+I1284</f>
        <v>0.9287679637100531</v>
      </c>
      <c r="J1285" s="4">
        <f t="shared" si="73"/>
        <v>1.105583195135434E-4</v>
      </c>
      <c r="K1285" s="5">
        <f t="shared" si="72"/>
        <v>0.14184632393587215</v>
      </c>
    </row>
    <row r="1286" spans="1:11" x14ac:dyDescent="0.25">
      <c r="A1286" t="s">
        <v>10488</v>
      </c>
      <c r="C1286" t="s">
        <v>10489</v>
      </c>
      <c r="D1286" t="s">
        <v>309</v>
      </c>
      <c r="E1286" t="s">
        <v>6</v>
      </c>
      <c r="F1286" t="s">
        <v>251</v>
      </c>
      <c r="G1286">
        <v>11</v>
      </c>
      <c r="H1286" s="2">
        <f>Tabelle13[[#This Row],[commits]]/Tabelle13[[#Totals],[commits]]</f>
        <v>5.1125694844670844E-5</v>
      </c>
      <c r="I1286" s="5">
        <f>Tabelle13[[#This Row],[%]]+I1285</f>
        <v>0.92881908940489777</v>
      </c>
      <c r="J1286" s="4">
        <f t="shared" si="73"/>
        <v>1.105583195135434E-4</v>
      </c>
      <c r="K1286" s="5">
        <f t="shared" ref="K1286:K1349" si="74">J1286+K1285</f>
        <v>0.14195688225538569</v>
      </c>
    </row>
    <row r="1287" spans="1:11" x14ac:dyDescent="0.25">
      <c r="A1287" t="s">
        <v>10490</v>
      </c>
      <c r="C1287" t="s">
        <v>10491</v>
      </c>
      <c r="D1287" t="s">
        <v>5</v>
      </c>
      <c r="E1287" t="s">
        <v>6</v>
      </c>
      <c r="F1287" t="s">
        <v>251</v>
      </c>
      <c r="G1287">
        <v>11</v>
      </c>
      <c r="H1287" s="2">
        <f>Tabelle13[[#This Row],[commits]]/Tabelle13[[#Totals],[commits]]</f>
        <v>5.1125694844670844E-5</v>
      </c>
      <c r="I1287" s="5">
        <f>Tabelle13[[#This Row],[%]]+I1286</f>
        <v>0.92887021509974244</v>
      </c>
      <c r="J1287" s="4">
        <f t="shared" si="73"/>
        <v>1.105583195135434E-4</v>
      </c>
      <c r="K1287" s="5">
        <f t="shared" si="74"/>
        <v>0.14206744057489923</v>
      </c>
    </row>
    <row r="1288" spans="1:11" x14ac:dyDescent="0.25">
      <c r="A1288" t="s">
        <v>10492</v>
      </c>
      <c r="C1288" t="s">
        <v>10493</v>
      </c>
      <c r="D1288" t="s">
        <v>10494</v>
      </c>
      <c r="E1288" t="s">
        <v>6</v>
      </c>
      <c r="F1288" t="s">
        <v>251</v>
      </c>
      <c r="G1288">
        <v>11</v>
      </c>
      <c r="H1288" s="2">
        <f>Tabelle13[[#This Row],[commits]]/Tabelle13[[#Totals],[commits]]</f>
        <v>5.1125694844670844E-5</v>
      </c>
      <c r="I1288" s="5">
        <f>Tabelle13[[#This Row],[%]]+I1287</f>
        <v>0.9289213407945871</v>
      </c>
      <c r="J1288" s="4">
        <f t="shared" si="73"/>
        <v>1.105583195135434E-4</v>
      </c>
      <c r="K1288" s="5">
        <f t="shared" si="74"/>
        <v>0.14217799889441277</v>
      </c>
    </row>
    <row r="1289" spans="1:11" x14ac:dyDescent="0.25">
      <c r="A1289" t="s">
        <v>10495</v>
      </c>
      <c r="C1289" t="s">
        <v>10496</v>
      </c>
      <c r="D1289" t="s">
        <v>5</v>
      </c>
      <c r="E1289" t="s">
        <v>6</v>
      </c>
      <c r="F1289" t="s">
        <v>251</v>
      </c>
      <c r="G1289">
        <v>11</v>
      </c>
      <c r="H1289" s="2">
        <f>Tabelle13[[#This Row],[commits]]/Tabelle13[[#Totals],[commits]]</f>
        <v>5.1125694844670844E-5</v>
      </c>
      <c r="I1289" s="5">
        <f>Tabelle13[[#This Row],[%]]+I1288</f>
        <v>0.92897246648943177</v>
      </c>
      <c r="J1289" s="4">
        <f t="shared" si="73"/>
        <v>1.105583195135434E-4</v>
      </c>
      <c r="K1289" s="5">
        <f t="shared" si="74"/>
        <v>0.1422885572139263</v>
      </c>
    </row>
    <row r="1290" spans="1:11" x14ac:dyDescent="0.25">
      <c r="A1290" t="s">
        <v>10497</v>
      </c>
      <c r="C1290" t="s">
        <v>10498</v>
      </c>
      <c r="D1290" t="s">
        <v>309</v>
      </c>
      <c r="E1290" t="s">
        <v>6</v>
      </c>
      <c r="F1290" t="s">
        <v>251</v>
      </c>
      <c r="G1290">
        <v>11</v>
      </c>
      <c r="H1290" s="2">
        <f>Tabelle13[[#This Row],[commits]]/Tabelle13[[#Totals],[commits]]</f>
        <v>5.1125694844670844E-5</v>
      </c>
      <c r="I1290" s="5">
        <f>Tabelle13[[#This Row],[%]]+I1289</f>
        <v>0.92902359218427644</v>
      </c>
      <c r="J1290" s="4">
        <f t="shared" si="73"/>
        <v>1.105583195135434E-4</v>
      </c>
      <c r="K1290" s="5">
        <f t="shared" si="74"/>
        <v>0.14239911553343984</v>
      </c>
    </row>
    <row r="1291" spans="1:11" x14ac:dyDescent="0.25">
      <c r="A1291" t="s">
        <v>10499</v>
      </c>
      <c r="C1291" t="s">
        <v>10500</v>
      </c>
      <c r="D1291" t="s">
        <v>309</v>
      </c>
      <c r="E1291" t="s">
        <v>6</v>
      </c>
      <c r="F1291" t="s">
        <v>251</v>
      </c>
      <c r="G1291">
        <v>11</v>
      </c>
      <c r="H1291" s="2">
        <f>Tabelle13[[#This Row],[commits]]/Tabelle13[[#Totals],[commits]]</f>
        <v>5.1125694844670844E-5</v>
      </c>
      <c r="I1291" s="5">
        <f>Tabelle13[[#This Row],[%]]+I1290</f>
        <v>0.9290747178791211</v>
      </c>
      <c r="J1291" s="4">
        <f t="shared" si="73"/>
        <v>1.105583195135434E-4</v>
      </c>
      <c r="K1291" s="5">
        <f t="shared" si="74"/>
        <v>0.14250967385295338</v>
      </c>
    </row>
    <row r="1292" spans="1:11" x14ac:dyDescent="0.25">
      <c r="A1292" t="s">
        <v>10501</v>
      </c>
      <c r="C1292" t="s">
        <v>10502</v>
      </c>
      <c r="D1292" t="s">
        <v>5</v>
      </c>
      <c r="E1292" t="s">
        <v>6</v>
      </c>
      <c r="F1292" t="s">
        <v>251</v>
      </c>
      <c r="G1292">
        <v>11</v>
      </c>
      <c r="H1292" s="2">
        <f>Tabelle13[[#This Row],[commits]]/Tabelle13[[#Totals],[commits]]</f>
        <v>5.1125694844670844E-5</v>
      </c>
      <c r="I1292" s="5">
        <f>Tabelle13[[#This Row],[%]]+I1291</f>
        <v>0.92912584357396577</v>
      </c>
      <c r="J1292" s="4">
        <f t="shared" si="73"/>
        <v>1.105583195135434E-4</v>
      </c>
      <c r="K1292" s="5">
        <f t="shared" si="74"/>
        <v>0.14262023217246692</v>
      </c>
    </row>
    <row r="1293" spans="1:11" x14ac:dyDescent="0.25">
      <c r="A1293" t="s">
        <v>10503</v>
      </c>
      <c r="C1293" t="s">
        <v>10504</v>
      </c>
      <c r="D1293" t="s">
        <v>5</v>
      </c>
      <c r="E1293" t="s">
        <v>6</v>
      </c>
      <c r="F1293" t="s">
        <v>251</v>
      </c>
      <c r="G1293">
        <v>11</v>
      </c>
      <c r="H1293" s="2">
        <f>Tabelle13[[#This Row],[commits]]/Tabelle13[[#Totals],[commits]]</f>
        <v>5.1125694844670844E-5</v>
      </c>
      <c r="I1293" s="5">
        <f>Tabelle13[[#This Row],[%]]+I1292</f>
        <v>0.92917696926881044</v>
      </c>
      <c r="J1293" s="4">
        <f t="shared" si="73"/>
        <v>1.105583195135434E-4</v>
      </c>
      <c r="K1293" s="5">
        <f t="shared" si="74"/>
        <v>0.14273079049198045</v>
      </c>
    </row>
    <row r="1294" spans="1:11" x14ac:dyDescent="0.25">
      <c r="A1294" t="s">
        <v>10505</v>
      </c>
      <c r="C1294" t="s">
        <v>10506</v>
      </c>
      <c r="D1294" t="s">
        <v>8874</v>
      </c>
      <c r="E1294" t="s">
        <v>6</v>
      </c>
      <c r="F1294" t="s">
        <v>251</v>
      </c>
      <c r="G1294">
        <v>11</v>
      </c>
      <c r="H1294" s="2">
        <f>Tabelle13[[#This Row],[commits]]/Tabelle13[[#Totals],[commits]]</f>
        <v>5.1125694844670844E-5</v>
      </c>
      <c r="I1294" s="5">
        <f>Tabelle13[[#This Row],[%]]+I1293</f>
        <v>0.9292280949636551</v>
      </c>
      <c r="J1294" s="4">
        <f t="shared" si="73"/>
        <v>1.105583195135434E-4</v>
      </c>
      <c r="K1294" s="5">
        <f t="shared" si="74"/>
        <v>0.14284134881149399</v>
      </c>
    </row>
    <row r="1295" spans="1:11" x14ac:dyDescent="0.25">
      <c r="A1295" t="s">
        <v>10507</v>
      </c>
      <c r="C1295" t="s">
        <v>10508</v>
      </c>
      <c r="D1295" t="s">
        <v>5</v>
      </c>
      <c r="E1295" t="s">
        <v>6</v>
      </c>
      <c r="F1295" t="s">
        <v>251</v>
      </c>
      <c r="G1295">
        <v>11</v>
      </c>
      <c r="H1295" s="2">
        <f>Tabelle13[[#This Row],[commits]]/Tabelle13[[#Totals],[commits]]</f>
        <v>5.1125694844670844E-5</v>
      </c>
      <c r="I1295" s="5">
        <f>Tabelle13[[#This Row],[%]]+I1294</f>
        <v>0.92927922065849977</v>
      </c>
      <c r="J1295" s="4">
        <f t="shared" si="73"/>
        <v>1.105583195135434E-4</v>
      </c>
      <c r="K1295" s="5">
        <f t="shared" si="74"/>
        <v>0.14295190713100753</v>
      </c>
    </row>
    <row r="1296" spans="1:11" x14ac:dyDescent="0.25">
      <c r="A1296" t="s">
        <v>10509</v>
      </c>
      <c r="C1296" t="s">
        <v>10510</v>
      </c>
      <c r="D1296" t="s">
        <v>8760</v>
      </c>
      <c r="E1296" t="s">
        <v>6</v>
      </c>
      <c r="F1296" t="s">
        <v>251</v>
      </c>
      <c r="G1296">
        <v>11</v>
      </c>
      <c r="H1296" s="2">
        <f>Tabelle13[[#This Row],[commits]]/Tabelle13[[#Totals],[commits]]</f>
        <v>5.1125694844670844E-5</v>
      </c>
      <c r="I1296" s="5">
        <f>Tabelle13[[#This Row],[%]]+I1295</f>
        <v>0.92933034635334444</v>
      </c>
      <c r="J1296" s="4">
        <f t="shared" si="73"/>
        <v>1.105583195135434E-4</v>
      </c>
      <c r="K1296" s="5">
        <f t="shared" si="74"/>
        <v>0.14306246545052106</v>
      </c>
    </row>
    <row r="1297" spans="1:11" x14ac:dyDescent="0.25">
      <c r="A1297" t="s">
        <v>10511</v>
      </c>
      <c r="C1297" t="s">
        <v>10512</v>
      </c>
      <c r="D1297" t="s">
        <v>5</v>
      </c>
      <c r="E1297" t="s">
        <v>6</v>
      </c>
      <c r="F1297" t="s">
        <v>251</v>
      </c>
      <c r="G1297">
        <v>11</v>
      </c>
      <c r="H1297" s="2">
        <f>Tabelle13[[#This Row],[commits]]/Tabelle13[[#Totals],[commits]]</f>
        <v>5.1125694844670844E-5</v>
      </c>
      <c r="I1297" s="5">
        <f>Tabelle13[[#This Row],[%]]+I1296</f>
        <v>0.92938147204818911</v>
      </c>
      <c r="J1297" s="4">
        <f t="shared" si="73"/>
        <v>1.105583195135434E-4</v>
      </c>
      <c r="K1297" s="5">
        <f t="shared" si="74"/>
        <v>0.1431730237700346</v>
      </c>
    </row>
    <row r="1298" spans="1:11" x14ac:dyDescent="0.25">
      <c r="A1298" t="s">
        <v>10513</v>
      </c>
      <c r="C1298" t="s">
        <v>10514</v>
      </c>
      <c r="D1298" t="s">
        <v>10515</v>
      </c>
      <c r="E1298" t="s">
        <v>6</v>
      </c>
      <c r="F1298" t="s">
        <v>251</v>
      </c>
      <c r="G1298">
        <v>11</v>
      </c>
      <c r="H1298" s="2">
        <f>Tabelle13[[#This Row],[commits]]/Tabelle13[[#Totals],[commits]]</f>
        <v>5.1125694844670844E-5</v>
      </c>
      <c r="I1298" s="5">
        <f>Tabelle13[[#This Row],[%]]+I1297</f>
        <v>0.92943259774303377</v>
      </c>
      <c r="J1298" s="4">
        <f t="shared" si="73"/>
        <v>1.105583195135434E-4</v>
      </c>
      <c r="K1298" s="5">
        <f t="shared" si="74"/>
        <v>0.14328358208954814</v>
      </c>
    </row>
    <row r="1299" spans="1:11" x14ac:dyDescent="0.25">
      <c r="A1299" t="s">
        <v>10516</v>
      </c>
      <c r="C1299" t="s">
        <v>10517</v>
      </c>
      <c r="D1299" t="s">
        <v>5</v>
      </c>
      <c r="E1299" t="s">
        <v>6</v>
      </c>
      <c r="F1299" t="s">
        <v>251</v>
      </c>
      <c r="G1299">
        <v>11</v>
      </c>
      <c r="H1299" s="2">
        <f>Tabelle13[[#This Row],[commits]]/Tabelle13[[#Totals],[commits]]</f>
        <v>5.1125694844670844E-5</v>
      </c>
      <c r="I1299" s="5">
        <f>Tabelle13[[#This Row],[%]]+I1298</f>
        <v>0.92948372343787844</v>
      </c>
      <c r="J1299" s="4">
        <f t="shared" si="73"/>
        <v>1.105583195135434E-4</v>
      </c>
      <c r="K1299" s="5">
        <f t="shared" si="74"/>
        <v>0.14339414040906168</v>
      </c>
    </row>
    <row r="1300" spans="1:11" x14ac:dyDescent="0.25">
      <c r="A1300" t="s">
        <v>10518</v>
      </c>
      <c r="C1300" t="s">
        <v>10519</v>
      </c>
      <c r="D1300" t="s">
        <v>5</v>
      </c>
      <c r="E1300" t="s">
        <v>6</v>
      </c>
      <c r="F1300" t="s">
        <v>251</v>
      </c>
      <c r="G1300">
        <v>11</v>
      </c>
      <c r="H1300" s="2">
        <f>Tabelle13[[#This Row],[commits]]/Tabelle13[[#Totals],[commits]]</f>
        <v>5.1125694844670844E-5</v>
      </c>
      <c r="I1300" s="5">
        <f>Tabelle13[[#This Row],[%]]+I1299</f>
        <v>0.92953484913272311</v>
      </c>
      <c r="J1300" s="4">
        <f t="shared" si="73"/>
        <v>1.105583195135434E-4</v>
      </c>
      <c r="K1300" s="5">
        <f t="shared" si="74"/>
        <v>0.14350469872857521</v>
      </c>
    </row>
    <row r="1301" spans="1:11" x14ac:dyDescent="0.25">
      <c r="A1301" t="s">
        <v>10520</v>
      </c>
      <c r="C1301" t="s">
        <v>10521</v>
      </c>
      <c r="D1301" t="s">
        <v>5</v>
      </c>
      <c r="E1301" t="s">
        <v>6</v>
      </c>
      <c r="F1301" t="s">
        <v>251</v>
      </c>
      <c r="G1301">
        <v>11</v>
      </c>
      <c r="H1301" s="2">
        <f>Tabelle13[[#This Row],[commits]]/Tabelle13[[#Totals],[commits]]</f>
        <v>5.1125694844670844E-5</v>
      </c>
      <c r="I1301" s="5">
        <f>Tabelle13[[#This Row],[%]]+I1300</f>
        <v>0.92958597482756777</v>
      </c>
      <c r="J1301" s="4">
        <f t="shared" si="73"/>
        <v>1.105583195135434E-4</v>
      </c>
      <c r="K1301" s="5">
        <f t="shared" si="74"/>
        <v>0.14361525704808875</v>
      </c>
    </row>
    <row r="1302" spans="1:11" x14ac:dyDescent="0.25">
      <c r="A1302" t="s">
        <v>10522</v>
      </c>
      <c r="C1302" t="s">
        <v>10523</v>
      </c>
      <c r="D1302" t="s">
        <v>5</v>
      </c>
      <c r="E1302" t="s">
        <v>6</v>
      </c>
      <c r="F1302" t="s">
        <v>251</v>
      </c>
      <c r="G1302">
        <v>11</v>
      </c>
      <c r="H1302" s="2">
        <f>Tabelle13[[#This Row],[commits]]/Tabelle13[[#Totals],[commits]]</f>
        <v>5.1125694844670844E-5</v>
      </c>
      <c r="I1302" s="5">
        <f>Tabelle13[[#This Row],[%]]+I1301</f>
        <v>0.92963710052241244</v>
      </c>
      <c r="J1302" s="4">
        <f t="shared" si="73"/>
        <v>1.105583195135434E-4</v>
      </c>
      <c r="K1302" s="5">
        <f t="shared" si="74"/>
        <v>0.14372581536760229</v>
      </c>
    </row>
    <row r="1303" spans="1:11" x14ac:dyDescent="0.25">
      <c r="A1303" t="s">
        <v>10524</v>
      </c>
      <c r="C1303" t="s">
        <v>10525</v>
      </c>
      <c r="D1303" t="s">
        <v>5</v>
      </c>
      <c r="E1303" t="s">
        <v>6</v>
      </c>
      <c r="F1303" t="s">
        <v>251</v>
      </c>
      <c r="G1303">
        <v>11</v>
      </c>
      <c r="H1303" s="2">
        <f>Tabelle13[[#This Row],[commits]]/Tabelle13[[#Totals],[commits]]</f>
        <v>5.1125694844670844E-5</v>
      </c>
      <c r="I1303" s="5">
        <f>Tabelle13[[#This Row],[%]]+I1302</f>
        <v>0.92968822621725711</v>
      </c>
      <c r="J1303" s="4">
        <f t="shared" si="73"/>
        <v>1.105583195135434E-4</v>
      </c>
      <c r="K1303" s="5">
        <f t="shared" si="74"/>
        <v>0.14383637368711583</v>
      </c>
    </row>
    <row r="1304" spans="1:11" x14ac:dyDescent="0.25">
      <c r="A1304" t="s">
        <v>10526</v>
      </c>
      <c r="C1304" t="s">
        <v>10527</v>
      </c>
      <c r="D1304" t="s">
        <v>8874</v>
      </c>
      <c r="E1304" t="s">
        <v>6</v>
      </c>
      <c r="F1304" t="s">
        <v>251</v>
      </c>
      <c r="G1304">
        <v>11</v>
      </c>
      <c r="H1304" s="2">
        <f>Tabelle13[[#This Row],[commits]]/Tabelle13[[#Totals],[commits]]</f>
        <v>5.1125694844670844E-5</v>
      </c>
      <c r="I1304" s="5">
        <f>Tabelle13[[#This Row],[%]]+I1303</f>
        <v>0.92973935191210177</v>
      </c>
      <c r="J1304" s="4">
        <f t="shared" si="73"/>
        <v>1.105583195135434E-4</v>
      </c>
      <c r="K1304" s="5">
        <f t="shared" si="74"/>
        <v>0.14394693200662936</v>
      </c>
    </row>
    <row r="1305" spans="1:11" x14ac:dyDescent="0.25">
      <c r="A1305" t="s">
        <v>10528</v>
      </c>
      <c r="C1305" t="s">
        <v>2036</v>
      </c>
      <c r="D1305" t="s">
        <v>5</v>
      </c>
      <c r="E1305" t="s">
        <v>6</v>
      </c>
      <c r="F1305" t="s">
        <v>251</v>
      </c>
      <c r="G1305">
        <v>11</v>
      </c>
      <c r="H1305" s="2">
        <f>Tabelle13[[#This Row],[commits]]/Tabelle13[[#Totals],[commits]]</f>
        <v>5.1125694844670844E-5</v>
      </c>
      <c r="I1305" s="5">
        <f>Tabelle13[[#This Row],[%]]+I1304</f>
        <v>0.92979047760694644</v>
      </c>
      <c r="J1305" s="4">
        <f t="shared" si="73"/>
        <v>1.105583195135434E-4</v>
      </c>
      <c r="K1305" s="5">
        <f t="shared" si="74"/>
        <v>0.1440574903261429</v>
      </c>
    </row>
    <row r="1306" spans="1:11" x14ac:dyDescent="0.25">
      <c r="A1306" t="s">
        <v>10529</v>
      </c>
      <c r="C1306" t="s">
        <v>10530</v>
      </c>
      <c r="D1306" t="s">
        <v>8874</v>
      </c>
      <c r="E1306" t="s">
        <v>6</v>
      </c>
      <c r="F1306" t="s">
        <v>251</v>
      </c>
      <c r="G1306">
        <v>11</v>
      </c>
      <c r="H1306" s="2">
        <f>Tabelle13[[#This Row],[commits]]/Tabelle13[[#Totals],[commits]]</f>
        <v>5.1125694844670844E-5</v>
      </c>
      <c r="I1306" s="5">
        <f>Tabelle13[[#This Row],[%]]+I1305</f>
        <v>0.92984160330179111</v>
      </c>
      <c r="J1306" s="4">
        <f t="shared" si="73"/>
        <v>1.105583195135434E-4</v>
      </c>
      <c r="K1306" s="5">
        <f t="shared" si="74"/>
        <v>0.14416804864565644</v>
      </c>
    </row>
    <row r="1307" spans="1:11" x14ac:dyDescent="0.25">
      <c r="A1307" t="s">
        <v>10531</v>
      </c>
      <c r="C1307" t="s">
        <v>10532</v>
      </c>
      <c r="D1307" t="s">
        <v>5</v>
      </c>
      <c r="E1307" t="s">
        <v>6</v>
      </c>
      <c r="F1307" t="s">
        <v>251</v>
      </c>
      <c r="G1307">
        <v>11</v>
      </c>
      <c r="H1307" s="2">
        <f>Tabelle13[[#This Row],[commits]]/Tabelle13[[#Totals],[commits]]</f>
        <v>5.1125694844670844E-5</v>
      </c>
      <c r="I1307" s="5">
        <f>Tabelle13[[#This Row],[%]]+I1306</f>
        <v>0.92989272899663578</v>
      </c>
      <c r="J1307" s="4">
        <f t="shared" si="73"/>
        <v>1.105583195135434E-4</v>
      </c>
      <c r="K1307" s="5">
        <f t="shared" si="74"/>
        <v>0.14427860696516998</v>
      </c>
    </row>
    <row r="1308" spans="1:11" x14ac:dyDescent="0.25">
      <c r="A1308" t="s">
        <v>10533</v>
      </c>
      <c r="C1308" t="s">
        <v>9364</v>
      </c>
      <c r="D1308" t="s">
        <v>5</v>
      </c>
      <c r="E1308" t="s">
        <v>6</v>
      </c>
      <c r="F1308" t="s">
        <v>251</v>
      </c>
      <c r="G1308">
        <v>11</v>
      </c>
      <c r="H1308" s="2">
        <f>Tabelle13[[#This Row],[commits]]/Tabelle13[[#Totals],[commits]]</f>
        <v>5.1125694844670844E-5</v>
      </c>
      <c r="I1308" s="5">
        <f>Tabelle13[[#This Row],[%]]+I1307</f>
        <v>0.92994385469148044</v>
      </c>
      <c r="J1308" s="4">
        <f t="shared" si="73"/>
        <v>1.105583195135434E-4</v>
      </c>
      <c r="K1308" s="5">
        <f t="shared" si="74"/>
        <v>0.14438916528468351</v>
      </c>
    </row>
    <row r="1309" spans="1:11" x14ac:dyDescent="0.25">
      <c r="A1309" t="s">
        <v>17154</v>
      </c>
      <c r="C1309" t="s">
        <v>17155</v>
      </c>
      <c r="D1309" t="s">
        <v>5</v>
      </c>
      <c r="E1309" t="s">
        <v>6</v>
      </c>
      <c r="F1309" t="s">
        <v>334</v>
      </c>
      <c r="G1309">
        <v>11</v>
      </c>
      <c r="H1309" s="2">
        <f>Tabelle13[[#This Row],[commits]]/Tabelle13[[#Totals],[commits]]</f>
        <v>5.1125694844670844E-5</v>
      </c>
      <c r="I1309" s="5">
        <f>Tabelle13[[#This Row],[%]]+I1308</f>
        <v>0.92999498038632511</v>
      </c>
      <c r="J1309" s="4">
        <f t="shared" si="73"/>
        <v>1.105583195135434E-4</v>
      </c>
      <c r="K1309" s="5">
        <f t="shared" si="74"/>
        <v>0.14449972360419705</v>
      </c>
    </row>
    <row r="1310" spans="1:11" x14ac:dyDescent="0.25">
      <c r="A1310" t="s">
        <v>17156</v>
      </c>
      <c r="C1310" t="s">
        <v>17157</v>
      </c>
      <c r="D1310" t="s">
        <v>5</v>
      </c>
      <c r="E1310" t="s">
        <v>6</v>
      </c>
      <c r="F1310" t="s">
        <v>334</v>
      </c>
      <c r="G1310">
        <v>11</v>
      </c>
      <c r="H1310" s="2">
        <f>Tabelle13[[#This Row],[commits]]/Tabelle13[[#Totals],[commits]]</f>
        <v>5.1125694844670844E-5</v>
      </c>
      <c r="I1310" s="5">
        <f>Tabelle13[[#This Row],[%]]+I1309</f>
        <v>0.93004610608116978</v>
      </c>
      <c r="J1310" s="4">
        <f t="shared" si="73"/>
        <v>1.105583195135434E-4</v>
      </c>
      <c r="K1310" s="5">
        <f t="shared" si="74"/>
        <v>0.14461028192371059</v>
      </c>
    </row>
    <row r="1311" spans="1:11" x14ac:dyDescent="0.25">
      <c r="A1311" t="s">
        <v>17158</v>
      </c>
      <c r="C1311" t="s">
        <v>151</v>
      </c>
      <c r="D1311" t="s">
        <v>5</v>
      </c>
      <c r="E1311" t="s">
        <v>6</v>
      </c>
      <c r="F1311" t="s">
        <v>334</v>
      </c>
      <c r="G1311">
        <v>11</v>
      </c>
      <c r="H1311" s="2">
        <f>Tabelle13[[#This Row],[commits]]/Tabelle13[[#Totals],[commits]]</f>
        <v>5.1125694844670844E-5</v>
      </c>
      <c r="I1311" s="5">
        <f>Tabelle13[[#This Row],[%]]+I1310</f>
        <v>0.93009723177601444</v>
      </c>
      <c r="J1311" s="4">
        <f t="shared" si="73"/>
        <v>1.105583195135434E-4</v>
      </c>
      <c r="K1311" s="5">
        <f t="shared" si="74"/>
        <v>0.14472084024322412</v>
      </c>
    </row>
    <row r="1312" spans="1:11" x14ac:dyDescent="0.25">
      <c r="A1312" t="s">
        <v>2656</v>
      </c>
      <c r="C1312" t="s">
        <v>187</v>
      </c>
      <c r="D1312" t="s">
        <v>5</v>
      </c>
      <c r="E1312" t="s">
        <v>6</v>
      </c>
      <c r="F1312" t="s">
        <v>724</v>
      </c>
      <c r="G1312">
        <v>10</v>
      </c>
      <c r="H1312" s="2">
        <f>Tabelle13[[#This Row],[commits]]/Tabelle13[[#Totals],[commits]]</f>
        <v>4.6477904404246219E-5</v>
      </c>
      <c r="I1312" s="5">
        <f>Tabelle13[[#This Row],[%]]+I1311</f>
        <v>0.93014370968041871</v>
      </c>
      <c r="J1312" s="4">
        <f t="shared" si="73"/>
        <v>1.105583195135434E-4</v>
      </c>
      <c r="K1312" s="5">
        <f t="shared" si="74"/>
        <v>0.14483139856273766</v>
      </c>
    </row>
    <row r="1313" spans="1:11" x14ac:dyDescent="0.25">
      <c r="A1313" t="s">
        <v>2657</v>
      </c>
      <c r="C1313" t="s">
        <v>2658</v>
      </c>
      <c r="D1313" t="s">
        <v>2659</v>
      </c>
      <c r="E1313" t="s">
        <v>6</v>
      </c>
      <c r="F1313" t="s">
        <v>724</v>
      </c>
      <c r="G1313">
        <v>10</v>
      </c>
      <c r="H1313" s="2">
        <f>Tabelle13[[#This Row],[commits]]/Tabelle13[[#Totals],[commits]]</f>
        <v>4.6477904404246219E-5</v>
      </c>
      <c r="I1313" s="5">
        <f>Tabelle13[[#This Row],[%]]+I1312</f>
        <v>0.93019018758482297</v>
      </c>
      <c r="J1313" s="4">
        <f t="shared" si="73"/>
        <v>1.105583195135434E-4</v>
      </c>
      <c r="K1313" s="5">
        <f t="shared" si="74"/>
        <v>0.1449419568822512</v>
      </c>
    </row>
    <row r="1314" spans="1:11" x14ac:dyDescent="0.25">
      <c r="A1314" t="s">
        <v>2660</v>
      </c>
      <c r="C1314" t="s">
        <v>2661</v>
      </c>
      <c r="D1314" t="s">
        <v>309</v>
      </c>
      <c r="E1314" t="s">
        <v>6</v>
      </c>
      <c r="F1314" t="s">
        <v>724</v>
      </c>
      <c r="G1314">
        <v>10</v>
      </c>
      <c r="H1314" s="2">
        <f>Tabelle13[[#This Row],[commits]]/Tabelle13[[#Totals],[commits]]</f>
        <v>4.6477904404246219E-5</v>
      </c>
      <c r="I1314" s="5">
        <f>Tabelle13[[#This Row],[%]]+I1313</f>
        <v>0.93023666548922723</v>
      </c>
      <c r="J1314" s="4">
        <f t="shared" si="73"/>
        <v>1.105583195135434E-4</v>
      </c>
      <c r="K1314" s="5">
        <f t="shared" si="74"/>
        <v>0.14505251520176474</v>
      </c>
    </row>
    <row r="1315" spans="1:11" x14ac:dyDescent="0.25">
      <c r="A1315" t="s">
        <v>2662</v>
      </c>
      <c r="C1315" t="s">
        <v>2663</v>
      </c>
      <c r="D1315" t="s">
        <v>5</v>
      </c>
      <c r="E1315" t="s">
        <v>6</v>
      </c>
      <c r="F1315" t="s">
        <v>724</v>
      </c>
      <c r="G1315">
        <v>10</v>
      </c>
      <c r="H1315" s="2">
        <f>Tabelle13[[#This Row],[commits]]/Tabelle13[[#Totals],[commits]]</f>
        <v>4.6477904404246219E-5</v>
      </c>
      <c r="I1315" s="5">
        <f>Tabelle13[[#This Row],[%]]+I1314</f>
        <v>0.9302831433936315</v>
      </c>
      <c r="J1315" s="4">
        <f t="shared" si="73"/>
        <v>1.105583195135434E-4</v>
      </c>
      <c r="K1315" s="5">
        <f t="shared" si="74"/>
        <v>0.14516307352127827</v>
      </c>
    </row>
    <row r="1316" spans="1:11" x14ac:dyDescent="0.25">
      <c r="A1316" t="s">
        <v>2664</v>
      </c>
      <c r="C1316" t="s">
        <v>2665</v>
      </c>
      <c r="D1316" t="s">
        <v>5</v>
      </c>
      <c r="E1316" t="s">
        <v>6</v>
      </c>
      <c r="F1316" t="s">
        <v>724</v>
      </c>
      <c r="G1316">
        <v>10</v>
      </c>
      <c r="H1316" s="2">
        <f>Tabelle13[[#This Row],[commits]]/Tabelle13[[#Totals],[commits]]</f>
        <v>4.6477904404246219E-5</v>
      </c>
      <c r="I1316" s="5">
        <f>Tabelle13[[#This Row],[%]]+I1315</f>
        <v>0.93032962129803576</v>
      </c>
      <c r="J1316" s="4">
        <f t="shared" si="73"/>
        <v>1.105583195135434E-4</v>
      </c>
      <c r="K1316" s="5">
        <f t="shared" si="74"/>
        <v>0.14527363184079181</v>
      </c>
    </row>
    <row r="1317" spans="1:11" x14ac:dyDescent="0.25">
      <c r="A1317" t="s">
        <v>2666</v>
      </c>
      <c r="C1317" t="s">
        <v>2667</v>
      </c>
      <c r="D1317" t="s">
        <v>5</v>
      </c>
      <c r="E1317" t="s">
        <v>6</v>
      </c>
      <c r="F1317" t="s">
        <v>724</v>
      </c>
      <c r="G1317">
        <v>10</v>
      </c>
      <c r="H1317" s="2">
        <f>Tabelle13[[#This Row],[commits]]/Tabelle13[[#Totals],[commits]]</f>
        <v>4.6477904404246219E-5</v>
      </c>
      <c r="I1317" s="5">
        <f>Tabelle13[[#This Row],[%]]+I1316</f>
        <v>0.93037609920244002</v>
      </c>
      <c r="J1317" s="4">
        <f t="shared" si="73"/>
        <v>1.105583195135434E-4</v>
      </c>
      <c r="K1317" s="5">
        <f t="shared" si="74"/>
        <v>0.14538419016030535</v>
      </c>
    </row>
    <row r="1318" spans="1:11" x14ac:dyDescent="0.25">
      <c r="A1318" t="s">
        <v>5330</v>
      </c>
      <c r="C1318" t="s">
        <v>5331</v>
      </c>
      <c r="D1318" t="s">
        <v>5</v>
      </c>
      <c r="E1318" t="s">
        <v>6</v>
      </c>
      <c r="F1318" t="s">
        <v>28</v>
      </c>
      <c r="G1318">
        <v>10</v>
      </c>
      <c r="H1318" s="2">
        <f>Tabelle13[[#This Row],[commits]]/Tabelle13[[#Totals],[commits]]</f>
        <v>4.6477904404246219E-5</v>
      </c>
      <c r="I1318" s="5">
        <f>Tabelle13[[#This Row],[%]]+I1317</f>
        <v>0.93042257710684428</v>
      </c>
      <c r="J1318" s="4">
        <f t="shared" si="73"/>
        <v>1.105583195135434E-4</v>
      </c>
      <c r="K1318" s="5">
        <f t="shared" si="74"/>
        <v>0.14549474847981889</v>
      </c>
    </row>
    <row r="1319" spans="1:11" x14ac:dyDescent="0.25">
      <c r="A1319" t="s">
        <v>5332</v>
      </c>
      <c r="C1319" t="s">
        <v>5333</v>
      </c>
      <c r="D1319" t="s">
        <v>5</v>
      </c>
      <c r="E1319" t="s">
        <v>6</v>
      </c>
      <c r="F1319" t="s">
        <v>28</v>
      </c>
      <c r="G1319">
        <v>10</v>
      </c>
      <c r="H1319" s="2">
        <f>Tabelle13[[#This Row],[commits]]/Tabelle13[[#Totals],[commits]]</f>
        <v>4.6477904404246219E-5</v>
      </c>
      <c r="I1319" s="5">
        <f>Tabelle13[[#This Row],[%]]+I1318</f>
        <v>0.93046905501124855</v>
      </c>
      <c r="J1319" s="4">
        <f t="shared" si="73"/>
        <v>1.105583195135434E-4</v>
      </c>
      <c r="K1319" s="5">
        <f t="shared" si="74"/>
        <v>0.14560530679933242</v>
      </c>
    </row>
    <row r="1320" spans="1:11" x14ac:dyDescent="0.25">
      <c r="A1320" t="s">
        <v>5334</v>
      </c>
      <c r="C1320" t="s">
        <v>5335</v>
      </c>
      <c r="D1320" t="s">
        <v>5</v>
      </c>
      <c r="E1320" t="s">
        <v>6</v>
      </c>
      <c r="F1320" t="s">
        <v>28</v>
      </c>
      <c r="G1320">
        <v>10</v>
      </c>
      <c r="H1320" s="2">
        <f>Tabelle13[[#This Row],[commits]]/Tabelle13[[#Totals],[commits]]</f>
        <v>4.6477904404246219E-5</v>
      </c>
      <c r="I1320" s="5">
        <f>Tabelle13[[#This Row],[%]]+I1319</f>
        <v>0.93051553291565281</v>
      </c>
      <c r="J1320" s="4">
        <f t="shared" si="73"/>
        <v>1.105583195135434E-4</v>
      </c>
      <c r="K1320" s="5">
        <f t="shared" si="74"/>
        <v>0.14571586511884596</v>
      </c>
    </row>
    <row r="1321" spans="1:11" x14ac:dyDescent="0.25">
      <c r="A1321" t="s">
        <v>5336</v>
      </c>
      <c r="C1321" t="s">
        <v>5337</v>
      </c>
      <c r="D1321" t="s">
        <v>5</v>
      </c>
      <c r="E1321" t="s">
        <v>6</v>
      </c>
      <c r="F1321" t="s">
        <v>28</v>
      </c>
      <c r="G1321">
        <v>10</v>
      </c>
      <c r="H1321" s="2">
        <f>Tabelle13[[#This Row],[commits]]/Tabelle13[[#Totals],[commits]]</f>
        <v>4.6477904404246219E-5</v>
      </c>
      <c r="I1321" s="5">
        <f>Tabelle13[[#This Row],[%]]+I1320</f>
        <v>0.93056201082005707</v>
      </c>
      <c r="J1321" s="4">
        <f t="shared" si="73"/>
        <v>1.105583195135434E-4</v>
      </c>
      <c r="K1321" s="5">
        <f t="shared" si="74"/>
        <v>0.1458264234383595</v>
      </c>
    </row>
    <row r="1322" spans="1:11" x14ac:dyDescent="0.25">
      <c r="A1322" t="s">
        <v>5338</v>
      </c>
      <c r="C1322" t="s">
        <v>5339</v>
      </c>
      <c r="D1322" t="s">
        <v>5</v>
      </c>
      <c r="E1322" t="s">
        <v>6</v>
      </c>
      <c r="F1322" t="s">
        <v>28</v>
      </c>
      <c r="G1322">
        <v>10</v>
      </c>
      <c r="H1322" s="2">
        <f>Tabelle13[[#This Row],[commits]]/Tabelle13[[#Totals],[commits]]</f>
        <v>4.6477904404246219E-5</v>
      </c>
      <c r="I1322" s="5">
        <f>Tabelle13[[#This Row],[%]]+I1321</f>
        <v>0.93060848872446134</v>
      </c>
      <c r="J1322" s="4">
        <f t="shared" si="73"/>
        <v>1.105583195135434E-4</v>
      </c>
      <c r="K1322" s="5">
        <f t="shared" si="74"/>
        <v>0.14593698175787304</v>
      </c>
    </row>
    <row r="1323" spans="1:11" x14ac:dyDescent="0.25">
      <c r="A1323" t="s">
        <v>5340</v>
      </c>
      <c r="C1323" t="s">
        <v>5341</v>
      </c>
      <c r="D1323" t="s">
        <v>5175</v>
      </c>
      <c r="E1323" t="s">
        <v>6</v>
      </c>
      <c r="F1323" t="s">
        <v>28</v>
      </c>
      <c r="G1323">
        <v>10</v>
      </c>
      <c r="H1323" s="2">
        <f>Tabelle13[[#This Row],[commits]]/Tabelle13[[#Totals],[commits]]</f>
        <v>4.6477904404246219E-5</v>
      </c>
      <c r="I1323" s="5">
        <f>Tabelle13[[#This Row],[%]]+I1322</f>
        <v>0.9306549666288656</v>
      </c>
      <c r="J1323" s="4">
        <f t="shared" si="73"/>
        <v>1.105583195135434E-4</v>
      </c>
      <c r="K1323" s="5">
        <f t="shared" si="74"/>
        <v>0.14604754007738657</v>
      </c>
    </row>
    <row r="1324" spans="1:11" x14ac:dyDescent="0.25">
      <c r="A1324" t="s">
        <v>5342</v>
      </c>
      <c r="C1324" t="s">
        <v>5343</v>
      </c>
      <c r="D1324" t="s">
        <v>5</v>
      </c>
      <c r="E1324" t="s">
        <v>6</v>
      </c>
      <c r="F1324" t="s">
        <v>28</v>
      </c>
      <c r="G1324">
        <v>10</v>
      </c>
      <c r="H1324" s="2">
        <f>Tabelle13[[#This Row],[commits]]/Tabelle13[[#Totals],[commits]]</f>
        <v>4.6477904404246219E-5</v>
      </c>
      <c r="I1324" s="5">
        <f>Tabelle13[[#This Row],[%]]+I1323</f>
        <v>0.93070144453326986</v>
      </c>
      <c r="J1324" s="4">
        <f t="shared" si="73"/>
        <v>1.105583195135434E-4</v>
      </c>
      <c r="K1324" s="5">
        <f t="shared" si="74"/>
        <v>0.14615809839690011</v>
      </c>
    </row>
    <row r="1325" spans="1:11" x14ac:dyDescent="0.25">
      <c r="A1325" t="s">
        <v>5344</v>
      </c>
      <c r="C1325" t="s">
        <v>5254</v>
      </c>
      <c r="D1325" t="s">
        <v>5175</v>
      </c>
      <c r="E1325" t="s">
        <v>6</v>
      </c>
      <c r="F1325" t="s">
        <v>28</v>
      </c>
      <c r="G1325">
        <v>10</v>
      </c>
      <c r="H1325" s="2">
        <f>Tabelle13[[#This Row],[commits]]/Tabelle13[[#Totals],[commits]]</f>
        <v>4.6477904404246219E-5</v>
      </c>
      <c r="I1325" s="5">
        <f>Tabelle13[[#This Row],[%]]+I1324</f>
        <v>0.93074792243767412</v>
      </c>
      <c r="J1325" s="4">
        <f t="shared" si="73"/>
        <v>1.105583195135434E-4</v>
      </c>
      <c r="K1325" s="5">
        <f t="shared" si="74"/>
        <v>0.14626865671641365</v>
      </c>
    </row>
    <row r="1326" spans="1:11" x14ac:dyDescent="0.25">
      <c r="A1326" t="s">
        <v>10534</v>
      </c>
      <c r="C1326" t="s">
        <v>10535</v>
      </c>
      <c r="D1326" t="s">
        <v>309</v>
      </c>
      <c r="E1326" t="s">
        <v>6</v>
      </c>
      <c r="F1326" t="s">
        <v>251</v>
      </c>
      <c r="G1326">
        <v>10</v>
      </c>
      <c r="H1326" s="2">
        <f>Tabelle13[[#This Row],[commits]]/Tabelle13[[#Totals],[commits]]</f>
        <v>4.6477904404246219E-5</v>
      </c>
      <c r="I1326" s="5">
        <f>Tabelle13[[#This Row],[%]]+I1325</f>
        <v>0.93079440034207839</v>
      </c>
      <c r="J1326" s="4">
        <f t="shared" si="73"/>
        <v>1.105583195135434E-4</v>
      </c>
      <c r="K1326" s="5">
        <f t="shared" si="74"/>
        <v>0.14637921503592718</v>
      </c>
    </row>
    <row r="1327" spans="1:11" x14ac:dyDescent="0.25">
      <c r="A1327" t="s">
        <v>10536</v>
      </c>
      <c r="C1327" t="s">
        <v>10537</v>
      </c>
      <c r="D1327" t="s">
        <v>8760</v>
      </c>
      <c r="E1327" t="s">
        <v>6</v>
      </c>
      <c r="F1327" t="s">
        <v>251</v>
      </c>
      <c r="G1327">
        <v>10</v>
      </c>
      <c r="H1327" s="2">
        <f>Tabelle13[[#This Row],[commits]]/Tabelle13[[#Totals],[commits]]</f>
        <v>4.6477904404246219E-5</v>
      </c>
      <c r="I1327" s="5">
        <f>Tabelle13[[#This Row],[%]]+I1326</f>
        <v>0.93084087824648265</v>
      </c>
      <c r="J1327" s="4">
        <f t="shared" si="73"/>
        <v>1.105583195135434E-4</v>
      </c>
      <c r="K1327" s="5">
        <f t="shared" si="74"/>
        <v>0.14648977335544072</v>
      </c>
    </row>
    <row r="1328" spans="1:11" x14ac:dyDescent="0.25">
      <c r="A1328" t="s">
        <v>10538</v>
      </c>
      <c r="C1328" t="s">
        <v>10539</v>
      </c>
      <c r="D1328" t="s">
        <v>309</v>
      </c>
      <c r="E1328" t="s">
        <v>6</v>
      </c>
      <c r="F1328" t="s">
        <v>251</v>
      </c>
      <c r="G1328">
        <v>10</v>
      </c>
      <c r="H1328" s="2">
        <f>Tabelle13[[#This Row],[commits]]/Tabelle13[[#Totals],[commits]]</f>
        <v>4.6477904404246219E-5</v>
      </c>
      <c r="I1328" s="5">
        <f>Tabelle13[[#This Row],[%]]+I1327</f>
        <v>0.93088735615088691</v>
      </c>
      <c r="J1328" s="4">
        <f t="shared" si="73"/>
        <v>1.105583195135434E-4</v>
      </c>
      <c r="K1328" s="5">
        <f t="shared" si="74"/>
        <v>0.14660033167495426</v>
      </c>
    </row>
    <row r="1329" spans="1:11" x14ac:dyDescent="0.25">
      <c r="A1329" t="s">
        <v>10540</v>
      </c>
      <c r="C1329" t="s">
        <v>10541</v>
      </c>
      <c r="D1329" t="s">
        <v>309</v>
      </c>
      <c r="E1329" t="s">
        <v>6</v>
      </c>
      <c r="F1329" t="s">
        <v>251</v>
      </c>
      <c r="G1329">
        <v>10</v>
      </c>
      <c r="H1329" s="2">
        <f>Tabelle13[[#This Row],[commits]]/Tabelle13[[#Totals],[commits]]</f>
        <v>4.6477904404246219E-5</v>
      </c>
      <c r="I1329" s="5">
        <f>Tabelle13[[#This Row],[%]]+I1328</f>
        <v>0.93093383405529118</v>
      </c>
      <c r="J1329" s="4">
        <f t="shared" si="73"/>
        <v>1.105583195135434E-4</v>
      </c>
      <c r="K1329" s="5">
        <f t="shared" si="74"/>
        <v>0.1467108899944678</v>
      </c>
    </row>
    <row r="1330" spans="1:11" x14ac:dyDescent="0.25">
      <c r="A1330" t="s">
        <v>10542</v>
      </c>
      <c r="C1330" t="s">
        <v>10543</v>
      </c>
      <c r="D1330" t="s">
        <v>309</v>
      </c>
      <c r="E1330" t="s">
        <v>6</v>
      </c>
      <c r="F1330" t="s">
        <v>251</v>
      </c>
      <c r="G1330">
        <v>10</v>
      </c>
      <c r="H1330" s="2">
        <f>Tabelle13[[#This Row],[commits]]/Tabelle13[[#Totals],[commits]]</f>
        <v>4.6477904404246219E-5</v>
      </c>
      <c r="I1330" s="5">
        <f>Tabelle13[[#This Row],[%]]+I1329</f>
        <v>0.93098031195969544</v>
      </c>
      <c r="J1330" s="4">
        <f t="shared" si="73"/>
        <v>1.105583195135434E-4</v>
      </c>
      <c r="K1330" s="5">
        <f t="shared" si="74"/>
        <v>0.14682144831398133</v>
      </c>
    </row>
    <row r="1331" spans="1:11" x14ac:dyDescent="0.25">
      <c r="A1331" t="s">
        <v>10544</v>
      </c>
      <c r="C1331" t="s">
        <v>10545</v>
      </c>
      <c r="D1331" t="s">
        <v>8948</v>
      </c>
      <c r="E1331" t="s">
        <v>6</v>
      </c>
      <c r="F1331" t="s">
        <v>251</v>
      </c>
      <c r="G1331">
        <v>10</v>
      </c>
      <c r="H1331" s="2">
        <f>Tabelle13[[#This Row],[commits]]/Tabelle13[[#Totals],[commits]]</f>
        <v>4.6477904404246219E-5</v>
      </c>
      <c r="I1331" s="5">
        <f>Tabelle13[[#This Row],[%]]+I1330</f>
        <v>0.9310267898640997</v>
      </c>
      <c r="J1331" s="4">
        <f t="shared" si="73"/>
        <v>1.105583195135434E-4</v>
      </c>
      <c r="K1331" s="5">
        <f t="shared" si="74"/>
        <v>0.14693200663349487</v>
      </c>
    </row>
    <row r="1332" spans="1:11" x14ac:dyDescent="0.25">
      <c r="A1332" t="s">
        <v>10546</v>
      </c>
      <c r="C1332" t="s">
        <v>10547</v>
      </c>
      <c r="D1332" t="s">
        <v>309</v>
      </c>
      <c r="E1332" t="s">
        <v>6</v>
      </c>
      <c r="F1332" t="s">
        <v>251</v>
      </c>
      <c r="G1332">
        <v>10</v>
      </c>
      <c r="H1332" s="2">
        <f>Tabelle13[[#This Row],[commits]]/Tabelle13[[#Totals],[commits]]</f>
        <v>4.6477904404246219E-5</v>
      </c>
      <c r="I1332" s="5">
        <f>Tabelle13[[#This Row],[%]]+I1331</f>
        <v>0.93107326776850396</v>
      </c>
      <c r="J1332" s="4">
        <f t="shared" si="73"/>
        <v>1.105583195135434E-4</v>
      </c>
      <c r="K1332" s="5">
        <f t="shared" si="74"/>
        <v>0.14704256495300841</v>
      </c>
    </row>
    <row r="1333" spans="1:11" x14ac:dyDescent="0.25">
      <c r="A1333" t="s">
        <v>10548</v>
      </c>
      <c r="C1333" t="s">
        <v>10549</v>
      </c>
      <c r="D1333" t="s">
        <v>9035</v>
      </c>
      <c r="E1333" t="s">
        <v>6</v>
      </c>
      <c r="F1333" t="s">
        <v>251</v>
      </c>
      <c r="G1333">
        <v>10</v>
      </c>
      <c r="H1333" s="2">
        <f>Tabelle13[[#This Row],[commits]]/Tabelle13[[#Totals],[commits]]</f>
        <v>4.6477904404246219E-5</v>
      </c>
      <c r="I1333" s="5">
        <f>Tabelle13[[#This Row],[%]]+I1332</f>
        <v>0.93111974567290823</v>
      </c>
      <c r="J1333" s="4">
        <f t="shared" si="73"/>
        <v>1.105583195135434E-4</v>
      </c>
      <c r="K1333" s="5">
        <f t="shared" si="74"/>
        <v>0.14715312327252195</v>
      </c>
    </row>
    <row r="1334" spans="1:11" x14ac:dyDescent="0.25">
      <c r="A1334" t="s">
        <v>10550</v>
      </c>
      <c r="C1334" t="s">
        <v>10551</v>
      </c>
      <c r="D1334" t="s">
        <v>309</v>
      </c>
      <c r="E1334" t="s">
        <v>6</v>
      </c>
      <c r="F1334" t="s">
        <v>251</v>
      </c>
      <c r="G1334">
        <v>10</v>
      </c>
      <c r="H1334" s="2">
        <f>Tabelle13[[#This Row],[commits]]/Tabelle13[[#Totals],[commits]]</f>
        <v>4.6477904404246219E-5</v>
      </c>
      <c r="I1334" s="5">
        <f>Tabelle13[[#This Row],[%]]+I1333</f>
        <v>0.93116622357731249</v>
      </c>
      <c r="J1334" s="4">
        <f t="shared" si="73"/>
        <v>1.105583195135434E-4</v>
      </c>
      <c r="K1334" s="5">
        <f t="shared" si="74"/>
        <v>0.14726368159203548</v>
      </c>
    </row>
    <row r="1335" spans="1:11" x14ac:dyDescent="0.25">
      <c r="A1335" t="s">
        <v>10552</v>
      </c>
      <c r="C1335" t="s">
        <v>10553</v>
      </c>
      <c r="D1335" t="s">
        <v>5</v>
      </c>
      <c r="E1335" t="s">
        <v>6</v>
      </c>
      <c r="F1335" t="s">
        <v>251</v>
      </c>
      <c r="G1335">
        <v>10</v>
      </c>
      <c r="H1335" s="2">
        <f>Tabelle13[[#This Row],[commits]]/Tabelle13[[#Totals],[commits]]</f>
        <v>4.6477904404246219E-5</v>
      </c>
      <c r="I1335" s="5">
        <f>Tabelle13[[#This Row],[%]]+I1334</f>
        <v>0.93121270148171675</v>
      </c>
      <c r="J1335" s="4">
        <f t="shared" si="73"/>
        <v>1.105583195135434E-4</v>
      </c>
      <c r="K1335" s="5">
        <f t="shared" si="74"/>
        <v>0.14737423991154902</v>
      </c>
    </row>
    <row r="1336" spans="1:11" x14ac:dyDescent="0.25">
      <c r="A1336" t="s">
        <v>10554</v>
      </c>
      <c r="C1336" t="s">
        <v>10555</v>
      </c>
      <c r="D1336" t="s">
        <v>309</v>
      </c>
      <c r="E1336" t="s">
        <v>6</v>
      </c>
      <c r="F1336" t="s">
        <v>251</v>
      </c>
      <c r="G1336">
        <v>10</v>
      </c>
      <c r="H1336" s="2">
        <f>Tabelle13[[#This Row],[commits]]/Tabelle13[[#Totals],[commits]]</f>
        <v>4.6477904404246219E-5</v>
      </c>
      <c r="I1336" s="5">
        <f>Tabelle13[[#This Row],[%]]+I1335</f>
        <v>0.93125917938612102</v>
      </c>
      <c r="J1336" s="4">
        <f t="shared" si="73"/>
        <v>1.105583195135434E-4</v>
      </c>
      <c r="K1336" s="5">
        <f t="shared" si="74"/>
        <v>0.14748479823106256</v>
      </c>
    </row>
    <row r="1337" spans="1:11" x14ac:dyDescent="0.25">
      <c r="A1337" t="s">
        <v>10556</v>
      </c>
      <c r="C1337" t="s">
        <v>10557</v>
      </c>
      <c r="D1337" t="s">
        <v>309</v>
      </c>
      <c r="E1337" t="s">
        <v>6</v>
      </c>
      <c r="F1337" t="s">
        <v>251</v>
      </c>
      <c r="G1337">
        <v>10</v>
      </c>
      <c r="H1337" s="2">
        <f>Tabelle13[[#This Row],[commits]]/Tabelle13[[#Totals],[commits]]</f>
        <v>4.6477904404246219E-5</v>
      </c>
      <c r="I1337" s="5">
        <f>Tabelle13[[#This Row],[%]]+I1336</f>
        <v>0.93130565729052528</v>
      </c>
      <c r="J1337" s="4">
        <f t="shared" si="73"/>
        <v>1.105583195135434E-4</v>
      </c>
      <c r="K1337" s="5">
        <f t="shared" si="74"/>
        <v>0.1475953565505761</v>
      </c>
    </row>
    <row r="1338" spans="1:11" x14ac:dyDescent="0.25">
      <c r="A1338" t="s">
        <v>10558</v>
      </c>
      <c r="C1338" t="s">
        <v>10559</v>
      </c>
      <c r="D1338" t="s">
        <v>309</v>
      </c>
      <c r="E1338" t="s">
        <v>6</v>
      </c>
      <c r="F1338" t="s">
        <v>251</v>
      </c>
      <c r="G1338">
        <v>10</v>
      </c>
      <c r="H1338" s="2">
        <f>Tabelle13[[#This Row],[commits]]/Tabelle13[[#Totals],[commits]]</f>
        <v>4.6477904404246219E-5</v>
      </c>
      <c r="I1338" s="5">
        <f>Tabelle13[[#This Row],[%]]+I1337</f>
        <v>0.93135213519492954</v>
      </c>
      <c r="J1338" s="4">
        <f t="shared" si="73"/>
        <v>1.105583195135434E-4</v>
      </c>
      <c r="K1338" s="5">
        <f t="shared" si="74"/>
        <v>0.14770591487008963</v>
      </c>
    </row>
    <row r="1339" spans="1:11" x14ac:dyDescent="0.25">
      <c r="A1339" t="s">
        <v>10560</v>
      </c>
      <c r="C1339" t="s">
        <v>10561</v>
      </c>
      <c r="D1339" t="s">
        <v>5</v>
      </c>
      <c r="E1339" t="s">
        <v>6</v>
      </c>
      <c r="F1339" t="s">
        <v>251</v>
      </c>
      <c r="G1339">
        <v>10</v>
      </c>
      <c r="H1339" s="2">
        <f>Tabelle13[[#This Row],[commits]]/Tabelle13[[#Totals],[commits]]</f>
        <v>4.6477904404246219E-5</v>
      </c>
      <c r="I1339" s="5">
        <f>Tabelle13[[#This Row],[%]]+I1338</f>
        <v>0.93139861309933381</v>
      </c>
      <c r="J1339" s="4">
        <f t="shared" si="73"/>
        <v>1.105583195135434E-4</v>
      </c>
      <c r="K1339" s="5">
        <f t="shared" si="74"/>
        <v>0.14781647318960317</v>
      </c>
    </row>
    <row r="1340" spans="1:11" x14ac:dyDescent="0.25">
      <c r="A1340" t="s">
        <v>10562</v>
      </c>
      <c r="C1340" t="s">
        <v>8776</v>
      </c>
      <c r="D1340" t="s">
        <v>5</v>
      </c>
      <c r="E1340" t="s">
        <v>6</v>
      </c>
      <c r="F1340" t="s">
        <v>251</v>
      </c>
      <c r="G1340">
        <v>10</v>
      </c>
      <c r="H1340" s="2">
        <f>Tabelle13[[#This Row],[commits]]/Tabelle13[[#Totals],[commits]]</f>
        <v>4.6477904404246219E-5</v>
      </c>
      <c r="I1340" s="5">
        <f>Tabelle13[[#This Row],[%]]+I1339</f>
        <v>0.93144509100373807</v>
      </c>
      <c r="J1340" s="4">
        <f t="shared" si="73"/>
        <v>1.105583195135434E-4</v>
      </c>
      <c r="K1340" s="5">
        <f t="shared" si="74"/>
        <v>0.14792703150911671</v>
      </c>
    </row>
    <row r="1341" spans="1:11" x14ac:dyDescent="0.25">
      <c r="A1341" t="s">
        <v>10563</v>
      </c>
      <c r="C1341" t="s">
        <v>10564</v>
      </c>
      <c r="D1341" t="s">
        <v>9035</v>
      </c>
      <c r="E1341" t="s">
        <v>6</v>
      </c>
      <c r="F1341" t="s">
        <v>251</v>
      </c>
      <c r="G1341">
        <v>10</v>
      </c>
      <c r="H1341" s="2">
        <f>Tabelle13[[#This Row],[commits]]/Tabelle13[[#Totals],[commits]]</f>
        <v>4.6477904404246219E-5</v>
      </c>
      <c r="I1341" s="5">
        <f>Tabelle13[[#This Row],[%]]+I1340</f>
        <v>0.93149156890814233</v>
      </c>
      <c r="J1341" s="4">
        <f t="shared" si="73"/>
        <v>1.105583195135434E-4</v>
      </c>
      <c r="K1341" s="5">
        <f t="shared" si="74"/>
        <v>0.14803758982863024</v>
      </c>
    </row>
    <row r="1342" spans="1:11" x14ac:dyDescent="0.25">
      <c r="A1342" t="s">
        <v>10565</v>
      </c>
      <c r="C1342" t="s">
        <v>10566</v>
      </c>
      <c r="D1342" t="s">
        <v>309</v>
      </c>
      <c r="E1342" t="s">
        <v>6</v>
      </c>
      <c r="F1342" t="s">
        <v>251</v>
      </c>
      <c r="G1342">
        <v>10</v>
      </c>
      <c r="H1342" s="2">
        <f>Tabelle13[[#This Row],[commits]]/Tabelle13[[#Totals],[commits]]</f>
        <v>4.6477904404246219E-5</v>
      </c>
      <c r="I1342" s="5">
        <f>Tabelle13[[#This Row],[%]]+I1341</f>
        <v>0.93153804681254659</v>
      </c>
      <c r="J1342" s="4">
        <f t="shared" si="73"/>
        <v>1.105583195135434E-4</v>
      </c>
      <c r="K1342" s="5">
        <f t="shared" si="74"/>
        <v>0.14814814814814378</v>
      </c>
    </row>
    <row r="1343" spans="1:11" x14ac:dyDescent="0.25">
      <c r="A1343" t="s">
        <v>10567</v>
      </c>
      <c r="C1343" t="s">
        <v>10568</v>
      </c>
      <c r="D1343" t="s">
        <v>309</v>
      </c>
      <c r="E1343" t="s">
        <v>6</v>
      </c>
      <c r="F1343" t="s">
        <v>251</v>
      </c>
      <c r="G1343">
        <v>10</v>
      </c>
      <c r="H1343" s="2">
        <f>Tabelle13[[#This Row],[commits]]/Tabelle13[[#Totals],[commits]]</f>
        <v>4.6477904404246219E-5</v>
      </c>
      <c r="I1343" s="5">
        <f>Tabelle13[[#This Row],[%]]+I1342</f>
        <v>0.93158452471695086</v>
      </c>
      <c r="J1343" s="4">
        <f t="shared" si="73"/>
        <v>1.105583195135434E-4</v>
      </c>
      <c r="K1343" s="5">
        <f t="shared" si="74"/>
        <v>0.14825870646765732</v>
      </c>
    </row>
    <row r="1344" spans="1:11" x14ac:dyDescent="0.25">
      <c r="A1344" t="s">
        <v>10569</v>
      </c>
      <c r="C1344" t="s">
        <v>10570</v>
      </c>
      <c r="D1344" t="s">
        <v>5</v>
      </c>
      <c r="E1344" t="s">
        <v>6</v>
      </c>
      <c r="F1344" t="s">
        <v>251</v>
      </c>
      <c r="G1344">
        <v>10</v>
      </c>
      <c r="H1344" s="2">
        <f>Tabelle13[[#This Row],[commits]]/Tabelle13[[#Totals],[commits]]</f>
        <v>4.6477904404246219E-5</v>
      </c>
      <c r="I1344" s="5">
        <f>Tabelle13[[#This Row],[%]]+I1343</f>
        <v>0.93163100262135512</v>
      </c>
      <c r="J1344" s="4">
        <f t="shared" si="73"/>
        <v>1.105583195135434E-4</v>
      </c>
      <c r="K1344" s="5">
        <f t="shared" si="74"/>
        <v>0.14836926478717086</v>
      </c>
    </row>
    <row r="1345" spans="1:11" x14ac:dyDescent="0.25">
      <c r="A1345" t="s">
        <v>10571</v>
      </c>
      <c r="C1345" t="s">
        <v>10572</v>
      </c>
      <c r="D1345" t="s">
        <v>309</v>
      </c>
      <c r="E1345" t="s">
        <v>6</v>
      </c>
      <c r="F1345" t="s">
        <v>251</v>
      </c>
      <c r="G1345">
        <v>10</v>
      </c>
      <c r="H1345" s="2">
        <f>Tabelle13[[#This Row],[commits]]/Tabelle13[[#Totals],[commits]]</f>
        <v>4.6477904404246219E-5</v>
      </c>
      <c r="I1345" s="5">
        <f>Tabelle13[[#This Row],[%]]+I1344</f>
        <v>0.93167748052575938</v>
      </c>
      <c r="J1345" s="4">
        <f t="shared" si="73"/>
        <v>1.105583195135434E-4</v>
      </c>
      <c r="K1345" s="5">
        <f t="shared" si="74"/>
        <v>0.14847982310668439</v>
      </c>
    </row>
    <row r="1346" spans="1:11" x14ac:dyDescent="0.25">
      <c r="A1346" t="s">
        <v>10573</v>
      </c>
      <c r="C1346" t="s">
        <v>10574</v>
      </c>
      <c r="D1346" t="s">
        <v>309</v>
      </c>
      <c r="E1346" t="s">
        <v>6</v>
      </c>
      <c r="F1346" t="s">
        <v>251</v>
      </c>
      <c r="G1346">
        <v>10</v>
      </c>
      <c r="H1346" s="2">
        <f>Tabelle13[[#This Row],[commits]]/Tabelle13[[#Totals],[commits]]</f>
        <v>4.6477904404246219E-5</v>
      </c>
      <c r="I1346" s="5">
        <f>Tabelle13[[#This Row],[%]]+I1345</f>
        <v>0.93172395843016365</v>
      </c>
      <c r="J1346" s="4">
        <f t="shared" si="73"/>
        <v>1.105583195135434E-4</v>
      </c>
      <c r="K1346" s="5">
        <f t="shared" si="74"/>
        <v>0.14859038142619793</v>
      </c>
    </row>
    <row r="1347" spans="1:11" x14ac:dyDescent="0.25">
      <c r="A1347" t="s">
        <v>10575</v>
      </c>
      <c r="C1347" t="s">
        <v>10576</v>
      </c>
      <c r="D1347" t="s">
        <v>5</v>
      </c>
      <c r="E1347" t="s">
        <v>6</v>
      </c>
      <c r="F1347" t="s">
        <v>251</v>
      </c>
      <c r="G1347">
        <v>10</v>
      </c>
      <c r="H1347" s="2">
        <f>Tabelle13[[#This Row],[commits]]/Tabelle13[[#Totals],[commits]]</f>
        <v>4.6477904404246219E-5</v>
      </c>
      <c r="I1347" s="5">
        <f>Tabelle13[[#This Row],[%]]+I1346</f>
        <v>0.93177043633456791</v>
      </c>
      <c r="J1347" s="4">
        <f t="shared" ref="J1347:J1410" si="75">1/9045</f>
        <v>1.105583195135434E-4</v>
      </c>
      <c r="K1347" s="5">
        <f t="shared" si="74"/>
        <v>0.14870093974571147</v>
      </c>
    </row>
    <row r="1348" spans="1:11" x14ac:dyDescent="0.25">
      <c r="A1348" t="s">
        <v>10577</v>
      </c>
      <c r="C1348" t="s">
        <v>10578</v>
      </c>
      <c r="D1348" t="s">
        <v>10366</v>
      </c>
      <c r="E1348" t="s">
        <v>6</v>
      </c>
      <c r="F1348" t="s">
        <v>251</v>
      </c>
      <c r="G1348">
        <v>10</v>
      </c>
      <c r="H1348" s="2">
        <f>Tabelle13[[#This Row],[commits]]/Tabelle13[[#Totals],[commits]]</f>
        <v>4.6477904404246219E-5</v>
      </c>
      <c r="I1348" s="5">
        <f>Tabelle13[[#This Row],[%]]+I1347</f>
        <v>0.93181691423897217</v>
      </c>
      <c r="J1348" s="4">
        <f t="shared" si="75"/>
        <v>1.105583195135434E-4</v>
      </c>
      <c r="K1348" s="5">
        <f t="shared" si="74"/>
        <v>0.14881149806522501</v>
      </c>
    </row>
    <row r="1349" spans="1:11" x14ac:dyDescent="0.25">
      <c r="A1349" t="s">
        <v>10579</v>
      </c>
      <c r="C1349" t="s">
        <v>10580</v>
      </c>
      <c r="D1349" t="s">
        <v>5</v>
      </c>
      <c r="E1349" t="s">
        <v>6</v>
      </c>
      <c r="F1349" t="s">
        <v>251</v>
      </c>
      <c r="G1349">
        <v>10</v>
      </c>
      <c r="H1349" s="2">
        <f>Tabelle13[[#This Row],[commits]]/Tabelle13[[#Totals],[commits]]</f>
        <v>4.6477904404246219E-5</v>
      </c>
      <c r="I1349" s="5">
        <f>Tabelle13[[#This Row],[%]]+I1348</f>
        <v>0.93186339214337643</v>
      </c>
      <c r="J1349" s="4">
        <f t="shared" si="75"/>
        <v>1.105583195135434E-4</v>
      </c>
      <c r="K1349" s="5">
        <f t="shared" si="74"/>
        <v>0.14892205638473854</v>
      </c>
    </row>
    <row r="1350" spans="1:11" x14ac:dyDescent="0.25">
      <c r="A1350" t="s">
        <v>10581</v>
      </c>
      <c r="C1350" t="s">
        <v>10582</v>
      </c>
      <c r="D1350" t="s">
        <v>309</v>
      </c>
      <c r="E1350" t="s">
        <v>6</v>
      </c>
      <c r="F1350" t="s">
        <v>251</v>
      </c>
      <c r="G1350">
        <v>10</v>
      </c>
      <c r="H1350" s="2">
        <f>Tabelle13[[#This Row],[commits]]/Tabelle13[[#Totals],[commits]]</f>
        <v>4.6477904404246219E-5</v>
      </c>
      <c r="I1350" s="5">
        <f>Tabelle13[[#This Row],[%]]+I1349</f>
        <v>0.9319098700477807</v>
      </c>
      <c r="J1350" s="4">
        <f t="shared" si="75"/>
        <v>1.105583195135434E-4</v>
      </c>
      <c r="K1350" s="5">
        <f t="shared" ref="K1350:K1413" si="76">J1350+K1349</f>
        <v>0.14903261470425208</v>
      </c>
    </row>
    <row r="1351" spans="1:11" x14ac:dyDescent="0.25">
      <c r="A1351" t="s">
        <v>10583</v>
      </c>
      <c r="C1351" t="s">
        <v>10584</v>
      </c>
      <c r="D1351" t="s">
        <v>5</v>
      </c>
      <c r="E1351" t="s">
        <v>6</v>
      </c>
      <c r="F1351" t="s">
        <v>251</v>
      </c>
      <c r="G1351">
        <v>10</v>
      </c>
      <c r="H1351" s="2">
        <f>Tabelle13[[#This Row],[commits]]/Tabelle13[[#Totals],[commits]]</f>
        <v>4.6477904404246219E-5</v>
      </c>
      <c r="I1351" s="5">
        <f>Tabelle13[[#This Row],[%]]+I1350</f>
        <v>0.93195634795218496</v>
      </c>
      <c r="J1351" s="4">
        <f t="shared" si="75"/>
        <v>1.105583195135434E-4</v>
      </c>
      <c r="K1351" s="5">
        <f t="shared" si="76"/>
        <v>0.14914317302376562</v>
      </c>
    </row>
    <row r="1352" spans="1:11" x14ac:dyDescent="0.25">
      <c r="A1352" t="s">
        <v>10585</v>
      </c>
      <c r="C1352" t="s">
        <v>10586</v>
      </c>
      <c r="D1352" t="s">
        <v>10461</v>
      </c>
      <c r="E1352" t="s">
        <v>6</v>
      </c>
      <c r="F1352" t="s">
        <v>251</v>
      </c>
      <c r="G1352">
        <v>10</v>
      </c>
      <c r="H1352" s="2">
        <f>Tabelle13[[#This Row],[commits]]/Tabelle13[[#Totals],[commits]]</f>
        <v>4.6477904404246219E-5</v>
      </c>
      <c r="I1352" s="5">
        <f>Tabelle13[[#This Row],[%]]+I1351</f>
        <v>0.93200282585658922</v>
      </c>
      <c r="J1352" s="4">
        <f t="shared" si="75"/>
        <v>1.105583195135434E-4</v>
      </c>
      <c r="K1352" s="5">
        <f t="shared" si="76"/>
        <v>0.14925373134327916</v>
      </c>
    </row>
    <row r="1353" spans="1:11" x14ac:dyDescent="0.25">
      <c r="A1353" t="s">
        <v>10587</v>
      </c>
      <c r="C1353" t="s">
        <v>10588</v>
      </c>
      <c r="D1353" t="s">
        <v>5</v>
      </c>
      <c r="E1353" t="s">
        <v>6</v>
      </c>
      <c r="F1353" t="s">
        <v>251</v>
      </c>
      <c r="G1353">
        <v>10</v>
      </c>
      <c r="H1353" s="2">
        <f>Tabelle13[[#This Row],[commits]]/Tabelle13[[#Totals],[commits]]</f>
        <v>4.6477904404246219E-5</v>
      </c>
      <c r="I1353" s="5">
        <f>Tabelle13[[#This Row],[%]]+I1352</f>
        <v>0.93204930376099349</v>
      </c>
      <c r="J1353" s="4">
        <f t="shared" si="75"/>
        <v>1.105583195135434E-4</v>
      </c>
      <c r="K1353" s="5">
        <f t="shared" si="76"/>
        <v>0.14936428966279269</v>
      </c>
    </row>
    <row r="1354" spans="1:11" x14ac:dyDescent="0.25">
      <c r="A1354" t="s">
        <v>10589</v>
      </c>
      <c r="C1354" t="s">
        <v>10590</v>
      </c>
      <c r="D1354" t="s">
        <v>5</v>
      </c>
      <c r="E1354" t="s">
        <v>6</v>
      </c>
      <c r="F1354" t="s">
        <v>251</v>
      </c>
      <c r="G1354">
        <v>10</v>
      </c>
      <c r="H1354" s="2">
        <f>Tabelle13[[#This Row],[commits]]/Tabelle13[[#Totals],[commits]]</f>
        <v>4.6477904404246219E-5</v>
      </c>
      <c r="I1354" s="5">
        <f>Tabelle13[[#This Row],[%]]+I1353</f>
        <v>0.93209578166539775</v>
      </c>
      <c r="J1354" s="4">
        <f t="shared" si="75"/>
        <v>1.105583195135434E-4</v>
      </c>
      <c r="K1354" s="5">
        <f t="shared" si="76"/>
        <v>0.14947484798230623</v>
      </c>
    </row>
    <row r="1355" spans="1:11" x14ac:dyDescent="0.25">
      <c r="A1355" t="s">
        <v>10591</v>
      </c>
      <c r="C1355" t="s">
        <v>10592</v>
      </c>
      <c r="D1355" t="s">
        <v>5</v>
      </c>
      <c r="E1355" t="s">
        <v>6</v>
      </c>
      <c r="F1355" t="s">
        <v>251</v>
      </c>
      <c r="G1355">
        <v>10</v>
      </c>
      <c r="H1355" s="2">
        <f>Tabelle13[[#This Row],[commits]]/Tabelle13[[#Totals],[commits]]</f>
        <v>4.6477904404246219E-5</v>
      </c>
      <c r="I1355" s="5">
        <f>Tabelle13[[#This Row],[%]]+I1354</f>
        <v>0.93214225956980201</v>
      </c>
      <c r="J1355" s="4">
        <f t="shared" si="75"/>
        <v>1.105583195135434E-4</v>
      </c>
      <c r="K1355" s="5">
        <f t="shared" si="76"/>
        <v>0.14958540630181977</v>
      </c>
    </row>
    <row r="1356" spans="1:11" x14ac:dyDescent="0.25">
      <c r="A1356" t="s">
        <v>10593</v>
      </c>
      <c r="C1356" t="s">
        <v>10594</v>
      </c>
      <c r="D1356" t="s">
        <v>9035</v>
      </c>
      <c r="E1356" t="s">
        <v>6</v>
      </c>
      <c r="F1356" t="s">
        <v>251</v>
      </c>
      <c r="G1356">
        <v>10</v>
      </c>
      <c r="H1356" s="2">
        <f>Tabelle13[[#This Row],[commits]]/Tabelle13[[#Totals],[commits]]</f>
        <v>4.6477904404246219E-5</v>
      </c>
      <c r="I1356" s="5">
        <f>Tabelle13[[#This Row],[%]]+I1355</f>
        <v>0.93218873747420627</v>
      </c>
      <c r="J1356" s="4">
        <f t="shared" si="75"/>
        <v>1.105583195135434E-4</v>
      </c>
      <c r="K1356" s="5">
        <f t="shared" si="76"/>
        <v>0.14969596462133331</v>
      </c>
    </row>
    <row r="1357" spans="1:11" x14ac:dyDescent="0.25">
      <c r="A1357" t="s">
        <v>10595</v>
      </c>
      <c r="C1357" t="s">
        <v>10596</v>
      </c>
      <c r="D1357" t="s">
        <v>4461</v>
      </c>
      <c r="E1357" t="s">
        <v>6</v>
      </c>
      <c r="F1357" t="s">
        <v>251</v>
      </c>
      <c r="G1357">
        <v>10</v>
      </c>
      <c r="H1357" s="2">
        <f>Tabelle13[[#This Row],[commits]]/Tabelle13[[#Totals],[commits]]</f>
        <v>4.6477904404246219E-5</v>
      </c>
      <c r="I1357" s="5">
        <f>Tabelle13[[#This Row],[%]]+I1356</f>
        <v>0.93223521537861054</v>
      </c>
      <c r="J1357" s="4">
        <f t="shared" si="75"/>
        <v>1.105583195135434E-4</v>
      </c>
      <c r="K1357" s="5">
        <f t="shared" si="76"/>
        <v>0.14980652294084684</v>
      </c>
    </row>
    <row r="1358" spans="1:11" x14ac:dyDescent="0.25">
      <c r="A1358" t="s">
        <v>10597</v>
      </c>
      <c r="C1358" t="s">
        <v>10598</v>
      </c>
      <c r="D1358" t="s">
        <v>5</v>
      </c>
      <c r="E1358" t="s">
        <v>6</v>
      </c>
      <c r="F1358" t="s">
        <v>251</v>
      </c>
      <c r="G1358">
        <v>10</v>
      </c>
      <c r="H1358" s="2">
        <f>Tabelle13[[#This Row],[commits]]/Tabelle13[[#Totals],[commits]]</f>
        <v>4.6477904404246219E-5</v>
      </c>
      <c r="I1358" s="5">
        <f>Tabelle13[[#This Row],[%]]+I1357</f>
        <v>0.9322816932830148</v>
      </c>
      <c r="J1358" s="4">
        <f t="shared" si="75"/>
        <v>1.105583195135434E-4</v>
      </c>
      <c r="K1358" s="5">
        <f t="shared" si="76"/>
        <v>0.14991708126036038</v>
      </c>
    </row>
    <row r="1359" spans="1:11" x14ac:dyDescent="0.25">
      <c r="A1359" t="s">
        <v>10599</v>
      </c>
      <c r="C1359" t="s">
        <v>10600</v>
      </c>
      <c r="D1359" t="s">
        <v>8948</v>
      </c>
      <c r="E1359" t="s">
        <v>6</v>
      </c>
      <c r="F1359" t="s">
        <v>251</v>
      </c>
      <c r="G1359">
        <v>10</v>
      </c>
      <c r="H1359" s="2">
        <f>Tabelle13[[#This Row],[commits]]/Tabelle13[[#Totals],[commits]]</f>
        <v>4.6477904404246219E-5</v>
      </c>
      <c r="I1359" s="5">
        <f>Tabelle13[[#This Row],[%]]+I1358</f>
        <v>0.93232817118741906</v>
      </c>
      <c r="J1359" s="4">
        <f t="shared" si="75"/>
        <v>1.105583195135434E-4</v>
      </c>
      <c r="K1359" s="5">
        <f t="shared" si="76"/>
        <v>0.15002763957987392</v>
      </c>
    </row>
    <row r="1360" spans="1:11" x14ac:dyDescent="0.25">
      <c r="A1360" t="s">
        <v>10601</v>
      </c>
      <c r="C1360" t="s">
        <v>10602</v>
      </c>
      <c r="D1360" t="s">
        <v>5</v>
      </c>
      <c r="E1360" t="s">
        <v>6</v>
      </c>
      <c r="F1360" t="s">
        <v>251</v>
      </c>
      <c r="G1360">
        <v>10</v>
      </c>
      <c r="H1360" s="2">
        <f>Tabelle13[[#This Row],[commits]]/Tabelle13[[#Totals],[commits]]</f>
        <v>4.6477904404246219E-5</v>
      </c>
      <c r="I1360" s="5">
        <f>Tabelle13[[#This Row],[%]]+I1359</f>
        <v>0.93237464909182333</v>
      </c>
      <c r="J1360" s="4">
        <f t="shared" si="75"/>
        <v>1.105583195135434E-4</v>
      </c>
      <c r="K1360" s="5">
        <f t="shared" si="76"/>
        <v>0.15013819789938745</v>
      </c>
    </row>
    <row r="1361" spans="1:11" x14ac:dyDescent="0.25">
      <c r="A1361" t="s">
        <v>10603</v>
      </c>
      <c r="C1361" t="s">
        <v>10604</v>
      </c>
      <c r="D1361" t="s">
        <v>10605</v>
      </c>
      <c r="E1361" t="s">
        <v>6</v>
      </c>
      <c r="F1361" t="s">
        <v>251</v>
      </c>
      <c r="G1361">
        <v>10</v>
      </c>
      <c r="H1361" s="2">
        <f>Tabelle13[[#This Row],[commits]]/Tabelle13[[#Totals],[commits]]</f>
        <v>4.6477904404246219E-5</v>
      </c>
      <c r="I1361" s="5">
        <f>Tabelle13[[#This Row],[%]]+I1360</f>
        <v>0.93242112699622759</v>
      </c>
      <c r="J1361" s="4">
        <f t="shared" si="75"/>
        <v>1.105583195135434E-4</v>
      </c>
      <c r="K1361" s="5">
        <f t="shared" si="76"/>
        <v>0.15024875621890099</v>
      </c>
    </row>
    <row r="1362" spans="1:11" x14ac:dyDescent="0.25">
      <c r="A1362" t="s">
        <v>10606</v>
      </c>
      <c r="C1362" t="s">
        <v>10607</v>
      </c>
      <c r="D1362" t="s">
        <v>5</v>
      </c>
      <c r="E1362" t="s">
        <v>6</v>
      </c>
      <c r="F1362" t="s">
        <v>251</v>
      </c>
      <c r="G1362">
        <v>10</v>
      </c>
      <c r="H1362" s="2">
        <f>Tabelle13[[#This Row],[commits]]/Tabelle13[[#Totals],[commits]]</f>
        <v>4.6477904404246219E-5</v>
      </c>
      <c r="I1362" s="5">
        <f>Tabelle13[[#This Row],[%]]+I1361</f>
        <v>0.93246760490063185</v>
      </c>
      <c r="J1362" s="4">
        <f t="shared" si="75"/>
        <v>1.105583195135434E-4</v>
      </c>
      <c r="K1362" s="5">
        <f t="shared" si="76"/>
        <v>0.15035931453841453</v>
      </c>
    </row>
    <row r="1363" spans="1:11" x14ac:dyDescent="0.25">
      <c r="A1363" t="s">
        <v>10608</v>
      </c>
      <c r="C1363" t="s">
        <v>10609</v>
      </c>
      <c r="D1363" t="s">
        <v>8874</v>
      </c>
      <c r="E1363" t="s">
        <v>6</v>
      </c>
      <c r="F1363" t="s">
        <v>251</v>
      </c>
      <c r="G1363">
        <v>10</v>
      </c>
      <c r="H1363" s="2">
        <f>Tabelle13[[#This Row],[commits]]/Tabelle13[[#Totals],[commits]]</f>
        <v>4.6477904404246219E-5</v>
      </c>
      <c r="I1363" s="5">
        <f>Tabelle13[[#This Row],[%]]+I1362</f>
        <v>0.93251408280503612</v>
      </c>
      <c r="J1363" s="4">
        <f t="shared" si="75"/>
        <v>1.105583195135434E-4</v>
      </c>
      <c r="K1363" s="5">
        <f t="shared" si="76"/>
        <v>0.15046987285792807</v>
      </c>
    </row>
    <row r="1364" spans="1:11" x14ac:dyDescent="0.25">
      <c r="A1364" t="s">
        <v>10610</v>
      </c>
      <c r="C1364" t="s">
        <v>10611</v>
      </c>
      <c r="D1364" t="s">
        <v>5</v>
      </c>
      <c r="E1364" t="s">
        <v>6</v>
      </c>
      <c r="F1364" t="s">
        <v>251</v>
      </c>
      <c r="G1364">
        <v>10</v>
      </c>
      <c r="H1364" s="2">
        <f>Tabelle13[[#This Row],[commits]]/Tabelle13[[#Totals],[commits]]</f>
        <v>4.6477904404246219E-5</v>
      </c>
      <c r="I1364" s="5">
        <f>Tabelle13[[#This Row],[%]]+I1363</f>
        <v>0.93256056070944038</v>
      </c>
      <c r="J1364" s="4">
        <f t="shared" si="75"/>
        <v>1.105583195135434E-4</v>
      </c>
      <c r="K1364" s="5">
        <f t="shared" si="76"/>
        <v>0.1505804311774416</v>
      </c>
    </row>
    <row r="1365" spans="1:11" x14ac:dyDescent="0.25">
      <c r="A1365" t="s">
        <v>10612</v>
      </c>
      <c r="C1365" t="s">
        <v>10613</v>
      </c>
      <c r="D1365" t="s">
        <v>10614</v>
      </c>
      <c r="E1365" t="s">
        <v>6</v>
      </c>
      <c r="F1365" t="s">
        <v>251</v>
      </c>
      <c r="G1365">
        <v>10</v>
      </c>
      <c r="H1365" s="2">
        <f>Tabelle13[[#This Row],[commits]]/Tabelle13[[#Totals],[commits]]</f>
        <v>4.6477904404246219E-5</v>
      </c>
      <c r="I1365" s="5">
        <f>Tabelle13[[#This Row],[%]]+I1364</f>
        <v>0.93260703861384464</v>
      </c>
      <c r="J1365" s="4">
        <f t="shared" si="75"/>
        <v>1.105583195135434E-4</v>
      </c>
      <c r="K1365" s="5">
        <f t="shared" si="76"/>
        <v>0.15069098949695514</v>
      </c>
    </row>
    <row r="1366" spans="1:11" x14ac:dyDescent="0.25">
      <c r="A1366" t="s">
        <v>10615</v>
      </c>
      <c r="C1366" t="s">
        <v>10616</v>
      </c>
      <c r="D1366" t="s">
        <v>5</v>
      </c>
      <c r="E1366" t="s">
        <v>6</v>
      </c>
      <c r="F1366" t="s">
        <v>251</v>
      </c>
      <c r="G1366">
        <v>10</v>
      </c>
      <c r="H1366" s="2">
        <f>Tabelle13[[#This Row],[commits]]/Tabelle13[[#Totals],[commits]]</f>
        <v>4.6477904404246219E-5</v>
      </c>
      <c r="I1366" s="5">
        <f>Tabelle13[[#This Row],[%]]+I1365</f>
        <v>0.9326535165182489</v>
      </c>
      <c r="J1366" s="4">
        <f t="shared" si="75"/>
        <v>1.105583195135434E-4</v>
      </c>
      <c r="K1366" s="5">
        <f t="shared" si="76"/>
        <v>0.15080154781646868</v>
      </c>
    </row>
    <row r="1367" spans="1:11" x14ac:dyDescent="0.25">
      <c r="A1367" t="s">
        <v>10617</v>
      </c>
      <c r="C1367" t="s">
        <v>10618</v>
      </c>
      <c r="D1367" t="s">
        <v>5</v>
      </c>
      <c r="E1367" t="s">
        <v>6</v>
      </c>
      <c r="F1367" t="s">
        <v>251</v>
      </c>
      <c r="G1367">
        <v>10</v>
      </c>
      <c r="H1367" s="2">
        <f>Tabelle13[[#This Row],[commits]]/Tabelle13[[#Totals],[commits]]</f>
        <v>4.6477904404246219E-5</v>
      </c>
      <c r="I1367" s="5">
        <f>Tabelle13[[#This Row],[%]]+I1366</f>
        <v>0.93269999442265317</v>
      </c>
      <c r="J1367" s="4">
        <f t="shared" si="75"/>
        <v>1.105583195135434E-4</v>
      </c>
      <c r="K1367" s="5">
        <f t="shared" si="76"/>
        <v>0.15091210613598222</v>
      </c>
    </row>
    <row r="1368" spans="1:11" x14ac:dyDescent="0.25">
      <c r="A1368" t="s">
        <v>10619</v>
      </c>
      <c r="C1368" t="s">
        <v>10620</v>
      </c>
      <c r="D1368" t="s">
        <v>8948</v>
      </c>
      <c r="E1368" t="s">
        <v>6</v>
      </c>
      <c r="F1368" t="s">
        <v>251</v>
      </c>
      <c r="G1368">
        <v>10</v>
      </c>
      <c r="H1368" s="2">
        <f>Tabelle13[[#This Row],[commits]]/Tabelle13[[#Totals],[commits]]</f>
        <v>4.6477904404246219E-5</v>
      </c>
      <c r="I1368" s="5">
        <f>Tabelle13[[#This Row],[%]]+I1367</f>
        <v>0.93274647232705743</v>
      </c>
      <c r="J1368" s="4">
        <f t="shared" si="75"/>
        <v>1.105583195135434E-4</v>
      </c>
      <c r="K1368" s="5">
        <f t="shared" si="76"/>
        <v>0.15102266445549575</v>
      </c>
    </row>
    <row r="1369" spans="1:11" x14ac:dyDescent="0.25">
      <c r="A1369" t="s">
        <v>10621</v>
      </c>
      <c r="C1369" t="s">
        <v>10622</v>
      </c>
      <c r="D1369" t="s">
        <v>5</v>
      </c>
      <c r="E1369" t="s">
        <v>6</v>
      </c>
      <c r="F1369" t="s">
        <v>251</v>
      </c>
      <c r="G1369">
        <v>10</v>
      </c>
      <c r="H1369" s="2">
        <f>Tabelle13[[#This Row],[commits]]/Tabelle13[[#Totals],[commits]]</f>
        <v>4.6477904404246219E-5</v>
      </c>
      <c r="I1369" s="5">
        <f>Tabelle13[[#This Row],[%]]+I1368</f>
        <v>0.93279295023146169</v>
      </c>
      <c r="J1369" s="4">
        <f t="shared" si="75"/>
        <v>1.105583195135434E-4</v>
      </c>
      <c r="K1369" s="5">
        <f t="shared" si="76"/>
        <v>0.15113322277500929</v>
      </c>
    </row>
    <row r="1370" spans="1:11" x14ac:dyDescent="0.25">
      <c r="A1370" t="s">
        <v>10623</v>
      </c>
      <c r="C1370" t="s">
        <v>10624</v>
      </c>
      <c r="D1370" t="s">
        <v>8948</v>
      </c>
      <c r="E1370" t="s">
        <v>6</v>
      </c>
      <c r="F1370" t="s">
        <v>251</v>
      </c>
      <c r="G1370">
        <v>10</v>
      </c>
      <c r="H1370" s="2">
        <f>Tabelle13[[#This Row],[commits]]/Tabelle13[[#Totals],[commits]]</f>
        <v>4.6477904404246219E-5</v>
      </c>
      <c r="I1370" s="5">
        <f>Tabelle13[[#This Row],[%]]+I1369</f>
        <v>0.93283942813586596</v>
      </c>
      <c r="J1370" s="4">
        <f t="shared" si="75"/>
        <v>1.105583195135434E-4</v>
      </c>
      <c r="K1370" s="5">
        <f t="shared" si="76"/>
        <v>0.15124378109452283</v>
      </c>
    </row>
    <row r="1371" spans="1:11" x14ac:dyDescent="0.25">
      <c r="A1371" t="s">
        <v>10625</v>
      </c>
      <c r="C1371" t="s">
        <v>10626</v>
      </c>
      <c r="D1371" t="s">
        <v>5</v>
      </c>
      <c r="E1371" t="s">
        <v>6</v>
      </c>
      <c r="F1371" t="s">
        <v>251</v>
      </c>
      <c r="G1371">
        <v>10</v>
      </c>
      <c r="H1371" s="2">
        <f>Tabelle13[[#This Row],[commits]]/Tabelle13[[#Totals],[commits]]</f>
        <v>4.6477904404246219E-5</v>
      </c>
      <c r="I1371" s="5">
        <f>Tabelle13[[#This Row],[%]]+I1370</f>
        <v>0.93288590604027022</v>
      </c>
      <c r="J1371" s="4">
        <f t="shared" si="75"/>
        <v>1.105583195135434E-4</v>
      </c>
      <c r="K1371" s="5">
        <f t="shared" si="76"/>
        <v>0.15135433941403637</v>
      </c>
    </row>
    <row r="1372" spans="1:11" x14ac:dyDescent="0.25">
      <c r="A1372" t="s">
        <v>10627</v>
      </c>
      <c r="C1372" t="s">
        <v>10628</v>
      </c>
      <c r="D1372" t="s">
        <v>5</v>
      </c>
      <c r="E1372" t="s">
        <v>6</v>
      </c>
      <c r="F1372" t="s">
        <v>251</v>
      </c>
      <c r="G1372">
        <v>10</v>
      </c>
      <c r="H1372" s="2">
        <f>Tabelle13[[#This Row],[commits]]/Tabelle13[[#Totals],[commits]]</f>
        <v>4.6477904404246219E-5</v>
      </c>
      <c r="I1372" s="5">
        <f>Tabelle13[[#This Row],[%]]+I1371</f>
        <v>0.93293238394467448</v>
      </c>
      <c r="J1372" s="4">
        <f t="shared" si="75"/>
        <v>1.105583195135434E-4</v>
      </c>
      <c r="K1372" s="5">
        <f t="shared" si="76"/>
        <v>0.1514648977335499</v>
      </c>
    </row>
    <row r="1373" spans="1:11" x14ac:dyDescent="0.25">
      <c r="A1373" t="s">
        <v>10629</v>
      </c>
      <c r="C1373" t="s">
        <v>10630</v>
      </c>
      <c r="D1373" t="s">
        <v>5</v>
      </c>
      <c r="E1373" t="s">
        <v>6</v>
      </c>
      <c r="F1373" t="s">
        <v>251</v>
      </c>
      <c r="G1373">
        <v>10</v>
      </c>
      <c r="H1373" s="2">
        <f>Tabelle13[[#This Row],[commits]]/Tabelle13[[#Totals],[commits]]</f>
        <v>4.6477904404246219E-5</v>
      </c>
      <c r="I1373" s="5">
        <f>Tabelle13[[#This Row],[%]]+I1372</f>
        <v>0.93297886184907874</v>
      </c>
      <c r="J1373" s="4">
        <f t="shared" si="75"/>
        <v>1.105583195135434E-4</v>
      </c>
      <c r="K1373" s="5">
        <f t="shared" si="76"/>
        <v>0.15157545605306344</v>
      </c>
    </row>
    <row r="1374" spans="1:11" x14ac:dyDescent="0.25">
      <c r="A1374" t="s">
        <v>10631</v>
      </c>
      <c r="C1374" t="s">
        <v>10632</v>
      </c>
      <c r="D1374" t="s">
        <v>5</v>
      </c>
      <c r="E1374" t="s">
        <v>6</v>
      </c>
      <c r="F1374" t="s">
        <v>251</v>
      </c>
      <c r="G1374">
        <v>10</v>
      </c>
      <c r="H1374" s="2">
        <f>Tabelle13[[#This Row],[commits]]/Tabelle13[[#Totals],[commits]]</f>
        <v>4.6477904404246219E-5</v>
      </c>
      <c r="I1374" s="5">
        <f>Tabelle13[[#This Row],[%]]+I1373</f>
        <v>0.93302533975348301</v>
      </c>
      <c r="J1374" s="4">
        <f t="shared" si="75"/>
        <v>1.105583195135434E-4</v>
      </c>
      <c r="K1374" s="5">
        <f t="shared" si="76"/>
        <v>0.15168601437257698</v>
      </c>
    </row>
    <row r="1375" spans="1:11" x14ac:dyDescent="0.25">
      <c r="A1375" t="s">
        <v>10633</v>
      </c>
      <c r="C1375" t="s">
        <v>10634</v>
      </c>
      <c r="D1375" t="s">
        <v>10635</v>
      </c>
      <c r="E1375" t="s">
        <v>6</v>
      </c>
      <c r="F1375" t="s">
        <v>251</v>
      </c>
      <c r="G1375">
        <v>10</v>
      </c>
      <c r="H1375" s="2">
        <f>Tabelle13[[#This Row],[commits]]/Tabelle13[[#Totals],[commits]]</f>
        <v>4.6477904404246219E-5</v>
      </c>
      <c r="I1375" s="5">
        <f>Tabelle13[[#This Row],[%]]+I1374</f>
        <v>0.93307181765788727</v>
      </c>
      <c r="J1375" s="4">
        <f t="shared" si="75"/>
        <v>1.105583195135434E-4</v>
      </c>
      <c r="K1375" s="5">
        <f t="shared" si="76"/>
        <v>0.15179657269209051</v>
      </c>
    </row>
    <row r="1376" spans="1:11" x14ac:dyDescent="0.25">
      <c r="A1376" t="s">
        <v>10636</v>
      </c>
      <c r="C1376" t="s">
        <v>10637</v>
      </c>
      <c r="D1376" t="s">
        <v>5</v>
      </c>
      <c r="E1376" t="s">
        <v>6</v>
      </c>
      <c r="F1376" t="s">
        <v>251</v>
      </c>
      <c r="G1376">
        <v>10</v>
      </c>
      <c r="H1376" s="2">
        <f>Tabelle13[[#This Row],[commits]]/Tabelle13[[#Totals],[commits]]</f>
        <v>4.6477904404246219E-5</v>
      </c>
      <c r="I1376" s="5">
        <f>Tabelle13[[#This Row],[%]]+I1375</f>
        <v>0.93311829556229153</v>
      </c>
      <c r="J1376" s="4">
        <f t="shared" si="75"/>
        <v>1.105583195135434E-4</v>
      </c>
      <c r="K1376" s="5">
        <f t="shared" si="76"/>
        <v>0.15190713101160405</v>
      </c>
    </row>
    <row r="1377" spans="1:11" x14ac:dyDescent="0.25">
      <c r="A1377" t="s">
        <v>10638</v>
      </c>
      <c r="C1377" t="s">
        <v>10639</v>
      </c>
      <c r="D1377" t="s">
        <v>5</v>
      </c>
      <c r="E1377" t="s">
        <v>6</v>
      </c>
      <c r="F1377" t="s">
        <v>251</v>
      </c>
      <c r="G1377">
        <v>10</v>
      </c>
      <c r="H1377" s="2">
        <f>Tabelle13[[#This Row],[commits]]/Tabelle13[[#Totals],[commits]]</f>
        <v>4.6477904404246219E-5</v>
      </c>
      <c r="I1377" s="5">
        <f>Tabelle13[[#This Row],[%]]+I1376</f>
        <v>0.9331647734666958</v>
      </c>
      <c r="J1377" s="4">
        <f t="shared" si="75"/>
        <v>1.105583195135434E-4</v>
      </c>
      <c r="K1377" s="5">
        <f t="shared" si="76"/>
        <v>0.15201768933111759</v>
      </c>
    </row>
    <row r="1378" spans="1:11" x14ac:dyDescent="0.25">
      <c r="A1378" t="s">
        <v>10640</v>
      </c>
      <c r="C1378" t="s">
        <v>10641</v>
      </c>
      <c r="D1378" t="s">
        <v>309</v>
      </c>
      <c r="E1378" t="s">
        <v>6</v>
      </c>
      <c r="F1378" t="s">
        <v>251</v>
      </c>
      <c r="G1378">
        <v>10</v>
      </c>
      <c r="H1378" s="2">
        <f>Tabelle13[[#This Row],[commits]]/Tabelle13[[#Totals],[commits]]</f>
        <v>4.6477904404246219E-5</v>
      </c>
      <c r="I1378" s="5">
        <f>Tabelle13[[#This Row],[%]]+I1377</f>
        <v>0.93321125137110006</v>
      </c>
      <c r="J1378" s="4">
        <f t="shared" si="75"/>
        <v>1.105583195135434E-4</v>
      </c>
      <c r="K1378" s="5">
        <f t="shared" si="76"/>
        <v>0.15212824765063113</v>
      </c>
    </row>
    <row r="1379" spans="1:11" x14ac:dyDescent="0.25">
      <c r="A1379" t="s">
        <v>10642</v>
      </c>
      <c r="C1379" t="s">
        <v>10643</v>
      </c>
      <c r="D1379" t="s">
        <v>5</v>
      </c>
      <c r="E1379" t="s">
        <v>6</v>
      </c>
      <c r="F1379" t="s">
        <v>251</v>
      </c>
      <c r="G1379">
        <v>10</v>
      </c>
      <c r="H1379" s="2">
        <f>Tabelle13[[#This Row],[commits]]/Tabelle13[[#Totals],[commits]]</f>
        <v>4.6477904404246219E-5</v>
      </c>
      <c r="I1379" s="5">
        <f>Tabelle13[[#This Row],[%]]+I1378</f>
        <v>0.93325772927550432</v>
      </c>
      <c r="J1379" s="4">
        <f t="shared" si="75"/>
        <v>1.105583195135434E-4</v>
      </c>
      <c r="K1379" s="5">
        <f t="shared" si="76"/>
        <v>0.15223880597014466</v>
      </c>
    </row>
    <row r="1380" spans="1:11" x14ac:dyDescent="0.25">
      <c r="A1380" t="s">
        <v>123</v>
      </c>
      <c r="C1380" t="s">
        <v>124</v>
      </c>
      <c r="D1380" t="s">
        <v>5</v>
      </c>
      <c r="E1380" t="s">
        <v>6</v>
      </c>
      <c r="F1380" t="s">
        <v>7</v>
      </c>
      <c r="G1380">
        <v>9</v>
      </c>
      <c r="H1380" s="2">
        <f>Tabelle13[[#This Row],[commits]]/Tabelle13[[#Totals],[commits]]</f>
        <v>4.1830113963821599E-5</v>
      </c>
      <c r="I1380" s="5">
        <f>Tabelle13[[#This Row],[%]]+I1379</f>
        <v>0.93329955938946818</v>
      </c>
      <c r="J1380" s="4">
        <f t="shared" si="75"/>
        <v>1.105583195135434E-4</v>
      </c>
      <c r="K1380" s="5">
        <f t="shared" si="76"/>
        <v>0.1523493642896582</v>
      </c>
    </row>
    <row r="1381" spans="1:11" x14ac:dyDescent="0.25">
      <c r="A1381" t="s">
        <v>771</v>
      </c>
      <c r="C1381" t="s">
        <v>772</v>
      </c>
      <c r="D1381" t="s">
        <v>5</v>
      </c>
      <c r="E1381" t="s">
        <v>6</v>
      </c>
      <c r="F1381" t="s">
        <v>251</v>
      </c>
      <c r="G1381">
        <v>9</v>
      </c>
      <c r="H1381" s="2">
        <f>Tabelle13[[#This Row],[commits]]/Tabelle13[[#Totals],[commits]]</f>
        <v>4.1830113963821599E-5</v>
      </c>
      <c r="I1381" s="5">
        <f>Tabelle13[[#This Row],[%]]+I1380</f>
        <v>0.93334138950343204</v>
      </c>
      <c r="J1381" s="4">
        <f t="shared" si="75"/>
        <v>1.105583195135434E-4</v>
      </c>
      <c r="K1381" s="5">
        <f t="shared" si="76"/>
        <v>0.15245992260917174</v>
      </c>
    </row>
    <row r="1382" spans="1:11" x14ac:dyDescent="0.25">
      <c r="A1382" t="s">
        <v>1686</v>
      </c>
      <c r="C1382" t="s">
        <v>1687</v>
      </c>
      <c r="D1382" t="s">
        <v>5</v>
      </c>
      <c r="E1382" t="s">
        <v>6</v>
      </c>
      <c r="F1382" t="s">
        <v>28</v>
      </c>
      <c r="G1382">
        <v>9</v>
      </c>
      <c r="H1382" s="2">
        <f>Tabelle13[[#This Row],[commits]]/Tabelle13[[#Totals],[commits]]</f>
        <v>4.1830113963821599E-5</v>
      </c>
      <c r="I1382" s="5">
        <f>Tabelle13[[#This Row],[%]]+I1381</f>
        <v>0.9333832196173959</v>
      </c>
      <c r="J1382" s="4">
        <f t="shared" si="75"/>
        <v>1.105583195135434E-4</v>
      </c>
      <c r="K1382" s="5">
        <f t="shared" si="76"/>
        <v>0.15257048092868528</v>
      </c>
    </row>
    <row r="1383" spans="1:11" x14ac:dyDescent="0.25">
      <c r="A1383" t="s">
        <v>2668</v>
      </c>
      <c r="C1383" t="s">
        <v>2669</v>
      </c>
      <c r="D1383" t="s">
        <v>309</v>
      </c>
      <c r="E1383" t="s">
        <v>6</v>
      </c>
      <c r="F1383" t="s">
        <v>724</v>
      </c>
      <c r="G1383">
        <v>9</v>
      </c>
      <c r="H1383" s="2">
        <f>Tabelle13[[#This Row],[commits]]/Tabelle13[[#Totals],[commits]]</f>
        <v>4.1830113963821599E-5</v>
      </c>
      <c r="I1383" s="5">
        <f>Tabelle13[[#This Row],[%]]+I1382</f>
        <v>0.93342504973135976</v>
      </c>
      <c r="J1383" s="4">
        <f t="shared" si="75"/>
        <v>1.105583195135434E-4</v>
      </c>
      <c r="K1383" s="5">
        <f t="shared" si="76"/>
        <v>0.15268103924819881</v>
      </c>
    </row>
    <row r="1384" spans="1:11" x14ac:dyDescent="0.25">
      <c r="A1384" t="s">
        <v>2670</v>
      </c>
      <c r="C1384" t="s">
        <v>2671</v>
      </c>
      <c r="D1384" t="s">
        <v>5</v>
      </c>
      <c r="E1384" t="s">
        <v>6</v>
      </c>
      <c r="F1384" t="s">
        <v>724</v>
      </c>
      <c r="G1384">
        <v>9</v>
      </c>
      <c r="H1384" s="2">
        <f>Tabelle13[[#This Row],[commits]]/Tabelle13[[#Totals],[commits]]</f>
        <v>4.1830113963821599E-5</v>
      </c>
      <c r="I1384" s="5">
        <f>Tabelle13[[#This Row],[%]]+I1383</f>
        <v>0.93346687984532362</v>
      </c>
      <c r="J1384" s="4">
        <f t="shared" si="75"/>
        <v>1.105583195135434E-4</v>
      </c>
      <c r="K1384" s="5">
        <f t="shared" si="76"/>
        <v>0.15279159756771235</v>
      </c>
    </row>
    <row r="1385" spans="1:11" x14ac:dyDescent="0.25">
      <c r="A1385" t="s">
        <v>2672</v>
      </c>
      <c r="C1385" t="s">
        <v>2673</v>
      </c>
      <c r="D1385" t="s">
        <v>5</v>
      </c>
      <c r="E1385" t="s">
        <v>6</v>
      </c>
      <c r="F1385" t="s">
        <v>724</v>
      </c>
      <c r="G1385">
        <v>9</v>
      </c>
      <c r="H1385" s="2">
        <f>Tabelle13[[#This Row],[commits]]/Tabelle13[[#Totals],[commits]]</f>
        <v>4.1830113963821599E-5</v>
      </c>
      <c r="I1385" s="5">
        <f>Tabelle13[[#This Row],[%]]+I1384</f>
        <v>0.93350870995928747</v>
      </c>
      <c r="J1385" s="4">
        <f t="shared" si="75"/>
        <v>1.105583195135434E-4</v>
      </c>
      <c r="K1385" s="5">
        <f t="shared" si="76"/>
        <v>0.15290215588722589</v>
      </c>
    </row>
    <row r="1386" spans="1:11" x14ac:dyDescent="0.25">
      <c r="A1386" t="s">
        <v>2674</v>
      </c>
      <c r="C1386" t="s">
        <v>2675</v>
      </c>
      <c r="D1386" t="s">
        <v>309</v>
      </c>
      <c r="E1386" t="s">
        <v>6</v>
      </c>
      <c r="F1386" t="s">
        <v>724</v>
      </c>
      <c r="G1386">
        <v>9</v>
      </c>
      <c r="H1386" s="2">
        <f>Tabelle13[[#This Row],[commits]]/Tabelle13[[#Totals],[commits]]</f>
        <v>4.1830113963821599E-5</v>
      </c>
      <c r="I1386" s="5">
        <f>Tabelle13[[#This Row],[%]]+I1385</f>
        <v>0.93355054007325133</v>
      </c>
      <c r="J1386" s="4">
        <f t="shared" si="75"/>
        <v>1.105583195135434E-4</v>
      </c>
      <c r="K1386" s="5">
        <f t="shared" si="76"/>
        <v>0.15301271420673943</v>
      </c>
    </row>
    <row r="1387" spans="1:11" x14ac:dyDescent="0.25">
      <c r="A1387" t="s">
        <v>2676</v>
      </c>
      <c r="C1387" t="s">
        <v>2677</v>
      </c>
      <c r="D1387" t="s">
        <v>5</v>
      </c>
      <c r="E1387" t="s">
        <v>6</v>
      </c>
      <c r="F1387" t="s">
        <v>724</v>
      </c>
      <c r="G1387">
        <v>9</v>
      </c>
      <c r="H1387" s="2">
        <f>Tabelle13[[#This Row],[commits]]/Tabelle13[[#Totals],[commits]]</f>
        <v>4.1830113963821599E-5</v>
      </c>
      <c r="I1387" s="5">
        <f>Tabelle13[[#This Row],[%]]+I1386</f>
        <v>0.93359237018721519</v>
      </c>
      <c r="J1387" s="4">
        <f t="shared" si="75"/>
        <v>1.105583195135434E-4</v>
      </c>
      <c r="K1387" s="5">
        <f t="shared" si="76"/>
        <v>0.15312327252625296</v>
      </c>
    </row>
    <row r="1388" spans="1:11" x14ac:dyDescent="0.25">
      <c r="A1388" t="s">
        <v>2678</v>
      </c>
      <c r="C1388" t="s">
        <v>2679</v>
      </c>
      <c r="D1388" t="s">
        <v>5</v>
      </c>
      <c r="E1388" t="s">
        <v>6</v>
      </c>
      <c r="F1388" t="s">
        <v>724</v>
      </c>
      <c r="G1388">
        <v>9</v>
      </c>
      <c r="H1388" s="2">
        <f>Tabelle13[[#This Row],[commits]]/Tabelle13[[#Totals],[commits]]</f>
        <v>4.1830113963821599E-5</v>
      </c>
      <c r="I1388" s="5">
        <f>Tabelle13[[#This Row],[%]]+I1387</f>
        <v>0.93363420030117905</v>
      </c>
      <c r="J1388" s="4">
        <f t="shared" si="75"/>
        <v>1.105583195135434E-4</v>
      </c>
      <c r="K1388" s="5">
        <f t="shared" si="76"/>
        <v>0.1532338308457665</v>
      </c>
    </row>
    <row r="1389" spans="1:11" x14ac:dyDescent="0.25">
      <c r="A1389" t="s">
        <v>2680</v>
      </c>
      <c r="C1389" t="s">
        <v>2681</v>
      </c>
      <c r="D1389" t="s">
        <v>5</v>
      </c>
      <c r="E1389" t="s">
        <v>6</v>
      </c>
      <c r="F1389" t="s">
        <v>724</v>
      </c>
      <c r="G1389">
        <v>9</v>
      </c>
      <c r="H1389" s="2">
        <f>Tabelle13[[#This Row],[commits]]/Tabelle13[[#Totals],[commits]]</f>
        <v>4.1830113963821599E-5</v>
      </c>
      <c r="I1389" s="5">
        <f>Tabelle13[[#This Row],[%]]+I1388</f>
        <v>0.93367603041514291</v>
      </c>
      <c r="J1389" s="4">
        <f t="shared" si="75"/>
        <v>1.105583195135434E-4</v>
      </c>
      <c r="K1389" s="5">
        <f t="shared" si="76"/>
        <v>0.15334438916528004</v>
      </c>
    </row>
    <row r="1390" spans="1:11" x14ac:dyDescent="0.25">
      <c r="A1390" t="s">
        <v>2682</v>
      </c>
      <c r="C1390" t="s">
        <v>2683</v>
      </c>
      <c r="D1390" t="s">
        <v>5</v>
      </c>
      <c r="E1390" t="s">
        <v>6</v>
      </c>
      <c r="F1390" t="s">
        <v>724</v>
      </c>
      <c r="G1390">
        <v>9</v>
      </c>
      <c r="H1390" s="2">
        <f>Tabelle13[[#This Row],[commits]]/Tabelle13[[#Totals],[commits]]</f>
        <v>4.1830113963821599E-5</v>
      </c>
      <c r="I1390" s="5">
        <f>Tabelle13[[#This Row],[%]]+I1389</f>
        <v>0.93371786052910677</v>
      </c>
      <c r="J1390" s="4">
        <f t="shared" si="75"/>
        <v>1.105583195135434E-4</v>
      </c>
      <c r="K1390" s="5">
        <f t="shared" si="76"/>
        <v>0.15345494748479357</v>
      </c>
    </row>
    <row r="1391" spans="1:11" x14ac:dyDescent="0.25">
      <c r="A1391" t="s">
        <v>2684</v>
      </c>
      <c r="C1391" t="s">
        <v>2685</v>
      </c>
      <c r="D1391" t="s">
        <v>5</v>
      </c>
      <c r="E1391" t="s">
        <v>6</v>
      </c>
      <c r="F1391" t="s">
        <v>724</v>
      </c>
      <c r="G1391">
        <v>9</v>
      </c>
      <c r="H1391" s="2">
        <f>Tabelle13[[#This Row],[commits]]/Tabelle13[[#Totals],[commits]]</f>
        <v>4.1830113963821599E-5</v>
      </c>
      <c r="I1391" s="5">
        <f>Tabelle13[[#This Row],[%]]+I1390</f>
        <v>0.93375969064307063</v>
      </c>
      <c r="J1391" s="4">
        <f t="shared" si="75"/>
        <v>1.105583195135434E-4</v>
      </c>
      <c r="K1391" s="5">
        <f t="shared" si="76"/>
        <v>0.15356550580430711</v>
      </c>
    </row>
    <row r="1392" spans="1:11" x14ac:dyDescent="0.25">
      <c r="A1392" t="s">
        <v>5346</v>
      </c>
      <c r="C1392" t="s">
        <v>5347</v>
      </c>
      <c r="D1392" t="s">
        <v>5</v>
      </c>
      <c r="E1392" t="s">
        <v>6</v>
      </c>
      <c r="F1392" t="s">
        <v>28</v>
      </c>
      <c r="G1392">
        <v>9</v>
      </c>
      <c r="H1392" s="2">
        <f>Tabelle13[[#This Row],[commits]]/Tabelle13[[#Totals],[commits]]</f>
        <v>4.1830113963821599E-5</v>
      </c>
      <c r="I1392" s="5">
        <f>Tabelle13[[#This Row],[%]]+I1391</f>
        <v>0.93380152075703449</v>
      </c>
      <c r="J1392" s="4">
        <f t="shared" si="75"/>
        <v>1.105583195135434E-4</v>
      </c>
      <c r="K1392" s="5">
        <f t="shared" si="76"/>
        <v>0.15367606412382065</v>
      </c>
    </row>
    <row r="1393" spans="1:11" x14ac:dyDescent="0.25">
      <c r="A1393" t="s">
        <v>5348</v>
      </c>
      <c r="C1393" t="s">
        <v>5349</v>
      </c>
      <c r="D1393" t="s">
        <v>5</v>
      </c>
      <c r="E1393" t="s">
        <v>6</v>
      </c>
      <c r="F1393" t="s">
        <v>28</v>
      </c>
      <c r="G1393">
        <v>9</v>
      </c>
      <c r="H1393" s="2">
        <f>Tabelle13[[#This Row],[commits]]/Tabelle13[[#Totals],[commits]]</f>
        <v>4.1830113963821599E-5</v>
      </c>
      <c r="I1393" s="5">
        <f>Tabelle13[[#This Row],[%]]+I1392</f>
        <v>0.93384335087099835</v>
      </c>
      <c r="J1393" s="4">
        <f t="shared" si="75"/>
        <v>1.105583195135434E-4</v>
      </c>
      <c r="K1393" s="5">
        <f t="shared" si="76"/>
        <v>0.15378662244333419</v>
      </c>
    </row>
    <row r="1394" spans="1:11" x14ac:dyDescent="0.25">
      <c r="A1394" t="s">
        <v>5350</v>
      </c>
      <c r="C1394" t="s">
        <v>5351</v>
      </c>
      <c r="D1394" t="s">
        <v>5175</v>
      </c>
      <c r="E1394" t="s">
        <v>6</v>
      </c>
      <c r="F1394" t="s">
        <v>28</v>
      </c>
      <c r="G1394">
        <v>9</v>
      </c>
      <c r="H1394" s="2">
        <f>Tabelle13[[#This Row],[commits]]/Tabelle13[[#Totals],[commits]]</f>
        <v>4.1830113963821599E-5</v>
      </c>
      <c r="I1394" s="5">
        <f>Tabelle13[[#This Row],[%]]+I1393</f>
        <v>0.9338851809849622</v>
      </c>
      <c r="J1394" s="4">
        <f t="shared" si="75"/>
        <v>1.105583195135434E-4</v>
      </c>
      <c r="K1394" s="5">
        <f t="shared" si="76"/>
        <v>0.15389718076284772</v>
      </c>
    </row>
    <row r="1395" spans="1:11" x14ac:dyDescent="0.25">
      <c r="A1395" t="s">
        <v>5352</v>
      </c>
      <c r="C1395" t="s">
        <v>5353</v>
      </c>
      <c r="D1395" t="s">
        <v>5</v>
      </c>
      <c r="E1395" t="s">
        <v>6</v>
      </c>
      <c r="F1395" t="s">
        <v>28</v>
      </c>
      <c r="G1395">
        <v>9</v>
      </c>
      <c r="H1395" s="2">
        <f>Tabelle13[[#This Row],[commits]]/Tabelle13[[#Totals],[commits]]</f>
        <v>4.1830113963821599E-5</v>
      </c>
      <c r="I1395" s="5">
        <f>Tabelle13[[#This Row],[%]]+I1394</f>
        <v>0.93392701109892606</v>
      </c>
      <c r="J1395" s="4">
        <f t="shared" si="75"/>
        <v>1.105583195135434E-4</v>
      </c>
      <c r="K1395" s="5">
        <f t="shared" si="76"/>
        <v>0.15400773908236126</v>
      </c>
    </row>
    <row r="1396" spans="1:11" x14ac:dyDescent="0.25">
      <c r="A1396" t="s">
        <v>5354</v>
      </c>
      <c r="C1396" t="s">
        <v>5355</v>
      </c>
      <c r="D1396" t="s">
        <v>5</v>
      </c>
      <c r="E1396" t="s">
        <v>6</v>
      </c>
      <c r="F1396" t="s">
        <v>28</v>
      </c>
      <c r="G1396">
        <v>9</v>
      </c>
      <c r="H1396" s="2">
        <f>Tabelle13[[#This Row],[commits]]/Tabelle13[[#Totals],[commits]]</f>
        <v>4.1830113963821599E-5</v>
      </c>
      <c r="I1396" s="5">
        <f>Tabelle13[[#This Row],[%]]+I1395</f>
        <v>0.93396884121288992</v>
      </c>
      <c r="J1396" s="4">
        <f t="shared" si="75"/>
        <v>1.105583195135434E-4</v>
      </c>
      <c r="K1396" s="5">
        <f t="shared" si="76"/>
        <v>0.1541182974018748</v>
      </c>
    </row>
    <row r="1397" spans="1:11" x14ac:dyDescent="0.25">
      <c r="A1397" t="s">
        <v>5356</v>
      </c>
      <c r="C1397" t="s">
        <v>5357</v>
      </c>
      <c r="D1397" t="s">
        <v>5</v>
      </c>
      <c r="E1397" t="s">
        <v>6</v>
      </c>
      <c r="F1397" t="s">
        <v>28</v>
      </c>
      <c r="G1397">
        <v>9</v>
      </c>
      <c r="H1397" s="2">
        <f>Tabelle13[[#This Row],[commits]]/Tabelle13[[#Totals],[commits]]</f>
        <v>4.1830113963821599E-5</v>
      </c>
      <c r="I1397" s="5">
        <f>Tabelle13[[#This Row],[%]]+I1396</f>
        <v>0.93401067132685378</v>
      </c>
      <c r="J1397" s="4">
        <f t="shared" si="75"/>
        <v>1.105583195135434E-4</v>
      </c>
      <c r="K1397" s="5">
        <f t="shared" si="76"/>
        <v>0.15422885572138834</v>
      </c>
    </row>
    <row r="1398" spans="1:11" x14ac:dyDescent="0.25">
      <c r="A1398" t="s">
        <v>5358</v>
      </c>
      <c r="C1398" t="s">
        <v>5359</v>
      </c>
      <c r="D1398" t="s">
        <v>5</v>
      </c>
      <c r="E1398" t="s">
        <v>6</v>
      </c>
      <c r="F1398" t="s">
        <v>28</v>
      </c>
      <c r="G1398">
        <v>9</v>
      </c>
      <c r="H1398" s="2">
        <f>Tabelle13[[#This Row],[commits]]/Tabelle13[[#Totals],[commits]]</f>
        <v>4.1830113963821599E-5</v>
      </c>
      <c r="I1398" s="5">
        <f>Tabelle13[[#This Row],[%]]+I1397</f>
        <v>0.93405250144081764</v>
      </c>
      <c r="J1398" s="4">
        <f t="shared" si="75"/>
        <v>1.105583195135434E-4</v>
      </c>
      <c r="K1398" s="5">
        <f t="shared" si="76"/>
        <v>0.15433941404090187</v>
      </c>
    </row>
    <row r="1399" spans="1:11" x14ac:dyDescent="0.25">
      <c r="A1399" t="s">
        <v>5360</v>
      </c>
      <c r="C1399" t="s">
        <v>5361</v>
      </c>
      <c r="D1399" t="s">
        <v>5</v>
      </c>
      <c r="E1399" t="s">
        <v>6</v>
      </c>
      <c r="F1399" t="s">
        <v>28</v>
      </c>
      <c r="G1399">
        <v>9</v>
      </c>
      <c r="H1399" s="2">
        <f>Tabelle13[[#This Row],[commits]]/Tabelle13[[#Totals],[commits]]</f>
        <v>4.1830113963821599E-5</v>
      </c>
      <c r="I1399" s="5">
        <f>Tabelle13[[#This Row],[%]]+I1398</f>
        <v>0.9340943315547815</v>
      </c>
      <c r="J1399" s="4">
        <f t="shared" si="75"/>
        <v>1.105583195135434E-4</v>
      </c>
      <c r="K1399" s="5">
        <f t="shared" si="76"/>
        <v>0.15444997236041541</v>
      </c>
    </row>
    <row r="1400" spans="1:11" x14ac:dyDescent="0.25">
      <c r="A1400" t="s">
        <v>5362</v>
      </c>
      <c r="C1400" t="s">
        <v>151</v>
      </c>
      <c r="D1400" t="s">
        <v>5</v>
      </c>
      <c r="E1400" t="s">
        <v>6</v>
      </c>
      <c r="F1400" t="s">
        <v>28</v>
      </c>
      <c r="G1400">
        <v>9</v>
      </c>
      <c r="H1400" s="2">
        <f>Tabelle13[[#This Row],[commits]]/Tabelle13[[#Totals],[commits]]</f>
        <v>4.1830113963821599E-5</v>
      </c>
      <c r="I1400" s="5">
        <f>Tabelle13[[#This Row],[%]]+I1399</f>
        <v>0.93413616166874536</v>
      </c>
      <c r="J1400" s="4">
        <f t="shared" si="75"/>
        <v>1.105583195135434E-4</v>
      </c>
      <c r="K1400" s="5">
        <f t="shared" si="76"/>
        <v>0.15456053067992895</v>
      </c>
    </row>
    <row r="1401" spans="1:11" x14ac:dyDescent="0.25">
      <c r="A1401" t="s">
        <v>5363</v>
      </c>
      <c r="C1401" t="s">
        <v>466</v>
      </c>
      <c r="D1401" t="s">
        <v>5</v>
      </c>
      <c r="E1401" t="s">
        <v>6</v>
      </c>
      <c r="F1401" t="s">
        <v>28</v>
      </c>
      <c r="G1401">
        <v>9</v>
      </c>
      <c r="H1401" s="2">
        <f>Tabelle13[[#This Row],[commits]]/Tabelle13[[#Totals],[commits]]</f>
        <v>4.1830113963821599E-5</v>
      </c>
      <c r="I1401" s="5">
        <f>Tabelle13[[#This Row],[%]]+I1400</f>
        <v>0.93417799178270922</v>
      </c>
      <c r="J1401" s="4">
        <f t="shared" si="75"/>
        <v>1.105583195135434E-4</v>
      </c>
      <c r="K1401" s="5">
        <f t="shared" si="76"/>
        <v>0.15467108899944249</v>
      </c>
    </row>
    <row r="1402" spans="1:11" x14ac:dyDescent="0.25">
      <c r="A1402" t="s">
        <v>5364</v>
      </c>
      <c r="C1402" t="s">
        <v>5365</v>
      </c>
      <c r="D1402" t="s">
        <v>5</v>
      </c>
      <c r="E1402" t="s">
        <v>6</v>
      </c>
      <c r="F1402" t="s">
        <v>28</v>
      </c>
      <c r="G1402">
        <v>9</v>
      </c>
      <c r="H1402" s="2">
        <f>Tabelle13[[#This Row],[commits]]/Tabelle13[[#Totals],[commits]]</f>
        <v>4.1830113963821599E-5</v>
      </c>
      <c r="I1402" s="5">
        <f>Tabelle13[[#This Row],[%]]+I1401</f>
        <v>0.93421982189667307</v>
      </c>
      <c r="J1402" s="4">
        <f t="shared" si="75"/>
        <v>1.105583195135434E-4</v>
      </c>
      <c r="K1402" s="5">
        <f t="shared" si="76"/>
        <v>0.15478164731895602</v>
      </c>
    </row>
    <row r="1403" spans="1:11" x14ac:dyDescent="0.25">
      <c r="A1403" t="s">
        <v>5366</v>
      </c>
      <c r="C1403" t="s">
        <v>5367</v>
      </c>
      <c r="D1403" t="s">
        <v>5</v>
      </c>
      <c r="E1403" t="s">
        <v>6</v>
      </c>
      <c r="F1403" t="s">
        <v>28</v>
      </c>
      <c r="G1403">
        <v>9</v>
      </c>
      <c r="H1403" s="2">
        <f>Tabelle13[[#This Row],[commits]]/Tabelle13[[#Totals],[commits]]</f>
        <v>4.1830113963821599E-5</v>
      </c>
      <c r="I1403" s="5">
        <f>Tabelle13[[#This Row],[%]]+I1402</f>
        <v>0.93426165201063693</v>
      </c>
      <c r="J1403" s="4">
        <f t="shared" si="75"/>
        <v>1.105583195135434E-4</v>
      </c>
      <c r="K1403" s="5">
        <f t="shared" si="76"/>
        <v>0.15489220563846956</v>
      </c>
    </row>
    <row r="1404" spans="1:11" x14ac:dyDescent="0.25">
      <c r="A1404" t="s">
        <v>10644</v>
      </c>
      <c r="C1404" t="s">
        <v>10645</v>
      </c>
      <c r="D1404" t="s">
        <v>309</v>
      </c>
      <c r="E1404" t="s">
        <v>6</v>
      </c>
      <c r="F1404" t="s">
        <v>251</v>
      </c>
      <c r="G1404">
        <v>9</v>
      </c>
      <c r="H1404" s="2">
        <f>Tabelle13[[#This Row],[commits]]/Tabelle13[[#Totals],[commits]]</f>
        <v>4.1830113963821599E-5</v>
      </c>
      <c r="I1404" s="5">
        <f>Tabelle13[[#This Row],[%]]+I1403</f>
        <v>0.93430348212460079</v>
      </c>
      <c r="J1404" s="4">
        <f t="shared" si="75"/>
        <v>1.105583195135434E-4</v>
      </c>
      <c r="K1404" s="5">
        <f t="shared" si="76"/>
        <v>0.1550027639579831</v>
      </c>
    </row>
    <row r="1405" spans="1:11" x14ac:dyDescent="0.25">
      <c r="A1405" t="s">
        <v>10646</v>
      </c>
      <c r="C1405" t="s">
        <v>10647</v>
      </c>
      <c r="D1405" t="s">
        <v>309</v>
      </c>
      <c r="E1405" t="s">
        <v>6</v>
      </c>
      <c r="F1405" t="s">
        <v>251</v>
      </c>
      <c r="G1405">
        <v>9</v>
      </c>
      <c r="H1405" s="2">
        <f>Tabelle13[[#This Row],[commits]]/Tabelle13[[#Totals],[commits]]</f>
        <v>4.1830113963821599E-5</v>
      </c>
      <c r="I1405" s="5">
        <f>Tabelle13[[#This Row],[%]]+I1404</f>
        <v>0.93434531223856465</v>
      </c>
      <c r="J1405" s="4">
        <f t="shared" si="75"/>
        <v>1.105583195135434E-4</v>
      </c>
      <c r="K1405" s="5">
        <f t="shared" si="76"/>
        <v>0.15511332227749663</v>
      </c>
    </row>
    <row r="1406" spans="1:11" x14ac:dyDescent="0.25">
      <c r="A1406" t="s">
        <v>10648</v>
      </c>
      <c r="C1406" t="s">
        <v>10649</v>
      </c>
      <c r="D1406" t="s">
        <v>5</v>
      </c>
      <c r="E1406" t="s">
        <v>6</v>
      </c>
      <c r="F1406" t="s">
        <v>251</v>
      </c>
      <c r="G1406">
        <v>9</v>
      </c>
      <c r="H1406" s="2">
        <f>Tabelle13[[#This Row],[commits]]/Tabelle13[[#Totals],[commits]]</f>
        <v>4.1830113963821599E-5</v>
      </c>
      <c r="I1406" s="5">
        <f>Tabelle13[[#This Row],[%]]+I1405</f>
        <v>0.93438714235252851</v>
      </c>
      <c r="J1406" s="4">
        <f t="shared" si="75"/>
        <v>1.105583195135434E-4</v>
      </c>
      <c r="K1406" s="5">
        <f t="shared" si="76"/>
        <v>0.15522388059701017</v>
      </c>
    </row>
    <row r="1407" spans="1:11" x14ac:dyDescent="0.25">
      <c r="A1407" t="s">
        <v>10650</v>
      </c>
      <c r="C1407" t="s">
        <v>10651</v>
      </c>
      <c r="D1407" t="s">
        <v>309</v>
      </c>
      <c r="E1407" t="s">
        <v>6</v>
      </c>
      <c r="F1407" t="s">
        <v>251</v>
      </c>
      <c r="G1407">
        <v>9</v>
      </c>
      <c r="H1407" s="2">
        <f>Tabelle13[[#This Row],[commits]]/Tabelle13[[#Totals],[commits]]</f>
        <v>4.1830113963821599E-5</v>
      </c>
      <c r="I1407" s="5">
        <f>Tabelle13[[#This Row],[%]]+I1406</f>
        <v>0.93442897246649237</v>
      </c>
      <c r="J1407" s="4">
        <f t="shared" si="75"/>
        <v>1.105583195135434E-4</v>
      </c>
      <c r="K1407" s="5">
        <f t="shared" si="76"/>
        <v>0.15533443891652371</v>
      </c>
    </row>
    <row r="1408" spans="1:11" x14ac:dyDescent="0.25">
      <c r="A1408" t="s">
        <v>10652</v>
      </c>
      <c r="C1408" t="s">
        <v>10653</v>
      </c>
      <c r="D1408" t="s">
        <v>309</v>
      </c>
      <c r="E1408" t="s">
        <v>6</v>
      </c>
      <c r="F1408" t="s">
        <v>251</v>
      </c>
      <c r="G1408">
        <v>9</v>
      </c>
      <c r="H1408" s="2">
        <f>Tabelle13[[#This Row],[commits]]/Tabelle13[[#Totals],[commits]]</f>
        <v>4.1830113963821599E-5</v>
      </c>
      <c r="I1408" s="5">
        <f>Tabelle13[[#This Row],[%]]+I1407</f>
        <v>0.93447080258045623</v>
      </c>
      <c r="J1408" s="4">
        <f t="shared" si="75"/>
        <v>1.105583195135434E-4</v>
      </c>
      <c r="K1408" s="5">
        <f t="shared" si="76"/>
        <v>0.15544499723603725</v>
      </c>
    </row>
    <row r="1409" spans="1:11" x14ac:dyDescent="0.25">
      <c r="A1409" t="s">
        <v>10654</v>
      </c>
      <c r="C1409" t="s">
        <v>10655</v>
      </c>
      <c r="D1409" t="s">
        <v>5</v>
      </c>
      <c r="E1409" t="s">
        <v>6</v>
      </c>
      <c r="F1409" t="s">
        <v>251</v>
      </c>
      <c r="G1409">
        <v>9</v>
      </c>
      <c r="H1409" s="2">
        <f>Tabelle13[[#This Row],[commits]]/Tabelle13[[#Totals],[commits]]</f>
        <v>4.1830113963821599E-5</v>
      </c>
      <c r="I1409" s="5">
        <f>Tabelle13[[#This Row],[%]]+I1408</f>
        <v>0.93451263269442009</v>
      </c>
      <c r="J1409" s="4">
        <f t="shared" si="75"/>
        <v>1.105583195135434E-4</v>
      </c>
      <c r="K1409" s="5">
        <f t="shared" si="76"/>
        <v>0.15555555555555078</v>
      </c>
    </row>
    <row r="1410" spans="1:11" x14ac:dyDescent="0.25">
      <c r="A1410" t="s">
        <v>10656</v>
      </c>
      <c r="C1410" t="s">
        <v>10657</v>
      </c>
      <c r="D1410" t="s">
        <v>309</v>
      </c>
      <c r="E1410" t="s">
        <v>6</v>
      </c>
      <c r="F1410" t="s">
        <v>251</v>
      </c>
      <c r="G1410">
        <v>9</v>
      </c>
      <c r="H1410" s="2">
        <f>Tabelle13[[#This Row],[commits]]/Tabelle13[[#Totals],[commits]]</f>
        <v>4.1830113963821599E-5</v>
      </c>
      <c r="I1410" s="5">
        <f>Tabelle13[[#This Row],[%]]+I1409</f>
        <v>0.93455446280838395</v>
      </c>
      <c r="J1410" s="4">
        <f t="shared" si="75"/>
        <v>1.105583195135434E-4</v>
      </c>
      <c r="K1410" s="5">
        <f t="shared" si="76"/>
        <v>0.15566611387506432</v>
      </c>
    </row>
    <row r="1411" spans="1:11" x14ac:dyDescent="0.25">
      <c r="A1411" t="s">
        <v>10658</v>
      </c>
      <c r="C1411" t="s">
        <v>10659</v>
      </c>
      <c r="D1411" t="s">
        <v>309</v>
      </c>
      <c r="E1411" t="s">
        <v>6</v>
      </c>
      <c r="F1411" t="s">
        <v>251</v>
      </c>
      <c r="G1411">
        <v>9</v>
      </c>
      <c r="H1411" s="2">
        <f>Tabelle13[[#This Row],[commits]]/Tabelle13[[#Totals],[commits]]</f>
        <v>4.1830113963821599E-5</v>
      </c>
      <c r="I1411" s="5">
        <f>Tabelle13[[#This Row],[%]]+I1410</f>
        <v>0.9345962929223478</v>
      </c>
      <c r="J1411" s="4">
        <f t="shared" ref="J1411:J1474" si="77">1/9045</f>
        <v>1.105583195135434E-4</v>
      </c>
      <c r="K1411" s="5">
        <f t="shared" si="76"/>
        <v>0.15577667219457786</v>
      </c>
    </row>
    <row r="1412" spans="1:11" x14ac:dyDescent="0.25">
      <c r="A1412" t="s">
        <v>10660</v>
      </c>
      <c r="C1412" t="s">
        <v>10661</v>
      </c>
      <c r="D1412" t="s">
        <v>5</v>
      </c>
      <c r="E1412" t="s">
        <v>6</v>
      </c>
      <c r="F1412" t="s">
        <v>251</v>
      </c>
      <c r="G1412">
        <v>9</v>
      </c>
      <c r="H1412" s="2">
        <f>Tabelle13[[#This Row],[commits]]/Tabelle13[[#Totals],[commits]]</f>
        <v>4.1830113963821599E-5</v>
      </c>
      <c r="I1412" s="5">
        <f>Tabelle13[[#This Row],[%]]+I1411</f>
        <v>0.93463812303631166</v>
      </c>
      <c r="J1412" s="4">
        <f t="shared" si="77"/>
        <v>1.105583195135434E-4</v>
      </c>
      <c r="K1412" s="5">
        <f t="shared" si="76"/>
        <v>0.1558872305140914</v>
      </c>
    </row>
    <row r="1413" spans="1:11" x14ac:dyDescent="0.25">
      <c r="A1413" t="s">
        <v>10662</v>
      </c>
      <c r="C1413" t="s">
        <v>10663</v>
      </c>
      <c r="D1413" t="s">
        <v>8874</v>
      </c>
      <c r="E1413" t="s">
        <v>6</v>
      </c>
      <c r="F1413" t="s">
        <v>251</v>
      </c>
      <c r="G1413">
        <v>9</v>
      </c>
      <c r="H1413" s="2">
        <f>Tabelle13[[#This Row],[commits]]/Tabelle13[[#Totals],[commits]]</f>
        <v>4.1830113963821599E-5</v>
      </c>
      <c r="I1413" s="5">
        <f>Tabelle13[[#This Row],[%]]+I1412</f>
        <v>0.93467995315027552</v>
      </c>
      <c r="J1413" s="4">
        <f t="shared" si="77"/>
        <v>1.105583195135434E-4</v>
      </c>
      <c r="K1413" s="5">
        <f t="shared" si="76"/>
        <v>0.15599778883360493</v>
      </c>
    </row>
    <row r="1414" spans="1:11" x14ac:dyDescent="0.25">
      <c r="A1414" t="s">
        <v>10664</v>
      </c>
      <c r="C1414" t="s">
        <v>10665</v>
      </c>
      <c r="D1414" t="s">
        <v>5</v>
      </c>
      <c r="E1414" t="s">
        <v>6</v>
      </c>
      <c r="F1414" t="s">
        <v>251</v>
      </c>
      <c r="G1414">
        <v>9</v>
      </c>
      <c r="H1414" s="2">
        <f>Tabelle13[[#This Row],[commits]]/Tabelle13[[#Totals],[commits]]</f>
        <v>4.1830113963821599E-5</v>
      </c>
      <c r="I1414" s="5">
        <f>Tabelle13[[#This Row],[%]]+I1413</f>
        <v>0.93472178326423938</v>
      </c>
      <c r="J1414" s="4">
        <f t="shared" si="77"/>
        <v>1.105583195135434E-4</v>
      </c>
      <c r="K1414" s="5">
        <f t="shared" ref="K1414:K1477" si="78">J1414+K1413</f>
        <v>0.15610834715311847</v>
      </c>
    </row>
    <row r="1415" spans="1:11" x14ac:dyDescent="0.25">
      <c r="A1415" t="s">
        <v>10666</v>
      </c>
      <c r="C1415" t="s">
        <v>10667</v>
      </c>
      <c r="D1415" t="s">
        <v>309</v>
      </c>
      <c r="E1415" t="s">
        <v>6</v>
      </c>
      <c r="F1415" t="s">
        <v>251</v>
      </c>
      <c r="G1415">
        <v>9</v>
      </c>
      <c r="H1415" s="2">
        <f>Tabelle13[[#This Row],[commits]]/Tabelle13[[#Totals],[commits]]</f>
        <v>4.1830113963821599E-5</v>
      </c>
      <c r="I1415" s="5">
        <f>Tabelle13[[#This Row],[%]]+I1414</f>
        <v>0.93476361337820324</v>
      </c>
      <c r="J1415" s="4">
        <f t="shared" si="77"/>
        <v>1.105583195135434E-4</v>
      </c>
      <c r="K1415" s="5">
        <f t="shared" si="78"/>
        <v>0.15621890547263201</v>
      </c>
    </row>
    <row r="1416" spans="1:11" x14ac:dyDescent="0.25">
      <c r="A1416" t="s">
        <v>10668</v>
      </c>
      <c r="C1416" t="s">
        <v>10669</v>
      </c>
      <c r="D1416" t="s">
        <v>309</v>
      </c>
      <c r="E1416" t="s">
        <v>6</v>
      </c>
      <c r="F1416" t="s">
        <v>251</v>
      </c>
      <c r="G1416">
        <v>9</v>
      </c>
      <c r="H1416" s="2">
        <f>Tabelle13[[#This Row],[commits]]/Tabelle13[[#Totals],[commits]]</f>
        <v>4.1830113963821599E-5</v>
      </c>
      <c r="I1416" s="5">
        <f>Tabelle13[[#This Row],[%]]+I1415</f>
        <v>0.9348054434921671</v>
      </c>
      <c r="J1416" s="4">
        <f t="shared" si="77"/>
        <v>1.105583195135434E-4</v>
      </c>
      <c r="K1416" s="5">
        <f t="shared" si="78"/>
        <v>0.15632946379214555</v>
      </c>
    </row>
    <row r="1417" spans="1:11" x14ac:dyDescent="0.25">
      <c r="A1417" t="s">
        <v>10670</v>
      </c>
      <c r="C1417" t="s">
        <v>10671</v>
      </c>
      <c r="D1417" t="s">
        <v>309</v>
      </c>
      <c r="E1417" t="s">
        <v>6</v>
      </c>
      <c r="F1417" t="s">
        <v>251</v>
      </c>
      <c r="G1417">
        <v>9</v>
      </c>
      <c r="H1417" s="2">
        <f>Tabelle13[[#This Row],[commits]]/Tabelle13[[#Totals],[commits]]</f>
        <v>4.1830113963821599E-5</v>
      </c>
      <c r="I1417" s="5">
        <f>Tabelle13[[#This Row],[%]]+I1416</f>
        <v>0.93484727360613096</v>
      </c>
      <c r="J1417" s="4">
        <f t="shared" si="77"/>
        <v>1.105583195135434E-4</v>
      </c>
      <c r="K1417" s="5">
        <f t="shared" si="78"/>
        <v>0.15644002211165908</v>
      </c>
    </row>
    <row r="1418" spans="1:11" x14ac:dyDescent="0.25">
      <c r="A1418" t="s">
        <v>10672</v>
      </c>
      <c r="C1418" t="s">
        <v>10673</v>
      </c>
      <c r="D1418" t="s">
        <v>9636</v>
      </c>
      <c r="E1418" t="s">
        <v>6</v>
      </c>
      <c r="F1418" t="s">
        <v>251</v>
      </c>
      <c r="G1418">
        <v>9</v>
      </c>
      <c r="H1418" s="2">
        <f>Tabelle13[[#This Row],[commits]]/Tabelle13[[#Totals],[commits]]</f>
        <v>4.1830113963821599E-5</v>
      </c>
      <c r="I1418" s="5">
        <f>Tabelle13[[#This Row],[%]]+I1417</f>
        <v>0.93488910372009482</v>
      </c>
      <c r="J1418" s="4">
        <f t="shared" si="77"/>
        <v>1.105583195135434E-4</v>
      </c>
      <c r="K1418" s="5">
        <f t="shared" si="78"/>
        <v>0.15655058043117262</v>
      </c>
    </row>
    <row r="1419" spans="1:11" x14ac:dyDescent="0.25">
      <c r="A1419" t="s">
        <v>10674</v>
      </c>
      <c r="C1419" t="s">
        <v>10675</v>
      </c>
      <c r="D1419" t="s">
        <v>309</v>
      </c>
      <c r="E1419" t="s">
        <v>6</v>
      </c>
      <c r="F1419" t="s">
        <v>251</v>
      </c>
      <c r="G1419">
        <v>9</v>
      </c>
      <c r="H1419" s="2">
        <f>Tabelle13[[#This Row],[commits]]/Tabelle13[[#Totals],[commits]]</f>
        <v>4.1830113963821599E-5</v>
      </c>
      <c r="I1419" s="5">
        <f>Tabelle13[[#This Row],[%]]+I1418</f>
        <v>0.93493093383405868</v>
      </c>
      <c r="J1419" s="4">
        <f t="shared" si="77"/>
        <v>1.105583195135434E-4</v>
      </c>
      <c r="K1419" s="5">
        <f t="shared" si="78"/>
        <v>0.15666113875068616</v>
      </c>
    </row>
    <row r="1420" spans="1:11" x14ac:dyDescent="0.25">
      <c r="A1420" t="s">
        <v>10676</v>
      </c>
      <c r="C1420" t="s">
        <v>10677</v>
      </c>
      <c r="D1420" t="s">
        <v>8948</v>
      </c>
      <c r="E1420" t="s">
        <v>6</v>
      </c>
      <c r="F1420" t="s">
        <v>251</v>
      </c>
      <c r="G1420">
        <v>9</v>
      </c>
      <c r="H1420" s="2">
        <f>Tabelle13[[#This Row],[commits]]/Tabelle13[[#Totals],[commits]]</f>
        <v>4.1830113963821599E-5</v>
      </c>
      <c r="I1420" s="5">
        <f>Tabelle13[[#This Row],[%]]+I1419</f>
        <v>0.93497276394802253</v>
      </c>
      <c r="J1420" s="4">
        <f t="shared" si="77"/>
        <v>1.105583195135434E-4</v>
      </c>
      <c r="K1420" s="5">
        <f t="shared" si="78"/>
        <v>0.15677169707019969</v>
      </c>
    </row>
    <row r="1421" spans="1:11" x14ac:dyDescent="0.25">
      <c r="A1421" t="s">
        <v>10678</v>
      </c>
      <c r="C1421" t="s">
        <v>10679</v>
      </c>
      <c r="D1421" t="s">
        <v>309</v>
      </c>
      <c r="E1421" t="s">
        <v>6</v>
      </c>
      <c r="F1421" t="s">
        <v>251</v>
      </c>
      <c r="G1421">
        <v>9</v>
      </c>
      <c r="H1421" s="2">
        <f>Tabelle13[[#This Row],[commits]]/Tabelle13[[#Totals],[commits]]</f>
        <v>4.1830113963821599E-5</v>
      </c>
      <c r="I1421" s="5">
        <f>Tabelle13[[#This Row],[%]]+I1420</f>
        <v>0.93501459406198639</v>
      </c>
      <c r="J1421" s="4">
        <f t="shared" si="77"/>
        <v>1.105583195135434E-4</v>
      </c>
      <c r="K1421" s="5">
        <f t="shared" si="78"/>
        <v>0.15688225538971323</v>
      </c>
    </row>
    <row r="1422" spans="1:11" x14ac:dyDescent="0.25">
      <c r="A1422" t="s">
        <v>10680</v>
      </c>
      <c r="C1422" t="s">
        <v>10681</v>
      </c>
      <c r="D1422" t="s">
        <v>309</v>
      </c>
      <c r="E1422" t="s">
        <v>6</v>
      </c>
      <c r="F1422" t="s">
        <v>251</v>
      </c>
      <c r="G1422">
        <v>9</v>
      </c>
      <c r="H1422" s="2">
        <f>Tabelle13[[#This Row],[commits]]/Tabelle13[[#Totals],[commits]]</f>
        <v>4.1830113963821599E-5</v>
      </c>
      <c r="I1422" s="5">
        <f>Tabelle13[[#This Row],[%]]+I1421</f>
        <v>0.93505642417595025</v>
      </c>
      <c r="J1422" s="4">
        <f t="shared" si="77"/>
        <v>1.105583195135434E-4</v>
      </c>
      <c r="K1422" s="5">
        <f t="shared" si="78"/>
        <v>0.15699281370922677</v>
      </c>
    </row>
    <row r="1423" spans="1:11" x14ac:dyDescent="0.25">
      <c r="A1423" t="s">
        <v>10682</v>
      </c>
      <c r="C1423" t="s">
        <v>10683</v>
      </c>
      <c r="D1423" t="s">
        <v>10684</v>
      </c>
      <c r="E1423" t="s">
        <v>6</v>
      </c>
      <c r="F1423" t="s">
        <v>251</v>
      </c>
      <c r="G1423">
        <v>9</v>
      </c>
      <c r="H1423" s="2">
        <f>Tabelle13[[#This Row],[commits]]/Tabelle13[[#Totals],[commits]]</f>
        <v>4.1830113963821599E-5</v>
      </c>
      <c r="I1423" s="5">
        <f>Tabelle13[[#This Row],[%]]+I1422</f>
        <v>0.93509825428991411</v>
      </c>
      <c r="J1423" s="4">
        <f t="shared" si="77"/>
        <v>1.105583195135434E-4</v>
      </c>
      <c r="K1423" s="5">
        <f t="shared" si="78"/>
        <v>0.15710337202874031</v>
      </c>
    </row>
    <row r="1424" spans="1:11" x14ac:dyDescent="0.25">
      <c r="A1424" t="s">
        <v>10685</v>
      </c>
      <c r="C1424" t="s">
        <v>10686</v>
      </c>
      <c r="D1424" t="s">
        <v>5</v>
      </c>
      <c r="E1424" t="s">
        <v>6</v>
      </c>
      <c r="F1424" t="s">
        <v>251</v>
      </c>
      <c r="G1424">
        <v>9</v>
      </c>
      <c r="H1424" s="2">
        <f>Tabelle13[[#This Row],[commits]]/Tabelle13[[#Totals],[commits]]</f>
        <v>4.1830113963821599E-5</v>
      </c>
      <c r="I1424" s="5">
        <f>Tabelle13[[#This Row],[%]]+I1423</f>
        <v>0.93514008440387797</v>
      </c>
      <c r="J1424" s="4">
        <f t="shared" si="77"/>
        <v>1.105583195135434E-4</v>
      </c>
      <c r="K1424" s="5">
        <f t="shared" si="78"/>
        <v>0.15721393034825384</v>
      </c>
    </row>
    <row r="1425" spans="1:11" x14ac:dyDescent="0.25">
      <c r="A1425" t="s">
        <v>10687</v>
      </c>
      <c r="C1425" t="s">
        <v>10688</v>
      </c>
      <c r="D1425" t="s">
        <v>5</v>
      </c>
      <c r="E1425" t="s">
        <v>6</v>
      </c>
      <c r="F1425" t="s">
        <v>251</v>
      </c>
      <c r="G1425">
        <v>9</v>
      </c>
      <c r="H1425" s="2">
        <f>Tabelle13[[#This Row],[commits]]/Tabelle13[[#Totals],[commits]]</f>
        <v>4.1830113963821599E-5</v>
      </c>
      <c r="I1425" s="5">
        <f>Tabelle13[[#This Row],[%]]+I1424</f>
        <v>0.93518191451784183</v>
      </c>
      <c r="J1425" s="4">
        <f t="shared" si="77"/>
        <v>1.105583195135434E-4</v>
      </c>
      <c r="K1425" s="5">
        <f t="shared" si="78"/>
        <v>0.15732448866776738</v>
      </c>
    </row>
    <row r="1426" spans="1:11" x14ac:dyDescent="0.25">
      <c r="A1426" t="s">
        <v>10689</v>
      </c>
      <c r="C1426" t="s">
        <v>10690</v>
      </c>
      <c r="D1426" t="s">
        <v>5</v>
      </c>
      <c r="E1426" t="s">
        <v>6</v>
      </c>
      <c r="F1426" t="s">
        <v>251</v>
      </c>
      <c r="G1426">
        <v>9</v>
      </c>
      <c r="H1426" s="2">
        <f>Tabelle13[[#This Row],[commits]]/Tabelle13[[#Totals],[commits]]</f>
        <v>4.1830113963821599E-5</v>
      </c>
      <c r="I1426" s="5">
        <f>Tabelle13[[#This Row],[%]]+I1425</f>
        <v>0.93522374463180569</v>
      </c>
      <c r="J1426" s="4">
        <f t="shared" si="77"/>
        <v>1.105583195135434E-4</v>
      </c>
      <c r="K1426" s="5">
        <f t="shared" si="78"/>
        <v>0.15743504698728092</v>
      </c>
    </row>
    <row r="1427" spans="1:11" x14ac:dyDescent="0.25">
      <c r="A1427" t="s">
        <v>10691</v>
      </c>
      <c r="C1427" t="s">
        <v>10692</v>
      </c>
      <c r="D1427" t="s">
        <v>10693</v>
      </c>
      <c r="E1427" t="s">
        <v>6</v>
      </c>
      <c r="F1427" t="s">
        <v>251</v>
      </c>
      <c r="G1427">
        <v>9</v>
      </c>
      <c r="H1427" s="2">
        <f>Tabelle13[[#This Row],[commits]]/Tabelle13[[#Totals],[commits]]</f>
        <v>4.1830113963821599E-5</v>
      </c>
      <c r="I1427" s="5">
        <f>Tabelle13[[#This Row],[%]]+I1426</f>
        <v>0.93526557474576955</v>
      </c>
      <c r="J1427" s="4">
        <f t="shared" si="77"/>
        <v>1.105583195135434E-4</v>
      </c>
      <c r="K1427" s="5">
        <f t="shared" si="78"/>
        <v>0.15754560530679446</v>
      </c>
    </row>
    <row r="1428" spans="1:11" x14ac:dyDescent="0.25">
      <c r="A1428" t="s">
        <v>10694</v>
      </c>
      <c r="C1428" t="s">
        <v>10695</v>
      </c>
      <c r="D1428" t="s">
        <v>309</v>
      </c>
      <c r="E1428" t="s">
        <v>6</v>
      </c>
      <c r="F1428" t="s">
        <v>251</v>
      </c>
      <c r="G1428">
        <v>9</v>
      </c>
      <c r="H1428" s="2">
        <f>Tabelle13[[#This Row],[commits]]/Tabelle13[[#Totals],[commits]]</f>
        <v>4.1830113963821599E-5</v>
      </c>
      <c r="I1428" s="5">
        <f>Tabelle13[[#This Row],[%]]+I1427</f>
        <v>0.9353074048597334</v>
      </c>
      <c r="J1428" s="4">
        <f t="shared" si="77"/>
        <v>1.105583195135434E-4</v>
      </c>
      <c r="K1428" s="5">
        <f t="shared" si="78"/>
        <v>0.15765616362630799</v>
      </c>
    </row>
    <row r="1429" spans="1:11" x14ac:dyDescent="0.25">
      <c r="A1429" t="s">
        <v>10696</v>
      </c>
      <c r="C1429" t="s">
        <v>10697</v>
      </c>
      <c r="D1429" t="s">
        <v>8948</v>
      </c>
      <c r="E1429" t="s">
        <v>6</v>
      </c>
      <c r="F1429" t="s">
        <v>251</v>
      </c>
      <c r="G1429">
        <v>9</v>
      </c>
      <c r="H1429" s="2">
        <f>Tabelle13[[#This Row],[commits]]/Tabelle13[[#Totals],[commits]]</f>
        <v>4.1830113963821599E-5</v>
      </c>
      <c r="I1429" s="5">
        <f>Tabelle13[[#This Row],[%]]+I1428</f>
        <v>0.93534923497369726</v>
      </c>
      <c r="J1429" s="4">
        <f t="shared" si="77"/>
        <v>1.105583195135434E-4</v>
      </c>
      <c r="K1429" s="5">
        <f t="shared" si="78"/>
        <v>0.15776672194582153</v>
      </c>
    </row>
    <row r="1430" spans="1:11" x14ac:dyDescent="0.25">
      <c r="A1430" t="s">
        <v>10698</v>
      </c>
      <c r="C1430" t="s">
        <v>10699</v>
      </c>
      <c r="D1430" t="s">
        <v>309</v>
      </c>
      <c r="E1430" t="s">
        <v>6</v>
      </c>
      <c r="F1430" t="s">
        <v>251</v>
      </c>
      <c r="G1430">
        <v>9</v>
      </c>
      <c r="H1430" s="2">
        <f>Tabelle13[[#This Row],[commits]]/Tabelle13[[#Totals],[commits]]</f>
        <v>4.1830113963821599E-5</v>
      </c>
      <c r="I1430" s="5">
        <f>Tabelle13[[#This Row],[%]]+I1429</f>
        <v>0.93539106508766112</v>
      </c>
      <c r="J1430" s="4">
        <f t="shared" si="77"/>
        <v>1.105583195135434E-4</v>
      </c>
      <c r="K1430" s="5">
        <f t="shared" si="78"/>
        <v>0.15787728026533507</v>
      </c>
    </row>
    <row r="1431" spans="1:11" x14ac:dyDescent="0.25">
      <c r="A1431" t="s">
        <v>10700</v>
      </c>
      <c r="C1431" t="s">
        <v>10701</v>
      </c>
      <c r="D1431" t="s">
        <v>5</v>
      </c>
      <c r="E1431" t="s">
        <v>6</v>
      </c>
      <c r="F1431" t="s">
        <v>251</v>
      </c>
      <c r="G1431">
        <v>9</v>
      </c>
      <c r="H1431" s="2">
        <f>Tabelle13[[#This Row],[commits]]/Tabelle13[[#Totals],[commits]]</f>
        <v>4.1830113963821599E-5</v>
      </c>
      <c r="I1431" s="5">
        <f>Tabelle13[[#This Row],[%]]+I1430</f>
        <v>0.93543289520162498</v>
      </c>
      <c r="J1431" s="4">
        <f t="shared" si="77"/>
        <v>1.105583195135434E-4</v>
      </c>
      <c r="K1431" s="5">
        <f t="shared" si="78"/>
        <v>0.15798783858484861</v>
      </c>
    </row>
    <row r="1432" spans="1:11" x14ac:dyDescent="0.25">
      <c r="A1432" t="s">
        <v>10702</v>
      </c>
      <c r="C1432" t="s">
        <v>10703</v>
      </c>
      <c r="D1432" t="s">
        <v>5</v>
      </c>
      <c r="E1432" t="s">
        <v>6</v>
      </c>
      <c r="F1432" t="s">
        <v>251</v>
      </c>
      <c r="G1432">
        <v>9</v>
      </c>
      <c r="H1432" s="2">
        <f>Tabelle13[[#This Row],[commits]]/Tabelle13[[#Totals],[commits]]</f>
        <v>4.1830113963821599E-5</v>
      </c>
      <c r="I1432" s="5">
        <f>Tabelle13[[#This Row],[%]]+I1431</f>
        <v>0.93547472531558884</v>
      </c>
      <c r="J1432" s="4">
        <f t="shared" si="77"/>
        <v>1.105583195135434E-4</v>
      </c>
      <c r="K1432" s="5">
        <f t="shared" si="78"/>
        <v>0.15809839690436214</v>
      </c>
    </row>
    <row r="1433" spans="1:11" x14ac:dyDescent="0.25">
      <c r="A1433" t="s">
        <v>10704</v>
      </c>
      <c r="C1433" t="s">
        <v>10705</v>
      </c>
      <c r="D1433" t="s">
        <v>5</v>
      </c>
      <c r="E1433" t="s">
        <v>6</v>
      </c>
      <c r="F1433" t="s">
        <v>251</v>
      </c>
      <c r="G1433">
        <v>9</v>
      </c>
      <c r="H1433" s="2">
        <f>Tabelle13[[#This Row],[commits]]/Tabelle13[[#Totals],[commits]]</f>
        <v>4.1830113963821599E-5</v>
      </c>
      <c r="I1433" s="5">
        <f>Tabelle13[[#This Row],[%]]+I1432</f>
        <v>0.9355165554295527</v>
      </c>
      <c r="J1433" s="4">
        <f t="shared" si="77"/>
        <v>1.105583195135434E-4</v>
      </c>
      <c r="K1433" s="5">
        <f t="shared" si="78"/>
        <v>0.15820895522387568</v>
      </c>
    </row>
    <row r="1434" spans="1:11" x14ac:dyDescent="0.25">
      <c r="A1434" t="s">
        <v>10706</v>
      </c>
      <c r="C1434" t="s">
        <v>10707</v>
      </c>
      <c r="D1434" t="s">
        <v>5</v>
      </c>
      <c r="E1434" t="s">
        <v>6</v>
      </c>
      <c r="F1434" t="s">
        <v>251</v>
      </c>
      <c r="G1434">
        <v>9</v>
      </c>
      <c r="H1434" s="2">
        <f>Tabelle13[[#This Row],[commits]]/Tabelle13[[#Totals],[commits]]</f>
        <v>4.1830113963821599E-5</v>
      </c>
      <c r="I1434" s="5">
        <f>Tabelle13[[#This Row],[%]]+I1433</f>
        <v>0.93555838554351656</v>
      </c>
      <c r="J1434" s="4">
        <f t="shared" si="77"/>
        <v>1.105583195135434E-4</v>
      </c>
      <c r="K1434" s="5">
        <f t="shared" si="78"/>
        <v>0.15831951354338922</v>
      </c>
    </row>
    <row r="1435" spans="1:11" x14ac:dyDescent="0.25">
      <c r="A1435" t="s">
        <v>10708</v>
      </c>
      <c r="C1435" t="s">
        <v>10709</v>
      </c>
      <c r="D1435" t="s">
        <v>309</v>
      </c>
      <c r="E1435" t="s">
        <v>6</v>
      </c>
      <c r="F1435" t="s">
        <v>251</v>
      </c>
      <c r="G1435">
        <v>9</v>
      </c>
      <c r="H1435" s="2">
        <f>Tabelle13[[#This Row],[commits]]/Tabelle13[[#Totals],[commits]]</f>
        <v>4.1830113963821599E-5</v>
      </c>
      <c r="I1435" s="5">
        <f>Tabelle13[[#This Row],[%]]+I1434</f>
        <v>0.93560021565748042</v>
      </c>
      <c r="J1435" s="4">
        <f t="shared" si="77"/>
        <v>1.105583195135434E-4</v>
      </c>
      <c r="K1435" s="5">
        <f t="shared" si="78"/>
        <v>0.15843007186290275</v>
      </c>
    </row>
    <row r="1436" spans="1:11" x14ac:dyDescent="0.25">
      <c r="A1436" t="s">
        <v>10710</v>
      </c>
      <c r="C1436" t="s">
        <v>10711</v>
      </c>
      <c r="D1436" t="s">
        <v>10712</v>
      </c>
      <c r="E1436" t="s">
        <v>6</v>
      </c>
      <c r="F1436" t="s">
        <v>251</v>
      </c>
      <c r="G1436">
        <v>9</v>
      </c>
      <c r="H1436" s="2">
        <f>Tabelle13[[#This Row],[commits]]/Tabelle13[[#Totals],[commits]]</f>
        <v>4.1830113963821599E-5</v>
      </c>
      <c r="I1436" s="5">
        <f>Tabelle13[[#This Row],[%]]+I1435</f>
        <v>0.93564204577144428</v>
      </c>
      <c r="J1436" s="4">
        <f t="shared" si="77"/>
        <v>1.105583195135434E-4</v>
      </c>
      <c r="K1436" s="5">
        <f t="shared" si="78"/>
        <v>0.15854063018241629</v>
      </c>
    </row>
    <row r="1437" spans="1:11" x14ac:dyDescent="0.25">
      <c r="A1437" t="s">
        <v>10713</v>
      </c>
      <c r="C1437" t="s">
        <v>10714</v>
      </c>
      <c r="D1437" t="s">
        <v>5</v>
      </c>
      <c r="E1437" t="s">
        <v>6</v>
      </c>
      <c r="F1437" t="s">
        <v>251</v>
      </c>
      <c r="G1437">
        <v>9</v>
      </c>
      <c r="H1437" s="2">
        <f>Tabelle13[[#This Row],[commits]]/Tabelle13[[#Totals],[commits]]</f>
        <v>4.1830113963821599E-5</v>
      </c>
      <c r="I1437" s="5">
        <f>Tabelle13[[#This Row],[%]]+I1436</f>
        <v>0.93568387588540813</v>
      </c>
      <c r="J1437" s="4">
        <f t="shared" si="77"/>
        <v>1.105583195135434E-4</v>
      </c>
      <c r="K1437" s="5">
        <f t="shared" si="78"/>
        <v>0.15865118850192983</v>
      </c>
    </row>
    <row r="1438" spans="1:11" x14ac:dyDescent="0.25">
      <c r="A1438" t="s">
        <v>10715</v>
      </c>
      <c r="C1438" t="s">
        <v>10716</v>
      </c>
      <c r="D1438" t="s">
        <v>8874</v>
      </c>
      <c r="E1438" t="s">
        <v>6</v>
      </c>
      <c r="F1438" t="s">
        <v>251</v>
      </c>
      <c r="G1438">
        <v>9</v>
      </c>
      <c r="H1438" s="2">
        <f>Tabelle13[[#This Row],[commits]]/Tabelle13[[#Totals],[commits]]</f>
        <v>4.1830113963821599E-5</v>
      </c>
      <c r="I1438" s="5">
        <f>Tabelle13[[#This Row],[%]]+I1437</f>
        <v>0.93572570599937199</v>
      </c>
      <c r="J1438" s="4">
        <f t="shared" si="77"/>
        <v>1.105583195135434E-4</v>
      </c>
      <c r="K1438" s="5">
        <f t="shared" si="78"/>
        <v>0.15876174682144337</v>
      </c>
    </row>
    <row r="1439" spans="1:11" x14ac:dyDescent="0.25">
      <c r="A1439" t="s">
        <v>10717</v>
      </c>
      <c r="C1439" t="s">
        <v>10718</v>
      </c>
      <c r="D1439" t="s">
        <v>5</v>
      </c>
      <c r="E1439" t="s">
        <v>6</v>
      </c>
      <c r="F1439" t="s">
        <v>251</v>
      </c>
      <c r="G1439">
        <v>9</v>
      </c>
      <c r="H1439" s="2">
        <f>Tabelle13[[#This Row],[commits]]/Tabelle13[[#Totals],[commits]]</f>
        <v>4.1830113963821599E-5</v>
      </c>
      <c r="I1439" s="5">
        <f>Tabelle13[[#This Row],[%]]+I1438</f>
        <v>0.93576753611333585</v>
      </c>
      <c r="J1439" s="4">
        <f t="shared" si="77"/>
        <v>1.105583195135434E-4</v>
      </c>
      <c r="K1439" s="5">
        <f t="shared" si="78"/>
        <v>0.1588723051409569</v>
      </c>
    </row>
    <row r="1440" spans="1:11" x14ac:dyDescent="0.25">
      <c r="A1440" t="s">
        <v>10719</v>
      </c>
      <c r="C1440" t="s">
        <v>10720</v>
      </c>
      <c r="D1440" t="s">
        <v>9633</v>
      </c>
      <c r="E1440" t="s">
        <v>6</v>
      </c>
      <c r="F1440" t="s">
        <v>251</v>
      </c>
      <c r="G1440">
        <v>9</v>
      </c>
      <c r="H1440" s="2">
        <f>Tabelle13[[#This Row],[commits]]/Tabelle13[[#Totals],[commits]]</f>
        <v>4.1830113963821599E-5</v>
      </c>
      <c r="I1440" s="5">
        <f>Tabelle13[[#This Row],[%]]+I1439</f>
        <v>0.93580936622729971</v>
      </c>
      <c r="J1440" s="4">
        <f t="shared" si="77"/>
        <v>1.105583195135434E-4</v>
      </c>
      <c r="K1440" s="5">
        <f t="shared" si="78"/>
        <v>0.15898286346047044</v>
      </c>
    </row>
    <row r="1441" spans="1:11" x14ac:dyDescent="0.25">
      <c r="A1441" t="s">
        <v>10721</v>
      </c>
      <c r="C1441" t="s">
        <v>10722</v>
      </c>
      <c r="D1441" t="s">
        <v>9035</v>
      </c>
      <c r="E1441" t="s">
        <v>6</v>
      </c>
      <c r="F1441" t="s">
        <v>251</v>
      </c>
      <c r="G1441">
        <v>9</v>
      </c>
      <c r="H1441" s="2">
        <f>Tabelle13[[#This Row],[commits]]/Tabelle13[[#Totals],[commits]]</f>
        <v>4.1830113963821599E-5</v>
      </c>
      <c r="I1441" s="5">
        <f>Tabelle13[[#This Row],[%]]+I1440</f>
        <v>0.93585119634126357</v>
      </c>
      <c r="J1441" s="4">
        <f t="shared" si="77"/>
        <v>1.105583195135434E-4</v>
      </c>
      <c r="K1441" s="5">
        <f t="shared" si="78"/>
        <v>0.15909342177998398</v>
      </c>
    </row>
    <row r="1442" spans="1:11" x14ac:dyDescent="0.25">
      <c r="A1442" t="s">
        <v>10723</v>
      </c>
      <c r="C1442" t="s">
        <v>10724</v>
      </c>
      <c r="D1442" t="s">
        <v>10725</v>
      </c>
      <c r="E1442" t="s">
        <v>6</v>
      </c>
      <c r="F1442" t="s">
        <v>251</v>
      </c>
      <c r="G1442">
        <v>9</v>
      </c>
      <c r="H1442" s="2">
        <f>Tabelle13[[#This Row],[commits]]/Tabelle13[[#Totals],[commits]]</f>
        <v>4.1830113963821599E-5</v>
      </c>
      <c r="I1442" s="5">
        <f>Tabelle13[[#This Row],[%]]+I1441</f>
        <v>0.93589302645522743</v>
      </c>
      <c r="J1442" s="4">
        <f t="shared" si="77"/>
        <v>1.105583195135434E-4</v>
      </c>
      <c r="K1442" s="5">
        <f t="shared" si="78"/>
        <v>0.15920398009949752</v>
      </c>
    </row>
    <row r="1443" spans="1:11" x14ac:dyDescent="0.25">
      <c r="A1443" t="s">
        <v>10726</v>
      </c>
      <c r="C1443" t="s">
        <v>10727</v>
      </c>
      <c r="D1443" t="s">
        <v>8948</v>
      </c>
      <c r="E1443" t="s">
        <v>6</v>
      </c>
      <c r="F1443" t="s">
        <v>251</v>
      </c>
      <c r="G1443">
        <v>9</v>
      </c>
      <c r="H1443" s="2">
        <f>Tabelle13[[#This Row],[commits]]/Tabelle13[[#Totals],[commits]]</f>
        <v>4.1830113963821599E-5</v>
      </c>
      <c r="I1443" s="5">
        <f>Tabelle13[[#This Row],[%]]+I1442</f>
        <v>0.93593485656919129</v>
      </c>
      <c r="J1443" s="4">
        <f t="shared" si="77"/>
        <v>1.105583195135434E-4</v>
      </c>
      <c r="K1443" s="5">
        <f t="shared" si="78"/>
        <v>0.15931453841901105</v>
      </c>
    </row>
    <row r="1444" spans="1:11" x14ac:dyDescent="0.25">
      <c r="A1444" t="s">
        <v>10728</v>
      </c>
      <c r="C1444" t="s">
        <v>10729</v>
      </c>
      <c r="D1444" t="s">
        <v>5</v>
      </c>
      <c r="E1444" t="s">
        <v>6</v>
      </c>
      <c r="F1444" t="s">
        <v>251</v>
      </c>
      <c r="G1444">
        <v>9</v>
      </c>
      <c r="H1444" s="2">
        <f>Tabelle13[[#This Row],[commits]]/Tabelle13[[#Totals],[commits]]</f>
        <v>4.1830113963821599E-5</v>
      </c>
      <c r="I1444" s="5">
        <f>Tabelle13[[#This Row],[%]]+I1443</f>
        <v>0.93597668668315515</v>
      </c>
      <c r="J1444" s="4">
        <f t="shared" si="77"/>
        <v>1.105583195135434E-4</v>
      </c>
      <c r="K1444" s="5">
        <f t="shared" si="78"/>
        <v>0.15942509673852459</v>
      </c>
    </row>
    <row r="1445" spans="1:11" x14ac:dyDescent="0.25">
      <c r="A1445" t="s">
        <v>10730</v>
      </c>
      <c r="C1445" t="s">
        <v>10731</v>
      </c>
      <c r="D1445" t="s">
        <v>309</v>
      </c>
      <c r="E1445" t="s">
        <v>6</v>
      </c>
      <c r="F1445" t="s">
        <v>251</v>
      </c>
      <c r="G1445">
        <v>9</v>
      </c>
      <c r="H1445" s="2">
        <f>Tabelle13[[#This Row],[commits]]/Tabelle13[[#Totals],[commits]]</f>
        <v>4.1830113963821599E-5</v>
      </c>
      <c r="I1445" s="5">
        <f>Tabelle13[[#This Row],[%]]+I1444</f>
        <v>0.936018516797119</v>
      </c>
      <c r="J1445" s="4">
        <f t="shared" si="77"/>
        <v>1.105583195135434E-4</v>
      </c>
      <c r="K1445" s="5">
        <f t="shared" si="78"/>
        <v>0.15953565505803813</v>
      </c>
    </row>
    <row r="1446" spans="1:11" x14ac:dyDescent="0.25">
      <c r="A1446" t="s">
        <v>10732</v>
      </c>
      <c r="C1446" t="s">
        <v>10733</v>
      </c>
      <c r="D1446" t="s">
        <v>309</v>
      </c>
      <c r="E1446" t="s">
        <v>6</v>
      </c>
      <c r="F1446" t="s">
        <v>251</v>
      </c>
      <c r="G1446">
        <v>9</v>
      </c>
      <c r="H1446" s="2">
        <f>Tabelle13[[#This Row],[commits]]/Tabelle13[[#Totals],[commits]]</f>
        <v>4.1830113963821599E-5</v>
      </c>
      <c r="I1446" s="5">
        <f>Tabelle13[[#This Row],[%]]+I1445</f>
        <v>0.93606034691108286</v>
      </c>
      <c r="J1446" s="4">
        <f t="shared" si="77"/>
        <v>1.105583195135434E-4</v>
      </c>
      <c r="K1446" s="5">
        <f t="shared" si="78"/>
        <v>0.15964621337755167</v>
      </c>
    </row>
    <row r="1447" spans="1:11" x14ac:dyDescent="0.25">
      <c r="A1447" t="s">
        <v>10734</v>
      </c>
      <c r="C1447" t="s">
        <v>362</v>
      </c>
      <c r="D1447" t="s">
        <v>5</v>
      </c>
      <c r="E1447" t="s">
        <v>6</v>
      </c>
      <c r="F1447" t="s">
        <v>251</v>
      </c>
      <c r="G1447">
        <v>9</v>
      </c>
      <c r="H1447" s="2">
        <f>Tabelle13[[#This Row],[commits]]/Tabelle13[[#Totals],[commits]]</f>
        <v>4.1830113963821599E-5</v>
      </c>
      <c r="I1447" s="5">
        <f>Tabelle13[[#This Row],[%]]+I1446</f>
        <v>0.93610217702504672</v>
      </c>
      <c r="J1447" s="4">
        <f t="shared" si="77"/>
        <v>1.105583195135434E-4</v>
      </c>
      <c r="K1447" s="5">
        <f t="shared" si="78"/>
        <v>0.1597567716970652</v>
      </c>
    </row>
    <row r="1448" spans="1:11" x14ac:dyDescent="0.25">
      <c r="A1448" t="s">
        <v>10735</v>
      </c>
      <c r="C1448" t="s">
        <v>10736</v>
      </c>
      <c r="D1448" t="s">
        <v>5</v>
      </c>
      <c r="E1448" t="s">
        <v>6</v>
      </c>
      <c r="F1448" t="s">
        <v>251</v>
      </c>
      <c r="G1448">
        <v>9</v>
      </c>
      <c r="H1448" s="2">
        <f>Tabelle13[[#This Row],[commits]]/Tabelle13[[#Totals],[commits]]</f>
        <v>4.1830113963821599E-5</v>
      </c>
      <c r="I1448" s="5">
        <f>Tabelle13[[#This Row],[%]]+I1447</f>
        <v>0.93614400713901058</v>
      </c>
      <c r="J1448" s="4">
        <f t="shared" si="77"/>
        <v>1.105583195135434E-4</v>
      </c>
      <c r="K1448" s="5">
        <f t="shared" si="78"/>
        <v>0.15986733001657874</v>
      </c>
    </row>
    <row r="1449" spans="1:11" x14ac:dyDescent="0.25">
      <c r="A1449" t="s">
        <v>10737</v>
      </c>
      <c r="C1449" t="s">
        <v>10738</v>
      </c>
      <c r="D1449" t="s">
        <v>309</v>
      </c>
      <c r="E1449" t="s">
        <v>6</v>
      </c>
      <c r="F1449" t="s">
        <v>251</v>
      </c>
      <c r="G1449">
        <v>9</v>
      </c>
      <c r="H1449" s="2">
        <f>Tabelle13[[#This Row],[commits]]/Tabelle13[[#Totals],[commits]]</f>
        <v>4.1830113963821599E-5</v>
      </c>
      <c r="I1449" s="5">
        <f>Tabelle13[[#This Row],[%]]+I1448</f>
        <v>0.93618583725297444</v>
      </c>
      <c r="J1449" s="4">
        <f t="shared" si="77"/>
        <v>1.105583195135434E-4</v>
      </c>
      <c r="K1449" s="5">
        <f t="shared" si="78"/>
        <v>0.15997788833609228</v>
      </c>
    </row>
    <row r="1450" spans="1:11" x14ac:dyDescent="0.25">
      <c r="A1450" t="s">
        <v>10739</v>
      </c>
      <c r="C1450" t="s">
        <v>10740</v>
      </c>
      <c r="D1450" t="s">
        <v>5</v>
      </c>
      <c r="E1450" t="s">
        <v>6</v>
      </c>
      <c r="F1450" t="s">
        <v>251</v>
      </c>
      <c r="G1450">
        <v>9</v>
      </c>
      <c r="H1450" s="2">
        <f>Tabelle13[[#This Row],[commits]]/Tabelle13[[#Totals],[commits]]</f>
        <v>4.1830113963821599E-5</v>
      </c>
      <c r="I1450" s="5">
        <f>Tabelle13[[#This Row],[%]]+I1449</f>
        <v>0.9362276673669383</v>
      </c>
      <c r="J1450" s="4">
        <f t="shared" si="77"/>
        <v>1.105583195135434E-4</v>
      </c>
      <c r="K1450" s="5">
        <f t="shared" si="78"/>
        <v>0.16008844665560581</v>
      </c>
    </row>
    <row r="1451" spans="1:11" x14ac:dyDescent="0.25">
      <c r="A1451" t="s">
        <v>10741</v>
      </c>
      <c r="C1451" t="s">
        <v>10742</v>
      </c>
      <c r="D1451" t="s">
        <v>5</v>
      </c>
      <c r="E1451" t="s">
        <v>6</v>
      </c>
      <c r="F1451" t="s">
        <v>251</v>
      </c>
      <c r="G1451">
        <v>9</v>
      </c>
      <c r="H1451" s="2">
        <f>Tabelle13[[#This Row],[commits]]/Tabelle13[[#Totals],[commits]]</f>
        <v>4.1830113963821599E-5</v>
      </c>
      <c r="I1451" s="5">
        <f>Tabelle13[[#This Row],[%]]+I1450</f>
        <v>0.93626949748090216</v>
      </c>
      <c r="J1451" s="4">
        <f t="shared" si="77"/>
        <v>1.105583195135434E-4</v>
      </c>
      <c r="K1451" s="5">
        <f t="shared" si="78"/>
        <v>0.16019900497511935</v>
      </c>
    </row>
    <row r="1452" spans="1:11" x14ac:dyDescent="0.25">
      <c r="A1452" t="s">
        <v>10743</v>
      </c>
      <c r="C1452" t="s">
        <v>10744</v>
      </c>
      <c r="D1452" t="s">
        <v>309</v>
      </c>
      <c r="E1452" t="s">
        <v>6</v>
      </c>
      <c r="F1452" t="s">
        <v>251</v>
      </c>
      <c r="G1452">
        <v>9</v>
      </c>
      <c r="H1452" s="2">
        <f>Tabelle13[[#This Row],[commits]]/Tabelle13[[#Totals],[commits]]</f>
        <v>4.1830113963821599E-5</v>
      </c>
      <c r="I1452" s="5">
        <f>Tabelle13[[#This Row],[%]]+I1451</f>
        <v>0.93631132759486602</v>
      </c>
      <c r="J1452" s="4">
        <f t="shared" si="77"/>
        <v>1.105583195135434E-4</v>
      </c>
      <c r="K1452" s="5">
        <f t="shared" si="78"/>
        <v>0.16030956329463289</v>
      </c>
    </row>
    <row r="1453" spans="1:11" x14ac:dyDescent="0.25">
      <c r="A1453" t="s">
        <v>10745</v>
      </c>
      <c r="C1453" t="s">
        <v>10746</v>
      </c>
      <c r="D1453" t="s">
        <v>10094</v>
      </c>
      <c r="E1453" t="s">
        <v>6</v>
      </c>
      <c r="F1453" t="s">
        <v>251</v>
      </c>
      <c r="G1453">
        <v>9</v>
      </c>
      <c r="H1453" s="2">
        <f>Tabelle13[[#This Row],[commits]]/Tabelle13[[#Totals],[commits]]</f>
        <v>4.1830113963821599E-5</v>
      </c>
      <c r="I1453" s="5">
        <f>Tabelle13[[#This Row],[%]]+I1452</f>
        <v>0.93635315770882988</v>
      </c>
      <c r="J1453" s="4">
        <f t="shared" si="77"/>
        <v>1.105583195135434E-4</v>
      </c>
      <c r="K1453" s="5">
        <f t="shared" si="78"/>
        <v>0.16042012161414643</v>
      </c>
    </row>
    <row r="1454" spans="1:11" x14ac:dyDescent="0.25">
      <c r="A1454" t="s">
        <v>10747</v>
      </c>
      <c r="C1454" t="s">
        <v>10748</v>
      </c>
      <c r="D1454" t="s">
        <v>5</v>
      </c>
      <c r="E1454" t="s">
        <v>6</v>
      </c>
      <c r="F1454" t="s">
        <v>251</v>
      </c>
      <c r="G1454">
        <v>9</v>
      </c>
      <c r="H1454" s="2">
        <f>Tabelle13[[#This Row],[commits]]/Tabelle13[[#Totals],[commits]]</f>
        <v>4.1830113963821599E-5</v>
      </c>
      <c r="I1454" s="5">
        <f>Tabelle13[[#This Row],[%]]+I1453</f>
        <v>0.93639498782279373</v>
      </c>
      <c r="J1454" s="4">
        <f t="shared" si="77"/>
        <v>1.105583195135434E-4</v>
      </c>
      <c r="K1454" s="5">
        <f t="shared" si="78"/>
        <v>0.16053067993365996</v>
      </c>
    </row>
    <row r="1455" spans="1:11" x14ac:dyDescent="0.25">
      <c r="A1455" t="s">
        <v>10749</v>
      </c>
      <c r="C1455" t="s">
        <v>10750</v>
      </c>
      <c r="D1455" t="s">
        <v>309</v>
      </c>
      <c r="E1455" t="s">
        <v>6</v>
      </c>
      <c r="F1455" t="s">
        <v>251</v>
      </c>
      <c r="G1455">
        <v>9</v>
      </c>
      <c r="H1455" s="2">
        <f>Tabelle13[[#This Row],[commits]]/Tabelle13[[#Totals],[commits]]</f>
        <v>4.1830113963821599E-5</v>
      </c>
      <c r="I1455" s="5">
        <f>Tabelle13[[#This Row],[%]]+I1454</f>
        <v>0.93643681793675759</v>
      </c>
      <c r="J1455" s="4">
        <f t="shared" si="77"/>
        <v>1.105583195135434E-4</v>
      </c>
      <c r="K1455" s="5">
        <f t="shared" si="78"/>
        <v>0.1606412382531735</v>
      </c>
    </row>
    <row r="1456" spans="1:11" x14ac:dyDescent="0.25">
      <c r="A1456" t="s">
        <v>10751</v>
      </c>
      <c r="C1456" t="s">
        <v>10752</v>
      </c>
      <c r="D1456" t="s">
        <v>5</v>
      </c>
      <c r="E1456" t="s">
        <v>6</v>
      </c>
      <c r="F1456" t="s">
        <v>251</v>
      </c>
      <c r="G1456">
        <v>9</v>
      </c>
      <c r="H1456" s="2">
        <f>Tabelle13[[#This Row],[commits]]/Tabelle13[[#Totals],[commits]]</f>
        <v>4.1830113963821599E-5</v>
      </c>
      <c r="I1456" s="5">
        <f>Tabelle13[[#This Row],[%]]+I1455</f>
        <v>0.93647864805072145</v>
      </c>
      <c r="J1456" s="4">
        <f t="shared" si="77"/>
        <v>1.105583195135434E-4</v>
      </c>
      <c r="K1456" s="5">
        <f t="shared" si="78"/>
        <v>0.16075179657268704</v>
      </c>
    </row>
    <row r="1457" spans="1:11" x14ac:dyDescent="0.25">
      <c r="A1457" t="s">
        <v>10753</v>
      </c>
      <c r="C1457" t="s">
        <v>10754</v>
      </c>
      <c r="D1457" t="s">
        <v>10755</v>
      </c>
      <c r="E1457" t="s">
        <v>6</v>
      </c>
      <c r="F1457" t="s">
        <v>251</v>
      </c>
      <c r="G1457">
        <v>9</v>
      </c>
      <c r="H1457" s="2">
        <f>Tabelle13[[#This Row],[commits]]/Tabelle13[[#Totals],[commits]]</f>
        <v>4.1830113963821599E-5</v>
      </c>
      <c r="I1457" s="5">
        <f>Tabelle13[[#This Row],[%]]+I1456</f>
        <v>0.93652047816468531</v>
      </c>
      <c r="J1457" s="4">
        <f t="shared" si="77"/>
        <v>1.105583195135434E-4</v>
      </c>
      <c r="K1457" s="5">
        <f t="shared" si="78"/>
        <v>0.16086235489220058</v>
      </c>
    </row>
    <row r="1458" spans="1:11" x14ac:dyDescent="0.25">
      <c r="A1458" t="s">
        <v>10756</v>
      </c>
      <c r="C1458" t="s">
        <v>10757</v>
      </c>
      <c r="D1458" t="s">
        <v>5</v>
      </c>
      <c r="E1458" t="s">
        <v>6</v>
      </c>
      <c r="F1458" t="s">
        <v>251</v>
      </c>
      <c r="G1458">
        <v>9</v>
      </c>
      <c r="H1458" s="2">
        <f>Tabelle13[[#This Row],[commits]]/Tabelle13[[#Totals],[commits]]</f>
        <v>4.1830113963821599E-5</v>
      </c>
      <c r="I1458" s="5">
        <f>Tabelle13[[#This Row],[%]]+I1457</f>
        <v>0.93656230827864917</v>
      </c>
      <c r="J1458" s="4">
        <f t="shared" si="77"/>
        <v>1.105583195135434E-4</v>
      </c>
      <c r="K1458" s="5">
        <f t="shared" si="78"/>
        <v>0.16097291321171411</v>
      </c>
    </row>
    <row r="1459" spans="1:11" x14ac:dyDescent="0.25">
      <c r="A1459" t="s">
        <v>10758</v>
      </c>
      <c r="C1459" t="s">
        <v>10759</v>
      </c>
      <c r="D1459" t="s">
        <v>309</v>
      </c>
      <c r="E1459" t="s">
        <v>6</v>
      </c>
      <c r="F1459" t="s">
        <v>251</v>
      </c>
      <c r="G1459">
        <v>9</v>
      </c>
      <c r="H1459" s="2">
        <f>Tabelle13[[#This Row],[commits]]/Tabelle13[[#Totals],[commits]]</f>
        <v>4.1830113963821599E-5</v>
      </c>
      <c r="I1459" s="5">
        <f>Tabelle13[[#This Row],[%]]+I1458</f>
        <v>0.93660413839261303</v>
      </c>
      <c r="J1459" s="4">
        <f t="shared" si="77"/>
        <v>1.105583195135434E-4</v>
      </c>
      <c r="K1459" s="5">
        <f t="shared" si="78"/>
        <v>0.16108347153122765</v>
      </c>
    </row>
    <row r="1460" spans="1:11" x14ac:dyDescent="0.25">
      <c r="A1460" t="s">
        <v>10760</v>
      </c>
      <c r="C1460" t="s">
        <v>10761</v>
      </c>
      <c r="D1460" t="s">
        <v>5</v>
      </c>
      <c r="E1460" t="s">
        <v>6</v>
      </c>
      <c r="F1460" t="s">
        <v>251</v>
      </c>
      <c r="G1460">
        <v>9</v>
      </c>
      <c r="H1460" s="2">
        <f>Tabelle13[[#This Row],[commits]]/Tabelle13[[#Totals],[commits]]</f>
        <v>4.1830113963821599E-5</v>
      </c>
      <c r="I1460" s="5">
        <f>Tabelle13[[#This Row],[%]]+I1459</f>
        <v>0.93664596850657689</v>
      </c>
      <c r="J1460" s="4">
        <f t="shared" si="77"/>
        <v>1.105583195135434E-4</v>
      </c>
      <c r="K1460" s="5">
        <f t="shared" si="78"/>
        <v>0.16119402985074119</v>
      </c>
    </row>
    <row r="1461" spans="1:11" x14ac:dyDescent="0.25">
      <c r="A1461" t="s">
        <v>10762</v>
      </c>
      <c r="C1461" t="s">
        <v>10763</v>
      </c>
      <c r="D1461" t="s">
        <v>309</v>
      </c>
      <c r="E1461" t="s">
        <v>6</v>
      </c>
      <c r="F1461" t="s">
        <v>251</v>
      </c>
      <c r="G1461">
        <v>9</v>
      </c>
      <c r="H1461" s="2">
        <f>Tabelle13[[#This Row],[commits]]/Tabelle13[[#Totals],[commits]]</f>
        <v>4.1830113963821599E-5</v>
      </c>
      <c r="I1461" s="5">
        <f>Tabelle13[[#This Row],[%]]+I1460</f>
        <v>0.93668779862054075</v>
      </c>
      <c r="J1461" s="4">
        <f t="shared" si="77"/>
        <v>1.105583195135434E-4</v>
      </c>
      <c r="K1461" s="5">
        <f t="shared" si="78"/>
        <v>0.16130458817025473</v>
      </c>
    </row>
    <row r="1462" spans="1:11" x14ac:dyDescent="0.25">
      <c r="A1462" t="s">
        <v>10764</v>
      </c>
      <c r="C1462" t="s">
        <v>10765</v>
      </c>
      <c r="D1462" t="s">
        <v>5</v>
      </c>
      <c r="E1462" t="s">
        <v>6</v>
      </c>
      <c r="F1462" t="s">
        <v>251</v>
      </c>
      <c r="G1462">
        <v>9</v>
      </c>
      <c r="H1462" s="2">
        <f>Tabelle13[[#This Row],[commits]]/Tabelle13[[#Totals],[commits]]</f>
        <v>4.1830113963821599E-5</v>
      </c>
      <c r="I1462" s="5">
        <f>Tabelle13[[#This Row],[%]]+I1461</f>
        <v>0.9367296287345046</v>
      </c>
      <c r="J1462" s="4">
        <f t="shared" si="77"/>
        <v>1.105583195135434E-4</v>
      </c>
      <c r="K1462" s="5">
        <f t="shared" si="78"/>
        <v>0.16141514648976826</v>
      </c>
    </row>
    <row r="1463" spans="1:11" x14ac:dyDescent="0.25">
      <c r="A1463" t="s">
        <v>10766</v>
      </c>
      <c r="C1463" t="s">
        <v>10767</v>
      </c>
      <c r="D1463" t="s">
        <v>5</v>
      </c>
      <c r="E1463" t="s">
        <v>6</v>
      </c>
      <c r="F1463" t="s">
        <v>251</v>
      </c>
      <c r="G1463">
        <v>9</v>
      </c>
      <c r="H1463" s="2">
        <f>Tabelle13[[#This Row],[commits]]/Tabelle13[[#Totals],[commits]]</f>
        <v>4.1830113963821599E-5</v>
      </c>
      <c r="I1463" s="5">
        <f>Tabelle13[[#This Row],[%]]+I1462</f>
        <v>0.93677145884846846</v>
      </c>
      <c r="J1463" s="4">
        <f t="shared" si="77"/>
        <v>1.105583195135434E-4</v>
      </c>
      <c r="K1463" s="5">
        <f t="shared" si="78"/>
        <v>0.1615257048092818</v>
      </c>
    </row>
    <row r="1464" spans="1:11" x14ac:dyDescent="0.25">
      <c r="A1464" t="s">
        <v>10768</v>
      </c>
      <c r="C1464" t="s">
        <v>10769</v>
      </c>
      <c r="D1464" t="s">
        <v>5</v>
      </c>
      <c r="E1464" t="s">
        <v>6</v>
      </c>
      <c r="F1464" t="s">
        <v>251</v>
      </c>
      <c r="G1464">
        <v>9</v>
      </c>
      <c r="H1464" s="2">
        <f>Tabelle13[[#This Row],[commits]]/Tabelle13[[#Totals],[commits]]</f>
        <v>4.1830113963821599E-5</v>
      </c>
      <c r="I1464" s="5">
        <f>Tabelle13[[#This Row],[%]]+I1463</f>
        <v>0.93681328896243232</v>
      </c>
      <c r="J1464" s="4">
        <f t="shared" si="77"/>
        <v>1.105583195135434E-4</v>
      </c>
      <c r="K1464" s="5">
        <f t="shared" si="78"/>
        <v>0.16163626312879534</v>
      </c>
    </row>
    <row r="1465" spans="1:11" x14ac:dyDescent="0.25">
      <c r="A1465" t="s">
        <v>10770</v>
      </c>
      <c r="C1465" t="s">
        <v>10771</v>
      </c>
      <c r="D1465" t="s">
        <v>10772</v>
      </c>
      <c r="E1465" t="s">
        <v>6</v>
      </c>
      <c r="F1465" t="s">
        <v>251</v>
      </c>
      <c r="G1465">
        <v>9</v>
      </c>
      <c r="H1465" s="2">
        <f>Tabelle13[[#This Row],[commits]]/Tabelle13[[#Totals],[commits]]</f>
        <v>4.1830113963821599E-5</v>
      </c>
      <c r="I1465" s="5">
        <f>Tabelle13[[#This Row],[%]]+I1464</f>
        <v>0.93685511907639618</v>
      </c>
      <c r="J1465" s="4">
        <f t="shared" si="77"/>
        <v>1.105583195135434E-4</v>
      </c>
      <c r="K1465" s="5">
        <f t="shared" si="78"/>
        <v>0.16174682144830888</v>
      </c>
    </row>
    <row r="1466" spans="1:11" x14ac:dyDescent="0.25">
      <c r="A1466" t="s">
        <v>10773</v>
      </c>
      <c r="C1466" t="s">
        <v>10774</v>
      </c>
      <c r="D1466" t="s">
        <v>5</v>
      </c>
      <c r="E1466" t="s">
        <v>6</v>
      </c>
      <c r="F1466" t="s">
        <v>251</v>
      </c>
      <c r="G1466">
        <v>9</v>
      </c>
      <c r="H1466" s="2">
        <f>Tabelle13[[#This Row],[commits]]/Tabelle13[[#Totals],[commits]]</f>
        <v>4.1830113963821599E-5</v>
      </c>
      <c r="I1466" s="5">
        <f>Tabelle13[[#This Row],[%]]+I1465</f>
        <v>0.93689694919036004</v>
      </c>
      <c r="J1466" s="4">
        <f t="shared" si="77"/>
        <v>1.105583195135434E-4</v>
      </c>
      <c r="K1466" s="5">
        <f t="shared" si="78"/>
        <v>0.16185737976782241</v>
      </c>
    </row>
    <row r="1467" spans="1:11" x14ac:dyDescent="0.25">
      <c r="A1467" t="s">
        <v>10775</v>
      </c>
      <c r="C1467" t="s">
        <v>10776</v>
      </c>
      <c r="D1467" t="s">
        <v>8948</v>
      </c>
      <c r="E1467" t="s">
        <v>6</v>
      </c>
      <c r="F1467" t="s">
        <v>251</v>
      </c>
      <c r="G1467">
        <v>9</v>
      </c>
      <c r="H1467" s="2">
        <f>Tabelle13[[#This Row],[commits]]/Tabelle13[[#Totals],[commits]]</f>
        <v>4.1830113963821599E-5</v>
      </c>
      <c r="I1467" s="5">
        <f>Tabelle13[[#This Row],[%]]+I1466</f>
        <v>0.9369387793043239</v>
      </c>
      <c r="J1467" s="4">
        <f t="shared" si="77"/>
        <v>1.105583195135434E-4</v>
      </c>
      <c r="K1467" s="5">
        <f t="shared" si="78"/>
        <v>0.16196793808733595</v>
      </c>
    </row>
    <row r="1468" spans="1:11" x14ac:dyDescent="0.25">
      <c r="A1468" t="s">
        <v>10777</v>
      </c>
      <c r="C1468" t="s">
        <v>10778</v>
      </c>
      <c r="D1468" t="s">
        <v>5</v>
      </c>
      <c r="E1468" t="s">
        <v>6</v>
      </c>
      <c r="F1468" t="s">
        <v>251</v>
      </c>
      <c r="G1468">
        <v>9</v>
      </c>
      <c r="H1468" s="2">
        <f>Tabelle13[[#This Row],[commits]]/Tabelle13[[#Totals],[commits]]</f>
        <v>4.1830113963821599E-5</v>
      </c>
      <c r="I1468" s="5">
        <f>Tabelle13[[#This Row],[%]]+I1467</f>
        <v>0.93698060941828776</v>
      </c>
      <c r="J1468" s="4">
        <f t="shared" si="77"/>
        <v>1.105583195135434E-4</v>
      </c>
      <c r="K1468" s="5">
        <f t="shared" si="78"/>
        <v>0.16207849640684949</v>
      </c>
    </row>
    <row r="1469" spans="1:11" x14ac:dyDescent="0.25">
      <c r="A1469" t="s">
        <v>10779</v>
      </c>
      <c r="C1469" t="s">
        <v>10780</v>
      </c>
      <c r="D1469" t="s">
        <v>5</v>
      </c>
      <c r="E1469" t="s">
        <v>6</v>
      </c>
      <c r="F1469" t="s">
        <v>251</v>
      </c>
      <c r="G1469">
        <v>9</v>
      </c>
      <c r="H1469" s="2">
        <f>Tabelle13[[#This Row],[commits]]/Tabelle13[[#Totals],[commits]]</f>
        <v>4.1830113963821599E-5</v>
      </c>
      <c r="I1469" s="5">
        <f>Tabelle13[[#This Row],[%]]+I1468</f>
        <v>0.93702243953225162</v>
      </c>
      <c r="J1469" s="4">
        <f t="shared" si="77"/>
        <v>1.105583195135434E-4</v>
      </c>
      <c r="K1469" s="5">
        <f t="shared" si="78"/>
        <v>0.16218905472636302</v>
      </c>
    </row>
    <row r="1470" spans="1:11" x14ac:dyDescent="0.25">
      <c r="A1470" t="s">
        <v>10781</v>
      </c>
      <c r="C1470" t="s">
        <v>10782</v>
      </c>
      <c r="D1470" t="s">
        <v>5</v>
      </c>
      <c r="E1470" t="s">
        <v>6</v>
      </c>
      <c r="F1470" t="s">
        <v>251</v>
      </c>
      <c r="G1470">
        <v>9</v>
      </c>
      <c r="H1470" s="2">
        <f>Tabelle13[[#This Row],[commits]]/Tabelle13[[#Totals],[commits]]</f>
        <v>4.1830113963821599E-5</v>
      </c>
      <c r="I1470" s="5">
        <f>Tabelle13[[#This Row],[%]]+I1469</f>
        <v>0.93706426964621548</v>
      </c>
      <c r="J1470" s="4">
        <f t="shared" si="77"/>
        <v>1.105583195135434E-4</v>
      </c>
      <c r="K1470" s="5">
        <f t="shared" si="78"/>
        <v>0.16229961304587656</v>
      </c>
    </row>
    <row r="1471" spans="1:11" x14ac:dyDescent="0.25">
      <c r="A1471" t="s">
        <v>10783</v>
      </c>
      <c r="C1471" t="s">
        <v>10784</v>
      </c>
      <c r="D1471" t="s">
        <v>5</v>
      </c>
      <c r="E1471" t="s">
        <v>6</v>
      </c>
      <c r="F1471" t="s">
        <v>251</v>
      </c>
      <c r="G1471">
        <v>9</v>
      </c>
      <c r="H1471" s="2">
        <f>Tabelle13[[#This Row],[commits]]/Tabelle13[[#Totals],[commits]]</f>
        <v>4.1830113963821599E-5</v>
      </c>
      <c r="I1471" s="5">
        <f>Tabelle13[[#This Row],[%]]+I1470</f>
        <v>0.93710609976017933</v>
      </c>
      <c r="J1471" s="4">
        <f t="shared" si="77"/>
        <v>1.105583195135434E-4</v>
      </c>
      <c r="K1471" s="5">
        <f t="shared" si="78"/>
        <v>0.1624101713653901</v>
      </c>
    </row>
    <row r="1472" spans="1:11" x14ac:dyDescent="0.25">
      <c r="A1472" t="s">
        <v>10785</v>
      </c>
      <c r="C1472" t="s">
        <v>10786</v>
      </c>
      <c r="D1472" t="s">
        <v>309</v>
      </c>
      <c r="E1472" t="s">
        <v>6</v>
      </c>
      <c r="F1472" t="s">
        <v>251</v>
      </c>
      <c r="G1472">
        <v>9</v>
      </c>
      <c r="H1472" s="2">
        <f>Tabelle13[[#This Row],[commits]]/Tabelle13[[#Totals],[commits]]</f>
        <v>4.1830113963821599E-5</v>
      </c>
      <c r="I1472" s="5">
        <f>Tabelle13[[#This Row],[%]]+I1471</f>
        <v>0.93714792987414319</v>
      </c>
      <c r="J1472" s="4">
        <f t="shared" si="77"/>
        <v>1.105583195135434E-4</v>
      </c>
      <c r="K1472" s="5">
        <f t="shared" si="78"/>
        <v>0.16252072968490364</v>
      </c>
    </row>
    <row r="1473" spans="1:11" x14ac:dyDescent="0.25">
      <c r="A1473" t="s">
        <v>17159</v>
      </c>
      <c r="C1473" t="s">
        <v>17160</v>
      </c>
      <c r="D1473" t="s">
        <v>5</v>
      </c>
      <c r="E1473" t="s">
        <v>6</v>
      </c>
      <c r="F1473" t="s">
        <v>334</v>
      </c>
      <c r="G1473">
        <v>9</v>
      </c>
      <c r="H1473" s="2">
        <f>Tabelle13[[#This Row],[commits]]/Tabelle13[[#Totals],[commits]]</f>
        <v>4.1830113963821599E-5</v>
      </c>
      <c r="I1473" s="5">
        <f>Tabelle13[[#This Row],[%]]+I1472</f>
        <v>0.93718975998810705</v>
      </c>
      <c r="J1473" s="4">
        <f t="shared" si="77"/>
        <v>1.105583195135434E-4</v>
      </c>
      <c r="K1473" s="5">
        <f t="shared" si="78"/>
        <v>0.16263128800441717</v>
      </c>
    </row>
    <row r="1474" spans="1:11" x14ac:dyDescent="0.25">
      <c r="A1474" t="s">
        <v>17161</v>
      </c>
      <c r="C1474" t="s">
        <v>17162</v>
      </c>
      <c r="D1474" t="s">
        <v>5</v>
      </c>
      <c r="E1474" t="s">
        <v>6</v>
      </c>
      <c r="F1474" t="s">
        <v>334</v>
      </c>
      <c r="G1474">
        <v>9</v>
      </c>
      <c r="H1474" s="2">
        <f>Tabelle13[[#This Row],[commits]]/Tabelle13[[#Totals],[commits]]</f>
        <v>4.1830113963821599E-5</v>
      </c>
      <c r="I1474" s="5">
        <f>Tabelle13[[#This Row],[%]]+I1473</f>
        <v>0.93723159010207091</v>
      </c>
      <c r="J1474" s="4">
        <f t="shared" si="77"/>
        <v>1.105583195135434E-4</v>
      </c>
      <c r="K1474" s="5">
        <f t="shared" si="78"/>
        <v>0.16274184632393071</v>
      </c>
    </row>
    <row r="1475" spans="1:11" x14ac:dyDescent="0.25">
      <c r="A1475" t="s">
        <v>125</v>
      </c>
      <c r="C1475" t="s">
        <v>126</v>
      </c>
      <c r="D1475" t="s">
        <v>5</v>
      </c>
      <c r="E1475" t="s">
        <v>6</v>
      </c>
      <c r="F1475" t="s">
        <v>7</v>
      </c>
      <c r="G1475">
        <v>8</v>
      </c>
      <c r="H1475" s="2">
        <f>Tabelle13[[#This Row],[commits]]/Tabelle13[[#Totals],[commits]]</f>
        <v>3.718232352339698E-5</v>
      </c>
      <c r="I1475" s="5">
        <f>Tabelle13[[#This Row],[%]]+I1474</f>
        <v>0.93726877242559425</v>
      </c>
      <c r="J1475" s="4">
        <f t="shared" ref="J1475:J1538" si="79">1/9045</f>
        <v>1.105583195135434E-4</v>
      </c>
      <c r="K1475" s="5">
        <f t="shared" si="78"/>
        <v>0.16285240464344425</v>
      </c>
    </row>
    <row r="1476" spans="1:11" x14ac:dyDescent="0.25">
      <c r="A1476" t="s">
        <v>127</v>
      </c>
      <c r="C1476" t="s">
        <v>128</v>
      </c>
      <c r="D1476" t="s">
        <v>5</v>
      </c>
      <c r="E1476" t="s">
        <v>6</v>
      </c>
      <c r="F1476" t="s">
        <v>7</v>
      </c>
      <c r="G1476">
        <v>8</v>
      </c>
      <c r="H1476" s="2">
        <f>Tabelle13[[#This Row],[commits]]/Tabelle13[[#Totals],[commits]]</f>
        <v>3.718232352339698E-5</v>
      </c>
      <c r="I1476" s="5">
        <f>Tabelle13[[#This Row],[%]]+I1475</f>
        <v>0.9373059547491176</v>
      </c>
      <c r="J1476" s="4">
        <f t="shared" si="79"/>
        <v>1.105583195135434E-4</v>
      </c>
      <c r="K1476" s="5">
        <f t="shared" si="78"/>
        <v>0.16296296296295779</v>
      </c>
    </row>
    <row r="1477" spans="1:11" x14ac:dyDescent="0.25">
      <c r="A1477" t="s">
        <v>467</v>
      </c>
      <c r="C1477" t="s">
        <v>122</v>
      </c>
      <c r="D1477" t="s">
        <v>5</v>
      </c>
      <c r="E1477" t="s">
        <v>6</v>
      </c>
      <c r="F1477" t="s">
        <v>28</v>
      </c>
      <c r="G1477">
        <v>8</v>
      </c>
      <c r="H1477" s="2">
        <f>Tabelle13[[#This Row],[commits]]/Tabelle13[[#Totals],[commits]]</f>
        <v>3.718232352339698E-5</v>
      </c>
      <c r="I1477" s="5">
        <f>Tabelle13[[#This Row],[%]]+I1476</f>
        <v>0.93734313707264094</v>
      </c>
      <c r="J1477" s="4">
        <f t="shared" si="79"/>
        <v>1.105583195135434E-4</v>
      </c>
      <c r="K1477" s="5">
        <f t="shared" si="78"/>
        <v>0.16307352128247132</v>
      </c>
    </row>
    <row r="1478" spans="1:11" x14ac:dyDescent="0.25">
      <c r="A1478" t="s">
        <v>2686</v>
      </c>
      <c r="C1478" t="s">
        <v>2687</v>
      </c>
      <c r="D1478" t="s">
        <v>5</v>
      </c>
      <c r="E1478" t="s">
        <v>6</v>
      </c>
      <c r="F1478" t="s">
        <v>724</v>
      </c>
      <c r="G1478">
        <v>8</v>
      </c>
      <c r="H1478" s="2">
        <f>Tabelle13[[#This Row],[commits]]/Tabelle13[[#Totals],[commits]]</f>
        <v>3.718232352339698E-5</v>
      </c>
      <c r="I1478" s="5">
        <f>Tabelle13[[#This Row],[%]]+I1477</f>
        <v>0.93738031939616429</v>
      </c>
      <c r="J1478" s="4">
        <f t="shared" si="79"/>
        <v>1.105583195135434E-4</v>
      </c>
      <c r="K1478" s="5">
        <f t="shared" ref="K1478:K1541" si="80">J1478+K1477</f>
        <v>0.16318407960198486</v>
      </c>
    </row>
    <row r="1479" spans="1:11" x14ac:dyDescent="0.25">
      <c r="A1479" t="s">
        <v>2688</v>
      </c>
      <c r="C1479" t="s">
        <v>2689</v>
      </c>
      <c r="D1479" t="s">
        <v>2690</v>
      </c>
      <c r="E1479" t="s">
        <v>6</v>
      </c>
      <c r="F1479" t="s">
        <v>724</v>
      </c>
      <c r="G1479">
        <v>8</v>
      </c>
      <c r="H1479" s="2">
        <f>Tabelle13[[#This Row],[commits]]/Tabelle13[[#Totals],[commits]]</f>
        <v>3.718232352339698E-5</v>
      </c>
      <c r="I1479" s="5">
        <f>Tabelle13[[#This Row],[%]]+I1478</f>
        <v>0.93741750171968763</v>
      </c>
      <c r="J1479" s="4">
        <f t="shared" si="79"/>
        <v>1.105583195135434E-4</v>
      </c>
      <c r="K1479" s="5">
        <f t="shared" si="80"/>
        <v>0.1632946379214984</v>
      </c>
    </row>
    <row r="1480" spans="1:11" x14ac:dyDescent="0.25">
      <c r="A1480" t="s">
        <v>2691</v>
      </c>
      <c r="C1480" t="s">
        <v>2692</v>
      </c>
      <c r="D1480" t="s">
        <v>5</v>
      </c>
      <c r="E1480" t="s">
        <v>6</v>
      </c>
      <c r="F1480" t="s">
        <v>724</v>
      </c>
      <c r="G1480">
        <v>8</v>
      </c>
      <c r="H1480" s="2">
        <f>Tabelle13[[#This Row],[commits]]/Tabelle13[[#Totals],[commits]]</f>
        <v>3.718232352339698E-5</v>
      </c>
      <c r="I1480" s="5">
        <f>Tabelle13[[#This Row],[%]]+I1479</f>
        <v>0.93745468404321097</v>
      </c>
      <c r="J1480" s="4">
        <f t="shared" si="79"/>
        <v>1.105583195135434E-4</v>
      </c>
      <c r="K1480" s="5">
        <f t="shared" si="80"/>
        <v>0.16340519624101194</v>
      </c>
    </row>
    <row r="1481" spans="1:11" x14ac:dyDescent="0.25">
      <c r="A1481" t="s">
        <v>2693</v>
      </c>
      <c r="C1481" t="s">
        <v>2694</v>
      </c>
      <c r="D1481" t="s">
        <v>5</v>
      </c>
      <c r="E1481" t="s">
        <v>6</v>
      </c>
      <c r="F1481" t="s">
        <v>724</v>
      </c>
      <c r="G1481">
        <v>8</v>
      </c>
      <c r="H1481" s="2">
        <f>Tabelle13[[#This Row],[commits]]/Tabelle13[[#Totals],[commits]]</f>
        <v>3.718232352339698E-5</v>
      </c>
      <c r="I1481" s="5">
        <f>Tabelle13[[#This Row],[%]]+I1480</f>
        <v>0.93749186636673432</v>
      </c>
      <c r="J1481" s="4">
        <f t="shared" si="79"/>
        <v>1.105583195135434E-4</v>
      </c>
      <c r="K1481" s="5">
        <f t="shared" si="80"/>
        <v>0.16351575456052547</v>
      </c>
    </row>
    <row r="1482" spans="1:11" x14ac:dyDescent="0.25">
      <c r="A1482" t="s">
        <v>2695</v>
      </c>
      <c r="C1482" t="s">
        <v>2696</v>
      </c>
      <c r="D1482" t="s">
        <v>309</v>
      </c>
      <c r="E1482" t="s">
        <v>6</v>
      </c>
      <c r="F1482" t="s">
        <v>724</v>
      </c>
      <c r="G1482">
        <v>8</v>
      </c>
      <c r="H1482" s="2">
        <f>Tabelle13[[#This Row],[commits]]/Tabelle13[[#Totals],[commits]]</f>
        <v>3.718232352339698E-5</v>
      </c>
      <c r="I1482" s="5">
        <f>Tabelle13[[#This Row],[%]]+I1481</f>
        <v>0.93752904869025766</v>
      </c>
      <c r="J1482" s="4">
        <f t="shared" si="79"/>
        <v>1.105583195135434E-4</v>
      </c>
      <c r="K1482" s="5">
        <f t="shared" si="80"/>
        <v>0.16362631288003901</v>
      </c>
    </row>
    <row r="1483" spans="1:11" x14ac:dyDescent="0.25">
      <c r="A1483" t="s">
        <v>2697</v>
      </c>
      <c r="C1483" t="s">
        <v>2698</v>
      </c>
      <c r="D1483" t="s">
        <v>5</v>
      </c>
      <c r="E1483" t="s">
        <v>6</v>
      </c>
      <c r="F1483" t="s">
        <v>724</v>
      </c>
      <c r="G1483">
        <v>8</v>
      </c>
      <c r="H1483" s="2">
        <f>Tabelle13[[#This Row],[commits]]/Tabelle13[[#Totals],[commits]]</f>
        <v>3.718232352339698E-5</v>
      </c>
      <c r="I1483" s="5">
        <f>Tabelle13[[#This Row],[%]]+I1482</f>
        <v>0.937566231013781</v>
      </c>
      <c r="J1483" s="4">
        <f t="shared" si="79"/>
        <v>1.105583195135434E-4</v>
      </c>
      <c r="K1483" s="5">
        <f t="shared" si="80"/>
        <v>0.16373687119955255</v>
      </c>
    </row>
    <row r="1484" spans="1:11" x14ac:dyDescent="0.25">
      <c r="A1484" t="s">
        <v>2699</v>
      </c>
      <c r="C1484" t="s">
        <v>2700</v>
      </c>
      <c r="D1484" t="s">
        <v>5</v>
      </c>
      <c r="E1484" t="s">
        <v>6</v>
      </c>
      <c r="F1484" t="s">
        <v>724</v>
      </c>
      <c r="G1484">
        <v>8</v>
      </c>
      <c r="H1484" s="2">
        <f>Tabelle13[[#This Row],[commits]]/Tabelle13[[#Totals],[commits]]</f>
        <v>3.718232352339698E-5</v>
      </c>
      <c r="I1484" s="5">
        <f>Tabelle13[[#This Row],[%]]+I1483</f>
        <v>0.93760341333730435</v>
      </c>
      <c r="J1484" s="4">
        <f t="shared" si="79"/>
        <v>1.105583195135434E-4</v>
      </c>
      <c r="K1484" s="5">
        <f t="shared" si="80"/>
        <v>0.16384742951906608</v>
      </c>
    </row>
    <row r="1485" spans="1:11" x14ac:dyDescent="0.25">
      <c r="A1485" t="s">
        <v>2701</v>
      </c>
      <c r="C1485" t="s">
        <v>2702</v>
      </c>
      <c r="D1485" t="s">
        <v>5</v>
      </c>
      <c r="E1485" t="s">
        <v>6</v>
      </c>
      <c r="F1485" t="s">
        <v>724</v>
      </c>
      <c r="G1485">
        <v>8</v>
      </c>
      <c r="H1485" s="2">
        <f>Tabelle13[[#This Row],[commits]]/Tabelle13[[#Totals],[commits]]</f>
        <v>3.718232352339698E-5</v>
      </c>
      <c r="I1485" s="5">
        <f>Tabelle13[[#This Row],[%]]+I1484</f>
        <v>0.93764059566082769</v>
      </c>
      <c r="J1485" s="4">
        <f t="shared" si="79"/>
        <v>1.105583195135434E-4</v>
      </c>
      <c r="K1485" s="5">
        <f t="shared" si="80"/>
        <v>0.16395798783857962</v>
      </c>
    </row>
    <row r="1486" spans="1:11" x14ac:dyDescent="0.25">
      <c r="A1486" t="s">
        <v>2703</v>
      </c>
      <c r="C1486" t="s">
        <v>2704</v>
      </c>
      <c r="D1486" t="s">
        <v>5</v>
      </c>
      <c r="E1486" t="s">
        <v>6</v>
      </c>
      <c r="F1486" t="s">
        <v>724</v>
      </c>
      <c r="G1486">
        <v>8</v>
      </c>
      <c r="H1486" s="2">
        <f>Tabelle13[[#This Row],[commits]]/Tabelle13[[#Totals],[commits]]</f>
        <v>3.718232352339698E-5</v>
      </c>
      <c r="I1486" s="5">
        <f>Tabelle13[[#This Row],[%]]+I1485</f>
        <v>0.93767777798435104</v>
      </c>
      <c r="J1486" s="4">
        <f t="shared" si="79"/>
        <v>1.105583195135434E-4</v>
      </c>
      <c r="K1486" s="5">
        <f t="shared" si="80"/>
        <v>0.16406854615809316</v>
      </c>
    </row>
    <row r="1487" spans="1:11" x14ac:dyDescent="0.25">
      <c r="A1487" t="s">
        <v>2705</v>
      </c>
      <c r="C1487" t="s">
        <v>2706</v>
      </c>
      <c r="D1487" t="s">
        <v>5</v>
      </c>
      <c r="E1487" t="s">
        <v>6</v>
      </c>
      <c r="F1487" t="s">
        <v>724</v>
      </c>
      <c r="G1487">
        <v>8</v>
      </c>
      <c r="H1487" s="2">
        <f>Tabelle13[[#This Row],[commits]]/Tabelle13[[#Totals],[commits]]</f>
        <v>3.718232352339698E-5</v>
      </c>
      <c r="I1487" s="5">
        <f>Tabelle13[[#This Row],[%]]+I1486</f>
        <v>0.93771496030787438</v>
      </c>
      <c r="J1487" s="4">
        <f t="shared" si="79"/>
        <v>1.105583195135434E-4</v>
      </c>
      <c r="K1487" s="5">
        <f t="shared" si="80"/>
        <v>0.1641791044776067</v>
      </c>
    </row>
    <row r="1488" spans="1:11" x14ac:dyDescent="0.25">
      <c r="A1488" t="s">
        <v>2707</v>
      </c>
      <c r="C1488" t="s">
        <v>2708</v>
      </c>
      <c r="D1488" t="s">
        <v>5</v>
      </c>
      <c r="E1488" t="s">
        <v>6</v>
      </c>
      <c r="F1488" t="s">
        <v>724</v>
      </c>
      <c r="G1488">
        <v>8</v>
      </c>
      <c r="H1488" s="2">
        <f>Tabelle13[[#This Row],[commits]]/Tabelle13[[#Totals],[commits]]</f>
        <v>3.718232352339698E-5</v>
      </c>
      <c r="I1488" s="5">
        <f>Tabelle13[[#This Row],[%]]+I1487</f>
        <v>0.93775214263139772</v>
      </c>
      <c r="J1488" s="4">
        <f t="shared" si="79"/>
        <v>1.105583195135434E-4</v>
      </c>
      <c r="K1488" s="5">
        <f t="shared" si="80"/>
        <v>0.16428966279712023</v>
      </c>
    </row>
    <row r="1489" spans="1:11" x14ac:dyDescent="0.25">
      <c r="A1489" t="s">
        <v>2709</v>
      </c>
      <c r="C1489" t="s">
        <v>2710</v>
      </c>
      <c r="D1489" t="s">
        <v>5</v>
      </c>
      <c r="E1489" t="s">
        <v>6</v>
      </c>
      <c r="F1489" t="s">
        <v>724</v>
      </c>
      <c r="G1489">
        <v>8</v>
      </c>
      <c r="H1489" s="2">
        <f>Tabelle13[[#This Row],[commits]]/Tabelle13[[#Totals],[commits]]</f>
        <v>3.718232352339698E-5</v>
      </c>
      <c r="I1489" s="5">
        <f>Tabelle13[[#This Row],[%]]+I1488</f>
        <v>0.93778932495492107</v>
      </c>
      <c r="J1489" s="4">
        <f t="shared" si="79"/>
        <v>1.105583195135434E-4</v>
      </c>
      <c r="K1489" s="5">
        <f t="shared" si="80"/>
        <v>0.16440022111663377</v>
      </c>
    </row>
    <row r="1490" spans="1:11" x14ac:dyDescent="0.25">
      <c r="A1490" t="s">
        <v>2711</v>
      </c>
      <c r="C1490" t="s">
        <v>2234</v>
      </c>
      <c r="D1490" t="s">
        <v>309</v>
      </c>
      <c r="E1490" t="s">
        <v>6</v>
      </c>
      <c r="F1490" t="s">
        <v>724</v>
      </c>
      <c r="G1490">
        <v>8</v>
      </c>
      <c r="H1490" s="2">
        <f>Tabelle13[[#This Row],[commits]]/Tabelle13[[#Totals],[commits]]</f>
        <v>3.718232352339698E-5</v>
      </c>
      <c r="I1490" s="5">
        <f>Tabelle13[[#This Row],[%]]+I1489</f>
        <v>0.93782650727844441</v>
      </c>
      <c r="J1490" s="4">
        <f t="shared" si="79"/>
        <v>1.105583195135434E-4</v>
      </c>
      <c r="K1490" s="5">
        <f t="shared" si="80"/>
        <v>0.16451077943614731</v>
      </c>
    </row>
    <row r="1491" spans="1:11" x14ac:dyDescent="0.25">
      <c r="A1491" t="s">
        <v>5368</v>
      </c>
      <c r="C1491" t="s">
        <v>5369</v>
      </c>
      <c r="D1491" t="s">
        <v>5</v>
      </c>
      <c r="E1491" t="s">
        <v>6</v>
      </c>
      <c r="F1491" t="s">
        <v>28</v>
      </c>
      <c r="G1491">
        <v>8</v>
      </c>
      <c r="H1491" s="2">
        <f>Tabelle13[[#This Row],[commits]]/Tabelle13[[#Totals],[commits]]</f>
        <v>3.718232352339698E-5</v>
      </c>
      <c r="I1491" s="5">
        <f>Tabelle13[[#This Row],[%]]+I1490</f>
        <v>0.93786368960196775</v>
      </c>
      <c r="J1491" s="4">
        <f t="shared" si="79"/>
        <v>1.105583195135434E-4</v>
      </c>
      <c r="K1491" s="5">
        <f t="shared" si="80"/>
        <v>0.16462133775566085</v>
      </c>
    </row>
    <row r="1492" spans="1:11" x14ac:dyDescent="0.25">
      <c r="A1492" t="s">
        <v>5370</v>
      </c>
      <c r="C1492" t="s">
        <v>5371</v>
      </c>
      <c r="D1492" t="s">
        <v>5</v>
      </c>
      <c r="E1492" t="s">
        <v>6</v>
      </c>
      <c r="F1492" t="s">
        <v>28</v>
      </c>
      <c r="G1492">
        <v>8</v>
      </c>
      <c r="H1492" s="2">
        <f>Tabelle13[[#This Row],[commits]]/Tabelle13[[#Totals],[commits]]</f>
        <v>3.718232352339698E-5</v>
      </c>
      <c r="I1492" s="5">
        <f>Tabelle13[[#This Row],[%]]+I1491</f>
        <v>0.9379008719254911</v>
      </c>
      <c r="J1492" s="4">
        <f t="shared" si="79"/>
        <v>1.105583195135434E-4</v>
      </c>
      <c r="K1492" s="5">
        <f t="shared" si="80"/>
        <v>0.16473189607517438</v>
      </c>
    </row>
    <row r="1493" spans="1:11" x14ac:dyDescent="0.25">
      <c r="A1493" t="s">
        <v>5372</v>
      </c>
      <c r="C1493" t="s">
        <v>5373</v>
      </c>
      <c r="D1493" t="s">
        <v>5175</v>
      </c>
      <c r="E1493" t="s">
        <v>6</v>
      </c>
      <c r="F1493" t="s">
        <v>28</v>
      </c>
      <c r="G1493">
        <v>8</v>
      </c>
      <c r="H1493" s="2">
        <f>Tabelle13[[#This Row],[commits]]/Tabelle13[[#Totals],[commits]]</f>
        <v>3.718232352339698E-5</v>
      </c>
      <c r="I1493" s="5">
        <f>Tabelle13[[#This Row],[%]]+I1492</f>
        <v>0.93793805424901444</v>
      </c>
      <c r="J1493" s="4">
        <f t="shared" si="79"/>
        <v>1.105583195135434E-4</v>
      </c>
      <c r="K1493" s="5">
        <f t="shared" si="80"/>
        <v>0.16484245439468792</v>
      </c>
    </row>
    <row r="1494" spans="1:11" x14ac:dyDescent="0.25">
      <c r="A1494" t="s">
        <v>5374</v>
      </c>
      <c r="C1494" t="s">
        <v>5375</v>
      </c>
      <c r="D1494" t="s">
        <v>5</v>
      </c>
      <c r="E1494" t="s">
        <v>6</v>
      </c>
      <c r="F1494" t="s">
        <v>28</v>
      </c>
      <c r="G1494">
        <v>8</v>
      </c>
      <c r="H1494" s="2">
        <f>Tabelle13[[#This Row],[commits]]/Tabelle13[[#Totals],[commits]]</f>
        <v>3.718232352339698E-5</v>
      </c>
      <c r="I1494" s="5">
        <f>Tabelle13[[#This Row],[%]]+I1493</f>
        <v>0.93797523657253778</v>
      </c>
      <c r="J1494" s="4">
        <f t="shared" si="79"/>
        <v>1.105583195135434E-4</v>
      </c>
      <c r="K1494" s="5">
        <f t="shared" si="80"/>
        <v>0.16495301271420146</v>
      </c>
    </row>
    <row r="1495" spans="1:11" x14ac:dyDescent="0.25">
      <c r="A1495" t="s">
        <v>5376</v>
      </c>
      <c r="C1495" t="s">
        <v>5377</v>
      </c>
      <c r="D1495" t="s">
        <v>5</v>
      </c>
      <c r="E1495" t="s">
        <v>6</v>
      </c>
      <c r="F1495" t="s">
        <v>28</v>
      </c>
      <c r="G1495">
        <v>8</v>
      </c>
      <c r="H1495" s="2">
        <f>Tabelle13[[#This Row],[commits]]/Tabelle13[[#Totals],[commits]]</f>
        <v>3.718232352339698E-5</v>
      </c>
      <c r="I1495" s="5">
        <f>Tabelle13[[#This Row],[%]]+I1494</f>
        <v>0.93801241889606113</v>
      </c>
      <c r="J1495" s="4">
        <f t="shared" si="79"/>
        <v>1.105583195135434E-4</v>
      </c>
      <c r="K1495" s="5">
        <f t="shared" si="80"/>
        <v>0.165063571033715</v>
      </c>
    </row>
    <row r="1496" spans="1:11" x14ac:dyDescent="0.25">
      <c r="A1496" t="s">
        <v>5378</v>
      </c>
      <c r="C1496" t="s">
        <v>5379</v>
      </c>
      <c r="D1496" t="s">
        <v>5175</v>
      </c>
      <c r="E1496" t="s">
        <v>6</v>
      </c>
      <c r="F1496" t="s">
        <v>28</v>
      </c>
      <c r="G1496">
        <v>8</v>
      </c>
      <c r="H1496" s="2">
        <f>Tabelle13[[#This Row],[commits]]/Tabelle13[[#Totals],[commits]]</f>
        <v>3.718232352339698E-5</v>
      </c>
      <c r="I1496" s="5">
        <f>Tabelle13[[#This Row],[%]]+I1495</f>
        <v>0.93804960121958447</v>
      </c>
      <c r="J1496" s="4">
        <f t="shared" si="79"/>
        <v>1.105583195135434E-4</v>
      </c>
      <c r="K1496" s="5">
        <f t="shared" si="80"/>
        <v>0.16517412935322853</v>
      </c>
    </row>
    <row r="1497" spans="1:11" x14ac:dyDescent="0.25">
      <c r="A1497" t="s">
        <v>5380</v>
      </c>
      <c r="C1497" t="s">
        <v>5381</v>
      </c>
      <c r="D1497" t="s">
        <v>5</v>
      </c>
      <c r="E1497" t="s">
        <v>6</v>
      </c>
      <c r="F1497" t="s">
        <v>28</v>
      </c>
      <c r="G1497">
        <v>8</v>
      </c>
      <c r="H1497" s="2">
        <f>Tabelle13[[#This Row],[commits]]/Tabelle13[[#Totals],[commits]]</f>
        <v>3.718232352339698E-5</v>
      </c>
      <c r="I1497" s="5">
        <f>Tabelle13[[#This Row],[%]]+I1496</f>
        <v>0.93808678354310782</v>
      </c>
      <c r="J1497" s="4">
        <f t="shared" si="79"/>
        <v>1.105583195135434E-4</v>
      </c>
      <c r="K1497" s="5">
        <f t="shared" si="80"/>
        <v>0.16528468767274207</v>
      </c>
    </row>
    <row r="1498" spans="1:11" x14ac:dyDescent="0.25">
      <c r="A1498" t="s">
        <v>5382</v>
      </c>
      <c r="C1498" t="s">
        <v>5383</v>
      </c>
      <c r="D1498" t="s">
        <v>5175</v>
      </c>
      <c r="E1498" t="s">
        <v>6</v>
      </c>
      <c r="F1498" t="s">
        <v>28</v>
      </c>
      <c r="G1498">
        <v>8</v>
      </c>
      <c r="H1498" s="2">
        <f>Tabelle13[[#This Row],[commits]]/Tabelle13[[#Totals],[commits]]</f>
        <v>3.718232352339698E-5</v>
      </c>
      <c r="I1498" s="5">
        <f>Tabelle13[[#This Row],[%]]+I1497</f>
        <v>0.93812396586663116</v>
      </c>
      <c r="J1498" s="4">
        <f t="shared" si="79"/>
        <v>1.105583195135434E-4</v>
      </c>
      <c r="K1498" s="5">
        <f t="shared" si="80"/>
        <v>0.16539524599225561</v>
      </c>
    </row>
    <row r="1499" spans="1:11" x14ac:dyDescent="0.25">
      <c r="A1499" t="s">
        <v>5384</v>
      </c>
      <c r="C1499" t="s">
        <v>5385</v>
      </c>
      <c r="D1499" t="s">
        <v>5</v>
      </c>
      <c r="E1499" t="s">
        <v>6</v>
      </c>
      <c r="F1499" t="s">
        <v>28</v>
      </c>
      <c r="G1499">
        <v>8</v>
      </c>
      <c r="H1499" s="2">
        <f>Tabelle13[[#This Row],[commits]]/Tabelle13[[#Totals],[commits]]</f>
        <v>3.718232352339698E-5</v>
      </c>
      <c r="I1499" s="5">
        <f>Tabelle13[[#This Row],[%]]+I1498</f>
        <v>0.9381611481901545</v>
      </c>
      <c r="J1499" s="4">
        <f t="shared" si="79"/>
        <v>1.105583195135434E-4</v>
      </c>
      <c r="K1499" s="5">
        <f t="shared" si="80"/>
        <v>0.16550580431176914</v>
      </c>
    </row>
    <row r="1500" spans="1:11" x14ac:dyDescent="0.25">
      <c r="A1500" t="s">
        <v>10787</v>
      </c>
      <c r="C1500" t="s">
        <v>10788</v>
      </c>
      <c r="D1500" t="s">
        <v>309</v>
      </c>
      <c r="E1500" t="s">
        <v>6</v>
      </c>
      <c r="F1500" t="s">
        <v>251</v>
      </c>
      <c r="G1500">
        <v>8</v>
      </c>
      <c r="H1500" s="2">
        <f>Tabelle13[[#This Row],[commits]]/Tabelle13[[#Totals],[commits]]</f>
        <v>3.718232352339698E-5</v>
      </c>
      <c r="I1500" s="5">
        <f>Tabelle13[[#This Row],[%]]+I1499</f>
        <v>0.93819833051367785</v>
      </c>
      <c r="J1500" s="4">
        <f t="shared" si="79"/>
        <v>1.105583195135434E-4</v>
      </c>
      <c r="K1500" s="5">
        <f t="shared" si="80"/>
        <v>0.16561636263128268</v>
      </c>
    </row>
    <row r="1501" spans="1:11" x14ac:dyDescent="0.25">
      <c r="A1501" t="s">
        <v>10789</v>
      </c>
      <c r="C1501" t="s">
        <v>10790</v>
      </c>
      <c r="D1501" t="s">
        <v>5</v>
      </c>
      <c r="E1501" t="s">
        <v>6</v>
      </c>
      <c r="F1501" t="s">
        <v>251</v>
      </c>
      <c r="G1501">
        <v>8</v>
      </c>
      <c r="H1501" s="2">
        <f>Tabelle13[[#This Row],[commits]]/Tabelle13[[#Totals],[commits]]</f>
        <v>3.718232352339698E-5</v>
      </c>
      <c r="I1501" s="5">
        <f>Tabelle13[[#This Row],[%]]+I1500</f>
        <v>0.93823551283720119</v>
      </c>
      <c r="J1501" s="4">
        <f t="shared" si="79"/>
        <v>1.105583195135434E-4</v>
      </c>
      <c r="K1501" s="5">
        <f t="shared" si="80"/>
        <v>0.16572692095079622</v>
      </c>
    </row>
    <row r="1502" spans="1:11" x14ac:dyDescent="0.25">
      <c r="A1502" t="s">
        <v>10791</v>
      </c>
      <c r="C1502" t="s">
        <v>10792</v>
      </c>
      <c r="D1502" t="s">
        <v>309</v>
      </c>
      <c r="E1502" t="s">
        <v>6</v>
      </c>
      <c r="F1502" t="s">
        <v>251</v>
      </c>
      <c r="G1502">
        <v>8</v>
      </c>
      <c r="H1502" s="2">
        <f>Tabelle13[[#This Row],[commits]]/Tabelle13[[#Totals],[commits]]</f>
        <v>3.718232352339698E-5</v>
      </c>
      <c r="I1502" s="5">
        <f>Tabelle13[[#This Row],[%]]+I1501</f>
        <v>0.93827269516072453</v>
      </c>
      <c r="J1502" s="4">
        <f t="shared" si="79"/>
        <v>1.105583195135434E-4</v>
      </c>
      <c r="K1502" s="5">
        <f t="shared" si="80"/>
        <v>0.16583747927030976</v>
      </c>
    </row>
    <row r="1503" spans="1:11" x14ac:dyDescent="0.25">
      <c r="A1503" t="s">
        <v>10793</v>
      </c>
      <c r="C1503" t="s">
        <v>10794</v>
      </c>
      <c r="D1503" t="s">
        <v>5</v>
      </c>
      <c r="E1503" t="s">
        <v>6</v>
      </c>
      <c r="F1503" t="s">
        <v>251</v>
      </c>
      <c r="G1503">
        <v>8</v>
      </c>
      <c r="H1503" s="2">
        <f>Tabelle13[[#This Row],[commits]]/Tabelle13[[#Totals],[commits]]</f>
        <v>3.718232352339698E-5</v>
      </c>
      <c r="I1503" s="5">
        <f>Tabelle13[[#This Row],[%]]+I1502</f>
        <v>0.93830987748424788</v>
      </c>
      <c r="J1503" s="4">
        <f t="shared" si="79"/>
        <v>1.105583195135434E-4</v>
      </c>
      <c r="K1503" s="5">
        <f t="shared" si="80"/>
        <v>0.16594803758982329</v>
      </c>
    </row>
    <row r="1504" spans="1:11" x14ac:dyDescent="0.25">
      <c r="A1504" t="s">
        <v>10795</v>
      </c>
      <c r="C1504" t="s">
        <v>10796</v>
      </c>
      <c r="D1504" t="s">
        <v>9035</v>
      </c>
      <c r="E1504" t="s">
        <v>6</v>
      </c>
      <c r="F1504" t="s">
        <v>251</v>
      </c>
      <c r="G1504">
        <v>8</v>
      </c>
      <c r="H1504" s="2">
        <f>Tabelle13[[#This Row],[commits]]/Tabelle13[[#Totals],[commits]]</f>
        <v>3.718232352339698E-5</v>
      </c>
      <c r="I1504" s="5">
        <f>Tabelle13[[#This Row],[%]]+I1503</f>
        <v>0.93834705980777122</v>
      </c>
      <c r="J1504" s="4">
        <f t="shared" si="79"/>
        <v>1.105583195135434E-4</v>
      </c>
      <c r="K1504" s="5">
        <f t="shared" si="80"/>
        <v>0.16605859590933683</v>
      </c>
    </row>
    <row r="1505" spans="1:11" x14ac:dyDescent="0.25">
      <c r="A1505" t="s">
        <v>10797</v>
      </c>
      <c r="C1505" t="s">
        <v>10798</v>
      </c>
      <c r="D1505" t="s">
        <v>309</v>
      </c>
      <c r="E1505" t="s">
        <v>6</v>
      </c>
      <c r="F1505" t="s">
        <v>251</v>
      </c>
      <c r="G1505">
        <v>8</v>
      </c>
      <c r="H1505" s="2">
        <f>Tabelle13[[#This Row],[commits]]/Tabelle13[[#Totals],[commits]]</f>
        <v>3.718232352339698E-5</v>
      </c>
      <c r="I1505" s="5">
        <f>Tabelle13[[#This Row],[%]]+I1504</f>
        <v>0.93838424213129457</v>
      </c>
      <c r="J1505" s="4">
        <f t="shared" si="79"/>
        <v>1.105583195135434E-4</v>
      </c>
      <c r="K1505" s="5">
        <f t="shared" si="80"/>
        <v>0.16616915422885037</v>
      </c>
    </row>
    <row r="1506" spans="1:11" x14ac:dyDescent="0.25">
      <c r="A1506" t="s">
        <v>10799</v>
      </c>
      <c r="C1506" t="s">
        <v>10800</v>
      </c>
      <c r="D1506" t="s">
        <v>309</v>
      </c>
      <c r="E1506" t="s">
        <v>6</v>
      </c>
      <c r="F1506" t="s">
        <v>251</v>
      </c>
      <c r="G1506">
        <v>8</v>
      </c>
      <c r="H1506" s="2">
        <f>Tabelle13[[#This Row],[commits]]/Tabelle13[[#Totals],[commits]]</f>
        <v>3.718232352339698E-5</v>
      </c>
      <c r="I1506" s="5">
        <f>Tabelle13[[#This Row],[%]]+I1505</f>
        <v>0.93842142445481791</v>
      </c>
      <c r="J1506" s="4">
        <f t="shared" si="79"/>
        <v>1.105583195135434E-4</v>
      </c>
      <c r="K1506" s="5">
        <f t="shared" si="80"/>
        <v>0.16627971254836391</v>
      </c>
    </row>
    <row r="1507" spans="1:11" x14ac:dyDescent="0.25">
      <c r="A1507" t="s">
        <v>10801</v>
      </c>
      <c r="C1507" t="s">
        <v>10802</v>
      </c>
      <c r="D1507" t="s">
        <v>5</v>
      </c>
      <c r="E1507" t="s">
        <v>6</v>
      </c>
      <c r="F1507" t="s">
        <v>251</v>
      </c>
      <c r="G1507">
        <v>8</v>
      </c>
      <c r="H1507" s="2">
        <f>Tabelle13[[#This Row],[commits]]/Tabelle13[[#Totals],[commits]]</f>
        <v>3.718232352339698E-5</v>
      </c>
      <c r="I1507" s="5">
        <f>Tabelle13[[#This Row],[%]]+I1506</f>
        <v>0.93845860677834125</v>
      </c>
      <c r="J1507" s="4">
        <f t="shared" si="79"/>
        <v>1.105583195135434E-4</v>
      </c>
      <c r="K1507" s="5">
        <f t="shared" si="80"/>
        <v>0.16639027086787744</v>
      </c>
    </row>
    <row r="1508" spans="1:11" x14ac:dyDescent="0.25">
      <c r="A1508" t="s">
        <v>10803</v>
      </c>
      <c r="C1508" t="s">
        <v>10804</v>
      </c>
      <c r="D1508" t="s">
        <v>309</v>
      </c>
      <c r="E1508" t="s">
        <v>6</v>
      </c>
      <c r="F1508" t="s">
        <v>251</v>
      </c>
      <c r="G1508">
        <v>8</v>
      </c>
      <c r="H1508" s="2">
        <f>Tabelle13[[#This Row],[commits]]/Tabelle13[[#Totals],[commits]]</f>
        <v>3.718232352339698E-5</v>
      </c>
      <c r="I1508" s="5">
        <f>Tabelle13[[#This Row],[%]]+I1507</f>
        <v>0.9384957891018646</v>
      </c>
      <c r="J1508" s="4">
        <f t="shared" si="79"/>
        <v>1.105583195135434E-4</v>
      </c>
      <c r="K1508" s="5">
        <f t="shared" si="80"/>
        <v>0.16650082918739098</v>
      </c>
    </row>
    <row r="1509" spans="1:11" x14ac:dyDescent="0.25">
      <c r="A1509" t="s">
        <v>10805</v>
      </c>
      <c r="C1509" t="s">
        <v>10806</v>
      </c>
      <c r="D1509" t="s">
        <v>5</v>
      </c>
      <c r="E1509" t="s">
        <v>6</v>
      </c>
      <c r="F1509" t="s">
        <v>251</v>
      </c>
      <c r="G1509">
        <v>8</v>
      </c>
      <c r="H1509" s="2">
        <f>Tabelle13[[#This Row],[commits]]/Tabelle13[[#Totals],[commits]]</f>
        <v>3.718232352339698E-5</v>
      </c>
      <c r="I1509" s="5">
        <f>Tabelle13[[#This Row],[%]]+I1508</f>
        <v>0.93853297142538794</v>
      </c>
      <c r="J1509" s="4">
        <f t="shared" si="79"/>
        <v>1.105583195135434E-4</v>
      </c>
      <c r="K1509" s="5">
        <f t="shared" si="80"/>
        <v>0.16661138750690452</v>
      </c>
    </row>
    <row r="1510" spans="1:11" x14ac:dyDescent="0.25">
      <c r="A1510" t="s">
        <v>10807</v>
      </c>
      <c r="C1510" t="s">
        <v>10808</v>
      </c>
      <c r="D1510" t="s">
        <v>309</v>
      </c>
      <c r="E1510" t="s">
        <v>6</v>
      </c>
      <c r="F1510" t="s">
        <v>251</v>
      </c>
      <c r="G1510">
        <v>8</v>
      </c>
      <c r="H1510" s="2">
        <f>Tabelle13[[#This Row],[commits]]/Tabelle13[[#Totals],[commits]]</f>
        <v>3.718232352339698E-5</v>
      </c>
      <c r="I1510" s="5">
        <f>Tabelle13[[#This Row],[%]]+I1509</f>
        <v>0.93857015374891128</v>
      </c>
      <c r="J1510" s="4">
        <f t="shared" si="79"/>
        <v>1.105583195135434E-4</v>
      </c>
      <c r="K1510" s="5">
        <f t="shared" si="80"/>
        <v>0.16672194582641806</v>
      </c>
    </row>
    <row r="1511" spans="1:11" x14ac:dyDescent="0.25">
      <c r="A1511" t="s">
        <v>10809</v>
      </c>
      <c r="C1511" t="s">
        <v>10810</v>
      </c>
      <c r="D1511" t="s">
        <v>8760</v>
      </c>
      <c r="E1511" t="s">
        <v>6</v>
      </c>
      <c r="F1511" t="s">
        <v>251</v>
      </c>
      <c r="G1511">
        <v>8</v>
      </c>
      <c r="H1511" s="2">
        <f>Tabelle13[[#This Row],[commits]]/Tabelle13[[#Totals],[commits]]</f>
        <v>3.718232352339698E-5</v>
      </c>
      <c r="I1511" s="5">
        <f>Tabelle13[[#This Row],[%]]+I1510</f>
        <v>0.93860733607243463</v>
      </c>
      <c r="J1511" s="4">
        <f t="shared" si="79"/>
        <v>1.105583195135434E-4</v>
      </c>
      <c r="K1511" s="5">
        <f t="shared" si="80"/>
        <v>0.16683250414593159</v>
      </c>
    </row>
    <row r="1512" spans="1:11" x14ac:dyDescent="0.25">
      <c r="A1512" t="s">
        <v>10811</v>
      </c>
      <c r="C1512" t="s">
        <v>10812</v>
      </c>
      <c r="D1512" t="s">
        <v>10109</v>
      </c>
      <c r="E1512" t="s">
        <v>6</v>
      </c>
      <c r="F1512" t="s">
        <v>251</v>
      </c>
      <c r="G1512">
        <v>8</v>
      </c>
      <c r="H1512" s="2">
        <f>Tabelle13[[#This Row],[commits]]/Tabelle13[[#Totals],[commits]]</f>
        <v>3.718232352339698E-5</v>
      </c>
      <c r="I1512" s="5">
        <f>Tabelle13[[#This Row],[%]]+I1511</f>
        <v>0.93864451839595797</v>
      </c>
      <c r="J1512" s="4">
        <f t="shared" si="79"/>
        <v>1.105583195135434E-4</v>
      </c>
      <c r="K1512" s="5">
        <f t="shared" si="80"/>
        <v>0.16694306246544513</v>
      </c>
    </row>
    <row r="1513" spans="1:11" x14ac:dyDescent="0.25">
      <c r="A1513" t="s">
        <v>10813</v>
      </c>
      <c r="C1513" t="s">
        <v>10814</v>
      </c>
      <c r="D1513" t="s">
        <v>5</v>
      </c>
      <c r="E1513" t="s">
        <v>6</v>
      </c>
      <c r="F1513" t="s">
        <v>251</v>
      </c>
      <c r="G1513">
        <v>8</v>
      </c>
      <c r="H1513" s="2">
        <f>Tabelle13[[#This Row],[commits]]/Tabelle13[[#Totals],[commits]]</f>
        <v>3.718232352339698E-5</v>
      </c>
      <c r="I1513" s="5">
        <f>Tabelle13[[#This Row],[%]]+I1512</f>
        <v>0.93868170071948132</v>
      </c>
      <c r="J1513" s="4">
        <f t="shared" si="79"/>
        <v>1.105583195135434E-4</v>
      </c>
      <c r="K1513" s="5">
        <f t="shared" si="80"/>
        <v>0.16705362078495867</v>
      </c>
    </row>
    <row r="1514" spans="1:11" x14ac:dyDescent="0.25">
      <c r="A1514" t="s">
        <v>10815</v>
      </c>
      <c r="C1514" t="s">
        <v>10816</v>
      </c>
      <c r="D1514" t="s">
        <v>309</v>
      </c>
      <c r="E1514" t="s">
        <v>6</v>
      </c>
      <c r="F1514" t="s">
        <v>251</v>
      </c>
      <c r="G1514">
        <v>8</v>
      </c>
      <c r="H1514" s="2">
        <f>Tabelle13[[#This Row],[commits]]/Tabelle13[[#Totals],[commits]]</f>
        <v>3.718232352339698E-5</v>
      </c>
      <c r="I1514" s="5">
        <f>Tabelle13[[#This Row],[%]]+I1513</f>
        <v>0.93871888304300466</v>
      </c>
      <c r="J1514" s="4">
        <f t="shared" si="79"/>
        <v>1.105583195135434E-4</v>
      </c>
      <c r="K1514" s="5">
        <f t="shared" si="80"/>
        <v>0.1671641791044722</v>
      </c>
    </row>
    <row r="1515" spans="1:11" x14ac:dyDescent="0.25">
      <c r="A1515" t="s">
        <v>10817</v>
      </c>
      <c r="C1515" t="s">
        <v>10818</v>
      </c>
      <c r="D1515" t="s">
        <v>309</v>
      </c>
      <c r="E1515" t="s">
        <v>6</v>
      </c>
      <c r="F1515" t="s">
        <v>251</v>
      </c>
      <c r="G1515">
        <v>8</v>
      </c>
      <c r="H1515" s="2">
        <f>Tabelle13[[#This Row],[commits]]/Tabelle13[[#Totals],[commits]]</f>
        <v>3.718232352339698E-5</v>
      </c>
      <c r="I1515" s="5">
        <f>Tabelle13[[#This Row],[%]]+I1514</f>
        <v>0.938756065366528</v>
      </c>
      <c r="J1515" s="4">
        <f t="shared" si="79"/>
        <v>1.105583195135434E-4</v>
      </c>
      <c r="K1515" s="5">
        <f t="shared" si="80"/>
        <v>0.16727473742398574</v>
      </c>
    </row>
    <row r="1516" spans="1:11" x14ac:dyDescent="0.25">
      <c r="A1516" t="s">
        <v>10819</v>
      </c>
      <c r="C1516" t="s">
        <v>10820</v>
      </c>
      <c r="D1516" t="s">
        <v>5</v>
      </c>
      <c r="E1516" t="s">
        <v>6</v>
      </c>
      <c r="F1516" t="s">
        <v>251</v>
      </c>
      <c r="G1516">
        <v>8</v>
      </c>
      <c r="H1516" s="2">
        <f>Tabelle13[[#This Row],[commits]]/Tabelle13[[#Totals],[commits]]</f>
        <v>3.718232352339698E-5</v>
      </c>
      <c r="I1516" s="5">
        <f>Tabelle13[[#This Row],[%]]+I1515</f>
        <v>0.93879324769005135</v>
      </c>
      <c r="J1516" s="4">
        <f t="shared" si="79"/>
        <v>1.105583195135434E-4</v>
      </c>
      <c r="K1516" s="5">
        <f t="shared" si="80"/>
        <v>0.16738529574349928</v>
      </c>
    </row>
    <row r="1517" spans="1:11" x14ac:dyDescent="0.25">
      <c r="A1517" t="s">
        <v>10821</v>
      </c>
      <c r="C1517" t="s">
        <v>10822</v>
      </c>
      <c r="D1517" t="s">
        <v>5</v>
      </c>
      <c r="E1517" t="s">
        <v>6</v>
      </c>
      <c r="F1517" t="s">
        <v>251</v>
      </c>
      <c r="G1517">
        <v>8</v>
      </c>
      <c r="H1517" s="2">
        <f>Tabelle13[[#This Row],[commits]]/Tabelle13[[#Totals],[commits]]</f>
        <v>3.718232352339698E-5</v>
      </c>
      <c r="I1517" s="5">
        <f>Tabelle13[[#This Row],[%]]+I1516</f>
        <v>0.93883043001357469</v>
      </c>
      <c r="J1517" s="4">
        <f t="shared" si="79"/>
        <v>1.105583195135434E-4</v>
      </c>
      <c r="K1517" s="5">
        <f t="shared" si="80"/>
        <v>0.16749585406301282</v>
      </c>
    </row>
    <row r="1518" spans="1:11" x14ac:dyDescent="0.25">
      <c r="A1518" t="s">
        <v>10823</v>
      </c>
      <c r="C1518" t="s">
        <v>10824</v>
      </c>
      <c r="D1518" t="s">
        <v>10825</v>
      </c>
      <c r="E1518" t="s">
        <v>6</v>
      </c>
      <c r="F1518" t="s">
        <v>251</v>
      </c>
      <c r="G1518">
        <v>8</v>
      </c>
      <c r="H1518" s="2">
        <f>Tabelle13[[#This Row],[commits]]/Tabelle13[[#Totals],[commits]]</f>
        <v>3.718232352339698E-5</v>
      </c>
      <c r="I1518" s="5">
        <f>Tabelle13[[#This Row],[%]]+I1517</f>
        <v>0.93886761233709803</v>
      </c>
      <c r="J1518" s="4">
        <f t="shared" si="79"/>
        <v>1.105583195135434E-4</v>
      </c>
      <c r="K1518" s="5">
        <f t="shared" si="80"/>
        <v>0.16760641238252635</v>
      </c>
    </row>
    <row r="1519" spans="1:11" x14ac:dyDescent="0.25">
      <c r="A1519" t="s">
        <v>10826</v>
      </c>
      <c r="C1519" t="s">
        <v>10827</v>
      </c>
      <c r="D1519" t="s">
        <v>10828</v>
      </c>
      <c r="E1519" t="s">
        <v>6</v>
      </c>
      <c r="F1519" t="s">
        <v>251</v>
      </c>
      <c r="G1519">
        <v>8</v>
      </c>
      <c r="H1519" s="2">
        <f>Tabelle13[[#This Row],[commits]]/Tabelle13[[#Totals],[commits]]</f>
        <v>3.718232352339698E-5</v>
      </c>
      <c r="I1519" s="5">
        <f>Tabelle13[[#This Row],[%]]+I1518</f>
        <v>0.93890479466062138</v>
      </c>
      <c r="J1519" s="4">
        <f t="shared" si="79"/>
        <v>1.105583195135434E-4</v>
      </c>
      <c r="K1519" s="5">
        <f t="shared" si="80"/>
        <v>0.16771697070203989</v>
      </c>
    </row>
    <row r="1520" spans="1:11" x14ac:dyDescent="0.25">
      <c r="A1520" t="s">
        <v>10829</v>
      </c>
      <c r="C1520" t="s">
        <v>10830</v>
      </c>
      <c r="D1520" t="s">
        <v>309</v>
      </c>
      <c r="E1520" t="s">
        <v>6</v>
      </c>
      <c r="F1520" t="s">
        <v>251</v>
      </c>
      <c r="G1520">
        <v>8</v>
      </c>
      <c r="H1520" s="2">
        <f>Tabelle13[[#This Row],[commits]]/Tabelle13[[#Totals],[commits]]</f>
        <v>3.718232352339698E-5</v>
      </c>
      <c r="I1520" s="5">
        <f>Tabelle13[[#This Row],[%]]+I1519</f>
        <v>0.93894197698414472</v>
      </c>
      <c r="J1520" s="4">
        <f t="shared" si="79"/>
        <v>1.105583195135434E-4</v>
      </c>
      <c r="K1520" s="5">
        <f t="shared" si="80"/>
        <v>0.16782752902155343</v>
      </c>
    </row>
    <row r="1521" spans="1:11" x14ac:dyDescent="0.25">
      <c r="A1521" t="s">
        <v>10831</v>
      </c>
      <c r="C1521" t="s">
        <v>10832</v>
      </c>
      <c r="D1521" t="s">
        <v>9379</v>
      </c>
      <c r="E1521" t="s">
        <v>6</v>
      </c>
      <c r="F1521" t="s">
        <v>251</v>
      </c>
      <c r="G1521">
        <v>8</v>
      </c>
      <c r="H1521" s="2">
        <f>Tabelle13[[#This Row],[commits]]/Tabelle13[[#Totals],[commits]]</f>
        <v>3.718232352339698E-5</v>
      </c>
      <c r="I1521" s="5">
        <f>Tabelle13[[#This Row],[%]]+I1520</f>
        <v>0.93897915930766807</v>
      </c>
      <c r="J1521" s="4">
        <f t="shared" si="79"/>
        <v>1.105583195135434E-4</v>
      </c>
      <c r="K1521" s="5">
        <f t="shared" si="80"/>
        <v>0.16793808734106697</v>
      </c>
    </row>
    <row r="1522" spans="1:11" x14ac:dyDescent="0.25">
      <c r="A1522" t="s">
        <v>10833</v>
      </c>
      <c r="C1522" t="s">
        <v>10834</v>
      </c>
      <c r="D1522" t="s">
        <v>309</v>
      </c>
      <c r="E1522" t="s">
        <v>6</v>
      </c>
      <c r="F1522" t="s">
        <v>251</v>
      </c>
      <c r="G1522">
        <v>8</v>
      </c>
      <c r="H1522" s="2">
        <f>Tabelle13[[#This Row],[commits]]/Tabelle13[[#Totals],[commits]]</f>
        <v>3.718232352339698E-5</v>
      </c>
      <c r="I1522" s="5">
        <f>Tabelle13[[#This Row],[%]]+I1521</f>
        <v>0.93901634163119141</v>
      </c>
      <c r="J1522" s="4">
        <f t="shared" si="79"/>
        <v>1.105583195135434E-4</v>
      </c>
      <c r="K1522" s="5">
        <f t="shared" si="80"/>
        <v>0.1680486456605805</v>
      </c>
    </row>
    <row r="1523" spans="1:11" x14ac:dyDescent="0.25">
      <c r="A1523" t="s">
        <v>10835</v>
      </c>
      <c r="C1523" t="s">
        <v>10836</v>
      </c>
      <c r="D1523" t="s">
        <v>5</v>
      </c>
      <c r="E1523" t="s">
        <v>6</v>
      </c>
      <c r="F1523" t="s">
        <v>251</v>
      </c>
      <c r="G1523">
        <v>8</v>
      </c>
      <c r="H1523" s="2">
        <f>Tabelle13[[#This Row],[commits]]/Tabelle13[[#Totals],[commits]]</f>
        <v>3.718232352339698E-5</v>
      </c>
      <c r="I1523" s="5">
        <f>Tabelle13[[#This Row],[%]]+I1522</f>
        <v>0.93905352395471475</v>
      </c>
      <c r="J1523" s="4">
        <f t="shared" si="79"/>
        <v>1.105583195135434E-4</v>
      </c>
      <c r="K1523" s="5">
        <f t="shared" si="80"/>
        <v>0.16815920398009404</v>
      </c>
    </row>
    <row r="1524" spans="1:11" x14ac:dyDescent="0.25">
      <c r="A1524" t="s">
        <v>10837</v>
      </c>
      <c r="C1524" t="s">
        <v>10838</v>
      </c>
      <c r="D1524" t="s">
        <v>10839</v>
      </c>
      <c r="E1524" t="s">
        <v>6</v>
      </c>
      <c r="F1524" t="s">
        <v>251</v>
      </c>
      <c r="G1524">
        <v>8</v>
      </c>
      <c r="H1524" s="2">
        <f>Tabelle13[[#This Row],[commits]]/Tabelle13[[#Totals],[commits]]</f>
        <v>3.718232352339698E-5</v>
      </c>
      <c r="I1524" s="5">
        <f>Tabelle13[[#This Row],[%]]+I1523</f>
        <v>0.9390907062782381</v>
      </c>
      <c r="J1524" s="4">
        <f t="shared" si="79"/>
        <v>1.105583195135434E-4</v>
      </c>
      <c r="K1524" s="5">
        <f t="shared" si="80"/>
        <v>0.16826976229960758</v>
      </c>
    </row>
    <row r="1525" spans="1:11" x14ac:dyDescent="0.25">
      <c r="A1525" t="s">
        <v>10840</v>
      </c>
      <c r="C1525" t="s">
        <v>10841</v>
      </c>
      <c r="D1525" t="s">
        <v>5</v>
      </c>
      <c r="E1525" t="s">
        <v>6</v>
      </c>
      <c r="F1525" t="s">
        <v>251</v>
      </c>
      <c r="G1525">
        <v>8</v>
      </c>
      <c r="H1525" s="2">
        <f>Tabelle13[[#This Row],[commits]]/Tabelle13[[#Totals],[commits]]</f>
        <v>3.718232352339698E-5</v>
      </c>
      <c r="I1525" s="5">
        <f>Tabelle13[[#This Row],[%]]+I1524</f>
        <v>0.93912788860176144</v>
      </c>
      <c r="J1525" s="4">
        <f t="shared" si="79"/>
        <v>1.105583195135434E-4</v>
      </c>
      <c r="K1525" s="5">
        <f t="shared" si="80"/>
        <v>0.16838032061912112</v>
      </c>
    </row>
    <row r="1526" spans="1:11" x14ac:dyDescent="0.25">
      <c r="A1526" t="s">
        <v>10842</v>
      </c>
      <c r="C1526" t="s">
        <v>10843</v>
      </c>
      <c r="D1526" t="s">
        <v>309</v>
      </c>
      <c r="E1526" t="s">
        <v>6</v>
      </c>
      <c r="F1526" t="s">
        <v>251</v>
      </c>
      <c r="G1526">
        <v>8</v>
      </c>
      <c r="H1526" s="2">
        <f>Tabelle13[[#This Row],[commits]]/Tabelle13[[#Totals],[commits]]</f>
        <v>3.718232352339698E-5</v>
      </c>
      <c r="I1526" s="5">
        <f>Tabelle13[[#This Row],[%]]+I1525</f>
        <v>0.93916507092528478</v>
      </c>
      <c r="J1526" s="4">
        <f t="shared" si="79"/>
        <v>1.105583195135434E-4</v>
      </c>
      <c r="K1526" s="5">
        <f t="shared" si="80"/>
        <v>0.16849087893863465</v>
      </c>
    </row>
    <row r="1527" spans="1:11" x14ac:dyDescent="0.25">
      <c r="A1527" t="s">
        <v>10844</v>
      </c>
      <c r="C1527" t="s">
        <v>10845</v>
      </c>
      <c r="D1527" t="s">
        <v>5</v>
      </c>
      <c r="E1527" t="s">
        <v>6</v>
      </c>
      <c r="F1527" t="s">
        <v>251</v>
      </c>
      <c r="G1527">
        <v>8</v>
      </c>
      <c r="H1527" s="2">
        <f>Tabelle13[[#This Row],[commits]]/Tabelle13[[#Totals],[commits]]</f>
        <v>3.718232352339698E-5</v>
      </c>
      <c r="I1527" s="5">
        <f>Tabelle13[[#This Row],[%]]+I1526</f>
        <v>0.93920225324880813</v>
      </c>
      <c r="J1527" s="4">
        <f t="shared" si="79"/>
        <v>1.105583195135434E-4</v>
      </c>
      <c r="K1527" s="5">
        <f t="shared" si="80"/>
        <v>0.16860143725814819</v>
      </c>
    </row>
    <row r="1528" spans="1:11" x14ac:dyDescent="0.25">
      <c r="A1528" t="s">
        <v>10846</v>
      </c>
      <c r="C1528" t="s">
        <v>10847</v>
      </c>
      <c r="D1528" t="s">
        <v>309</v>
      </c>
      <c r="E1528" t="s">
        <v>6</v>
      </c>
      <c r="F1528" t="s">
        <v>251</v>
      </c>
      <c r="G1528">
        <v>8</v>
      </c>
      <c r="H1528" s="2">
        <f>Tabelle13[[#This Row],[commits]]/Tabelle13[[#Totals],[commits]]</f>
        <v>3.718232352339698E-5</v>
      </c>
      <c r="I1528" s="5">
        <f>Tabelle13[[#This Row],[%]]+I1527</f>
        <v>0.93923943557233147</v>
      </c>
      <c r="J1528" s="4">
        <f t="shared" si="79"/>
        <v>1.105583195135434E-4</v>
      </c>
      <c r="K1528" s="5">
        <f t="shared" si="80"/>
        <v>0.16871199557766173</v>
      </c>
    </row>
    <row r="1529" spans="1:11" x14ac:dyDescent="0.25">
      <c r="A1529" t="s">
        <v>10848</v>
      </c>
      <c r="C1529" t="s">
        <v>10849</v>
      </c>
      <c r="D1529" t="s">
        <v>5</v>
      </c>
      <c r="E1529" t="s">
        <v>6</v>
      </c>
      <c r="F1529" t="s">
        <v>251</v>
      </c>
      <c r="G1529">
        <v>8</v>
      </c>
      <c r="H1529" s="2">
        <f>Tabelle13[[#This Row],[commits]]/Tabelle13[[#Totals],[commits]]</f>
        <v>3.718232352339698E-5</v>
      </c>
      <c r="I1529" s="5">
        <f>Tabelle13[[#This Row],[%]]+I1528</f>
        <v>0.93927661789585482</v>
      </c>
      <c r="J1529" s="4">
        <f t="shared" si="79"/>
        <v>1.105583195135434E-4</v>
      </c>
      <c r="K1529" s="5">
        <f t="shared" si="80"/>
        <v>0.16882255389717526</v>
      </c>
    </row>
    <row r="1530" spans="1:11" x14ac:dyDescent="0.25">
      <c r="A1530" t="s">
        <v>10850</v>
      </c>
      <c r="C1530" t="s">
        <v>10851</v>
      </c>
      <c r="D1530" t="s">
        <v>8948</v>
      </c>
      <c r="E1530" t="s">
        <v>6</v>
      </c>
      <c r="F1530" t="s">
        <v>251</v>
      </c>
      <c r="G1530">
        <v>8</v>
      </c>
      <c r="H1530" s="2">
        <f>Tabelle13[[#This Row],[commits]]/Tabelle13[[#Totals],[commits]]</f>
        <v>3.718232352339698E-5</v>
      </c>
      <c r="I1530" s="5">
        <f>Tabelle13[[#This Row],[%]]+I1529</f>
        <v>0.93931380021937816</v>
      </c>
      <c r="J1530" s="4">
        <f t="shared" si="79"/>
        <v>1.105583195135434E-4</v>
      </c>
      <c r="K1530" s="5">
        <f t="shared" si="80"/>
        <v>0.1689331122166888</v>
      </c>
    </row>
    <row r="1531" spans="1:11" x14ac:dyDescent="0.25">
      <c r="A1531" t="s">
        <v>10852</v>
      </c>
      <c r="C1531" t="s">
        <v>10853</v>
      </c>
      <c r="D1531" t="s">
        <v>5</v>
      </c>
      <c r="E1531" t="s">
        <v>6</v>
      </c>
      <c r="F1531" t="s">
        <v>251</v>
      </c>
      <c r="G1531">
        <v>8</v>
      </c>
      <c r="H1531" s="2">
        <f>Tabelle13[[#This Row],[commits]]/Tabelle13[[#Totals],[commits]]</f>
        <v>3.718232352339698E-5</v>
      </c>
      <c r="I1531" s="5">
        <f>Tabelle13[[#This Row],[%]]+I1530</f>
        <v>0.9393509825429015</v>
      </c>
      <c r="J1531" s="4">
        <f t="shared" si="79"/>
        <v>1.105583195135434E-4</v>
      </c>
      <c r="K1531" s="5">
        <f t="shared" si="80"/>
        <v>0.16904367053620234</v>
      </c>
    </row>
    <row r="1532" spans="1:11" x14ac:dyDescent="0.25">
      <c r="A1532" t="s">
        <v>10854</v>
      </c>
      <c r="C1532">
        <v>215671076</v>
      </c>
      <c r="D1532" t="s">
        <v>5</v>
      </c>
      <c r="E1532" t="s">
        <v>6</v>
      </c>
      <c r="F1532" t="s">
        <v>251</v>
      </c>
      <c r="G1532">
        <v>8</v>
      </c>
      <c r="H1532" s="2">
        <f>Tabelle13[[#This Row],[commits]]/Tabelle13[[#Totals],[commits]]</f>
        <v>3.718232352339698E-5</v>
      </c>
      <c r="I1532" s="5">
        <f>Tabelle13[[#This Row],[%]]+I1531</f>
        <v>0.93938816486642485</v>
      </c>
      <c r="J1532" s="4">
        <f t="shared" si="79"/>
        <v>1.105583195135434E-4</v>
      </c>
      <c r="K1532" s="5">
        <f t="shared" si="80"/>
        <v>0.16915422885571588</v>
      </c>
    </row>
    <row r="1533" spans="1:11" x14ac:dyDescent="0.25">
      <c r="A1533" t="s">
        <v>10855</v>
      </c>
      <c r="C1533" t="s">
        <v>10856</v>
      </c>
      <c r="D1533" t="s">
        <v>5</v>
      </c>
      <c r="E1533" t="s">
        <v>6</v>
      </c>
      <c r="F1533" t="s">
        <v>251</v>
      </c>
      <c r="G1533">
        <v>8</v>
      </c>
      <c r="H1533" s="2">
        <f>Tabelle13[[#This Row],[commits]]/Tabelle13[[#Totals],[commits]]</f>
        <v>3.718232352339698E-5</v>
      </c>
      <c r="I1533" s="5">
        <f>Tabelle13[[#This Row],[%]]+I1532</f>
        <v>0.93942534718994819</v>
      </c>
      <c r="J1533" s="4">
        <f t="shared" si="79"/>
        <v>1.105583195135434E-4</v>
      </c>
      <c r="K1533" s="5">
        <f t="shared" si="80"/>
        <v>0.16926478717522941</v>
      </c>
    </row>
    <row r="1534" spans="1:11" x14ac:dyDescent="0.25">
      <c r="A1534" t="s">
        <v>10857</v>
      </c>
      <c r="C1534" t="s">
        <v>10858</v>
      </c>
      <c r="D1534" t="s">
        <v>10859</v>
      </c>
      <c r="E1534" t="s">
        <v>6</v>
      </c>
      <c r="F1534" t="s">
        <v>251</v>
      </c>
      <c r="G1534">
        <v>8</v>
      </c>
      <c r="H1534" s="2">
        <f>Tabelle13[[#This Row],[commits]]/Tabelle13[[#Totals],[commits]]</f>
        <v>3.718232352339698E-5</v>
      </c>
      <c r="I1534" s="5">
        <f>Tabelle13[[#This Row],[%]]+I1533</f>
        <v>0.93946252951347153</v>
      </c>
      <c r="J1534" s="4">
        <f t="shared" si="79"/>
        <v>1.105583195135434E-4</v>
      </c>
      <c r="K1534" s="5">
        <f t="shared" si="80"/>
        <v>0.16937534549474295</v>
      </c>
    </row>
    <row r="1535" spans="1:11" x14ac:dyDescent="0.25">
      <c r="A1535" t="s">
        <v>10860</v>
      </c>
      <c r="C1535" t="s">
        <v>10861</v>
      </c>
      <c r="D1535" t="s">
        <v>5</v>
      </c>
      <c r="E1535" t="s">
        <v>6</v>
      </c>
      <c r="F1535" t="s">
        <v>251</v>
      </c>
      <c r="G1535">
        <v>8</v>
      </c>
      <c r="H1535" s="2">
        <f>Tabelle13[[#This Row],[commits]]/Tabelle13[[#Totals],[commits]]</f>
        <v>3.718232352339698E-5</v>
      </c>
      <c r="I1535" s="5">
        <f>Tabelle13[[#This Row],[%]]+I1534</f>
        <v>0.93949971183699488</v>
      </c>
      <c r="J1535" s="4">
        <f t="shared" si="79"/>
        <v>1.105583195135434E-4</v>
      </c>
      <c r="K1535" s="5">
        <f t="shared" si="80"/>
        <v>0.16948590381425649</v>
      </c>
    </row>
    <row r="1536" spans="1:11" x14ac:dyDescent="0.25">
      <c r="A1536" t="s">
        <v>10862</v>
      </c>
      <c r="C1536" t="s">
        <v>10863</v>
      </c>
      <c r="D1536" t="s">
        <v>5</v>
      </c>
      <c r="E1536" t="s">
        <v>6</v>
      </c>
      <c r="F1536" t="s">
        <v>251</v>
      </c>
      <c r="G1536">
        <v>8</v>
      </c>
      <c r="H1536" s="2">
        <f>Tabelle13[[#This Row],[commits]]/Tabelle13[[#Totals],[commits]]</f>
        <v>3.718232352339698E-5</v>
      </c>
      <c r="I1536" s="5">
        <f>Tabelle13[[#This Row],[%]]+I1535</f>
        <v>0.93953689416051822</v>
      </c>
      <c r="J1536" s="4">
        <f t="shared" si="79"/>
        <v>1.105583195135434E-4</v>
      </c>
      <c r="K1536" s="5">
        <f t="shared" si="80"/>
        <v>0.16959646213377003</v>
      </c>
    </row>
    <row r="1537" spans="1:11" x14ac:dyDescent="0.25">
      <c r="A1537" t="s">
        <v>10864</v>
      </c>
      <c r="C1537" t="s">
        <v>10865</v>
      </c>
      <c r="D1537" t="s">
        <v>5</v>
      </c>
      <c r="E1537" t="s">
        <v>6</v>
      </c>
      <c r="F1537" t="s">
        <v>251</v>
      </c>
      <c r="G1537">
        <v>8</v>
      </c>
      <c r="H1537" s="2">
        <f>Tabelle13[[#This Row],[commits]]/Tabelle13[[#Totals],[commits]]</f>
        <v>3.718232352339698E-5</v>
      </c>
      <c r="I1537" s="5">
        <f>Tabelle13[[#This Row],[%]]+I1536</f>
        <v>0.93957407648404156</v>
      </c>
      <c r="J1537" s="4">
        <f t="shared" si="79"/>
        <v>1.105583195135434E-4</v>
      </c>
      <c r="K1537" s="5">
        <f t="shared" si="80"/>
        <v>0.16970702045328356</v>
      </c>
    </row>
    <row r="1538" spans="1:11" x14ac:dyDescent="0.25">
      <c r="A1538" t="s">
        <v>10866</v>
      </c>
      <c r="C1538" t="s">
        <v>10867</v>
      </c>
      <c r="D1538" t="s">
        <v>5</v>
      </c>
      <c r="E1538" t="s">
        <v>6</v>
      </c>
      <c r="F1538" t="s">
        <v>251</v>
      </c>
      <c r="G1538">
        <v>8</v>
      </c>
      <c r="H1538" s="2">
        <f>Tabelle13[[#This Row],[commits]]/Tabelle13[[#Totals],[commits]]</f>
        <v>3.718232352339698E-5</v>
      </c>
      <c r="I1538" s="5">
        <f>Tabelle13[[#This Row],[%]]+I1537</f>
        <v>0.93961125880756491</v>
      </c>
      <c r="J1538" s="4">
        <f t="shared" si="79"/>
        <v>1.105583195135434E-4</v>
      </c>
      <c r="K1538" s="5">
        <f t="shared" si="80"/>
        <v>0.1698175787727971</v>
      </c>
    </row>
    <row r="1539" spans="1:11" x14ac:dyDescent="0.25">
      <c r="A1539" t="s">
        <v>10868</v>
      </c>
      <c r="C1539" t="s">
        <v>10869</v>
      </c>
      <c r="D1539" t="s">
        <v>10870</v>
      </c>
      <c r="E1539" t="s">
        <v>6</v>
      </c>
      <c r="F1539" t="s">
        <v>251</v>
      </c>
      <c r="G1539">
        <v>8</v>
      </c>
      <c r="H1539" s="2">
        <f>Tabelle13[[#This Row],[commits]]/Tabelle13[[#Totals],[commits]]</f>
        <v>3.718232352339698E-5</v>
      </c>
      <c r="I1539" s="5">
        <f>Tabelle13[[#This Row],[%]]+I1538</f>
        <v>0.93964844113108825</v>
      </c>
      <c r="J1539" s="4">
        <f t="shared" ref="J1539:J1602" si="81">1/9045</f>
        <v>1.105583195135434E-4</v>
      </c>
      <c r="K1539" s="5">
        <f t="shared" si="80"/>
        <v>0.16992813709231064</v>
      </c>
    </row>
    <row r="1540" spans="1:11" x14ac:dyDescent="0.25">
      <c r="A1540" t="s">
        <v>10871</v>
      </c>
      <c r="C1540" t="s">
        <v>10872</v>
      </c>
      <c r="D1540" t="s">
        <v>5</v>
      </c>
      <c r="E1540" t="s">
        <v>6</v>
      </c>
      <c r="F1540" t="s">
        <v>251</v>
      </c>
      <c r="G1540">
        <v>8</v>
      </c>
      <c r="H1540" s="2">
        <f>Tabelle13[[#This Row],[commits]]/Tabelle13[[#Totals],[commits]]</f>
        <v>3.718232352339698E-5</v>
      </c>
      <c r="I1540" s="5">
        <f>Tabelle13[[#This Row],[%]]+I1539</f>
        <v>0.9396856234546116</v>
      </c>
      <c r="J1540" s="4">
        <f t="shared" si="81"/>
        <v>1.105583195135434E-4</v>
      </c>
      <c r="K1540" s="5">
        <f t="shared" si="80"/>
        <v>0.17003869541182418</v>
      </c>
    </row>
    <row r="1541" spans="1:11" x14ac:dyDescent="0.25">
      <c r="A1541" t="s">
        <v>10873</v>
      </c>
      <c r="C1541" t="s">
        <v>10874</v>
      </c>
      <c r="D1541" t="s">
        <v>309</v>
      </c>
      <c r="E1541" t="s">
        <v>6</v>
      </c>
      <c r="F1541" t="s">
        <v>251</v>
      </c>
      <c r="G1541">
        <v>8</v>
      </c>
      <c r="H1541" s="2">
        <f>Tabelle13[[#This Row],[commits]]/Tabelle13[[#Totals],[commits]]</f>
        <v>3.718232352339698E-5</v>
      </c>
      <c r="I1541" s="5">
        <f>Tabelle13[[#This Row],[%]]+I1540</f>
        <v>0.93972280577813494</v>
      </c>
      <c r="J1541" s="4">
        <f t="shared" si="81"/>
        <v>1.105583195135434E-4</v>
      </c>
      <c r="K1541" s="5">
        <f t="shared" si="80"/>
        <v>0.17014925373133771</v>
      </c>
    </row>
    <row r="1542" spans="1:11" x14ac:dyDescent="0.25">
      <c r="A1542" t="s">
        <v>10875</v>
      </c>
      <c r="C1542" t="s">
        <v>10876</v>
      </c>
      <c r="D1542" t="s">
        <v>309</v>
      </c>
      <c r="E1542" t="s">
        <v>6</v>
      </c>
      <c r="F1542" t="s">
        <v>251</v>
      </c>
      <c r="G1542">
        <v>8</v>
      </c>
      <c r="H1542" s="2">
        <f>Tabelle13[[#This Row],[commits]]/Tabelle13[[#Totals],[commits]]</f>
        <v>3.718232352339698E-5</v>
      </c>
      <c r="I1542" s="5">
        <f>Tabelle13[[#This Row],[%]]+I1541</f>
        <v>0.93975998810165828</v>
      </c>
      <c r="J1542" s="4">
        <f t="shared" si="81"/>
        <v>1.105583195135434E-4</v>
      </c>
      <c r="K1542" s="5">
        <f t="shared" ref="K1542:K1605" si="82">J1542+K1541</f>
        <v>0.17025981205085125</v>
      </c>
    </row>
    <row r="1543" spans="1:11" x14ac:dyDescent="0.25">
      <c r="A1543" t="s">
        <v>10877</v>
      </c>
      <c r="C1543" t="s">
        <v>10878</v>
      </c>
      <c r="D1543" t="s">
        <v>309</v>
      </c>
      <c r="E1543" t="s">
        <v>6</v>
      </c>
      <c r="F1543" t="s">
        <v>251</v>
      </c>
      <c r="G1543">
        <v>8</v>
      </c>
      <c r="H1543" s="2">
        <f>Tabelle13[[#This Row],[commits]]/Tabelle13[[#Totals],[commits]]</f>
        <v>3.718232352339698E-5</v>
      </c>
      <c r="I1543" s="5">
        <f>Tabelle13[[#This Row],[%]]+I1542</f>
        <v>0.93979717042518163</v>
      </c>
      <c r="J1543" s="4">
        <f t="shared" si="81"/>
        <v>1.105583195135434E-4</v>
      </c>
      <c r="K1543" s="5">
        <f t="shared" si="82"/>
        <v>0.17037037037036479</v>
      </c>
    </row>
    <row r="1544" spans="1:11" x14ac:dyDescent="0.25">
      <c r="A1544" t="s">
        <v>10879</v>
      </c>
      <c r="C1544" t="s">
        <v>10880</v>
      </c>
      <c r="D1544" t="s">
        <v>309</v>
      </c>
      <c r="E1544" t="s">
        <v>6</v>
      </c>
      <c r="F1544" t="s">
        <v>251</v>
      </c>
      <c r="G1544">
        <v>8</v>
      </c>
      <c r="H1544" s="2">
        <f>Tabelle13[[#This Row],[commits]]/Tabelle13[[#Totals],[commits]]</f>
        <v>3.718232352339698E-5</v>
      </c>
      <c r="I1544" s="5">
        <f>Tabelle13[[#This Row],[%]]+I1543</f>
        <v>0.93983435274870497</v>
      </c>
      <c r="J1544" s="4">
        <f t="shared" si="81"/>
        <v>1.105583195135434E-4</v>
      </c>
      <c r="K1544" s="5">
        <f t="shared" si="82"/>
        <v>0.17048092868987832</v>
      </c>
    </row>
    <row r="1545" spans="1:11" x14ac:dyDescent="0.25">
      <c r="A1545" t="s">
        <v>10881</v>
      </c>
      <c r="C1545" t="s">
        <v>10882</v>
      </c>
      <c r="D1545" t="s">
        <v>5</v>
      </c>
      <c r="E1545" t="s">
        <v>6</v>
      </c>
      <c r="F1545" t="s">
        <v>251</v>
      </c>
      <c r="G1545">
        <v>8</v>
      </c>
      <c r="H1545" s="2">
        <f>Tabelle13[[#This Row],[commits]]/Tabelle13[[#Totals],[commits]]</f>
        <v>3.718232352339698E-5</v>
      </c>
      <c r="I1545" s="5">
        <f>Tabelle13[[#This Row],[%]]+I1544</f>
        <v>0.93987153507222831</v>
      </c>
      <c r="J1545" s="4">
        <f t="shared" si="81"/>
        <v>1.105583195135434E-4</v>
      </c>
      <c r="K1545" s="5">
        <f t="shared" si="82"/>
        <v>0.17059148700939186</v>
      </c>
    </row>
    <row r="1546" spans="1:11" x14ac:dyDescent="0.25">
      <c r="A1546" t="s">
        <v>10883</v>
      </c>
      <c r="C1546" t="s">
        <v>10884</v>
      </c>
      <c r="D1546" t="s">
        <v>5</v>
      </c>
      <c r="E1546" t="s">
        <v>6</v>
      </c>
      <c r="F1546" t="s">
        <v>251</v>
      </c>
      <c r="G1546">
        <v>8</v>
      </c>
      <c r="H1546" s="2">
        <f>Tabelle13[[#This Row],[commits]]/Tabelle13[[#Totals],[commits]]</f>
        <v>3.718232352339698E-5</v>
      </c>
      <c r="I1546" s="5">
        <f>Tabelle13[[#This Row],[%]]+I1545</f>
        <v>0.93990871739575166</v>
      </c>
      <c r="J1546" s="4">
        <f t="shared" si="81"/>
        <v>1.105583195135434E-4</v>
      </c>
      <c r="K1546" s="5">
        <f t="shared" si="82"/>
        <v>0.1707020453289054</v>
      </c>
    </row>
    <row r="1547" spans="1:11" x14ac:dyDescent="0.25">
      <c r="A1547" t="s">
        <v>10885</v>
      </c>
      <c r="C1547" t="s">
        <v>10886</v>
      </c>
      <c r="D1547" t="s">
        <v>8948</v>
      </c>
      <c r="E1547" t="s">
        <v>6</v>
      </c>
      <c r="F1547" t="s">
        <v>251</v>
      </c>
      <c r="G1547">
        <v>8</v>
      </c>
      <c r="H1547" s="2">
        <f>Tabelle13[[#This Row],[commits]]/Tabelle13[[#Totals],[commits]]</f>
        <v>3.718232352339698E-5</v>
      </c>
      <c r="I1547" s="5">
        <f>Tabelle13[[#This Row],[%]]+I1546</f>
        <v>0.939945899719275</v>
      </c>
      <c r="J1547" s="4">
        <f t="shared" si="81"/>
        <v>1.105583195135434E-4</v>
      </c>
      <c r="K1547" s="5">
        <f t="shared" si="82"/>
        <v>0.17081260364841894</v>
      </c>
    </row>
    <row r="1548" spans="1:11" x14ac:dyDescent="0.25">
      <c r="A1548" t="s">
        <v>10887</v>
      </c>
      <c r="C1548" t="s">
        <v>10888</v>
      </c>
      <c r="D1548" t="s">
        <v>5</v>
      </c>
      <c r="E1548" t="s">
        <v>6</v>
      </c>
      <c r="F1548" t="s">
        <v>251</v>
      </c>
      <c r="G1548">
        <v>8</v>
      </c>
      <c r="H1548" s="2">
        <f>Tabelle13[[#This Row],[commits]]/Tabelle13[[#Totals],[commits]]</f>
        <v>3.718232352339698E-5</v>
      </c>
      <c r="I1548" s="5">
        <f>Tabelle13[[#This Row],[%]]+I1547</f>
        <v>0.93998308204279835</v>
      </c>
      <c r="J1548" s="4">
        <f t="shared" si="81"/>
        <v>1.105583195135434E-4</v>
      </c>
      <c r="K1548" s="5">
        <f t="shared" si="82"/>
        <v>0.17092316196793247</v>
      </c>
    </row>
    <row r="1549" spans="1:11" x14ac:dyDescent="0.25">
      <c r="A1549" t="s">
        <v>10889</v>
      </c>
      <c r="C1549">
        <v>352172</v>
      </c>
      <c r="D1549" t="s">
        <v>5</v>
      </c>
      <c r="E1549" t="s">
        <v>6</v>
      </c>
      <c r="F1549" t="s">
        <v>251</v>
      </c>
      <c r="G1549">
        <v>8</v>
      </c>
      <c r="H1549" s="2">
        <f>Tabelle13[[#This Row],[commits]]/Tabelle13[[#Totals],[commits]]</f>
        <v>3.718232352339698E-5</v>
      </c>
      <c r="I1549" s="5">
        <f>Tabelle13[[#This Row],[%]]+I1548</f>
        <v>0.94002026436632169</v>
      </c>
      <c r="J1549" s="4">
        <f t="shared" si="81"/>
        <v>1.105583195135434E-4</v>
      </c>
      <c r="K1549" s="5">
        <f t="shared" si="82"/>
        <v>0.17103372028744601</v>
      </c>
    </row>
    <row r="1550" spans="1:11" x14ac:dyDescent="0.25">
      <c r="A1550" t="s">
        <v>10890</v>
      </c>
      <c r="C1550" t="s">
        <v>10891</v>
      </c>
      <c r="D1550" t="s">
        <v>5</v>
      </c>
      <c r="E1550" t="s">
        <v>6</v>
      </c>
      <c r="F1550" t="s">
        <v>251</v>
      </c>
      <c r="G1550">
        <v>8</v>
      </c>
      <c r="H1550" s="2">
        <f>Tabelle13[[#This Row],[commits]]/Tabelle13[[#Totals],[commits]]</f>
        <v>3.718232352339698E-5</v>
      </c>
      <c r="I1550" s="5">
        <f>Tabelle13[[#This Row],[%]]+I1549</f>
        <v>0.94005744668984503</v>
      </c>
      <c r="J1550" s="4">
        <f t="shared" si="81"/>
        <v>1.105583195135434E-4</v>
      </c>
      <c r="K1550" s="5">
        <f t="shared" si="82"/>
        <v>0.17114427860695955</v>
      </c>
    </row>
    <row r="1551" spans="1:11" x14ac:dyDescent="0.25">
      <c r="A1551" t="s">
        <v>10892</v>
      </c>
      <c r="C1551" t="s">
        <v>10893</v>
      </c>
      <c r="D1551" t="s">
        <v>5</v>
      </c>
      <c r="E1551" t="s">
        <v>6</v>
      </c>
      <c r="F1551" t="s">
        <v>251</v>
      </c>
      <c r="G1551">
        <v>8</v>
      </c>
      <c r="H1551" s="2">
        <f>Tabelle13[[#This Row],[commits]]/Tabelle13[[#Totals],[commits]]</f>
        <v>3.718232352339698E-5</v>
      </c>
      <c r="I1551" s="5">
        <f>Tabelle13[[#This Row],[%]]+I1550</f>
        <v>0.94009462901336838</v>
      </c>
      <c r="J1551" s="4">
        <f t="shared" si="81"/>
        <v>1.105583195135434E-4</v>
      </c>
      <c r="K1551" s="5">
        <f t="shared" si="82"/>
        <v>0.17125483692647309</v>
      </c>
    </row>
    <row r="1552" spans="1:11" x14ac:dyDescent="0.25">
      <c r="A1552" t="s">
        <v>10894</v>
      </c>
      <c r="C1552" t="s">
        <v>10895</v>
      </c>
      <c r="D1552" t="s">
        <v>5</v>
      </c>
      <c r="E1552" t="s">
        <v>6</v>
      </c>
      <c r="F1552" t="s">
        <v>251</v>
      </c>
      <c r="G1552">
        <v>8</v>
      </c>
      <c r="H1552" s="2">
        <f>Tabelle13[[#This Row],[commits]]/Tabelle13[[#Totals],[commits]]</f>
        <v>3.718232352339698E-5</v>
      </c>
      <c r="I1552" s="5">
        <f>Tabelle13[[#This Row],[%]]+I1551</f>
        <v>0.94013181133689172</v>
      </c>
      <c r="J1552" s="4">
        <f t="shared" si="81"/>
        <v>1.105583195135434E-4</v>
      </c>
      <c r="K1552" s="5">
        <f t="shared" si="82"/>
        <v>0.17136539524598662</v>
      </c>
    </row>
    <row r="1553" spans="1:11" x14ac:dyDescent="0.25">
      <c r="A1553" t="s">
        <v>10896</v>
      </c>
      <c r="C1553" t="s">
        <v>10897</v>
      </c>
      <c r="D1553" t="s">
        <v>5</v>
      </c>
      <c r="E1553" t="s">
        <v>6</v>
      </c>
      <c r="F1553" t="s">
        <v>251</v>
      </c>
      <c r="G1553">
        <v>8</v>
      </c>
      <c r="H1553" s="2">
        <f>Tabelle13[[#This Row],[commits]]/Tabelle13[[#Totals],[commits]]</f>
        <v>3.718232352339698E-5</v>
      </c>
      <c r="I1553" s="5">
        <f>Tabelle13[[#This Row],[%]]+I1552</f>
        <v>0.94016899366041506</v>
      </c>
      <c r="J1553" s="4">
        <f t="shared" si="81"/>
        <v>1.105583195135434E-4</v>
      </c>
      <c r="K1553" s="5">
        <f t="shared" si="82"/>
        <v>0.17147595356550016</v>
      </c>
    </row>
    <row r="1554" spans="1:11" x14ac:dyDescent="0.25">
      <c r="A1554" t="s">
        <v>10898</v>
      </c>
      <c r="C1554" t="s">
        <v>10899</v>
      </c>
      <c r="D1554" t="s">
        <v>5</v>
      </c>
      <c r="E1554" t="s">
        <v>6</v>
      </c>
      <c r="F1554" t="s">
        <v>251</v>
      </c>
      <c r="G1554">
        <v>8</v>
      </c>
      <c r="H1554" s="2">
        <f>Tabelle13[[#This Row],[commits]]/Tabelle13[[#Totals],[commits]]</f>
        <v>3.718232352339698E-5</v>
      </c>
      <c r="I1554" s="5">
        <f>Tabelle13[[#This Row],[%]]+I1553</f>
        <v>0.94020617598393841</v>
      </c>
      <c r="J1554" s="4">
        <f t="shared" si="81"/>
        <v>1.105583195135434E-4</v>
      </c>
      <c r="K1554" s="5">
        <f t="shared" si="82"/>
        <v>0.1715865118850137</v>
      </c>
    </row>
    <row r="1555" spans="1:11" x14ac:dyDescent="0.25">
      <c r="A1555" t="s">
        <v>10900</v>
      </c>
      <c r="C1555" t="s">
        <v>10901</v>
      </c>
      <c r="D1555" t="s">
        <v>5</v>
      </c>
      <c r="E1555" t="s">
        <v>6</v>
      </c>
      <c r="F1555" t="s">
        <v>251</v>
      </c>
      <c r="G1555">
        <v>8</v>
      </c>
      <c r="H1555" s="2">
        <f>Tabelle13[[#This Row],[commits]]/Tabelle13[[#Totals],[commits]]</f>
        <v>3.718232352339698E-5</v>
      </c>
      <c r="I1555" s="5">
        <f>Tabelle13[[#This Row],[%]]+I1554</f>
        <v>0.94024335830746175</v>
      </c>
      <c r="J1555" s="4">
        <f t="shared" si="81"/>
        <v>1.105583195135434E-4</v>
      </c>
      <c r="K1555" s="5">
        <f t="shared" si="82"/>
        <v>0.17169707020452724</v>
      </c>
    </row>
    <row r="1556" spans="1:11" x14ac:dyDescent="0.25">
      <c r="A1556" t="s">
        <v>10902</v>
      </c>
      <c r="C1556" t="s">
        <v>10903</v>
      </c>
      <c r="D1556" t="s">
        <v>5</v>
      </c>
      <c r="E1556" t="s">
        <v>6</v>
      </c>
      <c r="F1556" t="s">
        <v>251</v>
      </c>
      <c r="G1556">
        <v>8</v>
      </c>
      <c r="H1556" s="2">
        <f>Tabelle13[[#This Row],[commits]]/Tabelle13[[#Totals],[commits]]</f>
        <v>3.718232352339698E-5</v>
      </c>
      <c r="I1556" s="5">
        <f>Tabelle13[[#This Row],[%]]+I1555</f>
        <v>0.9402805406309851</v>
      </c>
      <c r="J1556" s="4">
        <f t="shared" si="81"/>
        <v>1.105583195135434E-4</v>
      </c>
      <c r="K1556" s="5">
        <f t="shared" si="82"/>
        <v>0.17180762852404077</v>
      </c>
    </row>
    <row r="1557" spans="1:11" x14ac:dyDescent="0.25">
      <c r="A1557" t="s">
        <v>10904</v>
      </c>
      <c r="C1557" t="s">
        <v>10905</v>
      </c>
      <c r="D1557" t="s">
        <v>309</v>
      </c>
      <c r="E1557" t="s">
        <v>6</v>
      </c>
      <c r="F1557" t="s">
        <v>251</v>
      </c>
      <c r="G1557">
        <v>8</v>
      </c>
      <c r="H1557" s="2">
        <f>Tabelle13[[#This Row],[commits]]/Tabelle13[[#Totals],[commits]]</f>
        <v>3.718232352339698E-5</v>
      </c>
      <c r="I1557" s="5">
        <f>Tabelle13[[#This Row],[%]]+I1556</f>
        <v>0.94031772295450844</v>
      </c>
      <c r="J1557" s="4">
        <f t="shared" si="81"/>
        <v>1.105583195135434E-4</v>
      </c>
      <c r="K1557" s="5">
        <f t="shared" si="82"/>
        <v>0.17191818684355431</v>
      </c>
    </row>
    <row r="1558" spans="1:11" x14ac:dyDescent="0.25">
      <c r="A1558" t="s">
        <v>10906</v>
      </c>
      <c r="C1558" t="s">
        <v>10907</v>
      </c>
      <c r="D1558" t="s">
        <v>5</v>
      </c>
      <c r="E1558" t="s">
        <v>6</v>
      </c>
      <c r="F1558" t="s">
        <v>251</v>
      </c>
      <c r="G1558">
        <v>8</v>
      </c>
      <c r="H1558" s="2">
        <f>Tabelle13[[#This Row],[commits]]/Tabelle13[[#Totals],[commits]]</f>
        <v>3.718232352339698E-5</v>
      </c>
      <c r="I1558" s="5">
        <f>Tabelle13[[#This Row],[%]]+I1557</f>
        <v>0.94035490527803178</v>
      </c>
      <c r="J1558" s="4">
        <f t="shared" si="81"/>
        <v>1.105583195135434E-4</v>
      </c>
      <c r="K1558" s="5">
        <f t="shared" si="82"/>
        <v>0.17202874516306785</v>
      </c>
    </row>
    <row r="1559" spans="1:11" x14ac:dyDescent="0.25">
      <c r="A1559" t="s">
        <v>10908</v>
      </c>
      <c r="C1559" t="s">
        <v>10909</v>
      </c>
      <c r="D1559" t="s">
        <v>8948</v>
      </c>
      <c r="E1559" t="s">
        <v>6</v>
      </c>
      <c r="F1559" t="s">
        <v>251</v>
      </c>
      <c r="G1559">
        <v>8</v>
      </c>
      <c r="H1559" s="2">
        <f>Tabelle13[[#This Row],[commits]]/Tabelle13[[#Totals],[commits]]</f>
        <v>3.718232352339698E-5</v>
      </c>
      <c r="I1559" s="5">
        <f>Tabelle13[[#This Row],[%]]+I1558</f>
        <v>0.94039208760155513</v>
      </c>
      <c r="J1559" s="4">
        <f t="shared" si="81"/>
        <v>1.105583195135434E-4</v>
      </c>
      <c r="K1559" s="5">
        <f t="shared" si="82"/>
        <v>0.17213930348258139</v>
      </c>
    </row>
    <row r="1560" spans="1:11" x14ac:dyDescent="0.25">
      <c r="A1560" t="s">
        <v>10910</v>
      </c>
      <c r="C1560" t="s">
        <v>10911</v>
      </c>
      <c r="D1560" t="s">
        <v>5</v>
      </c>
      <c r="E1560" t="s">
        <v>6</v>
      </c>
      <c r="F1560" t="s">
        <v>251</v>
      </c>
      <c r="G1560">
        <v>8</v>
      </c>
      <c r="H1560" s="2">
        <f>Tabelle13[[#This Row],[commits]]/Tabelle13[[#Totals],[commits]]</f>
        <v>3.718232352339698E-5</v>
      </c>
      <c r="I1560" s="5">
        <f>Tabelle13[[#This Row],[%]]+I1559</f>
        <v>0.94042926992507847</v>
      </c>
      <c r="J1560" s="4">
        <f t="shared" si="81"/>
        <v>1.105583195135434E-4</v>
      </c>
      <c r="K1560" s="5">
        <f t="shared" si="82"/>
        <v>0.17224986180209492</v>
      </c>
    </row>
    <row r="1561" spans="1:11" x14ac:dyDescent="0.25">
      <c r="A1561" t="s">
        <v>10912</v>
      </c>
      <c r="C1561" t="s">
        <v>10913</v>
      </c>
      <c r="D1561" t="s">
        <v>5</v>
      </c>
      <c r="E1561" t="s">
        <v>6</v>
      </c>
      <c r="F1561" t="s">
        <v>251</v>
      </c>
      <c r="G1561">
        <v>8</v>
      </c>
      <c r="H1561" s="2">
        <f>Tabelle13[[#This Row],[commits]]/Tabelle13[[#Totals],[commits]]</f>
        <v>3.718232352339698E-5</v>
      </c>
      <c r="I1561" s="5">
        <f>Tabelle13[[#This Row],[%]]+I1560</f>
        <v>0.94046645224860181</v>
      </c>
      <c r="J1561" s="4">
        <f t="shared" si="81"/>
        <v>1.105583195135434E-4</v>
      </c>
      <c r="K1561" s="5">
        <f t="shared" si="82"/>
        <v>0.17236042012160846</v>
      </c>
    </row>
    <row r="1562" spans="1:11" x14ac:dyDescent="0.25">
      <c r="A1562" t="s">
        <v>10914</v>
      </c>
      <c r="C1562" t="s">
        <v>9476</v>
      </c>
      <c r="D1562" t="s">
        <v>5</v>
      </c>
      <c r="E1562" t="s">
        <v>6</v>
      </c>
      <c r="F1562" t="s">
        <v>251</v>
      </c>
      <c r="G1562">
        <v>8</v>
      </c>
      <c r="H1562" s="2">
        <f>Tabelle13[[#This Row],[commits]]/Tabelle13[[#Totals],[commits]]</f>
        <v>3.718232352339698E-5</v>
      </c>
      <c r="I1562" s="5">
        <f>Tabelle13[[#This Row],[%]]+I1561</f>
        <v>0.94050363457212516</v>
      </c>
      <c r="J1562" s="4">
        <f t="shared" si="81"/>
        <v>1.105583195135434E-4</v>
      </c>
      <c r="K1562" s="5">
        <f t="shared" si="82"/>
        <v>0.172470978441122</v>
      </c>
    </row>
    <row r="1563" spans="1:11" x14ac:dyDescent="0.25">
      <c r="A1563" t="s">
        <v>10915</v>
      </c>
      <c r="C1563" t="s">
        <v>10916</v>
      </c>
      <c r="D1563" t="s">
        <v>5</v>
      </c>
      <c r="E1563" t="s">
        <v>6</v>
      </c>
      <c r="F1563" t="s">
        <v>251</v>
      </c>
      <c r="G1563">
        <v>8</v>
      </c>
      <c r="H1563" s="2">
        <f>Tabelle13[[#This Row],[commits]]/Tabelle13[[#Totals],[commits]]</f>
        <v>3.718232352339698E-5</v>
      </c>
      <c r="I1563" s="5">
        <f>Tabelle13[[#This Row],[%]]+I1562</f>
        <v>0.9405408168956485</v>
      </c>
      <c r="J1563" s="4">
        <f t="shared" si="81"/>
        <v>1.105583195135434E-4</v>
      </c>
      <c r="K1563" s="5">
        <f t="shared" si="82"/>
        <v>0.17258153676063553</v>
      </c>
    </row>
    <row r="1564" spans="1:11" x14ac:dyDescent="0.25">
      <c r="A1564" t="s">
        <v>17163</v>
      </c>
      <c r="C1564">
        <v>308241863</v>
      </c>
      <c r="D1564" t="s">
        <v>5</v>
      </c>
      <c r="E1564" t="s">
        <v>6</v>
      </c>
      <c r="F1564" t="s">
        <v>334</v>
      </c>
      <c r="G1564">
        <v>8</v>
      </c>
      <c r="H1564" s="2">
        <f>Tabelle13[[#This Row],[commits]]/Tabelle13[[#Totals],[commits]]</f>
        <v>3.718232352339698E-5</v>
      </c>
      <c r="I1564" s="5">
        <f>Tabelle13[[#This Row],[%]]+I1563</f>
        <v>0.94057799921917185</v>
      </c>
      <c r="J1564" s="4">
        <f t="shared" si="81"/>
        <v>1.105583195135434E-4</v>
      </c>
      <c r="K1564" s="5">
        <f t="shared" si="82"/>
        <v>0.17269209508014907</v>
      </c>
    </row>
    <row r="1565" spans="1:11" x14ac:dyDescent="0.25">
      <c r="A1565" t="s">
        <v>17164</v>
      </c>
      <c r="C1565" t="s">
        <v>17165</v>
      </c>
      <c r="D1565" t="s">
        <v>5</v>
      </c>
      <c r="E1565" t="s">
        <v>6</v>
      </c>
      <c r="F1565" t="s">
        <v>334</v>
      </c>
      <c r="G1565">
        <v>8</v>
      </c>
      <c r="H1565" s="2">
        <f>Tabelle13[[#This Row],[commits]]/Tabelle13[[#Totals],[commits]]</f>
        <v>3.718232352339698E-5</v>
      </c>
      <c r="I1565" s="5">
        <f>Tabelle13[[#This Row],[%]]+I1564</f>
        <v>0.94061518154269519</v>
      </c>
      <c r="J1565" s="4">
        <f t="shared" si="81"/>
        <v>1.105583195135434E-4</v>
      </c>
      <c r="K1565" s="5">
        <f t="shared" si="82"/>
        <v>0.17280265339966261</v>
      </c>
    </row>
    <row r="1566" spans="1:11" x14ac:dyDescent="0.25">
      <c r="A1566" t="s">
        <v>17166</v>
      </c>
      <c r="C1566" t="s">
        <v>17167</v>
      </c>
      <c r="D1566" t="s">
        <v>5</v>
      </c>
      <c r="E1566" t="s">
        <v>6</v>
      </c>
      <c r="F1566" t="s">
        <v>334</v>
      </c>
      <c r="G1566">
        <v>8</v>
      </c>
      <c r="H1566" s="2">
        <f>Tabelle13[[#This Row],[commits]]/Tabelle13[[#Totals],[commits]]</f>
        <v>3.718232352339698E-5</v>
      </c>
      <c r="I1566" s="5">
        <f>Tabelle13[[#This Row],[%]]+I1565</f>
        <v>0.94065236386621853</v>
      </c>
      <c r="J1566" s="4">
        <f t="shared" si="81"/>
        <v>1.105583195135434E-4</v>
      </c>
      <c r="K1566" s="5">
        <f t="shared" si="82"/>
        <v>0.17291321171917615</v>
      </c>
    </row>
    <row r="1567" spans="1:11" x14ac:dyDescent="0.25">
      <c r="A1567" t="s">
        <v>17168</v>
      </c>
      <c r="C1567" t="s">
        <v>17169</v>
      </c>
      <c r="D1567" t="s">
        <v>5</v>
      </c>
      <c r="E1567" t="s">
        <v>6</v>
      </c>
      <c r="F1567" t="s">
        <v>334</v>
      </c>
      <c r="G1567">
        <v>8</v>
      </c>
      <c r="H1567" s="2">
        <f>Tabelle13[[#This Row],[commits]]/Tabelle13[[#Totals],[commits]]</f>
        <v>3.718232352339698E-5</v>
      </c>
      <c r="I1567" s="5">
        <f>Tabelle13[[#This Row],[%]]+I1566</f>
        <v>0.94068954618974188</v>
      </c>
      <c r="J1567" s="4">
        <f t="shared" si="81"/>
        <v>1.105583195135434E-4</v>
      </c>
      <c r="K1567" s="5">
        <f t="shared" si="82"/>
        <v>0.17302377003868968</v>
      </c>
    </row>
    <row r="1568" spans="1:11" x14ac:dyDescent="0.25">
      <c r="A1568" t="s">
        <v>129</v>
      </c>
      <c r="C1568" t="s">
        <v>130</v>
      </c>
      <c r="D1568" t="s">
        <v>36</v>
      </c>
      <c r="E1568" t="s">
        <v>6</v>
      </c>
      <c r="F1568" t="s">
        <v>7</v>
      </c>
      <c r="G1568">
        <v>7</v>
      </c>
      <c r="H1568" s="2">
        <f>Tabelle13[[#This Row],[commits]]/Tabelle13[[#Totals],[commits]]</f>
        <v>3.2534533082972354E-5</v>
      </c>
      <c r="I1568" s="5">
        <f>Tabelle13[[#This Row],[%]]+I1567</f>
        <v>0.94072208072282482</v>
      </c>
      <c r="J1568" s="4">
        <f t="shared" si="81"/>
        <v>1.105583195135434E-4</v>
      </c>
      <c r="K1568" s="5">
        <f t="shared" si="82"/>
        <v>0.17313432835820322</v>
      </c>
    </row>
    <row r="1569" spans="1:11" x14ac:dyDescent="0.25">
      <c r="A1569" t="s">
        <v>131</v>
      </c>
      <c r="C1569" t="s">
        <v>132</v>
      </c>
      <c r="D1569" t="s">
        <v>5</v>
      </c>
      <c r="E1569" t="s">
        <v>6</v>
      </c>
      <c r="F1569" t="s">
        <v>7</v>
      </c>
      <c r="G1569">
        <v>7</v>
      </c>
      <c r="H1569" s="2">
        <f>Tabelle13[[#This Row],[commits]]/Tabelle13[[#Totals],[commits]]</f>
        <v>3.2534533082972354E-5</v>
      </c>
      <c r="I1569" s="5">
        <f>Tabelle13[[#This Row],[%]]+I1568</f>
        <v>0.94075461525590776</v>
      </c>
      <c r="J1569" s="4">
        <f t="shared" si="81"/>
        <v>1.105583195135434E-4</v>
      </c>
      <c r="K1569" s="5">
        <f t="shared" si="82"/>
        <v>0.17324488667771676</v>
      </c>
    </row>
    <row r="1570" spans="1:11" x14ac:dyDescent="0.25">
      <c r="A1570" t="s">
        <v>133</v>
      </c>
      <c r="C1570" t="s">
        <v>134</v>
      </c>
      <c r="D1570" t="s">
        <v>5</v>
      </c>
      <c r="E1570" t="s">
        <v>6</v>
      </c>
      <c r="F1570" t="s">
        <v>7</v>
      </c>
      <c r="G1570">
        <v>7</v>
      </c>
      <c r="H1570" s="2">
        <f>Tabelle13[[#This Row],[commits]]/Tabelle13[[#Totals],[commits]]</f>
        <v>3.2534533082972354E-5</v>
      </c>
      <c r="I1570" s="5">
        <f>Tabelle13[[#This Row],[%]]+I1569</f>
        <v>0.9407871497889907</v>
      </c>
      <c r="J1570" s="4">
        <f t="shared" si="81"/>
        <v>1.105583195135434E-4</v>
      </c>
      <c r="K1570" s="5">
        <f t="shared" si="82"/>
        <v>0.1733554449972303</v>
      </c>
    </row>
    <row r="1571" spans="1:11" x14ac:dyDescent="0.25">
      <c r="A1571" t="s">
        <v>2712</v>
      </c>
      <c r="C1571" t="s">
        <v>2713</v>
      </c>
      <c r="D1571" t="s">
        <v>5</v>
      </c>
      <c r="E1571" t="s">
        <v>6</v>
      </c>
      <c r="F1571" t="s">
        <v>724</v>
      </c>
      <c r="G1571">
        <v>7</v>
      </c>
      <c r="H1571" s="2">
        <f>Tabelle13[[#This Row],[commits]]/Tabelle13[[#Totals],[commits]]</f>
        <v>3.2534533082972354E-5</v>
      </c>
      <c r="I1571" s="5">
        <f>Tabelle13[[#This Row],[%]]+I1570</f>
        <v>0.94081968432207363</v>
      </c>
      <c r="J1571" s="4">
        <f t="shared" si="81"/>
        <v>1.105583195135434E-4</v>
      </c>
      <c r="K1571" s="5">
        <f t="shared" si="82"/>
        <v>0.17346600331674383</v>
      </c>
    </row>
    <row r="1572" spans="1:11" x14ac:dyDescent="0.25">
      <c r="A1572" t="s">
        <v>2714</v>
      </c>
      <c r="C1572" t="s">
        <v>2715</v>
      </c>
      <c r="D1572" t="s">
        <v>5</v>
      </c>
      <c r="E1572" t="s">
        <v>6</v>
      </c>
      <c r="F1572" t="s">
        <v>724</v>
      </c>
      <c r="G1572">
        <v>7</v>
      </c>
      <c r="H1572" s="2">
        <f>Tabelle13[[#This Row],[commits]]/Tabelle13[[#Totals],[commits]]</f>
        <v>3.2534533082972354E-5</v>
      </c>
      <c r="I1572" s="5">
        <f>Tabelle13[[#This Row],[%]]+I1571</f>
        <v>0.94085221885515657</v>
      </c>
      <c r="J1572" s="4">
        <f t="shared" si="81"/>
        <v>1.105583195135434E-4</v>
      </c>
      <c r="K1572" s="5">
        <f t="shared" si="82"/>
        <v>0.17357656163625737</v>
      </c>
    </row>
    <row r="1573" spans="1:11" x14ac:dyDescent="0.25">
      <c r="A1573" t="s">
        <v>2716</v>
      </c>
      <c r="C1573" t="s">
        <v>2717</v>
      </c>
      <c r="D1573" t="s">
        <v>5</v>
      </c>
      <c r="E1573" t="s">
        <v>6</v>
      </c>
      <c r="F1573" t="s">
        <v>724</v>
      </c>
      <c r="G1573">
        <v>7</v>
      </c>
      <c r="H1573" s="2">
        <f>Tabelle13[[#This Row],[commits]]/Tabelle13[[#Totals],[commits]]</f>
        <v>3.2534533082972354E-5</v>
      </c>
      <c r="I1573" s="5">
        <f>Tabelle13[[#This Row],[%]]+I1572</f>
        <v>0.94088475338823951</v>
      </c>
      <c r="J1573" s="4">
        <f t="shared" si="81"/>
        <v>1.105583195135434E-4</v>
      </c>
      <c r="K1573" s="5">
        <f t="shared" si="82"/>
        <v>0.17368711995577091</v>
      </c>
    </row>
    <row r="1574" spans="1:11" x14ac:dyDescent="0.25">
      <c r="A1574" t="s">
        <v>2718</v>
      </c>
      <c r="C1574" t="s">
        <v>2719</v>
      </c>
      <c r="D1574" t="s">
        <v>5</v>
      </c>
      <c r="E1574" t="s">
        <v>6</v>
      </c>
      <c r="F1574" t="s">
        <v>724</v>
      </c>
      <c r="G1574">
        <v>7</v>
      </c>
      <c r="H1574" s="2">
        <f>Tabelle13[[#This Row],[commits]]/Tabelle13[[#Totals],[commits]]</f>
        <v>3.2534533082972354E-5</v>
      </c>
      <c r="I1574" s="5">
        <f>Tabelle13[[#This Row],[%]]+I1573</f>
        <v>0.94091728792132245</v>
      </c>
      <c r="J1574" s="4">
        <f t="shared" si="81"/>
        <v>1.105583195135434E-4</v>
      </c>
      <c r="K1574" s="5">
        <f t="shared" si="82"/>
        <v>0.17379767827528445</v>
      </c>
    </row>
    <row r="1575" spans="1:11" x14ac:dyDescent="0.25">
      <c r="A1575" t="s">
        <v>2720</v>
      </c>
      <c r="C1575" t="s">
        <v>2721</v>
      </c>
      <c r="D1575" t="s">
        <v>5</v>
      </c>
      <c r="E1575" t="s">
        <v>6</v>
      </c>
      <c r="F1575" t="s">
        <v>724</v>
      </c>
      <c r="G1575">
        <v>7</v>
      </c>
      <c r="H1575" s="2">
        <f>Tabelle13[[#This Row],[commits]]/Tabelle13[[#Totals],[commits]]</f>
        <v>3.2534533082972354E-5</v>
      </c>
      <c r="I1575" s="5">
        <f>Tabelle13[[#This Row],[%]]+I1574</f>
        <v>0.94094982245440539</v>
      </c>
      <c r="J1575" s="4">
        <f t="shared" si="81"/>
        <v>1.105583195135434E-4</v>
      </c>
      <c r="K1575" s="5">
        <f t="shared" si="82"/>
        <v>0.17390823659479798</v>
      </c>
    </row>
    <row r="1576" spans="1:11" x14ac:dyDescent="0.25">
      <c r="A1576" t="s">
        <v>2722</v>
      </c>
      <c r="C1576" t="s">
        <v>2723</v>
      </c>
      <c r="D1576" t="s">
        <v>5</v>
      </c>
      <c r="E1576" t="s">
        <v>6</v>
      </c>
      <c r="F1576" t="s">
        <v>724</v>
      </c>
      <c r="G1576">
        <v>7</v>
      </c>
      <c r="H1576" s="2">
        <f>Tabelle13[[#This Row],[commits]]/Tabelle13[[#Totals],[commits]]</f>
        <v>3.2534533082972354E-5</v>
      </c>
      <c r="I1576" s="5">
        <f>Tabelle13[[#This Row],[%]]+I1575</f>
        <v>0.94098235698748833</v>
      </c>
      <c r="J1576" s="4">
        <f t="shared" si="81"/>
        <v>1.105583195135434E-4</v>
      </c>
      <c r="K1576" s="5">
        <f t="shared" si="82"/>
        <v>0.17401879491431152</v>
      </c>
    </row>
    <row r="1577" spans="1:11" x14ac:dyDescent="0.25">
      <c r="A1577" t="s">
        <v>2724</v>
      </c>
      <c r="C1577" t="s">
        <v>2725</v>
      </c>
      <c r="D1577" t="s">
        <v>5</v>
      </c>
      <c r="E1577" t="s">
        <v>6</v>
      </c>
      <c r="F1577" t="s">
        <v>724</v>
      </c>
      <c r="G1577">
        <v>7</v>
      </c>
      <c r="H1577" s="2">
        <f>Tabelle13[[#This Row],[commits]]/Tabelle13[[#Totals],[commits]]</f>
        <v>3.2534533082972354E-5</v>
      </c>
      <c r="I1577" s="5">
        <f>Tabelle13[[#This Row],[%]]+I1576</f>
        <v>0.94101489152057127</v>
      </c>
      <c r="J1577" s="4">
        <f t="shared" si="81"/>
        <v>1.105583195135434E-4</v>
      </c>
      <c r="K1577" s="5">
        <f t="shared" si="82"/>
        <v>0.17412935323382506</v>
      </c>
    </row>
    <row r="1578" spans="1:11" x14ac:dyDescent="0.25">
      <c r="A1578" t="s">
        <v>2726</v>
      </c>
      <c r="C1578" t="s">
        <v>2727</v>
      </c>
      <c r="D1578" t="s">
        <v>5</v>
      </c>
      <c r="E1578" t="s">
        <v>6</v>
      </c>
      <c r="F1578" t="s">
        <v>724</v>
      </c>
      <c r="G1578">
        <v>7</v>
      </c>
      <c r="H1578" s="2">
        <f>Tabelle13[[#This Row],[commits]]/Tabelle13[[#Totals],[commits]]</f>
        <v>3.2534533082972354E-5</v>
      </c>
      <c r="I1578" s="5">
        <f>Tabelle13[[#This Row],[%]]+I1577</f>
        <v>0.94104742605365421</v>
      </c>
      <c r="J1578" s="4">
        <f t="shared" si="81"/>
        <v>1.105583195135434E-4</v>
      </c>
      <c r="K1578" s="5">
        <f t="shared" si="82"/>
        <v>0.17423991155333859</v>
      </c>
    </row>
    <row r="1579" spans="1:11" x14ac:dyDescent="0.25">
      <c r="A1579" t="s">
        <v>2728</v>
      </c>
      <c r="C1579" t="s">
        <v>2729</v>
      </c>
      <c r="D1579" t="s">
        <v>5</v>
      </c>
      <c r="E1579" t="s">
        <v>6</v>
      </c>
      <c r="F1579" t="s">
        <v>724</v>
      </c>
      <c r="G1579">
        <v>7</v>
      </c>
      <c r="H1579" s="2">
        <f>Tabelle13[[#This Row],[commits]]/Tabelle13[[#Totals],[commits]]</f>
        <v>3.2534533082972354E-5</v>
      </c>
      <c r="I1579" s="5">
        <f>Tabelle13[[#This Row],[%]]+I1578</f>
        <v>0.94107996058673715</v>
      </c>
      <c r="J1579" s="4">
        <f t="shared" si="81"/>
        <v>1.105583195135434E-4</v>
      </c>
      <c r="K1579" s="5">
        <f t="shared" si="82"/>
        <v>0.17435046987285213</v>
      </c>
    </row>
    <row r="1580" spans="1:11" x14ac:dyDescent="0.25">
      <c r="A1580" t="s">
        <v>2730</v>
      </c>
      <c r="C1580" t="s">
        <v>2731</v>
      </c>
      <c r="D1580" t="s">
        <v>5</v>
      </c>
      <c r="E1580" t="s">
        <v>6</v>
      </c>
      <c r="F1580" t="s">
        <v>724</v>
      </c>
      <c r="G1580">
        <v>7</v>
      </c>
      <c r="H1580" s="2">
        <f>Tabelle13[[#This Row],[commits]]/Tabelle13[[#Totals],[commits]]</f>
        <v>3.2534533082972354E-5</v>
      </c>
      <c r="I1580" s="5">
        <f>Tabelle13[[#This Row],[%]]+I1579</f>
        <v>0.94111249511982009</v>
      </c>
      <c r="J1580" s="4">
        <f t="shared" si="81"/>
        <v>1.105583195135434E-4</v>
      </c>
      <c r="K1580" s="5">
        <f t="shared" si="82"/>
        <v>0.17446102819236567</v>
      </c>
    </row>
    <row r="1581" spans="1:11" x14ac:dyDescent="0.25">
      <c r="A1581" t="s">
        <v>2732</v>
      </c>
      <c r="C1581" t="s">
        <v>2733</v>
      </c>
      <c r="D1581" t="s">
        <v>5</v>
      </c>
      <c r="E1581" t="s">
        <v>6</v>
      </c>
      <c r="F1581" t="s">
        <v>724</v>
      </c>
      <c r="G1581">
        <v>7</v>
      </c>
      <c r="H1581" s="2">
        <f>Tabelle13[[#This Row],[commits]]/Tabelle13[[#Totals],[commits]]</f>
        <v>3.2534533082972354E-5</v>
      </c>
      <c r="I1581" s="5">
        <f>Tabelle13[[#This Row],[%]]+I1580</f>
        <v>0.94114502965290303</v>
      </c>
      <c r="J1581" s="4">
        <f t="shared" si="81"/>
        <v>1.105583195135434E-4</v>
      </c>
      <c r="K1581" s="5">
        <f t="shared" si="82"/>
        <v>0.17457158651187921</v>
      </c>
    </row>
    <row r="1582" spans="1:11" x14ac:dyDescent="0.25">
      <c r="A1582" t="s">
        <v>2734</v>
      </c>
      <c r="C1582" t="s">
        <v>2735</v>
      </c>
      <c r="D1582" t="s">
        <v>5</v>
      </c>
      <c r="E1582" t="s">
        <v>6</v>
      </c>
      <c r="F1582" t="s">
        <v>724</v>
      </c>
      <c r="G1582">
        <v>7</v>
      </c>
      <c r="H1582" s="2">
        <f>Tabelle13[[#This Row],[commits]]/Tabelle13[[#Totals],[commits]]</f>
        <v>3.2534533082972354E-5</v>
      </c>
      <c r="I1582" s="5">
        <f>Tabelle13[[#This Row],[%]]+I1581</f>
        <v>0.94117756418598597</v>
      </c>
      <c r="J1582" s="4">
        <f t="shared" si="81"/>
        <v>1.105583195135434E-4</v>
      </c>
      <c r="K1582" s="5">
        <f t="shared" si="82"/>
        <v>0.17468214483139274</v>
      </c>
    </row>
    <row r="1583" spans="1:11" x14ac:dyDescent="0.25">
      <c r="A1583" t="s">
        <v>2736</v>
      </c>
      <c r="C1583" t="s">
        <v>2737</v>
      </c>
      <c r="D1583" t="s">
        <v>309</v>
      </c>
      <c r="E1583" t="s">
        <v>6</v>
      </c>
      <c r="F1583" t="s">
        <v>724</v>
      </c>
      <c r="G1583">
        <v>7</v>
      </c>
      <c r="H1583" s="2">
        <f>Tabelle13[[#This Row],[commits]]/Tabelle13[[#Totals],[commits]]</f>
        <v>3.2534533082972354E-5</v>
      </c>
      <c r="I1583" s="5">
        <f>Tabelle13[[#This Row],[%]]+I1582</f>
        <v>0.94121009871906891</v>
      </c>
      <c r="J1583" s="4">
        <f t="shared" si="81"/>
        <v>1.105583195135434E-4</v>
      </c>
      <c r="K1583" s="5">
        <f t="shared" si="82"/>
        <v>0.17479270315090628</v>
      </c>
    </row>
    <row r="1584" spans="1:11" x14ac:dyDescent="0.25">
      <c r="A1584" t="s">
        <v>2738</v>
      </c>
      <c r="C1584" t="s">
        <v>2739</v>
      </c>
      <c r="D1584" t="s">
        <v>5</v>
      </c>
      <c r="E1584" t="s">
        <v>6</v>
      </c>
      <c r="F1584" t="s">
        <v>724</v>
      </c>
      <c r="G1584">
        <v>7</v>
      </c>
      <c r="H1584" s="2">
        <f>Tabelle13[[#This Row],[commits]]/Tabelle13[[#Totals],[commits]]</f>
        <v>3.2534533082972354E-5</v>
      </c>
      <c r="I1584" s="5">
        <f>Tabelle13[[#This Row],[%]]+I1583</f>
        <v>0.94124263325215185</v>
      </c>
      <c r="J1584" s="4">
        <f t="shared" si="81"/>
        <v>1.105583195135434E-4</v>
      </c>
      <c r="K1584" s="5">
        <f t="shared" si="82"/>
        <v>0.17490326147041982</v>
      </c>
    </row>
    <row r="1585" spans="1:11" x14ac:dyDescent="0.25">
      <c r="A1585" t="s">
        <v>2740</v>
      </c>
      <c r="C1585" t="s">
        <v>2741</v>
      </c>
      <c r="D1585" t="s">
        <v>309</v>
      </c>
      <c r="E1585" t="s">
        <v>6</v>
      </c>
      <c r="F1585" t="s">
        <v>724</v>
      </c>
      <c r="G1585">
        <v>7</v>
      </c>
      <c r="H1585" s="2">
        <f>Tabelle13[[#This Row],[commits]]/Tabelle13[[#Totals],[commits]]</f>
        <v>3.2534533082972354E-5</v>
      </c>
      <c r="I1585" s="5">
        <f>Tabelle13[[#This Row],[%]]+I1584</f>
        <v>0.94127516778523479</v>
      </c>
      <c r="J1585" s="4">
        <f t="shared" si="81"/>
        <v>1.105583195135434E-4</v>
      </c>
      <c r="K1585" s="5">
        <f t="shared" si="82"/>
        <v>0.17501381978993336</v>
      </c>
    </row>
    <row r="1586" spans="1:11" x14ac:dyDescent="0.25">
      <c r="A1586" t="s">
        <v>2742</v>
      </c>
      <c r="C1586" t="s">
        <v>2743</v>
      </c>
      <c r="D1586" t="s">
        <v>5</v>
      </c>
      <c r="E1586" t="s">
        <v>6</v>
      </c>
      <c r="F1586" t="s">
        <v>724</v>
      </c>
      <c r="G1586">
        <v>7</v>
      </c>
      <c r="H1586" s="2">
        <f>Tabelle13[[#This Row],[commits]]/Tabelle13[[#Totals],[commits]]</f>
        <v>3.2534533082972354E-5</v>
      </c>
      <c r="I1586" s="5">
        <f>Tabelle13[[#This Row],[%]]+I1585</f>
        <v>0.94130770231831773</v>
      </c>
      <c r="J1586" s="4">
        <f t="shared" si="81"/>
        <v>1.105583195135434E-4</v>
      </c>
      <c r="K1586" s="5">
        <f t="shared" si="82"/>
        <v>0.17512437810944689</v>
      </c>
    </row>
    <row r="1587" spans="1:11" x14ac:dyDescent="0.25">
      <c r="A1587" t="s">
        <v>2744</v>
      </c>
      <c r="C1587" t="s">
        <v>2745</v>
      </c>
      <c r="D1587" t="s">
        <v>5</v>
      </c>
      <c r="E1587" t="s">
        <v>6</v>
      </c>
      <c r="F1587" t="s">
        <v>724</v>
      </c>
      <c r="G1587">
        <v>7</v>
      </c>
      <c r="H1587" s="2">
        <f>Tabelle13[[#This Row],[commits]]/Tabelle13[[#Totals],[commits]]</f>
        <v>3.2534533082972354E-5</v>
      </c>
      <c r="I1587" s="5">
        <f>Tabelle13[[#This Row],[%]]+I1586</f>
        <v>0.94134023685140067</v>
      </c>
      <c r="J1587" s="4">
        <f t="shared" si="81"/>
        <v>1.105583195135434E-4</v>
      </c>
      <c r="K1587" s="5">
        <f t="shared" si="82"/>
        <v>0.17523493642896043</v>
      </c>
    </row>
    <row r="1588" spans="1:11" x14ac:dyDescent="0.25">
      <c r="A1588" t="s">
        <v>5386</v>
      </c>
      <c r="C1588" t="s">
        <v>1873</v>
      </c>
      <c r="D1588" t="s">
        <v>5387</v>
      </c>
      <c r="E1588" t="s">
        <v>6</v>
      </c>
      <c r="F1588" t="s">
        <v>28</v>
      </c>
      <c r="G1588">
        <v>7</v>
      </c>
      <c r="H1588" s="2">
        <f>Tabelle13[[#This Row],[commits]]/Tabelle13[[#Totals],[commits]]</f>
        <v>3.2534533082972354E-5</v>
      </c>
      <c r="I1588" s="5">
        <f>Tabelle13[[#This Row],[%]]+I1587</f>
        <v>0.94137277138448361</v>
      </c>
      <c r="J1588" s="4">
        <f t="shared" si="81"/>
        <v>1.105583195135434E-4</v>
      </c>
      <c r="K1588" s="5">
        <f t="shared" si="82"/>
        <v>0.17534549474847397</v>
      </c>
    </row>
    <row r="1589" spans="1:11" x14ac:dyDescent="0.25">
      <c r="A1589" t="s">
        <v>5388</v>
      </c>
      <c r="C1589" t="s">
        <v>5389</v>
      </c>
      <c r="D1589" t="s">
        <v>5390</v>
      </c>
      <c r="E1589" t="s">
        <v>6</v>
      </c>
      <c r="F1589" t="s">
        <v>28</v>
      </c>
      <c r="G1589">
        <v>7</v>
      </c>
      <c r="H1589" s="2">
        <f>Tabelle13[[#This Row],[commits]]/Tabelle13[[#Totals],[commits]]</f>
        <v>3.2534533082972354E-5</v>
      </c>
      <c r="I1589" s="5">
        <f>Tabelle13[[#This Row],[%]]+I1588</f>
        <v>0.94140530591756655</v>
      </c>
      <c r="J1589" s="4">
        <f t="shared" si="81"/>
        <v>1.105583195135434E-4</v>
      </c>
      <c r="K1589" s="5">
        <f t="shared" si="82"/>
        <v>0.17545605306798751</v>
      </c>
    </row>
    <row r="1590" spans="1:11" x14ac:dyDescent="0.25">
      <c r="A1590" t="s">
        <v>5391</v>
      </c>
      <c r="C1590" t="s">
        <v>1315</v>
      </c>
      <c r="D1590" t="s">
        <v>5175</v>
      </c>
      <c r="E1590" t="s">
        <v>6</v>
      </c>
      <c r="F1590" t="s">
        <v>28</v>
      </c>
      <c r="G1590">
        <v>7</v>
      </c>
      <c r="H1590" s="2">
        <f>Tabelle13[[#This Row],[commits]]/Tabelle13[[#Totals],[commits]]</f>
        <v>3.2534533082972354E-5</v>
      </c>
      <c r="I1590" s="5">
        <f>Tabelle13[[#This Row],[%]]+I1589</f>
        <v>0.94143784045064949</v>
      </c>
      <c r="J1590" s="4">
        <f t="shared" si="81"/>
        <v>1.105583195135434E-4</v>
      </c>
      <c r="K1590" s="5">
        <f t="shared" si="82"/>
        <v>0.17556661138750104</v>
      </c>
    </row>
    <row r="1591" spans="1:11" x14ac:dyDescent="0.25">
      <c r="A1591" t="s">
        <v>5392</v>
      </c>
      <c r="C1591" t="s">
        <v>5393</v>
      </c>
      <c r="D1591" t="s">
        <v>5</v>
      </c>
      <c r="E1591" t="s">
        <v>6</v>
      </c>
      <c r="F1591" t="s">
        <v>28</v>
      </c>
      <c r="G1591">
        <v>7</v>
      </c>
      <c r="H1591" s="2">
        <f>Tabelle13[[#This Row],[commits]]/Tabelle13[[#Totals],[commits]]</f>
        <v>3.2534533082972354E-5</v>
      </c>
      <c r="I1591" s="5">
        <f>Tabelle13[[#This Row],[%]]+I1590</f>
        <v>0.94147037498373243</v>
      </c>
      <c r="J1591" s="4">
        <f t="shared" si="81"/>
        <v>1.105583195135434E-4</v>
      </c>
      <c r="K1591" s="5">
        <f t="shared" si="82"/>
        <v>0.17567716970701458</v>
      </c>
    </row>
    <row r="1592" spans="1:11" x14ac:dyDescent="0.25">
      <c r="A1592" t="s">
        <v>5394</v>
      </c>
      <c r="C1592" t="s">
        <v>5395</v>
      </c>
      <c r="D1592" t="s">
        <v>5</v>
      </c>
      <c r="E1592" t="s">
        <v>6</v>
      </c>
      <c r="F1592" t="s">
        <v>28</v>
      </c>
      <c r="G1592">
        <v>7</v>
      </c>
      <c r="H1592" s="2">
        <f>Tabelle13[[#This Row],[commits]]/Tabelle13[[#Totals],[commits]]</f>
        <v>3.2534533082972354E-5</v>
      </c>
      <c r="I1592" s="5">
        <f>Tabelle13[[#This Row],[%]]+I1591</f>
        <v>0.94150290951681537</v>
      </c>
      <c r="J1592" s="4">
        <f t="shared" si="81"/>
        <v>1.105583195135434E-4</v>
      </c>
      <c r="K1592" s="5">
        <f t="shared" si="82"/>
        <v>0.17578772802652812</v>
      </c>
    </row>
    <row r="1593" spans="1:11" x14ac:dyDescent="0.25">
      <c r="A1593" t="s">
        <v>5396</v>
      </c>
      <c r="C1593" t="s">
        <v>5397</v>
      </c>
      <c r="D1593" t="s">
        <v>5</v>
      </c>
      <c r="E1593" t="s">
        <v>6</v>
      </c>
      <c r="F1593" t="s">
        <v>28</v>
      </c>
      <c r="G1593">
        <v>7</v>
      </c>
      <c r="H1593" s="2">
        <f>Tabelle13[[#This Row],[commits]]/Tabelle13[[#Totals],[commits]]</f>
        <v>3.2534533082972354E-5</v>
      </c>
      <c r="I1593" s="5">
        <f>Tabelle13[[#This Row],[%]]+I1592</f>
        <v>0.94153544404989831</v>
      </c>
      <c r="J1593" s="4">
        <f t="shared" si="81"/>
        <v>1.105583195135434E-4</v>
      </c>
      <c r="K1593" s="5">
        <f t="shared" si="82"/>
        <v>0.17589828634604165</v>
      </c>
    </row>
    <row r="1594" spans="1:11" x14ac:dyDescent="0.25">
      <c r="A1594" t="s">
        <v>5398</v>
      </c>
      <c r="C1594" t="s">
        <v>5399</v>
      </c>
      <c r="D1594" t="s">
        <v>5175</v>
      </c>
      <c r="E1594" t="s">
        <v>6</v>
      </c>
      <c r="F1594" t="s">
        <v>28</v>
      </c>
      <c r="G1594">
        <v>7</v>
      </c>
      <c r="H1594" s="2">
        <f>Tabelle13[[#This Row],[commits]]/Tabelle13[[#Totals],[commits]]</f>
        <v>3.2534533082972354E-5</v>
      </c>
      <c r="I1594" s="5">
        <f>Tabelle13[[#This Row],[%]]+I1593</f>
        <v>0.94156797858298125</v>
      </c>
      <c r="J1594" s="4">
        <f t="shared" si="81"/>
        <v>1.105583195135434E-4</v>
      </c>
      <c r="K1594" s="5">
        <f t="shared" si="82"/>
        <v>0.17600884466555519</v>
      </c>
    </row>
    <row r="1595" spans="1:11" x14ac:dyDescent="0.25">
      <c r="A1595" t="s">
        <v>5400</v>
      </c>
      <c r="C1595" t="s">
        <v>5401</v>
      </c>
      <c r="D1595" t="s">
        <v>5</v>
      </c>
      <c r="E1595" t="s">
        <v>6</v>
      </c>
      <c r="F1595" t="s">
        <v>28</v>
      </c>
      <c r="G1595">
        <v>7</v>
      </c>
      <c r="H1595" s="2">
        <f>Tabelle13[[#This Row],[commits]]/Tabelle13[[#Totals],[commits]]</f>
        <v>3.2534533082972354E-5</v>
      </c>
      <c r="I1595" s="5">
        <f>Tabelle13[[#This Row],[%]]+I1594</f>
        <v>0.94160051311606419</v>
      </c>
      <c r="J1595" s="4">
        <f t="shared" si="81"/>
        <v>1.105583195135434E-4</v>
      </c>
      <c r="K1595" s="5">
        <f t="shared" si="82"/>
        <v>0.17611940298506873</v>
      </c>
    </row>
    <row r="1596" spans="1:11" x14ac:dyDescent="0.25">
      <c r="A1596" t="s">
        <v>5402</v>
      </c>
      <c r="C1596" t="s">
        <v>5403</v>
      </c>
      <c r="D1596" t="s">
        <v>5175</v>
      </c>
      <c r="E1596" t="s">
        <v>6</v>
      </c>
      <c r="F1596" t="s">
        <v>28</v>
      </c>
      <c r="G1596">
        <v>7</v>
      </c>
      <c r="H1596" s="2">
        <f>Tabelle13[[#This Row],[commits]]/Tabelle13[[#Totals],[commits]]</f>
        <v>3.2534533082972354E-5</v>
      </c>
      <c r="I1596" s="5">
        <f>Tabelle13[[#This Row],[%]]+I1595</f>
        <v>0.94163304764914713</v>
      </c>
      <c r="J1596" s="4">
        <f t="shared" si="81"/>
        <v>1.105583195135434E-4</v>
      </c>
      <c r="K1596" s="5">
        <f t="shared" si="82"/>
        <v>0.17622996130458227</v>
      </c>
    </row>
    <row r="1597" spans="1:11" x14ac:dyDescent="0.25">
      <c r="A1597" t="s">
        <v>10917</v>
      </c>
      <c r="C1597" t="s">
        <v>10918</v>
      </c>
      <c r="D1597" t="s">
        <v>309</v>
      </c>
      <c r="E1597" t="s">
        <v>6</v>
      </c>
      <c r="F1597" t="s">
        <v>251</v>
      </c>
      <c r="G1597">
        <v>7</v>
      </c>
      <c r="H1597" s="2">
        <f>Tabelle13[[#This Row],[commits]]/Tabelle13[[#Totals],[commits]]</f>
        <v>3.2534533082972354E-5</v>
      </c>
      <c r="I1597" s="5">
        <f>Tabelle13[[#This Row],[%]]+I1596</f>
        <v>0.94166558218223007</v>
      </c>
      <c r="J1597" s="4">
        <f t="shared" si="81"/>
        <v>1.105583195135434E-4</v>
      </c>
      <c r="K1597" s="5">
        <f t="shared" si="82"/>
        <v>0.1763405196240958</v>
      </c>
    </row>
    <row r="1598" spans="1:11" x14ac:dyDescent="0.25">
      <c r="A1598" t="s">
        <v>10919</v>
      </c>
      <c r="C1598" t="s">
        <v>10920</v>
      </c>
      <c r="D1598" t="s">
        <v>5</v>
      </c>
      <c r="E1598" t="s">
        <v>6</v>
      </c>
      <c r="F1598" t="s">
        <v>251</v>
      </c>
      <c r="G1598">
        <v>7</v>
      </c>
      <c r="H1598" s="2">
        <f>Tabelle13[[#This Row],[commits]]/Tabelle13[[#Totals],[commits]]</f>
        <v>3.2534533082972354E-5</v>
      </c>
      <c r="I1598" s="5">
        <f>Tabelle13[[#This Row],[%]]+I1597</f>
        <v>0.94169811671531301</v>
      </c>
      <c r="J1598" s="4">
        <f t="shared" si="81"/>
        <v>1.105583195135434E-4</v>
      </c>
      <c r="K1598" s="5">
        <f t="shared" si="82"/>
        <v>0.17645107794360934</v>
      </c>
    </row>
    <row r="1599" spans="1:11" x14ac:dyDescent="0.25">
      <c r="A1599" t="s">
        <v>10921</v>
      </c>
      <c r="C1599" t="s">
        <v>10922</v>
      </c>
      <c r="D1599" t="s">
        <v>309</v>
      </c>
      <c r="E1599" t="s">
        <v>6</v>
      </c>
      <c r="F1599" t="s">
        <v>251</v>
      </c>
      <c r="G1599">
        <v>7</v>
      </c>
      <c r="H1599" s="2">
        <f>Tabelle13[[#This Row],[commits]]/Tabelle13[[#Totals],[commits]]</f>
        <v>3.2534533082972354E-5</v>
      </c>
      <c r="I1599" s="5">
        <f>Tabelle13[[#This Row],[%]]+I1598</f>
        <v>0.94173065124839594</v>
      </c>
      <c r="J1599" s="4">
        <f t="shared" si="81"/>
        <v>1.105583195135434E-4</v>
      </c>
      <c r="K1599" s="5">
        <f t="shared" si="82"/>
        <v>0.17656163626312288</v>
      </c>
    </row>
    <row r="1600" spans="1:11" x14ac:dyDescent="0.25">
      <c r="A1600" t="s">
        <v>10923</v>
      </c>
      <c r="C1600" t="s">
        <v>10924</v>
      </c>
      <c r="D1600" t="s">
        <v>309</v>
      </c>
      <c r="E1600" t="s">
        <v>6</v>
      </c>
      <c r="F1600" t="s">
        <v>251</v>
      </c>
      <c r="G1600">
        <v>7</v>
      </c>
      <c r="H1600" s="2">
        <f>Tabelle13[[#This Row],[commits]]/Tabelle13[[#Totals],[commits]]</f>
        <v>3.2534533082972354E-5</v>
      </c>
      <c r="I1600" s="5">
        <f>Tabelle13[[#This Row],[%]]+I1599</f>
        <v>0.94176318578147888</v>
      </c>
      <c r="J1600" s="4">
        <f t="shared" si="81"/>
        <v>1.105583195135434E-4</v>
      </c>
      <c r="K1600" s="5">
        <f t="shared" si="82"/>
        <v>0.17667219458263642</v>
      </c>
    </row>
    <row r="1601" spans="1:11" x14ac:dyDescent="0.25">
      <c r="A1601" t="s">
        <v>10925</v>
      </c>
      <c r="C1601" t="s">
        <v>10926</v>
      </c>
      <c r="D1601" t="s">
        <v>8874</v>
      </c>
      <c r="E1601" t="s">
        <v>6</v>
      </c>
      <c r="F1601" t="s">
        <v>251</v>
      </c>
      <c r="G1601">
        <v>7</v>
      </c>
      <c r="H1601" s="2">
        <f>Tabelle13[[#This Row],[commits]]/Tabelle13[[#Totals],[commits]]</f>
        <v>3.2534533082972354E-5</v>
      </c>
      <c r="I1601" s="5">
        <f>Tabelle13[[#This Row],[%]]+I1600</f>
        <v>0.94179572031456182</v>
      </c>
      <c r="J1601" s="4">
        <f t="shared" si="81"/>
        <v>1.105583195135434E-4</v>
      </c>
      <c r="K1601" s="5">
        <f t="shared" si="82"/>
        <v>0.17678275290214995</v>
      </c>
    </row>
    <row r="1602" spans="1:11" x14ac:dyDescent="0.25">
      <c r="A1602" t="s">
        <v>10927</v>
      </c>
      <c r="C1602" t="s">
        <v>10928</v>
      </c>
      <c r="D1602" t="s">
        <v>9035</v>
      </c>
      <c r="E1602" t="s">
        <v>6</v>
      </c>
      <c r="F1602" t="s">
        <v>251</v>
      </c>
      <c r="G1602">
        <v>7</v>
      </c>
      <c r="H1602" s="2">
        <f>Tabelle13[[#This Row],[commits]]/Tabelle13[[#Totals],[commits]]</f>
        <v>3.2534533082972354E-5</v>
      </c>
      <c r="I1602" s="5">
        <f>Tabelle13[[#This Row],[%]]+I1601</f>
        <v>0.94182825484764476</v>
      </c>
      <c r="J1602" s="4">
        <f t="shared" si="81"/>
        <v>1.105583195135434E-4</v>
      </c>
      <c r="K1602" s="5">
        <f t="shared" si="82"/>
        <v>0.17689331122166349</v>
      </c>
    </row>
    <row r="1603" spans="1:11" x14ac:dyDescent="0.25">
      <c r="A1603" t="s">
        <v>10929</v>
      </c>
      <c r="C1603" t="s">
        <v>10930</v>
      </c>
      <c r="D1603" t="s">
        <v>5</v>
      </c>
      <c r="E1603" t="s">
        <v>6</v>
      </c>
      <c r="F1603" t="s">
        <v>251</v>
      </c>
      <c r="G1603">
        <v>7</v>
      </c>
      <c r="H1603" s="2">
        <f>Tabelle13[[#This Row],[commits]]/Tabelle13[[#Totals],[commits]]</f>
        <v>3.2534533082972354E-5</v>
      </c>
      <c r="I1603" s="5">
        <f>Tabelle13[[#This Row],[%]]+I1602</f>
        <v>0.9418607893807277</v>
      </c>
      <c r="J1603" s="4">
        <f t="shared" ref="J1603:J1666" si="83">1/9045</f>
        <v>1.105583195135434E-4</v>
      </c>
      <c r="K1603" s="5">
        <f t="shared" si="82"/>
        <v>0.17700386954117703</v>
      </c>
    </row>
    <row r="1604" spans="1:11" x14ac:dyDescent="0.25">
      <c r="A1604" t="s">
        <v>10931</v>
      </c>
      <c r="C1604" t="s">
        <v>10932</v>
      </c>
      <c r="D1604" t="s">
        <v>5</v>
      </c>
      <c r="E1604" t="s">
        <v>6</v>
      </c>
      <c r="F1604" t="s">
        <v>251</v>
      </c>
      <c r="G1604">
        <v>7</v>
      </c>
      <c r="H1604" s="2">
        <f>Tabelle13[[#This Row],[commits]]/Tabelle13[[#Totals],[commits]]</f>
        <v>3.2534533082972354E-5</v>
      </c>
      <c r="I1604" s="5">
        <f>Tabelle13[[#This Row],[%]]+I1603</f>
        <v>0.94189332391381064</v>
      </c>
      <c r="J1604" s="4">
        <f t="shared" si="83"/>
        <v>1.105583195135434E-4</v>
      </c>
      <c r="K1604" s="5">
        <f t="shared" si="82"/>
        <v>0.17711442786069057</v>
      </c>
    </row>
    <row r="1605" spans="1:11" x14ac:dyDescent="0.25">
      <c r="A1605" t="s">
        <v>10933</v>
      </c>
      <c r="C1605" t="s">
        <v>10934</v>
      </c>
      <c r="D1605" t="s">
        <v>5</v>
      </c>
      <c r="E1605" t="s">
        <v>6</v>
      </c>
      <c r="F1605" t="s">
        <v>251</v>
      </c>
      <c r="G1605">
        <v>7</v>
      </c>
      <c r="H1605" s="2">
        <f>Tabelle13[[#This Row],[commits]]/Tabelle13[[#Totals],[commits]]</f>
        <v>3.2534533082972354E-5</v>
      </c>
      <c r="I1605" s="5">
        <f>Tabelle13[[#This Row],[%]]+I1604</f>
        <v>0.94192585844689358</v>
      </c>
      <c r="J1605" s="4">
        <f t="shared" si="83"/>
        <v>1.105583195135434E-4</v>
      </c>
      <c r="K1605" s="5">
        <f t="shared" si="82"/>
        <v>0.1772249861802041</v>
      </c>
    </row>
    <row r="1606" spans="1:11" x14ac:dyDescent="0.25">
      <c r="A1606" t="s">
        <v>10935</v>
      </c>
      <c r="C1606" t="s">
        <v>10936</v>
      </c>
      <c r="D1606" t="s">
        <v>5</v>
      </c>
      <c r="E1606" t="s">
        <v>6</v>
      </c>
      <c r="F1606" t="s">
        <v>251</v>
      </c>
      <c r="G1606">
        <v>7</v>
      </c>
      <c r="H1606" s="2">
        <f>Tabelle13[[#This Row],[commits]]/Tabelle13[[#Totals],[commits]]</f>
        <v>3.2534533082972354E-5</v>
      </c>
      <c r="I1606" s="5">
        <f>Tabelle13[[#This Row],[%]]+I1605</f>
        <v>0.94195839297997652</v>
      </c>
      <c r="J1606" s="4">
        <f t="shared" si="83"/>
        <v>1.105583195135434E-4</v>
      </c>
      <c r="K1606" s="5">
        <f t="shared" ref="K1606:K1669" si="84">J1606+K1605</f>
        <v>0.17733554449971764</v>
      </c>
    </row>
    <row r="1607" spans="1:11" x14ac:dyDescent="0.25">
      <c r="A1607" t="s">
        <v>10937</v>
      </c>
      <c r="C1607" t="s">
        <v>10938</v>
      </c>
      <c r="D1607" t="s">
        <v>5</v>
      </c>
      <c r="E1607" t="s">
        <v>6</v>
      </c>
      <c r="F1607" t="s">
        <v>251</v>
      </c>
      <c r="G1607">
        <v>7</v>
      </c>
      <c r="H1607" s="2">
        <f>Tabelle13[[#This Row],[commits]]/Tabelle13[[#Totals],[commits]]</f>
        <v>3.2534533082972354E-5</v>
      </c>
      <c r="I1607" s="5">
        <f>Tabelle13[[#This Row],[%]]+I1606</f>
        <v>0.94199092751305946</v>
      </c>
      <c r="J1607" s="4">
        <f t="shared" si="83"/>
        <v>1.105583195135434E-4</v>
      </c>
      <c r="K1607" s="5">
        <f t="shared" si="84"/>
        <v>0.17744610281923118</v>
      </c>
    </row>
    <row r="1608" spans="1:11" x14ac:dyDescent="0.25">
      <c r="A1608" t="s">
        <v>10939</v>
      </c>
      <c r="C1608" t="s">
        <v>10940</v>
      </c>
      <c r="D1608" t="s">
        <v>8948</v>
      </c>
      <c r="E1608" t="s">
        <v>6</v>
      </c>
      <c r="F1608" t="s">
        <v>251</v>
      </c>
      <c r="G1608">
        <v>7</v>
      </c>
      <c r="H1608" s="2">
        <f>Tabelle13[[#This Row],[commits]]/Tabelle13[[#Totals],[commits]]</f>
        <v>3.2534533082972354E-5</v>
      </c>
      <c r="I1608" s="5">
        <f>Tabelle13[[#This Row],[%]]+I1607</f>
        <v>0.9420234620461424</v>
      </c>
      <c r="J1608" s="4">
        <f t="shared" si="83"/>
        <v>1.105583195135434E-4</v>
      </c>
      <c r="K1608" s="5">
        <f t="shared" si="84"/>
        <v>0.17755666113874471</v>
      </c>
    </row>
    <row r="1609" spans="1:11" x14ac:dyDescent="0.25">
      <c r="A1609" t="s">
        <v>10941</v>
      </c>
      <c r="C1609" t="s">
        <v>10942</v>
      </c>
      <c r="D1609" t="s">
        <v>309</v>
      </c>
      <c r="E1609" t="s">
        <v>6</v>
      </c>
      <c r="F1609" t="s">
        <v>251</v>
      </c>
      <c r="G1609">
        <v>7</v>
      </c>
      <c r="H1609" s="2">
        <f>Tabelle13[[#This Row],[commits]]/Tabelle13[[#Totals],[commits]]</f>
        <v>3.2534533082972354E-5</v>
      </c>
      <c r="I1609" s="5">
        <f>Tabelle13[[#This Row],[%]]+I1608</f>
        <v>0.94205599657922534</v>
      </c>
      <c r="J1609" s="4">
        <f t="shared" si="83"/>
        <v>1.105583195135434E-4</v>
      </c>
      <c r="K1609" s="5">
        <f t="shared" si="84"/>
        <v>0.17766721945825825</v>
      </c>
    </row>
    <row r="1610" spans="1:11" x14ac:dyDescent="0.25">
      <c r="A1610" t="s">
        <v>10943</v>
      </c>
      <c r="C1610" t="s">
        <v>10944</v>
      </c>
      <c r="D1610" t="s">
        <v>309</v>
      </c>
      <c r="E1610" t="s">
        <v>6</v>
      </c>
      <c r="F1610" t="s">
        <v>251</v>
      </c>
      <c r="G1610">
        <v>7</v>
      </c>
      <c r="H1610" s="2">
        <f>Tabelle13[[#This Row],[commits]]/Tabelle13[[#Totals],[commits]]</f>
        <v>3.2534533082972354E-5</v>
      </c>
      <c r="I1610" s="5">
        <f>Tabelle13[[#This Row],[%]]+I1609</f>
        <v>0.94208853111230828</v>
      </c>
      <c r="J1610" s="4">
        <f t="shared" si="83"/>
        <v>1.105583195135434E-4</v>
      </c>
      <c r="K1610" s="5">
        <f t="shared" si="84"/>
        <v>0.17777777777777179</v>
      </c>
    </row>
    <row r="1611" spans="1:11" x14ac:dyDescent="0.25">
      <c r="A1611" t="s">
        <v>10945</v>
      </c>
      <c r="C1611" t="s">
        <v>10946</v>
      </c>
      <c r="D1611" t="s">
        <v>8874</v>
      </c>
      <c r="E1611" t="s">
        <v>6</v>
      </c>
      <c r="F1611" t="s">
        <v>251</v>
      </c>
      <c r="G1611">
        <v>7</v>
      </c>
      <c r="H1611" s="2">
        <f>Tabelle13[[#This Row],[commits]]/Tabelle13[[#Totals],[commits]]</f>
        <v>3.2534533082972354E-5</v>
      </c>
      <c r="I1611" s="5">
        <f>Tabelle13[[#This Row],[%]]+I1610</f>
        <v>0.94212106564539122</v>
      </c>
      <c r="J1611" s="4">
        <f t="shared" si="83"/>
        <v>1.105583195135434E-4</v>
      </c>
      <c r="K1611" s="5">
        <f t="shared" si="84"/>
        <v>0.17788833609728533</v>
      </c>
    </row>
    <row r="1612" spans="1:11" x14ac:dyDescent="0.25">
      <c r="A1612" t="s">
        <v>10947</v>
      </c>
      <c r="C1612" t="s">
        <v>10948</v>
      </c>
      <c r="D1612" t="s">
        <v>309</v>
      </c>
      <c r="E1612" t="s">
        <v>6</v>
      </c>
      <c r="F1612" t="s">
        <v>251</v>
      </c>
      <c r="G1612">
        <v>7</v>
      </c>
      <c r="H1612" s="2">
        <f>Tabelle13[[#This Row],[commits]]/Tabelle13[[#Totals],[commits]]</f>
        <v>3.2534533082972354E-5</v>
      </c>
      <c r="I1612" s="5">
        <f>Tabelle13[[#This Row],[%]]+I1611</f>
        <v>0.94215360017847416</v>
      </c>
      <c r="J1612" s="4">
        <f t="shared" si="83"/>
        <v>1.105583195135434E-4</v>
      </c>
      <c r="K1612" s="5">
        <f t="shared" si="84"/>
        <v>0.17799889441679886</v>
      </c>
    </row>
    <row r="1613" spans="1:11" x14ac:dyDescent="0.25">
      <c r="A1613" t="s">
        <v>10949</v>
      </c>
      <c r="C1613" t="s">
        <v>10950</v>
      </c>
      <c r="D1613" t="s">
        <v>5</v>
      </c>
      <c r="E1613" t="s">
        <v>6</v>
      </c>
      <c r="F1613" t="s">
        <v>251</v>
      </c>
      <c r="G1613">
        <v>7</v>
      </c>
      <c r="H1613" s="2">
        <f>Tabelle13[[#This Row],[commits]]/Tabelle13[[#Totals],[commits]]</f>
        <v>3.2534533082972354E-5</v>
      </c>
      <c r="I1613" s="5">
        <f>Tabelle13[[#This Row],[%]]+I1612</f>
        <v>0.9421861347115571</v>
      </c>
      <c r="J1613" s="4">
        <f t="shared" si="83"/>
        <v>1.105583195135434E-4</v>
      </c>
      <c r="K1613" s="5">
        <f t="shared" si="84"/>
        <v>0.1781094527363124</v>
      </c>
    </row>
    <row r="1614" spans="1:11" x14ac:dyDescent="0.25">
      <c r="A1614" t="s">
        <v>10951</v>
      </c>
      <c r="C1614" t="s">
        <v>10952</v>
      </c>
      <c r="D1614" t="s">
        <v>5</v>
      </c>
      <c r="E1614" t="s">
        <v>6</v>
      </c>
      <c r="F1614" t="s">
        <v>251</v>
      </c>
      <c r="G1614">
        <v>7</v>
      </c>
      <c r="H1614" s="2">
        <f>Tabelle13[[#This Row],[commits]]/Tabelle13[[#Totals],[commits]]</f>
        <v>3.2534533082972354E-5</v>
      </c>
      <c r="I1614" s="5">
        <f>Tabelle13[[#This Row],[%]]+I1613</f>
        <v>0.94221866924464004</v>
      </c>
      <c r="J1614" s="4">
        <f t="shared" si="83"/>
        <v>1.105583195135434E-4</v>
      </c>
      <c r="K1614" s="5">
        <f t="shared" si="84"/>
        <v>0.17822001105582594</v>
      </c>
    </row>
    <row r="1615" spans="1:11" x14ac:dyDescent="0.25">
      <c r="A1615" t="s">
        <v>10953</v>
      </c>
      <c r="C1615">
        <v>951425797</v>
      </c>
      <c r="D1615" t="s">
        <v>5</v>
      </c>
      <c r="E1615" t="s">
        <v>6</v>
      </c>
      <c r="F1615" t="s">
        <v>251</v>
      </c>
      <c r="G1615">
        <v>7</v>
      </c>
      <c r="H1615" s="2">
        <f>Tabelle13[[#This Row],[commits]]/Tabelle13[[#Totals],[commits]]</f>
        <v>3.2534533082972354E-5</v>
      </c>
      <c r="I1615" s="5">
        <f>Tabelle13[[#This Row],[%]]+I1614</f>
        <v>0.94225120377772298</v>
      </c>
      <c r="J1615" s="4">
        <f t="shared" si="83"/>
        <v>1.105583195135434E-4</v>
      </c>
      <c r="K1615" s="5">
        <f t="shared" si="84"/>
        <v>0.17833056937533948</v>
      </c>
    </row>
    <row r="1616" spans="1:11" x14ac:dyDescent="0.25">
      <c r="A1616" t="s">
        <v>10954</v>
      </c>
      <c r="C1616" t="s">
        <v>10955</v>
      </c>
      <c r="D1616" t="s">
        <v>9997</v>
      </c>
      <c r="E1616" t="s">
        <v>6</v>
      </c>
      <c r="F1616" t="s">
        <v>251</v>
      </c>
      <c r="G1616">
        <v>7</v>
      </c>
      <c r="H1616" s="2">
        <f>Tabelle13[[#This Row],[commits]]/Tabelle13[[#Totals],[commits]]</f>
        <v>3.2534533082972354E-5</v>
      </c>
      <c r="I1616" s="5">
        <f>Tabelle13[[#This Row],[%]]+I1615</f>
        <v>0.94228373831080592</v>
      </c>
      <c r="J1616" s="4">
        <f t="shared" si="83"/>
        <v>1.105583195135434E-4</v>
      </c>
      <c r="K1616" s="5">
        <f t="shared" si="84"/>
        <v>0.17844112769485301</v>
      </c>
    </row>
    <row r="1617" spans="1:11" x14ac:dyDescent="0.25">
      <c r="A1617" t="s">
        <v>10956</v>
      </c>
      <c r="C1617" t="s">
        <v>10957</v>
      </c>
      <c r="D1617" t="s">
        <v>5</v>
      </c>
      <c r="E1617" t="s">
        <v>6</v>
      </c>
      <c r="F1617" t="s">
        <v>251</v>
      </c>
      <c r="G1617">
        <v>7</v>
      </c>
      <c r="H1617" s="2">
        <f>Tabelle13[[#This Row],[commits]]/Tabelle13[[#Totals],[commits]]</f>
        <v>3.2534533082972354E-5</v>
      </c>
      <c r="I1617" s="5">
        <f>Tabelle13[[#This Row],[%]]+I1616</f>
        <v>0.94231627284388886</v>
      </c>
      <c r="J1617" s="4">
        <f t="shared" si="83"/>
        <v>1.105583195135434E-4</v>
      </c>
      <c r="K1617" s="5">
        <f t="shared" si="84"/>
        <v>0.17855168601436655</v>
      </c>
    </row>
    <row r="1618" spans="1:11" x14ac:dyDescent="0.25">
      <c r="A1618" t="s">
        <v>10958</v>
      </c>
      <c r="C1618" t="s">
        <v>10959</v>
      </c>
      <c r="D1618" t="s">
        <v>5</v>
      </c>
      <c r="E1618" t="s">
        <v>6</v>
      </c>
      <c r="F1618" t="s">
        <v>251</v>
      </c>
      <c r="G1618">
        <v>7</v>
      </c>
      <c r="H1618" s="2">
        <f>Tabelle13[[#This Row],[commits]]/Tabelle13[[#Totals],[commits]]</f>
        <v>3.2534533082972354E-5</v>
      </c>
      <c r="I1618" s="5">
        <f>Tabelle13[[#This Row],[%]]+I1617</f>
        <v>0.9423488073769718</v>
      </c>
      <c r="J1618" s="4">
        <f t="shared" si="83"/>
        <v>1.105583195135434E-4</v>
      </c>
      <c r="K1618" s="5">
        <f t="shared" si="84"/>
        <v>0.17866224433388009</v>
      </c>
    </row>
    <row r="1619" spans="1:11" x14ac:dyDescent="0.25">
      <c r="A1619" t="s">
        <v>10960</v>
      </c>
      <c r="C1619" t="s">
        <v>10961</v>
      </c>
      <c r="D1619" t="s">
        <v>309</v>
      </c>
      <c r="E1619" t="s">
        <v>6</v>
      </c>
      <c r="F1619" t="s">
        <v>251</v>
      </c>
      <c r="G1619">
        <v>7</v>
      </c>
      <c r="H1619" s="2">
        <f>Tabelle13[[#This Row],[commits]]/Tabelle13[[#Totals],[commits]]</f>
        <v>3.2534533082972354E-5</v>
      </c>
      <c r="I1619" s="5">
        <f>Tabelle13[[#This Row],[%]]+I1618</f>
        <v>0.94238134191005474</v>
      </c>
      <c r="J1619" s="4">
        <f t="shared" si="83"/>
        <v>1.105583195135434E-4</v>
      </c>
      <c r="K1619" s="5">
        <f t="shared" si="84"/>
        <v>0.17877280265339363</v>
      </c>
    </row>
    <row r="1620" spans="1:11" x14ac:dyDescent="0.25">
      <c r="A1620" t="s">
        <v>10962</v>
      </c>
      <c r="C1620" t="s">
        <v>10963</v>
      </c>
      <c r="D1620" t="s">
        <v>5</v>
      </c>
      <c r="E1620" t="s">
        <v>6</v>
      </c>
      <c r="F1620" t="s">
        <v>251</v>
      </c>
      <c r="G1620">
        <v>7</v>
      </c>
      <c r="H1620" s="2">
        <f>Tabelle13[[#This Row],[commits]]/Tabelle13[[#Totals],[commits]]</f>
        <v>3.2534533082972354E-5</v>
      </c>
      <c r="I1620" s="5">
        <f>Tabelle13[[#This Row],[%]]+I1619</f>
        <v>0.94241387644313768</v>
      </c>
      <c r="J1620" s="4">
        <f t="shared" si="83"/>
        <v>1.105583195135434E-4</v>
      </c>
      <c r="K1620" s="5">
        <f t="shared" si="84"/>
        <v>0.17888336097290716</v>
      </c>
    </row>
    <row r="1621" spans="1:11" x14ac:dyDescent="0.25">
      <c r="A1621" t="s">
        <v>10964</v>
      </c>
      <c r="C1621" t="s">
        <v>10965</v>
      </c>
      <c r="D1621" t="s">
        <v>8948</v>
      </c>
      <c r="E1621" t="s">
        <v>6</v>
      </c>
      <c r="F1621" t="s">
        <v>251</v>
      </c>
      <c r="G1621">
        <v>7</v>
      </c>
      <c r="H1621" s="2">
        <f>Tabelle13[[#This Row],[commits]]/Tabelle13[[#Totals],[commits]]</f>
        <v>3.2534533082972354E-5</v>
      </c>
      <c r="I1621" s="5">
        <f>Tabelle13[[#This Row],[%]]+I1620</f>
        <v>0.94244641097622062</v>
      </c>
      <c r="J1621" s="4">
        <f t="shared" si="83"/>
        <v>1.105583195135434E-4</v>
      </c>
      <c r="K1621" s="5">
        <f t="shared" si="84"/>
        <v>0.1789939192924207</v>
      </c>
    </row>
    <row r="1622" spans="1:11" x14ac:dyDescent="0.25">
      <c r="A1622" t="s">
        <v>10966</v>
      </c>
      <c r="C1622" t="s">
        <v>10967</v>
      </c>
      <c r="D1622" t="s">
        <v>5</v>
      </c>
      <c r="E1622" t="s">
        <v>6</v>
      </c>
      <c r="F1622" t="s">
        <v>251</v>
      </c>
      <c r="G1622">
        <v>7</v>
      </c>
      <c r="H1622" s="2">
        <f>Tabelle13[[#This Row],[commits]]/Tabelle13[[#Totals],[commits]]</f>
        <v>3.2534533082972354E-5</v>
      </c>
      <c r="I1622" s="5">
        <f>Tabelle13[[#This Row],[%]]+I1621</f>
        <v>0.94247894550930356</v>
      </c>
      <c r="J1622" s="4">
        <f t="shared" si="83"/>
        <v>1.105583195135434E-4</v>
      </c>
      <c r="K1622" s="5">
        <f t="shared" si="84"/>
        <v>0.17910447761193424</v>
      </c>
    </row>
    <row r="1623" spans="1:11" x14ac:dyDescent="0.25">
      <c r="A1623" t="s">
        <v>10968</v>
      </c>
      <c r="C1623" t="s">
        <v>10969</v>
      </c>
      <c r="D1623" t="s">
        <v>9929</v>
      </c>
      <c r="E1623" t="s">
        <v>6</v>
      </c>
      <c r="F1623" t="s">
        <v>251</v>
      </c>
      <c r="G1623">
        <v>7</v>
      </c>
      <c r="H1623" s="2">
        <f>Tabelle13[[#This Row],[commits]]/Tabelle13[[#Totals],[commits]]</f>
        <v>3.2534533082972354E-5</v>
      </c>
      <c r="I1623" s="5">
        <f>Tabelle13[[#This Row],[%]]+I1622</f>
        <v>0.9425114800423865</v>
      </c>
      <c r="J1623" s="4">
        <f t="shared" si="83"/>
        <v>1.105583195135434E-4</v>
      </c>
      <c r="K1623" s="5">
        <f t="shared" si="84"/>
        <v>0.17921503593144777</v>
      </c>
    </row>
    <row r="1624" spans="1:11" x14ac:dyDescent="0.25">
      <c r="A1624" t="s">
        <v>10970</v>
      </c>
      <c r="C1624" t="s">
        <v>10971</v>
      </c>
      <c r="D1624" t="s">
        <v>8948</v>
      </c>
      <c r="E1624" t="s">
        <v>6</v>
      </c>
      <c r="F1624" t="s">
        <v>251</v>
      </c>
      <c r="G1624">
        <v>7</v>
      </c>
      <c r="H1624" s="2">
        <f>Tabelle13[[#This Row],[commits]]/Tabelle13[[#Totals],[commits]]</f>
        <v>3.2534533082972354E-5</v>
      </c>
      <c r="I1624" s="5">
        <f>Tabelle13[[#This Row],[%]]+I1623</f>
        <v>0.94254401457546944</v>
      </c>
      <c r="J1624" s="4">
        <f t="shared" si="83"/>
        <v>1.105583195135434E-4</v>
      </c>
      <c r="K1624" s="5">
        <f t="shared" si="84"/>
        <v>0.17932559425096131</v>
      </c>
    </row>
    <row r="1625" spans="1:11" x14ac:dyDescent="0.25">
      <c r="A1625" t="s">
        <v>10972</v>
      </c>
      <c r="C1625" t="s">
        <v>10973</v>
      </c>
      <c r="D1625" t="s">
        <v>5</v>
      </c>
      <c r="E1625" t="s">
        <v>6</v>
      </c>
      <c r="F1625" t="s">
        <v>251</v>
      </c>
      <c r="G1625">
        <v>7</v>
      </c>
      <c r="H1625" s="2">
        <f>Tabelle13[[#This Row],[commits]]/Tabelle13[[#Totals],[commits]]</f>
        <v>3.2534533082972354E-5</v>
      </c>
      <c r="I1625" s="5">
        <f>Tabelle13[[#This Row],[%]]+I1624</f>
        <v>0.94257654910855238</v>
      </c>
      <c r="J1625" s="4">
        <f t="shared" si="83"/>
        <v>1.105583195135434E-4</v>
      </c>
      <c r="K1625" s="5">
        <f t="shared" si="84"/>
        <v>0.17943615257047485</v>
      </c>
    </row>
    <row r="1626" spans="1:11" x14ac:dyDescent="0.25">
      <c r="A1626" t="s">
        <v>10974</v>
      </c>
      <c r="C1626" t="s">
        <v>10975</v>
      </c>
      <c r="D1626" t="s">
        <v>10976</v>
      </c>
      <c r="E1626" t="s">
        <v>6</v>
      </c>
      <c r="F1626" t="s">
        <v>251</v>
      </c>
      <c r="G1626">
        <v>7</v>
      </c>
      <c r="H1626" s="2">
        <f>Tabelle13[[#This Row],[commits]]/Tabelle13[[#Totals],[commits]]</f>
        <v>3.2534533082972354E-5</v>
      </c>
      <c r="I1626" s="5">
        <f>Tabelle13[[#This Row],[%]]+I1625</f>
        <v>0.94260908364163531</v>
      </c>
      <c r="J1626" s="4">
        <f t="shared" si="83"/>
        <v>1.105583195135434E-4</v>
      </c>
      <c r="K1626" s="5">
        <f t="shared" si="84"/>
        <v>0.17954671088998839</v>
      </c>
    </row>
    <row r="1627" spans="1:11" x14ac:dyDescent="0.25">
      <c r="A1627" t="s">
        <v>10977</v>
      </c>
      <c r="C1627" t="s">
        <v>10978</v>
      </c>
      <c r="D1627" t="s">
        <v>5</v>
      </c>
      <c r="E1627" t="s">
        <v>6</v>
      </c>
      <c r="F1627" t="s">
        <v>251</v>
      </c>
      <c r="G1627">
        <v>7</v>
      </c>
      <c r="H1627" s="2">
        <f>Tabelle13[[#This Row],[commits]]/Tabelle13[[#Totals],[commits]]</f>
        <v>3.2534533082972354E-5</v>
      </c>
      <c r="I1627" s="5">
        <f>Tabelle13[[#This Row],[%]]+I1626</f>
        <v>0.94264161817471825</v>
      </c>
      <c r="J1627" s="4">
        <f t="shared" si="83"/>
        <v>1.105583195135434E-4</v>
      </c>
      <c r="K1627" s="5">
        <f t="shared" si="84"/>
        <v>0.17965726920950192</v>
      </c>
    </row>
    <row r="1628" spans="1:11" x14ac:dyDescent="0.25">
      <c r="A1628" t="s">
        <v>10979</v>
      </c>
      <c r="C1628" t="s">
        <v>10980</v>
      </c>
      <c r="D1628" t="s">
        <v>9035</v>
      </c>
      <c r="E1628" t="s">
        <v>6</v>
      </c>
      <c r="F1628" t="s">
        <v>251</v>
      </c>
      <c r="G1628">
        <v>7</v>
      </c>
      <c r="H1628" s="2">
        <f>Tabelle13[[#This Row],[commits]]/Tabelle13[[#Totals],[commits]]</f>
        <v>3.2534533082972354E-5</v>
      </c>
      <c r="I1628" s="5">
        <f>Tabelle13[[#This Row],[%]]+I1627</f>
        <v>0.94267415270780119</v>
      </c>
      <c r="J1628" s="4">
        <f t="shared" si="83"/>
        <v>1.105583195135434E-4</v>
      </c>
      <c r="K1628" s="5">
        <f t="shared" si="84"/>
        <v>0.17976782752901546</v>
      </c>
    </row>
    <row r="1629" spans="1:11" x14ac:dyDescent="0.25">
      <c r="A1629" t="s">
        <v>10981</v>
      </c>
      <c r="C1629" t="s">
        <v>10982</v>
      </c>
      <c r="D1629" t="s">
        <v>5</v>
      </c>
      <c r="E1629" t="s">
        <v>6</v>
      </c>
      <c r="F1629" t="s">
        <v>251</v>
      </c>
      <c r="G1629">
        <v>7</v>
      </c>
      <c r="H1629" s="2">
        <f>Tabelle13[[#This Row],[commits]]/Tabelle13[[#Totals],[commits]]</f>
        <v>3.2534533082972354E-5</v>
      </c>
      <c r="I1629" s="5">
        <f>Tabelle13[[#This Row],[%]]+I1628</f>
        <v>0.94270668724088413</v>
      </c>
      <c r="J1629" s="4">
        <f t="shared" si="83"/>
        <v>1.105583195135434E-4</v>
      </c>
      <c r="K1629" s="5">
        <f t="shared" si="84"/>
        <v>0.179878385848529</v>
      </c>
    </row>
    <row r="1630" spans="1:11" x14ac:dyDescent="0.25">
      <c r="A1630" t="s">
        <v>10983</v>
      </c>
      <c r="C1630" t="s">
        <v>10984</v>
      </c>
      <c r="D1630" t="s">
        <v>5</v>
      </c>
      <c r="E1630" t="s">
        <v>6</v>
      </c>
      <c r="F1630" t="s">
        <v>251</v>
      </c>
      <c r="G1630">
        <v>7</v>
      </c>
      <c r="H1630" s="2">
        <f>Tabelle13[[#This Row],[commits]]/Tabelle13[[#Totals],[commits]]</f>
        <v>3.2534533082972354E-5</v>
      </c>
      <c r="I1630" s="5">
        <f>Tabelle13[[#This Row],[%]]+I1629</f>
        <v>0.94273922177396707</v>
      </c>
      <c r="J1630" s="4">
        <f t="shared" si="83"/>
        <v>1.105583195135434E-4</v>
      </c>
      <c r="K1630" s="5">
        <f t="shared" si="84"/>
        <v>0.17998894416804254</v>
      </c>
    </row>
    <row r="1631" spans="1:11" x14ac:dyDescent="0.25">
      <c r="A1631" t="s">
        <v>10985</v>
      </c>
      <c r="C1631" t="s">
        <v>10986</v>
      </c>
      <c r="D1631" t="s">
        <v>5</v>
      </c>
      <c r="E1631" t="s">
        <v>6</v>
      </c>
      <c r="F1631" t="s">
        <v>251</v>
      </c>
      <c r="G1631">
        <v>7</v>
      </c>
      <c r="H1631" s="2">
        <f>Tabelle13[[#This Row],[commits]]/Tabelle13[[#Totals],[commits]]</f>
        <v>3.2534533082972354E-5</v>
      </c>
      <c r="I1631" s="5">
        <f>Tabelle13[[#This Row],[%]]+I1630</f>
        <v>0.94277175630705001</v>
      </c>
      <c r="J1631" s="4">
        <f t="shared" si="83"/>
        <v>1.105583195135434E-4</v>
      </c>
      <c r="K1631" s="5">
        <f t="shared" si="84"/>
        <v>0.18009950248755607</v>
      </c>
    </row>
    <row r="1632" spans="1:11" x14ac:dyDescent="0.25">
      <c r="A1632" t="s">
        <v>10987</v>
      </c>
      <c r="C1632" t="s">
        <v>10988</v>
      </c>
      <c r="D1632" t="s">
        <v>5</v>
      </c>
      <c r="E1632" t="s">
        <v>6</v>
      </c>
      <c r="F1632" t="s">
        <v>251</v>
      </c>
      <c r="G1632">
        <v>7</v>
      </c>
      <c r="H1632" s="2">
        <f>Tabelle13[[#This Row],[commits]]/Tabelle13[[#Totals],[commits]]</f>
        <v>3.2534533082972354E-5</v>
      </c>
      <c r="I1632" s="5">
        <f>Tabelle13[[#This Row],[%]]+I1631</f>
        <v>0.94280429084013295</v>
      </c>
      <c r="J1632" s="4">
        <f t="shared" si="83"/>
        <v>1.105583195135434E-4</v>
      </c>
      <c r="K1632" s="5">
        <f t="shared" si="84"/>
        <v>0.18021006080706961</v>
      </c>
    </row>
    <row r="1633" spans="1:11" x14ac:dyDescent="0.25">
      <c r="A1633" t="s">
        <v>10989</v>
      </c>
      <c r="C1633" t="s">
        <v>10990</v>
      </c>
      <c r="D1633" t="s">
        <v>5</v>
      </c>
      <c r="E1633" t="s">
        <v>6</v>
      </c>
      <c r="F1633" t="s">
        <v>251</v>
      </c>
      <c r="G1633">
        <v>7</v>
      </c>
      <c r="H1633" s="2">
        <f>Tabelle13[[#This Row],[commits]]/Tabelle13[[#Totals],[commits]]</f>
        <v>3.2534533082972354E-5</v>
      </c>
      <c r="I1633" s="5">
        <f>Tabelle13[[#This Row],[%]]+I1632</f>
        <v>0.94283682537321589</v>
      </c>
      <c r="J1633" s="4">
        <f t="shared" si="83"/>
        <v>1.105583195135434E-4</v>
      </c>
      <c r="K1633" s="5">
        <f t="shared" si="84"/>
        <v>0.18032061912658315</v>
      </c>
    </row>
    <row r="1634" spans="1:11" x14ac:dyDescent="0.25">
      <c r="A1634" t="s">
        <v>10991</v>
      </c>
      <c r="C1634" t="s">
        <v>10992</v>
      </c>
      <c r="D1634" t="s">
        <v>10993</v>
      </c>
      <c r="E1634" t="s">
        <v>6</v>
      </c>
      <c r="F1634" t="s">
        <v>251</v>
      </c>
      <c r="G1634">
        <v>7</v>
      </c>
      <c r="H1634" s="2">
        <f>Tabelle13[[#This Row],[commits]]/Tabelle13[[#Totals],[commits]]</f>
        <v>3.2534533082972354E-5</v>
      </c>
      <c r="I1634" s="5">
        <f>Tabelle13[[#This Row],[%]]+I1633</f>
        <v>0.94286935990629883</v>
      </c>
      <c r="J1634" s="4">
        <f t="shared" si="83"/>
        <v>1.105583195135434E-4</v>
      </c>
      <c r="K1634" s="5">
        <f t="shared" si="84"/>
        <v>0.18043117744609669</v>
      </c>
    </row>
    <row r="1635" spans="1:11" x14ac:dyDescent="0.25">
      <c r="A1635" t="s">
        <v>10994</v>
      </c>
      <c r="C1635" t="s">
        <v>10995</v>
      </c>
      <c r="D1635" t="s">
        <v>5</v>
      </c>
      <c r="E1635" t="s">
        <v>6</v>
      </c>
      <c r="F1635" t="s">
        <v>251</v>
      </c>
      <c r="G1635">
        <v>7</v>
      </c>
      <c r="H1635" s="2">
        <f>Tabelle13[[#This Row],[commits]]/Tabelle13[[#Totals],[commits]]</f>
        <v>3.2534533082972354E-5</v>
      </c>
      <c r="I1635" s="5">
        <f>Tabelle13[[#This Row],[%]]+I1634</f>
        <v>0.94290189443938177</v>
      </c>
      <c r="J1635" s="4">
        <f t="shared" si="83"/>
        <v>1.105583195135434E-4</v>
      </c>
      <c r="K1635" s="5">
        <f t="shared" si="84"/>
        <v>0.18054173576561022</v>
      </c>
    </row>
    <row r="1636" spans="1:11" x14ac:dyDescent="0.25">
      <c r="A1636" t="s">
        <v>10996</v>
      </c>
      <c r="C1636" t="s">
        <v>10997</v>
      </c>
      <c r="D1636" t="s">
        <v>5</v>
      </c>
      <c r="E1636" t="s">
        <v>6</v>
      </c>
      <c r="F1636" t="s">
        <v>251</v>
      </c>
      <c r="G1636">
        <v>7</v>
      </c>
      <c r="H1636" s="2">
        <f>Tabelle13[[#This Row],[commits]]/Tabelle13[[#Totals],[commits]]</f>
        <v>3.2534533082972354E-5</v>
      </c>
      <c r="I1636" s="5">
        <f>Tabelle13[[#This Row],[%]]+I1635</f>
        <v>0.94293442897246471</v>
      </c>
      <c r="J1636" s="4">
        <f t="shared" si="83"/>
        <v>1.105583195135434E-4</v>
      </c>
      <c r="K1636" s="5">
        <f t="shared" si="84"/>
        <v>0.18065229408512376</v>
      </c>
    </row>
    <row r="1637" spans="1:11" x14ac:dyDescent="0.25">
      <c r="A1637" t="s">
        <v>10998</v>
      </c>
      <c r="C1637" t="s">
        <v>10999</v>
      </c>
      <c r="D1637" t="s">
        <v>309</v>
      </c>
      <c r="E1637" t="s">
        <v>6</v>
      </c>
      <c r="F1637" t="s">
        <v>251</v>
      </c>
      <c r="G1637">
        <v>7</v>
      </c>
      <c r="H1637" s="2">
        <f>Tabelle13[[#This Row],[commits]]/Tabelle13[[#Totals],[commits]]</f>
        <v>3.2534533082972354E-5</v>
      </c>
      <c r="I1637" s="5">
        <f>Tabelle13[[#This Row],[%]]+I1636</f>
        <v>0.94296696350554765</v>
      </c>
      <c r="J1637" s="4">
        <f t="shared" si="83"/>
        <v>1.105583195135434E-4</v>
      </c>
      <c r="K1637" s="5">
        <f t="shared" si="84"/>
        <v>0.1807628524046373</v>
      </c>
    </row>
    <row r="1638" spans="1:11" x14ac:dyDescent="0.25">
      <c r="A1638" t="s">
        <v>11000</v>
      </c>
      <c r="C1638" t="s">
        <v>11001</v>
      </c>
      <c r="D1638" t="s">
        <v>5</v>
      </c>
      <c r="E1638" t="s">
        <v>6</v>
      </c>
      <c r="F1638" t="s">
        <v>251</v>
      </c>
      <c r="G1638">
        <v>7</v>
      </c>
      <c r="H1638" s="2">
        <f>Tabelle13[[#This Row],[commits]]/Tabelle13[[#Totals],[commits]]</f>
        <v>3.2534533082972354E-5</v>
      </c>
      <c r="I1638" s="5">
        <f>Tabelle13[[#This Row],[%]]+I1637</f>
        <v>0.94299949803863059</v>
      </c>
      <c r="J1638" s="4">
        <f t="shared" si="83"/>
        <v>1.105583195135434E-4</v>
      </c>
      <c r="K1638" s="5">
        <f t="shared" si="84"/>
        <v>0.18087341072415083</v>
      </c>
    </row>
    <row r="1639" spans="1:11" x14ac:dyDescent="0.25">
      <c r="A1639" t="s">
        <v>11002</v>
      </c>
      <c r="C1639" t="s">
        <v>11003</v>
      </c>
      <c r="D1639" t="s">
        <v>309</v>
      </c>
      <c r="E1639" t="s">
        <v>6</v>
      </c>
      <c r="F1639" t="s">
        <v>251</v>
      </c>
      <c r="G1639">
        <v>7</v>
      </c>
      <c r="H1639" s="2">
        <f>Tabelle13[[#This Row],[commits]]/Tabelle13[[#Totals],[commits]]</f>
        <v>3.2534533082972354E-5</v>
      </c>
      <c r="I1639" s="5">
        <f>Tabelle13[[#This Row],[%]]+I1638</f>
        <v>0.94303203257171353</v>
      </c>
      <c r="J1639" s="4">
        <f t="shared" si="83"/>
        <v>1.105583195135434E-4</v>
      </c>
      <c r="K1639" s="5">
        <f t="shared" si="84"/>
        <v>0.18098396904366437</v>
      </c>
    </row>
    <row r="1640" spans="1:11" x14ac:dyDescent="0.25">
      <c r="A1640" t="s">
        <v>11004</v>
      </c>
      <c r="C1640" t="s">
        <v>11005</v>
      </c>
      <c r="D1640" t="s">
        <v>5</v>
      </c>
      <c r="E1640" t="s">
        <v>6</v>
      </c>
      <c r="F1640" t="s">
        <v>251</v>
      </c>
      <c r="G1640">
        <v>7</v>
      </c>
      <c r="H1640" s="2">
        <f>Tabelle13[[#This Row],[commits]]/Tabelle13[[#Totals],[commits]]</f>
        <v>3.2534533082972354E-5</v>
      </c>
      <c r="I1640" s="5">
        <f>Tabelle13[[#This Row],[%]]+I1639</f>
        <v>0.94306456710479647</v>
      </c>
      <c r="J1640" s="4">
        <f t="shared" si="83"/>
        <v>1.105583195135434E-4</v>
      </c>
      <c r="K1640" s="5">
        <f t="shared" si="84"/>
        <v>0.18109452736317791</v>
      </c>
    </row>
    <row r="1641" spans="1:11" x14ac:dyDescent="0.25">
      <c r="A1641" t="s">
        <v>11006</v>
      </c>
      <c r="C1641" t="s">
        <v>11007</v>
      </c>
      <c r="D1641" t="s">
        <v>11008</v>
      </c>
      <c r="E1641" t="s">
        <v>6</v>
      </c>
      <c r="F1641" t="s">
        <v>251</v>
      </c>
      <c r="G1641">
        <v>7</v>
      </c>
      <c r="H1641" s="2">
        <f>Tabelle13[[#This Row],[commits]]/Tabelle13[[#Totals],[commits]]</f>
        <v>3.2534533082972354E-5</v>
      </c>
      <c r="I1641" s="5">
        <f>Tabelle13[[#This Row],[%]]+I1640</f>
        <v>0.94309710163787941</v>
      </c>
      <c r="J1641" s="4">
        <f t="shared" si="83"/>
        <v>1.105583195135434E-4</v>
      </c>
      <c r="K1641" s="5">
        <f t="shared" si="84"/>
        <v>0.18120508568269145</v>
      </c>
    </row>
    <row r="1642" spans="1:11" x14ac:dyDescent="0.25">
      <c r="A1642" t="s">
        <v>11009</v>
      </c>
      <c r="C1642" t="s">
        <v>11010</v>
      </c>
      <c r="D1642" t="s">
        <v>10087</v>
      </c>
      <c r="E1642" t="s">
        <v>6</v>
      </c>
      <c r="F1642" t="s">
        <v>251</v>
      </c>
      <c r="G1642">
        <v>7</v>
      </c>
      <c r="H1642" s="2">
        <f>Tabelle13[[#This Row],[commits]]/Tabelle13[[#Totals],[commits]]</f>
        <v>3.2534533082972354E-5</v>
      </c>
      <c r="I1642" s="5">
        <f>Tabelle13[[#This Row],[%]]+I1641</f>
        <v>0.94312963617096235</v>
      </c>
      <c r="J1642" s="4">
        <f t="shared" si="83"/>
        <v>1.105583195135434E-4</v>
      </c>
      <c r="K1642" s="5">
        <f t="shared" si="84"/>
        <v>0.18131564400220498</v>
      </c>
    </row>
    <row r="1643" spans="1:11" x14ac:dyDescent="0.25">
      <c r="A1643" t="s">
        <v>11011</v>
      </c>
      <c r="C1643" t="s">
        <v>11012</v>
      </c>
      <c r="D1643" t="s">
        <v>11013</v>
      </c>
      <c r="E1643" t="s">
        <v>6</v>
      </c>
      <c r="F1643" t="s">
        <v>251</v>
      </c>
      <c r="G1643">
        <v>7</v>
      </c>
      <c r="H1643" s="2">
        <f>Tabelle13[[#This Row],[commits]]/Tabelle13[[#Totals],[commits]]</f>
        <v>3.2534533082972354E-5</v>
      </c>
      <c r="I1643" s="5">
        <f>Tabelle13[[#This Row],[%]]+I1642</f>
        <v>0.94316217070404529</v>
      </c>
      <c r="J1643" s="4">
        <f t="shared" si="83"/>
        <v>1.105583195135434E-4</v>
      </c>
      <c r="K1643" s="5">
        <f t="shared" si="84"/>
        <v>0.18142620232171852</v>
      </c>
    </row>
    <row r="1644" spans="1:11" x14ac:dyDescent="0.25">
      <c r="A1644" t="s">
        <v>11014</v>
      </c>
      <c r="C1644" t="s">
        <v>11015</v>
      </c>
      <c r="D1644" t="s">
        <v>5</v>
      </c>
      <c r="E1644" t="s">
        <v>6</v>
      </c>
      <c r="F1644" t="s">
        <v>251</v>
      </c>
      <c r="G1644">
        <v>7</v>
      </c>
      <c r="H1644" s="2">
        <f>Tabelle13[[#This Row],[commits]]/Tabelle13[[#Totals],[commits]]</f>
        <v>3.2534533082972354E-5</v>
      </c>
      <c r="I1644" s="5">
        <f>Tabelle13[[#This Row],[%]]+I1643</f>
        <v>0.94319470523712823</v>
      </c>
      <c r="J1644" s="4">
        <f t="shared" si="83"/>
        <v>1.105583195135434E-4</v>
      </c>
      <c r="K1644" s="5">
        <f t="shared" si="84"/>
        <v>0.18153676064123206</v>
      </c>
    </row>
    <row r="1645" spans="1:11" x14ac:dyDescent="0.25">
      <c r="A1645" t="s">
        <v>11016</v>
      </c>
      <c r="C1645" t="s">
        <v>11017</v>
      </c>
      <c r="D1645" t="s">
        <v>309</v>
      </c>
      <c r="E1645" t="s">
        <v>6</v>
      </c>
      <c r="F1645" t="s">
        <v>251</v>
      </c>
      <c r="G1645">
        <v>7</v>
      </c>
      <c r="H1645" s="2">
        <f>Tabelle13[[#This Row],[commits]]/Tabelle13[[#Totals],[commits]]</f>
        <v>3.2534533082972354E-5</v>
      </c>
      <c r="I1645" s="5">
        <f>Tabelle13[[#This Row],[%]]+I1644</f>
        <v>0.94322723977021117</v>
      </c>
      <c r="J1645" s="4">
        <f t="shared" si="83"/>
        <v>1.105583195135434E-4</v>
      </c>
      <c r="K1645" s="5">
        <f t="shared" si="84"/>
        <v>0.1816473189607456</v>
      </c>
    </row>
    <row r="1646" spans="1:11" x14ac:dyDescent="0.25">
      <c r="A1646" t="s">
        <v>11018</v>
      </c>
      <c r="C1646" t="s">
        <v>11019</v>
      </c>
      <c r="D1646" t="s">
        <v>5</v>
      </c>
      <c r="E1646" t="s">
        <v>6</v>
      </c>
      <c r="F1646" t="s">
        <v>251</v>
      </c>
      <c r="G1646">
        <v>7</v>
      </c>
      <c r="H1646" s="2">
        <f>Tabelle13[[#This Row],[commits]]/Tabelle13[[#Totals],[commits]]</f>
        <v>3.2534533082972354E-5</v>
      </c>
      <c r="I1646" s="5">
        <f>Tabelle13[[#This Row],[%]]+I1645</f>
        <v>0.94325977430329411</v>
      </c>
      <c r="J1646" s="4">
        <f t="shared" si="83"/>
        <v>1.105583195135434E-4</v>
      </c>
      <c r="K1646" s="5">
        <f t="shared" si="84"/>
        <v>0.18175787728025913</v>
      </c>
    </row>
    <row r="1647" spans="1:11" x14ac:dyDescent="0.25">
      <c r="A1647" t="s">
        <v>11020</v>
      </c>
      <c r="C1647" t="s">
        <v>11021</v>
      </c>
      <c r="D1647" t="s">
        <v>5</v>
      </c>
      <c r="E1647" t="s">
        <v>6</v>
      </c>
      <c r="F1647" t="s">
        <v>251</v>
      </c>
      <c r="G1647">
        <v>7</v>
      </c>
      <c r="H1647" s="2">
        <f>Tabelle13[[#This Row],[commits]]/Tabelle13[[#Totals],[commits]]</f>
        <v>3.2534533082972354E-5</v>
      </c>
      <c r="I1647" s="5">
        <f>Tabelle13[[#This Row],[%]]+I1646</f>
        <v>0.94329230883637705</v>
      </c>
      <c r="J1647" s="4">
        <f t="shared" si="83"/>
        <v>1.105583195135434E-4</v>
      </c>
      <c r="K1647" s="5">
        <f t="shared" si="84"/>
        <v>0.18186843559977267</v>
      </c>
    </row>
    <row r="1648" spans="1:11" x14ac:dyDescent="0.25">
      <c r="A1648" t="s">
        <v>11022</v>
      </c>
      <c r="C1648" t="s">
        <v>11023</v>
      </c>
      <c r="D1648" t="s">
        <v>11024</v>
      </c>
      <c r="E1648" t="s">
        <v>6</v>
      </c>
      <c r="F1648" t="s">
        <v>251</v>
      </c>
      <c r="G1648">
        <v>7</v>
      </c>
      <c r="H1648" s="2">
        <f>Tabelle13[[#This Row],[commits]]/Tabelle13[[#Totals],[commits]]</f>
        <v>3.2534533082972354E-5</v>
      </c>
      <c r="I1648" s="5">
        <f>Tabelle13[[#This Row],[%]]+I1647</f>
        <v>0.94332484336945999</v>
      </c>
      <c r="J1648" s="4">
        <f t="shared" si="83"/>
        <v>1.105583195135434E-4</v>
      </c>
      <c r="K1648" s="5">
        <f t="shared" si="84"/>
        <v>0.18197899391928621</v>
      </c>
    </row>
    <row r="1649" spans="1:11" x14ac:dyDescent="0.25">
      <c r="A1649" t="s">
        <v>11025</v>
      </c>
      <c r="C1649" t="s">
        <v>11026</v>
      </c>
      <c r="D1649" t="s">
        <v>5</v>
      </c>
      <c r="E1649" t="s">
        <v>6</v>
      </c>
      <c r="F1649" t="s">
        <v>251</v>
      </c>
      <c r="G1649">
        <v>7</v>
      </c>
      <c r="H1649" s="2">
        <f>Tabelle13[[#This Row],[commits]]/Tabelle13[[#Totals],[commits]]</f>
        <v>3.2534533082972354E-5</v>
      </c>
      <c r="I1649" s="5">
        <f>Tabelle13[[#This Row],[%]]+I1648</f>
        <v>0.94335737790254293</v>
      </c>
      <c r="J1649" s="4">
        <f t="shared" si="83"/>
        <v>1.105583195135434E-4</v>
      </c>
      <c r="K1649" s="5">
        <f t="shared" si="84"/>
        <v>0.18208955223879975</v>
      </c>
    </row>
    <row r="1650" spans="1:11" x14ac:dyDescent="0.25">
      <c r="A1650" t="s">
        <v>11027</v>
      </c>
      <c r="C1650" t="s">
        <v>11028</v>
      </c>
      <c r="D1650" t="s">
        <v>5</v>
      </c>
      <c r="E1650" t="s">
        <v>6</v>
      </c>
      <c r="F1650" t="s">
        <v>251</v>
      </c>
      <c r="G1650">
        <v>7</v>
      </c>
      <c r="H1650" s="2">
        <f>Tabelle13[[#This Row],[commits]]/Tabelle13[[#Totals],[commits]]</f>
        <v>3.2534533082972354E-5</v>
      </c>
      <c r="I1650" s="5">
        <f>Tabelle13[[#This Row],[%]]+I1649</f>
        <v>0.94338991243562587</v>
      </c>
      <c r="J1650" s="4">
        <f t="shared" si="83"/>
        <v>1.105583195135434E-4</v>
      </c>
      <c r="K1650" s="5">
        <f t="shared" si="84"/>
        <v>0.18220011055831328</v>
      </c>
    </row>
    <row r="1651" spans="1:11" x14ac:dyDescent="0.25">
      <c r="A1651" t="s">
        <v>11029</v>
      </c>
      <c r="C1651" t="s">
        <v>11030</v>
      </c>
      <c r="D1651" t="s">
        <v>8948</v>
      </c>
      <c r="E1651" t="s">
        <v>6</v>
      </c>
      <c r="F1651" t="s">
        <v>251</v>
      </c>
      <c r="G1651">
        <v>7</v>
      </c>
      <c r="H1651" s="2">
        <f>Tabelle13[[#This Row],[commits]]/Tabelle13[[#Totals],[commits]]</f>
        <v>3.2534533082972354E-5</v>
      </c>
      <c r="I1651" s="5">
        <f>Tabelle13[[#This Row],[%]]+I1650</f>
        <v>0.94342244696870881</v>
      </c>
      <c r="J1651" s="4">
        <f t="shared" si="83"/>
        <v>1.105583195135434E-4</v>
      </c>
      <c r="K1651" s="5">
        <f t="shared" si="84"/>
        <v>0.18231066887782682</v>
      </c>
    </row>
    <row r="1652" spans="1:11" x14ac:dyDescent="0.25">
      <c r="A1652" t="s">
        <v>11031</v>
      </c>
      <c r="C1652" t="s">
        <v>11032</v>
      </c>
      <c r="D1652" t="s">
        <v>8874</v>
      </c>
      <c r="E1652" t="s">
        <v>6</v>
      </c>
      <c r="F1652" t="s">
        <v>251</v>
      </c>
      <c r="G1652">
        <v>7</v>
      </c>
      <c r="H1652" s="2">
        <f>Tabelle13[[#This Row],[commits]]/Tabelle13[[#Totals],[commits]]</f>
        <v>3.2534533082972354E-5</v>
      </c>
      <c r="I1652" s="5">
        <f>Tabelle13[[#This Row],[%]]+I1651</f>
        <v>0.94345498150179175</v>
      </c>
      <c r="J1652" s="4">
        <f t="shared" si="83"/>
        <v>1.105583195135434E-4</v>
      </c>
      <c r="K1652" s="5">
        <f t="shared" si="84"/>
        <v>0.18242122719734036</v>
      </c>
    </row>
    <row r="1653" spans="1:11" x14ac:dyDescent="0.25">
      <c r="A1653" t="s">
        <v>11033</v>
      </c>
      <c r="C1653" t="s">
        <v>11034</v>
      </c>
      <c r="D1653" t="s">
        <v>309</v>
      </c>
      <c r="E1653" t="s">
        <v>6</v>
      </c>
      <c r="F1653" t="s">
        <v>251</v>
      </c>
      <c r="G1653">
        <v>7</v>
      </c>
      <c r="H1653" s="2">
        <f>Tabelle13[[#This Row],[commits]]/Tabelle13[[#Totals],[commits]]</f>
        <v>3.2534533082972354E-5</v>
      </c>
      <c r="I1653" s="5">
        <f>Tabelle13[[#This Row],[%]]+I1652</f>
        <v>0.94348751603487468</v>
      </c>
      <c r="J1653" s="4">
        <f t="shared" si="83"/>
        <v>1.105583195135434E-4</v>
      </c>
      <c r="K1653" s="5">
        <f t="shared" si="84"/>
        <v>0.18253178551685389</v>
      </c>
    </row>
    <row r="1654" spans="1:11" x14ac:dyDescent="0.25">
      <c r="A1654" t="s">
        <v>11035</v>
      </c>
      <c r="C1654" t="s">
        <v>11036</v>
      </c>
      <c r="D1654" t="s">
        <v>5</v>
      </c>
      <c r="E1654" t="s">
        <v>6</v>
      </c>
      <c r="F1654" t="s">
        <v>251</v>
      </c>
      <c r="G1654">
        <v>7</v>
      </c>
      <c r="H1654" s="2">
        <f>Tabelle13[[#This Row],[commits]]/Tabelle13[[#Totals],[commits]]</f>
        <v>3.2534533082972354E-5</v>
      </c>
      <c r="I1654" s="5">
        <f>Tabelle13[[#This Row],[%]]+I1653</f>
        <v>0.94352005056795762</v>
      </c>
      <c r="J1654" s="4">
        <f t="shared" si="83"/>
        <v>1.105583195135434E-4</v>
      </c>
      <c r="K1654" s="5">
        <f t="shared" si="84"/>
        <v>0.18264234383636743</v>
      </c>
    </row>
    <row r="1655" spans="1:11" x14ac:dyDescent="0.25">
      <c r="A1655" t="s">
        <v>11037</v>
      </c>
      <c r="C1655" t="s">
        <v>11038</v>
      </c>
      <c r="D1655" t="s">
        <v>5</v>
      </c>
      <c r="E1655" t="s">
        <v>6</v>
      </c>
      <c r="F1655" t="s">
        <v>251</v>
      </c>
      <c r="G1655">
        <v>7</v>
      </c>
      <c r="H1655" s="2">
        <f>Tabelle13[[#This Row],[commits]]/Tabelle13[[#Totals],[commits]]</f>
        <v>3.2534533082972354E-5</v>
      </c>
      <c r="I1655" s="5">
        <f>Tabelle13[[#This Row],[%]]+I1654</f>
        <v>0.94355258510104056</v>
      </c>
      <c r="J1655" s="4">
        <f t="shared" si="83"/>
        <v>1.105583195135434E-4</v>
      </c>
      <c r="K1655" s="5">
        <f t="shared" si="84"/>
        <v>0.18275290215588097</v>
      </c>
    </row>
    <row r="1656" spans="1:11" x14ac:dyDescent="0.25">
      <c r="A1656" t="s">
        <v>11039</v>
      </c>
      <c r="C1656" t="s">
        <v>211</v>
      </c>
      <c r="D1656" t="s">
        <v>5</v>
      </c>
      <c r="E1656" t="s">
        <v>6</v>
      </c>
      <c r="F1656" t="s">
        <v>251</v>
      </c>
      <c r="G1656">
        <v>7</v>
      </c>
      <c r="H1656" s="2">
        <f>Tabelle13[[#This Row],[commits]]/Tabelle13[[#Totals],[commits]]</f>
        <v>3.2534533082972354E-5</v>
      </c>
      <c r="I1656" s="5">
        <f>Tabelle13[[#This Row],[%]]+I1655</f>
        <v>0.9435851196341235</v>
      </c>
      <c r="J1656" s="4">
        <f t="shared" si="83"/>
        <v>1.105583195135434E-4</v>
      </c>
      <c r="K1656" s="5">
        <f t="shared" si="84"/>
        <v>0.18286346047539451</v>
      </c>
    </row>
    <row r="1657" spans="1:11" x14ac:dyDescent="0.25">
      <c r="A1657" t="s">
        <v>11040</v>
      </c>
      <c r="C1657" t="s">
        <v>11041</v>
      </c>
      <c r="D1657" t="s">
        <v>309</v>
      </c>
      <c r="E1657" t="s">
        <v>6</v>
      </c>
      <c r="F1657" t="s">
        <v>251</v>
      </c>
      <c r="G1657">
        <v>7</v>
      </c>
      <c r="H1657" s="2">
        <f>Tabelle13[[#This Row],[commits]]/Tabelle13[[#Totals],[commits]]</f>
        <v>3.2534533082972354E-5</v>
      </c>
      <c r="I1657" s="5">
        <f>Tabelle13[[#This Row],[%]]+I1656</f>
        <v>0.94361765416720644</v>
      </c>
      <c r="J1657" s="4">
        <f t="shared" si="83"/>
        <v>1.105583195135434E-4</v>
      </c>
      <c r="K1657" s="5">
        <f t="shared" si="84"/>
        <v>0.18297401879490804</v>
      </c>
    </row>
    <row r="1658" spans="1:11" x14ac:dyDescent="0.25">
      <c r="A1658" t="s">
        <v>11042</v>
      </c>
      <c r="C1658" t="s">
        <v>11043</v>
      </c>
      <c r="D1658" t="s">
        <v>309</v>
      </c>
      <c r="E1658" t="s">
        <v>6</v>
      </c>
      <c r="F1658" t="s">
        <v>251</v>
      </c>
      <c r="G1658">
        <v>7</v>
      </c>
      <c r="H1658" s="2">
        <f>Tabelle13[[#This Row],[commits]]/Tabelle13[[#Totals],[commits]]</f>
        <v>3.2534533082972354E-5</v>
      </c>
      <c r="I1658" s="5">
        <f>Tabelle13[[#This Row],[%]]+I1657</f>
        <v>0.94365018870028938</v>
      </c>
      <c r="J1658" s="4">
        <f t="shared" si="83"/>
        <v>1.105583195135434E-4</v>
      </c>
      <c r="K1658" s="5">
        <f t="shared" si="84"/>
        <v>0.18308457711442158</v>
      </c>
    </row>
    <row r="1659" spans="1:11" x14ac:dyDescent="0.25">
      <c r="A1659" t="s">
        <v>11044</v>
      </c>
      <c r="C1659" t="s">
        <v>11045</v>
      </c>
      <c r="D1659" t="s">
        <v>309</v>
      </c>
      <c r="E1659" t="s">
        <v>6</v>
      </c>
      <c r="F1659" t="s">
        <v>251</v>
      </c>
      <c r="G1659">
        <v>7</v>
      </c>
      <c r="H1659" s="2">
        <f>Tabelle13[[#This Row],[commits]]/Tabelle13[[#Totals],[commits]]</f>
        <v>3.2534533082972354E-5</v>
      </c>
      <c r="I1659" s="5">
        <f>Tabelle13[[#This Row],[%]]+I1658</f>
        <v>0.94368272323337232</v>
      </c>
      <c r="J1659" s="4">
        <f t="shared" si="83"/>
        <v>1.105583195135434E-4</v>
      </c>
      <c r="K1659" s="5">
        <f t="shared" si="84"/>
        <v>0.18319513543393512</v>
      </c>
    </row>
    <row r="1660" spans="1:11" x14ac:dyDescent="0.25">
      <c r="A1660" t="s">
        <v>11046</v>
      </c>
      <c r="C1660" t="s">
        <v>11047</v>
      </c>
      <c r="D1660" t="s">
        <v>5</v>
      </c>
      <c r="E1660" t="s">
        <v>6</v>
      </c>
      <c r="F1660" t="s">
        <v>251</v>
      </c>
      <c r="G1660">
        <v>7</v>
      </c>
      <c r="H1660" s="2">
        <f>Tabelle13[[#This Row],[commits]]/Tabelle13[[#Totals],[commits]]</f>
        <v>3.2534533082972354E-5</v>
      </c>
      <c r="I1660" s="5">
        <f>Tabelle13[[#This Row],[%]]+I1659</f>
        <v>0.94371525776645526</v>
      </c>
      <c r="J1660" s="4">
        <f t="shared" si="83"/>
        <v>1.105583195135434E-4</v>
      </c>
      <c r="K1660" s="5">
        <f t="shared" si="84"/>
        <v>0.18330569375344866</v>
      </c>
    </row>
    <row r="1661" spans="1:11" x14ac:dyDescent="0.25">
      <c r="A1661" t="s">
        <v>11048</v>
      </c>
      <c r="C1661" t="s">
        <v>11049</v>
      </c>
      <c r="D1661" t="s">
        <v>5</v>
      </c>
      <c r="E1661" t="s">
        <v>6</v>
      </c>
      <c r="F1661" t="s">
        <v>251</v>
      </c>
      <c r="G1661">
        <v>7</v>
      </c>
      <c r="H1661" s="2">
        <f>Tabelle13[[#This Row],[commits]]/Tabelle13[[#Totals],[commits]]</f>
        <v>3.2534533082972354E-5</v>
      </c>
      <c r="I1661" s="5">
        <f>Tabelle13[[#This Row],[%]]+I1660</f>
        <v>0.9437477922995382</v>
      </c>
      <c r="J1661" s="4">
        <f t="shared" si="83"/>
        <v>1.105583195135434E-4</v>
      </c>
      <c r="K1661" s="5">
        <f t="shared" si="84"/>
        <v>0.18341625207296219</v>
      </c>
    </row>
    <row r="1662" spans="1:11" x14ac:dyDescent="0.25">
      <c r="A1662" t="s">
        <v>11050</v>
      </c>
      <c r="C1662" t="s">
        <v>11051</v>
      </c>
      <c r="D1662" t="s">
        <v>5</v>
      </c>
      <c r="E1662" t="s">
        <v>6</v>
      </c>
      <c r="F1662" t="s">
        <v>251</v>
      </c>
      <c r="G1662">
        <v>7</v>
      </c>
      <c r="H1662" s="2">
        <f>Tabelle13[[#This Row],[commits]]/Tabelle13[[#Totals],[commits]]</f>
        <v>3.2534533082972354E-5</v>
      </c>
      <c r="I1662" s="5">
        <f>Tabelle13[[#This Row],[%]]+I1661</f>
        <v>0.94378032683262114</v>
      </c>
      <c r="J1662" s="4">
        <f t="shared" si="83"/>
        <v>1.105583195135434E-4</v>
      </c>
      <c r="K1662" s="5">
        <f t="shared" si="84"/>
        <v>0.18352681039247573</v>
      </c>
    </row>
    <row r="1663" spans="1:11" x14ac:dyDescent="0.25">
      <c r="A1663" t="s">
        <v>11052</v>
      </c>
      <c r="C1663" t="s">
        <v>11053</v>
      </c>
      <c r="D1663" t="s">
        <v>5</v>
      </c>
      <c r="E1663" t="s">
        <v>6</v>
      </c>
      <c r="F1663" t="s">
        <v>251</v>
      </c>
      <c r="G1663">
        <v>7</v>
      </c>
      <c r="H1663" s="2">
        <f>Tabelle13[[#This Row],[commits]]/Tabelle13[[#Totals],[commits]]</f>
        <v>3.2534533082972354E-5</v>
      </c>
      <c r="I1663" s="5">
        <f>Tabelle13[[#This Row],[%]]+I1662</f>
        <v>0.94381286136570408</v>
      </c>
      <c r="J1663" s="4">
        <f t="shared" si="83"/>
        <v>1.105583195135434E-4</v>
      </c>
      <c r="K1663" s="5">
        <f t="shared" si="84"/>
        <v>0.18363736871198927</v>
      </c>
    </row>
    <row r="1664" spans="1:11" x14ac:dyDescent="0.25">
      <c r="A1664" t="s">
        <v>11054</v>
      </c>
      <c r="C1664" t="s">
        <v>11055</v>
      </c>
      <c r="D1664" t="s">
        <v>10870</v>
      </c>
      <c r="E1664" t="s">
        <v>6</v>
      </c>
      <c r="F1664" t="s">
        <v>251</v>
      </c>
      <c r="G1664">
        <v>7</v>
      </c>
      <c r="H1664" s="2">
        <f>Tabelle13[[#This Row],[commits]]/Tabelle13[[#Totals],[commits]]</f>
        <v>3.2534533082972354E-5</v>
      </c>
      <c r="I1664" s="5">
        <f>Tabelle13[[#This Row],[%]]+I1663</f>
        <v>0.94384539589878702</v>
      </c>
      <c r="J1664" s="4">
        <f t="shared" si="83"/>
        <v>1.105583195135434E-4</v>
      </c>
      <c r="K1664" s="5">
        <f t="shared" si="84"/>
        <v>0.18374792703150281</v>
      </c>
    </row>
    <row r="1665" spans="1:11" x14ac:dyDescent="0.25">
      <c r="A1665" t="s">
        <v>11056</v>
      </c>
      <c r="C1665" t="s">
        <v>11057</v>
      </c>
      <c r="D1665" t="s">
        <v>5</v>
      </c>
      <c r="E1665" t="s">
        <v>6</v>
      </c>
      <c r="F1665" t="s">
        <v>251</v>
      </c>
      <c r="G1665">
        <v>7</v>
      </c>
      <c r="H1665" s="2">
        <f>Tabelle13[[#This Row],[commits]]/Tabelle13[[#Totals],[commits]]</f>
        <v>3.2534533082972354E-5</v>
      </c>
      <c r="I1665" s="5">
        <f>Tabelle13[[#This Row],[%]]+I1664</f>
        <v>0.94387793043186996</v>
      </c>
      <c r="J1665" s="4">
        <f t="shared" si="83"/>
        <v>1.105583195135434E-4</v>
      </c>
      <c r="K1665" s="5">
        <f t="shared" si="84"/>
        <v>0.18385848535101634</v>
      </c>
    </row>
    <row r="1666" spans="1:11" x14ac:dyDescent="0.25">
      <c r="A1666" t="s">
        <v>17170</v>
      </c>
      <c r="C1666" t="s">
        <v>17171</v>
      </c>
      <c r="D1666" t="s">
        <v>5</v>
      </c>
      <c r="E1666" t="s">
        <v>6</v>
      </c>
      <c r="F1666" t="s">
        <v>334</v>
      </c>
      <c r="G1666">
        <v>7</v>
      </c>
      <c r="H1666" s="2">
        <f>Tabelle13[[#This Row],[commits]]/Tabelle13[[#Totals],[commits]]</f>
        <v>3.2534533082972354E-5</v>
      </c>
      <c r="I1666" s="5">
        <f>Tabelle13[[#This Row],[%]]+I1665</f>
        <v>0.9439104649649529</v>
      </c>
      <c r="J1666" s="4">
        <f t="shared" si="83"/>
        <v>1.105583195135434E-4</v>
      </c>
      <c r="K1666" s="5">
        <f t="shared" si="84"/>
        <v>0.18396904367052988</v>
      </c>
    </row>
    <row r="1667" spans="1:11" x14ac:dyDescent="0.25">
      <c r="A1667" t="s">
        <v>17172</v>
      </c>
      <c r="C1667" t="s">
        <v>17173</v>
      </c>
      <c r="D1667" t="s">
        <v>5</v>
      </c>
      <c r="E1667" t="s">
        <v>6</v>
      </c>
      <c r="F1667" t="s">
        <v>334</v>
      </c>
      <c r="G1667">
        <v>7</v>
      </c>
      <c r="H1667" s="2">
        <f>Tabelle13[[#This Row],[commits]]/Tabelle13[[#Totals],[commits]]</f>
        <v>3.2534533082972354E-5</v>
      </c>
      <c r="I1667" s="5">
        <f>Tabelle13[[#This Row],[%]]+I1666</f>
        <v>0.94394299949803584</v>
      </c>
      <c r="J1667" s="4">
        <f t="shared" ref="J1667:J1730" si="85">1/9045</f>
        <v>1.105583195135434E-4</v>
      </c>
      <c r="K1667" s="5">
        <f t="shared" si="84"/>
        <v>0.18407960199004342</v>
      </c>
    </row>
    <row r="1668" spans="1:11" x14ac:dyDescent="0.25">
      <c r="A1668" t="s">
        <v>135</v>
      </c>
      <c r="C1668" t="s">
        <v>136</v>
      </c>
      <c r="D1668" t="s">
        <v>5</v>
      </c>
      <c r="E1668" t="s">
        <v>6</v>
      </c>
      <c r="F1668" t="s">
        <v>7</v>
      </c>
      <c r="G1668">
        <v>6</v>
      </c>
      <c r="H1668" s="2">
        <f>Tabelle13[[#This Row],[commits]]/Tabelle13[[#Totals],[commits]]</f>
        <v>2.7886742642547732E-5</v>
      </c>
      <c r="I1668" s="5">
        <f>Tabelle13[[#This Row],[%]]+I1667</f>
        <v>0.94397088624067838</v>
      </c>
      <c r="J1668" s="4">
        <f t="shared" si="85"/>
        <v>1.105583195135434E-4</v>
      </c>
      <c r="K1668" s="5">
        <f t="shared" si="84"/>
        <v>0.18419016030955696</v>
      </c>
    </row>
    <row r="1669" spans="1:11" x14ac:dyDescent="0.25">
      <c r="A1669" t="s">
        <v>137</v>
      </c>
      <c r="C1669" t="s">
        <v>138</v>
      </c>
      <c r="D1669" t="s">
        <v>5</v>
      </c>
      <c r="E1669" t="s">
        <v>6</v>
      </c>
      <c r="F1669" t="s">
        <v>7</v>
      </c>
      <c r="G1669">
        <v>6</v>
      </c>
      <c r="H1669" s="2">
        <f>Tabelle13[[#This Row],[commits]]/Tabelle13[[#Totals],[commits]]</f>
        <v>2.7886742642547732E-5</v>
      </c>
      <c r="I1669" s="5">
        <f>Tabelle13[[#This Row],[%]]+I1668</f>
        <v>0.94399877298332091</v>
      </c>
      <c r="J1669" s="4">
        <f t="shared" si="85"/>
        <v>1.105583195135434E-4</v>
      </c>
      <c r="K1669" s="5">
        <f t="shared" si="84"/>
        <v>0.18430071862907049</v>
      </c>
    </row>
    <row r="1670" spans="1:11" x14ac:dyDescent="0.25">
      <c r="A1670" t="s">
        <v>139</v>
      </c>
      <c r="C1670" t="s">
        <v>140</v>
      </c>
      <c r="D1670" t="s">
        <v>5</v>
      </c>
      <c r="E1670" t="s">
        <v>6</v>
      </c>
      <c r="F1670" t="s">
        <v>7</v>
      </c>
      <c r="G1670">
        <v>6</v>
      </c>
      <c r="H1670" s="2">
        <f>Tabelle13[[#This Row],[commits]]/Tabelle13[[#Totals],[commits]]</f>
        <v>2.7886742642547732E-5</v>
      </c>
      <c r="I1670" s="5">
        <f>Tabelle13[[#This Row],[%]]+I1669</f>
        <v>0.94402665972596345</v>
      </c>
      <c r="J1670" s="4">
        <f t="shared" si="85"/>
        <v>1.105583195135434E-4</v>
      </c>
      <c r="K1670" s="5">
        <f t="shared" ref="K1670:K1733" si="86">J1670+K1669</f>
        <v>0.18441127694858403</v>
      </c>
    </row>
    <row r="1671" spans="1:11" x14ac:dyDescent="0.25">
      <c r="A1671" t="s">
        <v>141</v>
      </c>
      <c r="C1671" t="s">
        <v>19</v>
      </c>
      <c r="D1671" t="s">
        <v>5</v>
      </c>
      <c r="E1671" t="s">
        <v>6</v>
      </c>
      <c r="F1671" t="s">
        <v>7</v>
      </c>
      <c r="G1671">
        <v>6</v>
      </c>
      <c r="H1671" s="2">
        <f>Tabelle13[[#This Row],[commits]]/Tabelle13[[#Totals],[commits]]</f>
        <v>2.7886742642547732E-5</v>
      </c>
      <c r="I1671" s="5">
        <f>Tabelle13[[#This Row],[%]]+I1670</f>
        <v>0.94405454646860598</v>
      </c>
      <c r="J1671" s="4">
        <f t="shared" si="85"/>
        <v>1.105583195135434E-4</v>
      </c>
      <c r="K1671" s="5">
        <f t="shared" si="86"/>
        <v>0.18452183526809757</v>
      </c>
    </row>
    <row r="1672" spans="1:11" x14ac:dyDescent="0.25">
      <c r="A1672" t="s">
        <v>142</v>
      </c>
      <c r="C1672" t="s">
        <v>143</v>
      </c>
      <c r="D1672" t="s">
        <v>5</v>
      </c>
      <c r="E1672" t="s">
        <v>6</v>
      </c>
      <c r="F1672" t="s">
        <v>7</v>
      </c>
      <c r="G1672">
        <v>6</v>
      </c>
      <c r="H1672" s="2">
        <f>Tabelle13[[#This Row],[commits]]/Tabelle13[[#Totals],[commits]]</f>
        <v>2.7886742642547732E-5</v>
      </c>
      <c r="I1672" s="5">
        <f>Tabelle13[[#This Row],[%]]+I1671</f>
        <v>0.94408243321124852</v>
      </c>
      <c r="J1672" s="4">
        <f t="shared" si="85"/>
        <v>1.105583195135434E-4</v>
      </c>
      <c r="K1672" s="5">
        <f t="shared" si="86"/>
        <v>0.1846323935876111</v>
      </c>
    </row>
    <row r="1673" spans="1:11" x14ac:dyDescent="0.25">
      <c r="A1673" t="s">
        <v>144</v>
      </c>
      <c r="C1673" t="s">
        <v>145</v>
      </c>
      <c r="D1673" t="s">
        <v>5</v>
      </c>
      <c r="E1673" t="s">
        <v>6</v>
      </c>
      <c r="F1673" t="s">
        <v>7</v>
      </c>
      <c r="G1673">
        <v>6</v>
      </c>
      <c r="H1673" s="2">
        <f>Tabelle13[[#This Row],[commits]]/Tabelle13[[#Totals],[commits]]</f>
        <v>2.7886742642547732E-5</v>
      </c>
      <c r="I1673" s="5">
        <f>Tabelle13[[#This Row],[%]]+I1672</f>
        <v>0.94411031995389105</v>
      </c>
      <c r="J1673" s="4">
        <f t="shared" si="85"/>
        <v>1.105583195135434E-4</v>
      </c>
      <c r="K1673" s="5">
        <f t="shared" si="86"/>
        <v>0.18474295190712464</v>
      </c>
    </row>
    <row r="1674" spans="1:11" x14ac:dyDescent="0.25">
      <c r="A1674" t="s">
        <v>146</v>
      </c>
      <c r="C1674" t="s">
        <v>147</v>
      </c>
      <c r="D1674" t="s">
        <v>5</v>
      </c>
      <c r="E1674" t="s">
        <v>6</v>
      </c>
      <c r="F1674" t="s">
        <v>7</v>
      </c>
      <c r="G1674">
        <v>6</v>
      </c>
      <c r="H1674" s="2">
        <f>Tabelle13[[#This Row],[commits]]/Tabelle13[[#Totals],[commits]]</f>
        <v>2.7886742642547732E-5</v>
      </c>
      <c r="I1674" s="5">
        <f>Tabelle13[[#This Row],[%]]+I1673</f>
        <v>0.94413820669653359</v>
      </c>
      <c r="J1674" s="4">
        <f t="shared" si="85"/>
        <v>1.105583195135434E-4</v>
      </c>
      <c r="K1674" s="5">
        <f t="shared" si="86"/>
        <v>0.18485351022663818</v>
      </c>
    </row>
    <row r="1675" spans="1:11" x14ac:dyDescent="0.25">
      <c r="A1675" t="s">
        <v>148</v>
      </c>
      <c r="C1675" t="s">
        <v>149</v>
      </c>
      <c r="D1675" t="s">
        <v>5</v>
      </c>
      <c r="E1675" t="s">
        <v>6</v>
      </c>
      <c r="F1675" t="s">
        <v>7</v>
      </c>
      <c r="G1675">
        <v>6</v>
      </c>
      <c r="H1675" s="2">
        <f>Tabelle13[[#This Row],[commits]]/Tabelle13[[#Totals],[commits]]</f>
        <v>2.7886742642547732E-5</v>
      </c>
      <c r="I1675" s="5">
        <f>Tabelle13[[#This Row],[%]]+I1674</f>
        <v>0.94416609343917612</v>
      </c>
      <c r="J1675" s="4">
        <f t="shared" si="85"/>
        <v>1.105583195135434E-4</v>
      </c>
      <c r="K1675" s="5">
        <f t="shared" si="86"/>
        <v>0.18496406854615172</v>
      </c>
    </row>
    <row r="1676" spans="1:11" x14ac:dyDescent="0.25">
      <c r="A1676" t="s">
        <v>150</v>
      </c>
      <c r="C1676" t="s">
        <v>151</v>
      </c>
      <c r="D1676" t="s">
        <v>5</v>
      </c>
      <c r="E1676" t="s">
        <v>6</v>
      </c>
      <c r="F1676" t="s">
        <v>7</v>
      </c>
      <c r="G1676">
        <v>6</v>
      </c>
      <c r="H1676" s="2">
        <f>Tabelle13[[#This Row],[commits]]/Tabelle13[[#Totals],[commits]]</f>
        <v>2.7886742642547732E-5</v>
      </c>
      <c r="I1676" s="5">
        <f>Tabelle13[[#This Row],[%]]+I1675</f>
        <v>0.94419398018181866</v>
      </c>
      <c r="J1676" s="4">
        <f t="shared" si="85"/>
        <v>1.105583195135434E-4</v>
      </c>
      <c r="K1676" s="5">
        <f t="shared" si="86"/>
        <v>0.18507462686566525</v>
      </c>
    </row>
    <row r="1677" spans="1:11" x14ac:dyDescent="0.25">
      <c r="A1677" t="s">
        <v>152</v>
      </c>
      <c r="C1677" t="s">
        <v>153</v>
      </c>
      <c r="D1677" t="s">
        <v>5</v>
      </c>
      <c r="E1677" t="s">
        <v>6</v>
      </c>
      <c r="F1677" t="s">
        <v>7</v>
      </c>
      <c r="G1677">
        <v>6</v>
      </c>
      <c r="H1677" s="2">
        <f>Tabelle13[[#This Row],[commits]]/Tabelle13[[#Totals],[commits]]</f>
        <v>2.7886742642547732E-5</v>
      </c>
      <c r="I1677" s="5">
        <f>Tabelle13[[#This Row],[%]]+I1676</f>
        <v>0.9442218669244612</v>
      </c>
      <c r="J1677" s="4">
        <f t="shared" si="85"/>
        <v>1.105583195135434E-4</v>
      </c>
      <c r="K1677" s="5">
        <f t="shared" si="86"/>
        <v>0.18518518518517879</v>
      </c>
    </row>
    <row r="1678" spans="1:11" x14ac:dyDescent="0.25">
      <c r="A1678" t="s">
        <v>1825</v>
      </c>
      <c r="C1678" t="s">
        <v>1826</v>
      </c>
      <c r="D1678" t="s">
        <v>5</v>
      </c>
      <c r="E1678" t="s">
        <v>6</v>
      </c>
      <c r="F1678" t="s">
        <v>28</v>
      </c>
      <c r="G1678">
        <v>6</v>
      </c>
      <c r="H1678" s="2">
        <f>Tabelle13[[#This Row],[commits]]/Tabelle13[[#Totals],[commits]]</f>
        <v>2.7886742642547732E-5</v>
      </c>
      <c r="I1678" s="5">
        <f>Tabelle13[[#This Row],[%]]+I1677</f>
        <v>0.94424975366710373</v>
      </c>
      <c r="J1678" s="4">
        <f t="shared" si="85"/>
        <v>1.105583195135434E-4</v>
      </c>
      <c r="K1678" s="5">
        <f t="shared" si="86"/>
        <v>0.18529574350469233</v>
      </c>
    </row>
    <row r="1679" spans="1:11" x14ac:dyDescent="0.25">
      <c r="A1679" t="s">
        <v>2746</v>
      </c>
      <c r="C1679" t="s">
        <v>2747</v>
      </c>
      <c r="D1679" t="s">
        <v>309</v>
      </c>
      <c r="E1679" t="s">
        <v>6</v>
      </c>
      <c r="F1679" t="s">
        <v>724</v>
      </c>
      <c r="G1679">
        <v>6</v>
      </c>
      <c r="H1679" s="2">
        <f>Tabelle13[[#This Row],[commits]]/Tabelle13[[#Totals],[commits]]</f>
        <v>2.7886742642547732E-5</v>
      </c>
      <c r="I1679" s="5">
        <f>Tabelle13[[#This Row],[%]]+I1678</f>
        <v>0.94427764040974627</v>
      </c>
      <c r="J1679" s="4">
        <f t="shared" si="85"/>
        <v>1.105583195135434E-4</v>
      </c>
      <c r="K1679" s="5">
        <f t="shared" si="86"/>
        <v>0.18540630182420587</v>
      </c>
    </row>
    <row r="1680" spans="1:11" x14ac:dyDescent="0.25">
      <c r="A1680" t="s">
        <v>2748</v>
      </c>
      <c r="C1680" t="s">
        <v>2749</v>
      </c>
      <c r="D1680" t="s">
        <v>5</v>
      </c>
      <c r="E1680" t="s">
        <v>6</v>
      </c>
      <c r="F1680" t="s">
        <v>724</v>
      </c>
      <c r="G1680">
        <v>6</v>
      </c>
      <c r="H1680" s="2">
        <f>Tabelle13[[#This Row],[commits]]/Tabelle13[[#Totals],[commits]]</f>
        <v>2.7886742642547732E-5</v>
      </c>
      <c r="I1680" s="5">
        <f>Tabelle13[[#This Row],[%]]+I1679</f>
        <v>0.9443055271523888</v>
      </c>
      <c r="J1680" s="4">
        <f t="shared" si="85"/>
        <v>1.105583195135434E-4</v>
      </c>
      <c r="K1680" s="5">
        <f t="shared" si="86"/>
        <v>0.1855168601437194</v>
      </c>
    </row>
    <row r="1681" spans="1:11" x14ac:dyDescent="0.25">
      <c r="A1681" t="s">
        <v>2750</v>
      </c>
      <c r="C1681" t="s">
        <v>2751</v>
      </c>
      <c r="D1681" t="s">
        <v>5</v>
      </c>
      <c r="E1681" t="s">
        <v>6</v>
      </c>
      <c r="F1681" t="s">
        <v>724</v>
      </c>
      <c r="G1681">
        <v>6</v>
      </c>
      <c r="H1681" s="2">
        <f>Tabelle13[[#This Row],[commits]]/Tabelle13[[#Totals],[commits]]</f>
        <v>2.7886742642547732E-5</v>
      </c>
      <c r="I1681" s="5">
        <f>Tabelle13[[#This Row],[%]]+I1680</f>
        <v>0.94433341389503134</v>
      </c>
      <c r="J1681" s="4">
        <f t="shared" si="85"/>
        <v>1.105583195135434E-4</v>
      </c>
      <c r="K1681" s="5">
        <f t="shared" si="86"/>
        <v>0.18562741846323294</v>
      </c>
    </row>
    <row r="1682" spans="1:11" x14ac:dyDescent="0.25">
      <c r="A1682" t="s">
        <v>2752</v>
      </c>
      <c r="C1682" t="s">
        <v>2753</v>
      </c>
      <c r="D1682" t="s">
        <v>309</v>
      </c>
      <c r="E1682" t="s">
        <v>6</v>
      </c>
      <c r="F1682" t="s">
        <v>724</v>
      </c>
      <c r="G1682">
        <v>6</v>
      </c>
      <c r="H1682" s="2">
        <f>Tabelle13[[#This Row],[commits]]/Tabelle13[[#Totals],[commits]]</f>
        <v>2.7886742642547732E-5</v>
      </c>
      <c r="I1682" s="5">
        <f>Tabelle13[[#This Row],[%]]+I1681</f>
        <v>0.94436130063767387</v>
      </c>
      <c r="J1682" s="4">
        <f t="shared" si="85"/>
        <v>1.105583195135434E-4</v>
      </c>
      <c r="K1682" s="5">
        <f t="shared" si="86"/>
        <v>0.18573797678274648</v>
      </c>
    </row>
    <row r="1683" spans="1:11" x14ac:dyDescent="0.25">
      <c r="A1683" t="s">
        <v>2754</v>
      </c>
      <c r="C1683" t="s">
        <v>2755</v>
      </c>
      <c r="D1683" t="s">
        <v>309</v>
      </c>
      <c r="E1683" t="s">
        <v>6</v>
      </c>
      <c r="F1683" t="s">
        <v>724</v>
      </c>
      <c r="G1683">
        <v>6</v>
      </c>
      <c r="H1683" s="2">
        <f>Tabelle13[[#This Row],[commits]]/Tabelle13[[#Totals],[commits]]</f>
        <v>2.7886742642547732E-5</v>
      </c>
      <c r="I1683" s="5">
        <f>Tabelle13[[#This Row],[%]]+I1682</f>
        <v>0.94438918738031641</v>
      </c>
      <c r="J1683" s="4">
        <f t="shared" si="85"/>
        <v>1.105583195135434E-4</v>
      </c>
      <c r="K1683" s="5">
        <f t="shared" si="86"/>
        <v>0.18584853510226002</v>
      </c>
    </row>
    <row r="1684" spans="1:11" x14ac:dyDescent="0.25">
      <c r="A1684" t="s">
        <v>2756</v>
      </c>
      <c r="C1684" t="s">
        <v>2757</v>
      </c>
      <c r="D1684" t="s">
        <v>309</v>
      </c>
      <c r="E1684" t="s">
        <v>6</v>
      </c>
      <c r="F1684" t="s">
        <v>724</v>
      </c>
      <c r="G1684">
        <v>6</v>
      </c>
      <c r="H1684" s="2">
        <f>Tabelle13[[#This Row],[commits]]/Tabelle13[[#Totals],[commits]]</f>
        <v>2.7886742642547732E-5</v>
      </c>
      <c r="I1684" s="5">
        <f>Tabelle13[[#This Row],[%]]+I1683</f>
        <v>0.94441707412295894</v>
      </c>
      <c r="J1684" s="4">
        <f t="shared" si="85"/>
        <v>1.105583195135434E-4</v>
      </c>
      <c r="K1684" s="5">
        <f t="shared" si="86"/>
        <v>0.18595909342177355</v>
      </c>
    </row>
    <row r="1685" spans="1:11" x14ac:dyDescent="0.25">
      <c r="A1685" t="s">
        <v>2758</v>
      </c>
      <c r="C1685" t="s">
        <v>2759</v>
      </c>
      <c r="D1685" t="s">
        <v>5</v>
      </c>
      <c r="E1685" t="s">
        <v>6</v>
      </c>
      <c r="F1685" t="s">
        <v>724</v>
      </c>
      <c r="G1685">
        <v>6</v>
      </c>
      <c r="H1685" s="2">
        <f>Tabelle13[[#This Row],[commits]]/Tabelle13[[#Totals],[commits]]</f>
        <v>2.7886742642547732E-5</v>
      </c>
      <c r="I1685" s="5">
        <f>Tabelle13[[#This Row],[%]]+I1684</f>
        <v>0.94444496086560148</v>
      </c>
      <c r="J1685" s="4">
        <f t="shared" si="85"/>
        <v>1.105583195135434E-4</v>
      </c>
      <c r="K1685" s="5">
        <f t="shared" si="86"/>
        <v>0.18606965174128709</v>
      </c>
    </row>
    <row r="1686" spans="1:11" x14ac:dyDescent="0.25">
      <c r="A1686" t="s">
        <v>2760</v>
      </c>
      <c r="C1686" t="s">
        <v>2761</v>
      </c>
      <c r="D1686" t="s">
        <v>5</v>
      </c>
      <c r="E1686" t="s">
        <v>6</v>
      </c>
      <c r="F1686" t="s">
        <v>724</v>
      </c>
      <c r="G1686">
        <v>6</v>
      </c>
      <c r="H1686" s="2">
        <f>Tabelle13[[#This Row],[commits]]/Tabelle13[[#Totals],[commits]]</f>
        <v>2.7886742642547732E-5</v>
      </c>
      <c r="I1686" s="5">
        <f>Tabelle13[[#This Row],[%]]+I1685</f>
        <v>0.94447284760824401</v>
      </c>
      <c r="J1686" s="4">
        <f t="shared" si="85"/>
        <v>1.105583195135434E-4</v>
      </c>
      <c r="K1686" s="5">
        <f t="shared" si="86"/>
        <v>0.18618021006080063</v>
      </c>
    </row>
    <row r="1687" spans="1:11" x14ac:dyDescent="0.25">
      <c r="A1687" t="s">
        <v>2762</v>
      </c>
      <c r="C1687" t="s">
        <v>2763</v>
      </c>
      <c r="D1687" t="s">
        <v>5</v>
      </c>
      <c r="E1687" t="s">
        <v>6</v>
      </c>
      <c r="F1687" t="s">
        <v>724</v>
      </c>
      <c r="G1687">
        <v>6</v>
      </c>
      <c r="H1687" s="2">
        <f>Tabelle13[[#This Row],[commits]]/Tabelle13[[#Totals],[commits]]</f>
        <v>2.7886742642547732E-5</v>
      </c>
      <c r="I1687" s="5">
        <f>Tabelle13[[#This Row],[%]]+I1686</f>
        <v>0.94450073435088655</v>
      </c>
      <c r="J1687" s="4">
        <f t="shared" si="85"/>
        <v>1.105583195135434E-4</v>
      </c>
      <c r="K1687" s="5">
        <f t="shared" si="86"/>
        <v>0.18629076838031416</v>
      </c>
    </row>
    <row r="1688" spans="1:11" x14ac:dyDescent="0.25">
      <c r="A1688" t="s">
        <v>2764</v>
      </c>
      <c r="C1688" t="s">
        <v>2765</v>
      </c>
      <c r="D1688" t="s">
        <v>5</v>
      </c>
      <c r="E1688" t="s">
        <v>6</v>
      </c>
      <c r="F1688" t="s">
        <v>724</v>
      </c>
      <c r="G1688">
        <v>6</v>
      </c>
      <c r="H1688" s="2">
        <f>Tabelle13[[#This Row],[commits]]/Tabelle13[[#Totals],[commits]]</f>
        <v>2.7886742642547732E-5</v>
      </c>
      <c r="I1688" s="5">
        <f>Tabelle13[[#This Row],[%]]+I1687</f>
        <v>0.94452862109352909</v>
      </c>
      <c r="J1688" s="4">
        <f t="shared" si="85"/>
        <v>1.105583195135434E-4</v>
      </c>
      <c r="K1688" s="5">
        <f t="shared" si="86"/>
        <v>0.1864013266998277</v>
      </c>
    </row>
    <row r="1689" spans="1:11" x14ac:dyDescent="0.25">
      <c r="A1689" t="s">
        <v>2766</v>
      </c>
      <c r="C1689" t="s">
        <v>2767</v>
      </c>
      <c r="D1689" t="s">
        <v>5</v>
      </c>
      <c r="E1689" t="s">
        <v>6</v>
      </c>
      <c r="F1689" t="s">
        <v>724</v>
      </c>
      <c r="G1689">
        <v>6</v>
      </c>
      <c r="H1689" s="2">
        <f>Tabelle13[[#This Row],[commits]]/Tabelle13[[#Totals],[commits]]</f>
        <v>2.7886742642547732E-5</v>
      </c>
      <c r="I1689" s="5">
        <f>Tabelle13[[#This Row],[%]]+I1688</f>
        <v>0.94455650783617162</v>
      </c>
      <c r="J1689" s="4">
        <f t="shared" si="85"/>
        <v>1.105583195135434E-4</v>
      </c>
      <c r="K1689" s="5">
        <f t="shared" si="86"/>
        <v>0.18651188501934124</v>
      </c>
    </row>
    <row r="1690" spans="1:11" x14ac:dyDescent="0.25">
      <c r="A1690" t="s">
        <v>2768</v>
      </c>
      <c r="C1690" t="s">
        <v>2769</v>
      </c>
      <c r="D1690" t="s">
        <v>5</v>
      </c>
      <c r="E1690" t="s">
        <v>6</v>
      </c>
      <c r="F1690" t="s">
        <v>724</v>
      </c>
      <c r="G1690">
        <v>6</v>
      </c>
      <c r="H1690" s="2">
        <f>Tabelle13[[#This Row],[commits]]/Tabelle13[[#Totals],[commits]]</f>
        <v>2.7886742642547732E-5</v>
      </c>
      <c r="I1690" s="5">
        <f>Tabelle13[[#This Row],[%]]+I1689</f>
        <v>0.94458439457881416</v>
      </c>
      <c r="J1690" s="4">
        <f t="shared" si="85"/>
        <v>1.105583195135434E-4</v>
      </c>
      <c r="K1690" s="5">
        <f t="shared" si="86"/>
        <v>0.18662244333885478</v>
      </c>
    </row>
    <row r="1691" spans="1:11" x14ac:dyDescent="0.25">
      <c r="A1691" t="s">
        <v>2770</v>
      </c>
      <c r="C1691" t="s">
        <v>2771</v>
      </c>
      <c r="D1691" t="s">
        <v>309</v>
      </c>
      <c r="E1691" t="s">
        <v>6</v>
      </c>
      <c r="F1691" t="s">
        <v>724</v>
      </c>
      <c r="G1691">
        <v>6</v>
      </c>
      <c r="H1691" s="2">
        <f>Tabelle13[[#This Row],[commits]]/Tabelle13[[#Totals],[commits]]</f>
        <v>2.7886742642547732E-5</v>
      </c>
      <c r="I1691" s="5">
        <f>Tabelle13[[#This Row],[%]]+I1690</f>
        <v>0.94461228132145669</v>
      </c>
      <c r="J1691" s="4">
        <f t="shared" si="85"/>
        <v>1.105583195135434E-4</v>
      </c>
      <c r="K1691" s="5">
        <f t="shared" si="86"/>
        <v>0.18673300165836831</v>
      </c>
    </row>
    <row r="1692" spans="1:11" x14ac:dyDescent="0.25">
      <c r="A1692" t="s">
        <v>2772</v>
      </c>
      <c r="C1692" t="s">
        <v>2773</v>
      </c>
      <c r="D1692" t="s">
        <v>2560</v>
      </c>
      <c r="E1692" t="s">
        <v>6</v>
      </c>
      <c r="F1692" t="s">
        <v>724</v>
      </c>
      <c r="G1692">
        <v>6</v>
      </c>
      <c r="H1692" s="2">
        <f>Tabelle13[[#This Row],[commits]]/Tabelle13[[#Totals],[commits]]</f>
        <v>2.7886742642547732E-5</v>
      </c>
      <c r="I1692" s="5">
        <f>Tabelle13[[#This Row],[%]]+I1691</f>
        <v>0.94464016806409923</v>
      </c>
      <c r="J1692" s="4">
        <f t="shared" si="85"/>
        <v>1.105583195135434E-4</v>
      </c>
      <c r="K1692" s="5">
        <f t="shared" si="86"/>
        <v>0.18684355997788185</v>
      </c>
    </row>
    <row r="1693" spans="1:11" x14ac:dyDescent="0.25">
      <c r="A1693" t="s">
        <v>2774</v>
      </c>
      <c r="C1693" t="s">
        <v>2775</v>
      </c>
      <c r="D1693" t="s">
        <v>5</v>
      </c>
      <c r="E1693" t="s">
        <v>6</v>
      </c>
      <c r="F1693" t="s">
        <v>724</v>
      </c>
      <c r="G1693">
        <v>6</v>
      </c>
      <c r="H1693" s="2">
        <f>Tabelle13[[#This Row],[commits]]/Tabelle13[[#Totals],[commits]]</f>
        <v>2.7886742642547732E-5</v>
      </c>
      <c r="I1693" s="5">
        <f>Tabelle13[[#This Row],[%]]+I1692</f>
        <v>0.94466805480674176</v>
      </c>
      <c r="J1693" s="4">
        <f t="shared" si="85"/>
        <v>1.105583195135434E-4</v>
      </c>
      <c r="K1693" s="5">
        <f t="shared" si="86"/>
        <v>0.18695411829739539</v>
      </c>
    </row>
    <row r="1694" spans="1:11" x14ac:dyDescent="0.25">
      <c r="A1694" t="s">
        <v>2776</v>
      </c>
      <c r="C1694" t="s">
        <v>2777</v>
      </c>
      <c r="D1694" t="s">
        <v>5</v>
      </c>
      <c r="E1694" t="s">
        <v>6</v>
      </c>
      <c r="F1694" t="s">
        <v>724</v>
      </c>
      <c r="G1694">
        <v>6</v>
      </c>
      <c r="H1694" s="2">
        <f>Tabelle13[[#This Row],[commits]]/Tabelle13[[#Totals],[commits]]</f>
        <v>2.7886742642547732E-5</v>
      </c>
      <c r="I1694" s="5">
        <f>Tabelle13[[#This Row],[%]]+I1693</f>
        <v>0.9446959415493843</v>
      </c>
      <c r="J1694" s="4">
        <f t="shared" si="85"/>
        <v>1.105583195135434E-4</v>
      </c>
      <c r="K1694" s="5">
        <f t="shared" si="86"/>
        <v>0.18706467661690893</v>
      </c>
    </row>
    <row r="1695" spans="1:11" x14ac:dyDescent="0.25">
      <c r="A1695" t="s">
        <v>2778</v>
      </c>
      <c r="C1695" t="s">
        <v>2550</v>
      </c>
      <c r="D1695" t="s">
        <v>5</v>
      </c>
      <c r="E1695" t="s">
        <v>6</v>
      </c>
      <c r="F1695" t="s">
        <v>724</v>
      </c>
      <c r="G1695">
        <v>6</v>
      </c>
      <c r="H1695" s="2">
        <f>Tabelle13[[#This Row],[commits]]/Tabelle13[[#Totals],[commits]]</f>
        <v>2.7886742642547732E-5</v>
      </c>
      <c r="I1695" s="5">
        <f>Tabelle13[[#This Row],[%]]+I1694</f>
        <v>0.94472382829202683</v>
      </c>
      <c r="J1695" s="4">
        <f t="shared" si="85"/>
        <v>1.105583195135434E-4</v>
      </c>
      <c r="K1695" s="5">
        <f t="shared" si="86"/>
        <v>0.18717523493642246</v>
      </c>
    </row>
    <row r="1696" spans="1:11" x14ac:dyDescent="0.25">
      <c r="A1696" t="s">
        <v>2779</v>
      </c>
      <c r="C1696" t="s">
        <v>2780</v>
      </c>
      <c r="D1696" t="s">
        <v>5</v>
      </c>
      <c r="E1696" t="s">
        <v>6</v>
      </c>
      <c r="F1696" t="s">
        <v>724</v>
      </c>
      <c r="G1696">
        <v>6</v>
      </c>
      <c r="H1696" s="2">
        <f>Tabelle13[[#This Row],[commits]]/Tabelle13[[#Totals],[commits]]</f>
        <v>2.7886742642547732E-5</v>
      </c>
      <c r="I1696" s="5">
        <f>Tabelle13[[#This Row],[%]]+I1695</f>
        <v>0.94475171503466937</v>
      </c>
      <c r="J1696" s="4">
        <f t="shared" si="85"/>
        <v>1.105583195135434E-4</v>
      </c>
      <c r="K1696" s="5">
        <f t="shared" si="86"/>
        <v>0.187285793255936</v>
      </c>
    </row>
    <row r="1697" spans="1:11" x14ac:dyDescent="0.25">
      <c r="A1697" t="s">
        <v>2781</v>
      </c>
      <c r="C1697" t="s">
        <v>2782</v>
      </c>
      <c r="D1697" t="s">
        <v>309</v>
      </c>
      <c r="E1697" t="s">
        <v>6</v>
      </c>
      <c r="F1697" t="s">
        <v>724</v>
      </c>
      <c r="G1697">
        <v>6</v>
      </c>
      <c r="H1697" s="2">
        <f>Tabelle13[[#This Row],[commits]]/Tabelle13[[#Totals],[commits]]</f>
        <v>2.7886742642547732E-5</v>
      </c>
      <c r="I1697" s="5">
        <f>Tabelle13[[#This Row],[%]]+I1696</f>
        <v>0.94477960177731191</v>
      </c>
      <c r="J1697" s="4">
        <f t="shared" si="85"/>
        <v>1.105583195135434E-4</v>
      </c>
      <c r="K1697" s="5">
        <f t="shared" si="86"/>
        <v>0.18739635157544954</v>
      </c>
    </row>
    <row r="1698" spans="1:11" x14ac:dyDescent="0.25">
      <c r="A1698" t="s">
        <v>2783</v>
      </c>
      <c r="C1698" t="s">
        <v>2784</v>
      </c>
      <c r="D1698" t="s">
        <v>309</v>
      </c>
      <c r="E1698" t="s">
        <v>6</v>
      </c>
      <c r="F1698" t="s">
        <v>724</v>
      </c>
      <c r="G1698">
        <v>6</v>
      </c>
      <c r="H1698" s="2">
        <f>Tabelle13[[#This Row],[commits]]/Tabelle13[[#Totals],[commits]]</f>
        <v>2.7886742642547732E-5</v>
      </c>
      <c r="I1698" s="5">
        <f>Tabelle13[[#This Row],[%]]+I1697</f>
        <v>0.94480748851995444</v>
      </c>
      <c r="J1698" s="4">
        <f t="shared" si="85"/>
        <v>1.105583195135434E-4</v>
      </c>
      <c r="K1698" s="5">
        <f t="shared" si="86"/>
        <v>0.18750690989496308</v>
      </c>
    </row>
    <row r="1699" spans="1:11" x14ac:dyDescent="0.25">
      <c r="A1699" t="s">
        <v>2785</v>
      </c>
      <c r="C1699" t="s">
        <v>2786</v>
      </c>
      <c r="D1699" t="s">
        <v>5</v>
      </c>
      <c r="E1699" t="s">
        <v>6</v>
      </c>
      <c r="F1699" t="s">
        <v>724</v>
      </c>
      <c r="G1699">
        <v>6</v>
      </c>
      <c r="H1699" s="2">
        <f>Tabelle13[[#This Row],[commits]]/Tabelle13[[#Totals],[commits]]</f>
        <v>2.7886742642547732E-5</v>
      </c>
      <c r="I1699" s="5">
        <f>Tabelle13[[#This Row],[%]]+I1698</f>
        <v>0.94483537526259698</v>
      </c>
      <c r="J1699" s="4">
        <f t="shared" si="85"/>
        <v>1.105583195135434E-4</v>
      </c>
      <c r="K1699" s="5">
        <f t="shared" si="86"/>
        <v>0.18761746821447661</v>
      </c>
    </row>
    <row r="1700" spans="1:11" x14ac:dyDescent="0.25">
      <c r="A1700" t="s">
        <v>2787</v>
      </c>
      <c r="C1700" t="s">
        <v>2788</v>
      </c>
      <c r="D1700" t="s">
        <v>309</v>
      </c>
      <c r="E1700" t="s">
        <v>6</v>
      </c>
      <c r="F1700" t="s">
        <v>724</v>
      </c>
      <c r="G1700">
        <v>6</v>
      </c>
      <c r="H1700" s="2">
        <f>Tabelle13[[#This Row],[commits]]/Tabelle13[[#Totals],[commits]]</f>
        <v>2.7886742642547732E-5</v>
      </c>
      <c r="I1700" s="5">
        <f>Tabelle13[[#This Row],[%]]+I1699</f>
        <v>0.94486326200523951</v>
      </c>
      <c r="J1700" s="4">
        <f t="shared" si="85"/>
        <v>1.105583195135434E-4</v>
      </c>
      <c r="K1700" s="5">
        <f t="shared" si="86"/>
        <v>0.18772802653399015</v>
      </c>
    </row>
    <row r="1701" spans="1:11" x14ac:dyDescent="0.25">
      <c r="A1701" t="s">
        <v>2789</v>
      </c>
      <c r="C1701" t="s">
        <v>2790</v>
      </c>
      <c r="D1701" t="s">
        <v>5</v>
      </c>
      <c r="E1701" t="s">
        <v>6</v>
      </c>
      <c r="F1701" t="s">
        <v>724</v>
      </c>
      <c r="G1701">
        <v>6</v>
      </c>
      <c r="H1701" s="2">
        <f>Tabelle13[[#This Row],[commits]]/Tabelle13[[#Totals],[commits]]</f>
        <v>2.7886742642547732E-5</v>
      </c>
      <c r="I1701" s="5">
        <f>Tabelle13[[#This Row],[%]]+I1700</f>
        <v>0.94489114874788205</v>
      </c>
      <c r="J1701" s="4">
        <f t="shared" si="85"/>
        <v>1.105583195135434E-4</v>
      </c>
      <c r="K1701" s="5">
        <f t="shared" si="86"/>
        <v>0.18783858485350369</v>
      </c>
    </row>
    <row r="1702" spans="1:11" x14ac:dyDescent="0.25">
      <c r="A1702" t="s">
        <v>5404</v>
      </c>
      <c r="C1702" t="s">
        <v>5405</v>
      </c>
      <c r="D1702" t="s">
        <v>5</v>
      </c>
      <c r="E1702" t="s">
        <v>6</v>
      </c>
      <c r="F1702" t="s">
        <v>28</v>
      </c>
      <c r="G1702">
        <v>6</v>
      </c>
      <c r="H1702" s="2">
        <f>Tabelle13[[#This Row],[commits]]/Tabelle13[[#Totals],[commits]]</f>
        <v>2.7886742642547732E-5</v>
      </c>
      <c r="I1702" s="5">
        <f>Tabelle13[[#This Row],[%]]+I1701</f>
        <v>0.94491903549052458</v>
      </c>
      <c r="J1702" s="4">
        <f t="shared" si="85"/>
        <v>1.105583195135434E-4</v>
      </c>
      <c r="K1702" s="5">
        <f t="shared" si="86"/>
        <v>0.18794914317301722</v>
      </c>
    </row>
    <row r="1703" spans="1:11" x14ac:dyDescent="0.25">
      <c r="A1703" t="s">
        <v>5406</v>
      </c>
      <c r="C1703" t="s">
        <v>5407</v>
      </c>
      <c r="D1703" t="s">
        <v>5</v>
      </c>
      <c r="E1703" t="s">
        <v>6</v>
      </c>
      <c r="F1703" t="s">
        <v>28</v>
      </c>
      <c r="G1703">
        <v>6</v>
      </c>
      <c r="H1703" s="2">
        <f>Tabelle13[[#This Row],[commits]]/Tabelle13[[#Totals],[commits]]</f>
        <v>2.7886742642547732E-5</v>
      </c>
      <c r="I1703" s="5">
        <f>Tabelle13[[#This Row],[%]]+I1702</f>
        <v>0.94494692223316712</v>
      </c>
      <c r="J1703" s="4">
        <f t="shared" si="85"/>
        <v>1.105583195135434E-4</v>
      </c>
      <c r="K1703" s="5">
        <f t="shared" si="86"/>
        <v>0.18805970149253076</v>
      </c>
    </row>
    <row r="1704" spans="1:11" x14ac:dyDescent="0.25">
      <c r="A1704" t="s">
        <v>5408</v>
      </c>
      <c r="C1704" t="s">
        <v>5409</v>
      </c>
      <c r="D1704" t="s">
        <v>5</v>
      </c>
      <c r="E1704" t="s">
        <v>6</v>
      </c>
      <c r="F1704" t="s">
        <v>28</v>
      </c>
      <c r="G1704">
        <v>6</v>
      </c>
      <c r="H1704" s="2">
        <f>Tabelle13[[#This Row],[commits]]/Tabelle13[[#Totals],[commits]]</f>
        <v>2.7886742642547732E-5</v>
      </c>
      <c r="I1704" s="5">
        <f>Tabelle13[[#This Row],[%]]+I1703</f>
        <v>0.94497480897580965</v>
      </c>
      <c r="J1704" s="4">
        <f t="shared" si="85"/>
        <v>1.105583195135434E-4</v>
      </c>
      <c r="K1704" s="5">
        <f t="shared" si="86"/>
        <v>0.1881702598120443</v>
      </c>
    </row>
    <row r="1705" spans="1:11" x14ac:dyDescent="0.25">
      <c r="A1705" t="s">
        <v>5410</v>
      </c>
      <c r="C1705" t="s">
        <v>5411</v>
      </c>
      <c r="D1705" t="s">
        <v>5</v>
      </c>
      <c r="E1705" t="s">
        <v>6</v>
      </c>
      <c r="F1705" t="s">
        <v>28</v>
      </c>
      <c r="G1705">
        <v>6</v>
      </c>
      <c r="H1705" s="2">
        <f>Tabelle13[[#This Row],[commits]]/Tabelle13[[#Totals],[commits]]</f>
        <v>2.7886742642547732E-5</v>
      </c>
      <c r="I1705" s="5">
        <f>Tabelle13[[#This Row],[%]]+I1704</f>
        <v>0.94500269571845219</v>
      </c>
      <c r="J1705" s="4">
        <f t="shared" si="85"/>
        <v>1.105583195135434E-4</v>
      </c>
      <c r="K1705" s="5">
        <f t="shared" si="86"/>
        <v>0.18828081813155784</v>
      </c>
    </row>
    <row r="1706" spans="1:11" x14ac:dyDescent="0.25">
      <c r="A1706" t="s">
        <v>5412</v>
      </c>
      <c r="C1706" t="s">
        <v>197</v>
      </c>
      <c r="D1706" t="s">
        <v>5</v>
      </c>
      <c r="E1706" t="s">
        <v>6</v>
      </c>
      <c r="F1706" t="s">
        <v>28</v>
      </c>
      <c r="G1706">
        <v>6</v>
      </c>
      <c r="H1706" s="2">
        <f>Tabelle13[[#This Row],[commits]]/Tabelle13[[#Totals],[commits]]</f>
        <v>2.7886742642547732E-5</v>
      </c>
      <c r="I1706" s="5">
        <f>Tabelle13[[#This Row],[%]]+I1705</f>
        <v>0.94503058246109473</v>
      </c>
      <c r="J1706" s="4">
        <f t="shared" si="85"/>
        <v>1.105583195135434E-4</v>
      </c>
      <c r="K1706" s="5">
        <f t="shared" si="86"/>
        <v>0.18839137645107137</v>
      </c>
    </row>
    <row r="1707" spans="1:11" x14ac:dyDescent="0.25">
      <c r="A1707" t="s">
        <v>5413</v>
      </c>
      <c r="C1707" t="s">
        <v>5414</v>
      </c>
      <c r="D1707" t="s">
        <v>5175</v>
      </c>
      <c r="E1707" t="s">
        <v>6</v>
      </c>
      <c r="F1707" t="s">
        <v>28</v>
      </c>
      <c r="G1707">
        <v>6</v>
      </c>
      <c r="H1707" s="2">
        <f>Tabelle13[[#This Row],[commits]]/Tabelle13[[#Totals],[commits]]</f>
        <v>2.7886742642547732E-5</v>
      </c>
      <c r="I1707" s="5">
        <f>Tabelle13[[#This Row],[%]]+I1706</f>
        <v>0.94505846920373726</v>
      </c>
      <c r="J1707" s="4">
        <f t="shared" si="85"/>
        <v>1.105583195135434E-4</v>
      </c>
      <c r="K1707" s="5">
        <f t="shared" si="86"/>
        <v>0.18850193477058491</v>
      </c>
    </row>
    <row r="1708" spans="1:11" x14ac:dyDescent="0.25">
      <c r="A1708" t="s">
        <v>5415</v>
      </c>
      <c r="C1708" t="s">
        <v>5416</v>
      </c>
      <c r="D1708" t="s">
        <v>5</v>
      </c>
      <c r="E1708" t="s">
        <v>6</v>
      </c>
      <c r="F1708" t="s">
        <v>28</v>
      </c>
      <c r="G1708">
        <v>6</v>
      </c>
      <c r="H1708" s="2">
        <f>Tabelle13[[#This Row],[commits]]/Tabelle13[[#Totals],[commits]]</f>
        <v>2.7886742642547732E-5</v>
      </c>
      <c r="I1708" s="5">
        <f>Tabelle13[[#This Row],[%]]+I1707</f>
        <v>0.9450863559463798</v>
      </c>
      <c r="J1708" s="4">
        <f t="shared" si="85"/>
        <v>1.105583195135434E-4</v>
      </c>
      <c r="K1708" s="5">
        <f t="shared" si="86"/>
        <v>0.18861249309009845</v>
      </c>
    </row>
    <row r="1709" spans="1:11" x14ac:dyDescent="0.25">
      <c r="A1709" t="s">
        <v>5417</v>
      </c>
      <c r="C1709" t="s">
        <v>5418</v>
      </c>
      <c r="D1709" t="s">
        <v>5</v>
      </c>
      <c r="E1709" t="s">
        <v>6</v>
      </c>
      <c r="F1709" t="s">
        <v>28</v>
      </c>
      <c r="G1709">
        <v>6</v>
      </c>
      <c r="H1709" s="2">
        <f>Tabelle13[[#This Row],[commits]]/Tabelle13[[#Totals],[commits]]</f>
        <v>2.7886742642547732E-5</v>
      </c>
      <c r="I1709" s="5">
        <f>Tabelle13[[#This Row],[%]]+I1708</f>
        <v>0.94511424268902233</v>
      </c>
      <c r="J1709" s="4">
        <f t="shared" si="85"/>
        <v>1.105583195135434E-4</v>
      </c>
      <c r="K1709" s="5">
        <f t="shared" si="86"/>
        <v>0.18872305140961199</v>
      </c>
    </row>
    <row r="1710" spans="1:11" x14ac:dyDescent="0.25">
      <c r="A1710" t="s">
        <v>5419</v>
      </c>
      <c r="C1710" t="s">
        <v>5420</v>
      </c>
      <c r="D1710" t="s">
        <v>5175</v>
      </c>
      <c r="E1710" t="s">
        <v>6</v>
      </c>
      <c r="F1710" t="s">
        <v>28</v>
      </c>
      <c r="G1710">
        <v>6</v>
      </c>
      <c r="H1710" s="2">
        <f>Tabelle13[[#This Row],[commits]]/Tabelle13[[#Totals],[commits]]</f>
        <v>2.7886742642547732E-5</v>
      </c>
      <c r="I1710" s="5">
        <f>Tabelle13[[#This Row],[%]]+I1709</f>
        <v>0.94514212943166487</v>
      </c>
      <c r="J1710" s="4">
        <f t="shared" si="85"/>
        <v>1.105583195135434E-4</v>
      </c>
      <c r="K1710" s="5">
        <f t="shared" si="86"/>
        <v>0.18883360972912552</v>
      </c>
    </row>
    <row r="1711" spans="1:11" x14ac:dyDescent="0.25">
      <c r="A1711" t="s">
        <v>5421</v>
      </c>
      <c r="C1711" t="s">
        <v>5422</v>
      </c>
      <c r="D1711" t="s">
        <v>5</v>
      </c>
      <c r="E1711" t="s">
        <v>6</v>
      </c>
      <c r="F1711" t="s">
        <v>28</v>
      </c>
      <c r="G1711">
        <v>6</v>
      </c>
      <c r="H1711" s="2">
        <f>Tabelle13[[#This Row],[commits]]/Tabelle13[[#Totals],[commits]]</f>
        <v>2.7886742642547732E-5</v>
      </c>
      <c r="I1711" s="5">
        <f>Tabelle13[[#This Row],[%]]+I1710</f>
        <v>0.9451700161743074</v>
      </c>
      <c r="J1711" s="4">
        <f t="shared" si="85"/>
        <v>1.105583195135434E-4</v>
      </c>
      <c r="K1711" s="5">
        <f t="shared" si="86"/>
        <v>0.18894416804863906</v>
      </c>
    </row>
    <row r="1712" spans="1:11" x14ac:dyDescent="0.25">
      <c r="A1712" t="s">
        <v>5423</v>
      </c>
      <c r="C1712" t="s">
        <v>2775</v>
      </c>
      <c r="D1712" t="s">
        <v>5175</v>
      </c>
      <c r="E1712" t="s">
        <v>6</v>
      </c>
      <c r="F1712" t="s">
        <v>28</v>
      </c>
      <c r="G1712">
        <v>6</v>
      </c>
      <c r="H1712" s="2">
        <f>Tabelle13[[#This Row],[commits]]/Tabelle13[[#Totals],[commits]]</f>
        <v>2.7886742642547732E-5</v>
      </c>
      <c r="I1712" s="5">
        <f>Tabelle13[[#This Row],[%]]+I1711</f>
        <v>0.94519790291694994</v>
      </c>
      <c r="J1712" s="4">
        <f t="shared" si="85"/>
        <v>1.105583195135434E-4</v>
      </c>
      <c r="K1712" s="5">
        <f t="shared" si="86"/>
        <v>0.1890547263681526</v>
      </c>
    </row>
    <row r="1713" spans="1:11" x14ac:dyDescent="0.25">
      <c r="A1713" t="s">
        <v>5424</v>
      </c>
      <c r="C1713" t="s">
        <v>5425</v>
      </c>
      <c r="D1713" t="s">
        <v>5</v>
      </c>
      <c r="E1713" t="s">
        <v>6</v>
      </c>
      <c r="F1713" t="s">
        <v>28</v>
      </c>
      <c r="G1713">
        <v>6</v>
      </c>
      <c r="H1713" s="2">
        <f>Tabelle13[[#This Row],[commits]]/Tabelle13[[#Totals],[commits]]</f>
        <v>2.7886742642547732E-5</v>
      </c>
      <c r="I1713" s="5">
        <f>Tabelle13[[#This Row],[%]]+I1712</f>
        <v>0.94522578965959247</v>
      </c>
      <c r="J1713" s="4">
        <f t="shared" si="85"/>
        <v>1.105583195135434E-4</v>
      </c>
      <c r="K1713" s="5">
        <f t="shared" si="86"/>
        <v>0.18916528468766614</v>
      </c>
    </row>
    <row r="1714" spans="1:11" x14ac:dyDescent="0.25">
      <c r="A1714" t="s">
        <v>5426</v>
      </c>
      <c r="C1714" t="s">
        <v>5427</v>
      </c>
      <c r="D1714" t="s">
        <v>5</v>
      </c>
      <c r="E1714" t="s">
        <v>6</v>
      </c>
      <c r="F1714" t="s">
        <v>28</v>
      </c>
      <c r="G1714">
        <v>6</v>
      </c>
      <c r="H1714" s="2">
        <f>Tabelle13[[#This Row],[commits]]/Tabelle13[[#Totals],[commits]]</f>
        <v>2.7886742642547732E-5</v>
      </c>
      <c r="I1714" s="5">
        <f>Tabelle13[[#This Row],[%]]+I1713</f>
        <v>0.94525367640223501</v>
      </c>
      <c r="J1714" s="4">
        <f t="shared" si="85"/>
        <v>1.105583195135434E-4</v>
      </c>
      <c r="K1714" s="5">
        <f t="shared" si="86"/>
        <v>0.18927584300717967</v>
      </c>
    </row>
    <row r="1715" spans="1:11" x14ac:dyDescent="0.25">
      <c r="A1715" t="s">
        <v>5428</v>
      </c>
      <c r="C1715" t="s">
        <v>5429</v>
      </c>
      <c r="D1715" t="s">
        <v>309</v>
      </c>
      <c r="E1715" t="s">
        <v>6</v>
      </c>
      <c r="F1715" t="s">
        <v>28</v>
      </c>
      <c r="G1715">
        <v>6</v>
      </c>
      <c r="H1715" s="2">
        <f>Tabelle13[[#This Row],[commits]]/Tabelle13[[#Totals],[commits]]</f>
        <v>2.7886742642547732E-5</v>
      </c>
      <c r="I1715" s="5">
        <f>Tabelle13[[#This Row],[%]]+I1714</f>
        <v>0.94528156314487755</v>
      </c>
      <c r="J1715" s="4">
        <f t="shared" si="85"/>
        <v>1.105583195135434E-4</v>
      </c>
      <c r="K1715" s="5">
        <f t="shared" si="86"/>
        <v>0.18938640132669321</v>
      </c>
    </row>
    <row r="1716" spans="1:11" x14ac:dyDescent="0.25">
      <c r="A1716" t="s">
        <v>5430</v>
      </c>
      <c r="C1716" t="s">
        <v>5431</v>
      </c>
      <c r="D1716" t="s">
        <v>5</v>
      </c>
      <c r="E1716" t="s">
        <v>6</v>
      </c>
      <c r="F1716" t="s">
        <v>28</v>
      </c>
      <c r="G1716">
        <v>6</v>
      </c>
      <c r="H1716" s="2">
        <f>Tabelle13[[#This Row],[commits]]/Tabelle13[[#Totals],[commits]]</f>
        <v>2.7886742642547732E-5</v>
      </c>
      <c r="I1716" s="5">
        <f>Tabelle13[[#This Row],[%]]+I1715</f>
        <v>0.94530944988752008</v>
      </c>
      <c r="J1716" s="4">
        <f t="shared" si="85"/>
        <v>1.105583195135434E-4</v>
      </c>
      <c r="K1716" s="5">
        <f t="shared" si="86"/>
        <v>0.18949695964620675</v>
      </c>
    </row>
    <row r="1717" spans="1:11" x14ac:dyDescent="0.25">
      <c r="A1717" t="s">
        <v>5432</v>
      </c>
      <c r="C1717" t="s">
        <v>5433</v>
      </c>
      <c r="D1717" t="s">
        <v>5</v>
      </c>
      <c r="E1717" t="s">
        <v>6</v>
      </c>
      <c r="F1717" t="s">
        <v>28</v>
      </c>
      <c r="G1717">
        <v>6</v>
      </c>
      <c r="H1717" s="2">
        <f>Tabelle13[[#This Row],[commits]]/Tabelle13[[#Totals],[commits]]</f>
        <v>2.7886742642547732E-5</v>
      </c>
      <c r="I1717" s="5">
        <f>Tabelle13[[#This Row],[%]]+I1716</f>
        <v>0.94533733663016262</v>
      </c>
      <c r="J1717" s="4">
        <f t="shared" si="85"/>
        <v>1.105583195135434E-4</v>
      </c>
      <c r="K1717" s="5">
        <f t="shared" si="86"/>
        <v>0.18960751796572028</v>
      </c>
    </row>
    <row r="1718" spans="1:11" x14ac:dyDescent="0.25">
      <c r="A1718" t="s">
        <v>11058</v>
      </c>
      <c r="C1718" t="s">
        <v>11059</v>
      </c>
      <c r="D1718" t="s">
        <v>309</v>
      </c>
      <c r="E1718" t="s">
        <v>6</v>
      </c>
      <c r="F1718" t="s">
        <v>251</v>
      </c>
      <c r="G1718">
        <v>6</v>
      </c>
      <c r="H1718" s="2">
        <f>Tabelle13[[#This Row],[commits]]/Tabelle13[[#Totals],[commits]]</f>
        <v>2.7886742642547732E-5</v>
      </c>
      <c r="I1718" s="5">
        <f>Tabelle13[[#This Row],[%]]+I1717</f>
        <v>0.94536522337280515</v>
      </c>
      <c r="J1718" s="4">
        <f t="shared" si="85"/>
        <v>1.105583195135434E-4</v>
      </c>
      <c r="K1718" s="5">
        <f t="shared" si="86"/>
        <v>0.18971807628523382</v>
      </c>
    </row>
    <row r="1719" spans="1:11" x14ac:dyDescent="0.25">
      <c r="A1719" t="s">
        <v>11060</v>
      </c>
      <c r="C1719" t="s">
        <v>11061</v>
      </c>
      <c r="D1719" t="s">
        <v>309</v>
      </c>
      <c r="E1719" t="s">
        <v>6</v>
      </c>
      <c r="F1719" t="s">
        <v>251</v>
      </c>
      <c r="G1719">
        <v>6</v>
      </c>
      <c r="H1719" s="2">
        <f>Tabelle13[[#This Row],[commits]]/Tabelle13[[#Totals],[commits]]</f>
        <v>2.7886742642547732E-5</v>
      </c>
      <c r="I1719" s="5">
        <f>Tabelle13[[#This Row],[%]]+I1718</f>
        <v>0.94539311011544769</v>
      </c>
      <c r="J1719" s="4">
        <f t="shared" si="85"/>
        <v>1.105583195135434E-4</v>
      </c>
      <c r="K1719" s="5">
        <f t="shared" si="86"/>
        <v>0.18982863460474736</v>
      </c>
    </row>
    <row r="1720" spans="1:11" x14ac:dyDescent="0.25">
      <c r="A1720" t="s">
        <v>11062</v>
      </c>
      <c r="C1720" t="s">
        <v>11063</v>
      </c>
      <c r="D1720" t="s">
        <v>5</v>
      </c>
      <c r="E1720" t="s">
        <v>6</v>
      </c>
      <c r="F1720" t="s">
        <v>251</v>
      </c>
      <c r="G1720">
        <v>6</v>
      </c>
      <c r="H1720" s="2">
        <f>Tabelle13[[#This Row],[commits]]/Tabelle13[[#Totals],[commits]]</f>
        <v>2.7886742642547732E-5</v>
      </c>
      <c r="I1720" s="5">
        <f>Tabelle13[[#This Row],[%]]+I1719</f>
        <v>0.94542099685809022</v>
      </c>
      <c r="J1720" s="4">
        <f t="shared" si="85"/>
        <v>1.105583195135434E-4</v>
      </c>
      <c r="K1720" s="5">
        <f t="shared" si="86"/>
        <v>0.1899391929242609</v>
      </c>
    </row>
    <row r="1721" spans="1:11" x14ac:dyDescent="0.25">
      <c r="A1721" t="s">
        <v>11064</v>
      </c>
      <c r="C1721" t="s">
        <v>11065</v>
      </c>
      <c r="D1721" t="s">
        <v>309</v>
      </c>
      <c r="E1721" t="s">
        <v>6</v>
      </c>
      <c r="F1721" t="s">
        <v>251</v>
      </c>
      <c r="G1721">
        <v>6</v>
      </c>
      <c r="H1721" s="2">
        <f>Tabelle13[[#This Row],[commits]]/Tabelle13[[#Totals],[commits]]</f>
        <v>2.7886742642547732E-5</v>
      </c>
      <c r="I1721" s="5">
        <f>Tabelle13[[#This Row],[%]]+I1720</f>
        <v>0.94544888360073276</v>
      </c>
      <c r="J1721" s="4">
        <f t="shared" si="85"/>
        <v>1.105583195135434E-4</v>
      </c>
      <c r="K1721" s="5">
        <f t="shared" si="86"/>
        <v>0.19004975124377443</v>
      </c>
    </row>
    <row r="1722" spans="1:11" x14ac:dyDescent="0.25">
      <c r="A1722" t="s">
        <v>11066</v>
      </c>
      <c r="C1722" t="s">
        <v>11067</v>
      </c>
      <c r="D1722" t="s">
        <v>309</v>
      </c>
      <c r="E1722" t="s">
        <v>6</v>
      </c>
      <c r="F1722" t="s">
        <v>251</v>
      </c>
      <c r="G1722">
        <v>6</v>
      </c>
      <c r="H1722" s="2">
        <f>Tabelle13[[#This Row],[commits]]/Tabelle13[[#Totals],[commits]]</f>
        <v>2.7886742642547732E-5</v>
      </c>
      <c r="I1722" s="5">
        <f>Tabelle13[[#This Row],[%]]+I1721</f>
        <v>0.94547677034337529</v>
      </c>
      <c r="J1722" s="4">
        <f t="shared" si="85"/>
        <v>1.105583195135434E-4</v>
      </c>
      <c r="K1722" s="5">
        <f t="shared" si="86"/>
        <v>0.19016030956328797</v>
      </c>
    </row>
    <row r="1723" spans="1:11" x14ac:dyDescent="0.25">
      <c r="A1723" t="s">
        <v>11068</v>
      </c>
      <c r="C1723" t="s">
        <v>11069</v>
      </c>
      <c r="D1723" t="s">
        <v>309</v>
      </c>
      <c r="E1723" t="s">
        <v>6</v>
      </c>
      <c r="F1723" t="s">
        <v>251</v>
      </c>
      <c r="G1723">
        <v>6</v>
      </c>
      <c r="H1723" s="2">
        <f>Tabelle13[[#This Row],[commits]]/Tabelle13[[#Totals],[commits]]</f>
        <v>2.7886742642547732E-5</v>
      </c>
      <c r="I1723" s="5">
        <f>Tabelle13[[#This Row],[%]]+I1722</f>
        <v>0.94550465708601783</v>
      </c>
      <c r="J1723" s="4">
        <f t="shared" si="85"/>
        <v>1.105583195135434E-4</v>
      </c>
      <c r="K1723" s="5">
        <f t="shared" si="86"/>
        <v>0.19027086788280151</v>
      </c>
    </row>
    <row r="1724" spans="1:11" x14ac:dyDescent="0.25">
      <c r="A1724" t="s">
        <v>11070</v>
      </c>
      <c r="C1724" t="s">
        <v>11071</v>
      </c>
      <c r="D1724" t="s">
        <v>309</v>
      </c>
      <c r="E1724" t="s">
        <v>6</v>
      </c>
      <c r="F1724" t="s">
        <v>251</v>
      </c>
      <c r="G1724">
        <v>6</v>
      </c>
      <c r="H1724" s="2">
        <f>Tabelle13[[#This Row],[commits]]/Tabelle13[[#Totals],[commits]]</f>
        <v>2.7886742642547732E-5</v>
      </c>
      <c r="I1724" s="5">
        <f>Tabelle13[[#This Row],[%]]+I1723</f>
        <v>0.94553254382866037</v>
      </c>
      <c r="J1724" s="4">
        <f t="shared" si="85"/>
        <v>1.105583195135434E-4</v>
      </c>
      <c r="K1724" s="5">
        <f t="shared" si="86"/>
        <v>0.19038142620231505</v>
      </c>
    </row>
    <row r="1725" spans="1:11" x14ac:dyDescent="0.25">
      <c r="A1725" t="s">
        <v>11072</v>
      </c>
      <c r="C1725" t="s">
        <v>11073</v>
      </c>
      <c r="D1725" t="s">
        <v>309</v>
      </c>
      <c r="E1725" t="s">
        <v>6</v>
      </c>
      <c r="F1725" t="s">
        <v>251</v>
      </c>
      <c r="G1725">
        <v>6</v>
      </c>
      <c r="H1725" s="2">
        <f>Tabelle13[[#This Row],[commits]]/Tabelle13[[#Totals],[commits]]</f>
        <v>2.7886742642547732E-5</v>
      </c>
      <c r="I1725" s="5">
        <f>Tabelle13[[#This Row],[%]]+I1724</f>
        <v>0.9455604305713029</v>
      </c>
      <c r="J1725" s="4">
        <f t="shared" si="85"/>
        <v>1.105583195135434E-4</v>
      </c>
      <c r="K1725" s="5">
        <f t="shared" si="86"/>
        <v>0.19049198452182858</v>
      </c>
    </row>
    <row r="1726" spans="1:11" x14ac:dyDescent="0.25">
      <c r="A1726" t="s">
        <v>11074</v>
      </c>
      <c r="C1726" t="s">
        <v>11075</v>
      </c>
      <c r="D1726" t="s">
        <v>8948</v>
      </c>
      <c r="E1726" t="s">
        <v>6</v>
      </c>
      <c r="F1726" t="s">
        <v>251</v>
      </c>
      <c r="G1726">
        <v>6</v>
      </c>
      <c r="H1726" s="2">
        <f>Tabelle13[[#This Row],[commits]]/Tabelle13[[#Totals],[commits]]</f>
        <v>2.7886742642547732E-5</v>
      </c>
      <c r="I1726" s="5">
        <f>Tabelle13[[#This Row],[%]]+I1725</f>
        <v>0.94558831731394544</v>
      </c>
      <c r="J1726" s="4">
        <f t="shared" si="85"/>
        <v>1.105583195135434E-4</v>
      </c>
      <c r="K1726" s="5">
        <f t="shared" si="86"/>
        <v>0.19060254284134212</v>
      </c>
    </row>
    <row r="1727" spans="1:11" x14ac:dyDescent="0.25">
      <c r="A1727" t="s">
        <v>11076</v>
      </c>
      <c r="C1727" t="s">
        <v>11077</v>
      </c>
      <c r="D1727" t="s">
        <v>10825</v>
      </c>
      <c r="E1727" t="s">
        <v>6</v>
      </c>
      <c r="F1727" t="s">
        <v>251</v>
      </c>
      <c r="G1727">
        <v>6</v>
      </c>
      <c r="H1727" s="2">
        <f>Tabelle13[[#This Row],[commits]]/Tabelle13[[#Totals],[commits]]</f>
        <v>2.7886742642547732E-5</v>
      </c>
      <c r="I1727" s="5">
        <f>Tabelle13[[#This Row],[%]]+I1726</f>
        <v>0.94561620405658797</v>
      </c>
      <c r="J1727" s="4">
        <f t="shared" si="85"/>
        <v>1.105583195135434E-4</v>
      </c>
      <c r="K1727" s="5">
        <f t="shared" si="86"/>
        <v>0.19071310116085566</v>
      </c>
    </row>
    <row r="1728" spans="1:11" x14ac:dyDescent="0.25">
      <c r="A1728" t="s">
        <v>11078</v>
      </c>
      <c r="C1728" t="s">
        <v>11079</v>
      </c>
      <c r="D1728" t="s">
        <v>309</v>
      </c>
      <c r="E1728" t="s">
        <v>6</v>
      </c>
      <c r="F1728" t="s">
        <v>251</v>
      </c>
      <c r="G1728">
        <v>6</v>
      </c>
      <c r="H1728" s="2">
        <f>Tabelle13[[#This Row],[commits]]/Tabelle13[[#Totals],[commits]]</f>
        <v>2.7886742642547732E-5</v>
      </c>
      <c r="I1728" s="5">
        <f>Tabelle13[[#This Row],[%]]+I1727</f>
        <v>0.94564409079923051</v>
      </c>
      <c r="J1728" s="4">
        <f t="shared" si="85"/>
        <v>1.105583195135434E-4</v>
      </c>
      <c r="K1728" s="5">
        <f t="shared" si="86"/>
        <v>0.1908236594803692</v>
      </c>
    </row>
    <row r="1729" spans="1:11" x14ac:dyDescent="0.25">
      <c r="A1729" t="s">
        <v>11080</v>
      </c>
      <c r="C1729" t="s">
        <v>11081</v>
      </c>
      <c r="D1729" t="s">
        <v>309</v>
      </c>
      <c r="E1729" t="s">
        <v>6</v>
      </c>
      <c r="F1729" t="s">
        <v>251</v>
      </c>
      <c r="G1729">
        <v>6</v>
      </c>
      <c r="H1729" s="2">
        <f>Tabelle13[[#This Row],[commits]]/Tabelle13[[#Totals],[commits]]</f>
        <v>2.7886742642547732E-5</v>
      </c>
      <c r="I1729" s="5">
        <f>Tabelle13[[#This Row],[%]]+I1728</f>
        <v>0.94567197754187304</v>
      </c>
      <c r="J1729" s="4">
        <f t="shared" si="85"/>
        <v>1.105583195135434E-4</v>
      </c>
      <c r="K1729" s="5">
        <f t="shared" si="86"/>
        <v>0.19093421779988273</v>
      </c>
    </row>
    <row r="1730" spans="1:11" x14ac:dyDescent="0.25">
      <c r="A1730" t="s">
        <v>11082</v>
      </c>
      <c r="C1730" t="s">
        <v>11083</v>
      </c>
      <c r="D1730" t="s">
        <v>5</v>
      </c>
      <c r="E1730" t="s">
        <v>6</v>
      </c>
      <c r="F1730" t="s">
        <v>251</v>
      </c>
      <c r="G1730">
        <v>6</v>
      </c>
      <c r="H1730" s="2">
        <f>Tabelle13[[#This Row],[commits]]/Tabelle13[[#Totals],[commits]]</f>
        <v>2.7886742642547732E-5</v>
      </c>
      <c r="I1730" s="5">
        <f>Tabelle13[[#This Row],[%]]+I1729</f>
        <v>0.94569986428451558</v>
      </c>
      <c r="J1730" s="4">
        <f t="shared" si="85"/>
        <v>1.105583195135434E-4</v>
      </c>
      <c r="K1730" s="5">
        <f t="shared" si="86"/>
        <v>0.19104477611939627</v>
      </c>
    </row>
    <row r="1731" spans="1:11" x14ac:dyDescent="0.25">
      <c r="A1731" t="s">
        <v>11084</v>
      </c>
      <c r="C1731" t="s">
        <v>11085</v>
      </c>
      <c r="D1731" t="s">
        <v>5</v>
      </c>
      <c r="E1731" t="s">
        <v>6</v>
      </c>
      <c r="F1731" t="s">
        <v>251</v>
      </c>
      <c r="G1731">
        <v>6</v>
      </c>
      <c r="H1731" s="2">
        <f>Tabelle13[[#This Row],[commits]]/Tabelle13[[#Totals],[commits]]</f>
        <v>2.7886742642547732E-5</v>
      </c>
      <c r="I1731" s="5">
        <f>Tabelle13[[#This Row],[%]]+I1730</f>
        <v>0.94572775102715811</v>
      </c>
      <c r="J1731" s="4">
        <f t="shared" ref="J1731:J1794" si="87">1/9045</f>
        <v>1.105583195135434E-4</v>
      </c>
      <c r="K1731" s="5">
        <f t="shared" si="86"/>
        <v>0.19115533443890981</v>
      </c>
    </row>
    <row r="1732" spans="1:11" x14ac:dyDescent="0.25">
      <c r="A1732" t="s">
        <v>11086</v>
      </c>
      <c r="C1732" t="s">
        <v>11087</v>
      </c>
      <c r="D1732" t="s">
        <v>11088</v>
      </c>
      <c r="E1732" t="s">
        <v>6</v>
      </c>
      <c r="F1732" t="s">
        <v>251</v>
      </c>
      <c r="G1732">
        <v>6</v>
      </c>
      <c r="H1732" s="2">
        <f>Tabelle13[[#This Row],[commits]]/Tabelle13[[#Totals],[commits]]</f>
        <v>2.7886742642547732E-5</v>
      </c>
      <c r="I1732" s="5">
        <f>Tabelle13[[#This Row],[%]]+I1731</f>
        <v>0.94575563776980065</v>
      </c>
      <c r="J1732" s="4">
        <f t="shared" si="87"/>
        <v>1.105583195135434E-4</v>
      </c>
      <c r="K1732" s="5">
        <f t="shared" si="86"/>
        <v>0.19126589275842334</v>
      </c>
    </row>
    <row r="1733" spans="1:11" x14ac:dyDescent="0.25">
      <c r="A1733" t="s">
        <v>11089</v>
      </c>
      <c r="C1733" t="s">
        <v>11090</v>
      </c>
      <c r="D1733" t="s">
        <v>9035</v>
      </c>
      <c r="E1733" t="s">
        <v>6</v>
      </c>
      <c r="F1733" t="s">
        <v>251</v>
      </c>
      <c r="G1733">
        <v>6</v>
      </c>
      <c r="H1733" s="2">
        <f>Tabelle13[[#This Row],[commits]]/Tabelle13[[#Totals],[commits]]</f>
        <v>2.7886742642547732E-5</v>
      </c>
      <c r="I1733" s="5">
        <f>Tabelle13[[#This Row],[%]]+I1732</f>
        <v>0.94578352451244319</v>
      </c>
      <c r="J1733" s="4">
        <f t="shared" si="87"/>
        <v>1.105583195135434E-4</v>
      </c>
      <c r="K1733" s="5">
        <f t="shared" si="86"/>
        <v>0.19137645107793688</v>
      </c>
    </row>
    <row r="1734" spans="1:11" x14ac:dyDescent="0.25">
      <c r="A1734" t="s">
        <v>11091</v>
      </c>
      <c r="C1734" t="s">
        <v>11092</v>
      </c>
      <c r="D1734" t="s">
        <v>309</v>
      </c>
      <c r="E1734" t="s">
        <v>6</v>
      </c>
      <c r="F1734" t="s">
        <v>251</v>
      </c>
      <c r="G1734">
        <v>6</v>
      </c>
      <c r="H1734" s="2">
        <f>Tabelle13[[#This Row],[commits]]/Tabelle13[[#Totals],[commits]]</f>
        <v>2.7886742642547732E-5</v>
      </c>
      <c r="I1734" s="5">
        <f>Tabelle13[[#This Row],[%]]+I1733</f>
        <v>0.94581141125508572</v>
      </c>
      <c r="J1734" s="4">
        <f t="shared" si="87"/>
        <v>1.105583195135434E-4</v>
      </c>
      <c r="K1734" s="5">
        <f t="shared" ref="K1734:K1797" si="88">J1734+K1733</f>
        <v>0.19148700939745042</v>
      </c>
    </row>
    <row r="1735" spans="1:11" x14ac:dyDescent="0.25">
      <c r="A1735" t="s">
        <v>11093</v>
      </c>
      <c r="C1735" t="s">
        <v>11094</v>
      </c>
      <c r="D1735" t="s">
        <v>309</v>
      </c>
      <c r="E1735" t="s">
        <v>6</v>
      </c>
      <c r="F1735" t="s">
        <v>251</v>
      </c>
      <c r="G1735">
        <v>6</v>
      </c>
      <c r="H1735" s="2">
        <f>Tabelle13[[#This Row],[commits]]/Tabelle13[[#Totals],[commits]]</f>
        <v>2.7886742642547732E-5</v>
      </c>
      <c r="I1735" s="5">
        <f>Tabelle13[[#This Row],[%]]+I1734</f>
        <v>0.94583929799772826</v>
      </c>
      <c r="J1735" s="4">
        <f t="shared" si="87"/>
        <v>1.105583195135434E-4</v>
      </c>
      <c r="K1735" s="5">
        <f t="shared" si="88"/>
        <v>0.19159756771696396</v>
      </c>
    </row>
    <row r="1736" spans="1:11" x14ac:dyDescent="0.25">
      <c r="A1736" t="s">
        <v>11095</v>
      </c>
      <c r="C1736" t="s">
        <v>11096</v>
      </c>
      <c r="D1736" t="s">
        <v>5</v>
      </c>
      <c r="E1736" t="s">
        <v>6</v>
      </c>
      <c r="F1736" t="s">
        <v>251</v>
      </c>
      <c r="G1736">
        <v>6</v>
      </c>
      <c r="H1736" s="2">
        <f>Tabelle13[[#This Row],[commits]]/Tabelle13[[#Totals],[commits]]</f>
        <v>2.7886742642547732E-5</v>
      </c>
      <c r="I1736" s="5">
        <f>Tabelle13[[#This Row],[%]]+I1735</f>
        <v>0.94586718474037079</v>
      </c>
      <c r="J1736" s="4">
        <f t="shared" si="87"/>
        <v>1.105583195135434E-4</v>
      </c>
      <c r="K1736" s="5">
        <f t="shared" si="88"/>
        <v>0.19170812603647749</v>
      </c>
    </row>
    <row r="1737" spans="1:11" x14ac:dyDescent="0.25">
      <c r="A1737" t="s">
        <v>11097</v>
      </c>
      <c r="C1737" t="s">
        <v>11098</v>
      </c>
      <c r="D1737" t="s">
        <v>309</v>
      </c>
      <c r="E1737" t="s">
        <v>6</v>
      </c>
      <c r="F1737" t="s">
        <v>251</v>
      </c>
      <c r="G1737">
        <v>6</v>
      </c>
      <c r="H1737" s="2">
        <f>Tabelle13[[#This Row],[commits]]/Tabelle13[[#Totals],[commits]]</f>
        <v>2.7886742642547732E-5</v>
      </c>
      <c r="I1737" s="5">
        <f>Tabelle13[[#This Row],[%]]+I1736</f>
        <v>0.94589507148301333</v>
      </c>
      <c r="J1737" s="4">
        <f t="shared" si="87"/>
        <v>1.105583195135434E-4</v>
      </c>
      <c r="K1737" s="5">
        <f t="shared" si="88"/>
        <v>0.19181868435599103</v>
      </c>
    </row>
    <row r="1738" spans="1:11" x14ac:dyDescent="0.25">
      <c r="A1738" t="s">
        <v>11099</v>
      </c>
      <c r="C1738" t="s">
        <v>11100</v>
      </c>
      <c r="D1738" t="s">
        <v>309</v>
      </c>
      <c r="E1738" t="s">
        <v>6</v>
      </c>
      <c r="F1738" t="s">
        <v>251</v>
      </c>
      <c r="G1738">
        <v>6</v>
      </c>
      <c r="H1738" s="2">
        <f>Tabelle13[[#This Row],[commits]]/Tabelle13[[#Totals],[commits]]</f>
        <v>2.7886742642547732E-5</v>
      </c>
      <c r="I1738" s="5">
        <f>Tabelle13[[#This Row],[%]]+I1737</f>
        <v>0.94592295822565586</v>
      </c>
      <c r="J1738" s="4">
        <f t="shared" si="87"/>
        <v>1.105583195135434E-4</v>
      </c>
      <c r="K1738" s="5">
        <f t="shared" si="88"/>
        <v>0.19192924267550457</v>
      </c>
    </row>
    <row r="1739" spans="1:11" x14ac:dyDescent="0.25">
      <c r="A1739" t="s">
        <v>11101</v>
      </c>
      <c r="C1739" t="s">
        <v>11102</v>
      </c>
      <c r="D1739" t="s">
        <v>5</v>
      </c>
      <c r="E1739" t="s">
        <v>6</v>
      </c>
      <c r="F1739" t="s">
        <v>251</v>
      </c>
      <c r="G1739">
        <v>6</v>
      </c>
      <c r="H1739" s="2">
        <f>Tabelle13[[#This Row],[commits]]/Tabelle13[[#Totals],[commits]]</f>
        <v>2.7886742642547732E-5</v>
      </c>
      <c r="I1739" s="5">
        <f>Tabelle13[[#This Row],[%]]+I1738</f>
        <v>0.9459508449682984</v>
      </c>
      <c r="J1739" s="4">
        <f t="shared" si="87"/>
        <v>1.105583195135434E-4</v>
      </c>
      <c r="K1739" s="5">
        <f t="shared" si="88"/>
        <v>0.19203980099501811</v>
      </c>
    </row>
    <row r="1740" spans="1:11" x14ac:dyDescent="0.25">
      <c r="A1740" t="s">
        <v>11103</v>
      </c>
      <c r="C1740" t="s">
        <v>11104</v>
      </c>
      <c r="D1740" t="s">
        <v>5</v>
      </c>
      <c r="E1740" t="s">
        <v>6</v>
      </c>
      <c r="F1740" t="s">
        <v>251</v>
      </c>
      <c r="G1740">
        <v>6</v>
      </c>
      <c r="H1740" s="2">
        <f>Tabelle13[[#This Row],[commits]]/Tabelle13[[#Totals],[commits]]</f>
        <v>2.7886742642547732E-5</v>
      </c>
      <c r="I1740" s="5">
        <f>Tabelle13[[#This Row],[%]]+I1739</f>
        <v>0.94597873171094093</v>
      </c>
      <c r="J1740" s="4">
        <f t="shared" si="87"/>
        <v>1.105583195135434E-4</v>
      </c>
      <c r="K1740" s="5">
        <f t="shared" si="88"/>
        <v>0.19215035931453164</v>
      </c>
    </row>
    <row r="1741" spans="1:11" x14ac:dyDescent="0.25">
      <c r="A1741" t="s">
        <v>11105</v>
      </c>
      <c r="C1741" t="s">
        <v>11106</v>
      </c>
      <c r="D1741" t="s">
        <v>5</v>
      </c>
      <c r="E1741" t="s">
        <v>6</v>
      </c>
      <c r="F1741" t="s">
        <v>251</v>
      </c>
      <c r="G1741">
        <v>6</v>
      </c>
      <c r="H1741" s="2">
        <f>Tabelle13[[#This Row],[commits]]/Tabelle13[[#Totals],[commits]]</f>
        <v>2.7886742642547732E-5</v>
      </c>
      <c r="I1741" s="5">
        <f>Tabelle13[[#This Row],[%]]+I1740</f>
        <v>0.94600661845358347</v>
      </c>
      <c r="J1741" s="4">
        <f t="shared" si="87"/>
        <v>1.105583195135434E-4</v>
      </c>
      <c r="K1741" s="5">
        <f t="shared" si="88"/>
        <v>0.19226091763404518</v>
      </c>
    </row>
    <row r="1742" spans="1:11" x14ac:dyDescent="0.25">
      <c r="A1742" t="s">
        <v>11107</v>
      </c>
      <c r="C1742" t="s">
        <v>11108</v>
      </c>
      <c r="D1742" t="s">
        <v>5</v>
      </c>
      <c r="E1742" t="s">
        <v>6</v>
      </c>
      <c r="F1742" t="s">
        <v>251</v>
      </c>
      <c r="G1742">
        <v>6</v>
      </c>
      <c r="H1742" s="2">
        <f>Tabelle13[[#This Row],[commits]]/Tabelle13[[#Totals],[commits]]</f>
        <v>2.7886742642547732E-5</v>
      </c>
      <c r="I1742" s="5">
        <f>Tabelle13[[#This Row],[%]]+I1741</f>
        <v>0.94603450519622601</v>
      </c>
      <c r="J1742" s="4">
        <f t="shared" si="87"/>
        <v>1.105583195135434E-4</v>
      </c>
      <c r="K1742" s="5">
        <f t="shared" si="88"/>
        <v>0.19237147595355872</v>
      </c>
    </row>
    <row r="1743" spans="1:11" x14ac:dyDescent="0.25">
      <c r="A1743" t="s">
        <v>11109</v>
      </c>
      <c r="C1743" t="s">
        <v>11110</v>
      </c>
      <c r="D1743" t="s">
        <v>8948</v>
      </c>
      <c r="E1743" t="s">
        <v>6</v>
      </c>
      <c r="F1743" t="s">
        <v>251</v>
      </c>
      <c r="G1743">
        <v>6</v>
      </c>
      <c r="H1743" s="2">
        <f>Tabelle13[[#This Row],[commits]]/Tabelle13[[#Totals],[commits]]</f>
        <v>2.7886742642547732E-5</v>
      </c>
      <c r="I1743" s="5">
        <f>Tabelle13[[#This Row],[%]]+I1742</f>
        <v>0.94606239193886854</v>
      </c>
      <c r="J1743" s="4">
        <f t="shared" si="87"/>
        <v>1.105583195135434E-4</v>
      </c>
      <c r="K1743" s="5">
        <f t="shared" si="88"/>
        <v>0.19248203427307226</v>
      </c>
    </row>
    <row r="1744" spans="1:11" x14ac:dyDescent="0.25">
      <c r="A1744" t="s">
        <v>11111</v>
      </c>
      <c r="C1744" t="s">
        <v>11112</v>
      </c>
      <c r="D1744" t="s">
        <v>9453</v>
      </c>
      <c r="E1744" t="s">
        <v>6</v>
      </c>
      <c r="F1744" t="s">
        <v>251</v>
      </c>
      <c r="G1744">
        <v>6</v>
      </c>
      <c r="H1744" s="2">
        <f>Tabelle13[[#This Row],[commits]]/Tabelle13[[#Totals],[commits]]</f>
        <v>2.7886742642547732E-5</v>
      </c>
      <c r="I1744" s="5">
        <f>Tabelle13[[#This Row],[%]]+I1743</f>
        <v>0.94609027868151108</v>
      </c>
      <c r="J1744" s="4">
        <f t="shared" si="87"/>
        <v>1.105583195135434E-4</v>
      </c>
      <c r="K1744" s="5">
        <f t="shared" si="88"/>
        <v>0.19259259259258579</v>
      </c>
    </row>
    <row r="1745" spans="1:11" x14ac:dyDescent="0.25">
      <c r="A1745" t="s">
        <v>11113</v>
      </c>
      <c r="C1745" t="s">
        <v>11114</v>
      </c>
      <c r="D1745" t="s">
        <v>309</v>
      </c>
      <c r="E1745" t="s">
        <v>6</v>
      </c>
      <c r="F1745" t="s">
        <v>251</v>
      </c>
      <c r="G1745">
        <v>6</v>
      </c>
      <c r="H1745" s="2">
        <f>Tabelle13[[#This Row],[commits]]/Tabelle13[[#Totals],[commits]]</f>
        <v>2.7886742642547732E-5</v>
      </c>
      <c r="I1745" s="5">
        <f>Tabelle13[[#This Row],[%]]+I1744</f>
        <v>0.94611816542415361</v>
      </c>
      <c r="J1745" s="4">
        <f t="shared" si="87"/>
        <v>1.105583195135434E-4</v>
      </c>
      <c r="K1745" s="5">
        <f t="shared" si="88"/>
        <v>0.19270315091209933</v>
      </c>
    </row>
    <row r="1746" spans="1:11" x14ac:dyDescent="0.25">
      <c r="A1746" t="s">
        <v>11115</v>
      </c>
      <c r="C1746" t="s">
        <v>11116</v>
      </c>
      <c r="D1746" t="s">
        <v>11117</v>
      </c>
      <c r="E1746" t="s">
        <v>6</v>
      </c>
      <c r="F1746" t="s">
        <v>251</v>
      </c>
      <c r="G1746">
        <v>6</v>
      </c>
      <c r="H1746" s="2">
        <f>Tabelle13[[#This Row],[commits]]/Tabelle13[[#Totals],[commits]]</f>
        <v>2.7886742642547732E-5</v>
      </c>
      <c r="I1746" s="5">
        <f>Tabelle13[[#This Row],[%]]+I1745</f>
        <v>0.94614605216679615</v>
      </c>
      <c r="J1746" s="4">
        <f t="shared" si="87"/>
        <v>1.105583195135434E-4</v>
      </c>
      <c r="K1746" s="5">
        <f t="shared" si="88"/>
        <v>0.19281370923161287</v>
      </c>
    </row>
    <row r="1747" spans="1:11" x14ac:dyDescent="0.25">
      <c r="A1747" t="s">
        <v>11118</v>
      </c>
      <c r="C1747" t="s">
        <v>11119</v>
      </c>
      <c r="D1747" t="s">
        <v>5</v>
      </c>
      <c r="E1747" t="s">
        <v>6</v>
      </c>
      <c r="F1747" t="s">
        <v>251</v>
      </c>
      <c r="G1747">
        <v>6</v>
      </c>
      <c r="H1747" s="2">
        <f>Tabelle13[[#This Row],[commits]]/Tabelle13[[#Totals],[commits]]</f>
        <v>2.7886742642547732E-5</v>
      </c>
      <c r="I1747" s="5">
        <f>Tabelle13[[#This Row],[%]]+I1746</f>
        <v>0.94617393890943868</v>
      </c>
      <c r="J1747" s="4">
        <f t="shared" si="87"/>
        <v>1.105583195135434E-4</v>
      </c>
      <c r="K1747" s="5">
        <f t="shared" si="88"/>
        <v>0.1929242675511264</v>
      </c>
    </row>
    <row r="1748" spans="1:11" x14ac:dyDescent="0.25">
      <c r="A1748" t="s">
        <v>11120</v>
      </c>
      <c r="C1748" t="s">
        <v>11121</v>
      </c>
      <c r="D1748" t="s">
        <v>8948</v>
      </c>
      <c r="E1748" t="s">
        <v>6</v>
      </c>
      <c r="F1748" t="s">
        <v>251</v>
      </c>
      <c r="G1748">
        <v>6</v>
      </c>
      <c r="H1748" s="2">
        <f>Tabelle13[[#This Row],[commits]]/Tabelle13[[#Totals],[commits]]</f>
        <v>2.7886742642547732E-5</v>
      </c>
      <c r="I1748" s="5">
        <f>Tabelle13[[#This Row],[%]]+I1747</f>
        <v>0.94620182565208122</v>
      </c>
      <c r="J1748" s="4">
        <f t="shared" si="87"/>
        <v>1.105583195135434E-4</v>
      </c>
      <c r="K1748" s="5">
        <f t="shared" si="88"/>
        <v>0.19303482587063994</v>
      </c>
    </row>
    <row r="1749" spans="1:11" x14ac:dyDescent="0.25">
      <c r="A1749" t="s">
        <v>11122</v>
      </c>
      <c r="C1749" t="s">
        <v>11123</v>
      </c>
      <c r="D1749" t="s">
        <v>5</v>
      </c>
      <c r="E1749" t="s">
        <v>6</v>
      </c>
      <c r="F1749" t="s">
        <v>251</v>
      </c>
      <c r="G1749">
        <v>6</v>
      </c>
      <c r="H1749" s="2">
        <f>Tabelle13[[#This Row],[commits]]/Tabelle13[[#Totals],[commits]]</f>
        <v>2.7886742642547732E-5</v>
      </c>
      <c r="I1749" s="5">
        <f>Tabelle13[[#This Row],[%]]+I1748</f>
        <v>0.94622971239472375</v>
      </c>
      <c r="J1749" s="4">
        <f t="shared" si="87"/>
        <v>1.105583195135434E-4</v>
      </c>
      <c r="K1749" s="5">
        <f t="shared" si="88"/>
        <v>0.19314538419015348</v>
      </c>
    </row>
    <row r="1750" spans="1:11" x14ac:dyDescent="0.25">
      <c r="A1750" t="s">
        <v>11124</v>
      </c>
      <c r="C1750" t="s">
        <v>11125</v>
      </c>
      <c r="D1750" t="s">
        <v>5</v>
      </c>
      <c r="E1750" t="s">
        <v>6</v>
      </c>
      <c r="F1750" t="s">
        <v>251</v>
      </c>
      <c r="G1750">
        <v>6</v>
      </c>
      <c r="H1750" s="2">
        <f>Tabelle13[[#This Row],[commits]]/Tabelle13[[#Totals],[commits]]</f>
        <v>2.7886742642547732E-5</v>
      </c>
      <c r="I1750" s="5">
        <f>Tabelle13[[#This Row],[%]]+I1749</f>
        <v>0.94625759913736629</v>
      </c>
      <c r="J1750" s="4">
        <f t="shared" si="87"/>
        <v>1.105583195135434E-4</v>
      </c>
      <c r="K1750" s="5">
        <f t="shared" si="88"/>
        <v>0.19325594250966702</v>
      </c>
    </row>
    <row r="1751" spans="1:11" x14ac:dyDescent="0.25">
      <c r="A1751" t="s">
        <v>11126</v>
      </c>
      <c r="C1751" t="s">
        <v>11127</v>
      </c>
      <c r="D1751" t="s">
        <v>5</v>
      </c>
      <c r="E1751" t="s">
        <v>6</v>
      </c>
      <c r="F1751" t="s">
        <v>251</v>
      </c>
      <c r="G1751">
        <v>6</v>
      </c>
      <c r="H1751" s="2">
        <f>Tabelle13[[#This Row],[commits]]/Tabelle13[[#Totals],[commits]]</f>
        <v>2.7886742642547732E-5</v>
      </c>
      <c r="I1751" s="5">
        <f>Tabelle13[[#This Row],[%]]+I1750</f>
        <v>0.94628548588000883</v>
      </c>
      <c r="J1751" s="4">
        <f t="shared" si="87"/>
        <v>1.105583195135434E-4</v>
      </c>
      <c r="K1751" s="5">
        <f t="shared" si="88"/>
        <v>0.19336650082918055</v>
      </c>
    </row>
    <row r="1752" spans="1:11" x14ac:dyDescent="0.25">
      <c r="A1752" t="s">
        <v>11128</v>
      </c>
      <c r="C1752" t="s">
        <v>11129</v>
      </c>
      <c r="D1752" t="s">
        <v>309</v>
      </c>
      <c r="E1752" t="s">
        <v>6</v>
      </c>
      <c r="F1752" t="s">
        <v>251</v>
      </c>
      <c r="G1752">
        <v>6</v>
      </c>
      <c r="H1752" s="2">
        <f>Tabelle13[[#This Row],[commits]]/Tabelle13[[#Totals],[commits]]</f>
        <v>2.7886742642547732E-5</v>
      </c>
      <c r="I1752" s="5">
        <f>Tabelle13[[#This Row],[%]]+I1751</f>
        <v>0.94631337262265136</v>
      </c>
      <c r="J1752" s="4">
        <f t="shared" si="87"/>
        <v>1.105583195135434E-4</v>
      </c>
      <c r="K1752" s="5">
        <f t="shared" si="88"/>
        <v>0.19347705914869409</v>
      </c>
    </row>
    <row r="1753" spans="1:11" x14ac:dyDescent="0.25">
      <c r="A1753" t="s">
        <v>11130</v>
      </c>
      <c r="C1753" t="s">
        <v>11131</v>
      </c>
      <c r="D1753" t="s">
        <v>5</v>
      </c>
      <c r="E1753" t="s">
        <v>6</v>
      </c>
      <c r="F1753" t="s">
        <v>251</v>
      </c>
      <c r="G1753">
        <v>6</v>
      </c>
      <c r="H1753" s="2">
        <f>Tabelle13[[#This Row],[commits]]/Tabelle13[[#Totals],[commits]]</f>
        <v>2.7886742642547732E-5</v>
      </c>
      <c r="I1753" s="5">
        <f>Tabelle13[[#This Row],[%]]+I1752</f>
        <v>0.9463412593652939</v>
      </c>
      <c r="J1753" s="4">
        <f t="shared" si="87"/>
        <v>1.105583195135434E-4</v>
      </c>
      <c r="K1753" s="5">
        <f t="shared" si="88"/>
        <v>0.19358761746820763</v>
      </c>
    </row>
    <row r="1754" spans="1:11" x14ac:dyDescent="0.25">
      <c r="A1754" t="s">
        <v>11132</v>
      </c>
      <c r="C1754" t="s">
        <v>11133</v>
      </c>
      <c r="D1754" t="s">
        <v>9636</v>
      </c>
      <c r="E1754" t="s">
        <v>6</v>
      </c>
      <c r="F1754" t="s">
        <v>251</v>
      </c>
      <c r="G1754">
        <v>6</v>
      </c>
      <c r="H1754" s="2">
        <f>Tabelle13[[#This Row],[commits]]/Tabelle13[[#Totals],[commits]]</f>
        <v>2.7886742642547732E-5</v>
      </c>
      <c r="I1754" s="5">
        <f>Tabelle13[[#This Row],[%]]+I1753</f>
        <v>0.94636914610793643</v>
      </c>
      <c r="J1754" s="4">
        <f t="shared" si="87"/>
        <v>1.105583195135434E-4</v>
      </c>
      <c r="K1754" s="5">
        <f t="shared" si="88"/>
        <v>0.19369817578772117</v>
      </c>
    </row>
    <row r="1755" spans="1:11" x14ac:dyDescent="0.25">
      <c r="A1755" t="s">
        <v>11134</v>
      </c>
      <c r="C1755" t="s">
        <v>11135</v>
      </c>
      <c r="D1755" t="s">
        <v>11136</v>
      </c>
      <c r="E1755" t="s">
        <v>6</v>
      </c>
      <c r="F1755" t="s">
        <v>251</v>
      </c>
      <c r="G1755">
        <v>6</v>
      </c>
      <c r="H1755" s="2">
        <f>Tabelle13[[#This Row],[commits]]/Tabelle13[[#Totals],[commits]]</f>
        <v>2.7886742642547732E-5</v>
      </c>
      <c r="I1755" s="5">
        <f>Tabelle13[[#This Row],[%]]+I1754</f>
        <v>0.94639703285057897</v>
      </c>
      <c r="J1755" s="4">
        <f t="shared" si="87"/>
        <v>1.105583195135434E-4</v>
      </c>
      <c r="K1755" s="5">
        <f t="shared" si="88"/>
        <v>0.1938087341072347</v>
      </c>
    </row>
    <row r="1756" spans="1:11" x14ac:dyDescent="0.25">
      <c r="A1756" t="s">
        <v>11137</v>
      </c>
      <c r="C1756" t="s">
        <v>11138</v>
      </c>
      <c r="D1756" t="s">
        <v>5</v>
      </c>
      <c r="E1756" t="s">
        <v>6</v>
      </c>
      <c r="F1756" t="s">
        <v>251</v>
      </c>
      <c r="G1756">
        <v>6</v>
      </c>
      <c r="H1756" s="2">
        <f>Tabelle13[[#This Row],[commits]]/Tabelle13[[#Totals],[commits]]</f>
        <v>2.7886742642547732E-5</v>
      </c>
      <c r="I1756" s="5">
        <f>Tabelle13[[#This Row],[%]]+I1755</f>
        <v>0.9464249195932215</v>
      </c>
      <c r="J1756" s="4">
        <f t="shared" si="87"/>
        <v>1.105583195135434E-4</v>
      </c>
      <c r="K1756" s="5">
        <f t="shared" si="88"/>
        <v>0.19391929242674824</v>
      </c>
    </row>
    <row r="1757" spans="1:11" x14ac:dyDescent="0.25">
      <c r="A1757" t="s">
        <v>11139</v>
      </c>
      <c r="C1757" t="s">
        <v>11140</v>
      </c>
      <c r="D1757" t="s">
        <v>309</v>
      </c>
      <c r="E1757" t="s">
        <v>6</v>
      </c>
      <c r="F1757" t="s">
        <v>251</v>
      </c>
      <c r="G1757">
        <v>6</v>
      </c>
      <c r="H1757" s="2">
        <f>Tabelle13[[#This Row],[commits]]/Tabelle13[[#Totals],[commits]]</f>
        <v>2.7886742642547732E-5</v>
      </c>
      <c r="I1757" s="5">
        <f>Tabelle13[[#This Row],[%]]+I1756</f>
        <v>0.94645280633586404</v>
      </c>
      <c r="J1757" s="4">
        <f t="shared" si="87"/>
        <v>1.105583195135434E-4</v>
      </c>
      <c r="K1757" s="5">
        <f t="shared" si="88"/>
        <v>0.19402985074626178</v>
      </c>
    </row>
    <row r="1758" spans="1:11" x14ac:dyDescent="0.25">
      <c r="A1758" t="s">
        <v>11141</v>
      </c>
      <c r="C1758" t="s">
        <v>10290</v>
      </c>
      <c r="D1758" t="s">
        <v>5</v>
      </c>
      <c r="E1758" t="s">
        <v>6</v>
      </c>
      <c r="F1758" t="s">
        <v>251</v>
      </c>
      <c r="G1758">
        <v>6</v>
      </c>
      <c r="H1758" s="2">
        <f>Tabelle13[[#This Row],[commits]]/Tabelle13[[#Totals],[commits]]</f>
        <v>2.7886742642547732E-5</v>
      </c>
      <c r="I1758" s="5">
        <f>Tabelle13[[#This Row],[%]]+I1757</f>
        <v>0.94648069307850657</v>
      </c>
      <c r="J1758" s="4">
        <f t="shared" si="87"/>
        <v>1.105583195135434E-4</v>
      </c>
      <c r="K1758" s="5">
        <f t="shared" si="88"/>
        <v>0.19414040906577532</v>
      </c>
    </row>
    <row r="1759" spans="1:11" x14ac:dyDescent="0.25">
      <c r="A1759" t="s">
        <v>11142</v>
      </c>
      <c r="C1759" t="s">
        <v>11143</v>
      </c>
      <c r="D1759" t="s">
        <v>309</v>
      </c>
      <c r="E1759" t="s">
        <v>6</v>
      </c>
      <c r="F1759" t="s">
        <v>251</v>
      </c>
      <c r="G1759">
        <v>6</v>
      </c>
      <c r="H1759" s="2">
        <f>Tabelle13[[#This Row],[commits]]/Tabelle13[[#Totals],[commits]]</f>
        <v>2.7886742642547732E-5</v>
      </c>
      <c r="I1759" s="5">
        <f>Tabelle13[[#This Row],[%]]+I1758</f>
        <v>0.94650857982114911</v>
      </c>
      <c r="J1759" s="4">
        <f t="shared" si="87"/>
        <v>1.105583195135434E-4</v>
      </c>
      <c r="K1759" s="5">
        <f t="shared" si="88"/>
        <v>0.19425096738528885</v>
      </c>
    </row>
    <row r="1760" spans="1:11" x14ac:dyDescent="0.25">
      <c r="A1760" t="s">
        <v>11144</v>
      </c>
      <c r="C1760" t="s">
        <v>11145</v>
      </c>
      <c r="D1760" t="s">
        <v>11146</v>
      </c>
      <c r="E1760" t="s">
        <v>6</v>
      </c>
      <c r="F1760" t="s">
        <v>251</v>
      </c>
      <c r="G1760">
        <v>6</v>
      </c>
      <c r="H1760" s="2">
        <f>Tabelle13[[#This Row],[commits]]/Tabelle13[[#Totals],[commits]]</f>
        <v>2.7886742642547732E-5</v>
      </c>
      <c r="I1760" s="5">
        <f>Tabelle13[[#This Row],[%]]+I1759</f>
        <v>0.94653646656379165</v>
      </c>
      <c r="J1760" s="4">
        <f t="shared" si="87"/>
        <v>1.105583195135434E-4</v>
      </c>
      <c r="K1760" s="5">
        <f t="shared" si="88"/>
        <v>0.19436152570480239</v>
      </c>
    </row>
    <row r="1761" spans="1:11" x14ac:dyDescent="0.25">
      <c r="A1761" t="s">
        <v>11147</v>
      </c>
      <c r="C1761" t="s">
        <v>11148</v>
      </c>
      <c r="D1761" t="s">
        <v>5</v>
      </c>
      <c r="E1761" t="s">
        <v>6</v>
      </c>
      <c r="F1761" t="s">
        <v>251</v>
      </c>
      <c r="G1761">
        <v>6</v>
      </c>
      <c r="H1761" s="2">
        <f>Tabelle13[[#This Row],[commits]]/Tabelle13[[#Totals],[commits]]</f>
        <v>2.7886742642547732E-5</v>
      </c>
      <c r="I1761" s="5">
        <f>Tabelle13[[#This Row],[%]]+I1760</f>
        <v>0.94656435330643418</v>
      </c>
      <c r="J1761" s="4">
        <f t="shared" si="87"/>
        <v>1.105583195135434E-4</v>
      </c>
      <c r="K1761" s="5">
        <f t="shared" si="88"/>
        <v>0.19447208402431593</v>
      </c>
    </row>
    <row r="1762" spans="1:11" x14ac:dyDescent="0.25">
      <c r="A1762" t="s">
        <v>11149</v>
      </c>
      <c r="C1762" t="s">
        <v>11150</v>
      </c>
      <c r="D1762" t="s">
        <v>11151</v>
      </c>
      <c r="E1762" t="s">
        <v>6</v>
      </c>
      <c r="F1762" t="s">
        <v>251</v>
      </c>
      <c r="G1762">
        <v>6</v>
      </c>
      <c r="H1762" s="2">
        <f>Tabelle13[[#This Row],[commits]]/Tabelle13[[#Totals],[commits]]</f>
        <v>2.7886742642547732E-5</v>
      </c>
      <c r="I1762" s="5">
        <f>Tabelle13[[#This Row],[%]]+I1761</f>
        <v>0.94659224004907672</v>
      </c>
      <c r="J1762" s="4">
        <f t="shared" si="87"/>
        <v>1.105583195135434E-4</v>
      </c>
      <c r="K1762" s="5">
        <f t="shared" si="88"/>
        <v>0.19458264234382947</v>
      </c>
    </row>
    <row r="1763" spans="1:11" x14ac:dyDescent="0.25">
      <c r="A1763" t="s">
        <v>11152</v>
      </c>
      <c r="C1763" t="s">
        <v>11153</v>
      </c>
      <c r="D1763" t="s">
        <v>8948</v>
      </c>
      <c r="E1763" t="s">
        <v>6</v>
      </c>
      <c r="F1763" t="s">
        <v>251</v>
      </c>
      <c r="G1763">
        <v>6</v>
      </c>
      <c r="H1763" s="2">
        <f>Tabelle13[[#This Row],[commits]]/Tabelle13[[#Totals],[commits]]</f>
        <v>2.7886742642547732E-5</v>
      </c>
      <c r="I1763" s="5">
        <f>Tabelle13[[#This Row],[%]]+I1762</f>
        <v>0.94662012679171925</v>
      </c>
      <c r="J1763" s="4">
        <f t="shared" si="87"/>
        <v>1.105583195135434E-4</v>
      </c>
      <c r="K1763" s="5">
        <f t="shared" si="88"/>
        <v>0.194693200663343</v>
      </c>
    </row>
    <row r="1764" spans="1:11" x14ac:dyDescent="0.25">
      <c r="A1764" t="s">
        <v>11154</v>
      </c>
      <c r="C1764" t="s">
        <v>11155</v>
      </c>
      <c r="D1764" t="s">
        <v>5</v>
      </c>
      <c r="E1764" t="s">
        <v>6</v>
      </c>
      <c r="F1764" t="s">
        <v>251</v>
      </c>
      <c r="G1764">
        <v>6</v>
      </c>
      <c r="H1764" s="2">
        <f>Tabelle13[[#This Row],[commits]]/Tabelle13[[#Totals],[commits]]</f>
        <v>2.7886742642547732E-5</v>
      </c>
      <c r="I1764" s="5">
        <f>Tabelle13[[#This Row],[%]]+I1763</f>
        <v>0.94664801353436179</v>
      </c>
      <c r="J1764" s="4">
        <f t="shared" si="87"/>
        <v>1.105583195135434E-4</v>
      </c>
      <c r="K1764" s="5">
        <f t="shared" si="88"/>
        <v>0.19480375898285654</v>
      </c>
    </row>
    <row r="1765" spans="1:11" x14ac:dyDescent="0.25">
      <c r="A1765" t="s">
        <v>11156</v>
      </c>
      <c r="C1765" t="s">
        <v>11157</v>
      </c>
      <c r="D1765" t="s">
        <v>5</v>
      </c>
      <c r="E1765" t="s">
        <v>6</v>
      </c>
      <c r="F1765" t="s">
        <v>251</v>
      </c>
      <c r="G1765">
        <v>6</v>
      </c>
      <c r="H1765" s="2">
        <f>Tabelle13[[#This Row],[commits]]/Tabelle13[[#Totals],[commits]]</f>
        <v>2.7886742642547732E-5</v>
      </c>
      <c r="I1765" s="5">
        <f>Tabelle13[[#This Row],[%]]+I1764</f>
        <v>0.94667590027700432</v>
      </c>
      <c r="J1765" s="4">
        <f t="shared" si="87"/>
        <v>1.105583195135434E-4</v>
      </c>
      <c r="K1765" s="5">
        <f t="shared" si="88"/>
        <v>0.19491431730237008</v>
      </c>
    </row>
    <row r="1766" spans="1:11" x14ac:dyDescent="0.25">
      <c r="A1766" t="s">
        <v>11158</v>
      </c>
      <c r="C1766" t="s">
        <v>11159</v>
      </c>
      <c r="D1766" t="s">
        <v>5</v>
      </c>
      <c r="E1766" t="s">
        <v>6</v>
      </c>
      <c r="F1766" t="s">
        <v>251</v>
      </c>
      <c r="G1766">
        <v>6</v>
      </c>
      <c r="H1766" s="2">
        <f>Tabelle13[[#This Row],[commits]]/Tabelle13[[#Totals],[commits]]</f>
        <v>2.7886742642547732E-5</v>
      </c>
      <c r="I1766" s="5">
        <f>Tabelle13[[#This Row],[%]]+I1765</f>
        <v>0.94670378701964686</v>
      </c>
      <c r="J1766" s="4">
        <f t="shared" si="87"/>
        <v>1.105583195135434E-4</v>
      </c>
      <c r="K1766" s="5">
        <f t="shared" si="88"/>
        <v>0.19502487562188361</v>
      </c>
    </row>
    <row r="1767" spans="1:11" x14ac:dyDescent="0.25">
      <c r="A1767" t="s">
        <v>11160</v>
      </c>
      <c r="C1767" t="s">
        <v>11161</v>
      </c>
      <c r="D1767" t="s">
        <v>5</v>
      </c>
      <c r="E1767" t="s">
        <v>6</v>
      </c>
      <c r="F1767" t="s">
        <v>251</v>
      </c>
      <c r="G1767">
        <v>6</v>
      </c>
      <c r="H1767" s="2">
        <f>Tabelle13[[#This Row],[commits]]/Tabelle13[[#Totals],[commits]]</f>
        <v>2.7886742642547732E-5</v>
      </c>
      <c r="I1767" s="5">
        <f>Tabelle13[[#This Row],[%]]+I1766</f>
        <v>0.94673167376228939</v>
      </c>
      <c r="J1767" s="4">
        <f t="shared" si="87"/>
        <v>1.105583195135434E-4</v>
      </c>
      <c r="K1767" s="5">
        <f t="shared" si="88"/>
        <v>0.19513543394139715</v>
      </c>
    </row>
    <row r="1768" spans="1:11" x14ac:dyDescent="0.25">
      <c r="A1768" t="s">
        <v>11162</v>
      </c>
      <c r="C1768" t="s">
        <v>11163</v>
      </c>
      <c r="D1768" t="s">
        <v>309</v>
      </c>
      <c r="E1768" t="s">
        <v>6</v>
      </c>
      <c r="F1768" t="s">
        <v>251</v>
      </c>
      <c r="G1768">
        <v>6</v>
      </c>
      <c r="H1768" s="2">
        <f>Tabelle13[[#This Row],[commits]]/Tabelle13[[#Totals],[commits]]</f>
        <v>2.7886742642547732E-5</v>
      </c>
      <c r="I1768" s="5">
        <f>Tabelle13[[#This Row],[%]]+I1767</f>
        <v>0.94675956050493193</v>
      </c>
      <c r="J1768" s="4">
        <f t="shared" si="87"/>
        <v>1.105583195135434E-4</v>
      </c>
      <c r="K1768" s="5">
        <f t="shared" si="88"/>
        <v>0.19524599226091069</v>
      </c>
    </row>
    <row r="1769" spans="1:11" x14ac:dyDescent="0.25">
      <c r="A1769" t="s">
        <v>11164</v>
      </c>
      <c r="C1769" t="s">
        <v>11165</v>
      </c>
      <c r="D1769" t="s">
        <v>5</v>
      </c>
      <c r="E1769" t="s">
        <v>6</v>
      </c>
      <c r="F1769" t="s">
        <v>251</v>
      </c>
      <c r="G1769">
        <v>6</v>
      </c>
      <c r="H1769" s="2">
        <f>Tabelle13[[#This Row],[commits]]/Tabelle13[[#Totals],[commits]]</f>
        <v>2.7886742642547732E-5</v>
      </c>
      <c r="I1769" s="5">
        <f>Tabelle13[[#This Row],[%]]+I1768</f>
        <v>0.94678744724757447</v>
      </c>
      <c r="J1769" s="4">
        <f t="shared" si="87"/>
        <v>1.105583195135434E-4</v>
      </c>
      <c r="K1769" s="5">
        <f t="shared" si="88"/>
        <v>0.19535655058042423</v>
      </c>
    </row>
    <row r="1770" spans="1:11" x14ac:dyDescent="0.25">
      <c r="A1770" t="s">
        <v>11166</v>
      </c>
      <c r="C1770" t="s">
        <v>11167</v>
      </c>
      <c r="D1770" t="s">
        <v>5</v>
      </c>
      <c r="E1770" t="s">
        <v>6</v>
      </c>
      <c r="F1770" t="s">
        <v>251</v>
      </c>
      <c r="G1770">
        <v>6</v>
      </c>
      <c r="H1770" s="2">
        <f>Tabelle13[[#This Row],[commits]]/Tabelle13[[#Totals],[commits]]</f>
        <v>2.7886742642547732E-5</v>
      </c>
      <c r="I1770" s="5">
        <f>Tabelle13[[#This Row],[%]]+I1769</f>
        <v>0.946815333990217</v>
      </c>
      <c r="J1770" s="4">
        <f t="shared" si="87"/>
        <v>1.105583195135434E-4</v>
      </c>
      <c r="K1770" s="5">
        <f t="shared" si="88"/>
        <v>0.19546710889993776</v>
      </c>
    </row>
    <row r="1771" spans="1:11" x14ac:dyDescent="0.25">
      <c r="A1771" t="s">
        <v>11168</v>
      </c>
      <c r="C1771" t="s">
        <v>11169</v>
      </c>
      <c r="D1771" t="s">
        <v>5</v>
      </c>
      <c r="E1771" t="s">
        <v>6</v>
      </c>
      <c r="F1771" t="s">
        <v>251</v>
      </c>
      <c r="G1771">
        <v>6</v>
      </c>
      <c r="H1771" s="2">
        <f>Tabelle13[[#This Row],[commits]]/Tabelle13[[#Totals],[commits]]</f>
        <v>2.7886742642547732E-5</v>
      </c>
      <c r="I1771" s="5">
        <f>Tabelle13[[#This Row],[%]]+I1770</f>
        <v>0.94684322073285954</v>
      </c>
      <c r="J1771" s="4">
        <f t="shared" si="87"/>
        <v>1.105583195135434E-4</v>
      </c>
      <c r="K1771" s="5">
        <f t="shared" si="88"/>
        <v>0.1955776672194513</v>
      </c>
    </row>
    <row r="1772" spans="1:11" x14ac:dyDescent="0.25">
      <c r="A1772" t="s">
        <v>11170</v>
      </c>
      <c r="C1772" t="s">
        <v>11171</v>
      </c>
      <c r="D1772" t="s">
        <v>5</v>
      </c>
      <c r="E1772" t="s">
        <v>6</v>
      </c>
      <c r="F1772" t="s">
        <v>251</v>
      </c>
      <c r="G1772">
        <v>6</v>
      </c>
      <c r="H1772" s="2">
        <f>Tabelle13[[#This Row],[commits]]/Tabelle13[[#Totals],[commits]]</f>
        <v>2.7886742642547732E-5</v>
      </c>
      <c r="I1772" s="5">
        <f>Tabelle13[[#This Row],[%]]+I1771</f>
        <v>0.94687110747550207</v>
      </c>
      <c r="J1772" s="4">
        <f t="shared" si="87"/>
        <v>1.105583195135434E-4</v>
      </c>
      <c r="K1772" s="5">
        <f t="shared" si="88"/>
        <v>0.19568822553896484</v>
      </c>
    </row>
    <row r="1773" spans="1:11" x14ac:dyDescent="0.25">
      <c r="A1773" t="s">
        <v>11172</v>
      </c>
      <c r="C1773" t="s">
        <v>11173</v>
      </c>
      <c r="D1773" t="s">
        <v>8757</v>
      </c>
      <c r="E1773" t="s">
        <v>6</v>
      </c>
      <c r="F1773" t="s">
        <v>251</v>
      </c>
      <c r="G1773">
        <v>6</v>
      </c>
      <c r="H1773" s="2">
        <f>Tabelle13[[#This Row],[commits]]/Tabelle13[[#Totals],[commits]]</f>
        <v>2.7886742642547732E-5</v>
      </c>
      <c r="I1773" s="5">
        <f>Tabelle13[[#This Row],[%]]+I1772</f>
        <v>0.94689899421814461</v>
      </c>
      <c r="J1773" s="4">
        <f t="shared" si="87"/>
        <v>1.105583195135434E-4</v>
      </c>
      <c r="K1773" s="5">
        <f t="shared" si="88"/>
        <v>0.19579878385847838</v>
      </c>
    </row>
    <row r="1774" spans="1:11" x14ac:dyDescent="0.25">
      <c r="A1774" t="s">
        <v>11174</v>
      </c>
      <c r="C1774" t="s">
        <v>11175</v>
      </c>
      <c r="D1774" t="s">
        <v>8948</v>
      </c>
      <c r="E1774" t="s">
        <v>6</v>
      </c>
      <c r="F1774" t="s">
        <v>251</v>
      </c>
      <c r="G1774">
        <v>6</v>
      </c>
      <c r="H1774" s="2">
        <f>Tabelle13[[#This Row],[commits]]/Tabelle13[[#Totals],[commits]]</f>
        <v>2.7886742642547732E-5</v>
      </c>
      <c r="I1774" s="5">
        <f>Tabelle13[[#This Row],[%]]+I1773</f>
        <v>0.94692688096078714</v>
      </c>
      <c r="J1774" s="4">
        <f t="shared" si="87"/>
        <v>1.105583195135434E-4</v>
      </c>
      <c r="K1774" s="5">
        <f t="shared" si="88"/>
        <v>0.19590934217799191</v>
      </c>
    </row>
    <row r="1775" spans="1:11" x14ac:dyDescent="0.25">
      <c r="A1775" t="s">
        <v>11176</v>
      </c>
      <c r="C1775" t="s">
        <v>11177</v>
      </c>
      <c r="D1775" t="s">
        <v>309</v>
      </c>
      <c r="E1775" t="s">
        <v>6</v>
      </c>
      <c r="F1775" t="s">
        <v>251</v>
      </c>
      <c r="G1775">
        <v>6</v>
      </c>
      <c r="H1775" s="2">
        <f>Tabelle13[[#This Row],[commits]]/Tabelle13[[#Totals],[commits]]</f>
        <v>2.7886742642547732E-5</v>
      </c>
      <c r="I1775" s="5">
        <f>Tabelle13[[#This Row],[%]]+I1774</f>
        <v>0.94695476770342968</v>
      </c>
      <c r="J1775" s="4">
        <f t="shared" si="87"/>
        <v>1.105583195135434E-4</v>
      </c>
      <c r="K1775" s="5">
        <f t="shared" si="88"/>
        <v>0.19601990049750545</v>
      </c>
    </row>
    <row r="1776" spans="1:11" x14ac:dyDescent="0.25">
      <c r="A1776" t="s">
        <v>11178</v>
      </c>
      <c r="C1776" t="s">
        <v>11179</v>
      </c>
      <c r="D1776" t="s">
        <v>5</v>
      </c>
      <c r="E1776" t="s">
        <v>6</v>
      </c>
      <c r="F1776" t="s">
        <v>251</v>
      </c>
      <c r="G1776">
        <v>6</v>
      </c>
      <c r="H1776" s="2">
        <f>Tabelle13[[#This Row],[commits]]/Tabelle13[[#Totals],[commits]]</f>
        <v>2.7886742642547732E-5</v>
      </c>
      <c r="I1776" s="5">
        <f>Tabelle13[[#This Row],[%]]+I1775</f>
        <v>0.94698265444607221</v>
      </c>
      <c r="J1776" s="4">
        <f t="shared" si="87"/>
        <v>1.105583195135434E-4</v>
      </c>
      <c r="K1776" s="5">
        <f t="shared" si="88"/>
        <v>0.19613045881701899</v>
      </c>
    </row>
    <row r="1777" spans="1:11" x14ac:dyDescent="0.25">
      <c r="A1777" t="s">
        <v>11180</v>
      </c>
      <c r="C1777" t="s">
        <v>11181</v>
      </c>
      <c r="D1777" t="s">
        <v>5</v>
      </c>
      <c r="E1777" t="s">
        <v>6</v>
      </c>
      <c r="F1777" t="s">
        <v>251</v>
      </c>
      <c r="G1777">
        <v>6</v>
      </c>
      <c r="H1777" s="2">
        <f>Tabelle13[[#This Row],[commits]]/Tabelle13[[#Totals],[commits]]</f>
        <v>2.7886742642547732E-5</v>
      </c>
      <c r="I1777" s="5">
        <f>Tabelle13[[#This Row],[%]]+I1776</f>
        <v>0.94701054118871475</v>
      </c>
      <c r="J1777" s="4">
        <f t="shared" si="87"/>
        <v>1.105583195135434E-4</v>
      </c>
      <c r="K1777" s="5">
        <f t="shared" si="88"/>
        <v>0.19624101713653253</v>
      </c>
    </row>
    <row r="1778" spans="1:11" x14ac:dyDescent="0.25">
      <c r="A1778" t="s">
        <v>11182</v>
      </c>
      <c r="C1778" t="s">
        <v>11183</v>
      </c>
      <c r="D1778" t="s">
        <v>5</v>
      </c>
      <c r="E1778" t="s">
        <v>6</v>
      </c>
      <c r="F1778" t="s">
        <v>251</v>
      </c>
      <c r="G1778">
        <v>6</v>
      </c>
      <c r="H1778" s="2">
        <f>Tabelle13[[#This Row],[commits]]/Tabelle13[[#Totals],[commits]]</f>
        <v>2.7886742642547732E-5</v>
      </c>
      <c r="I1778" s="5">
        <f>Tabelle13[[#This Row],[%]]+I1777</f>
        <v>0.94703842793135729</v>
      </c>
      <c r="J1778" s="4">
        <f t="shared" si="87"/>
        <v>1.105583195135434E-4</v>
      </c>
      <c r="K1778" s="5">
        <f t="shared" si="88"/>
        <v>0.19635157545604606</v>
      </c>
    </row>
    <row r="1779" spans="1:11" x14ac:dyDescent="0.25">
      <c r="A1779" t="s">
        <v>11184</v>
      </c>
      <c r="C1779" t="s">
        <v>11185</v>
      </c>
      <c r="D1779" t="s">
        <v>11186</v>
      </c>
      <c r="E1779" t="s">
        <v>6</v>
      </c>
      <c r="F1779" t="s">
        <v>251</v>
      </c>
      <c r="G1779">
        <v>6</v>
      </c>
      <c r="H1779" s="2">
        <f>Tabelle13[[#This Row],[commits]]/Tabelle13[[#Totals],[commits]]</f>
        <v>2.7886742642547732E-5</v>
      </c>
      <c r="I1779" s="5">
        <f>Tabelle13[[#This Row],[%]]+I1778</f>
        <v>0.94706631467399982</v>
      </c>
      <c r="J1779" s="4">
        <f t="shared" si="87"/>
        <v>1.105583195135434E-4</v>
      </c>
      <c r="K1779" s="5">
        <f t="shared" si="88"/>
        <v>0.1964621337755596</v>
      </c>
    </row>
    <row r="1780" spans="1:11" x14ac:dyDescent="0.25">
      <c r="A1780" t="s">
        <v>11187</v>
      </c>
      <c r="C1780" t="s">
        <v>11188</v>
      </c>
      <c r="D1780" t="s">
        <v>309</v>
      </c>
      <c r="E1780" t="s">
        <v>6</v>
      </c>
      <c r="F1780" t="s">
        <v>251</v>
      </c>
      <c r="G1780">
        <v>6</v>
      </c>
      <c r="H1780" s="2">
        <f>Tabelle13[[#This Row],[commits]]/Tabelle13[[#Totals],[commits]]</f>
        <v>2.7886742642547732E-5</v>
      </c>
      <c r="I1780" s="5">
        <f>Tabelle13[[#This Row],[%]]+I1779</f>
        <v>0.94709420141664236</v>
      </c>
      <c r="J1780" s="4">
        <f t="shared" si="87"/>
        <v>1.105583195135434E-4</v>
      </c>
      <c r="K1780" s="5">
        <f t="shared" si="88"/>
        <v>0.19657269209507314</v>
      </c>
    </row>
    <row r="1781" spans="1:11" x14ac:dyDescent="0.25">
      <c r="A1781" t="s">
        <v>11189</v>
      </c>
      <c r="C1781" t="s">
        <v>11190</v>
      </c>
      <c r="D1781" t="s">
        <v>5</v>
      </c>
      <c r="E1781" t="s">
        <v>6</v>
      </c>
      <c r="F1781" t="s">
        <v>251</v>
      </c>
      <c r="G1781">
        <v>6</v>
      </c>
      <c r="H1781" s="2">
        <f>Tabelle13[[#This Row],[commits]]/Tabelle13[[#Totals],[commits]]</f>
        <v>2.7886742642547732E-5</v>
      </c>
      <c r="I1781" s="5">
        <f>Tabelle13[[#This Row],[%]]+I1780</f>
        <v>0.94712208815928489</v>
      </c>
      <c r="J1781" s="4">
        <f t="shared" si="87"/>
        <v>1.105583195135434E-4</v>
      </c>
      <c r="K1781" s="5">
        <f t="shared" si="88"/>
        <v>0.19668325041458667</v>
      </c>
    </row>
    <row r="1782" spans="1:11" x14ac:dyDescent="0.25">
      <c r="A1782" t="s">
        <v>11191</v>
      </c>
      <c r="C1782" t="s">
        <v>11192</v>
      </c>
      <c r="D1782" t="s">
        <v>309</v>
      </c>
      <c r="E1782" t="s">
        <v>6</v>
      </c>
      <c r="F1782" t="s">
        <v>251</v>
      </c>
      <c r="G1782">
        <v>6</v>
      </c>
      <c r="H1782" s="2">
        <f>Tabelle13[[#This Row],[commits]]/Tabelle13[[#Totals],[commits]]</f>
        <v>2.7886742642547732E-5</v>
      </c>
      <c r="I1782" s="5">
        <f>Tabelle13[[#This Row],[%]]+I1781</f>
        <v>0.94714997490192743</v>
      </c>
      <c r="J1782" s="4">
        <f t="shared" si="87"/>
        <v>1.105583195135434E-4</v>
      </c>
      <c r="K1782" s="5">
        <f t="shared" si="88"/>
        <v>0.19679380873410021</v>
      </c>
    </row>
    <row r="1783" spans="1:11" x14ac:dyDescent="0.25">
      <c r="A1783" t="s">
        <v>11193</v>
      </c>
      <c r="C1783" t="s">
        <v>1059</v>
      </c>
      <c r="D1783" t="s">
        <v>5</v>
      </c>
      <c r="E1783" t="s">
        <v>6</v>
      </c>
      <c r="F1783" t="s">
        <v>251</v>
      </c>
      <c r="G1783">
        <v>6</v>
      </c>
      <c r="H1783" s="2">
        <f>Tabelle13[[#This Row],[commits]]/Tabelle13[[#Totals],[commits]]</f>
        <v>2.7886742642547732E-5</v>
      </c>
      <c r="I1783" s="5">
        <f>Tabelle13[[#This Row],[%]]+I1782</f>
        <v>0.94717786164456996</v>
      </c>
      <c r="J1783" s="4">
        <f t="shared" si="87"/>
        <v>1.105583195135434E-4</v>
      </c>
      <c r="K1783" s="5">
        <f t="shared" si="88"/>
        <v>0.19690436705361375</v>
      </c>
    </row>
    <row r="1784" spans="1:11" x14ac:dyDescent="0.25">
      <c r="A1784" t="s">
        <v>11194</v>
      </c>
      <c r="C1784" t="s">
        <v>11195</v>
      </c>
      <c r="D1784" t="s">
        <v>5</v>
      </c>
      <c r="E1784" t="s">
        <v>6</v>
      </c>
      <c r="F1784" t="s">
        <v>251</v>
      </c>
      <c r="G1784">
        <v>6</v>
      </c>
      <c r="H1784" s="2">
        <f>Tabelle13[[#This Row],[commits]]/Tabelle13[[#Totals],[commits]]</f>
        <v>2.7886742642547732E-5</v>
      </c>
      <c r="I1784" s="5">
        <f>Tabelle13[[#This Row],[%]]+I1783</f>
        <v>0.9472057483872125</v>
      </c>
      <c r="J1784" s="4">
        <f t="shared" si="87"/>
        <v>1.105583195135434E-4</v>
      </c>
      <c r="K1784" s="5">
        <f t="shared" si="88"/>
        <v>0.19701492537312729</v>
      </c>
    </row>
    <row r="1785" spans="1:11" x14ac:dyDescent="0.25">
      <c r="A1785" t="s">
        <v>11196</v>
      </c>
      <c r="C1785" t="s">
        <v>11197</v>
      </c>
      <c r="D1785" t="s">
        <v>8948</v>
      </c>
      <c r="E1785" t="s">
        <v>6</v>
      </c>
      <c r="F1785" t="s">
        <v>251</v>
      </c>
      <c r="G1785">
        <v>6</v>
      </c>
      <c r="H1785" s="2">
        <f>Tabelle13[[#This Row],[commits]]/Tabelle13[[#Totals],[commits]]</f>
        <v>2.7886742642547732E-5</v>
      </c>
      <c r="I1785" s="5">
        <f>Tabelle13[[#This Row],[%]]+I1784</f>
        <v>0.94723363512985503</v>
      </c>
      <c r="J1785" s="4">
        <f t="shared" si="87"/>
        <v>1.105583195135434E-4</v>
      </c>
      <c r="K1785" s="5">
        <f t="shared" si="88"/>
        <v>0.19712548369264082</v>
      </c>
    </row>
    <row r="1786" spans="1:11" x14ac:dyDescent="0.25">
      <c r="A1786" t="s">
        <v>11198</v>
      </c>
      <c r="C1786" t="s">
        <v>11199</v>
      </c>
      <c r="D1786" t="s">
        <v>8948</v>
      </c>
      <c r="E1786" t="s">
        <v>6</v>
      </c>
      <c r="F1786" t="s">
        <v>251</v>
      </c>
      <c r="G1786">
        <v>6</v>
      </c>
      <c r="H1786" s="2">
        <f>Tabelle13[[#This Row],[commits]]/Tabelle13[[#Totals],[commits]]</f>
        <v>2.7886742642547732E-5</v>
      </c>
      <c r="I1786" s="5">
        <f>Tabelle13[[#This Row],[%]]+I1785</f>
        <v>0.94726152187249757</v>
      </c>
      <c r="J1786" s="4">
        <f t="shared" si="87"/>
        <v>1.105583195135434E-4</v>
      </c>
      <c r="K1786" s="5">
        <f t="shared" si="88"/>
        <v>0.19723604201215436</v>
      </c>
    </row>
    <row r="1787" spans="1:11" x14ac:dyDescent="0.25">
      <c r="A1787" t="s">
        <v>11200</v>
      </c>
      <c r="C1787" t="s">
        <v>11201</v>
      </c>
      <c r="D1787" t="s">
        <v>10461</v>
      </c>
      <c r="E1787" t="s">
        <v>6</v>
      </c>
      <c r="F1787" t="s">
        <v>251</v>
      </c>
      <c r="G1787">
        <v>6</v>
      </c>
      <c r="H1787" s="2">
        <f>Tabelle13[[#This Row],[commits]]/Tabelle13[[#Totals],[commits]]</f>
        <v>2.7886742642547732E-5</v>
      </c>
      <c r="I1787" s="5">
        <f>Tabelle13[[#This Row],[%]]+I1786</f>
        <v>0.9472894086151401</v>
      </c>
      <c r="J1787" s="4">
        <f t="shared" si="87"/>
        <v>1.105583195135434E-4</v>
      </c>
      <c r="K1787" s="5">
        <f t="shared" si="88"/>
        <v>0.1973466003316679</v>
      </c>
    </row>
    <row r="1788" spans="1:11" x14ac:dyDescent="0.25">
      <c r="A1788" t="s">
        <v>11202</v>
      </c>
      <c r="C1788" t="s">
        <v>11203</v>
      </c>
      <c r="D1788" t="s">
        <v>8874</v>
      </c>
      <c r="E1788" t="s">
        <v>6</v>
      </c>
      <c r="F1788" t="s">
        <v>251</v>
      </c>
      <c r="G1788">
        <v>6</v>
      </c>
      <c r="H1788" s="2">
        <f>Tabelle13[[#This Row],[commits]]/Tabelle13[[#Totals],[commits]]</f>
        <v>2.7886742642547732E-5</v>
      </c>
      <c r="I1788" s="5">
        <f>Tabelle13[[#This Row],[%]]+I1787</f>
        <v>0.94731729535778264</v>
      </c>
      <c r="J1788" s="4">
        <f t="shared" si="87"/>
        <v>1.105583195135434E-4</v>
      </c>
      <c r="K1788" s="5">
        <f t="shared" si="88"/>
        <v>0.19745715865118144</v>
      </c>
    </row>
    <row r="1789" spans="1:11" x14ac:dyDescent="0.25">
      <c r="A1789" t="s">
        <v>11204</v>
      </c>
      <c r="C1789" t="s">
        <v>11036</v>
      </c>
      <c r="D1789" t="s">
        <v>5</v>
      </c>
      <c r="E1789" t="s">
        <v>6</v>
      </c>
      <c r="F1789" t="s">
        <v>251</v>
      </c>
      <c r="G1789">
        <v>6</v>
      </c>
      <c r="H1789" s="2">
        <f>Tabelle13[[#This Row],[commits]]/Tabelle13[[#Totals],[commits]]</f>
        <v>2.7886742642547732E-5</v>
      </c>
      <c r="I1789" s="5">
        <f>Tabelle13[[#This Row],[%]]+I1788</f>
        <v>0.94734518210042518</v>
      </c>
      <c r="J1789" s="4">
        <f t="shared" si="87"/>
        <v>1.105583195135434E-4</v>
      </c>
      <c r="K1789" s="5">
        <f t="shared" si="88"/>
        <v>0.19756771697069497</v>
      </c>
    </row>
    <row r="1790" spans="1:11" x14ac:dyDescent="0.25">
      <c r="A1790" t="s">
        <v>11205</v>
      </c>
      <c r="C1790" t="s">
        <v>11206</v>
      </c>
      <c r="D1790" t="s">
        <v>5</v>
      </c>
      <c r="E1790" t="s">
        <v>6</v>
      </c>
      <c r="F1790" t="s">
        <v>251</v>
      </c>
      <c r="G1790">
        <v>6</v>
      </c>
      <c r="H1790" s="2">
        <f>Tabelle13[[#This Row],[commits]]/Tabelle13[[#Totals],[commits]]</f>
        <v>2.7886742642547732E-5</v>
      </c>
      <c r="I1790" s="5">
        <f>Tabelle13[[#This Row],[%]]+I1789</f>
        <v>0.94737306884306771</v>
      </c>
      <c r="J1790" s="4">
        <f t="shared" si="87"/>
        <v>1.105583195135434E-4</v>
      </c>
      <c r="K1790" s="5">
        <f t="shared" si="88"/>
        <v>0.19767827529020851</v>
      </c>
    </row>
    <row r="1791" spans="1:11" x14ac:dyDescent="0.25">
      <c r="A1791" t="s">
        <v>11207</v>
      </c>
      <c r="C1791" t="s">
        <v>11208</v>
      </c>
      <c r="D1791" t="s">
        <v>8874</v>
      </c>
      <c r="E1791" t="s">
        <v>6</v>
      </c>
      <c r="F1791" t="s">
        <v>251</v>
      </c>
      <c r="G1791">
        <v>6</v>
      </c>
      <c r="H1791" s="2">
        <f>Tabelle13[[#This Row],[commits]]/Tabelle13[[#Totals],[commits]]</f>
        <v>2.7886742642547732E-5</v>
      </c>
      <c r="I1791" s="5">
        <f>Tabelle13[[#This Row],[%]]+I1790</f>
        <v>0.94740095558571025</v>
      </c>
      <c r="J1791" s="4">
        <f t="shared" si="87"/>
        <v>1.105583195135434E-4</v>
      </c>
      <c r="K1791" s="5">
        <f t="shared" si="88"/>
        <v>0.19778883360972205</v>
      </c>
    </row>
    <row r="1792" spans="1:11" x14ac:dyDescent="0.25">
      <c r="A1792" t="s">
        <v>11209</v>
      </c>
      <c r="C1792" t="s">
        <v>11210</v>
      </c>
      <c r="D1792" t="s">
        <v>5</v>
      </c>
      <c r="E1792" t="s">
        <v>6</v>
      </c>
      <c r="F1792" t="s">
        <v>251</v>
      </c>
      <c r="G1792">
        <v>6</v>
      </c>
      <c r="H1792" s="2">
        <f>Tabelle13[[#This Row],[commits]]/Tabelle13[[#Totals],[commits]]</f>
        <v>2.7886742642547732E-5</v>
      </c>
      <c r="I1792" s="5">
        <f>Tabelle13[[#This Row],[%]]+I1791</f>
        <v>0.94742884232835278</v>
      </c>
      <c r="J1792" s="4">
        <f t="shared" si="87"/>
        <v>1.105583195135434E-4</v>
      </c>
      <c r="K1792" s="5">
        <f t="shared" si="88"/>
        <v>0.19789939192923559</v>
      </c>
    </row>
    <row r="1793" spans="1:11" x14ac:dyDescent="0.25">
      <c r="A1793" t="s">
        <v>11211</v>
      </c>
      <c r="C1793" t="s">
        <v>11212</v>
      </c>
      <c r="D1793" t="s">
        <v>309</v>
      </c>
      <c r="E1793" t="s">
        <v>6</v>
      </c>
      <c r="F1793" t="s">
        <v>251</v>
      </c>
      <c r="G1793">
        <v>6</v>
      </c>
      <c r="H1793" s="2">
        <f>Tabelle13[[#This Row],[commits]]/Tabelle13[[#Totals],[commits]]</f>
        <v>2.7886742642547732E-5</v>
      </c>
      <c r="I1793" s="5">
        <f>Tabelle13[[#This Row],[%]]+I1792</f>
        <v>0.94745672907099532</v>
      </c>
      <c r="J1793" s="4">
        <f t="shared" si="87"/>
        <v>1.105583195135434E-4</v>
      </c>
      <c r="K1793" s="5">
        <f t="shared" si="88"/>
        <v>0.19800995024874912</v>
      </c>
    </row>
    <row r="1794" spans="1:11" x14ac:dyDescent="0.25">
      <c r="A1794" t="s">
        <v>11213</v>
      </c>
      <c r="C1794" t="s">
        <v>11214</v>
      </c>
      <c r="D1794" t="s">
        <v>5</v>
      </c>
      <c r="E1794" t="s">
        <v>6</v>
      </c>
      <c r="F1794" t="s">
        <v>251</v>
      </c>
      <c r="G1794">
        <v>6</v>
      </c>
      <c r="H1794" s="2">
        <f>Tabelle13[[#This Row],[commits]]/Tabelle13[[#Totals],[commits]]</f>
        <v>2.7886742642547732E-5</v>
      </c>
      <c r="I1794" s="5">
        <f>Tabelle13[[#This Row],[%]]+I1793</f>
        <v>0.94748461581363785</v>
      </c>
      <c r="J1794" s="4">
        <f t="shared" si="87"/>
        <v>1.105583195135434E-4</v>
      </c>
      <c r="K1794" s="5">
        <f t="shared" si="88"/>
        <v>0.19812050856826266</v>
      </c>
    </row>
    <row r="1795" spans="1:11" x14ac:dyDescent="0.25">
      <c r="A1795" t="s">
        <v>11215</v>
      </c>
      <c r="C1795" t="s">
        <v>11216</v>
      </c>
      <c r="D1795" t="s">
        <v>5</v>
      </c>
      <c r="E1795" t="s">
        <v>6</v>
      </c>
      <c r="F1795" t="s">
        <v>251</v>
      </c>
      <c r="G1795">
        <v>6</v>
      </c>
      <c r="H1795" s="2">
        <f>Tabelle13[[#This Row],[commits]]/Tabelle13[[#Totals],[commits]]</f>
        <v>2.7886742642547732E-5</v>
      </c>
      <c r="I1795" s="5">
        <f>Tabelle13[[#This Row],[%]]+I1794</f>
        <v>0.94751250255628039</v>
      </c>
      <c r="J1795" s="4">
        <f t="shared" ref="J1795:J1858" si="89">1/9045</f>
        <v>1.105583195135434E-4</v>
      </c>
      <c r="K1795" s="5">
        <f t="shared" si="88"/>
        <v>0.1982310668877762</v>
      </c>
    </row>
    <row r="1796" spans="1:11" x14ac:dyDescent="0.25">
      <c r="A1796" t="s">
        <v>11217</v>
      </c>
      <c r="C1796" t="s">
        <v>11218</v>
      </c>
      <c r="D1796" t="s">
        <v>5</v>
      </c>
      <c r="E1796" t="s">
        <v>6</v>
      </c>
      <c r="F1796" t="s">
        <v>251</v>
      </c>
      <c r="G1796">
        <v>6</v>
      </c>
      <c r="H1796" s="2">
        <f>Tabelle13[[#This Row],[commits]]/Tabelle13[[#Totals],[commits]]</f>
        <v>2.7886742642547732E-5</v>
      </c>
      <c r="I1796" s="5">
        <f>Tabelle13[[#This Row],[%]]+I1795</f>
        <v>0.94754038929892292</v>
      </c>
      <c r="J1796" s="4">
        <f t="shared" si="89"/>
        <v>1.105583195135434E-4</v>
      </c>
      <c r="K1796" s="5">
        <f t="shared" si="88"/>
        <v>0.19834162520728973</v>
      </c>
    </row>
    <row r="1797" spans="1:11" x14ac:dyDescent="0.25">
      <c r="A1797" t="s">
        <v>11219</v>
      </c>
      <c r="C1797" t="s">
        <v>11220</v>
      </c>
      <c r="D1797" t="s">
        <v>11221</v>
      </c>
      <c r="E1797" t="s">
        <v>6</v>
      </c>
      <c r="F1797" t="s">
        <v>251</v>
      </c>
      <c r="G1797">
        <v>6</v>
      </c>
      <c r="H1797" s="2">
        <f>Tabelle13[[#This Row],[commits]]/Tabelle13[[#Totals],[commits]]</f>
        <v>2.7886742642547732E-5</v>
      </c>
      <c r="I1797" s="5">
        <f>Tabelle13[[#This Row],[%]]+I1796</f>
        <v>0.94756827604156546</v>
      </c>
      <c r="J1797" s="4">
        <f t="shared" si="89"/>
        <v>1.105583195135434E-4</v>
      </c>
      <c r="K1797" s="5">
        <f t="shared" si="88"/>
        <v>0.19845218352680327</v>
      </c>
    </row>
    <row r="1798" spans="1:11" x14ac:dyDescent="0.25">
      <c r="A1798" t="s">
        <v>11222</v>
      </c>
      <c r="C1798" t="s">
        <v>9792</v>
      </c>
      <c r="D1798" t="s">
        <v>5</v>
      </c>
      <c r="E1798" t="s">
        <v>6</v>
      </c>
      <c r="F1798" t="s">
        <v>251</v>
      </c>
      <c r="G1798">
        <v>6</v>
      </c>
      <c r="H1798" s="2">
        <f>Tabelle13[[#This Row],[commits]]/Tabelle13[[#Totals],[commits]]</f>
        <v>2.7886742642547732E-5</v>
      </c>
      <c r="I1798" s="5">
        <f>Tabelle13[[#This Row],[%]]+I1797</f>
        <v>0.947596162784208</v>
      </c>
      <c r="J1798" s="4">
        <f t="shared" si="89"/>
        <v>1.105583195135434E-4</v>
      </c>
      <c r="K1798" s="5">
        <f t="shared" ref="K1798:K1861" si="90">J1798+K1797</f>
        <v>0.19856274184631681</v>
      </c>
    </row>
    <row r="1799" spans="1:11" x14ac:dyDescent="0.25">
      <c r="A1799" t="s">
        <v>11223</v>
      </c>
      <c r="C1799" t="s">
        <v>11224</v>
      </c>
      <c r="D1799" t="s">
        <v>5</v>
      </c>
      <c r="E1799" t="s">
        <v>6</v>
      </c>
      <c r="F1799" t="s">
        <v>251</v>
      </c>
      <c r="G1799">
        <v>6</v>
      </c>
      <c r="H1799" s="2">
        <f>Tabelle13[[#This Row],[commits]]/Tabelle13[[#Totals],[commits]]</f>
        <v>2.7886742642547732E-5</v>
      </c>
      <c r="I1799" s="5">
        <f>Tabelle13[[#This Row],[%]]+I1798</f>
        <v>0.94762404952685053</v>
      </c>
      <c r="J1799" s="4">
        <f t="shared" si="89"/>
        <v>1.105583195135434E-4</v>
      </c>
      <c r="K1799" s="5">
        <f t="shared" si="90"/>
        <v>0.19867330016583035</v>
      </c>
    </row>
    <row r="1800" spans="1:11" x14ac:dyDescent="0.25">
      <c r="A1800" t="s">
        <v>11225</v>
      </c>
      <c r="C1800" t="s">
        <v>8810</v>
      </c>
      <c r="D1800" t="s">
        <v>5</v>
      </c>
      <c r="E1800" t="s">
        <v>6</v>
      </c>
      <c r="F1800" t="s">
        <v>251</v>
      </c>
      <c r="G1800">
        <v>6</v>
      </c>
      <c r="H1800" s="2">
        <f>Tabelle13[[#This Row],[commits]]/Tabelle13[[#Totals],[commits]]</f>
        <v>2.7886742642547732E-5</v>
      </c>
      <c r="I1800" s="5">
        <f>Tabelle13[[#This Row],[%]]+I1799</f>
        <v>0.94765193626949307</v>
      </c>
      <c r="J1800" s="4">
        <f t="shared" si="89"/>
        <v>1.105583195135434E-4</v>
      </c>
      <c r="K1800" s="5">
        <f t="shared" si="90"/>
        <v>0.19878385848534388</v>
      </c>
    </row>
    <row r="1801" spans="1:11" x14ac:dyDescent="0.25">
      <c r="A1801" t="s">
        <v>11226</v>
      </c>
      <c r="C1801" t="s">
        <v>187</v>
      </c>
      <c r="D1801" t="s">
        <v>5</v>
      </c>
      <c r="E1801" t="s">
        <v>6</v>
      </c>
      <c r="F1801" t="s">
        <v>251</v>
      </c>
      <c r="G1801">
        <v>6</v>
      </c>
      <c r="H1801" s="2">
        <f>Tabelle13[[#This Row],[commits]]/Tabelle13[[#Totals],[commits]]</f>
        <v>2.7886742642547732E-5</v>
      </c>
      <c r="I1801" s="5">
        <f>Tabelle13[[#This Row],[%]]+I1800</f>
        <v>0.9476798230121356</v>
      </c>
      <c r="J1801" s="4">
        <f t="shared" si="89"/>
        <v>1.105583195135434E-4</v>
      </c>
      <c r="K1801" s="5">
        <f t="shared" si="90"/>
        <v>0.19889441680485742</v>
      </c>
    </row>
    <row r="1802" spans="1:11" x14ac:dyDescent="0.25">
      <c r="A1802" t="s">
        <v>11227</v>
      </c>
      <c r="C1802" t="s">
        <v>26</v>
      </c>
      <c r="D1802" t="s">
        <v>5</v>
      </c>
      <c r="E1802" t="s">
        <v>6</v>
      </c>
      <c r="F1802" t="s">
        <v>251</v>
      </c>
      <c r="G1802">
        <v>6</v>
      </c>
      <c r="H1802" s="2">
        <f>Tabelle13[[#This Row],[commits]]/Tabelle13[[#Totals],[commits]]</f>
        <v>2.7886742642547732E-5</v>
      </c>
      <c r="I1802" s="5">
        <f>Tabelle13[[#This Row],[%]]+I1801</f>
        <v>0.94770770975477814</v>
      </c>
      <c r="J1802" s="4">
        <f t="shared" si="89"/>
        <v>1.105583195135434E-4</v>
      </c>
      <c r="K1802" s="5">
        <f t="shared" si="90"/>
        <v>0.19900497512437096</v>
      </c>
    </row>
    <row r="1803" spans="1:11" x14ac:dyDescent="0.25">
      <c r="A1803" t="s">
        <v>11228</v>
      </c>
      <c r="C1803" t="s">
        <v>10720</v>
      </c>
      <c r="D1803" t="s">
        <v>8760</v>
      </c>
      <c r="E1803" t="s">
        <v>6</v>
      </c>
      <c r="F1803" t="s">
        <v>251</v>
      </c>
      <c r="G1803">
        <v>6</v>
      </c>
      <c r="H1803" s="2">
        <f>Tabelle13[[#This Row],[commits]]/Tabelle13[[#Totals],[commits]]</f>
        <v>2.7886742642547732E-5</v>
      </c>
      <c r="I1803" s="5">
        <f>Tabelle13[[#This Row],[%]]+I1802</f>
        <v>0.94773559649742067</v>
      </c>
      <c r="J1803" s="4">
        <f t="shared" si="89"/>
        <v>1.105583195135434E-4</v>
      </c>
      <c r="K1803" s="5">
        <f t="shared" si="90"/>
        <v>0.1991155334438845</v>
      </c>
    </row>
    <row r="1804" spans="1:11" x14ac:dyDescent="0.25">
      <c r="A1804" t="s">
        <v>11229</v>
      </c>
      <c r="C1804" t="s">
        <v>11230</v>
      </c>
      <c r="D1804" t="s">
        <v>309</v>
      </c>
      <c r="E1804" t="s">
        <v>6</v>
      </c>
      <c r="F1804" t="s">
        <v>251</v>
      </c>
      <c r="G1804">
        <v>6</v>
      </c>
      <c r="H1804" s="2">
        <f>Tabelle13[[#This Row],[commits]]/Tabelle13[[#Totals],[commits]]</f>
        <v>2.7886742642547732E-5</v>
      </c>
      <c r="I1804" s="5">
        <f>Tabelle13[[#This Row],[%]]+I1803</f>
        <v>0.94776348324006321</v>
      </c>
      <c r="J1804" s="4">
        <f t="shared" si="89"/>
        <v>1.105583195135434E-4</v>
      </c>
      <c r="K1804" s="5">
        <f t="shared" si="90"/>
        <v>0.19922609176339803</v>
      </c>
    </row>
    <row r="1805" spans="1:11" x14ac:dyDescent="0.25">
      <c r="A1805" t="s">
        <v>11231</v>
      </c>
      <c r="C1805" t="s">
        <v>11232</v>
      </c>
      <c r="D1805" t="s">
        <v>5</v>
      </c>
      <c r="E1805" t="s">
        <v>6</v>
      </c>
      <c r="F1805" t="s">
        <v>251</v>
      </c>
      <c r="G1805">
        <v>6</v>
      </c>
      <c r="H1805" s="2">
        <f>Tabelle13[[#This Row],[commits]]/Tabelle13[[#Totals],[commits]]</f>
        <v>2.7886742642547732E-5</v>
      </c>
      <c r="I1805" s="5">
        <f>Tabelle13[[#This Row],[%]]+I1804</f>
        <v>0.94779136998270574</v>
      </c>
      <c r="J1805" s="4">
        <f t="shared" si="89"/>
        <v>1.105583195135434E-4</v>
      </c>
      <c r="K1805" s="5">
        <f t="shared" si="90"/>
        <v>0.19933665008291157</v>
      </c>
    </row>
    <row r="1806" spans="1:11" x14ac:dyDescent="0.25">
      <c r="A1806" t="s">
        <v>11233</v>
      </c>
      <c r="C1806" t="s">
        <v>11234</v>
      </c>
      <c r="D1806" t="s">
        <v>5</v>
      </c>
      <c r="E1806" t="s">
        <v>6</v>
      </c>
      <c r="F1806" t="s">
        <v>251</v>
      </c>
      <c r="G1806">
        <v>6</v>
      </c>
      <c r="H1806" s="2">
        <f>Tabelle13[[#This Row],[commits]]/Tabelle13[[#Totals],[commits]]</f>
        <v>2.7886742642547732E-5</v>
      </c>
      <c r="I1806" s="5">
        <f>Tabelle13[[#This Row],[%]]+I1805</f>
        <v>0.94781925672534828</v>
      </c>
      <c r="J1806" s="4">
        <f t="shared" si="89"/>
        <v>1.105583195135434E-4</v>
      </c>
      <c r="K1806" s="5">
        <f t="shared" si="90"/>
        <v>0.19944720840242511</v>
      </c>
    </row>
    <row r="1807" spans="1:11" x14ac:dyDescent="0.25">
      <c r="A1807" t="s">
        <v>11235</v>
      </c>
      <c r="C1807" t="s">
        <v>11236</v>
      </c>
      <c r="D1807" t="s">
        <v>5</v>
      </c>
      <c r="E1807" t="s">
        <v>6</v>
      </c>
      <c r="F1807" t="s">
        <v>251</v>
      </c>
      <c r="G1807">
        <v>6</v>
      </c>
      <c r="H1807" s="2">
        <f>Tabelle13[[#This Row],[commits]]/Tabelle13[[#Totals],[commits]]</f>
        <v>2.7886742642547732E-5</v>
      </c>
      <c r="I1807" s="5">
        <f>Tabelle13[[#This Row],[%]]+I1806</f>
        <v>0.94784714346799082</v>
      </c>
      <c r="J1807" s="4">
        <f t="shared" si="89"/>
        <v>1.105583195135434E-4</v>
      </c>
      <c r="K1807" s="5">
        <f t="shared" si="90"/>
        <v>0.19955776672193865</v>
      </c>
    </row>
    <row r="1808" spans="1:11" x14ac:dyDescent="0.25">
      <c r="A1808" t="s">
        <v>11237</v>
      </c>
      <c r="C1808" t="s">
        <v>11238</v>
      </c>
      <c r="D1808" t="s">
        <v>5</v>
      </c>
      <c r="E1808" t="s">
        <v>6</v>
      </c>
      <c r="F1808" t="s">
        <v>251</v>
      </c>
      <c r="G1808">
        <v>6</v>
      </c>
      <c r="H1808" s="2">
        <f>Tabelle13[[#This Row],[commits]]/Tabelle13[[#Totals],[commits]]</f>
        <v>2.7886742642547732E-5</v>
      </c>
      <c r="I1808" s="5">
        <f>Tabelle13[[#This Row],[%]]+I1807</f>
        <v>0.94787503021063335</v>
      </c>
      <c r="J1808" s="4">
        <f t="shared" si="89"/>
        <v>1.105583195135434E-4</v>
      </c>
      <c r="K1808" s="5">
        <f t="shared" si="90"/>
        <v>0.19966832504145218</v>
      </c>
    </row>
    <row r="1809" spans="1:11" x14ac:dyDescent="0.25">
      <c r="A1809" t="s">
        <v>11239</v>
      </c>
      <c r="C1809" t="s">
        <v>2327</v>
      </c>
      <c r="D1809" t="s">
        <v>11240</v>
      </c>
      <c r="E1809" t="s">
        <v>6</v>
      </c>
      <c r="F1809" t="s">
        <v>251</v>
      </c>
      <c r="G1809">
        <v>6</v>
      </c>
      <c r="H1809" s="2">
        <f>Tabelle13[[#This Row],[commits]]/Tabelle13[[#Totals],[commits]]</f>
        <v>2.7886742642547732E-5</v>
      </c>
      <c r="I1809" s="5">
        <f>Tabelle13[[#This Row],[%]]+I1808</f>
        <v>0.94790291695327589</v>
      </c>
      <c r="J1809" s="4">
        <f t="shared" si="89"/>
        <v>1.105583195135434E-4</v>
      </c>
      <c r="K1809" s="5">
        <f t="shared" si="90"/>
        <v>0.19977888336096572</v>
      </c>
    </row>
    <row r="1810" spans="1:11" x14ac:dyDescent="0.25">
      <c r="A1810" t="s">
        <v>11241</v>
      </c>
      <c r="C1810" t="s">
        <v>11242</v>
      </c>
      <c r="D1810" t="s">
        <v>5</v>
      </c>
      <c r="E1810" t="s">
        <v>6</v>
      </c>
      <c r="F1810" t="s">
        <v>251</v>
      </c>
      <c r="G1810">
        <v>6</v>
      </c>
      <c r="H1810" s="2">
        <f>Tabelle13[[#This Row],[commits]]/Tabelle13[[#Totals],[commits]]</f>
        <v>2.7886742642547732E-5</v>
      </c>
      <c r="I1810" s="5">
        <f>Tabelle13[[#This Row],[%]]+I1809</f>
        <v>0.94793080369591842</v>
      </c>
      <c r="J1810" s="4">
        <f t="shared" si="89"/>
        <v>1.105583195135434E-4</v>
      </c>
      <c r="K1810" s="5">
        <f t="shared" si="90"/>
        <v>0.19988944168047926</v>
      </c>
    </row>
    <row r="1811" spans="1:11" x14ac:dyDescent="0.25">
      <c r="A1811" t="s">
        <v>11243</v>
      </c>
      <c r="C1811">
        <v>393926893</v>
      </c>
      <c r="D1811" t="s">
        <v>5</v>
      </c>
      <c r="E1811" t="s">
        <v>6</v>
      </c>
      <c r="F1811" t="s">
        <v>251</v>
      </c>
      <c r="G1811">
        <v>6</v>
      </c>
      <c r="H1811" s="2">
        <f>Tabelle13[[#This Row],[commits]]/Tabelle13[[#Totals],[commits]]</f>
        <v>2.7886742642547732E-5</v>
      </c>
      <c r="I1811" s="5">
        <f>Tabelle13[[#This Row],[%]]+I1810</f>
        <v>0.94795869043856096</v>
      </c>
      <c r="J1811" s="4">
        <f t="shared" si="89"/>
        <v>1.105583195135434E-4</v>
      </c>
      <c r="K1811" s="5">
        <f t="shared" si="90"/>
        <v>0.19999999999999279</v>
      </c>
    </row>
    <row r="1812" spans="1:11" x14ac:dyDescent="0.25">
      <c r="A1812" t="s">
        <v>11244</v>
      </c>
      <c r="C1812" t="s">
        <v>11245</v>
      </c>
      <c r="D1812" t="s">
        <v>5</v>
      </c>
      <c r="E1812" t="s">
        <v>6</v>
      </c>
      <c r="F1812" t="s">
        <v>251</v>
      </c>
      <c r="G1812">
        <v>6</v>
      </c>
      <c r="H1812" s="2">
        <f>Tabelle13[[#This Row],[commits]]/Tabelle13[[#Totals],[commits]]</f>
        <v>2.7886742642547732E-5</v>
      </c>
      <c r="I1812" s="5">
        <f>Tabelle13[[#This Row],[%]]+I1811</f>
        <v>0.94798657718120349</v>
      </c>
      <c r="J1812" s="4">
        <f t="shared" si="89"/>
        <v>1.105583195135434E-4</v>
      </c>
      <c r="K1812" s="5">
        <f t="shared" si="90"/>
        <v>0.20011055831950633</v>
      </c>
    </row>
    <row r="1813" spans="1:11" x14ac:dyDescent="0.25">
      <c r="A1813" t="s">
        <v>11246</v>
      </c>
      <c r="C1813" t="s">
        <v>11247</v>
      </c>
      <c r="D1813" t="s">
        <v>309</v>
      </c>
      <c r="E1813" t="s">
        <v>6</v>
      </c>
      <c r="F1813" t="s">
        <v>251</v>
      </c>
      <c r="G1813">
        <v>6</v>
      </c>
      <c r="H1813" s="2">
        <f>Tabelle13[[#This Row],[commits]]/Tabelle13[[#Totals],[commits]]</f>
        <v>2.7886742642547732E-5</v>
      </c>
      <c r="I1813" s="5">
        <f>Tabelle13[[#This Row],[%]]+I1812</f>
        <v>0.94801446392384603</v>
      </c>
      <c r="J1813" s="4">
        <f t="shared" si="89"/>
        <v>1.105583195135434E-4</v>
      </c>
      <c r="K1813" s="5">
        <f t="shared" si="90"/>
        <v>0.20022111663901987</v>
      </c>
    </row>
    <row r="1814" spans="1:11" x14ac:dyDescent="0.25">
      <c r="A1814" t="s">
        <v>11248</v>
      </c>
      <c r="C1814" t="s">
        <v>11249</v>
      </c>
      <c r="D1814" t="s">
        <v>5</v>
      </c>
      <c r="E1814" t="s">
        <v>6</v>
      </c>
      <c r="F1814" t="s">
        <v>251</v>
      </c>
      <c r="G1814">
        <v>6</v>
      </c>
      <c r="H1814" s="2">
        <f>Tabelle13[[#This Row],[commits]]/Tabelle13[[#Totals],[commits]]</f>
        <v>2.7886742642547732E-5</v>
      </c>
      <c r="I1814" s="5">
        <f>Tabelle13[[#This Row],[%]]+I1813</f>
        <v>0.94804235066648856</v>
      </c>
      <c r="J1814" s="4">
        <f t="shared" si="89"/>
        <v>1.105583195135434E-4</v>
      </c>
      <c r="K1814" s="5">
        <f t="shared" si="90"/>
        <v>0.20033167495853341</v>
      </c>
    </row>
    <row r="1815" spans="1:11" x14ac:dyDescent="0.25">
      <c r="A1815" t="s">
        <v>11250</v>
      </c>
      <c r="C1815" t="s">
        <v>11251</v>
      </c>
      <c r="D1815" t="s">
        <v>309</v>
      </c>
      <c r="E1815" t="s">
        <v>6</v>
      </c>
      <c r="F1815" t="s">
        <v>251</v>
      </c>
      <c r="G1815">
        <v>6</v>
      </c>
      <c r="H1815" s="2">
        <f>Tabelle13[[#This Row],[commits]]/Tabelle13[[#Totals],[commits]]</f>
        <v>2.7886742642547732E-5</v>
      </c>
      <c r="I1815" s="5">
        <f>Tabelle13[[#This Row],[%]]+I1814</f>
        <v>0.9480702374091311</v>
      </c>
      <c r="J1815" s="4">
        <f t="shared" si="89"/>
        <v>1.105583195135434E-4</v>
      </c>
      <c r="K1815" s="5">
        <f t="shared" si="90"/>
        <v>0.20044223327804694</v>
      </c>
    </row>
    <row r="1816" spans="1:11" x14ac:dyDescent="0.25">
      <c r="A1816" t="s">
        <v>11252</v>
      </c>
      <c r="C1816" t="s">
        <v>11253</v>
      </c>
      <c r="D1816" t="s">
        <v>5</v>
      </c>
      <c r="E1816" t="s">
        <v>6</v>
      </c>
      <c r="F1816" t="s">
        <v>251</v>
      </c>
      <c r="G1816">
        <v>6</v>
      </c>
      <c r="H1816" s="2">
        <f>Tabelle13[[#This Row],[commits]]/Tabelle13[[#Totals],[commits]]</f>
        <v>2.7886742642547732E-5</v>
      </c>
      <c r="I1816" s="5">
        <f>Tabelle13[[#This Row],[%]]+I1815</f>
        <v>0.94809812415177364</v>
      </c>
      <c r="J1816" s="4">
        <f t="shared" si="89"/>
        <v>1.105583195135434E-4</v>
      </c>
      <c r="K1816" s="5">
        <f t="shared" si="90"/>
        <v>0.20055279159756048</v>
      </c>
    </row>
    <row r="1817" spans="1:11" x14ac:dyDescent="0.25">
      <c r="A1817" t="s">
        <v>11254</v>
      </c>
      <c r="C1817" t="s">
        <v>11255</v>
      </c>
      <c r="D1817" t="s">
        <v>5</v>
      </c>
      <c r="E1817" t="s">
        <v>6</v>
      </c>
      <c r="F1817" t="s">
        <v>251</v>
      </c>
      <c r="G1817">
        <v>6</v>
      </c>
      <c r="H1817" s="2">
        <f>Tabelle13[[#This Row],[commits]]/Tabelle13[[#Totals],[commits]]</f>
        <v>2.7886742642547732E-5</v>
      </c>
      <c r="I1817" s="5">
        <f>Tabelle13[[#This Row],[%]]+I1816</f>
        <v>0.94812601089441617</v>
      </c>
      <c r="J1817" s="4">
        <f t="shared" si="89"/>
        <v>1.105583195135434E-4</v>
      </c>
      <c r="K1817" s="5">
        <f t="shared" si="90"/>
        <v>0.20066334991707402</v>
      </c>
    </row>
    <row r="1818" spans="1:11" x14ac:dyDescent="0.25">
      <c r="A1818" t="s">
        <v>11256</v>
      </c>
      <c r="C1818" t="s">
        <v>11257</v>
      </c>
      <c r="D1818" t="s">
        <v>5</v>
      </c>
      <c r="E1818" t="s">
        <v>6</v>
      </c>
      <c r="F1818" t="s">
        <v>251</v>
      </c>
      <c r="G1818">
        <v>6</v>
      </c>
      <c r="H1818" s="2">
        <f>Tabelle13[[#This Row],[commits]]/Tabelle13[[#Totals],[commits]]</f>
        <v>2.7886742642547732E-5</v>
      </c>
      <c r="I1818" s="5">
        <f>Tabelle13[[#This Row],[%]]+I1817</f>
        <v>0.94815389763705871</v>
      </c>
      <c r="J1818" s="4">
        <f t="shared" si="89"/>
        <v>1.105583195135434E-4</v>
      </c>
      <c r="K1818" s="5">
        <f t="shared" si="90"/>
        <v>0.20077390823658756</v>
      </c>
    </row>
    <row r="1819" spans="1:11" x14ac:dyDescent="0.25">
      <c r="A1819" t="s">
        <v>11258</v>
      </c>
      <c r="C1819" t="s">
        <v>11259</v>
      </c>
      <c r="D1819" t="s">
        <v>5</v>
      </c>
      <c r="E1819" t="s">
        <v>6</v>
      </c>
      <c r="F1819" t="s">
        <v>251</v>
      </c>
      <c r="G1819">
        <v>6</v>
      </c>
      <c r="H1819" s="2">
        <f>Tabelle13[[#This Row],[commits]]/Tabelle13[[#Totals],[commits]]</f>
        <v>2.7886742642547732E-5</v>
      </c>
      <c r="I1819" s="5">
        <f>Tabelle13[[#This Row],[%]]+I1818</f>
        <v>0.94818178437970124</v>
      </c>
      <c r="J1819" s="4">
        <f t="shared" si="89"/>
        <v>1.105583195135434E-4</v>
      </c>
      <c r="K1819" s="5">
        <f t="shared" si="90"/>
        <v>0.20088446655610109</v>
      </c>
    </row>
    <row r="1820" spans="1:11" x14ac:dyDescent="0.25">
      <c r="A1820" t="s">
        <v>17174</v>
      </c>
      <c r="C1820" t="s">
        <v>114</v>
      </c>
      <c r="D1820" t="s">
        <v>5</v>
      </c>
      <c r="E1820" t="s">
        <v>6</v>
      </c>
      <c r="F1820" t="s">
        <v>334</v>
      </c>
      <c r="G1820">
        <v>6</v>
      </c>
      <c r="H1820" s="2">
        <f>Tabelle13[[#This Row],[commits]]/Tabelle13[[#Totals],[commits]]</f>
        <v>2.7886742642547732E-5</v>
      </c>
      <c r="I1820" s="5">
        <f>Tabelle13[[#This Row],[%]]+I1819</f>
        <v>0.94820967112234378</v>
      </c>
      <c r="J1820" s="4">
        <f t="shared" si="89"/>
        <v>1.105583195135434E-4</v>
      </c>
      <c r="K1820" s="5">
        <f t="shared" si="90"/>
        <v>0.20099502487561463</v>
      </c>
    </row>
    <row r="1821" spans="1:11" x14ac:dyDescent="0.25">
      <c r="A1821" t="s">
        <v>154</v>
      </c>
      <c r="C1821" t="s">
        <v>155</v>
      </c>
      <c r="D1821" t="s">
        <v>5</v>
      </c>
      <c r="E1821" t="s">
        <v>6</v>
      </c>
      <c r="F1821" t="s">
        <v>7</v>
      </c>
      <c r="G1821">
        <v>5</v>
      </c>
      <c r="H1821" s="2">
        <f>Tabelle13[[#This Row],[commits]]/Tabelle13[[#Totals],[commits]]</f>
        <v>2.3238952202123109E-5</v>
      </c>
      <c r="I1821" s="5">
        <f>Tabelle13[[#This Row],[%]]+I1820</f>
        <v>0.94823291007454591</v>
      </c>
      <c r="J1821" s="4">
        <f t="shared" si="89"/>
        <v>1.105583195135434E-4</v>
      </c>
      <c r="K1821" s="5">
        <f t="shared" si="90"/>
        <v>0.20110558319512817</v>
      </c>
    </row>
    <row r="1822" spans="1:11" x14ac:dyDescent="0.25">
      <c r="A1822" t="s">
        <v>156</v>
      </c>
      <c r="C1822" t="s">
        <v>157</v>
      </c>
      <c r="D1822" t="s">
        <v>5</v>
      </c>
      <c r="E1822" t="s">
        <v>6</v>
      </c>
      <c r="F1822" t="s">
        <v>7</v>
      </c>
      <c r="G1822">
        <v>5</v>
      </c>
      <c r="H1822" s="2">
        <f>Tabelle13[[#This Row],[commits]]/Tabelle13[[#Totals],[commits]]</f>
        <v>2.3238952202123109E-5</v>
      </c>
      <c r="I1822" s="5">
        <f>Tabelle13[[#This Row],[%]]+I1821</f>
        <v>0.94825614902674804</v>
      </c>
      <c r="J1822" s="4">
        <f t="shared" si="89"/>
        <v>1.105583195135434E-4</v>
      </c>
      <c r="K1822" s="5">
        <f t="shared" si="90"/>
        <v>0.20121614151464171</v>
      </c>
    </row>
    <row r="1823" spans="1:11" x14ac:dyDescent="0.25">
      <c r="A1823" t="s">
        <v>158</v>
      </c>
      <c r="C1823" t="s">
        <v>159</v>
      </c>
      <c r="D1823" t="s">
        <v>5</v>
      </c>
      <c r="E1823" t="s">
        <v>6</v>
      </c>
      <c r="F1823" t="s">
        <v>7</v>
      </c>
      <c r="G1823">
        <v>5</v>
      </c>
      <c r="H1823" s="2">
        <f>Tabelle13[[#This Row],[commits]]/Tabelle13[[#Totals],[commits]]</f>
        <v>2.3238952202123109E-5</v>
      </c>
      <c r="I1823" s="5">
        <f>Tabelle13[[#This Row],[%]]+I1822</f>
        <v>0.94827938797895017</v>
      </c>
      <c r="J1823" s="4">
        <f t="shared" si="89"/>
        <v>1.105583195135434E-4</v>
      </c>
      <c r="K1823" s="5">
        <f t="shared" si="90"/>
        <v>0.20132669983415524</v>
      </c>
    </row>
    <row r="1824" spans="1:11" x14ac:dyDescent="0.25">
      <c r="A1824" t="s">
        <v>160</v>
      </c>
      <c r="C1824" t="s">
        <v>161</v>
      </c>
      <c r="D1824" t="s">
        <v>162</v>
      </c>
      <c r="E1824" t="s">
        <v>6</v>
      </c>
      <c r="F1824" t="s">
        <v>7</v>
      </c>
      <c r="G1824">
        <v>5</v>
      </c>
      <c r="H1824" s="2">
        <f>Tabelle13[[#This Row],[commits]]/Tabelle13[[#Totals],[commits]]</f>
        <v>2.3238952202123109E-5</v>
      </c>
      <c r="I1824" s="5">
        <f>Tabelle13[[#This Row],[%]]+I1823</f>
        <v>0.9483026269311523</v>
      </c>
      <c r="J1824" s="4">
        <f t="shared" si="89"/>
        <v>1.105583195135434E-4</v>
      </c>
      <c r="K1824" s="5">
        <f t="shared" si="90"/>
        <v>0.20143725815366878</v>
      </c>
    </row>
    <row r="1825" spans="1:11" x14ac:dyDescent="0.25">
      <c r="A1825" t="s">
        <v>163</v>
      </c>
      <c r="C1825" t="s">
        <v>164</v>
      </c>
      <c r="D1825" t="s">
        <v>5</v>
      </c>
      <c r="E1825" t="s">
        <v>6</v>
      </c>
      <c r="F1825" t="s">
        <v>7</v>
      </c>
      <c r="G1825">
        <v>5</v>
      </c>
      <c r="H1825" s="2">
        <f>Tabelle13[[#This Row],[commits]]/Tabelle13[[#Totals],[commits]]</f>
        <v>2.3238952202123109E-5</v>
      </c>
      <c r="I1825" s="5">
        <f>Tabelle13[[#This Row],[%]]+I1824</f>
        <v>0.94832586588335444</v>
      </c>
      <c r="J1825" s="4">
        <f t="shared" si="89"/>
        <v>1.105583195135434E-4</v>
      </c>
      <c r="K1825" s="5">
        <f t="shared" si="90"/>
        <v>0.20154781647318232</v>
      </c>
    </row>
    <row r="1826" spans="1:11" x14ac:dyDescent="0.25">
      <c r="A1826" t="s">
        <v>165</v>
      </c>
      <c r="C1826" t="s">
        <v>166</v>
      </c>
      <c r="D1826" t="s">
        <v>5</v>
      </c>
      <c r="E1826" t="s">
        <v>6</v>
      </c>
      <c r="F1826" t="s">
        <v>7</v>
      </c>
      <c r="G1826">
        <v>5</v>
      </c>
      <c r="H1826" s="2">
        <f>Tabelle13[[#This Row],[commits]]/Tabelle13[[#Totals],[commits]]</f>
        <v>2.3238952202123109E-5</v>
      </c>
      <c r="I1826" s="5">
        <f>Tabelle13[[#This Row],[%]]+I1825</f>
        <v>0.94834910483555657</v>
      </c>
      <c r="J1826" s="4">
        <f t="shared" si="89"/>
        <v>1.105583195135434E-4</v>
      </c>
      <c r="K1826" s="5">
        <f t="shared" si="90"/>
        <v>0.20165837479269585</v>
      </c>
    </row>
    <row r="1827" spans="1:11" x14ac:dyDescent="0.25">
      <c r="A1827" t="s">
        <v>167</v>
      </c>
      <c r="C1827" t="s">
        <v>168</v>
      </c>
      <c r="D1827" t="s">
        <v>5</v>
      </c>
      <c r="E1827" t="s">
        <v>6</v>
      </c>
      <c r="F1827" t="s">
        <v>7</v>
      </c>
      <c r="G1827">
        <v>5</v>
      </c>
      <c r="H1827" s="2">
        <f>Tabelle13[[#This Row],[commits]]/Tabelle13[[#Totals],[commits]]</f>
        <v>2.3238952202123109E-5</v>
      </c>
      <c r="I1827" s="5">
        <f>Tabelle13[[#This Row],[%]]+I1826</f>
        <v>0.9483723437877587</v>
      </c>
      <c r="J1827" s="4">
        <f t="shared" si="89"/>
        <v>1.105583195135434E-4</v>
      </c>
      <c r="K1827" s="5">
        <f t="shared" si="90"/>
        <v>0.20176893311220939</v>
      </c>
    </row>
    <row r="1828" spans="1:11" x14ac:dyDescent="0.25">
      <c r="A1828" t="s">
        <v>169</v>
      </c>
      <c r="C1828" t="s">
        <v>170</v>
      </c>
      <c r="D1828" t="s">
        <v>5</v>
      </c>
      <c r="E1828" t="s">
        <v>6</v>
      </c>
      <c r="F1828" t="s">
        <v>7</v>
      </c>
      <c r="G1828">
        <v>5</v>
      </c>
      <c r="H1828" s="2">
        <f>Tabelle13[[#This Row],[commits]]/Tabelle13[[#Totals],[commits]]</f>
        <v>2.3238952202123109E-5</v>
      </c>
      <c r="I1828" s="5">
        <f>Tabelle13[[#This Row],[%]]+I1827</f>
        <v>0.94839558273996083</v>
      </c>
      <c r="J1828" s="4">
        <f t="shared" si="89"/>
        <v>1.105583195135434E-4</v>
      </c>
      <c r="K1828" s="5">
        <f t="shared" si="90"/>
        <v>0.20187949143172293</v>
      </c>
    </row>
    <row r="1829" spans="1:11" x14ac:dyDescent="0.25">
      <c r="A1829" t="s">
        <v>171</v>
      </c>
      <c r="C1829" t="s">
        <v>172</v>
      </c>
      <c r="D1829" t="s">
        <v>5</v>
      </c>
      <c r="E1829" t="s">
        <v>6</v>
      </c>
      <c r="F1829" t="s">
        <v>7</v>
      </c>
      <c r="G1829">
        <v>5</v>
      </c>
      <c r="H1829" s="2">
        <f>Tabelle13[[#This Row],[commits]]/Tabelle13[[#Totals],[commits]]</f>
        <v>2.3238952202123109E-5</v>
      </c>
      <c r="I1829" s="5">
        <f>Tabelle13[[#This Row],[%]]+I1828</f>
        <v>0.94841882169216296</v>
      </c>
      <c r="J1829" s="4">
        <f t="shared" si="89"/>
        <v>1.105583195135434E-4</v>
      </c>
      <c r="K1829" s="5">
        <f t="shared" si="90"/>
        <v>0.20199004975123647</v>
      </c>
    </row>
    <row r="1830" spans="1:11" x14ac:dyDescent="0.25">
      <c r="A1830" t="s">
        <v>175</v>
      </c>
      <c r="C1830" t="s">
        <v>176</v>
      </c>
      <c r="D1830" t="s">
        <v>177</v>
      </c>
      <c r="E1830" t="s">
        <v>6</v>
      </c>
      <c r="F1830" t="s">
        <v>7</v>
      </c>
      <c r="G1830">
        <v>5</v>
      </c>
      <c r="H1830" s="2">
        <f>Tabelle13[[#This Row],[commits]]/Tabelle13[[#Totals],[commits]]</f>
        <v>2.3238952202123109E-5</v>
      </c>
      <c r="I1830" s="5">
        <f>Tabelle13[[#This Row],[%]]+I1829</f>
        <v>0.94844206064436509</v>
      </c>
      <c r="J1830" s="4">
        <f t="shared" si="89"/>
        <v>1.105583195135434E-4</v>
      </c>
      <c r="K1830" s="5">
        <f t="shared" si="90"/>
        <v>0.20210060807075</v>
      </c>
    </row>
    <row r="1831" spans="1:11" x14ac:dyDescent="0.25">
      <c r="A1831" t="s">
        <v>2030</v>
      </c>
      <c r="C1831" t="s">
        <v>2031</v>
      </c>
      <c r="D1831" t="s">
        <v>2032</v>
      </c>
      <c r="E1831" t="s">
        <v>6</v>
      </c>
      <c r="F1831" t="s">
        <v>28</v>
      </c>
      <c r="G1831">
        <v>5</v>
      </c>
      <c r="H1831" s="2">
        <f>Tabelle13[[#This Row],[commits]]/Tabelle13[[#Totals],[commits]]</f>
        <v>2.3238952202123109E-5</v>
      </c>
      <c r="I1831" s="5">
        <f>Tabelle13[[#This Row],[%]]+I1830</f>
        <v>0.94846529959656722</v>
      </c>
      <c r="J1831" s="4">
        <f t="shared" si="89"/>
        <v>1.105583195135434E-4</v>
      </c>
      <c r="K1831" s="5">
        <f t="shared" si="90"/>
        <v>0.20221116639026354</v>
      </c>
    </row>
    <row r="1832" spans="1:11" x14ac:dyDescent="0.25">
      <c r="A1832" t="s">
        <v>2791</v>
      </c>
      <c r="C1832" t="s">
        <v>2792</v>
      </c>
      <c r="D1832" t="s">
        <v>309</v>
      </c>
      <c r="E1832" t="s">
        <v>6</v>
      </c>
      <c r="F1832" t="s">
        <v>724</v>
      </c>
      <c r="G1832">
        <v>5</v>
      </c>
      <c r="H1832" s="2">
        <f>Tabelle13[[#This Row],[commits]]/Tabelle13[[#Totals],[commits]]</f>
        <v>2.3238952202123109E-5</v>
      </c>
      <c r="I1832" s="5">
        <f>Tabelle13[[#This Row],[%]]+I1831</f>
        <v>0.94848853854876936</v>
      </c>
      <c r="J1832" s="4">
        <f t="shared" si="89"/>
        <v>1.105583195135434E-4</v>
      </c>
      <c r="K1832" s="5">
        <f t="shared" si="90"/>
        <v>0.20232172470977708</v>
      </c>
    </row>
    <row r="1833" spans="1:11" x14ac:dyDescent="0.25">
      <c r="A1833" t="s">
        <v>2793</v>
      </c>
      <c r="C1833" t="s">
        <v>2794</v>
      </c>
      <c r="D1833" t="s">
        <v>309</v>
      </c>
      <c r="E1833" t="s">
        <v>6</v>
      </c>
      <c r="F1833" t="s">
        <v>724</v>
      </c>
      <c r="G1833">
        <v>5</v>
      </c>
      <c r="H1833" s="2">
        <f>Tabelle13[[#This Row],[commits]]/Tabelle13[[#Totals],[commits]]</f>
        <v>2.3238952202123109E-5</v>
      </c>
      <c r="I1833" s="5">
        <f>Tabelle13[[#This Row],[%]]+I1832</f>
        <v>0.94851177750097149</v>
      </c>
      <c r="J1833" s="4">
        <f t="shared" si="89"/>
        <v>1.105583195135434E-4</v>
      </c>
      <c r="K1833" s="5">
        <f t="shared" si="90"/>
        <v>0.20243228302929062</v>
      </c>
    </row>
    <row r="1834" spans="1:11" x14ac:dyDescent="0.25">
      <c r="A1834" t="s">
        <v>2795</v>
      </c>
      <c r="C1834" t="s">
        <v>2796</v>
      </c>
      <c r="D1834" t="s">
        <v>5</v>
      </c>
      <c r="E1834" t="s">
        <v>6</v>
      </c>
      <c r="F1834" t="s">
        <v>724</v>
      </c>
      <c r="G1834">
        <v>5</v>
      </c>
      <c r="H1834" s="2">
        <f>Tabelle13[[#This Row],[commits]]/Tabelle13[[#Totals],[commits]]</f>
        <v>2.3238952202123109E-5</v>
      </c>
      <c r="I1834" s="5">
        <f>Tabelle13[[#This Row],[%]]+I1833</f>
        <v>0.94853501645317362</v>
      </c>
      <c r="J1834" s="4">
        <f t="shared" si="89"/>
        <v>1.105583195135434E-4</v>
      </c>
      <c r="K1834" s="5">
        <f t="shared" si="90"/>
        <v>0.20254284134880415</v>
      </c>
    </row>
    <row r="1835" spans="1:11" x14ac:dyDescent="0.25">
      <c r="A1835" t="s">
        <v>2797</v>
      </c>
      <c r="C1835" t="s">
        <v>2798</v>
      </c>
      <c r="D1835" t="s">
        <v>5</v>
      </c>
      <c r="E1835" t="s">
        <v>6</v>
      </c>
      <c r="F1835" t="s">
        <v>724</v>
      </c>
      <c r="G1835">
        <v>5</v>
      </c>
      <c r="H1835" s="2">
        <f>Tabelle13[[#This Row],[commits]]/Tabelle13[[#Totals],[commits]]</f>
        <v>2.3238952202123109E-5</v>
      </c>
      <c r="I1835" s="5">
        <f>Tabelle13[[#This Row],[%]]+I1834</f>
        <v>0.94855825540537575</v>
      </c>
      <c r="J1835" s="4">
        <f t="shared" si="89"/>
        <v>1.105583195135434E-4</v>
      </c>
      <c r="K1835" s="5">
        <f t="shared" si="90"/>
        <v>0.20265339966831769</v>
      </c>
    </row>
    <row r="1836" spans="1:11" x14ac:dyDescent="0.25">
      <c r="A1836" t="s">
        <v>2799</v>
      </c>
      <c r="C1836" t="s">
        <v>2800</v>
      </c>
      <c r="D1836" t="s">
        <v>5</v>
      </c>
      <c r="E1836" t="s">
        <v>6</v>
      </c>
      <c r="F1836" t="s">
        <v>724</v>
      </c>
      <c r="G1836">
        <v>5</v>
      </c>
      <c r="H1836" s="2">
        <f>Tabelle13[[#This Row],[commits]]/Tabelle13[[#Totals],[commits]]</f>
        <v>2.3238952202123109E-5</v>
      </c>
      <c r="I1836" s="5">
        <f>Tabelle13[[#This Row],[%]]+I1835</f>
        <v>0.94858149435757788</v>
      </c>
      <c r="J1836" s="4">
        <f t="shared" si="89"/>
        <v>1.105583195135434E-4</v>
      </c>
      <c r="K1836" s="5">
        <f t="shared" si="90"/>
        <v>0.20276395798783123</v>
      </c>
    </row>
    <row r="1837" spans="1:11" x14ac:dyDescent="0.25">
      <c r="A1837" t="s">
        <v>2801</v>
      </c>
      <c r="C1837" t="s">
        <v>2802</v>
      </c>
      <c r="D1837" t="s">
        <v>5</v>
      </c>
      <c r="E1837" t="s">
        <v>6</v>
      </c>
      <c r="F1837" t="s">
        <v>724</v>
      </c>
      <c r="G1837">
        <v>5</v>
      </c>
      <c r="H1837" s="2">
        <f>Tabelle13[[#This Row],[commits]]/Tabelle13[[#Totals],[commits]]</f>
        <v>2.3238952202123109E-5</v>
      </c>
      <c r="I1837" s="5">
        <f>Tabelle13[[#This Row],[%]]+I1836</f>
        <v>0.94860473330978001</v>
      </c>
      <c r="J1837" s="4">
        <f t="shared" si="89"/>
        <v>1.105583195135434E-4</v>
      </c>
      <c r="K1837" s="5">
        <f t="shared" si="90"/>
        <v>0.20287451630734477</v>
      </c>
    </row>
    <row r="1838" spans="1:11" x14ac:dyDescent="0.25">
      <c r="A1838" t="s">
        <v>2803</v>
      </c>
      <c r="C1838" t="s">
        <v>2804</v>
      </c>
      <c r="D1838" t="s">
        <v>5</v>
      </c>
      <c r="E1838" t="s">
        <v>6</v>
      </c>
      <c r="F1838" t="s">
        <v>724</v>
      </c>
      <c r="G1838">
        <v>5</v>
      </c>
      <c r="H1838" s="2">
        <f>Tabelle13[[#This Row],[commits]]/Tabelle13[[#Totals],[commits]]</f>
        <v>2.3238952202123109E-5</v>
      </c>
      <c r="I1838" s="5">
        <f>Tabelle13[[#This Row],[%]]+I1837</f>
        <v>0.94862797226198214</v>
      </c>
      <c r="J1838" s="4">
        <f t="shared" si="89"/>
        <v>1.105583195135434E-4</v>
      </c>
      <c r="K1838" s="5">
        <f t="shared" si="90"/>
        <v>0.2029850746268583</v>
      </c>
    </row>
    <row r="1839" spans="1:11" x14ac:dyDescent="0.25">
      <c r="A1839" t="s">
        <v>2805</v>
      </c>
      <c r="C1839" t="s">
        <v>2806</v>
      </c>
      <c r="D1839" t="s">
        <v>5</v>
      </c>
      <c r="E1839" t="s">
        <v>6</v>
      </c>
      <c r="F1839" t="s">
        <v>724</v>
      </c>
      <c r="G1839">
        <v>5</v>
      </c>
      <c r="H1839" s="2">
        <f>Tabelle13[[#This Row],[commits]]/Tabelle13[[#Totals],[commits]]</f>
        <v>2.3238952202123109E-5</v>
      </c>
      <c r="I1839" s="5">
        <f>Tabelle13[[#This Row],[%]]+I1838</f>
        <v>0.94865121121418428</v>
      </c>
      <c r="J1839" s="4">
        <f t="shared" si="89"/>
        <v>1.105583195135434E-4</v>
      </c>
      <c r="K1839" s="5">
        <f t="shared" si="90"/>
        <v>0.20309563294637184</v>
      </c>
    </row>
    <row r="1840" spans="1:11" x14ac:dyDescent="0.25">
      <c r="A1840" t="s">
        <v>2807</v>
      </c>
      <c r="C1840" t="s">
        <v>2808</v>
      </c>
      <c r="D1840" t="s">
        <v>309</v>
      </c>
      <c r="E1840" t="s">
        <v>6</v>
      </c>
      <c r="F1840" t="s">
        <v>724</v>
      </c>
      <c r="G1840">
        <v>5</v>
      </c>
      <c r="H1840" s="2">
        <f>Tabelle13[[#This Row],[commits]]/Tabelle13[[#Totals],[commits]]</f>
        <v>2.3238952202123109E-5</v>
      </c>
      <c r="I1840" s="5">
        <f>Tabelle13[[#This Row],[%]]+I1839</f>
        <v>0.94867445016638641</v>
      </c>
      <c r="J1840" s="4">
        <f t="shared" si="89"/>
        <v>1.105583195135434E-4</v>
      </c>
      <c r="K1840" s="5">
        <f t="shared" si="90"/>
        <v>0.20320619126588538</v>
      </c>
    </row>
    <row r="1841" spans="1:11" x14ac:dyDescent="0.25">
      <c r="A1841" t="s">
        <v>2809</v>
      </c>
      <c r="C1841" t="s">
        <v>2810</v>
      </c>
      <c r="D1841" t="s">
        <v>5</v>
      </c>
      <c r="E1841" t="s">
        <v>6</v>
      </c>
      <c r="F1841" t="s">
        <v>724</v>
      </c>
      <c r="G1841">
        <v>5</v>
      </c>
      <c r="H1841" s="2">
        <f>Tabelle13[[#This Row],[commits]]/Tabelle13[[#Totals],[commits]]</f>
        <v>2.3238952202123109E-5</v>
      </c>
      <c r="I1841" s="5">
        <f>Tabelle13[[#This Row],[%]]+I1840</f>
        <v>0.94869768911858854</v>
      </c>
      <c r="J1841" s="4">
        <f t="shared" si="89"/>
        <v>1.105583195135434E-4</v>
      </c>
      <c r="K1841" s="5">
        <f t="shared" si="90"/>
        <v>0.20331674958539891</v>
      </c>
    </row>
    <row r="1842" spans="1:11" x14ac:dyDescent="0.25">
      <c r="A1842" t="s">
        <v>2811</v>
      </c>
      <c r="C1842" t="s">
        <v>2812</v>
      </c>
      <c r="D1842" t="s">
        <v>5</v>
      </c>
      <c r="E1842" t="s">
        <v>6</v>
      </c>
      <c r="F1842" t="s">
        <v>724</v>
      </c>
      <c r="G1842">
        <v>5</v>
      </c>
      <c r="H1842" s="2">
        <f>Tabelle13[[#This Row],[commits]]/Tabelle13[[#Totals],[commits]]</f>
        <v>2.3238952202123109E-5</v>
      </c>
      <c r="I1842" s="5">
        <f>Tabelle13[[#This Row],[%]]+I1841</f>
        <v>0.94872092807079067</v>
      </c>
      <c r="J1842" s="4">
        <f t="shared" si="89"/>
        <v>1.105583195135434E-4</v>
      </c>
      <c r="K1842" s="5">
        <f t="shared" si="90"/>
        <v>0.20342730790491245</v>
      </c>
    </row>
    <row r="1843" spans="1:11" x14ac:dyDescent="0.25">
      <c r="A1843" t="s">
        <v>2813</v>
      </c>
      <c r="C1843" t="s">
        <v>2814</v>
      </c>
      <c r="D1843" t="s">
        <v>5</v>
      </c>
      <c r="E1843" t="s">
        <v>6</v>
      </c>
      <c r="F1843" t="s">
        <v>724</v>
      </c>
      <c r="G1843">
        <v>5</v>
      </c>
      <c r="H1843" s="2">
        <f>Tabelle13[[#This Row],[commits]]/Tabelle13[[#Totals],[commits]]</f>
        <v>2.3238952202123109E-5</v>
      </c>
      <c r="I1843" s="5">
        <f>Tabelle13[[#This Row],[%]]+I1842</f>
        <v>0.9487441670229928</v>
      </c>
      <c r="J1843" s="4">
        <f t="shared" si="89"/>
        <v>1.105583195135434E-4</v>
      </c>
      <c r="K1843" s="5">
        <f t="shared" si="90"/>
        <v>0.20353786622442599</v>
      </c>
    </row>
    <row r="1844" spans="1:11" x14ac:dyDescent="0.25">
      <c r="A1844" t="s">
        <v>2815</v>
      </c>
      <c r="C1844" t="s">
        <v>2816</v>
      </c>
      <c r="D1844" t="s">
        <v>5</v>
      </c>
      <c r="E1844" t="s">
        <v>6</v>
      </c>
      <c r="F1844" t="s">
        <v>724</v>
      </c>
      <c r="G1844">
        <v>5</v>
      </c>
      <c r="H1844" s="2">
        <f>Tabelle13[[#This Row],[commits]]/Tabelle13[[#Totals],[commits]]</f>
        <v>2.3238952202123109E-5</v>
      </c>
      <c r="I1844" s="5">
        <f>Tabelle13[[#This Row],[%]]+I1843</f>
        <v>0.94876740597519493</v>
      </c>
      <c r="J1844" s="4">
        <f t="shared" si="89"/>
        <v>1.105583195135434E-4</v>
      </c>
      <c r="K1844" s="5">
        <f t="shared" si="90"/>
        <v>0.20364842454393953</v>
      </c>
    </row>
    <row r="1845" spans="1:11" x14ac:dyDescent="0.25">
      <c r="A1845" t="s">
        <v>2819</v>
      </c>
      <c r="C1845" t="s">
        <v>2820</v>
      </c>
      <c r="D1845" t="s">
        <v>5</v>
      </c>
      <c r="E1845" t="s">
        <v>6</v>
      </c>
      <c r="F1845" t="s">
        <v>724</v>
      </c>
      <c r="G1845">
        <v>5</v>
      </c>
      <c r="H1845" s="2">
        <f>Tabelle13[[#This Row],[commits]]/Tabelle13[[#Totals],[commits]]</f>
        <v>2.3238952202123109E-5</v>
      </c>
      <c r="I1845" s="5">
        <f>Tabelle13[[#This Row],[%]]+I1844</f>
        <v>0.94879064492739706</v>
      </c>
      <c r="J1845" s="4">
        <f t="shared" si="89"/>
        <v>1.105583195135434E-4</v>
      </c>
      <c r="K1845" s="5">
        <f t="shared" si="90"/>
        <v>0.20375898286345306</v>
      </c>
    </row>
    <row r="1846" spans="1:11" x14ac:dyDescent="0.25">
      <c r="A1846" t="s">
        <v>2821</v>
      </c>
      <c r="C1846" t="s">
        <v>2822</v>
      </c>
      <c r="D1846" t="s">
        <v>5</v>
      </c>
      <c r="E1846" t="s">
        <v>6</v>
      </c>
      <c r="F1846" t="s">
        <v>724</v>
      </c>
      <c r="G1846">
        <v>5</v>
      </c>
      <c r="H1846" s="2">
        <f>Tabelle13[[#This Row],[commits]]/Tabelle13[[#Totals],[commits]]</f>
        <v>2.3238952202123109E-5</v>
      </c>
      <c r="I1846" s="5">
        <f>Tabelle13[[#This Row],[%]]+I1845</f>
        <v>0.9488138838795992</v>
      </c>
      <c r="J1846" s="4">
        <f t="shared" si="89"/>
        <v>1.105583195135434E-4</v>
      </c>
      <c r="K1846" s="5">
        <f t="shared" si="90"/>
        <v>0.2038695411829666</v>
      </c>
    </row>
    <row r="1847" spans="1:11" x14ac:dyDescent="0.25">
      <c r="A1847" t="s">
        <v>2823</v>
      </c>
      <c r="C1847" t="s">
        <v>2824</v>
      </c>
      <c r="D1847" t="s">
        <v>5</v>
      </c>
      <c r="E1847" t="s">
        <v>6</v>
      </c>
      <c r="F1847" t="s">
        <v>724</v>
      </c>
      <c r="G1847">
        <v>5</v>
      </c>
      <c r="H1847" s="2">
        <f>Tabelle13[[#This Row],[commits]]/Tabelle13[[#Totals],[commits]]</f>
        <v>2.3238952202123109E-5</v>
      </c>
      <c r="I1847" s="5">
        <f>Tabelle13[[#This Row],[%]]+I1846</f>
        <v>0.94883712283180133</v>
      </c>
      <c r="J1847" s="4">
        <f t="shared" si="89"/>
        <v>1.105583195135434E-4</v>
      </c>
      <c r="K1847" s="5">
        <f t="shared" si="90"/>
        <v>0.20398009950248014</v>
      </c>
    </row>
    <row r="1848" spans="1:11" x14ac:dyDescent="0.25">
      <c r="A1848" t="s">
        <v>2825</v>
      </c>
      <c r="C1848" t="s">
        <v>2826</v>
      </c>
      <c r="D1848" t="s">
        <v>5</v>
      </c>
      <c r="E1848" t="s">
        <v>6</v>
      </c>
      <c r="F1848" t="s">
        <v>724</v>
      </c>
      <c r="G1848">
        <v>5</v>
      </c>
      <c r="H1848" s="2">
        <f>Tabelle13[[#This Row],[commits]]/Tabelle13[[#Totals],[commits]]</f>
        <v>2.3238952202123109E-5</v>
      </c>
      <c r="I1848" s="5">
        <f>Tabelle13[[#This Row],[%]]+I1847</f>
        <v>0.94886036178400346</v>
      </c>
      <c r="J1848" s="4">
        <f t="shared" si="89"/>
        <v>1.105583195135434E-4</v>
      </c>
      <c r="K1848" s="5">
        <f t="shared" si="90"/>
        <v>0.20409065782199368</v>
      </c>
    </row>
    <row r="1849" spans="1:11" x14ac:dyDescent="0.25">
      <c r="A1849" t="s">
        <v>2827</v>
      </c>
      <c r="C1849" t="s">
        <v>2828</v>
      </c>
      <c r="D1849" t="s">
        <v>5</v>
      </c>
      <c r="E1849" t="s">
        <v>6</v>
      </c>
      <c r="F1849" t="s">
        <v>724</v>
      </c>
      <c r="G1849">
        <v>5</v>
      </c>
      <c r="H1849" s="2">
        <f>Tabelle13[[#This Row],[commits]]/Tabelle13[[#Totals],[commits]]</f>
        <v>2.3238952202123109E-5</v>
      </c>
      <c r="I1849" s="5">
        <f>Tabelle13[[#This Row],[%]]+I1848</f>
        <v>0.94888360073620559</v>
      </c>
      <c r="J1849" s="4">
        <f t="shared" si="89"/>
        <v>1.105583195135434E-4</v>
      </c>
      <c r="K1849" s="5">
        <f t="shared" si="90"/>
        <v>0.20420121614150721</v>
      </c>
    </row>
    <row r="1850" spans="1:11" x14ac:dyDescent="0.25">
      <c r="A1850" t="s">
        <v>2829</v>
      </c>
      <c r="C1850" t="s">
        <v>2830</v>
      </c>
      <c r="D1850" t="s">
        <v>5</v>
      </c>
      <c r="E1850" t="s">
        <v>6</v>
      </c>
      <c r="F1850" t="s">
        <v>724</v>
      </c>
      <c r="G1850">
        <v>5</v>
      </c>
      <c r="H1850" s="2">
        <f>Tabelle13[[#This Row],[commits]]/Tabelle13[[#Totals],[commits]]</f>
        <v>2.3238952202123109E-5</v>
      </c>
      <c r="I1850" s="5">
        <f>Tabelle13[[#This Row],[%]]+I1849</f>
        <v>0.94890683968840772</v>
      </c>
      <c r="J1850" s="4">
        <f t="shared" si="89"/>
        <v>1.105583195135434E-4</v>
      </c>
      <c r="K1850" s="5">
        <f t="shared" si="90"/>
        <v>0.20431177446102075</v>
      </c>
    </row>
    <row r="1851" spans="1:11" x14ac:dyDescent="0.25">
      <c r="A1851" t="s">
        <v>2831</v>
      </c>
      <c r="C1851" t="s">
        <v>2832</v>
      </c>
      <c r="D1851" t="s">
        <v>5</v>
      </c>
      <c r="E1851" t="s">
        <v>6</v>
      </c>
      <c r="F1851" t="s">
        <v>724</v>
      </c>
      <c r="G1851">
        <v>5</v>
      </c>
      <c r="H1851" s="2">
        <f>Tabelle13[[#This Row],[commits]]/Tabelle13[[#Totals],[commits]]</f>
        <v>2.3238952202123109E-5</v>
      </c>
      <c r="I1851" s="5">
        <f>Tabelle13[[#This Row],[%]]+I1850</f>
        <v>0.94893007864060985</v>
      </c>
      <c r="J1851" s="4">
        <f t="shared" si="89"/>
        <v>1.105583195135434E-4</v>
      </c>
      <c r="K1851" s="5">
        <f t="shared" si="90"/>
        <v>0.20442233278053429</v>
      </c>
    </row>
    <row r="1852" spans="1:11" x14ac:dyDescent="0.25">
      <c r="A1852" t="s">
        <v>2833</v>
      </c>
      <c r="C1852" t="s">
        <v>114</v>
      </c>
      <c r="D1852" t="s">
        <v>5</v>
      </c>
      <c r="E1852" t="s">
        <v>6</v>
      </c>
      <c r="F1852" t="s">
        <v>724</v>
      </c>
      <c r="G1852">
        <v>5</v>
      </c>
      <c r="H1852" s="2">
        <f>Tabelle13[[#This Row],[commits]]/Tabelle13[[#Totals],[commits]]</f>
        <v>2.3238952202123109E-5</v>
      </c>
      <c r="I1852" s="5">
        <f>Tabelle13[[#This Row],[%]]+I1851</f>
        <v>0.94895331759281198</v>
      </c>
      <c r="J1852" s="4">
        <f t="shared" si="89"/>
        <v>1.105583195135434E-4</v>
      </c>
      <c r="K1852" s="5">
        <f t="shared" si="90"/>
        <v>0.20453289110004783</v>
      </c>
    </row>
    <row r="1853" spans="1:11" x14ac:dyDescent="0.25">
      <c r="A1853" t="s">
        <v>2834</v>
      </c>
      <c r="C1853" t="s">
        <v>2835</v>
      </c>
      <c r="D1853" t="s">
        <v>5</v>
      </c>
      <c r="E1853" t="s">
        <v>6</v>
      </c>
      <c r="F1853" t="s">
        <v>724</v>
      </c>
      <c r="G1853">
        <v>5</v>
      </c>
      <c r="H1853" s="2">
        <f>Tabelle13[[#This Row],[commits]]/Tabelle13[[#Totals],[commits]]</f>
        <v>2.3238952202123109E-5</v>
      </c>
      <c r="I1853" s="5">
        <f>Tabelle13[[#This Row],[%]]+I1852</f>
        <v>0.94897655654501412</v>
      </c>
      <c r="J1853" s="4">
        <f t="shared" si="89"/>
        <v>1.105583195135434E-4</v>
      </c>
      <c r="K1853" s="5">
        <f t="shared" si="90"/>
        <v>0.20464344941956136</v>
      </c>
    </row>
    <row r="1854" spans="1:11" x14ac:dyDescent="0.25">
      <c r="A1854" t="s">
        <v>2836</v>
      </c>
      <c r="C1854" t="s">
        <v>2837</v>
      </c>
      <c r="D1854" t="s">
        <v>5</v>
      </c>
      <c r="E1854" t="s">
        <v>6</v>
      </c>
      <c r="F1854" t="s">
        <v>724</v>
      </c>
      <c r="G1854">
        <v>5</v>
      </c>
      <c r="H1854" s="2">
        <f>Tabelle13[[#This Row],[commits]]/Tabelle13[[#Totals],[commits]]</f>
        <v>2.3238952202123109E-5</v>
      </c>
      <c r="I1854" s="5">
        <f>Tabelle13[[#This Row],[%]]+I1853</f>
        <v>0.94899979549721625</v>
      </c>
      <c r="J1854" s="4">
        <f t="shared" si="89"/>
        <v>1.105583195135434E-4</v>
      </c>
      <c r="K1854" s="5">
        <f t="shared" si="90"/>
        <v>0.2047540077390749</v>
      </c>
    </row>
    <row r="1855" spans="1:11" x14ac:dyDescent="0.25">
      <c r="A1855" t="s">
        <v>2838</v>
      </c>
      <c r="C1855" t="s">
        <v>2839</v>
      </c>
      <c r="D1855" t="s">
        <v>5</v>
      </c>
      <c r="E1855" t="s">
        <v>6</v>
      </c>
      <c r="F1855" t="s">
        <v>724</v>
      </c>
      <c r="G1855">
        <v>5</v>
      </c>
      <c r="H1855" s="2">
        <f>Tabelle13[[#This Row],[commits]]/Tabelle13[[#Totals],[commits]]</f>
        <v>2.3238952202123109E-5</v>
      </c>
      <c r="I1855" s="5">
        <f>Tabelle13[[#This Row],[%]]+I1854</f>
        <v>0.94902303444941838</v>
      </c>
      <c r="J1855" s="4">
        <f t="shared" si="89"/>
        <v>1.105583195135434E-4</v>
      </c>
      <c r="K1855" s="5">
        <f t="shared" si="90"/>
        <v>0.20486456605858844</v>
      </c>
    </row>
    <row r="1856" spans="1:11" x14ac:dyDescent="0.25">
      <c r="A1856" t="s">
        <v>2840</v>
      </c>
      <c r="C1856" t="s">
        <v>2841</v>
      </c>
      <c r="D1856" t="s">
        <v>5</v>
      </c>
      <c r="E1856" t="s">
        <v>6</v>
      </c>
      <c r="F1856" t="s">
        <v>724</v>
      </c>
      <c r="G1856">
        <v>5</v>
      </c>
      <c r="H1856" s="2">
        <f>Tabelle13[[#This Row],[commits]]/Tabelle13[[#Totals],[commits]]</f>
        <v>2.3238952202123109E-5</v>
      </c>
      <c r="I1856" s="5">
        <f>Tabelle13[[#This Row],[%]]+I1855</f>
        <v>0.94904627340162051</v>
      </c>
      <c r="J1856" s="4">
        <f t="shared" si="89"/>
        <v>1.105583195135434E-4</v>
      </c>
      <c r="K1856" s="5">
        <f t="shared" si="90"/>
        <v>0.20497512437810197</v>
      </c>
    </row>
    <row r="1857" spans="1:11" x14ac:dyDescent="0.25">
      <c r="A1857" t="s">
        <v>2842</v>
      </c>
      <c r="C1857" t="s">
        <v>2843</v>
      </c>
      <c r="D1857" t="s">
        <v>5</v>
      </c>
      <c r="E1857" t="s">
        <v>6</v>
      </c>
      <c r="F1857" t="s">
        <v>724</v>
      </c>
      <c r="G1857">
        <v>5</v>
      </c>
      <c r="H1857" s="2">
        <f>Tabelle13[[#This Row],[commits]]/Tabelle13[[#Totals],[commits]]</f>
        <v>2.3238952202123109E-5</v>
      </c>
      <c r="I1857" s="5">
        <f>Tabelle13[[#This Row],[%]]+I1856</f>
        <v>0.94906951235382264</v>
      </c>
      <c r="J1857" s="4">
        <f t="shared" si="89"/>
        <v>1.105583195135434E-4</v>
      </c>
      <c r="K1857" s="5">
        <f t="shared" si="90"/>
        <v>0.20508568269761551</v>
      </c>
    </row>
    <row r="1858" spans="1:11" x14ac:dyDescent="0.25">
      <c r="A1858" t="s">
        <v>2844</v>
      </c>
      <c r="C1858" t="s">
        <v>2845</v>
      </c>
      <c r="D1858" t="s">
        <v>5</v>
      </c>
      <c r="E1858" t="s">
        <v>6</v>
      </c>
      <c r="F1858" t="s">
        <v>724</v>
      </c>
      <c r="G1858">
        <v>5</v>
      </c>
      <c r="H1858" s="2">
        <f>Tabelle13[[#This Row],[commits]]/Tabelle13[[#Totals],[commits]]</f>
        <v>2.3238952202123109E-5</v>
      </c>
      <c r="I1858" s="5">
        <f>Tabelle13[[#This Row],[%]]+I1857</f>
        <v>0.94909275130602477</v>
      </c>
      <c r="J1858" s="4">
        <f t="shared" si="89"/>
        <v>1.105583195135434E-4</v>
      </c>
      <c r="K1858" s="5">
        <f t="shared" si="90"/>
        <v>0.20519624101712905</v>
      </c>
    </row>
    <row r="1859" spans="1:11" x14ac:dyDescent="0.25">
      <c r="A1859" t="s">
        <v>2846</v>
      </c>
      <c r="C1859" t="s">
        <v>2847</v>
      </c>
      <c r="D1859" t="s">
        <v>5</v>
      </c>
      <c r="E1859" t="s">
        <v>6</v>
      </c>
      <c r="F1859" t="s">
        <v>724</v>
      </c>
      <c r="G1859">
        <v>5</v>
      </c>
      <c r="H1859" s="2">
        <f>Tabelle13[[#This Row],[commits]]/Tabelle13[[#Totals],[commits]]</f>
        <v>2.3238952202123109E-5</v>
      </c>
      <c r="I1859" s="5">
        <f>Tabelle13[[#This Row],[%]]+I1858</f>
        <v>0.9491159902582269</v>
      </c>
      <c r="J1859" s="4">
        <f t="shared" ref="J1859:J1922" si="91">1/9045</f>
        <v>1.105583195135434E-4</v>
      </c>
      <c r="K1859" s="5">
        <f t="shared" si="90"/>
        <v>0.20530679933664259</v>
      </c>
    </row>
    <row r="1860" spans="1:11" x14ac:dyDescent="0.25">
      <c r="A1860" t="s">
        <v>2848</v>
      </c>
      <c r="C1860" t="s">
        <v>2849</v>
      </c>
      <c r="D1860" t="s">
        <v>5</v>
      </c>
      <c r="E1860" t="s">
        <v>6</v>
      </c>
      <c r="F1860" t="s">
        <v>724</v>
      </c>
      <c r="G1860">
        <v>5</v>
      </c>
      <c r="H1860" s="2">
        <f>Tabelle13[[#This Row],[commits]]/Tabelle13[[#Totals],[commits]]</f>
        <v>2.3238952202123109E-5</v>
      </c>
      <c r="I1860" s="5">
        <f>Tabelle13[[#This Row],[%]]+I1859</f>
        <v>0.94913922921042904</v>
      </c>
      <c r="J1860" s="4">
        <f t="shared" si="91"/>
        <v>1.105583195135434E-4</v>
      </c>
      <c r="K1860" s="5">
        <f t="shared" si="90"/>
        <v>0.20541735765615612</v>
      </c>
    </row>
    <row r="1861" spans="1:11" x14ac:dyDescent="0.25">
      <c r="A1861" t="s">
        <v>2850</v>
      </c>
      <c r="C1861" t="s">
        <v>2524</v>
      </c>
      <c r="D1861" t="s">
        <v>309</v>
      </c>
      <c r="E1861" t="s">
        <v>6</v>
      </c>
      <c r="F1861" t="s">
        <v>724</v>
      </c>
      <c r="G1861">
        <v>5</v>
      </c>
      <c r="H1861" s="2">
        <f>Tabelle13[[#This Row],[commits]]/Tabelle13[[#Totals],[commits]]</f>
        <v>2.3238952202123109E-5</v>
      </c>
      <c r="I1861" s="5">
        <f>Tabelle13[[#This Row],[%]]+I1860</f>
        <v>0.94916246816263117</v>
      </c>
      <c r="J1861" s="4">
        <f t="shared" si="91"/>
        <v>1.105583195135434E-4</v>
      </c>
      <c r="K1861" s="5">
        <f t="shared" si="90"/>
        <v>0.20552791597566966</v>
      </c>
    </row>
    <row r="1862" spans="1:11" x14ac:dyDescent="0.25">
      <c r="A1862" t="s">
        <v>2851</v>
      </c>
      <c r="C1862" t="s">
        <v>2852</v>
      </c>
      <c r="D1862" t="s">
        <v>5</v>
      </c>
      <c r="E1862" t="s">
        <v>6</v>
      </c>
      <c r="F1862" t="s">
        <v>724</v>
      </c>
      <c r="G1862">
        <v>5</v>
      </c>
      <c r="H1862" s="2">
        <f>Tabelle13[[#This Row],[commits]]/Tabelle13[[#Totals],[commits]]</f>
        <v>2.3238952202123109E-5</v>
      </c>
      <c r="I1862" s="5">
        <f>Tabelle13[[#This Row],[%]]+I1861</f>
        <v>0.9491857071148333</v>
      </c>
      <c r="J1862" s="4">
        <f t="shared" si="91"/>
        <v>1.105583195135434E-4</v>
      </c>
      <c r="K1862" s="5">
        <f t="shared" ref="K1862:K1925" si="92">J1862+K1861</f>
        <v>0.2056384742951832</v>
      </c>
    </row>
    <row r="1863" spans="1:11" x14ac:dyDescent="0.25">
      <c r="A1863" t="s">
        <v>2853</v>
      </c>
      <c r="C1863" t="s">
        <v>2854</v>
      </c>
      <c r="D1863" t="s">
        <v>5</v>
      </c>
      <c r="E1863" t="s">
        <v>6</v>
      </c>
      <c r="F1863" t="s">
        <v>724</v>
      </c>
      <c r="G1863">
        <v>5</v>
      </c>
      <c r="H1863" s="2">
        <f>Tabelle13[[#This Row],[commits]]/Tabelle13[[#Totals],[commits]]</f>
        <v>2.3238952202123109E-5</v>
      </c>
      <c r="I1863" s="5">
        <f>Tabelle13[[#This Row],[%]]+I1862</f>
        <v>0.94920894606703543</v>
      </c>
      <c r="J1863" s="4">
        <f t="shared" si="91"/>
        <v>1.105583195135434E-4</v>
      </c>
      <c r="K1863" s="5">
        <f t="shared" si="92"/>
        <v>0.20574903261469674</v>
      </c>
    </row>
    <row r="1864" spans="1:11" x14ac:dyDescent="0.25">
      <c r="A1864" t="s">
        <v>2855</v>
      </c>
      <c r="C1864" t="s">
        <v>2856</v>
      </c>
      <c r="D1864" t="s">
        <v>309</v>
      </c>
      <c r="E1864" t="s">
        <v>6</v>
      </c>
      <c r="F1864" t="s">
        <v>724</v>
      </c>
      <c r="G1864">
        <v>5</v>
      </c>
      <c r="H1864" s="2">
        <f>Tabelle13[[#This Row],[commits]]/Tabelle13[[#Totals],[commits]]</f>
        <v>2.3238952202123109E-5</v>
      </c>
      <c r="I1864" s="5">
        <f>Tabelle13[[#This Row],[%]]+I1863</f>
        <v>0.94923218501923756</v>
      </c>
      <c r="J1864" s="4">
        <f t="shared" si="91"/>
        <v>1.105583195135434E-4</v>
      </c>
      <c r="K1864" s="5">
        <f t="shared" si="92"/>
        <v>0.20585959093421027</v>
      </c>
    </row>
    <row r="1865" spans="1:11" x14ac:dyDescent="0.25">
      <c r="A1865" t="s">
        <v>2857</v>
      </c>
      <c r="C1865" t="s">
        <v>2858</v>
      </c>
      <c r="D1865" t="s">
        <v>5</v>
      </c>
      <c r="E1865" t="s">
        <v>6</v>
      </c>
      <c r="F1865" t="s">
        <v>724</v>
      </c>
      <c r="G1865">
        <v>5</v>
      </c>
      <c r="H1865" s="2">
        <f>Tabelle13[[#This Row],[commits]]/Tabelle13[[#Totals],[commits]]</f>
        <v>2.3238952202123109E-5</v>
      </c>
      <c r="I1865" s="5">
        <f>Tabelle13[[#This Row],[%]]+I1864</f>
        <v>0.94925542397143969</v>
      </c>
      <c r="J1865" s="4">
        <f t="shared" si="91"/>
        <v>1.105583195135434E-4</v>
      </c>
      <c r="K1865" s="5">
        <f t="shared" si="92"/>
        <v>0.20597014925372381</v>
      </c>
    </row>
    <row r="1866" spans="1:11" x14ac:dyDescent="0.25">
      <c r="A1866" t="s">
        <v>2859</v>
      </c>
      <c r="C1866" t="s">
        <v>532</v>
      </c>
      <c r="D1866" t="s">
        <v>5</v>
      </c>
      <c r="E1866" t="s">
        <v>6</v>
      </c>
      <c r="F1866" t="s">
        <v>724</v>
      </c>
      <c r="G1866">
        <v>5</v>
      </c>
      <c r="H1866" s="2">
        <f>Tabelle13[[#This Row],[commits]]/Tabelle13[[#Totals],[commits]]</f>
        <v>2.3238952202123109E-5</v>
      </c>
      <c r="I1866" s="5">
        <f>Tabelle13[[#This Row],[%]]+I1865</f>
        <v>0.94927866292364182</v>
      </c>
      <c r="J1866" s="4">
        <f t="shared" si="91"/>
        <v>1.105583195135434E-4</v>
      </c>
      <c r="K1866" s="5">
        <f t="shared" si="92"/>
        <v>0.20608070757323735</v>
      </c>
    </row>
    <row r="1867" spans="1:11" x14ac:dyDescent="0.25">
      <c r="A1867" t="s">
        <v>2860</v>
      </c>
      <c r="C1867" t="s">
        <v>2861</v>
      </c>
      <c r="D1867" t="s">
        <v>5</v>
      </c>
      <c r="E1867" t="s">
        <v>6</v>
      </c>
      <c r="F1867" t="s">
        <v>724</v>
      </c>
      <c r="G1867">
        <v>5</v>
      </c>
      <c r="H1867" s="2">
        <f>Tabelle13[[#This Row],[commits]]/Tabelle13[[#Totals],[commits]]</f>
        <v>2.3238952202123109E-5</v>
      </c>
      <c r="I1867" s="5">
        <f>Tabelle13[[#This Row],[%]]+I1866</f>
        <v>0.94930190187584396</v>
      </c>
      <c r="J1867" s="4">
        <f t="shared" si="91"/>
        <v>1.105583195135434E-4</v>
      </c>
      <c r="K1867" s="5">
        <f t="shared" si="92"/>
        <v>0.20619126589275089</v>
      </c>
    </row>
    <row r="1868" spans="1:11" x14ac:dyDescent="0.25">
      <c r="A1868" t="s">
        <v>2862</v>
      </c>
      <c r="C1868" t="s">
        <v>2863</v>
      </c>
      <c r="D1868" t="s">
        <v>5</v>
      </c>
      <c r="E1868" t="s">
        <v>6</v>
      </c>
      <c r="F1868" t="s">
        <v>724</v>
      </c>
      <c r="G1868">
        <v>5</v>
      </c>
      <c r="H1868" s="2">
        <f>Tabelle13[[#This Row],[commits]]/Tabelle13[[#Totals],[commits]]</f>
        <v>2.3238952202123109E-5</v>
      </c>
      <c r="I1868" s="5">
        <f>Tabelle13[[#This Row],[%]]+I1867</f>
        <v>0.94932514082804609</v>
      </c>
      <c r="J1868" s="4">
        <f t="shared" si="91"/>
        <v>1.105583195135434E-4</v>
      </c>
      <c r="K1868" s="5">
        <f t="shared" si="92"/>
        <v>0.20630182421226442</v>
      </c>
    </row>
    <row r="1869" spans="1:11" x14ac:dyDescent="0.25">
      <c r="A1869" t="s">
        <v>5434</v>
      </c>
      <c r="C1869" t="s">
        <v>5435</v>
      </c>
      <c r="D1869" t="s">
        <v>5</v>
      </c>
      <c r="E1869" t="s">
        <v>6</v>
      </c>
      <c r="F1869" t="s">
        <v>28</v>
      </c>
      <c r="G1869">
        <v>5</v>
      </c>
      <c r="H1869" s="2">
        <f>Tabelle13[[#This Row],[commits]]/Tabelle13[[#Totals],[commits]]</f>
        <v>2.3238952202123109E-5</v>
      </c>
      <c r="I1869" s="5">
        <f>Tabelle13[[#This Row],[%]]+I1868</f>
        <v>0.94934837978024822</v>
      </c>
      <c r="J1869" s="4">
        <f t="shared" si="91"/>
        <v>1.105583195135434E-4</v>
      </c>
      <c r="K1869" s="5">
        <f t="shared" si="92"/>
        <v>0.20641238253177796</v>
      </c>
    </row>
    <row r="1870" spans="1:11" x14ac:dyDescent="0.25">
      <c r="A1870" t="s">
        <v>5436</v>
      </c>
      <c r="C1870" t="s">
        <v>5437</v>
      </c>
      <c r="D1870" t="s">
        <v>5</v>
      </c>
      <c r="E1870" t="s">
        <v>6</v>
      </c>
      <c r="F1870" t="s">
        <v>28</v>
      </c>
      <c r="G1870">
        <v>5</v>
      </c>
      <c r="H1870" s="2">
        <f>Tabelle13[[#This Row],[commits]]/Tabelle13[[#Totals],[commits]]</f>
        <v>2.3238952202123109E-5</v>
      </c>
      <c r="I1870" s="5">
        <f>Tabelle13[[#This Row],[%]]+I1869</f>
        <v>0.94937161873245035</v>
      </c>
      <c r="J1870" s="4">
        <f t="shared" si="91"/>
        <v>1.105583195135434E-4</v>
      </c>
      <c r="K1870" s="5">
        <f t="shared" si="92"/>
        <v>0.2065229408512915</v>
      </c>
    </row>
    <row r="1871" spans="1:11" x14ac:dyDescent="0.25">
      <c r="A1871" t="s">
        <v>5438</v>
      </c>
      <c r="C1871" t="s">
        <v>5439</v>
      </c>
      <c r="D1871" t="s">
        <v>5</v>
      </c>
      <c r="E1871" t="s">
        <v>6</v>
      </c>
      <c r="F1871" t="s">
        <v>28</v>
      </c>
      <c r="G1871">
        <v>5</v>
      </c>
      <c r="H1871" s="2">
        <f>Tabelle13[[#This Row],[commits]]/Tabelle13[[#Totals],[commits]]</f>
        <v>2.3238952202123109E-5</v>
      </c>
      <c r="I1871" s="5">
        <f>Tabelle13[[#This Row],[%]]+I1870</f>
        <v>0.94939485768465248</v>
      </c>
      <c r="J1871" s="4">
        <f t="shared" si="91"/>
        <v>1.105583195135434E-4</v>
      </c>
      <c r="K1871" s="5">
        <f t="shared" si="92"/>
        <v>0.20663349917080504</v>
      </c>
    </row>
    <row r="1872" spans="1:11" x14ac:dyDescent="0.25">
      <c r="A1872" t="s">
        <v>5440</v>
      </c>
      <c r="C1872" t="s">
        <v>5441</v>
      </c>
      <c r="D1872" t="s">
        <v>5175</v>
      </c>
      <c r="E1872" t="s">
        <v>6</v>
      </c>
      <c r="F1872" t="s">
        <v>28</v>
      </c>
      <c r="G1872">
        <v>5</v>
      </c>
      <c r="H1872" s="2">
        <f>Tabelle13[[#This Row],[commits]]/Tabelle13[[#Totals],[commits]]</f>
        <v>2.3238952202123109E-5</v>
      </c>
      <c r="I1872" s="5">
        <f>Tabelle13[[#This Row],[%]]+I1871</f>
        <v>0.94941809663685461</v>
      </c>
      <c r="J1872" s="4">
        <f t="shared" si="91"/>
        <v>1.105583195135434E-4</v>
      </c>
      <c r="K1872" s="5">
        <f t="shared" si="92"/>
        <v>0.20674405749031857</v>
      </c>
    </row>
    <row r="1873" spans="1:11" x14ac:dyDescent="0.25">
      <c r="A1873" t="s">
        <v>5442</v>
      </c>
      <c r="C1873" t="s">
        <v>5443</v>
      </c>
      <c r="D1873" t="s">
        <v>5</v>
      </c>
      <c r="E1873" t="s">
        <v>6</v>
      </c>
      <c r="F1873" t="s">
        <v>28</v>
      </c>
      <c r="G1873">
        <v>5</v>
      </c>
      <c r="H1873" s="2">
        <f>Tabelle13[[#This Row],[commits]]/Tabelle13[[#Totals],[commits]]</f>
        <v>2.3238952202123109E-5</v>
      </c>
      <c r="I1873" s="5">
        <f>Tabelle13[[#This Row],[%]]+I1872</f>
        <v>0.94944133558905675</v>
      </c>
      <c r="J1873" s="4">
        <f t="shared" si="91"/>
        <v>1.105583195135434E-4</v>
      </c>
      <c r="K1873" s="5">
        <f t="shared" si="92"/>
        <v>0.20685461580983211</v>
      </c>
    </row>
    <row r="1874" spans="1:11" x14ac:dyDescent="0.25">
      <c r="A1874" t="s">
        <v>5444</v>
      </c>
      <c r="C1874" t="s">
        <v>5445</v>
      </c>
      <c r="D1874" t="s">
        <v>5</v>
      </c>
      <c r="E1874" t="s">
        <v>6</v>
      </c>
      <c r="F1874" t="s">
        <v>28</v>
      </c>
      <c r="G1874">
        <v>5</v>
      </c>
      <c r="H1874" s="2">
        <f>Tabelle13[[#This Row],[commits]]/Tabelle13[[#Totals],[commits]]</f>
        <v>2.3238952202123109E-5</v>
      </c>
      <c r="I1874" s="5">
        <f>Tabelle13[[#This Row],[%]]+I1873</f>
        <v>0.94946457454125888</v>
      </c>
      <c r="J1874" s="4">
        <f t="shared" si="91"/>
        <v>1.105583195135434E-4</v>
      </c>
      <c r="K1874" s="5">
        <f t="shared" si="92"/>
        <v>0.20696517412934565</v>
      </c>
    </row>
    <row r="1875" spans="1:11" x14ac:dyDescent="0.25">
      <c r="A1875" t="s">
        <v>5446</v>
      </c>
      <c r="C1875" t="s">
        <v>5447</v>
      </c>
      <c r="D1875" t="s">
        <v>5</v>
      </c>
      <c r="E1875" t="s">
        <v>6</v>
      </c>
      <c r="F1875" t="s">
        <v>28</v>
      </c>
      <c r="G1875">
        <v>5</v>
      </c>
      <c r="H1875" s="2">
        <f>Tabelle13[[#This Row],[commits]]/Tabelle13[[#Totals],[commits]]</f>
        <v>2.3238952202123109E-5</v>
      </c>
      <c r="I1875" s="5">
        <f>Tabelle13[[#This Row],[%]]+I1874</f>
        <v>0.94948781349346101</v>
      </c>
      <c r="J1875" s="4">
        <f t="shared" si="91"/>
        <v>1.105583195135434E-4</v>
      </c>
      <c r="K1875" s="5">
        <f t="shared" si="92"/>
        <v>0.20707573244885918</v>
      </c>
    </row>
    <row r="1876" spans="1:11" x14ac:dyDescent="0.25">
      <c r="A1876" t="s">
        <v>5448</v>
      </c>
      <c r="C1876" t="s">
        <v>5449</v>
      </c>
      <c r="D1876" t="s">
        <v>5175</v>
      </c>
      <c r="E1876" t="s">
        <v>6</v>
      </c>
      <c r="F1876" t="s">
        <v>28</v>
      </c>
      <c r="G1876">
        <v>5</v>
      </c>
      <c r="H1876" s="2">
        <f>Tabelle13[[#This Row],[commits]]/Tabelle13[[#Totals],[commits]]</f>
        <v>2.3238952202123109E-5</v>
      </c>
      <c r="I1876" s="5">
        <f>Tabelle13[[#This Row],[%]]+I1875</f>
        <v>0.94951105244566314</v>
      </c>
      <c r="J1876" s="4">
        <f t="shared" si="91"/>
        <v>1.105583195135434E-4</v>
      </c>
      <c r="K1876" s="5">
        <f t="shared" si="92"/>
        <v>0.20718629076837272</v>
      </c>
    </row>
    <row r="1877" spans="1:11" x14ac:dyDescent="0.25">
      <c r="A1877" t="s">
        <v>5450</v>
      </c>
      <c r="C1877" t="s">
        <v>5451</v>
      </c>
      <c r="D1877" t="s">
        <v>5</v>
      </c>
      <c r="E1877" t="s">
        <v>6</v>
      </c>
      <c r="F1877" t="s">
        <v>28</v>
      </c>
      <c r="G1877">
        <v>5</v>
      </c>
      <c r="H1877" s="2">
        <f>Tabelle13[[#This Row],[commits]]/Tabelle13[[#Totals],[commits]]</f>
        <v>2.3238952202123109E-5</v>
      </c>
      <c r="I1877" s="5">
        <f>Tabelle13[[#This Row],[%]]+I1876</f>
        <v>0.94953429139786527</v>
      </c>
      <c r="J1877" s="4">
        <f t="shared" si="91"/>
        <v>1.105583195135434E-4</v>
      </c>
      <c r="K1877" s="5">
        <f t="shared" si="92"/>
        <v>0.20729684908788626</v>
      </c>
    </row>
    <row r="1878" spans="1:11" x14ac:dyDescent="0.25">
      <c r="A1878" t="s">
        <v>5452</v>
      </c>
      <c r="C1878" t="s">
        <v>5453</v>
      </c>
      <c r="D1878" t="s">
        <v>5454</v>
      </c>
      <c r="E1878" t="s">
        <v>6</v>
      </c>
      <c r="F1878" t="s">
        <v>28</v>
      </c>
      <c r="G1878">
        <v>5</v>
      </c>
      <c r="H1878" s="2">
        <f>Tabelle13[[#This Row],[commits]]/Tabelle13[[#Totals],[commits]]</f>
        <v>2.3238952202123109E-5</v>
      </c>
      <c r="I1878" s="5">
        <f>Tabelle13[[#This Row],[%]]+I1877</f>
        <v>0.9495575303500674</v>
      </c>
      <c r="J1878" s="4">
        <f t="shared" si="91"/>
        <v>1.105583195135434E-4</v>
      </c>
      <c r="K1878" s="5">
        <f t="shared" si="92"/>
        <v>0.2074074074073998</v>
      </c>
    </row>
    <row r="1879" spans="1:11" x14ac:dyDescent="0.25">
      <c r="A1879" t="s">
        <v>5455</v>
      </c>
      <c r="C1879" t="s">
        <v>5456</v>
      </c>
      <c r="D1879" t="s">
        <v>5</v>
      </c>
      <c r="E1879" t="s">
        <v>6</v>
      </c>
      <c r="F1879" t="s">
        <v>28</v>
      </c>
      <c r="G1879">
        <v>5</v>
      </c>
      <c r="H1879" s="2">
        <f>Tabelle13[[#This Row],[commits]]/Tabelle13[[#Totals],[commits]]</f>
        <v>2.3238952202123109E-5</v>
      </c>
      <c r="I1879" s="5">
        <f>Tabelle13[[#This Row],[%]]+I1878</f>
        <v>0.94958076930226953</v>
      </c>
      <c r="J1879" s="4">
        <f t="shared" si="91"/>
        <v>1.105583195135434E-4</v>
      </c>
      <c r="K1879" s="5">
        <f t="shared" si="92"/>
        <v>0.20751796572691333</v>
      </c>
    </row>
    <row r="1880" spans="1:11" x14ac:dyDescent="0.25">
      <c r="A1880" t="s">
        <v>5457</v>
      </c>
      <c r="C1880" t="s">
        <v>5458</v>
      </c>
      <c r="D1880" t="s">
        <v>5175</v>
      </c>
      <c r="E1880" t="s">
        <v>6</v>
      </c>
      <c r="F1880" t="s">
        <v>28</v>
      </c>
      <c r="G1880">
        <v>5</v>
      </c>
      <c r="H1880" s="2">
        <f>Tabelle13[[#This Row],[commits]]/Tabelle13[[#Totals],[commits]]</f>
        <v>2.3238952202123109E-5</v>
      </c>
      <c r="I1880" s="5">
        <f>Tabelle13[[#This Row],[%]]+I1879</f>
        <v>0.94960400825447167</v>
      </c>
      <c r="J1880" s="4">
        <f t="shared" si="91"/>
        <v>1.105583195135434E-4</v>
      </c>
      <c r="K1880" s="5">
        <f t="shared" si="92"/>
        <v>0.20762852404642687</v>
      </c>
    </row>
    <row r="1881" spans="1:11" x14ac:dyDescent="0.25">
      <c r="A1881" t="s">
        <v>5459</v>
      </c>
      <c r="C1881" t="s">
        <v>5460</v>
      </c>
      <c r="D1881" t="s">
        <v>5</v>
      </c>
      <c r="E1881" t="s">
        <v>6</v>
      </c>
      <c r="F1881" t="s">
        <v>28</v>
      </c>
      <c r="G1881">
        <v>5</v>
      </c>
      <c r="H1881" s="2">
        <f>Tabelle13[[#This Row],[commits]]/Tabelle13[[#Totals],[commits]]</f>
        <v>2.3238952202123109E-5</v>
      </c>
      <c r="I1881" s="5">
        <f>Tabelle13[[#This Row],[%]]+I1880</f>
        <v>0.9496272472066738</v>
      </c>
      <c r="J1881" s="4">
        <f t="shared" si="91"/>
        <v>1.105583195135434E-4</v>
      </c>
      <c r="K1881" s="5">
        <f t="shared" si="92"/>
        <v>0.20773908236594041</v>
      </c>
    </row>
    <row r="1882" spans="1:11" x14ac:dyDescent="0.25">
      <c r="A1882" t="s">
        <v>5461</v>
      </c>
      <c r="C1882" t="s">
        <v>5462</v>
      </c>
      <c r="D1882" t="s">
        <v>5</v>
      </c>
      <c r="E1882" t="s">
        <v>6</v>
      </c>
      <c r="F1882" t="s">
        <v>28</v>
      </c>
      <c r="G1882">
        <v>5</v>
      </c>
      <c r="H1882" s="2">
        <f>Tabelle13[[#This Row],[commits]]/Tabelle13[[#Totals],[commits]]</f>
        <v>2.3238952202123109E-5</v>
      </c>
      <c r="I1882" s="5">
        <f>Tabelle13[[#This Row],[%]]+I1881</f>
        <v>0.94965048615887593</v>
      </c>
      <c r="J1882" s="4">
        <f t="shared" si="91"/>
        <v>1.105583195135434E-4</v>
      </c>
      <c r="K1882" s="5">
        <f t="shared" si="92"/>
        <v>0.20784964068545395</v>
      </c>
    </row>
    <row r="1883" spans="1:11" x14ac:dyDescent="0.25">
      <c r="A1883" t="s">
        <v>5463</v>
      </c>
      <c r="C1883" t="s">
        <v>5464</v>
      </c>
      <c r="D1883" t="s">
        <v>5</v>
      </c>
      <c r="E1883" t="s">
        <v>6</v>
      </c>
      <c r="F1883" t="s">
        <v>28</v>
      </c>
      <c r="G1883">
        <v>5</v>
      </c>
      <c r="H1883" s="2">
        <f>Tabelle13[[#This Row],[commits]]/Tabelle13[[#Totals],[commits]]</f>
        <v>2.3238952202123109E-5</v>
      </c>
      <c r="I1883" s="5">
        <f>Tabelle13[[#This Row],[%]]+I1882</f>
        <v>0.94967372511107806</v>
      </c>
      <c r="J1883" s="4">
        <f t="shared" si="91"/>
        <v>1.105583195135434E-4</v>
      </c>
      <c r="K1883" s="5">
        <f t="shared" si="92"/>
        <v>0.20796019900496748</v>
      </c>
    </row>
    <row r="1884" spans="1:11" x14ac:dyDescent="0.25">
      <c r="A1884" t="s">
        <v>5465</v>
      </c>
      <c r="C1884" t="s">
        <v>5466</v>
      </c>
      <c r="D1884" t="s">
        <v>5</v>
      </c>
      <c r="E1884" t="s">
        <v>6</v>
      </c>
      <c r="F1884" t="s">
        <v>28</v>
      </c>
      <c r="G1884">
        <v>5</v>
      </c>
      <c r="H1884" s="2">
        <f>Tabelle13[[#This Row],[commits]]/Tabelle13[[#Totals],[commits]]</f>
        <v>2.3238952202123109E-5</v>
      </c>
      <c r="I1884" s="5">
        <f>Tabelle13[[#This Row],[%]]+I1883</f>
        <v>0.94969696406328019</v>
      </c>
      <c r="J1884" s="4">
        <f t="shared" si="91"/>
        <v>1.105583195135434E-4</v>
      </c>
      <c r="K1884" s="5">
        <f t="shared" si="92"/>
        <v>0.20807075732448102</v>
      </c>
    </row>
    <row r="1885" spans="1:11" x14ac:dyDescent="0.25">
      <c r="A1885" t="s">
        <v>5467</v>
      </c>
      <c r="C1885" t="s">
        <v>5468</v>
      </c>
      <c r="D1885" t="s">
        <v>5</v>
      </c>
      <c r="E1885" t="s">
        <v>6</v>
      </c>
      <c r="F1885" t="s">
        <v>28</v>
      </c>
      <c r="G1885">
        <v>5</v>
      </c>
      <c r="H1885" s="2">
        <f>Tabelle13[[#This Row],[commits]]/Tabelle13[[#Totals],[commits]]</f>
        <v>2.3238952202123109E-5</v>
      </c>
      <c r="I1885" s="5">
        <f>Tabelle13[[#This Row],[%]]+I1884</f>
        <v>0.94972020301548232</v>
      </c>
      <c r="J1885" s="4">
        <f t="shared" si="91"/>
        <v>1.105583195135434E-4</v>
      </c>
      <c r="K1885" s="5">
        <f t="shared" si="92"/>
        <v>0.20818131564399456</v>
      </c>
    </row>
    <row r="1886" spans="1:11" x14ac:dyDescent="0.25">
      <c r="A1886" t="s">
        <v>5469</v>
      </c>
      <c r="C1886" t="s">
        <v>5470</v>
      </c>
      <c r="D1886" t="s">
        <v>5</v>
      </c>
      <c r="E1886" t="s">
        <v>6</v>
      </c>
      <c r="F1886" t="s">
        <v>28</v>
      </c>
      <c r="G1886">
        <v>5</v>
      </c>
      <c r="H1886" s="2">
        <f>Tabelle13[[#This Row],[commits]]/Tabelle13[[#Totals],[commits]]</f>
        <v>2.3238952202123109E-5</v>
      </c>
      <c r="I1886" s="5">
        <f>Tabelle13[[#This Row],[%]]+I1885</f>
        <v>0.94974344196768445</v>
      </c>
      <c r="J1886" s="4">
        <f t="shared" si="91"/>
        <v>1.105583195135434E-4</v>
      </c>
      <c r="K1886" s="5">
        <f t="shared" si="92"/>
        <v>0.2082918739635081</v>
      </c>
    </row>
    <row r="1887" spans="1:11" x14ac:dyDescent="0.25">
      <c r="A1887" t="s">
        <v>5471</v>
      </c>
      <c r="C1887" t="s">
        <v>5472</v>
      </c>
      <c r="D1887" t="s">
        <v>5175</v>
      </c>
      <c r="E1887" t="s">
        <v>6</v>
      </c>
      <c r="F1887" t="s">
        <v>28</v>
      </c>
      <c r="G1887">
        <v>5</v>
      </c>
      <c r="H1887" s="2">
        <f>Tabelle13[[#This Row],[commits]]/Tabelle13[[#Totals],[commits]]</f>
        <v>2.3238952202123109E-5</v>
      </c>
      <c r="I1887" s="5">
        <f>Tabelle13[[#This Row],[%]]+I1886</f>
        <v>0.94976668091988659</v>
      </c>
      <c r="J1887" s="4">
        <f t="shared" si="91"/>
        <v>1.105583195135434E-4</v>
      </c>
      <c r="K1887" s="5">
        <f t="shared" si="92"/>
        <v>0.20840243228302163</v>
      </c>
    </row>
    <row r="1888" spans="1:11" x14ac:dyDescent="0.25">
      <c r="A1888" t="s">
        <v>5473</v>
      </c>
      <c r="C1888" t="s">
        <v>5474</v>
      </c>
      <c r="D1888" t="s">
        <v>5175</v>
      </c>
      <c r="E1888" t="s">
        <v>6</v>
      </c>
      <c r="F1888" t="s">
        <v>28</v>
      </c>
      <c r="G1888">
        <v>5</v>
      </c>
      <c r="H1888" s="2">
        <f>Tabelle13[[#This Row],[commits]]/Tabelle13[[#Totals],[commits]]</f>
        <v>2.3238952202123109E-5</v>
      </c>
      <c r="I1888" s="5">
        <f>Tabelle13[[#This Row],[%]]+I1887</f>
        <v>0.94978991987208872</v>
      </c>
      <c r="J1888" s="4">
        <f t="shared" si="91"/>
        <v>1.105583195135434E-4</v>
      </c>
      <c r="K1888" s="5">
        <f t="shared" si="92"/>
        <v>0.20851299060253517</v>
      </c>
    </row>
    <row r="1889" spans="1:11" x14ac:dyDescent="0.25">
      <c r="A1889" t="s">
        <v>5475</v>
      </c>
      <c r="C1889" t="s">
        <v>151</v>
      </c>
      <c r="D1889" t="s">
        <v>5</v>
      </c>
      <c r="E1889" t="s">
        <v>6</v>
      </c>
      <c r="F1889" t="s">
        <v>28</v>
      </c>
      <c r="G1889">
        <v>5</v>
      </c>
      <c r="H1889" s="2">
        <f>Tabelle13[[#This Row],[commits]]/Tabelle13[[#Totals],[commits]]</f>
        <v>2.3238952202123109E-5</v>
      </c>
      <c r="I1889" s="5">
        <f>Tabelle13[[#This Row],[%]]+I1888</f>
        <v>0.94981315882429085</v>
      </c>
      <c r="J1889" s="4">
        <f t="shared" si="91"/>
        <v>1.105583195135434E-4</v>
      </c>
      <c r="K1889" s="5">
        <f t="shared" si="92"/>
        <v>0.20862354892204871</v>
      </c>
    </row>
    <row r="1890" spans="1:11" x14ac:dyDescent="0.25">
      <c r="A1890" t="s">
        <v>5476</v>
      </c>
      <c r="C1890" t="s">
        <v>5477</v>
      </c>
      <c r="D1890" t="s">
        <v>5</v>
      </c>
      <c r="E1890" t="s">
        <v>6</v>
      </c>
      <c r="F1890" t="s">
        <v>28</v>
      </c>
      <c r="G1890">
        <v>5</v>
      </c>
      <c r="H1890" s="2">
        <f>Tabelle13[[#This Row],[commits]]/Tabelle13[[#Totals],[commits]]</f>
        <v>2.3238952202123109E-5</v>
      </c>
      <c r="I1890" s="5">
        <f>Tabelle13[[#This Row],[%]]+I1889</f>
        <v>0.94983639777649298</v>
      </c>
      <c r="J1890" s="4">
        <f t="shared" si="91"/>
        <v>1.105583195135434E-4</v>
      </c>
      <c r="K1890" s="5">
        <f t="shared" si="92"/>
        <v>0.20873410724156224</v>
      </c>
    </row>
    <row r="1891" spans="1:11" x14ac:dyDescent="0.25">
      <c r="A1891" t="s">
        <v>5478</v>
      </c>
      <c r="C1891" t="s">
        <v>5479</v>
      </c>
      <c r="D1891" t="s">
        <v>5</v>
      </c>
      <c r="E1891" t="s">
        <v>6</v>
      </c>
      <c r="F1891" t="s">
        <v>28</v>
      </c>
      <c r="G1891">
        <v>5</v>
      </c>
      <c r="H1891" s="2">
        <f>Tabelle13[[#This Row],[commits]]/Tabelle13[[#Totals],[commits]]</f>
        <v>2.3238952202123109E-5</v>
      </c>
      <c r="I1891" s="5">
        <f>Tabelle13[[#This Row],[%]]+I1890</f>
        <v>0.94985963672869511</v>
      </c>
      <c r="J1891" s="4">
        <f t="shared" si="91"/>
        <v>1.105583195135434E-4</v>
      </c>
      <c r="K1891" s="5">
        <f t="shared" si="92"/>
        <v>0.20884466556107578</v>
      </c>
    </row>
    <row r="1892" spans="1:11" x14ac:dyDescent="0.25">
      <c r="A1892" t="s">
        <v>5480</v>
      </c>
      <c r="C1892" t="s">
        <v>5481</v>
      </c>
      <c r="D1892" t="s">
        <v>5</v>
      </c>
      <c r="E1892" t="s">
        <v>6</v>
      </c>
      <c r="F1892" t="s">
        <v>28</v>
      </c>
      <c r="G1892">
        <v>5</v>
      </c>
      <c r="H1892" s="2">
        <f>Tabelle13[[#This Row],[commits]]/Tabelle13[[#Totals],[commits]]</f>
        <v>2.3238952202123109E-5</v>
      </c>
      <c r="I1892" s="5">
        <f>Tabelle13[[#This Row],[%]]+I1891</f>
        <v>0.94988287568089724</v>
      </c>
      <c r="J1892" s="4">
        <f t="shared" si="91"/>
        <v>1.105583195135434E-4</v>
      </c>
      <c r="K1892" s="5">
        <f t="shared" si="92"/>
        <v>0.20895522388058932</v>
      </c>
    </row>
    <row r="1893" spans="1:11" x14ac:dyDescent="0.25">
      <c r="A1893" t="s">
        <v>5482</v>
      </c>
      <c r="C1893" t="s">
        <v>5483</v>
      </c>
      <c r="D1893" t="s">
        <v>5</v>
      </c>
      <c r="E1893" t="s">
        <v>6</v>
      </c>
      <c r="F1893" t="s">
        <v>28</v>
      </c>
      <c r="G1893">
        <v>5</v>
      </c>
      <c r="H1893" s="2">
        <f>Tabelle13[[#This Row],[commits]]/Tabelle13[[#Totals],[commits]]</f>
        <v>2.3238952202123109E-5</v>
      </c>
      <c r="I1893" s="5">
        <f>Tabelle13[[#This Row],[%]]+I1892</f>
        <v>0.94990611463309937</v>
      </c>
      <c r="J1893" s="4">
        <f t="shared" si="91"/>
        <v>1.105583195135434E-4</v>
      </c>
      <c r="K1893" s="5">
        <f t="shared" si="92"/>
        <v>0.20906578220010286</v>
      </c>
    </row>
    <row r="1894" spans="1:11" x14ac:dyDescent="0.25">
      <c r="A1894" t="s">
        <v>5484</v>
      </c>
      <c r="C1894" t="s">
        <v>5485</v>
      </c>
      <c r="D1894" t="s">
        <v>5</v>
      </c>
      <c r="E1894" t="s">
        <v>6</v>
      </c>
      <c r="F1894" t="s">
        <v>28</v>
      </c>
      <c r="G1894">
        <v>5</v>
      </c>
      <c r="H1894" s="2">
        <f>Tabelle13[[#This Row],[commits]]/Tabelle13[[#Totals],[commits]]</f>
        <v>2.3238952202123109E-5</v>
      </c>
      <c r="I1894" s="5">
        <f>Tabelle13[[#This Row],[%]]+I1893</f>
        <v>0.94992935358530151</v>
      </c>
      <c r="J1894" s="4">
        <f t="shared" si="91"/>
        <v>1.105583195135434E-4</v>
      </c>
      <c r="K1894" s="5">
        <f t="shared" si="92"/>
        <v>0.20917634051961639</v>
      </c>
    </row>
    <row r="1895" spans="1:11" x14ac:dyDescent="0.25">
      <c r="A1895" t="s">
        <v>5486</v>
      </c>
      <c r="C1895" t="s">
        <v>5487</v>
      </c>
      <c r="D1895" t="s">
        <v>5</v>
      </c>
      <c r="E1895" t="s">
        <v>6</v>
      </c>
      <c r="F1895" t="s">
        <v>28</v>
      </c>
      <c r="G1895">
        <v>5</v>
      </c>
      <c r="H1895" s="2">
        <f>Tabelle13[[#This Row],[commits]]/Tabelle13[[#Totals],[commits]]</f>
        <v>2.3238952202123109E-5</v>
      </c>
      <c r="I1895" s="5">
        <f>Tabelle13[[#This Row],[%]]+I1894</f>
        <v>0.94995259253750364</v>
      </c>
      <c r="J1895" s="4">
        <f t="shared" si="91"/>
        <v>1.105583195135434E-4</v>
      </c>
      <c r="K1895" s="5">
        <f t="shared" si="92"/>
        <v>0.20928689883912993</v>
      </c>
    </row>
    <row r="1896" spans="1:11" x14ac:dyDescent="0.25">
      <c r="A1896" t="s">
        <v>5488</v>
      </c>
      <c r="C1896" t="s">
        <v>5489</v>
      </c>
      <c r="D1896" t="s">
        <v>5</v>
      </c>
      <c r="E1896" t="s">
        <v>6</v>
      </c>
      <c r="F1896" t="s">
        <v>28</v>
      </c>
      <c r="G1896">
        <v>5</v>
      </c>
      <c r="H1896" s="2">
        <f>Tabelle13[[#This Row],[commits]]/Tabelle13[[#Totals],[commits]]</f>
        <v>2.3238952202123109E-5</v>
      </c>
      <c r="I1896" s="5">
        <f>Tabelle13[[#This Row],[%]]+I1895</f>
        <v>0.94997583148970577</v>
      </c>
      <c r="J1896" s="4">
        <f t="shared" si="91"/>
        <v>1.105583195135434E-4</v>
      </c>
      <c r="K1896" s="5">
        <f t="shared" si="92"/>
        <v>0.20939745715864347</v>
      </c>
    </row>
    <row r="1897" spans="1:11" x14ac:dyDescent="0.25">
      <c r="A1897" t="s">
        <v>5490</v>
      </c>
      <c r="C1897" t="s">
        <v>5491</v>
      </c>
      <c r="D1897" t="s">
        <v>5492</v>
      </c>
      <c r="E1897" t="s">
        <v>6</v>
      </c>
      <c r="F1897" t="s">
        <v>28</v>
      </c>
      <c r="G1897">
        <v>5</v>
      </c>
      <c r="H1897" s="2">
        <f>Tabelle13[[#This Row],[commits]]/Tabelle13[[#Totals],[commits]]</f>
        <v>2.3238952202123109E-5</v>
      </c>
      <c r="I1897" s="5">
        <f>Tabelle13[[#This Row],[%]]+I1896</f>
        <v>0.9499990704419079</v>
      </c>
      <c r="J1897" s="4">
        <f t="shared" si="91"/>
        <v>1.105583195135434E-4</v>
      </c>
      <c r="K1897" s="5">
        <f t="shared" si="92"/>
        <v>0.20950801547815701</v>
      </c>
    </row>
    <row r="1898" spans="1:11" x14ac:dyDescent="0.25">
      <c r="A1898" t="s">
        <v>5493</v>
      </c>
      <c r="C1898" t="s">
        <v>5494</v>
      </c>
      <c r="D1898" t="s">
        <v>5495</v>
      </c>
      <c r="E1898" t="s">
        <v>6</v>
      </c>
      <c r="F1898" t="s">
        <v>28</v>
      </c>
      <c r="G1898">
        <v>5</v>
      </c>
      <c r="H1898" s="2">
        <f>Tabelle13[[#This Row],[commits]]/Tabelle13[[#Totals],[commits]]</f>
        <v>2.3238952202123109E-5</v>
      </c>
      <c r="I1898" s="5">
        <f>Tabelle13[[#This Row],[%]]+I1897</f>
        <v>0.95002230939411003</v>
      </c>
      <c r="J1898" s="4">
        <f t="shared" si="91"/>
        <v>1.105583195135434E-4</v>
      </c>
      <c r="K1898" s="5">
        <f t="shared" si="92"/>
        <v>0.20961857379767054</v>
      </c>
    </row>
    <row r="1899" spans="1:11" x14ac:dyDescent="0.25">
      <c r="A1899" t="s">
        <v>11260</v>
      </c>
      <c r="C1899" t="s">
        <v>11261</v>
      </c>
      <c r="D1899" t="s">
        <v>8760</v>
      </c>
      <c r="E1899" t="s">
        <v>6</v>
      </c>
      <c r="F1899" t="s">
        <v>251</v>
      </c>
      <c r="G1899">
        <v>5</v>
      </c>
      <c r="H1899" s="2">
        <f>Tabelle13[[#This Row],[commits]]/Tabelle13[[#Totals],[commits]]</f>
        <v>2.3238952202123109E-5</v>
      </c>
      <c r="I1899" s="5">
        <f>Tabelle13[[#This Row],[%]]+I1898</f>
        <v>0.95004554834631216</v>
      </c>
      <c r="J1899" s="4">
        <f t="shared" si="91"/>
        <v>1.105583195135434E-4</v>
      </c>
      <c r="K1899" s="5">
        <f t="shared" si="92"/>
        <v>0.20972913211718408</v>
      </c>
    </row>
    <row r="1900" spans="1:11" x14ac:dyDescent="0.25">
      <c r="A1900" t="s">
        <v>11262</v>
      </c>
      <c r="C1900" t="s">
        <v>11263</v>
      </c>
      <c r="D1900" t="s">
        <v>309</v>
      </c>
      <c r="E1900" t="s">
        <v>6</v>
      </c>
      <c r="F1900" t="s">
        <v>251</v>
      </c>
      <c r="G1900">
        <v>5</v>
      </c>
      <c r="H1900" s="2">
        <f>Tabelle13[[#This Row],[commits]]/Tabelle13[[#Totals],[commits]]</f>
        <v>2.3238952202123109E-5</v>
      </c>
      <c r="I1900" s="5">
        <f>Tabelle13[[#This Row],[%]]+I1899</f>
        <v>0.95006878729851429</v>
      </c>
      <c r="J1900" s="4">
        <f t="shared" si="91"/>
        <v>1.105583195135434E-4</v>
      </c>
      <c r="K1900" s="5">
        <f t="shared" si="92"/>
        <v>0.20983969043669762</v>
      </c>
    </row>
    <row r="1901" spans="1:11" x14ac:dyDescent="0.25">
      <c r="A1901" t="s">
        <v>11264</v>
      </c>
      <c r="C1901" t="s">
        <v>11265</v>
      </c>
      <c r="D1901" t="s">
        <v>11266</v>
      </c>
      <c r="E1901" t="s">
        <v>6</v>
      </c>
      <c r="F1901" t="s">
        <v>251</v>
      </c>
      <c r="G1901">
        <v>5</v>
      </c>
      <c r="H1901" s="2">
        <f>Tabelle13[[#This Row],[commits]]/Tabelle13[[#Totals],[commits]]</f>
        <v>2.3238952202123109E-5</v>
      </c>
      <c r="I1901" s="5">
        <f>Tabelle13[[#This Row],[%]]+I1900</f>
        <v>0.95009202625071643</v>
      </c>
      <c r="J1901" s="4">
        <f t="shared" si="91"/>
        <v>1.105583195135434E-4</v>
      </c>
      <c r="K1901" s="5">
        <f t="shared" si="92"/>
        <v>0.20995024875621116</v>
      </c>
    </row>
    <row r="1902" spans="1:11" x14ac:dyDescent="0.25">
      <c r="A1902" t="s">
        <v>11267</v>
      </c>
      <c r="C1902" t="s">
        <v>11268</v>
      </c>
      <c r="D1902" t="s">
        <v>309</v>
      </c>
      <c r="E1902" t="s">
        <v>6</v>
      </c>
      <c r="F1902" t="s">
        <v>251</v>
      </c>
      <c r="G1902">
        <v>5</v>
      </c>
      <c r="H1902" s="2">
        <f>Tabelle13[[#This Row],[commits]]/Tabelle13[[#Totals],[commits]]</f>
        <v>2.3238952202123109E-5</v>
      </c>
      <c r="I1902" s="5">
        <f>Tabelle13[[#This Row],[%]]+I1901</f>
        <v>0.95011526520291856</v>
      </c>
      <c r="J1902" s="4">
        <f t="shared" si="91"/>
        <v>1.105583195135434E-4</v>
      </c>
      <c r="K1902" s="5">
        <f t="shared" si="92"/>
        <v>0.21006080707572469</v>
      </c>
    </row>
    <row r="1903" spans="1:11" x14ac:dyDescent="0.25">
      <c r="A1903" t="s">
        <v>11269</v>
      </c>
      <c r="C1903" t="s">
        <v>11270</v>
      </c>
      <c r="D1903" t="s">
        <v>309</v>
      </c>
      <c r="E1903" t="s">
        <v>6</v>
      </c>
      <c r="F1903" t="s">
        <v>251</v>
      </c>
      <c r="G1903">
        <v>5</v>
      </c>
      <c r="H1903" s="2">
        <f>Tabelle13[[#This Row],[commits]]/Tabelle13[[#Totals],[commits]]</f>
        <v>2.3238952202123109E-5</v>
      </c>
      <c r="I1903" s="5">
        <f>Tabelle13[[#This Row],[%]]+I1902</f>
        <v>0.95013850415512069</v>
      </c>
      <c r="J1903" s="4">
        <f t="shared" si="91"/>
        <v>1.105583195135434E-4</v>
      </c>
      <c r="K1903" s="5">
        <f t="shared" si="92"/>
        <v>0.21017136539523823</v>
      </c>
    </row>
    <row r="1904" spans="1:11" x14ac:dyDescent="0.25">
      <c r="A1904" t="s">
        <v>11271</v>
      </c>
      <c r="C1904" t="s">
        <v>11272</v>
      </c>
      <c r="D1904" t="s">
        <v>8760</v>
      </c>
      <c r="E1904" t="s">
        <v>6</v>
      </c>
      <c r="F1904" t="s">
        <v>251</v>
      </c>
      <c r="G1904">
        <v>5</v>
      </c>
      <c r="H1904" s="2">
        <f>Tabelle13[[#This Row],[commits]]/Tabelle13[[#Totals],[commits]]</f>
        <v>2.3238952202123109E-5</v>
      </c>
      <c r="I1904" s="5">
        <f>Tabelle13[[#This Row],[%]]+I1903</f>
        <v>0.95016174310732282</v>
      </c>
      <c r="J1904" s="4">
        <f t="shared" si="91"/>
        <v>1.105583195135434E-4</v>
      </c>
      <c r="K1904" s="5">
        <f t="shared" si="92"/>
        <v>0.21028192371475177</v>
      </c>
    </row>
    <row r="1905" spans="1:11" x14ac:dyDescent="0.25">
      <c r="A1905" t="s">
        <v>11273</v>
      </c>
      <c r="C1905" t="s">
        <v>11274</v>
      </c>
      <c r="D1905" t="s">
        <v>5</v>
      </c>
      <c r="E1905" t="s">
        <v>6</v>
      </c>
      <c r="F1905" t="s">
        <v>251</v>
      </c>
      <c r="G1905">
        <v>5</v>
      </c>
      <c r="H1905" s="2">
        <f>Tabelle13[[#This Row],[commits]]/Tabelle13[[#Totals],[commits]]</f>
        <v>2.3238952202123109E-5</v>
      </c>
      <c r="I1905" s="5">
        <f>Tabelle13[[#This Row],[%]]+I1904</f>
        <v>0.95018498205952495</v>
      </c>
      <c r="J1905" s="4">
        <f t="shared" si="91"/>
        <v>1.105583195135434E-4</v>
      </c>
      <c r="K1905" s="5">
        <f t="shared" si="92"/>
        <v>0.2103924820342653</v>
      </c>
    </row>
    <row r="1906" spans="1:11" x14ac:dyDescent="0.25">
      <c r="A1906" t="s">
        <v>11275</v>
      </c>
      <c r="C1906" t="s">
        <v>11276</v>
      </c>
      <c r="D1906" t="s">
        <v>5</v>
      </c>
      <c r="E1906" t="s">
        <v>6</v>
      </c>
      <c r="F1906" t="s">
        <v>251</v>
      </c>
      <c r="G1906">
        <v>5</v>
      </c>
      <c r="H1906" s="2">
        <f>Tabelle13[[#This Row],[commits]]/Tabelle13[[#Totals],[commits]]</f>
        <v>2.3238952202123109E-5</v>
      </c>
      <c r="I1906" s="5">
        <f>Tabelle13[[#This Row],[%]]+I1905</f>
        <v>0.95020822101172708</v>
      </c>
      <c r="J1906" s="4">
        <f t="shared" si="91"/>
        <v>1.105583195135434E-4</v>
      </c>
      <c r="K1906" s="5">
        <f t="shared" si="92"/>
        <v>0.21050304035377884</v>
      </c>
    </row>
    <row r="1907" spans="1:11" x14ac:dyDescent="0.25">
      <c r="A1907" t="s">
        <v>11277</v>
      </c>
      <c r="C1907" t="s">
        <v>11278</v>
      </c>
      <c r="D1907" t="s">
        <v>8760</v>
      </c>
      <c r="E1907" t="s">
        <v>6</v>
      </c>
      <c r="F1907" t="s">
        <v>251</v>
      </c>
      <c r="G1907">
        <v>5</v>
      </c>
      <c r="H1907" s="2">
        <f>Tabelle13[[#This Row],[commits]]/Tabelle13[[#Totals],[commits]]</f>
        <v>2.3238952202123109E-5</v>
      </c>
      <c r="I1907" s="5">
        <f>Tabelle13[[#This Row],[%]]+I1906</f>
        <v>0.95023145996392921</v>
      </c>
      <c r="J1907" s="4">
        <f t="shared" si="91"/>
        <v>1.105583195135434E-4</v>
      </c>
      <c r="K1907" s="5">
        <f t="shared" si="92"/>
        <v>0.21061359867329238</v>
      </c>
    </row>
    <row r="1908" spans="1:11" x14ac:dyDescent="0.25">
      <c r="A1908" t="s">
        <v>11279</v>
      </c>
      <c r="C1908" t="s">
        <v>11280</v>
      </c>
      <c r="D1908" t="s">
        <v>309</v>
      </c>
      <c r="E1908" t="s">
        <v>6</v>
      </c>
      <c r="F1908" t="s">
        <v>251</v>
      </c>
      <c r="G1908">
        <v>5</v>
      </c>
      <c r="H1908" s="2">
        <f>Tabelle13[[#This Row],[commits]]/Tabelle13[[#Totals],[commits]]</f>
        <v>2.3238952202123109E-5</v>
      </c>
      <c r="I1908" s="5">
        <f>Tabelle13[[#This Row],[%]]+I1907</f>
        <v>0.95025469891613135</v>
      </c>
      <c r="J1908" s="4">
        <f t="shared" si="91"/>
        <v>1.105583195135434E-4</v>
      </c>
      <c r="K1908" s="5">
        <f t="shared" si="92"/>
        <v>0.21072415699280592</v>
      </c>
    </row>
    <row r="1909" spans="1:11" x14ac:dyDescent="0.25">
      <c r="A1909" t="s">
        <v>11281</v>
      </c>
      <c r="C1909" t="s">
        <v>11282</v>
      </c>
      <c r="D1909" t="s">
        <v>309</v>
      </c>
      <c r="E1909" t="s">
        <v>6</v>
      </c>
      <c r="F1909" t="s">
        <v>251</v>
      </c>
      <c r="G1909">
        <v>5</v>
      </c>
      <c r="H1909" s="2">
        <f>Tabelle13[[#This Row],[commits]]/Tabelle13[[#Totals],[commits]]</f>
        <v>2.3238952202123109E-5</v>
      </c>
      <c r="I1909" s="5">
        <f>Tabelle13[[#This Row],[%]]+I1908</f>
        <v>0.95027793786833348</v>
      </c>
      <c r="J1909" s="4">
        <f t="shared" si="91"/>
        <v>1.105583195135434E-4</v>
      </c>
      <c r="K1909" s="5">
        <f t="shared" si="92"/>
        <v>0.21083471531231945</v>
      </c>
    </row>
    <row r="1910" spans="1:11" x14ac:dyDescent="0.25">
      <c r="A1910" t="s">
        <v>11283</v>
      </c>
      <c r="C1910" t="s">
        <v>11284</v>
      </c>
      <c r="D1910" t="s">
        <v>309</v>
      </c>
      <c r="E1910" t="s">
        <v>6</v>
      </c>
      <c r="F1910" t="s">
        <v>251</v>
      </c>
      <c r="G1910">
        <v>5</v>
      </c>
      <c r="H1910" s="2">
        <f>Tabelle13[[#This Row],[commits]]/Tabelle13[[#Totals],[commits]]</f>
        <v>2.3238952202123109E-5</v>
      </c>
      <c r="I1910" s="5">
        <f>Tabelle13[[#This Row],[%]]+I1909</f>
        <v>0.95030117682053561</v>
      </c>
      <c r="J1910" s="4">
        <f t="shared" si="91"/>
        <v>1.105583195135434E-4</v>
      </c>
      <c r="K1910" s="5">
        <f t="shared" si="92"/>
        <v>0.21094527363183299</v>
      </c>
    </row>
    <row r="1911" spans="1:11" x14ac:dyDescent="0.25">
      <c r="A1911" t="s">
        <v>11285</v>
      </c>
      <c r="C1911" t="s">
        <v>11286</v>
      </c>
      <c r="D1911" t="s">
        <v>11287</v>
      </c>
      <c r="E1911" t="s">
        <v>6</v>
      </c>
      <c r="F1911" t="s">
        <v>251</v>
      </c>
      <c r="G1911">
        <v>5</v>
      </c>
      <c r="H1911" s="2">
        <f>Tabelle13[[#This Row],[commits]]/Tabelle13[[#Totals],[commits]]</f>
        <v>2.3238952202123109E-5</v>
      </c>
      <c r="I1911" s="5">
        <f>Tabelle13[[#This Row],[%]]+I1910</f>
        <v>0.95032441577273774</v>
      </c>
      <c r="J1911" s="4">
        <f t="shared" si="91"/>
        <v>1.105583195135434E-4</v>
      </c>
      <c r="K1911" s="5">
        <f t="shared" si="92"/>
        <v>0.21105583195134653</v>
      </c>
    </row>
    <row r="1912" spans="1:11" x14ac:dyDescent="0.25">
      <c r="A1912" t="s">
        <v>11288</v>
      </c>
      <c r="C1912" t="s">
        <v>11289</v>
      </c>
      <c r="D1912" t="s">
        <v>8948</v>
      </c>
      <c r="E1912" t="s">
        <v>6</v>
      </c>
      <c r="F1912" t="s">
        <v>251</v>
      </c>
      <c r="G1912">
        <v>5</v>
      </c>
      <c r="H1912" s="2">
        <f>Tabelle13[[#This Row],[commits]]/Tabelle13[[#Totals],[commits]]</f>
        <v>2.3238952202123109E-5</v>
      </c>
      <c r="I1912" s="5">
        <f>Tabelle13[[#This Row],[%]]+I1911</f>
        <v>0.95034765472493987</v>
      </c>
      <c r="J1912" s="4">
        <f t="shared" si="91"/>
        <v>1.105583195135434E-4</v>
      </c>
      <c r="K1912" s="5">
        <f t="shared" si="92"/>
        <v>0.21116639027086007</v>
      </c>
    </row>
    <row r="1913" spans="1:11" x14ac:dyDescent="0.25">
      <c r="A1913" t="s">
        <v>11290</v>
      </c>
      <c r="C1913" t="s">
        <v>11291</v>
      </c>
      <c r="D1913" t="s">
        <v>5</v>
      </c>
      <c r="E1913" t="s">
        <v>6</v>
      </c>
      <c r="F1913" t="s">
        <v>251</v>
      </c>
      <c r="G1913">
        <v>5</v>
      </c>
      <c r="H1913" s="2">
        <f>Tabelle13[[#This Row],[commits]]/Tabelle13[[#Totals],[commits]]</f>
        <v>2.3238952202123109E-5</v>
      </c>
      <c r="I1913" s="5">
        <f>Tabelle13[[#This Row],[%]]+I1912</f>
        <v>0.950370893677142</v>
      </c>
      <c r="J1913" s="4">
        <f t="shared" si="91"/>
        <v>1.105583195135434E-4</v>
      </c>
      <c r="K1913" s="5">
        <f t="shared" si="92"/>
        <v>0.2112769485903736</v>
      </c>
    </row>
    <row r="1914" spans="1:11" x14ac:dyDescent="0.25">
      <c r="A1914" t="s">
        <v>11292</v>
      </c>
      <c r="C1914" t="s">
        <v>11293</v>
      </c>
      <c r="D1914" t="s">
        <v>11294</v>
      </c>
      <c r="E1914" t="s">
        <v>6</v>
      </c>
      <c r="F1914" t="s">
        <v>251</v>
      </c>
      <c r="G1914">
        <v>5</v>
      </c>
      <c r="H1914" s="2">
        <f>Tabelle13[[#This Row],[commits]]/Tabelle13[[#Totals],[commits]]</f>
        <v>2.3238952202123109E-5</v>
      </c>
      <c r="I1914" s="5">
        <f>Tabelle13[[#This Row],[%]]+I1913</f>
        <v>0.95039413262934413</v>
      </c>
      <c r="J1914" s="4">
        <f t="shared" si="91"/>
        <v>1.105583195135434E-4</v>
      </c>
      <c r="K1914" s="5">
        <f t="shared" si="92"/>
        <v>0.21138750690988714</v>
      </c>
    </row>
    <row r="1915" spans="1:11" x14ac:dyDescent="0.25">
      <c r="A1915" t="s">
        <v>11295</v>
      </c>
      <c r="C1915" t="s">
        <v>11296</v>
      </c>
      <c r="D1915" t="s">
        <v>5</v>
      </c>
      <c r="E1915" t="s">
        <v>6</v>
      </c>
      <c r="F1915" t="s">
        <v>251</v>
      </c>
      <c r="G1915">
        <v>5</v>
      </c>
      <c r="H1915" s="2">
        <f>Tabelle13[[#This Row],[commits]]/Tabelle13[[#Totals],[commits]]</f>
        <v>2.3238952202123109E-5</v>
      </c>
      <c r="I1915" s="5">
        <f>Tabelle13[[#This Row],[%]]+I1914</f>
        <v>0.95041737158154627</v>
      </c>
      <c r="J1915" s="4">
        <f t="shared" si="91"/>
        <v>1.105583195135434E-4</v>
      </c>
      <c r="K1915" s="5">
        <f t="shared" si="92"/>
        <v>0.21149806522940068</v>
      </c>
    </row>
    <row r="1916" spans="1:11" x14ac:dyDescent="0.25">
      <c r="A1916" t="s">
        <v>11297</v>
      </c>
      <c r="C1916" t="s">
        <v>11298</v>
      </c>
      <c r="D1916" t="s">
        <v>309</v>
      </c>
      <c r="E1916" t="s">
        <v>6</v>
      </c>
      <c r="F1916" t="s">
        <v>251</v>
      </c>
      <c r="G1916">
        <v>5</v>
      </c>
      <c r="H1916" s="2">
        <f>Tabelle13[[#This Row],[commits]]/Tabelle13[[#Totals],[commits]]</f>
        <v>2.3238952202123109E-5</v>
      </c>
      <c r="I1916" s="5">
        <f>Tabelle13[[#This Row],[%]]+I1915</f>
        <v>0.9504406105337484</v>
      </c>
      <c r="J1916" s="4">
        <f t="shared" si="91"/>
        <v>1.105583195135434E-4</v>
      </c>
      <c r="K1916" s="5">
        <f t="shared" si="92"/>
        <v>0.21160862354891422</v>
      </c>
    </row>
    <row r="1917" spans="1:11" x14ac:dyDescent="0.25">
      <c r="A1917" t="s">
        <v>11299</v>
      </c>
      <c r="C1917" t="s">
        <v>11300</v>
      </c>
      <c r="D1917" t="s">
        <v>309</v>
      </c>
      <c r="E1917" t="s">
        <v>6</v>
      </c>
      <c r="F1917" t="s">
        <v>251</v>
      </c>
      <c r="G1917">
        <v>5</v>
      </c>
      <c r="H1917" s="2">
        <f>Tabelle13[[#This Row],[commits]]/Tabelle13[[#Totals],[commits]]</f>
        <v>2.3238952202123109E-5</v>
      </c>
      <c r="I1917" s="5">
        <f>Tabelle13[[#This Row],[%]]+I1916</f>
        <v>0.95046384948595053</v>
      </c>
      <c r="J1917" s="4">
        <f t="shared" si="91"/>
        <v>1.105583195135434E-4</v>
      </c>
      <c r="K1917" s="5">
        <f t="shared" si="92"/>
        <v>0.21171918186842775</v>
      </c>
    </row>
    <row r="1918" spans="1:11" x14ac:dyDescent="0.25">
      <c r="A1918" t="s">
        <v>11301</v>
      </c>
      <c r="C1918" t="s">
        <v>11302</v>
      </c>
      <c r="D1918" t="s">
        <v>309</v>
      </c>
      <c r="E1918" t="s">
        <v>6</v>
      </c>
      <c r="F1918" t="s">
        <v>251</v>
      </c>
      <c r="G1918">
        <v>5</v>
      </c>
      <c r="H1918" s="2">
        <f>Tabelle13[[#This Row],[commits]]/Tabelle13[[#Totals],[commits]]</f>
        <v>2.3238952202123109E-5</v>
      </c>
      <c r="I1918" s="5">
        <f>Tabelle13[[#This Row],[%]]+I1917</f>
        <v>0.95048708843815266</v>
      </c>
      <c r="J1918" s="4">
        <f t="shared" si="91"/>
        <v>1.105583195135434E-4</v>
      </c>
      <c r="K1918" s="5">
        <f t="shared" si="92"/>
        <v>0.21182974018794129</v>
      </c>
    </row>
    <row r="1919" spans="1:11" x14ac:dyDescent="0.25">
      <c r="A1919" t="s">
        <v>11303</v>
      </c>
      <c r="C1919" t="s">
        <v>11304</v>
      </c>
      <c r="D1919" t="s">
        <v>309</v>
      </c>
      <c r="E1919" t="s">
        <v>6</v>
      </c>
      <c r="F1919" t="s">
        <v>251</v>
      </c>
      <c r="G1919">
        <v>5</v>
      </c>
      <c r="H1919" s="2">
        <f>Tabelle13[[#This Row],[commits]]/Tabelle13[[#Totals],[commits]]</f>
        <v>2.3238952202123109E-5</v>
      </c>
      <c r="I1919" s="5">
        <f>Tabelle13[[#This Row],[%]]+I1918</f>
        <v>0.95051032739035479</v>
      </c>
      <c r="J1919" s="4">
        <f t="shared" si="91"/>
        <v>1.105583195135434E-4</v>
      </c>
      <c r="K1919" s="5">
        <f t="shared" si="92"/>
        <v>0.21194029850745483</v>
      </c>
    </row>
    <row r="1920" spans="1:11" x14ac:dyDescent="0.25">
      <c r="A1920" t="s">
        <v>11305</v>
      </c>
      <c r="C1920" t="s">
        <v>11306</v>
      </c>
      <c r="D1920" t="s">
        <v>309</v>
      </c>
      <c r="E1920" t="s">
        <v>6</v>
      </c>
      <c r="F1920" t="s">
        <v>251</v>
      </c>
      <c r="G1920">
        <v>5</v>
      </c>
      <c r="H1920" s="2">
        <f>Tabelle13[[#This Row],[commits]]/Tabelle13[[#Totals],[commits]]</f>
        <v>2.3238952202123109E-5</v>
      </c>
      <c r="I1920" s="5">
        <f>Tabelle13[[#This Row],[%]]+I1919</f>
        <v>0.95053356634255692</v>
      </c>
      <c r="J1920" s="4">
        <f t="shared" si="91"/>
        <v>1.105583195135434E-4</v>
      </c>
      <c r="K1920" s="5">
        <f t="shared" si="92"/>
        <v>0.21205085682696836</v>
      </c>
    </row>
    <row r="1921" spans="1:11" x14ac:dyDescent="0.25">
      <c r="A1921" t="s">
        <v>11307</v>
      </c>
      <c r="C1921" t="s">
        <v>11308</v>
      </c>
      <c r="D1921" t="s">
        <v>309</v>
      </c>
      <c r="E1921" t="s">
        <v>6</v>
      </c>
      <c r="F1921" t="s">
        <v>251</v>
      </c>
      <c r="G1921">
        <v>5</v>
      </c>
      <c r="H1921" s="2">
        <f>Tabelle13[[#This Row],[commits]]/Tabelle13[[#Totals],[commits]]</f>
        <v>2.3238952202123109E-5</v>
      </c>
      <c r="I1921" s="5">
        <f>Tabelle13[[#This Row],[%]]+I1920</f>
        <v>0.95055680529475906</v>
      </c>
      <c r="J1921" s="4">
        <f t="shared" si="91"/>
        <v>1.105583195135434E-4</v>
      </c>
      <c r="K1921" s="5">
        <f t="shared" si="92"/>
        <v>0.2121614151464819</v>
      </c>
    </row>
    <row r="1922" spans="1:11" x14ac:dyDescent="0.25">
      <c r="A1922" t="s">
        <v>11309</v>
      </c>
      <c r="C1922" t="s">
        <v>11310</v>
      </c>
      <c r="D1922" t="s">
        <v>8874</v>
      </c>
      <c r="E1922" t="s">
        <v>6</v>
      </c>
      <c r="F1922" t="s">
        <v>251</v>
      </c>
      <c r="G1922">
        <v>5</v>
      </c>
      <c r="H1922" s="2">
        <f>Tabelle13[[#This Row],[commits]]/Tabelle13[[#Totals],[commits]]</f>
        <v>2.3238952202123109E-5</v>
      </c>
      <c r="I1922" s="5">
        <f>Tabelle13[[#This Row],[%]]+I1921</f>
        <v>0.95058004424696119</v>
      </c>
      <c r="J1922" s="4">
        <f t="shared" si="91"/>
        <v>1.105583195135434E-4</v>
      </c>
      <c r="K1922" s="5">
        <f t="shared" si="92"/>
        <v>0.21227197346599544</v>
      </c>
    </row>
    <row r="1923" spans="1:11" x14ac:dyDescent="0.25">
      <c r="A1923" t="s">
        <v>11311</v>
      </c>
      <c r="C1923" t="s">
        <v>11312</v>
      </c>
      <c r="D1923" t="s">
        <v>5</v>
      </c>
      <c r="E1923" t="s">
        <v>6</v>
      </c>
      <c r="F1923" t="s">
        <v>251</v>
      </c>
      <c r="G1923">
        <v>5</v>
      </c>
      <c r="H1923" s="2">
        <f>Tabelle13[[#This Row],[commits]]/Tabelle13[[#Totals],[commits]]</f>
        <v>2.3238952202123109E-5</v>
      </c>
      <c r="I1923" s="5">
        <f>Tabelle13[[#This Row],[%]]+I1922</f>
        <v>0.95060328319916332</v>
      </c>
      <c r="J1923" s="4">
        <f t="shared" ref="J1923:J1986" si="93">1/9045</f>
        <v>1.105583195135434E-4</v>
      </c>
      <c r="K1923" s="5">
        <f t="shared" si="92"/>
        <v>0.21238253178550898</v>
      </c>
    </row>
    <row r="1924" spans="1:11" x14ac:dyDescent="0.25">
      <c r="A1924" t="s">
        <v>11313</v>
      </c>
      <c r="C1924" t="s">
        <v>11314</v>
      </c>
      <c r="D1924" t="s">
        <v>309</v>
      </c>
      <c r="E1924" t="s">
        <v>6</v>
      </c>
      <c r="F1924" t="s">
        <v>251</v>
      </c>
      <c r="G1924">
        <v>5</v>
      </c>
      <c r="H1924" s="2">
        <f>Tabelle13[[#This Row],[commits]]/Tabelle13[[#Totals],[commits]]</f>
        <v>2.3238952202123109E-5</v>
      </c>
      <c r="I1924" s="5">
        <f>Tabelle13[[#This Row],[%]]+I1923</f>
        <v>0.95062652215136545</v>
      </c>
      <c r="J1924" s="4">
        <f t="shared" si="93"/>
        <v>1.105583195135434E-4</v>
      </c>
      <c r="K1924" s="5">
        <f t="shared" si="92"/>
        <v>0.21249309010502251</v>
      </c>
    </row>
    <row r="1925" spans="1:11" x14ac:dyDescent="0.25">
      <c r="A1925" t="s">
        <v>11315</v>
      </c>
      <c r="C1925" t="s">
        <v>11316</v>
      </c>
      <c r="D1925" t="s">
        <v>5</v>
      </c>
      <c r="E1925" t="s">
        <v>6</v>
      </c>
      <c r="F1925" t="s">
        <v>251</v>
      </c>
      <c r="G1925">
        <v>5</v>
      </c>
      <c r="H1925" s="2">
        <f>Tabelle13[[#This Row],[commits]]/Tabelle13[[#Totals],[commits]]</f>
        <v>2.3238952202123109E-5</v>
      </c>
      <c r="I1925" s="5">
        <f>Tabelle13[[#This Row],[%]]+I1924</f>
        <v>0.95064976110356758</v>
      </c>
      <c r="J1925" s="4">
        <f t="shared" si="93"/>
        <v>1.105583195135434E-4</v>
      </c>
      <c r="K1925" s="5">
        <f t="shared" si="92"/>
        <v>0.21260364842453605</v>
      </c>
    </row>
    <row r="1926" spans="1:11" x14ac:dyDescent="0.25">
      <c r="A1926" t="s">
        <v>11317</v>
      </c>
      <c r="C1926" t="s">
        <v>11318</v>
      </c>
      <c r="D1926" t="s">
        <v>11319</v>
      </c>
      <c r="E1926" t="s">
        <v>6</v>
      </c>
      <c r="F1926" t="s">
        <v>251</v>
      </c>
      <c r="G1926">
        <v>5</v>
      </c>
      <c r="H1926" s="2">
        <f>Tabelle13[[#This Row],[commits]]/Tabelle13[[#Totals],[commits]]</f>
        <v>2.3238952202123109E-5</v>
      </c>
      <c r="I1926" s="5">
        <f>Tabelle13[[#This Row],[%]]+I1925</f>
        <v>0.95067300005576971</v>
      </c>
      <c r="J1926" s="4">
        <f t="shared" si="93"/>
        <v>1.105583195135434E-4</v>
      </c>
      <c r="K1926" s="5">
        <f t="shared" ref="K1926:K1989" si="94">J1926+K1925</f>
        <v>0.21271420674404959</v>
      </c>
    </row>
    <row r="1927" spans="1:11" x14ac:dyDescent="0.25">
      <c r="A1927" t="s">
        <v>11320</v>
      </c>
      <c r="C1927" t="s">
        <v>11321</v>
      </c>
      <c r="D1927" t="s">
        <v>11322</v>
      </c>
      <c r="E1927" t="s">
        <v>6</v>
      </c>
      <c r="F1927" t="s">
        <v>251</v>
      </c>
      <c r="G1927">
        <v>5</v>
      </c>
      <c r="H1927" s="2">
        <f>Tabelle13[[#This Row],[commits]]/Tabelle13[[#Totals],[commits]]</f>
        <v>2.3238952202123109E-5</v>
      </c>
      <c r="I1927" s="5">
        <f>Tabelle13[[#This Row],[%]]+I1926</f>
        <v>0.95069623900797184</v>
      </c>
      <c r="J1927" s="4">
        <f t="shared" si="93"/>
        <v>1.105583195135434E-4</v>
      </c>
      <c r="K1927" s="5">
        <f t="shared" si="94"/>
        <v>0.21282476506356313</v>
      </c>
    </row>
    <row r="1928" spans="1:11" x14ac:dyDescent="0.25">
      <c r="A1928" t="s">
        <v>11323</v>
      </c>
      <c r="C1928" t="s">
        <v>11324</v>
      </c>
      <c r="D1928" t="s">
        <v>5</v>
      </c>
      <c r="E1928" t="s">
        <v>6</v>
      </c>
      <c r="F1928" t="s">
        <v>251</v>
      </c>
      <c r="G1928">
        <v>5</v>
      </c>
      <c r="H1928" s="2">
        <f>Tabelle13[[#This Row],[commits]]/Tabelle13[[#Totals],[commits]]</f>
        <v>2.3238952202123109E-5</v>
      </c>
      <c r="I1928" s="5">
        <f>Tabelle13[[#This Row],[%]]+I1927</f>
        <v>0.95071947796017398</v>
      </c>
      <c r="J1928" s="4">
        <f t="shared" si="93"/>
        <v>1.105583195135434E-4</v>
      </c>
      <c r="K1928" s="5">
        <f t="shared" si="94"/>
        <v>0.21293532338307666</v>
      </c>
    </row>
    <row r="1929" spans="1:11" x14ac:dyDescent="0.25">
      <c r="A1929" t="s">
        <v>11325</v>
      </c>
      <c r="C1929" t="s">
        <v>11326</v>
      </c>
      <c r="D1929" t="s">
        <v>5</v>
      </c>
      <c r="E1929" t="s">
        <v>6</v>
      </c>
      <c r="F1929" t="s">
        <v>251</v>
      </c>
      <c r="G1929">
        <v>5</v>
      </c>
      <c r="H1929" s="2">
        <f>Tabelle13[[#This Row],[commits]]/Tabelle13[[#Totals],[commits]]</f>
        <v>2.3238952202123109E-5</v>
      </c>
      <c r="I1929" s="5">
        <f>Tabelle13[[#This Row],[%]]+I1928</f>
        <v>0.95074271691237611</v>
      </c>
      <c r="J1929" s="4">
        <f t="shared" si="93"/>
        <v>1.105583195135434E-4</v>
      </c>
      <c r="K1929" s="5">
        <f t="shared" si="94"/>
        <v>0.2130458817025902</v>
      </c>
    </row>
    <row r="1930" spans="1:11" x14ac:dyDescent="0.25">
      <c r="A1930" t="s">
        <v>11327</v>
      </c>
      <c r="C1930" t="s">
        <v>11328</v>
      </c>
      <c r="D1930" t="s">
        <v>5</v>
      </c>
      <c r="E1930" t="s">
        <v>6</v>
      </c>
      <c r="F1930" t="s">
        <v>251</v>
      </c>
      <c r="G1930">
        <v>5</v>
      </c>
      <c r="H1930" s="2">
        <f>Tabelle13[[#This Row],[commits]]/Tabelle13[[#Totals],[commits]]</f>
        <v>2.3238952202123109E-5</v>
      </c>
      <c r="I1930" s="5">
        <f>Tabelle13[[#This Row],[%]]+I1929</f>
        <v>0.95076595586457824</v>
      </c>
      <c r="J1930" s="4">
        <f t="shared" si="93"/>
        <v>1.105583195135434E-4</v>
      </c>
      <c r="K1930" s="5">
        <f t="shared" si="94"/>
        <v>0.21315644002210374</v>
      </c>
    </row>
    <row r="1931" spans="1:11" x14ac:dyDescent="0.25">
      <c r="A1931" t="s">
        <v>11329</v>
      </c>
      <c r="C1931" t="s">
        <v>11330</v>
      </c>
      <c r="D1931" t="s">
        <v>309</v>
      </c>
      <c r="E1931" t="s">
        <v>6</v>
      </c>
      <c r="F1931" t="s">
        <v>251</v>
      </c>
      <c r="G1931">
        <v>5</v>
      </c>
      <c r="H1931" s="2">
        <f>Tabelle13[[#This Row],[commits]]/Tabelle13[[#Totals],[commits]]</f>
        <v>2.3238952202123109E-5</v>
      </c>
      <c r="I1931" s="5">
        <f>Tabelle13[[#This Row],[%]]+I1930</f>
        <v>0.95078919481678037</v>
      </c>
      <c r="J1931" s="4">
        <f t="shared" si="93"/>
        <v>1.105583195135434E-4</v>
      </c>
      <c r="K1931" s="5">
        <f t="shared" si="94"/>
        <v>0.21326699834161728</v>
      </c>
    </row>
    <row r="1932" spans="1:11" x14ac:dyDescent="0.25">
      <c r="A1932" t="s">
        <v>11331</v>
      </c>
      <c r="C1932" t="s">
        <v>11332</v>
      </c>
      <c r="D1932" t="s">
        <v>5</v>
      </c>
      <c r="E1932" t="s">
        <v>6</v>
      </c>
      <c r="F1932" t="s">
        <v>251</v>
      </c>
      <c r="G1932">
        <v>5</v>
      </c>
      <c r="H1932" s="2">
        <f>Tabelle13[[#This Row],[commits]]/Tabelle13[[#Totals],[commits]]</f>
        <v>2.3238952202123109E-5</v>
      </c>
      <c r="I1932" s="5">
        <f>Tabelle13[[#This Row],[%]]+I1931</f>
        <v>0.9508124337689825</v>
      </c>
      <c r="J1932" s="4">
        <f t="shared" si="93"/>
        <v>1.105583195135434E-4</v>
      </c>
      <c r="K1932" s="5">
        <f t="shared" si="94"/>
        <v>0.21337755666113081</v>
      </c>
    </row>
    <row r="1933" spans="1:11" x14ac:dyDescent="0.25">
      <c r="A1933" t="s">
        <v>11333</v>
      </c>
      <c r="C1933" t="s">
        <v>11334</v>
      </c>
      <c r="D1933" t="s">
        <v>309</v>
      </c>
      <c r="E1933" t="s">
        <v>6</v>
      </c>
      <c r="F1933" t="s">
        <v>251</v>
      </c>
      <c r="G1933">
        <v>5</v>
      </c>
      <c r="H1933" s="2">
        <f>Tabelle13[[#This Row],[commits]]/Tabelle13[[#Totals],[commits]]</f>
        <v>2.3238952202123109E-5</v>
      </c>
      <c r="I1933" s="5">
        <f>Tabelle13[[#This Row],[%]]+I1932</f>
        <v>0.95083567272118463</v>
      </c>
      <c r="J1933" s="4">
        <f t="shared" si="93"/>
        <v>1.105583195135434E-4</v>
      </c>
      <c r="K1933" s="5">
        <f t="shared" si="94"/>
        <v>0.21348811498064435</v>
      </c>
    </row>
    <row r="1934" spans="1:11" x14ac:dyDescent="0.25">
      <c r="A1934" t="s">
        <v>11335</v>
      </c>
      <c r="C1934" t="s">
        <v>11336</v>
      </c>
      <c r="D1934" t="s">
        <v>309</v>
      </c>
      <c r="E1934" t="s">
        <v>6</v>
      </c>
      <c r="F1934" t="s">
        <v>251</v>
      </c>
      <c r="G1934">
        <v>5</v>
      </c>
      <c r="H1934" s="2">
        <f>Tabelle13[[#This Row],[commits]]/Tabelle13[[#Totals],[commits]]</f>
        <v>2.3238952202123109E-5</v>
      </c>
      <c r="I1934" s="5">
        <f>Tabelle13[[#This Row],[%]]+I1933</f>
        <v>0.95085891167338676</v>
      </c>
      <c r="J1934" s="4">
        <f t="shared" si="93"/>
        <v>1.105583195135434E-4</v>
      </c>
      <c r="K1934" s="5">
        <f t="shared" si="94"/>
        <v>0.21359867330015789</v>
      </c>
    </row>
    <row r="1935" spans="1:11" x14ac:dyDescent="0.25">
      <c r="A1935" t="s">
        <v>11337</v>
      </c>
      <c r="C1935" t="s">
        <v>11338</v>
      </c>
      <c r="D1935" t="s">
        <v>309</v>
      </c>
      <c r="E1935" t="s">
        <v>6</v>
      </c>
      <c r="F1935" t="s">
        <v>251</v>
      </c>
      <c r="G1935">
        <v>5</v>
      </c>
      <c r="H1935" s="2">
        <f>Tabelle13[[#This Row],[commits]]/Tabelle13[[#Totals],[commits]]</f>
        <v>2.3238952202123109E-5</v>
      </c>
      <c r="I1935" s="5">
        <f>Tabelle13[[#This Row],[%]]+I1934</f>
        <v>0.9508821506255889</v>
      </c>
      <c r="J1935" s="4">
        <f t="shared" si="93"/>
        <v>1.105583195135434E-4</v>
      </c>
      <c r="K1935" s="5">
        <f t="shared" si="94"/>
        <v>0.21370923161967142</v>
      </c>
    </row>
    <row r="1936" spans="1:11" x14ac:dyDescent="0.25">
      <c r="A1936" t="s">
        <v>11339</v>
      </c>
      <c r="C1936" t="s">
        <v>11340</v>
      </c>
      <c r="D1936" t="s">
        <v>309</v>
      </c>
      <c r="E1936" t="s">
        <v>6</v>
      </c>
      <c r="F1936" t="s">
        <v>251</v>
      </c>
      <c r="G1936">
        <v>5</v>
      </c>
      <c r="H1936" s="2">
        <f>Tabelle13[[#This Row],[commits]]/Tabelle13[[#Totals],[commits]]</f>
        <v>2.3238952202123109E-5</v>
      </c>
      <c r="I1936" s="5">
        <f>Tabelle13[[#This Row],[%]]+I1935</f>
        <v>0.95090538957779103</v>
      </c>
      <c r="J1936" s="4">
        <f t="shared" si="93"/>
        <v>1.105583195135434E-4</v>
      </c>
      <c r="K1936" s="5">
        <f t="shared" si="94"/>
        <v>0.21381978993918496</v>
      </c>
    </row>
    <row r="1937" spans="1:11" x14ac:dyDescent="0.25">
      <c r="A1937" t="s">
        <v>11341</v>
      </c>
      <c r="C1937" t="s">
        <v>11342</v>
      </c>
      <c r="D1937" t="s">
        <v>309</v>
      </c>
      <c r="E1937" t="s">
        <v>6</v>
      </c>
      <c r="F1937" t="s">
        <v>251</v>
      </c>
      <c r="G1937">
        <v>5</v>
      </c>
      <c r="H1937" s="2">
        <f>Tabelle13[[#This Row],[commits]]/Tabelle13[[#Totals],[commits]]</f>
        <v>2.3238952202123109E-5</v>
      </c>
      <c r="I1937" s="5">
        <f>Tabelle13[[#This Row],[%]]+I1936</f>
        <v>0.95092862852999316</v>
      </c>
      <c r="J1937" s="4">
        <f t="shared" si="93"/>
        <v>1.105583195135434E-4</v>
      </c>
      <c r="K1937" s="5">
        <f t="shared" si="94"/>
        <v>0.2139303482586985</v>
      </c>
    </row>
    <row r="1938" spans="1:11" x14ac:dyDescent="0.25">
      <c r="A1938" t="s">
        <v>11343</v>
      </c>
      <c r="C1938" t="s">
        <v>11344</v>
      </c>
      <c r="D1938" t="s">
        <v>309</v>
      </c>
      <c r="E1938" t="s">
        <v>6</v>
      </c>
      <c r="F1938" t="s">
        <v>251</v>
      </c>
      <c r="G1938">
        <v>5</v>
      </c>
      <c r="H1938" s="2">
        <f>Tabelle13[[#This Row],[commits]]/Tabelle13[[#Totals],[commits]]</f>
        <v>2.3238952202123109E-5</v>
      </c>
      <c r="I1938" s="5">
        <f>Tabelle13[[#This Row],[%]]+I1937</f>
        <v>0.95095186748219529</v>
      </c>
      <c r="J1938" s="4">
        <f t="shared" si="93"/>
        <v>1.105583195135434E-4</v>
      </c>
      <c r="K1938" s="5">
        <f t="shared" si="94"/>
        <v>0.21404090657821204</v>
      </c>
    </row>
    <row r="1939" spans="1:11" x14ac:dyDescent="0.25">
      <c r="A1939" t="s">
        <v>11345</v>
      </c>
      <c r="C1939" t="s">
        <v>11346</v>
      </c>
      <c r="D1939" t="s">
        <v>5</v>
      </c>
      <c r="E1939" t="s">
        <v>6</v>
      </c>
      <c r="F1939" t="s">
        <v>251</v>
      </c>
      <c r="G1939">
        <v>5</v>
      </c>
      <c r="H1939" s="2">
        <f>Tabelle13[[#This Row],[commits]]/Tabelle13[[#Totals],[commits]]</f>
        <v>2.3238952202123109E-5</v>
      </c>
      <c r="I1939" s="5">
        <f>Tabelle13[[#This Row],[%]]+I1938</f>
        <v>0.95097510643439742</v>
      </c>
      <c r="J1939" s="4">
        <f t="shared" si="93"/>
        <v>1.105583195135434E-4</v>
      </c>
      <c r="K1939" s="5">
        <f t="shared" si="94"/>
        <v>0.21415146489772557</v>
      </c>
    </row>
    <row r="1940" spans="1:11" x14ac:dyDescent="0.25">
      <c r="A1940" t="s">
        <v>11347</v>
      </c>
      <c r="C1940" t="s">
        <v>11348</v>
      </c>
      <c r="D1940" t="s">
        <v>5</v>
      </c>
      <c r="E1940" t="s">
        <v>6</v>
      </c>
      <c r="F1940" t="s">
        <v>251</v>
      </c>
      <c r="G1940">
        <v>5</v>
      </c>
      <c r="H1940" s="2">
        <f>Tabelle13[[#This Row],[commits]]/Tabelle13[[#Totals],[commits]]</f>
        <v>2.3238952202123109E-5</v>
      </c>
      <c r="I1940" s="5">
        <f>Tabelle13[[#This Row],[%]]+I1939</f>
        <v>0.95099834538659955</v>
      </c>
      <c r="J1940" s="4">
        <f t="shared" si="93"/>
        <v>1.105583195135434E-4</v>
      </c>
      <c r="K1940" s="5">
        <f t="shared" si="94"/>
        <v>0.21426202321723911</v>
      </c>
    </row>
    <row r="1941" spans="1:11" x14ac:dyDescent="0.25">
      <c r="A1941" t="s">
        <v>11349</v>
      </c>
      <c r="C1941" t="s">
        <v>11350</v>
      </c>
      <c r="D1941" t="s">
        <v>11351</v>
      </c>
      <c r="E1941" t="s">
        <v>6</v>
      </c>
      <c r="F1941" t="s">
        <v>251</v>
      </c>
      <c r="G1941">
        <v>5</v>
      </c>
      <c r="H1941" s="2">
        <f>Tabelle13[[#This Row],[commits]]/Tabelle13[[#Totals],[commits]]</f>
        <v>2.3238952202123109E-5</v>
      </c>
      <c r="I1941" s="5">
        <f>Tabelle13[[#This Row],[%]]+I1940</f>
        <v>0.95102158433880168</v>
      </c>
      <c r="J1941" s="4">
        <f t="shared" si="93"/>
        <v>1.105583195135434E-4</v>
      </c>
      <c r="K1941" s="5">
        <f t="shared" si="94"/>
        <v>0.21437258153675265</v>
      </c>
    </row>
    <row r="1942" spans="1:11" x14ac:dyDescent="0.25">
      <c r="A1942" t="s">
        <v>11352</v>
      </c>
      <c r="C1942" t="s">
        <v>11353</v>
      </c>
      <c r="D1942" t="s">
        <v>11354</v>
      </c>
      <c r="E1942" t="s">
        <v>6</v>
      </c>
      <c r="F1942" t="s">
        <v>251</v>
      </c>
      <c r="G1942">
        <v>5</v>
      </c>
      <c r="H1942" s="2">
        <f>Tabelle13[[#This Row],[commits]]/Tabelle13[[#Totals],[commits]]</f>
        <v>2.3238952202123109E-5</v>
      </c>
      <c r="I1942" s="5">
        <f>Tabelle13[[#This Row],[%]]+I1941</f>
        <v>0.95104482329100382</v>
      </c>
      <c r="J1942" s="4">
        <f t="shared" si="93"/>
        <v>1.105583195135434E-4</v>
      </c>
      <c r="K1942" s="5">
        <f t="shared" si="94"/>
        <v>0.21448313985626619</v>
      </c>
    </row>
    <row r="1943" spans="1:11" x14ac:dyDescent="0.25">
      <c r="A1943" t="s">
        <v>11355</v>
      </c>
      <c r="C1943" t="s">
        <v>11356</v>
      </c>
      <c r="D1943" t="s">
        <v>309</v>
      </c>
      <c r="E1943" t="s">
        <v>6</v>
      </c>
      <c r="F1943" t="s">
        <v>251</v>
      </c>
      <c r="G1943">
        <v>5</v>
      </c>
      <c r="H1943" s="2">
        <f>Tabelle13[[#This Row],[commits]]/Tabelle13[[#Totals],[commits]]</f>
        <v>2.3238952202123109E-5</v>
      </c>
      <c r="I1943" s="5">
        <f>Tabelle13[[#This Row],[%]]+I1942</f>
        <v>0.95106806224320595</v>
      </c>
      <c r="J1943" s="4">
        <f t="shared" si="93"/>
        <v>1.105583195135434E-4</v>
      </c>
      <c r="K1943" s="5">
        <f t="shared" si="94"/>
        <v>0.21459369817577972</v>
      </c>
    </row>
    <row r="1944" spans="1:11" x14ac:dyDescent="0.25">
      <c r="A1944" t="s">
        <v>11357</v>
      </c>
      <c r="C1944" t="s">
        <v>11358</v>
      </c>
      <c r="D1944" t="s">
        <v>11359</v>
      </c>
      <c r="E1944" t="s">
        <v>6</v>
      </c>
      <c r="F1944" t="s">
        <v>251</v>
      </c>
      <c r="G1944">
        <v>5</v>
      </c>
      <c r="H1944" s="2">
        <f>Tabelle13[[#This Row],[commits]]/Tabelle13[[#Totals],[commits]]</f>
        <v>2.3238952202123109E-5</v>
      </c>
      <c r="I1944" s="5">
        <f>Tabelle13[[#This Row],[%]]+I1943</f>
        <v>0.95109130119540808</v>
      </c>
      <c r="J1944" s="4">
        <f t="shared" si="93"/>
        <v>1.105583195135434E-4</v>
      </c>
      <c r="K1944" s="5">
        <f t="shared" si="94"/>
        <v>0.21470425649529326</v>
      </c>
    </row>
    <row r="1945" spans="1:11" x14ac:dyDescent="0.25">
      <c r="A1945" t="s">
        <v>11360</v>
      </c>
      <c r="C1945" t="s">
        <v>11361</v>
      </c>
      <c r="D1945" t="s">
        <v>5</v>
      </c>
      <c r="E1945" t="s">
        <v>6</v>
      </c>
      <c r="F1945" t="s">
        <v>251</v>
      </c>
      <c r="G1945">
        <v>5</v>
      </c>
      <c r="H1945" s="2">
        <f>Tabelle13[[#This Row],[commits]]/Tabelle13[[#Totals],[commits]]</f>
        <v>2.3238952202123109E-5</v>
      </c>
      <c r="I1945" s="5">
        <f>Tabelle13[[#This Row],[%]]+I1944</f>
        <v>0.95111454014761021</v>
      </c>
      <c r="J1945" s="4">
        <f t="shared" si="93"/>
        <v>1.105583195135434E-4</v>
      </c>
      <c r="K1945" s="5">
        <f t="shared" si="94"/>
        <v>0.2148148148148068</v>
      </c>
    </row>
    <row r="1946" spans="1:11" x14ac:dyDescent="0.25">
      <c r="A1946" t="s">
        <v>11362</v>
      </c>
      <c r="C1946" t="s">
        <v>11363</v>
      </c>
      <c r="D1946" t="s">
        <v>9997</v>
      </c>
      <c r="E1946" t="s">
        <v>6</v>
      </c>
      <c r="F1946" t="s">
        <v>251</v>
      </c>
      <c r="G1946">
        <v>5</v>
      </c>
      <c r="H1946" s="2">
        <f>Tabelle13[[#This Row],[commits]]/Tabelle13[[#Totals],[commits]]</f>
        <v>2.3238952202123109E-5</v>
      </c>
      <c r="I1946" s="5">
        <f>Tabelle13[[#This Row],[%]]+I1945</f>
        <v>0.95113777909981234</v>
      </c>
      <c r="J1946" s="4">
        <f t="shared" si="93"/>
        <v>1.105583195135434E-4</v>
      </c>
      <c r="K1946" s="5">
        <f t="shared" si="94"/>
        <v>0.21492537313432034</v>
      </c>
    </row>
    <row r="1947" spans="1:11" x14ac:dyDescent="0.25">
      <c r="A1947" t="s">
        <v>11364</v>
      </c>
      <c r="C1947" t="s">
        <v>11365</v>
      </c>
      <c r="D1947" t="s">
        <v>9035</v>
      </c>
      <c r="E1947" t="s">
        <v>6</v>
      </c>
      <c r="F1947" t="s">
        <v>251</v>
      </c>
      <c r="G1947">
        <v>5</v>
      </c>
      <c r="H1947" s="2">
        <f>Tabelle13[[#This Row],[commits]]/Tabelle13[[#Totals],[commits]]</f>
        <v>2.3238952202123109E-5</v>
      </c>
      <c r="I1947" s="5">
        <f>Tabelle13[[#This Row],[%]]+I1946</f>
        <v>0.95116101805201447</v>
      </c>
      <c r="J1947" s="4">
        <f t="shared" si="93"/>
        <v>1.105583195135434E-4</v>
      </c>
      <c r="K1947" s="5">
        <f t="shared" si="94"/>
        <v>0.21503593145383387</v>
      </c>
    </row>
    <row r="1948" spans="1:11" x14ac:dyDescent="0.25">
      <c r="A1948" t="s">
        <v>11366</v>
      </c>
      <c r="C1948" t="s">
        <v>1843</v>
      </c>
      <c r="D1948" t="s">
        <v>11367</v>
      </c>
      <c r="E1948" t="s">
        <v>6</v>
      </c>
      <c r="F1948" t="s">
        <v>251</v>
      </c>
      <c r="G1948">
        <v>5</v>
      </c>
      <c r="H1948" s="2">
        <f>Tabelle13[[#This Row],[commits]]/Tabelle13[[#Totals],[commits]]</f>
        <v>2.3238952202123109E-5</v>
      </c>
      <c r="I1948" s="5">
        <f>Tabelle13[[#This Row],[%]]+I1947</f>
        <v>0.9511842570042166</v>
      </c>
      <c r="J1948" s="4">
        <f t="shared" si="93"/>
        <v>1.105583195135434E-4</v>
      </c>
      <c r="K1948" s="5">
        <f t="shared" si="94"/>
        <v>0.21514648977334741</v>
      </c>
    </row>
    <row r="1949" spans="1:11" x14ac:dyDescent="0.25">
      <c r="A1949" t="s">
        <v>11368</v>
      </c>
      <c r="C1949" t="s">
        <v>11369</v>
      </c>
      <c r="D1949" t="s">
        <v>5</v>
      </c>
      <c r="E1949" t="s">
        <v>6</v>
      </c>
      <c r="F1949" t="s">
        <v>251</v>
      </c>
      <c r="G1949">
        <v>5</v>
      </c>
      <c r="H1949" s="2">
        <f>Tabelle13[[#This Row],[commits]]/Tabelle13[[#Totals],[commits]]</f>
        <v>2.3238952202123109E-5</v>
      </c>
      <c r="I1949" s="5">
        <f>Tabelle13[[#This Row],[%]]+I1948</f>
        <v>0.95120749595641874</v>
      </c>
      <c r="J1949" s="4">
        <f t="shared" si="93"/>
        <v>1.105583195135434E-4</v>
      </c>
      <c r="K1949" s="5">
        <f t="shared" si="94"/>
        <v>0.21525704809286095</v>
      </c>
    </row>
    <row r="1950" spans="1:11" x14ac:dyDescent="0.25">
      <c r="A1950" t="s">
        <v>11370</v>
      </c>
      <c r="C1950" t="s">
        <v>11371</v>
      </c>
      <c r="D1950" t="s">
        <v>5</v>
      </c>
      <c r="E1950" t="s">
        <v>6</v>
      </c>
      <c r="F1950" t="s">
        <v>251</v>
      </c>
      <c r="G1950">
        <v>5</v>
      </c>
      <c r="H1950" s="2">
        <f>Tabelle13[[#This Row],[commits]]/Tabelle13[[#Totals],[commits]]</f>
        <v>2.3238952202123109E-5</v>
      </c>
      <c r="I1950" s="5">
        <f>Tabelle13[[#This Row],[%]]+I1949</f>
        <v>0.95123073490862087</v>
      </c>
      <c r="J1950" s="4">
        <f t="shared" si="93"/>
        <v>1.105583195135434E-4</v>
      </c>
      <c r="K1950" s="5">
        <f t="shared" si="94"/>
        <v>0.21536760641237448</v>
      </c>
    </row>
    <row r="1951" spans="1:11" x14ac:dyDescent="0.25">
      <c r="A1951" t="s">
        <v>11372</v>
      </c>
      <c r="C1951" t="s">
        <v>11373</v>
      </c>
      <c r="D1951" t="s">
        <v>5</v>
      </c>
      <c r="E1951" t="s">
        <v>6</v>
      </c>
      <c r="F1951" t="s">
        <v>251</v>
      </c>
      <c r="G1951">
        <v>5</v>
      </c>
      <c r="H1951" s="2">
        <f>Tabelle13[[#This Row],[commits]]/Tabelle13[[#Totals],[commits]]</f>
        <v>2.3238952202123109E-5</v>
      </c>
      <c r="I1951" s="5">
        <f>Tabelle13[[#This Row],[%]]+I1950</f>
        <v>0.951253973860823</v>
      </c>
      <c r="J1951" s="4">
        <f t="shared" si="93"/>
        <v>1.105583195135434E-4</v>
      </c>
      <c r="K1951" s="5">
        <f t="shared" si="94"/>
        <v>0.21547816473188802</v>
      </c>
    </row>
    <row r="1952" spans="1:11" x14ac:dyDescent="0.25">
      <c r="A1952" t="s">
        <v>11374</v>
      </c>
      <c r="C1952" t="s">
        <v>11375</v>
      </c>
      <c r="D1952" t="s">
        <v>9929</v>
      </c>
      <c r="E1952" t="s">
        <v>6</v>
      </c>
      <c r="F1952" t="s">
        <v>251</v>
      </c>
      <c r="G1952">
        <v>5</v>
      </c>
      <c r="H1952" s="2">
        <f>Tabelle13[[#This Row],[commits]]/Tabelle13[[#Totals],[commits]]</f>
        <v>2.3238952202123109E-5</v>
      </c>
      <c r="I1952" s="5">
        <f>Tabelle13[[#This Row],[%]]+I1951</f>
        <v>0.95127721281302513</v>
      </c>
      <c r="J1952" s="4">
        <f t="shared" si="93"/>
        <v>1.105583195135434E-4</v>
      </c>
      <c r="K1952" s="5">
        <f t="shared" si="94"/>
        <v>0.21558872305140156</v>
      </c>
    </row>
    <row r="1953" spans="1:11" x14ac:dyDescent="0.25">
      <c r="A1953" t="s">
        <v>11376</v>
      </c>
      <c r="C1953" t="s">
        <v>11377</v>
      </c>
      <c r="D1953" t="s">
        <v>9453</v>
      </c>
      <c r="E1953" t="s">
        <v>6</v>
      </c>
      <c r="F1953" t="s">
        <v>251</v>
      </c>
      <c r="G1953">
        <v>5</v>
      </c>
      <c r="H1953" s="2">
        <f>Tabelle13[[#This Row],[commits]]/Tabelle13[[#Totals],[commits]]</f>
        <v>2.3238952202123109E-5</v>
      </c>
      <c r="I1953" s="5">
        <f>Tabelle13[[#This Row],[%]]+I1952</f>
        <v>0.95130045176522726</v>
      </c>
      <c r="J1953" s="4">
        <f t="shared" si="93"/>
        <v>1.105583195135434E-4</v>
      </c>
      <c r="K1953" s="5">
        <f t="shared" si="94"/>
        <v>0.2156992813709151</v>
      </c>
    </row>
    <row r="1954" spans="1:11" x14ac:dyDescent="0.25">
      <c r="A1954" t="s">
        <v>11378</v>
      </c>
      <c r="C1954" t="s">
        <v>8698</v>
      </c>
      <c r="D1954" t="s">
        <v>5</v>
      </c>
      <c r="E1954" t="s">
        <v>6</v>
      </c>
      <c r="F1954" t="s">
        <v>251</v>
      </c>
      <c r="G1954">
        <v>5</v>
      </c>
      <c r="H1954" s="2">
        <f>Tabelle13[[#This Row],[commits]]/Tabelle13[[#Totals],[commits]]</f>
        <v>2.3238952202123109E-5</v>
      </c>
      <c r="I1954" s="5">
        <f>Tabelle13[[#This Row],[%]]+I1953</f>
        <v>0.95132369071742939</v>
      </c>
      <c r="J1954" s="4">
        <f t="shared" si="93"/>
        <v>1.105583195135434E-4</v>
      </c>
      <c r="K1954" s="5">
        <f t="shared" si="94"/>
        <v>0.21580983969042863</v>
      </c>
    </row>
    <row r="1955" spans="1:11" x14ac:dyDescent="0.25">
      <c r="A1955" t="s">
        <v>11379</v>
      </c>
      <c r="C1955" t="s">
        <v>11380</v>
      </c>
      <c r="D1955" t="s">
        <v>5</v>
      </c>
      <c r="E1955" t="s">
        <v>6</v>
      </c>
      <c r="F1955" t="s">
        <v>251</v>
      </c>
      <c r="G1955">
        <v>5</v>
      </c>
      <c r="H1955" s="2">
        <f>Tabelle13[[#This Row],[commits]]/Tabelle13[[#Totals],[commits]]</f>
        <v>2.3238952202123109E-5</v>
      </c>
      <c r="I1955" s="5">
        <f>Tabelle13[[#This Row],[%]]+I1954</f>
        <v>0.95134692966963152</v>
      </c>
      <c r="J1955" s="4">
        <f t="shared" si="93"/>
        <v>1.105583195135434E-4</v>
      </c>
      <c r="K1955" s="5">
        <f t="shared" si="94"/>
        <v>0.21592039800994217</v>
      </c>
    </row>
    <row r="1956" spans="1:11" x14ac:dyDescent="0.25">
      <c r="A1956" t="s">
        <v>11381</v>
      </c>
      <c r="C1956" t="s">
        <v>11382</v>
      </c>
      <c r="D1956" t="s">
        <v>309</v>
      </c>
      <c r="E1956" t="s">
        <v>6</v>
      </c>
      <c r="F1956" t="s">
        <v>251</v>
      </c>
      <c r="G1956">
        <v>5</v>
      </c>
      <c r="H1956" s="2">
        <f>Tabelle13[[#This Row],[commits]]/Tabelle13[[#Totals],[commits]]</f>
        <v>2.3238952202123109E-5</v>
      </c>
      <c r="I1956" s="5">
        <f>Tabelle13[[#This Row],[%]]+I1955</f>
        <v>0.95137016862183366</v>
      </c>
      <c r="J1956" s="4">
        <f t="shared" si="93"/>
        <v>1.105583195135434E-4</v>
      </c>
      <c r="K1956" s="5">
        <f t="shared" si="94"/>
        <v>0.21603095632945571</v>
      </c>
    </row>
    <row r="1957" spans="1:11" x14ac:dyDescent="0.25">
      <c r="A1957" t="s">
        <v>11383</v>
      </c>
      <c r="C1957" t="s">
        <v>11384</v>
      </c>
      <c r="D1957" t="s">
        <v>309</v>
      </c>
      <c r="E1957" t="s">
        <v>6</v>
      </c>
      <c r="F1957" t="s">
        <v>251</v>
      </c>
      <c r="G1957">
        <v>5</v>
      </c>
      <c r="H1957" s="2">
        <f>Tabelle13[[#This Row],[commits]]/Tabelle13[[#Totals],[commits]]</f>
        <v>2.3238952202123109E-5</v>
      </c>
      <c r="I1957" s="5">
        <f>Tabelle13[[#This Row],[%]]+I1956</f>
        <v>0.95139340757403579</v>
      </c>
      <c r="J1957" s="4">
        <f t="shared" si="93"/>
        <v>1.105583195135434E-4</v>
      </c>
      <c r="K1957" s="5">
        <f t="shared" si="94"/>
        <v>0.21614151464896925</v>
      </c>
    </row>
    <row r="1958" spans="1:11" x14ac:dyDescent="0.25">
      <c r="A1958" t="s">
        <v>11385</v>
      </c>
      <c r="C1958" t="s">
        <v>11386</v>
      </c>
      <c r="D1958" t="s">
        <v>9035</v>
      </c>
      <c r="E1958" t="s">
        <v>6</v>
      </c>
      <c r="F1958" t="s">
        <v>251</v>
      </c>
      <c r="G1958">
        <v>5</v>
      </c>
      <c r="H1958" s="2">
        <f>Tabelle13[[#This Row],[commits]]/Tabelle13[[#Totals],[commits]]</f>
        <v>2.3238952202123109E-5</v>
      </c>
      <c r="I1958" s="5">
        <f>Tabelle13[[#This Row],[%]]+I1957</f>
        <v>0.95141664652623792</v>
      </c>
      <c r="J1958" s="4">
        <f t="shared" si="93"/>
        <v>1.105583195135434E-4</v>
      </c>
      <c r="K1958" s="5">
        <f t="shared" si="94"/>
        <v>0.21625207296848278</v>
      </c>
    </row>
    <row r="1959" spans="1:11" x14ac:dyDescent="0.25">
      <c r="A1959" t="s">
        <v>11387</v>
      </c>
      <c r="C1959" t="s">
        <v>11388</v>
      </c>
      <c r="D1959" t="s">
        <v>5</v>
      </c>
      <c r="E1959" t="s">
        <v>6</v>
      </c>
      <c r="F1959" t="s">
        <v>251</v>
      </c>
      <c r="G1959">
        <v>5</v>
      </c>
      <c r="H1959" s="2">
        <f>Tabelle13[[#This Row],[commits]]/Tabelle13[[#Totals],[commits]]</f>
        <v>2.3238952202123109E-5</v>
      </c>
      <c r="I1959" s="5">
        <f>Tabelle13[[#This Row],[%]]+I1958</f>
        <v>0.95143988547844005</v>
      </c>
      <c r="J1959" s="4">
        <f t="shared" si="93"/>
        <v>1.105583195135434E-4</v>
      </c>
      <c r="K1959" s="5">
        <f t="shared" si="94"/>
        <v>0.21636263128799632</v>
      </c>
    </row>
    <row r="1960" spans="1:11" x14ac:dyDescent="0.25">
      <c r="A1960" t="s">
        <v>11389</v>
      </c>
      <c r="C1960" t="s">
        <v>11390</v>
      </c>
      <c r="D1960" t="s">
        <v>5</v>
      </c>
      <c r="E1960" t="s">
        <v>6</v>
      </c>
      <c r="F1960" t="s">
        <v>251</v>
      </c>
      <c r="G1960">
        <v>5</v>
      </c>
      <c r="H1960" s="2">
        <f>Tabelle13[[#This Row],[commits]]/Tabelle13[[#Totals],[commits]]</f>
        <v>2.3238952202123109E-5</v>
      </c>
      <c r="I1960" s="5">
        <f>Tabelle13[[#This Row],[%]]+I1959</f>
        <v>0.95146312443064218</v>
      </c>
      <c r="J1960" s="4">
        <f t="shared" si="93"/>
        <v>1.105583195135434E-4</v>
      </c>
      <c r="K1960" s="5">
        <f t="shared" si="94"/>
        <v>0.21647318960750986</v>
      </c>
    </row>
    <row r="1961" spans="1:11" x14ac:dyDescent="0.25">
      <c r="A1961" t="s">
        <v>11391</v>
      </c>
      <c r="C1961" t="s">
        <v>11392</v>
      </c>
      <c r="D1961" t="s">
        <v>5</v>
      </c>
      <c r="E1961" t="s">
        <v>6</v>
      </c>
      <c r="F1961" t="s">
        <v>251</v>
      </c>
      <c r="G1961">
        <v>5</v>
      </c>
      <c r="H1961" s="2">
        <f>Tabelle13[[#This Row],[commits]]/Tabelle13[[#Totals],[commits]]</f>
        <v>2.3238952202123109E-5</v>
      </c>
      <c r="I1961" s="5">
        <f>Tabelle13[[#This Row],[%]]+I1960</f>
        <v>0.95148636338284431</v>
      </c>
      <c r="J1961" s="4">
        <f t="shared" si="93"/>
        <v>1.105583195135434E-4</v>
      </c>
      <c r="K1961" s="5">
        <f t="shared" si="94"/>
        <v>0.2165837479270234</v>
      </c>
    </row>
    <row r="1962" spans="1:11" x14ac:dyDescent="0.25">
      <c r="A1962" t="s">
        <v>11393</v>
      </c>
      <c r="C1962" t="s">
        <v>11394</v>
      </c>
      <c r="D1962" t="s">
        <v>5</v>
      </c>
      <c r="E1962" t="s">
        <v>6</v>
      </c>
      <c r="F1962" t="s">
        <v>251</v>
      </c>
      <c r="G1962">
        <v>5</v>
      </c>
      <c r="H1962" s="2">
        <f>Tabelle13[[#This Row],[commits]]/Tabelle13[[#Totals],[commits]]</f>
        <v>2.3238952202123109E-5</v>
      </c>
      <c r="I1962" s="5">
        <f>Tabelle13[[#This Row],[%]]+I1961</f>
        <v>0.95150960233504644</v>
      </c>
      <c r="J1962" s="4">
        <f t="shared" si="93"/>
        <v>1.105583195135434E-4</v>
      </c>
      <c r="K1962" s="5">
        <f t="shared" si="94"/>
        <v>0.21669430624653693</v>
      </c>
    </row>
    <row r="1963" spans="1:11" x14ac:dyDescent="0.25">
      <c r="A1963" t="s">
        <v>11395</v>
      </c>
      <c r="C1963">
        <v>815244047</v>
      </c>
      <c r="D1963" t="s">
        <v>5</v>
      </c>
      <c r="E1963" t="s">
        <v>6</v>
      </c>
      <c r="F1963" t="s">
        <v>251</v>
      </c>
      <c r="G1963">
        <v>5</v>
      </c>
      <c r="H1963" s="2">
        <f>Tabelle13[[#This Row],[commits]]/Tabelle13[[#Totals],[commits]]</f>
        <v>2.3238952202123109E-5</v>
      </c>
      <c r="I1963" s="5">
        <f>Tabelle13[[#This Row],[%]]+I1962</f>
        <v>0.95153284128724858</v>
      </c>
      <c r="J1963" s="4">
        <f t="shared" si="93"/>
        <v>1.105583195135434E-4</v>
      </c>
      <c r="K1963" s="5">
        <f t="shared" si="94"/>
        <v>0.21680486456605047</v>
      </c>
    </row>
    <row r="1964" spans="1:11" x14ac:dyDescent="0.25">
      <c r="A1964" t="s">
        <v>11396</v>
      </c>
      <c r="C1964" t="s">
        <v>11397</v>
      </c>
      <c r="D1964" t="s">
        <v>5</v>
      </c>
      <c r="E1964" t="s">
        <v>6</v>
      </c>
      <c r="F1964" t="s">
        <v>251</v>
      </c>
      <c r="G1964">
        <v>5</v>
      </c>
      <c r="H1964" s="2">
        <f>Tabelle13[[#This Row],[commits]]/Tabelle13[[#Totals],[commits]]</f>
        <v>2.3238952202123109E-5</v>
      </c>
      <c r="I1964" s="5">
        <f>Tabelle13[[#This Row],[%]]+I1963</f>
        <v>0.95155608023945071</v>
      </c>
      <c r="J1964" s="4">
        <f t="shared" si="93"/>
        <v>1.105583195135434E-4</v>
      </c>
      <c r="K1964" s="5">
        <f t="shared" si="94"/>
        <v>0.21691542288556401</v>
      </c>
    </row>
    <row r="1965" spans="1:11" x14ac:dyDescent="0.25">
      <c r="A1965" t="s">
        <v>11398</v>
      </c>
      <c r="C1965" t="s">
        <v>11399</v>
      </c>
      <c r="D1965" t="s">
        <v>5</v>
      </c>
      <c r="E1965" t="s">
        <v>6</v>
      </c>
      <c r="F1965" t="s">
        <v>251</v>
      </c>
      <c r="G1965">
        <v>5</v>
      </c>
      <c r="H1965" s="2">
        <f>Tabelle13[[#This Row],[commits]]/Tabelle13[[#Totals],[commits]]</f>
        <v>2.3238952202123109E-5</v>
      </c>
      <c r="I1965" s="5">
        <f>Tabelle13[[#This Row],[%]]+I1964</f>
        <v>0.95157931919165284</v>
      </c>
      <c r="J1965" s="4">
        <f t="shared" si="93"/>
        <v>1.105583195135434E-4</v>
      </c>
      <c r="K1965" s="5">
        <f t="shared" si="94"/>
        <v>0.21702598120507754</v>
      </c>
    </row>
    <row r="1966" spans="1:11" x14ac:dyDescent="0.25">
      <c r="A1966" t="s">
        <v>11400</v>
      </c>
      <c r="C1966" t="s">
        <v>11401</v>
      </c>
      <c r="D1966" t="s">
        <v>5</v>
      </c>
      <c r="E1966" t="s">
        <v>6</v>
      </c>
      <c r="F1966" t="s">
        <v>251</v>
      </c>
      <c r="G1966">
        <v>5</v>
      </c>
      <c r="H1966" s="2">
        <f>Tabelle13[[#This Row],[commits]]/Tabelle13[[#Totals],[commits]]</f>
        <v>2.3238952202123109E-5</v>
      </c>
      <c r="I1966" s="5">
        <f>Tabelle13[[#This Row],[%]]+I1965</f>
        <v>0.95160255814385497</v>
      </c>
      <c r="J1966" s="4">
        <f t="shared" si="93"/>
        <v>1.105583195135434E-4</v>
      </c>
      <c r="K1966" s="5">
        <f t="shared" si="94"/>
        <v>0.21713653952459108</v>
      </c>
    </row>
    <row r="1967" spans="1:11" x14ac:dyDescent="0.25">
      <c r="A1967" t="s">
        <v>11402</v>
      </c>
      <c r="C1967" t="s">
        <v>11403</v>
      </c>
      <c r="D1967" t="s">
        <v>5</v>
      </c>
      <c r="E1967" t="s">
        <v>6</v>
      </c>
      <c r="F1967" t="s">
        <v>251</v>
      </c>
      <c r="G1967">
        <v>5</v>
      </c>
      <c r="H1967" s="2">
        <f>Tabelle13[[#This Row],[commits]]/Tabelle13[[#Totals],[commits]]</f>
        <v>2.3238952202123109E-5</v>
      </c>
      <c r="I1967" s="5">
        <f>Tabelle13[[#This Row],[%]]+I1966</f>
        <v>0.9516257970960571</v>
      </c>
      <c r="J1967" s="4">
        <f t="shared" si="93"/>
        <v>1.105583195135434E-4</v>
      </c>
      <c r="K1967" s="5">
        <f t="shared" si="94"/>
        <v>0.21724709784410462</v>
      </c>
    </row>
    <row r="1968" spans="1:11" x14ac:dyDescent="0.25">
      <c r="A1968" t="s">
        <v>11404</v>
      </c>
      <c r="C1968" t="s">
        <v>11405</v>
      </c>
      <c r="D1968" t="s">
        <v>5</v>
      </c>
      <c r="E1968" t="s">
        <v>6</v>
      </c>
      <c r="F1968" t="s">
        <v>251</v>
      </c>
      <c r="G1968">
        <v>5</v>
      </c>
      <c r="H1968" s="2">
        <f>Tabelle13[[#This Row],[commits]]/Tabelle13[[#Totals],[commits]]</f>
        <v>2.3238952202123109E-5</v>
      </c>
      <c r="I1968" s="5">
        <f>Tabelle13[[#This Row],[%]]+I1967</f>
        <v>0.95164903604825923</v>
      </c>
      <c r="J1968" s="4">
        <f t="shared" si="93"/>
        <v>1.105583195135434E-4</v>
      </c>
      <c r="K1968" s="5">
        <f t="shared" si="94"/>
        <v>0.21735765616361816</v>
      </c>
    </row>
    <row r="1969" spans="1:11" x14ac:dyDescent="0.25">
      <c r="A1969" t="s">
        <v>11406</v>
      </c>
      <c r="C1969" t="s">
        <v>11407</v>
      </c>
      <c r="D1969" t="s">
        <v>5</v>
      </c>
      <c r="E1969" t="s">
        <v>6</v>
      </c>
      <c r="F1969" t="s">
        <v>251</v>
      </c>
      <c r="G1969">
        <v>5</v>
      </c>
      <c r="H1969" s="2">
        <f>Tabelle13[[#This Row],[commits]]/Tabelle13[[#Totals],[commits]]</f>
        <v>2.3238952202123109E-5</v>
      </c>
      <c r="I1969" s="5">
        <f>Tabelle13[[#This Row],[%]]+I1968</f>
        <v>0.95167227500046137</v>
      </c>
      <c r="J1969" s="4">
        <f t="shared" si="93"/>
        <v>1.105583195135434E-4</v>
      </c>
      <c r="K1969" s="5">
        <f t="shared" si="94"/>
        <v>0.21746821448313169</v>
      </c>
    </row>
    <row r="1970" spans="1:11" x14ac:dyDescent="0.25">
      <c r="A1970" t="s">
        <v>11408</v>
      </c>
      <c r="C1970" t="s">
        <v>11409</v>
      </c>
      <c r="D1970" t="s">
        <v>10712</v>
      </c>
      <c r="E1970" t="s">
        <v>6</v>
      </c>
      <c r="F1970" t="s">
        <v>251</v>
      </c>
      <c r="G1970">
        <v>5</v>
      </c>
      <c r="H1970" s="2">
        <f>Tabelle13[[#This Row],[commits]]/Tabelle13[[#Totals],[commits]]</f>
        <v>2.3238952202123109E-5</v>
      </c>
      <c r="I1970" s="5">
        <f>Tabelle13[[#This Row],[%]]+I1969</f>
        <v>0.9516955139526635</v>
      </c>
      <c r="J1970" s="4">
        <f t="shared" si="93"/>
        <v>1.105583195135434E-4</v>
      </c>
      <c r="K1970" s="5">
        <f t="shared" si="94"/>
        <v>0.21757877280264523</v>
      </c>
    </row>
    <row r="1971" spans="1:11" x14ac:dyDescent="0.25">
      <c r="A1971" t="s">
        <v>11410</v>
      </c>
      <c r="C1971" t="s">
        <v>11411</v>
      </c>
      <c r="D1971" t="s">
        <v>5</v>
      </c>
      <c r="E1971" t="s">
        <v>6</v>
      </c>
      <c r="F1971" t="s">
        <v>251</v>
      </c>
      <c r="G1971">
        <v>5</v>
      </c>
      <c r="H1971" s="2">
        <f>Tabelle13[[#This Row],[commits]]/Tabelle13[[#Totals],[commits]]</f>
        <v>2.3238952202123109E-5</v>
      </c>
      <c r="I1971" s="5">
        <f>Tabelle13[[#This Row],[%]]+I1970</f>
        <v>0.95171875290486563</v>
      </c>
      <c r="J1971" s="4">
        <f t="shared" si="93"/>
        <v>1.105583195135434E-4</v>
      </c>
      <c r="K1971" s="5">
        <f t="shared" si="94"/>
        <v>0.21768933112215877</v>
      </c>
    </row>
    <row r="1972" spans="1:11" x14ac:dyDescent="0.25">
      <c r="A1972" t="s">
        <v>11412</v>
      </c>
      <c r="C1972" t="s">
        <v>11413</v>
      </c>
      <c r="D1972" t="s">
        <v>8948</v>
      </c>
      <c r="E1972" t="s">
        <v>6</v>
      </c>
      <c r="F1972" t="s">
        <v>251</v>
      </c>
      <c r="G1972">
        <v>5</v>
      </c>
      <c r="H1972" s="2">
        <f>Tabelle13[[#This Row],[commits]]/Tabelle13[[#Totals],[commits]]</f>
        <v>2.3238952202123109E-5</v>
      </c>
      <c r="I1972" s="5">
        <f>Tabelle13[[#This Row],[%]]+I1971</f>
        <v>0.95174199185706776</v>
      </c>
      <c r="J1972" s="4">
        <f t="shared" si="93"/>
        <v>1.105583195135434E-4</v>
      </c>
      <c r="K1972" s="5">
        <f t="shared" si="94"/>
        <v>0.21779988944167231</v>
      </c>
    </row>
    <row r="1973" spans="1:11" x14ac:dyDescent="0.25">
      <c r="A1973" t="s">
        <v>11414</v>
      </c>
      <c r="C1973" t="s">
        <v>11415</v>
      </c>
      <c r="D1973" t="s">
        <v>8874</v>
      </c>
      <c r="E1973" t="s">
        <v>6</v>
      </c>
      <c r="F1973" t="s">
        <v>251</v>
      </c>
      <c r="G1973">
        <v>5</v>
      </c>
      <c r="H1973" s="2">
        <f>Tabelle13[[#This Row],[commits]]/Tabelle13[[#Totals],[commits]]</f>
        <v>2.3238952202123109E-5</v>
      </c>
      <c r="I1973" s="5">
        <f>Tabelle13[[#This Row],[%]]+I1972</f>
        <v>0.95176523080926989</v>
      </c>
      <c r="J1973" s="4">
        <f t="shared" si="93"/>
        <v>1.105583195135434E-4</v>
      </c>
      <c r="K1973" s="5">
        <f t="shared" si="94"/>
        <v>0.21791044776118584</v>
      </c>
    </row>
    <row r="1974" spans="1:11" x14ac:dyDescent="0.25">
      <c r="A1974" t="s">
        <v>11416</v>
      </c>
      <c r="C1974" t="s">
        <v>11417</v>
      </c>
      <c r="D1974" t="s">
        <v>5</v>
      </c>
      <c r="E1974" t="s">
        <v>6</v>
      </c>
      <c r="F1974" t="s">
        <v>251</v>
      </c>
      <c r="G1974">
        <v>5</v>
      </c>
      <c r="H1974" s="2">
        <f>Tabelle13[[#This Row],[commits]]/Tabelle13[[#Totals],[commits]]</f>
        <v>2.3238952202123109E-5</v>
      </c>
      <c r="I1974" s="5">
        <f>Tabelle13[[#This Row],[%]]+I1973</f>
        <v>0.95178846976147202</v>
      </c>
      <c r="J1974" s="4">
        <f t="shared" si="93"/>
        <v>1.105583195135434E-4</v>
      </c>
      <c r="K1974" s="5">
        <f t="shared" si="94"/>
        <v>0.21802100608069938</v>
      </c>
    </row>
    <row r="1975" spans="1:11" x14ac:dyDescent="0.25">
      <c r="A1975" t="s">
        <v>11418</v>
      </c>
      <c r="C1975" t="s">
        <v>11419</v>
      </c>
      <c r="D1975" t="s">
        <v>5</v>
      </c>
      <c r="E1975" t="s">
        <v>6</v>
      </c>
      <c r="F1975" t="s">
        <v>251</v>
      </c>
      <c r="G1975">
        <v>5</v>
      </c>
      <c r="H1975" s="2">
        <f>Tabelle13[[#This Row],[commits]]/Tabelle13[[#Totals],[commits]]</f>
        <v>2.3238952202123109E-5</v>
      </c>
      <c r="I1975" s="5">
        <f>Tabelle13[[#This Row],[%]]+I1974</f>
        <v>0.95181170871367415</v>
      </c>
      <c r="J1975" s="4">
        <f t="shared" si="93"/>
        <v>1.105583195135434E-4</v>
      </c>
      <c r="K1975" s="5">
        <f t="shared" si="94"/>
        <v>0.21813156440021292</v>
      </c>
    </row>
    <row r="1976" spans="1:11" x14ac:dyDescent="0.25">
      <c r="A1976" t="s">
        <v>11420</v>
      </c>
      <c r="C1976" t="s">
        <v>11421</v>
      </c>
      <c r="D1976" t="s">
        <v>5</v>
      </c>
      <c r="E1976" t="s">
        <v>6</v>
      </c>
      <c r="F1976" t="s">
        <v>251</v>
      </c>
      <c r="G1976">
        <v>5</v>
      </c>
      <c r="H1976" s="2">
        <f>Tabelle13[[#This Row],[commits]]/Tabelle13[[#Totals],[commits]]</f>
        <v>2.3238952202123109E-5</v>
      </c>
      <c r="I1976" s="5">
        <f>Tabelle13[[#This Row],[%]]+I1975</f>
        <v>0.95183494766587629</v>
      </c>
      <c r="J1976" s="4">
        <f t="shared" si="93"/>
        <v>1.105583195135434E-4</v>
      </c>
      <c r="K1976" s="5">
        <f t="shared" si="94"/>
        <v>0.21824212271972646</v>
      </c>
    </row>
    <row r="1977" spans="1:11" x14ac:dyDescent="0.25">
      <c r="A1977" t="s">
        <v>11422</v>
      </c>
      <c r="C1977" t="s">
        <v>11423</v>
      </c>
      <c r="D1977" t="s">
        <v>309</v>
      </c>
      <c r="E1977" t="s">
        <v>6</v>
      </c>
      <c r="F1977" t="s">
        <v>251</v>
      </c>
      <c r="G1977">
        <v>5</v>
      </c>
      <c r="H1977" s="2">
        <f>Tabelle13[[#This Row],[commits]]/Tabelle13[[#Totals],[commits]]</f>
        <v>2.3238952202123109E-5</v>
      </c>
      <c r="I1977" s="5">
        <f>Tabelle13[[#This Row],[%]]+I1976</f>
        <v>0.95185818661807842</v>
      </c>
      <c r="J1977" s="4">
        <f t="shared" si="93"/>
        <v>1.105583195135434E-4</v>
      </c>
      <c r="K1977" s="5">
        <f t="shared" si="94"/>
        <v>0.21835268103923999</v>
      </c>
    </row>
    <row r="1978" spans="1:11" x14ac:dyDescent="0.25">
      <c r="A1978" t="s">
        <v>11424</v>
      </c>
      <c r="C1978" t="s">
        <v>11425</v>
      </c>
      <c r="D1978" t="s">
        <v>9035</v>
      </c>
      <c r="E1978" t="s">
        <v>6</v>
      </c>
      <c r="F1978" t="s">
        <v>251</v>
      </c>
      <c r="G1978">
        <v>5</v>
      </c>
      <c r="H1978" s="2">
        <f>Tabelle13[[#This Row],[commits]]/Tabelle13[[#Totals],[commits]]</f>
        <v>2.3238952202123109E-5</v>
      </c>
      <c r="I1978" s="5">
        <f>Tabelle13[[#This Row],[%]]+I1977</f>
        <v>0.95188142557028055</v>
      </c>
      <c r="J1978" s="4">
        <f t="shared" si="93"/>
        <v>1.105583195135434E-4</v>
      </c>
      <c r="K1978" s="5">
        <f t="shared" si="94"/>
        <v>0.21846323935875353</v>
      </c>
    </row>
    <row r="1979" spans="1:11" x14ac:dyDescent="0.25">
      <c r="A1979" t="s">
        <v>11426</v>
      </c>
      <c r="C1979" t="s">
        <v>11427</v>
      </c>
      <c r="D1979" t="s">
        <v>309</v>
      </c>
      <c r="E1979" t="s">
        <v>6</v>
      </c>
      <c r="F1979" t="s">
        <v>251</v>
      </c>
      <c r="G1979">
        <v>5</v>
      </c>
      <c r="H1979" s="2">
        <f>Tabelle13[[#This Row],[commits]]/Tabelle13[[#Totals],[commits]]</f>
        <v>2.3238952202123109E-5</v>
      </c>
      <c r="I1979" s="5">
        <f>Tabelle13[[#This Row],[%]]+I1978</f>
        <v>0.95190466452248268</v>
      </c>
      <c r="J1979" s="4">
        <f t="shared" si="93"/>
        <v>1.105583195135434E-4</v>
      </c>
      <c r="K1979" s="5">
        <f t="shared" si="94"/>
        <v>0.21857379767826707</v>
      </c>
    </row>
    <row r="1980" spans="1:11" x14ac:dyDescent="0.25">
      <c r="A1980" t="s">
        <v>11428</v>
      </c>
      <c r="C1980" t="s">
        <v>11429</v>
      </c>
      <c r="D1980" t="s">
        <v>5</v>
      </c>
      <c r="E1980" t="s">
        <v>6</v>
      </c>
      <c r="F1980" t="s">
        <v>251</v>
      </c>
      <c r="G1980">
        <v>5</v>
      </c>
      <c r="H1980" s="2">
        <f>Tabelle13[[#This Row],[commits]]/Tabelle13[[#Totals],[commits]]</f>
        <v>2.3238952202123109E-5</v>
      </c>
      <c r="I1980" s="5">
        <f>Tabelle13[[#This Row],[%]]+I1979</f>
        <v>0.95192790347468481</v>
      </c>
      <c r="J1980" s="4">
        <f t="shared" si="93"/>
        <v>1.105583195135434E-4</v>
      </c>
      <c r="K1980" s="5">
        <f t="shared" si="94"/>
        <v>0.21868435599778061</v>
      </c>
    </row>
    <row r="1981" spans="1:11" x14ac:dyDescent="0.25">
      <c r="A1981" t="s">
        <v>11430</v>
      </c>
      <c r="C1981" t="s">
        <v>11431</v>
      </c>
      <c r="D1981" t="s">
        <v>309</v>
      </c>
      <c r="E1981" t="s">
        <v>6</v>
      </c>
      <c r="F1981" t="s">
        <v>251</v>
      </c>
      <c r="G1981">
        <v>5</v>
      </c>
      <c r="H1981" s="2">
        <f>Tabelle13[[#This Row],[commits]]/Tabelle13[[#Totals],[commits]]</f>
        <v>2.3238952202123109E-5</v>
      </c>
      <c r="I1981" s="5">
        <f>Tabelle13[[#This Row],[%]]+I1980</f>
        <v>0.95195114242688694</v>
      </c>
      <c r="J1981" s="4">
        <f t="shared" si="93"/>
        <v>1.105583195135434E-4</v>
      </c>
      <c r="K1981" s="5">
        <f t="shared" si="94"/>
        <v>0.21879491431729414</v>
      </c>
    </row>
    <row r="1982" spans="1:11" x14ac:dyDescent="0.25">
      <c r="A1982" t="s">
        <v>11432</v>
      </c>
      <c r="C1982" t="s">
        <v>11433</v>
      </c>
      <c r="D1982" t="s">
        <v>5</v>
      </c>
      <c r="E1982" t="s">
        <v>6</v>
      </c>
      <c r="F1982" t="s">
        <v>251</v>
      </c>
      <c r="G1982">
        <v>5</v>
      </c>
      <c r="H1982" s="2">
        <f>Tabelle13[[#This Row],[commits]]/Tabelle13[[#Totals],[commits]]</f>
        <v>2.3238952202123109E-5</v>
      </c>
      <c r="I1982" s="5">
        <f>Tabelle13[[#This Row],[%]]+I1981</f>
        <v>0.95197438137908907</v>
      </c>
      <c r="J1982" s="4">
        <f t="shared" si="93"/>
        <v>1.105583195135434E-4</v>
      </c>
      <c r="K1982" s="5">
        <f t="shared" si="94"/>
        <v>0.21890547263680768</v>
      </c>
    </row>
    <row r="1983" spans="1:11" x14ac:dyDescent="0.25">
      <c r="A1983" t="s">
        <v>11434</v>
      </c>
      <c r="C1983" t="s">
        <v>11435</v>
      </c>
      <c r="D1983" t="s">
        <v>5</v>
      </c>
      <c r="E1983" t="s">
        <v>6</v>
      </c>
      <c r="F1983" t="s">
        <v>251</v>
      </c>
      <c r="G1983">
        <v>5</v>
      </c>
      <c r="H1983" s="2">
        <f>Tabelle13[[#This Row],[commits]]/Tabelle13[[#Totals],[commits]]</f>
        <v>2.3238952202123109E-5</v>
      </c>
      <c r="I1983" s="5">
        <f>Tabelle13[[#This Row],[%]]+I1982</f>
        <v>0.95199762033129121</v>
      </c>
      <c r="J1983" s="4">
        <f t="shared" si="93"/>
        <v>1.105583195135434E-4</v>
      </c>
      <c r="K1983" s="5">
        <f t="shared" si="94"/>
        <v>0.21901603095632122</v>
      </c>
    </row>
    <row r="1984" spans="1:11" x14ac:dyDescent="0.25">
      <c r="A1984" t="s">
        <v>11436</v>
      </c>
      <c r="C1984" t="s">
        <v>11437</v>
      </c>
      <c r="D1984" t="s">
        <v>5</v>
      </c>
      <c r="E1984" t="s">
        <v>6</v>
      </c>
      <c r="F1984" t="s">
        <v>251</v>
      </c>
      <c r="G1984">
        <v>5</v>
      </c>
      <c r="H1984" s="2">
        <f>Tabelle13[[#This Row],[commits]]/Tabelle13[[#Totals],[commits]]</f>
        <v>2.3238952202123109E-5</v>
      </c>
      <c r="I1984" s="5">
        <f>Tabelle13[[#This Row],[%]]+I1983</f>
        <v>0.95202085928349334</v>
      </c>
      <c r="J1984" s="4">
        <f t="shared" si="93"/>
        <v>1.105583195135434E-4</v>
      </c>
      <c r="K1984" s="5">
        <f t="shared" si="94"/>
        <v>0.21912658927583475</v>
      </c>
    </row>
    <row r="1985" spans="1:11" x14ac:dyDescent="0.25">
      <c r="A1985" t="s">
        <v>11438</v>
      </c>
      <c r="C1985" t="s">
        <v>11439</v>
      </c>
      <c r="D1985" t="s">
        <v>11440</v>
      </c>
      <c r="E1985" t="s">
        <v>6</v>
      </c>
      <c r="F1985" t="s">
        <v>251</v>
      </c>
      <c r="G1985">
        <v>5</v>
      </c>
      <c r="H1985" s="2">
        <f>Tabelle13[[#This Row],[commits]]/Tabelle13[[#Totals],[commits]]</f>
        <v>2.3238952202123109E-5</v>
      </c>
      <c r="I1985" s="5">
        <f>Tabelle13[[#This Row],[%]]+I1984</f>
        <v>0.95204409823569547</v>
      </c>
      <c r="J1985" s="4">
        <f t="shared" si="93"/>
        <v>1.105583195135434E-4</v>
      </c>
      <c r="K1985" s="5">
        <f t="shared" si="94"/>
        <v>0.21923714759534829</v>
      </c>
    </row>
    <row r="1986" spans="1:11" x14ac:dyDescent="0.25">
      <c r="A1986" t="s">
        <v>11441</v>
      </c>
      <c r="C1986" t="s">
        <v>11442</v>
      </c>
      <c r="D1986" t="s">
        <v>8760</v>
      </c>
      <c r="E1986" t="s">
        <v>6</v>
      </c>
      <c r="F1986" t="s">
        <v>251</v>
      </c>
      <c r="G1986">
        <v>5</v>
      </c>
      <c r="H1986" s="2">
        <f>Tabelle13[[#This Row],[commits]]/Tabelle13[[#Totals],[commits]]</f>
        <v>2.3238952202123109E-5</v>
      </c>
      <c r="I1986" s="5">
        <f>Tabelle13[[#This Row],[%]]+I1985</f>
        <v>0.9520673371878976</v>
      </c>
      <c r="J1986" s="4">
        <f t="shared" si="93"/>
        <v>1.105583195135434E-4</v>
      </c>
      <c r="K1986" s="5">
        <f t="shared" si="94"/>
        <v>0.21934770591486183</v>
      </c>
    </row>
    <row r="1987" spans="1:11" x14ac:dyDescent="0.25">
      <c r="A1987" t="s">
        <v>11443</v>
      </c>
      <c r="C1987" t="s">
        <v>11444</v>
      </c>
      <c r="D1987" t="s">
        <v>5</v>
      </c>
      <c r="E1987" t="s">
        <v>6</v>
      </c>
      <c r="F1987" t="s">
        <v>251</v>
      </c>
      <c r="G1987">
        <v>5</v>
      </c>
      <c r="H1987" s="2">
        <f>Tabelle13[[#This Row],[commits]]/Tabelle13[[#Totals],[commits]]</f>
        <v>2.3238952202123109E-5</v>
      </c>
      <c r="I1987" s="5">
        <f>Tabelle13[[#This Row],[%]]+I1986</f>
        <v>0.95209057614009973</v>
      </c>
      <c r="J1987" s="4">
        <f t="shared" ref="J1987:J2050" si="95">1/9045</f>
        <v>1.105583195135434E-4</v>
      </c>
      <c r="K1987" s="5">
        <f t="shared" si="94"/>
        <v>0.21945826423437537</v>
      </c>
    </row>
    <row r="1988" spans="1:11" x14ac:dyDescent="0.25">
      <c r="A1988" t="s">
        <v>11445</v>
      </c>
      <c r="C1988" t="s">
        <v>11446</v>
      </c>
      <c r="D1988" t="s">
        <v>5</v>
      </c>
      <c r="E1988" t="s">
        <v>6</v>
      </c>
      <c r="F1988" t="s">
        <v>251</v>
      </c>
      <c r="G1988">
        <v>5</v>
      </c>
      <c r="H1988" s="2">
        <f>Tabelle13[[#This Row],[commits]]/Tabelle13[[#Totals],[commits]]</f>
        <v>2.3238952202123109E-5</v>
      </c>
      <c r="I1988" s="5">
        <f>Tabelle13[[#This Row],[%]]+I1987</f>
        <v>0.95211381509230186</v>
      </c>
      <c r="J1988" s="4">
        <f t="shared" si="95"/>
        <v>1.105583195135434E-4</v>
      </c>
      <c r="K1988" s="5">
        <f t="shared" si="94"/>
        <v>0.2195688225538889</v>
      </c>
    </row>
    <row r="1989" spans="1:11" x14ac:dyDescent="0.25">
      <c r="A1989" t="s">
        <v>11447</v>
      </c>
      <c r="C1989" t="s">
        <v>11448</v>
      </c>
      <c r="D1989" t="s">
        <v>5</v>
      </c>
      <c r="E1989" t="s">
        <v>6</v>
      </c>
      <c r="F1989" t="s">
        <v>251</v>
      </c>
      <c r="G1989">
        <v>5</v>
      </c>
      <c r="H1989" s="2">
        <f>Tabelle13[[#This Row],[commits]]/Tabelle13[[#Totals],[commits]]</f>
        <v>2.3238952202123109E-5</v>
      </c>
      <c r="I1989" s="5">
        <f>Tabelle13[[#This Row],[%]]+I1988</f>
        <v>0.95213705404450399</v>
      </c>
      <c r="J1989" s="4">
        <f t="shared" si="95"/>
        <v>1.105583195135434E-4</v>
      </c>
      <c r="K1989" s="5">
        <f t="shared" si="94"/>
        <v>0.21967938087340244</v>
      </c>
    </row>
    <row r="1990" spans="1:11" x14ac:dyDescent="0.25">
      <c r="A1990" t="s">
        <v>11449</v>
      </c>
      <c r="C1990" t="s">
        <v>11450</v>
      </c>
      <c r="D1990" t="s">
        <v>5</v>
      </c>
      <c r="E1990" t="s">
        <v>6</v>
      </c>
      <c r="F1990" t="s">
        <v>251</v>
      </c>
      <c r="G1990">
        <v>5</v>
      </c>
      <c r="H1990" s="2">
        <f>Tabelle13[[#This Row],[commits]]/Tabelle13[[#Totals],[commits]]</f>
        <v>2.3238952202123109E-5</v>
      </c>
      <c r="I1990" s="5">
        <f>Tabelle13[[#This Row],[%]]+I1989</f>
        <v>0.95216029299670613</v>
      </c>
      <c r="J1990" s="4">
        <f t="shared" si="95"/>
        <v>1.105583195135434E-4</v>
      </c>
      <c r="K1990" s="5">
        <f t="shared" ref="K1990:K2053" si="96">J1990+K1989</f>
        <v>0.21978993919291598</v>
      </c>
    </row>
    <row r="1991" spans="1:11" x14ac:dyDescent="0.25">
      <c r="A1991" t="s">
        <v>11451</v>
      </c>
      <c r="C1991" t="s">
        <v>11452</v>
      </c>
      <c r="D1991" t="s">
        <v>5</v>
      </c>
      <c r="E1991" t="s">
        <v>6</v>
      </c>
      <c r="F1991" t="s">
        <v>251</v>
      </c>
      <c r="G1991">
        <v>5</v>
      </c>
      <c r="H1991" s="2">
        <f>Tabelle13[[#This Row],[commits]]/Tabelle13[[#Totals],[commits]]</f>
        <v>2.3238952202123109E-5</v>
      </c>
      <c r="I1991" s="5">
        <f>Tabelle13[[#This Row],[%]]+I1990</f>
        <v>0.95218353194890826</v>
      </c>
      <c r="J1991" s="4">
        <f t="shared" si="95"/>
        <v>1.105583195135434E-4</v>
      </c>
      <c r="K1991" s="5">
        <f t="shared" si="96"/>
        <v>0.21990049751242952</v>
      </c>
    </row>
    <row r="1992" spans="1:11" x14ac:dyDescent="0.25">
      <c r="A1992" t="s">
        <v>11453</v>
      </c>
      <c r="C1992" t="s">
        <v>11454</v>
      </c>
      <c r="D1992" t="s">
        <v>5</v>
      </c>
      <c r="E1992" t="s">
        <v>6</v>
      </c>
      <c r="F1992" t="s">
        <v>251</v>
      </c>
      <c r="G1992">
        <v>5</v>
      </c>
      <c r="H1992" s="2">
        <f>Tabelle13[[#This Row],[commits]]/Tabelle13[[#Totals],[commits]]</f>
        <v>2.3238952202123109E-5</v>
      </c>
      <c r="I1992" s="5">
        <f>Tabelle13[[#This Row],[%]]+I1991</f>
        <v>0.95220677090111039</v>
      </c>
      <c r="J1992" s="4">
        <f t="shared" si="95"/>
        <v>1.105583195135434E-4</v>
      </c>
      <c r="K1992" s="5">
        <f t="shared" si="96"/>
        <v>0.22001105583194305</v>
      </c>
    </row>
    <row r="1993" spans="1:11" x14ac:dyDescent="0.25">
      <c r="A1993" t="s">
        <v>11455</v>
      </c>
      <c r="C1993" t="s">
        <v>11456</v>
      </c>
      <c r="D1993" t="s">
        <v>8874</v>
      </c>
      <c r="E1993" t="s">
        <v>6</v>
      </c>
      <c r="F1993" t="s">
        <v>251</v>
      </c>
      <c r="G1993">
        <v>5</v>
      </c>
      <c r="H1993" s="2">
        <f>Tabelle13[[#This Row],[commits]]/Tabelle13[[#Totals],[commits]]</f>
        <v>2.3238952202123109E-5</v>
      </c>
      <c r="I1993" s="5">
        <f>Tabelle13[[#This Row],[%]]+I1992</f>
        <v>0.95223000985331252</v>
      </c>
      <c r="J1993" s="4">
        <f t="shared" si="95"/>
        <v>1.105583195135434E-4</v>
      </c>
      <c r="K1993" s="5">
        <f t="shared" si="96"/>
        <v>0.22012161415145659</v>
      </c>
    </row>
    <row r="1994" spans="1:11" x14ac:dyDescent="0.25">
      <c r="A1994" t="s">
        <v>11457</v>
      </c>
      <c r="C1994" t="s">
        <v>11458</v>
      </c>
      <c r="D1994" t="s">
        <v>5</v>
      </c>
      <c r="E1994" t="s">
        <v>6</v>
      </c>
      <c r="F1994" t="s">
        <v>251</v>
      </c>
      <c r="G1994">
        <v>5</v>
      </c>
      <c r="H1994" s="2">
        <f>Tabelle13[[#This Row],[commits]]/Tabelle13[[#Totals],[commits]]</f>
        <v>2.3238952202123109E-5</v>
      </c>
      <c r="I1994" s="5">
        <f>Tabelle13[[#This Row],[%]]+I1993</f>
        <v>0.95225324880551465</v>
      </c>
      <c r="J1994" s="4">
        <f t="shared" si="95"/>
        <v>1.105583195135434E-4</v>
      </c>
      <c r="K1994" s="5">
        <f t="shared" si="96"/>
        <v>0.22023217247097013</v>
      </c>
    </row>
    <row r="1995" spans="1:11" x14ac:dyDescent="0.25">
      <c r="A1995" t="s">
        <v>11459</v>
      </c>
      <c r="C1995" t="s">
        <v>11460</v>
      </c>
      <c r="D1995" t="s">
        <v>5</v>
      </c>
      <c r="E1995" t="s">
        <v>6</v>
      </c>
      <c r="F1995" t="s">
        <v>251</v>
      </c>
      <c r="G1995">
        <v>5</v>
      </c>
      <c r="H1995" s="2">
        <f>Tabelle13[[#This Row],[commits]]/Tabelle13[[#Totals],[commits]]</f>
        <v>2.3238952202123109E-5</v>
      </c>
      <c r="I1995" s="5">
        <f>Tabelle13[[#This Row],[%]]+I1994</f>
        <v>0.95227648775771678</v>
      </c>
      <c r="J1995" s="4">
        <f t="shared" si="95"/>
        <v>1.105583195135434E-4</v>
      </c>
      <c r="K1995" s="5">
        <f t="shared" si="96"/>
        <v>0.22034273079048367</v>
      </c>
    </row>
    <row r="1996" spans="1:11" x14ac:dyDescent="0.25">
      <c r="A1996" t="s">
        <v>11461</v>
      </c>
      <c r="C1996" t="s">
        <v>11462</v>
      </c>
      <c r="D1996" t="s">
        <v>11463</v>
      </c>
      <c r="E1996" t="s">
        <v>6</v>
      </c>
      <c r="F1996" t="s">
        <v>251</v>
      </c>
      <c r="G1996">
        <v>5</v>
      </c>
      <c r="H1996" s="2">
        <f>Tabelle13[[#This Row],[commits]]/Tabelle13[[#Totals],[commits]]</f>
        <v>2.3238952202123109E-5</v>
      </c>
      <c r="I1996" s="5">
        <f>Tabelle13[[#This Row],[%]]+I1995</f>
        <v>0.95229972670991891</v>
      </c>
      <c r="J1996" s="4">
        <f t="shared" si="95"/>
        <v>1.105583195135434E-4</v>
      </c>
      <c r="K1996" s="5">
        <f t="shared" si="96"/>
        <v>0.2204532891099972</v>
      </c>
    </row>
    <row r="1997" spans="1:11" x14ac:dyDescent="0.25">
      <c r="A1997" t="s">
        <v>11464</v>
      </c>
      <c r="C1997" t="s">
        <v>11465</v>
      </c>
      <c r="D1997" t="s">
        <v>5</v>
      </c>
      <c r="E1997" t="s">
        <v>6</v>
      </c>
      <c r="F1997" t="s">
        <v>251</v>
      </c>
      <c r="G1997">
        <v>5</v>
      </c>
      <c r="H1997" s="2">
        <f>Tabelle13[[#This Row],[commits]]/Tabelle13[[#Totals],[commits]]</f>
        <v>2.3238952202123109E-5</v>
      </c>
      <c r="I1997" s="5">
        <f>Tabelle13[[#This Row],[%]]+I1996</f>
        <v>0.95232296566212105</v>
      </c>
      <c r="J1997" s="4">
        <f t="shared" si="95"/>
        <v>1.105583195135434E-4</v>
      </c>
      <c r="K1997" s="5">
        <f t="shared" si="96"/>
        <v>0.22056384742951074</v>
      </c>
    </row>
    <row r="1998" spans="1:11" x14ac:dyDescent="0.25">
      <c r="A1998" t="s">
        <v>11466</v>
      </c>
      <c r="C1998" t="s">
        <v>11467</v>
      </c>
      <c r="D1998" t="s">
        <v>5</v>
      </c>
      <c r="E1998" t="s">
        <v>6</v>
      </c>
      <c r="F1998" t="s">
        <v>251</v>
      </c>
      <c r="G1998">
        <v>5</v>
      </c>
      <c r="H1998" s="2">
        <f>Tabelle13[[#This Row],[commits]]/Tabelle13[[#Totals],[commits]]</f>
        <v>2.3238952202123109E-5</v>
      </c>
      <c r="I1998" s="5">
        <f>Tabelle13[[#This Row],[%]]+I1997</f>
        <v>0.95234620461432318</v>
      </c>
      <c r="J1998" s="4">
        <f t="shared" si="95"/>
        <v>1.105583195135434E-4</v>
      </c>
      <c r="K1998" s="5">
        <f t="shared" si="96"/>
        <v>0.22067440574902428</v>
      </c>
    </row>
    <row r="1999" spans="1:11" x14ac:dyDescent="0.25">
      <c r="A1999" t="s">
        <v>11468</v>
      </c>
      <c r="C1999" t="s">
        <v>11469</v>
      </c>
      <c r="D1999" t="s">
        <v>8948</v>
      </c>
      <c r="E1999" t="s">
        <v>6</v>
      </c>
      <c r="F1999" t="s">
        <v>251</v>
      </c>
      <c r="G1999">
        <v>5</v>
      </c>
      <c r="H1999" s="2">
        <f>Tabelle13[[#This Row],[commits]]/Tabelle13[[#Totals],[commits]]</f>
        <v>2.3238952202123109E-5</v>
      </c>
      <c r="I1999" s="5">
        <f>Tabelle13[[#This Row],[%]]+I1998</f>
        <v>0.95236944356652531</v>
      </c>
      <c r="J1999" s="4">
        <f t="shared" si="95"/>
        <v>1.105583195135434E-4</v>
      </c>
      <c r="K1999" s="5">
        <f t="shared" si="96"/>
        <v>0.22078496406853781</v>
      </c>
    </row>
    <row r="2000" spans="1:11" x14ac:dyDescent="0.25">
      <c r="A2000" t="s">
        <v>11470</v>
      </c>
      <c r="C2000" t="s">
        <v>11471</v>
      </c>
      <c r="D2000" t="s">
        <v>309</v>
      </c>
      <c r="E2000" t="s">
        <v>6</v>
      </c>
      <c r="F2000" t="s">
        <v>251</v>
      </c>
      <c r="G2000">
        <v>5</v>
      </c>
      <c r="H2000" s="2">
        <f>Tabelle13[[#This Row],[commits]]/Tabelle13[[#Totals],[commits]]</f>
        <v>2.3238952202123109E-5</v>
      </c>
      <c r="I2000" s="5">
        <f>Tabelle13[[#This Row],[%]]+I1999</f>
        <v>0.95239268251872744</v>
      </c>
      <c r="J2000" s="4">
        <f t="shared" si="95"/>
        <v>1.105583195135434E-4</v>
      </c>
      <c r="K2000" s="5">
        <f t="shared" si="96"/>
        <v>0.22089552238805135</v>
      </c>
    </row>
    <row r="2001" spans="1:11" x14ac:dyDescent="0.25">
      <c r="A2001" t="s">
        <v>11472</v>
      </c>
      <c r="C2001" t="s">
        <v>11473</v>
      </c>
      <c r="D2001" t="s">
        <v>5</v>
      </c>
      <c r="E2001" t="s">
        <v>6</v>
      </c>
      <c r="F2001" t="s">
        <v>251</v>
      </c>
      <c r="G2001">
        <v>5</v>
      </c>
      <c r="H2001" s="2">
        <f>Tabelle13[[#This Row],[commits]]/Tabelle13[[#Totals],[commits]]</f>
        <v>2.3238952202123109E-5</v>
      </c>
      <c r="I2001" s="5">
        <f>Tabelle13[[#This Row],[%]]+I2000</f>
        <v>0.95241592147092957</v>
      </c>
      <c r="J2001" s="4">
        <f t="shared" si="95"/>
        <v>1.105583195135434E-4</v>
      </c>
      <c r="K2001" s="5">
        <f t="shared" si="96"/>
        <v>0.22100608070756489</v>
      </c>
    </row>
    <row r="2002" spans="1:11" x14ac:dyDescent="0.25">
      <c r="A2002" t="s">
        <v>11474</v>
      </c>
      <c r="C2002" t="s">
        <v>10884</v>
      </c>
      <c r="D2002" t="s">
        <v>5</v>
      </c>
      <c r="E2002" t="s">
        <v>6</v>
      </c>
      <c r="F2002" t="s">
        <v>251</v>
      </c>
      <c r="G2002">
        <v>5</v>
      </c>
      <c r="H2002" s="2">
        <f>Tabelle13[[#This Row],[commits]]/Tabelle13[[#Totals],[commits]]</f>
        <v>2.3238952202123109E-5</v>
      </c>
      <c r="I2002" s="5">
        <f>Tabelle13[[#This Row],[%]]+I2001</f>
        <v>0.9524391604231317</v>
      </c>
      <c r="J2002" s="4">
        <f t="shared" si="95"/>
        <v>1.105583195135434E-4</v>
      </c>
      <c r="K2002" s="5">
        <f t="shared" si="96"/>
        <v>0.22111663902707843</v>
      </c>
    </row>
    <row r="2003" spans="1:11" x14ac:dyDescent="0.25">
      <c r="A2003" t="s">
        <v>11475</v>
      </c>
      <c r="C2003" t="s">
        <v>11476</v>
      </c>
      <c r="D2003" t="s">
        <v>5</v>
      </c>
      <c r="E2003" t="s">
        <v>6</v>
      </c>
      <c r="F2003" t="s">
        <v>251</v>
      </c>
      <c r="G2003">
        <v>5</v>
      </c>
      <c r="H2003" s="2">
        <f>Tabelle13[[#This Row],[commits]]/Tabelle13[[#Totals],[commits]]</f>
        <v>2.3238952202123109E-5</v>
      </c>
      <c r="I2003" s="5">
        <f>Tabelle13[[#This Row],[%]]+I2002</f>
        <v>0.95246239937533383</v>
      </c>
      <c r="J2003" s="4">
        <f t="shared" si="95"/>
        <v>1.105583195135434E-4</v>
      </c>
      <c r="K2003" s="5">
        <f t="shared" si="96"/>
        <v>0.22122719734659196</v>
      </c>
    </row>
    <row r="2004" spans="1:11" x14ac:dyDescent="0.25">
      <c r="A2004" t="s">
        <v>11477</v>
      </c>
      <c r="C2004" t="s">
        <v>11478</v>
      </c>
      <c r="D2004" t="s">
        <v>11479</v>
      </c>
      <c r="E2004" t="s">
        <v>6</v>
      </c>
      <c r="F2004" t="s">
        <v>251</v>
      </c>
      <c r="G2004">
        <v>5</v>
      </c>
      <c r="H2004" s="2">
        <f>Tabelle13[[#This Row],[commits]]/Tabelle13[[#Totals],[commits]]</f>
        <v>2.3238952202123109E-5</v>
      </c>
      <c r="I2004" s="5">
        <f>Tabelle13[[#This Row],[%]]+I2003</f>
        <v>0.95248563832753597</v>
      </c>
      <c r="J2004" s="4">
        <f t="shared" si="95"/>
        <v>1.105583195135434E-4</v>
      </c>
      <c r="K2004" s="5">
        <f t="shared" si="96"/>
        <v>0.2213377556661055</v>
      </c>
    </row>
    <row r="2005" spans="1:11" x14ac:dyDescent="0.25">
      <c r="A2005" t="s">
        <v>11480</v>
      </c>
      <c r="C2005" t="s">
        <v>11481</v>
      </c>
      <c r="D2005" t="s">
        <v>309</v>
      </c>
      <c r="E2005" t="s">
        <v>6</v>
      </c>
      <c r="F2005" t="s">
        <v>251</v>
      </c>
      <c r="G2005">
        <v>5</v>
      </c>
      <c r="H2005" s="2">
        <f>Tabelle13[[#This Row],[commits]]/Tabelle13[[#Totals],[commits]]</f>
        <v>2.3238952202123109E-5</v>
      </c>
      <c r="I2005" s="5">
        <f>Tabelle13[[#This Row],[%]]+I2004</f>
        <v>0.9525088772797381</v>
      </c>
      <c r="J2005" s="4">
        <f t="shared" si="95"/>
        <v>1.105583195135434E-4</v>
      </c>
      <c r="K2005" s="5">
        <f t="shared" si="96"/>
        <v>0.22144831398561904</v>
      </c>
    </row>
    <row r="2006" spans="1:11" x14ac:dyDescent="0.25">
      <c r="A2006" t="s">
        <v>11482</v>
      </c>
      <c r="C2006" t="s">
        <v>11483</v>
      </c>
      <c r="D2006" t="s">
        <v>5</v>
      </c>
      <c r="E2006" t="s">
        <v>6</v>
      </c>
      <c r="F2006" t="s">
        <v>251</v>
      </c>
      <c r="G2006">
        <v>5</v>
      </c>
      <c r="H2006" s="2">
        <f>Tabelle13[[#This Row],[commits]]/Tabelle13[[#Totals],[commits]]</f>
        <v>2.3238952202123109E-5</v>
      </c>
      <c r="I2006" s="5">
        <f>Tabelle13[[#This Row],[%]]+I2005</f>
        <v>0.95253211623194023</v>
      </c>
      <c r="J2006" s="4">
        <f t="shared" si="95"/>
        <v>1.105583195135434E-4</v>
      </c>
      <c r="K2006" s="5">
        <f t="shared" si="96"/>
        <v>0.22155887230513258</v>
      </c>
    </row>
    <row r="2007" spans="1:11" x14ac:dyDescent="0.25">
      <c r="A2007" t="s">
        <v>11484</v>
      </c>
      <c r="C2007" t="s">
        <v>11485</v>
      </c>
      <c r="D2007" t="s">
        <v>5</v>
      </c>
      <c r="E2007" t="s">
        <v>6</v>
      </c>
      <c r="F2007" t="s">
        <v>251</v>
      </c>
      <c r="G2007">
        <v>5</v>
      </c>
      <c r="H2007" s="2">
        <f>Tabelle13[[#This Row],[commits]]/Tabelle13[[#Totals],[commits]]</f>
        <v>2.3238952202123109E-5</v>
      </c>
      <c r="I2007" s="5">
        <f>Tabelle13[[#This Row],[%]]+I2006</f>
        <v>0.95255535518414236</v>
      </c>
      <c r="J2007" s="4">
        <f t="shared" si="95"/>
        <v>1.105583195135434E-4</v>
      </c>
      <c r="K2007" s="5">
        <f t="shared" si="96"/>
        <v>0.22166943062464611</v>
      </c>
    </row>
    <row r="2008" spans="1:11" x14ac:dyDescent="0.25">
      <c r="A2008" t="s">
        <v>11486</v>
      </c>
      <c r="C2008" t="s">
        <v>11487</v>
      </c>
      <c r="D2008" t="s">
        <v>5</v>
      </c>
      <c r="E2008" t="s">
        <v>6</v>
      </c>
      <c r="F2008" t="s">
        <v>251</v>
      </c>
      <c r="G2008">
        <v>5</v>
      </c>
      <c r="H2008" s="2">
        <f>Tabelle13[[#This Row],[commits]]/Tabelle13[[#Totals],[commits]]</f>
        <v>2.3238952202123109E-5</v>
      </c>
      <c r="I2008" s="5">
        <f>Tabelle13[[#This Row],[%]]+I2007</f>
        <v>0.95257859413634449</v>
      </c>
      <c r="J2008" s="4">
        <f t="shared" si="95"/>
        <v>1.105583195135434E-4</v>
      </c>
      <c r="K2008" s="5">
        <f t="shared" si="96"/>
        <v>0.22177998894415965</v>
      </c>
    </row>
    <row r="2009" spans="1:11" x14ac:dyDescent="0.25">
      <c r="A2009" t="s">
        <v>11488</v>
      </c>
      <c r="C2009" t="s">
        <v>11489</v>
      </c>
      <c r="D2009" t="s">
        <v>5</v>
      </c>
      <c r="E2009" t="s">
        <v>6</v>
      </c>
      <c r="F2009" t="s">
        <v>251</v>
      </c>
      <c r="G2009">
        <v>5</v>
      </c>
      <c r="H2009" s="2">
        <f>Tabelle13[[#This Row],[commits]]/Tabelle13[[#Totals],[commits]]</f>
        <v>2.3238952202123109E-5</v>
      </c>
      <c r="I2009" s="5">
        <f>Tabelle13[[#This Row],[%]]+I2008</f>
        <v>0.95260183308854662</v>
      </c>
      <c r="J2009" s="4">
        <f t="shared" si="95"/>
        <v>1.105583195135434E-4</v>
      </c>
      <c r="K2009" s="5">
        <f t="shared" si="96"/>
        <v>0.22189054726367319</v>
      </c>
    </row>
    <row r="2010" spans="1:11" x14ac:dyDescent="0.25">
      <c r="A2010" t="s">
        <v>11490</v>
      </c>
      <c r="C2010" t="s">
        <v>11491</v>
      </c>
      <c r="D2010" t="s">
        <v>5</v>
      </c>
      <c r="E2010" t="s">
        <v>6</v>
      </c>
      <c r="F2010" t="s">
        <v>251</v>
      </c>
      <c r="G2010">
        <v>5</v>
      </c>
      <c r="H2010" s="2">
        <f>Tabelle13[[#This Row],[commits]]/Tabelle13[[#Totals],[commits]]</f>
        <v>2.3238952202123109E-5</v>
      </c>
      <c r="I2010" s="5">
        <f>Tabelle13[[#This Row],[%]]+I2009</f>
        <v>0.95262507204074875</v>
      </c>
      <c r="J2010" s="4">
        <f t="shared" si="95"/>
        <v>1.105583195135434E-4</v>
      </c>
      <c r="K2010" s="5">
        <f t="shared" si="96"/>
        <v>0.22200110558318673</v>
      </c>
    </row>
    <row r="2011" spans="1:11" x14ac:dyDescent="0.25">
      <c r="A2011" t="s">
        <v>11492</v>
      </c>
      <c r="C2011" t="s">
        <v>11493</v>
      </c>
      <c r="D2011" t="s">
        <v>5</v>
      </c>
      <c r="E2011" t="s">
        <v>6</v>
      </c>
      <c r="F2011" t="s">
        <v>251</v>
      </c>
      <c r="G2011">
        <v>5</v>
      </c>
      <c r="H2011" s="2">
        <f>Tabelle13[[#This Row],[commits]]/Tabelle13[[#Totals],[commits]]</f>
        <v>2.3238952202123109E-5</v>
      </c>
      <c r="I2011" s="5">
        <f>Tabelle13[[#This Row],[%]]+I2010</f>
        <v>0.95264831099295089</v>
      </c>
      <c r="J2011" s="4">
        <f t="shared" si="95"/>
        <v>1.105583195135434E-4</v>
      </c>
      <c r="K2011" s="5">
        <f t="shared" si="96"/>
        <v>0.22211166390270026</v>
      </c>
    </row>
    <row r="2012" spans="1:11" x14ac:dyDescent="0.25">
      <c r="A2012" t="s">
        <v>11494</v>
      </c>
      <c r="C2012" t="s">
        <v>11495</v>
      </c>
      <c r="D2012" t="s">
        <v>5</v>
      </c>
      <c r="E2012" t="s">
        <v>6</v>
      </c>
      <c r="F2012" t="s">
        <v>251</v>
      </c>
      <c r="G2012">
        <v>5</v>
      </c>
      <c r="H2012" s="2">
        <f>Tabelle13[[#This Row],[commits]]/Tabelle13[[#Totals],[commits]]</f>
        <v>2.3238952202123109E-5</v>
      </c>
      <c r="I2012" s="5">
        <f>Tabelle13[[#This Row],[%]]+I2011</f>
        <v>0.95267154994515302</v>
      </c>
      <c r="J2012" s="4">
        <f t="shared" si="95"/>
        <v>1.105583195135434E-4</v>
      </c>
      <c r="K2012" s="5">
        <f t="shared" si="96"/>
        <v>0.2222222222222138</v>
      </c>
    </row>
    <row r="2013" spans="1:11" x14ac:dyDescent="0.25">
      <c r="A2013" t="s">
        <v>11496</v>
      </c>
      <c r="C2013" t="s">
        <v>11497</v>
      </c>
      <c r="D2013" t="s">
        <v>5</v>
      </c>
      <c r="E2013" t="s">
        <v>6</v>
      </c>
      <c r="F2013" t="s">
        <v>251</v>
      </c>
      <c r="G2013">
        <v>5</v>
      </c>
      <c r="H2013" s="2">
        <f>Tabelle13[[#This Row],[commits]]/Tabelle13[[#Totals],[commits]]</f>
        <v>2.3238952202123109E-5</v>
      </c>
      <c r="I2013" s="5">
        <f>Tabelle13[[#This Row],[%]]+I2012</f>
        <v>0.95269478889735515</v>
      </c>
      <c r="J2013" s="4">
        <f t="shared" si="95"/>
        <v>1.105583195135434E-4</v>
      </c>
      <c r="K2013" s="5">
        <f t="shared" si="96"/>
        <v>0.22233278054172734</v>
      </c>
    </row>
    <row r="2014" spans="1:11" x14ac:dyDescent="0.25">
      <c r="A2014" t="s">
        <v>11498</v>
      </c>
      <c r="C2014" t="s">
        <v>11499</v>
      </c>
      <c r="D2014" t="s">
        <v>5</v>
      </c>
      <c r="E2014" t="s">
        <v>6</v>
      </c>
      <c r="F2014" t="s">
        <v>251</v>
      </c>
      <c r="G2014">
        <v>5</v>
      </c>
      <c r="H2014" s="2">
        <f>Tabelle13[[#This Row],[commits]]/Tabelle13[[#Totals],[commits]]</f>
        <v>2.3238952202123109E-5</v>
      </c>
      <c r="I2014" s="5">
        <f>Tabelle13[[#This Row],[%]]+I2013</f>
        <v>0.95271802784955728</v>
      </c>
      <c r="J2014" s="4">
        <f t="shared" si="95"/>
        <v>1.105583195135434E-4</v>
      </c>
      <c r="K2014" s="5">
        <f t="shared" si="96"/>
        <v>0.22244333886124087</v>
      </c>
    </row>
    <row r="2015" spans="1:11" x14ac:dyDescent="0.25">
      <c r="A2015" t="s">
        <v>11500</v>
      </c>
      <c r="C2015" t="s">
        <v>11501</v>
      </c>
      <c r="D2015" t="s">
        <v>11502</v>
      </c>
      <c r="E2015" t="s">
        <v>6</v>
      </c>
      <c r="F2015" t="s">
        <v>251</v>
      </c>
      <c r="G2015">
        <v>5</v>
      </c>
      <c r="H2015" s="2">
        <f>Tabelle13[[#This Row],[commits]]/Tabelle13[[#Totals],[commits]]</f>
        <v>2.3238952202123109E-5</v>
      </c>
      <c r="I2015" s="5">
        <f>Tabelle13[[#This Row],[%]]+I2014</f>
        <v>0.95274126680175941</v>
      </c>
      <c r="J2015" s="4">
        <f t="shared" si="95"/>
        <v>1.105583195135434E-4</v>
      </c>
      <c r="K2015" s="5">
        <f t="shared" si="96"/>
        <v>0.22255389718075441</v>
      </c>
    </row>
    <row r="2016" spans="1:11" x14ac:dyDescent="0.25">
      <c r="A2016" t="s">
        <v>11503</v>
      </c>
      <c r="C2016" t="s">
        <v>11504</v>
      </c>
      <c r="D2016" t="s">
        <v>5</v>
      </c>
      <c r="E2016" t="s">
        <v>6</v>
      </c>
      <c r="F2016" t="s">
        <v>251</v>
      </c>
      <c r="G2016">
        <v>5</v>
      </c>
      <c r="H2016" s="2">
        <f>Tabelle13[[#This Row],[commits]]/Tabelle13[[#Totals],[commits]]</f>
        <v>2.3238952202123109E-5</v>
      </c>
      <c r="I2016" s="5">
        <f>Tabelle13[[#This Row],[%]]+I2015</f>
        <v>0.95276450575396154</v>
      </c>
      <c r="J2016" s="4">
        <f t="shared" si="95"/>
        <v>1.105583195135434E-4</v>
      </c>
      <c r="K2016" s="5">
        <f t="shared" si="96"/>
        <v>0.22266445550026795</v>
      </c>
    </row>
    <row r="2017" spans="1:11" x14ac:dyDescent="0.25">
      <c r="A2017" t="s">
        <v>11505</v>
      </c>
      <c r="C2017" t="s">
        <v>11506</v>
      </c>
      <c r="D2017" t="s">
        <v>5</v>
      </c>
      <c r="E2017" t="s">
        <v>6</v>
      </c>
      <c r="F2017" t="s">
        <v>251</v>
      </c>
      <c r="G2017">
        <v>5</v>
      </c>
      <c r="H2017" s="2">
        <f>Tabelle13[[#This Row],[commits]]/Tabelle13[[#Totals],[commits]]</f>
        <v>2.3238952202123109E-5</v>
      </c>
      <c r="I2017" s="5">
        <f>Tabelle13[[#This Row],[%]]+I2016</f>
        <v>0.95278774470616368</v>
      </c>
      <c r="J2017" s="4">
        <f t="shared" si="95"/>
        <v>1.105583195135434E-4</v>
      </c>
      <c r="K2017" s="5">
        <f t="shared" si="96"/>
        <v>0.22277501381978149</v>
      </c>
    </row>
    <row r="2018" spans="1:11" x14ac:dyDescent="0.25">
      <c r="A2018" t="s">
        <v>11507</v>
      </c>
      <c r="C2018" t="s">
        <v>11508</v>
      </c>
      <c r="D2018" t="s">
        <v>309</v>
      </c>
      <c r="E2018" t="s">
        <v>6</v>
      </c>
      <c r="F2018" t="s">
        <v>251</v>
      </c>
      <c r="G2018">
        <v>5</v>
      </c>
      <c r="H2018" s="2">
        <f>Tabelle13[[#This Row],[commits]]/Tabelle13[[#Totals],[commits]]</f>
        <v>2.3238952202123109E-5</v>
      </c>
      <c r="I2018" s="5">
        <f>Tabelle13[[#This Row],[%]]+I2017</f>
        <v>0.95281098365836581</v>
      </c>
      <c r="J2018" s="4">
        <f t="shared" si="95"/>
        <v>1.105583195135434E-4</v>
      </c>
      <c r="K2018" s="5">
        <f t="shared" si="96"/>
        <v>0.22288557213929502</v>
      </c>
    </row>
    <row r="2019" spans="1:11" x14ac:dyDescent="0.25">
      <c r="A2019" t="s">
        <v>11509</v>
      </c>
      <c r="C2019" t="s">
        <v>11510</v>
      </c>
      <c r="D2019" t="s">
        <v>5</v>
      </c>
      <c r="E2019" t="s">
        <v>6</v>
      </c>
      <c r="F2019" t="s">
        <v>251</v>
      </c>
      <c r="G2019">
        <v>5</v>
      </c>
      <c r="H2019" s="2">
        <f>Tabelle13[[#This Row],[commits]]/Tabelle13[[#Totals],[commits]]</f>
        <v>2.3238952202123109E-5</v>
      </c>
      <c r="I2019" s="5">
        <f>Tabelle13[[#This Row],[%]]+I2018</f>
        <v>0.95283422261056794</v>
      </c>
      <c r="J2019" s="4">
        <f t="shared" si="95"/>
        <v>1.105583195135434E-4</v>
      </c>
      <c r="K2019" s="5">
        <f t="shared" si="96"/>
        <v>0.22299613045880856</v>
      </c>
    </row>
    <row r="2020" spans="1:11" x14ac:dyDescent="0.25">
      <c r="A2020" t="s">
        <v>11511</v>
      </c>
      <c r="C2020" t="s">
        <v>11512</v>
      </c>
      <c r="D2020" t="s">
        <v>5</v>
      </c>
      <c r="E2020" t="s">
        <v>6</v>
      </c>
      <c r="F2020" t="s">
        <v>251</v>
      </c>
      <c r="G2020">
        <v>5</v>
      </c>
      <c r="H2020" s="2">
        <f>Tabelle13[[#This Row],[commits]]/Tabelle13[[#Totals],[commits]]</f>
        <v>2.3238952202123109E-5</v>
      </c>
      <c r="I2020" s="5">
        <f>Tabelle13[[#This Row],[%]]+I2019</f>
        <v>0.95285746156277007</v>
      </c>
      <c r="J2020" s="4">
        <f t="shared" si="95"/>
        <v>1.105583195135434E-4</v>
      </c>
      <c r="K2020" s="5">
        <f t="shared" si="96"/>
        <v>0.2231066887783221</v>
      </c>
    </row>
    <row r="2021" spans="1:11" x14ac:dyDescent="0.25">
      <c r="A2021" t="s">
        <v>11513</v>
      </c>
      <c r="C2021" t="s">
        <v>11514</v>
      </c>
      <c r="D2021" t="s">
        <v>5</v>
      </c>
      <c r="E2021" t="s">
        <v>6</v>
      </c>
      <c r="F2021" t="s">
        <v>251</v>
      </c>
      <c r="G2021">
        <v>5</v>
      </c>
      <c r="H2021" s="2">
        <f>Tabelle13[[#This Row],[commits]]/Tabelle13[[#Totals],[commits]]</f>
        <v>2.3238952202123109E-5</v>
      </c>
      <c r="I2021" s="5">
        <f>Tabelle13[[#This Row],[%]]+I2020</f>
        <v>0.9528807005149722</v>
      </c>
      <c r="J2021" s="4">
        <f t="shared" si="95"/>
        <v>1.105583195135434E-4</v>
      </c>
      <c r="K2021" s="5">
        <f t="shared" si="96"/>
        <v>0.22321724709783564</v>
      </c>
    </row>
    <row r="2022" spans="1:11" x14ac:dyDescent="0.25">
      <c r="A2022" t="s">
        <v>11515</v>
      </c>
      <c r="C2022" t="s">
        <v>11516</v>
      </c>
      <c r="D2022" t="s">
        <v>5</v>
      </c>
      <c r="E2022" t="s">
        <v>6</v>
      </c>
      <c r="F2022" t="s">
        <v>251</v>
      </c>
      <c r="G2022">
        <v>5</v>
      </c>
      <c r="H2022" s="2">
        <f>Tabelle13[[#This Row],[commits]]/Tabelle13[[#Totals],[commits]]</f>
        <v>2.3238952202123109E-5</v>
      </c>
      <c r="I2022" s="5">
        <f>Tabelle13[[#This Row],[%]]+I2021</f>
        <v>0.95290393946717433</v>
      </c>
      <c r="J2022" s="4">
        <f t="shared" si="95"/>
        <v>1.105583195135434E-4</v>
      </c>
      <c r="K2022" s="5">
        <f t="shared" si="96"/>
        <v>0.22332780541734917</v>
      </c>
    </row>
    <row r="2023" spans="1:11" x14ac:dyDescent="0.25">
      <c r="A2023" t="s">
        <v>11517</v>
      </c>
      <c r="C2023" t="s">
        <v>10206</v>
      </c>
      <c r="D2023" t="s">
        <v>309</v>
      </c>
      <c r="E2023" t="s">
        <v>6</v>
      </c>
      <c r="F2023" t="s">
        <v>251</v>
      </c>
      <c r="G2023">
        <v>5</v>
      </c>
      <c r="H2023" s="2">
        <f>Tabelle13[[#This Row],[commits]]/Tabelle13[[#Totals],[commits]]</f>
        <v>2.3238952202123109E-5</v>
      </c>
      <c r="I2023" s="5">
        <f>Tabelle13[[#This Row],[%]]+I2022</f>
        <v>0.95292717841937646</v>
      </c>
      <c r="J2023" s="4">
        <f t="shared" si="95"/>
        <v>1.105583195135434E-4</v>
      </c>
      <c r="K2023" s="5">
        <f t="shared" si="96"/>
        <v>0.22343836373686271</v>
      </c>
    </row>
    <row r="2024" spans="1:11" x14ac:dyDescent="0.25">
      <c r="A2024" t="s">
        <v>11518</v>
      </c>
      <c r="C2024" t="s">
        <v>11519</v>
      </c>
      <c r="D2024" t="s">
        <v>5</v>
      </c>
      <c r="E2024" t="s">
        <v>6</v>
      </c>
      <c r="F2024" t="s">
        <v>251</v>
      </c>
      <c r="G2024">
        <v>5</v>
      </c>
      <c r="H2024" s="2">
        <f>Tabelle13[[#This Row],[commits]]/Tabelle13[[#Totals],[commits]]</f>
        <v>2.3238952202123109E-5</v>
      </c>
      <c r="I2024" s="5">
        <f>Tabelle13[[#This Row],[%]]+I2023</f>
        <v>0.9529504173715786</v>
      </c>
      <c r="J2024" s="4">
        <f t="shared" si="95"/>
        <v>1.105583195135434E-4</v>
      </c>
      <c r="K2024" s="5">
        <f t="shared" si="96"/>
        <v>0.22354892205637625</v>
      </c>
    </row>
    <row r="2025" spans="1:11" x14ac:dyDescent="0.25">
      <c r="A2025" t="s">
        <v>11520</v>
      </c>
      <c r="C2025" t="s">
        <v>11521</v>
      </c>
      <c r="D2025" t="s">
        <v>5</v>
      </c>
      <c r="E2025" t="s">
        <v>6</v>
      </c>
      <c r="F2025" t="s">
        <v>251</v>
      </c>
      <c r="G2025">
        <v>5</v>
      </c>
      <c r="H2025" s="2">
        <f>Tabelle13[[#This Row],[commits]]/Tabelle13[[#Totals],[commits]]</f>
        <v>2.3238952202123109E-5</v>
      </c>
      <c r="I2025" s="5">
        <f>Tabelle13[[#This Row],[%]]+I2024</f>
        <v>0.95297365632378073</v>
      </c>
      <c r="J2025" s="4">
        <f t="shared" si="95"/>
        <v>1.105583195135434E-4</v>
      </c>
      <c r="K2025" s="5">
        <f t="shared" si="96"/>
        <v>0.22365948037588979</v>
      </c>
    </row>
    <row r="2026" spans="1:11" x14ac:dyDescent="0.25">
      <c r="A2026" t="s">
        <v>11522</v>
      </c>
      <c r="C2026" t="s">
        <v>11523</v>
      </c>
      <c r="D2026" t="s">
        <v>5</v>
      </c>
      <c r="E2026" t="s">
        <v>6</v>
      </c>
      <c r="F2026" t="s">
        <v>251</v>
      </c>
      <c r="G2026">
        <v>5</v>
      </c>
      <c r="H2026" s="2">
        <f>Tabelle13[[#This Row],[commits]]/Tabelle13[[#Totals],[commits]]</f>
        <v>2.3238952202123109E-5</v>
      </c>
      <c r="I2026" s="5">
        <f>Tabelle13[[#This Row],[%]]+I2025</f>
        <v>0.95299689527598286</v>
      </c>
      <c r="J2026" s="4">
        <f t="shared" si="95"/>
        <v>1.105583195135434E-4</v>
      </c>
      <c r="K2026" s="5">
        <f t="shared" si="96"/>
        <v>0.22377003869540332</v>
      </c>
    </row>
    <row r="2027" spans="1:11" x14ac:dyDescent="0.25">
      <c r="A2027" t="s">
        <v>11524</v>
      </c>
      <c r="C2027" t="s">
        <v>11525</v>
      </c>
      <c r="D2027" t="s">
        <v>309</v>
      </c>
      <c r="E2027" t="s">
        <v>6</v>
      </c>
      <c r="F2027" t="s">
        <v>251</v>
      </c>
      <c r="G2027">
        <v>5</v>
      </c>
      <c r="H2027" s="2">
        <f>Tabelle13[[#This Row],[commits]]/Tabelle13[[#Totals],[commits]]</f>
        <v>2.3238952202123109E-5</v>
      </c>
      <c r="I2027" s="5">
        <f>Tabelle13[[#This Row],[%]]+I2026</f>
        <v>0.95302013422818499</v>
      </c>
      <c r="J2027" s="4">
        <f t="shared" si="95"/>
        <v>1.105583195135434E-4</v>
      </c>
      <c r="K2027" s="5">
        <f t="shared" si="96"/>
        <v>0.22388059701491686</v>
      </c>
    </row>
    <row r="2028" spans="1:11" x14ac:dyDescent="0.25">
      <c r="A2028" t="s">
        <v>11526</v>
      </c>
      <c r="C2028" t="s">
        <v>11527</v>
      </c>
      <c r="D2028" t="s">
        <v>5</v>
      </c>
      <c r="E2028" t="s">
        <v>6</v>
      </c>
      <c r="F2028" t="s">
        <v>251</v>
      </c>
      <c r="G2028">
        <v>5</v>
      </c>
      <c r="H2028" s="2">
        <f>Tabelle13[[#This Row],[commits]]/Tabelle13[[#Totals],[commits]]</f>
        <v>2.3238952202123109E-5</v>
      </c>
      <c r="I2028" s="5">
        <f>Tabelle13[[#This Row],[%]]+I2027</f>
        <v>0.95304337318038712</v>
      </c>
      <c r="J2028" s="4">
        <f t="shared" si="95"/>
        <v>1.105583195135434E-4</v>
      </c>
      <c r="K2028" s="5">
        <f t="shared" si="96"/>
        <v>0.2239911553344304</v>
      </c>
    </row>
    <row r="2029" spans="1:11" x14ac:dyDescent="0.25">
      <c r="A2029" t="s">
        <v>11528</v>
      </c>
      <c r="C2029" t="s">
        <v>11529</v>
      </c>
      <c r="D2029" t="s">
        <v>8948</v>
      </c>
      <c r="E2029" t="s">
        <v>6</v>
      </c>
      <c r="F2029" t="s">
        <v>251</v>
      </c>
      <c r="G2029">
        <v>5</v>
      </c>
      <c r="H2029" s="2">
        <f>Tabelle13[[#This Row],[commits]]/Tabelle13[[#Totals],[commits]]</f>
        <v>2.3238952202123109E-5</v>
      </c>
      <c r="I2029" s="5">
        <f>Tabelle13[[#This Row],[%]]+I2028</f>
        <v>0.95306661213258925</v>
      </c>
      <c r="J2029" s="4">
        <f t="shared" si="95"/>
        <v>1.105583195135434E-4</v>
      </c>
      <c r="K2029" s="5">
        <f t="shared" si="96"/>
        <v>0.22410171365394393</v>
      </c>
    </row>
    <row r="2030" spans="1:11" x14ac:dyDescent="0.25">
      <c r="A2030" t="s">
        <v>11530</v>
      </c>
      <c r="C2030" t="s">
        <v>11531</v>
      </c>
      <c r="D2030" t="s">
        <v>5</v>
      </c>
      <c r="E2030" t="s">
        <v>6</v>
      </c>
      <c r="F2030" t="s">
        <v>251</v>
      </c>
      <c r="G2030">
        <v>5</v>
      </c>
      <c r="H2030" s="2">
        <f>Tabelle13[[#This Row],[commits]]/Tabelle13[[#Totals],[commits]]</f>
        <v>2.3238952202123109E-5</v>
      </c>
      <c r="I2030" s="5">
        <f>Tabelle13[[#This Row],[%]]+I2029</f>
        <v>0.95308985108479138</v>
      </c>
      <c r="J2030" s="4">
        <f t="shared" si="95"/>
        <v>1.105583195135434E-4</v>
      </c>
      <c r="K2030" s="5">
        <f t="shared" si="96"/>
        <v>0.22421227197345747</v>
      </c>
    </row>
    <row r="2031" spans="1:11" x14ac:dyDescent="0.25">
      <c r="A2031" t="s">
        <v>11532</v>
      </c>
      <c r="C2031" t="s">
        <v>211</v>
      </c>
      <c r="D2031" t="s">
        <v>5</v>
      </c>
      <c r="E2031" t="s">
        <v>6</v>
      </c>
      <c r="F2031" t="s">
        <v>251</v>
      </c>
      <c r="G2031">
        <v>5</v>
      </c>
      <c r="H2031" s="2">
        <f>Tabelle13[[#This Row],[commits]]/Tabelle13[[#Totals],[commits]]</f>
        <v>2.3238952202123109E-5</v>
      </c>
      <c r="I2031" s="5">
        <f>Tabelle13[[#This Row],[%]]+I2030</f>
        <v>0.95311309003699352</v>
      </c>
      <c r="J2031" s="4">
        <f t="shared" si="95"/>
        <v>1.105583195135434E-4</v>
      </c>
      <c r="K2031" s="5">
        <f t="shared" si="96"/>
        <v>0.22432283029297101</v>
      </c>
    </row>
    <row r="2032" spans="1:11" x14ac:dyDescent="0.25">
      <c r="A2032" t="s">
        <v>11533</v>
      </c>
      <c r="C2032" t="s">
        <v>11534</v>
      </c>
      <c r="D2032" t="s">
        <v>5</v>
      </c>
      <c r="E2032" t="s">
        <v>6</v>
      </c>
      <c r="F2032" t="s">
        <v>251</v>
      </c>
      <c r="G2032">
        <v>5</v>
      </c>
      <c r="H2032" s="2">
        <f>Tabelle13[[#This Row],[commits]]/Tabelle13[[#Totals],[commits]]</f>
        <v>2.3238952202123109E-5</v>
      </c>
      <c r="I2032" s="5">
        <f>Tabelle13[[#This Row],[%]]+I2031</f>
        <v>0.95313632898919565</v>
      </c>
      <c r="J2032" s="4">
        <f t="shared" si="95"/>
        <v>1.105583195135434E-4</v>
      </c>
      <c r="K2032" s="5">
        <f t="shared" si="96"/>
        <v>0.22443338861248455</v>
      </c>
    </row>
    <row r="2033" spans="1:11" x14ac:dyDescent="0.25">
      <c r="A2033" t="s">
        <v>11535</v>
      </c>
      <c r="C2033" t="s">
        <v>2036</v>
      </c>
      <c r="D2033" t="s">
        <v>5</v>
      </c>
      <c r="E2033" t="s">
        <v>6</v>
      </c>
      <c r="F2033" t="s">
        <v>251</v>
      </c>
      <c r="G2033">
        <v>5</v>
      </c>
      <c r="H2033" s="2">
        <f>Tabelle13[[#This Row],[commits]]/Tabelle13[[#Totals],[commits]]</f>
        <v>2.3238952202123109E-5</v>
      </c>
      <c r="I2033" s="5">
        <f>Tabelle13[[#This Row],[%]]+I2032</f>
        <v>0.95315956794139778</v>
      </c>
      <c r="J2033" s="4">
        <f t="shared" si="95"/>
        <v>1.105583195135434E-4</v>
      </c>
      <c r="K2033" s="5">
        <f t="shared" si="96"/>
        <v>0.22454394693199808</v>
      </c>
    </row>
    <row r="2034" spans="1:11" x14ac:dyDescent="0.25">
      <c r="A2034" t="s">
        <v>11536</v>
      </c>
      <c r="C2034" t="s">
        <v>11537</v>
      </c>
      <c r="D2034" t="s">
        <v>309</v>
      </c>
      <c r="E2034" t="s">
        <v>6</v>
      </c>
      <c r="F2034" t="s">
        <v>251</v>
      </c>
      <c r="G2034">
        <v>5</v>
      </c>
      <c r="H2034" s="2">
        <f>Tabelle13[[#This Row],[commits]]/Tabelle13[[#Totals],[commits]]</f>
        <v>2.3238952202123109E-5</v>
      </c>
      <c r="I2034" s="5">
        <f>Tabelle13[[#This Row],[%]]+I2033</f>
        <v>0.95318280689359991</v>
      </c>
      <c r="J2034" s="4">
        <f t="shared" si="95"/>
        <v>1.105583195135434E-4</v>
      </c>
      <c r="K2034" s="5">
        <f t="shared" si="96"/>
        <v>0.22465450525151162</v>
      </c>
    </row>
    <row r="2035" spans="1:11" x14ac:dyDescent="0.25">
      <c r="A2035" t="s">
        <v>11538</v>
      </c>
      <c r="C2035" t="s">
        <v>11539</v>
      </c>
      <c r="D2035" t="s">
        <v>5</v>
      </c>
      <c r="E2035" t="s">
        <v>6</v>
      </c>
      <c r="F2035" t="s">
        <v>251</v>
      </c>
      <c r="G2035">
        <v>5</v>
      </c>
      <c r="H2035" s="2">
        <f>Tabelle13[[#This Row],[commits]]/Tabelle13[[#Totals],[commits]]</f>
        <v>2.3238952202123109E-5</v>
      </c>
      <c r="I2035" s="5">
        <f>Tabelle13[[#This Row],[%]]+I2034</f>
        <v>0.95320604584580204</v>
      </c>
      <c r="J2035" s="4">
        <f t="shared" si="95"/>
        <v>1.105583195135434E-4</v>
      </c>
      <c r="K2035" s="5">
        <f t="shared" si="96"/>
        <v>0.22476506357102516</v>
      </c>
    </row>
    <row r="2036" spans="1:11" x14ac:dyDescent="0.25">
      <c r="A2036" t="s">
        <v>17175</v>
      </c>
      <c r="C2036" t="s">
        <v>17176</v>
      </c>
      <c r="D2036" t="s">
        <v>5</v>
      </c>
      <c r="E2036" t="s">
        <v>6</v>
      </c>
      <c r="F2036" t="s">
        <v>334</v>
      </c>
      <c r="G2036">
        <v>5</v>
      </c>
      <c r="H2036" s="2">
        <f>Tabelle13[[#This Row],[commits]]/Tabelle13[[#Totals],[commits]]</f>
        <v>2.3238952202123109E-5</v>
      </c>
      <c r="I2036" s="5">
        <f>Tabelle13[[#This Row],[%]]+I2035</f>
        <v>0.95322928479800417</v>
      </c>
      <c r="J2036" s="4">
        <f t="shared" si="95"/>
        <v>1.105583195135434E-4</v>
      </c>
      <c r="K2036" s="5">
        <f t="shared" si="96"/>
        <v>0.2248756218905387</v>
      </c>
    </row>
    <row r="2037" spans="1:11" x14ac:dyDescent="0.25">
      <c r="A2037" t="s">
        <v>17177</v>
      </c>
      <c r="C2037" t="s">
        <v>17178</v>
      </c>
      <c r="D2037" t="s">
        <v>5</v>
      </c>
      <c r="E2037" t="s">
        <v>6</v>
      </c>
      <c r="F2037" t="s">
        <v>334</v>
      </c>
      <c r="G2037">
        <v>5</v>
      </c>
      <c r="H2037" s="2">
        <f>Tabelle13[[#This Row],[commits]]/Tabelle13[[#Totals],[commits]]</f>
        <v>2.3238952202123109E-5</v>
      </c>
      <c r="I2037" s="5">
        <f>Tabelle13[[#This Row],[%]]+I2036</f>
        <v>0.9532525237502063</v>
      </c>
      <c r="J2037" s="4">
        <f t="shared" si="95"/>
        <v>1.105583195135434E-4</v>
      </c>
      <c r="K2037" s="5">
        <f t="shared" si="96"/>
        <v>0.22498618021005223</v>
      </c>
    </row>
    <row r="2038" spans="1:11" x14ac:dyDescent="0.25">
      <c r="A2038" t="s">
        <v>178</v>
      </c>
      <c r="C2038">
        <v>469946668</v>
      </c>
      <c r="D2038" t="s">
        <v>5</v>
      </c>
      <c r="E2038" t="s">
        <v>6</v>
      </c>
      <c r="F2038" t="s">
        <v>7</v>
      </c>
      <c r="G2038">
        <v>4</v>
      </c>
      <c r="H2038" s="2">
        <f>Tabelle13[[#This Row],[commits]]/Tabelle13[[#Totals],[commits]]</f>
        <v>1.859116176169849E-5</v>
      </c>
      <c r="I2038" s="5">
        <f>Tabelle13[[#This Row],[%]]+I2037</f>
        <v>0.95327111491196803</v>
      </c>
      <c r="J2038" s="4">
        <f t="shared" si="95"/>
        <v>1.105583195135434E-4</v>
      </c>
      <c r="K2038" s="5">
        <f t="shared" si="96"/>
        <v>0.22509673852956577</v>
      </c>
    </row>
    <row r="2039" spans="1:11" x14ac:dyDescent="0.25">
      <c r="A2039" t="s">
        <v>179</v>
      </c>
      <c r="C2039" t="s">
        <v>180</v>
      </c>
      <c r="D2039" t="s">
        <v>5</v>
      </c>
      <c r="E2039" t="s">
        <v>6</v>
      </c>
      <c r="F2039" t="s">
        <v>7</v>
      </c>
      <c r="G2039">
        <v>4</v>
      </c>
      <c r="H2039" s="2">
        <f>Tabelle13[[#This Row],[commits]]/Tabelle13[[#Totals],[commits]]</f>
        <v>1.859116176169849E-5</v>
      </c>
      <c r="I2039" s="5">
        <f>Tabelle13[[#This Row],[%]]+I2038</f>
        <v>0.95328970607372976</v>
      </c>
      <c r="J2039" s="4">
        <f t="shared" si="95"/>
        <v>1.105583195135434E-4</v>
      </c>
      <c r="K2039" s="5">
        <f t="shared" si="96"/>
        <v>0.22520729684907931</v>
      </c>
    </row>
    <row r="2040" spans="1:11" x14ac:dyDescent="0.25">
      <c r="A2040" t="s">
        <v>181</v>
      </c>
      <c r="C2040" t="s">
        <v>182</v>
      </c>
      <c r="D2040" t="s">
        <v>183</v>
      </c>
      <c r="E2040" t="s">
        <v>6</v>
      </c>
      <c r="F2040" t="s">
        <v>7</v>
      </c>
      <c r="G2040">
        <v>4</v>
      </c>
      <c r="H2040" s="2">
        <f>Tabelle13[[#This Row],[commits]]/Tabelle13[[#Totals],[commits]]</f>
        <v>1.859116176169849E-5</v>
      </c>
      <c r="I2040" s="5">
        <f>Tabelle13[[#This Row],[%]]+I2039</f>
        <v>0.95330829723549149</v>
      </c>
      <c r="J2040" s="4">
        <f t="shared" si="95"/>
        <v>1.105583195135434E-4</v>
      </c>
      <c r="K2040" s="5">
        <f t="shared" si="96"/>
        <v>0.22531785516859285</v>
      </c>
    </row>
    <row r="2041" spans="1:11" x14ac:dyDescent="0.25">
      <c r="A2041" t="s">
        <v>184</v>
      </c>
      <c r="C2041" t="s">
        <v>185</v>
      </c>
      <c r="D2041" t="s">
        <v>5</v>
      </c>
      <c r="E2041" t="s">
        <v>6</v>
      </c>
      <c r="F2041" t="s">
        <v>7</v>
      </c>
      <c r="G2041">
        <v>4</v>
      </c>
      <c r="H2041" s="2">
        <f>Tabelle13[[#This Row],[commits]]/Tabelle13[[#Totals],[commits]]</f>
        <v>1.859116176169849E-5</v>
      </c>
      <c r="I2041" s="5">
        <f>Tabelle13[[#This Row],[%]]+I2040</f>
        <v>0.95332688839725321</v>
      </c>
      <c r="J2041" s="4">
        <f t="shared" si="95"/>
        <v>1.105583195135434E-4</v>
      </c>
      <c r="K2041" s="5">
        <f t="shared" si="96"/>
        <v>0.22542841348810638</v>
      </c>
    </row>
    <row r="2042" spans="1:11" x14ac:dyDescent="0.25">
      <c r="A2042" t="s">
        <v>186</v>
      </c>
      <c r="C2042" t="s">
        <v>187</v>
      </c>
      <c r="D2042" t="s">
        <v>5</v>
      </c>
      <c r="E2042" t="s">
        <v>6</v>
      </c>
      <c r="F2042" t="s">
        <v>7</v>
      </c>
      <c r="G2042">
        <v>4</v>
      </c>
      <c r="H2042" s="2">
        <f>Tabelle13[[#This Row],[commits]]/Tabelle13[[#Totals],[commits]]</f>
        <v>1.859116176169849E-5</v>
      </c>
      <c r="I2042" s="5">
        <f>Tabelle13[[#This Row],[%]]+I2041</f>
        <v>0.95334547955901494</v>
      </c>
      <c r="J2042" s="4">
        <f t="shared" si="95"/>
        <v>1.105583195135434E-4</v>
      </c>
      <c r="K2042" s="5">
        <f t="shared" si="96"/>
        <v>0.22553897180761992</v>
      </c>
    </row>
    <row r="2043" spans="1:11" x14ac:dyDescent="0.25">
      <c r="A2043" t="s">
        <v>188</v>
      </c>
      <c r="C2043" t="s">
        <v>189</v>
      </c>
      <c r="D2043" t="s">
        <v>5</v>
      </c>
      <c r="E2043" t="s">
        <v>6</v>
      </c>
      <c r="F2043" t="s">
        <v>7</v>
      </c>
      <c r="G2043">
        <v>4</v>
      </c>
      <c r="H2043" s="2">
        <f>Tabelle13[[#This Row],[commits]]/Tabelle13[[#Totals],[commits]]</f>
        <v>1.859116176169849E-5</v>
      </c>
      <c r="I2043" s="5">
        <f>Tabelle13[[#This Row],[%]]+I2042</f>
        <v>0.95336407072077667</v>
      </c>
      <c r="J2043" s="4">
        <f t="shared" si="95"/>
        <v>1.105583195135434E-4</v>
      </c>
      <c r="K2043" s="5">
        <f t="shared" si="96"/>
        <v>0.22564953012713346</v>
      </c>
    </row>
    <row r="2044" spans="1:11" x14ac:dyDescent="0.25">
      <c r="A2044" t="s">
        <v>190</v>
      </c>
      <c r="C2044" t="s">
        <v>191</v>
      </c>
      <c r="D2044" t="s">
        <v>5</v>
      </c>
      <c r="E2044" t="s">
        <v>6</v>
      </c>
      <c r="F2044" t="s">
        <v>7</v>
      </c>
      <c r="G2044">
        <v>4</v>
      </c>
      <c r="H2044" s="2">
        <f>Tabelle13[[#This Row],[commits]]/Tabelle13[[#Totals],[commits]]</f>
        <v>1.859116176169849E-5</v>
      </c>
      <c r="I2044" s="5">
        <f>Tabelle13[[#This Row],[%]]+I2043</f>
        <v>0.9533826618825384</v>
      </c>
      <c r="J2044" s="4">
        <f t="shared" si="95"/>
        <v>1.105583195135434E-4</v>
      </c>
      <c r="K2044" s="5">
        <f t="shared" si="96"/>
        <v>0.22576008844664699</v>
      </c>
    </row>
    <row r="2045" spans="1:11" x14ac:dyDescent="0.25">
      <c r="A2045" t="s">
        <v>192</v>
      </c>
      <c r="C2045" t="s">
        <v>193</v>
      </c>
      <c r="D2045" t="s">
        <v>5</v>
      </c>
      <c r="E2045" t="s">
        <v>6</v>
      </c>
      <c r="F2045" t="s">
        <v>7</v>
      </c>
      <c r="G2045">
        <v>4</v>
      </c>
      <c r="H2045" s="2">
        <f>Tabelle13[[#This Row],[commits]]/Tabelle13[[#Totals],[commits]]</f>
        <v>1.859116176169849E-5</v>
      </c>
      <c r="I2045" s="5">
        <f>Tabelle13[[#This Row],[%]]+I2044</f>
        <v>0.95340125304430012</v>
      </c>
      <c r="J2045" s="4">
        <f t="shared" si="95"/>
        <v>1.105583195135434E-4</v>
      </c>
      <c r="K2045" s="5">
        <f t="shared" si="96"/>
        <v>0.22587064676616053</v>
      </c>
    </row>
    <row r="2046" spans="1:11" x14ac:dyDescent="0.25">
      <c r="A2046" t="s">
        <v>194</v>
      </c>
      <c r="C2046" t="s">
        <v>195</v>
      </c>
      <c r="D2046" t="s">
        <v>5</v>
      </c>
      <c r="E2046" t="s">
        <v>6</v>
      </c>
      <c r="F2046" t="s">
        <v>7</v>
      </c>
      <c r="G2046">
        <v>4</v>
      </c>
      <c r="H2046" s="2">
        <f>Tabelle13[[#This Row],[commits]]/Tabelle13[[#Totals],[commits]]</f>
        <v>1.859116176169849E-5</v>
      </c>
      <c r="I2046" s="5">
        <f>Tabelle13[[#This Row],[%]]+I2045</f>
        <v>0.95341984420606185</v>
      </c>
      <c r="J2046" s="4">
        <f t="shared" si="95"/>
        <v>1.105583195135434E-4</v>
      </c>
      <c r="K2046" s="5">
        <f t="shared" si="96"/>
        <v>0.22598120508567407</v>
      </c>
    </row>
    <row r="2047" spans="1:11" x14ac:dyDescent="0.25">
      <c r="A2047" t="s">
        <v>196</v>
      </c>
      <c r="C2047" t="s">
        <v>197</v>
      </c>
      <c r="D2047" t="s">
        <v>5</v>
      </c>
      <c r="E2047" t="s">
        <v>6</v>
      </c>
      <c r="F2047" t="s">
        <v>7</v>
      </c>
      <c r="G2047">
        <v>4</v>
      </c>
      <c r="H2047" s="2">
        <f>Tabelle13[[#This Row],[commits]]/Tabelle13[[#Totals],[commits]]</f>
        <v>1.859116176169849E-5</v>
      </c>
      <c r="I2047" s="5">
        <f>Tabelle13[[#This Row],[%]]+I2046</f>
        <v>0.95343843536782358</v>
      </c>
      <c r="J2047" s="4">
        <f t="shared" si="95"/>
        <v>1.105583195135434E-4</v>
      </c>
      <c r="K2047" s="5">
        <f t="shared" si="96"/>
        <v>0.22609176340518761</v>
      </c>
    </row>
    <row r="2048" spans="1:11" x14ac:dyDescent="0.25">
      <c r="A2048" t="s">
        <v>198</v>
      </c>
      <c r="C2048" t="s">
        <v>199</v>
      </c>
      <c r="D2048" t="s">
        <v>5</v>
      </c>
      <c r="E2048" t="s">
        <v>6</v>
      </c>
      <c r="F2048" t="s">
        <v>7</v>
      </c>
      <c r="G2048">
        <v>4</v>
      </c>
      <c r="H2048" s="2">
        <f>Tabelle13[[#This Row],[commits]]/Tabelle13[[#Totals],[commits]]</f>
        <v>1.859116176169849E-5</v>
      </c>
      <c r="I2048" s="5">
        <f>Tabelle13[[#This Row],[%]]+I2047</f>
        <v>0.95345702652958531</v>
      </c>
      <c r="J2048" s="4">
        <f t="shared" si="95"/>
        <v>1.105583195135434E-4</v>
      </c>
      <c r="K2048" s="5">
        <f t="shared" si="96"/>
        <v>0.22620232172470114</v>
      </c>
    </row>
    <row r="2049" spans="1:11" x14ac:dyDescent="0.25">
      <c r="A2049" t="s">
        <v>200</v>
      </c>
      <c r="C2049" t="s">
        <v>201</v>
      </c>
      <c r="D2049" t="s">
        <v>5</v>
      </c>
      <c r="E2049" t="s">
        <v>6</v>
      </c>
      <c r="F2049" t="s">
        <v>7</v>
      </c>
      <c r="G2049">
        <v>4</v>
      </c>
      <c r="H2049" s="2">
        <f>Tabelle13[[#This Row],[commits]]/Tabelle13[[#Totals],[commits]]</f>
        <v>1.859116176169849E-5</v>
      </c>
      <c r="I2049" s="5">
        <f>Tabelle13[[#This Row],[%]]+I2048</f>
        <v>0.95347561769134703</v>
      </c>
      <c r="J2049" s="4">
        <f t="shared" si="95"/>
        <v>1.105583195135434E-4</v>
      </c>
      <c r="K2049" s="5">
        <f t="shared" si="96"/>
        <v>0.22631288004421468</v>
      </c>
    </row>
    <row r="2050" spans="1:11" x14ac:dyDescent="0.25">
      <c r="A2050" t="s">
        <v>202</v>
      </c>
      <c r="C2050" t="s">
        <v>203</v>
      </c>
      <c r="D2050" t="s">
        <v>5</v>
      </c>
      <c r="E2050" t="s">
        <v>6</v>
      </c>
      <c r="F2050" t="s">
        <v>7</v>
      </c>
      <c r="G2050">
        <v>4</v>
      </c>
      <c r="H2050" s="2">
        <f>Tabelle13[[#This Row],[commits]]/Tabelle13[[#Totals],[commits]]</f>
        <v>1.859116176169849E-5</v>
      </c>
      <c r="I2050" s="5">
        <f>Tabelle13[[#This Row],[%]]+I2049</f>
        <v>0.95349420885310876</v>
      </c>
      <c r="J2050" s="4">
        <f t="shared" si="95"/>
        <v>1.105583195135434E-4</v>
      </c>
      <c r="K2050" s="5">
        <f t="shared" si="96"/>
        <v>0.22642343836372822</v>
      </c>
    </row>
    <row r="2051" spans="1:11" x14ac:dyDescent="0.25">
      <c r="A2051" t="s">
        <v>204</v>
      </c>
      <c r="C2051" t="s">
        <v>205</v>
      </c>
      <c r="D2051" t="s">
        <v>5</v>
      </c>
      <c r="E2051" t="s">
        <v>6</v>
      </c>
      <c r="F2051" t="s">
        <v>7</v>
      </c>
      <c r="G2051">
        <v>4</v>
      </c>
      <c r="H2051" s="2">
        <f>Tabelle13[[#This Row],[commits]]/Tabelle13[[#Totals],[commits]]</f>
        <v>1.859116176169849E-5</v>
      </c>
      <c r="I2051" s="5">
        <f>Tabelle13[[#This Row],[%]]+I2050</f>
        <v>0.95351280001487049</v>
      </c>
      <c r="J2051" s="4">
        <f t="shared" ref="J2051:J2114" si="97">1/9045</f>
        <v>1.105583195135434E-4</v>
      </c>
      <c r="K2051" s="5">
        <f t="shared" si="96"/>
        <v>0.22653399668324176</v>
      </c>
    </row>
    <row r="2052" spans="1:11" x14ac:dyDescent="0.25">
      <c r="A2052" t="s">
        <v>206</v>
      </c>
      <c r="C2052" t="s">
        <v>207</v>
      </c>
      <c r="D2052" t="s">
        <v>5</v>
      </c>
      <c r="E2052" t="s">
        <v>6</v>
      </c>
      <c r="F2052" t="s">
        <v>7</v>
      </c>
      <c r="G2052">
        <v>4</v>
      </c>
      <c r="H2052" s="2">
        <f>Tabelle13[[#This Row],[commits]]/Tabelle13[[#Totals],[commits]]</f>
        <v>1.859116176169849E-5</v>
      </c>
      <c r="I2052" s="5">
        <f>Tabelle13[[#This Row],[%]]+I2051</f>
        <v>0.95353139117663221</v>
      </c>
      <c r="J2052" s="4">
        <f t="shared" si="97"/>
        <v>1.105583195135434E-4</v>
      </c>
      <c r="K2052" s="5">
        <f t="shared" si="96"/>
        <v>0.22664455500275529</v>
      </c>
    </row>
    <row r="2053" spans="1:11" x14ac:dyDescent="0.25">
      <c r="A2053" t="s">
        <v>208</v>
      </c>
      <c r="C2053" t="s">
        <v>209</v>
      </c>
      <c r="D2053" t="s">
        <v>5</v>
      </c>
      <c r="E2053" t="s">
        <v>6</v>
      </c>
      <c r="F2053" t="s">
        <v>7</v>
      </c>
      <c r="G2053">
        <v>4</v>
      </c>
      <c r="H2053" s="2">
        <f>Tabelle13[[#This Row],[commits]]/Tabelle13[[#Totals],[commits]]</f>
        <v>1.859116176169849E-5</v>
      </c>
      <c r="I2053" s="5">
        <f>Tabelle13[[#This Row],[%]]+I2052</f>
        <v>0.95354998233839394</v>
      </c>
      <c r="J2053" s="4">
        <f t="shared" si="97"/>
        <v>1.105583195135434E-4</v>
      </c>
      <c r="K2053" s="5">
        <f t="shared" si="96"/>
        <v>0.22675511332226883</v>
      </c>
    </row>
    <row r="2054" spans="1:11" x14ac:dyDescent="0.25">
      <c r="A2054" t="s">
        <v>210</v>
      </c>
      <c r="C2054" t="s">
        <v>211</v>
      </c>
      <c r="D2054" t="s">
        <v>5</v>
      </c>
      <c r="E2054" t="s">
        <v>6</v>
      </c>
      <c r="F2054" t="s">
        <v>7</v>
      </c>
      <c r="G2054">
        <v>4</v>
      </c>
      <c r="H2054" s="2">
        <f>Tabelle13[[#This Row],[commits]]/Tabelle13[[#Totals],[commits]]</f>
        <v>1.859116176169849E-5</v>
      </c>
      <c r="I2054" s="5">
        <f>Tabelle13[[#This Row],[%]]+I2053</f>
        <v>0.95356857350015567</v>
      </c>
      <c r="J2054" s="4">
        <f t="shared" si="97"/>
        <v>1.105583195135434E-4</v>
      </c>
      <c r="K2054" s="5">
        <f t="shared" ref="K2054:K2117" si="98">J2054+K2053</f>
        <v>0.22686567164178237</v>
      </c>
    </row>
    <row r="2055" spans="1:11" x14ac:dyDescent="0.25">
      <c r="A2055" t="s">
        <v>212</v>
      </c>
      <c r="C2055" t="s">
        <v>213</v>
      </c>
      <c r="D2055" t="s">
        <v>5</v>
      </c>
      <c r="E2055" t="s">
        <v>6</v>
      </c>
      <c r="F2055" t="s">
        <v>7</v>
      </c>
      <c r="G2055">
        <v>4</v>
      </c>
      <c r="H2055" s="2">
        <f>Tabelle13[[#This Row],[commits]]/Tabelle13[[#Totals],[commits]]</f>
        <v>1.859116176169849E-5</v>
      </c>
      <c r="I2055" s="5">
        <f>Tabelle13[[#This Row],[%]]+I2054</f>
        <v>0.9535871646619174</v>
      </c>
      <c r="J2055" s="4">
        <f t="shared" si="97"/>
        <v>1.105583195135434E-4</v>
      </c>
      <c r="K2055" s="5">
        <f t="shared" si="98"/>
        <v>0.22697622996129591</v>
      </c>
    </row>
    <row r="2056" spans="1:11" x14ac:dyDescent="0.25">
      <c r="A2056" t="s">
        <v>214</v>
      </c>
      <c r="C2056" t="s">
        <v>215</v>
      </c>
      <c r="D2056" t="s">
        <v>5</v>
      </c>
      <c r="E2056" t="s">
        <v>6</v>
      </c>
      <c r="F2056" t="s">
        <v>7</v>
      </c>
      <c r="G2056">
        <v>4</v>
      </c>
      <c r="H2056" s="2">
        <f>Tabelle13[[#This Row],[commits]]/Tabelle13[[#Totals],[commits]]</f>
        <v>1.859116176169849E-5</v>
      </c>
      <c r="I2056" s="5">
        <f>Tabelle13[[#This Row],[%]]+I2055</f>
        <v>0.95360575582367912</v>
      </c>
      <c r="J2056" s="4">
        <f t="shared" si="97"/>
        <v>1.105583195135434E-4</v>
      </c>
      <c r="K2056" s="5">
        <f t="shared" si="98"/>
        <v>0.22708678828080944</v>
      </c>
    </row>
    <row r="2057" spans="1:11" x14ac:dyDescent="0.25">
      <c r="A2057" t="s">
        <v>218</v>
      </c>
      <c r="C2057" t="s">
        <v>219</v>
      </c>
      <c r="D2057" t="s">
        <v>5</v>
      </c>
      <c r="E2057" t="s">
        <v>6</v>
      </c>
      <c r="F2057" t="s">
        <v>7</v>
      </c>
      <c r="G2057">
        <v>4</v>
      </c>
      <c r="H2057" s="2">
        <f>Tabelle13[[#This Row],[commits]]/Tabelle13[[#Totals],[commits]]</f>
        <v>1.859116176169849E-5</v>
      </c>
      <c r="I2057" s="5">
        <f>Tabelle13[[#This Row],[%]]+I2056</f>
        <v>0.95362434698544085</v>
      </c>
      <c r="J2057" s="4">
        <f t="shared" si="97"/>
        <v>1.105583195135434E-4</v>
      </c>
      <c r="K2057" s="5">
        <f t="shared" si="98"/>
        <v>0.22719734660032298</v>
      </c>
    </row>
    <row r="2058" spans="1:11" x14ac:dyDescent="0.25">
      <c r="A2058" t="s">
        <v>220</v>
      </c>
      <c r="C2058" t="s">
        <v>221</v>
      </c>
      <c r="D2058" t="s">
        <v>5</v>
      </c>
      <c r="E2058" t="s">
        <v>6</v>
      </c>
      <c r="F2058" t="s">
        <v>7</v>
      </c>
      <c r="G2058">
        <v>4</v>
      </c>
      <c r="H2058" s="2">
        <f>Tabelle13[[#This Row],[commits]]/Tabelle13[[#Totals],[commits]]</f>
        <v>1.859116176169849E-5</v>
      </c>
      <c r="I2058" s="5">
        <f>Tabelle13[[#This Row],[%]]+I2057</f>
        <v>0.95364293814720258</v>
      </c>
      <c r="J2058" s="4">
        <f t="shared" si="97"/>
        <v>1.105583195135434E-4</v>
      </c>
      <c r="K2058" s="5">
        <f t="shared" si="98"/>
        <v>0.22730790491983652</v>
      </c>
    </row>
    <row r="2059" spans="1:11" x14ac:dyDescent="0.25">
      <c r="A2059" t="s">
        <v>222</v>
      </c>
      <c r="C2059" t="s">
        <v>223</v>
      </c>
      <c r="D2059" t="s">
        <v>224</v>
      </c>
      <c r="E2059" t="s">
        <v>6</v>
      </c>
      <c r="F2059" t="s">
        <v>7</v>
      </c>
      <c r="G2059">
        <v>4</v>
      </c>
      <c r="H2059" s="2">
        <f>Tabelle13[[#This Row],[commits]]/Tabelle13[[#Totals],[commits]]</f>
        <v>1.859116176169849E-5</v>
      </c>
      <c r="I2059" s="5">
        <f>Tabelle13[[#This Row],[%]]+I2058</f>
        <v>0.95366152930896431</v>
      </c>
      <c r="J2059" s="4">
        <f t="shared" si="97"/>
        <v>1.105583195135434E-4</v>
      </c>
      <c r="K2059" s="5">
        <f t="shared" si="98"/>
        <v>0.22741846323935005</v>
      </c>
    </row>
    <row r="2060" spans="1:11" x14ac:dyDescent="0.25">
      <c r="A2060" t="s">
        <v>225</v>
      </c>
      <c r="C2060" t="s">
        <v>226</v>
      </c>
      <c r="D2060" t="s">
        <v>5</v>
      </c>
      <c r="E2060" t="s">
        <v>6</v>
      </c>
      <c r="F2060" t="s">
        <v>7</v>
      </c>
      <c r="G2060">
        <v>4</v>
      </c>
      <c r="H2060" s="2">
        <f>Tabelle13[[#This Row],[commits]]/Tabelle13[[#Totals],[commits]]</f>
        <v>1.859116176169849E-5</v>
      </c>
      <c r="I2060" s="5">
        <f>Tabelle13[[#This Row],[%]]+I2059</f>
        <v>0.95368012047072603</v>
      </c>
      <c r="J2060" s="4">
        <f t="shared" si="97"/>
        <v>1.105583195135434E-4</v>
      </c>
      <c r="K2060" s="5">
        <f t="shared" si="98"/>
        <v>0.22752902155886359</v>
      </c>
    </row>
    <row r="2061" spans="1:11" x14ac:dyDescent="0.25">
      <c r="A2061" t="s">
        <v>227</v>
      </c>
      <c r="C2061" t="s">
        <v>228</v>
      </c>
      <c r="D2061" t="s">
        <v>5</v>
      </c>
      <c r="E2061" t="s">
        <v>6</v>
      </c>
      <c r="F2061" t="s">
        <v>7</v>
      </c>
      <c r="G2061">
        <v>4</v>
      </c>
      <c r="H2061" s="2">
        <f>Tabelle13[[#This Row],[commits]]/Tabelle13[[#Totals],[commits]]</f>
        <v>1.859116176169849E-5</v>
      </c>
      <c r="I2061" s="5">
        <f>Tabelle13[[#This Row],[%]]+I2060</f>
        <v>0.95369871163248776</v>
      </c>
      <c r="J2061" s="4">
        <f t="shared" si="97"/>
        <v>1.105583195135434E-4</v>
      </c>
      <c r="K2061" s="5">
        <f t="shared" si="98"/>
        <v>0.22763957987837713</v>
      </c>
    </row>
    <row r="2062" spans="1:11" x14ac:dyDescent="0.25">
      <c r="A2062" t="s">
        <v>229</v>
      </c>
      <c r="C2062" t="s">
        <v>230</v>
      </c>
      <c r="D2062" t="s">
        <v>5</v>
      </c>
      <c r="E2062" t="s">
        <v>6</v>
      </c>
      <c r="F2062" t="s">
        <v>7</v>
      </c>
      <c r="G2062">
        <v>4</v>
      </c>
      <c r="H2062" s="2">
        <f>Tabelle13[[#This Row],[commits]]/Tabelle13[[#Totals],[commits]]</f>
        <v>1.859116176169849E-5</v>
      </c>
      <c r="I2062" s="5">
        <f>Tabelle13[[#This Row],[%]]+I2061</f>
        <v>0.95371730279424949</v>
      </c>
      <c r="J2062" s="4">
        <f t="shared" si="97"/>
        <v>1.105583195135434E-4</v>
      </c>
      <c r="K2062" s="5">
        <f t="shared" si="98"/>
        <v>0.22775013819789067</v>
      </c>
    </row>
    <row r="2063" spans="1:11" x14ac:dyDescent="0.25">
      <c r="A2063" t="s">
        <v>1247</v>
      </c>
      <c r="C2063" t="s">
        <v>1248</v>
      </c>
      <c r="D2063" t="s">
        <v>5</v>
      </c>
      <c r="E2063" t="s">
        <v>6</v>
      </c>
      <c r="F2063" t="s">
        <v>28</v>
      </c>
      <c r="G2063">
        <v>4</v>
      </c>
      <c r="H2063" s="2">
        <f>Tabelle13[[#This Row],[commits]]/Tabelle13[[#Totals],[commits]]</f>
        <v>1.859116176169849E-5</v>
      </c>
      <c r="I2063" s="5">
        <f>Tabelle13[[#This Row],[%]]+I2062</f>
        <v>0.95373589395601122</v>
      </c>
      <c r="J2063" s="4">
        <f t="shared" si="97"/>
        <v>1.105583195135434E-4</v>
      </c>
      <c r="K2063" s="5">
        <f t="shared" si="98"/>
        <v>0.2278606965174042</v>
      </c>
    </row>
    <row r="2064" spans="1:11" x14ac:dyDescent="0.25">
      <c r="A2064" t="s">
        <v>2864</v>
      </c>
      <c r="C2064" t="s">
        <v>1541</v>
      </c>
      <c r="D2064" t="s">
        <v>5</v>
      </c>
      <c r="E2064" t="s">
        <v>6</v>
      </c>
      <c r="F2064" t="s">
        <v>724</v>
      </c>
      <c r="G2064">
        <v>4</v>
      </c>
      <c r="H2064" s="2">
        <f>Tabelle13[[#This Row],[commits]]/Tabelle13[[#Totals],[commits]]</f>
        <v>1.859116176169849E-5</v>
      </c>
      <c r="I2064" s="5">
        <f>Tabelle13[[#This Row],[%]]+I2063</f>
        <v>0.95375448511777294</v>
      </c>
      <c r="J2064" s="4">
        <f t="shared" si="97"/>
        <v>1.105583195135434E-4</v>
      </c>
      <c r="K2064" s="5">
        <f t="shared" si="98"/>
        <v>0.22797125483691774</v>
      </c>
    </row>
    <row r="2065" spans="1:11" x14ac:dyDescent="0.25">
      <c r="A2065" t="s">
        <v>2865</v>
      </c>
      <c r="C2065" t="s">
        <v>2866</v>
      </c>
      <c r="D2065" t="s">
        <v>5</v>
      </c>
      <c r="E2065" t="s">
        <v>6</v>
      </c>
      <c r="F2065" t="s">
        <v>724</v>
      </c>
      <c r="G2065">
        <v>4</v>
      </c>
      <c r="H2065" s="2">
        <f>Tabelle13[[#This Row],[commits]]/Tabelle13[[#Totals],[commits]]</f>
        <v>1.859116176169849E-5</v>
      </c>
      <c r="I2065" s="5">
        <f>Tabelle13[[#This Row],[%]]+I2064</f>
        <v>0.95377307627953467</v>
      </c>
      <c r="J2065" s="4">
        <f t="shared" si="97"/>
        <v>1.105583195135434E-4</v>
      </c>
      <c r="K2065" s="5">
        <f t="shared" si="98"/>
        <v>0.22808181315643128</v>
      </c>
    </row>
    <row r="2066" spans="1:11" x14ac:dyDescent="0.25">
      <c r="A2066" t="s">
        <v>2867</v>
      </c>
      <c r="C2066" t="s">
        <v>2868</v>
      </c>
      <c r="D2066" t="s">
        <v>5</v>
      </c>
      <c r="E2066" t="s">
        <v>6</v>
      </c>
      <c r="F2066" t="s">
        <v>724</v>
      </c>
      <c r="G2066">
        <v>4</v>
      </c>
      <c r="H2066" s="2">
        <f>Tabelle13[[#This Row],[commits]]/Tabelle13[[#Totals],[commits]]</f>
        <v>1.859116176169849E-5</v>
      </c>
      <c r="I2066" s="5">
        <f>Tabelle13[[#This Row],[%]]+I2065</f>
        <v>0.9537916674412964</v>
      </c>
      <c r="J2066" s="4">
        <f t="shared" si="97"/>
        <v>1.105583195135434E-4</v>
      </c>
      <c r="K2066" s="5">
        <f t="shared" si="98"/>
        <v>0.22819237147594482</v>
      </c>
    </row>
    <row r="2067" spans="1:11" x14ac:dyDescent="0.25">
      <c r="A2067" t="s">
        <v>2869</v>
      </c>
      <c r="C2067" t="s">
        <v>2870</v>
      </c>
      <c r="D2067" t="s">
        <v>5</v>
      </c>
      <c r="E2067" t="s">
        <v>6</v>
      </c>
      <c r="F2067" t="s">
        <v>724</v>
      </c>
      <c r="G2067">
        <v>4</v>
      </c>
      <c r="H2067" s="2">
        <f>Tabelle13[[#This Row],[commits]]/Tabelle13[[#Totals],[commits]]</f>
        <v>1.859116176169849E-5</v>
      </c>
      <c r="I2067" s="5">
        <f>Tabelle13[[#This Row],[%]]+I2066</f>
        <v>0.95381025860305813</v>
      </c>
      <c r="J2067" s="4">
        <f t="shared" si="97"/>
        <v>1.105583195135434E-4</v>
      </c>
      <c r="K2067" s="5">
        <f t="shared" si="98"/>
        <v>0.22830292979545835</v>
      </c>
    </row>
    <row r="2068" spans="1:11" x14ac:dyDescent="0.25">
      <c r="A2068" t="s">
        <v>2871</v>
      </c>
      <c r="C2068" t="s">
        <v>2872</v>
      </c>
      <c r="D2068" t="s">
        <v>5</v>
      </c>
      <c r="E2068" t="s">
        <v>6</v>
      </c>
      <c r="F2068" t="s">
        <v>724</v>
      </c>
      <c r="G2068">
        <v>4</v>
      </c>
      <c r="H2068" s="2">
        <f>Tabelle13[[#This Row],[commits]]/Tabelle13[[#Totals],[commits]]</f>
        <v>1.859116176169849E-5</v>
      </c>
      <c r="I2068" s="5">
        <f>Tabelle13[[#This Row],[%]]+I2067</f>
        <v>0.95382884976481985</v>
      </c>
      <c r="J2068" s="4">
        <f t="shared" si="97"/>
        <v>1.105583195135434E-4</v>
      </c>
      <c r="K2068" s="5">
        <f t="shared" si="98"/>
        <v>0.22841348811497189</v>
      </c>
    </row>
    <row r="2069" spans="1:11" x14ac:dyDescent="0.25">
      <c r="A2069" t="s">
        <v>2873</v>
      </c>
      <c r="C2069" t="s">
        <v>2874</v>
      </c>
      <c r="D2069" t="s">
        <v>5</v>
      </c>
      <c r="E2069" t="s">
        <v>6</v>
      </c>
      <c r="F2069" t="s">
        <v>724</v>
      </c>
      <c r="G2069">
        <v>4</v>
      </c>
      <c r="H2069" s="2">
        <f>Tabelle13[[#This Row],[commits]]/Tabelle13[[#Totals],[commits]]</f>
        <v>1.859116176169849E-5</v>
      </c>
      <c r="I2069" s="5">
        <f>Tabelle13[[#This Row],[%]]+I2068</f>
        <v>0.95384744092658158</v>
      </c>
      <c r="J2069" s="4">
        <f t="shared" si="97"/>
        <v>1.105583195135434E-4</v>
      </c>
      <c r="K2069" s="5">
        <f t="shared" si="98"/>
        <v>0.22852404643448543</v>
      </c>
    </row>
    <row r="2070" spans="1:11" x14ac:dyDescent="0.25">
      <c r="A2070" t="s">
        <v>2875</v>
      </c>
      <c r="C2070">
        <v>2539699336</v>
      </c>
      <c r="D2070" t="s">
        <v>5</v>
      </c>
      <c r="E2070" t="s">
        <v>6</v>
      </c>
      <c r="F2070" t="s">
        <v>724</v>
      </c>
      <c r="G2070">
        <v>4</v>
      </c>
      <c r="H2070" s="2">
        <f>Tabelle13[[#This Row],[commits]]/Tabelle13[[#Totals],[commits]]</f>
        <v>1.859116176169849E-5</v>
      </c>
      <c r="I2070" s="5">
        <f>Tabelle13[[#This Row],[%]]+I2069</f>
        <v>0.95386603208834331</v>
      </c>
      <c r="J2070" s="4">
        <f t="shared" si="97"/>
        <v>1.105583195135434E-4</v>
      </c>
      <c r="K2070" s="5">
        <f t="shared" si="98"/>
        <v>0.22863460475399897</v>
      </c>
    </row>
    <row r="2071" spans="1:11" x14ac:dyDescent="0.25">
      <c r="A2071" t="s">
        <v>2876</v>
      </c>
      <c r="C2071" t="s">
        <v>2877</v>
      </c>
      <c r="D2071" t="s">
        <v>2878</v>
      </c>
      <c r="E2071" t="s">
        <v>6</v>
      </c>
      <c r="F2071" t="s">
        <v>724</v>
      </c>
      <c r="G2071">
        <v>4</v>
      </c>
      <c r="H2071" s="2">
        <f>Tabelle13[[#This Row],[commits]]/Tabelle13[[#Totals],[commits]]</f>
        <v>1.859116176169849E-5</v>
      </c>
      <c r="I2071" s="5">
        <f>Tabelle13[[#This Row],[%]]+I2070</f>
        <v>0.95388462325010503</v>
      </c>
      <c r="J2071" s="4">
        <f t="shared" si="97"/>
        <v>1.105583195135434E-4</v>
      </c>
      <c r="K2071" s="5">
        <f t="shared" si="98"/>
        <v>0.2287451630735125</v>
      </c>
    </row>
    <row r="2072" spans="1:11" x14ac:dyDescent="0.25">
      <c r="A2072" t="s">
        <v>2879</v>
      </c>
      <c r="C2072" t="s">
        <v>2880</v>
      </c>
      <c r="D2072" t="s">
        <v>5</v>
      </c>
      <c r="E2072" t="s">
        <v>6</v>
      </c>
      <c r="F2072" t="s">
        <v>724</v>
      </c>
      <c r="G2072">
        <v>4</v>
      </c>
      <c r="H2072" s="2">
        <f>Tabelle13[[#This Row],[commits]]/Tabelle13[[#Totals],[commits]]</f>
        <v>1.859116176169849E-5</v>
      </c>
      <c r="I2072" s="5">
        <f>Tabelle13[[#This Row],[%]]+I2071</f>
        <v>0.95390321441186676</v>
      </c>
      <c r="J2072" s="4">
        <f t="shared" si="97"/>
        <v>1.105583195135434E-4</v>
      </c>
      <c r="K2072" s="5">
        <f t="shared" si="98"/>
        <v>0.22885572139302604</v>
      </c>
    </row>
    <row r="2073" spans="1:11" x14ac:dyDescent="0.25">
      <c r="A2073" t="s">
        <v>2881</v>
      </c>
      <c r="C2073" t="s">
        <v>2882</v>
      </c>
      <c r="D2073" t="s">
        <v>5</v>
      </c>
      <c r="E2073" t="s">
        <v>6</v>
      </c>
      <c r="F2073" t="s">
        <v>724</v>
      </c>
      <c r="G2073">
        <v>4</v>
      </c>
      <c r="H2073" s="2">
        <f>Tabelle13[[#This Row],[commits]]/Tabelle13[[#Totals],[commits]]</f>
        <v>1.859116176169849E-5</v>
      </c>
      <c r="I2073" s="5">
        <f>Tabelle13[[#This Row],[%]]+I2072</f>
        <v>0.95392180557362849</v>
      </c>
      <c r="J2073" s="4">
        <f t="shared" si="97"/>
        <v>1.105583195135434E-4</v>
      </c>
      <c r="K2073" s="5">
        <f t="shared" si="98"/>
        <v>0.22896627971253958</v>
      </c>
    </row>
    <row r="2074" spans="1:11" x14ac:dyDescent="0.25">
      <c r="A2074" t="s">
        <v>2883</v>
      </c>
      <c r="C2074" t="s">
        <v>2884</v>
      </c>
      <c r="D2074" t="s">
        <v>309</v>
      </c>
      <c r="E2074" t="s">
        <v>6</v>
      </c>
      <c r="F2074" t="s">
        <v>724</v>
      </c>
      <c r="G2074">
        <v>4</v>
      </c>
      <c r="H2074" s="2">
        <f>Tabelle13[[#This Row],[commits]]/Tabelle13[[#Totals],[commits]]</f>
        <v>1.859116176169849E-5</v>
      </c>
      <c r="I2074" s="5">
        <f>Tabelle13[[#This Row],[%]]+I2073</f>
        <v>0.95394039673539022</v>
      </c>
      <c r="J2074" s="4">
        <f t="shared" si="97"/>
        <v>1.105583195135434E-4</v>
      </c>
      <c r="K2074" s="5">
        <f t="shared" si="98"/>
        <v>0.22907683803205312</v>
      </c>
    </row>
    <row r="2075" spans="1:11" x14ac:dyDescent="0.25">
      <c r="A2075" t="s">
        <v>2885</v>
      </c>
      <c r="C2075" t="s">
        <v>2886</v>
      </c>
      <c r="D2075" t="s">
        <v>5</v>
      </c>
      <c r="E2075" t="s">
        <v>6</v>
      </c>
      <c r="F2075" t="s">
        <v>724</v>
      </c>
      <c r="G2075">
        <v>4</v>
      </c>
      <c r="H2075" s="2">
        <f>Tabelle13[[#This Row],[commits]]/Tabelle13[[#Totals],[commits]]</f>
        <v>1.859116176169849E-5</v>
      </c>
      <c r="I2075" s="5">
        <f>Tabelle13[[#This Row],[%]]+I2074</f>
        <v>0.95395898789715194</v>
      </c>
      <c r="J2075" s="4">
        <f t="shared" si="97"/>
        <v>1.105583195135434E-4</v>
      </c>
      <c r="K2075" s="5">
        <f t="shared" si="98"/>
        <v>0.22918739635156665</v>
      </c>
    </row>
    <row r="2076" spans="1:11" x14ac:dyDescent="0.25">
      <c r="A2076" t="s">
        <v>2887</v>
      </c>
      <c r="C2076" t="s">
        <v>2888</v>
      </c>
      <c r="D2076" t="s">
        <v>309</v>
      </c>
      <c r="E2076" t="s">
        <v>6</v>
      </c>
      <c r="F2076" t="s">
        <v>724</v>
      </c>
      <c r="G2076">
        <v>4</v>
      </c>
      <c r="H2076" s="2">
        <f>Tabelle13[[#This Row],[commits]]/Tabelle13[[#Totals],[commits]]</f>
        <v>1.859116176169849E-5</v>
      </c>
      <c r="I2076" s="5">
        <f>Tabelle13[[#This Row],[%]]+I2075</f>
        <v>0.95397757905891367</v>
      </c>
      <c r="J2076" s="4">
        <f t="shared" si="97"/>
        <v>1.105583195135434E-4</v>
      </c>
      <c r="K2076" s="5">
        <f t="shared" si="98"/>
        <v>0.22929795467108019</v>
      </c>
    </row>
    <row r="2077" spans="1:11" x14ac:dyDescent="0.25">
      <c r="A2077" t="s">
        <v>2889</v>
      </c>
      <c r="C2077" t="s">
        <v>2890</v>
      </c>
      <c r="D2077" t="s">
        <v>5</v>
      </c>
      <c r="E2077" t="s">
        <v>6</v>
      </c>
      <c r="F2077" t="s">
        <v>724</v>
      </c>
      <c r="G2077">
        <v>4</v>
      </c>
      <c r="H2077" s="2">
        <f>Tabelle13[[#This Row],[commits]]/Tabelle13[[#Totals],[commits]]</f>
        <v>1.859116176169849E-5</v>
      </c>
      <c r="I2077" s="5">
        <f>Tabelle13[[#This Row],[%]]+I2076</f>
        <v>0.9539961702206754</v>
      </c>
      <c r="J2077" s="4">
        <f t="shared" si="97"/>
        <v>1.105583195135434E-4</v>
      </c>
      <c r="K2077" s="5">
        <f t="shared" si="98"/>
        <v>0.22940851299059373</v>
      </c>
    </row>
    <row r="2078" spans="1:11" x14ac:dyDescent="0.25">
      <c r="A2078" t="s">
        <v>2891</v>
      </c>
      <c r="C2078" t="s">
        <v>2892</v>
      </c>
      <c r="D2078" t="s">
        <v>5</v>
      </c>
      <c r="E2078" t="s">
        <v>6</v>
      </c>
      <c r="F2078" t="s">
        <v>724</v>
      </c>
      <c r="G2078">
        <v>4</v>
      </c>
      <c r="H2078" s="2">
        <f>Tabelle13[[#This Row],[commits]]/Tabelle13[[#Totals],[commits]]</f>
        <v>1.859116176169849E-5</v>
      </c>
      <c r="I2078" s="5">
        <f>Tabelle13[[#This Row],[%]]+I2077</f>
        <v>0.95401476138243713</v>
      </c>
      <c r="J2078" s="4">
        <f t="shared" si="97"/>
        <v>1.105583195135434E-4</v>
      </c>
      <c r="K2078" s="5">
        <f t="shared" si="98"/>
        <v>0.22951907131010726</v>
      </c>
    </row>
    <row r="2079" spans="1:11" x14ac:dyDescent="0.25">
      <c r="A2079" t="s">
        <v>2893</v>
      </c>
      <c r="C2079" t="s">
        <v>2894</v>
      </c>
      <c r="D2079" t="s">
        <v>5</v>
      </c>
      <c r="E2079" t="s">
        <v>6</v>
      </c>
      <c r="F2079" t="s">
        <v>724</v>
      </c>
      <c r="G2079">
        <v>4</v>
      </c>
      <c r="H2079" s="2">
        <f>Tabelle13[[#This Row],[commits]]/Tabelle13[[#Totals],[commits]]</f>
        <v>1.859116176169849E-5</v>
      </c>
      <c r="I2079" s="5">
        <f>Tabelle13[[#This Row],[%]]+I2078</f>
        <v>0.95403335254419885</v>
      </c>
      <c r="J2079" s="4">
        <f t="shared" si="97"/>
        <v>1.105583195135434E-4</v>
      </c>
      <c r="K2079" s="5">
        <f t="shared" si="98"/>
        <v>0.2296296296296208</v>
      </c>
    </row>
    <row r="2080" spans="1:11" x14ac:dyDescent="0.25">
      <c r="A2080" t="s">
        <v>2895</v>
      </c>
      <c r="C2080" t="s">
        <v>2896</v>
      </c>
      <c r="D2080" t="s">
        <v>5</v>
      </c>
      <c r="E2080" t="s">
        <v>6</v>
      </c>
      <c r="F2080" t="s">
        <v>724</v>
      </c>
      <c r="G2080">
        <v>4</v>
      </c>
      <c r="H2080" s="2">
        <f>Tabelle13[[#This Row],[commits]]/Tabelle13[[#Totals],[commits]]</f>
        <v>1.859116176169849E-5</v>
      </c>
      <c r="I2080" s="5">
        <f>Tabelle13[[#This Row],[%]]+I2079</f>
        <v>0.95405194370596058</v>
      </c>
      <c r="J2080" s="4">
        <f t="shared" si="97"/>
        <v>1.105583195135434E-4</v>
      </c>
      <c r="K2080" s="5">
        <f t="shared" si="98"/>
        <v>0.22974018794913434</v>
      </c>
    </row>
    <row r="2081" spans="1:11" x14ac:dyDescent="0.25">
      <c r="A2081" t="s">
        <v>2897</v>
      </c>
      <c r="C2081" t="s">
        <v>2898</v>
      </c>
      <c r="D2081" t="s">
        <v>5</v>
      </c>
      <c r="E2081" t="s">
        <v>6</v>
      </c>
      <c r="F2081" t="s">
        <v>724</v>
      </c>
      <c r="G2081">
        <v>4</v>
      </c>
      <c r="H2081" s="2">
        <f>Tabelle13[[#This Row],[commits]]/Tabelle13[[#Totals],[commits]]</f>
        <v>1.859116176169849E-5</v>
      </c>
      <c r="I2081" s="5">
        <f>Tabelle13[[#This Row],[%]]+I2080</f>
        <v>0.95407053486772231</v>
      </c>
      <c r="J2081" s="4">
        <f t="shared" si="97"/>
        <v>1.105583195135434E-4</v>
      </c>
      <c r="K2081" s="5">
        <f t="shared" si="98"/>
        <v>0.22985074626864788</v>
      </c>
    </row>
    <row r="2082" spans="1:11" x14ac:dyDescent="0.25">
      <c r="A2082" t="s">
        <v>2899</v>
      </c>
      <c r="C2082" t="s">
        <v>2900</v>
      </c>
      <c r="D2082" t="s">
        <v>5</v>
      </c>
      <c r="E2082" t="s">
        <v>6</v>
      </c>
      <c r="F2082" t="s">
        <v>724</v>
      </c>
      <c r="G2082">
        <v>4</v>
      </c>
      <c r="H2082" s="2">
        <f>Tabelle13[[#This Row],[commits]]/Tabelle13[[#Totals],[commits]]</f>
        <v>1.859116176169849E-5</v>
      </c>
      <c r="I2082" s="5">
        <f>Tabelle13[[#This Row],[%]]+I2081</f>
        <v>0.95408912602948404</v>
      </c>
      <c r="J2082" s="4">
        <f t="shared" si="97"/>
        <v>1.105583195135434E-4</v>
      </c>
      <c r="K2082" s="5">
        <f t="shared" si="98"/>
        <v>0.22996130458816141</v>
      </c>
    </row>
    <row r="2083" spans="1:11" x14ac:dyDescent="0.25">
      <c r="A2083" t="s">
        <v>2901</v>
      </c>
      <c r="C2083" t="s">
        <v>2902</v>
      </c>
      <c r="D2083" t="s">
        <v>5</v>
      </c>
      <c r="E2083" t="s">
        <v>6</v>
      </c>
      <c r="F2083" t="s">
        <v>724</v>
      </c>
      <c r="G2083">
        <v>4</v>
      </c>
      <c r="H2083" s="2">
        <f>Tabelle13[[#This Row],[commits]]/Tabelle13[[#Totals],[commits]]</f>
        <v>1.859116176169849E-5</v>
      </c>
      <c r="I2083" s="5">
        <f>Tabelle13[[#This Row],[%]]+I2082</f>
        <v>0.95410771719124576</v>
      </c>
      <c r="J2083" s="4">
        <f t="shared" si="97"/>
        <v>1.105583195135434E-4</v>
      </c>
      <c r="K2083" s="5">
        <f t="shared" si="98"/>
        <v>0.23007186290767495</v>
      </c>
    </row>
    <row r="2084" spans="1:11" x14ac:dyDescent="0.25">
      <c r="A2084" t="s">
        <v>2903</v>
      </c>
      <c r="C2084" t="s">
        <v>151</v>
      </c>
      <c r="D2084" t="s">
        <v>5</v>
      </c>
      <c r="E2084" t="s">
        <v>6</v>
      </c>
      <c r="F2084" t="s">
        <v>724</v>
      </c>
      <c r="G2084">
        <v>4</v>
      </c>
      <c r="H2084" s="2">
        <f>Tabelle13[[#This Row],[commits]]/Tabelle13[[#Totals],[commits]]</f>
        <v>1.859116176169849E-5</v>
      </c>
      <c r="I2084" s="5">
        <f>Tabelle13[[#This Row],[%]]+I2083</f>
        <v>0.95412630835300749</v>
      </c>
      <c r="J2084" s="4">
        <f t="shared" si="97"/>
        <v>1.105583195135434E-4</v>
      </c>
      <c r="K2084" s="5">
        <f t="shared" si="98"/>
        <v>0.23018242122718849</v>
      </c>
    </row>
    <row r="2085" spans="1:11" x14ac:dyDescent="0.25">
      <c r="A2085" t="s">
        <v>2904</v>
      </c>
      <c r="C2085" t="s">
        <v>2905</v>
      </c>
      <c r="D2085" t="s">
        <v>5</v>
      </c>
      <c r="E2085" t="s">
        <v>6</v>
      </c>
      <c r="F2085" t="s">
        <v>724</v>
      </c>
      <c r="G2085">
        <v>4</v>
      </c>
      <c r="H2085" s="2">
        <f>Tabelle13[[#This Row],[commits]]/Tabelle13[[#Totals],[commits]]</f>
        <v>1.859116176169849E-5</v>
      </c>
      <c r="I2085" s="5">
        <f>Tabelle13[[#This Row],[%]]+I2084</f>
        <v>0.95414489951476922</v>
      </c>
      <c r="J2085" s="4">
        <f t="shared" si="97"/>
        <v>1.105583195135434E-4</v>
      </c>
      <c r="K2085" s="5">
        <f t="shared" si="98"/>
        <v>0.23029297954670203</v>
      </c>
    </row>
    <row r="2086" spans="1:11" x14ac:dyDescent="0.25">
      <c r="A2086" t="s">
        <v>2906</v>
      </c>
      <c r="C2086" t="s">
        <v>2907</v>
      </c>
      <c r="D2086" t="s">
        <v>5</v>
      </c>
      <c r="E2086" t="s">
        <v>6</v>
      </c>
      <c r="F2086" t="s">
        <v>724</v>
      </c>
      <c r="G2086">
        <v>4</v>
      </c>
      <c r="H2086" s="2">
        <f>Tabelle13[[#This Row],[commits]]/Tabelle13[[#Totals],[commits]]</f>
        <v>1.859116176169849E-5</v>
      </c>
      <c r="I2086" s="5">
        <f>Tabelle13[[#This Row],[%]]+I2085</f>
        <v>0.95416349067653095</v>
      </c>
      <c r="J2086" s="4">
        <f t="shared" si="97"/>
        <v>1.105583195135434E-4</v>
      </c>
      <c r="K2086" s="5">
        <f t="shared" si="98"/>
        <v>0.23040353786621556</v>
      </c>
    </row>
    <row r="2087" spans="1:11" x14ac:dyDescent="0.25">
      <c r="A2087" t="s">
        <v>2908</v>
      </c>
      <c r="C2087" t="s">
        <v>2909</v>
      </c>
      <c r="D2087" t="s">
        <v>5</v>
      </c>
      <c r="E2087" t="s">
        <v>6</v>
      </c>
      <c r="F2087" t="s">
        <v>724</v>
      </c>
      <c r="G2087">
        <v>4</v>
      </c>
      <c r="H2087" s="2">
        <f>Tabelle13[[#This Row],[commits]]/Tabelle13[[#Totals],[commits]]</f>
        <v>1.859116176169849E-5</v>
      </c>
      <c r="I2087" s="5">
        <f>Tabelle13[[#This Row],[%]]+I2086</f>
        <v>0.95418208183829267</v>
      </c>
      <c r="J2087" s="4">
        <f t="shared" si="97"/>
        <v>1.105583195135434E-4</v>
      </c>
      <c r="K2087" s="5">
        <f t="shared" si="98"/>
        <v>0.2305140961857291</v>
      </c>
    </row>
    <row r="2088" spans="1:11" x14ac:dyDescent="0.25">
      <c r="A2088" t="s">
        <v>2910</v>
      </c>
      <c r="C2088" t="s">
        <v>2911</v>
      </c>
      <c r="D2088" t="s">
        <v>309</v>
      </c>
      <c r="E2088" t="s">
        <v>6</v>
      </c>
      <c r="F2088" t="s">
        <v>724</v>
      </c>
      <c r="G2088">
        <v>4</v>
      </c>
      <c r="H2088" s="2">
        <f>Tabelle13[[#This Row],[commits]]/Tabelle13[[#Totals],[commits]]</f>
        <v>1.859116176169849E-5</v>
      </c>
      <c r="I2088" s="5">
        <f>Tabelle13[[#This Row],[%]]+I2087</f>
        <v>0.9542006730000544</v>
      </c>
      <c r="J2088" s="4">
        <f t="shared" si="97"/>
        <v>1.105583195135434E-4</v>
      </c>
      <c r="K2088" s="5">
        <f t="shared" si="98"/>
        <v>0.23062465450524264</v>
      </c>
    </row>
    <row r="2089" spans="1:11" x14ac:dyDescent="0.25">
      <c r="A2089" t="s">
        <v>2912</v>
      </c>
      <c r="C2089" t="s">
        <v>2913</v>
      </c>
      <c r="D2089" t="s">
        <v>5</v>
      </c>
      <c r="E2089" t="s">
        <v>6</v>
      </c>
      <c r="F2089" t="s">
        <v>724</v>
      </c>
      <c r="G2089">
        <v>4</v>
      </c>
      <c r="H2089" s="2">
        <f>Tabelle13[[#This Row],[commits]]/Tabelle13[[#Totals],[commits]]</f>
        <v>1.859116176169849E-5</v>
      </c>
      <c r="I2089" s="5">
        <f>Tabelle13[[#This Row],[%]]+I2088</f>
        <v>0.95421926416181613</v>
      </c>
      <c r="J2089" s="4">
        <f t="shared" si="97"/>
        <v>1.105583195135434E-4</v>
      </c>
      <c r="K2089" s="5">
        <f t="shared" si="98"/>
        <v>0.23073521282475618</v>
      </c>
    </row>
    <row r="2090" spans="1:11" x14ac:dyDescent="0.25">
      <c r="A2090" t="s">
        <v>2914</v>
      </c>
      <c r="C2090" t="s">
        <v>2915</v>
      </c>
      <c r="D2090" t="s">
        <v>309</v>
      </c>
      <c r="E2090" t="s">
        <v>6</v>
      </c>
      <c r="F2090" t="s">
        <v>724</v>
      </c>
      <c r="G2090">
        <v>4</v>
      </c>
      <c r="H2090" s="2">
        <f>Tabelle13[[#This Row],[commits]]/Tabelle13[[#Totals],[commits]]</f>
        <v>1.859116176169849E-5</v>
      </c>
      <c r="I2090" s="5">
        <f>Tabelle13[[#This Row],[%]]+I2089</f>
        <v>0.95423785532357785</v>
      </c>
      <c r="J2090" s="4">
        <f t="shared" si="97"/>
        <v>1.105583195135434E-4</v>
      </c>
      <c r="K2090" s="5">
        <f t="shared" si="98"/>
        <v>0.23084577114426971</v>
      </c>
    </row>
    <row r="2091" spans="1:11" x14ac:dyDescent="0.25">
      <c r="A2091" t="s">
        <v>2916</v>
      </c>
      <c r="C2091" t="s">
        <v>2917</v>
      </c>
      <c r="D2091" t="s">
        <v>5</v>
      </c>
      <c r="E2091" t="s">
        <v>6</v>
      </c>
      <c r="F2091" t="s">
        <v>724</v>
      </c>
      <c r="G2091">
        <v>4</v>
      </c>
      <c r="H2091" s="2">
        <f>Tabelle13[[#This Row],[commits]]/Tabelle13[[#Totals],[commits]]</f>
        <v>1.859116176169849E-5</v>
      </c>
      <c r="I2091" s="5">
        <f>Tabelle13[[#This Row],[%]]+I2090</f>
        <v>0.95425644648533958</v>
      </c>
      <c r="J2091" s="4">
        <f t="shared" si="97"/>
        <v>1.105583195135434E-4</v>
      </c>
      <c r="K2091" s="5">
        <f t="shared" si="98"/>
        <v>0.23095632946378325</v>
      </c>
    </row>
    <row r="2092" spans="1:11" x14ac:dyDescent="0.25">
      <c r="A2092" t="s">
        <v>2918</v>
      </c>
      <c r="C2092" t="s">
        <v>2919</v>
      </c>
      <c r="D2092" t="s">
        <v>2920</v>
      </c>
      <c r="E2092" t="s">
        <v>6</v>
      </c>
      <c r="F2092" t="s">
        <v>724</v>
      </c>
      <c r="G2092">
        <v>4</v>
      </c>
      <c r="H2092" s="2">
        <f>Tabelle13[[#This Row],[commits]]/Tabelle13[[#Totals],[commits]]</f>
        <v>1.859116176169849E-5</v>
      </c>
      <c r="I2092" s="5">
        <f>Tabelle13[[#This Row],[%]]+I2091</f>
        <v>0.95427503764710131</v>
      </c>
      <c r="J2092" s="4">
        <f t="shared" si="97"/>
        <v>1.105583195135434E-4</v>
      </c>
      <c r="K2092" s="5">
        <f t="shared" si="98"/>
        <v>0.23106688778329679</v>
      </c>
    </row>
    <row r="2093" spans="1:11" x14ac:dyDescent="0.25">
      <c r="A2093" t="s">
        <v>2921</v>
      </c>
      <c r="C2093" t="s">
        <v>2922</v>
      </c>
      <c r="D2093" t="s">
        <v>5</v>
      </c>
      <c r="E2093" t="s">
        <v>6</v>
      </c>
      <c r="F2093" t="s">
        <v>724</v>
      </c>
      <c r="G2093">
        <v>4</v>
      </c>
      <c r="H2093" s="2">
        <f>Tabelle13[[#This Row],[commits]]/Tabelle13[[#Totals],[commits]]</f>
        <v>1.859116176169849E-5</v>
      </c>
      <c r="I2093" s="5">
        <f>Tabelle13[[#This Row],[%]]+I2092</f>
        <v>0.95429362880886304</v>
      </c>
      <c r="J2093" s="4">
        <f t="shared" si="97"/>
        <v>1.105583195135434E-4</v>
      </c>
      <c r="K2093" s="5">
        <f t="shared" si="98"/>
        <v>0.23117744610281032</v>
      </c>
    </row>
    <row r="2094" spans="1:11" x14ac:dyDescent="0.25">
      <c r="A2094" t="s">
        <v>2923</v>
      </c>
      <c r="C2094" t="s">
        <v>2924</v>
      </c>
      <c r="D2094" t="s">
        <v>5</v>
      </c>
      <c r="E2094" t="s">
        <v>6</v>
      </c>
      <c r="F2094" t="s">
        <v>724</v>
      </c>
      <c r="G2094">
        <v>4</v>
      </c>
      <c r="H2094" s="2">
        <f>Tabelle13[[#This Row],[commits]]/Tabelle13[[#Totals],[commits]]</f>
        <v>1.859116176169849E-5</v>
      </c>
      <c r="I2094" s="5">
        <f>Tabelle13[[#This Row],[%]]+I2093</f>
        <v>0.95431221997062476</v>
      </c>
      <c r="J2094" s="4">
        <f t="shared" si="97"/>
        <v>1.105583195135434E-4</v>
      </c>
      <c r="K2094" s="5">
        <f t="shared" si="98"/>
        <v>0.23128800442232386</v>
      </c>
    </row>
    <row r="2095" spans="1:11" x14ac:dyDescent="0.25">
      <c r="A2095" t="s">
        <v>2925</v>
      </c>
      <c r="C2095" t="s">
        <v>2926</v>
      </c>
      <c r="D2095" t="s">
        <v>5</v>
      </c>
      <c r="E2095" t="s">
        <v>6</v>
      </c>
      <c r="F2095" t="s">
        <v>724</v>
      </c>
      <c r="G2095">
        <v>4</v>
      </c>
      <c r="H2095" s="2">
        <f>Tabelle13[[#This Row],[commits]]/Tabelle13[[#Totals],[commits]]</f>
        <v>1.859116176169849E-5</v>
      </c>
      <c r="I2095" s="5">
        <f>Tabelle13[[#This Row],[%]]+I2094</f>
        <v>0.95433081113238649</v>
      </c>
      <c r="J2095" s="4">
        <f t="shared" si="97"/>
        <v>1.105583195135434E-4</v>
      </c>
      <c r="K2095" s="5">
        <f t="shared" si="98"/>
        <v>0.2313985627418374</v>
      </c>
    </row>
    <row r="2096" spans="1:11" x14ac:dyDescent="0.25">
      <c r="A2096" t="s">
        <v>2927</v>
      </c>
      <c r="C2096" t="s">
        <v>2928</v>
      </c>
      <c r="D2096" t="s">
        <v>5</v>
      </c>
      <c r="E2096" t="s">
        <v>6</v>
      </c>
      <c r="F2096" t="s">
        <v>724</v>
      </c>
      <c r="G2096">
        <v>4</v>
      </c>
      <c r="H2096" s="2">
        <f>Tabelle13[[#This Row],[commits]]/Tabelle13[[#Totals],[commits]]</f>
        <v>1.859116176169849E-5</v>
      </c>
      <c r="I2096" s="5">
        <f>Tabelle13[[#This Row],[%]]+I2095</f>
        <v>0.95434940229414822</v>
      </c>
      <c r="J2096" s="4">
        <f t="shared" si="97"/>
        <v>1.105583195135434E-4</v>
      </c>
      <c r="K2096" s="5">
        <f t="shared" si="98"/>
        <v>0.23150912106135094</v>
      </c>
    </row>
    <row r="2097" spans="1:11" x14ac:dyDescent="0.25">
      <c r="A2097" t="s">
        <v>2929</v>
      </c>
      <c r="C2097" t="s">
        <v>2930</v>
      </c>
      <c r="D2097" t="s">
        <v>5</v>
      </c>
      <c r="E2097" t="s">
        <v>6</v>
      </c>
      <c r="F2097" t="s">
        <v>724</v>
      </c>
      <c r="G2097">
        <v>4</v>
      </c>
      <c r="H2097" s="2">
        <f>Tabelle13[[#This Row],[commits]]/Tabelle13[[#Totals],[commits]]</f>
        <v>1.859116176169849E-5</v>
      </c>
      <c r="I2097" s="5">
        <f>Tabelle13[[#This Row],[%]]+I2096</f>
        <v>0.95436799345590995</v>
      </c>
      <c r="J2097" s="4">
        <f t="shared" si="97"/>
        <v>1.105583195135434E-4</v>
      </c>
      <c r="K2097" s="5">
        <f t="shared" si="98"/>
        <v>0.23161967938086447</v>
      </c>
    </row>
    <row r="2098" spans="1:11" x14ac:dyDescent="0.25">
      <c r="A2098" t="s">
        <v>2931</v>
      </c>
      <c r="C2098" t="s">
        <v>211</v>
      </c>
      <c r="D2098" t="s">
        <v>5</v>
      </c>
      <c r="E2098" t="s">
        <v>6</v>
      </c>
      <c r="F2098" t="s">
        <v>724</v>
      </c>
      <c r="G2098">
        <v>4</v>
      </c>
      <c r="H2098" s="2">
        <f>Tabelle13[[#This Row],[commits]]/Tabelle13[[#Totals],[commits]]</f>
        <v>1.859116176169849E-5</v>
      </c>
      <c r="I2098" s="5">
        <f>Tabelle13[[#This Row],[%]]+I2097</f>
        <v>0.95438658461767167</v>
      </c>
      <c r="J2098" s="4">
        <f t="shared" si="97"/>
        <v>1.105583195135434E-4</v>
      </c>
      <c r="K2098" s="5">
        <f t="shared" si="98"/>
        <v>0.23173023770037801</v>
      </c>
    </row>
    <row r="2099" spans="1:11" x14ac:dyDescent="0.25">
      <c r="A2099" t="s">
        <v>2932</v>
      </c>
      <c r="C2099" t="s">
        <v>2933</v>
      </c>
      <c r="D2099" t="s">
        <v>5</v>
      </c>
      <c r="E2099" t="s">
        <v>6</v>
      </c>
      <c r="F2099" t="s">
        <v>724</v>
      </c>
      <c r="G2099">
        <v>4</v>
      </c>
      <c r="H2099" s="2">
        <f>Tabelle13[[#This Row],[commits]]/Tabelle13[[#Totals],[commits]]</f>
        <v>1.859116176169849E-5</v>
      </c>
      <c r="I2099" s="5">
        <f>Tabelle13[[#This Row],[%]]+I2098</f>
        <v>0.9544051757794334</v>
      </c>
      <c r="J2099" s="4">
        <f t="shared" si="97"/>
        <v>1.105583195135434E-4</v>
      </c>
      <c r="K2099" s="5">
        <f t="shared" si="98"/>
        <v>0.23184079601989155</v>
      </c>
    </row>
    <row r="2100" spans="1:11" x14ac:dyDescent="0.25">
      <c r="A2100" t="s">
        <v>2934</v>
      </c>
      <c r="C2100" t="s">
        <v>2935</v>
      </c>
      <c r="D2100" t="s">
        <v>5</v>
      </c>
      <c r="E2100" t="s">
        <v>6</v>
      </c>
      <c r="F2100" t="s">
        <v>724</v>
      </c>
      <c r="G2100">
        <v>4</v>
      </c>
      <c r="H2100" s="2">
        <f>Tabelle13[[#This Row],[commits]]/Tabelle13[[#Totals],[commits]]</f>
        <v>1.859116176169849E-5</v>
      </c>
      <c r="I2100" s="5">
        <f>Tabelle13[[#This Row],[%]]+I2099</f>
        <v>0.95442376694119513</v>
      </c>
      <c r="J2100" s="4">
        <f t="shared" si="97"/>
        <v>1.105583195135434E-4</v>
      </c>
      <c r="K2100" s="5">
        <f t="shared" si="98"/>
        <v>0.23195135433940509</v>
      </c>
    </row>
    <row r="2101" spans="1:11" x14ac:dyDescent="0.25">
      <c r="A2101" t="s">
        <v>2936</v>
      </c>
      <c r="C2101" t="s">
        <v>2937</v>
      </c>
      <c r="D2101" t="s">
        <v>309</v>
      </c>
      <c r="E2101" t="s">
        <v>6</v>
      </c>
      <c r="F2101" t="s">
        <v>724</v>
      </c>
      <c r="G2101">
        <v>4</v>
      </c>
      <c r="H2101" s="2">
        <f>Tabelle13[[#This Row],[commits]]/Tabelle13[[#Totals],[commits]]</f>
        <v>1.859116176169849E-5</v>
      </c>
      <c r="I2101" s="5">
        <f>Tabelle13[[#This Row],[%]]+I2100</f>
        <v>0.95444235810295686</v>
      </c>
      <c r="J2101" s="4">
        <f t="shared" si="97"/>
        <v>1.105583195135434E-4</v>
      </c>
      <c r="K2101" s="5">
        <f t="shared" si="98"/>
        <v>0.23206191265891862</v>
      </c>
    </row>
    <row r="2102" spans="1:11" x14ac:dyDescent="0.25">
      <c r="A2102" t="s">
        <v>2938</v>
      </c>
      <c r="C2102" t="s">
        <v>362</v>
      </c>
      <c r="D2102" t="s">
        <v>5</v>
      </c>
      <c r="E2102" t="s">
        <v>6</v>
      </c>
      <c r="F2102" t="s">
        <v>724</v>
      </c>
      <c r="G2102">
        <v>4</v>
      </c>
      <c r="H2102" s="2">
        <f>Tabelle13[[#This Row],[commits]]/Tabelle13[[#Totals],[commits]]</f>
        <v>1.859116176169849E-5</v>
      </c>
      <c r="I2102" s="5">
        <f>Tabelle13[[#This Row],[%]]+I2101</f>
        <v>0.95446094926471858</v>
      </c>
      <c r="J2102" s="4">
        <f t="shared" si="97"/>
        <v>1.105583195135434E-4</v>
      </c>
      <c r="K2102" s="5">
        <f t="shared" si="98"/>
        <v>0.23217247097843216</v>
      </c>
    </row>
    <row r="2103" spans="1:11" x14ac:dyDescent="0.25">
      <c r="A2103" t="s">
        <v>2939</v>
      </c>
      <c r="C2103" t="s">
        <v>2940</v>
      </c>
      <c r="D2103" t="s">
        <v>5</v>
      </c>
      <c r="E2103" t="s">
        <v>6</v>
      </c>
      <c r="F2103" t="s">
        <v>724</v>
      </c>
      <c r="G2103">
        <v>4</v>
      </c>
      <c r="H2103" s="2">
        <f>Tabelle13[[#This Row],[commits]]/Tabelle13[[#Totals],[commits]]</f>
        <v>1.859116176169849E-5</v>
      </c>
      <c r="I2103" s="5">
        <f>Tabelle13[[#This Row],[%]]+I2102</f>
        <v>0.95447954042648031</v>
      </c>
      <c r="J2103" s="4">
        <f t="shared" si="97"/>
        <v>1.105583195135434E-4</v>
      </c>
      <c r="K2103" s="5">
        <f t="shared" si="98"/>
        <v>0.2322830292979457</v>
      </c>
    </row>
    <row r="2104" spans="1:11" x14ac:dyDescent="0.25">
      <c r="A2104" t="s">
        <v>2941</v>
      </c>
      <c r="C2104" t="s">
        <v>2942</v>
      </c>
      <c r="D2104" t="s">
        <v>5</v>
      </c>
      <c r="E2104" t="s">
        <v>6</v>
      </c>
      <c r="F2104" t="s">
        <v>724</v>
      </c>
      <c r="G2104">
        <v>4</v>
      </c>
      <c r="H2104" s="2">
        <f>Tabelle13[[#This Row],[commits]]/Tabelle13[[#Totals],[commits]]</f>
        <v>1.859116176169849E-5</v>
      </c>
      <c r="I2104" s="5">
        <f>Tabelle13[[#This Row],[%]]+I2103</f>
        <v>0.95449813158824204</v>
      </c>
      <c r="J2104" s="4">
        <f t="shared" si="97"/>
        <v>1.105583195135434E-4</v>
      </c>
      <c r="K2104" s="5">
        <f t="shared" si="98"/>
        <v>0.23239358761745924</v>
      </c>
    </row>
    <row r="2105" spans="1:11" x14ac:dyDescent="0.25">
      <c r="A2105" t="s">
        <v>2943</v>
      </c>
      <c r="C2105" t="s">
        <v>2944</v>
      </c>
      <c r="D2105" t="s">
        <v>309</v>
      </c>
      <c r="E2105" t="s">
        <v>6</v>
      </c>
      <c r="F2105" t="s">
        <v>724</v>
      </c>
      <c r="G2105">
        <v>4</v>
      </c>
      <c r="H2105" s="2">
        <f>Tabelle13[[#This Row],[commits]]/Tabelle13[[#Totals],[commits]]</f>
        <v>1.859116176169849E-5</v>
      </c>
      <c r="I2105" s="5">
        <f>Tabelle13[[#This Row],[%]]+I2104</f>
        <v>0.95451672275000377</v>
      </c>
      <c r="J2105" s="4">
        <f t="shared" si="97"/>
        <v>1.105583195135434E-4</v>
      </c>
      <c r="K2105" s="5">
        <f t="shared" si="98"/>
        <v>0.23250414593697277</v>
      </c>
    </row>
    <row r="2106" spans="1:11" x14ac:dyDescent="0.25">
      <c r="A2106" t="s">
        <v>2945</v>
      </c>
      <c r="C2106" t="s">
        <v>2946</v>
      </c>
      <c r="D2106" t="s">
        <v>5</v>
      </c>
      <c r="E2106" t="s">
        <v>6</v>
      </c>
      <c r="F2106" t="s">
        <v>724</v>
      </c>
      <c r="G2106">
        <v>4</v>
      </c>
      <c r="H2106" s="2">
        <f>Tabelle13[[#This Row],[commits]]/Tabelle13[[#Totals],[commits]]</f>
        <v>1.859116176169849E-5</v>
      </c>
      <c r="I2106" s="5">
        <f>Tabelle13[[#This Row],[%]]+I2105</f>
        <v>0.95453531391176549</v>
      </c>
      <c r="J2106" s="4">
        <f t="shared" si="97"/>
        <v>1.105583195135434E-4</v>
      </c>
      <c r="K2106" s="5">
        <f t="shared" si="98"/>
        <v>0.23261470425648631</v>
      </c>
    </row>
    <row r="2107" spans="1:11" x14ac:dyDescent="0.25">
      <c r="A2107" t="s">
        <v>2947</v>
      </c>
      <c r="C2107" t="s">
        <v>2948</v>
      </c>
      <c r="D2107" t="s">
        <v>5</v>
      </c>
      <c r="E2107" t="s">
        <v>6</v>
      </c>
      <c r="F2107" t="s">
        <v>724</v>
      </c>
      <c r="G2107">
        <v>4</v>
      </c>
      <c r="H2107" s="2">
        <f>Tabelle13[[#This Row],[commits]]/Tabelle13[[#Totals],[commits]]</f>
        <v>1.859116176169849E-5</v>
      </c>
      <c r="I2107" s="5">
        <f>Tabelle13[[#This Row],[%]]+I2106</f>
        <v>0.95455390507352722</v>
      </c>
      <c r="J2107" s="4">
        <f t="shared" si="97"/>
        <v>1.105583195135434E-4</v>
      </c>
      <c r="K2107" s="5">
        <f t="shared" si="98"/>
        <v>0.23272526257599985</v>
      </c>
    </row>
    <row r="2108" spans="1:11" x14ac:dyDescent="0.25">
      <c r="A2108" t="s">
        <v>2949</v>
      </c>
      <c r="C2108" t="s">
        <v>2950</v>
      </c>
      <c r="D2108" t="s">
        <v>5</v>
      </c>
      <c r="E2108" t="s">
        <v>6</v>
      </c>
      <c r="F2108" t="s">
        <v>724</v>
      </c>
      <c r="G2108">
        <v>4</v>
      </c>
      <c r="H2108" s="2">
        <f>Tabelle13[[#This Row],[commits]]/Tabelle13[[#Totals],[commits]]</f>
        <v>1.859116176169849E-5</v>
      </c>
      <c r="I2108" s="5">
        <f>Tabelle13[[#This Row],[%]]+I2107</f>
        <v>0.95457249623528895</v>
      </c>
      <c r="J2108" s="4">
        <f t="shared" si="97"/>
        <v>1.105583195135434E-4</v>
      </c>
      <c r="K2108" s="5">
        <f t="shared" si="98"/>
        <v>0.23283582089551338</v>
      </c>
    </row>
    <row r="2109" spans="1:11" x14ac:dyDescent="0.25">
      <c r="A2109" t="s">
        <v>2951</v>
      </c>
      <c r="C2109" t="s">
        <v>2952</v>
      </c>
      <c r="D2109" t="s">
        <v>5</v>
      </c>
      <c r="E2109" t="s">
        <v>6</v>
      </c>
      <c r="F2109" t="s">
        <v>724</v>
      </c>
      <c r="G2109">
        <v>4</v>
      </c>
      <c r="H2109" s="2">
        <f>Tabelle13[[#This Row],[commits]]/Tabelle13[[#Totals],[commits]]</f>
        <v>1.859116176169849E-5</v>
      </c>
      <c r="I2109" s="5">
        <f>Tabelle13[[#This Row],[%]]+I2108</f>
        <v>0.95459108739705067</v>
      </c>
      <c r="J2109" s="4">
        <f t="shared" si="97"/>
        <v>1.105583195135434E-4</v>
      </c>
      <c r="K2109" s="5">
        <f t="shared" si="98"/>
        <v>0.23294637921502692</v>
      </c>
    </row>
    <row r="2110" spans="1:11" x14ac:dyDescent="0.25">
      <c r="A2110" t="s">
        <v>2953</v>
      </c>
      <c r="C2110" t="s">
        <v>2954</v>
      </c>
      <c r="D2110" t="s">
        <v>5</v>
      </c>
      <c r="E2110" t="s">
        <v>6</v>
      </c>
      <c r="F2110" t="s">
        <v>724</v>
      </c>
      <c r="G2110">
        <v>4</v>
      </c>
      <c r="H2110" s="2">
        <f>Tabelle13[[#This Row],[commits]]/Tabelle13[[#Totals],[commits]]</f>
        <v>1.859116176169849E-5</v>
      </c>
      <c r="I2110" s="5">
        <f>Tabelle13[[#This Row],[%]]+I2109</f>
        <v>0.9546096785588124</v>
      </c>
      <c r="J2110" s="4">
        <f t="shared" si="97"/>
        <v>1.105583195135434E-4</v>
      </c>
      <c r="K2110" s="5">
        <f t="shared" si="98"/>
        <v>0.23305693753454046</v>
      </c>
    </row>
    <row r="2111" spans="1:11" x14ac:dyDescent="0.25">
      <c r="A2111" t="s">
        <v>2955</v>
      </c>
      <c r="C2111" t="s">
        <v>2956</v>
      </c>
      <c r="D2111" t="s">
        <v>309</v>
      </c>
      <c r="E2111" t="s">
        <v>6</v>
      </c>
      <c r="F2111" t="s">
        <v>724</v>
      </c>
      <c r="G2111">
        <v>4</v>
      </c>
      <c r="H2111" s="2">
        <f>Tabelle13[[#This Row],[commits]]/Tabelle13[[#Totals],[commits]]</f>
        <v>1.859116176169849E-5</v>
      </c>
      <c r="I2111" s="5">
        <f>Tabelle13[[#This Row],[%]]+I2110</f>
        <v>0.95462826972057413</v>
      </c>
      <c r="J2111" s="4">
        <f t="shared" si="97"/>
        <v>1.105583195135434E-4</v>
      </c>
      <c r="K2111" s="5">
        <f t="shared" si="98"/>
        <v>0.233167495854054</v>
      </c>
    </row>
    <row r="2112" spans="1:11" x14ac:dyDescent="0.25">
      <c r="A2112" t="s">
        <v>2957</v>
      </c>
      <c r="C2112" t="s">
        <v>2958</v>
      </c>
      <c r="D2112" t="s">
        <v>309</v>
      </c>
      <c r="E2112" t="s">
        <v>6</v>
      </c>
      <c r="F2112" t="s">
        <v>724</v>
      </c>
      <c r="G2112">
        <v>4</v>
      </c>
      <c r="H2112" s="2">
        <f>Tabelle13[[#This Row],[commits]]/Tabelle13[[#Totals],[commits]]</f>
        <v>1.859116176169849E-5</v>
      </c>
      <c r="I2112" s="5">
        <f>Tabelle13[[#This Row],[%]]+I2111</f>
        <v>0.95464686088233586</v>
      </c>
      <c r="J2112" s="4">
        <f t="shared" si="97"/>
        <v>1.105583195135434E-4</v>
      </c>
      <c r="K2112" s="5">
        <f t="shared" si="98"/>
        <v>0.23327805417356753</v>
      </c>
    </row>
    <row r="2113" spans="1:11" x14ac:dyDescent="0.25">
      <c r="A2113" t="s">
        <v>2959</v>
      </c>
      <c r="C2113" t="s">
        <v>2960</v>
      </c>
      <c r="D2113" t="s">
        <v>309</v>
      </c>
      <c r="E2113" t="s">
        <v>6</v>
      </c>
      <c r="F2113" t="s">
        <v>724</v>
      </c>
      <c r="G2113">
        <v>4</v>
      </c>
      <c r="H2113" s="2">
        <f>Tabelle13[[#This Row],[commits]]/Tabelle13[[#Totals],[commits]]</f>
        <v>1.859116176169849E-5</v>
      </c>
      <c r="I2113" s="5">
        <f>Tabelle13[[#This Row],[%]]+I2112</f>
        <v>0.95466545204409758</v>
      </c>
      <c r="J2113" s="4">
        <f t="shared" si="97"/>
        <v>1.105583195135434E-4</v>
      </c>
      <c r="K2113" s="5">
        <f t="shared" si="98"/>
        <v>0.23338861249308107</v>
      </c>
    </row>
    <row r="2114" spans="1:11" x14ac:dyDescent="0.25">
      <c r="A2114" t="s">
        <v>2961</v>
      </c>
      <c r="C2114" t="s">
        <v>2962</v>
      </c>
      <c r="D2114" t="s">
        <v>309</v>
      </c>
      <c r="E2114" t="s">
        <v>6</v>
      </c>
      <c r="F2114" t="s">
        <v>724</v>
      </c>
      <c r="G2114">
        <v>4</v>
      </c>
      <c r="H2114" s="2">
        <f>Tabelle13[[#This Row],[commits]]/Tabelle13[[#Totals],[commits]]</f>
        <v>1.859116176169849E-5</v>
      </c>
      <c r="I2114" s="5">
        <f>Tabelle13[[#This Row],[%]]+I2113</f>
        <v>0.95468404320585931</v>
      </c>
      <c r="J2114" s="4">
        <f t="shared" si="97"/>
        <v>1.105583195135434E-4</v>
      </c>
      <c r="K2114" s="5">
        <f t="shared" si="98"/>
        <v>0.23349917081259461</v>
      </c>
    </row>
    <row r="2115" spans="1:11" x14ac:dyDescent="0.25">
      <c r="A2115" t="s">
        <v>2963</v>
      </c>
      <c r="C2115" t="s">
        <v>1868</v>
      </c>
      <c r="D2115" t="s">
        <v>5</v>
      </c>
      <c r="E2115" t="s">
        <v>6</v>
      </c>
      <c r="F2115" t="s">
        <v>724</v>
      </c>
      <c r="G2115">
        <v>4</v>
      </c>
      <c r="H2115" s="2">
        <f>Tabelle13[[#This Row],[commits]]/Tabelle13[[#Totals],[commits]]</f>
        <v>1.859116176169849E-5</v>
      </c>
      <c r="I2115" s="5">
        <f>Tabelle13[[#This Row],[%]]+I2114</f>
        <v>0.95470263436762104</v>
      </c>
      <c r="J2115" s="4">
        <f t="shared" ref="J2115:J2178" si="99">1/9045</f>
        <v>1.105583195135434E-4</v>
      </c>
      <c r="K2115" s="5">
        <f t="shared" si="98"/>
        <v>0.23360972913210815</v>
      </c>
    </row>
    <row r="2116" spans="1:11" x14ac:dyDescent="0.25">
      <c r="A2116" t="s">
        <v>2964</v>
      </c>
      <c r="C2116" t="s">
        <v>2965</v>
      </c>
      <c r="D2116" t="s">
        <v>309</v>
      </c>
      <c r="E2116" t="s">
        <v>6</v>
      </c>
      <c r="F2116" t="s">
        <v>724</v>
      </c>
      <c r="G2116">
        <v>4</v>
      </c>
      <c r="H2116" s="2">
        <f>Tabelle13[[#This Row],[commits]]/Tabelle13[[#Totals],[commits]]</f>
        <v>1.859116176169849E-5</v>
      </c>
      <c r="I2116" s="5">
        <f>Tabelle13[[#This Row],[%]]+I2115</f>
        <v>0.95472122552938277</v>
      </c>
      <c r="J2116" s="4">
        <f t="shared" si="99"/>
        <v>1.105583195135434E-4</v>
      </c>
      <c r="K2116" s="5">
        <f t="shared" si="98"/>
        <v>0.23372028745162168</v>
      </c>
    </row>
    <row r="2117" spans="1:11" x14ac:dyDescent="0.25">
      <c r="A2117" t="s">
        <v>2966</v>
      </c>
      <c r="C2117" t="s">
        <v>2967</v>
      </c>
      <c r="D2117" t="s">
        <v>5</v>
      </c>
      <c r="E2117" t="s">
        <v>6</v>
      </c>
      <c r="F2117" t="s">
        <v>724</v>
      </c>
      <c r="G2117">
        <v>4</v>
      </c>
      <c r="H2117" s="2">
        <f>Tabelle13[[#This Row],[commits]]/Tabelle13[[#Totals],[commits]]</f>
        <v>1.859116176169849E-5</v>
      </c>
      <c r="I2117" s="5">
        <f>Tabelle13[[#This Row],[%]]+I2116</f>
        <v>0.95473981669114449</v>
      </c>
      <c r="J2117" s="4">
        <f t="shared" si="99"/>
        <v>1.105583195135434E-4</v>
      </c>
      <c r="K2117" s="5">
        <f t="shared" si="98"/>
        <v>0.23383084577113522</v>
      </c>
    </row>
    <row r="2118" spans="1:11" x14ac:dyDescent="0.25">
      <c r="A2118" t="s">
        <v>2968</v>
      </c>
      <c r="C2118" t="s">
        <v>2969</v>
      </c>
      <c r="D2118" t="s">
        <v>5</v>
      </c>
      <c r="E2118" t="s">
        <v>6</v>
      </c>
      <c r="F2118" t="s">
        <v>724</v>
      </c>
      <c r="G2118">
        <v>4</v>
      </c>
      <c r="H2118" s="2">
        <f>Tabelle13[[#This Row],[commits]]/Tabelle13[[#Totals],[commits]]</f>
        <v>1.859116176169849E-5</v>
      </c>
      <c r="I2118" s="5">
        <f>Tabelle13[[#This Row],[%]]+I2117</f>
        <v>0.95475840785290622</v>
      </c>
      <c r="J2118" s="4">
        <f t="shared" si="99"/>
        <v>1.105583195135434E-4</v>
      </c>
      <c r="K2118" s="5">
        <f t="shared" ref="K2118:K2181" si="100">J2118+K2117</f>
        <v>0.23394140409064876</v>
      </c>
    </row>
    <row r="2119" spans="1:11" x14ac:dyDescent="0.25">
      <c r="A2119" t="s">
        <v>5496</v>
      </c>
      <c r="C2119" t="s">
        <v>5497</v>
      </c>
      <c r="D2119" t="s">
        <v>5</v>
      </c>
      <c r="E2119" t="s">
        <v>6</v>
      </c>
      <c r="F2119" t="s">
        <v>28</v>
      </c>
      <c r="G2119">
        <v>4</v>
      </c>
      <c r="H2119" s="2">
        <f>Tabelle13[[#This Row],[commits]]/Tabelle13[[#Totals],[commits]]</f>
        <v>1.859116176169849E-5</v>
      </c>
      <c r="I2119" s="5">
        <f>Tabelle13[[#This Row],[%]]+I2118</f>
        <v>0.95477699901466795</v>
      </c>
      <c r="J2119" s="4">
        <f t="shared" si="99"/>
        <v>1.105583195135434E-4</v>
      </c>
      <c r="K2119" s="5">
        <f t="shared" si="100"/>
        <v>0.2340519624101623</v>
      </c>
    </row>
    <row r="2120" spans="1:11" x14ac:dyDescent="0.25">
      <c r="A2120" t="s">
        <v>5498</v>
      </c>
      <c r="C2120" t="s">
        <v>5499</v>
      </c>
      <c r="D2120" t="s">
        <v>5</v>
      </c>
      <c r="E2120" t="s">
        <v>6</v>
      </c>
      <c r="F2120" t="s">
        <v>28</v>
      </c>
      <c r="G2120">
        <v>4</v>
      </c>
      <c r="H2120" s="2">
        <f>Tabelle13[[#This Row],[commits]]/Tabelle13[[#Totals],[commits]]</f>
        <v>1.859116176169849E-5</v>
      </c>
      <c r="I2120" s="5">
        <f>Tabelle13[[#This Row],[%]]+I2119</f>
        <v>0.95479559017642968</v>
      </c>
      <c r="J2120" s="4">
        <f t="shared" si="99"/>
        <v>1.105583195135434E-4</v>
      </c>
      <c r="K2120" s="5">
        <f t="shared" si="100"/>
        <v>0.23416252072967583</v>
      </c>
    </row>
    <row r="2121" spans="1:11" x14ac:dyDescent="0.25">
      <c r="A2121" t="s">
        <v>5500</v>
      </c>
      <c r="C2121" t="s">
        <v>5501</v>
      </c>
      <c r="D2121" t="s">
        <v>5</v>
      </c>
      <c r="E2121" t="s">
        <v>6</v>
      </c>
      <c r="F2121" t="s">
        <v>28</v>
      </c>
      <c r="G2121">
        <v>4</v>
      </c>
      <c r="H2121" s="2">
        <f>Tabelle13[[#This Row],[commits]]/Tabelle13[[#Totals],[commits]]</f>
        <v>1.859116176169849E-5</v>
      </c>
      <c r="I2121" s="5">
        <f>Tabelle13[[#This Row],[%]]+I2120</f>
        <v>0.9548141813381914</v>
      </c>
      <c r="J2121" s="4">
        <f t="shared" si="99"/>
        <v>1.105583195135434E-4</v>
      </c>
      <c r="K2121" s="5">
        <f t="shared" si="100"/>
        <v>0.23427307904918937</v>
      </c>
    </row>
    <row r="2122" spans="1:11" x14ac:dyDescent="0.25">
      <c r="A2122" t="s">
        <v>5502</v>
      </c>
      <c r="C2122" t="s">
        <v>5503</v>
      </c>
      <c r="D2122" t="s">
        <v>5</v>
      </c>
      <c r="E2122" t="s">
        <v>6</v>
      </c>
      <c r="F2122" t="s">
        <v>28</v>
      </c>
      <c r="G2122">
        <v>4</v>
      </c>
      <c r="H2122" s="2">
        <f>Tabelle13[[#This Row],[commits]]/Tabelle13[[#Totals],[commits]]</f>
        <v>1.859116176169849E-5</v>
      </c>
      <c r="I2122" s="5">
        <f>Tabelle13[[#This Row],[%]]+I2121</f>
        <v>0.95483277249995313</v>
      </c>
      <c r="J2122" s="4">
        <f t="shared" si="99"/>
        <v>1.105583195135434E-4</v>
      </c>
      <c r="K2122" s="5">
        <f t="shared" si="100"/>
        <v>0.23438363736870291</v>
      </c>
    </row>
    <row r="2123" spans="1:11" x14ac:dyDescent="0.25">
      <c r="A2123" t="s">
        <v>5504</v>
      </c>
      <c r="C2123" t="s">
        <v>5505</v>
      </c>
      <c r="D2123" t="s">
        <v>5</v>
      </c>
      <c r="E2123" t="s">
        <v>6</v>
      </c>
      <c r="F2123" t="s">
        <v>28</v>
      </c>
      <c r="G2123">
        <v>4</v>
      </c>
      <c r="H2123" s="2">
        <f>Tabelle13[[#This Row],[commits]]/Tabelle13[[#Totals],[commits]]</f>
        <v>1.859116176169849E-5</v>
      </c>
      <c r="I2123" s="5">
        <f>Tabelle13[[#This Row],[%]]+I2122</f>
        <v>0.95485136366171486</v>
      </c>
      <c r="J2123" s="4">
        <f t="shared" si="99"/>
        <v>1.105583195135434E-4</v>
      </c>
      <c r="K2123" s="5">
        <f t="shared" si="100"/>
        <v>0.23449419568821644</v>
      </c>
    </row>
    <row r="2124" spans="1:11" x14ac:dyDescent="0.25">
      <c r="A2124" t="s">
        <v>5506</v>
      </c>
      <c r="C2124" t="s">
        <v>5507</v>
      </c>
      <c r="D2124" t="s">
        <v>5</v>
      </c>
      <c r="E2124" t="s">
        <v>6</v>
      </c>
      <c r="F2124" t="s">
        <v>28</v>
      </c>
      <c r="G2124">
        <v>4</v>
      </c>
      <c r="H2124" s="2">
        <f>Tabelle13[[#This Row],[commits]]/Tabelle13[[#Totals],[commits]]</f>
        <v>1.859116176169849E-5</v>
      </c>
      <c r="I2124" s="5">
        <f>Tabelle13[[#This Row],[%]]+I2123</f>
        <v>0.95486995482347659</v>
      </c>
      <c r="J2124" s="4">
        <f t="shared" si="99"/>
        <v>1.105583195135434E-4</v>
      </c>
      <c r="K2124" s="5">
        <f t="shared" si="100"/>
        <v>0.23460475400772998</v>
      </c>
    </row>
    <row r="2125" spans="1:11" x14ac:dyDescent="0.25">
      <c r="A2125" t="s">
        <v>5508</v>
      </c>
      <c r="C2125" t="s">
        <v>5509</v>
      </c>
      <c r="D2125" t="s">
        <v>5</v>
      </c>
      <c r="E2125" t="s">
        <v>6</v>
      </c>
      <c r="F2125" t="s">
        <v>28</v>
      </c>
      <c r="G2125">
        <v>4</v>
      </c>
      <c r="H2125" s="2">
        <f>Tabelle13[[#This Row],[commits]]/Tabelle13[[#Totals],[commits]]</f>
        <v>1.859116176169849E-5</v>
      </c>
      <c r="I2125" s="5">
        <f>Tabelle13[[#This Row],[%]]+I2124</f>
        <v>0.95488854598523831</v>
      </c>
      <c r="J2125" s="4">
        <f t="shared" si="99"/>
        <v>1.105583195135434E-4</v>
      </c>
      <c r="K2125" s="5">
        <f t="shared" si="100"/>
        <v>0.23471531232724352</v>
      </c>
    </row>
    <row r="2126" spans="1:11" x14ac:dyDescent="0.25">
      <c r="A2126" t="s">
        <v>5510</v>
      </c>
      <c r="C2126" t="s">
        <v>5511</v>
      </c>
      <c r="D2126" t="s">
        <v>5</v>
      </c>
      <c r="E2126" t="s">
        <v>6</v>
      </c>
      <c r="F2126" t="s">
        <v>28</v>
      </c>
      <c r="G2126">
        <v>4</v>
      </c>
      <c r="H2126" s="2">
        <f>Tabelle13[[#This Row],[commits]]/Tabelle13[[#Totals],[commits]]</f>
        <v>1.859116176169849E-5</v>
      </c>
      <c r="I2126" s="5">
        <f>Tabelle13[[#This Row],[%]]+I2125</f>
        <v>0.95490713714700004</v>
      </c>
      <c r="J2126" s="4">
        <f t="shared" si="99"/>
        <v>1.105583195135434E-4</v>
      </c>
      <c r="K2126" s="5">
        <f t="shared" si="100"/>
        <v>0.23482587064675706</v>
      </c>
    </row>
    <row r="2127" spans="1:11" x14ac:dyDescent="0.25">
      <c r="A2127" t="s">
        <v>5512</v>
      </c>
      <c r="C2127" t="s">
        <v>5513</v>
      </c>
      <c r="D2127" t="s">
        <v>5</v>
      </c>
      <c r="E2127" t="s">
        <v>6</v>
      </c>
      <c r="F2127" t="s">
        <v>28</v>
      </c>
      <c r="G2127">
        <v>4</v>
      </c>
      <c r="H2127" s="2">
        <f>Tabelle13[[#This Row],[commits]]/Tabelle13[[#Totals],[commits]]</f>
        <v>1.859116176169849E-5</v>
      </c>
      <c r="I2127" s="5">
        <f>Tabelle13[[#This Row],[%]]+I2126</f>
        <v>0.95492572830876177</v>
      </c>
      <c r="J2127" s="4">
        <f t="shared" si="99"/>
        <v>1.105583195135434E-4</v>
      </c>
      <c r="K2127" s="5">
        <f t="shared" si="100"/>
        <v>0.23493642896627059</v>
      </c>
    </row>
    <row r="2128" spans="1:11" x14ac:dyDescent="0.25">
      <c r="A2128" t="s">
        <v>5514</v>
      </c>
      <c r="C2128" t="s">
        <v>5515</v>
      </c>
      <c r="D2128" t="s">
        <v>5</v>
      </c>
      <c r="E2128" t="s">
        <v>6</v>
      </c>
      <c r="F2128" t="s">
        <v>28</v>
      </c>
      <c r="G2128">
        <v>4</v>
      </c>
      <c r="H2128" s="2">
        <f>Tabelle13[[#This Row],[commits]]/Tabelle13[[#Totals],[commits]]</f>
        <v>1.859116176169849E-5</v>
      </c>
      <c r="I2128" s="5">
        <f>Tabelle13[[#This Row],[%]]+I2127</f>
        <v>0.95494431947052349</v>
      </c>
      <c r="J2128" s="4">
        <f t="shared" si="99"/>
        <v>1.105583195135434E-4</v>
      </c>
      <c r="K2128" s="5">
        <f t="shared" si="100"/>
        <v>0.23504698728578413</v>
      </c>
    </row>
    <row r="2129" spans="1:11" x14ac:dyDescent="0.25">
      <c r="A2129" t="s">
        <v>5516</v>
      </c>
      <c r="C2129" t="s">
        <v>5517</v>
      </c>
      <c r="D2129" t="s">
        <v>5</v>
      </c>
      <c r="E2129" t="s">
        <v>6</v>
      </c>
      <c r="F2129" t="s">
        <v>28</v>
      </c>
      <c r="G2129">
        <v>4</v>
      </c>
      <c r="H2129" s="2">
        <f>Tabelle13[[#This Row],[commits]]/Tabelle13[[#Totals],[commits]]</f>
        <v>1.859116176169849E-5</v>
      </c>
      <c r="I2129" s="5">
        <f>Tabelle13[[#This Row],[%]]+I2128</f>
        <v>0.95496291063228522</v>
      </c>
      <c r="J2129" s="4">
        <f t="shared" si="99"/>
        <v>1.105583195135434E-4</v>
      </c>
      <c r="K2129" s="5">
        <f t="shared" si="100"/>
        <v>0.23515754560529767</v>
      </c>
    </row>
    <row r="2130" spans="1:11" x14ac:dyDescent="0.25">
      <c r="A2130" t="s">
        <v>5518</v>
      </c>
      <c r="C2130" t="s">
        <v>2735</v>
      </c>
      <c r="D2130" t="s">
        <v>5</v>
      </c>
      <c r="E2130" t="s">
        <v>6</v>
      </c>
      <c r="F2130" t="s">
        <v>28</v>
      </c>
      <c r="G2130">
        <v>4</v>
      </c>
      <c r="H2130" s="2">
        <f>Tabelle13[[#This Row],[commits]]/Tabelle13[[#Totals],[commits]]</f>
        <v>1.859116176169849E-5</v>
      </c>
      <c r="I2130" s="5">
        <f>Tabelle13[[#This Row],[%]]+I2129</f>
        <v>0.95498150179404695</v>
      </c>
      <c r="J2130" s="4">
        <f t="shared" si="99"/>
        <v>1.105583195135434E-4</v>
      </c>
      <c r="K2130" s="5">
        <f t="shared" si="100"/>
        <v>0.23526810392481121</v>
      </c>
    </row>
    <row r="2131" spans="1:11" x14ac:dyDescent="0.25">
      <c r="A2131" t="s">
        <v>5519</v>
      </c>
      <c r="C2131" t="s">
        <v>5520</v>
      </c>
      <c r="D2131" t="s">
        <v>5</v>
      </c>
      <c r="E2131" t="s">
        <v>6</v>
      </c>
      <c r="F2131" t="s">
        <v>28</v>
      </c>
      <c r="G2131">
        <v>4</v>
      </c>
      <c r="H2131" s="2">
        <f>Tabelle13[[#This Row],[commits]]/Tabelle13[[#Totals],[commits]]</f>
        <v>1.859116176169849E-5</v>
      </c>
      <c r="I2131" s="5">
        <f>Tabelle13[[#This Row],[%]]+I2130</f>
        <v>0.95500009295580868</v>
      </c>
      <c r="J2131" s="4">
        <f t="shared" si="99"/>
        <v>1.105583195135434E-4</v>
      </c>
      <c r="K2131" s="5">
        <f t="shared" si="100"/>
        <v>0.23537866224432474</v>
      </c>
    </row>
    <row r="2132" spans="1:11" x14ac:dyDescent="0.25">
      <c r="A2132" t="s">
        <v>5521</v>
      </c>
      <c r="C2132" t="s">
        <v>5522</v>
      </c>
      <c r="D2132" t="s">
        <v>5</v>
      </c>
      <c r="E2132" t="s">
        <v>6</v>
      </c>
      <c r="F2132" t="s">
        <v>28</v>
      </c>
      <c r="G2132">
        <v>4</v>
      </c>
      <c r="H2132" s="2">
        <f>Tabelle13[[#This Row],[commits]]/Tabelle13[[#Totals],[commits]]</f>
        <v>1.859116176169849E-5</v>
      </c>
      <c r="I2132" s="5">
        <f>Tabelle13[[#This Row],[%]]+I2131</f>
        <v>0.9550186841175704</v>
      </c>
      <c r="J2132" s="4">
        <f t="shared" si="99"/>
        <v>1.105583195135434E-4</v>
      </c>
      <c r="K2132" s="5">
        <f t="shared" si="100"/>
        <v>0.23548922056383828</v>
      </c>
    </row>
    <row r="2133" spans="1:11" x14ac:dyDescent="0.25">
      <c r="A2133" t="s">
        <v>5523</v>
      </c>
      <c r="C2133" t="s">
        <v>5524</v>
      </c>
      <c r="D2133" t="s">
        <v>5</v>
      </c>
      <c r="E2133" t="s">
        <v>6</v>
      </c>
      <c r="F2133" t="s">
        <v>28</v>
      </c>
      <c r="G2133">
        <v>4</v>
      </c>
      <c r="H2133" s="2">
        <f>Tabelle13[[#This Row],[commits]]/Tabelle13[[#Totals],[commits]]</f>
        <v>1.859116176169849E-5</v>
      </c>
      <c r="I2133" s="5">
        <f>Tabelle13[[#This Row],[%]]+I2132</f>
        <v>0.95503727527933213</v>
      </c>
      <c r="J2133" s="4">
        <f t="shared" si="99"/>
        <v>1.105583195135434E-4</v>
      </c>
      <c r="K2133" s="5">
        <f t="shared" si="100"/>
        <v>0.23559977888335182</v>
      </c>
    </row>
    <row r="2134" spans="1:11" x14ac:dyDescent="0.25">
      <c r="A2134" t="s">
        <v>5525</v>
      </c>
      <c r="C2134" t="s">
        <v>5526</v>
      </c>
      <c r="D2134" t="s">
        <v>5</v>
      </c>
      <c r="E2134" t="s">
        <v>6</v>
      </c>
      <c r="F2134" t="s">
        <v>28</v>
      </c>
      <c r="G2134">
        <v>4</v>
      </c>
      <c r="H2134" s="2">
        <f>Tabelle13[[#This Row],[commits]]/Tabelle13[[#Totals],[commits]]</f>
        <v>1.859116176169849E-5</v>
      </c>
      <c r="I2134" s="5">
        <f>Tabelle13[[#This Row],[%]]+I2133</f>
        <v>0.95505586644109386</v>
      </c>
      <c r="J2134" s="4">
        <f t="shared" si="99"/>
        <v>1.105583195135434E-4</v>
      </c>
      <c r="K2134" s="5">
        <f t="shared" si="100"/>
        <v>0.23571033720286536</v>
      </c>
    </row>
    <row r="2135" spans="1:11" x14ac:dyDescent="0.25">
      <c r="A2135" t="s">
        <v>5527</v>
      </c>
      <c r="C2135" t="s">
        <v>26</v>
      </c>
      <c r="D2135" t="s">
        <v>5</v>
      </c>
      <c r="E2135" t="s">
        <v>6</v>
      </c>
      <c r="F2135" t="s">
        <v>28</v>
      </c>
      <c r="G2135">
        <v>4</v>
      </c>
      <c r="H2135" s="2">
        <f>Tabelle13[[#This Row],[commits]]/Tabelle13[[#Totals],[commits]]</f>
        <v>1.859116176169849E-5</v>
      </c>
      <c r="I2135" s="5">
        <f>Tabelle13[[#This Row],[%]]+I2134</f>
        <v>0.95507445760285559</v>
      </c>
      <c r="J2135" s="4">
        <f t="shared" si="99"/>
        <v>1.105583195135434E-4</v>
      </c>
      <c r="K2135" s="5">
        <f t="shared" si="100"/>
        <v>0.23582089552237889</v>
      </c>
    </row>
    <row r="2136" spans="1:11" x14ac:dyDescent="0.25">
      <c r="A2136" t="s">
        <v>5528</v>
      </c>
      <c r="C2136" t="s">
        <v>5529</v>
      </c>
      <c r="D2136" t="s">
        <v>5</v>
      </c>
      <c r="E2136" t="s">
        <v>6</v>
      </c>
      <c r="F2136" t="s">
        <v>28</v>
      </c>
      <c r="G2136">
        <v>4</v>
      </c>
      <c r="H2136" s="2">
        <f>Tabelle13[[#This Row],[commits]]/Tabelle13[[#Totals],[commits]]</f>
        <v>1.859116176169849E-5</v>
      </c>
      <c r="I2136" s="5">
        <f>Tabelle13[[#This Row],[%]]+I2135</f>
        <v>0.95509304876461731</v>
      </c>
      <c r="J2136" s="4">
        <f t="shared" si="99"/>
        <v>1.105583195135434E-4</v>
      </c>
      <c r="K2136" s="5">
        <f t="shared" si="100"/>
        <v>0.23593145384189243</v>
      </c>
    </row>
    <row r="2137" spans="1:11" x14ac:dyDescent="0.25">
      <c r="A2137" t="s">
        <v>5530</v>
      </c>
      <c r="C2137" t="s">
        <v>2220</v>
      </c>
      <c r="D2137" t="s">
        <v>5</v>
      </c>
      <c r="E2137" t="s">
        <v>6</v>
      </c>
      <c r="F2137" t="s">
        <v>28</v>
      </c>
      <c r="G2137">
        <v>4</v>
      </c>
      <c r="H2137" s="2">
        <f>Tabelle13[[#This Row],[commits]]/Tabelle13[[#Totals],[commits]]</f>
        <v>1.859116176169849E-5</v>
      </c>
      <c r="I2137" s="5">
        <f>Tabelle13[[#This Row],[%]]+I2136</f>
        <v>0.95511163992637904</v>
      </c>
      <c r="J2137" s="4">
        <f t="shared" si="99"/>
        <v>1.105583195135434E-4</v>
      </c>
      <c r="K2137" s="5">
        <f t="shared" si="100"/>
        <v>0.23604201216140597</v>
      </c>
    </row>
    <row r="2138" spans="1:11" x14ac:dyDescent="0.25">
      <c r="A2138" t="s">
        <v>5531</v>
      </c>
      <c r="C2138" t="s">
        <v>5532</v>
      </c>
      <c r="D2138" t="s">
        <v>5</v>
      </c>
      <c r="E2138" t="s">
        <v>6</v>
      </c>
      <c r="F2138" t="s">
        <v>28</v>
      </c>
      <c r="G2138">
        <v>4</v>
      </c>
      <c r="H2138" s="2">
        <f>Tabelle13[[#This Row],[commits]]/Tabelle13[[#Totals],[commits]]</f>
        <v>1.859116176169849E-5</v>
      </c>
      <c r="I2138" s="5">
        <f>Tabelle13[[#This Row],[%]]+I2137</f>
        <v>0.95513023108814077</v>
      </c>
      <c r="J2138" s="4">
        <f t="shared" si="99"/>
        <v>1.105583195135434E-4</v>
      </c>
      <c r="K2138" s="5">
        <f t="shared" si="100"/>
        <v>0.2361525704809195</v>
      </c>
    </row>
    <row r="2139" spans="1:11" x14ac:dyDescent="0.25">
      <c r="A2139" t="s">
        <v>5533</v>
      </c>
      <c r="C2139" t="s">
        <v>5534</v>
      </c>
      <c r="D2139" t="s">
        <v>5</v>
      </c>
      <c r="E2139" t="s">
        <v>6</v>
      </c>
      <c r="F2139" t="s">
        <v>28</v>
      </c>
      <c r="G2139">
        <v>4</v>
      </c>
      <c r="H2139" s="2">
        <f>Tabelle13[[#This Row],[commits]]/Tabelle13[[#Totals],[commits]]</f>
        <v>1.859116176169849E-5</v>
      </c>
      <c r="I2139" s="5">
        <f>Tabelle13[[#This Row],[%]]+I2138</f>
        <v>0.9551488222499025</v>
      </c>
      <c r="J2139" s="4">
        <f t="shared" si="99"/>
        <v>1.105583195135434E-4</v>
      </c>
      <c r="K2139" s="5">
        <f t="shared" si="100"/>
        <v>0.23626312880043304</v>
      </c>
    </row>
    <row r="2140" spans="1:11" x14ac:dyDescent="0.25">
      <c r="A2140" t="s">
        <v>5535</v>
      </c>
      <c r="C2140" t="s">
        <v>3451</v>
      </c>
      <c r="D2140" t="s">
        <v>5</v>
      </c>
      <c r="E2140" t="s">
        <v>6</v>
      </c>
      <c r="F2140" t="s">
        <v>28</v>
      </c>
      <c r="G2140">
        <v>4</v>
      </c>
      <c r="H2140" s="2">
        <f>Tabelle13[[#This Row],[commits]]/Tabelle13[[#Totals],[commits]]</f>
        <v>1.859116176169849E-5</v>
      </c>
      <c r="I2140" s="5">
        <f>Tabelle13[[#This Row],[%]]+I2139</f>
        <v>0.95516741341166422</v>
      </c>
      <c r="J2140" s="4">
        <f t="shared" si="99"/>
        <v>1.105583195135434E-4</v>
      </c>
      <c r="K2140" s="5">
        <f t="shared" si="100"/>
        <v>0.23637368711994658</v>
      </c>
    </row>
    <row r="2141" spans="1:11" x14ac:dyDescent="0.25">
      <c r="A2141" t="s">
        <v>5536</v>
      </c>
      <c r="C2141" t="s">
        <v>5537</v>
      </c>
      <c r="D2141" t="s">
        <v>4461</v>
      </c>
      <c r="E2141" t="s">
        <v>6</v>
      </c>
      <c r="F2141" t="s">
        <v>28</v>
      </c>
      <c r="G2141">
        <v>4</v>
      </c>
      <c r="H2141" s="2">
        <f>Tabelle13[[#This Row],[commits]]/Tabelle13[[#Totals],[commits]]</f>
        <v>1.859116176169849E-5</v>
      </c>
      <c r="I2141" s="5">
        <f>Tabelle13[[#This Row],[%]]+I2140</f>
        <v>0.95518600457342595</v>
      </c>
      <c r="J2141" s="4">
        <f t="shared" si="99"/>
        <v>1.105583195135434E-4</v>
      </c>
      <c r="K2141" s="5">
        <f t="shared" si="100"/>
        <v>0.23648424543946012</v>
      </c>
    </row>
    <row r="2142" spans="1:11" x14ac:dyDescent="0.25">
      <c r="A2142" t="s">
        <v>5538</v>
      </c>
      <c r="C2142" t="s">
        <v>5539</v>
      </c>
      <c r="D2142" t="s">
        <v>5</v>
      </c>
      <c r="E2142" t="s">
        <v>6</v>
      </c>
      <c r="F2142" t="s">
        <v>28</v>
      </c>
      <c r="G2142">
        <v>4</v>
      </c>
      <c r="H2142" s="2">
        <f>Tabelle13[[#This Row],[commits]]/Tabelle13[[#Totals],[commits]]</f>
        <v>1.859116176169849E-5</v>
      </c>
      <c r="I2142" s="5">
        <f>Tabelle13[[#This Row],[%]]+I2141</f>
        <v>0.95520459573518768</v>
      </c>
      <c r="J2142" s="4">
        <f t="shared" si="99"/>
        <v>1.105583195135434E-4</v>
      </c>
      <c r="K2142" s="5">
        <f t="shared" si="100"/>
        <v>0.23659480375897365</v>
      </c>
    </row>
    <row r="2143" spans="1:11" x14ac:dyDescent="0.25">
      <c r="A2143" t="s">
        <v>5540</v>
      </c>
      <c r="C2143" t="s">
        <v>5541</v>
      </c>
      <c r="D2143" t="s">
        <v>2641</v>
      </c>
      <c r="E2143" t="s">
        <v>6</v>
      </c>
      <c r="F2143" t="s">
        <v>28</v>
      </c>
      <c r="G2143">
        <v>4</v>
      </c>
      <c r="H2143" s="2">
        <f>Tabelle13[[#This Row],[commits]]/Tabelle13[[#Totals],[commits]]</f>
        <v>1.859116176169849E-5</v>
      </c>
      <c r="I2143" s="5">
        <f>Tabelle13[[#This Row],[%]]+I2142</f>
        <v>0.95522318689694941</v>
      </c>
      <c r="J2143" s="4">
        <f t="shared" si="99"/>
        <v>1.105583195135434E-4</v>
      </c>
      <c r="K2143" s="5">
        <f t="shared" si="100"/>
        <v>0.23670536207848719</v>
      </c>
    </row>
    <row r="2144" spans="1:11" x14ac:dyDescent="0.25">
      <c r="A2144" t="s">
        <v>5544</v>
      </c>
      <c r="C2144" t="s">
        <v>5545</v>
      </c>
      <c r="D2144" t="s">
        <v>5</v>
      </c>
      <c r="E2144" t="s">
        <v>6</v>
      </c>
      <c r="F2144" t="s">
        <v>28</v>
      </c>
      <c r="G2144">
        <v>4</v>
      </c>
      <c r="H2144" s="2">
        <f>Tabelle13[[#This Row],[commits]]/Tabelle13[[#Totals],[commits]]</f>
        <v>1.859116176169849E-5</v>
      </c>
      <c r="I2144" s="5">
        <f>Tabelle13[[#This Row],[%]]+I2143</f>
        <v>0.95524177805871113</v>
      </c>
      <c r="J2144" s="4">
        <f t="shared" si="99"/>
        <v>1.105583195135434E-4</v>
      </c>
      <c r="K2144" s="5">
        <f t="shared" si="100"/>
        <v>0.23681592039800073</v>
      </c>
    </row>
    <row r="2145" spans="1:11" x14ac:dyDescent="0.25">
      <c r="A2145" t="s">
        <v>5546</v>
      </c>
      <c r="C2145" t="s">
        <v>5547</v>
      </c>
      <c r="D2145" t="s">
        <v>5</v>
      </c>
      <c r="E2145" t="s">
        <v>6</v>
      </c>
      <c r="F2145" t="s">
        <v>28</v>
      </c>
      <c r="G2145">
        <v>4</v>
      </c>
      <c r="H2145" s="2">
        <f>Tabelle13[[#This Row],[commits]]/Tabelle13[[#Totals],[commits]]</f>
        <v>1.859116176169849E-5</v>
      </c>
      <c r="I2145" s="5">
        <f>Tabelle13[[#This Row],[%]]+I2144</f>
        <v>0.95526036922047286</v>
      </c>
      <c r="J2145" s="4">
        <f t="shared" si="99"/>
        <v>1.105583195135434E-4</v>
      </c>
      <c r="K2145" s="5">
        <f t="shared" si="100"/>
        <v>0.23692647871751427</v>
      </c>
    </row>
    <row r="2146" spans="1:11" x14ac:dyDescent="0.25">
      <c r="A2146" t="s">
        <v>5548</v>
      </c>
      <c r="C2146" t="s">
        <v>5549</v>
      </c>
      <c r="D2146" t="s">
        <v>5</v>
      </c>
      <c r="E2146" t="s">
        <v>6</v>
      </c>
      <c r="F2146" t="s">
        <v>28</v>
      </c>
      <c r="G2146">
        <v>4</v>
      </c>
      <c r="H2146" s="2">
        <f>Tabelle13[[#This Row],[commits]]/Tabelle13[[#Totals],[commits]]</f>
        <v>1.859116176169849E-5</v>
      </c>
      <c r="I2146" s="5">
        <f>Tabelle13[[#This Row],[%]]+I2145</f>
        <v>0.95527896038223459</v>
      </c>
      <c r="J2146" s="4">
        <f t="shared" si="99"/>
        <v>1.105583195135434E-4</v>
      </c>
      <c r="K2146" s="5">
        <f t="shared" si="100"/>
        <v>0.2370370370370278</v>
      </c>
    </row>
    <row r="2147" spans="1:11" x14ac:dyDescent="0.25">
      <c r="A2147" t="s">
        <v>5550</v>
      </c>
      <c r="C2147" t="s">
        <v>211</v>
      </c>
      <c r="D2147" t="s">
        <v>5</v>
      </c>
      <c r="E2147" t="s">
        <v>6</v>
      </c>
      <c r="F2147" t="s">
        <v>28</v>
      </c>
      <c r="G2147">
        <v>4</v>
      </c>
      <c r="H2147" s="2">
        <f>Tabelle13[[#This Row],[commits]]/Tabelle13[[#Totals],[commits]]</f>
        <v>1.859116176169849E-5</v>
      </c>
      <c r="I2147" s="5">
        <f>Tabelle13[[#This Row],[%]]+I2146</f>
        <v>0.95529755154399632</v>
      </c>
      <c r="J2147" s="4">
        <f t="shared" si="99"/>
        <v>1.105583195135434E-4</v>
      </c>
      <c r="K2147" s="5">
        <f t="shared" si="100"/>
        <v>0.23714759535654134</v>
      </c>
    </row>
    <row r="2148" spans="1:11" x14ac:dyDescent="0.25">
      <c r="A2148" t="s">
        <v>5551</v>
      </c>
      <c r="C2148" t="s">
        <v>685</v>
      </c>
      <c r="D2148" t="s">
        <v>5552</v>
      </c>
      <c r="E2148" t="s">
        <v>6</v>
      </c>
      <c r="F2148" t="s">
        <v>28</v>
      </c>
      <c r="G2148">
        <v>4</v>
      </c>
      <c r="H2148" s="2">
        <f>Tabelle13[[#This Row],[commits]]/Tabelle13[[#Totals],[commits]]</f>
        <v>1.859116176169849E-5</v>
      </c>
      <c r="I2148" s="5">
        <f>Tabelle13[[#This Row],[%]]+I2147</f>
        <v>0.95531614270575804</v>
      </c>
      <c r="J2148" s="4">
        <f t="shared" si="99"/>
        <v>1.105583195135434E-4</v>
      </c>
      <c r="K2148" s="5">
        <f t="shared" si="100"/>
        <v>0.23725815367605488</v>
      </c>
    </row>
    <row r="2149" spans="1:11" x14ac:dyDescent="0.25">
      <c r="A2149" t="s">
        <v>5554</v>
      </c>
      <c r="C2149" t="s">
        <v>5555</v>
      </c>
      <c r="D2149" t="s">
        <v>5</v>
      </c>
      <c r="E2149" t="s">
        <v>6</v>
      </c>
      <c r="F2149" t="s">
        <v>28</v>
      </c>
      <c r="G2149">
        <v>4</v>
      </c>
      <c r="H2149" s="2">
        <f>Tabelle13[[#This Row],[commits]]/Tabelle13[[#Totals],[commits]]</f>
        <v>1.859116176169849E-5</v>
      </c>
      <c r="I2149" s="5">
        <f>Tabelle13[[#This Row],[%]]+I2148</f>
        <v>0.95533473386751977</v>
      </c>
      <c r="J2149" s="4">
        <f t="shared" si="99"/>
        <v>1.105583195135434E-4</v>
      </c>
      <c r="K2149" s="5">
        <f t="shared" si="100"/>
        <v>0.23736871199556842</v>
      </c>
    </row>
    <row r="2150" spans="1:11" x14ac:dyDescent="0.25">
      <c r="A2150" t="s">
        <v>5556</v>
      </c>
      <c r="C2150" t="s">
        <v>5557</v>
      </c>
      <c r="D2150" t="s">
        <v>5558</v>
      </c>
      <c r="E2150" t="s">
        <v>6</v>
      </c>
      <c r="F2150" t="s">
        <v>28</v>
      </c>
      <c r="G2150">
        <v>4</v>
      </c>
      <c r="H2150" s="2">
        <f>Tabelle13[[#This Row],[commits]]/Tabelle13[[#Totals],[commits]]</f>
        <v>1.859116176169849E-5</v>
      </c>
      <c r="I2150" s="5">
        <f>Tabelle13[[#This Row],[%]]+I2149</f>
        <v>0.9553533250292815</v>
      </c>
      <c r="J2150" s="4">
        <f t="shared" si="99"/>
        <v>1.105583195135434E-4</v>
      </c>
      <c r="K2150" s="5">
        <f t="shared" si="100"/>
        <v>0.23747927031508195</v>
      </c>
    </row>
    <row r="2151" spans="1:11" x14ac:dyDescent="0.25">
      <c r="A2151" t="s">
        <v>5559</v>
      </c>
      <c r="C2151" t="s">
        <v>5560</v>
      </c>
      <c r="D2151" t="s">
        <v>5</v>
      </c>
      <c r="E2151" t="s">
        <v>6</v>
      </c>
      <c r="F2151" t="s">
        <v>28</v>
      </c>
      <c r="G2151">
        <v>4</v>
      </c>
      <c r="H2151" s="2">
        <f>Tabelle13[[#This Row],[commits]]/Tabelle13[[#Totals],[commits]]</f>
        <v>1.859116176169849E-5</v>
      </c>
      <c r="I2151" s="5">
        <f>Tabelle13[[#This Row],[%]]+I2150</f>
        <v>0.95537191619104322</v>
      </c>
      <c r="J2151" s="4">
        <f t="shared" si="99"/>
        <v>1.105583195135434E-4</v>
      </c>
      <c r="K2151" s="5">
        <f t="shared" si="100"/>
        <v>0.23758982863459549</v>
      </c>
    </row>
    <row r="2152" spans="1:11" x14ac:dyDescent="0.25">
      <c r="A2152" t="s">
        <v>5563</v>
      </c>
      <c r="C2152" t="s">
        <v>5564</v>
      </c>
      <c r="D2152" t="s">
        <v>5</v>
      </c>
      <c r="E2152" t="s">
        <v>6</v>
      </c>
      <c r="F2152" t="s">
        <v>28</v>
      </c>
      <c r="G2152">
        <v>4</v>
      </c>
      <c r="H2152" s="2">
        <f>Tabelle13[[#This Row],[commits]]/Tabelle13[[#Totals],[commits]]</f>
        <v>1.859116176169849E-5</v>
      </c>
      <c r="I2152" s="5">
        <f>Tabelle13[[#This Row],[%]]+I2151</f>
        <v>0.95539050735280495</v>
      </c>
      <c r="J2152" s="4">
        <f t="shared" si="99"/>
        <v>1.105583195135434E-4</v>
      </c>
      <c r="K2152" s="5">
        <f t="shared" si="100"/>
        <v>0.23770038695410903</v>
      </c>
    </row>
    <row r="2153" spans="1:11" x14ac:dyDescent="0.25">
      <c r="A2153" t="s">
        <v>5565</v>
      </c>
      <c r="C2153" t="s">
        <v>5566</v>
      </c>
      <c r="D2153" t="s">
        <v>5</v>
      </c>
      <c r="E2153" t="s">
        <v>6</v>
      </c>
      <c r="F2153" t="s">
        <v>28</v>
      </c>
      <c r="G2153">
        <v>4</v>
      </c>
      <c r="H2153" s="2">
        <f>Tabelle13[[#This Row],[commits]]/Tabelle13[[#Totals],[commits]]</f>
        <v>1.859116176169849E-5</v>
      </c>
      <c r="I2153" s="5">
        <f>Tabelle13[[#This Row],[%]]+I2152</f>
        <v>0.95540909851456668</v>
      </c>
      <c r="J2153" s="4">
        <f t="shared" si="99"/>
        <v>1.105583195135434E-4</v>
      </c>
      <c r="K2153" s="5">
        <f t="shared" si="100"/>
        <v>0.23781094527362256</v>
      </c>
    </row>
    <row r="2154" spans="1:11" x14ac:dyDescent="0.25">
      <c r="A2154" t="s">
        <v>5567</v>
      </c>
      <c r="C2154" t="s">
        <v>5568</v>
      </c>
      <c r="D2154" t="s">
        <v>5</v>
      </c>
      <c r="E2154" t="s">
        <v>6</v>
      </c>
      <c r="F2154" t="s">
        <v>28</v>
      </c>
      <c r="G2154">
        <v>4</v>
      </c>
      <c r="H2154" s="2">
        <f>Tabelle13[[#This Row],[commits]]/Tabelle13[[#Totals],[commits]]</f>
        <v>1.859116176169849E-5</v>
      </c>
      <c r="I2154" s="5">
        <f>Tabelle13[[#This Row],[%]]+I2153</f>
        <v>0.95542768967632841</v>
      </c>
      <c r="J2154" s="4">
        <f t="shared" si="99"/>
        <v>1.105583195135434E-4</v>
      </c>
      <c r="K2154" s="5">
        <f t="shared" si="100"/>
        <v>0.2379215035931361</v>
      </c>
    </row>
    <row r="2155" spans="1:11" x14ac:dyDescent="0.25">
      <c r="A2155" t="s">
        <v>5569</v>
      </c>
      <c r="C2155" t="s">
        <v>5570</v>
      </c>
      <c r="D2155" t="s">
        <v>5</v>
      </c>
      <c r="E2155" t="s">
        <v>6</v>
      </c>
      <c r="F2155" t="s">
        <v>28</v>
      </c>
      <c r="G2155">
        <v>4</v>
      </c>
      <c r="H2155" s="2">
        <f>Tabelle13[[#This Row],[commits]]/Tabelle13[[#Totals],[commits]]</f>
        <v>1.859116176169849E-5</v>
      </c>
      <c r="I2155" s="5">
        <f>Tabelle13[[#This Row],[%]]+I2154</f>
        <v>0.95544628083809013</v>
      </c>
      <c r="J2155" s="4">
        <f t="shared" si="99"/>
        <v>1.105583195135434E-4</v>
      </c>
      <c r="K2155" s="5">
        <f t="shared" si="100"/>
        <v>0.23803206191264964</v>
      </c>
    </row>
    <row r="2156" spans="1:11" x14ac:dyDescent="0.25">
      <c r="A2156" t="s">
        <v>5571</v>
      </c>
      <c r="C2156" t="s">
        <v>5572</v>
      </c>
      <c r="D2156" t="s">
        <v>5</v>
      </c>
      <c r="E2156" t="s">
        <v>6</v>
      </c>
      <c r="F2156" t="s">
        <v>28</v>
      </c>
      <c r="G2156">
        <v>4</v>
      </c>
      <c r="H2156" s="2">
        <f>Tabelle13[[#This Row],[commits]]/Tabelle13[[#Totals],[commits]]</f>
        <v>1.859116176169849E-5</v>
      </c>
      <c r="I2156" s="5">
        <f>Tabelle13[[#This Row],[%]]+I2155</f>
        <v>0.95546487199985186</v>
      </c>
      <c r="J2156" s="4">
        <f t="shared" si="99"/>
        <v>1.105583195135434E-4</v>
      </c>
      <c r="K2156" s="5">
        <f t="shared" si="100"/>
        <v>0.23814262023216318</v>
      </c>
    </row>
    <row r="2157" spans="1:11" x14ac:dyDescent="0.25">
      <c r="A2157" t="s">
        <v>5573</v>
      </c>
      <c r="C2157" t="s">
        <v>5574</v>
      </c>
      <c r="D2157" t="s">
        <v>5</v>
      </c>
      <c r="E2157" t="s">
        <v>6</v>
      </c>
      <c r="F2157" t="s">
        <v>28</v>
      </c>
      <c r="G2157">
        <v>4</v>
      </c>
      <c r="H2157" s="2">
        <f>Tabelle13[[#This Row],[commits]]/Tabelle13[[#Totals],[commits]]</f>
        <v>1.859116176169849E-5</v>
      </c>
      <c r="I2157" s="5">
        <f>Tabelle13[[#This Row],[%]]+I2156</f>
        <v>0.95548346316161359</v>
      </c>
      <c r="J2157" s="4">
        <f t="shared" si="99"/>
        <v>1.105583195135434E-4</v>
      </c>
      <c r="K2157" s="5">
        <f t="shared" si="100"/>
        <v>0.23825317855167671</v>
      </c>
    </row>
    <row r="2158" spans="1:11" x14ac:dyDescent="0.25">
      <c r="A2158" t="s">
        <v>5575</v>
      </c>
      <c r="C2158" t="s">
        <v>5576</v>
      </c>
      <c r="D2158" t="s">
        <v>5</v>
      </c>
      <c r="E2158" t="s">
        <v>6</v>
      </c>
      <c r="F2158" t="s">
        <v>28</v>
      </c>
      <c r="G2158">
        <v>4</v>
      </c>
      <c r="H2158" s="2">
        <f>Tabelle13[[#This Row],[commits]]/Tabelle13[[#Totals],[commits]]</f>
        <v>1.859116176169849E-5</v>
      </c>
      <c r="I2158" s="5">
        <f>Tabelle13[[#This Row],[%]]+I2157</f>
        <v>0.95550205432337532</v>
      </c>
      <c r="J2158" s="4">
        <f t="shared" si="99"/>
        <v>1.105583195135434E-4</v>
      </c>
      <c r="K2158" s="5">
        <f t="shared" si="100"/>
        <v>0.23836373687119025</v>
      </c>
    </row>
    <row r="2159" spans="1:11" x14ac:dyDescent="0.25">
      <c r="A2159" t="s">
        <v>5577</v>
      </c>
      <c r="C2159" t="s">
        <v>5578</v>
      </c>
      <c r="D2159" t="s">
        <v>5</v>
      </c>
      <c r="E2159" t="s">
        <v>6</v>
      </c>
      <c r="F2159" t="s">
        <v>28</v>
      </c>
      <c r="G2159">
        <v>4</v>
      </c>
      <c r="H2159" s="2">
        <f>Tabelle13[[#This Row],[commits]]/Tabelle13[[#Totals],[commits]]</f>
        <v>1.859116176169849E-5</v>
      </c>
      <c r="I2159" s="5">
        <f>Tabelle13[[#This Row],[%]]+I2158</f>
        <v>0.95552064548513704</v>
      </c>
      <c r="J2159" s="4">
        <f t="shared" si="99"/>
        <v>1.105583195135434E-4</v>
      </c>
      <c r="K2159" s="5">
        <f t="shared" si="100"/>
        <v>0.23847429519070379</v>
      </c>
    </row>
    <row r="2160" spans="1:11" x14ac:dyDescent="0.25">
      <c r="A2160" t="s">
        <v>5579</v>
      </c>
      <c r="C2160" t="s">
        <v>5580</v>
      </c>
      <c r="D2160" t="s">
        <v>5175</v>
      </c>
      <c r="E2160" t="s">
        <v>6</v>
      </c>
      <c r="F2160" t="s">
        <v>28</v>
      </c>
      <c r="G2160">
        <v>4</v>
      </c>
      <c r="H2160" s="2">
        <f>Tabelle13[[#This Row],[commits]]/Tabelle13[[#Totals],[commits]]</f>
        <v>1.859116176169849E-5</v>
      </c>
      <c r="I2160" s="5">
        <f>Tabelle13[[#This Row],[%]]+I2159</f>
        <v>0.95553923664689877</v>
      </c>
      <c r="J2160" s="4">
        <f t="shared" si="99"/>
        <v>1.105583195135434E-4</v>
      </c>
      <c r="K2160" s="5">
        <f t="shared" si="100"/>
        <v>0.23858485351021733</v>
      </c>
    </row>
    <row r="2161" spans="1:11" x14ac:dyDescent="0.25">
      <c r="A2161" t="s">
        <v>5581</v>
      </c>
      <c r="C2161" t="s">
        <v>5582</v>
      </c>
      <c r="D2161" t="s">
        <v>5</v>
      </c>
      <c r="E2161" t="s">
        <v>6</v>
      </c>
      <c r="F2161" t="s">
        <v>28</v>
      </c>
      <c r="G2161">
        <v>4</v>
      </c>
      <c r="H2161" s="2">
        <f>Tabelle13[[#This Row],[commits]]/Tabelle13[[#Totals],[commits]]</f>
        <v>1.859116176169849E-5</v>
      </c>
      <c r="I2161" s="5">
        <f>Tabelle13[[#This Row],[%]]+I2160</f>
        <v>0.9555578278086605</v>
      </c>
      <c r="J2161" s="4">
        <f t="shared" si="99"/>
        <v>1.105583195135434E-4</v>
      </c>
      <c r="K2161" s="5">
        <f t="shared" si="100"/>
        <v>0.23869541182973086</v>
      </c>
    </row>
    <row r="2162" spans="1:11" x14ac:dyDescent="0.25">
      <c r="A2162" t="s">
        <v>5583</v>
      </c>
      <c r="C2162" t="s">
        <v>5584</v>
      </c>
      <c r="D2162" t="s">
        <v>5</v>
      </c>
      <c r="E2162" t="s">
        <v>6</v>
      </c>
      <c r="F2162" t="s">
        <v>28</v>
      </c>
      <c r="G2162">
        <v>4</v>
      </c>
      <c r="H2162" s="2">
        <f>Tabelle13[[#This Row],[commits]]/Tabelle13[[#Totals],[commits]]</f>
        <v>1.859116176169849E-5</v>
      </c>
      <c r="I2162" s="5">
        <f>Tabelle13[[#This Row],[%]]+I2161</f>
        <v>0.95557641897042223</v>
      </c>
      <c r="J2162" s="4">
        <f t="shared" si="99"/>
        <v>1.105583195135434E-4</v>
      </c>
      <c r="K2162" s="5">
        <f t="shared" si="100"/>
        <v>0.2388059701492444</v>
      </c>
    </row>
    <row r="2163" spans="1:11" x14ac:dyDescent="0.25">
      <c r="A2163" t="s">
        <v>5585</v>
      </c>
      <c r="C2163" t="s">
        <v>5586</v>
      </c>
      <c r="D2163" t="s">
        <v>5</v>
      </c>
      <c r="E2163" t="s">
        <v>6</v>
      </c>
      <c r="F2163" t="s">
        <v>28</v>
      </c>
      <c r="G2163">
        <v>4</v>
      </c>
      <c r="H2163" s="2">
        <f>Tabelle13[[#This Row],[commits]]/Tabelle13[[#Totals],[commits]]</f>
        <v>1.859116176169849E-5</v>
      </c>
      <c r="I2163" s="5">
        <f>Tabelle13[[#This Row],[%]]+I2162</f>
        <v>0.95559501013218395</v>
      </c>
      <c r="J2163" s="4">
        <f t="shared" si="99"/>
        <v>1.105583195135434E-4</v>
      </c>
      <c r="K2163" s="5">
        <f t="shared" si="100"/>
        <v>0.23891652846875794</v>
      </c>
    </row>
    <row r="2164" spans="1:11" x14ac:dyDescent="0.25">
      <c r="A2164" t="s">
        <v>11540</v>
      </c>
      <c r="C2164" t="s">
        <v>11541</v>
      </c>
      <c r="D2164" t="s">
        <v>309</v>
      </c>
      <c r="E2164" t="s">
        <v>6</v>
      </c>
      <c r="F2164" t="s">
        <v>251</v>
      </c>
      <c r="G2164">
        <v>4</v>
      </c>
      <c r="H2164" s="2">
        <f>Tabelle13[[#This Row],[commits]]/Tabelle13[[#Totals],[commits]]</f>
        <v>1.859116176169849E-5</v>
      </c>
      <c r="I2164" s="5">
        <f>Tabelle13[[#This Row],[%]]+I2163</f>
        <v>0.95561360129394568</v>
      </c>
      <c r="J2164" s="4">
        <f t="shared" si="99"/>
        <v>1.105583195135434E-4</v>
      </c>
      <c r="K2164" s="5">
        <f t="shared" si="100"/>
        <v>0.23902708678827148</v>
      </c>
    </row>
    <row r="2165" spans="1:11" x14ac:dyDescent="0.25">
      <c r="A2165" t="s">
        <v>11542</v>
      </c>
      <c r="C2165" t="s">
        <v>11543</v>
      </c>
      <c r="D2165" t="s">
        <v>309</v>
      </c>
      <c r="E2165" t="s">
        <v>6</v>
      </c>
      <c r="F2165" t="s">
        <v>251</v>
      </c>
      <c r="G2165">
        <v>4</v>
      </c>
      <c r="H2165" s="2">
        <f>Tabelle13[[#This Row],[commits]]/Tabelle13[[#Totals],[commits]]</f>
        <v>1.859116176169849E-5</v>
      </c>
      <c r="I2165" s="5">
        <f>Tabelle13[[#This Row],[%]]+I2164</f>
        <v>0.95563219245570741</v>
      </c>
      <c r="J2165" s="4">
        <f t="shared" si="99"/>
        <v>1.105583195135434E-4</v>
      </c>
      <c r="K2165" s="5">
        <f t="shared" si="100"/>
        <v>0.23913764510778501</v>
      </c>
    </row>
    <row r="2166" spans="1:11" x14ac:dyDescent="0.25">
      <c r="A2166" t="s">
        <v>11544</v>
      </c>
      <c r="C2166" t="s">
        <v>211</v>
      </c>
      <c r="D2166" t="s">
        <v>5</v>
      </c>
      <c r="E2166" t="s">
        <v>6</v>
      </c>
      <c r="F2166" t="s">
        <v>251</v>
      </c>
      <c r="G2166">
        <v>4</v>
      </c>
      <c r="H2166" s="2">
        <f>Tabelle13[[#This Row],[commits]]/Tabelle13[[#Totals],[commits]]</f>
        <v>1.859116176169849E-5</v>
      </c>
      <c r="I2166" s="5">
        <f>Tabelle13[[#This Row],[%]]+I2165</f>
        <v>0.95565078361746914</v>
      </c>
      <c r="J2166" s="4">
        <f t="shared" si="99"/>
        <v>1.105583195135434E-4</v>
      </c>
      <c r="K2166" s="5">
        <f t="shared" si="100"/>
        <v>0.23924820342729855</v>
      </c>
    </row>
    <row r="2167" spans="1:11" x14ac:dyDescent="0.25">
      <c r="A2167" t="s">
        <v>11545</v>
      </c>
      <c r="C2167" t="s">
        <v>11546</v>
      </c>
      <c r="D2167" t="s">
        <v>5</v>
      </c>
      <c r="E2167" t="s">
        <v>6</v>
      </c>
      <c r="F2167" t="s">
        <v>251</v>
      </c>
      <c r="G2167">
        <v>4</v>
      </c>
      <c r="H2167" s="2">
        <f>Tabelle13[[#This Row],[commits]]/Tabelle13[[#Totals],[commits]]</f>
        <v>1.859116176169849E-5</v>
      </c>
      <c r="I2167" s="5">
        <f>Tabelle13[[#This Row],[%]]+I2166</f>
        <v>0.95566937477923086</v>
      </c>
      <c r="J2167" s="4">
        <f t="shared" si="99"/>
        <v>1.105583195135434E-4</v>
      </c>
      <c r="K2167" s="5">
        <f t="shared" si="100"/>
        <v>0.23935876174681209</v>
      </c>
    </row>
    <row r="2168" spans="1:11" x14ac:dyDescent="0.25">
      <c r="A2168" t="s">
        <v>11547</v>
      </c>
      <c r="C2168" t="s">
        <v>11548</v>
      </c>
      <c r="D2168" t="s">
        <v>5</v>
      </c>
      <c r="E2168" t="s">
        <v>6</v>
      </c>
      <c r="F2168" t="s">
        <v>251</v>
      </c>
      <c r="G2168">
        <v>4</v>
      </c>
      <c r="H2168" s="2">
        <f>Tabelle13[[#This Row],[commits]]/Tabelle13[[#Totals],[commits]]</f>
        <v>1.859116176169849E-5</v>
      </c>
      <c r="I2168" s="5">
        <f>Tabelle13[[#This Row],[%]]+I2167</f>
        <v>0.95568796594099259</v>
      </c>
      <c r="J2168" s="4">
        <f t="shared" si="99"/>
        <v>1.105583195135434E-4</v>
      </c>
      <c r="K2168" s="5">
        <f t="shared" si="100"/>
        <v>0.23946932006632562</v>
      </c>
    </row>
    <row r="2169" spans="1:11" x14ac:dyDescent="0.25">
      <c r="A2169" t="s">
        <v>11549</v>
      </c>
      <c r="C2169" t="s">
        <v>11550</v>
      </c>
      <c r="D2169" t="s">
        <v>8757</v>
      </c>
      <c r="E2169" t="s">
        <v>6</v>
      </c>
      <c r="F2169" t="s">
        <v>251</v>
      </c>
      <c r="G2169">
        <v>4</v>
      </c>
      <c r="H2169" s="2">
        <f>Tabelle13[[#This Row],[commits]]/Tabelle13[[#Totals],[commits]]</f>
        <v>1.859116176169849E-5</v>
      </c>
      <c r="I2169" s="5">
        <f>Tabelle13[[#This Row],[%]]+I2168</f>
        <v>0.95570655710275432</v>
      </c>
      <c r="J2169" s="4">
        <f t="shared" si="99"/>
        <v>1.105583195135434E-4</v>
      </c>
      <c r="K2169" s="5">
        <f t="shared" si="100"/>
        <v>0.23957987838583916</v>
      </c>
    </row>
    <row r="2170" spans="1:11" x14ac:dyDescent="0.25">
      <c r="A2170" t="s">
        <v>11551</v>
      </c>
      <c r="C2170" t="s">
        <v>11552</v>
      </c>
      <c r="D2170" t="s">
        <v>5</v>
      </c>
      <c r="E2170" t="s">
        <v>6</v>
      </c>
      <c r="F2170" t="s">
        <v>251</v>
      </c>
      <c r="G2170">
        <v>4</v>
      </c>
      <c r="H2170" s="2">
        <f>Tabelle13[[#This Row],[commits]]/Tabelle13[[#Totals],[commits]]</f>
        <v>1.859116176169849E-5</v>
      </c>
      <c r="I2170" s="5">
        <f>Tabelle13[[#This Row],[%]]+I2169</f>
        <v>0.95572514826451604</v>
      </c>
      <c r="J2170" s="4">
        <f t="shared" si="99"/>
        <v>1.105583195135434E-4</v>
      </c>
      <c r="K2170" s="5">
        <f t="shared" si="100"/>
        <v>0.2396904367053527</v>
      </c>
    </row>
    <row r="2171" spans="1:11" x14ac:dyDescent="0.25">
      <c r="A2171" t="s">
        <v>11553</v>
      </c>
      <c r="C2171" t="s">
        <v>11554</v>
      </c>
      <c r="D2171" t="s">
        <v>8760</v>
      </c>
      <c r="E2171" t="s">
        <v>6</v>
      </c>
      <c r="F2171" t="s">
        <v>251</v>
      </c>
      <c r="G2171">
        <v>4</v>
      </c>
      <c r="H2171" s="2">
        <f>Tabelle13[[#This Row],[commits]]/Tabelle13[[#Totals],[commits]]</f>
        <v>1.859116176169849E-5</v>
      </c>
      <c r="I2171" s="5">
        <f>Tabelle13[[#This Row],[%]]+I2170</f>
        <v>0.95574373942627777</v>
      </c>
      <c r="J2171" s="4">
        <f t="shared" si="99"/>
        <v>1.105583195135434E-4</v>
      </c>
      <c r="K2171" s="5">
        <f t="shared" si="100"/>
        <v>0.23980099502486624</v>
      </c>
    </row>
    <row r="2172" spans="1:11" x14ac:dyDescent="0.25">
      <c r="A2172" t="s">
        <v>11555</v>
      </c>
      <c r="C2172" t="s">
        <v>11556</v>
      </c>
      <c r="D2172" t="s">
        <v>5</v>
      </c>
      <c r="E2172" t="s">
        <v>6</v>
      </c>
      <c r="F2172" t="s">
        <v>251</v>
      </c>
      <c r="G2172">
        <v>4</v>
      </c>
      <c r="H2172" s="2">
        <f>Tabelle13[[#This Row],[commits]]/Tabelle13[[#Totals],[commits]]</f>
        <v>1.859116176169849E-5</v>
      </c>
      <c r="I2172" s="5">
        <f>Tabelle13[[#This Row],[%]]+I2171</f>
        <v>0.9557623305880395</v>
      </c>
      <c r="J2172" s="4">
        <f t="shared" si="99"/>
        <v>1.105583195135434E-4</v>
      </c>
      <c r="K2172" s="5">
        <f t="shared" si="100"/>
        <v>0.23991155334437977</v>
      </c>
    </row>
    <row r="2173" spans="1:11" x14ac:dyDescent="0.25">
      <c r="A2173" t="s">
        <v>11557</v>
      </c>
      <c r="C2173" t="s">
        <v>11558</v>
      </c>
      <c r="D2173" t="s">
        <v>309</v>
      </c>
      <c r="E2173" t="s">
        <v>6</v>
      </c>
      <c r="F2173" t="s">
        <v>251</v>
      </c>
      <c r="G2173">
        <v>4</v>
      </c>
      <c r="H2173" s="2">
        <f>Tabelle13[[#This Row],[commits]]/Tabelle13[[#Totals],[commits]]</f>
        <v>1.859116176169849E-5</v>
      </c>
      <c r="I2173" s="5">
        <f>Tabelle13[[#This Row],[%]]+I2172</f>
        <v>0.95578092174980123</v>
      </c>
      <c r="J2173" s="4">
        <f t="shared" si="99"/>
        <v>1.105583195135434E-4</v>
      </c>
      <c r="K2173" s="5">
        <f t="shared" si="100"/>
        <v>0.24002211166389331</v>
      </c>
    </row>
    <row r="2174" spans="1:11" x14ac:dyDescent="0.25">
      <c r="A2174" t="s">
        <v>11559</v>
      </c>
      <c r="C2174" t="s">
        <v>11560</v>
      </c>
      <c r="D2174" t="s">
        <v>309</v>
      </c>
      <c r="E2174" t="s">
        <v>6</v>
      </c>
      <c r="F2174" t="s">
        <v>251</v>
      </c>
      <c r="G2174">
        <v>4</v>
      </c>
      <c r="H2174" s="2">
        <f>Tabelle13[[#This Row],[commits]]/Tabelle13[[#Totals],[commits]]</f>
        <v>1.859116176169849E-5</v>
      </c>
      <c r="I2174" s="5">
        <f>Tabelle13[[#This Row],[%]]+I2173</f>
        <v>0.95579951291156295</v>
      </c>
      <c r="J2174" s="4">
        <f t="shared" si="99"/>
        <v>1.105583195135434E-4</v>
      </c>
      <c r="K2174" s="5">
        <f t="shared" si="100"/>
        <v>0.24013266998340685</v>
      </c>
    </row>
    <row r="2175" spans="1:11" x14ac:dyDescent="0.25">
      <c r="A2175" t="s">
        <v>11561</v>
      </c>
      <c r="C2175" t="s">
        <v>11562</v>
      </c>
      <c r="D2175" t="s">
        <v>10377</v>
      </c>
      <c r="E2175" t="s">
        <v>6</v>
      </c>
      <c r="F2175" t="s">
        <v>251</v>
      </c>
      <c r="G2175">
        <v>4</v>
      </c>
      <c r="H2175" s="2">
        <f>Tabelle13[[#This Row],[commits]]/Tabelle13[[#Totals],[commits]]</f>
        <v>1.859116176169849E-5</v>
      </c>
      <c r="I2175" s="5">
        <f>Tabelle13[[#This Row],[%]]+I2174</f>
        <v>0.95581810407332468</v>
      </c>
      <c r="J2175" s="4">
        <f t="shared" si="99"/>
        <v>1.105583195135434E-4</v>
      </c>
      <c r="K2175" s="5">
        <f t="shared" si="100"/>
        <v>0.24024322830292039</v>
      </c>
    </row>
    <row r="2176" spans="1:11" x14ac:dyDescent="0.25">
      <c r="A2176" t="s">
        <v>11563</v>
      </c>
      <c r="C2176" t="s">
        <v>11564</v>
      </c>
      <c r="D2176" t="s">
        <v>9035</v>
      </c>
      <c r="E2176" t="s">
        <v>6</v>
      </c>
      <c r="F2176" t="s">
        <v>251</v>
      </c>
      <c r="G2176">
        <v>4</v>
      </c>
      <c r="H2176" s="2">
        <f>Tabelle13[[#This Row],[commits]]/Tabelle13[[#Totals],[commits]]</f>
        <v>1.859116176169849E-5</v>
      </c>
      <c r="I2176" s="5">
        <f>Tabelle13[[#This Row],[%]]+I2175</f>
        <v>0.95583669523508641</v>
      </c>
      <c r="J2176" s="4">
        <f t="shared" si="99"/>
        <v>1.105583195135434E-4</v>
      </c>
      <c r="K2176" s="5">
        <f t="shared" si="100"/>
        <v>0.24035378662243392</v>
      </c>
    </row>
    <row r="2177" spans="1:11" x14ac:dyDescent="0.25">
      <c r="A2177" t="s">
        <v>11565</v>
      </c>
      <c r="C2177" t="s">
        <v>11566</v>
      </c>
      <c r="D2177" t="s">
        <v>309</v>
      </c>
      <c r="E2177" t="s">
        <v>6</v>
      </c>
      <c r="F2177" t="s">
        <v>251</v>
      </c>
      <c r="G2177">
        <v>4</v>
      </c>
      <c r="H2177" s="2">
        <f>Tabelle13[[#This Row],[commits]]/Tabelle13[[#Totals],[commits]]</f>
        <v>1.859116176169849E-5</v>
      </c>
      <c r="I2177" s="5">
        <f>Tabelle13[[#This Row],[%]]+I2176</f>
        <v>0.95585528639684814</v>
      </c>
      <c r="J2177" s="4">
        <f t="shared" si="99"/>
        <v>1.105583195135434E-4</v>
      </c>
      <c r="K2177" s="5">
        <f t="shared" si="100"/>
        <v>0.24046434494194746</v>
      </c>
    </row>
    <row r="2178" spans="1:11" x14ac:dyDescent="0.25">
      <c r="A2178" t="s">
        <v>11567</v>
      </c>
      <c r="C2178" t="s">
        <v>11568</v>
      </c>
      <c r="D2178" t="s">
        <v>309</v>
      </c>
      <c r="E2178" t="s">
        <v>6</v>
      </c>
      <c r="F2178" t="s">
        <v>251</v>
      </c>
      <c r="G2178">
        <v>4</v>
      </c>
      <c r="H2178" s="2">
        <f>Tabelle13[[#This Row],[commits]]/Tabelle13[[#Totals],[commits]]</f>
        <v>1.859116176169849E-5</v>
      </c>
      <c r="I2178" s="5">
        <f>Tabelle13[[#This Row],[%]]+I2177</f>
        <v>0.95587387755860986</v>
      </c>
      <c r="J2178" s="4">
        <f t="shared" si="99"/>
        <v>1.105583195135434E-4</v>
      </c>
      <c r="K2178" s="5">
        <f t="shared" si="100"/>
        <v>0.240574903261461</v>
      </c>
    </row>
    <row r="2179" spans="1:11" x14ac:dyDescent="0.25">
      <c r="A2179" t="s">
        <v>11569</v>
      </c>
      <c r="C2179" t="s">
        <v>11570</v>
      </c>
      <c r="D2179" t="s">
        <v>5</v>
      </c>
      <c r="E2179" t="s">
        <v>6</v>
      </c>
      <c r="F2179" t="s">
        <v>251</v>
      </c>
      <c r="G2179">
        <v>4</v>
      </c>
      <c r="H2179" s="2">
        <f>Tabelle13[[#This Row],[commits]]/Tabelle13[[#Totals],[commits]]</f>
        <v>1.859116176169849E-5</v>
      </c>
      <c r="I2179" s="5">
        <f>Tabelle13[[#This Row],[%]]+I2178</f>
        <v>0.95589246872037159</v>
      </c>
      <c r="J2179" s="4">
        <f t="shared" ref="J2179:J2242" si="101">1/9045</f>
        <v>1.105583195135434E-4</v>
      </c>
      <c r="K2179" s="5">
        <f t="shared" si="100"/>
        <v>0.24068546158097454</v>
      </c>
    </row>
    <row r="2180" spans="1:11" x14ac:dyDescent="0.25">
      <c r="A2180" t="s">
        <v>11571</v>
      </c>
      <c r="C2180" t="s">
        <v>11572</v>
      </c>
      <c r="D2180" t="s">
        <v>309</v>
      </c>
      <c r="E2180" t="s">
        <v>6</v>
      </c>
      <c r="F2180" t="s">
        <v>251</v>
      </c>
      <c r="G2180">
        <v>4</v>
      </c>
      <c r="H2180" s="2">
        <f>Tabelle13[[#This Row],[commits]]/Tabelle13[[#Totals],[commits]]</f>
        <v>1.859116176169849E-5</v>
      </c>
      <c r="I2180" s="5">
        <f>Tabelle13[[#This Row],[%]]+I2179</f>
        <v>0.95591105988213332</v>
      </c>
      <c r="J2180" s="4">
        <f t="shared" si="101"/>
        <v>1.105583195135434E-4</v>
      </c>
      <c r="K2180" s="5">
        <f t="shared" si="100"/>
        <v>0.24079601990048807</v>
      </c>
    </row>
    <row r="2181" spans="1:11" x14ac:dyDescent="0.25">
      <c r="A2181" t="s">
        <v>11573</v>
      </c>
      <c r="C2181" t="s">
        <v>11574</v>
      </c>
      <c r="D2181" t="s">
        <v>8948</v>
      </c>
      <c r="E2181" t="s">
        <v>6</v>
      </c>
      <c r="F2181" t="s">
        <v>251</v>
      </c>
      <c r="G2181">
        <v>4</v>
      </c>
      <c r="H2181" s="2">
        <f>Tabelle13[[#This Row],[commits]]/Tabelle13[[#Totals],[commits]]</f>
        <v>1.859116176169849E-5</v>
      </c>
      <c r="I2181" s="5">
        <f>Tabelle13[[#This Row],[%]]+I2180</f>
        <v>0.95592965104389505</v>
      </c>
      <c r="J2181" s="4">
        <f t="shared" si="101"/>
        <v>1.105583195135434E-4</v>
      </c>
      <c r="K2181" s="5">
        <f t="shared" si="100"/>
        <v>0.24090657822000161</v>
      </c>
    </row>
    <row r="2182" spans="1:11" x14ac:dyDescent="0.25">
      <c r="A2182" t="s">
        <v>11575</v>
      </c>
      <c r="C2182" t="s">
        <v>11576</v>
      </c>
      <c r="D2182" t="s">
        <v>309</v>
      </c>
      <c r="E2182" t="s">
        <v>6</v>
      </c>
      <c r="F2182" t="s">
        <v>251</v>
      </c>
      <c r="G2182">
        <v>4</v>
      </c>
      <c r="H2182" s="2">
        <f>Tabelle13[[#This Row],[commits]]/Tabelle13[[#Totals],[commits]]</f>
        <v>1.859116176169849E-5</v>
      </c>
      <c r="I2182" s="5">
        <f>Tabelle13[[#This Row],[%]]+I2181</f>
        <v>0.95594824220565677</v>
      </c>
      <c r="J2182" s="4">
        <f t="shared" si="101"/>
        <v>1.105583195135434E-4</v>
      </c>
      <c r="K2182" s="5">
        <f t="shared" ref="K2182:K2245" si="102">J2182+K2181</f>
        <v>0.24101713653951515</v>
      </c>
    </row>
    <row r="2183" spans="1:11" x14ac:dyDescent="0.25">
      <c r="A2183" t="s">
        <v>11577</v>
      </c>
      <c r="C2183" t="s">
        <v>11578</v>
      </c>
      <c r="D2183" t="s">
        <v>309</v>
      </c>
      <c r="E2183" t="s">
        <v>6</v>
      </c>
      <c r="F2183" t="s">
        <v>251</v>
      </c>
      <c r="G2183">
        <v>4</v>
      </c>
      <c r="H2183" s="2">
        <f>Tabelle13[[#This Row],[commits]]/Tabelle13[[#Totals],[commits]]</f>
        <v>1.859116176169849E-5</v>
      </c>
      <c r="I2183" s="5">
        <f>Tabelle13[[#This Row],[%]]+I2182</f>
        <v>0.9559668333674185</v>
      </c>
      <c r="J2183" s="4">
        <f t="shared" si="101"/>
        <v>1.105583195135434E-4</v>
      </c>
      <c r="K2183" s="5">
        <f t="shared" si="102"/>
        <v>0.24112769485902869</v>
      </c>
    </row>
    <row r="2184" spans="1:11" x14ac:dyDescent="0.25">
      <c r="A2184" t="s">
        <v>11579</v>
      </c>
      <c r="C2184" t="s">
        <v>11580</v>
      </c>
      <c r="D2184" t="s">
        <v>8760</v>
      </c>
      <c r="E2184" t="s">
        <v>6</v>
      </c>
      <c r="F2184" t="s">
        <v>251</v>
      </c>
      <c r="G2184">
        <v>4</v>
      </c>
      <c r="H2184" s="2">
        <f>Tabelle13[[#This Row],[commits]]/Tabelle13[[#Totals],[commits]]</f>
        <v>1.859116176169849E-5</v>
      </c>
      <c r="I2184" s="5">
        <f>Tabelle13[[#This Row],[%]]+I2183</f>
        <v>0.95598542452918023</v>
      </c>
      <c r="J2184" s="4">
        <f t="shared" si="101"/>
        <v>1.105583195135434E-4</v>
      </c>
      <c r="K2184" s="5">
        <f t="shared" si="102"/>
        <v>0.24123825317854222</v>
      </c>
    </row>
    <row r="2185" spans="1:11" x14ac:dyDescent="0.25">
      <c r="A2185" t="s">
        <v>11581</v>
      </c>
      <c r="C2185" t="s">
        <v>11582</v>
      </c>
      <c r="D2185" t="s">
        <v>5</v>
      </c>
      <c r="E2185" t="s">
        <v>6</v>
      </c>
      <c r="F2185" t="s">
        <v>251</v>
      </c>
      <c r="G2185">
        <v>4</v>
      </c>
      <c r="H2185" s="2">
        <f>Tabelle13[[#This Row],[commits]]/Tabelle13[[#Totals],[commits]]</f>
        <v>1.859116176169849E-5</v>
      </c>
      <c r="I2185" s="5">
        <f>Tabelle13[[#This Row],[%]]+I2184</f>
        <v>0.95600401569094196</v>
      </c>
      <c r="J2185" s="4">
        <f t="shared" si="101"/>
        <v>1.105583195135434E-4</v>
      </c>
      <c r="K2185" s="5">
        <f t="shared" si="102"/>
        <v>0.24134881149805576</v>
      </c>
    </row>
    <row r="2186" spans="1:11" x14ac:dyDescent="0.25">
      <c r="A2186" t="s">
        <v>11583</v>
      </c>
      <c r="C2186" t="s">
        <v>11584</v>
      </c>
      <c r="D2186" t="s">
        <v>11585</v>
      </c>
      <c r="E2186" t="s">
        <v>6</v>
      </c>
      <c r="F2186" t="s">
        <v>251</v>
      </c>
      <c r="G2186">
        <v>4</v>
      </c>
      <c r="H2186" s="2">
        <f>Tabelle13[[#This Row],[commits]]/Tabelle13[[#Totals],[commits]]</f>
        <v>1.859116176169849E-5</v>
      </c>
      <c r="I2186" s="5">
        <f>Tabelle13[[#This Row],[%]]+I2185</f>
        <v>0.95602260685270368</v>
      </c>
      <c r="J2186" s="4">
        <f t="shared" si="101"/>
        <v>1.105583195135434E-4</v>
      </c>
      <c r="K2186" s="5">
        <f t="shared" si="102"/>
        <v>0.2414593698175693</v>
      </c>
    </row>
    <row r="2187" spans="1:11" x14ac:dyDescent="0.25">
      <c r="A2187" t="s">
        <v>11586</v>
      </c>
      <c r="C2187" t="s">
        <v>11587</v>
      </c>
      <c r="D2187" t="s">
        <v>8760</v>
      </c>
      <c r="E2187" t="s">
        <v>6</v>
      </c>
      <c r="F2187" t="s">
        <v>251</v>
      </c>
      <c r="G2187">
        <v>4</v>
      </c>
      <c r="H2187" s="2">
        <f>Tabelle13[[#This Row],[commits]]/Tabelle13[[#Totals],[commits]]</f>
        <v>1.859116176169849E-5</v>
      </c>
      <c r="I2187" s="5">
        <f>Tabelle13[[#This Row],[%]]+I2186</f>
        <v>0.95604119801446541</v>
      </c>
      <c r="J2187" s="4">
        <f t="shared" si="101"/>
        <v>1.105583195135434E-4</v>
      </c>
      <c r="K2187" s="5">
        <f t="shared" si="102"/>
        <v>0.24156992813708283</v>
      </c>
    </row>
    <row r="2188" spans="1:11" x14ac:dyDescent="0.25">
      <c r="A2188" t="s">
        <v>11588</v>
      </c>
      <c r="C2188" t="s">
        <v>11589</v>
      </c>
      <c r="D2188" t="s">
        <v>8948</v>
      </c>
      <c r="E2188" t="s">
        <v>6</v>
      </c>
      <c r="F2188" t="s">
        <v>251</v>
      </c>
      <c r="G2188">
        <v>4</v>
      </c>
      <c r="H2188" s="2">
        <f>Tabelle13[[#This Row],[commits]]/Tabelle13[[#Totals],[commits]]</f>
        <v>1.859116176169849E-5</v>
      </c>
      <c r="I2188" s="5">
        <f>Tabelle13[[#This Row],[%]]+I2187</f>
        <v>0.95605978917622714</v>
      </c>
      <c r="J2188" s="4">
        <f t="shared" si="101"/>
        <v>1.105583195135434E-4</v>
      </c>
      <c r="K2188" s="5">
        <f t="shared" si="102"/>
        <v>0.24168048645659637</v>
      </c>
    </row>
    <row r="2189" spans="1:11" x14ac:dyDescent="0.25">
      <c r="A2189" t="s">
        <v>11590</v>
      </c>
      <c r="C2189" t="s">
        <v>11591</v>
      </c>
      <c r="D2189" t="s">
        <v>5</v>
      </c>
      <c r="E2189" t="s">
        <v>6</v>
      </c>
      <c r="F2189" t="s">
        <v>251</v>
      </c>
      <c r="G2189">
        <v>4</v>
      </c>
      <c r="H2189" s="2">
        <f>Tabelle13[[#This Row],[commits]]/Tabelle13[[#Totals],[commits]]</f>
        <v>1.859116176169849E-5</v>
      </c>
      <c r="I2189" s="5">
        <f>Tabelle13[[#This Row],[%]]+I2188</f>
        <v>0.95607838033798886</v>
      </c>
      <c r="J2189" s="4">
        <f t="shared" si="101"/>
        <v>1.105583195135434E-4</v>
      </c>
      <c r="K2189" s="5">
        <f t="shared" si="102"/>
        <v>0.24179104477610991</v>
      </c>
    </row>
    <row r="2190" spans="1:11" x14ac:dyDescent="0.25">
      <c r="A2190" t="s">
        <v>11592</v>
      </c>
      <c r="C2190" t="s">
        <v>11593</v>
      </c>
      <c r="D2190" t="s">
        <v>5</v>
      </c>
      <c r="E2190" t="s">
        <v>6</v>
      </c>
      <c r="F2190" t="s">
        <v>251</v>
      </c>
      <c r="G2190">
        <v>4</v>
      </c>
      <c r="H2190" s="2">
        <f>Tabelle13[[#This Row],[commits]]/Tabelle13[[#Totals],[commits]]</f>
        <v>1.859116176169849E-5</v>
      </c>
      <c r="I2190" s="5">
        <f>Tabelle13[[#This Row],[%]]+I2189</f>
        <v>0.95609697149975059</v>
      </c>
      <c r="J2190" s="4">
        <f t="shared" si="101"/>
        <v>1.105583195135434E-4</v>
      </c>
      <c r="K2190" s="5">
        <f t="shared" si="102"/>
        <v>0.24190160309562345</v>
      </c>
    </row>
    <row r="2191" spans="1:11" x14ac:dyDescent="0.25">
      <c r="A2191" t="s">
        <v>11594</v>
      </c>
      <c r="C2191" t="s">
        <v>11595</v>
      </c>
      <c r="D2191" t="s">
        <v>9997</v>
      </c>
      <c r="E2191" t="s">
        <v>6</v>
      </c>
      <c r="F2191" t="s">
        <v>251</v>
      </c>
      <c r="G2191">
        <v>4</v>
      </c>
      <c r="H2191" s="2">
        <f>Tabelle13[[#This Row],[commits]]/Tabelle13[[#Totals],[commits]]</f>
        <v>1.859116176169849E-5</v>
      </c>
      <c r="I2191" s="5">
        <f>Tabelle13[[#This Row],[%]]+I2190</f>
        <v>0.95611556266151232</v>
      </c>
      <c r="J2191" s="4">
        <f t="shared" si="101"/>
        <v>1.105583195135434E-4</v>
      </c>
      <c r="K2191" s="5">
        <f t="shared" si="102"/>
        <v>0.24201216141513698</v>
      </c>
    </row>
    <row r="2192" spans="1:11" x14ac:dyDescent="0.25">
      <c r="A2192" t="s">
        <v>11596</v>
      </c>
      <c r="C2192" t="s">
        <v>11597</v>
      </c>
      <c r="D2192" t="s">
        <v>309</v>
      </c>
      <c r="E2192" t="s">
        <v>6</v>
      </c>
      <c r="F2192" t="s">
        <v>251</v>
      </c>
      <c r="G2192">
        <v>4</v>
      </c>
      <c r="H2192" s="2">
        <f>Tabelle13[[#This Row],[commits]]/Tabelle13[[#Totals],[commits]]</f>
        <v>1.859116176169849E-5</v>
      </c>
      <c r="I2192" s="5">
        <f>Tabelle13[[#This Row],[%]]+I2191</f>
        <v>0.95613415382327405</v>
      </c>
      <c r="J2192" s="4">
        <f t="shared" si="101"/>
        <v>1.105583195135434E-4</v>
      </c>
      <c r="K2192" s="5">
        <f t="shared" si="102"/>
        <v>0.24212271973465052</v>
      </c>
    </row>
    <row r="2193" spans="1:11" x14ac:dyDescent="0.25">
      <c r="A2193" t="s">
        <v>11598</v>
      </c>
      <c r="C2193" t="s">
        <v>11599</v>
      </c>
      <c r="D2193" t="s">
        <v>5</v>
      </c>
      <c r="E2193" t="s">
        <v>6</v>
      </c>
      <c r="F2193" t="s">
        <v>251</v>
      </c>
      <c r="G2193">
        <v>4</v>
      </c>
      <c r="H2193" s="2">
        <f>Tabelle13[[#This Row],[commits]]/Tabelle13[[#Totals],[commits]]</f>
        <v>1.859116176169849E-5</v>
      </c>
      <c r="I2193" s="5">
        <f>Tabelle13[[#This Row],[%]]+I2192</f>
        <v>0.95615274498503577</v>
      </c>
      <c r="J2193" s="4">
        <f t="shared" si="101"/>
        <v>1.105583195135434E-4</v>
      </c>
      <c r="K2193" s="5">
        <f t="shared" si="102"/>
        <v>0.24223327805416406</v>
      </c>
    </row>
    <row r="2194" spans="1:11" x14ac:dyDescent="0.25">
      <c r="A2194" t="s">
        <v>11600</v>
      </c>
      <c r="C2194" t="s">
        <v>11601</v>
      </c>
      <c r="D2194" t="s">
        <v>9035</v>
      </c>
      <c r="E2194" t="s">
        <v>6</v>
      </c>
      <c r="F2194" t="s">
        <v>251</v>
      </c>
      <c r="G2194">
        <v>4</v>
      </c>
      <c r="H2194" s="2">
        <f>Tabelle13[[#This Row],[commits]]/Tabelle13[[#Totals],[commits]]</f>
        <v>1.859116176169849E-5</v>
      </c>
      <c r="I2194" s="5">
        <f>Tabelle13[[#This Row],[%]]+I2193</f>
        <v>0.9561713361467975</v>
      </c>
      <c r="J2194" s="4">
        <f t="shared" si="101"/>
        <v>1.105583195135434E-4</v>
      </c>
      <c r="K2194" s="5">
        <f t="shared" si="102"/>
        <v>0.2423438363736776</v>
      </c>
    </row>
    <row r="2195" spans="1:11" x14ac:dyDescent="0.25">
      <c r="A2195" t="s">
        <v>11602</v>
      </c>
      <c r="C2195" t="s">
        <v>11603</v>
      </c>
      <c r="D2195" t="s">
        <v>9085</v>
      </c>
      <c r="E2195" t="s">
        <v>6</v>
      </c>
      <c r="F2195" t="s">
        <v>251</v>
      </c>
      <c r="G2195">
        <v>4</v>
      </c>
      <c r="H2195" s="2">
        <f>Tabelle13[[#This Row],[commits]]/Tabelle13[[#Totals],[commits]]</f>
        <v>1.859116176169849E-5</v>
      </c>
      <c r="I2195" s="5">
        <f>Tabelle13[[#This Row],[%]]+I2194</f>
        <v>0.95618992730855923</v>
      </c>
      <c r="J2195" s="4">
        <f t="shared" si="101"/>
        <v>1.105583195135434E-4</v>
      </c>
      <c r="K2195" s="5">
        <f t="shared" si="102"/>
        <v>0.24245439469319113</v>
      </c>
    </row>
    <row r="2196" spans="1:11" x14ac:dyDescent="0.25">
      <c r="A2196" t="s">
        <v>11604</v>
      </c>
      <c r="C2196" t="s">
        <v>11605</v>
      </c>
      <c r="D2196" t="s">
        <v>5</v>
      </c>
      <c r="E2196" t="s">
        <v>6</v>
      </c>
      <c r="F2196" t="s">
        <v>251</v>
      </c>
      <c r="G2196">
        <v>4</v>
      </c>
      <c r="H2196" s="2">
        <f>Tabelle13[[#This Row],[commits]]/Tabelle13[[#Totals],[commits]]</f>
        <v>1.859116176169849E-5</v>
      </c>
      <c r="I2196" s="5">
        <f>Tabelle13[[#This Row],[%]]+I2195</f>
        <v>0.95620851847032096</v>
      </c>
      <c r="J2196" s="4">
        <f t="shared" si="101"/>
        <v>1.105583195135434E-4</v>
      </c>
      <c r="K2196" s="5">
        <f t="shared" si="102"/>
        <v>0.24256495301270467</v>
      </c>
    </row>
    <row r="2197" spans="1:11" x14ac:dyDescent="0.25">
      <c r="A2197" t="s">
        <v>11606</v>
      </c>
      <c r="C2197" t="s">
        <v>11607</v>
      </c>
      <c r="D2197" t="s">
        <v>5</v>
      </c>
      <c r="E2197" t="s">
        <v>6</v>
      </c>
      <c r="F2197" t="s">
        <v>251</v>
      </c>
      <c r="G2197">
        <v>4</v>
      </c>
      <c r="H2197" s="2">
        <f>Tabelle13[[#This Row],[commits]]/Tabelle13[[#Totals],[commits]]</f>
        <v>1.859116176169849E-5</v>
      </c>
      <c r="I2197" s="5">
        <f>Tabelle13[[#This Row],[%]]+I2196</f>
        <v>0.95622710963208268</v>
      </c>
      <c r="J2197" s="4">
        <f t="shared" si="101"/>
        <v>1.105583195135434E-4</v>
      </c>
      <c r="K2197" s="5">
        <f t="shared" si="102"/>
        <v>0.24267551133221821</v>
      </c>
    </row>
    <row r="2198" spans="1:11" x14ac:dyDescent="0.25">
      <c r="A2198" t="s">
        <v>11608</v>
      </c>
      <c r="C2198" t="s">
        <v>11609</v>
      </c>
      <c r="D2198" t="s">
        <v>5</v>
      </c>
      <c r="E2198" t="s">
        <v>6</v>
      </c>
      <c r="F2198" t="s">
        <v>251</v>
      </c>
      <c r="G2198">
        <v>4</v>
      </c>
      <c r="H2198" s="2">
        <f>Tabelle13[[#This Row],[commits]]/Tabelle13[[#Totals],[commits]]</f>
        <v>1.859116176169849E-5</v>
      </c>
      <c r="I2198" s="5">
        <f>Tabelle13[[#This Row],[%]]+I2197</f>
        <v>0.95624570079384441</v>
      </c>
      <c r="J2198" s="4">
        <f t="shared" si="101"/>
        <v>1.105583195135434E-4</v>
      </c>
      <c r="K2198" s="5">
        <f t="shared" si="102"/>
        <v>0.24278606965173175</v>
      </c>
    </row>
    <row r="2199" spans="1:11" x14ac:dyDescent="0.25">
      <c r="A2199" t="s">
        <v>11610</v>
      </c>
      <c r="C2199" t="s">
        <v>11611</v>
      </c>
      <c r="D2199" t="s">
        <v>9035</v>
      </c>
      <c r="E2199" t="s">
        <v>6</v>
      </c>
      <c r="F2199" t="s">
        <v>251</v>
      </c>
      <c r="G2199">
        <v>4</v>
      </c>
      <c r="H2199" s="2">
        <f>Tabelle13[[#This Row],[commits]]/Tabelle13[[#Totals],[commits]]</f>
        <v>1.859116176169849E-5</v>
      </c>
      <c r="I2199" s="5">
        <f>Tabelle13[[#This Row],[%]]+I2198</f>
        <v>0.95626429195560614</v>
      </c>
      <c r="J2199" s="4">
        <f t="shared" si="101"/>
        <v>1.105583195135434E-4</v>
      </c>
      <c r="K2199" s="5">
        <f t="shared" si="102"/>
        <v>0.24289662797124528</v>
      </c>
    </row>
    <row r="2200" spans="1:11" x14ac:dyDescent="0.25">
      <c r="A2200" t="s">
        <v>11612</v>
      </c>
      <c r="C2200" t="s">
        <v>11613</v>
      </c>
      <c r="D2200" t="s">
        <v>309</v>
      </c>
      <c r="E2200" t="s">
        <v>6</v>
      </c>
      <c r="F2200" t="s">
        <v>251</v>
      </c>
      <c r="G2200">
        <v>4</v>
      </c>
      <c r="H2200" s="2">
        <f>Tabelle13[[#This Row],[commits]]/Tabelle13[[#Totals],[commits]]</f>
        <v>1.859116176169849E-5</v>
      </c>
      <c r="I2200" s="5">
        <f>Tabelle13[[#This Row],[%]]+I2199</f>
        <v>0.95628288311736787</v>
      </c>
      <c r="J2200" s="4">
        <f t="shared" si="101"/>
        <v>1.105583195135434E-4</v>
      </c>
      <c r="K2200" s="5">
        <f t="shared" si="102"/>
        <v>0.24300718629075882</v>
      </c>
    </row>
    <row r="2201" spans="1:11" x14ac:dyDescent="0.25">
      <c r="A2201" t="s">
        <v>11614</v>
      </c>
      <c r="C2201" t="s">
        <v>11615</v>
      </c>
      <c r="D2201" t="s">
        <v>11616</v>
      </c>
      <c r="E2201" t="s">
        <v>6</v>
      </c>
      <c r="F2201" t="s">
        <v>251</v>
      </c>
      <c r="G2201">
        <v>4</v>
      </c>
      <c r="H2201" s="2">
        <f>Tabelle13[[#This Row],[commits]]/Tabelle13[[#Totals],[commits]]</f>
        <v>1.859116176169849E-5</v>
      </c>
      <c r="I2201" s="5">
        <f>Tabelle13[[#This Row],[%]]+I2200</f>
        <v>0.95630147427912959</v>
      </c>
      <c r="J2201" s="4">
        <f t="shared" si="101"/>
        <v>1.105583195135434E-4</v>
      </c>
      <c r="K2201" s="5">
        <f t="shared" si="102"/>
        <v>0.24311774461027236</v>
      </c>
    </row>
    <row r="2202" spans="1:11" x14ac:dyDescent="0.25">
      <c r="A2202" t="s">
        <v>11617</v>
      </c>
      <c r="C2202" t="s">
        <v>11618</v>
      </c>
      <c r="D2202" t="s">
        <v>5</v>
      </c>
      <c r="E2202" t="s">
        <v>6</v>
      </c>
      <c r="F2202" t="s">
        <v>251</v>
      </c>
      <c r="G2202">
        <v>4</v>
      </c>
      <c r="H2202" s="2">
        <f>Tabelle13[[#This Row],[commits]]/Tabelle13[[#Totals],[commits]]</f>
        <v>1.859116176169849E-5</v>
      </c>
      <c r="I2202" s="5">
        <f>Tabelle13[[#This Row],[%]]+I2201</f>
        <v>0.95632006544089132</v>
      </c>
      <c r="J2202" s="4">
        <f t="shared" si="101"/>
        <v>1.105583195135434E-4</v>
      </c>
      <c r="K2202" s="5">
        <f t="shared" si="102"/>
        <v>0.24322830292978589</v>
      </c>
    </row>
    <row r="2203" spans="1:11" x14ac:dyDescent="0.25">
      <c r="A2203" t="s">
        <v>11619</v>
      </c>
      <c r="C2203" t="s">
        <v>11620</v>
      </c>
      <c r="D2203" t="s">
        <v>5</v>
      </c>
      <c r="E2203" t="s">
        <v>6</v>
      </c>
      <c r="F2203" t="s">
        <v>251</v>
      </c>
      <c r="G2203">
        <v>4</v>
      </c>
      <c r="H2203" s="2">
        <f>Tabelle13[[#This Row],[commits]]/Tabelle13[[#Totals],[commits]]</f>
        <v>1.859116176169849E-5</v>
      </c>
      <c r="I2203" s="5">
        <f>Tabelle13[[#This Row],[%]]+I2202</f>
        <v>0.95633865660265305</v>
      </c>
      <c r="J2203" s="4">
        <f t="shared" si="101"/>
        <v>1.105583195135434E-4</v>
      </c>
      <c r="K2203" s="5">
        <f t="shared" si="102"/>
        <v>0.24333886124929943</v>
      </c>
    </row>
    <row r="2204" spans="1:11" x14ac:dyDescent="0.25">
      <c r="A2204" t="s">
        <v>11621</v>
      </c>
      <c r="C2204" t="s">
        <v>11622</v>
      </c>
      <c r="D2204" t="s">
        <v>11623</v>
      </c>
      <c r="E2204" t="s">
        <v>6</v>
      </c>
      <c r="F2204" t="s">
        <v>251</v>
      </c>
      <c r="G2204">
        <v>4</v>
      </c>
      <c r="H2204" s="2">
        <f>Tabelle13[[#This Row],[commits]]/Tabelle13[[#Totals],[commits]]</f>
        <v>1.859116176169849E-5</v>
      </c>
      <c r="I2204" s="5">
        <f>Tabelle13[[#This Row],[%]]+I2203</f>
        <v>0.95635724776441478</v>
      </c>
      <c r="J2204" s="4">
        <f t="shared" si="101"/>
        <v>1.105583195135434E-4</v>
      </c>
      <c r="K2204" s="5">
        <f t="shared" si="102"/>
        <v>0.24344941956881297</v>
      </c>
    </row>
    <row r="2205" spans="1:11" x14ac:dyDescent="0.25">
      <c r="A2205" t="s">
        <v>11624</v>
      </c>
      <c r="C2205" t="s">
        <v>11625</v>
      </c>
      <c r="D2205" t="s">
        <v>309</v>
      </c>
      <c r="E2205" t="s">
        <v>6</v>
      </c>
      <c r="F2205" t="s">
        <v>251</v>
      </c>
      <c r="G2205">
        <v>4</v>
      </c>
      <c r="H2205" s="2">
        <f>Tabelle13[[#This Row],[commits]]/Tabelle13[[#Totals],[commits]]</f>
        <v>1.859116176169849E-5</v>
      </c>
      <c r="I2205" s="5">
        <f>Tabelle13[[#This Row],[%]]+I2204</f>
        <v>0.9563758389261765</v>
      </c>
      <c r="J2205" s="4">
        <f t="shared" si="101"/>
        <v>1.105583195135434E-4</v>
      </c>
      <c r="K2205" s="5">
        <f t="shared" si="102"/>
        <v>0.24355997788832651</v>
      </c>
    </row>
    <row r="2206" spans="1:11" x14ac:dyDescent="0.25">
      <c r="A2206" t="s">
        <v>11626</v>
      </c>
      <c r="C2206" t="s">
        <v>11627</v>
      </c>
      <c r="D2206" t="s">
        <v>5</v>
      </c>
      <c r="E2206" t="s">
        <v>6</v>
      </c>
      <c r="F2206" t="s">
        <v>251</v>
      </c>
      <c r="G2206">
        <v>4</v>
      </c>
      <c r="H2206" s="2">
        <f>Tabelle13[[#This Row],[commits]]/Tabelle13[[#Totals],[commits]]</f>
        <v>1.859116176169849E-5</v>
      </c>
      <c r="I2206" s="5">
        <f>Tabelle13[[#This Row],[%]]+I2205</f>
        <v>0.95639443008793823</v>
      </c>
      <c r="J2206" s="4">
        <f t="shared" si="101"/>
        <v>1.105583195135434E-4</v>
      </c>
      <c r="K2206" s="5">
        <f t="shared" si="102"/>
        <v>0.24367053620784004</v>
      </c>
    </row>
    <row r="2207" spans="1:11" x14ac:dyDescent="0.25">
      <c r="A2207" t="s">
        <v>11628</v>
      </c>
      <c r="C2207" t="s">
        <v>11629</v>
      </c>
      <c r="D2207" t="s">
        <v>10109</v>
      </c>
      <c r="E2207" t="s">
        <v>6</v>
      </c>
      <c r="F2207" t="s">
        <v>251</v>
      </c>
      <c r="G2207">
        <v>4</v>
      </c>
      <c r="H2207" s="2">
        <f>Tabelle13[[#This Row],[commits]]/Tabelle13[[#Totals],[commits]]</f>
        <v>1.859116176169849E-5</v>
      </c>
      <c r="I2207" s="5">
        <f>Tabelle13[[#This Row],[%]]+I2206</f>
        <v>0.95641302124969996</v>
      </c>
      <c r="J2207" s="4">
        <f t="shared" si="101"/>
        <v>1.105583195135434E-4</v>
      </c>
      <c r="K2207" s="5">
        <f t="shared" si="102"/>
        <v>0.24378109452735358</v>
      </c>
    </row>
    <row r="2208" spans="1:11" x14ac:dyDescent="0.25">
      <c r="A2208" t="s">
        <v>11630</v>
      </c>
      <c r="C2208" t="s">
        <v>11631</v>
      </c>
      <c r="D2208" t="s">
        <v>5</v>
      </c>
      <c r="E2208" t="s">
        <v>6</v>
      </c>
      <c r="F2208" t="s">
        <v>251</v>
      </c>
      <c r="G2208">
        <v>4</v>
      </c>
      <c r="H2208" s="2">
        <f>Tabelle13[[#This Row],[commits]]/Tabelle13[[#Totals],[commits]]</f>
        <v>1.859116176169849E-5</v>
      </c>
      <c r="I2208" s="5">
        <f>Tabelle13[[#This Row],[%]]+I2207</f>
        <v>0.95643161241146168</v>
      </c>
      <c r="J2208" s="4">
        <f t="shared" si="101"/>
        <v>1.105583195135434E-4</v>
      </c>
      <c r="K2208" s="5">
        <f t="shared" si="102"/>
        <v>0.24389165284686712</v>
      </c>
    </row>
    <row r="2209" spans="1:11" x14ac:dyDescent="0.25">
      <c r="A2209" t="s">
        <v>11632</v>
      </c>
      <c r="C2209" t="s">
        <v>11633</v>
      </c>
      <c r="D2209" t="s">
        <v>11634</v>
      </c>
      <c r="E2209" t="s">
        <v>6</v>
      </c>
      <c r="F2209" t="s">
        <v>251</v>
      </c>
      <c r="G2209">
        <v>4</v>
      </c>
      <c r="H2209" s="2">
        <f>Tabelle13[[#This Row],[commits]]/Tabelle13[[#Totals],[commits]]</f>
        <v>1.859116176169849E-5</v>
      </c>
      <c r="I2209" s="5">
        <f>Tabelle13[[#This Row],[%]]+I2208</f>
        <v>0.95645020357322341</v>
      </c>
      <c r="J2209" s="4">
        <f t="shared" si="101"/>
        <v>1.105583195135434E-4</v>
      </c>
      <c r="K2209" s="5">
        <f t="shared" si="102"/>
        <v>0.24400221116638066</v>
      </c>
    </row>
    <row r="2210" spans="1:11" x14ac:dyDescent="0.25">
      <c r="A2210" t="s">
        <v>11635</v>
      </c>
      <c r="C2210" t="s">
        <v>11636</v>
      </c>
      <c r="D2210" t="s">
        <v>5</v>
      </c>
      <c r="E2210" t="s">
        <v>6</v>
      </c>
      <c r="F2210" t="s">
        <v>251</v>
      </c>
      <c r="G2210">
        <v>4</v>
      </c>
      <c r="H2210" s="2">
        <f>Tabelle13[[#This Row],[commits]]/Tabelle13[[#Totals],[commits]]</f>
        <v>1.859116176169849E-5</v>
      </c>
      <c r="I2210" s="5">
        <f>Tabelle13[[#This Row],[%]]+I2209</f>
        <v>0.95646879473498514</v>
      </c>
      <c r="J2210" s="4">
        <f t="shared" si="101"/>
        <v>1.105583195135434E-4</v>
      </c>
      <c r="K2210" s="5">
        <f t="shared" si="102"/>
        <v>0.24411276948589419</v>
      </c>
    </row>
    <row r="2211" spans="1:11" x14ac:dyDescent="0.25">
      <c r="A2211" t="s">
        <v>11637</v>
      </c>
      <c r="C2211" t="s">
        <v>11638</v>
      </c>
      <c r="D2211" t="s">
        <v>5</v>
      </c>
      <c r="E2211" t="s">
        <v>6</v>
      </c>
      <c r="F2211" t="s">
        <v>251</v>
      </c>
      <c r="G2211">
        <v>4</v>
      </c>
      <c r="H2211" s="2">
        <f>Tabelle13[[#This Row],[commits]]/Tabelle13[[#Totals],[commits]]</f>
        <v>1.859116176169849E-5</v>
      </c>
      <c r="I2211" s="5">
        <f>Tabelle13[[#This Row],[%]]+I2210</f>
        <v>0.95648738589674687</v>
      </c>
      <c r="J2211" s="4">
        <f t="shared" si="101"/>
        <v>1.105583195135434E-4</v>
      </c>
      <c r="K2211" s="5">
        <f t="shared" si="102"/>
        <v>0.24422332780540773</v>
      </c>
    </row>
    <row r="2212" spans="1:11" x14ac:dyDescent="0.25">
      <c r="A2212" t="s">
        <v>11639</v>
      </c>
      <c r="C2212" t="s">
        <v>11640</v>
      </c>
      <c r="D2212" t="s">
        <v>5</v>
      </c>
      <c r="E2212" t="s">
        <v>6</v>
      </c>
      <c r="F2212" t="s">
        <v>251</v>
      </c>
      <c r="G2212">
        <v>4</v>
      </c>
      <c r="H2212" s="2">
        <f>Tabelle13[[#This Row],[commits]]/Tabelle13[[#Totals],[commits]]</f>
        <v>1.859116176169849E-5</v>
      </c>
      <c r="I2212" s="5">
        <f>Tabelle13[[#This Row],[%]]+I2211</f>
        <v>0.95650597705850859</v>
      </c>
      <c r="J2212" s="4">
        <f t="shared" si="101"/>
        <v>1.105583195135434E-4</v>
      </c>
      <c r="K2212" s="5">
        <f t="shared" si="102"/>
        <v>0.24433388612492127</v>
      </c>
    </row>
    <row r="2213" spans="1:11" x14ac:dyDescent="0.25">
      <c r="A2213" t="s">
        <v>11641</v>
      </c>
      <c r="C2213" t="s">
        <v>11642</v>
      </c>
      <c r="D2213" t="s">
        <v>309</v>
      </c>
      <c r="E2213" t="s">
        <v>6</v>
      </c>
      <c r="F2213" t="s">
        <v>251</v>
      </c>
      <c r="G2213">
        <v>4</v>
      </c>
      <c r="H2213" s="2">
        <f>Tabelle13[[#This Row],[commits]]/Tabelle13[[#Totals],[commits]]</f>
        <v>1.859116176169849E-5</v>
      </c>
      <c r="I2213" s="5">
        <f>Tabelle13[[#This Row],[%]]+I2212</f>
        <v>0.95652456822027032</v>
      </c>
      <c r="J2213" s="4">
        <f t="shared" si="101"/>
        <v>1.105583195135434E-4</v>
      </c>
      <c r="K2213" s="5">
        <f t="shared" si="102"/>
        <v>0.24444444444443481</v>
      </c>
    </row>
    <row r="2214" spans="1:11" x14ac:dyDescent="0.25">
      <c r="A2214" t="s">
        <v>11643</v>
      </c>
      <c r="C2214" t="s">
        <v>11644</v>
      </c>
      <c r="D2214" t="s">
        <v>9035</v>
      </c>
      <c r="E2214" t="s">
        <v>6</v>
      </c>
      <c r="F2214" t="s">
        <v>251</v>
      </c>
      <c r="G2214">
        <v>4</v>
      </c>
      <c r="H2214" s="2">
        <f>Tabelle13[[#This Row],[commits]]/Tabelle13[[#Totals],[commits]]</f>
        <v>1.859116176169849E-5</v>
      </c>
      <c r="I2214" s="5">
        <f>Tabelle13[[#This Row],[%]]+I2213</f>
        <v>0.95654315938203205</v>
      </c>
      <c r="J2214" s="4">
        <f t="shared" si="101"/>
        <v>1.105583195135434E-4</v>
      </c>
      <c r="K2214" s="5">
        <f t="shared" si="102"/>
        <v>0.24455500276394834</v>
      </c>
    </row>
    <row r="2215" spans="1:11" x14ac:dyDescent="0.25">
      <c r="A2215" t="s">
        <v>11645</v>
      </c>
      <c r="C2215" t="s">
        <v>11646</v>
      </c>
      <c r="D2215" t="s">
        <v>5</v>
      </c>
      <c r="E2215" t="s">
        <v>6</v>
      </c>
      <c r="F2215" t="s">
        <v>251</v>
      </c>
      <c r="G2215">
        <v>4</v>
      </c>
      <c r="H2215" s="2">
        <f>Tabelle13[[#This Row],[commits]]/Tabelle13[[#Totals],[commits]]</f>
        <v>1.859116176169849E-5</v>
      </c>
      <c r="I2215" s="5">
        <f>Tabelle13[[#This Row],[%]]+I2214</f>
        <v>0.95656175054379378</v>
      </c>
      <c r="J2215" s="4">
        <f t="shared" si="101"/>
        <v>1.105583195135434E-4</v>
      </c>
      <c r="K2215" s="5">
        <f t="shared" si="102"/>
        <v>0.24466556108346188</v>
      </c>
    </row>
    <row r="2216" spans="1:11" x14ac:dyDescent="0.25">
      <c r="A2216" t="s">
        <v>11647</v>
      </c>
      <c r="C2216" t="s">
        <v>11648</v>
      </c>
      <c r="D2216" t="s">
        <v>8948</v>
      </c>
      <c r="E2216" t="s">
        <v>6</v>
      </c>
      <c r="F2216" t="s">
        <v>251</v>
      </c>
      <c r="G2216">
        <v>4</v>
      </c>
      <c r="H2216" s="2">
        <f>Tabelle13[[#This Row],[commits]]/Tabelle13[[#Totals],[commits]]</f>
        <v>1.859116176169849E-5</v>
      </c>
      <c r="I2216" s="5">
        <f>Tabelle13[[#This Row],[%]]+I2215</f>
        <v>0.9565803417055555</v>
      </c>
      <c r="J2216" s="4">
        <f t="shared" si="101"/>
        <v>1.105583195135434E-4</v>
      </c>
      <c r="K2216" s="5">
        <f t="shared" si="102"/>
        <v>0.24477611940297542</v>
      </c>
    </row>
    <row r="2217" spans="1:11" x14ac:dyDescent="0.25">
      <c r="A2217" t="s">
        <v>11649</v>
      </c>
      <c r="C2217" t="s">
        <v>11650</v>
      </c>
      <c r="D2217" t="s">
        <v>11651</v>
      </c>
      <c r="E2217" t="s">
        <v>6</v>
      </c>
      <c r="F2217" t="s">
        <v>251</v>
      </c>
      <c r="G2217">
        <v>4</v>
      </c>
      <c r="H2217" s="2">
        <f>Tabelle13[[#This Row],[commits]]/Tabelle13[[#Totals],[commits]]</f>
        <v>1.859116176169849E-5</v>
      </c>
      <c r="I2217" s="5">
        <f>Tabelle13[[#This Row],[%]]+I2216</f>
        <v>0.95659893286731723</v>
      </c>
      <c r="J2217" s="4">
        <f t="shared" si="101"/>
        <v>1.105583195135434E-4</v>
      </c>
      <c r="K2217" s="5">
        <f t="shared" si="102"/>
        <v>0.24488667772248895</v>
      </c>
    </row>
    <row r="2218" spans="1:11" x14ac:dyDescent="0.25">
      <c r="A2218" t="s">
        <v>11652</v>
      </c>
      <c r="C2218" t="s">
        <v>11653</v>
      </c>
      <c r="D2218" t="s">
        <v>309</v>
      </c>
      <c r="E2218" t="s">
        <v>6</v>
      </c>
      <c r="F2218" t="s">
        <v>251</v>
      </c>
      <c r="G2218">
        <v>4</v>
      </c>
      <c r="H2218" s="2">
        <f>Tabelle13[[#This Row],[commits]]/Tabelle13[[#Totals],[commits]]</f>
        <v>1.859116176169849E-5</v>
      </c>
      <c r="I2218" s="5">
        <f>Tabelle13[[#This Row],[%]]+I2217</f>
        <v>0.95661752402907896</v>
      </c>
      <c r="J2218" s="4">
        <f t="shared" si="101"/>
        <v>1.105583195135434E-4</v>
      </c>
      <c r="K2218" s="5">
        <f t="shared" si="102"/>
        <v>0.24499723604200249</v>
      </c>
    </row>
    <row r="2219" spans="1:11" x14ac:dyDescent="0.25">
      <c r="A2219" t="s">
        <v>11654</v>
      </c>
      <c r="C2219" t="s">
        <v>11655</v>
      </c>
      <c r="D2219" t="s">
        <v>5</v>
      </c>
      <c r="E2219" t="s">
        <v>6</v>
      </c>
      <c r="F2219" t="s">
        <v>251</v>
      </c>
      <c r="G2219">
        <v>4</v>
      </c>
      <c r="H2219" s="2">
        <f>Tabelle13[[#This Row],[commits]]/Tabelle13[[#Totals],[commits]]</f>
        <v>1.859116176169849E-5</v>
      </c>
      <c r="I2219" s="5">
        <f>Tabelle13[[#This Row],[%]]+I2218</f>
        <v>0.95663611519084069</v>
      </c>
      <c r="J2219" s="4">
        <f t="shared" si="101"/>
        <v>1.105583195135434E-4</v>
      </c>
      <c r="K2219" s="5">
        <f t="shared" si="102"/>
        <v>0.24510779436151603</v>
      </c>
    </row>
    <row r="2220" spans="1:11" x14ac:dyDescent="0.25">
      <c r="A2220" t="s">
        <v>11656</v>
      </c>
      <c r="C2220" t="s">
        <v>11657</v>
      </c>
      <c r="D2220" t="s">
        <v>5</v>
      </c>
      <c r="E2220" t="s">
        <v>6</v>
      </c>
      <c r="F2220" t="s">
        <v>251</v>
      </c>
      <c r="G2220">
        <v>4</v>
      </c>
      <c r="H2220" s="2">
        <f>Tabelle13[[#This Row],[commits]]/Tabelle13[[#Totals],[commits]]</f>
        <v>1.859116176169849E-5</v>
      </c>
      <c r="I2220" s="5">
        <f>Tabelle13[[#This Row],[%]]+I2219</f>
        <v>0.95665470635260241</v>
      </c>
      <c r="J2220" s="4">
        <f t="shared" si="101"/>
        <v>1.105583195135434E-4</v>
      </c>
      <c r="K2220" s="5">
        <f t="shared" si="102"/>
        <v>0.24521835268102957</v>
      </c>
    </row>
    <row r="2221" spans="1:11" x14ac:dyDescent="0.25">
      <c r="A2221" t="s">
        <v>11658</v>
      </c>
      <c r="C2221" t="s">
        <v>11659</v>
      </c>
      <c r="D2221" t="s">
        <v>122</v>
      </c>
      <c r="E2221" t="s">
        <v>6</v>
      </c>
      <c r="F2221" t="s">
        <v>251</v>
      </c>
      <c r="G2221">
        <v>4</v>
      </c>
      <c r="H2221" s="2">
        <f>Tabelle13[[#This Row],[commits]]/Tabelle13[[#Totals],[commits]]</f>
        <v>1.859116176169849E-5</v>
      </c>
      <c r="I2221" s="5">
        <f>Tabelle13[[#This Row],[%]]+I2220</f>
        <v>0.95667329751436414</v>
      </c>
      <c r="J2221" s="4">
        <f t="shared" si="101"/>
        <v>1.105583195135434E-4</v>
      </c>
      <c r="K2221" s="5">
        <f t="shared" si="102"/>
        <v>0.2453289110005431</v>
      </c>
    </row>
    <row r="2222" spans="1:11" x14ac:dyDescent="0.25">
      <c r="A2222" t="s">
        <v>11660</v>
      </c>
      <c r="C2222" t="s">
        <v>11661</v>
      </c>
      <c r="D2222" t="s">
        <v>309</v>
      </c>
      <c r="E2222" t="s">
        <v>6</v>
      </c>
      <c r="F2222" t="s">
        <v>251</v>
      </c>
      <c r="G2222">
        <v>4</v>
      </c>
      <c r="H2222" s="2">
        <f>Tabelle13[[#This Row],[commits]]/Tabelle13[[#Totals],[commits]]</f>
        <v>1.859116176169849E-5</v>
      </c>
      <c r="I2222" s="5">
        <f>Tabelle13[[#This Row],[%]]+I2221</f>
        <v>0.95669188867612587</v>
      </c>
      <c r="J2222" s="4">
        <f t="shared" si="101"/>
        <v>1.105583195135434E-4</v>
      </c>
      <c r="K2222" s="5">
        <f t="shared" si="102"/>
        <v>0.24543946932005664</v>
      </c>
    </row>
    <row r="2223" spans="1:11" x14ac:dyDescent="0.25">
      <c r="A2223" t="s">
        <v>11662</v>
      </c>
      <c r="C2223" t="s">
        <v>11663</v>
      </c>
      <c r="D2223" t="s">
        <v>5</v>
      </c>
      <c r="E2223" t="s">
        <v>6</v>
      </c>
      <c r="F2223" t="s">
        <v>251</v>
      </c>
      <c r="G2223">
        <v>4</v>
      </c>
      <c r="H2223" s="2">
        <f>Tabelle13[[#This Row],[commits]]/Tabelle13[[#Totals],[commits]]</f>
        <v>1.859116176169849E-5</v>
      </c>
      <c r="I2223" s="5">
        <f>Tabelle13[[#This Row],[%]]+I2222</f>
        <v>0.9567104798378876</v>
      </c>
      <c r="J2223" s="4">
        <f t="shared" si="101"/>
        <v>1.105583195135434E-4</v>
      </c>
      <c r="K2223" s="5">
        <f t="shared" si="102"/>
        <v>0.24555002763957018</v>
      </c>
    </row>
    <row r="2224" spans="1:11" x14ac:dyDescent="0.25">
      <c r="A2224" t="s">
        <v>11664</v>
      </c>
      <c r="C2224" t="s">
        <v>161</v>
      </c>
      <c r="D2224" t="s">
        <v>11665</v>
      </c>
      <c r="E2224" t="s">
        <v>6</v>
      </c>
      <c r="F2224" t="s">
        <v>251</v>
      </c>
      <c r="G2224">
        <v>4</v>
      </c>
      <c r="H2224" s="2">
        <f>Tabelle13[[#This Row],[commits]]/Tabelle13[[#Totals],[commits]]</f>
        <v>1.859116176169849E-5</v>
      </c>
      <c r="I2224" s="5">
        <f>Tabelle13[[#This Row],[%]]+I2223</f>
        <v>0.95672907099964932</v>
      </c>
      <c r="J2224" s="4">
        <f t="shared" si="101"/>
        <v>1.105583195135434E-4</v>
      </c>
      <c r="K2224" s="5">
        <f t="shared" si="102"/>
        <v>0.24566058595908372</v>
      </c>
    </row>
    <row r="2225" spans="1:11" x14ac:dyDescent="0.25">
      <c r="A2225" t="s">
        <v>11666</v>
      </c>
      <c r="C2225" t="s">
        <v>11667</v>
      </c>
      <c r="D2225" t="s">
        <v>5</v>
      </c>
      <c r="E2225" t="s">
        <v>6</v>
      </c>
      <c r="F2225" t="s">
        <v>251</v>
      </c>
      <c r="G2225">
        <v>4</v>
      </c>
      <c r="H2225" s="2">
        <f>Tabelle13[[#This Row],[commits]]/Tabelle13[[#Totals],[commits]]</f>
        <v>1.859116176169849E-5</v>
      </c>
      <c r="I2225" s="5">
        <f>Tabelle13[[#This Row],[%]]+I2224</f>
        <v>0.95674766216141105</v>
      </c>
      <c r="J2225" s="4">
        <f t="shared" si="101"/>
        <v>1.105583195135434E-4</v>
      </c>
      <c r="K2225" s="5">
        <f t="shared" si="102"/>
        <v>0.24577114427859725</v>
      </c>
    </row>
    <row r="2226" spans="1:11" x14ac:dyDescent="0.25">
      <c r="A2226" t="s">
        <v>11668</v>
      </c>
      <c r="C2226" t="s">
        <v>11669</v>
      </c>
      <c r="D2226" t="s">
        <v>5</v>
      </c>
      <c r="E2226" t="s">
        <v>6</v>
      </c>
      <c r="F2226" t="s">
        <v>251</v>
      </c>
      <c r="G2226">
        <v>4</v>
      </c>
      <c r="H2226" s="2">
        <f>Tabelle13[[#This Row],[commits]]/Tabelle13[[#Totals],[commits]]</f>
        <v>1.859116176169849E-5</v>
      </c>
      <c r="I2226" s="5">
        <f>Tabelle13[[#This Row],[%]]+I2225</f>
        <v>0.95676625332317278</v>
      </c>
      <c r="J2226" s="4">
        <f t="shared" si="101"/>
        <v>1.105583195135434E-4</v>
      </c>
      <c r="K2226" s="5">
        <f t="shared" si="102"/>
        <v>0.24588170259811079</v>
      </c>
    </row>
    <row r="2227" spans="1:11" x14ac:dyDescent="0.25">
      <c r="A2227" t="s">
        <v>11670</v>
      </c>
      <c r="C2227" t="s">
        <v>11671</v>
      </c>
      <c r="D2227" t="s">
        <v>5</v>
      </c>
      <c r="E2227" t="s">
        <v>6</v>
      </c>
      <c r="F2227" t="s">
        <v>251</v>
      </c>
      <c r="G2227">
        <v>4</v>
      </c>
      <c r="H2227" s="2">
        <f>Tabelle13[[#This Row],[commits]]/Tabelle13[[#Totals],[commits]]</f>
        <v>1.859116176169849E-5</v>
      </c>
      <c r="I2227" s="5">
        <f>Tabelle13[[#This Row],[%]]+I2226</f>
        <v>0.9567848444849345</v>
      </c>
      <c r="J2227" s="4">
        <f t="shared" si="101"/>
        <v>1.105583195135434E-4</v>
      </c>
      <c r="K2227" s="5">
        <f t="shared" si="102"/>
        <v>0.24599226091762433</v>
      </c>
    </row>
    <row r="2228" spans="1:11" x14ac:dyDescent="0.25">
      <c r="A2228" t="s">
        <v>11672</v>
      </c>
      <c r="C2228" t="s">
        <v>11673</v>
      </c>
      <c r="D2228" t="s">
        <v>5</v>
      </c>
      <c r="E2228" t="s">
        <v>6</v>
      </c>
      <c r="F2228" t="s">
        <v>251</v>
      </c>
      <c r="G2228">
        <v>4</v>
      </c>
      <c r="H2228" s="2">
        <f>Tabelle13[[#This Row],[commits]]/Tabelle13[[#Totals],[commits]]</f>
        <v>1.859116176169849E-5</v>
      </c>
      <c r="I2228" s="5">
        <f>Tabelle13[[#This Row],[%]]+I2227</f>
        <v>0.95680343564669623</v>
      </c>
      <c r="J2228" s="4">
        <f t="shared" si="101"/>
        <v>1.105583195135434E-4</v>
      </c>
      <c r="K2228" s="5">
        <f t="shared" si="102"/>
        <v>0.24610281923713787</v>
      </c>
    </row>
    <row r="2229" spans="1:11" x14ac:dyDescent="0.25">
      <c r="A2229" t="s">
        <v>11674</v>
      </c>
      <c r="C2229" t="s">
        <v>11675</v>
      </c>
      <c r="D2229" t="s">
        <v>9035</v>
      </c>
      <c r="E2229" t="s">
        <v>6</v>
      </c>
      <c r="F2229" t="s">
        <v>251</v>
      </c>
      <c r="G2229">
        <v>4</v>
      </c>
      <c r="H2229" s="2">
        <f>Tabelle13[[#This Row],[commits]]/Tabelle13[[#Totals],[commits]]</f>
        <v>1.859116176169849E-5</v>
      </c>
      <c r="I2229" s="5">
        <f>Tabelle13[[#This Row],[%]]+I2228</f>
        <v>0.95682202680845796</v>
      </c>
      <c r="J2229" s="4">
        <f t="shared" si="101"/>
        <v>1.105583195135434E-4</v>
      </c>
      <c r="K2229" s="5">
        <f t="shared" si="102"/>
        <v>0.2462133775566514</v>
      </c>
    </row>
    <row r="2230" spans="1:11" x14ac:dyDescent="0.25">
      <c r="A2230" t="s">
        <v>11676</v>
      </c>
      <c r="C2230" t="s">
        <v>11677</v>
      </c>
      <c r="D2230" t="s">
        <v>5</v>
      </c>
      <c r="E2230" t="s">
        <v>6</v>
      </c>
      <c r="F2230" t="s">
        <v>251</v>
      </c>
      <c r="G2230">
        <v>4</v>
      </c>
      <c r="H2230" s="2">
        <f>Tabelle13[[#This Row],[commits]]/Tabelle13[[#Totals],[commits]]</f>
        <v>1.859116176169849E-5</v>
      </c>
      <c r="I2230" s="5">
        <f>Tabelle13[[#This Row],[%]]+I2229</f>
        <v>0.95684061797021969</v>
      </c>
      <c r="J2230" s="4">
        <f t="shared" si="101"/>
        <v>1.105583195135434E-4</v>
      </c>
      <c r="K2230" s="5">
        <f t="shared" si="102"/>
        <v>0.24632393587616494</v>
      </c>
    </row>
    <row r="2231" spans="1:11" x14ac:dyDescent="0.25">
      <c r="A2231" t="s">
        <v>11678</v>
      </c>
      <c r="C2231" t="s">
        <v>11679</v>
      </c>
      <c r="D2231" t="s">
        <v>11680</v>
      </c>
      <c r="E2231" t="s">
        <v>6</v>
      </c>
      <c r="F2231" t="s">
        <v>251</v>
      </c>
      <c r="G2231">
        <v>4</v>
      </c>
      <c r="H2231" s="2">
        <f>Tabelle13[[#This Row],[commits]]/Tabelle13[[#Totals],[commits]]</f>
        <v>1.859116176169849E-5</v>
      </c>
      <c r="I2231" s="5">
        <f>Tabelle13[[#This Row],[%]]+I2230</f>
        <v>0.95685920913198141</v>
      </c>
      <c r="J2231" s="4">
        <f t="shared" si="101"/>
        <v>1.105583195135434E-4</v>
      </c>
      <c r="K2231" s="5">
        <f t="shared" si="102"/>
        <v>0.24643449419567848</v>
      </c>
    </row>
    <row r="2232" spans="1:11" x14ac:dyDescent="0.25">
      <c r="A2232" t="s">
        <v>11681</v>
      </c>
      <c r="C2232" t="s">
        <v>11682</v>
      </c>
      <c r="D2232" t="s">
        <v>5</v>
      </c>
      <c r="E2232" t="s">
        <v>6</v>
      </c>
      <c r="F2232" t="s">
        <v>251</v>
      </c>
      <c r="G2232">
        <v>4</v>
      </c>
      <c r="H2232" s="2">
        <f>Tabelle13[[#This Row],[commits]]/Tabelle13[[#Totals],[commits]]</f>
        <v>1.859116176169849E-5</v>
      </c>
      <c r="I2232" s="5">
        <f>Tabelle13[[#This Row],[%]]+I2231</f>
        <v>0.95687780029374314</v>
      </c>
      <c r="J2232" s="4">
        <f t="shared" si="101"/>
        <v>1.105583195135434E-4</v>
      </c>
      <c r="K2232" s="5">
        <f t="shared" si="102"/>
        <v>0.24654505251519201</v>
      </c>
    </row>
    <row r="2233" spans="1:11" x14ac:dyDescent="0.25">
      <c r="A2233" t="s">
        <v>11683</v>
      </c>
      <c r="C2233" t="s">
        <v>8464</v>
      </c>
      <c r="D2233" t="s">
        <v>5</v>
      </c>
      <c r="E2233" t="s">
        <v>6</v>
      </c>
      <c r="F2233" t="s">
        <v>251</v>
      </c>
      <c r="G2233">
        <v>4</v>
      </c>
      <c r="H2233" s="2">
        <f>Tabelle13[[#This Row],[commits]]/Tabelle13[[#Totals],[commits]]</f>
        <v>1.859116176169849E-5</v>
      </c>
      <c r="I2233" s="5">
        <f>Tabelle13[[#This Row],[%]]+I2232</f>
        <v>0.95689639145550487</v>
      </c>
      <c r="J2233" s="4">
        <f t="shared" si="101"/>
        <v>1.105583195135434E-4</v>
      </c>
      <c r="K2233" s="5">
        <f t="shared" si="102"/>
        <v>0.24665561083470555</v>
      </c>
    </row>
    <row r="2234" spans="1:11" x14ac:dyDescent="0.25">
      <c r="A2234" t="s">
        <v>11684</v>
      </c>
      <c r="C2234" t="s">
        <v>11685</v>
      </c>
      <c r="D2234" t="s">
        <v>11686</v>
      </c>
      <c r="E2234" t="s">
        <v>6</v>
      </c>
      <c r="F2234" t="s">
        <v>251</v>
      </c>
      <c r="G2234">
        <v>4</v>
      </c>
      <c r="H2234" s="2">
        <f>Tabelle13[[#This Row],[commits]]/Tabelle13[[#Totals],[commits]]</f>
        <v>1.859116176169849E-5</v>
      </c>
      <c r="I2234" s="5">
        <f>Tabelle13[[#This Row],[%]]+I2233</f>
        <v>0.9569149826172666</v>
      </c>
      <c r="J2234" s="4">
        <f t="shared" si="101"/>
        <v>1.105583195135434E-4</v>
      </c>
      <c r="K2234" s="5">
        <f t="shared" si="102"/>
        <v>0.24676616915421909</v>
      </c>
    </row>
    <row r="2235" spans="1:11" x14ac:dyDescent="0.25">
      <c r="A2235" t="s">
        <v>11687</v>
      </c>
      <c r="C2235" t="s">
        <v>11688</v>
      </c>
      <c r="D2235" t="s">
        <v>5</v>
      </c>
      <c r="E2235" t="s">
        <v>6</v>
      </c>
      <c r="F2235" t="s">
        <v>251</v>
      </c>
      <c r="G2235">
        <v>4</v>
      </c>
      <c r="H2235" s="2">
        <f>Tabelle13[[#This Row],[commits]]/Tabelle13[[#Totals],[commits]]</f>
        <v>1.859116176169849E-5</v>
      </c>
      <c r="I2235" s="5">
        <f>Tabelle13[[#This Row],[%]]+I2234</f>
        <v>0.95693357377902832</v>
      </c>
      <c r="J2235" s="4">
        <f t="shared" si="101"/>
        <v>1.105583195135434E-4</v>
      </c>
      <c r="K2235" s="5">
        <f t="shared" si="102"/>
        <v>0.24687672747373263</v>
      </c>
    </row>
    <row r="2236" spans="1:11" x14ac:dyDescent="0.25">
      <c r="A2236" t="s">
        <v>11689</v>
      </c>
      <c r="C2236" t="s">
        <v>11690</v>
      </c>
      <c r="D2236" t="s">
        <v>9035</v>
      </c>
      <c r="E2236" t="s">
        <v>6</v>
      </c>
      <c r="F2236" t="s">
        <v>251</v>
      </c>
      <c r="G2236">
        <v>4</v>
      </c>
      <c r="H2236" s="2">
        <f>Tabelle13[[#This Row],[commits]]/Tabelle13[[#Totals],[commits]]</f>
        <v>1.859116176169849E-5</v>
      </c>
      <c r="I2236" s="5">
        <f>Tabelle13[[#This Row],[%]]+I2235</f>
        <v>0.95695216494079005</v>
      </c>
      <c r="J2236" s="4">
        <f t="shared" si="101"/>
        <v>1.105583195135434E-4</v>
      </c>
      <c r="K2236" s="5">
        <f t="shared" si="102"/>
        <v>0.24698728579324616</v>
      </c>
    </row>
    <row r="2237" spans="1:11" x14ac:dyDescent="0.25">
      <c r="A2237" t="s">
        <v>11691</v>
      </c>
      <c r="C2237" t="s">
        <v>11692</v>
      </c>
      <c r="D2237" t="s">
        <v>5</v>
      </c>
      <c r="E2237" t="s">
        <v>6</v>
      </c>
      <c r="F2237" t="s">
        <v>251</v>
      </c>
      <c r="G2237">
        <v>4</v>
      </c>
      <c r="H2237" s="2">
        <f>Tabelle13[[#This Row],[commits]]/Tabelle13[[#Totals],[commits]]</f>
        <v>1.859116176169849E-5</v>
      </c>
      <c r="I2237" s="5">
        <f>Tabelle13[[#This Row],[%]]+I2236</f>
        <v>0.95697075610255178</v>
      </c>
      <c r="J2237" s="4">
        <f t="shared" si="101"/>
        <v>1.105583195135434E-4</v>
      </c>
      <c r="K2237" s="5">
        <f t="shared" si="102"/>
        <v>0.2470978441127597</v>
      </c>
    </row>
    <row r="2238" spans="1:11" x14ac:dyDescent="0.25">
      <c r="A2238" t="s">
        <v>11693</v>
      </c>
      <c r="C2238" t="s">
        <v>11694</v>
      </c>
      <c r="D2238" t="s">
        <v>5</v>
      </c>
      <c r="E2238" t="s">
        <v>6</v>
      </c>
      <c r="F2238" t="s">
        <v>251</v>
      </c>
      <c r="G2238">
        <v>4</v>
      </c>
      <c r="H2238" s="2">
        <f>Tabelle13[[#This Row],[commits]]/Tabelle13[[#Totals],[commits]]</f>
        <v>1.859116176169849E-5</v>
      </c>
      <c r="I2238" s="5">
        <f>Tabelle13[[#This Row],[%]]+I2237</f>
        <v>0.95698934726431351</v>
      </c>
      <c r="J2238" s="4">
        <f t="shared" si="101"/>
        <v>1.105583195135434E-4</v>
      </c>
      <c r="K2238" s="5">
        <f t="shared" si="102"/>
        <v>0.24720840243227324</v>
      </c>
    </row>
    <row r="2239" spans="1:11" x14ac:dyDescent="0.25">
      <c r="A2239" t="s">
        <v>11695</v>
      </c>
      <c r="C2239" t="s">
        <v>11696</v>
      </c>
      <c r="D2239" t="s">
        <v>5</v>
      </c>
      <c r="E2239" t="s">
        <v>6</v>
      </c>
      <c r="F2239" t="s">
        <v>251</v>
      </c>
      <c r="G2239">
        <v>4</v>
      </c>
      <c r="H2239" s="2">
        <f>Tabelle13[[#This Row],[commits]]/Tabelle13[[#Totals],[commits]]</f>
        <v>1.859116176169849E-5</v>
      </c>
      <c r="I2239" s="5">
        <f>Tabelle13[[#This Row],[%]]+I2238</f>
        <v>0.95700793842607523</v>
      </c>
      <c r="J2239" s="4">
        <f t="shared" si="101"/>
        <v>1.105583195135434E-4</v>
      </c>
      <c r="K2239" s="5">
        <f t="shared" si="102"/>
        <v>0.24731896075178678</v>
      </c>
    </row>
    <row r="2240" spans="1:11" x14ac:dyDescent="0.25">
      <c r="A2240" t="s">
        <v>11697</v>
      </c>
      <c r="C2240" t="s">
        <v>11698</v>
      </c>
      <c r="D2240" t="s">
        <v>5</v>
      </c>
      <c r="E2240" t="s">
        <v>6</v>
      </c>
      <c r="F2240" t="s">
        <v>251</v>
      </c>
      <c r="G2240">
        <v>4</v>
      </c>
      <c r="H2240" s="2">
        <f>Tabelle13[[#This Row],[commits]]/Tabelle13[[#Totals],[commits]]</f>
        <v>1.859116176169849E-5</v>
      </c>
      <c r="I2240" s="5">
        <f>Tabelle13[[#This Row],[%]]+I2239</f>
        <v>0.95702652958783696</v>
      </c>
      <c r="J2240" s="4">
        <f t="shared" si="101"/>
        <v>1.105583195135434E-4</v>
      </c>
      <c r="K2240" s="5">
        <f t="shared" si="102"/>
        <v>0.24742951907130031</v>
      </c>
    </row>
    <row r="2241" spans="1:11" x14ac:dyDescent="0.25">
      <c r="A2241" t="s">
        <v>11699</v>
      </c>
      <c r="C2241" t="s">
        <v>11700</v>
      </c>
      <c r="D2241" t="s">
        <v>5</v>
      </c>
      <c r="E2241" t="s">
        <v>6</v>
      </c>
      <c r="F2241" t="s">
        <v>251</v>
      </c>
      <c r="G2241">
        <v>4</v>
      </c>
      <c r="H2241" s="2">
        <f>Tabelle13[[#This Row],[commits]]/Tabelle13[[#Totals],[commits]]</f>
        <v>1.859116176169849E-5</v>
      </c>
      <c r="I2241" s="5">
        <f>Tabelle13[[#This Row],[%]]+I2240</f>
        <v>0.95704512074959869</v>
      </c>
      <c r="J2241" s="4">
        <f t="shared" si="101"/>
        <v>1.105583195135434E-4</v>
      </c>
      <c r="K2241" s="5">
        <f t="shared" si="102"/>
        <v>0.24754007739081385</v>
      </c>
    </row>
    <row r="2242" spans="1:11" x14ac:dyDescent="0.25">
      <c r="A2242" t="s">
        <v>11701</v>
      </c>
      <c r="C2242" t="s">
        <v>11702</v>
      </c>
      <c r="D2242" t="s">
        <v>309</v>
      </c>
      <c r="E2242" t="s">
        <v>6</v>
      </c>
      <c r="F2242" t="s">
        <v>251</v>
      </c>
      <c r="G2242">
        <v>4</v>
      </c>
      <c r="H2242" s="2">
        <f>Tabelle13[[#This Row],[commits]]/Tabelle13[[#Totals],[commits]]</f>
        <v>1.859116176169849E-5</v>
      </c>
      <c r="I2242" s="5">
        <f>Tabelle13[[#This Row],[%]]+I2241</f>
        <v>0.95706371191136042</v>
      </c>
      <c r="J2242" s="4">
        <f t="shared" si="101"/>
        <v>1.105583195135434E-4</v>
      </c>
      <c r="K2242" s="5">
        <f t="shared" si="102"/>
        <v>0.24765063571032739</v>
      </c>
    </row>
    <row r="2243" spans="1:11" x14ac:dyDescent="0.25">
      <c r="A2243" t="s">
        <v>11703</v>
      </c>
      <c r="C2243" t="s">
        <v>11704</v>
      </c>
      <c r="D2243" t="s">
        <v>5</v>
      </c>
      <c r="E2243" t="s">
        <v>6</v>
      </c>
      <c r="F2243" t="s">
        <v>251</v>
      </c>
      <c r="G2243">
        <v>4</v>
      </c>
      <c r="H2243" s="2">
        <f>Tabelle13[[#This Row],[commits]]/Tabelle13[[#Totals],[commits]]</f>
        <v>1.859116176169849E-5</v>
      </c>
      <c r="I2243" s="5">
        <f>Tabelle13[[#This Row],[%]]+I2242</f>
        <v>0.95708230307312214</v>
      </c>
      <c r="J2243" s="4">
        <f t="shared" ref="J2243:J2306" si="103">1/9045</f>
        <v>1.105583195135434E-4</v>
      </c>
      <c r="K2243" s="5">
        <f t="shared" si="102"/>
        <v>0.24776119402984093</v>
      </c>
    </row>
    <row r="2244" spans="1:11" x14ac:dyDescent="0.25">
      <c r="A2244" t="s">
        <v>11705</v>
      </c>
      <c r="C2244" t="s">
        <v>11706</v>
      </c>
      <c r="D2244" t="s">
        <v>5</v>
      </c>
      <c r="E2244" t="s">
        <v>6</v>
      </c>
      <c r="F2244" t="s">
        <v>251</v>
      </c>
      <c r="G2244">
        <v>4</v>
      </c>
      <c r="H2244" s="2">
        <f>Tabelle13[[#This Row],[commits]]/Tabelle13[[#Totals],[commits]]</f>
        <v>1.859116176169849E-5</v>
      </c>
      <c r="I2244" s="5">
        <f>Tabelle13[[#This Row],[%]]+I2243</f>
        <v>0.95710089423488387</v>
      </c>
      <c r="J2244" s="4">
        <f t="shared" si="103"/>
        <v>1.105583195135434E-4</v>
      </c>
      <c r="K2244" s="5">
        <f t="shared" si="102"/>
        <v>0.24787175234935446</v>
      </c>
    </row>
    <row r="2245" spans="1:11" x14ac:dyDescent="0.25">
      <c r="A2245" t="s">
        <v>11707</v>
      </c>
      <c r="C2245" t="s">
        <v>11708</v>
      </c>
      <c r="D2245" t="s">
        <v>11709</v>
      </c>
      <c r="E2245" t="s">
        <v>6</v>
      </c>
      <c r="F2245" t="s">
        <v>251</v>
      </c>
      <c r="G2245">
        <v>4</v>
      </c>
      <c r="H2245" s="2">
        <f>Tabelle13[[#This Row],[commits]]/Tabelle13[[#Totals],[commits]]</f>
        <v>1.859116176169849E-5</v>
      </c>
      <c r="I2245" s="5">
        <f>Tabelle13[[#This Row],[%]]+I2244</f>
        <v>0.9571194853966456</v>
      </c>
      <c r="J2245" s="4">
        <f t="shared" si="103"/>
        <v>1.105583195135434E-4</v>
      </c>
      <c r="K2245" s="5">
        <f t="shared" si="102"/>
        <v>0.247982310668868</v>
      </c>
    </row>
    <row r="2246" spans="1:11" x14ac:dyDescent="0.25">
      <c r="A2246" t="s">
        <v>11710</v>
      </c>
      <c r="C2246" t="s">
        <v>11711</v>
      </c>
      <c r="D2246" t="s">
        <v>5</v>
      </c>
      <c r="E2246" t="s">
        <v>6</v>
      </c>
      <c r="F2246" t="s">
        <v>251</v>
      </c>
      <c r="G2246">
        <v>4</v>
      </c>
      <c r="H2246" s="2">
        <f>Tabelle13[[#This Row],[commits]]/Tabelle13[[#Totals],[commits]]</f>
        <v>1.859116176169849E-5</v>
      </c>
      <c r="I2246" s="5">
        <f>Tabelle13[[#This Row],[%]]+I2245</f>
        <v>0.95713807655840732</v>
      </c>
      <c r="J2246" s="4">
        <f t="shared" si="103"/>
        <v>1.105583195135434E-4</v>
      </c>
      <c r="K2246" s="5">
        <f t="shared" ref="K2246:K2309" si="104">J2246+K2245</f>
        <v>0.24809286898838154</v>
      </c>
    </row>
    <row r="2247" spans="1:11" x14ac:dyDescent="0.25">
      <c r="A2247" t="s">
        <v>11712</v>
      </c>
      <c r="C2247" t="s">
        <v>11713</v>
      </c>
      <c r="D2247" t="s">
        <v>11714</v>
      </c>
      <c r="E2247" t="s">
        <v>6</v>
      </c>
      <c r="F2247" t="s">
        <v>251</v>
      </c>
      <c r="G2247">
        <v>4</v>
      </c>
      <c r="H2247" s="2">
        <f>Tabelle13[[#This Row],[commits]]/Tabelle13[[#Totals],[commits]]</f>
        <v>1.859116176169849E-5</v>
      </c>
      <c r="I2247" s="5">
        <f>Tabelle13[[#This Row],[%]]+I2246</f>
        <v>0.95715666772016905</v>
      </c>
      <c r="J2247" s="4">
        <f t="shared" si="103"/>
        <v>1.105583195135434E-4</v>
      </c>
      <c r="K2247" s="5">
        <f t="shared" si="104"/>
        <v>0.24820342730789507</v>
      </c>
    </row>
    <row r="2248" spans="1:11" x14ac:dyDescent="0.25">
      <c r="A2248" t="s">
        <v>11715</v>
      </c>
      <c r="C2248" t="s">
        <v>11716</v>
      </c>
      <c r="D2248" t="s">
        <v>11717</v>
      </c>
      <c r="E2248" t="s">
        <v>6</v>
      </c>
      <c r="F2248" t="s">
        <v>251</v>
      </c>
      <c r="G2248">
        <v>4</v>
      </c>
      <c r="H2248" s="2">
        <f>Tabelle13[[#This Row],[commits]]/Tabelle13[[#Totals],[commits]]</f>
        <v>1.859116176169849E-5</v>
      </c>
      <c r="I2248" s="5">
        <f>Tabelle13[[#This Row],[%]]+I2247</f>
        <v>0.95717525888193078</v>
      </c>
      <c r="J2248" s="4">
        <f t="shared" si="103"/>
        <v>1.105583195135434E-4</v>
      </c>
      <c r="K2248" s="5">
        <f t="shared" si="104"/>
        <v>0.24831398562740861</v>
      </c>
    </row>
    <row r="2249" spans="1:11" x14ac:dyDescent="0.25">
      <c r="A2249" t="s">
        <v>11718</v>
      </c>
      <c r="C2249" t="s">
        <v>11719</v>
      </c>
      <c r="D2249" t="s">
        <v>309</v>
      </c>
      <c r="E2249" t="s">
        <v>6</v>
      </c>
      <c r="F2249" t="s">
        <v>251</v>
      </c>
      <c r="G2249">
        <v>4</v>
      </c>
      <c r="H2249" s="2">
        <f>Tabelle13[[#This Row],[commits]]/Tabelle13[[#Totals],[commits]]</f>
        <v>1.859116176169849E-5</v>
      </c>
      <c r="I2249" s="5">
        <f>Tabelle13[[#This Row],[%]]+I2248</f>
        <v>0.95719385004369251</v>
      </c>
      <c r="J2249" s="4">
        <f t="shared" si="103"/>
        <v>1.105583195135434E-4</v>
      </c>
      <c r="K2249" s="5">
        <f t="shared" si="104"/>
        <v>0.24842454394692215</v>
      </c>
    </row>
    <row r="2250" spans="1:11" x14ac:dyDescent="0.25">
      <c r="A2250" t="s">
        <v>11720</v>
      </c>
      <c r="C2250" t="s">
        <v>11721</v>
      </c>
      <c r="D2250" t="s">
        <v>5</v>
      </c>
      <c r="E2250" t="s">
        <v>6</v>
      </c>
      <c r="F2250" t="s">
        <v>251</v>
      </c>
      <c r="G2250">
        <v>4</v>
      </c>
      <c r="H2250" s="2">
        <f>Tabelle13[[#This Row],[commits]]/Tabelle13[[#Totals],[commits]]</f>
        <v>1.859116176169849E-5</v>
      </c>
      <c r="I2250" s="5">
        <f>Tabelle13[[#This Row],[%]]+I2249</f>
        <v>0.95721244120545423</v>
      </c>
      <c r="J2250" s="4">
        <f t="shared" si="103"/>
        <v>1.105583195135434E-4</v>
      </c>
      <c r="K2250" s="5">
        <f t="shared" si="104"/>
        <v>0.24853510226643569</v>
      </c>
    </row>
    <row r="2251" spans="1:11" x14ac:dyDescent="0.25">
      <c r="A2251" t="s">
        <v>11722</v>
      </c>
      <c r="C2251" t="s">
        <v>11723</v>
      </c>
      <c r="D2251" t="s">
        <v>5</v>
      </c>
      <c r="E2251" t="s">
        <v>6</v>
      </c>
      <c r="F2251" t="s">
        <v>251</v>
      </c>
      <c r="G2251">
        <v>4</v>
      </c>
      <c r="H2251" s="2">
        <f>Tabelle13[[#This Row],[commits]]/Tabelle13[[#Totals],[commits]]</f>
        <v>1.859116176169849E-5</v>
      </c>
      <c r="I2251" s="5">
        <f>Tabelle13[[#This Row],[%]]+I2250</f>
        <v>0.95723103236721596</v>
      </c>
      <c r="J2251" s="4">
        <f t="shared" si="103"/>
        <v>1.105583195135434E-4</v>
      </c>
      <c r="K2251" s="5">
        <f t="shared" si="104"/>
        <v>0.24864566058594922</v>
      </c>
    </row>
    <row r="2252" spans="1:11" x14ac:dyDescent="0.25">
      <c r="A2252" t="s">
        <v>11724</v>
      </c>
      <c r="C2252">
        <v>455808519</v>
      </c>
      <c r="D2252" t="s">
        <v>5</v>
      </c>
      <c r="E2252" t="s">
        <v>6</v>
      </c>
      <c r="F2252" t="s">
        <v>251</v>
      </c>
      <c r="G2252">
        <v>4</v>
      </c>
      <c r="H2252" s="2">
        <f>Tabelle13[[#This Row],[commits]]/Tabelle13[[#Totals],[commits]]</f>
        <v>1.859116176169849E-5</v>
      </c>
      <c r="I2252" s="5">
        <f>Tabelle13[[#This Row],[%]]+I2251</f>
        <v>0.95724962352897769</v>
      </c>
      <c r="J2252" s="4">
        <f t="shared" si="103"/>
        <v>1.105583195135434E-4</v>
      </c>
      <c r="K2252" s="5">
        <f t="shared" si="104"/>
        <v>0.24875621890546276</v>
      </c>
    </row>
    <row r="2253" spans="1:11" x14ac:dyDescent="0.25">
      <c r="A2253" t="s">
        <v>11725</v>
      </c>
      <c r="C2253" t="s">
        <v>11726</v>
      </c>
      <c r="D2253" t="s">
        <v>5</v>
      </c>
      <c r="E2253" t="s">
        <v>6</v>
      </c>
      <c r="F2253" t="s">
        <v>251</v>
      </c>
      <c r="G2253">
        <v>4</v>
      </c>
      <c r="H2253" s="2">
        <f>Tabelle13[[#This Row],[commits]]/Tabelle13[[#Totals],[commits]]</f>
        <v>1.859116176169849E-5</v>
      </c>
      <c r="I2253" s="5">
        <f>Tabelle13[[#This Row],[%]]+I2252</f>
        <v>0.95726821469073942</v>
      </c>
      <c r="J2253" s="4">
        <f t="shared" si="103"/>
        <v>1.105583195135434E-4</v>
      </c>
      <c r="K2253" s="5">
        <f t="shared" si="104"/>
        <v>0.2488667772249763</v>
      </c>
    </row>
    <row r="2254" spans="1:11" x14ac:dyDescent="0.25">
      <c r="A2254" t="s">
        <v>11727</v>
      </c>
      <c r="C2254" t="s">
        <v>11728</v>
      </c>
      <c r="D2254" t="s">
        <v>309</v>
      </c>
      <c r="E2254" t="s">
        <v>6</v>
      </c>
      <c r="F2254" t="s">
        <v>251</v>
      </c>
      <c r="G2254">
        <v>4</v>
      </c>
      <c r="H2254" s="2">
        <f>Tabelle13[[#This Row],[commits]]/Tabelle13[[#Totals],[commits]]</f>
        <v>1.859116176169849E-5</v>
      </c>
      <c r="I2254" s="5">
        <f>Tabelle13[[#This Row],[%]]+I2253</f>
        <v>0.95728680585250114</v>
      </c>
      <c r="J2254" s="4">
        <f t="shared" si="103"/>
        <v>1.105583195135434E-4</v>
      </c>
      <c r="K2254" s="5">
        <f t="shared" si="104"/>
        <v>0.24897733554448984</v>
      </c>
    </row>
    <row r="2255" spans="1:11" x14ac:dyDescent="0.25">
      <c r="A2255" t="s">
        <v>11729</v>
      </c>
      <c r="C2255" t="s">
        <v>11730</v>
      </c>
      <c r="D2255" t="s">
        <v>5</v>
      </c>
      <c r="E2255" t="s">
        <v>6</v>
      </c>
      <c r="F2255" t="s">
        <v>251</v>
      </c>
      <c r="G2255">
        <v>4</v>
      </c>
      <c r="H2255" s="2">
        <f>Tabelle13[[#This Row],[commits]]/Tabelle13[[#Totals],[commits]]</f>
        <v>1.859116176169849E-5</v>
      </c>
      <c r="I2255" s="5">
        <f>Tabelle13[[#This Row],[%]]+I2254</f>
        <v>0.95730539701426287</v>
      </c>
      <c r="J2255" s="4">
        <f t="shared" si="103"/>
        <v>1.105583195135434E-4</v>
      </c>
      <c r="K2255" s="5">
        <f t="shared" si="104"/>
        <v>0.24908789386400337</v>
      </c>
    </row>
    <row r="2256" spans="1:11" x14ac:dyDescent="0.25">
      <c r="A2256" t="s">
        <v>11731</v>
      </c>
      <c r="C2256" t="s">
        <v>11732</v>
      </c>
      <c r="D2256" t="s">
        <v>5</v>
      </c>
      <c r="E2256" t="s">
        <v>6</v>
      </c>
      <c r="F2256" t="s">
        <v>251</v>
      </c>
      <c r="G2256">
        <v>4</v>
      </c>
      <c r="H2256" s="2">
        <f>Tabelle13[[#This Row],[commits]]/Tabelle13[[#Totals],[commits]]</f>
        <v>1.859116176169849E-5</v>
      </c>
      <c r="I2256" s="5">
        <f>Tabelle13[[#This Row],[%]]+I2255</f>
        <v>0.9573239881760246</v>
      </c>
      <c r="J2256" s="4">
        <f t="shared" si="103"/>
        <v>1.105583195135434E-4</v>
      </c>
      <c r="K2256" s="5">
        <f t="shared" si="104"/>
        <v>0.24919845218351691</v>
      </c>
    </row>
    <row r="2257" spans="1:11" x14ac:dyDescent="0.25">
      <c r="A2257" t="s">
        <v>11733</v>
      </c>
      <c r="C2257" t="s">
        <v>11734</v>
      </c>
      <c r="D2257" t="s">
        <v>309</v>
      </c>
      <c r="E2257" t="s">
        <v>6</v>
      </c>
      <c r="F2257" t="s">
        <v>251</v>
      </c>
      <c r="G2257">
        <v>4</v>
      </c>
      <c r="H2257" s="2">
        <f>Tabelle13[[#This Row],[commits]]/Tabelle13[[#Totals],[commits]]</f>
        <v>1.859116176169849E-5</v>
      </c>
      <c r="I2257" s="5">
        <f>Tabelle13[[#This Row],[%]]+I2256</f>
        <v>0.95734257933778633</v>
      </c>
      <c r="J2257" s="4">
        <f t="shared" si="103"/>
        <v>1.105583195135434E-4</v>
      </c>
      <c r="K2257" s="5">
        <f t="shared" si="104"/>
        <v>0.24930901050303045</v>
      </c>
    </row>
    <row r="2258" spans="1:11" x14ac:dyDescent="0.25">
      <c r="A2258" t="s">
        <v>11735</v>
      </c>
      <c r="C2258" t="s">
        <v>11736</v>
      </c>
      <c r="D2258" t="s">
        <v>10461</v>
      </c>
      <c r="E2258" t="s">
        <v>6</v>
      </c>
      <c r="F2258" t="s">
        <v>251</v>
      </c>
      <c r="G2258">
        <v>4</v>
      </c>
      <c r="H2258" s="2">
        <f>Tabelle13[[#This Row],[commits]]/Tabelle13[[#Totals],[commits]]</f>
        <v>1.859116176169849E-5</v>
      </c>
      <c r="I2258" s="5">
        <f>Tabelle13[[#This Row],[%]]+I2257</f>
        <v>0.95736117049954805</v>
      </c>
      <c r="J2258" s="4">
        <f t="shared" si="103"/>
        <v>1.105583195135434E-4</v>
      </c>
      <c r="K2258" s="5">
        <f t="shared" si="104"/>
        <v>0.24941956882254399</v>
      </c>
    </row>
    <row r="2259" spans="1:11" x14ac:dyDescent="0.25">
      <c r="A2259" t="s">
        <v>11737</v>
      </c>
      <c r="C2259" t="s">
        <v>11738</v>
      </c>
      <c r="D2259" t="s">
        <v>309</v>
      </c>
      <c r="E2259" t="s">
        <v>6</v>
      </c>
      <c r="F2259" t="s">
        <v>251</v>
      </c>
      <c r="G2259">
        <v>4</v>
      </c>
      <c r="H2259" s="2">
        <f>Tabelle13[[#This Row],[commits]]/Tabelle13[[#Totals],[commits]]</f>
        <v>1.859116176169849E-5</v>
      </c>
      <c r="I2259" s="5">
        <f>Tabelle13[[#This Row],[%]]+I2258</f>
        <v>0.95737976166130978</v>
      </c>
      <c r="J2259" s="4">
        <f t="shared" si="103"/>
        <v>1.105583195135434E-4</v>
      </c>
      <c r="K2259" s="5">
        <f t="shared" si="104"/>
        <v>0.24953012714205752</v>
      </c>
    </row>
    <row r="2260" spans="1:11" x14ac:dyDescent="0.25">
      <c r="A2260" t="s">
        <v>11739</v>
      </c>
      <c r="C2260" t="s">
        <v>11740</v>
      </c>
      <c r="D2260" t="s">
        <v>8874</v>
      </c>
      <c r="E2260" t="s">
        <v>6</v>
      </c>
      <c r="F2260" t="s">
        <v>251</v>
      </c>
      <c r="G2260">
        <v>4</v>
      </c>
      <c r="H2260" s="2">
        <f>Tabelle13[[#This Row],[commits]]/Tabelle13[[#Totals],[commits]]</f>
        <v>1.859116176169849E-5</v>
      </c>
      <c r="I2260" s="5">
        <f>Tabelle13[[#This Row],[%]]+I2259</f>
        <v>0.95739835282307151</v>
      </c>
      <c r="J2260" s="4">
        <f t="shared" si="103"/>
        <v>1.105583195135434E-4</v>
      </c>
      <c r="K2260" s="5">
        <f t="shared" si="104"/>
        <v>0.24964068546157106</v>
      </c>
    </row>
    <row r="2261" spans="1:11" x14ac:dyDescent="0.25">
      <c r="A2261" t="s">
        <v>11741</v>
      </c>
      <c r="C2261" t="s">
        <v>197</v>
      </c>
      <c r="D2261" t="s">
        <v>5</v>
      </c>
      <c r="E2261" t="s">
        <v>6</v>
      </c>
      <c r="F2261" t="s">
        <v>251</v>
      </c>
      <c r="G2261">
        <v>4</v>
      </c>
      <c r="H2261" s="2">
        <f>Tabelle13[[#This Row],[commits]]/Tabelle13[[#Totals],[commits]]</f>
        <v>1.859116176169849E-5</v>
      </c>
      <c r="I2261" s="5">
        <f>Tabelle13[[#This Row],[%]]+I2260</f>
        <v>0.95741694398483324</v>
      </c>
      <c r="J2261" s="4">
        <f t="shared" si="103"/>
        <v>1.105583195135434E-4</v>
      </c>
      <c r="K2261" s="5">
        <f t="shared" si="104"/>
        <v>0.2497512437810846</v>
      </c>
    </row>
    <row r="2262" spans="1:11" x14ac:dyDescent="0.25">
      <c r="A2262" t="s">
        <v>11742</v>
      </c>
      <c r="C2262" t="s">
        <v>11743</v>
      </c>
      <c r="D2262" t="s">
        <v>10870</v>
      </c>
      <c r="E2262" t="s">
        <v>6</v>
      </c>
      <c r="F2262" t="s">
        <v>251</v>
      </c>
      <c r="G2262">
        <v>4</v>
      </c>
      <c r="H2262" s="2">
        <f>Tabelle13[[#This Row],[commits]]/Tabelle13[[#Totals],[commits]]</f>
        <v>1.859116176169849E-5</v>
      </c>
      <c r="I2262" s="5">
        <f>Tabelle13[[#This Row],[%]]+I2261</f>
        <v>0.95743553514659496</v>
      </c>
      <c r="J2262" s="4">
        <f t="shared" si="103"/>
        <v>1.105583195135434E-4</v>
      </c>
      <c r="K2262" s="5">
        <f t="shared" si="104"/>
        <v>0.24986180210059813</v>
      </c>
    </row>
    <row r="2263" spans="1:11" x14ac:dyDescent="0.25">
      <c r="A2263" t="s">
        <v>11744</v>
      </c>
      <c r="C2263" t="s">
        <v>11745</v>
      </c>
      <c r="D2263" t="s">
        <v>309</v>
      </c>
      <c r="E2263" t="s">
        <v>6</v>
      </c>
      <c r="F2263" t="s">
        <v>251</v>
      </c>
      <c r="G2263">
        <v>4</v>
      </c>
      <c r="H2263" s="2">
        <f>Tabelle13[[#This Row],[commits]]/Tabelle13[[#Totals],[commits]]</f>
        <v>1.859116176169849E-5</v>
      </c>
      <c r="I2263" s="5">
        <f>Tabelle13[[#This Row],[%]]+I2262</f>
        <v>0.95745412630835669</v>
      </c>
      <c r="J2263" s="4">
        <f t="shared" si="103"/>
        <v>1.105583195135434E-4</v>
      </c>
      <c r="K2263" s="5">
        <f t="shared" si="104"/>
        <v>0.24997236042011167</v>
      </c>
    </row>
    <row r="2264" spans="1:11" x14ac:dyDescent="0.25">
      <c r="A2264" t="s">
        <v>11746</v>
      </c>
      <c r="C2264" t="s">
        <v>11747</v>
      </c>
      <c r="D2264" t="s">
        <v>309</v>
      </c>
      <c r="E2264" t="s">
        <v>6</v>
      </c>
      <c r="F2264" t="s">
        <v>251</v>
      </c>
      <c r="G2264">
        <v>4</v>
      </c>
      <c r="H2264" s="2">
        <f>Tabelle13[[#This Row],[commits]]/Tabelle13[[#Totals],[commits]]</f>
        <v>1.859116176169849E-5</v>
      </c>
      <c r="I2264" s="5">
        <f>Tabelle13[[#This Row],[%]]+I2263</f>
        <v>0.95747271747011842</v>
      </c>
      <c r="J2264" s="4">
        <f t="shared" si="103"/>
        <v>1.105583195135434E-4</v>
      </c>
      <c r="K2264" s="5">
        <f t="shared" si="104"/>
        <v>0.25008291873962524</v>
      </c>
    </row>
    <row r="2265" spans="1:11" x14ac:dyDescent="0.25">
      <c r="A2265" t="s">
        <v>11748</v>
      </c>
      <c r="C2265" t="s">
        <v>11749</v>
      </c>
      <c r="D2265" t="s">
        <v>5</v>
      </c>
      <c r="E2265" t="s">
        <v>6</v>
      </c>
      <c r="F2265" t="s">
        <v>251</v>
      </c>
      <c r="G2265">
        <v>4</v>
      </c>
      <c r="H2265" s="2">
        <f>Tabelle13[[#This Row],[commits]]/Tabelle13[[#Totals],[commits]]</f>
        <v>1.859116176169849E-5</v>
      </c>
      <c r="I2265" s="5">
        <f>Tabelle13[[#This Row],[%]]+I2264</f>
        <v>0.95749130863188014</v>
      </c>
      <c r="J2265" s="4">
        <f t="shared" si="103"/>
        <v>1.105583195135434E-4</v>
      </c>
      <c r="K2265" s="5">
        <f t="shared" si="104"/>
        <v>0.2501934770591388</v>
      </c>
    </row>
    <row r="2266" spans="1:11" x14ac:dyDescent="0.25">
      <c r="A2266" t="s">
        <v>11750</v>
      </c>
      <c r="C2266" t="s">
        <v>11751</v>
      </c>
      <c r="D2266" t="s">
        <v>5</v>
      </c>
      <c r="E2266" t="s">
        <v>6</v>
      </c>
      <c r="F2266" t="s">
        <v>251</v>
      </c>
      <c r="G2266">
        <v>4</v>
      </c>
      <c r="H2266" s="2">
        <f>Tabelle13[[#This Row],[commits]]/Tabelle13[[#Totals],[commits]]</f>
        <v>1.859116176169849E-5</v>
      </c>
      <c r="I2266" s="5">
        <f>Tabelle13[[#This Row],[%]]+I2265</f>
        <v>0.95750989979364187</v>
      </c>
      <c r="J2266" s="4">
        <f t="shared" si="103"/>
        <v>1.105583195135434E-4</v>
      </c>
      <c r="K2266" s="5">
        <f t="shared" si="104"/>
        <v>0.25030403537865237</v>
      </c>
    </row>
    <row r="2267" spans="1:11" x14ac:dyDescent="0.25">
      <c r="A2267" t="s">
        <v>11752</v>
      </c>
      <c r="C2267" t="s">
        <v>11753</v>
      </c>
      <c r="D2267" t="s">
        <v>5</v>
      </c>
      <c r="E2267" t="s">
        <v>6</v>
      </c>
      <c r="F2267" t="s">
        <v>251</v>
      </c>
      <c r="G2267">
        <v>4</v>
      </c>
      <c r="H2267" s="2">
        <f>Tabelle13[[#This Row],[commits]]/Tabelle13[[#Totals],[commits]]</f>
        <v>1.859116176169849E-5</v>
      </c>
      <c r="I2267" s="5">
        <f>Tabelle13[[#This Row],[%]]+I2266</f>
        <v>0.9575284909554036</v>
      </c>
      <c r="J2267" s="4">
        <f t="shared" si="103"/>
        <v>1.105583195135434E-4</v>
      </c>
      <c r="K2267" s="5">
        <f t="shared" si="104"/>
        <v>0.25041459369816593</v>
      </c>
    </row>
    <row r="2268" spans="1:11" x14ac:dyDescent="0.25">
      <c r="A2268" t="s">
        <v>11754</v>
      </c>
      <c r="C2268" t="s">
        <v>11755</v>
      </c>
      <c r="D2268" t="s">
        <v>309</v>
      </c>
      <c r="E2268" t="s">
        <v>6</v>
      </c>
      <c r="F2268" t="s">
        <v>251</v>
      </c>
      <c r="G2268">
        <v>4</v>
      </c>
      <c r="H2268" s="2">
        <f>Tabelle13[[#This Row],[commits]]/Tabelle13[[#Totals],[commits]]</f>
        <v>1.859116176169849E-5</v>
      </c>
      <c r="I2268" s="5">
        <f>Tabelle13[[#This Row],[%]]+I2267</f>
        <v>0.95754708211716533</v>
      </c>
      <c r="J2268" s="4">
        <f t="shared" si="103"/>
        <v>1.105583195135434E-4</v>
      </c>
      <c r="K2268" s="5">
        <f t="shared" si="104"/>
        <v>0.2505251520176795</v>
      </c>
    </row>
    <row r="2269" spans="1:11" x14ac:dyDescent="0.25">
      <c r="A2269" t="s">
        <v>11756</v>
      </c>
      <c r="C2269" t="s">
        <v>11757</v>
      </c>
      <c r="D2269" t="s">
        <v>5</v>
      </c>
      <c r="E2269" t="s">
        <v>6</v>
      </c>
      <c r="F2269" t="s">
        <v>251</v>
      </c>
      <c r="G2269">
        <v>4</v>
      </c>
      <c r="H2269" s="2">
        <f>Tabelle13[[#This Row],[commits]]/Tabelle13[[#Totals],[commits]]</f>
        <v>1.859116176169849E-5</v>
      </c>
      <c r="I2269" s="5">
        <f>Tabelle13[[#This Row],[%]]+I2268</f>
        <v>0.95756567327892705</v>
      </c>
      <c r="J2269" s="4">
        <f t="shared" si="103"/>
        <v>1.105583195135434E-4</v>
      </c>
      <c r="K2269" s="5">
        <f t="shared" si="104"/>
        <v>0.25063571033719306</v>
      </c>
    </row>
    <row r="2270" spans="1:11" x14ac:dyDescent="0.25">
      <c r="A2270" t="s">
        <v>11758</v>
      </c>
      <c r="C2270">
        <v>314913739</v>
      </c>
      <c r="D2270" t="s">
        <v>5</v>
      </c>
      <c r="E2270" t="s">
        <v>6</v>
      </c>
      <c r="F2270" t="s">
        <v>251</v>
      </c>
      <c r="G2270">
        <v>4</v>
      </c>
      <c r="H2270" s="2">
        <f>Tabelle13[[#This Row],[commits]]/Tabelle13[[#Totals],[commits]]</f>
        <v>1.859116176169849E-5</v>
      </c>
      <c r="I2270" s="5">
        <f>Tabelle13[[#This Row],[%]]+I2269</f>
        <v>0.95758426444068878</v>
      </c>
      <c r="J2270" s="4">
        <f t="shared" si="103"/>
        <v>1.105583195135434E-4</v>
      </c>
      <c r="K2270" s="5">
        <f t="shared" si="104"/>
        <v>0.25074626865670663</v>
      </c>
    </row>
    <row r="2271" spans="1:11" x14ac:dyDescent="0.25">
      <c r="A2271" t="s">
        <v>11759</v>
      </c>
      <c r="C2271" t="s">
        <v>11760</v>
      </c>
      <c r="D2271" t="s">
        <v>5</v>
      </c>
      <c r="E2271" t="s">
        <v>6</v>
      </c>
      <c r="F2271" t="s">
        <v>251</v>
      </c>
      <c r="G2271">
        <v>4</v>
      </c>
      <c r="H2271" s="2">
        <f>Tabelle13[[#This Row],[commits]]/Tabelle13[[#Totals],[commits]]</f>
        <v>1.859116176169849E-5</v>
      </c>
      <c r="I2271" s="5">
        <f>Tabelle13[[#This Row],[%]]+I2270</f>
        <v>0.95760285560245051</v>
      </c>
      <c r="J2271" s="4">
        <f t="shared" si="103"/>
        <v>1.105583195135434E-4</v>
      </c>
      <c r="K2271" s="5">
        <f t="shared" si="104"/>
        <v>0.25085682697622019</v>
      </c>
    </row>
    <row r="2272" spans="1:11" x14ac:dyDescent="0.25">
      <c r="A2272" t="s">
        <v>11761</v>
      </c>
      <c r="C2272" t="s">
        <v>11762</v>
      </c>
      <c r="D2272" t="s">
        <v>11763</v>
      </c>
      <c r="E2272" t="s">
        <v>6</v>
      </c>
      <c r="F2272" t="s">
        <v>251</v>
      </c>
      <c r="G2272">
        <v>4</v>
      </c>
      <c r="H2272" s="2">
        <f>Tabelle13[[#This Row],[commits]]/Tabelle13[[#Totals],[commits]]</f>
        <v>1.859116176169849E-5</v>
      </c>
      <c r="I2272" s="5">
        <f>Tabelle13[[#This Row],[%]]+I2271</f>
        <v>0.95762144676421224</v>
      </c>
      <c r="J2272" s="4">
        <f t="shared" si="103"/>
        <v>1.105583195135434E-4</v>
      </c>
      <c r="K2272" s="5">
        <f t="shared" si="104"/>
        <v>0.25096738529573376</v>
      </c>
    </row>
    <row r="2273" spans="1:11" x14ac:dyDescent="0.25">
      <c r="A2273" t="s">
        <v>11764</v>
      </c>
      <c r="C2273" t="s">
        <v>11765</v>
      </c>
      <c r="D2273" t="s">
        <v>309</v>
      </c>
      <c r="E2273" t="s">
        <v>6</v>
      </c>
      <c r="F2273" t="s">
        <v>251</v>
      </c>
      <c r="G2273">
        <v>4</v>
      </c>
      <c r="H2273" s="2">
        <f>Tabelle13[[#This Row],[commits]]/Tabelle13[[#Totals],[commits]]</f>
        <v>1.859116176169849E-5</v>
      </c>
      <c r="I2273" s="5">
        <f>Tabelle13[[#This Row],[%]]+I2272</f>
        <v>0.95764003792597396</v>
      </c>
      <c r="J2273" s="4">
        <f t="shared" si="103"/>
        <v>1.105583195135434E-4</v>
      </c>
      <c r="K2273" s="5">
        <f t="shared" si="104"/>
        <v>0.25107794361524732</v>
      </c>
    </row>
    <row r="2274" spans="1:11" x14ac:dyDescent="0.25">
      <c r="A2274" t="s">
        <v>11766</v>
      </c>
      <c r="C2274" t="s">
        <v>11767</v>
      </c>
      <c r="D2274" t="s">
        <v>8948</v>
      </c>
      <c r="E2274" t="s">
        <v>6</v>
      </c>
      <c r="F2274" t="s">
        <v>251</v>
      </c>
      <c r="G2274">
        <v>4</v>
      </c>
      <c r="H2274" s="2">
        <f>Tabelle13[[#This Row],[commits]]/Tabelle13[[#Totals],[commits]]</f>
        <v>1.859116176169849E-5</v>
      </c>
      <c r="I2274" s="5">
        <f>Tabelle13[[#This Row],[%]]+I2273</f>
        <v>0.95765862908773569</v>
      </c>
      <c r="J2274" s="4">
        <f t="shared" si="103"/>
        <v>1.105583195135434E-4</v>
      </c>
      <c r="K2274" s="5">
        <f t="shared" si="104"/>
        <v>0.25118850193476089</v>
      </c>
    </row>
    <row r="2275" spans="1:11" x14ac:dyDescent="0.25">
      <c r="A2275" t="s">
        <v>11768</v>
      </c>
      <c r="C2275" t="s">
        <v>11769</v>
      </c>
      <c r="D2275" t="s">
        <v>5</v>
      </c>
      <c r="E2275" t="s">
        <v>6</v>
      </c>
      <c r="F2275" t="s">
        <v>251</v>
      </c>
      <c r="G2275">
        <v>4</v>
      </c>
      <c r="H2275" s="2">
        <f>Tabelle13[[#This Row],[commits]]/Tabelle13[[#Totals],[commits]]</f>
        <v>1.859116176169849E-5</v>
      </c>
      <c r="I2275" s="5">
        <f>Tabelle13[[#This Row],[%]]+I2274</f>
        <v>0.95767722024949742</v>
      </c>
      <c r="J2275" s="4">
        <f t="shared" si="103"/>
        <v>1.105583195135434E-4</v>
      </c>
      <c r="K2275" s="5">
        <f t="shared" si="104"/>
        <v>0.25129906025427445</v>
      </c>
    </row>
    <row r="2276" spans="1:11" x14ac:dyDescent="0.25">
      <c r="A2276" t="s">
        <v>11770</v>
      </c>
      <c r="C2276" t="s">
        <v>11771</v>
      </c>
      <c r="D2276" t="s">
        <v>5</v>
      </c>
      <c r="E2276" t="s">
        <v>6</v>
      </c>
      <c r="F2276" t="s">
        <v>251</v>
      </c>
      <c r="G2276">
        <v>4</v>
      </c>
      <c r="H2276" s="2">
        <f>Tabelle13[[#This Row],[commits]]/Tabelle13[[#Totals],[commits]]</f>
        <v>1.859116176169849E-5</v>
      </c>
      <c r="I2276" s="5">
        <f>Tabelle13[[#This Row],[%]]+I2275</f>
        <v>0.95769581141125915</v>
      </c>
      <c r="J2276" s="4">
        <f t="shared" si="103"/>
        <v>1.105583195135434E-4</v>
      </c>
      <c r="K2276" s="5">
        <f t="shared" si="104"/>
        <v>0.25140961857378802</v>
      </c>
    </row>
    <row r="2277" spans="1:11" x14ac:dyDescent="0.25">
      <c r="A2277" t="s">
        <v>11772</v>
      </c>
      <c r="C2277" t="s">
        <v>11773</v>
      </c>
      <c r="D2277" t="s">
        <v>5</v>
      </c>
      <c r="E2277" t="s">
        <v>6</v>
      </c>
      <c r="F2277" t="s">
        <v>251</v>
      </c>
      <c r="G2277">
        <v>4</v>
      </c>
      <c r="H2277" s="2">
        <f>Tabelle13[[#This Row],[commits]]/Tabelle13[[#Totals],[commits]]</f>
        <v>1.859116176169849E-5</v>
      </c>
      <c r="I2277" s="5">
        <f>Tabelle13[[#This Row],[%]]+I2276</f>
        <v>0.95771440257302087</v>
      </c>
      <c r="J2277" s="4">
        <f t="shared" si="103"/>
        <v>1.105583195135434E-4</v>
      </c>
      <c r="K2277" s="5">
        <f t="shared" si="104"/>
        <v>0.25152017689330158</v>
      </c>
    </row>
    <row r="2278" spans="1:11" x14ac:dyDescent="0.25">
      <c r="A2278" t="s">
        <v>11774</v>
      </c>
      <c r="C2278" t="s">
        <v>11775</v>
      </c>
      <c r="D2278" t="s">
        <v>5</v>
      </c>
      <c r="E2278" t="s">
        <v>6</v>
      </c>
      <c r="F2278" t="s">
        <v>251</v>
      </c>
      <c r="G2278">
        <v>4</v>
      </c>
      <c r="H2278" s="2">
        <f>Tabelle13[[#This Row],[commits]]/Tabelle13[[#Totals],[commits]]</f>
        <v>1.859116176169849E-5</v>
      </c>
      <c r="I2278" s="5">
        <f>Tabelle13[[#This Row],[%]]+I2277</f>
        <v>0.9577329937347826</v>
      </c>
      <c r="J2278" s="4">
        <f t="shared" si="103"/>
        <v>1.105583195135434E-4</v>
      </c>
      <c r="K2278" s="5">
        <f t="shared" si="104"/>
        <v>0.25163073521281515</v>
      </c>
    </row>
    <row r="2279" spans="1:11" x14ac:dyDescent="0.25">
      <c r="A2279" t="s">
        <v>11776</v>
      </c>
      <c r="C2279" t="s">
        <v>11777</v>
      </c>
      <c r="D2279" t="s">
        <v>5</v>
      </c>
      <c r="E2279" t="s">
        <v>6</v>
      </c>
      <c r="F2279" t="s">
        <v>251</v>
      </c>
      <c r="G2279">
        <v>4</v>
      </c>
      <c r="H2279" s="2">
        <f>Tabelle13[[#This Row],[commits]]/Tabelle13[[#Totals],[commits]]</f>
        <v>1.859116176169849E-5</v>
      </c>
      <c r="I2279" s="5">
        <f>Tabelle13[[#This Row],[%]]+I2278</f>
        <v>0.95775158489654433</v>
      </c>
      <c r="J2279" s="4">
        <f t="shared" si="103"/>
        <v>1.105583195135434E-4</v>
      </c>
      <c r="K2279" s="5">
        <f t="shared" si="104"/>
        <v>0.25174129353232871</v>
      </c>
    </row>
    <row r="2280" spans="1:11" x14ac:dyDescent="0.25">
      <c r="A2280" t="s">
        <v>11778</v>
      </c>
      <c r="C2280" t="s">
        <v>11779</v>
      </c>
      <c r="D2280" t="s">
        <v>11780</v>
      </c>
      <c r="E2280" t="s">
        <v>6</v>
      </c>
      <c r="F2280" t="s">
        <v>251</v>
      </c>
      <c r="G2280">
        <v>4</v>
      </c>
      <c r="H2280" s="2">
        <f>Tabelle13[[#This Row],[commits]]/Tabelle13[[#Totals],[commits]]</f>
        <v>1.859116176169849E-5</v>
      </c>
      <c r="I2280" s="5">
        <f>Tabelle13[[#This Row],[%]]+I2279</f>
        <v>0.95777017605830606</v>
      </c>
      <c r="J2280" s="4">
        <f t="shared" si="103"/>
        <v>1.105583195135434E-4</v>
      </c>
      <c r="K2280" s="5">
        <f t="shared" si="104"/>
        <v>0.25185185185184228</v>
      </c>
    </row>
    <row r="2281" spans="1:11" x14ac:dyDescent="0.25">
      <c r="A2281" t="s">
        <v>11781</v>
      </c>
      <c r="C2281" t="s">
        <v>11782</v>
      </c>
      <c r="D2281" t="s">
        <v>5</v>
      </c>
      <c r="E2281" t="s">
        <v>6</v>
      </c>
      <c r="F2281" t="s">
        <v>251</v>
      </c>
      <c r="G2281">
        <v>4</v>
      </c>
      <c r="H2281" s="2">
        <f>Tabelle13[[#This Row],[commits]]/Tabelle13[[#Totals],[commits]]</f>
        <v>1.859116176169849E-5</v>
      </c>
      <c r="I2281" s="5">
        <f>Tabelle13[[#This Row],[%]]+I2280</f>
        <v>0.95778876722006778</v>
      </c>
      <c r="J2281" s="4">
        <f t="shared" si="103"/>
        <v>1.105583195135434E-4</v>
      </c>
      <c r="K2281" s="5">
        <f t="shared" si="104"/>
        <v>0.25196241017135584</v>
      </c>
    </row>
    <row r="2282" spans="1:11" x14ac:dyDescent="0.25">
      <c r="A2282" t="s">
        <v>11783</v>
      </c>
      <c r="C2282" t="s">
        <v>11784</v>
      </c>
      <c r="D2282" t="s">
        <v>8760</v>
      </c>
      <c r="E2282" t="s">
        <v>6</v>
      </c>
      <c r="F2282" t="s">
        <v>251</v>
      </c>
      <c r="G2282">
        <v>4</v>
      </c>
      <c r="H2282" s="2">
        <f>Tabelle13[[#This Row],[commits]]/Tabelle13[[#Totals],[commits]]</f>
        <v>1.859116176169849E-5</v>
      </c>
      <c r="I2282" s="5">
        <f>Tabelle13[[#This Row],[%]]+I2281</f>
        <v>0.95780735838182951</v>
      </c>
      <c r="J2282" s="4">
        <f t="shared" si="103"/>
        <v>1.105583195135434E-4</v>
      </c>
      <c r="K2282" s="5">
        <f t="shared" si="104"/>
        <v>0.25207296849086941</v>
      </c>
    </row>
    <row r="2283" spans="1:11" x14ac:dyDescent="0.25">
      <c r="A2283" t="s">
        <v>11785</v>
      </c>
      <c r="C2283" t="s">
        <v>11786</v>
      </c>
      <c r="D2283" t="s">
        <v>5</v>
      </c>
      <c r="E2283" t="s">
        <v>6</v>
      </c>
      <c r="F2283" t="s">
        <v>251</v>
      </c>
      <c r="G2283">
        <v>4</v>
      </c>
      <c r="H2283" s="2">
        <f>Tabelle13[[#This Row],[commits]]/Tabelle13[[#Totals],[commits]]</f>
        <v>1.859116176169849E-5</v>
      </c>
      <c r="I2283" s="5">
        <f>Tabelle13[[#This Row],[%]]+I2282</f>
        <v>0.95782594954359124</v>
      </c>
      <c r="J2283" s="4">
        <f t="shared" si="103"/>
        <v>1.105583195135434E-4</v>
      </c>
      <c r="K2283" s="5">
        <f t="shared" si="104"/>
        <v>0.25218352681038297</v>
      </c>
    </row>
    <row r="2284" spans="1:11" x14ac:dyDescent="0.25">
      <c r="A2284" t="s">
        <v>11787</v>
      </c>
      <c r="C2284" t="s">
        <v>11788</v>
      </c>
      <c r="D2284" t="s">
        <v>5</v>
      </c>
      <c r="E2284" t="s">
        <v>6</v>
      </c>
      <c r="F2284" t="s">
        <v>251</v>
      </c>
      <c r="G2284">
        <v>4</v>
      </c>
      <c r="H2284" s="2">
        <f>Tabelle13[[#This Row],[commits]]/Tabelle13[[#Totals],[commits]]</f>
        <v>1.859116176169849E-5</v>
      </c>
      <c r="I2284" s="5">
        <f>Tabelle13[[#This Row],[%]]+I2283</f>
        <v>0.95784454070535296</v>
      </c>
      <c r="J2284" s="4">
        <f t="shared" si="103"/>
        <v>1.105583195135434E-4</v>
      </c>
      <c r="K2284" s="5">
        <f t="shared" si="104"/>
        <v>0.25229408512989654</v>
      </c>
    </row>
    <row r="2285" spans="1:11" x14ac:dyDescent="0.25">
      <c r="A2285" t="s">
        <v>11789</v>
      </c>
      <c r="C2285" t="s">
        <v>11790</v>
      </c>
      <c r="D2285" t="s">
        <v>5</v>
      </c>
      <c r="E2285" t="s">
        <v>6</v>
      </c>
      <c r="F2285" t="s">
        <v>251</v>
      </c>
      <c r="G2285">
        <v>4</v>
      </c>
      <c r="H2285" s="2">
        <f>Tabelle13[[#This Row],[commits]]/Tabelle13[[#Totals],[commits]]</f>
        <v>1.859116176169849E-5</v>
      </c>
      <c r="I2285" s="5">
        <f>Tabelle13[[#This Row],[%]]+I2284</f>
        <v>0.95786313186711469</v>
      </c>
      <c r="J2285" s="4">
        <f t="shared" si="103"/>
        <v>1.105583195135434E-4</v>
      </c>
      <c r="K2285" s="5">
        <f t="shared" si="104"/>
        <v>0.2524046434494101</v>
      </c>
    </row>
    <row r="2286" spans="1:11" x14ac:dyDescent="0.25">
      <c r="A2286" t="s">
        <v>11791</v>
      </c>
      <c r="C2286" t="s">
        <v>11792</v>
      </c>
      <c r="D2286" t="s">
        <v>5</v>
      </c>
      <c r="E2286" t="s">
        <v>6</v>
      </c>
      <c r="F2286" t="s">
        <v>251</v>
      </c>
      <c r="G2286">
        <v>4</v>
      </c>
      <c r="H2286" s="2">
        <f>Tabelle13[[#This Row],[commits]]/Tabelle13[[#Totals],[commits]]</f>
        <v>1.859116176169849E-5</v>
      </c>
      <c r="I2286" s="5">
        <f>Tabelle13[[#This Row],[%]]+I2285</f>
        <v>0.95788172302887642</v>
      </c>
      <c r="J2286" s="4">
        <f t="shared" si="103"/>
        <v>1.105583195135434E-4</v>
      </c>
      <c r="K2286" s="5">
        <f t="shared" si="104"/>
        <v>0.25251520176892367</v>
      </c>
    </row>
    <row r="2287" spans="1:11" x14ac:dyDescent="0.25">
      <c r="A2287" t="s">
        <v>11793</v>
      </c>
      <c r="C2287" t="s">
        <v>11794</v>
      </c>
      <c r="D2287" t="s">
        <v>5</v>
      </c>
      <c r="E2287" t="s">
        <v>6</v>
      </c>
      <c r="F2287" t="s">
        <v>251</v>
      </c>
      <c r="G2287">
        <v>4</v>
      </c>
      <c r="H2287" s="2">
        <f>Tabelle13[[#This Row],[commits]]/Tabelle13[[#Totals],[commits]]</f>
        <v>1.859116176169849E-5</v>
      </c>
      <c r="I2287" s="5">
        <f>Tabelle13[[#This Row],[%]]+I2286</f>
        <v>0.95790031419063815</v>
      </c>
      <c r="J2287" s="4">
        <f t="shared" si="103"/>
        <v>1.105583195135434E-4</v>
      </c>
      <c r="K2287" s="5">
        <f t="shared" si="104"/>
        <v>0.25262576008843723</v>
      </c>
    </row>
    <row r="2288" spans="1:11" x14ac:dyDescent="0.25">
      <c r="A2288" t="s">
        <v>11795</v>
      </c>
      <c r="C2288" t="s">
        <v>11796</v>
      </c>
      <c r="D2288" t="s">
        <v>309</v>
      </c>
      <c r="E2288" t="s">
        <v>6</v>
      </c>
      <c r="F2288" t="s">
        <v>251</v>
      </c>
      <c r="G2288">
        <v>4</v>
      </c>
      <c r="H2288" s="2">
        <f>Tabelle13[[#This Row],[commits]]/Tabelle13[[#Totals],[commits]]</f>
        <v>1.859116176169849E-5</v>
      </c>
      <c r="I2288" s="5">
        <f>Tabelle13[[#This Row],[%]]+I2287</f>
        <v>0.95791890535239987</v>
      </c>
      <c r="J2288" s="4">
        <f t="shared" si="103"/>
        <v>1.105583195135434E-4</v>
      </c>
      <c r="K2288" s="5">
        <f t="shared" si="104"/>
        <v>0.2527363184079508</v>
      </c>
    </row>
    <row r="2289" spans="1:11" x14ac:dyDescent="0.25">
      <c r="A2289" t="s">
        <v>11797</v>
      </c>
      <c r="C2289" t="s">
        <v>11798</v>
      </c>
      <c r="D2289" t="s">
        <v>5</v>
      </c>
      <c r="E2289" t="s">
        <v>6</v>
      </c>
      <c r="F2289" t="s">
        <v>251</v>
      </c>
      <c r="G2289">
        <v>4</v>
      </c>
      <c r="H2289" s="2">
        <f>Tabelle13[[#This Row],[commits]]/Tabelle13[[#Totals],[commits]]</f>
        <v>1.859116176169849E-5</v>
      </c>
      <c r="I2289" s="5">
        <f>Tabelle13[[#This Row],[%]]+I2288</f>
        <v>0.9579374965141616</v>
      </c>
      <c r="J2289" s="4">
        <f t="shared" si="103"/>
        <v>1.105583195135434E-4</v>
      </c>
      <c r="K2289" s="5">
        <f t="shared" si="104"/>
        <v>0.25284687672746436</v>
      </c>
    </row>
    <row r="2290" spans="1:11" x14ac:dyDescent="0.25">
      <c r="A2290" t="s">
        <v>11799</v>
      </c>
      <c r="C2290" t="s">
        <v>11800</v>
      </c>
      <c r="D2290" t="s">
        <v>5</v>
      </c>
      <c r="E2290" t="s">
        <v>6</v>
      </c>
      <c r="F2290" t="s">
        <v>251</v>
      </c>
      <c r="G2290">
        <v>4</v>
      </c>
      <c r="H2290" s="2">
        <f>Tabelle13[[#This Row],[commits]]/Tabelle13[[#Totals],[commits]]</f>
        <v>1.859116176169849E-5</v>
      </c>
      <c r="I2290" s="5">
        <f>Tabelle13[[#This Row],[%]]+I2289</f>
        <v>0.95795608767592333</v>
      </c>
      <c r="J2290" s="4">
        <f t="shared" si="103"/>
        <v>1.105583195135434E-4</v>
      </c>
      <c r="K2290" s="5">
        <f t="shared" si="104"/>
        <v>0.25295743504697793</v>
      </c>
    </row>
    <row r="2291" spans="1:11" x14ac:dyDescent="0.25">
      <c r="A2291" t="s">
        <v>11801</v>
      </c>
      <c r="C2291" t="s">
        <v>11802</v>
      </c>
      <c r="D2291" t="s">
        <v>5</v>
      </c>
      <c r="E2291" t="s">
        <v>6</v>
      </c>
      <c r="F2291" t="s">
        <v>251</v>
      </c>
      <c r="G2291">
        <v>4</v>
      </c>
      <c r="H2291" s="2">
        <f>Tabelle13[[#This Row],[commits]]/Tabelle13[[#Totals],[commits]]</f>
        <v>1.859116176169849E-5</v>
      </c>
      <c r="I2291" s="5">
        <f>Tabelle13[[#This Row],[%]]+I2290</f>
        <v>0.95797467883768506</v>
      </c>
      <c r="J2291" s="4">
        <f t="shared" si="103"/>
        <v>1.105583195135434E-4</v>
      </c>
      <c r="K2291" s="5">
        <f t="shared" si="104"/>
        <v>0.25306799336649149</v>
      </c>
    </row>
    <row r="2292" spans="1:11" x14ac:dyDescent="0.25">
      <c r="A2292" t="s">
        <v>11803</v>
      </c>
      <c r="C2292" t="s">
        <v>11804</v>
      </c>
      <c r="D2292" t="s">
        <v>5</v>
      </c>
      <c r="E2292" t="s">
        <v>6</v>
      </c>
      <c r="F2292" t="s">
        <v>251</v>
      </c>
      <c r="G2292">
        <v>4</v>
      </c>
      <c r="H2292" s="2">
        <f>Tabelle13[[#This Row],[commits]]/Tabelle13[[#Totals],[commits]]</f>
        <v>1.859116176169849E-5</v>
      </c>
      <c r="I2292" s="5">
        <f>Tabelle13[[#This Row],[%]]+I2291</f>
        <v>0.95799326999944678</v>
      </c>
      <c r="J2292" s="4">
        <f t="shared" si="103"/>
        <v>1.105583195135434E-4</v>
      </c>
      <c r="K2292" s="5">
        <f t="shared" si="104"/>
        <v>0.25317855168600506</v>
      </c>
    </row>
    <row r="2293" spans="1:11" x14ac:dyDescent="0.25">
      <c r="A2293" t="s">
        <v>11805</v>
      </c>
      <c r="C2293" t="s">
        <v>11806</v>
      </c>
      <c r="D2293" t="s">
        <v>309</v>
      </c>
      <c r="E2293" t="s">
        <v>6</v>
      </c>
      <c r="F2293" t="s">
        <v>251</v>
      </c>
      <c r="G2293">
        <v>4</v>
      </c>
      <c r="H2293" s="2">
        <f>Tabelle13[[#This Row],[commits]]/Tabelle13[[#Totals],[commits]]</f>
        <v>1.859116176169849E-5</v>
      </c>
      <c r="I2293" s="5">
        <f>Tabelle13[[#This Row],[%]]+I2292</f>
        <v>0.95801186116120851</v>
      </c>
      <c r="J2293" s="4">
        <f t="shared" si="103"/>
        <v>1.105583195135434E-4</v>
      </c>
      <c r="K2293" s="5">
        <f t="shared" si="104"/>
        <v>0.25328911000551863</v>
      </c>
    </row>
    <row r="2294" spans="1:11" x14ac:dyDescent="0.25">
      <c r="A2294" t="s">
        <v>11807</v>
      </c>
      <c r="C2294" t="s">
        <v>11808</v>
      </c>
      <c r="D2294" t="s">
        <v>5</v>
      </c>
      <c r="E2294" t="s">
        <v>6</v>
      </c>
      <c r="F2294" t="s">
        <v>251</v>
      </c>
      <c r="G2294">
        <v>4</v>
      </c>
      <c r="H2294" s="2">
        <f>Tabelle13[[#This Row],[commits]]/Tabelle13[[#Totals],[commits]]</f>
        <v>1.859116176169849E-5</v>
      </c>
      <c r="I2294" s="5">
        <f>Tabelle13[[#This Row],[%]]+I2293</f>
        <v>0.95803045232297024</v>
      </c>
      <c r="J2294" s="4">
        <f t="shared" si="103"/>
        <v>1.105583195135434E-4</v>
      </c>
      <c r="K2294" s="5">
        <f t="shared" si="104"/>
        <v>0.25339966832503219</v>
      </c>
    </row>
    <row r="2295" spans="1:11" x14ac:dyDescent="0.25">
      <c r="A2295" t="s">
        <v>11809</v>
      </c>
      <c r="C2295" t="s">
        <v>11810</v>
      </c>
      <c r="D2295" t="s">
        <v>5</v>
      </c>
      <c r="E2295" t="s">
        <v>6</v>
      </c>
      <c r="F2295" t="s">
        <v>251</v>
      </c>
      <c r="G2295">
        <v>4</v>
      </c>
      <c r="H2295" s="2">
        <f>Tabelle13[[#This Row],[commits]]/Tabelle13[[#Totals],[commits]]</f>
        <v>1.859116176169849E-5</v>
      </c>
      <c r="I2295" s="5">
        <f>Tabelle13[[#This Row],[%]]+I2294</f>
        <v>0.95804904348473197</v>
      </c>
      <c r="J2295" s="4">
        <f t="shared" si="103"/>
        <v>1.105583195135434E-4</v>
      </c>
      <c r="K2295" s="5">
        <f t="shared" si="104"/>
        <v>0.25351022664454576</v>
      </c>
    </row>
    <row r="2296" spans="1:11" x14ac:dyDescent="0.25">
      <c r="A2296" t="s">
        <v>11811</v>
      </c>
      <c r="C2296" t="s">
        <v>11812</v>
      </c>
      <c r="D2296" t="s">
        <v>5</v>
      </c>
      <c r="E2296" t="s">
        <v>6</v>
      </c>
      <c r="F2296" t="s">
        <v>251</v>
      </c>
      <c r="G2296">
        <v>4</v>
      </c>
      <c r="H2296" s="2">
        <f>Tabelle13[[#This Row],[commits]]/Tabelle13[[#Totals],[commits]]</f>
        <v>1.859116176169849E-5</v>
      </c>
      <c r="I2296" s="5">
        <f>Tabelle13[[#This Row],[%]]+I2295</f>
        <v>0.95806763464649369</v>
      </c>
      <c r="J2296" s="4">
        <f t="shared" si="103"/>
        <v>1.105583195135434E-4</v>
      </c>
      <c r="K2296" s="5">
        <f t="shared" si="104"/>
        <v>0.25362078496405932</v>
      </c>
    </row>
    <row r="2297" spans="1:11" x14ac:dyDescent="0.25">
      <c r="A2297" t="s">
        <v>11813</v>
      </c>
      <c r="C2297" t="s">
        <v>11814</v>
      </c>
      <c r="D2297" t="s">
        <v>5</v>
      </c>
      <c r="E2297" t="s">
        <v>6</v>
      </c>
      <c r="F2297" t="s">
        <v>251</v>
      </c>
      <c r="G2297">
        <v>4</v>
      </c>
      <c r="H2297" s="2">
        <f>Tabelle13[[#This Row],[commits]]/Tabelle13[[#Totals],[commits]]</f>
        <v>1.859116176169849E-5</v>
      </c>
      <c r="I2297" s="5">
        <f>Tabelle13[[#This Row],[%]]+I2296</f>
        <v>0.95808622580825542</v>
      </c>
      <c r="J2297" s="4">
        <f t="shared" si="103"/>
        <v>1.105583195135434E-4</v>
      </c>
      <c r="K2297" s="5">
        <f t="shared" si="104"/>
        <v>0.25373134328357289</v>
      </c>
    </row>
    <row r="2298" spans="1:11" x14ac:dyDescent="0.25">
      <c r="A2298" t="s">
        <v>11815</v>
      </c>
      <c r="C2298" t="s">
        <v>11816</v>
      </c>
      <c r="D2298" t="s">
        <v>5</v>
      </c>
      <c r="E2298" t="s">
        <v>6</v>
      </c>
      <c r="F2298" t="s">
        <v>251</v>
      </c>
      <c r="G2298">
        <v>4</v>
      </c>
      <c r="H2298" s="2">
        <f>Tabelle13[[#This Row],[commits]]/Tabelle13[[#Totals],[commits]]</f>
        <v>1.859116176169849E-5</v>
      </c>
      <c r="I2298" s="5">
        <f>Tabelle13[[#This Row],[%]]+I2297</f>
        <v>0.95810481697001715</v>
      </c>
      <c r="J2298" s="4">
        <f t="shared" si="103"/>
        <v>1.105583195135434E-4</v>
      </c>
      <c r="K2298" s="5">
        <f t="shared" si="104"/>
        <v>0.25384190160308645</v>
      </c>
    </row>
    <row r="2299" spans="1:11" x14ac:dyDescent="0.25">
      <c r="A2299" t="s">
        <v>11817</v>
      </c>
      <c r="C2299" t="s">
        <v>11818</v>
      </c>
      <c r="D2299" t="s">
        <v>11819</v>
      </c>
      <c r="E2299" t="s">
        <v>6</v>
      </c>
      <c r="F2299" t="s">
        <v>251</v>
      </c>
      <c r="G2299">
        <v>4</v>
      </c>
      <c r="H2299" s="2">
        <f>Tabelle13[[#This Row],[commits]]/Tabelle13[[#Totals],[commits]]</f>
        <v>1.859116176169849E-5</v>
      </c>
      <c r="I2299" s="5">
        <f>Tabelle13[[#This Row],[%]]+I2298</f>
        <v>0.95812340813177888</v>
      </c>
      <c r="J2299" s="4">
        <f t="shared" si="103"/>
        <v>1.105583195135434E-4</v>
      </c>
      <c r="K2299" s="5">
        <f t="shared" si="104"/>
        <v>0.25395245992260002</v>
      </c>
    </row>
    <row r="2300" spans="1:11" x14ac:dyDescent="0.25">
      <c r="A2300" t="s">
        <v>11820</v>
      </c>
      <c r="C2300" t="s">
        <v>11821</v>
      </c>
      <c r="D2300" t="s">
        <v>5</v>
      </c>
      <c r="E2300" t="s">
        <v>6</v>
      </c>
      <c r="F2300" t="s">
        <v>251</v>
      </c>
      <c r="G2300">
        <v>4</v>
      </c>
      <c r="H2300" s="2">
        <f>Tabelle13[[#This Row],[commits]]/Tabelle13[[#Totals],[commits]]</f>
        <v>1.859116176169849E-5</v>
      </c>
      <c r="I2300" s="5">
        <f>Tabelle13[[#This Row],[%]]+I2299</f>
        <v>0.9581419992935406</v>
      </c>
      <c r="J2300" s="4">
        <f t="shared" si="103"/>
        <v>1.105583195135434E-4</v>
      </c>
      <c r="K2300" s="5">
        <f t="shared" si="104"/>
        <v>0.25406301824211358</v>
      </c>
    </row>
    <row r="2301" spans="1:11" x14ac:dyDescent="0.25">
      <c r="A2301" t="s">
        <v>11822</v>
      </c>
      <c r="C2301" t="s">
        <v>11823</v>
      </c>
      <c r="D2301" t="s">
        <v>5</v>
      </c>
      <c r="E2301" t="s">
        <v>6</v>
      </c>
      <c r="F2301" t="s">
        <v>251</v>
      </c>
      <c r="G2301">
        <v>4</v>
      </c>
      <c r="H2301" s="2">
        <f>Tabelle13[[#This Row],[commits]]/Tabelle13[[#Totals],[commits]]</f>
        <v>1.859116176169849E-5</v>
      </c>
      <c r="I2301" s="5">
        <f>Tabelle13[[#This Row],[%]]+I2300</f>
        <v>0.95816059045530233</v>
      </c>
      <c r="J2301" s="4">
        <f t="shared" si="103"/>
        <v>1.105583195135434E-4</v>
      </c>
      <c r="K2301" s="5">
        <f t="shared" si="104"/>
        <v>0.25417357656162715</v>
      </c>
    </row>
    <row r="2302" spans="1:11" x14ac:dyDescent="0.25">
      <c r="A2302" t="s">
        <v>11824</v>
      </c>
      <c r="C2302" t="s">
        <v>11825</v>
      </c>
      <c r="D2302" t="s">
        <v>5</v>
      </c>
      <c r="E2302" t="s">
        <v>6</v>
      </c>
      <c r="F2302" t="s">
        <v>251</v>
      </c>
      <c r="G2302">
        <v>4</v>
      </c>
      <c r="H2302" s="2">
        <f>Tabelle13[[#This Row],[commits]]/Tabelle13[[#Totals],[commits]]</f>
        <v>1.859116176169849E-5</v>
      </c>
      <c r="I2302" s="5">
        <f>Tabelle13[[#This Row],[%]]+I2301</f>
        <v>0.95817918161706406</v>
      </c>
      <c r="J2302" s="4">
        <f t="shared" si="103"/>
        <v>1.105583195135434E-4</v>
      </c>
      <c r="K2302" s="5">
        <f t="shared" si="104"/>
        <v>0.25428413488114071</v>
      </c>
    </row>
    <row r="2303" spans="1:11" x14ac:dyDescent="0.25">
      <c r="A2303" t="s">
        <v>11826</v>
      </c>
      <c r="C2303" t="s">
        <v>11827</v>
      </c>
      <c r="D2303" t="s">
        <v>5</v>
      </c>
      <c r="E2303" t="s">
        <v>6</v>
      </c>
      <c r="F2303" t="s">
        <v>251</v>
      </c>
      <c r="G2303">
        <v>4</v>
      </c>
      <c r="H2303" s="2">
        <f>Tabelle13[[#This Row],[commits]]/Tabelle13[[#Totals],[commits]]</f>
        <v>1.859116176169849E-5</v>
      </c>
      <c r="I2303" s="5">
        <f>Tabelle13[[#This Row],[%]]+I2302</f>
        <v>0.95819777277882578</v>
      </c>
      <c r="J2303" s="4">
        <f t="shared" si="103"/>
        <v>1.105583195135434E-4</v>
      </c>
      <c r="K2303" s="5">
        <f t="shared" si="104"/>
        <v>0.25439469320065428</v>
      </c>
    </row>
    <row r="2304" spans="1:11" x14ac:dyDescent="0.25">
      <c r="A2304" t="s">
        <v>11828</v>
      </c>
      <c r="C2304" t="s">
        <v>11829</v>
      </c>
      <c r="D2304" t="s">
        <v>5</v>
      </c>
      <c r="E2304" t="s">
        <v>6</v>
      </c>
      <c r="F2304" t="s">
        <v>251</v>
      </c>
      <c r="G2304">
        <v>4</v>
      </c>
      <c r="H2304" s="2">
        <f>Tabelle13[[#This Row],[commits]]/Tabelle13[[#Totals],[commits]]</f>
        <v>1.859116176169849E-5</v>
      </c>
      <c r="I2304" s="5">
        <f>Tabelle13[[#This Row],[%]]+I2303</f>
        <v>0.95821636394058751</v>
      </c>
      <c r="J2304" s="4">
        <f t="shared" si="103"/>
        <v>1.105583195135434E-4</v>
      </c>
      <c r="K2304" s="5">
        <f t="shared" si="104"/>
        <v>0.25450525152016784</v>
      </c>
    </row>
    <row r="2305" spans="1:11" x14ac:dyDescent="0.25">
      <c r="A2305" t="s">
        <v>11830</v>
      </c>
      <c r="C2305" t="s">
        <v>11831</v>
      </c>
      <c r="D2305" t="s">
        <v>5</v>
      </c>
      <c r="E2305" t="s">
        <v>6</v>
      </c>
      <c r="F2305" t="s">
        <v>251</v>
      </c>
      <c r="G2305">
        <v>4</v>
      </c>
      <c r="H2305" s="2">
        <f>Tabelle13[[#This Row],[commits]]/Tabelle13[[#Totals],[commits]]</f>
        <v>1.859116176169849E-5</v>
      </c>
      <c r="I2305" s="5">
        <f>Tabelle13[[#This Row],[%]]+I2304</f>
        <v>0.95823495510234924</v>
      </c>
      <c r="J2305" s="4">
        <f t="shared" si="103"/>
        <v>1.105583195135434E-4</v>
      </c>
      <c r="K2305" s="5">
        <f t="shared" si="104"/>
        <v>0.25461580983968141</v>
      </c>
    </row>
    <row r="2306" spans="1:11" x14ac:dyDescent="0.25">
      <c r="A2306" t="s">
        <v>11832</v>
      </c>
      <c r="C2306" t="s">
        <v>11833</v>
      </c>
      <c r="D2306" t="s">
        <v>5</v>
      </c>
      <c r="E2306" t="s">
        <v>6</v>
      </c>
      <c r="F2306" t="s">
        <v>251</v>
      </c>
      <c r="G2306">
        <v>4</v>
      </c>
      <c r="H2306" s="2">
        <f>Tabelle13[[#This Row],[commits]]/Tabelle13[[#Totals],[commits]]</f>
        <v>1.859116176169849E-5</v>
      </c>
      <c r="I2306" s="5">
        <f>Tabelle13[[#This Row],[%]]+I2305</f>
        <v>0.95825354626411097</v>
      </c>
      <c r="J2306" s="4">
        <f t="shared" si="103"/>
        <v>1.105583195135434E-4</v>
      </c>
      <c r="K2306" s="5">
        <f t="shared" si="104"/>
        <v>0.25472636815919497</v>
      </c>
    </row>
    <row r="2307" spans="1:11" x14ac:dyDescent="0.25">
      <c r="A2307" t="s">
        <v>11834</v>
      </c>
      <c r="C2307" t="s">
        <v>11835</v>
      </c>
      <c r="D2307" t="s">
        <v>11836</v>
      </c>
      <c r="E2307" t="s">
        <v>6</v>
      </c>
      <c r="F2307" t="s">
        <v>251</v>
      </c>
      <c r="G2307">
        <v>4</v>
      </c>
      <c r="H2307" s="2">
        <f>Tabelle13[[#This Row],[commits]]/Tabelle13[[#Totals],[commits]]</f>
        <v>1.859116176169849E-5</v>
      </c>
      <c r="I2307" s="5">
        <f>Tabelle13[[#This Row],[%]]+I2306</f>
        <v>0.95827213742587269</v>
      </c>
      <c r="J2307" s="4">
        <f t="shared" ref="J2307:J2370" si="105">1/9045</f>
        <v>1.105583195135434E-4</v>
      </c>
      <c r="K2307" s="5">
        <f t="shared" si="104"/>
        <v>0.25483692647870854</v>
      </c>
    </row>
    <row r="2308" spans="1:11" x14ac:dyDescent="0.25">
      <c r="A2308" t="s">
        <v>11837</v>
      </c>
      <c r="C2308" t="s">
        <v>11838</v>
      </c>
      <c r="D2308" t="s">
        <v>5</v>
      </c>
      <c r="E2308" t="s">
        <v>6</v>
      </c>
      <c r="F2308" t="s">
        <v>251</v>
      </c>
      <c r="G2308">
        <v>4</v>
      </c>
      <c r="H2308" s="2">
        <f>Tabelle13[[#This Row],[commits]]/Tabelle13[[#Totals],[commits]]</f>
        <v>1.859116176169849E-5</v>
      </c>
      <c r="I2308" s="5">
        <f>Tabelle13[[#This Row],[%]]+I2307</f>
        <v>0.95829072858763442</v>
      </c>
      <c r="J2308" s="4">
        <f t="shared" si="105"/>
        <v>1.105583195135434E-4</v>
      </c>
      <c r="K2308" s="5">
        <f t="shared" si="104"/>
        <v>0.2549474847982221</v>
      </c>
    </row>
    <row r="2309" spans="1:11" x14ac:dyDescent="0.25">
      <c r="A2309" t="s">
        <v>11839</v>
      </c>
      <c r="C2309" t="s">
        <v>11840</v>
      </c>
      <c r="D2309" t="s">
        <v>309</v>
      </c>
      <c r="E2309" t="s">
        <v>6</v>
      </c>
      <c r="F2309" t="s">
        <v>251</v>
      </c>
      <c r="G2309">
        <v>4</v>
      </c>
      <c r="H2309" s="2">
        <f>Tabelle13[[#This Row],[commits]]/Tabelle13[[#Totals],[commits]]</f>
        <v>1.859116176169849E-5</v>
      </c>
      <c r="I2309" s="5">
        <f>Tabelle13[[#This Row],[%]]+I2308</f>
        <v>0.95830931974939615</v>
      </c>
      <c r="J2309" s="4">
        <f t="shared" si="105"/>
        <v>1.105583195135434E-4</v>
      </c>
      <c r="K2309" s="5">
        <f t="shared" si="104"/>
        <v>0.25505804311773567</v>
      </c>
    </row>
    <row r="2310" spans="1:11" x14ac:dyDescent="0.25">
      <c r="A2310" t="s">
        <v>11841</v>
      </c>
      <c r="C2310" t="s">
        <v>11842</v>
      </c>
      <c r="D2310" t="s">
        <v>5</v>
      </c>
      <c r="E2310" t="s">
        <v>6</v>
      </c>
      <c r="F2310" t="s">
        <v>251</v>
      </c>
      <c r="G2310">
        <v>4</v>
      </c>
      <c r="H2310" s="2">
        <f>Tabelle13[[#This Row],[commits]]/Tabelle13[[#Totals],[commits]]</f>
        <v>1.859116176169849E-5</v>
      </c>
      <c r="I2310" s="5">
        <f>Tabelle13[[#This Row],[%]]+I2309</f>
        <v>0.95832791091115788</v>
      </c>
      <c r="J2310" s="4">
        <f t="shared" si="105"/>
        <v>1.105583195135434E-4</v>
      </c>
      <c r="K2310" s="5">
        <f t="shared" ref="K2310:K2373" si="106">J2310+K2309</f>
        <v>0.25516860143724923</v>
      </c>
    </row>
    <row r="2311" spans="1:11" x14ac:dyDescent="0.25">
      <c r="A2311" t="s">
        <v>11843</v>
      </c>
      <c r="C2311" t="s">
        <v>9008</v>
      </c>
      <c r="D2311" t="s">
        <v>5</v>
      </c>
      <c r="E2311" t="s">
        <v>6</v>
      </c>
      <c r="F2311" t="s">
        <v>251</v>
      </c>
      <c r="G2311">
        <v>4</v>
      </c>
      <c r="H2311" s="2">
        <f>Tabelle13[[#This Row],[commits]]/Tabelle13[[#Totals],[commits]]</f>
        <v>1.859116176169849E-5</v>
      </c>
      <c r="I2311" s="5">
        <f>Tabelle13[[#This Row],[%]]+I2310</f>
        <v>0.9583465020729196</v>
      </c>
      <c r="J2311" s="4">
        <f t="shared" si="105"/>
        <v>1.105583195135434E-4</v>
      </c>
      <c r="K2311" s="5">
        <f t="shared" si="106"/>
        <v>0.2552791597567628</v>
      </c>
    </row>
    <row r="2312" spans="1:11" x14ac:dyDescent="0.25">
      <c r="A2312" t="s">
        <v>11844</v>
      </c>
      <c r="C2312" t="s">
        <v>11845</v>
      </c>
      <c r="D2312" t="s">
        <v>5</v>
      </c>
      <c r="E2312" t="s">
        <v>6</v>
      </c>
      <c r="F2312" t="s">
        <v>251</v>
      </c>
      <c r="G2312">
        <v>4</v>
      </c>
      <c r="H2312" s="2">
        <f>Tabelle13[[#This Row],[commits]]/Tabelle13[[#Totals],[commits]]</f>
        <v>1.859116176169849E-5</v>
      </c>
      <c r="I2312" s="5">
        <f>Tabelle13[[#This Row],[%]]+I2311</f>
        <v>0.95836509323468133</v>
      </c>
      <c r="J2312" s="4">
        <f t="shared" si="105"/>
        <v>1.105583195135434E-4</v>
      </c>
      <c r="K2312" s="5">
        <f t="shared" si="106"/>
        <v>0.25538971807627636</v>
      </c>
    </row>
    <row r="2313" spans="1:11" x14ac:dyDescent="0.25">
      <c r="A2313" t="s">
        <v>11846</v>
      </c>
      <c r="C2313" t="s">
        <v>11847</v>
      </c>
      <c r="D2313" t="s">
        <v>5</v>
      </c>
      <c r="E2313" t="s">
        <v>6</v>
      </c>
      <c r="F2313" t="s">
        <v>251</v>
      </c>
      <c r="G2313">
        <v>4</v>
      </c>
      <c r="H2313" s="2">
        <f>Tabelle13[[#This Row],[commits]]/Tabelle13[[#Totals],[commits]]</f>
        <v>1.859116176169849E-5</v>
      </c>
      <c r="I2313" s="5">
        <f>Tabelle13[[#This Row],[%]]+I2312</f>
        <v>0.95838368439644306</v>
      </c>
      <c r="J2313" s="4">
        <f t="shared" si="105"/>
        <v>1.105583195135434E-4</v>
      </c>
      <c r="K2313" s="5">
        <f t="shared" si="106"/>
        <v>0.25550027639578993</v>
      </c>
    </row>
    <row r="2314" spans="1:11" x14ac:dyDescent="0.25">
      <c r="A2314" t="s">
        <v>11848</v>
      </c>
      <c r="C2314" t="s">
        <v>11849</v>
      </c>
      <c r="D2314" t="s">
        <v>309</v>
      </c>
      <c r="E2314" t="s">
        <v>6</v>
      </c>
      <c r="F2314" t="s">
        <v>251</v>
      </c>
      <c r="G2314">
        <v>4</v>
      </c>
      <c r="H2314" s="2">
        <f>Tabelle13[[#This Row],[commits]]/Tabelle13[[#Totals],[commits]]</f>
        <v>1.859116176169849E-5</v>
      </c>
      <c r="I2314" s="5">
        <f>Tabelle13[[#This Row],[%]]+I2313</f>
        <v>0.95840227555820479</v>
      </c>
      <c r="J2314" s="4">
        <f t="shared" si="105"/>
        <v>1.105583195135434E-4</v>
      </c>
      <c r="K2314" s="5">
        <f t="shared" si="106"/>
        <v>0.25561083471530349</v>
      </c>
    </row>
    <row r="2315" spans="1:11" x14ac:dyDescent="0.25">
      <c r="A2315" t="s">
        <v>11850</v>
      </c>
      <c r="C2315" t="s">
        <v>11851</v>
      </c>
      <c r="D2315" t="s">
        <v>5</v>
      </c>
      <c r="E2315" t="s">
        <v>6</v>
      </c>
      <c r="F2315" t="s">
        <v>251</v>
      </c>
      <c r="G2315">
        <v>4</v>
      </c>
      <c r="H2315" s="2">
        <f>Tabelle13[[#This Row],[commits]]/Tabelle13[[#Totals],[commits]]</f>
        <v>1.859116176169849E-5</v>
      </c>
      <c r="I2315" s="5">
        <f>Tabelle13[[#This Row],[%]]+I2314</f>
        <v>0.95842086671996651</v>
      </c>
      <c r="J2315" s="4">
        <f t="shared" si="105"/>
        <v>1.105583195135434E-4</v>
      </c>
      <c r="K2315" s="5">
        <f t="shared" si="106"/>
        <v>0.25572139303481706</v>
      </c>
    </row>
    <row r="2316" spans="1:11" x14ac:dyDescent="0.25">
      <c r="A2316" t="s">
        <v>11852</v>
      </c>
      <c r="C2316" t="s">
        <v>6595</v>
      </c>
      <c r="D2316" t="s">
        <v>5</v>
      </c>
      <c r="E2316" t="s">
        <v>6</v>
      </c>
      <c r="F2316" t="s">
        <v>251</v>
      </c>
      <c r="G2316">
        <v>4</v>
      </c>
      <c r="H2316" s="2">
        <f>Tabelle13[[#This Row],[commits]]/Tabelle13[[#Totals],[commits]]</f>
        <v>1.859116176169849E-5</v>
      </c>
      <c r="I2316" s="5">
        <f>Tabelle13[[#This Row],[%]]+I2315</f>
        <v>0.95843945788172824</v>
      </c>
      <c r="J2316" s="4">
        <f t="shared" si="105"/>
        <v>1.105583195135434E-4</v>
      </c>
      <c r="K2316" s="5">
        <f t="shared" si="106"/>
        <v>0.25583195135433062</v>
      </c>
    </row>
    <row r="2317" spans="1:11" x14ac:dyDescent="0.25">
      <c r="A2317" t="s">
        <v>11853</v>
      </c>
      <c r="C2317" t="s">
        <v>11854</v>
      </c>
      <c r="D2317" t="s">
        <v>5</v>
      </c>
      <c r="E2317" t="s">
        <v>6</v>
      </c>
      <c r="F2317" t="s">
        <v>251</v>
      </c>
      <c r="G2317">
        <v>4</v>
      </c>
      <c r="H2317" s="2">
        <f>Tabelle13[[#This Row],[commits]]/Tabelle13[[#Totals],[commits]]</f>
        <v>1.859116176169849E-5</v>
      </c>
      <c r="I2317" s="5">
        <f>Tabelle13[[#This Row],[%]]+I2316</f>
        <v>0.95845804904348997</v>
      </c>
      <c r="J2317" s="4">
        <f t="shared" si="105"/>
        <v>1.105583195135434E-4</v>
      </c>
      <c r="K2317" s="5">
        <f t="shared" si="106"/>
        <v>0.25594250967384419</v>
      </c>
    </row>
    <row r="2318" spans="1:11" x14ac:dyDescent="0.25">
      <c r="A2318" t="s">
        <v>11855</v>
      </c>
      <c r="C2318" t="s">
        <v>11856</v>
      </c>
      <c r="D2318" t="s">
        <v>5</v>
      </c>
      <c r="E2318" t="s">
        <v>6</v>
      </c>
      <c r="F2318" t="s">
        <v>251</v>
      </c>
      <c r="G2318">
        <v>4</v>
      </c>
      <c r="H2318" s="2">
        <f>Tabelle13[[#This Row],[commits]]/Tabelle13[[#Totals],[commits]]</f>
        <v>1.859116176169849E-5</v>
      </c>
      <c r="I2318" s="5">
        <f>Tabelle13[[#This Row],[%]]+I2317</f>
        <v>0.9584766402052517</v>
      </c>
      <c r="J2318" s="4">
        <f t="shared" si="105"/>
        <v>1.105583195135434E-4</v>
      </c>
      <c r="K2318" s="5">
        <f t="shared" si="106"/>
        <v>0.25605306799335775</v>
      </c>
    </row>
    <row r="2319" spans="1:11" x14ac:dyDescent="0.25">
      <c r="A2319" t="s">
        <v>11857</v>
      </c>
      <c r="C2319" t="s">
        <v>11858</v>
      </c>
      <c r="D2319" t="s">
        <v>5</v>
      </c>
      <c r="E2319" t="s">
        <v>6</v>
      </c>
      <c r="F2319" t="s">
        <v>251</v>
      </c>
      <c r="G2319">
        <v>4</v>
      </c>
      <c r="H2319" s="2">
        <f>Tabelle13[[#This Row],[commits]]/Tabelle13[[#Totals],[commits]]</f>
        <v>1.859116176169849E-5</v>
      </c>
      <c r="I2319" s="5">
        <f>Tabelle13[[#This Row],[%]]+I2318</f>
        <v>0.95849523136701342</v>
      </c>
      <c r="J2319" s="4">
        <f t="shared" si="105"/>
        <v>1.105583195135434E-4</v>
      </c>
      <c r="K2319" s="5">
        <f t="shared" si="106"/>
        <v>0.25616362631287132</v>
      </c>
    </row>
    <row r="2320" spans="1:11" x14ac:dyDescent="0.25">
      <c r="A2320" t="s">
        <v>11859</v>
      </c>
      <c r="C2320" t="s">
        <v>11860</v>
      </c>
      <c r="D2320" t="s">
        <v>5</v>
      </c>
      <c r="E2320" t="s">
        <v>6</v>
      </c>
      <c r="F2320" t="s">
        <v>251</v>
      </c>
      <c r="G2320">
        <v>4</v>
      </c>
      <c r="H2320" s="2">
        <f>Tabelle13[[#This Row],[commits]]/Tabelle13[[#Totals],[commits]]</f>
        <v>1.859116176169849E-5</v>
      </c>
      <c r="I2320" s="5">
        <f>Tabelle13[[#This Row],[%]]+I2319</f>
        <v>0.95851382252877515</v>
      </c>
      <c r="J2320" s="4">
        <f t="shared" si="105"/>
        <v>1.105583195135434E-4</v>
      </c>
      <c r="K2320" s="5">
        <f t="shared" si="106"/>
        <v>0.25627418463238488</v>
      </c>
    </row>
    <row r="2321" spans="1:11" x14ac:dyDescent="0.25">
      <c r="A2321" t="s">
        <v>11861</v>
      </c>
      <c r="C2321" t="s">
        <v>11862</v>
      </c>
      <c r="D2321" t="s">
        <v>5</v>
      </c>
      <c r="E2321" t="s">
        <v>6</v>
      </c>
      <c r="F2321" t="s">
        <v>251</v>
      </c>
      <c r="G2321">
        <v>4</v>
      </c>
      <c r="H2321" s="2">
        <f>Tabelle13[[#This Row],[commits]]/Tabelle13[[#Totals],[commits]]</f>
        <v>1.859116176169849E-5</v>
      </c>
      <c r="I2321" s="5">
        <f>Tabelle13[[#This Row],[%]]+I2320</f>
        <v>0.95853241369053688</v>
      </c>
      <c r="J2321" s="4">
        <f t="shared" si="105"/>
        <v>1.105583195135434E-4</v>
      </c>
      <c r="K2321" s="5">
        <f t="shared" si="106"/>
        <v>0.25638474295189845</v>
      </c>
    </row>
    <row r="2322" spans="1:11" x14ac:dyDescent="0.25">
      <c r="A2322" t="s">
        <v>11863</v>
      </c>
      <c r="C2322" t="s">
        <v>11864</v>
      </c>
      <c r="D2322" t="s">
        <v>5</v>
      </c>
      <c r="E2322" t="s">
        <v>6</v>
      </c>
      <c r="F2322" t="s">
        <v>251</v>
      </c>
      <c r="G2322">
        <v>4</v>
      </c>
      <c r="H2322" s="2">
        <f>Tabelle13[[#This Row],[commits]]/Tabelle13[[#Totals],[commits]]</f>
        <v>1.859116176169849E-5</v>
      </c>
      <c r="I2322" s="5">
        <f>Tabelle13[[#This Row],[%]]+I2321</f>
        <v>0.9585510048522986</v>
      </c>
      <c r="J2322" s="4">
        <f t="shared" si="105"/>
        <v>1.105583195135434E-4</v>
      </c>
      <c r="K2322" s="5">
        <f t="shared" si="106"/>
        <v>0.25649530127141201</v>
      </c>
    </row>
    <row r="2323" spans="1:11" x14ac:dyDescent="0.25">
      <c r="A2323" t="s">
        <v>11865</v>
      </c>
      <c r="C2323" t="s">
        <v>11866</v>
      </c>
      <c r="D2323" t="s">
        <v>309</v>
      </c>
      <c r="E2323" t="s">
        <v>6</v>
      </c>
      <c r="F2323" t="s">
        <v>251</v>
      </c>
      <c r="G2323">
        <v>4</v>
      </c>
      <c r="H2323" s="2">
        <f>Tabelle13[[#This Row],[commits]]/Tabelle13[[#Totals],[commits]]</f>
        <v>1.859116176169849E-5</v>
      </c>
      <c r="I2323" s="5">
        <f>Tabelle13[[#This Row],[%]]+I2322</f>
        <v>0.95856959601406033</v>
      </c>
      <c r="J2323" s="4">
        <f t="shared" si="105"/>
        <v>1.105583195135434E-4</v>
      </c>
      <c r="K2323" s="5">
        <f t="shared" si="106"/>
        <v>0.25660585959092558</v>
      </c>
    </row>
    <row r="2324" spans="1:11" x14ac:dyDescent="0.25">
      <c r="A2324" t="s">
        <v>11867</v>
      </c>
      <c r="C2324" t="s">
        <v>11868</v>
      </c>
      <c r="D2324" t="s">
        <v>11869</v>
      </c>
      <c r="E2324" t="s">
        <v>6</v>
      </c>
      <c r="F2324" t="s">
        <v>251</v>
      </c>
      <c r="G2324">
        <v>4</v>
      </c>
      <c r="H2324" s="2">
        <f>Tabelle13[[#This Row],[commits]]/Tabelle13[[#Totals],[commits]]</f>
        <v>1.859116176169849E-5</v>
      </c>
      <c r="I2324" s="5">
        <f>Tabelle13[[#This Row],[%]]+I2323</f>
        <v>0.95858818717582206</v>
      </c>
      <c r="J2324" s="4">
        <f t="shared" si="105"/>
        <v>1.105583195135434E-4</v>
      </c>
      <c r="K2324" s="5">
        <f t="shared" si="106"/>
        <v>0.25671641791043914</v>
      </c>
    </row>
    <row r="2325" spans="1:11" x14ac:dyDescent="0.25">
      <c r="A2325" t="s">
        <v>11870</v>
      </c>
      <c r="C2325" t="s">
        <v>11871</v>
      </c>
      <c r="D2325" t="s">
        <v>309</v>
      </c>
      <c r="E2325" t="s">
        <v>6</v>
      </c>
      <c r="F2325" t="s">
        <v>251</v>
      </c>
      <c r="G2325">
        <v>4</v>
      </c>
      <c r="H2325" s="2">
        <f>Tabelle13[[#This Row],[commits]]/Tabelle13[[#Totals],[commits]]</f>
        <v>1.859116176169849E-5</v>
      </c>
      <c r="I2325" s="5">
        <f>Tabelle13[[#This Row],[%]]+I2324</f>
        <v>0.95860677833758379</v>
      </c>
      <c r="J2325" s="4">
        <f t="shared" si="105"/>
        <v>1.105583195135434E-4</v>
      </c>
      <c r="K2325" s="5">
        <f t="shared" si="106"/>
        <v>0.25682697622995271</v>
      </c>
    </row>
    <row r="2326" spans="1:11" x14ac:dyDescent="0.25">
      <c r="A2326" t="s">
        <v>11872</v>
      </c>
      <c r="C2326" t="s">
        <v>11873</v>
      </c>
      <c r="D2326" t="s">
        <v>5</v>
      </c>
      <c r="E2326" t="s">
        <v>6</v>
      </c>
      <c r="F2326" t="s">
        <v>251</v>
      </c>
      <c r="G2326">
        <v>4</v>
      </c>
      <c r="H2326" s="2">
        <f>Tabelle13[[#This Row],[commits]]/Tabelle13[[#Totals],[commits]]</f>
        <v>1.859116176169849E-5</v>
      </c>
      <c r="I2326" s="5">
        <f>Tabelle13[[#This Row],[%]]+I2325</f>
        <v>0.95862536949934551</v>
      </c>
      <c r="J2326" s="4">
        <f t="shared" si="105"/>
        <v>1.105583195135434E-4</v>
      </c>
      <c r="K2326" s="5">
        <f t="shared" si="106"/>
        <v>0.25693753454946627</v>
      </c>
    </row>
    <row r="2327" spans="1:11" x14ac:dyDescent="0.25">
      <c r="A2327" t="s">
        <v>11874</v>
      </c>
      <c r="C2327" t="s">
        <v>11875</v>
      </c>
      <c r="D2327" t="s">
        <v>5</v>
      </c>
      <c r="E2327" t="s">
        <v>6</v>
      </c>
      <c r="F2327" t="s">
        <v>251</v>
      </c>
      <c r="G2327">
        <v>4</v>
      </c>
      <c r="H2327" s="2">
        <f>Tabelle13[[#This Row],[commits]]/Tabelle13[[#Totals],[commits]]</f>
        <v>1.859116176169849E-5</v>
      </c>
      <c r="I2327" s="5">
        <f>Tabelle13[[#This Row],[%]]+I2326</f>
        <v>0.95864396066110724</v>
      </c>
      <c r="J2327" s="4">
        <f t="shared" si="105"/>
        <v>1.105583195135434E-4</v>
      </c>
      <c r="K2327" s="5">
        <f t="shared" si="106"/>
        <v>0.25704809286897984</v>
      </c>
    </row>
    <row r="2328" spans="1:11" x14ac:dyDescent="0.25">
      <c r="A2328" t="s">
        <v>11876</v>
      </c>
      <c r="C2328" t="s">
        <v>11877</v>
      </c>
      <c r="D2328" t="s">
        <v>5</v>
      </c>
      <c r="E2328" t="s">
        <v>6</v>
      </c>
      <c r="F2328" t="s">
        <v>251</v>
      </c>
      <c r="G2328">
        <v>4</v>
      </c>
      <c r="H2328" s="2">
        <f>Tabelle13[[#This Row],[commits]]/Tabelle13[[#Totals],[commits]]</f>
        <v>1.859116176169849E-5</v>
      </c>
      <c r="I2328" s="5">
        <f>Tabelle13[[#This Row],[%]]+I2327</f>
        <v>0.95866255182286897</v>
      </c>
      <c r="J2328" s="4">
        <f t="shared" si="105"/>
        <v>1.105583195135434E-4</v>
      </c>
      <c r="K2328" s="5">
        <f t="shared" si="106"/>
        <v>0.2571586511884934</v>
      </c>
    </row>
    <row r="2329" spans="1:11" x14ac:dyDescent="0.25">
      <c r="A2329" t="s">
        <v>11878</v>
      </c>
      <c r="C2329" t="s">
        <v>11879</v>
      </c>
      <c r="D2329" t="s">
        <v>5</v>
      </c>
      <c r="E2329" t="s">
        <v>6</v>
      </c>
      <c r="F2329" t="s">
        <v>251</v>
      </c>
      <c r="G2329">
        <v>4</v>
      </c>
      <c r="H2329" s="2">
        <f>Tabelle13[[#This Row],[commits]]/Tabelle13[[#Totals],[commits]]</f>
        <v>1.859116176169849E-5</v>
      </c>
      <c r="I2329" s="5">
        <f>Tabelle13[[#This Row],[%]]+I2328</f>
        <v>0.9586811429846307</v>
      </c>
      <c r="J2329" s="4">
        <f t="shared" si="105"/>
        <v>1.105583195135434E-4</v>
      </c>
      <c r="K2329" s="5">
        <f t="shared" si="106"/>
        <v>0.25726920950800697</v>
      </c>
    </row>
    <row r="2330" spans="1:11" x14ac:dyDescent="0.25">
      <c r="A2330" t="s">
        <v>11880</v>
      </c>
      <c r="C2330" t="s">
        <v>11881</v>
      </c>
      <c r="D2330" t="s">
        <v>309</v>
      </c>
      <c r="E2330" t="s">
        <v>6</v>
      </c>
      <c r="F2330" t="s">
        <v>251</v>
      </c>
      <c r="G2330">
        <v>4</v>
      </c>
      <c r="H2330" s="2">
        <f>Tabelle13[[#This Row],[commits]]/Tabelle13[[#Totals],[commits]]</f>
        <v>1.859116176169849E-5</v>
      </c>
      <c r="I2330" s="5">
        <f>Tabelle13[[#This Row],[%]]+I2329</f>
        <v>0.95869973414639242</v>
      </c>
      <c r="J2330" s="4">
        <f t="shared" si="105"/>
        <v>1.105583195135434E-4</v>
      </c>
      <c r="K2330" s="5">
        <f t="shared" si="106"/>
        <v>0.25737976782752053</v>
      </c>
    </row>
    <row r="2331" spans="1:11" x14ac:dyDescent="0.25">
      <c r="A2331" t="s">
        <v>11882</v>
      </c>
      <c r="C2331" t="s">
        <v>11883</v>
      </c>
      <c r="D2331" t="s">
        <v>5</v>
      </c>
      <c r="E2331" t="s">
        <v>6</v>
      </c>
      <c r="F2331" t="s">
        <v>251</v>
      </c>
      <c r="G2331">
        <v>4</v>
      </c>
      <c r="H2331" s="2">
        <f>Tabelle13[[#This Row],[commits]]/Tabelle13[[#Totals],[commits]]</f>
        <v>1.859116176169849E-5</v>
      </c>
      <c r="I2331" s="5">
        <f>Tabelle13[[#This Row],[%]]+I2330</f>
        <v>0.95871832530815415</v>
      </c>
      <c r="J2331" s="4">
        <f t="shared" si="105"/>
        <v>1.105583195135434E-4</v>
      </c>
      <c r="K2331" s="5">
        <f t="shared" si="106"/>
        <v>0.2574903261470341</v>
      </c>
    </row>
    <row r="2332" spans="1:11" x14ac:dyDescent="0.25">
      <c r="A2332" t="s">
        <v>17179</v>
      </c>
      <c r="C2332">
        <v>472590061</v>
      </c>
      <c r="D2332" t="s">
        <v>5</v>
      </c>
      <c r="E2332" t="s">
        <v>6</v>
      </c>
      <c r="F2332" t="s">
        <v>334</v>
      </c>
      <c r="G2332">
        <v>4</v>
      </c>
      <c r="H2332" s="2">
        <f>Tabelle13[[#This Row],[commits]]/Tabelle13[[#Totals],[commits]]</f>
        <v>1.859116176169849E-5</v>
      </c>
      <c r="I2332" s="5">
        <f>Tabelle13[[#This Row],[%]]+I2331</f>
        <v>0.95873691646991588</v>
      </c>
      <c r="J2332" s="4">
        <f t="shared" si="105"/>
        <v>1.105583195135434E-4</v>
      </c>
      <c r="K2332" s="5">
        <f t="shared" si="106"/>
        <v>0.25760088446654766</v>
      </c>
    </row>
    <row r="2333" spans="1:11" x14ac:dyDescent="0.25">
      <c r="A2333" t="s">
        <v>17180</v>
      </c>
      <c r="C2333" t="s">
        <v>122</v>
      </c>
      <c r="D2333" t="s">
        <v>5</v>
      </c>
      <c r="E2333" t="s">
        <v>6</v>
      </c>
      <c r="F2333" t="s">
        <v>334</v>
      </c>
      <c r="G2333">
        <v>4</v>
      </c>
      <c r="H2333" s="2">
        <f>Tabelle13[[#This Row],[commits]]/Tabelle13[[#Totals],[commits]]</f>
        <v>1.859116176169849E-5</v>
      </c>
      <c r="I2333" s="5">
        <f>Tabelle13[[#This Row],[%]]+I2332</f>
        <v>0.95875550763167761</v>
      </c>
      <c r="J2333" s="4">
        <f t="shared" si="105"/>
        <v>1.105583195135434E-4</v>
      </c>
      <c r="K2333" s="5">
        <f t="shared" si="106"/>
        <v>0.25771144278606123</v>
      </c>
    </row>
    <row r="2334" spans="1:11" x14ac:dyDescent="0.25">
      <c r="A2334" t="s">
        <v>17181</v>
      </c>
      <c r="C2334" t="s">
        <v>17182</v>
      </c>
      <c r="D2334" t="s">
        <v>5</v>
      </c>
      <c r="E2334" t="s">
        <v>6</v>
      </c>
      <c r="F2334" t="s">
        <v>334</v>
      </c>
      <c r="G2334">
        <v>4</v>
      </c>
      <c r="H2334" s="2">
        <f>Tabelle13[[#This Row],[commits]]/Tabelle13[[#Totals],[commits]]</f>
        <v>1.859116176169849E-5</v>
      </c>
      <c r="I2334" s="5">
        <f>Tabelle13[[#This Row],[%]]+I2333</f>
        <v>0.95877409879343933</v>
      </c>
      <c r="J2334" s="4">
        <f t="shared" si="105"/>
        <v>1.105583195135434E-4</v>
      </c>
      <c r="K2334" s="5">
        <f t="shared" si="106"/>
        <v>0.25782200110557479</v>
      </c>
    </row>
    <row r="2335" spans="1:11" x14ac:dyDescent="0.25">
      <c r="A2335" t="s">
        <v>17183</v>
      </c>
      <c r="C2335" t="s">
        <v>17184</v>
      </c>
      <c r="D2335" t="s">
        <v>5</v>
      </c>
      <c r="E2335" t="s">
        <v>6</v>
      </c>
      <c r="F2335" t="s">
        <v>334</v>
      </c>
      <c r="G2335">
        <v>4</v>
      </c>
      <c r="H2335" s="2">
        <f>Tabelle13[[#This Row],[commits]]/Tabelle13[[#Totals],[commits]]</f>
        <v>1.859116176169849E-5</v>
      </c>
      <c r="I2335" s="5">
        <f>Tabelle13[[#This Row],[%]]+I2334</f>
        <v>0.95879268995520106</v>
      </c>
      <c r="J2335" s="4">
        <f t="shared" si="105"/>
        <v>1.105583195135434E-4</v>
      </c>
      <c r="K2335" s="5">
        <f t="shared" si="106"/>
        <v>0.25793255942508836</v>
      </c>
    </row>
    <row r="2336" spans="1:11" x14ac:dyDescent="0.25">
      <c r="A2336" t="s">
        <v>173</v>
      </c>
      <c r="C2336" t="s">
        <v>174</v>
      </c>
      <c r="D2336" t="s">
        <v>5</v>
      </c>
      <c r="E2336" t="s">
        <v>6</v>
      </c>
      <c r="F2336" t="s">
        <v>28</v>
      </c>
      <c r="G2336">
        <v>3</v>
      </c>
      <c r="H2336" s="2">
        <f>Tabelle13[[#This Row],[commits]]/Tabelle13[[#Totals],[commits]]</f>
        <v>1.3943371321273866E-5</v>
      </c>
      <c r="I2336" s="5">
        <f>Tabelle13[[#This Row],[%]]+I2335</f>
        <v>0.95880663332652238</v>
      </c>
      <c r="J2336" s="4">
        <f t="shared" si="105"/>
        <v>1.105583195135434E-4</v>
      </c>
      <c r="K2336" s="5">
        <f t="shared" si="106"/>
        <v>0.25804311774460192</v>
      </c>
    </row>
    <row r="2337" spans="1:11" x14ac:dyDescent="0.25">
      <c r="A2337" t="s">
        <v>231</v>
      </c>
      <c r="C2337" t="s">
        <v>232</v>
      </c>
      <c r="D2337" t="s">
        <v>5</v>
      </c>
      <c r="E2337" t="s">
        <v>6</v>
      </c>
      <c r="F2337" t="s">
        <v>7</v>
      </c>
      <c r="G2337">
        <v>3</v>
      </c>
      <c r="H2337" s="2">
        <f>Tabelle13[[#This Row],[commits]]/Tabelle13[[#Totals],[commits]]</f>
        <v>1.3943371321273866E-5</v>
      </c>
      <c r="I2337" s="5">
        <f>Tabelle13[[#This Row],[%]]+I2336</f>
        <v>0.95882057669784371</v>
      </c>
      <c r="J2337" s="4">
        <f t="shared" si="105"/>
        <v>1.105583195135434E-4</v>
      </c>
      <c r="K2337" s="5">
        <f t="shared" si="106"/>
        <v>0.25815367606411549</v>
      </c>
    </row>
    <row r="2338" spans="1:11" x14ac:dyDescent="0.25">
      <c r="A2338" t="s">
        <v>233</v>
      </c>
      <c r="C2338" t="s">
        <v>234</v>
      </c>
      <c r="D2338" t="s">
        <v>5</v>
      </c>
      <c r="E2338" t="s">
        <v>6</v>
      </c>
      <c r="F2338" t="s">
        <v>7</v>
      </c>
      <c r="G2338">
        <v>3</v>
      </c>
      <c r="H2338" s="2">
        <f>Tabelle13[[#This Row],[commits]]/Tabelle13[[#Totals],[commits]]</f>
        <v>1.3943371321273866E-5</v>
      </c>
      <c r="I2338" s="5">
        <f>Tabelle13[[#This Row],[%]]+I2337</f>
        <v>0.95883452006916503</v>
      </c>
      <c r="J2338" s="4">
        <f t="shared" si="105"/>
        <v>1.105583195135434E-4</v>
      </c>
      <c r="K2338" s="5">
        <f t="shared" si="106"/>
        <v>0.25826423438362905</v>
      </c>
    </row>
    <row r="2339" spans="1:11" x14ac:dyDescent="0.25">
      <c r="A2339" t="s">
        <v>235</v>
      </c>
      <c r="C2339" t="s">
        <v>236</v>
      </c>
      <c r="D2339" t="s">
        <v>5</v>
      </c>
      <c r="E2339" t="s">
        <v>6</v>
      </c>
      <c r="F2339" t="s">
        <v>7</v>
      </c>
      <c r="G2339">
        <v>3</v>
      </c>
      <c r="H2339" s="2">
        <f>Tabelle13[[#This Row],[commits]]/Tabelle13[[#Totals],[commits]]</f>
        <v>1.3943371321273866E-5</v>
      </c>
      <c r="I2339" s="5">
        <f>Tabelle13[[#This Row],[%]]+I2338</f>
        <v>0.95884846344048635</v>
      </c>
      <c r="J2339" s="4">
        <f t="shared" si="105"/>
        <v>1.105583195135434E-4</v>
      </c>
      <c r="K2339" s="5">
        <f t="shared" si="106"/>
        <v>0.25837479270314262</v>
      </c>
    </row>
    <row r="2340" spans="1:11" x14ac:dyDescent="0.25">
      <c r="A2340" t="s">
        <v>237</v>
      </c>
      <c r="C2340" t="s">
        <v>238</v>
      </c>
      <c r="D2340" t="s">
        <v>5</v>
      </c>
      <c r="E2340" t="s">
        <v>6</v>
      </c>
      <c r="F2340" t="s">
        <v>7</v>
      </c>
      <c r="G2340">
        <v>3</v>
      </c>
      <c r="H2340" s="2">
        <f>Tabelle13[[#This Row],[commits]]/Tabelle13[[#Totals],[commits]]</f>
        <v>1.3943371321273866E-5</v>
      </c>
      <c r="I2340" s="5">
        <f>Tabelle13[[#This Row],[%]]+I2339</f>
        <v>0.95886240681180768</v>
      </c>
      <c r="J2340" s="4">
        <f t="shared" si="105"/>
        <v>1.105583195135434E-4</v>
      </c>
      <c r="K2340" s="5">
        <f t="shared" si="106"/>
        <v>0.25848535102265618</v>
      </c>
    </row>
    <row r="2341" spans="1:11" x14ac:dyDescent="0.25">
      <c r="A2341" t="s">
        <v>239</v>
      </c>
      <c r="C2341" t="s">
        <v>240</v>
      </c>
      <c r="D2341" t="s">
        <v>5</v>
      </c>
      <c r="E2341" t="s">
        <v>6</v>
      </c>
      <c r="F2341" t="s">
        <v>7</v>
      </c>
      <c r="G2341">
        <v>3</v>
      </c>
      <c r="H2341" s="2">
        <f>Tabelle13[[#This Row],[commits]]/Tabelle13[[#Totals],[commits]]</f>
        <v>1.3943371321273866E-5</v>
      </c>
      <c r="I2341" s="5">
        <f>Tabelle13[[#This Row],[%]]+I2340</f>
        <v>0.958876350183129</v>
      </c>
      <c r="J2341" s="4">
        <f t="shared" si="105"/>
        <v>1.105583195135434E-4</v>
      </c>
      <c r="K2341" s="5">
        <f t="shared" si="106"/>
        <v>0.25859590934216975</v>
      </c>
    </row>
    <row r="2342" spans="1:11" x14ac:dyDescent="0.25">
      <c r="A2342" t="s">
        <v>241</v>
      </c>
      <c r="C2342" t="s">
        <v>242</v>
      </c>
      <c r="D2342" t="s">
        <v>5</v>
      </c>
      <c r="E2342" t="s">
        <v>6</v>
      </c>
      <c r="F2342" t="s">
        <v>7</v>
      </c>
      <c r="G2342">
        <v>3</v>
      </c>
      <c r="H2342" s="2">
        <f>Tabelle13[[#This Row],[commits]]/Tabelle13[[#Totals],[commits]]</f>
        <v>1.3943371321273866E-5</v>
      </c>
      <c r="I2342" s="5">
        <f>Tabelle13[[#This Row],[%]]+I2341</f>
        <v>0.95889029355445032</v>
      </c>
      <c r="J2342" s="4">
        <f t="shared" si="105"/>
        <v>1.105583195135434E-4</v>
      </c>
      <c r="K2342" s="5">
        <f t="shared" si="106"/>
        <v>0.25870646766168331</v>
      </c>
    </row>
    <row r="2343" spans="1:11" x14ac:dyDescent="0.25">
      <c r="A2343" t="s">
        <v>243</v>
      </c>
      <c r="C2343" t="s">
        <v>197</v>
      </c>
      <c r="D2343" t="s">
        <v>5</v>
      </c>
      <c r="E2343" t="s">
        <v>6</v>
      </c>
      <c r="F2343" t="s">
        <v>7</v>
      </c>
      <c r="G2343">
        <v>3</v>
      </c>
      <c r="H2343" s="2">
        <f>Tabelle13[[#This Row],[commits]]/Tabelle13[[#Totals],[commits]]</f>
        <v>1.3943371321273866E-5</v>
      </c>
      <c r="I2343" s="5">
        <f>Tabelle13[[#This Row],[%]]+I2342</f>
        <v>0.95890423692577165</v>
      </c>
      <c r="J2343" s="4">
        <f t="shared" si="105"/>
        <v>1.105583195135434E-4</v>
      </c>
      <c r="K2343" s="5">
        <f t="shared" si="106"/>
        <v>0.25881702598119688</v>
      </c>
    </row>
    <row r="2344" spans="1:11" x14ac:dyDescent="0.25">
      <c r="A2344" t="s">
        <v>244</v>
      </c>
      <c r="C2344" t="s">
        <v>26</v>
      </c>
      <c r="D2344" t="s">
        <v>5</v>
      </c>
      <c r="E2344" t="s">
        <v>6</v>
      </c>
      <c r="F2344" t="s">
        <v>7</v>
      </c>
      <c r="G2344">
        <v>3</v>
      </c>
      <c r="H2344" s="2">
        <f>Tabelle13[[#This Row],[commits]]/Tabelle13[[#Totals],[commits]]</f>
        <v>1.3943371321273866E-5</v>
      </c>
      <c r="I2344" s="5">
        <f>Tabelle13[[#This Row],[%]]+I2343</f>
        <v>0.95891818029709297</v>
      </c>
      <c r="J2344" s="4">
        <f t="shared" si="105"/>
        <v>1.105583195135434E-4</v>
      </c>
      <c r="K2344" s="5">
        <f t="shared" si="106"/>
        <v>0.25892758430071044</v>
      </c>
    </row>
    <row r="2345" spans="1:11" x14ac:dyDescent="0.25">
      <c r="A2345" t="s">
        <v>245</v>
      </c>
      <c r="C2345" t="s">
        <v>246</v>
      </c>
      <c r="D2345" t="s">
        <v>5</v>
      </c>
      <c r="E2345" t="s">
        <v>6</v>
      </c>
      <c r="F2345" t="s">
        <v>7</v>
      </c>
      <c r="G2345">
        <v>3</v>
      </c>
      <c r="H2345" s="2">
        <f>Tabelle13[[#This Row],[commits]]/Tabelle13[[#Totals],[commits]]</f>
        <v>1.3943371321273866E-5</v>
      </c>
      <c r="I2345" s="5">
        <f>Tabelle13[[#This Row],[%]]+I2344</f>
        <v>0.95893212366841429</v>
      </c>
      <c r="J2345" s="4">
        <f t="shared" si="105"/>
        <v>1.105583195135434E-4</v>
      </c>
      <c r="K2345" s="5">
        <f t="shared" si="106"/>
        <v>0.25903814262022401</v>
      </c>
    </row>
    <row r="2346" spans="1:11" x14ac:dyDescent="0.25">
      <c r="A2346" t="s">
        <v>247</v>
      </c>
      <c r="C2346" t="s">
        <v>248</v>
      </c>
      <c r="D2346" t="s">
        <v>5</v>
      </c>
      <c r="E2346" t="s">
        <v>6</v>
      </c>
      <c r="F2346" t="s">
        <v>7</v>
      </c>
      <c r="G2346">
        <v>3</v>
      </c>
      <c r="H2346" s="2">
        <f>Tabelle13[[#This Row],[commits]]/Tabelle13[[#Totals],[commits]]</f>
        <v>1.3943371321273866E-5</v>
      </c>
      <c r="I2346" s="5">
        <f>Tabelle13[[#This Row],[%]]+I2345</f>
        <v>0.95894606703973562</v>
      </c>
      <c r="J2346" s="4">
        <f t="shared" si="105"/>
        <v>1.105583195135434E-4</v>
      </c>
      <c r="K2346" s="5">
        <f t="shared" si="106"/>
        <v>0.25914870093973758</v>
      </c>
    </row>
    <row r="2347" spans="1:11" x14ac:dyDescent="0.25">
      <c r="A2347" t="s">
        <v>252</v>
      </c>
      <c r="C2347" t="s">
        <v>253</v>
      </c>
      <c r="D2347" t="s">
        <v>5</v>
      </c>
      <c r="E2347" t="s">
        <v>6</v>
      </c>
      <c r="F2347" t="s">
        <v>7</v>
      </c>
      <c r="G2347">
        <v>3</v>
      </c>
      <c r="H2347" s="2">
        <f>Tabelle13[[#This Row],[commits]]/Tabelle13[[#Totals],[commits]]</f>
        <v>1.3943371321273866E-5</v>
      </c>
      <c r="I2347" s="5">
        <f>Tabelle13[[#This Row],[%]]+I2346</f>
        <v>0.95896001041105694</v>
      </c>
      <c r="J2347" s="4">
        <f t="shared" si="105"/>
        <v>1.105583195135434E-4</v>
      </c>
      <c r="K2347" s="5">
        <f t="shared" si="106"/>
        <v>0.25925925925925114</v>
      </c>
    </row>
    <row r="2348" spans="1:11" x14ac:dyDescent="0.25">
      <c r="A2348" t="s">
        <v>254</v>
      </c>
      <c r="C2348" t="s">
        <v>255</v>
      </c>
      <c r="D2348" t="s">
        <v>5</v>
      </c>
      <c r="E2348" t="s">
        <v>6</v>
      </c>
      <c r="F2348" t="s">
        <v>7</v>
      </c>
      <c r="G2348">
        <v>3</v>
      </c>
      <c r="H2348" s="2">
        <f>Tabelle13[[#This Row],[commits]]/Tabelle13[[#Totals],[commits]]</f>
        <v>1.3943371321273866E-5</v>
      </c>
      <c r="I2348" s="5">
        <f>Tabelle13[[#This Row],[%]]+I2347</f>
        <v>0.95897395378237826</v>
      </c>
      <c r="J2348" s="4">
        <f t="shared" si="105"/>
        <v>1.105583195135434E-4</v>
      </c>
      <c r="K2348" s="5">
        <f t="shared" si="106"/>
        <v>0.25936981757876471</v>
      </c>
    </row>
    <row r="2349" spans="1:11" x14ac:dyDescent="0.25">
      <c r="A2349" t="s">
        <v>256</v>
      </c>
      <c r="C2349" t="s">
        <v>257</v>
      </c>
      <c r="D2349" t="s">
        <v>5</v>
      </c>
      <c r="E2349" t="s">
        <v>6</v>
      </c>
      <c r="F2349" t="s">
        <v>7</v>
      </c>
      <c r="G2349">
        <v>3</v>
      </c>
      <c r="H2349" s="2">
        <f>Tabelle13[[#This Row],[commits]]/Tabelle13[[#Totals],[commits]]</f>
        <v>1.3943371321273866E-5</v>
      </c>
      <c r="I2349" s="5">
        <f>Tabelle13[[#This Row],[%]]+I2348</f>
        <v>0.95898789715369959</v>
      </c>
      <c r="J2349" s="4">
        <f t="shared" si="105"/>
        <v>1.105583195135434E-4</v>
      </c>
      <c r="K2349" s="5">
        <f t="shared" si="106"/>
        <v>0.25948037589827827</v>
      </c>
    </row>
    <row r="2350" spans="1:11" x14ac:dyDescent="0.25">
      <c r="A2350" t="s">
        <v>258</v>
      </c>
      <c r="C2350" t="s">
        <v>259</v>
      </c>
      <c r="D2350" t="s">
        <v>5</v>
      </c>
      <c r="E2350" t="s">
        <v>6</v>
      </c>
      <c r="F2350" t="s">
        <v>7</v>
      </c>
      <c r="G2350">
        <v>3</v>
      </c>
      <c r="H2350" s="2">
        <f>Tabelle13[[#This Row],[commits]]/Tabelle13[[#Totals],[commits]]</f>
        <v>1.3943371321273866E-5</v>
      </c>
      <c r="I2350" s="5">
        <f>Tabelle13[[#This Row],[%]]+I2349</f>
        <v>0.95900184052502091</v>
      </c>
      <c r="J2350" s="4">
        <f t="shared" si="105"/>
        <v>1.105583195135434E-4</v>
      </c>
      <c r="K2350" s="5">
        <f t="shared" si="106"/>
        <v>0.25959093421779184</v>
      </c>
    </row>
    <row r="2351" spans="1:11" x14ac:dyDescent="0.25">
      <c r="A2351" t="s">
        <v>260</v>
      </c>
      <c r="C2351" t="s">
        <v>261</v>
      </c>
      <c r="D2351" t="s">
        <v>5</v>
      </c>
      <c r="E2351" t="s">
        <v>6</v>
      </c>
      <c r="F2351" t="s">
        <v>7</v>
      </c>
      <c r="G2351">
        <v>3</v>
      </c>
      <c r="H2351" s="2">
        <f>Tabelle13[[#This Row],[commits]]/Tabelle13[[#Totals],[commits]]</f>
        <v>1.3943371321273866E-5</v>
      </c>
      <c r="I2351" s="5">
        <f>Tabelle13[[#This Row],[%]]+I2350</f>
        <v>0.95901578389634223</v>
      </c>
      <c r="J2351" s="4">
        <f t="shared" si="105"/>
        <v>1.105583195135434E-4</v>
      </c>
      <c r="K2351" s="5">
        <f t="shared" si="106"/>
        <v>0.2597014925373054</v>
      </c>
    </row>
    <row r="2352" spans="1:11" x14ac:dyDescent="0.25">
      <c r="A2352" t="s">
        <v>262</v>
      </c>
      <c r="C2352" t="s">
        <v>263</v>
      </c>
      <c r="D2352" t="s">
        <v>264</v>
      </c>
      <c r="E2352" t="s">
        <v>6</v>
      </c>
      <c r="F2352" t="s">
        <v>7</v>
      </c>
      <c r="G2352">
        <v>3</v>
      </c>
      <c r="H2352" s="2">
        <f>Tabelle13[[#This Row],[commits]]/Tabelle13[[#Totals],[commits]]</f>
        <v>1.3943371321273866E-5</v>
      </c>
      <c r="I2352" s="5">
        <f>Tabelle13[[#This Row],[%]]+I2351</f>
        <v>0.95902972726766356</v>
      </c>
      <c r="J2352" s="4">
        <f t="shared" si="105"/>
        <v>1.105583195135434E-4</v>
      </c>
      <c r="K2352" s="5">
        <f t="shared" si="106"/>
        <v>0.25981205085681897</v>
      </c>
    </row>
    <row r="2353" spans="1:11" x14ac:dyDescent="0.25">
      <c r="A2353" t="s">
        <v>265</v>
      </c>
      <c r="C2353" t="s">
        <v>266</v>
      </c>
      <c r="D2353" t="s">
        <v>5</v>
      </c>
      <c r="E2353" t="s">
        <v>6</v>
      </c>
      <c r="F2353" t="s">
        <v>7</v>
      </c>
      <c r="G2353">
        <v>3</v>
      </c>
      <c r="H2353" s="2">
        <f>Tabelle13[[#This Row],[commits]]/Tabelle13[[#Totals],[commits]]</f>
        <v>1.3943371321273866E-5</v>
      </c>
      <c r="I2353" s="5">
        <f>Tabelle13[[#This Row],[%]]+I2352</f>
        <v>0.95904367063898488</v>
      </c>
      <c r="J2353" s="4">
        <f t="shared" si="105"/>
        <v>1.105583195135434E-4</v>
      </c>
      <c r="K2353" s="5">
        <f t="shared" si="106"/>
        <v>0.25992260917633253</v>
      </c>
    </row>
    <row r="2354" spans="1:11" x14ac:dyDescent="0.25">
      <c r="A2354" t="s">
        <v>267</v>
      </c>
      <c r="C2354" t="s">
        <v>268</v>
      </c>
      <c r="D2354" t="s">
        <v>5</v>
      </c>
      <c r="E2354" t="s">
        <v>6</v>
      </c>
      <c r="F2354" t="s">
        <v>7</v>
      </c>
      <c r="G2354">
        <v>3</v>
      </c>
      <c r="H2354" s="2">
        <f>Tabelle13[[#This Row],[commits]]/Tabelle13[[#Totals],[commits]]</f>
        <v>1.3943371321273866E-5</v>
      </c>
      <c r="I2354" s="5">
        <f>Tabelle13[[#This Row],[%]]+I2353</f>
        <v>0.9590576140103062</v>
      </c>
      <c r="J2354" s="4">
        <f t="shared" si="105"/>
        <v>1.105583195135434E-4</v>
      </c>
      <c r="K2354" s="5">
        <f t="shared" si="106"/>
        <v>0.2600331674958461</v>
      </c>
    </row>
    <row r="2355" spans="1:11" x14ac:dyDescent="0.25">
      <c r="A2355" t="s">
        <v>269</v>
      </c>
      <c r="C2355" t="s">
        <v>151</v>
      </c>
      <c r="D2355" t="s">
        <v>5</v>
      </c>
      <c r="E2355" t="s">
        <v>6</v>
      </c>
      <c r="F2355" t="s">
        <v>7</v>
      </c>
      <c r="G2355">
        <v>3</v>
      </c>
      <c r="H2355" s="2">
        <f>Tabelle13[[#This Row],[commits]]/Tabelle13[[#Totals],[commits]]</f>
        <v>1.3943371321273866E-5</v>
      </c>
      <c r="I2355" s="5">
        <f>Tabelle13[[#This Row],[%]]+I2354</f>
        <v>0.95907155738162753</v>
      </c>
      <c r="J2355" s="4">
        <f t="shared" si="105"/>
        <v>1.105583195135434E-4</v>
      </c>
      <c r="K2355" s="5">
        <f t="shared" si="106"/>
        <v>0.26014372581535966</v>
      </c>
    </row>
    <row r="2356" spans="1:11" x14ac:dyDescent="0.25">
      <c r="A2356" t="s">
        <v>270</v>
      </c>
      <c r="C2356" t="s">
        <v>271</v>
      </c>
      <c r="D2356" t="s">
        <v>5</v>
      </c>
      <c r="E2356" t="s">
        <v>6</v>
      </c>
      <c r="F2356" t="s">
        <v>7</v>
      </c>
      <c r="G2356">
        <v>3</v>
      </c>
      <c r="H2356" s="2">
        <f>Tabelle13[[#This Row],[commits]]/Tabelle13[[#Totals],[commits]]</f>
        <v>1.3943371321273866E-5</v>
      </c>
      <c r="I2356" s="5">
        <f>Tabelle13[[#This Row],[%]]+I2355</f>
        <v>0.95908550075294885</v>
      </c>
      <c r="J2356" s="4">
        <f t="shared" si="105"/>
        <v>1.105583195135434E-4</v>
      </c>
      <c r="K2356" s="5">
        <f t="shared" si="106"/>
        <v>0.26025428413487323</v>
      </c>
    </row>
    <row r="2357" spans="1:11" x14ac:dyDescent="0.25">
      <c r="A2357" t="s">
        <v>272</v>
      </c>
      <c r="C2357" t="s">
        <v>273</v>
      </c>
      <c r="D2357" t="s">
        <v>5</v>
      </c>
      <c r="E2357" t="s">
        <v>6</v>
      </c>
      <c r="F2357" t="s">
        <v>7</v>
      </c>
      <c r="G2357">
        <v>3</v>
      </c>
      <c r="H2357" s="2">
        <f>Tabelle13[[#This Row],[commits]]/Tabelle13[[#Totals],[commits]]</f>
        <v>1.3943371321273866E-5</v>
      </c>
      <c r="I2357" s="5">
        <f>Tabelle13[[#This Row],[%]]+I2356</f>
        <v>0.95909944412427017</v>
      </c>
      <c r="J2357" s="4">
        <f t="shared" si="105"/>
        <v>1.105583195135434E-4</v>
      </c>
      <c r="K2357" s="5">
        <f t="shared" si="106"/>
        <v>0.26036484245438679</v>
      </c>
    </row>
    <row r="2358" spans="1:11" x14ac:dyDescent="0.25">
      <c r="A2358" t="s">
        <v>274</v>
      </c>
      <c r="C2358" t="s">
        <v>275</v>
      </c>
      <c r="D2358" t="s">
        <v>5</v>
      </c>
      <c r="E2358" t="s">
        <v>6</v>
      </c>
      <c r="F2358" t="s">
        <v>7</v>
      </c>
      <c r="G2358">
        <v>3</v>
      </c>
      <c r="H2358" s="2">
        <f>Tabelle13[[#This Row],[commits]]/Tabelle13[[#Totals],[commits]]</f>
        <v>1.3943371321273866E-5</v>
      </c>
      <c r="I2358" s="5">
        <f>Tabelle13[[#This Row],[%]]+I2357</f>
        <v>0.9591133874955915</v>
      </c>
      <c r="J2358" s="4">
        <f t="shared" si="105"/>
        <v>1.105583195135434E-4</v>
      </c>
      <c r="K2358" s="5">
        <f t="shared" si="106"/>
        <v>0.26047540077390036</v>
      </c>
    </row>
    <row r="2359" spans="1:11" x14ac:dyDescent="0.25">
      <c r="A2359" t="s">
        <v>276</v>
      </c>
      <c r="C2359" t="s">
        <v>277</v>
      </c>
      <c r="D2359" t="s">
        <v>5</v>
      </c>
      <c r="E2359" t="s">
        <v>6</v>
      </c>
      <c r="F2359" t="s">
        <v>7</v>
      </c>
      <c r="G2359">
        <v>3</v>
      </c>
      <c r="H2359" s="2">
        <f>Tabelle13[[#This Row],[commits]]/Tabelle13[[#Totals],[commits]]</f>
        <v>1.3943371321273866E-5</v>
      </c>
      <c r="I2359" s="5">
        <f>Tabelle13[[#This Row],[%]]+I2358</f>
        <v>0.95912733086691282</v>
      </c>
      <c r="J2359" s="4">
        <f t="shared" si="105"/>
        <v>1.105583195135434E-4</v>
      </c>
      <c r="K2359" s="5">
        <f t="shared" si="106"/>
        <v>0.26058595909341392</v>
      </c>
    </row>
    <row r="2360" spans="1:11" x14ac:dyDescent="0.25">
      <c r="A2360" t="s">
        <v>278</v>
      </c>
      <c r="C2360" t="s">
        <v>279</v>
      </c>
      <c r="D2360" t="s">
        <v>5</v>
      </c>
      <c r="E2360" t="s">
        <v>6</v>
      </c>
      <c r="F2360" t="s">
        <v>7</v>
      </c>
      <c r="G2360">
        <v>3</v>
      </c>
      <c r="H2360" s="2">
        <f>Tabelle13[[#This Row],[commits]]/Tabelle13[[#Totals],[commits]]</f>
        <v>1.3943371321273866E-5</v>
      </c>
      <c r="I2360" s="5">
        <f>Tabelle13[[#This Row],[%]]+I2359</f>
        <v>0.95914127423823414</v>
      </c>
      <c r="J2360" s="4">
        <f t="shared" si="105"/>
        <v>1.105583195135434E-4</v>
      </c>
      <c r="K2360" s="5">
        <f t="shared" si="106"/>
        <v>0.26069651741292749</v>
      </c>
    </row>
    <row r="2361" spans="1:11" x14ac:dyDescent="0.25">
      <c r="A2361" t="s">
        <v>280</v>
      </c>
      <c r="C2361" t="s">
        <v>281</v>
      </c>
      <c r="D2361" t="s">
        <v>5</v>
      </c>
      <c r="E2361" t="s">
        <v>6</v>
      </c>
      <c r="F2361" t="s">
        <v>7</v>
      </c>
      <c r="G2361">
        <v>3</v>
      </c>
      <c r="H2361" s="2">
        <f>Tabelle13[[#This Row],[commits]]/Tabelle13[[#Totals],[commits]]</f>
        <v>1.3943371321273866E-5</v>
      </c>
      <c r="I2361" s="5">
        <f>Tabelle13[[#This Row],[%]]+I2360</f>
        <v>0.95915521760955547</v>
      </c>
      <c r="J2361" s="4">
        <f t="shared" si="105"/>
        <v>1.105583195135434E-4</v>
      </c>
      <c r="K2361" s="5">
        <f t="shared" si="106"/>
        <v>0.26080707573244105</v>
      </c>
    </row>
    <row r="2362" spans="1:11" x14ac:dyDescent="0.25">
      <c r="A2362" t="s">
        <v>282</v>
      </c>
      <c r="C2362" t="s">
        <v>283</v>
      </c>
      <c r="D2362" t="s">
        <v>5</v>
      </c>
      <c r="E2362" t="s">
        <v>6</v>
      </c>
      <c r="F2362" t="s">
        <v>7</v>
      </c>
      <c r="G2362">
        <v>3</v>
      </c>
      <c r="H2362" s="2">
        <f>Tabelle13[[#This Row],[commits]]/Tabelle13[[#Totals],[commits]]</f>
        <v>1.3943371321273866E-5</v>
      </c>
      <c r="I2362" s="5">
        <f>Tabelle13[[#This Row],[%]]+I2361</f>
        <v>0.95916916098087679</v>
      </c>
      <c r="J2362" s="4">
        <f t="shared" si="105"/>
        <v>1.105583195135434E-4</v>
      </c>
      <c r="K2362" s="5">
        <f t="shared" si="106"/>
        <v>0.26091763405195462</v>
      </c>
    </row>
    <row r="2363" spans="1:11" x14ac:dyDescent="0.25">
      <c r="A2363" t="s">
        <v>284</v>
      </c>
      <c r="C2363" t="s">
        <v>285</v>
      </c>
      <c r="D2363" t="s">
        <v>5</v>
      </c>
      <c r="E2363" t="s">
        <v>6</v>
      </c>
      <c r="F2363" t="s">
        <v>7</v>
      </c>
      <c r="G2363">
        <v>3</v>
      </c>
      <c r="H2363" s="2">
        <f>Tabelle13[[#This Row],[commits]]/Tabelle13[[#Totals],[commits]]</f>
        <v>1.3943371321273866E-5</v>
      </c>
      <c r="I2363" s="5">
        <f>Tabelle13[[#This Row],[%]]+I2362</f>
        <v>0.95918310435219811</v>
      </c>
      <c r="J2363" s="4">
        <f t="shared" si="105"/>
        <v>1.105583195135434E-4</v>
      </c>
      <c r="K2363" s="5">
        <f t="shared" si="106"/>
        <v>0.26102819237146818</v>
      </c>
    </row>
    <row r="2364" spans="1:11" x14ac:dyDescent="0.25">
      <c r="A2364" t="s">
        <v>286</v>
      </c>
      <c r="C2364" t="s">
        <v>287</v>
      </c>
      <c r="D2364" t="s">
        <v>5</v>
      </c>
      <c r="E2364" t="s">
        <v>6</v>
      </c>
      <c r="F2364" t="s">
        <v>7</v>
      </c>
      <c r="G2364">
        <v>3</v>
      </c>
      <c r="H2364" s="2">
        <f>Tabelle13[[#This Row],[commits]]/Tabelle13[[#Totals],[commits]]</f>
        <v>1.3943371321273866E-5</v>
      </c>
      <c r="I2364" s="5">
        <f>Tabelle13[[#This Row],[%]]+I2363</f>
        <v>0.95919704772351944</v>
      </c>
      <c r="J2364" s="4">
        <f t="shared" si="105"/>
        <v>1.105583195135434E-4</v>
      </c>
      <c r="K2364" s="5">
        <f t="shared" si="106"/>
        <v>0.26113875069098175</v>
      </c>
    </row>
    <row r="2365" spans="1:11" x14ac:dyDescent="0.25">
      <c r="A2365" t="s">
        <v>288</v>
      </c>
      <c r="C2365" t="s">
        <v>289</v>
      </c>
      <c r="D2365" t="s">
        <v>5</v>
      </c>
      <c r="E2365" t="s">
        <v>6</v>
      </c>
      <c r="F2365" t="s">
        <v>7</v>
      </c>
      <c r="G2365">
        <v>3</v>
      </c>
      <c r="H2365" s="2">
        <f>Tabelle13[[#This Row],[commits]]/Tabelle13[[#Totals],[commits]]</f>
        <v>1.3943371321273866E-5</v>
      </c>
      <c r="I2365" s="5">
        <f>Tabelle13[[#This Row],[%]]+I2364</f>
        <v>0.95921099109484076</v>
      </c>
      <c r="J2365" s="4">
        <f t="shared" si="105"/>
        <v>1.105583195135434E-4</v>
      </c>
      <c r="K2365" s="5">
        <f t="shared" si="106"/>
        <v>0.26124930901049531</v>
      </c>
    </row>
    <row r="2366" spans="1:11" x14ac:dyDescent="0.25">
      <c r="A2366" t="s">
        <v>290</v>
      </c>
      <c r="C2366" t="s">
        <v>291</v>
      </c>
      <c r="D2366" t="s">
        <v>5</v>
      </c>
      <c r="E2366" t="s">
        <v>6</v>
      </c>
      <c r="F2366" t="s">
        <v>7</v>
      </c>
      <c r="G2366">
        <v>3</v>
      </c>
      <c r="H2366" s="2">
        <f>Tabelle13[[#This Row],[commits]]/Tabelle13[[#Totals],[commits]]</f>
        <v>1.3943371321273866E-5</v>
      </c>
      <c r="I2366" s="5">
        <f>Tabelle13[[#This Row],[%]]+I2365</f>
        <v>0.95922493446616208</v>
      </c>
      <c r="J2366" s="4">
        <f t="shared" si="105"/>
        <v>1.105583195135434E-4</v>
      </c>
      <c r="K2366" s="5">
        <f t="shared" si="106"/>
        <v>0.26135986733000888</v>
      </c>
    </row>
    <row r="2367" spans="1:11" x14ac:dyDescent="0.25">
      <c r="A2367" t="s">
        <v>292</v>
      </c>
      <c r="C2367" t="s">
        <v>293</v>
      </c>
      <c r="D2367" t="s">
        <v>5</v>
      </c>
      <c r="E2367" t="s">
        <v>6</v>
      </c>
      <c r="F2367" t="s">
        <v>7</v>
      </c>
      <c r="G2367">
        <v>3</v>
      </c>
      <c r="H2367" s="2">
        <f>Tabelle13[[#This Row],[commits]]/Tabelle13[[#Totals],[commits]]</f>
        <v>1.3943371321273866E-5</v>
      </c>
      <c r="I2367" s="5">
        <f>Tabelle13[[#This Row],[%]]+I2366</f>
        <v>0.95923887783748341</v>
      </c>
      <c r="J2367" s="4">
        <f t="shared" si="105"/>
        <v>1.105583195135434E-4</v>
      </c>
      <c r="K2367" s="5">
        <f t="shared" si="106"/>
        <v>0.26147042564952244</v>
      </c>
    </row>
    <row r="2368" spans="1:11" x14ac:dyDescent="0.25">
      <c r="A2368" t="s">
        <v>294</v>
      </c>
      <c r="C2368" t="s">
        <v>295</v>
      </c>
      <c r="D2368" t="s">
        <v>5</v>
      </c>
      <c r="E2368" t="s">
        <v>6</v>
      </c>
      <c r="F2368" t="s">
        <v>7</v>
      </c>
      <c r="G2368">
        <v>3</v>
      </c>
      <c r="H2368" s="2">
        <f>Tabelle13[[#This Row],[commits]]/Tabelle13[[#Totals],[commits]]</f>
        <v>1.3943371321273866E-5</v>
      </c>
      <c r="I2368" s="5">
        <f>Tabelle13[[#This Row],[%]]+I2367</f>
        <v>0.95925282120880473</v>
      </c>
      <c r="J2368" s="4">
        <f t="shared" si="105"/>
        <v>1.105583195135434E-4</v>
      </c>
      <c r="K2368" s="5">
        <f t="shared" si="106"/>
        <v>0.26158098396903601</v>
      </c>
    </row>
    <row r="2369" spans="1:11" x14ac:dyDescent="0.25">
      <c r="A2369" t="s">
        <v>296</v>
      </c>
      <c r="C2369" t="s">
        <v>297</v>
      </c>
      <c r="D2369" t="s">
        <v>5</v>
      </c>
      <c r="E2369" t="s">
        <v>6</v>
      </c>
      <c r="F2369" t="s">
        <v>7</v>
      </c>
      <c r="G2369">
        <v>3</v>
      </c>
      <c r="H2369" s="2">
        <f>Tabelle13[[#This Row],[commits]]/Tabelle13[[#Totals],[commits]]</f>
        <v>1.3943371321273866E-5</v>
      </c>
      <c r="I2369" s="5">
        <f>Tabelle13[[#This Row],[%]]+I2368</f>
        <v>0.95926676458012605</v>
      </c>
      <c r="J2369" s="4">
        <f t="shared" si="105"/>
        <v>1.105583195135434E-4</v>
      </c>
      <c r="K2369" s="5">
        <f t="shared" si="106"/>
        <v>0.26169154228854957</v>
      </c>
    </row>
    <row r="2370" spans="1:11" x14ac:dyDescent="0.25">
      <c r="A2370" t="s">
        <v>298</v>
      </c>
      <c r="C2370" t="s">
        <v>299</v>
      </c>
      <c r="D2370" t="s">
        <v>5</v>
      </c>
      <c r="E2370" t="s">
        <v>6</v>
      </c>
      <c r="F2370" t="s">
        <v>7</v>
      </c>
      <c r="G2370">
        <v>3</v>
      </c>
      <c r="H2370" s="2">
        <f>Tabelle13[[#This Row],[commits]]/Tabelle13[[#Totals],[commits]]</f>
        <v>1.3943371321273866E-5</v>
      </c>
      <c r="I2370" s="5">
        <f>Tabelle13[[#This Row],[%]]+I2369</f>
        <v>0.95928070795144738</v>
      </c>
      <c r="J2370" s="4">
        <f t="shared" si="105"/>
        <v>1.105583195135434E-4</v>
      </c>
      <c r="K2370" s="5">
        <f t="shared" si="106"/>
        <v>0.26180210060806314</v>
      </c>
    </row>
    <row r="2371" spans="1:11" x14ac:dyDescent="0.25">
      <c r="A2371" t="s">
        <v>300</v>
      </c>
      <c r="C2371" t="s">
        <v>301</v>
      </c>
      <c r="D2371" t="s">
        <v>5</v>
      </c>
      <c r="E2371" t="s">
        <v>6</v>
      </c>
      <c r="F2371" t="s">
        <v>7</v>
      </c>
      <c r="G2371">
        <v>3</v>
      </c>
      <c r="H2371" s="2">
        <f>Tabelle13[[#This Row],[commits]]/Tabelle13[[#Totals],[commits]]</f>
        <v>1.3943371321273866E-5</v>
      </c>
      <c r="I2371" s="5">
        <f>Tabelle13[[#This Row],[%]]+I2370</f>
        <v>0.9592946513227687</v>
      </c>
      <c r="J2371" s="4">
        <f t="shared" ref="J2371:J2434" si="107">1/9045</f>
        <v>1.105583195135434E-4</v>
      </c>
      <c r="K2371" s="5">
        <f t="shared" si="106"/>
        <v>0.2619126589275767</v>
      </c>
    </row>
    <row r="2372" spans="1:11" x14ac:dyDescent="0.25">
      <c r="A2372" t="s">
        <v>302</v>
      </c>
      <c r="C2372" t="s">
        <v>211</v>
      </c>
      <c r="D2372" t="s">
        <v>5</v>
      </c>
      <c r="E2372" t="s">
        <v>6</v>
      </c>
      <c r="F2372" t="s">
        <v>7</v>
      </c>
      <c r="G2372">
        <v>3</v>
      </c>
      <c r="H2372" s="2">
        <f>Tabelle13[[#This Row],[commits]]/Tabelle13[[#Totals],[commits]]</f>
        <v>1.3943371321273866E-5</v>
      </c>
      <c r="I2372" s="5">
        <f>Tabelle13[[#This Row],[%]]+I2371</f>
        <v>0.95930859469409002</v>
      </c>
      <c r="J2372" s="4">
        <f t="shared" si="107"/>
        <v>1.105583195135434E-4</v>
      </c>
      <c r="K2372" s="5">
        <f t="shared" si="106"/>
        <v>0.26202321724709027</v>
      </c>
    </row>
    <row r="2373" spans="1:11" x14ac:dyDescent="0.25">
      <c r="A2373" t="s">
        <v>303</v>
      </c>
      <c r="C2373" t="s">
        <v>304</v>
      </c>
      <c r="D2373" t="s">
        <v>5</v>
      </c>
      <c r="E2373" t="s">
        <v>6</v>
      </c>
      <c r="F2373" t="s">
        <v>7</v>
      </c>
      <c r="G2373">
        <v>3</v>
      </c>
      <c r="H2373" s="2">
        <f>Tabelle13[[#This Row],[commits]]/Tabelle13[[#Totals],[commits]]</f>
        <v>1.3943371321273866E-5</v>
      </c>
      <c r="I2373" s="5">
        <f>Tabelle13[[#This Row],[%]]+I2372</f>
        <v>0.95932253806541135</v>
      </c>
      <c r="J2373" s="4">
        <f t="shared" si="107"/>
        <v>1.105583195135434E-4</v>
      </c>
      <c r="K2373" s="5">
        <f t="shared" si="106"/>
        <v>0.26213377556660383</v>
      </c>
    </row>
    <row r="2374" spans="1:11" x14ac:dyDescent="0.25">
      <c r="A2374" t="s">
        <v>305</v>
      </c>
      <c r="C2374" t="s">
        <v>306</v>
      </c>
      <c r="D2374" t="s">
        <v>5</v>
      </c>
      <c r="E2374" t="s">
        <v>6</v>
      </c>
      <c r="F2374" t="s">
        <v>7</v>
      </c>
      <c r="G2374">
        <v>3</v>
      </c>
      <c r="H2374" s="2">
        <f>Tabelle13[[#This Row],[commits]]/Tabelle13[[#Totals],[commits]]</f>
        <v>1.3943371321273866E-5</v>
      </c>
      <c r="I2374" s="5">
        <f>Tabelle13[[#This Row],[%]]+I2373</f>
        <v>0.95933648143673267</v>
      </c>
      <c r="J2374" s="4">
        <f t="shared" si="107"/>
        <v>1.105583195135434E-4</v>
      </c>
      <c r="K2374" s="5">
        <f t="shared" ref="K2374:K2437" si="108">J2374+K2373</f>
        <v>0.2622443338861174</v>
      </c>
    </row>
    <row r="2375" spans="1:11" x14ac:dyDescent="0.25">
      <c r="A2375" t="s">
        <v>307</v>
      </c>
      <c r="C2375" t="s">
        <v>308</v>
      </c>
      <c r="D2375" t="s">
        <v>309</v>
      </c>
      <c r="E2375" t="s">
        <v>6</v>
      </c>
      <c r="F2375" t="s">
        <v>7</v>
      </c>
      <c r="G2375">
        <v>3</v>
      </c>
      <c r="H2375" s="2">
        <f>Tabelle13[[#This Row],[commits]]/Tabelle13[[#Totals],[commits]]</f>
        <v>1.3943371321273866E-5</v>
      </c>
      <c r="I2375" s="5">
        <f>Tabelle13[[#This Row],[%]]+I2374</f>
        <v>0.95935042480805399</v>
      </c>
      <c r="J2375" s="4">
        <f t="shared" si="107"/>
        <v>1.105583195135434E-4</v>
      </c>
      <c r="K2375" s="5">
        <f t="shared" si="108"/>
        <v>0.26235489220563096</v>
      </c>
    </row>
    <row r="2376" spans="1:11" x14ac:dyDescent="0.25">
      <c r="A2376" t="s">
        <v>310</v>
      </c>
      <c r="C2376" t="s">
        <v>311</v>
      </c>
      <c r="D2376" t="s">
        <v>5</v>
      </c>
      <c r="E2376" t="s">
        <v>6</v>
      </c>
      <c r="F2376" t="s">
        <v>7</v>
      </c>
      <c r="G2376">
        <v>3</v>
      </c>
      <c r="H2376" s="2">
        <f>Tabelle13[[#This Row],[commits]]/Tabelle13[[#Totals],[commits]]</f>
        <v>1.3943371321273866E-5</v>
      </c>
      <c r="I2376" s="5">
        <f>Tabelle13[[#This Row],[%]]+I2375</f>
        <v>0.95936436817937532</v>
      </c>
      <c r="J2376" s="4">
        <f t="shared" si="107"/>
        <v>1.105583195135434E-4</v>
      </c>
      <c r="K2376" s="5">
        <f t="shared" si="108"/>
        <v>0.26246545052514453</v>
      </c>
    </row>
    <row r="2377" spans="1:11" x14ac:dyDescent="0.25">
      <c r="A2377" t="s">
        <v>312</v>
      </c>
      <c r="C2377" t="s">
        <v>313</v>
      </c>
      <c r="D2377" t="s">
        <v>5</v>
      </c>
      <c r="E2377" t="s">
        <v>6</v>
      </c>
      <c r="F2377" t="s">
        <v>7</v>
      </c>
      <c r="G2377">
        <v>3</v>
      </c>
      <c r="H2377" s="2">
        <f>Tabelle13[[#This Row],[commits]]/Tabelle13[[#Totals],[commits]]</f>
        <v>1.3943371321273866E-5</v>
      </c>
      <c r="I2377" s="5">
        <f>Tabelle13[[#This Row],[%]]+I2376</f>
        <v>0.95937831155069664</v>
      </c>
      <c r="J2377" s="4">
        <f t="shared" si="107"/>
        <v>1.105583195135434E-4</v>
      </c>
      <c r="K2377" s="5">
        <f t="shared" si="108"/>
        <v>0.26257600884465809</v>
      </c>
    </row>
    <row r="2378" spans="1:11" x14ac:dyDescent="0.25">
      <c r="A2378" t="s">
        <v>314</v>
      </c>
      <c r="C2378" t="s">
        <v>315</v>
      </c>
      <c r="D2378" t="s">
        <v>316</v>
      </c>
      <c r="E2378" t="s">
        <v>6</v>
      </c>
      <c r="F2378" t="s">
        <v>7</v>
      </c>
      <c r="G2378">
        <v>3</v>
      </c>
      <c r="H2378" s="2">
        <f>Tabelle13[[#This Row],[commits]]/Tabelle13[[#Totals],[commits]]</f>
        <v>1.3943371321273866E-5</v>
      </c>
      <c r="I2378" s="5">
        <f>Tabelle13[[#This Row],[%]]+I2377</f>
        <v>0.95939225492201796</v>
      </c>
      <c r="J2378" s="4">
        <f t="shared" si="107"/>
        <v>1.105583195135434E-4</v>
      </c>
      <c r="K2378" s="5">
        <f t="shared" si="108"/>
        <v>0.26268656716417166</v>
      </c>
    </row>
    <row r="2379" spans="1:11" x14ac:dyDescent="0.25">
      <c r="A2379" t="s">
        <v>317</v>
      </c>
      <c r="C2379" t="s">
        <v>318</v>
      </c>
      <c r="D2379" t="s">
        <v>5</v>
      </c>
      <c r="E2379" t="s">
        <v>6</v>
      </c>
      <c r="F2379" t="s">
        <v>7</v>
      </c>
      <c r="G2379">
        <v>3</v>
      </c>
      <c r="H2379" s="2">
        <f>Tabelle13[[#This Row],[commits]]/Tabelle13[[#Totals],[commits]]</f>
        <v>1.3943371321273866E-5</v>
      </c>
      <c r="I2379" s="5">
        <f>Tabelle13[[#This Row],[%]]+I2378</f>
        <v>0.95940619829333929</v>
      </c>
      <c r="J2379" s="4">
        <f t="shared" si="107"/>
        <v>1.105583195135434E-4</v>
      </c>
      <c r="K2379" s="5">
        <f t="shared" si="108"/>
        <v>0.26279712548368522</v>
      </c>
    </row>
    <row r="2380" spans="1:11" x14ac:dyDescent="0.25">
      <c r="A2380" t="s">
        <v>319</v>
      </c>
      <c r="C2380" t="s">
        <v>320</v>
      </c>
      <c r="D2380" t="s">
        <v>5</v>
      </c>
      <c r="E2380" t="s">
        <v>6</v>
      </c>
      <c r="F2380" t="s">
        <v>7</v>
      </c>
      <c r="G2380">
        <v>3</v>
      </c>
      <c r="H2380" s="2">
        <f>Tabelle13[[#This Row],[commits]]/Tabelle13[[#Totals],[commits]]</f>
        <v>1.3943371321273866E-5</v>
      </c>
      <c r="I2380" s="5">
        <f>Tabelle13[[#This Row],[%]]+I2379</f>
        <v>0.95942014166466061</v>
      </c>
      <c r="J2380" s="4">
        <f t="shared" si="107"/>
        <v>1.105583195135434E-4</v>
      </c>
      <c r="K2380" s="5">
        <f t="shared" si="108"/>
        <v>0.26290768380319879</v>
      </c>
    </row>
    <row r="2381" spans="1:11" x14ac:dyDescent="0.25">
      <c r="A2381" t="s">
        <v>321</v>
      </c>
      <c r="C2381" t="s">
        <v>322</v>
      </c>
      <c r="D2381" t="s">
        <v>5</v>
      </c>
      <c r="E2381" t="s">
        <v>6</v>
      </c>
      <c r="F2381" t="s">
        <v>7</v>
      </c>
      <c r="G2381">
        <v>3</v>
      </c>
      <c r="H2381" s="2">
        <f>Tabelle13[[#This Row],[commits]]/Tabelle13[[#Totals],[commits]]</f>
        <v>1.3943371321273866E-5</v>
      </c>
      <c r="I2381" s="5">
        <f>Tabelle13[[#This Row],[%]]+I2380</f>
        <v>0.95943408503598193</v>
      </c>
      <c r="J2381" s="4">
        <f t="shared" si="107"/>
        <v>1.105583195135434E-4</v>
      </c>
      <c r="K2381" s="5">
        <f t="shared" si="108"/>
        <v>0.26301824212271235</v>
      </c>
    </row>
    <row r="2382" spans="1:11" x14ac:dyDescent="0.25">
      <c r="A2382" t="s">
        <v>323</v>
      </c>
      <c r="C2382" t="s">
        <v>324</v>
      </c>
      <c r="D2382" t="s">
        <v>5</v>
      </c>
      <c r="E2382" t="s">
        <v>6</v>
      </c>
      <c r="F2382" t="s">
        <v>7</v>
      </c>
      <c r="G2382">
        <v>3</v>
      </c>
      <c r="H2382" s="2">
        <f>Tabelle13[[#This Row],[commits]]/Tabelle13[[#Totals],[commits]]</f>
        <v>1.3943371321273866E-5</v>
      </c>
      <c r="I2382" s="5">
        <f>Tabelle13[[#This Row],[%]]+I2381</f>
        <v>0.95944802840730325</v>
      </c>
      <c r="J2382" s="4">
        <f t="shared" si="107"/>
        <v>1.105583195135434E-4</v>
      </c>
      <c r="K2382" s="5">
        <f t="shared" si="108"/>
        <v>0.26312880044222592</v>
      </c>
    </row>
    <row r="2383" spans="1:11" x14ac:dyDescent="0.25">
      <c r="A2383" t="s">
        <v>325</v>
      </c>
      <c r="C2383" t="s">
        <v>211</v>
      </c>
      <c r="D2383" t="s">
        <v>5</v>
      </c>
      <c r="E2383" t="s">
        <v>6</v>
      </c>
      <c r="F2383" t="s">
        <v>7</v>
      </c>
      <c r="G2383">
        <v>3</v>
      </c>
      <c r="H2383" s="2">
        <f>Tabelle13[[#This Row],[commits]]/Tabelle13[[#Totals],[commits]]</f>
        <v>1.3943371321273866E-5</v>
      </c>
      <c r="I2383" s="5">
        <f>Tabelle13[[#This Row],[%]]+I2382</f>
        <v>0.95946197177862458</v>
      </c>
      <c r="J2383" s="4">
        <f t="shared" si="107"/>
        <v>1.105583195135434E-4</v>
      </c>
      <c r="K2383" s="5">
        <f t="shared" si="108"/>
        <v>0.26323935876173948</v>
      </c>
    </row>
    <row r="2384" spans="1:11" x14ac:dyDescent="0.25">
      <c r="A2384" t="s">
        <v>326</v>
      </c>
      <c r="C2384" t="s">
        <v>327</v>
      </c>
      <c r="D2384" t="s">
        <v>5</v>
      </c>
      <c r="E2384" t="s">
        <v>6</v>
      </c>
      <c r="F2384" t="s">
        <v>7</v>
      </c>
      <c r="G2384">
        <v>3</v>
      </c>
      <c r="H2384" s="2">
        <f>Tabelle13[[#This Row],[commits]]/Tabelle13[[#Totals],[commits]]</f>
        <v>1.3943371321273866E-5</v>
      </c>
      <c r="I2384" s="5">
        <f>Tabelle13[[#This Row],[%]]+I2383</f>
        <v>0.9594759151499459</v>
      </c>
      <c r="J2384" s="4">
        <f t="shared" si="107"/>
        <v>1.105583195135434E-4</v>
      </c>
      <c r="K2384" s="5">
        <f t="shared" si="108"/>
        <v>0.26334991708125305</v>
      </c>
    </row>
    <row r="2385" spans="1:11" x14ac:dyDescent="0.25">
      <c r="A2385" t="s">
        <v>328</v>
      </c>
      <c r="C2385" t="s">
        <v>329</v>
      </c>
      <c r="D2385" t="s">
        <v>5</v>
      </c>
      <c r="E2385" t="s">
        <v>6</v>
      </c>
      <c r="F2385" t="s">
        <v>7</v>
      </c>
      <c r="G2385">
        <v>3</v>
      </c>
      <c r="H2385" s="2">
        <f>Tabelle13[[#This Row],[commits]]/Tabelle13[[#Totals],[commits]]</f>
        <v>1.3943371321273866E-5</v>
      </c>
      <c r="I2385" s="5">
        <f>Tabelle13[[#This Row],[%]]+I2384</f>
        <v>0.95948985852126722</v>
      </c>
      <c r="J2385" s="4">
        <f t="shared" si="107"/>
        <v>1.105583195135434E-4</v>
      </c>
      <c r="K2385" s="5">
        <f t="shared" si="108"/>
        <v>0.26346047540076661</v>
      </c>
    </row>
    <row r="2386" spans="1:11" x14ac:dyDescent="0.25">
      <c r="A2386" t="s">
        <v>330</v>
      </c>
      <c r="C2386" t="s">
        <v>331</v>
      </c>
      <c r="D2386" t="s">
        <v>5</v>
      </c>
      <c r="E2386" t="s">
        <v>6</v>
      </c>
      <c r="F2386" t="s">
        <v>7</v>
      </c>
      <c r="G2386">
        <v>3</v>
      </c>
      <c r="H2386" s="2">
        <f>Tabelle13[[#This Row],[commits]]/Tabelle13[[#Totals],[commits]]</f>
        <v>1.3943371321273866E-5</v>
      </c>
      <c r="I2386" s="5">
        <f>Tabelle13[[#This Row],[%]]+I2385</f>
        <v>0.95950380189258855</v>
      </c>
      <c r="J2386" s="4">
        <f t="shared" si="107"/>
        <v>1.105583195135434E-4</v>
      </c>
      <c r="K2386" s="5">
        <f t="shared" si="108"/>
        <v>0.26357103372028018</v>
      </c>
    </row>
    <row r="2387" spans="1:11" x14ac:dyDescent="0.25">
      <c r="A2387" t="s">
        <v>556</v>
      </c>
      <c r="C2387" t="s">
        <v>557</v>
      </c>
      <c r="D2387" t="s">
        <v>5</v>
      </c>
      <c r="E2387" t="s">
        <v>6</v>
      </c>
      <c r="F2387" t="s">
        <v>334</v>
      </c>
      <c r="G2387">
        <v>3</v>
      </c>
      <c r="H2387" s="2">
        <f>Tabelle13[[#This Row],[commits]]/Tabelle13[[#Totals],[commits]]</f>
        <v>1.3943371321273866E-5</v>
      </c>
      <c r="I2387" s="5">
        <f>Tabelle13[[#This Row],[%]]+I2386</f>
        <v>0.95951774526390987</v>
      </c>
      <c r="J2387" s="4">
        <f t="shared" si="107"/>
        <v>1.105583195135434E-4</v>
      </c>
      <c r="K2387" s="5">
        <f t="shared" si="108"/>
        <v>0.26368159203979374</v>
      </c>
    </row>
    <row r="2388" spans="1:11" x14ac:dyDescent="0.25">
      <c r="A2388" t="s">
        <v>1925</v>
      </c>
      <c r="C2388" t="s">
        <v>1926</v>
      </c>
      <c r="D2388" t="s">
        <v>1927</v>
      </c>
      <c r="E2388" t="s">
        <v>6</v>
      </c>
      <c r="F2388" t="s">
        <v>28</v>
      </c>
      <c r="G2388">
        <v>3</v>
      </c>
      <c r="H2388" s="2">
        <f>Tabelle13[[#This Row],[commits]]/Tabelle13[[#Totals],[commits]]</f>
        <v>1.3943371321273866E-5</v>
      </c>
      <c r="I2388" s="5">
        <f>Tabelle13[[#This Row],[%]]+I2387</f>
        <v>0.95953168863523119</v>
      </c>
      <c r="J2388" s="4">
        <f t="shared" si="107"/>
        <v>1.105583195135434E-4</v>
      </c>
      <c r="K2388" s="5">
        <f t="shared" si="108"/>
        <v>0.26379215035930731</v>
      </c>
    </row>
    <row r="2389" spans="1:11" x14ac:dyDescent="0.25">
      <c r="A2389" t="s">
        <v>1994</v>
      </c>
      <c r="C2389" t="s">
        <v>1995</v>
      </c>
      <c r="D2389" t="s">
        <v>5</v>
      </c>
      <c r="E2389" t="s">
        <v>6</v>
      </c>
      <c r="F2389" t="s">
        <v>251</v>
      </c>
      <c r="G2389">
        <v>3</v>
      </c>
      <c r="H2389" s="2">
        <f>Tabelle13[[#This Row],[commits]]/Tabelle13[[#Totals],[commits]]</f>
        <v>1.3943371321273866E-5</v>
      </c>
      <c r="I2389" s="5">
        <f>Tabelle13[[#This Row],[%]]+I2388</f>
        <v>0.95954563200655252</v>
      </c>
      <c r="J2389" s="4">
        <f t="shared" si="107"/>
        <v>1.105583195135434E-4</v>
      </c>
      <c r="K2389" s="5">
        <f t="shared" si="108"/>
        <v>0.26390270867882087</v>
      </c>
    </row>
    <row r="2390" spans="1:11" x14ac:dyDescent="0.25">
      <c r="A2390" t="s">
        <v>2970</v>
      </c>
      <c r="C2390" t="s">
        <v>2971</v>
      </c>
      <c r="D2390" t="s">
        <v>5</v>
      </c>
      <c r="E2390" t="s">
        <v>6</v>
      </c>
      <c r="F2390" t="s">
        <v>724</v>
      </c>
      <c r="G2390">
        <v>3</v>
      </c>
      <c r="H2390" s="2">
        <f>Tabelle13[[#This Row],[commits]]/Tabelle13[[#Totals],[commits]]</f>
        <v>1.3943371321273866E-5</v>
      </c>
      <c r="I2390" s="5">
        <f>Tabelle13[[#This Row],[%]]+I2389</f>
        <v>0.95955957537787384</v>
      </c>
      <c r="J2390" s="4">
        <f t="shared" si="107"/>
        <v>1.105583195135434E-4</v>
      </c>
      <c r="K2390" s="5">
        <f t="shared" si="108"/>
        <v>0.26401326699833444</v>
      </c>
    </row>
    <row r="2391" spans="1:11" x14ac:dyDescent="0.25">
      <c r="A2391" t="s">
        <v>2972</v>
      </c>
      <c r="C2391" t="s">
        <v>2973</v>
      </c>
      <c r="D2391" t="s">
        <v>5</v>
      </c>
      <c r="E2391" t="s">
        <v>6</v>
      </c>
      <c r="F2391" t="s">
        <v>724</v>
      </c>
      <c r="G2391">
        <v>3</v>
      </c>
      <c r="H2391" s="2">
        <f>Tabelle13[[#This Row],[commits]]/Tabelle13[[#Totals],[commits]]</f>
        <v>1.3943371321273866E-5</v>
      </c>
      <c r="I2391" s="5">
        <f>Tabelle13[[#This Row],[%]]+I2390</f>
        <v>0.95957351874919516</v>
      </c>
      <c r="J2391" s="4">
        <f t="shared" si="107"/>
        <v>1.105583195135434E-4</v>
      </c>
      <c r="K2391" s="5">
        <f t="shared" si="108"/>
        <v>0.264123825317848</v>
      </c>
    </row>
    <row r="2392" spans="1:11" x14ac:dyDescent="0.25">
      <c r="A2392" t="s">
        <v>2974</v>
      </c>
      <c r="C2392" t="s">
        <v>2975</v>
      </c>
      <c r="D2392" t="s">
        <v>5</v>
      </c>
      <c r="E2392" t="s">
        <v>6</v>
      </c>
      <c r="F2392" t="s">
        <v>724</v>
      </c>
      <c r="G2392">
        <v>3</v>
      </c>
      <c r="H2392" s="2">
        <f>Tabelle13[[#This Row],[commits]]/Tabelle13[[#Totals],[commits]]</f>
        <v>1.3943371321273866E-5</v>
      </c>
      <c r="I2392" s="5">
        <f>Tabelle13[[#This Row],[%]]+I2391</f>
        <v>0.95958746212051649</v>
      </c>
      <c r="J2392" s="4">
        <f t="shared" si="107"/>
        <v>1.105583195135434E-4</v>
      </c>
      <c r="K2392" s="5">
        <f t="shared" si="108"/>
        <v>0.26423438363736157</v>
      </c>
    </row>
    <row r="2393" spans="1:11" x14ac:dyDescent="0.25">
      <c r="A2393" t="s">
        <v>2976</v>
      </c>
      <c r="C2393" t="s">
        <v>2977</v>
      </c>
      <c r="D2393" t="s">
        <v>5</v>
      </c>
      <c r="E2393" t="s">
        <v>6</v>
      </c>
      <c r="F2393" t="s">
        <v>724</v>
      </c>
      <c r="G2393">
        <v>3</v>
      </c>
      <c r="H2393" s="2">
        <f>Tabelle13[[#This Row],[commits]]/Tabelle13[[#Totals],[commits]]</f>
        <v>1.3943371321273866E-5</v>
      </c>
      <c r="I2393" s="5">
        <f>Tabelle13[[#This Row],[%]]+I2392</f>
        <v>0.95960140549183781</v>
      </c>
      <c r="J2393" s="4">
        <f t="shared" si="107"/>
        <v>1.105583195135434E-4</v>
      </c>
      <c r="K2393" s="5">
        <f t="shared" si="108"/>
        <v>0.26434494195687513</v>
      </c>
    </row>
    <row r="2394" spans="1:11" x14ac:dyDescent="0.25">
      <c r="A2394" t="s">
        <v>2978</v>
      </c>
      <c r="C2394" t="s">
        <v>2979</v>
      </c>
      <c r="D2394" t="s">
        <v>5</v>
      </c>
      <c r="E2394" t="s">
        <v>6</v>
      </c>
      <c r="F2394" t="s">
        <v>724</v>
      </c>
      <c r="G2394">
        <v>3</v>
      </c>
      <c r="H2394" s="2">
        <f>Tabelle13[[#This Row],[commits]]/Tabelle13[[#Totals],[commits]]</f>
        <v>1.3943371321273866E-5</v>
      </c>
      <c r="I2394" s="5">
        <f>Tabelle13[[#This Row],[%]]+I2393</f>
        <v>0.95961534886315913</v>
      </c>
      <c r="J2394" s="4">
        <f t="shared" si="107"/>
        <v>1.105583195135434E-4</v>
      </c>
      <c r="K2394" s="5">
        <f t="shared" si="108"/>
        <v>0.2644555002763887</v>
      </c>
    </row>
    <row r="2395" spans="1:11" x14ac:dyDescent="0.25">
      <c r="A2395" t="s">
        <v>2980</v>
      </c>
      <c r="C2395" t="s">
        <v>2981</v>
      </c>
      <c r="D2395" t="s">
        <v>5</v>
      </c>
      <c r="E2395" t="s">
        <v>6</v>
      </c>
      <c r="F2395" t="s">
        <v>724</v>
      </c>
      <c r="G2395">
        <v>3</v>
      </c>
      <c r="H2395" s="2">
        <f>Tabelle13[[#This Row],[commits]]/Tabelle13[[#Totals],[commits]]</f>
        <v>1.3943371321273866E-5</v>
      </c>
      <c r="I2395" s="5">
        <f>Tabelle13[[#This Row],[%]]+I2394</f>
        <v>0.95962929223448046</v>
      </c>
      <c r="J2395" s="4">
        <f t="shared" si="107"/>
        <v>1.105583195135434E-4</v>
      </c>
      <c r="K2395" s="5">
        <f t="shared" si="108"/>
        <v>0.26456605859590226</v>
      </c>
    </row>
    <row r="2396" spans="1:11" x14ac:dyDescent="0.25">
      <c r="A2396" t="s">
        <v>2982</v>
      </c>
      <c r="C2396" t="s">
        <v>2983</v>
      </c>
      <c r="D2396" t="s">
        <v>5</v>
      </c>
      <c r="E2396" t="s">
        <v>6</v>
      </c>
      <c r="F2396" t="s">
        <v>724</v>
      </c>
      <c r="G2396">
        <v>3</v>
      </c>
      <c r="H2396" s="2">
        <f>Tabelle13[[#This Row],[commits]]/Tabelle13[[#Totals],[commits]]</f>
        <v>1.3943371321273866E-5</v>
      </c>
      <c r="I2396" s="5">
        <f>Tabelle13[[#This Row],[%]]+I2395</f>
        <v>0.95964323560580178</v>
      </c>
      <c r="J2396" s="4">
        <f t="shared" si="107"/>
        <v>1.105583195135434E-4</v>
      </c>
      <c r="K2396" s="5">
        <f t="shared" si="108"/>
        <v>0.26467661691541583</v>
      </c>
    </row>
    <row r="2397" spans="1:11" x14ac:dyDescent="0.25">
      <c r="A2397" t="s">
        <v>2984</v>
      </c>
      <c r="C2397" t="s">
        <v>2985</v>
      </c>
      <c r="D2397" t="s">
        <v>5</v>
      </c>
      <c r="E2397" t="s">
        <v>6</v>
      </c>
      <c r="F2397" t="s">
        <v>724</v>
      </c>
      <c r="G2397">
        <v>3</v>
      </c>
      <c r="H2397" s="2">
        <f>Tabelle13[[#This Row],[commits]]/Tabelle13[[#Totals],[commits]]</f>
        <v>1.3943371321273866E-5</v>
      </c>
      <c r="I2397" s="5">
        <f>Tabelle13[[#This Row],[%]]+I2396</f>
        <v>0.9596571789771231</v>
      </c>
      <c r="J2397" s="4">
        <f t="shared" si="107"/>
        <v>1.105583195135434E-4</v>
      </c>
      <c r="K2397" s="5">
        <f t="shared" si="108"/>
        <v>0.2647871752349294</v>
      </c>
    </row>
    <row r="2398" spans="1:11" x14ac:dyDescent="0.25">
      <c r="A2398" t="s">
        <v>2986</v>
      </c>
      <c r="C2398" t="s">
        <v>2987</v>
      </c>
      <c r="D2398" t="s">
        <v>5</v>
      </c>
      <c r="E2398" t="s">
        <v>6</v>
      </c>
      <c r="F2398" t="s">
        <v>724</v>
      </c>
      <c r="G2398">
        <v>3</v>
      </c>
      <c r="H2398" s="2">
        <f>Tabelle13[[#This Row],[commits]]/Tabelle13[[#Totals],[commits]]</f>
        <v>1.3943371321273866E-5</v>
      </c>
      <c r="I2398" s="5">
        <f>Tabelle13[[#This Row],[%]]+I2397</f>
        <v>0.95967112234844443</v>
      </c>
      <c r="J2398" s="4">
        <f t="shared" si="107"/>
        <v>1.105583195135434E-4</v>
      </c>
      <c r="K2398" s="5">
        <f t="shared" si="108"/>
        <v>0.26489773355444296</v>
      </c>
    </row>
    <row r="2399" spans="1:11" x14ac:dyDescent="0.25">
      <c r="A2399" t="s">
        <v>2988</v>
      </c>
      <c r="C2399" t="s">
        <v>2989</v>
      </c>
      <c r="D2399" t="s">
        <v>5</v>
      </c>
      <c r="E2399" t="s">
        <v>6</v>
      </c>
      <c r="F2399" t="s">
        <v>724</v>
      </c>
      <c r="G2399">
        <v>3</v>
      </c>
      <c r="H2399" s="2">
        <f>Tabelle13[[#This Row],[commits]]/Tabelle13[[#Totals],[commits]]</f>
        <v>1.3943371321273866E-5</v>
      </c>
      <c r="I2399" s="5">
        <f>Tabelle13[[#This Row],[%]]+I2398</f>
        <v>0.95968506571976575</v>
      </c>
      <c r="J2399" s="4">
        <f t="shared" si="107"/>
        <v>1.105583195135434E-4</v>
      </c>
      <c r="K2399" s="5">
        <f t="shared" si="108"/>
        <v>0.26500829187395653</v>
      </c>
    </row>
    <row r="2400" spans="1:11" x14ac:dyDescent="0.25">
      <c r="A2400" t="s">
        <v>2990</v>
      </c>
      <c r="C2400" t="s">
        <v>2991</v>
      </c>
      <c r="D2400" t="s">
        <v>5</v>
      </c>
      <c r="E2400" t="s">
        <v>6</v>
      </c>
      <c r="F2400" t="s">
        <v>724</v>
      </c>
      <c r="G2400">
        <v>3</v>
      </c>
      <c r="H2400" s="2">
        <f>Tabelle13[[#This Row],[commits]]/Tabelle13[[#Totals],[commits]]</f>
        <v>1.3943371321273866E-5</v>
      </c>
      <c r="I2400" s="5">
        <f>Tabelle13[[#This Row],[%]]+I2399</f>
        <v>0.95969900909108707</v>
      </c>
      <c r="J2400" s="4">
        <f t="shared" si="107"/>
        <v>1.105583195135434E-4</v>
      </c>
      <c r="K2400" s="5">
        <f t="shared" si="108"/>
        <v>0.26511885019347009</v>
      </c>
    </row>
    <row r="2401" spans="1:11" x14ac:dyDescent="0.25">
      <c r="A2401" t="s">
        <v>2992</v>
      </c>
      <c r="C2401" t="s">
        <v>2993</v>
      </c>
      <c r="D2401" t="s">
        <v>5</v>
      </c>
      <c r="E2401" t="s">
        <v>6</v>
      </c>
      <c r="F2401" t="s">
        <v>724</v>
      </c>
      <c r="G2401">
        <v>3</v>
      </c>
      <c r="H2401" s="2">
        <f>Tabelle13[[#This Row],[commits]]/Tabelle13[[#Totals],[commits]]</f>
        <v>1.3943371321273866E-5</v>
      </c>
      <c r="I2401" s="5">
        <f>Tabelle13[[#This Row],[%]]+I2400</f>
        <v>0.9597129524624084</v>
      </c>
      <c r="J2401" s="4">
        <f t="shared" si="107"/>
        <v>1.105583195135434E-4</v>
      </c>
      <c r="K2401" s="5">
        <f t="shared" si="108"/>
        <v>0.26522940851298366</v>
      </c>
    </row>
    <row r="2402" spans="1:11" x14ac:dyDescent="0.25">
      <c r="A2402" t="s">
        <v>2994</v>
      </c>
      <c r="C2402" t="s">
        <v>2995</v>
      </c>
      <c r="D2402" t="s">
        <v>5</v>
      </c>
      <c r="E2402" t="s">
        <v>6</v>
      </c>
      <c r="F2402" t="s">
        <v>724</v>
      </c>
      <c r="G2402">
        <v>3</v>
      </c>
      <c r="H2402" s="2">
        <f>Tabelle13[[#This Row],[commits]]/Tabelle13[[#Totals],[commits]]</f>
        <v>1.3943371321273866E-5</v>
      </c>
      <c r="I2402" s="5">
        <f>Tabelle13[[#This Row],[%]]+I2401</f>
        <v>0.95972689583372972</v>
      </c>
      <c r="J2402" s="4">
        <f t="shared" si="107"/>
        <v>1.105583195135434E-4</v>
      </c>
      <c r="K2402" s="5">
        <f t="shared" si="108"/>
        <v>0.26533996683249722</v>
      </c>
    </row>
    <row r="2403" spans="1:11" x14ac:dyDescent="0.25">
      <c r="A2403" t="s">
        <v>2996</v>
      </c>
      <c r="C2403" t="s">
        <v>2997</v>
      </c>
      <c r="D2403" t="s">
        <v>5</v>
      </c>
      <c r="E2403" t="s">
        <v>6</v>
      </c>
      <c r="F2403" t="s">
        <v>724</v>
      </c>
      <c r="G2403">
        <v>3</v>
      </c>
      <c r="H2403" s="2">
        <f>Tabelle13[[#This Row],[commits]]/Tabelle13[[#Totals],[commits]]</f>
        <v>1.3943371321273866E-5</v>
      </c>
      <c r="I2403" s="5">
        <f>Tabelle13[[#This Row],[%]]+I2402</f>
        <v>0.95974083920505104</v>
      </c>
      <c r="J2403" s="4">
        <f t="shared" si="107"/>
        <v>1.105583195135434E-4</v>
      </c>
      <c r="K2403" s="5">
        <f t="shared" si="108"/>
        <v>0.26545052515201079</v>
      </c>
    </row>
    <row r="2404" spans="1:11" x14ac:dyDescent="0.25">
      <c r="A2404" t="s">
        <v>2998</v>
      </c>
      <c r="C2404" t="s">
        <v>2999</v>
      </c>
      <c r="D2404" t="s">
        <v>5</v>
      </c>
      <c r="E2404" t="s">
        <v>6</v>
      </c>
      <c r="F2404" t="s">
        <v>724</v>
      </c>
      <c r="G2404">
        <v>3</v>
      </c>
      <c r="H2404" s="2">
        <f>Tabelle13[[#This Row],[commits]]/Tabelle13[[#Totals],[commits]]</f>
        <v>1.3943371321273866E-5</v>
      </c>
      <c r="I2404" s="5">
        <f>Tabelle13[[#This Row],[%]]+I2403</f>
        <v>0.95975478257637237</v>
      </c>
      <c r="J2404" s="4">
        <f t="shared" si="107"/>
        <v>1.105583195135434E-4</v>
      </c>
      <c r="K2404" s="5">
        <f t="shared" si="108"/>
        <v>0.26556108347152435</v>
      </c>
    </row>
    <row r="2405" spans="1:11" x14ac:dyDescent="0.25">
      <c r="A2405" t="s">
        <v>3000</v>
      </c>
      <c r="C2405" t="s">
        <v>3001</v>
      </c>
      <c r="D2405" t="s">
        <v>5</v>
      </c>
      <c r="E2405" t="s">
        <v>6</v>
      </c>
      <c r="F2405" t="s">
        <v>724</v>
      </c>
      <c r="G2405">
        <v>3</v>
      </c>
      <c r="H2405" s="2">
        <f>Tabelle13[[#This Row],[commits]]/Tabelle13[[#Totals],[commits]]</f>
        <v>1.3943371321273866E-5</v>
      </c>
      <c r="I2405" s="5">
        <f>Tabelle13[[#This Row],[%]]+I2404</f>
        <v>0.95976872594769369</v>
      </c>
      <c r="J2405" s="4">
        <f t="shared" si="107"/>
        <v>1.105583195135434E-4</v>
      </c>
      <c r="K2405" s="5">
        <f t="shared" si="108"/>
        <v>0.26567164179103792</v>
      </c>
    </row>
    <row r="2406" spans="1:11" x14ac:dyDescent="0.25">
      <c r="A2406" t="s">
        <v>3002</v>
      </c>
      <c r="C2406" t="s">
        <v>3003</v>
      </c>
      <c r="D2406" t="s">
        <v>5</v>
      </c>
      <c r="E2406" t="s">
        <v>6</v>
      </c>
      <c r="F2406" t="s">
        <v>724</v>
      </c>
      <c r="G2406">
        <v>3</v>
      </c>
      <c r="H2406" s="2">
        <f>Tabelle13[[#This Row],[commits]]/Tabelle13[[#Totals],[commits]]</f>
        <v>1.3943371321273866E-5</v>
      </c>
      <c r="I2406" s="5">
        <f>Tabelle13[[#This Row],[%]]+I2405</f>
        <v>0.95978266931901501</v>
      </c>
      <c r="J2406" s="4">
        <f t="shared" si="107"/>
        <v>1.105583195135434E-4</v>
      </c>
      <c r="K2406" s="5">
        <f t="shared" si="108"/>
        <v>0.26578220011055148</v>
      </c>
    </row>
    <row r="2407" spans="1:11" x14ac:dyDescent="0.25">
      <c r="A2407" t="s">
        <v>3004</v>
      </c>
      <c r="C2407" t="s">
        <v>3005</v>
      </c>
      <c r="D2407" t="s">
        <v>5</v>
      </c>
      <c r="E2407" t="s">
        <v>6</v>
      </c>
      <c r="F2407" t="s">
        <v>724</v>
      </c>
      <c r="G2407">
        <v>3</v>
      </c>
      <c r="H2407" s="2">
        <f>Tabelle13[[#This Row],[commits]]/Tabelle13[[#Totals],[commits]]</f>
        <v>1.3943371321273866E-5</v>
      </c>
      <c r="I2407" s="5">
        <f>Tabelle13[[#This Row],[%]]+I2406</f>
        <v>0.95979661269033634</v>
      </c>
      <c r="J2407" s="4">
        <f t="shared" si="107"/>
        <v>1.105583195135434E-4</v>
      </c>
      <c r="K2407" s="5">
        <f t="shared" si="108"/>
        <v>0.26589275843006505</v>
      </c>
    </row>
    <row r="2408" spans="1:11" x14ac:dyDescent="0.25">
      <c r="A2408" t="s">
        <v>3006</v>
      </c>
      <c r="C2408" t="s">
        <v>3007</v>
      </c>
      <c r="D2408" t="s">
        <v>5</v>
      </c>
      <c r="E2408" t="s">
        <v>6</v>
      </c>
      <c r="F2408" t="s">
        <v>724</v>
      </c>
      <c r="G2408">
        <v>3</v>
      </c>
      <c r="H2408" s="2">
        <f>Tabelle13[[#This Row],[commits]]/Tabelle13[[#Totals],[commits]]</f>
        <v>1.3943371321273866E-5</v>
      </c>
      <c r="I2408" s="5">
        <f>Tabelle13[[#This Row],[%]]+I2407</f>
        <v>0.95981055606165766</v>
      </c>
      <c r="J2408" s="4">
        <f t="shared" si="107"/>
        <v>1.105583195135434E-4</v>
      </c>
      <c r="K2408" s="5">
        <f t="shared" si="108"/>
        <v>0.26600331674957861</v>
      </c>
    </row>
    <row r="2409" spans="1:11" x14ac:dyDescent="0.25">
      <c r="A2409" t="s">
        <v>3008</v>
      </c>
      <c r="C2409" t="s">
        <v>3009</v>
      </c>
      <c r="D2409" t="s">
        <v>5</v>
      </c>
      <c r="E2409" t="s">
        <v>6</v>
      </c>
      <c r="F2409" t="s">
        <v>724</v>
      </c>
      <c r="G2409">
        <v>3</v>
      </c>
      <c r="H2409" s="2">
        <f>Tabelle13[[#This Row],[commits]]/Tabelle13[[#Totals],[commits]]</f>
        <v>1.3943371321273866E-5</v>
      </c>
      <c r="I2409" s="5">
        <f>Tabelle13[[#This Row],[%]]+I2408</f>
        <v>0.95982449943297898</v>
      </c>
      <c r="J2409" s="4">
        <f t="shared" si="107"/>
        <v>1.105583195135434E-4</v>
      </c>
      <c r="K2409" s="5">
        <f t="shared" si="108"/>
        <v>0.26611387506909218</v>
      </c>
    </row>
    <row r="2410" spans="1:11" x14ac:dyDescent="0.25">
      <c r="A2410" t="s">
        <v>3010</v>
      </c>
      <c r="C2410" t="s">
        <v>3011</v>
      </c>
      <c r="D2410" t="s">
        <v>5</v>
      </c>
      <c r="E2410" t="s">
        <v>6</v>
      </c>
      <c r="F2410" t="s">
        <v>724</v>
      </c>
      <c r="G2410">
        <v>3</v>
      </c>
      <c r="H2410" s="2">
        <f>Tabelle13[[#This Row],[commits]]/Tabelle13[[#Totals],[commits]]</f>
        <v>1.3943371321273866E-5</v>
      </c>
      <c r="I2410" s="5">
        <f>Tabelle13[[#This Row],[%]]+I2409</f>
        <v>0.95983844280430031</v>
      </c>
      <c r="J2410" s="4">
        <f t="shared" si="107"/>
        <v>1.105583195135434E-4</v>
      </c>
      <c r="K2410" s="5">
        <f t="shared" si="108"/>
        <v>0.26622443338860574</v>
      </c>
    </row>
    <row r="2411" spans="1:11" x14ac:dyDescent="0.25">
      <c r="A2411" t="s">
        <v>3012</v>
      </c>
      <c r="C2411" t="s">
        <v>3013</v>
      </c>
      <c r="D2411" t="s">
        <v>5</v>
      </c>
      <c r="E2411" t="s">
        <v>6</v>
      </c>
      <c r="F2411" t="s">
        <v>724</v>
      </c>
      <c r="G2411">
        <v>3</v>
      </c>
      <c r="H2411" s="2">
        <f>Tabelle13[[#This Row],[commits]]/Tabelle13[[#Totals],[commits]]</f>
        <v>1.3943371321273866E-5</v>
      </c>
      <c r="I2411" s="5">
        <f>Tabelle13[[#This Row],[%]]+I2410</f>
        <v>0.95985238617562163</v>
      </c>
      <c r="J2411" s="4">
        <f t="shared" si="107"/>
        <v>1.105583195135434E-4</v>
      </c>
      <c r="K2411" s="5">
        <f t="shared" si="108"/>
        <v>0.26633499170811931</v>
      </c>
    </row>
    <row r="2412" spans="1:11" x14ac:dyDescent="0.25">
      <c r="A2412" t="s">
        <v>3014</v>
      </c>
      <c r="C2412" t="s">
        <v>3015</v>
      </c>
      <c r="D2412" t="s">
        <v>5</v>
      </c>
      <c r="E2412" t="s">
        <v>6</v>
      </c>
      <c r="F2412" t="s">
        <v>724</v>
      </c>
      <c r="G2412">
        <v>3</v>
      </c>
      <c r="H2412" s="2">
        <f>Tabelle13[[#This Row],[commits]]/Tabelle13[[#Totals],[commits]]</f>
        <v>1.3943371321273866E-5</v>
      </c>
      <c r="I2412" s="5">
        <f>Tabelle13[[#This Row],[%]]+I2411</f>
        <v>0.95986632954694295</v>
      </c>
      <c r="J2412" s="4">
        <f t="shared" si="107"/>
        <v>1.105583195135434E-4</v>
      </c>
      <c r="K2412" s="5">
        <f t="shared" si="108"/>
        <v>0.26644555002763287</v>
      </c>
    </row>
    <row r="2413" spans="1:11" x14ac:dyDescent="0.25">
      <c r="A2413" t="s">
        <v>3016</v>
      </c>
      <c r="C2413" t="s">
        <v>3017</v>
      </c>
      <c r="D2413" t="s">
        <v>5</v>
      </c>
      <c r="E2413" t="s">
        <v>6</v>
      </c>
      <c r="F2413" t="s">
        <v>724</v>
      </c>
      <c r="G2413">
        <v>3</v>
      </c>
      <c r="H2413" s="2">
        <f>Tabelle13[[#This Row],[commits]]/Tabelle13[[#Totals],[commits]]</f>
        <v>1.3943371321273866E-5</v>
      </c>
      <c r="I2413" s="5">
        <f>Tabelle13[[#This Row],[%]]+I2412</f>
        <v>0.95988027291826428</v>
      </c>
      <c r="J2413" s="4">
        <f t="shared" si="107"/>
        <v>1.105583195135434E-4</v>
      </c>
      <c r="K2413" s="5">
        <f t="shared" si="108"/>
        <v>0.26655610834714644</v>
      </c>
    </row>
    <row r="2414" spans="1:11" x14ac:dyDescent="0.25">
      <c r="A2414" t="s">
        <v>3018</v>
      </c>
      <c r="C2414" t="s">
        <v>3019</v>
      </c>
      <c r="D2414" t="s">
        <v>3020</v>
      </c>
      <c r="E2414" t="s">
        <v>6</v>
      </c>
      <c r="F2414" t="s">
        <v>724</v>
      </c>
      <c r="G2414">
        <v>3</v>
      </c>
      <c r="H2414" s="2">
        <f>Tabelle13[[#This Row],[commits]]/Tabelle13[[#Totals],[commits]]</f>
        <v>1.3943371321273866E-5</v>
      </c>
      <c r="I2414" s="5">
        <f>Tabelle13[[#This Row],[%]]+I2413</f>
        <v>0.9598942162895856</v>
      </c>
      <c r="J2414" s="4">
        <f t="shared" si="107"/>
        <v>1.105583195135434E-4</v>
      </c>
      <c r="K2414" s="5">
        <f t="shared" si="108"/>
        <v>0.26666666666666</v>
      </c>
    </row>
    <row r="2415" spans="1:11" x14ac:dyDescent="0.25">
      <c r="A2415" t="s">
        <v>3021</v>
      </c>
      <c r="C2415" t="s">
        <v>3022</v>
      </c>
      <c r="D2415" t="s">
        <v>5</v>
      </c>
      <c r="E2415" t="s">
        <v>6</v>
      </c>
      <c r="F2415" t="s">
        <v>724</v>
      </c>
      <c r="G2415">
        <v>3</v>
      </c>
      <c r="H2415" s="2">
        <f>Tabelle13[[#This Row],[commits]]/Tabelle13[[#Totals],[commits]]</f>
        <v>1.3943371321273866E-5</v>
      </c>
      <c r="I2415" s="5">
        <f>Tabelle13[[#This Row],[%]]+I2414</f>
        <v>0.95990815966090692</v>
      </c>
      <c r="J2415" s="4">
        <f t="shared" si="107"/>
        <v>1.105583195135434E-4</v>
      </c>
      <c r="K2415" s="5">
        <f t="shared" si="108"/>
        <v>0.26677722498617357</v>
      </c>
    </row>
    <row r="2416" spans="1:11" x14ac:dyDescent="0.25">
      <c r="A2416" t="s">
        <v>3023</v>
      </c>
      <c r="C2416" t="s">
        <v>3024</v>
      </c>
      <c r="D2416" t="s">
        <v>5</v>
      </c>
      <c r="E2416" t="s">
        <v>6</v>
      </c>
      <c r="F2416" t="s">
        <v>724</v>
      </c>
      <c r="G2416">
        <v>3</v>
      </c>
      <c r="H2416" s="2">
        <f>Tabelle13[[#This Row],[commits]]/Tabelle13[[#Totals],[commits]]</f>
        <v>1.3943371321273866E-5</v>
      </c>
      <c r="I2416" s="5">
        <f>Tabelle13[[#This Row],[%]]+I2415</f>
        <v>0.95992210303222825</v>
      </c>
      <c r="J2416" s="4">
        <f t="shared" si="107"/>
        <v>1.105583195135434E-4</v>
      </c>
      <c r="K2416" s="5">
        <f t="shared" si="108"/>
        <v>0.26688778330568713</v>
      </c>
    </row>
    <row r="2417" spans="1:11" x14ac:dyDescent="0.25">
      <c r="A2417" t="s">
        <v>3025</v>
      </c>
      <c r="C2417" t="s">
        <v>3026</v>
      </c>
      <c r="D2417" t="s">
        <v>5</v>
      </c>
      <c r="E2417" t="s">
        <v>6</v>
      </c>
      <c r="F2417" t="s">
        <v>724</v>
      </c>
      <c r="G2417">
        <v>3</v>
      </c>
      <c r="H2417" s="2">
        <f>Tabelle13[[#This Row],[commits]]/Tabelle13[[#Totals],[commits]]</f>
        <v>1.3943371321273866E-5</v>
      </c>
      <c r="I2417" s="5">
        <f>Tabelle13[[#This Row],[%]]+I2416</f>
        <v>0.95993604640354957</v>
      </c>
      <c r="J2417" s="4">
        <f t="shared" si="107"/>
        <v>1.105583195135434E-4</v>
      </c>
      <c r="K2417" s="5">
        <f t="shared" si="108"/>
        <v>0.2669983416252007</v>
      </c>
    </row>
    <row r="2418" spans="1:11" x14ac:dyDescent="0.25">
      <c r="A2418" t="s">
        <v>3027</v>
      </c>
      <c r="C2418" t="s">
        <v>3028</v>
      </c>
      <c r="D2418" t="s">
        <v>5</v>
      </c>
      <c r="E2418" t="s">
        <v>6</v>
      </c>
      <c r="F2418" t="s">
        <v>724</v>
      </c>
      <c r="G2418">
        <v>3</v>
      </c>
      <c r="H2418" s="2">
        <f>Tabelle13[[#This Row],[commits]]/Tabelle13[[#Totals],[commits]]</f>
        <v>1.3943371321273866E-5</v>
      </c>
      <c r="I2418" s="5">
        <f>Tabelle13[[#This Row],[%]]+I2417</f>
        <v>0.95994998977487089</v>
      </c>
      <c r="J2418" s="4">
        <f t="shared" si="107"/>
        <v>1.105583195135434E-4</v>
      </c>
      <c r="K2418" s="5">
        <f t="shared" si="108"/>
        <v>0.26710889994471426</v>
      </c>
    </row>
    <row r="2419" spans="1:11" x14ac:dyDescent="0.25">
      <c r="A2419" t="s">
        <v>3029</v>
      </c>
      <c r="C2419" t="s">
        <v>3030</v>
      </c>
      <c r="D2419" t="s">
        <v>5</v>
      </c>
      <c r="E2419" t="s">
        <v>6</v>
      </c>
      <c r="F2419" t="s">
        <v>724</v>
      </c>
      <c r="G2419">
        <v>3</v>
      </c>
      <c r="H2419" s="2">
        <f>Tabelle13[[#This Row],[commits]]/Tabelle13[[#Totals],[commits]]</f>
        <v>1.3943371321273866E-5</v>
      </c>
      <c r="I2419" s="5">
        <f>Tabelle13[[#This Row],[%]]+I2418</f>
        <v>0.95996393314619222</v>
      </c>
      <c r="J2419" s="4">
        <f t="shared" si="107"/>
        <v>1.105583195135434E-4</v>
      </c>
      <c r="K2419" s="5">
        <f t="shared" si="108"/>
        <v>0.26721945826422783</v>
      </c>
    </row>
    <row r="2420" spans="1:11" x14ac:dyDescent="0.25">
      <c r="A2420" t="s">
        <v>3031</v>
      </c>
      <c r="C2420" t="s">
        <v>3032</v>
      </c>
      <c r="D2420" t="s">
        <v>5</v>
      </c>
      <c r="E2420" t="s">
        <v>6</v>
      </c>
      <c r="F2420" t="s">
        <v>724</v>
      </c>
      <c r="G2420">
        <v>3</v>
      </c>
      <c r="H2420" s="2">
        <f>Tabelle13[[#This Row],[commits]]/Tabelle13[[#Totals],[commits]]</f>
        <v>1.3943371321273866E-5</v>
      </c>
      <c r="I2420" s="5">
        <f>Tabelle13[[#This Row],[%]]+I2419</f>
        <v>0.95997787651751354</v>
      </c>
      <c r="J2420" s="4">
        <f t="shared" si="107"/>
        <v>1.105583195135434E-4</v>
      </c>
      <c r="K2420" s="5">
        <f t="shared" si="108"/>
        <v>0.26733001658374139</v>
      </c>
    </row>
    <row r="2421" spans="1:11" x14ac:dyDescent="0.25">
      <c r="A2421" t="s">
        <v>3033</v>
      </c>
      <c r="C2421" t="s">
        <v>3034</v>
      </c>
      <c r="D2421" t="s">
        <v>5</v>
      </c>
      <c r="E2421" t="s">
        <v>6</v>
      </c>
      <c r="F2421" t="s">
        <v>724</v>
      </c>
      <c r="G2421">
        <v>3</v>
      </c>
      <c r="H2421" s="2">
        <f>Tabelle13[[#This Row],[commits]]/Tabelle13[[#Totals],[commits]]</f>
        <v>1.3943371321273866E-5</v>
      </c>
      <c r="I2421" s="5">
        <f>Tabelle13[[#This Row],[%]]+I2420</f>
        <v>0.95999181988883486</v>
      </c>
      <c r="J2421" s="4">
        <f t="shared" si="107"/>
        <v>1.105583195135434E-4</v>
      </c>
      <c r="K2421" s="5">
        <f t="shared" si="108"/>
        <v>0.26744057490325496</v>
      </c>
    </row>
    <row r="2422" spans="1:11" x14ac:dyDescent="0.25">
      <c r="A2422" t="s">
        <v>3035</v>
      </c>
      <c r="C2422" t="s">
        <v>3036</v>
      </c>
      <c r="D2422" t="s">
        <v>5</v>
      </c>
      <c r="E2422" t="s">
        <v>6</v>
      </c>
      <c r="F2422" t="s">
        <v>724</v>
      </c>
      <c r="G2422">
        <v>3</v>
      </c>
      <c r="H2422" s="2">
        <f>Tabelle13[[#This Row],[commits]]/Tabelle13[[#Totals],[commits]]</f>
        <v>1.3943371321273866E-5</v>
      </c>
      <c r="I2422" s="5">
        <f>Tabelle13[[#This Row],[%]]+I2421</f>
        <v>0.96000576326015619</v>
      </c>
      <c r="J2422" s="4">
        <f t="shared" si="107"/>
        <v>1.105583195135434E-4</v>
      </c>
      <c r="K2422" s="5">
        <f t="shared" si="108"/>
        <v>0.26755113322276852</v>
      </c>
    </row>
    <row r="2423" spans="1:11" x14ac:dyDescent="0.25">
      <c r="A2423" t="s">
        <v>3037</v>
      </c>
      <c r="C2423" t="s">
        <v>3038</v>
      </c>
      <c r="D2423" t="s">
        <v>309</v>
      </c>
      <c r="E2423" t="s">
        <v>6</v>
      </c>
      <c r="F2423" t="s">
        <v>724</v>
      </c>
      <c r="G2423">
        <v>3</v>
      </c>
      <c r="H2423" s="2">
        <f>Tabelle13[[#This Row],[commits]]/Tabelle13[[#Totals],[commits]]</f>
        <v>1.3943371321273866E-5</v>
      </c>
      <c r="I2423" s="5">
        <f>Tabelle13[[#This Row],[%]]+I2422</f>
        <v>0.96001970663147751</v>
      </c>
      <c r="J2423" s="4">
        <f t="shared" si="107"/>
        <v>1.105583195135434E-4</v>
      </c>
      <c r="K2423" s="5">
        <f t="shared" si="108"/>
        <v>0.26766169154228209</v>
      </c>
    </row>
    <row r="2424" spans="1:11" x14ac:dyDescent="0.25">
      <c r="A2424" t="s">
        <v>3039</v>
      </c>
      <c r="C2424" t="s">
        <v>3040</v>
      </c>
      <c r="D2424" t="s">
        <v>5</v>
      </c>
      <c r="E2424" t="s">
        <v>6</v>
      </c>
      <c r="F2424" t="s">
        <v>724</v>
      </c>
      <c r="G2424">
        <v>3</v>
      </c>
      <c r="H2424" s="2">
        <f>Tabelle13[[#This Row],[commits]]/Tabelle13[[#Totals],[commits]]</f>
        <v>1.3943371321273866E-5</v>
      </c>
      <c r="I2424" s="5">
        <f>Tabelle13[[#This Row],[%]]+I2423</f>
        <v>0.96003365000279883</v>
      </c>
      <c r="J2424" s="4">
        <f t="shared" si="107"/>
        <v>1.105583195135434E-4</v>
      </c>
      <c r="K2424" s="5">
        <f t="shared" si="108"/>
        <v>0.26777224986179565</v>
      </c>
    </row>
    <row r="2425" spans="1:11" x14ac:dyDescent="0.25">
      <c r="A2425" t="s">
        <v>3041</v>
      </c>
      <c r="C2425" t="s">
        <v>3042</v>
      </c>
      <c r="D2425" t="s">
        <v>5</v>
      </c>
      <c r="E2425" t="s">
        <v>6</v>
      </c>
      <c r="F2425" t="s">
        <v>724</v>
      </c>
      <c r="G2425">
        <v>3</v>
      </c>
      <c r="H2425" s="2">
        <f>Tabelle13[[#This Row],[commits]]/Tabelle13[[#Totals],[commits]]</f>
        <v>1.3943371321273866E-5</v>
      </c>
      <c r="I2425" s="5">
        <f>Tabelle13[[#This Row],[%]]+I2424</f>
        <v>0.96004759337412016</v>
      </c>
      <c r="J2425" s="4">
        <f t="shared" si="107"/>
        <v>1.105583195135434E-4</v>
      </c>
      <c r="K2425" s="5">
        <f t="shared" si="108"/>
        <v>0.26788280818130922</v>
      </c>
    </row>
    <row r="2426" spans="1:11" x14ac:dyDescent="0.25">
      <c r="A2426" t="s">
        <v>3043</v>
      </c>
      <c r="C2426" t="s">
        <v>3044</v>
      </c>
      <c r="D2426" t="s">
        <v>5</v>
      </c>
      <c r="E2426" t="s">
        <v>6</v>
      </c>
      <c r="F2426" t="s">
        <v>724</v>
      </c>
      <c r="G2426">
        <v>3</v>
      </c>
      <c r="H2426" s="2">
        <f>Tabelle13[[#This Row],[commits]]/Tabelle13[[#Totals],[commits]]</f>
        <v>1.3943371321273866E-5</v>
      </c>
      <c r="I2426" s="5">
        <f>Tabelle13[[#This Row],[%]]+I2425</f>
        <v>0.96006153674544148</v>
      </c>
      <c r="J2426" s="4">
        <f t="shared" si="107"/>
        <v>1.105583195135434E-4</v>
      </c>
      <c r="K2426" s="5">
        <f t="shared" si="108"/>
        <v>0.26799336650082278</v>
      </c>
    </row>
    <row r="2427" spans="1:11" x14ac:dyDescent="0.25">
      <c r="A2427" t="s">
        <v>3045</v>
      </c>
      <c r="C2427" t="s">
        <v>3046</v>
      </c>
      <c r="D2427" t="s">
        <v>5</v>
      </c>
      <c r="E2427" t="s">
        <v>6</v>
      </c>
      <c r="F2427" t="s">
        <v>724</v>
      </c>
      <c r="G2427">
        <v>3</v>
      </c>
      <c r="H2427" s="2">
        <f>Tabelle13[[#This Row],[commits]]/Tabelle13[[#Totals],[commits]]</f>
        <v>1.3943371321273866E-5</v>
      </c>
      <c r="I2427" s="5">
        <f>Tabelle13[[#This Row],[%]]+I2426</f>
        <v>0.9600754801167628</v>
      </c>
      <c r="J2427" s="4">
        <f t="shared" si="107"/>
        <v>1.105583195135434E-4</v>
      </c>
      <c r="K2427" s="5">
        <f t="shared" si="108"/>
        <v>0.26810392482033635</v>
      </c>
    </row>
    <row r="2428" spans="1:11" x14ac:dyDescent="0.25">
      <c r="A2428" t="s">
        <v>3047</v>
      </c>
      <c r="C2428" t="s">
        <v>3048</v>
      </c>
      <c r="D2428" t="s">
        <v>5</v>
      </c>
      <c r="E2428" t="s">
        <v>6</v>
      </c>
      <c r="F2428" t="s">
        <v>724</v>
      </c>
      <c r="G2428">
        <v>3</v>
      </c>
      <c r="H2428" s="2">
        <f>Tabelle13[[#This Row],[commits]]/Tabelle13[[#Totals],[commits]]</f>
        <v>1.3943371321273866E-5</v>
      </c>
      <c r="I2428" s="5">
        <f>Tabelle13[[#This Row],[%]]+I2427</f>
        <v>0.96008942348808413</v>
      </c>
      <c r="J2428" s="4">
        <f t="shared" si="107"/>
        <v>1.105583195135434E-4</v>
      </c>
      <c r="K2428" s="5">
        <f t="shared" si="108"/>
        <v>0.26821448313984991</v>
      </c>
    </row>
    <row r="2429" spans="1:11" x14ac:dyDescent="0.25">
      <c r="A2429" t="s">
        <v>3049</v>
      </c>
      <c r="C2429" t="s">
        <v>3050</v>
      </c>
      <c r="D2429" t="s">
        <v>5</v>
      </c>
      <c r="E2429" t="s">
        <v>6</v>
      </c>
      <c r="F2429" t="s">
        <v>724</v>
      </c>
      <c r="G2429">
        <v>3</v>
      </c>
      <c r="H2429" s="2">
        <f>Tabelle13[[#This Row],[commits]]/Tabelle13[[#Totals],[commits]]</f>
        <v>1.3943371321273866E-5</v>
      </c>
      <c r="I2429" s="5">
        <f>Tabelle13[[#This Row],[%]]+I2428</f>
        <v>0.96010336685940545</v>
      </c>
      <c r="J2429" s="4">
        <f t="shared" si="107"/>
        <v>1.105583195135434E-4</v>
      </c>
      <c r="K2429" s="5">
        <f t="shared" si="108"/>
        <v>0.26832504145936348</v>
      </c>
    </row>
    <row r="2430" spans="1:11" x14ac:dyDescent="0.25">
      <c r="A2430" t="s">
        <v>3051</v>
      </c>
      <c r="C2430" t="s">
        <v>3052</v>
      </c>
      <c r="D2430" t="s">
        <v>3053</v>
      </c>
      <c r="E2430" t="s">
        <v>6</v>
      </c>
      <c r="F2430" t="s">
        <v>724</v>
      </c>
      <c r="G2430">
        <v>3</v>
      </c>
      <c r="H2430" s="2">
        <f>Tabelle13[[#This Row],[commits]]/Tabelle13[[#Totals],[commits]]</f>
        <v>1.3943371321273866E-5</v>
      </c>
      <c r="I2430" s="5">
        <f>Tabelle13[[#This Row],[%]]+I2429</f>
        <v>0.96011731023072677</v>
      </c>
      <c r="J2430" s="4">
        <f t="shared" si="107"/>
        <v>1.105583195135434E-4</v>
      </c>
      <c r="K2430" s="5">
        <f t="shared" si="108"/>
        <v>0.26843559977887704</v>
      </c>
    </row>
    <row r="2431" spans="1:11" x14ac:dyDescent="0.25">
      <c r="A2431" t="s">
        <v>3054</v>
      </c>
      <c r="C2431" t="s">
        <v>3055</v>
      </c>
      <c r="D2431" t="s">
        <v>5</v>
      </c>
      <c r="E2431" t="s">
        <v>6</v>
      </c>
      <c r="F2431" t="s">
        <v>724</v>
      </c>
      <c r="G2431">
        <v>3</v>
      </c>
      <c r="H2431" s="2">
        <f>Tabelle13[[#This Row],[commits]]/Tabelle13[[#Totals],[commits]]</f>
        <v>1.3943371321273866E-5</v>
      </c>
      <c r="I2431" s="5">
        <f>Tabelle13[[#This Row],[%]]+I2430</f>
        <v>0.9601312536020481</v>
      </c>
      <c r="J2431" s="4">
        <f t="shared" si="107"/>
        <v>1.105583195135434E-4</v>
      </c>
      <c r="K2431" s="5">
        <f t="shared" si="108"/>
        <v>0.26854615809839061</v>
      </c>
    </row>
    <row r="2432" spans="1:11" x14ac:dyDescent="0.25">
      <c r="A2432" t="s">
        <v>3056</v>
      </c>
      <c r="C2432" t="s">
        <v>151</v>
      </c>
      <c r="D2432" t="s">
        <v>5</v>
      </c>
      <c r="E2432" t="s">
        <v>6</v>
      </c>
      <c r="F2432" t="s">
        <v>724</v>
      </c>
      <c r="G2432">
        <v>3</v>
      </c>
      <c r="H2432" s="2">
        <f>Tabelle13[[#This Row],[commits]]/Tabelle13[[#Totals],[commits]]</f>
        <v>1.3943371321273866E-5</v>
      </c>
      <c r="I2432" s="5">
        <f>Tabelle13[[#This Row],[%]]+I2431</f>
        <v>0.96014519697336942</v>
      </c>
      <c r="J2432" s="4">
        <f t="shared" si="107"/>
        <v>1.105583195135434E-4</v>
      </c>
      <c r="K2432" s="5">
        <f t="shared" si="108"/>
        <v>0.26865671641790417</v>
      </c>
    </row>
    <row r="2433" spans="1:11" x14ac:dyDescent="0.25">
      <c r="A2433" t="s">
        <v>3057</v>
      </c>
      <c r="C2433" t="s">
        <v>3058</v>
      </c>
      <c r="D2433" t="s">
        <v>5</v>
      </c>
      <c r="E2433" t="s">
        <v>6</v>
      </c>
      <c r="F2433" t="s">
        <v>724</v>
      </c>
      <c r="G2433">
        <v>3</v>
      </c>
      <c r="H2433" s="2">
        <f>Tabelle13[[#This Row],[commits]]/Tabelle13[[#Totals],[commits]]</f>
        <v>1.3943371321273866E-5</v>
      </c>
      <c r="I2433" s="5">
        <f>Tabelle13[[#This Row],[%]]+I2432</f>
        <v>0.96015914034469074</v>
      </c>
      <c r="J2433" s="4">
        <f t="shared" si="107"/>
        <v>1.105583195135434E-4</v>
      </c>
      <c r="K2433" s="5">
        <f t="shared" si="108"/>
        <v>0.26876727473741774</v>
      </c>
    </row>
    <row r="2434" spans="1:11" x14ac:dyDescent="0.25">
      <c r="A2434" t="s">
        <v>3059</v>
      </c>
      <c r="C2434" t="s">
        <v>3060</v>
      </c>
      <c r="D2434" t="s">
        <v>5</v>
      </c>
      <c r="E2434" t="s">
        <v>6</v>
      </c>
      <c r="F2434" t="s">
        <v>724</v>
      </c>
      <c r="G2434">
        <v>3</v>
      </c>
      <c r="H2434" s="2">
        <f>Tabelle13[[#This Row],[commits]]/Tabelle13[[#Totals],[commits]]</f>
        <v>1.3943371321273866E-5</v>
      </c>
      <c r="I2434" s="5">
        <f>Tabelle13[[#This Row],[%]]+I2433</f>
        <v>0.96017308371601207</v>
      </c>
      <c r="J2434" s="4">
        <f t="shared" si="107"/>
        <v>1.105583195135434E-4</v>
      </c>
      <c r="K2434" s="5">
        <f t="shared" si="108"/>
        <v>0.2688778330569313</v>
      </c>
    </row>
    <row r="2435" spans="1:11" x14ac:dyDescent="0.25">
      <c r="A2435" t="s">
        <v>3061</v>
      </c>
      <c r="C2435" t="s">
        <v>3062</v>
      </c>
      <c r="D2435" t="s">
        <v>5</v>
      </c>
      <c r="E2435" t="s">
        <v>6</v>
      </c>
      <c r="F2435" t="s">
        <v>724</v>
      </c>
      <c r="G2435">
        <v>3</v>
      </c>
      <c r="H2435" s="2">
        <f>Tabelle13[[#This Row],[commits]]/Tabelle13[[#Totals],[commits]]</f>
        <v>1.3943371321273866E-5</v>
      </c>
      <c r="I2435" s="5">
        <f>Tabelle13[[#This Row],[%]]+I2434</f>
        <v>0.96018702708733339</v>
      </c>
      <c r="J2435" s="4">
        <f t="shared" ref="J2435:J2498" si="109">1/9045</f>
        <v>1.105583195135434E-4</v>
      </c>
      <c r="K2435" s="5">
        <f t="shared" si="108"/>
        <v>0.26898839137644487</v>
      </c>
    </row>
    <row r="2436" spans="1:11" x14ac:dyDescent="0.25">
      <c r="A2436" t="s">
        <v>3063</v>
      </c>
      <c r="C2436" t="s">
        <v>3064</v>
      </c>
      <c r="D2436" t="s">
        <v>5</v>
      </c>
      <c r="E2436" t="s">
        <v>6</v>
      </c>
      <c r="F2436" t="s">
        <v>724</v>
      </c>
      <c r="G2436">
        <v>3</v>
      </c>
      <c r="H2436" s="2">
        <f>Tabelle13[[#This Row],[commits]]/Tabelle13[[#Totals],[commits]]</f>
        <v>1.3943371321273866E-5</v>
      </c>
      <c r="I2436" s="5">
        <f>Tabelle13[[#This Row],[%]]+I2435</f>
        <v>0.96020097045865471</v>
      </c>
      <c r="J2436" s="4">
        <f t="shared" si="109"/>
        <v>1.105583195135434E-4</v>
      </c>
      <c r="K2436" s="5">
        <f t="shared" si="108"/>
        <v>0.26909894969595843</v>
      </c>
    </row>
    <row r="2437" spans="1:11" x14ac:dyDescent="0.25">
      <c r="A2437" t="s">
        <v>3065</v>
      </c>
      <c r="C2437" t="s">
        <v>3066</v>
      </c>
      <c r="D2437" t="s">
        <v>5</v>
      </c>
      <c r="E2437" t="s">
        <v>6</v>
      </c>
      <c r="F2437" t="s">
        <v>724</v>
      </c>
      <c r="G2437">
        <v>3</v>
      </c>
      <c r="H2437" s="2">
        <f>Tabelle13[[#This Row],[commits]]/Tabelle13[[#Totals],[commits]]</f>
        <v>1.3943371321273866E-5</v>
      </c>
      <c r="I2437" s="5">
        <f>Tabelle13[[#This Row],[%]]+I2436</f>
        <v>0.96021491382997604</v>
      </c>
      <c r="J2437" s="4">
        <f t="shared" si="109"/>
        <v>1.105583195135434E-4</v>
      </c>
      <c r="K2437" s="5">
        <f t="shared" si="108"/>
        <v>0.269209508015472</v>
      </c>
    </row>
    <row r="2438" spans="1:11" x14ac:dyDescent="0.25">
      <c r="A2438" t="s">
        <v>3067</v>
      </c>
      <c r="C2438" t="s">
        <v>3068</v>
      </c>
      <c r="D2438" t="s">
        <v>5</v>
      </c>
      <c r="E2438" t="s">
        <v>6</v>
      </c>
      <c r="F2438" t="s">
        <v>724</v>
      </c>
      <c r="G2438">
        <v>3</v>
      </c>
      <c r="H2438" s="2">
        <f>Tabelle13[[#This Row],[commits]]/Tabelle13[[#Totals],[commits]]</f>
        <v>1.3943371321273866E-5</v>
      </c>
      <c r="I2438" s="5">
        <f>Tabelle13[[#This Row],[%]]+I2437</f>
        <v>0.96022885720129736</v>
      </c>
      <c r="J2438" s="4">
        <f t="shared" si="109"/>
        <v>1.105583195135434E-4</v>
      </c>
      <c r="K2438" s="5">
        <f t="shared" ref="K2438:K2501" si="110">J2438+K2437</f>
        <v>0.26932006633498556</v>
      </c>
    </row>
    <row r="2439" spans="1:11" x14ac:dyDescent="0.25">
      <c r="A2439" t="s">
        <v>3069</v>
      </c>
      <c r="C2439" t="s">
        <v>3070</v>
      </c>
      <c r="D2439" t="s">
        <v>5</v>
      </c>
      <c r="E2439" t="s">
        <v>6</v>
      </c>
      <c r="F2439" t="s">
        <v>724</v>
      </c>
      <c r="G2439">
        <v>3</v>
      </c>
      <c r="H2439" s="2">
        <f>Tabelle13[[#This Row],[commits]]/Tabelle13[[#Totals],[commits]]</f>
        <v>1.3943371321273866E-5</v>
      </c>
      <c r="I2439" s="5">
        <f>Tabelle13[[#This Row],[%]]+I2438</f>
        <v>0.96024280057261868</v>
      </c>
      <c r="J2439" s="4">
        <f t="shared" si="109"/>
        <v>1.105583195135434E-4</v>
      </c>
      <c r="K2439" s="5">
        <f t="shared" si="110"/>
        <v>0.26943062465449913</v>
      </c>
    </row>
    <row r="2440" spans="1:11" x14ac:dyDescent="0.25">
      <c r="A2440" t="s">
        <v>3071</v>
      </c>
      <c r="C2440" t="s">
        <v>3072</v>
      </c>
      <c r="D2440" t="s">
        <v>5</v>
      </c>
      <c r="E2440" t="s">
        <v>6</v>
      </c>
      <c r="F2440" t="s">
        <v>724</v>
      </c>
      <c r="G2440">
        <v>3</v>
      </c>
      <c r="H2440" s="2">
        <f>Tabelle13[[#This Row],[commits]]/Tabelle13[[#Totals],[commits]]</f>
        <v>1.3943371321273866E-5</v>
      </c>
      <c r="I2440" s="5">
        <f>Tabelle13[[#This Row],[%]]+I2439</f>
        <v>0.96025674394394001</v>
      </c>
      <c r="J2440" s="4">
        <f t="shared" si="109"/>
        <v>1.105583195135434E-4</v>
      </c>
      <c r="K2440" s="5">
        <f t="shared" si="110"/>
        <v>0.26954118297401269</v>
      </c>
    </row>
    <row r="2441" spans="1:11" x14ac:dyDescent="0.25">
      <c r="A2441" t="s">
        <v>3073</v>
      </c>
      <c r="C2441" t="s">
        <v>3074</v>
      </c>
      <c r="D2441" t="s">
        <v>5</v>
      </c>
      <c r="E2441" t="s">
        <v>6</v>
      </c>
      <c r="F2441" t="s">
        <v>724</v>
      </c>
      <c r="G2441">
        <v>3</v>
      </c>
      <c r="H2441" s="2">
        <f>Tabelle13[[#This Row],[commits]]/Tabelle13[[#Totals],[commits]]</f>
        <v>1.3943371321273866E-5</v>
      </c>
      <c r="I2441" s="5">
        <f>Tabelle13[[#This Row],[%]]+I2440</f>
        <v>0.96027068731526133</v>
      </c>
      <c r="J2441" s="4">
        <f t="shared" si="109"/>
        <v>1.105583195135434E-4</v>
      </c>
      <c r="K2441" s="5">
        <f t="shared" si="110"/>
        <v>0.26965174129352626</v>
      </c>
    </row>
    <row r="2442" spans="1:11" x14ac:dyDescent="0.25">
      <c r="A2442" t="s">
        <v>3075</v>
      </c>
      <c r="C2442" t="s">
        <v>3076</v>
      </c>
      <c r="D2442" t="s">
        <v>5</v>
      </c>
      <c r="E2442" t="s">
        <v>6</v>
      </c>
      <c r="F2442" t="s">
        <v>724</v>
      </c>
      <c r="G2442">
        <v>3</v>
      </c>
      <c r="H2442" s="2">
        <f>Tabelle13[[#This Row],[commits]]/Tabelle13[[#Totals],[commits]]</f>
        <v>1.3943371321273866E-5</v>
      </c>
      <c r="I2442" s="5">
        <f>Tabelle13[[#This Row],[%]]+I2441</f>
        <v>0.96028463068658265</v>
      </c>
      <c r="J2442" s="4">
        <f t="shared" si="109"/>
        <v>1.105583195135434E-4</v>
      </c>
      <c r="K2442" s="5">
        <f t="shared" si="110"/>
        <v>0.26976229961303982</v>
      </c>
    </row>
    <row r="2443" spans="1:11" x14ac:dyDescent="0.25">
      <c r="A2443" t="s">
        <v>3077</v>
      </c>
      <c r="C2443" t="s">
        <v>2818</v>
      </c>
      <c r="D2443" t="s">
        <v>3078</v>
      </c>
      <c r="E2443" t="s">
        <v>6</v>
      </c>
      <c r="F2443" t="s">
        <v>724</v>
      </c>
      <c r="G2443">
        <v>3</v>
      </c>
      <c r="H2443" s="2">
        <f>Tabelle13[[#This Row],[commits]]/Tabelle13[[#Totals],[commits]]</f>
        <v>1.3943371321273866E-5</v>
      </c>
      <c r="I2443" s="5">
        <f>Tabelle13[[#This Row],[%]]+I2442</f>
        <v>0.96029857405790398</v>
      </c>
      <c r="J2443" s="4">
        <f t="shared" si="109"/>
        <v>1.105583195135434E-4</v>
      </c>
      <c r="K2443" s="5">
        <f t="shared" si="110"/>
        <v>0.26987285793255339</v>
      </c>
    </row>
    <row r="2444" spans="1:11" x14ac:dyDescent="0.25">
      <c r="A2444" t="s">
        <v>3079</v>
      </c>
      <c r="C2444" t="s">
        <v>3080</v>
      </c>
      <c r="D2444" t="s">
        <v>5</v>
      </c>
      <c r="E2444" t="s">
        <v>6</v>
      </c>
      <c r="F2444" t="s">
        <v>724</v>
      </c>
      <c r="G2444">
        <v>3</v>
      </c>
      <c r="H2444" s="2">
        <f>Tabelle13[[#This Row],[commits]]/Tabelle13[[#Totals],[commits]]</f>
        <v>1.3943371321273866E-5</v>
      </c>
      <c r="I2444" s="5">
        <f>Tabelle13[[#This Row],[%]]+I2443</f>
        <v>0.9603125174292253</v>
      </c>
      <c r="J2444" s="4">
        <f t="shared" si="109"/>
        <v>1.105583195135434E-4</v>
      </c>
      <c r="K2444" s="5">
        <f t="shared" si="110"/>
        <v>0.26998341625206695</v>
      </c>
    </row>
    <row r="2445" spans="1:11" x14ac:dyDescent="0.25">
      <c r="A2445" t="s">
        <v>3081</v>
      </c>
      <c r="C2445" t="s">
        <v>3082</v>
      </c>
      <c r="D2445" t="s">
        <v>5</v>
      </c>
      <c r="E2445" t="s">
        <v>6</v>
      </c>
      <c r="F2445" t="s">
        <v>724</v>
      </c>
      <c r="G2445">
        <v>3</v>
      </c>
      <c r="H2445" s="2">
        <f>Tabelle13[[#This Row],[commits]]/Tabelle13[[#Totals],[commits]]</f>
        <v>1.3943371321273866E-5</v>
      </c>
      <c r="I2445" s="5">
        <f>Tabelle13[[#This Row],[%]]+I2444</f>
        <v>0.96032646080054662</v>
      </c>
      <c r="J2445" s="4">
        <f t="shared" si="109"/>
        <v>1.105583195135434E-4</v>
      </c>
      <c r="K2445" s="5">
        <f t="shared" si="110"/>
        <v>0.27009397457158052</v>
      </c>
    </row>
    <row r="2446" spans="1:11" x14ac:dyDescent="0.25">
      <c r="A2446" t="s">
        <v>3083</v>
      </c>
      <c r="C2446" t="s">
        <v>3084</v>
      </c>
      <c r="D2446" t="s">
        <v>5</v>
      </c>
      <c r="E2446" t="s">
        <v>6</v>
      </c>
      <c r="F2446" t="s">
        <v>724</v>
      </c>
      <c r="G2446">
        <v>3</v>
      </c>
      <c r="H2446" s="2">
        <f>Tabelle13[[#This Row],[commits]]/Tabelle13[[#Totals],[commits]]</f>
        <v>1.3943371321273866E-5</v>
      </c>
      <c r="I2446" s="5">
        <f>Tabelle13[[#This Row],[%]]+I2445</f>
        <v>0.96034040417186795</v>
      </c>
      <c r="J2446" s="4">
        <f t="shared" si="109"/>
        <v>1.105583195135434E-4</v>
      </c>
      <c r="K2446" s="5">
        <f t="shared" si="110"/>
        <v>0.27020453289109408</v>
      </c>
    </row>
    <row r="2447" spans="1:11" x14ac:dyDescent="0.25">
      <c r="A2447" t="s">
        <v>3085</v>
      </c>
      <c r="C2447" t="s">
        <v>3086</v>
      </c>
      <c r="D2447" t="s">
        <v>5</v>
      </c>
      <c r="E2447" t="s">
        <v>6</v>
      </c>
      <c r="F2447" t="s">
        <v>724</v>
      </c>
      <c r="G2447">
        <v>3</v>
      </c>
      <c r="H2447" s="2">
        <f>Tabelle13[[#This Row],[commits]]/Tabelle13[[#Totals],[commits]]</f>
        <v>1.3943371321273866E-5</v>
      </c>
      <c r="I2447" s="5">
        <f>Tabelle13[[#This Row],[%]]+I2446</f>
        <v>0.96035434754318927</v>
      </c>
      <c r="J2447" s="4">
        <f t="shared" si="109"/>
        <v>1.105583195135434E-4</v>
      </c>
      <c r="K2447" s="5">
        <f t="shared" si="110"/>
        <v>0.27031509121060765</v>
      </c>
    </row>
    <row r="2448" spans="1:11" x14ac:dyDescent="0.25">
      <c r="A2448" t="s">
        <v>3087</v>
      </c>
      <c r="C2448" t="s">
        <v>3088</v>
      </c>
      <c r="D2448" t="s">
        <v>309</v>
      </c>
      <c r="E2448" t="s">
        <v>6</v>
      </c>
      <c r="F2448" t="s">
        <v>724</v>
      </c>
      <c r="G2448">
        <v>3</v>
      </c>
      <c r="H2448" s="2">
        <f>Tabelle13[[#This Row],[commits]]/Tabelle13[[#Totals],[commits]]</f>
        <v>1.3943371321273866E-5</v>
      </c>
      <c r="I2448" s="5">
        <f>Tabelle13[[#This Row],[%]]+I2447</f>
        <v>0.96036829091451059</v>
      </c>
      <c r="J2448" s="4">
        <f t="shared" si="109"/>
        <v>1.105583195135434E-4</v>
      </c>
      <c r="K2448" s="5">
        <f t="shared" si="110"/>
        <v>0.27042564953012121</v>
      </c>
    </row>
    <row r="2449" spans="1:11" x14ac:dyDescent="0.25">
      <c r="A2449" t="s">
        <v>3089</v>
      </c>
      <c r="C2449" t="s">
        <v>3090</v>
      </c>
      <c r="D2449" t="s">
        <v>5</v>
      </c>
      <c r="E2449" t="s">
        <v>6</v>
      </c>
      <c r="F2449" t="s">
        <v>724</v>
      </c>
      <c r="G2449">
        <v>3</v>
      </c>
      <c r="H2449" s="2">
        <f>Tabelle13[[#This Row],[commits]]/Tabelle13[[#Totals],[commits]]</f>
        <v>1.3943371321273866E-5</v>
      </c>
      <c r="I2449" s="5">
        <f>Tabelle13[[#This Row],[%]]+I2448</f>
        <v>0.96038223428583191</v>
      </c>
      <c r="J2449" s="4">
        <f t="shared" si="109"/>
        <v>1.105583195135434E-4</v>
      </c>
      <c r="K2449" s="5">
        <f t="shared" si="110"/>
        <v>0.27053620784963478</v>
      </c>
    </row>
    <row r="2450" spans="1:11" x14ac:dyDescent="0.25">
      <c r="A2450" t="s">
        <v>3091</v>
      </c>
      <c r="C2450" t="s">
        <v>3092</v>
      </c>
      <c r="D2450" t="s">
        <v>5</v>
      </c>
      <c r="E2450" t="s">
        <v>6</v>
      </c>
      <c r="F2450" t="s">
        <v>724</v>
      </c>
      <c r="G2450">
        <v>3</v>
      </c>
      <c r="H2450" s="2">
        <f>Tabelle13[[#This Row],[commits]]/Tabelle13[[#Totals],[commits]]</f>
        <v>1.3943371321273866E-5</v>
      </c>
      <c r="I2450" s="5">
        <f>Tabelle13[[#This Row],[%]]+I2449</f>
        <v>0.96039617765715324</v>
      </c>
      <c r="J2450" s="4">
        <f t="shared" si="109"/>
        <v>1.105583195135434E-4</v>
      </c>
      <c r="K2450" s="5">
        <f t="shared" si="110"/>
        <v>0.27064676616914835</v>
      </c>
    </row>
    <row r="2451" spans="1:11" x14ac:dyDescent="0.25">
      <c r="A2451" t="s">
        <v>3093</v>
      </c>
      <c r="C2451" t="s">
        <v>3094</v>
      </c>
      <c r="D2451" t="s">
        <v>5</v>
      </c>
      <c r="E2451" t="s">
        <v>6</v>
      </c>
      <c r="F2451" t="s">
        <v>724</v>
      </c>
      <c r="G2451">
        <v>3</v>
      </c>
      <c r="H2451" s="2">
        <f>Tabelle13[[#This Row],[commits]]/Tabelle13[[#Totals],[commits]]</f>
        <v>1.3943371321273866E-5</v>
      </c>
      <c r="I2451" s="5">
        <f>Tabelle13[[#This Row],[%]]+I2450</f>
        <v>0.96041012102847456</v>
      </c>
      <c r="J2451" s="4">
        <f t="shared" si="109"/>
        <v>1.105583195135434E-4</v>
      </c>
      <c r="K2451" s="5">
        <f t="shared" si="110"/>
        <v>0.27075732448866191</v>
      </c>
    </row>
    <row r="2452" spans="1:11" x14ac:dyDescent="0.25">
      <c r="A2452" t="s">
        <v>3095</v>
      </c>
      <c r="C2452" t="s">
        <v>3096</v>
      </c>
      <c r="D2452" t="s">
        <v>309</v>
      </c>
      <c r="E2452" t="s">
        <v>6</v>
      </c>
      <c r="F2452" t="s">
        <v>724</v>
      </c>
      <c r="G2452">
        <v>3</v>
      </c>
      <c r="H2452" s="2">
        <f>Tabelle13[[#This Row],[commits]]/Tabelle13[[#Totals],[commits]]</f>
        <v>1.3943371321273866E-5</v>
      </c>
      <c r="I2452" s="5">
        <f>Tabelle13[[#This Row],[%]]+I2451</f>
        <v>0.96042406439979588</v>
      </c>
      <c r="J2452" s="4">
        <f t="shared" si="109"/>
        <v>1.105583195135434E-4</v>
      </c>
      <c r="K2452" s="5">
        <f t="shared" si="110"/>
        <v>0.27086788280817548</v>
      </c>
    </row>
    <row r="2453" spans="1:11" x14ac:dyDescent="0.25">
      <c r="A2453" t="s">
        <v>3097</v>
      </c>
      <c r="C2453" t="s">
        <v>362</v>
      </c>
      <c r="D2453" t="s">
        <v>5</v>
      </c>
      <c r="E2453" t="s">
        <v>6</v>
      </c>
      <c r="F2453" t="s">
        <v>724</v>
      </c>
      <c r="G2453">
        <v>3</v>
      </c>
      <c r="H2453" s="2">
        <f>Tabelle13[[#This Row],[commits]]/Tabelle13[[#Totals],[commits]]</f>
        <v>1.3943371321273866E-5</v>
      </c>
      <c r="I2453" s="5">
        <f>Tabelle13[[#This Row],[%]]+I2452</f>
        <v>0.96043800777111721</v>
      </c>
      <c r="J2453" s="4">
        <f t="shared" si="109"/>
        <v>1.105583195135434E-4</v>
      </c>
      <c r="K2453" s="5">
        <f t="shared" si="110"/>
        <v>0.27097844112768904</v>
      </c>
    </row>
    <row r="2454" spans="1:11" x14ac:dyDescent="0.25">
      <c r="A2454" t="s">
        <v>3098</v>
      </c>
      <c r="C2454" t="s">
        <v>3099</v>
      </c>
      <c r="D2454" t="s">
        <v>5</v>
      </c>
      <c r="E2454" t="s">
        <v>6</v>
      </c>
      <c r="F2454" t="s">
        <v>724</v>
      </c>
      <c r="G2454">
        <v>3</v>
      </c>
      <c r="H2454" s="2">
        <f>Tabelle13[[#This Row],[commits]]/Tabelle13[[#Totals],[commits]]</f>
        <v>1.3943371321273866E-5</v>
      </c>
      <c r="I2454" s="5">
        <f>Tabelle13[[#This Row],[%]]+I2453</f>
        <v>0.96045195114243853</v>
      </c>
      <c r="J2454" s="4">
        <f t="shared" si="109"/>
        <v>1.105583195135434E-4</v>
      </c>
      <c r="K2454" s="5">
        <f t="shared" si="110"/>
        <v>0.27108899944720261</v>
      </c>
    </row>
    <row r="2455" spans="1:11" x14ac:dyDescent="0.25">
      <c r="A2455" t="s">
        <v>3100</v>
      </c>
      <c r="C2455" t="s">
        <v>3101</v>
      </c>
      <c r="D2455" t="s">
        <v>5</v>
      </c>
      <c r="E2455" t="s">
        <v>6</v>
      </c>
      <c r="F2455" t="s">
        <v>724</v>
      </c>
      <c r="G2455">
        <v>3</v>
      </c>
      <c r="H2455" s="2">
        <f>Tabelle13[[#This Row],[commits]]/Tabelle13[[#Totals],[commits]]</f>
        <v>1.3943371321273866E-5</v>
      </c>
      <c r="I2455" s="5">
        <f>Tabelle13[[#This Row],[%]]+I2454</f>
        <v>0.96046589451375985</v>
      </c>
      <c r="J2455" s="4">
        <f t="shared" si="109"/>
        <v>1.105583195135434E-4</v>
      </c>
      <c r="K2455" s="5">
        <f t="shared" si="110"/>
        <v>0.27119955776671617</v>
      </c>
    </row>
    <row r="2456" spans="1:11" x14ac:dyDescent="0.25">
      <c r="A2456" t="s">
        <v>3102</v>
      </c>
      <c r="C2456" t="s">
        <v>3103</v>
      </c>
      <c r="D2456" t="s">
        <v>5</v>
      </c>
      <c r="E2456" t="s">
        <v>6</v>
      </c>
      <c r="F2456" t="s">
        <v>724</v>
      </c>
      <c r="G2456">
        <v>3</v>
      </c>
      <c r="H2456" s="2">
        <f>Tabelle13[[#This Row],[commits]]/Tabelle13[[#Totals],[commits]]</f>
        <v>1.3943371321273866E-5</v>
      </c>
      <c r="I2456" s="5">
        <f>Tabelle13[[#This Row],[%]]+I2455</f>
        <v>0.96047983788508118</v>
      </c>
      <c r="J2456" s="4">
        <f t="shared" si="109"/>
        <v>1.105583195135434E-4</v>
      </c>
      <c r="K2456" s="5">
        <f t="shared" si="110"/>
        <v>0.27131011608622974</v>
      </c>
    </row>
    <row r="2457" spans="1:11" x14ac:dyDescent="0.25">
      <c r="A2457" t="s">
        <v>3104</v>
      </c>
      <c r="C2457" t="s">
        <v>3105</v>
      </c>
      <c r="D2457" t="s">
        <v>5</v>
      </c>
      <c r="E2457" t="s">
        <v>6</v>
      </c>
      <c r="F2457" t="s">
        <v>724</v>
      </c>
      <c r="G2457">
        <v>3</v>
      </c>
      <c r="H2457" s="2">
        <f>Tabelle13[[#This Row],[commits]]/Tabelle13[[#Totals],[commits]]</f>
        <v>1.3943371321273866E-5</v>
      </c>
      <c r="I2457" s="5">
        <f>Tabelle13[[#This Row],[%]]+I2456</f>
        <v>0.9604937812564025</v>
      </c>
      <c r="J2457" s="4">
        <f t="shared" si="109"/>
        <v>1.105583195135434E-4</v>
      </c>
      <c r="K2457" s="5">
        <f t="shared" si="110"/>
        <v>0.2714206744057433</v>
      </c>
    </row>
    <row r="2458" spans="1:11" x14ac:dyDescent="0.25">
      <c r="A2458" t="s">
        <v>3106</v>
      </c>
      <c r="C2458" t="s">
        <v>3107</v>
      </c>
      <c r="D2458" t="s">
        <v>5</v>
      </c>
      <c r="E2458" t="s">
        <v>6</v>
      </c>
      <c r="F2458" t="s">
        <v>724</v>
      </c>
      <c r="G2458">
        <v>3</v>
      </c>
      <c r="H2458" s="2">
        <f>Tabelle13[[#This Row],[commits]]/Tabelle13[[#Totals],[commits]]</f>
        <v>1.3943371321273866E-5</v>
      </c>
      <c r="I2458" s="5">
        <f>Tabelle13[[#This Row],[%]]+I2457</f>
        <v>0.96050772462772382</v>
      </c>
      <c r="J2458" s="4">
        <f t="shared" si="109"/>
        <v>1.105583195135434E-4</v>
      </c>
      <c r="K2458" s="5">
        <f t="shared" si="110"/>
        <v>0.27153123272525687</v>
      </c>
    </row>
    <row r="2459" spans="1:11" x14ac:dyDescent="0.25">
      <c r="A2459" t="s">
        <v>3108</v>
      </c>
      <c r="C2459" t="s">
        <v>3109</v>
      </c>
      <c r="D2459" t="s">
        <v>5</v>
      </c>
      <c r="E2459" t="s">
        <v>6</v>
      </c>
      <c r="F2459" t="s">
        <v>724</v>
      </c>
      <c r="G2459">
        <v>3</v>
      </c>
      <c r="H2459" s="2">
        <f>Tabelle13[[#This Row],[commits]]/Tabelle13[[#Totals],[commits]]</f>
        <v>1.3943371321273866E-5</v>
      </c>
      <c r="I2459" s="5">
        <f>Tabelle13[[#This Row],[%]]+I2458</f>
        <v>0.96052166799904515</v>
      </c>
      <c r="J2459" s="4">
        <f t="shared" si="109"/>
        <v>1.105583195135434E-4</v>
      </c>
      <c r="K2459" s="5">
        <f t="shared" si="110"/>
        <v>0.27164179104477043</v>
      </c>
    </row>
    <row r="2460" spans="1:11" x14ac:dyDescent="0.25">
      <c r="A2460" t="s">
        <v>3110</v>
      </c>
      <c r="C2460" t="s">
        <v>3111</v>
      </c>
      <c r="D2460" t="s">
        <v>5</v>
      </c>
      <c r="E2460" t="s">
        <v>6</v>
      </c>
      <c r="F2460" t="s">
        <v>724</v>
      </c>
      <c r="G2460">
        <v>3</v>
      </c>
      <c r="H2460" s="2">
        <f>Tabelle13[[#This Row],[commits]]/Tabelle13[[#Totals],[commits]]</f>
        <v>1.3943371321273866E-5</v>
      </c>
      <c r="I2460" s="5">
        <f>Tabelle13[[#This Row],[%]]+I2459</f>
        <v>0.96053561137036647</v>
      </c>
      <c r="J2460" s="4">
        <f t="shared" si="109"/>
        <v>1.105583195135434E-4</v>
      </c>
      <c r="K2460" s="5">
        <f t="shared" si="110"/>
        <v>0.271752349364284</v>
      </c>
    </row>
    <row r="2461" spans="1:11" x14ac:dyDescent="0.25">
      <c r="A2461" t="s">
        <v>3112</v>
      </c>
      <c r="C2461" t="s">
        <v>3113</v>
      </c>
      <c r="D2461" t="s">
        <v>5</v>
      </c>
      <c r="E2461" t="s">
        <v>6</v>
      </c>
      <c r="F2461" t="s">
        <v>724</v>
      </c>
      <c r="G2461">
        <v>3</v>
      </c>
      <c r="H2461" s="2">
        <f>Tabelle13[[#This Row],[commits]]/Tabelle13[[#Totals],[commits]]</f>
        <v>1.3943371321273866E-5</v>
      </c>
      <c r="I2461" s="5">
        <f>Tabelle13[[#This Row],[%]]+I2460</f>
        <v>0.96054955474168779</v>
      </c>
      <c r="J2461" s="4">
        <f t="shared" si="109"/>
        <v>1.105583195135434E-4</v>
      </c>
      <c r="K2461" s="5">
        <f t="shared" si="110"/>
        <v>0.27186290768379756</v>
      </c>
    </row>
    <row r="2462" spans="1:11" x14ac:dyDescent="0.25">
      <c r="A2462" t="s">
        <v>3114</v>
      </c>
      <c r="C2462" t="s">
        <v>3115</v>
      </c>
      <c r="D2462" t="s">
        <v>5</v>
      </c>
      <c r="E2462" t="s">
        <v>6</v>
      </c>
      <c r="F2462" t="s">
        <v>724</v>
      </c>
      <c r="G2462">
        <v>3</v>
      </c>
      <c r="H2462" s="2">
        <f>Tabelle13[[#This Row],[commits]]/Tabelle13[[#Totals],[commits]]</f>
        <v>1.3943371321273866E-5</v>
      </c>
      <c r="I2462" s="5">
        <f>Tabelle13[[#This Row],[%]]+I2461</f>
        <v>0.96056349811300912</v>
      </c>
      <c r="J2462" s="4">
        <f t="shared" si="109"/>
        <v>1.105583195135434E-4</v>
      </c>
      <c r="K2462" s="5">
        <f t="shared" si="110"/>
        <v>0.27197346600331113</v>
      </c>
    </row>
    <row r="2463" spans="1:11" x14ac:dyDescent="0.25">
      <c r="A2463" t="s">
        <v>3116</v>
      </c>
      <c r="C2463" t="s">
        <v>2536</v>
      </c>
      <c r="D2463" t="s">
        <v>5</v>
      </c>
      <c r="E2463" t="s">
        <v>6</v>
      </c>
      <c r="F2463" t="s">
        <v>724</v>
      </c>
      <c r="G2463">
        <v>3</v>
      </c>
      <c r="H2463" s="2">
        <f>Tabelle13[[#This Row],[commits]]/Tabelle13[[#Totals],[commits]]</f>
        <v>1.3943371321273866E-5</v>
      </c>
      <c r="I2463" s="5">
        <f>Tabelle13[[#This Row],[%]]+I2462</f>
        <v>0.96057744148433044</v>
      </c>
      <c r="J2463" s="4">
        <f t="shared" si="109"/>
        <v>1.105583195135434E-4</v>
      </c>
      <c r="K2463" s="5">
        <f t="shared" si="110"/>
        <v>0.27208402432282469</v>
      </c>
    </row>
    <row r="2464" spans="1:11" x14ac:dyDescent="0.25">
      <c r="A2464" t="s">
        <v>3117</v>
      </c>
      <c r="C2464" t="s">
        <v>3118</v>
      </c>
      <c r="D2464" t="s">
        <v>5</v>
      </c>
      <c r="E2464" t="s">
        <v>6</v>
      </c>
      <c r="F2464" t="s">
        <v>724</v>
      </c>
      <c r="G2464">
        <v>3</v>
      </c>
      <c r="H2464" s="2">
        <f>Tabelle13[[#This Row],[commits]]/Tabelle13[[#Totals],[commits]]</f>
        <v>1.3943371321273866E-5</v>
      </c>
      <c r="I2464" s="5">
        <f>Tabelle13[[#This Row],[%]]+I2463</f>
        <v>0.96059138485565176</v>
      </c>
      <c r="J2464" s="4">
        <f t="shared" si="109"/>
        <v>1.105583195135434E-4</v>
      </c>
      <c r="K2464" s="5">
        <f t="shared" si="110"/>
        <v>0.27219458264233826</v>
      </c>
    </row>
    <row r="2465" spans="1:11" x14ac:dyDescent="0.25">
      <c r="A2465" t="s">
        <v>3119</v>
      </c>
      <c r="C2465" t="s">
        <v>3120</v>
      </c>
      <c r="D2465" t="s">
        <v>5</v>
      </c>
      <c r="E2465" t="s">
        <v>6</v>
      </c>
      <c r="F2465" t="s">
        <v>724</v>
      </c>
      <c r="G2465">
        <v>3</v>
      </c>
      <c r="H2465" s="2">
        <f>Tabelle13[[#This Row],[commits]]/Tabelle13[[#Totals],[commits]]</f>
        <v>1.3943371321273866E-5</v>
      </c>
      <c r="I2465" s="5">
        <f>Tabelle13[[#This Row],[%]]+I2464</f>
        <v>0.96060532822697309</v>
      </c>
      <c r="J2465" s="4">
        <f t="shared" si="109"/>
        <v>1.105583195135434E-4</v>
      </c>
      <c r="K2465" s="5">
        <f t="shared" si="110"/>
        <v>0.27230514096185182</v>
      </c>
    </row>
    <row r="2466" spans="1:11" x14ac:dyDescent="0.25">
      <c r="A2466" t="s">
        <v>3121</v>
      </c>
      <c r="C2466" t="s">
        <v>3122</v>
      </c>
      <c r="D2466" t="s">
        <v>5</v>
      </c>
      <c r="E2466" t="s">
        <v>6</v>
      </c>
      <c r="F2466" t="s">
        <v>724</v>
      </c>
      <c r="G2466">
        <v>3</v>
      </c>
      <c r="H2466" s="2">
        <f>Tabelle13[[#This Row],[commits]]/Tabelle13[[#Totals],[commits]]</f>
        <v>1.3943371321273866E-5</v>
      </c>
      <c r="I2466" s="5">
        <f>Tabelle13[[#This Row],[%]]+I2465</f>
        <v>0.96061927159829441</v>
      </c>
      <c r="J2466" s="4">
        <f t="shared" si="109"/>
        <v>1.105583195135434E-4</v>
      </c>
      <c r="K2466" s="5">
        <f t="shared" si="110"/>
        <v>0.27241569928136539</v>
      </c>
    </row>
    <row r="2467" spans="1:11" x14ac:dyDescent="0.25">
      <c r="A2467" t="s">
        <v>3123</v>
      </c>
      <c r="C2467" t="s">
        <v>3124</v>
      </c>
      <c r="D2467" t="s">
        <v>5</v>
      </c>
      <c r="E2467" t="s">
        <v>6</v>
      </c>
      <c r="F2467" t="s">
        <v>724</v>
      </c>
      <c r="G2467">
        <v>3</v>
      </c>
      <c r="H2467" s="2">
        <f>Tabelle13[[#This Row],[commits]]/Tabelle13[[#Totals],[commits]]</f>
        <v>1.3943371321273866E-5</v>
      </c>
      <c r="I2467" s="5">
        <f>Tabelle13[[#This Row],[%]]+I2466</f>
        <v>0.96063321496961573</v>
      </c>
      <c r="J2467" s="4">
        <f t="shared" si="109"/>
        <v>1.105583195135434E-4</v>
      </c>
      <c r="K2467" s="5">
        <f t="shared" si="110"/>
        <v>0.27252625760087895</v>
      </c>
    </row>
    <row r="2468" spans="1:11" x14ac:dyDescent="0.25">
      <c r="A2468" t="s">
        <v>3125</v>
      </c>
      <c r="C2468" t="s">
        <v>3126</v>
      </c>
      <c r="D2468" t="s">
        <v>5</v>
      </c>
      <c r="E2468" t="s">
        <v>6</v>
      </c>
      <c r="F2468" t="s">
        <v>724</v>
      </c>
      <c r="G2468">
        <v>3</v>
      </c>
      <c r="H2468" s="2">
        <f>Tabelle13[[#This Row],[commits]]/Tabelle13[[#Totals],[commits]]</f>
        <v>1.3943371321273866E-5</v>
      </c>
      <c r="I2468" s="5">
        <f>Tabelle13[[#This Row],[%]]+I2467</f>
        <v>0.96064715834093706</v>
      </c>
      <c r="J2468" s="4">
        <f t="shared" si="109"/>
        <v>1.105583195135434E-4</v>
      </c>
      <c r="K2468" s="5">
        <f t="shared" si="110"/>
        <v>0.27263681592039252</v>
      </c>
    </row>
    <row r="2469" spans="1:11" x14ac:dyDescent="0.25">
      <c r="A2469" t="s">
        <v>3127</v>
      </c>
      <c r="C2469" t="s">
        <v>2234</v>
      </c>
      <c r="D2469" t="s">
        <v>5</v>
      </c>
      <c r="E2469" t="s">
        <v>6</v>
      </c>
      <c r="F2469" t="s">
        <v>724</v>
      </c>
      <c r="G2469">
        <v>3</v>
      </c>
      <c r="H2469" s="2">
        <f>Tabelle13[[#This Row],[commits]]/Tabelle13[[#Totals],[commits]]</f>
        <v>1.3943371321273866E-5</v>
      </c>
      <c r="I2469" s="5">
        <f>Tabelle13[[#This Row],[%]]+I2468</f>
        <v>0.96066110171225838</v>
      </c>
      <c r="J2469" s="4">
        <f t="shared" si="109"/>
        <v>1.105583195135434E-4</v>
      </c>
      <c r="K2469" s="5">
        <f t="shared" si="110"/>
        <v>0.27274737423990608</v>
      </c>
    </row>
    <row r="2470" spans="1:11" x14ac:dyDescent="0.25">
      <c r="A2470" t="s">
        <v>3128</v>
      </c>
      <c r="C2470" t="s">
        <v>26</v>
      </c>
      <c r="D2470" t="s">
        <v>5</v>
      </c>
      <c r="E2470" t="s">
        <v>6</v>
      </c>
      <c r="F2470" t="s">
        <v>724</v>
      </c>
      <c r="G2470">
        <v>3</v>
      </c>
      <c r="H2470" s="2">
        <f>Tabelle13[[#This Row],[commits]]/Tabelle13[[#Totals],[commits]]</f>
        <v>1.3943371321273866E-5</v>
      </c>
      <c r="I2470" s="5">
        <f>Tabelle13[[#This Row],[%]]+I2469</f>
        <v>0.9606750450835797</v>
      </c>
      <c r="J2470" s="4">
        <f t="shared" si="109"/>
        <v>1.105583195135434E-4</v>
      </c>
      <c r="K2470" s="5">
        <f t="shared" si="110"/>
        <v>0.27285793255941965</v>
      </c>
    </row>
    <row r="2471" spans="1:11" x14ac:dyDescent="0.25">
      <c r="A2471" t="s">
        <v>3499</v>
      </c>
      <c r="C2471" t="s">
        <v>3500</v>
      </c>
      <c r="D2471" t="s">
        <v>5</v>
      </c>
      <c r="E2471" t="s">
        <v>6</v>
      </c>
      <c r="F2471" t="s">
        <v>334</v>
      </c>
      <c r="G2471">
        <v>3</v>
      </c>
      <c r="H2471" s="2">
        <f>Tabelle13[[#This Row],[commits]]/Tabelle13[[#Totals],[commits]]</f>
        <v>1.3943371321273866E-5</v>
      </c>
      <c r="I2471" s="5">
        <f>Tabelle13[[#This Row],[%]]+I2470</f>
        <v>0.96068898845490103</v>
      </c>
      <c r="J2471" s="4">
        <f t="shared" si="109"/>
        <v>1.105583195135434E-4</v>
      </c>
      <c r="K2471" s="5">
        <f t="shared" si="110"/>
        <v>0.27296849087893321</v>
      </c>
    </row>
    <row r="2472" spans="1:11" x14ac:dyDescent="0.25">
      <c r="A2472" t="s">
        <v>5587</v>
      </c>
      <c r="C2472" t="s">
        <v>5588</v>
      </c>
      <c r="D2472" t="s">
        <v>5</v>
      </c>
      <c r="E2472" t="s">
        <v>6</v>
      </c>
      <c r="F2472" t="s">
        <v>28</v>
      </c>
      <c r="G2472">
        <v>3</v>
      </c>
      <c r="H2472" s="2">
        <f>Tabelle13[[#This Row],[commits]]/Tabelle13[[#Totals],[commits]]</f>
        <v>1.3943371321273866E-5</v>
      </c>
      <c r="I2472" s="5">
        <f>Tabelle13[[#This Row],[%]]+I2471</f>
        <v>0.96070293182622235</v>
      </c>
      <c r="J2472" s="4">
        <f t="shared" si="109"/>
        <v>1.105583195135434E-4</v>
      </c>
      <c r="K2472" s="5">
        <f t="shared" si="110"/>
        <v>0.27307904919844678</v>
      </c>
    </row>
    <row r="2473" spans="1:11" x14ac:dyDescent="0.25">
      <c r="A2473" t="s">
        <v>5589</v>
      </c>
      <c r="C2473" t="s">
        <v>5590</v>
      </c>
      <c r="D2473" t="s">
        <v>5</v>
      </c>
      <c r="E2473" t="s">
        <v>6</v>
      </c>
      <c r="F2473" t="s">
        <v>28</v>
      </c>
      <c r="G2473">
        <v>3</v>
      </c>
      <c r="H2473" s="2">
        <f>Tabelle13[[#This Row],[commits]]/Tabelle13[[#Totals],[commits]]</f>
        <v>1.3943371321273866E-5</v>
      </c>
      <c r="I2473" s="5">
        <f>Tabelle13[[#This Row],[%]]+I2472</f>
        <v>0.96071687519754367</v>
      </c>
      <c r="J2473" s="4">
        <f t="shared" si="109"/>
        <v>1.105583195135434E-4</v>
      </c>
      <c r="K2473" s="5">
        <f t="shared" si="110"/>
        <v>0.27318960751796034</v>
      </c>
    </row>
    <row r="2474" spans="1:11" x14ac:dyDescent="0.25">
      <c r="A2474" t="s">
        <v>5591</v>
      </c>
      <c r="C2474" t="s">
        <v>5592</v>
      </c>
      <c r="D2474" t="s">
        <v>5</v>
      </c>
      <c r="E2474" t="s">
        <v>6</v>
      </c>
      <c r="F2474" t="s">
        <v>28</v>
      </c>
      <c r="G2474">
        <v>3</v>
      </c>
      <c r="H2474" s="2">
        <f>Tabelle13[[#This Row],[commits]]/Tabelle13[[#Totals],[commits]]</f>
        <v>1.3943371321273866E-5</v>
      </c>
      <c r="I2474" s="5">
        <f>Tabelle13[[#This Row],[%]]+I2473</f>
        <v>0.960730818568865</v>
      </c>
      <c r="J2474" s="4">
        <f t="shared" si="109"/>
        <v>1.105583195135434E-4</v>
      </c>
      <c r="K2474" s="5">
        <f t="shared" si="110"/>
        <v>0.27330016583747391</v>
      </c>
    </row>
    <row r="2475" spans="1:11" x14ac:dyDescent="0.25">
      <c r="A2475" t="s">
        <v>5593</v>
      </c>
      <c r="C2475" t="s">
        <v>5594</v>
      </c>
      <c r="D2475" t="s">
        <v>5</v>
      </c>
      <c r="E2475" t="s">
        <v>6</v>
      </c>
      <c r="F2475" t="s">
        <v>28</v>
      </c>
      <c r="G2475">
        <v>3</v>
      </c>
      <c r="H2475" s="2">
        <f>Tabelle13[[#This Row],[commits]]/Tabelle13[[#Totals],[commits]]</f>
        <v>1.3943371321273866E-5</v>
      </c>
      <c r="I2475" s="5">
        <f>Tabelle13[[#This Row],[%]]+I2474</f>
        <v>0.96074476194018632</v>
      </c>
      <c r="J2475" s="4">
        <f t="shared" si="109"/>
        <v>1.105583195135434E-4</v>
      </c>
      <c r="K2475" s="5">
        <f t="shared" si="110"/>
        <v>0.27341072415698747</v>
      </c>
    </row>
    <row r="2476" spans="1:11" x14ac:dyDescent="0.25">
      <c r="A2476" t="s">
        <v>5595</v>
      </c>
      <c r="C2476" t="s">
        <v>5596</v>
      </c>
      <c r="D2476" t="s">
        <v>5</v>
      </c>
      <c r="E2476" t="s">
        <v>6</v>
      </c>
      <c r="F2476" t="s">
        <v>28</v>
      </c>
      <c r="G2476">
        <v>3</v>
      </c>
      <c r="H2476" s="2">
        <f>Tabelle13[[#This Row],[commits]]/Tabelle13[[#Totals],[commits]]</f>
        <v>1.3943371321273866E-5</v>
      </c>
      <c r="I2476" s="5">
        <f>Tabelle13[[#This Row],[%]]+I2475</f>
        <v>0.96075870531150764</v>
      </c>
      <c r="J2476" s="4">
        <f t="shared" si="109"/>
        <v>1.105583195135434E-4</v>
      </c>
      <c r="K2476" s="5">
        <f t="shared" si="110"/>
        <v>0.27352128247650104</v>
      </c>
    </row>
    <row r="2477" spans="1:11" x14ac:dyDescent="0.25">
      <c r="A2477" t="s">
        <v>5597</v>
      </c>
      <c r="C2477" t="s">
        <v>5598</v>
      </c>
      <c r="D2477" t="s">
        <v>5</v>
      </c>
      <c r="E2477" t="s">
        <v>6</v>
      </c>
      <c r="F2477" t="s">
        <v>28</v>
      </c>
      <c r="G2477">
        <v>3</v>
      </c>
      <c r="H2477" s="2">
        <f>Tabelle13[[#This Row],[commits]]/Tabelle13[[#Totals],[commits]]</f>
        <v>1.3943371321273866E-5</v>
      </c>
      <c r="I2477" s="5">
        <f>Tabelle13[[#This Row],[%]]+I2476</f>
        <v>0.96077264868282897</v>
      </c>
      <c r="J2477" s="4">
        <f t="shared" si="109"/>
        <v>1.105583195135434E-4</v>
      </c>
      <c r="K2477" s="5">
        <f t="shared" si="110"/>
        <v>0.2736318407960146</v>
      </c>
    </row>
    <row r="2478" spans="1:11" x14ac:dyDescent="0.25">
      <c r="A2478" t="s">
        <v>5599</v>
      </c>
      <c r="C2478" t="s">
        <v>5600</v>
      </c>
      <c r="D2478" t="s">
        <v>5</v>
      </c>
      <c r="E2478" t="s">
        <v>6</v>
      </c>
      <c r="F2478" t="s">
        <v>28</v>
      </c>
      <c r="G2478">
        <v>3</v>
      </c>
      <c r="H2478" s="2">
        <f>Tabelle13[[#This Row],[commits]]/Tabelle13[[#Totals],[commits]]</f>
        <v>1.3943371321273866E-5</v>
      </c>
      <c r="I2478" s="5">
        <f>Tabelle13[[#This Row],[%]]+I2477</f>
        <v>0.96078659205415029</v>
      </c>
      <c r="J2478" s="4">
        <f t="shared" si="109"/>
        <v>1.105583195135434E-4</v>
      </c>
      <c r="K2478" s="5">
        <f t="shared" si="110"/>
        <v>0.27374239911552817</v>
      </c>
    </row>
    <row r="2479" spans="1:11" x14ac:dyDescent="0.25">
      <c r="A2479" t="s">
        <v>5601</v>
      </c>
      <c r="C2479" t="s">
        <v>5602</v>
      </c>
      <c r="D2479" t="s">
        <v>5</v>
      </c>
      <c r="E2479" t="s">
        <v>6</v>
      </c>
      <c r="F2479" t="s">
        <v>28</v>
      </c>
      <c r="G2479">
        <v>3</v>
      </c>
      <c r="H2479" s="2">
        <f>Tabelle13[[#This Row],[commits]]/Tabelle13[[#Totals],[commits]]</f>
        <v>1.3943371321273866E-5</v>
      </c>
      <c r="I2479" s="5">
        <f>Tabelle13[[#This Row],[%]]+I2478</f>
        <v>0.96080053542547161</v>
      </c>
      <c r="J2479" s="4">
        <f t="shared" si="109"/>
        <v>1.105583195135434E-4</v>
      </c>
      <c r="K2479" s="5">
        <f t="shared" si="110"/>
        <v>0.27385295743504173</v>
      </c>
    </row>
    <row r="2480" spans="1:11" x14ac:dyDescent="0.25">
      <c r="A2480" t="s">
        <v>5603</v>
      </c>
      <c r="C2480" t="s">
        <v>5604</v>
      </c>
      <c r="D2480" t="s">
        <v>5</v>
      </c>
      <c r="E2480" t="s">
        <v>6</v>
      </c>
      <c r="F2480" t="s">
        <v>28</v>
      </c>
      <c r="G2480">
        <v>3</v>
      </c>
      <c r="H2480" s="2">
        <f>Tabelle13[[#This Row],[commits]]/Tabelle13[[#Totals],[commits]]</f>
        <v>1.3943371321273866E-5</v>
      </c>
      <c r="I2480" s="5">
        <f>Tabelle13[[#This Row],[%]]+I2479</f>
        <v>0.96081447879679294</v>
      </c>
      <c r="J2480" s="4">
        <f t="shared" si="109"/>
        <v>1.105583195135434E-4</v>
      </c>
      <c r="K2480" s="5">
        <f t="shared" si="110"/>
        <v>0.2739635157545553</v>
      </c>
    </row>
    <row r="2481" spans="1:11" x14ac:dyDescent="0.25">
      <c r="A2481" t="s">
        <v>5605</v>
      </c>
      <c r="C2481" t="s">
        <v>5606</v>
      </c>
      <c r="D2481" t="s">
        <v>5607</v>
      </c>
      <c r="E2481" t="s">
        <v>6</v>
      </c>
      <c r="F2481" t="s">
        <v>28</v>
      </c>
      <c r="G2481">
        <v>3</v>
      </c>
      <c r="H2481" s="2">
        <f>Tabelle13[[#This Row],[commits]]/Tabelle13[[#Totals],[commits]]</f>
        <v>1.3943371321273866E-5</v>
      </c>
      <c r="I2481" s="5">
        <f>Tabelle13[[#This Row],[%]]+I2480</f>
        <v>0.96082842216811426</v>
      </c>
      <c r="J2481" s="4">
        <f t="shared" si="109"/>
        <v>1.105583195135434E-4</v>
      </c>
      <c r="K2481" s="5">
        <f t="shared" si="110"/>
        <v>0.27407407407406886</v>
      </c>
    </row>
    <row r="2482" spans="1:11" x14ac:dyDescent="0.25">
      <c r="A2482" t="s">
        <v>5608</v>
      </c>
      <c r="C2482" t="s">
        <v>5609</v>
      </c>
      <c r="D2482" t="s">
        <v>5</v>
      </c>
      <c r="E2482" t="s">
        <v>6</v>
      </c>
      <c r="F2482" t="s">
        <v>28</v>
      </c>
      <c r="G2482">
        <v>3</v>
      </c>
      <c r="H2482" s="2">
        <f>Tabelle13[[#This Row],[commits]]/Tabelle13[[#Totals],[commits]]</f>
        <v>1.3943371321273866E-5</v>
      </c>
      <c r="I2482" s="5">
        <f>Tabelle13[[#This Row],[%]]+I2481</f>
        <v>0.96084236553943558</v>
      </c>
      <c r="J2482" s="4">
        <f t="shared" si="109"/>
        <v>1.105583195135434E-4</v>
      </c>
      <c r="K2482" s="5">
        <f t="shared" si="110"/>
        <v>0.27418463239358243</v>
      </c>
    </row>
    <row r="2483" spans="1:11" x14ac:dyDescent="0.25">
      <c r="A2483" t="s">
        <v>5610</v>
      </c>
      <c r="C2483" t="s">
        <v>5611</v>
      </c>
      <c r="D2483" t="s">
        <v>5612</v>
      </c>
      <c r="E2483" t="s">
        <v>6</v>
      </c>
      <c r="F2483" t="s">
        <v>28</v>
      </c>
      <c r="G2483">
        <v>3</v>
      </c>
      <c r="H2483" s="2">
        <f>Tabelle13[[#This Row],[commits]]/Tabelle13[[#Totals],[commits]]</f>
        <v>1.3943371321273866E-5</v>
      </c>
      <c r="I2483" s="5">
        <f>Tabelle13[[#This Row],[%]]+I2482</f>
        <v>0.96085630891075691</v>
      </c>
      <c r="J2483" s="4">
        <f t="shared" si="109"/>
        <v>1.105583195135434E-4</v>
      </c>
      <c r="K2483" s="5">
        <f t="shared" si="110"/>
        <v>0.27429519071309599</v>
      </c>
    </row>
    <row r="2484" spans="1:11" x14ac:dyDescent="0.25">
      <c r="A2484" t="s">
        <v>5613</v>
      </c>
      <c r="C2484" t="s">
        <v>5614</v>
      </c>
      <c r="D2484" t="s">
        <v>5</v>
      </c>
      <c r="E2484" t="s">
        <v>6</v>
      </c>
      <c r="F2484" t="s">
        <v>28</v>
      </c>
      <c r="G2484">
        <v>3</v>
      </c>
      <c r="H2484" s="2">
        <f>Tabelle13[[#This Row],[commits]]/Tabelle13[[#Totals],[commits]]</f>
        <v>1.3943371321273866E-5</v>
      </c>
      <c r="I2484" s="5">
        <f>Tabelle13[[#This Row],[%]]+I2483</f>
        <v>0.96087025228207823</v>
      </c>
      <c r="J2484" s="4">
        <f t="shared" si="109"/>
        <v>1.105583195135434E-4</v>
      </c>
      <c r="K2484" s="5">
        <f t="shared" si="110"/>
        <v>0.27440574903260956</v>
      </c>
    </row>
    <row r="2485" spans="1:11" x14ac:dyDescent="0.25">
      <c r="A2485" t="s">
        <v>5615</v>
      </c>
      <c r="C2485" t="s">
        <v>5616</v>
      </c>
      <c r="D2485" t="s">
        <v>5</v>
      </c>
      <c r="E2485" t="s">
        <v>6</v>
      </c>
      <c r="F2485" t="s">
        <v>28</v>
      </c>
      <c r="G2485">
        <v>3</v>
      </c>
      <c r="H2485" s="2">
        <f>Tabelle13[[#This Row],[commits]]/Tabelle13[[#Totals],[commits]]</f>
        <v>1.3943371321273866E-5</v>
      </c>
      <c r="I2485" s="5">
        <f>Tabelle13[[#This Row],[%]]+I2484</f>
        <v>0.96088419565339955</v>
      </c>
      <c r="J2485" s="4">
        <f t="shared" si="109"/>
        <v>1.105583195135434E-4</v>
      </c>
      <c r="K2485" s="5">
        <f t="shared" si="110"/>
        <v>0.27451630735212312</v>
      </c>
    </row>
    <row r="2486" spans="1:11" x14ac:dyDescent="0.25">
      <c r="A2486" t="s">
        <v>5617</v>
      </c>
      <c r="C2486" t="s">
        <v>5618</v>
      </c>
      <c r="D2486" t="s">
        <v>5</v>
      </c>
      <c r="E2486" t="s">
        <v>6</v>
      </c>
      <c r="F2486" t="s">
        <v>28</v>
      </c>
      <c r="G2486">
        <v>3</v>
      </c>
      <c r="H2486" s="2">
        <f>Tabelle13[[#This Row],[commits]]/Tabelle13[[#Totals],[commits]]</f>
        <v>1.3943371321273866E-5</v>
      </c>
      <c r="I2486" s="5">
        <f>Tabelle13[[#This Row],[%]]+I2485</f>
        <v>0.96089813902472088</v>
      </c>
      <c r="J2486" s="4">
        <f t="shared" si="109"/>
        <v>1.105583195135434E-4</v>
      </c>
      <c r="K2486" s="5">
        <f t="shared" si="110"/>
        <v>0.27462686567163669</v>
      </c>
    </row>
    <row r="2487" spans="1:11" x14ac:dyDescent="0.25">
      <c r="A2487" t="s">
        <v>5619</v>
      </c>
      <c r="C2487" t="s">
        <v>5620</v>
      </c>
      <c r="D2487" t="s">
        <v>5621</v>
      </c>
      <c r="E2487" t="s">
        <v>6</v>
      </c>
      <c r="F2487" t="s">
        <v>28</v>
      </c>
      <c r="G2487">
        <v>3</v>
      </c>
      <c r="H2487" s="2">
        <f>Tabelle13[[#This Row],[commits]]/Tabelle13[[#Totals],[commits]]</f>
        <v>1.3943371321273866E-5</v>
      </c>
      <c r="I2487" s="5">
        <f>Tabelle13[[#This Row],[%]]+I2486</f>
        <v>0.9609120823960422</v>
      </c>
      <c r="J2487" s="4">
        <f t="shared" si="109"/>
        <v>1.105583195135434E-4</v>
      </c>
      <c r="K2487" s="5">
        <f t="shared" si="110"/>
        <v>0.27473742399115025</v>
      </c>
    </row>
    <row r="2488" spans="1:11" x14ac:dyDescent="0.25">
      <c r="A2488" t="s">
        <v>5622</v>
      </c>
      <c r="C2488" t="s">
        <v>5623</v>
      </c>
      <c r="D2488" t="s">
        <v>5</v>
      </c>
      <c r="E2488" t="s">
        <v>6</v>
      </c>
      <c r="F2488" t="s">
        <v>28</v>
      </c>
      <c r="G2488">
        <v>3</v>
      </c>
      <c r="H2488" s="2">
        <f>Tabelle13[[#This Row],[commits]]/Tabelle13[[#Totals],[commits]]</f>
        <v>1.3943371321273866E-5</v>
      </c>
      <c r="I2488" s="5">
        <f>Tabelle13[[#This Row],[%]]+I2487</f>
        <v>0.96092602576736352</v>
      </c>
      <c r="J2488" s="4">
        <f t="shared" si="109"/>
        <v>1.105583195135434E-4</v>
      </c>
      <c r="K2488" s="5">
        <f t="shared" si="110"/>
        <v>0.27484798231066382</v>
      </c>
    </row>
    <row r="2489" spans="1:11" x14ac:dyDescent="0.25">
      <c r="A2489" t="s">
        <v>5624</v>
      </c>
      <c r="C2489" t="s">
        <v>5625</v>
      </c>
      <c r="D2489" t="s">
        <v>5</v>
      </c>
      <c r="E2489" t="s">
        <v>6</v>
      </c>
      <c r="F2489" t="s">
        <v>28</v>
      </c>
      <c r="G2489">
        <v>3</v>
      </c>
      <c r="H2489" s="2">
        <f>Tabelle13[[#This Row],[commits]]/Tabelle13[[#Totals],[commits]]</f>
        <v>1.3943371321273866E-5</v>
      </c>
      <c r="I2489" s="5">
        <f>Tabelle13[[#This Row],[%]]+I2488</f>
        <v>0.96093996913868485</v>
      </c>
      <c r="J2489" s="4">
        <f t="shared" si="109"/>
        <v>1.105583195135434E-4</v>
      </c>
      <c r="K2489" s="5">
        <f t="shared" si="110"/>
        <v>0.27495854063017738</v>
      </c>
    </row>
    <row r="2490" spans="1:11" x14ac:dyDescent="0.25">
      <c r="A2490" t="s">
        <v>5626</v>
      </c>
      <c r="C2490" t="s">
        <v>5627</v>
      </c>
      <c r="D2490" t="s">
        <v>5</v>
      </c>
      <c r="E2490" t="s">
        <v>6</v>
      </c>
      <c r="F2490" t="s">
        <v>28</v>
      </c>
      <c r="G2490">
        <v>3</v>
      </c>
      <c r="H2490" s="2">
        <f>Tabelle13[[#This Row],[commits]]/Tabelle13[[#Totals],[commits]]</f>
        <v>1.3943371321273866E-5</v>
      </c>
      <c r="I2490" s="5">
        <f>Tabelle13[[#This Row],[%]]+I2489</f>
        <v>0.96095391251000617</v>
      </c>
      <c r="J2490" s="4">
        <f t="shared" si="109"/>
        <v>1.105583195135434E-4</v>
      </c>
      <c r="K2490" s="5">
        <f t="shared" si="110"/>
        <v>0.27506909894969095</v>
      </c>
    </row>
    <row r="2491" spans="1:11" x14ac:dyDescent="0.25">
      <c r="A2491" t="s">
        <v>5628</v>
      </c>
      <c r="C2491" t="s">
        <v>5629</v>
      </c>
      <c r="D2491" t="s">
        <v>5</v>
      </c>
      <c r="E2491" t="s">
        <v>6</v>
      </c>
      <c r="F2491" t="s">
        <v>28</v>
      </c>
      <c r="G2491">
        <v>3</v>
      </c>
      <c r="H2491" s="2">
        <f>Tabelle13[[#This Row],[commits]]/Tabelle13[[#Totals],[commits]]</f>
        <v>1.3943371321273866E-5</v>
      </c>
      <c r="I2491" s="5">
        <f>Tabelle13[[#This Row],[%]]+I2490</f>
        <v>0.96096785588132749</v>
      </c>
      <c r="J2491" s="4">
        <f t="shared" si="109"/>
        <v>1.105583195135434E-4</v>
      </c>
      <c r="K2491" s="5">
        <f t="shared" si="110"/>
        <v>0.27517965726920451</v>
      </c>
    </row>
    <row r="2492" spans="1:11" x14ac:dyDescent="0.25">
      <c r="A2492" t="s">
        <v>5630</v>
      </c>
      <c r="C2492" t="s">
        <v>5631</v>
      </c>
      <c r="D2492" t="s">
        <v>5</v>
      </c>
      <c r="E2492" t="s">
        <v>6</v>
      </c>
      <c r="F2492" t="s">
        <v>28</v>
      </c>
      <c r="G2492">
        <v>3</v>
      </c>
      <c r="H2492" s="2">
        <f>Tabelle13[[#This Row],[commits]]/Tabelle13[[#Totals],[commits]]</f>
        <v>1.3943371321273866E-5</v>
      </c>
      <c r="I2492" s="5">
        <f>Tabelle13[[#This Row],[%]]+I2491</f>
        <v>0.96098179925264882</v>
      </c>
      <c r="J2492" s="4">
        <f t="shared" si="109"/>
        <v>1.105583195135434E-4</v>
      </c>
      <c r="K2492" s="5">
        <f t="shared" si="110"/>
        <v>0.27529021558871808</v>
      </c>
    </row>
    <row r="2493" spans="1:11" x14ac:dyDescent="0.25">
      <c r="A2493" t="s">
        <v>5632</v>
      </c>
      <c r="C2493" t="s">
        <v>5633</v>
      </c>
      <c r="D2493" t="s">
        <v>5</v>
      </c>
      <c r="E2493" t="s">
        <v>6</v>
      </c>
      <c r="F2493" t="s">
        <v>28</v>
      </c>
      <c r="G2493">
        <v>3</v>
      </c>
      <c r="H2493" s="2">
        <f>Tabelle13[[#This Row],[commits]]/Tabelle13[[#Totals],[commits]]</f>
        <v>1.3943371321273866E-5</v>
      </c>
      <c r="I2493" s="5">
        <f>Tabelle13[[#This Row],[%]]+I2492</f>
        <v>0.96099574262397014</v>
      </c>
      <c r="J2493" s="4">
        <f t="shared" si="109"/>
        <v>1.105583195135434E-4</v>
      </c>
      <c r="K2493" s="5">
        <f t="shared" si="110"/>
        <v>0.27540077390823164</v>
      </c>
    </row>
    <row r="2494" spans="1:11" x14ac:dyDescent="0.25">
      <c r="A2494" t="s">
        <v>5636</v>
      </c>
      <c r="C2494" t="s">
        <v>2554</v>
      </c>
      <c r="D2494" t="s">
        <v>5637</v>
      </c>
      <c r="E2494" t="s">
        <v>6</v>
      </c>
      <c r="F2494" t="s">
        <v>28</v>
      </c>
      <c r="G2494">
        <v>3</v>
      </c>
      <c r="H2494" s="2">
        <f>Tabelle13[[#This Row],[commits]]/Tabelle13[[#Totals],[commits]]</f>
        <v>1.3943371321273866E-5</v>
      </c>
      <c r="I2494" s="5">
        <f>Tabelle13[[#This Row],[%]]+I2493</f>
        <v>0.96100968599529146</v>
      </c>
      <c r="J2494" s="4">
        <f t="shared" si="109"/>
        <v>1.105583195135434E-4</v>
      </c>
      <c r="K2494" s="5">
        <f t="shared" si="110"/>
        <v>0.27551133222774521</v>
      </c>
    </row>
    <row r="2495" spans="1:11" x14ac:dyDescent="0.25">
      <c r="A2495" t="s">
        <v>5638</v>
      </c>
      <c r="C2495" t="s">
        <v>1395</v>
      </c>
      <c r="D2495" t="s">
        <v>5</v>
      </c>
      <c r="E2495" t="s">
        <v>6</v>
      </c>
      <c r="F2495" t="s">
        <v>28</v>
      </c>
      <c r="G2495">
        <v>3</v>
      </c>
      <c r="H2495" s="2">
        <f>Tabelle13[[#This Row],[commits]]/Tabelle13[[#Totals],[commits]]</f>
        <v>1.3943371321273866E-5</v>
      </c>
      <c r="I2495" s="5">
        <f>Tabelle13[[#This Row],[%]]+I2494</f>
        <v>0.96102362936661279</v>
      </c>
      <c r="J2495" s="4">
        <f t="shared" si="109"/>
        <v>1.105583195135434E-4</v>
      </c>
      <c r="K2495" s="5">
        <f t="shared" si="110"/>
        <v>0.27562189054725877</v>
      </c>
    </row>
    <row r="2496" spans="1:11" x14ac:dyDescent="0.25">
      <c r="A2496" t="s">
        <v>5639</v>
      </c>
      <c r="C2496" t="s">
        <v>5640</v>
      </c>
      <c r="D2496" t="s">
        <v>5</v>
      </c>
      <c r="E2496" t="s">
        <v>6</v>
      </c>
      <c r="F2496" t="s">
        <v>28</v>
      </c>
      <c r="G2496">
        <v>3</v>
      </c>
      <c r="H2496" s="2">
        <f>Tabelle13[[#This Row],[commits]]/Tabelle13[[#Totals],[commits]]</f>
        <v>1.3943371321273866E-5</v>
      </c>
      <c r="I2496" s="5">
        <f>Tabelle13[[#This Row],[%]]+I2495</f>
        <v>0.96103757273793411</v>
      </c>
      <c r="J2496" s="4">
        <f t="shared" si="109"/>
        <v>1.105583195135434E-4</v>
      </c>
      <c r="K2496" s="5">
        <f t="shared" si="110"/>
        <v>0.27573244886677234</v>
      </c>
    </row>
    <row r="2497" spans="1:11" x14ac:dyDescent="0.25">
      <c r="A2497" t="s">
        <v>5641</v>
      </c>
      <c r="C2497" t="s">
        <v>5642</v>
      </c>
      <c r="D2497" t="s">
        <v>5</v>
      </c>
      <c r="E2497" t="s">
        <v>6</v>
      </c>
      <c r="F2497" t="s">
        <v>28</v>
      </c>
      <c r="G2497">
        <v>3</v>
      </c>
      <c r="H2497" s="2">
        <f>Tabelle13[[#This Row],[commits]]/Tabelle13[[#Totals],[commits]]</f>
        <v>1.3943371321273866E-5</v>
      </c>
      <c r="I2497" s="5">
        <f>Tabelle13[[#This Row],[%]]+I2496</f>
        <v>0.96105151610925543</v>
      </c>
      <c r="J2497" s="4">
        <f t="shared" si="109"/>
        <v>1.105583195135434E-4</v>
      </c>
      <c r="K2497" s="5">
        <f t="shared" si="110"/>
        <v>0.2758430071862859</v>
      </c>
    </row>
    <row r="2498" spans="1:11" x14ac:dyDescent="0.25">
      <c r="A2498" t="s">
        <v>5643</v>
      </c>
      <c r="C2498" t="s">
        <v>5644</v>
      </c>
      <c r="D2498" t="s">
        <v>5</v>
      </c>
      <c r="E2498" t="s">
        <v>6</v>
      </c>
      <c r="F2498" t="s">
        <v>28</v>
      </c>
      <c r="G2498">
        <v>3</v>
      </c>
      <c r="H2498" s="2">
        <f>Tabelle13[[#This Row],[commits]]/Tabelle13[[#Totals],[commits]]</f>
        <v>1.3943371321273866E-5</v>
      </c>
      <c r="I2498" s="5">
        <f>Tabelle13[[#This Row],[%]]+I2497</f>
        <v>0.96106545948057676</v>
      </c>
      <c r="J2498" s="4">
        <f t="shared" si="109"/>
        <v>1.105583195135434E-4</v>
      </c>
      <c r="K2498" s="5">
        <f t="shared" si="110"/>
        <v>0.27595356550579947</v>
      </c>
    </row>
    <row r="2499" spans="1:11" x14ac:dyDescent="0.25">
      <c r="A2499" t="s">
        <v>5645</v>
      </c>
      <c r="C2499" t="s">
        <v>5646</v>
      </c>
      <c r="D2499" t="s">
        <v>5</v>
      </c>
      <c r="E2499" t="s">
        <v>6</v>
      </c>
      <c r="F2499" t="s">
        <v>28</v>
      </c>
      <c r="G2499">
        <v>3</v>
      </c>
      <c r="H2499" s="2">
        <f>Tabelle13[[#This Row],[commits]]/Tabelle13[[#Totals],[commits]]</f>
        <v>1.3943371321273866E-5</v>
      </c>
      <c r="I2499" s="5">
        <f>Tabelle13[[#This Row],[%]]+I2498</f>
        <v>0.96107940285189808</v>
      </c>
      <c r="J2499" s="4">
        <f t="shared" ref="J2499:J2562" si="111">1/9045</f>
        <v>1.105583195135434E-4</v>
      </c>
      <c r="K2499" s="5">
        <f t="shared" si="110"/>
        <v>0.27606412382531303</v>
      </c>
    </row>
    <row r="2500" spans="1:11" x14ac:dyDescent="0.25">
      <c r="A2500" t="s">
        <v>5647</v>
      </c>
      <c r="C2500" t="s">
        <v>161</v>
      </c>
      <c r="D2500" t="s">
        <v>5</v>
      </c>
      <c r="E2500" t="s">
        <v>6</v>
      </c>
      <c r="F2500" t="s">
        <v>28</v>
      </c>
      <c r="G2500">
        <v>3</v>
      </c>
      <c r="H2500" s="2">
        <f>Tabelle13[[#This Row],[commits]]/Tabelle13[[#Totals],[commits]]</f>
        <v>1.3943371321273866E-5</v>
      </c>
      <c r="I2500" s="5">
        <f>Tabelle13[[#This Row],[%]]+I2499</f>
        <v>0.9610933462232194</v>
      </c>
      <c r="J2500" s="4">
        <f t="shared" si="111"/>
        <v>1.105583195135434E-4</v>
      </c>
      <c r="K2500" s="5">
        <f t="shared" si="110"/>
        <v>0.2761746821448266</v>
      </c>
    </row>
    <row r="2501" spans="1:11" x14ac:dyDescent="0.25">
      <c r="A2501" t="s">
        <v>5648</v>
      </c>
      <c r="C2501" t="s">
        <v>5649</v>
      </c>
      <c r="D2501" t="s">
        <v>5</v>
      </c>
      <c r="E2501" t="s">
        <v>6</v>
      </c>
      <c r="F2501" t="s">
        <v>28</v>
      </c>
      <c r="G2501">
        <v>3</v>
      </c>
      <c r="H2501" s="2">
        <f>Tabelle13[[#This Row],[commits]]/Tabelle13[[#Totals],[commits]]</f>
        <v>1.3943371321273866E-5</v>
      </c>
      <c r="I2501" s="5">
        <f>Tabelle13[[#This Row],[%]]+I2500</f>
        <v>0.96110728959454073</v>
      </c>
      <c r="J2501" s="4">
        <f t="shared" si="111"/>
        <v>1.105583195135434E-4</v>
      </c>
      <c r="K2501" s="5">
        <f t="shared" si="110"/>
        <v>0.27628524046434016</v>
      </c>
    </row>
    <row r="2502" spans="1:11" x14ac:dyDescent="0.25">
      <c r="A2502" t="s">
        <v>5650</v>
      </c>
      <c r="C2502" t="s">
        <v>5651</v>
      </c>
      <c r="D2502" t="s">
        <v>5175</v>
      </c>
      <c r="E2502" t="s">
        <v>6</v>
      </c>
      <c r="F2502" t="s">
        <v>28</v>
      </c>
      <c r="G2502">
        <v>3</v>
      </c>
      <c r="H2502" s="2">
        <f>Tabelle13[[#This Row],[commits]]/Tabelle13[[#Totals],[commits]]</f>
        <v>1.3943371321273866E-5</v>
      </c>
      <c r="I2502" s="5">
        <f>Tabelle13[[#This Row],[%]]+I2501</f>
        <v>0.96112123296586205</v>
      </c>
      <c r="J2502" s="4">
        <f t="shared" si="111"/>
        <v>1.105583195135434E-4</v>
      </c>
      <c r="K2502" s="5">
        <f t="shared" ref="K2502:K2565" si="112">J2502+K2501</f>
        <v>0.27639579878385373</v>
      </c>
    </row>
    <row r="2503" spans="1:11" x14ac:dyDescent="0.25">
      <c r="A2503" t="s">
        <v>5652</v>
      </c>
      <c r="C2503" t="s">
        <v>5653</v>
      </c>
      <c r="D2503" t="s">
        <v>5</v>
      </c>
      <c r="E2503" t="s">
        <v>6</v>
      </c>
      <c r="F2503" t="s">
        <v>28</v>
      </c>
      <c r="G2503">
        <v>3</v>
      </c>
      <c r="H2503" s="2">
        <f>Tabelle13[[#This Row],[commits]]/Tabelle13[[#Totals],[commits]]</f>
        <v>1.3943371321273866E-5</v>
      </c>
      <c r="I2503" s="5">
        <f>Tabelle13[[#This Row],[%]]+I2502</f>
        <v>0.96113517633718337</v>
      </c>
      <c r="J2503" s="4">
        <f t="shared" si="111"/>
        <v>1.105583195135434E-4</v>
      </c>
      <c r="K2503" s="5">
        <f t="shared" si="112"/>
        <v>0.2765063571033673</v>
      </c>
    </row>
    <row r="2504" spans="1:11" x14ac:dyDescent="0.25">
      <c r="A2504" t="s">
        <v>5654</v>
      </c>
      <c r="C2504" t="s">
        <v>5655</v>
      </c>
      <c r="D2504" t="s">
        <v>5</v>
      </c>
      <c r="E2504" t="s">
        <v>6</v>
      </c>
      <c r="F2504" t="s">
        <v>28</v>
      </c>
      <c r="G2504">
        <v>3</v>
      </c>
      <c r="H2504" s="2">
        <f>Tabelle13[[#This Row],[commits]]/Tabelle13[[#Totals],[commits]]</f>
        <v>1.3943371321273866E-5</v>
      </c>
      <c r="I2504" s="5">
        <f>Tabelle13[[#This Row],[%]]+I2503</f>
        <v>0.9611491197085047</v>
      </c>
      <c r="J2504" s="4">
        <f t="shared" si="111"/>
        <v>1.105583195135434E-4</v>
      </c>
      <c r="K2504" s="5">
        <f t="shared" si="112"/>
        <v>0.27661691542288086</v>
      </c>
    </row>
    <row r="2505" spans="1:11" x14ac:dyDescent="0.25">
      <c r="A2505" t="s">
        <v>5656</v>
      </c>
      <c r="C2505" t="s">
        <v>5657</v>
      </c>
      <c r="D2505" t="s">
        <v>5</v>
      </c>
      <c r="E2505" t="s">
        <v>6</v>
      </c>
      <c r="F2505" t="s">
        <v>28</v>
      </c>
      <c r="G2505">
        <v>3</v>
      </c>
      <c r="H2505" s="2">
        <f>Tabelle13[[#This Row],[commits]]/Tabelle13[[#Totals],[commits]]</f>
        <v>1.3943371321273866E-5</v>
      </c>
      <c r="I2505" s="5">
        <f>Tabelle13[[#This Row],[%]]+I2504</f>
        <v>0.96116306307982602</v>
      </c>
      <c r="J2505" s="4">
        <f t="shared" si="111"/>
        <v>1.105583195135434E-4</v>
      </c>
      <c r="K2505" s="5">
        <f t="shared" si="112"/>
        <v>0.27672747374239443</v>
      </c>
    </row>
    <row r="2506" spans="1:11" x14ac:dyDescent="0.25">
      <c r="A2506" t="s">
        <v>5658</v>
      </c>
      <c r="C2506" t="s">
        <v>5659</v>
      </c>
      <c r="D2506" t="s">
        <v>5660</v>
      </c>
      <c r="E2506" t="s">
        <v>6</v>
      </c>
      <c r="F2506" t="s">
        <v>28</v>
      </c>
      <c r="G2506">
        <v>3</v>
      </c>
      <c r="H2506" s="2">
        <f>Tabelle13[[#This Row],[commits]]/Tabelle13[[#Totals],[commits]]</f>
        <v>1.3943371321273866E-5</v>
      </c>
      <c r="I2506" s="5">
        <f>Tabelle13[[#This Row],[%]]+I2505</f>
        <v>0.96117700645114734</v>
      </c>
      <c r="J2506" s="4">
        <f t="shared" si="111"/>
        <v>1.105583195135434E-4</v>
      </c>
      <c r="K2506" s="5">
        <f t="shared" si="112"/>
        <v>0.27683803206190799</v>
      </c>
    </row>
    <row r="2507" spans="1:11" x14ac:dyDescent="0.25">
      <c r="A2507" t="s">
        <v>5661</v>
      </c>
      <c r="C2507" t="s">
        <v>5662</v>
      </c>
      <c r="D2507" t="s">
        <v>5</v>
      </c>
      <c r="E2507" t="s">
        <v>6</v>
      </c>
      <c r="F2507" t="s">
        <v>28</v>
      </c>
      <c r="G2507">
        <v>3</v>
      </c>
      <c r="H2507" s="2">
        <f>Tabelle13[[#This Row],[commits]]/Tabelle13[[#Totals],[commits]]</f>
        <v>1.3943371321273866E-5</v>
      </c>
      <c r="I2507" s="5">
        <f>Tabelle13[[#This Row],[%]]+I2506</f>
        <v>0.96119094982246867</v>
      </c>
      <c r="J2507" s="4">
        <f t="shared" si="111"/>
        <v>1.105583195135434E-4</v>
      </c>
      <c r="K2507" s="5">
        <f t="shared" si="112"/>
        <v>0.27694859038142156</v>
      </c>
    </row>
    <row r="2508" spans="1:11" x14ac:dyDescent="0.25">
      <c r="A2508" t="s">
        <v>5663</v>
      </c>
      <c r="C2508" t="s">
        <v>5664</v>
      </c>
      <c r="D2508" t="s">
        <v>5</v>
      </c>
      <c r="E2508" t="s">
        <v>6</v>
      </c>
      <c r="F2508" t="s">
        <v>28</v>
      </c>
      <c r="G2508">
        <v>3</v>
      </c>
      <c r="H2508" s="2">
        <f>Tabelle13[[#This Row],[commits]]/Tabelle13[[#Totals],[commits]]</f>
        <v>1.3943371321273866E-5</v>
      </c>
      <c r="I2508" s="5">
        <f>Tabelle13[[#This Row],[%]]+I2507</f>
        <v>0.96120489319378999</v>
      </c>
      <c r="J2508" s="4">
        <f t="shared" si="111"/>
        <v>1.105583195135434E-4</v>
      </c>
      <c r="K2508" s="5">
        <f t="shared" si="112"/>
        <v>0.27705914870093512</v>
      </c>
    </row>
    <row r="2509" spans="1:11" x14ac:dyDescent="0.25">
      <c r="A2509" t="s">
        <v>5665</v>
      </c>
      <c r="C2509" t="s">
        <v>211</v>
      </c>
      <c r="D2509" t="s">
        <v>5</v>
      </c>
      <c r="E2509" t="s">
        <v>6</v>
      </c>
      <c r="F2509" t="s">
        <v>28</v>
      </c>
      <c r="G2509">
        <v>3</v>
      </c>
      <c r="H2509" s="2">
        <f>Tabelle13[[#This Row],[commits]]/Tabelle13[[#Totals],[commits]]</f>
        <v>1.3943371321273866E-5</v>
      </c>
      <c r="I2509" s="5">
        <f>Tabelle13[[#This Row],[%]]+I2508</f>
        <v>0.96121883656511131</v>
      </c>
      <c r="J2509" s="4">
        <f t="shared" si="111"/>
        <v>1.105583195135434E-4</v>
      </c>
      <c r="K2509" s="5">
        <f t="shared" si="112"/>
        <v>0.27716970702044869</v>
      </c>
    </row>
    <row r="2510" spans="1:11" x14ac:dyDescent="0.25">
      <c r="A2510" t="s">
        <v>5666</v>
      </c>
      <c r="C2510" t="s">
        <v>5667</v>
      </c>
      <c r="D2510" t="s">
        <v>5</v>
      </c>
      <c r="E2510" t="s">
        <v>6</v>
      </c>
      <c r="F2510" t="s">
        <v>28</v>
      </c>
      <c r="G2510">
        <v>3</v>
      </c>
      <c r="H2510" s="2">
        <f>Tabelle13[[#This Row],[commits]]/Tabelle13[[#Totals],[commits]]</f>
        <v>1.3943371321273866E-5</v>
      </c>
      <c r="I2510" s="5">
        <f>Tabelle13[[#This Row],[%]]+I2509</f>
        <v>0.96123277993643264</v>
      </c>
      <c r="J2510" s="4">
        <f t="shared" si="111"/>
        <v>1.105583195135434E-4</v>
      </c>
      <c r="K2510" s="5">
        <f t="shared" si="112"/>
        <v>0.27728026533996225</v>
      </c>
    </row>
    <row r="2511" spans="1:11" x14ac:dyDescent="0.25">
      <c r="A2511" t="s">
        <v>5668</v>
      </c>
      <c r="C2511" t="s">
        <v>5669</v>
      </c>
      <c r="D2511" t="s">
        <v>5</v>
      </c>
      <c r="E2511" t="s">
        <v>6</v>
      </c>
      <c r="F2511" t="s">
        <v>28</v>
      </c>
      <c r="G2511">
        <v>3</v>
      </c>
      <c r="H2511" s="2">
        <f>Tabelle13[[#This Row],[commits]]/Tabelle13[[#Totals],[commits]]</f>
        <v>1.3943371321273866E-5</v>
      </c>
      <c r="I2511" s="5">
        <f>Tabelle13[[#This Row],[%]]+I2510</f>
        <v>0.96124672330775396</v>
      </c>
      <c r="J2511" s="4">
        <f t="shared" si="111"/>
        <v>1.105583195135434E-4</v>
      </c>
      <c r="K2511" s="5">
        <f t="shared" si="112"/>
        <v>0.27739082365947582</v>
      </c>
    </row>
    <row r="2512" spans="1:11" x14ac:dyDescent="0.25">
      <c r="A2512" t="s">
        <v>5670</v>
      </c>
      <c r="C2512" t="s">
        <v>5671</v>
      </c>
      <c r="D2512" t="s">
        <v>5</v>
      </c>
      <c r="E2512" t="s">
        <v>6</v>
      </c>
      <c r="F2512" t="s">
        <v>28</v>
      </c>
      <c r="G2512">
        <v>3</v>
      </c>
      <c r="H2512" s="2">
        <f>Tabelle13[[#This Row],[commits]]/Tabelle13[[#Totals],[commits]]</f>
        <v>1.3943371321273866E-5</v>
      </c>
      <c r="I2512" s="5">
        <f>Tabelle13[[#This Row],[%]]+I2511</f>
        <v>0.96126066667907528</v>
      </c>
      <c r="J2512" s="4">
        <f t="shared" si="111"/>
        <v>1.105583195135434E-4</v>
      </c>
      <c r="K2512" s="5">
        <f t="shared" si="112"/>
        <v>0.27750138197898938</v>
      </c>
    </row>
    <row r="2513" spans="1:11" x14ac:dyDescent="0.25">
      <c r="A2513" t="s">
        <v>5672</v>
      </c>
      <c r="C2513" t="s">
        <v>5673</v>
      </c>
      <c r="D2513" t="s">
        <v>5</v>
      </c>
      <c r="E2513" t="s">
        <v>6</v>
      </c>
      <c r="F2513" t="s">
        <v>28</v>
      </c>
      <c r="G2513">
        <v>3</v>
      </c>
      <c r="H2513" s="2">
        <f>Tabelle13[[#This Row],[commits]]/Tabelle13[[#Totals],[commits]]</f>
        <v>1.3943371321273866E-5</v>
      </c>
      <c r="I2513" s="5">
        <f>Tabelle13[[#This Row],[%]]+I2512</f>
        <v>0.96127461005039661</v>
      </c>
      <c r="J2513" s="4">
        <f t="shared" si="111"/>
        <v>1.105583195135434E-4</v>
      </c>
      <c r="K2513" s="5">
        <f t="shared" si="112"/>
        <v>0.27761194029850295</v>
      </c>
    </row>
    <row r="2514" spans="1:11" x14ac:dyDescent="0.25">
      <c r="A2514" t="s">
        <v>5674</v>
      </c>
      <c r="C2514" t="s">
        <v>5675</v>
      </c>
      <c r="D2514" t="s">
        <v>5</v>
      </c>
      <c r="E2514" t="s">
        <v>6</v>
      </c>
      <c r="F2514" t="s">
        <v>28</v>
      </c>
      <c r="G2514">
        <v>3</v>
      </c>
      <c r="H2514" s="2">
        <f>Tabelle13[[#This Row],[commits]]/Tabelle13[[#Totals],[commits]]</f>
        <v>1.3943371321273866E-5</v>
      </c>
      <c r="I2514" s="5">
        <f>Tabelle13[[#This Row],[%]]+I2513</f>
        <v>0.96128855342171793</v>
      </c>
      <c r="J2514" s="4">
        <f t="shared" si="111"/>
        <v>1.105583195135434E-4</v>
      </c>
      <c r="K2514" s="5">
        <f t="shared" si="112"/>
        <v>0.27772249861801651</v>
      </c>
    </row>
    <row r="2515" spans="1:11" x14ac:dyDescent="0.25">
      <c r="A2515" t="s">
        <v>5676</v>
      </c>
      <c r="C2515" t="s">
        <v>5677</v>
      </c>
      <c r="D2515" t="s">
        <v>5</v>
      </c>
      <c r="E2515" t="s">
        <v>6</v>
      </c>
      <c r="F2515" t="s">
        <v>28</v>
      </c>
      <c r="G2515">
        <v>3</v>
      </c>
      <c r="H2515" s="2">
        <f>Tabelle13[[#This Row],[commits]]/Tabelle13[[#Totals],[commits]]</f>
        <v>1.3943371321273866E-5</v>
      </c>
      <c r="I2515" s="5">
        <f>Tabelle13[[#This Row],[%]]+I2514</f>
        <v>0.96130249679303925</v>
      </c>
      <c r="J2515" s="4">
        <f t="shared" si="111"/>
        <v>1.105583195135434E-4</v>
      </c>
      <c r="K2515" s="5">
        <f t="shared" si="112"/>
        <v>0.27783305693753008</v>
      </c>
    </row>
    <row r="2516" spans="1:11" x14ac:dyDescent="0.25">
      <c r="A2516" t="s">
        <v>5678</v>
      </c>
      <c r="C2516" t="s">
        <v>5679</v>
      </c>
      <c r="D2516" t="s">
        <v>5</v>
      </c>
      <c r="E2516" t="s">
        <v>6</v>
      </c>
      <c r="F2516" t="s">
        <v>28</v>
      </c>
      <c r="G2516">
        <v>3</v>
      </c>
      <c r="H2516" s="2">
        <f>Tabelle13[[#This Row],[commits]]/Tabelle13[[#Totals],[commits]]</f>
        <v>1.3943371321273866E-5</v>
      </c>
      <c r="I2516" s="5">
        <f>Tabelle13[[#This Row],[%]]+I2515</f>
        <v>0.96131644016436057</v>
      </c>
      <c r="J2516" s="4">
        <f t="shared" si="111"/>
        <v>1.105583195135434E-4</v>
      </c>
      <c r="K2516" s="5">
        <f t="shared" si="112"/>
        <v>0.27794361525704364</v>
      </c>
    </row>
    <row r="2517" spans="1:11" x14ac:dyDescent="0.25">
      <c r="A2517" t="s">
        <v>5680</v>
      </c>
      <c r="C2517" t="s">
        <v>5681</v>
      </c>
      <c r="D2517" t="s">
        <v>5</v>
      </c>
      <c r="E2517" t="s">
        <v>6</v>
      </c>
      <c r="F2517" t="s">
        <v>28</v>
      </c>
      <c r="G2517">
        <v>3</v>
      </c>
      <c r="H2517" s="2">
        <f>Tabelle13[[#This Row],[commits]]/Tabelle13[[#Totals],[commits]]</f>
        <v>1.3943371321273866E-5</v>
      </c>
      <c r="I2517" s="5">
        <f>Tabelle13[[#This Row],[%]]+I2516</f>
        <v>0.9613303835356819</v>
      </c>
      <c r="J2517" s="4">
        <f t="shared" si="111"/>
        <v>1.105583195135434E-4</v>
      </c>
      <c r="K2517" s="5">
        <f t="shared" si="112"/>
        <v>0.27805417357655721</v>
      </c>
    </row>
    <row r="2518" spans="1:11" x14ac:dyDescent="0.25">
      <c r="A2518" t="s">
        <v>5682</v>
      </c>
      <c r="C2518" t="s">
        <v>5683</v>
      </c>
      <c r="D2518" t="s">
        <v>5684</v>
      </c>
      <c r="E2518" t="s">
        <v>6</v>
      </c>
      <c r="F2518" t="s">
        <v>28</v>
      </c>
      <c r="G2518">
        <v>3</v>
      </c>
      <c r="H2518" s="2">
        <f>Tabelle13[[#This Row],[commits]]/Tabelle13[[#Totals],[commits]]</f>
        <v>1.3943371321273866E-5</v>
      </c>
      <c r="I2518" s="5">
        <f>Tabelle13[[#This Row],[%]]+I2517</f>
        <v>0.96134432690700322</v>
      </c>
      <c r="J2518" s="4">
        <f t="shared" si="111"/>
        <v>1.105583195135434E-4</v>
      </c>
      <c r="K2518" s="5">
        <f t="shared" si="112"/>
        <v>0.27816473189607077</v>
      </c>
    </row>
    <row r="2519" spans="1:11" x14ac:dyDescent="0.25">
      <c r="A2519" t="s">
        <v>5685</v>
      </c>
      <c r="C2519" t="s">
        <v>1644</v>
      </c>
      <c r="D2519" t="s">
        <v>5</v>
      </c>
      <c r="E2519" t="s">
        <v>6</v>
      </c>
      <c r="F2519" t="s">
        <v>28</v>
      </c>
      <c r="G2519">
        <v>3</v>
      </c>
      <c r="H2519" s="2">
        <f>Tabelle13[[#This Row],[commits]]/Tabelle13[[#Totals],[commits]]</f>
        <v>1.3943371321273866E-5</v>
      </c>
      <c r="I2519" s="5">
        <f>Tabelle13[[#This Row],[%]]+I2518</f>
        <v>0.96135827027832454</v>
      </c>
      <c r="J2519" s="4">
        <f t="shared" si="111"/>
        <v>1.105583195135434E-4</v>
      </c>
      <c r="K2519" s="5">
        <f t="shared" si="112"/>
        <v>0.27827529021558434</v>
      </c>
    </row>
    <row r="2520" spans="1:11" x14ac:dyDescent="0.25">
      <c r="A2520" t="s">
        <v>5686</v>
      </c>
      <c r="C2520" t="s">
        <v>5687</v>
      </c>
      <c r="D2520" t="s">
        <v>5390</v>
      </c>
      <c r="E2520" t="s">
        <v>6</v>
      </c>
      <c r="F2520" t="s">
        <v>28</v>
      </c>
      <c r="G2520">
        <v>3</v>
      </c>
      <c r="H2520" s="2">
        <f>Tabelle13[[#This Row],[commits]]/Tabelle13[[#Totals],[commits]]</f>
        <v>1.3943371321273866E-5</v>
      </c>
      <c r="I2520" s="5">
        <f>Tabelle13[[#This Row],[%]]+I2519</f>
        <v>0.96137221364964587</v>
      </c>
      <c r="J2520" s="4">
        <f t="shared" si="111"/>
        <v>1.105583195135434E-4</v>
      </c>
      <c r="K2520" s="5">
        <f t="shared" si="112"/>
        <v>0.2783858485350979</v>
      </c>
    </row>
    <row r="2521" spans="1:11" x14ac:dyDescent="0.25">
      <c r="A2521" t="s">
        <v>5688</v>
      </c>
      <c r="C2521" t="s">
        <v>5689</v>
      </c>
      <c r="D2521" t="s">
        <v>5175</v>
      </c>
      <c r="E2521" t="s">
        <v>6</v>
      </c>
      <c r="F2521" t="s">
        <v>28</v>
      </c>
      <c r="G2521">
        <v>3</v>
      </c>
      <c r="H2521" s="2">
        <f>Tabelle13[[#This Row],[commits]]/Tabelle13[[#Totals],[commits]]</f>
        <v>1.3943371321273866E-5</v>
      </c>
      <c r="I2521" s="5">
        <f>Tabelle13[[#This Row],[%]]+I2520</f>
        <v>0.96138615702096719</v>
      </c>
      <c r="J2521" s="4">
        <f t="shared" si="111"/>
        <v>1.105583195135434E-4</v>
      </c>
      <c r="K2521" s="5">
        <f t="shared" si="112"/>
        <v>0.27849640685461147</v>
      </c>
    </row>
    <row r="2522" spans="1:11" x14ac:dyDescent="0.25">
      <c r="A2522" t="s">
        <v>5690</v>
      </c>
      <c r="C2522" t="s">
        <v>5691</v>
      </c>
      <c r="D2522" t="s">
        <v>5</v>
      </c>
      <c r="E2522" t="s">
        <v>6</v>
      </c>
      <c r="F2522" t="s">
        <v>28</v>
      </c>
      <c r="G2522">
        <v>3</v>
      </c>
      <c r="H2522" s="2">
        <f>Tabelle13[[#This Row],[commits]]/Tabelle13[[#Totals],[commits]]</f>
        <v>1.3943371321273866E-5</v>
      </c>
      <c r="I2522" s="5">
        <f>Tabelle13[[#This Row],[%]]+I2521</f>
        <v>0.96140010039228851</v>
      </c>
      <c r="J2522" s="4">
        <f t="shared" si="111"/>
        <v>1.105583195135434E-4</v>
      </c>
      <c r="K2522" s="5">
        <f t="shared" si="112"/>
        <v>0.27860696517412503</v>
      </c>
    </row>
    <row r="2523" spans="1:11" x14ac:dyDescent="0.25">
      <c r="A2523" t="s">
        <v>5692</v>
      </c>
      <c r="C2523" t="s">
        <v>5194</v>
      </c>
      <c r="D2523" t="s">
        <v>5175</v>
      </c>
      <c r="E2523" t="s">
        <v>6</v>
      </c>
      <c r="F2523" t="s">
        <v>28</v>
      </c>
      <c r="G2523">
        <v>3</v>
      </c>
      <c r="H2523" s="2">
        <f>Tabelle13[[#This Row],[commits]]/Tabelle13[[#Totals],[commits]]</f>
        <v>1.3943371321273866E-5</v>
      </c>
      <c r="I2523" s="5">
        <f>Tabelle13[[#This Row],[%]]+I2522</f>
        <v>0.96141404376360984</v>
      </c>
      <c r="J2523" s="4">
        <f t="shared" si="111"/>
        <v>1.105583195135434E-4</v>
      </c>
      <c r="K2523" s="5">
        <f t="shared" si="112"/>
        <v>0.2787175234936386</v>
      </c>
    </row>
    <row r="2524" spans="1:11" x14ac:dyDescent="0.25">
      <c r="A2524" t="s">
        <v>5693</v>
      </c>
      <c r="C2524" t="s">
        <v>5694</v>
      </c>
      <c r="D2524" t="s">
        <v>5</v>
      </c>
      <c r="E2524" t="s">
        <v>6</v>
      </c>
      <c r="F2524" t="s">
        <v>28</v>
      </c>
      <c r="G2524">
        <v>3</v>
      </c>
      <c r="H2524" s="2">
        <f>Tabelle13[[#This Row],[commits]]/Tabelle13[[#Totals],[commits]]</f>
        <v>1.3943371321273866E-5</v>
      </c>
      <c r="I2524" s="5">
        <f>Tabelle13[[#This Row],[%]]+I2523</f>
        <v>0.96142798713493116</v>
      </c>
      <c r="J2524" s="4">
        <f t="shared" si="111"/>
        <v>1.105583195135434E-4</v>
      </c>
      <c r="K2524" s="5">
        <f t="shared" si="112"/>
        <v>0.27882808181315216</v>
      </c>
    </row>
    <row r="2525" spans="1:11" x14ac:dyDescent="0.25">
      <c r="A2525" t="s">
        <v>5695</v>
      </c>
      <c r="C2525" t="s">
        <v>5696</v>
      </c>
      <c r="D2525" t="s">
        <v>5</v>
      </c>
      <c r="E2525" t="s">
        <v>6</v>
      </c>
      <c r="F2525" t="s">
        <v>28</v>
      </c>
      <c r="G2525">
        <v>3</v>
      </c>
      <c r="H2525" s="2">
        <f>Tabelle13[[#This Row],[commits]]/Tabelle13[[#Totals],[commits]]</f>
        <v>1.3943371321273866E-5</v>
      </c>
      <c r="I2525" s="5">
        <f>Tabelle13[[#This Row],[%]]+I2524</f>
        <v>0.96144193050625248</v>
      </c>
      <c r="J2525" s="4">
        <f t="shared" si="111"/>
        <v>1.105583195135434E-4</v>
      </c>
      <c r="K2525" s="5">
        <f t="shared" si="112"/>
        <v>0.27893864013266573</v>
      </c>
    </row>
    <row r="2526" spans="1:11" x14ac:dyDescent="0.25">
      <c r="A2526" t="s">
        <v>5697</v>
      </c>
      <c r="C2526" t="s">
        <v>5698</v>
      </c>
      <c r="D2526" t="s">
        <v>5</v>
      </c>
      <c r="E2526" t="s">
        <v>6</v>
      </c>
      <c r="F2526" t="s">
        <v>28</v>
      </c>
      <c r="G2526">
        <v>3</v>
      </c>
      <c r="H2526" s="2">
        <f>Tabelle13[[#This Row],[commits]]/Tabelle13[[#Totals],[commits]]</f>
        <v>1.3943371321273866E-5</v>
      </c>
      <c r="I2526" s="5">
        <f>Tabelle13[[#This Row],[%]]+I2525</f>
        <v>0.96145587387757381</v>
      </c>
      <c r="J2526" s="4">
        <f t="shared" si="111"/>
        <v>1.105583195135434E-4</v>
      </c>
      <c r="K2526" s="5">
        <f t="shared" si="112"/>
        <v>0.27904919845217929</v>
      </c>
    </row>
    <row r="2527" spans="1:11" x14ac:dyDescent="0.25">
      <c r="A2527" t="s">
        <v>5699</v>
      </c>
      <c r="C2527" t="s">
        <v>5700</v>
      </c>
      <c r="D2527" t="s">
        <v>5701</v>
      </c>
      <c r="E2527" t="s">
        <v>6</v>
      </c>
      <c r="F2527" t="s">
        <v>28</v>
      </c>
      <c r="G2527">
        <v>3</v>
      </c>
      <c r="H2527" s="2">
        <f>Tabelle13[[#This Row],[commits]]/Tabelle13[[#Totals],[commits]]</f>
        <v>1.3943371321273866E-5</v>
      </c>
      <c r="I2527" s="5">
        <f>Tabelle13[[#This Row],[%]]+I2526</f>
        <v>0.96146981724889513</v>
      </c>
      <c r="J2527" s="4">
        <f t="shared" si="111"/>
        <v>1.105583195135434E-4</v>
      </c>
      <c r="K2527" s="5">
        <f t="shared" si="112"/>
        <v>0.27915975677169286</v>
      </c>
    </row>
    <row r="2528" spans="1:11" x14ac:dyDescent="0.25">
      <c r="A2528" t="s">
        <v>5702</v>
      </c>
      <c r="C2528" t="s">
        <v>5703</v>
      </c>
      <c r="D2528" t="s">
        <v>5</v>
      </c>
      <c r="E2528" t="s">
        <v>6</v>
      </c>
      <c r="F2528" t="s">
        <v>28</v>
      </c>
      <c r="G2528">
        <v>3</v>
      </c>
      <c r="H2528" s="2">
        <f>Tabelle13[[#This Row],[commits]]/Tabelle13[[#Totals],[commits]]</f>
        <v>1.3943371321273866E-5</v>
      </c>
      <c r="I2528" s="5">
        <f>Tabelle13[[#This Row],[%]]+I2527</f>
        <v>0.96148376062021645</v>
      </c>
      <c r="J2528" s="4">
        <f t="shared" si="111"/>
        <v>1.105583195135434E-4</v>
      </c>
      <c r="K2528" s="5">
        <f t="shared" si="112"/>
        <v>0.27927031509120642</v>
      </c>
    </row>
    <row r="2529" spans="1:11" x14ac:dyDescent="0.25">
      <c r="A2529" t="s">
        <v>5704</v>
      </c>
      <c r="C2529" t="s">
        <v>5705</v>
      </c>
      <c r="D2529" t="s">
        <v>5</v>
      </c>
      <c r="E2529" t="s">
        <v>6</v>
      </c>
      <c r="F2529" t="s">
        <v>28</v>
      </c>
      <c r="G2529">
        <v>3</v>
      </c>
      <c r="H2529" s="2">
        <f>Tabelle13[[#This Row],[commits]]/Tabelle13[[#Totals],[commits]]</f>
        <v>1.3943371321273866E-5</v>
      </c>
      <c r="I2529" s="5">
        <f>Tabelle13[[#This Row],[%]]+I2528</f>
        <v>0.96149770399153778</v>
      </c>
      <c r="J2529" s="4">
        <f t="shared" si="111"/>
        <v>1.105583195135434E-4</v>
      </c>
      <c r="K2529" s="5">
        <f t="shared" si="112"/>
        <v>0.27938087341071999</v>
      </c>
    </row>
    <row r="2530" spans="1:11" x14ac:dyDescent="0.25">
      <c r="A2530" t="s">
        <v>5706</v>
      </c>
      <c r="C2530" t="s">
        <v>5707</v>
      </c>
      <c r="D2530" t="s">
        <v>5</v>
      </c>
      <c r="E2530" t="s">
        <v>6</v>
      </c>
      <c r="F2530" t="s">
        <v>28</v>
      </c>
      <c r="G2530">
        <v>3</v>
      </c>
      <c r="H2530" s="2">
        <f>Tabelle13[[#This Row],[commits]]/Tabelle13[[#Totals],[commits]]</f>
        <v>1.3943371321273866E-5</v>
      </c>
      <c r="I2530" s="5">
        <f>Tabelle13[[#This Row],[%]]+I2529</f>
        <v>0.9615116473628591</v>
      </c>
      <c r="J2530" s="4">
        <f t="shared" si="111"/>
        <v>1.105583195135434E-4</v>
      </c>
      <c r="K2530" s="5">
        <f t="shared" si="112"/>
        <v>0.27949143173023355</v>
      </c>
    </row>
    <row r="2531" spans="1:11" x14ac:dyDescent="0.25">
      <c r="A2531" t="s">
        <v>5708</v>
      </c>
      <c r="C2531" t="s">
        <v>5709</v>
      </c>
      <c r="D2531" t="s">
        <v>5</v>
      </c>
      <c r="E2531" t="s">
        <v>6</v>
      </c>
      <c r="F2531" t="s">
        <v>28</v>
      </c>
      <c r="G2531">
        <v>3</v>
      </c>
      <c r="H2531" s="2">
        <f>Tabelle13[[#This Row],[commits]]/Tabelle13[[#Totals],[commits]]</f>
        <v>1.3943371321273866E-5</v>
      </c>
      <c r="I2531" s="5">
        <f>Tabelle13[[#This Row],[%]]+I2530</f>
        <v>0.96152559073418042</v>
      </c>
      <c r="J2531" s="4">
        <f t="shared" si="111"/>
        <v>1.105583195135434E-4</v>
      </c>
      <c r="K2531" s="5">
        <f t="shared" si="112"/>
        <v>0.27960199004974712</v>
      </c>
    </row>
    <row r="2532" spans="1:11" x14ac:dyDescent="0.25">
      <c r="A2532" t="s">
        <v>5710</v>
      </c>
      <c r="C2532" t="s">
        <v>5711</v>
      </c>
      <c r="D2532" t="s">
        <v>5</v>
      </c>
      <c r="E2532" t="s">
        <v>6</v>
      </c>
      <c r="F2532" t="s">
        <v>28</v>
      </c>
      <c r="G2532">
        <v>3</v>
      </c>
      <c r="H2532" s="2">
        <f>Tabelle13[[#This Row],[commits]]/Tabelle13[[#Totals],[commits]]</f>
        <v>1.3943371321273866E-5</v>
      </c>
      <c r="I2532" s="5">
        <f>Tabelle13[[#This Row],[%]]+I2531</f>
        <v>0.96153953410550175</v>
      </c>
      <c r="J2532" s="4">
        <f t="shared" si="111"/>
        <v>1.105583195135434E-4</v>
      </c>
      <c r="K2532" s="5">
        <f t="shared" si="112"/>
        <v>0.27971254836926068</v>
      </c>
    </row>
    <row r="2533" spans="1:11" x14ac:dyDescent="0.25">
      <c r="A2533" t="s">
        <v>5712</v>
      </c>
      <c r="C2533" t="s">
        <v>5713</v>
      </c>
      <c r="D2533" t="s">
        <v>5</v>
      </c>
      <c r="E2533" t="s">
        <v>6</v>
      </c>
      <c r="F2533" t="s">
        <v>28</v>
      </c>
      <c r="G2533">
        <v>3</v>
      </c>
      <c r="H2533" s="2">
        <f>Tabelle13[[#This Row],[commits]]/Tabelle13[[#Totals],[commits]]</f>
        <v>1.3943371321273866E-5</v>
      </c>
      <c r="I2533" s="5">
        <f>Tabelle13[[#This Row],[%]]+I2532</f>
        <v>0.96155347747682307</v>
      </c>
      <c r="J2533" s="4">
        <f t="shared" si="111"/>
        <v>1.105583195135434E-4</v>
      </c>
      <c r="K2533" s="5">
        <f t="shared" si="112"/>
        <v>0.27982310668877425</v>
      </c>
    </row>
    <row r="2534" spans="1:11" x14ac:dyDescent="0.25">
      <c r="A2534" t="s">
        <v>5714</v>
      </c>
      <c r="C2534" t="s">
        <v>5715</v>
      </c>
      <c r="D2534" t="s">
        <v>5</v>
      </c>
      <c r="E2534" t="s">
        <v>6</v>
      </c>
      <c r="F2534" t="s">
        <v>28</v>
      </c>
      <c r="G2534">
        <v>3</v>
      </c>
      <c r="H2534" s="2">
        <f>Tabelle13[[#This Row],[commits]]/Tabelle13[[#Totals],[commits]]</f>
        <v>1.3943371321273866E-5</v>
      </c>
      <c r="I2534" s="5">
        <f>Tabelle13[[#This Row],[%]]+I2533</f>
        <v>0.96156742084814439</v>
      </c>
      <c r="J2534" s="4">
        <f t="shared" si="111"/>
        <v>1.105583195135434E-4</v>
      </c>
      <c r="K2534" s="5">
        <f t="shared" si="112"/>
        <v>0.27993366500828781</v>
      </c>
    </row>
    <row r="2535" spans="1:11" x14ac:dyDescent="0.25">
      <c r="A2535" t="s">
        <v>5716</v>
      </c>
      <c r="C2535" t="s">
        <v>5717</v>
      </c>
      <c r="D2535" t="s">
        <v>5</v>
      </c>
      <c r="E2535" t="s">
        <v>6</v>
      </c>
      <c r="F2535" t="s">
        <v>28</v>
      </c>
      <c r="G2535">
        <v>3</v>
      </c>
      <c r="H2535" s="2">
        <f>Tabelle13[[#This Row],[commits]]/Tabelle13[[#Totals],[commits]]</f>
        <v>1.3943371321273866E-5</v>
      </c>
      <c r="I2535" s="5">
        <f>Tabelle13[[#This Row],[%]]+I2534</f>
        <v>0.96158136421946572</v>
      </c>
      <c r="J2535" s="4">
        <f t="shared" si="111"/>
        <v>1.105583195135434E-4</v>
      </c>
      <c r="K2535" s="5">
        <f t="shared" si="112"/>
        <v>0.28004422332780138</v>
      </c>
    </row>
    <row r="2536" spans="1:11" x14ac:dyDescent="0.25">
      <c r="A2536" t="s">
        <v>5718</v>
      </c>
      <c r="C2536" t="s">
        <v>5719</v>
      </c>
      <c r="D2536" t="s">
        <v>5</v>
      </c>
      <c r="E2536" t="s">
        <v>6</v>
      </c>
      <c r="F2536" t="s">
        <v>28</v>
      </c>
      <c r="G2536">
        <v>3</v>
      </c>
      <c r="H2536" s="2">
        <f>Tabelle13[[#This Row],[commits]]/Tabelle13[[#Totals],[commits]]</f>
        <v>1.3943371321273866E-5</v>
      </c>
      <c r="I2536" s="5">
        <f>Tabelle13[[#This Row],[%]]+I2535</f>
        <v>0.96159530759078704</v>
      </c>
      <c r="J2536" s="4">
        <f t="shared" si="111"/>
        <v>1.105583195135434E-4</v>
      </c>
      <c r="K2536" s="5">
        <f t="shared" si="112"/>
        <v>0.28015478164731494</v>
      </c>
    </row>
    <row r="2537" spans="1:11" x14ac:dyDescent="0.25">
      <c r="A2537" t="s">
        <v>5720</v>
      </c>
      <c r="C2537" t="s">
        <v>5721</v>
      </c>
      <c r="D2537" t="s">
        <v>5</v>
      </c>
      <c r="E2537" t="s">
        <v>6</v>
      </c>
      <c r="F2537" t="s">
        <v>28</v>
      </c>
      <c r="G2537">
        <v>3</v>
      </c>
      <c r="H2537" s="2">
        <f>Tabelle13[[#This Row],[commits]]/Tabelle13[[#Totals],[commits]]</f>
        <v>1.3943371321273866E-5</v>
      </c>
      <c r="I2537" s="5">
        <f>Tabelle13[[#This Row],[%]]+I2536</f>
        <v>0.96160925096210836</v>
      </c>
      <c r="J2537" s="4">
        <f t="shared" si="111"/>
        <v>1.105583195135434E-4</v>
      </c>
      <c r="K2537" s="5">
        <f t="shared" si="112"/>
        <v>0.28026533996682851</v>
      </c>
    </row>
    <row r="2538" spans="1:11" x14ac:dyDescent="0.25">
      <c r="A2538" t="s">
        <v>5722</v>
      </c>
      <c r="C2538" t="s">
        <v>5723</v>
      </c>
      <c r="D2538" t="s">
        <v>5</v>
      </c>
      <c r="E2538" t="s">
        <v>6</v>
      </c>
      <c r="F2538" t="s">
        <v>28</v>
      </c>
      <c r="G2538">
        <v>3</v>
      </c>
      <c r="H2538" s="2">
        <f>Tabelle13[[#This Row],[commits]]/Tabelle13[[#Totals],[commits]]</f>
        <v>1.3943371321273866E-5</v>
      </c>
      <c r="I2538" s="5">
        <f>Tabelle13[[#This Row],[%]]+I2537</f>
        <v>0.96162319433342969</v>
      </c>
      <c r="J2538" s="4">
        <f t="shared" si="111"/>
        <v>1.105583195135434E-4</v>
      </c>
      <c r="K2538" s="5">
        <f t="shared" si="112"/>
        <v>0.28037589828634207</v>
      </c>
    </row>
    <row r="2539" spans="1:11" x14ac:dyDescent="0.25">
      <c r="A2539" t="s">
        <v>5724</v>
      </c>
      <c r="C2539" t="s">
        <v>5725</v>
      </c>
      <c r="D2539" t="s">
        <v>5</v>
      </c>
      <c r="E2539" t="s">
        <v>6</v>
      </c>
      <c r="F2539" t="s">
        <v>28</v>
      </c>
      <c r="G2539">
        <v>3</v>
      </c>
      <c r="H2539" s="2">
        <f>Tabelle13[[#This Row],[commits]]/Tabelle13[[#Totals],[commits]]</f>
        <v>1.3943371321273866E-5</v>
      </c>
      <c r="I2539" s="5">
        <f>Tabelle13[[#This Row],[%]]+I2538</f>
        <v>0.96163713770475101</v>
      </c>
      <c r="J2539" s="4">
        <f t="shared" si="111"/>
        <v>1.105583195135434E-4</v>
      </c>
      <c r="K2539" s="5">
        <f t="shared" si="112"/>
        <v>0.28048645660585564</v>
      </c>
    </row>
    <row r="2540" spans="1:11" x14ac:dyDescent="0.25">
      <c r="A2540" t="s">
        <v>5726</v>
      </c>
      <c r="C2540" t="s">
        <v>5727</v>
      </c>
      <c r="D2540" t="s">
        <v>5</v>
      </c>
      <c r="E2540" t="s">
        <v>6</v>
      </c>
      <c r="F2540" t="s">
        <v>28</v>
      </c>
      <c r="G2540">
        <v>3</v>
      </c>
      <c r="H2540" s="2">
        <f>Tabelle13[[#This Row],[commits]]/Tabelle13[[#Totals],[commits]]</f>
        <v>1.3943371321273866E-5</v>
      </c>
      <c r="I2540" s="5">
        <f>Tabelle13[[#This Row],[%]]+I2539</f>
        <v>0.96165108107607233</v>
      </c>
      <c r="J2540" s="4">
        <f t="shared" si="111"/>
        <v>1.105583195135434E-4</v>
      </c>
      <c r="K2540" s="5">
        <f t="shared" si="112"/>
        <v>0.2805970149253692</v>
      </c>
    </row>
    <row r="2541" spans="1:11" x14ac:dyDescent="0.25">
      <c r="A2541" t="s">
        <v>8066</v>
      </c>
      <c r="C2541" t="s">
        <v>8067</v>
      </c>
      <c r="D2541" t="s">
        <v>5</v>
      </c>
      <c r="E2541" t="s">
        <v>6</v>
      </c>
      <c r="F2541" t="s">
        <v>334</v>
      </c>
      <c r="G2541">
        <v>3</v>
      </c>
      <c r="H2541" s="2">
        <f>Tabelle13[[#This Row],[commits]]/Tabelle13[[#Totals],[commits]]</f>
        <v>1.3943371321273866E-5</v>
      </c>
      <c r="I2541" s="5">
        <f>Tabelle13[[#This Row],[%]]+I2540</f>
        <v>0.96166502444739366</v>
      </c>
      <c r="J2541" s="4">
        <f t="shared" si="111"/>
        <v>1.105583195135434E-4</v>
      </c>
      <c r="K2541" s="5">
        <f t="shared" si="112"/>
        <v>0.28070757324488277</v>
      </c>
    </row>
    <row r="2542" spans="1:11" x14ac:dyDescent="0.25">
      <c r="A2542" t="s">
        <v>11884</v>
      </c>
      <c r="C2542" t="s">
        <v>11885</v>
      </c>
      <c r="D2542" t="s">
        <v>5</v>
      </c>
      <c r="E2542" t="s">
        <v>6</v>
      </c>
      <c r="F2542" t="s">
        <v>251</v>
      </c>
      <c r="G2542">
        <v>3</v>
      </c>
      <c r="H2542" s="2">
        <f>Tabelle13[[#This Row],[commits]]/Tabelle13[[#Totals],[commits]]</f>
        <v>1.3943371321273866E-5</v>
      </c>
      <c r="I2542" s="5">
        <f>Tabelle13[[#This Row],[%]]+I2541</f>
        <v>0.96167896781871498</v>
      </c>
      <c r="J2542" s="4">
        <f t="shared" si="111"/>
        <v>1.105583195135434E-4</v>
      </c>
      <c r="K2542" s="5">
        <f t="shared" si="112"/>
        <v>0.28081813156439633</v>
      </c>
    </row>
    <row r="2543" spans="1:11" x14ac:dyDescent="0.25">
      <c r="A2543" t="s">
        <v>11886</v>
      </c>
      <c r="C2543" t="s">
        <v>11887</v>
      </c>
      <c r="D2543" t="s">
        <v>309</v>
      </c>
      <c r="E2543" t="s">
        <v>6</v>
      </c>
      <c r="F2543" t="s">
        <v>251</v>
      </c>
      <c r="G2543">
        <v>3</v>
      </c>
      <c r="H2543" s="2">
        <f>Tabelle13[[#This Row],[commits]]/Tabelle13[[#Totals],[commits]]</f>
        <v>1.3943371321273866E-5</v>
      </c>
      <c r="I2543" s="5">
        <f>Tabelle13[[#This Row],[%]]+I2542</f>
        <v>0.9616929111900363</v>
      </c>
      <c r="J2543" s="4">
        <f t="shared" si="111"/>
        <v>1.105583195135434E-4</v>
      </c>
      <c r="K2543" s="5">
        <f t="shared" si="112"/>
        <v>0.2809286898839099</v>
      </c>
    </row>
    <row r="2544" spans="1:11" x14ac:dyDescent="0.25">
      <c r="A2544" t="s">
        <v>11888</v>
      </c>
      <c r="C2544" t="s">
        <v>11889</v>
      </c>
      <c r="D2544" t="s">
        <v>5</v>
      </c>
      <c r="E2544" t="s">
        <v>6</v>
      </c>
      <c r="F2544" t="s">
        <v>251</v>
      </c>
      <c r="G2544">
        <v>3</v>
      </c>
      <c r="H2544" s="2">
        <f>Tabelle13[[#This Row],[commits]]/Tabelle13[[#Totals],[commits]]</f>
        <v>1.3943371321273866E-5</v>
      </c>
      <c r="I2544" s="5">
        <f>Tabelle13[[#This Row],[%]]+I2543</f>
        <v>0.96170685456135763</v>
      </c>
      <c r="J2544" s="4">
        <f t="shared" si="111"/>
        <v>1.105583195135434E-4</v>
      </c>
      <c r="K2544" s="5">
        <f t="shared" si="112"/>
        <v>0.28103924820342346</v>
      </c>
    </row>
    <row r="2545" spans="1:11" x14ac:dyDescent="0.25">
      <c r="A2545" t="s">
        <v>11890</v>
      </c>
      <c r="C2545" t="s">
        <v>11891</v>
      </c>
      <c r="D2545" t="s">
        <v>309</v>
      </c>
      <c r="E2545" t="s">
        <v>6</v>
      </c>
      <c r="F2545" t="s">
        <v>251</v>
      </c>
      <c r="G2545">
        <v>3</v>
      </c>
      <c r="H2545" s="2">
        <f>Tabelle13[[#This Row],[commits]]/Tabelle13[[#Totals],[commits]]</f>
        <v>1.3943371321273866E-5</v>
      </c>
      <c r="I2545" s="5">
        <f>Tabelle13[[#This Row],[%]]+I2544</f>
        <v>0.96172079793267895</v>
      </c>
      <c r="J2545" s="4">
        <f t="shared" si="111"/>
        <v>1.105583195135434E-4</v>
      </c>
      <c r="K2545" s="5">
        <f t="shared" si="112"/>
        <v>0.28114980652293703</v>
      </c>
    </row>
    <row r="2546" spans="1:11" x14ac:dyDescent="0.25">
      <c r="A2546" t="s">
        <v>11892</v>
      </c>
      <c r="C2546" t="s">
        <v>11893</v>
      </c>
      <c r="D2546" t="s">
        <v>5</v>
      </c>
      <c r="E2546" t="s">
        <v>6</v>
      </c>
      <c r="F2546" t="s">
        <v>251</v>
      </c>
      <c r="G2546">
        <v>3</v>
      </c>
      <c r="H2546" s="2">
        <f>Tabelle13[[#This Row],[commits]]/Tabelle13[[#Totals],[commits]]</f>
        <v>1.3943371321273866E-5</v>
      </c>
      <c r="I2546" s="5">
        <f>Tabelle13[[#This Row],[%]]+I2545</f>
        <v>0.96173474130400027</v>
      </c>
      <c r="J2546" s="4">
        <f t="shared" si="111"/>
        <v>1.105583195135434E-4</v>
      </c>
      <c r="K2546" s="5">
        <f t="shared" si="112"/>
        <v>0.28126036484245059</v>
      </c>
    </row>
    <row r="2547" spans="1:11" x14ac:dyDescent="0.25">
      <c r="A2547" t="s">
        <v>11894</v>
      </c>
      <c r="C2547" t="s">
        <v>11895</v>
      </c>
      <c r="D2547" t="s">
        <v>309</v>
      </c>
      <c r="E2547" t="s">
        <v>6</v>
      </c>
      <c r="F2547" t="s">
        <v>251</v>
      </c>
      <c r="G2547">
        <v>3</v>
      </c>
      <c r="H2547" s="2">
        <f>Tabelle13[[#This Row],[commits]]/Tabelle13[[#Totals],[commits]]</f>
        <v>1.3943371321273866E-5</v>
      </c>
      <c r="I2547" s="5">
        <f>Tabelle13[[#This Row],[%]]+I2546</f>
        <v>0.9617486846753216</v>
      </c>
      <c r="J2547" s="4">
        <f t="shared" si="111"/>
        <v>1.105583195135434E-4</v>
      </c>
      <c r="K2547" s="5">
        <f t="shared" si="112"/>
        <v>0.28137092316196416</v>
      </c>
    </row>
    <row r="2548" spans="1:11" x14ac:dyDescent="0.25">
      <c r="A2548" t="s">
        <v>11896</v>
      </c>
      <c r="C2548" t="s">
        <v>11897</v>
      </c>
      <c r="D2548" t="s">
        <v>8948</v>
      </c>
      <c r="E2548" t="s">
        <v>6</v>
      </c>
      <c r="F2548" t="s">
        <v>251</v>
      </c>
      <c r="G2548">
        <v>3</v>
      </c>
      <c r="H2548" s="2">
        <f>Tabelle13[[#This Row],[commits]]/Tabelle13[[#Totals],[commits]]</f>
        <v>1.3943371321273866E-5</v>
      </c>
      <c r="I2548" s="5">
        <f>Tabelle13[[#This Row],[%]]+I2547</f>
        <v>0.96176262804664292</v>
      </c>
      <c r="J2548" s="4">
        <f t="shared" si="111"/>
        <v>1.105583195135434E-4</v>
      </c>
      <c r="K2548" s="5">
        <f t="shared" si="112"/>
        <v>0.28148148148147772</v>
      </c>
    </row>
    <row r="2549" spans="1:11" x14ac:dyDescent="0.25">
      <c r="A2549" t="s">
        <v>11898</v>
      </c>
      <c r="C2549" t="s">
        <v>11899</v>
      </c>
      <c r="D2549" t="s">
        <v>8948</v>
      </c>
      <c r="E2549" t="s">
        <v>6</v>
      </c>
      <c r="F2549" t="s">
        <v>251</v>
      </c>
      <c r="G2549">
        <v>3</v>
      </c>
      <c r="H2549" s="2">
        <f>Tabelle13[[#This Row],[commits]]/Tabelle13[[#Totals],[commits]]</f>
        <v>1.3943371321273866E-5</v>
      </c>
      <c r="I2549" s="5">
        <f>Tabelle13[[#This Row],[%]]+I2548</f>
        <v>0.96177657141796424</v>
      </c>
      <c r="J2549" s="4">
        <f t="shared" si="111"/>
        <v>1.105583195135434E-4</v>
      </c>
      <c r="K2549" s="5">
        <f t="shared" si="112"/>
        <v>0.28159203980099129</v>
      </c>
    </row>
    <row r="2550" spans="1:11" x14ac:dyDescent="0.25">
      <c r="A2550" t="s">
        <v>11900</v>
      </c>
      <c r="C2550" t="s">
        <v>11901</v>
      </c>
      <c r="D2550" t="s">
        <v>309</v>
      </c>
      <c r="E2550" t="s">
        <v>6</v>
      </c>
      <c r="F2550" t="s">
        <v>251</v>
      </c>
      <c r="G2550">
        <v>3</v>
      </c>
      <c r="H2550" s="2">
        <f>Tabelle13[[#This Row],[commits]]/Tabelle13[[#Totals],[commits]]</f>
        <v>1.3943371321273866E-5</v>
      </c>
      <c r="I2550" s="5">
        <f>Tabelle13[[#This Row],[%]]+I2549</f>
        <v>0.96179051478928557</v>
      </c>
      <c r="J2550" s="4">
        <f t="shared" si="111"/>
        <v>1.105583195135434E-4</v>
      </c>
      <c r="K2550" s="5">
        <f t="shared" si="112"/>
        <v>0.28170259812050485</v>
      </c>
    </row>
    <row r="2551" spans="1:11" x14ac:dyDescent="0.25">
      <c r="A2551" t="s">
        <v>11902</v>
      </c>
      <c r="C2551" t="s">
        <v>11903</v>
      </c>
      <c r="D2551" t="s">
        <v>309</v>
      </c>
      <c r="E2551" t="s">
        <v>6</v>
      </c>
      <c r="F2551" t="s">
        <v>251</v>
      </c>
      <c r="G2551">
        <v>3</v>
      </c>
      <c r="H2551" s="2">
        <f>Tabelle13[[#This Row],[commits]]/Tabelle13[[#Totals],[commits]]</f>
        <v>1.3943371321273866E-5</v>
      </c>
      <c r="I2551" s="5">
        <f>Tabelle13[[#This Row],[%]]+I2550</f>
        <v>0.96180445816060689</v>
      </c>
      <c r="J2551" s="4">
        <f t="shared" si="111"/>
        <v>1.105583195135434E-4</v>
      </c>
      <c r="K2551" s="5">
        <f t="shared" si="112"/>
        <v>0.28181315644001842</v>
      </c>
    </row>
    <row r="2552" spans="1:11" x14ac:dyDescent="0.25">
      <c r="A2552" t="s">
        <v>11904</v>
      </c>
      <c r="C2552" t="s">
        <v>11905</v>
      </c>
      <c r="D2552" t="s">
        <v>309</v>
      </c>
      <c r="E2552" t="s">
        <v>6</v>
      </c>
      <c r="F2552" t="s">
        <v>251</v>
      </c>
      <c r="G2552">
        <v>3</v>
      </c>
      <c r="H2552" s="2">
        <f>Tabelle13[[#This Row],[commits]]/Tabelle13[[#Totals],[commits]]</f>
        <v>1.3943371321273866E-5</v>
      </c>
      <c r="I2552" s="5">
        <f>Tabelle13[[#This Row],[%]]+I2551</f>
        <v>0.96181840153192821</v>
      </c>
      <c r="J2552" s="4">
        <f t="shared" si="111"/>
        <v>1.105583195135434E-4</v>
      </c>
      <c r="K2552" s="5">
        <f t="shared" si="112"/>
        <v>0.28192371475953198</v>
      </c>
    </row>
    <row r="2553" spans="1:11" x14ac:dyDescent="0.25">
      <c r="A2553" t="s">
        <v>11906</v>
      </c>
      <c r="C2553" t="s">
        <v>11907</v>
      </c>
      <c r="D2553" t="s">
        <v>11908</v>
      </c>
      <c r="E2553" t="s">
        <v>6</v>
      </c>
      <c r="F2553" t="s">
        <v>251</v>
      </c>
      <c r="G2553">
        <v>3</v>
      </c>
      <c r="H2553" s="2">
        <f>Tabelle13[[#This Row],[commits]]/Tabelle13[[#Totals],[commits]]</f>
        <v>1.3943371321273866E-5</v>
      </c>
      <c r="I2553" s="5">
        <f>Tabelle13[[#This Row],[%]]+I2552</f>
        <v>0.96183234490324954</v>
      </c>
      <c r="J2553" s="4">
        <f t="shared" si="111"/>
        <v>1.105583195135434E-4</v>
      </c>
      <c r="K2553" s="5">
        <f t="shared" si="112"/>
        <v>0.28203427307904555</v>
      </c>
    </row>
    <row r="2554" spans="1:11" x14ac:dyDescent="0.25">
      <c r="A2554" t="s">
        <v>11909</v>
      </c>
      <c r="C2554" t="s">
        <v>11910</v>
      </c>
      <c r="D2554" t="s">
        <v>309</v>
      </c>
      <c r="E2554" t="s">
        <v>6</v>
      </c>
      <c r="F2554" t="s">
        <v>251</v>
      </c>
      <c r="G2554">
        <v>3</v>
      </c>
      <c r="H2554" s="2">
        <f>Tabelle13[[#This Row],[commits]]/Tabelle13[[#Totals],[commits]]</f>
        <v>1.3943371321273866E-5</v>
      </c>
      <c r="I2554" s="5">
        <f>Tabelle13[[#This Row],[%]]+I2553</f>
        <v>0.96184628827457086</v>
      </c>
      <c r="J2554" s="4">
        <f t="shared" si="111"/>
        <v>1.105583195135434E-4</v>
      </c>
      <c r="K2554" s="5">
        <f t="shared" si="112"/>
        <v>0.28214483139855911</v>
      </c>
    </row>
    <row r="2555" spans="1:11" x14ac:dyDescent="0.25">
      <c r="A2555" t="s">
        <v>11911</v>
      </c>
      <c r="C2555" t="s">
        <v>11912</v>
      </c>
      <c r="D2555" t="s">
        <v>5</v>
      </c>
      <c r="E2555" t="s">
        <v>6</v>
      </c>
      <c r="F2555" t="s">
        <v>251</v>
      </c>
      <c r="G2555">
        <v>3</v>
      </c>
      <c r="H2555" s="2">
        <f>Tabelle13[[#This Row],[commits]]/Tabelle13[[#Totals],[commits]]</f>
        <v>1.3943371321273866E-5</v>
      </c>
      <c r="I2555" s="5">
        <f>Tabelle13[[#This Row],[%]]+I2554</f>
        <v>0.96186023164589218</v>
      </c>
      <c r="J2555" s="4">
        <f t="shared" si="111"/>
        <v>1.105583195135434E-4</v>
      </c>
      <c r="K2555" s="5">
        <f t="shared" si="112"/>
        <v>0.28225538971807268</v>
      </c>
    </row>
    <row r="2556" spans="1:11" x14ac:dyDescent="0.25">
      <c r="A2556" t="s">
        <v>11913</v>
      </c>
      <c r="C2556" t="s">
        <v>11914</v>
      </c>
      <c r="D2556" t="s">
        <v>309</v>
      </c>
      <c r="E2556" t="s">
        <v>6</v>
      </c>
      <c r="F2556" t="s">
        <v>251</v>
      </c>
      <c r="G2556">
        <v>3</v>
      </c>
      <c r="H2556" s="2">
        <f>Tabelle13[[#This Row],[commits]]/Tabelle13[[#Totals],[commits]]</f>
        <v>1.3943371321273866E-5</v>
      </c>
      <c r="I2556" s="5">
        <f>Tabelle13[[#This Row],[%]]+I2555</f>
        <v>0.96187417501721351</v>
      </c>
      <c r="J2556" s="4">
        <f t="shared" si="111"/>
        <v>1.105583195135434E-4</v>
      </c>
      <c r="K2556" s="5">
        <f t="shared" si="112"/>
        <v>0.28236594803758625</v>
      </c>
    </row>
    <row r="2557" spans="1:11" x14ac:dyDescent="0.25">
      <c r="A2557" t="s">
        <v>11915</v>
      </c>
      <c r="C2557" t="s">
        <v>11916</v>
      </c>
      <c r="D2557" t="s">
        <v>8760</v>
      </c>
      <c r="E2557" t="s">
        <v>6</v>
      </c>
      <c r="F2557" t="s">
        <v>251</v>
      </c>
      <c r="G2557">
        <v>3</v>
      </c>
      <c r="H2557" s="2">
        <f>Tabelle13[[#This Row],[commits]]/Tabelle13[[#Totals],[commits]]</f>
        <v>1.3943371321273866E-5</v>
      </c>
      <c r="I2557" s="5">
        <f>Tabelle13[[#This Row],[%]]+I2556</f>
        <v>0.96188811838853483</v>
      </c>
      <c r="J2557" s="4">
        <f t="shared" si="111"/>
        <v>1.105583195135434E-4</v>
      </c>
      <c r="K2557" s="5">
        <f t="shared" si="112"/>
        <v>0.28247650635709981</v>
      </c>
    </row>
    <row r="2558" spans="1:11" x14ac:dyDescent="0.25">
      <c r="A2558" t="s">
        <v>11917</v>
      </c>
      <c r="C2558" t="s">
        <v>11918</v>
      </c>
      <c r="D2558" t="s">
        <v>309</v>
      </c>
      <c r="E2558" t="s">
        <v>6</v>
      </c>
      <c r="F2558" t="s">
        <v>251</v>
      </c>
      <c r="G2558">
        <v>3</v>
      </c>
      <c r="H2558" s="2">
        <f>Tabelle13[[#This Row],[commits]]/Tabelle13[[#Totals],[commits]]</f>
        <v>1.3943371321273866E-5</v>
      </c>
      <c r="I2558" s="5">
        <f>Tabelle13[[#This Row],[%]]+I2557</f>
        <v>0.96190206175985615</v>
      </c>
      <c r="J2558" s="4">
        <f t="shared" si="111"/>
        <v>1.105583195135434E-4</v>
      </c>
      <c r="K2558" s="5">
        <f t="shared" si="112"/>
        <v>0.28258706467661338</v>
      </c>
    </row>
    <row r="2559" spans="1:11" x14ac:dyDescent="0.25">
      <c r="A2559" t="s">
        <v>11919</v>
      </c>
      <c r="C2559" t="s">
        <v>11920</v>
      </c>
      <c r="D2559" t="s">
        <v>309</v>
      </c>
      <c r="E2559" t="s">
        <v>6</v>
      </c>
      <c r="F2559" t="s">
        <v>251</v>
      </c>
      <c r="G2559">
        <v>3</v>
      </c>
      <c r="H2559" s="2">
        <f>Tabelle13[[#This Row],[commits]]/Tabelle13[[#Totals],[commits]]</f>
        <v>1.3943371321273866E-5</v>
      </c>
      <c r="I2559" s="5">
        <f>Tabelle13[[#This Row],[%]]+I2558</f>
        <v>0.96191600513117748</v>
      </c>
      <c r="J2559" s="4">
        <f t="shared" si="111"/>
        <v>1.105583195135434E-4</v>
      </c>
      <c r="K2559" s="5">
        <f t="shared" si="112"/>
        <v>0.28269762299612694</v>
      </c>
    </row>
    <row r="2560" spans="1:11" x14ac:dyDescent="0.25">
      <c r="A2560" t="s">
        <v>11921</v>
      </c>
      <c r="C2560" t="s">
        <v>11922</v>
      </c>
      <c r="D2560" t="s">
        <v>309</v>
      </c>
      <c r="E2560" t="s">
        <v>6</v>
      </c>
      <c r="F2560" t="s">
        <v>251</v>
      </c>
      <c r="G2560">
        <v>3</v>
      </c>
      <c r="H2560" s="2">
        <f>Tabelle13[[#This Row],[commits]]/Tabelle13[[#Totals],[commits]]</f>
        <v>1.3943371321273866E-5</v>
      </c>
      <c r="I2560" s="5">
        <f>Tabelle13[[#This Row],[%]]+I2559</f>
        <v>0.9619299485024988</v>
      </c>
      <c r="J2560" s="4">
        <f t="shared" si="111"/>
        <v>1.105583195135434E-4</v>
      </c>
      <c r="K2560" s="5">
        <f t="shared" si="112"/>
        <v>0.28280818131564051</v>
      </c>
    </row>
    <row r="2561" spans="1:11" x14ac:dyDescent="0.25">
      <c r="A2561" t="s">
        <v>11923</v>
      </c>
      <c r="C2561" t="s">
        <v>11924</v>
      </c>
      <c r="D2561" t="s">
        <v>309</v>
      </c>
      <c r="E2561" t="s">
        <v>6</v>
      </c>
      <c r="F2561" t="s">
        <v>251</v>
      </c>
      <c r="G2561">
        <v>3</v>
      </c>
      <c r="H2561" s="2">
        <f>Tabelle13[[#This Row],[commits]]/Tabelle13[[#Totals],[commits]]</f>
        <v>1.3943371321273866E-5</v>
      </c>
      <c r="I2561" s="5">
        <f>Tabelle13[[#This Row],[%]]+I2560</f>
        <v>0.96194389187382012</v>
      </c>
      <c r="J2561" s="4">
        <f t="shared" si="111"/>
        <v>1.105583195135434E-4</v>
      </c>
      <c r="K2561" s="5">
        <f t="shared" si="112"/>
        <v>0.28291873963515407</v>
      </c>
    </row>
    <row r="2562" spans="1:11" x14ac:dyDescent="0.25">
      <c r="A2562" t="s">
        <v>11925</v>
      </c>
      <c r="C2562" t="s">
        <v>11926</v>
      </c>
      <c r="D2562" t="s">
        <v>5</v>
      </c>
      <c r="E2562" t="s">
        <v>6</v>
      </c>
      <c r="F2562" t="s">
        <v>251</v>
      </c>
      <c r="G2562">
        <v>3</v>
      </c>
      <c r="H2562" s="2">
        <f>Tabelle13[[#This Row],[commits]]/Tabelle13[[#Totals],[commits]]</f>
        <v>1.3943371321273866E-5</v>
      </c>
      <c r="I2562" s="5">
        <f>Tabelle13[[#This Row],[%]]+I2561</f>
        <v>0.96195783524514145</v>
      </c>
      <c r="J2562" s="4">
        <f t="shared" si="111"/>
        <v>1.105583195135434E-4</v>
      </c>
      <c r="K2562" s="5">
        <f t="shared" si="112"/>
        <v>0.28302929795466764</v>
      </c>
    </row>
    <row r="2563" spans="1:11" x14ac:dyDescent="0.25">
      <c r="A2563" t="s">
        <v>11927</v>
      </c>
      <c r="C2563" t="s">
        <v>11928</v>
      </c>
      <c r="D2563" t="s">
        <v>309</v>
      </c>
      <c r="E2563" t="s">
        <v>6</v>
      </c>
      <c r="F2563" t="s">
        <v>251</v>
      </c>
      <c r="G2563">
        <v>3</v>
      </c>
      <c r="H2563" s="2">
        <f>Tabelle13[[#This Row],[commits]]/Tabelle13[[#Totals],[commits]]</f>
        <v>1.3943371321273866E-5</v>
      </c>
      <c r="I2563" s="5">
        <f>Tabelle13[[#This Row],[%]]+I2562</f>
        <v>0.96197177861646277</v>
      </c>
      <c r="J2563" s="4">
        <f t="shared" ref="J2563:J2626" si="113">1/9045</f>
        <v>1.105583195135434E-4</v>
      </c>
      <c r="K2563" s="5">
        <f t="shared" si="112"/>
        <v>0.2831398562741812</v>
      </c>
    </row>
    <row r="2564" spans="1:11" x14ac:dyDescent="0.25">
      <c r="A2564" t="s">
        <v>11929</v>
      </c>
      <c r="C2564" t="s">
        <v>11930</v>
      </c>
      <c r="D2564" t="s">
        <v>309</v>
      </c>
      <c r="E2564" t="s">
        <v>6</v>
      </c>
      <c r="F2564" t="s">
        <v>251</v>
      </c>
      <c r="G2564">
        <v>3</v>
      </c>
      <c r="H2564" s="2">
        <f>Tabelle13[[#This Row],[commits]]/Tabelle13[[#Totals],[commits]]</f>
        <v>1.3943371321273866E-5</v>
      </c>
      <c r="I2564" s="5">
        <f>Tabelle13[[#This Row],[%]]+I2563</f>
        <v>0.96198572198778409</v>
      </c>
      <c r="J2564" s="4">
        <f t="shared" si="113"/>
        <v>1.105583195135434E-4</v>
      </c>
      <c r="K2564" s="5">
        <f t="shared" si="112"/>
        <v>0.28325041459369477</v>
      </c>
    </row>
    <row r="2565" spans="1:11" x14ac:dyDescent="0.25">
      <c r="A2565" t="s">
        <v>11931</v>
      </c>
      <c r="C2565" t="s">
        <v>11932</v>
      </c>
      <c r="D2565" t="s">
        <v>309</v>
      </c>
      <c r="E2565" t="s">
        <v>6</v>
      </c>
      <c r="F2565" t="s">
        <v>251</v>
      </c>
      <c r="G2565">
        <v>3</v>
      </c>
      <c r="H2565" s="2">
        <f>Tabelle13[[#This Row],[commits]]/Tabelle13[[#Totals],[commits]]</f>
        <v>1.3943371321273866E-5</v>
      </c>
      <c r="I2565" s="5">
        <f>Tabelle13[[#This Row],[%]]+I2564</f>
        <v>0.96199966535910542</v>
      </c>
      <c r="J2565" s="4">
        <f t="shared" si="113"/>
        <v>1.105583195135434E-4</v>
      </c>
      <c r="K2565" s="5">
        <f t="shared" si="112"/>
        <v>0.28336097291320833</v>
      </c>
    </row>
    <row r="2566" spans="1:11" x14ac:dyDescent="0.25">
      <c r="A2566" t="s">
        <v>11933</v>
      </c>
      <c r="C2566" t="s">
        <v>11934</v>
      </c>
      <c r="D2566" t="s">
        <v>5</v>
      </c>
      <c r="E2566" t="s">
        <v>6</v>
      </c>
      <c r="F2566" t="s">
        <v>251</v>
      </c>
      <c r="G2566">
        <v>3</v>
      </c>
      <c r="H2566" s="2">
        <f>Tabelle13[[#This Row],[commits]]/Tabelle13[[#Totals],[commits]]</f>
        <v>1.3943371321273866E-5</v>
      </c>
      <c r="I2566" s="5">
        <f>Tabelle13[[#This Row],[%]]+I2565</f>
        <v>0.96201360873042674</v>
      </c>
      <c r="J2566" s="4">
        <f t="shared" si="113"/>
        <v>1.105583195135434E-4</v>
      </c>
      <c r="K2566" s="5">
        <f t="shared" ref="K2566:K2629" si="114">J2566+K2565</f>
        <v>0.2834715312327219</v>
      </c>
    </row>
    <row r="2567" spans="1:11" x14ac:dyDescent="0.25">
      <c r="A2567" t="s">
        <v>11935</v>
      </c>
      <c r="C2567" t="s">
        <v>11936</v>
      </c>
      <c r="D2567" t="s">
        <v>5</v>
      </c>
      <c r="E2567" t="s">
        <v>6</v>
      </c>
      <c r="F2567" t="s">
        <v>251</v>
      </c>
      <c r="G2567">
        <v>3</v>
      </c>
      <c r="H2567" s="2">
        <f>Tabelle13[[#This Row],[commits]]/Tabelle13[[#Totals],[commits]]</f>
        <v>1.3943371321273866E-5</v>
      </c>
      <c r="I2567" s="5">
        <f>Tabelle13[[#This Row],[%]]+I2566</f>
        <v>0.96202755210174806</v>
      </c>
      <c r="J2567" s="4">
        <f t="shared" si="113"/>
        <v>1.105583195135434E-4</v>
      </c>
      <c r="K2567" s="5">
        <f t="shared" si="114"/>
        <v>0.28358208955223546</v>
      </c>
    </row>
    <row r="2568" spans="1:11" x14ac:dyDescent="0.25">
      <c r="A2568" t="s">
        <v>11937</v>
      </c>
      <c r="C2568" t="s">
        <v>11938</v>
      </c>
      <c r="D2568" t="s">
        <v>5</v>
      </c>
      <c r="E2568" t="s">
        <v>6</v>
      </c>
      <c r="F2568" t="s">
        <v>251</v>
      </c>
      <c r="G2568">
        <v>3</v>
      </c>
      <c r="H2568" s="2">
        <f>Tabelle13[[#This Row],[commits]]/Tabelle13[[#Totals],[commits]]</f>
        <v>1.3943371321273866E-5</v>
      </c>
      <c r="I2568" s="5">
        <f>Tabelle13[[#This Row],[%]]+I2567</f>
        <v>0.96204149547306939</v>
      </c>
      <c r="J2568" s="4">
        <f t="shared" si="113"/>
        <v>1.105583195135434E-4</v>
      </c>
      <c r="K2568" s="5">
        <f t="shared" si="114"/>
        <v>0.28369264787174903</v>
      </c>
    </row>
    <row r="2569" spans="1:11" x14ac:dyDescent="0.25">
      <c r="A2569" t="s">
        <v>11939</v>
      </c>
      <c r="C2569" t="s">
        <v>11940</v>
      </c>
      <c r="D2569" t="s">
        <v>5</v>
      </c>
      <c r="E2569" t="s">
        <v>6</v>
      </c>
      <c r="F2569" t="s">
        <v>251</v>
      </c>
      <c r="G2569">
        <v>3</v>
      </c>
      <c r="H2569" s="2">
        <f>Tabelle13[[#This Row],[commits]]/Tabelle13[[#Totals],[commits]]</f>
        <v>1.3943371321273866E-5</v>
      </c>
      <c r="I2569" s="5">
        <f>Tabelle13[[#This Row],[%]]+I2568</f>
        <v>0.96205543884439071</v>
      </c>
      <c r="J2569" s="4">
        <f t="shared" si="113"/>
        <v>1.105583195135434E-4</v>
      </c>
      <c r="K2569" s="5">
        <f t="shared" si="114"/>
        <v>0.28380320619126259</v>
      </c>
    </row>
    <row r="2570" spans="1:11" x14ac:dyDescent="0.25">
      <c r="A2570" t="s">
        <v>11941</v>
      </c>
      <c r="C2570" t="s">
        <v>11942</v>
      </c>
      <c r="D2570" t="s">
        <v>309</v>
      </c>
      <c r="E2570" t="s">
        <v>6</v>
      </c>
      <c r="F2570" t="s">
        <v>251</v>
      </c>
      <c r="G2570">
        <v>3</v>
      </c>
      <c r="H2570" s="2">
        <f>Tabelle13[[#This Row],[commits]]/Tabelle13[[#Totals],[commits]]</f>
        <v>1.3943371321273866E-5</v>
      </c>
      <c r="I2570" s="5">
        <f>Tabelle13[[#This Row],[%]]+I2569</f>
        <v>0.96206938221571203</v>
      </c>
      <c r="J2570" s="4">
        <f t="shared" si="113"/>
        <v>1.105583195135434E-4</v>
      </c>
      <c r="K2570" s="5">
        <f t="shared" si="114"/>
        <v>0.28391376451077616</v>
      </c>
    </row>
    <row r="2571" spans="1:11" x14ac:dyDescent="0.25">
      <c r="A2571" t="s">
        <v>11943</v>
      </c>
      <c r="C2571" t="s">
        <v>11944</v>
      </c>
      <c r="D2571" t="s">
        <v>309</v>
      </c>
      <c r="E2571" t="s">
        <v>6</v>
      </c>
      <c r="F2571" t="s">
        <v>251</v>
      </c>
      <c r="G2571">
        <v>3</v>
      </c>
      <c r="H2571" s="2">
        <f>Tabelle13[[#This Row],[commits]]/Tabelle13[[#Totals],[commits]]</f>
        <v>1.3943371321273866E-5</v>
      </c>
      <c r="I2571" s="5">
        <f>Tabelle13[[#This Row],[%]]+I2570</f>
        <v>0.96208332558703336</v>
      </c>
      <c r="J2571" s="4">
        <f t="shared" si="113"/>
        <v>1.105583195135434E-4</v>
      </c>
      <c r="K2571" s="5">
        <f t="shared" si="114"/>
        <v>0.28402432283028972</v>
      </c>
    </row>
    <row r="2572" spans="1:11" x14ac:dyDescent="0.25">
      <c r="A2572" t="s">
        <v>11945</v>
      </c>
      <c r="C2572" t="s">
        <v>11946</v>
      </c>
      <c r="D2572" t="s">
        <v>5</v>
      </c>
      <c r="E2572" t="s">
        <v>6</v>
      </c>
      <c r="F2572" t="s">
        <v>251</v>
      </c>
      <c r="G2572">
        <v>3</v>
      </c>
      <c r="H2572" s="2">
        <f>Tabelle13[[#This Row],[commits]]/Tabelle13[[#Totals],[commits]]</f>
        <v>1.3943371321273866E-5</v>
      </c>
      <c r="I2572" s="5">
        <f>Tabelle13[[#This Row],[%]]+I2571</f>
        <v>0.96209726895835468</v>
      </c>
      <c r="J2572" s="4">
        <f t="shared" si="113"/>
        <v>1.105583195135434E-4</v>
      </c>
      <c r="K2572" s="5">
        <f t="shared" si="114"/>
        <v>0.28413488114980329</v>
      </c>
    </row>
    <row r="2573" spans="1:11" x14ac:dyDescent="0.25">
      <c r="A2573" t="s">
        <v>11947</v>
      </c>
      <c r="C2573" t="s">
        <v>11948</v>
      </c>
      <c r="D2573" t="s">
        <v>309</v>
      </c>
      <c r="E2573" t="s">
        <v>6</v>
      </c>
      <c r="F2573" t="s">
        <v>251</v>
      </c>
      <c r="G2573">
        <v>3</v>
      </c>
      <c r="H2573" s="2">
        <f>Tabelle13[[#This Row],[commits]]/Tabelle13[[#Totals],[commits]]</f>
        <v>1.3943371321273866E-5</v>
      </c>
      <c r="I2573" s="5">
        <f>Tabelle13[[#This Row],[%]]+I2572</f>
        <v>0.962111212329676</v>
      </c>
      <c r="J2573" s="4">
        <f t="shared" si="113"/>
        <v>1.105583195135434E-4</v>
      </c>
      <c r="K2573" s="5">
        <f t="shared" si="114"/>
        <v>0.28424543946931685</v>
      </c>
    </row>
    <row r="2574" spans="1:11" x14ac:dyDescent="0.25">
      <c r="A2574" t="s">
        <v>11949</v>
      </c>
      <c r="C2574" t="s">
        <v>11950</v>
      </c>
      <c r="D2574" t="s">
        <v>9035</v>
      </c>
      <c r="E2574" t="s">
        <v>6</v>
      </c>
      <c r="F2574" t="s">
        <v>251</v>
      </c>
      <c r="G2574">
        <v>3</v>
      </c>
      <c r="H2574" s="2">
        <f>Tabelle13[[#This Row],[commits]]/Tabelle13[[#Totals],[commits]]</f>
        <v>1.3943371321273866E-5</v>
      </c>
      <c r="I2574" s="5">
        <f>Tabelle13[[#This Row],[%]]+I2573</f>
        <v>0.96212515570099733</v>
      </c>
      <c r="J2574" s="4">
        <f t="shared" si="113"/>
        <v>1.105583195135434E-4</v>
      </c>
      <c r="K2574" s="5">
        <f t="shared" si="114"/>
        <v>0.28435599778883042</v>
      </c>
    </row>
    <row r="2575" spans="1:11" x14ac:dyDescent="0.25">
      <c r="A2575" t="s">
        <v>11951</v>
      </c>
      <c r="C2575" t="s">
        <v>11952</v>
      </c>
      <c r="D2575" t="s">
        <v>5</v>
      </c>
      <c r="E2575" t="s">
        <v>6</v>
      </c>
      <c r="F2575" t="s">
        <v>251</v>
      </c>
      <c r="G2575">
        <v>3</v>
      </c>
      <c r="H2575" s="2">
        <f>Tabelle13[[#This Row],[commits]]/Tabelle13[[#Totals],[commits]]</f>
        <v>1.3943371321273866E-5</v>
      </c>
      <c r="I2575" s="5">
        <f>Tabelle13[[#This Row],[%]]+I2574</f>
        <v>0.96213909907231865</v>
      </c>
      <c r="J2575" s="4">
        <f t="shared" si="113"/>
        <v>1.105583195135434E-4</v>
      </c>
      <c r="K2575" s="5">
        <f t="shared" si="114"/>
        <v>0.28446655610834398</v>
      </c>
    </row>
    <row r="2576" spans="1:11" x14ac:dyDescent="0.25">
      <c r="A2576" t="s">
        <v>11953</v>
      </c>
      <c r="C2576" t="s">
        <v>11954</v>
      </c>
      <c r="D2576" t="s">
        <v>309</v>
      </c>
      <c r="E2576" t="s">
        <v>6</v>
      </c>
      <c r="F2576" t="s">
        <v>251</v>
      </c>
      <c r="G2576">
        <v>3</v>
      </c>
      <c r="H2576" s="2">
        <f>Tabelle13[[#This Row],[commits]]/Tabelle13[[#Totals],[commits]]</f>
        <v>1.3943371321273866E-5</v>
      </c>
      <c r="I2576" s="5">
        <f>Tabelle13[[#This Row],[%]]+I2575</f>
        <v>0.96215304244363997</v>
      </c>
      <c r="J2576" s="4">
        <f t="shared" si="113"/>
        <v>1.105583195135434E-4</v>
      </c>
      <c r="K2576" s="5">
        <f t="shared" si="114"/>
        <v>0.28457711442785755</v>
      </c>
    </row>
    <row r="2577" spans="1:11" x14ac:dyDescent="0.25">
      <c r="A2577" t="s">
        <v>11955</v>
      </c>
      <c r="C2577" t="s">
        <v>11956</v>
      </c>
      <c r="D2577" t="s">
        <v>5</v>
      </c>
      <c r="E2577" t="s">
        <v>6</v>
      </c>
      <c r="F2577" t="s">
        <v>251</v>
      </c>
      <c r="G2577">
        <v>3</v>
      </c>
      <c r="H2577" s="2">
        <f>Tabelle13[[#This Row],[commits]]/Tabelle13[[#Totals],[commits]]</f>
        <v>1.3943371321273866E-5</v>
      </c>
      <c r="I2577" s="5">
        <f>Tabelle13[[#This Row],[%]]+I2576</f>
        <v>0.9621669858149613</v>
      </c>
      <c r="J2577" s="4">
        <f t="shared" si="113"/>
        <v>1.105583195135434E-4</v>
      </c>
      <c r="K2577" s="5">
        <f t="shared" si="114"/>
        <v>0.28468767274737111</v>
      </c>
    </row>
    <row r="2578" spans="1:11" x14ac:dyDescent="0.25">
      <c r="A2578" t="s">
        <v>11957</v>
      </c>
      <c r="C2578" t="s">
        <v>11958</v>
      </c>
      <c r="D2578" t="s">
        <v>5</v>
      </c>
      <c r="E2578" t="s">
        <v>6</v>
      </c>
      <c r="F2578" t="s">
        <v>251</v>
      </c>
      <c r="G2578">
        <v>3</v>
      </c>
      <c r="H2578" s="2">
        <f>Tabelle13[[#This Row],[commits]]/Tabelle13[[#Totals],[commits]]</f>
        <v>1.3943371321273866E-5</v>
      </c>
      <c r="I2578" s="5">
        <f>Tabelle13[[#This Row],[%]]+I2577</f>
        <v>0.96218092918628262</v>
      </c>
      <c r="J2578" s="4">
        <f t="shared" si="113"/>
        <v>1.105583195135434E-4</v>
      </c>
      <c r="K2578" s="5">
        <f t="shared" si="114"/>
        <v>0.28479823106688468</v>
      </c>
    </row>
    <row r="2579" spans="1:11" x14ac:dyDescent="0.25">
      <c r="A2579" t="s">
        <v>11959</v>
      </c>
      <c r="C2579" t="s">
        <v>11960</v>
      </c>
      <c r="D2579" t="s">
        <v>9379</v>
      </c>
      <c r="E2579" t="s">
        <v>6</v>
      </c>
      <c r="F2579" t="s">
        <v>251</v>
      </c>
      <c r="G2579">
        <v>3</v>
      </c>
      <c r="H2579" s="2">
        <f>Tabelle13[[#This Row],[commits]]/Tabelle13[[#Totals],[commits]]</f>
        <v>1.3943371321273866E-5</v>
      </c>
      <c r="I2579" s="5">
        <f>Tabelle13[[#This Row],[%]]+I2578</f>
        <v>0.96219487255760394</v>
      </c>
      <c r="J2579" s="4">
        <f t="shared" si="113"/>
        <v>1.105583195135434E-4</v>
      </c>
      <c r="K2579" s="5">
        <f t="shared" si="114"/>
        <v>0.28490878938639824</v>
      </c>
    </row>
    <row r="2580" spans="1:11" x14ac:dyDescent="0.25">
      <c r="A2580" t="s">
        <v>11961</v>
      </c>
      <c r="C2580" t="s">
        <v>11962</v>
      </c>
      <c r="D2580" t="s">
        <v>11963</v>
      </c>
      <c r="E2580" t="s">
        <v>6</v>
      </c>
      <c r="F2580" t="s">
        <v>251</v>
      </c>
      <c r="G2580">
        <v>3</v>
      </c>
      <c r="H2580" s="2">
        <f>Tabelle13[[#This Row],[commits]]/Tabelle13[[#Totals],[commits]]</f>
        <v>1.3943371321273866E-5</v>
      </c>
      <c r="I2580" s="5">
        <f>Tabelle13[[#This Row],[%]]+I2579</f>
        <v>0.96220881592892527</v>
      </c>
      <c r="J2580" s="4">
        <f t="shared" si="113"/>
        <v>1.105583195135434E-4</v>
      </c>
      <c r="K2580" s="5">
        <f t="shared" si="114"/>
        <v>0.28501934770591181</v>
      </c>
    </row>
    <row r="2581" spans="1:11" x14ac:dyDescent="0.25">
      <c r="A2581" t="s">
        <v>11964</v>
      </c>
      <c r="C2581" t="s">
        <v>11965</v>
      </c>
      <c r="D2581" t="s">
        <v>8757</v>
      </c>
      <c r="E2581" t="s">
        <v>6</v>
      </c>
      <c r="F2581" t="s">
        <v>251</v>
      </c>
      <c r="G2581">
        <v>3</v>
      </c>
      <c r="H2581" s="2">
        <f>Tabelle13[[#This Row],[commits]]/Tabelle13[[#Totals],[commits]]</f>
        <v>1.3943371321273866E-5</v>
      </c>
      <c r="I2581" s="5">
        <f>Tabelle13[[#This Row],[%]]+I2580</f>
        <v>0.96222275930024659</v>
      </c>
      <c r="J2581" s="4">
        <f t="shared" si="113"/>
        <v>1.105583195135434E-4</v>
      </c>
      <c r="K2581" s="5">
        <f t="shared" si="114"/>
        <v>0.28512990602542537</v>
      </c>
    </row>
    <row r="2582" spans="1:11" x14ac:dyDescent="0.25">
      <c r="A2582" t="s">
        <v>11966</v>
      </c>
      <c r="C2582" t="s">
        <v>11967</v>
      </c>
      <c r="D2582" t="s">
        <v>5</v>
      </c>
      <c r="E2582" t="s">
        <v>6</v>
      </c>
      <c r="F2582" t="s">
        <v>251</v>
      </c>
      <c r="G2582">
        <v>3</v>
      </c>
      <c r="H2582" s="2">
        <f>Tabelle13[[#This Row],[commits]]/Tabelle13[[#Totals],[commits]]</f>
        <v>1.3943371321273866E-5</v>
      </c>
      <c r="I2582" s="5">
        <f>Tabelle13[[#This Row],[%]]+I2581</f>
        <v>0.96223670267156791</v>
      </c>
      <c r="J2582" s="4">
        <f t="shared" si="113"/>
        <v>1.105583195135434E-4</v>
      </c>
      <c r="K2582" s="5">
        <f t="shared" si="114"/>
        <v>0.28524046434493894</v>
      </c>
    </row>
    <row r="2583" spans="1:11" x14ac:dyDescent="0.25">
      <c r="A2583" t="s">
        <v>11968</v>
      </c>
      <c r="C2583" t="s">
        <v>11969</v>
      </c>
      <c r="D2583" t="s">
        <v>5</v>
      </c>
      <c r="E2583" t="s">
        <v>6</v>
      </c>
      <c r="F2583" t="s">
        <v>251</v>
      </c>
      <c r="G2583">
        <v>3</v>
      </c>
      <c r="H2583" s="2">
        <f>Tabelle13[[#This Row],[commits]]/Tabelle13[[#Totals],[commits]]</f>
        <v>1.3943371321273866E-5</v>
      </c>
      <c r="I2583" s="5">
        <f>Tabelle13[[#This Row],[%]]+I2582</f>
        <v>0.96225064604288923</v>
      </c>
      <c r="J2583" s="4">
        <f t="shared" si="113"/>
        <v>1.105583195135434E-4</v>
      </c>
      <c r="K2583" s="5">
        <f t="shared" si="114"/>
        <v>0.2853510226644525</v>
      </c>
    </row>
    <row r="2584" spans="1:11" x14ac:dyDescent="0.25">
      <c r="A2584" t="s">
        <v>11970</v>
      </c>
      <c r="C2584" t="s">
        <v>11971</v>
      </c>
      <c r="D2584" t="s">
        <v>309</v>
      </c>
      <c r="E2584" t="s">
        <v>6</v>
      </c>
      <c r="F2584" t="s">
        <v>251</v>
      </c>
      <c r="G2584">
        <v>3</v>
      </c>
      <c r="H2584" s="2">
        <f>Tabelle13[[#This Row],[commits]]/Tabelle13[[#Totals],[commits]]</f>
        <v>1.3943371321273866E-5</v>
      </c>
      <c r="I2584" s="5">
        <f>Tabelle13[[#This Row],[%]]+I2583</f>
        <v>0.96226458941421056</v>
      </c>
      <c r="J2584" s="4">
        <f t="shared" si="113"/>
        <v>1.105583195135434E-4</v>
      </c>
      <c r="K2584" s="5">
        <f t="shared" si="114"/>
        <v>0.28546158098396607</v>
      </c>
    </row>
    <row r="2585" spans="1:11" x14ac:dyDescent="0.25">
      <c r="A2585" t="s">
        <v>11972</v>
      </c>
      <c r="C2585" t="s">
        <v>11973</v>
      </c>
      <c r="D2585" t="s">
        <v>11319</v>
      </c>
      <c r="E2585" t="s">
        <v>6</v>
      </c>
      <c r="F2585" t="s">
        <v>251</v>
      </c>
      <c r="G2585">
        <v>3</v>
      </c>
      <c r="H2585" s="2">
        <f>Tabelle13[[#This Row],[commits]]/Tabelle13[[#Totals],[commits]]</f>
        <v>1.3943371321273866E-5</v>
      </c>
      <c r="I2585" s="5">
        <f>Tabelle13[[#This Row],[%]]+I2584</f>
        <v>0.96227853278553188</v>
      </c>
      <c r="J2585" s="4">
        <f t="shared" si="113"/>
        <v>1.105583195135434E-4</v>
      </c>
      <c r="K2585" s="5">
        <f t="shared" si="114"/>
        <v>0.28557213930347963</v>
      </c>
    </row>
    <row r="2586" spans="1:11" x14ac:dyDescent="0.25">
      <c r="A2586" t="s">
        <v>11974</v>
      </c>
      <c r="C2586" t="s">
        <v>26</v>
      </c>
      <c r="D2586" t="s">
        <v>5</v>
      </c>
      <c r="E2586" t="s">
        <v>6</v>
      </c>
      <c r="F2586" t="s">
        <v>251</v>
      </c>
      <c r="G2586">
        <v>3</v>
      </c>
      <c r="H2586" s="2">
        <f>Tabelle13[[#This Row],[commits]]/Tabelle13[[#Totals],[commits]]</f>
        <v>1.3943371321273866E-5</v>
      </c>
      <c r="I2586" s="5">
        <f>Tabelle13[[#This Row],[%]]+I2585</f>
        <v>0.9622924761568532</v>
      </c>
      <c r="J2586" s="4">
        <f t="shared" si="113"/>
        <v>1.105583195135434E-4</v>
      </c>
      <c r="K2586" s="5">
        <f t="shared" si="114"/>
        <v>0.2856826976229932</v>
      </c>
    </row>
    <row r="2587" spans="1:11" x14ac:dyDescent="0.25">
      <c r="A2587" t="s">
        <v>11975</v>
      </c>
      <c r="C2587" t="s">
        <v>11976</v>
      </c>
      <c r="D2587" t="s">
        <v>5</v>
      </c>
      <c r="E2587" t="s">
        <v>6</v>
      </c>
      <c r="F2587" t="s">
        <v>251</v>
      </c>
      <c r="G2587">
        <v>3</v>
      </c>
      <c r="H2587" s="2">
        <f>Tabelle13[[#This Row],[commits]]/Tabelle13[[#Totals],[commits]]</f>
        <v>1.3943371321273866E-5</v>
      </c>
      <c r="I2587" s="5">
        <f>Tabelle13[[#This Row],[%]]+I2586</f>
        <v>0.96230641952817453</v>
      </c>
      <c r="J2587" s="4">
        <f t="shared" si="113"/>
        <v>1.105583195135434E-4</v>
      </c>
      <c r="K2587" s="5">
        <f t="shared" si="114"/>
        <v>0.28579325594250676</v>
      </c>
    </row>
    <row r="2588" spans="1:11" x14ac:dyDescent="0.25">
      <c r="A2588" t="s">
        <v>11977</v>
      </c>
      <c r="C2588" t="s">
        <v>11978</v>
      </c>
      <c r="D2588" t="s">
        <v>5</v>
      </c>
      <c r="E2588" t="s">
        <v>6</v>
      </c>
      <c r="F2588" t="s">
        <v>251</v>
      </c>
      <c r="G2588">
        <v>3</v>
      </c>
      <c r="H2588" s="2">
        <f>Tabelle13[[#This Row],[commits]]/Tabelle13[[#Totals],[commits]]</f>
        <v>1.3943371321273866E-5</v>
      </c>
      <c r="I2588" s="5">
        <f>Tabelle13[[#This Row],[%]]+I2587</f>
        <v>0.96232036289949585</v>
      </c>
      <c r="J2588" s="4">
        <f t="shared" si="113"/>
        <v>1.105583195135434E-4</v>
      </c>
      <c r="K2588" s="5">
        <f t="shared" si="114"/>
        <v>0.28590381426202033</v>
      </c>
    </row>
    <row r="2589" spans="1:11" x14ac:dyDescent="0.25">
      <c r="A2589" t="s">
        <v>11979</v>
      </c>
      <c r="C2589" t="s">
        <v>11980</v>
      </c>
      <c r="D2589" t="s">
        <v>5</v>
      </c>
      <c r="E2589" t="s">
        <v>6</v>
      </c>
      <c r="F2589" t="s">
        <v>251</v>
      </c>
      <c r="G2589">
        <v>3</v>
      </c>
      <c r="H2589" s="2">
        <f>Tabelle13[[#This Row],[commits]]/Tabelle13[[#Totals],[commits]]</f>
        <v>1.3943371321273866E-5</v>
      </c>
      <c r="I2589" s="5">
        <f>Tabelle13[[#This Row],[%]]+I2588</f>
        <v>0.96233430627081717</v>
      </c>
      <c r="J2589" s="4">
        <f t="shared" si="113"/>
        <v>1.105583195135434E-4</v>
      </c>
      <c r="K2589" s="5">
        <f t="shared" si="114"/>
        <v>0.28601437258153389</v>
      </c>
    </row>
    <row r="2590" spans="1:11" x14ac:dyDescent="0.25">
      <c r="A2590" t="s">
        <v>11981</v>
      </c>
      <c r="C2590" t="s">
        <v>11982</v>
      </c>
      <c r="D2590" t="s">
        <v>5</v>
      </c>
      <c r="E2590" t="s">
        <v>6</v>
      </c>
      <c r="F2590" t="s">
        <v>251</v>
      </c>
      <c r="G2590">
        <v>3</v>
      </c>
      <c r="H2590" s="2">
        <f>Tabelle13[[#This Row],[commits]]/Tabelle13[[#Totals],[commits]]</f>
        <v>1.3943371321273866E-5</v>
      </c>
      <c r="I2590" s="5">
        <f>Tabelle13[[#This Row],[%]]+I2589</f>
        <v>0.9623482496421385</v>
      </c>
      <c r="J2590" s="4">
        <f t="shared" si="113"/>
        <v>1.105583195135434E-4</v>
      </c>
      <c r="K2590" s="5">
        <f t="shared" si="114"/>
        <v>0.28612493090104746</v>
      </c>
    </row>
    <row r="2591" spans="1:11" x14ac:dyDescent="0.25">
      <c r="A2591" t="s">
        <v>11983</v>
      </c>
      <c r="C2591" t="s">
        <v>11984</v>
      </c>
      <c r="D2591" t="s">
        <v>309</v>
      </c>
      <c r="E2591" t="s">
        <v>6</v>
      </c>
      <c r="F2591" t="s">
        <v>251</v>
      </c>
      <c r="G2591">
        <v>3</v>
      </c>
      <c r="H2591" s="2">
        <f>Tabelle13[[#This Row],[commits]]/Tabelle13[[#Totals],[commits]]</f>
        <v>1.3943371321273866E-5</v>
      </c>
      <c r="I2591" s="5">
        <f>Tabelle13[[#This Row],[%]]+I2590</f>
        <v>0.96236219301345982</v>
      </c>
      <c r="J2591" s="4">
        <f t="shared" si="113"/>
        <v>1.105583195135434E-4</v>
      </c>
      <c r="K2591" s="5">
        <f t="shared" si="114"/>
        <v>0.28623548922056102</v>
      </c>
    </row>
    <row r="2592" spans="1:11" x14ac:dyDescent="0.25">
      <c r="A2592" t="s">
        <v>11985</v>
      </c>
      <c r="C2592" t="s">
        <v>11986</v>
      </c>
      <c r="D2592" t="s">
        <v>5</v>
      </c>
      <c r="E2592" t="s">
        <v>6</v>
      </c>
      <c r="F2592" t="s">
        <v>251</v>
      </c>
      <c r="G2592">
        <v>3</v>
      </c>
      <c r="H2592" s="2">
        <f>Tabelle13[[#This Row],[commits]]/Tabelle13[[#Totals],[commits]]</f>
        <v>1.3943371321273866E-5</v>
      </c>
      <c r="I2592" s="5">
        <f>Tabelle13[[#This Row],[%]]+I2591</f>
        <v>0.96237613638478114</v>
      </c>
      <c r="J2592" s="4">
        <f t="shared" si="113"/>
        <v>1.105583195135434E-4</v>
      </c>
      <c r="K2592" s="5">
        <f t="shared" si="114"/>
        <v>0.28634604754007459</v>
      </c>
    </row>
    <row r="2593" spans="1:11" x14ac:dyDescent="0.25">
      <c r="A2593" t="s">
        <v>11987</v>
      </c>
      <c r="C2593" t="s">
        <v>11988</v>
      </c>
      <c r="D2593" t="s">
        <v>5</v>
      </c>
      <c r="E2593" t="s">
        <v>6</v>
      </c>
      <c r="F2593" t="s">
        <v>251</v>
      </c>
      <c r="G2593">
        <v>3</v>
      </c>
      <c r="H2593" s="2">
        <f>Tabelle13[[#This Row],[commits]]/Tabelle13[[#Totals],[commits]]</f>
        <v>1.3943371321273866E-5</v>
      </c>
      <c r="I2593" s="5">
        <f>Tabelle13[[#This Row],[%]]+I2592</f>
        <v>0.96239007975610247</v>
      </c>
      <c r="J2593" s="4">
        <f t="shared" si="113"/>
        <v>1.105583195135434E-4</v>
      </c>
      <c r="K2593" s="5">
        <f t="shared" si="114"/>
        <v>0.28645660585958815</v>
      </c>
    </row>
    <row r="2594" spans="1:11" x14ac:dyDescent="0.25">
      <c r="A2594" t="s">
        <v>11989</v>
      </c>
      <c r="C2594" t="s">
        <v>26</v>
      </c>
      <c r="D2594" t="s">
        <v>5</v>
      </c>
      <c r="E2594" t="s">
        <v>6</v>
      </c>
      <c r="F2594" t="s">
        <v>251</v>
      </c>
      <c r="G2594">
        <v>3</v>
      </c>
      <c r="H2594" s="2">
        <f>Tabelle13[[#This Row],[commits]]/Tabelle13[[#Totals],[commits]]</f>
        <v>1.3943371321273866E-5</v>
      </c>
      <c r="I2594" s="5">
        <f>Tabelle13[[#This Row],[%]]+I2593</f>
        <v>0.96240402312742379</v>
      </c>
      <c r="J2594" s="4">
        <f t="shared" si="113"/>
        <v>1.105583195135434E-4</v>
      </c>
      <c r="K2594" s="5">
        <f t="shared" si="114"/>
        <v>0.28656716417910172</v>
      </c>
    </row>
    <row r="2595" spans="1:11" x14ac:dyDescent="0.25">
      <c r="A2595" t="s">
        <v>11990</v>
      </c>
      <c r="C2595" t="s">
        <v>11991</v>
      </c>
      <c r="D2595" t="s">
        <v>5</v>
      </c>
      <c r="E2595" t="s">
        <v>6</v>
      </c>
      <c r="F2595" t="s">
        <v>251</v>
      </c>
      <c r="G2595">
        <v>3</v>
      </c>
      <c r="H2595" s="2">
        <f>Tabelle13[[#This Row],[commits]]/Tabelle13[[#Totals],[commits]]</f>
        <v>1.3943371321273866E-5</v>
      </c>
      <c r="I2595" s="5">
        <f>Tabelle13[[#This Row],[%]]+I2594</f>
        <v>0.96241796649874511</v>
      </c>
      <c r="J2595" s="4">
        <f t="shared" si="113"/>
        <v>1.105583195135434E-4</v>
      </c>
      <c r="K2595" s="5">
        <f t="shared" si="114"/>
        <v>0.28667772249861528</v>
      </c>
    </row>
    <row r="2596" spans="1:11" x14ac:dyDescent="0.25">
      <c r="A2596" t="s">
        <v>11992</v>
      </c>
      <c r="C2596" t="s">
        <v>11993</v>
      </c>
      <c r="D2596" t="s">
        <v>309</v>
      </c>
      <c r="E2596" t="s">
        <v>6</v>
      </c>
      <c r="F2596" t="s">
        <v>251</v>
      </c>
      <c r="G2596">
        <v>3</v>
      </c>
      <c r="H2596" s="2">
        <f>Tabelle13[[#This Row],[commits]]/Tabelle13[[#Totals],[commits]]</f>
        <v>1.3943371321273866E-5</v>
      </c>
      <c r="I2596" s="5">
        <f>Tabelle13[[#This Row],[%]]+I2595</f>
        <v>0.96243190987006644</v>
      </c>
      <c r="J2596" s="4">
        <f t="shared" si="113"/>
        <v>1.105583195135434E-4</v>
      </c>
      <c r="K2596" s="5">
        <f t="shared" si="114"/>
        <v>0.28678828081812885</v>
      </c>
    </row>
    <row r="2597" spans="1:11" x14ac:dyDescent="0.25">
      <c r="A2597" t="s">
        <v>11994</v>
      </c>
      <c r="C2597" t="s">
        <v>11995</v>
      </c>
      <c r="D2597" t="s">
        <v>5</v>
      </c>
      <c r="E2597" t="s">
        <v>6</v>
      </c>
      <c r="F2597" t="s">
        <v>251</v>
      </c>
      <c r="G2597">
        <v>3</v>
      </c>
      <c r="H2597" s="2">
        <f>Tabelle13[[#This Row],[commits]]/Tabelle13[[#Totals],[commits]]</f>
        <v>1.3943371321273866E-5</v>
      </c>
      <c r="I2597" s="5">
        <f>Tabelle13[[#This Row],[%]]+I2596</f>
        <v>0.96244585324138776</v>
      </c>
      <c r="J2597" s="4">
        <f t="shared" si="113"/>
        <v>1.105583195135434E-4</v>
      </c>
      <c r="K2597" s="5">
        <f t="shared" si="114"/>
        <v>0.28689883913764241</v>
      </c>
    </row>
    <row r="2598" spans="1:11" x14ac:dyDescent="0.25">
      <c r="A2598" t="s">
        <v>11996</v>
      </c>
      <c r="C2598" t="s">
        <v>11997</v>
      </c>
      <c r="D2598" t="s">
        <v>5</v>
      </c>
      <c r="E2598" t="s">
        <v>6</v>
      </c>
      <c r="F2598" t="s">
        <v>251</v>
      </c>
      <c r="G2598">
        <v>3</v>
      </c>
      <c r="H2598" s="2">
        <f>Tabelle13[[#This Row],[commits]]/Tabelle13[[#Totals],[commits]]</f>
        <v>1.3943371321273866E-5</v>
      </c>
      <c r="I2598" s="5">
        <f>Tabelle13[[#This Row],[%]]+I2597</f>
        <v>0.96245979661270908</v>
      </c>
      <c r="J2598" s="4">
        <f t="shared" si="113"/>
        <v>1.105583195135434E-4</v>
      </c>
      <c r="K2598" s="5">
        <f t="shared" si="114"/>
        <v>0.28700939745715598</v>
      </c>
    </row>
    <row r="2599" spans="1:11" x14ac:dyDescent="0.25">
      <c r="A2599" t="s">
        <v>11998</v>
      </c>
      <c r="C2599" t="s">
        <v>11999</v>
      </c>
      <c r="D2599" t="s">
        <v>5</v>
      </c>
      <c r="E2599" t="s">
        <v>6</v>
      </c>
      <c r="F2599" t="s">
        <v>251</v>
      </c>
      <c r="G2599">
        <v>3</v>
      </c>
      <c r="H2599" s="2">
        <f>Tabelle13[[#This Row],[commits]]/Tabelle13[[#Totals],[commits]]</f>
        <v>1.3943371321273866E-5</v>
      </c>
      <c r="I2599" s="5">
        <f>Tabelle13[[#This Row],[%]]+I2598</f>
        <v>0.96247373998403041</v>
      </c>
      <c r="J2599" s="4">
        <f t="shared" si="113"/>
        <v>1.105583195135434E-4</v>
      </c>
      <c r="K2599" s="5">
        <f t="shared" si="114"/>
        <v>0.28711995577666954</v>
      </c>
    </row>
    <row r="2600" spans="1:11" x14ac:dyDescent="0.25">
      <c r="A2600" t="s">
        <v>12000</v>
      </c>
      <c r="C2600" t="s">
        <v>12001</v>
      </c>
      <c r="D2600" t="s">
        <v>5</v>
      </c>
      <c r="E2600" t="s">
        <v>6</v>
      </c>
      <c r="F2600" t="s">
        <v>251</v>
      </c>
      <c r="G2600">
        <v>3</v>
      </c>
      <c r="H2600" s="2">
        <f>Tabelle13[[#This Row],[commits]]/Tabelle13[[#Totals],[commits]]</f>
        <v>1.3943371321273866E-5</v>
      </c>
      <c r="I2600" s="5">
        <f>Tabelle13[[#This Row],[%]]+I2599</f>
        <v>0.96248768335535173</v>
      </c>
      <c r="J2600" s="4">
        <f t="shared" si="113"/>
        <v>1.105583195135434E-4</v>
      </c>
      <c r="K2600" s="5">
        <f t="shared" si="114"/>
        <v>0.28723051409618311</v>
      </c>
    </row>
    <row r="2601" spans="1:11" x14ac:dyDescent="0.25">
      <c r="A2601" t="s">
        <v>12002</v>
      </c>
      <c r="C2601" t="s">
        <v>12003</v>
      </c>
      <c r="D2601" t="s">
        <v>5</v>
      </c>
      <c r="E2601" t="s">
        <v>6</v>
      </c>
      <c r="F2601" t="s">
        <v>251</v>
      </c>
      <c r="G2601">
        <v>3</v>
      </c>
      <c r="H2601" s="2">
        <f>Tabelle13[[#This Row],[commits]]/Tabelle13[[#Totals],[commits]]</f>
        <v>1.3943371321273866E-5</v>
      </c>
      <c r="I2601" s="5">
        <f>Tabelle13[[#This Row],[%]]+I2600</f>
        <v>0.96250162672667305</v>
      </c>
      <c r="J2601" s="4">
        <f t="shared" si="113"/>
        <v>1.105583195135434E-4</v>
      </c>
      <c r="K2601" s="5">
        <f t="shared" si="114"/>
        <v>0.28734107241569667</v>
      </c>
    </row>
    <row r="2602" spans="1:11" x14ac:dyDescent="0.25">
      <c r="A2602" t="s">
        <v>12004</v>
      </c>
      <c r="C2602" t="s">
        <v>12005</v>
      </c>
      <c r="D2602" t="s">
        <v>5</v>
      </c>
      <c r="E2602" t="s">
        <v>6</v>
      </c>
      <c r="F2602" t="s">
        <v>251</v>
      </c>
      <c r="G2602">
        <v>3</v>
      </c>
      <c r="H2602" s="2">
        <f>Tabelle13[[#This Row],[commits]]/Tabelle13[[#Totals],[commits]]</f>
        <v>1.3943371321273866E-5</v>
      </c>
      <c r="I2602" s="5">
        <f>Tabelle13[[#This Row],[%]]+I2601</f>
        <v>0.96251557009799438</v>
      </c>
      <c r="J2602" s="4">
        <f t="shared" si="113"/>
        <v>1.105583195135434E-4</v>
      </c>
      <c r="K2602" s="5">
        <f t="shared" si="114"/>
        <v>0.28745163073521024</v>
      </c>
    </row>
    <row r="2603" spans="1:11" x14ac:dyDescent="0.25">
      <c r="A2603" t="s">
        <v>12006</v>
      </c>
      <c r="C2603" t="s">
        <v>12007</v>
      </c>
      <c r="D2603" t="s">
        <v>8760</v>
      </c>
      <c r="E2603" t="s">
        <v>6</v>
      </c>
      <c r="F2603" t="s">
        <v>251</v>
      </c>
      <c r="G2603">
        <v>3</v>
      </c>
      <c r="H2603" s="2">
        <f>Tabelle13[[#This Row],[commits]]/Tabelle13[[#Totals],[commits]]</f>
        <v>1.3943371321273866E-5</v>
      </c>
      <c r="I2603" s="5">
        <f>Tabelle13[[#This Row],[%]]+I2602</f>
        <v>0.9625295134693157</v>
      </c>
      <c r="J2603" s="4">
        <f t="shared" si="113"/>
        <v>1.105583195135434E-4</v>
      </c>
      <c r="K2603" s="5">
        <f t="shared" si="114"/>
        <v>0.2875621890547238</v>
      </c>
    </row>
    <row r="2604" spans="1:11" x14ac:dyDescent="0.25">
      <c r="A2604" t="s">
        <v>12008</v>
      </c>
      <c r="C2604" t="s">
        <v>12009</v>
      </c>
      <c r="D2604" t="s">
        <v>9997</v>
      </c>
      <c r="E2604" t="s">
        <v>6</v>
      </c>
      <c r="F2604" t="s">
        <v>251</v>
      </c>
      <c r="G2604">
        <v>3</v>
      </c>
      <c r="H2604" s="2">
        <f>Tabelle13[[#This Row],[commits]]/Tabelle13[[#Totals],[commits]]</f>
        <v>1.3943371321273866E-5</v>
      </c>
      <c r="I2604" s="5">
        <f>Tabelle13[[#This Row],[%]]+I2603</f>
        <v>0.96254345684063702</v>
      </c>
      <c r="J2604" s="4">
        <f t="shared" si="113"/>
        <v>1.105583195135434E-4</v>
      </c>
      <c r="K2604" s="5">
        <f t="shared" si="114"/>
        <v>0.28767274737423737</v>
      </c>
    </row>
    <row r="2605" spans="1:11" x14ac:dyDescent="0.25">
      <c r="A2605" t="s">
        <v>12010</v>
      </c>
      <c r="C2605" t="s">
        <v>12011</v>
      </c>
      <c r="D2605" t="s">
        <v>309</v>
      </c>
      <c r="E2605" t="s">
        <v>6</v>
      </c>
      <c r="F2605" t="s">
        <v>251</v>
      </c>
      <c r="G2605">
        <v>3</v>
      </c>
      <c r="H2605" s="2">
        <f>Tabelle13[[#This Row],[commits]]/Tabelle13[[#Totals],[commits]]</f>
        <v>1.3943371321273866E-5</v>
      </c>
      <c r="I2605" s="5">
        <f>Tabelle13[[#This Row],[%]]+I2604</f>
        <v>0.96255740021195835</v>
      </c>
      <c r="J2605" s="4">
        <f t="shared" si="113"/>
        <v>1.105583195135434E-4</v>
      </c>
      <c r="K2605" s="5">
        <f t="shared" si="114"/>
        <v>0.28778330569375093</v>
      </c>
    </row>
    <row r="2606" spans="1:11" x14ac:dyDescent="0.25">
      <c r="A2606" t="s">
        <v>12012</v>
      </c>
      <c r="C2606" t="s">
        <v>12013</v>
      </c>
      <c r="D2606" t="s">
        <v>5</v>
      </c>
      <c r="E2606" t="s">
        <v>6</v>
      </c>
      <c r="F2606" t="s">
        <v>251</v>
      </c>
      <c r="G2606">
        <v>3</v>
      </c>
      <c r="H2606" s="2">
        <f>Tabelle13[[#This Row],[commits]]/Tabelle13[[#Totals],[commits]]</f>
        <v>1.3943371321273866E-5</v>
      </c>
      <c r="I2606" s="5">
        <f>Tabelle13[[#This Row],[%]]+I2605</f>
        <v>0.96257134358327967</v>
      </c>
      <c r="J2606" s="4">
        <f t="shared" si="113"/>
        <v>1.105583195135434E-4</v>
      </c>
      <c r="K2606" s="5">
        <f t="shared" si="114"/>
        <v>0.2878938640132645</v>
      </c>
    </row>
    <row r="2607" spans="1:11" x14ac:dyDescent="0.25">
      <c r="A2607" t="s">
        <v>12014</v>
      </c>
      <c r="C2607" t="s">
        <v>12015</v>
      </c>
      <c r="D2607" t="s">
        <v>5</v>
      </c>
      <c r="E2607" t="s">
        <v>6</v>
      </c>
      <c r="F2607" t="s">
        <v>251</v>
      </c>
      <c r="G2607">
        <v>3</v>
      </c>
      <c r="H2607" s="2">
        <f>Tabelle13[[#This Row],[commits]]/Tabelle13[[#Totals],[commits]]</f>
        <v>1.3943371321273866E-5</v>
      </c>
      <c r="I2607" s="5">
        <f>Tabelle13[[#This Row],[%]]+I2606</f>
        <v>0.96258528695460099</v>
      </c>
      <c r="J2607" s="4">
        <f t="shared" si="113"/>
        <v>1.105583195135434E-4</v>
      </c>
      <c r="K2607" s="5">
        <f t="shared" si="114"/>
        <v>0.28800442233277807</v>
      </c>
    </row>
    <row r="2608" spans="1:11" x14ac:dyDescent="0.25">
      <c r="A2608" t="s">
        <v>12016</v>
      </c>
      <c r="C2608" t="s">
        <v>12017</v>
      </c>
      <c r="D2608" t="s">
        <v>309</v>
      </c>
      <c r="E2608" t="s">
        <v>6</v>
      </c>
      <c r="F2608" t="s">
        <v>251</v>
      </c>
      <c r="G2608">
        <v>3</v>
      </c>
      <c r="H2608" s="2">
        <f>Tabelle13[[#This Row],[commits]]/Tabelle13[[#Totals],[commits]]</f>
        <v>1.3943371321273866E-5</v>
      </c>
      <c r="I2608" s="5">
        <f>Tabelle13[[#This Row],[%]]+I2607</f>
        <v>0.96259923032592232</v>
      </c>
      <c r="J2608" s="4">
        <f t="shared" si="113"/>
        <v>1.105583195135434E-4</v>
      </c>
      <c r="K2608" s="5">
        <f t="shared" si="114"/>
        <v>0.28811498065229163</v>
      </c>
    </row>
    <row r="2609" spans="1:11" x14ac:dyDescent="0.25">
      <c r="A2609" t="s">
        <v>12018</v>
      </c>
      <c r="C2609" t="s">
        <v>12019</v>
      </c>
      <c r="D2609" t="s">
        <v>5</v>
      </c>
      <c r="E2609" t="s">
        <v>6</v>
      </c>
      <c r="F2609" t="s">
        <v>251</v>
      </c>
      <c r="G2609">
        <v>3</v>
      </c>
      <c r="H2609" s="2">
        <f>Tabelle13[[#This Row],[commits]]/Tabelle13[[#Totals],[commits]]</f>
        <v>1.3943371321273866E-5</v>
      </c>
      <c r="I2609" s="5">
        <f>Tabelle13[[#This Row],[%]]+I2608</f>
        <v>0.96261317369724364</v>
      </c>
      <c r="J2609" s="4">
        <f t="shared" si="113"/>
        <v>1.105583195135434E-4</v>
      </c>
      <c r="K2609" s="5">
        <f t="shared" si="114"/>
        <v>0.2882255389718052</v>
      </c>
    </row>
    <row r="2610" spans="1:11" x14ac:dyDescent="0.25">
      <c r="A2610" t="s">
        <v>12020</v>
      </c>
      <c r="C2610" t="s">
        <v>12021</v>
      </c>
      <c r="D2610" t="s">
        <v>5</v>
      </c>
      <c r="E2610" t="s">
        <v>6</v>
      </c>
      <c r="F2610" t="s">
        <v>251</v>
      </c>
      <c r="G2610">
        <v>3</v>
      </c>
      <c r="H2610" s="2">
        <f>Tabelle13[[#This Row],[commits]]/Tabelle13[[#Totals],[commits]]</f>
        <v>1.3943371321273866E-5</v>
      </c>
      <c r="I2610" s="5">
        <f>Tabelle13[[#This Row],[%]]+I2609</f>
        <v>0.96262711706856496</v>
      </c>
      <c r="J2610" s="4">
        <f t="shared" si="113"/>
        <v>1.105583195135434E-4</v>
      </c>
      <c r="K2610" s="5">
        <f t="shared" si="114"/>
        <v>0.28833609729131876</v>
      </c>
    </row>
    <row r="2611" spans="1:11" x14ac:dyDescent="0.25">
      <c r="A2611" t="s">
        <v>12022</v>
      </c>
      <c r="C2611" t="s">
        <v>12023</v>
      </c>
      <c r="D2611" t="s">
        <v>309</v>
      </c>
      <c r="E2611" t="s">
        <v>6</v>
      </c>
      <c r="F2611" t="s">
        <v>251</v>
      </c>
      <c r="G2611">
        <v>3</v>
      </c>
      <c r="H2611" s="2">
        <f>Tabelle13[[#This Row],[commits]]/Tabelle13[[#Totals],[commits]]</f>
        <v>1.3943371321273866E-5</v>
      </c>
      <c r="I2611" s="5">
        <f>Tabelle13[[#This Row],[%]]+I2610</f>
        <v>0.96264106043988629</v>
      </c>
      <c r="J2611" s="4">
        <f t="shared" si="113"/>
        <v>1.105583195135434E-4</v>
      </c>
      <c r="K2611" s="5">
        <f t="shared" si="114"/>
        <v>0.28844665561083233</v>
      </c>
    </row>
    <row r="2612" spans="1:11" x14ac:dyDescent="0.25">
      <c r="A2612" t="s">
        <v>12024</v>
      </c>
      <c r="C2612" t="s">
        <v>12025</v>
      </c>
      <c r="D2612" t="s">
        <v>251</v>
      </c>
      <c r="E2612" t="s">
        <v>6</v>
      </c>
      <c r="F2612" t="s">
        <v>251</v>
      </c>
      <c r="G2612">
        <v>3</v>
      </c>
      <c r="H2612" s="2">
        <f>Tabelle13[[#This Row],[commits]]/Tabelle13[[#Totals],[commits]]</f>
        <v>1.3943371321273866E-5</v>
      </c>
      <c r="I2612" s="5">
        <f>Tabelle13[[#This Row],[%]]+I2611</f>
        <v>0.96265500381120761</v>
      </c>
      <c r="J2612" s="4">
        <f t="shared" si="113"/>
        <v>1.105583195135434E-4</v>
      </c>
      <c r="K2612" s="5">
        <f t="shared" si="114"/>
        <v>0.28855721393034589</v>
      </c>
    </row>
    <row r="2613" spans="1:11" x14ac:dyDescent="0.25">
      <c r="A2613" t="s">
        <v>12026</v>
      </c>
      <c r="C2613" t="s">
        <v>1427</v>
      </c>
      <c r="D2613" t="s">
        <v>5</v>
      </c>
      <c r="E2613" t="s">
        <v>6</v>
      </c>
      <c r="F2613" t="s">
        <v>251</v>
      </c>
      <c r="G2613">
        <v>3</v>
      </c>
      <c r="H2613" s="2">
        <f>Tabelle13[[#This Row],[commits]]/Tabelle13[[#Totals],[commits]]</f>
        <v>1.3943371321273866E-5</v>
      </c>
      <c r="I2613" s="5">
        <f>Tabelle13[[#This Row],[%]]+I2612</f>
        <v>0.96266894718252893</v>
      </c>
      <c r="J2613" s="4">
        <f t="shared" si="113"/>
        <v>1.105583195135434E-4</v>
      </c>
      <c r="K2613" s="5">
        <f t="shared" si="114"/>
        <v>0.28866777224985946</v>
      </c>
    </row>
    <row r="2614" spans="1:11" x14ac:dyDescent="0.25">
      <c r="A2614" t="s">
        <v>12027</v>
      </c>
      <c r="C2614" t="s">
        <v>12028</v>
      </c>
      <c r="D2614" t="s">
        <v>309</v>
      </c>
      <c r="E2614" t="s">
        <v>6</v>
      </c>
      <c r="F2614" t="s">
        <v>251</v>
      </c>
      <c r="G2614">
        <v>3</v>
      </c>
      <c r="H2614" s="2">
        <f>Tabelle13[[#This Row],[commits]]/Tabelle13[[#Totals],[commits]]</f>
        <v>1.3943371321273866E-5</v>
      </c>
      <c r="I2614" s="5">
        <f>Tabelle13[[#This Row],[%]]+I2613</f>
        <v>0.96268289055385026</v>
      </c>
      <c r="J2614" s="4">
        <f t="shared" si="113"/>
        <v>1.105583195135434E-4</v>
      </c>
      <c r="K2614" s="5">
        <f t="shared" si="114"/>
        <v>0.28877833056937302</v>
      </c>
    </row>
    <row r="2615" spans="1:11" x14ac:dyDescent="0.25">
      <c r="A2615" t="s">
        <v>12029</v>
      </c>
      <c r="C2615" t="s">
        <v>12030</v>
      </c>
      <c r="D2615" t="s">
        <v>5</v>
      </c>
      <c r="E2615" t="s">
        <v>6</v>
      </c>
      <c r="F2615" t="s">
        <v>251</v>
      </c>
      <c r="G2615">
        <v>3</v>
      </c>
      <c r="H2615" s="2">
        <f>Tabelle13[[#This Row],[commits]]/Tabelle13[[#Totals],[commits]]</f>
        <v>1.3943371321273866E-5</v>
      </c>
      <c r="I2615" s="5">
        <f>Tabelle13[[#This Row],[%]]+I2614</f>
        <v>0.96269683392517158</v>
      </c>
      <c r="J2615" s="4">
        <f t="shared" si="113"/>
        <v>1.105583195135434E-4</v>
      </c>
      <c r="K2615" s="5">
        <f t="shared" si="114"/>
        <v>0.28888888888888659</v>
      </c>
    </row>
    <row r="2616" spans="1:11" x14ac:dyDescent="0.25">
      <c r="A2616" t="s">
        <v>12031</v>
      </c>
      <c r="C2616" t="s">
        <v>12032</v>
      </c>
      <c r="D2616" t="s">
        <v>12033</v>
      </c>
      <c r="E2616" t="s">
        <v>6</v>
      </c>
      <c r="F2616" t="s">
        <v>251</v>
      </c>
      <c r="G2616">
        <v>3</v>
      </c>
      <c r="H2616" s="2">
        <f>Tabelle13[[#This Row],[commits]]/Tabelle13[[#Totals],[commits]]</f>
        <v>1.3943371321273866E-5</v>
      </c>
      <c r="I2616" s="5">
        <f>Tabelle13[[#This Row],[%]]+I2615</f>
        <v>0.9627107772964929</v>
      </c>
      <c r="J2616" s="4">
        <f t="shared" si="113"/>
        <v>1.105583195135434E-4</v>
      </c>
      <c r="K2616" s="5">
        <f t="shared" si="114"/>
        <v>0.28899944720840015</v>
      </c>
    </row>
    <row r="2617" spans="1:11" x14ac:dyDescent="0.25">
      <c r="A2617" t="s">
        <v>12034</v>
      </c>
      <c r="C2617" t="s">
        <v>12035</v>
      </c>
      <c r="D2617" t="s">
        <v>9035</v>
      </c>
      <c r="E2617" t="s">
        <v>6</v>
      </c>
      <c r="F2617" t="s">
        <v>251</v>
      </c>
      <c r="G2617">
        <v>3</v>
      </c>
      <c r="H2617" s="2">
        <f>Tabelle13[[#This Row],[commits]]/Tabelle13[[#Totals],[commits]]</f>
        <v>1.3943371321273866E-5</v>
      </c>
      <c r="I2617" s="5">
        <f>Tabelle13[[#This Row],[%]]+I2616</f>
        <v>0.96272472066781423</v>
      </c>
      <c r="J2617" s="4">
        <f t="shared" si="113"/>
        <v>1.105583195135434E-4</v>
      </c>
      <c r="K2617" s="5">
        <f t="shared" si="114"/>
        <v>0.28911000552791372</v>
      </c>
    </row>
    <row r="2618" spans="1:11" x14ac:dyDescent="0.25">
      <c r="A2618" t="s">
        <v>12036</v>
      </c>
      <c r="C2618" t="s">
        <v>12037</v>
      </c>
      <c r="D2618" t="s">
        <v>5</v>
      </c>
      <c r="E2618" t="s">
        <v>6</v>
      </c>
      <c r="F2618" t="s">
        <v>251</v>
      </c>
      <c r="G2618">
        <v>3</v>
      </c>
      <c r="H2618" s="2">
        <f>Tabelle13[[#This Row],[commits]]/Tabelle13[[#Totals],[commits]]</f>
        <v>1.3943371321273866E-5</v>
      </c>
      <c r="I2618" s="5">
        <f>Tabelle13[[#This Row],[%]]+I2617</f>
        <v>0.96273866403913555</v>
      </c>
      <c r="J2618" s="4">
        <f t="shared" si="113"/>
        <v>1.105583195135434E-4</v>
      </c>
      <c r="K2618" s="5">
        <f t="shared" si="114"/>
        <v>0.28922056384742728</v>
      </c>
    </row>
    <row r="2619" spans="1:11" x14ac:dyDescent="0.25">
      <c r="A2619" t="s">
        <v>12038</v>
      </c>
      <c r="C2619" t="s">
        <v>12039</v>
      </c>
      <c r="D2619" t="s">
        <v>309</v>
      </c>
      <c r="E2619" t="s">
        <v>6</v>
      </c>
      <c r="F2619" t="s">
        <v>251</v>
      </c>
      <c r="G2619">
        <v>3</v>
      </c>
      <c r="H2619" s="2">
        <f>Tabelle13[[#This Row],[commits]]/Tabelle13[[#Totals],[commits]]</f>
        <v>1.3943371321273866E-5</v>
      </c>
      <c r="I2619" s="5">
        <f>Tabelle13[[#This Row],[%]]+I2618</f>
        <v>0.96275260741045687</v>
      </c>
      <c r="J2619" s="4">
        <f t="shared" si="113"/>
        <v>1.105583195135434E-4</v>
      </c>
      <c r="K2619" s="5">
        <f t="shared" si="114"/>
        <v>0.28933112216694085</v>
      </c>
    </row>
    <row r="2620" spans="1:11" x14ac:dyDescent="0.25">
      <c r="A2620" t="s">
        <v>12040</v>
      </c>
      <c r="C2620" t="s">
        <v>12041</v>
      </c>
      <c r="D2620" t="s">
        <v>5</v>
      </c>
      <c r="E2620" t="s">
        <v>6</v>
      </c>
      <c r="F2620" t="s">
        <v>251</v>
      </c>
      <c r="G2620">
        <v>3</v>
      </c>
      <c r="H2620" s="2">
        <f>Tabelle13[[#This Row],[commits]]/Tabelle13[[#Totals],[commits]]</f>
        <v>1.3943371321273866E-5</v>
      </c>
      <c r="I2620" s="5">
        <f>Tabelle13[[#This Row],[%]]+I2619</f>
        <v>0.9627665507817782</v>
      </c>
      <c r="J2620" s="4">
        <f t="shared" si="113"/>
        <v>1.105583195135434E-4</v>
      </c>
      <c r="K2620" s="5">
        <f t="shared" si="114"/>
        <v>0.28944168048645441</v>
      </c>
    </row>
    <row r="2621" spans="1:11" x14ac:dyDescent="0.25">
      <c r="A2621" t="s">
        <v>12042</v>
      </c>
      <c r="C2621" t="s">
        <v>12043</v>
      </c>
      <c r="D2621" t="s">
        <v>5</v>
      </c>
      <c r="E2621" t="s">
        <v>6</v>
      </c>
      <c r="F2621" t="s">
        <v>251</v>
      </c>
      <c r="G2621">
        <v>3</v>
      </c>
      <c r="H2621" s="2">
        <f>Tabelle13[[#This Row],[commits]]/Tabelle13[[#Totals],[commits]]</f>
        <v>1.3943371321273866E-5</v>
      </c>
      <c r="I2621" s="5">
        <f>Tabelle13[[#This Row],[%]]+I2620</f>
        <v>0.96278049415309952</v>
      </c>
      <c r="J2621" s="4">
        <f t="shared" si="113"/>
        <v>1.105583195135434E-4</v>
      </c>
      <c r="K2621" s="5">
        <f t="shared" si="114"/>
        <v>0.28955223880596798</v>
      </c>
    </row>
    <row r="2622" spans="1:11" x14ac:dyDescent="0.25">
      <c r="A2622" t="s">
        <v>12044</v>
      </c>
      <c r="C2622" t="s">
        <v>12045</v>
      </c>
      <c r="D2622" t="s">
        <v>309</v>
      </c>
      <c r="E2622" t="s">
        <v>6</v>
      </c>
      <c r="F2622" t="s">
        <v>251</v>
      </c>
      <c r="G2622">
        <v>3</v>
      </c>
      <c r="H2622" s="2">
        <f>Tabelle13[[#This Row],[commits]]/Tabelle13[[#Totals],[commits]]</f>
        <v>1.3943371321273866E-5</v>
      </c>
      <c r="I2622" s="5">
        <f>Tabelle13[[#This Row],[%]]+I2621</f>
        <v>0.96279443752442084</v>
      </c>
      <c r="J2622" s="4">
        <f t="shared" si="113"/>
        <v>1.105583195135434E-4</v>
      </c>
      <c r="K2622" s="5">
        <f t="shared" si="114"/>
        <v>0.28966279712548154</v>
      </c>
    </row>
    <row r="2623" spans="1:11" x14ac:dyDescent="0.25">
      <c r="A2623" t="s">
        <v>12046</v>
      </c>
      <c r="C2623" t="s">
        <v>12047</v>
      </c>
      <c r="D2623" t="s">
        <v>309</v>
      </c>
      <c r="E2623" t="s">
        <v>6</v>
      </c>
      <c r="F2623" t="s">
        <v>251</v>
      </c>
      <c r="G2623">
        <v>3</v>
      </c>
      <c r="H2623" s="2">
        <f>Tabelle13[[#This Row],[commits]]/Tabelle13[[#Totals],[commits]]</f>
        <v>1.3943371321273866E-5</v>
      </c>
      <c r="I2623" s="5">
        <f>Tabelle13[[#This Row],[%]]+I2622</f>
        <v>0.96280838089574217</v>
      </c>
      <c r="J2623" s="4">
        <f t="shared" si="113"/>
        <v>1.105583195135434E-4</v>
      </c>
      <c r="K2623" s="5">
        <f t="shared" si="114"/>
        <v>0.28977335544499511</v>
      </c>
    </row>
    <row r="2624" spans="1:11" x14ac:dyDescent="0.25">
      <c r="A2624" t="s">
        <v>12048</v>
      </c>
      <c r="C2624" t="s">
        <v>12049</v>
      </c>
      <c r="D2624" t="s">
        <v>309</v>
      </c>
      <c r="E2624" t="s">
        <v>6</v>
      </c>
      <c r="F2624" t="s">
        <v>251</v>
      </c>
      <c r="G2624">
        <v>3</v>
      </c>
      <c r="H2624" s="2">
        <f>Tabelle13[[#This Row],[commits]]/Tabelle13[[#Totals],[commits]]</f>
        <v>1.3943371321273866E-5</v>
      </c>
      <c r="I2624" s="5">
        <f>Tabelle13[[#This Row],[%]]+I2623</f>
        <v>0.96282232426706349</v>
      </c>
      <c r="J2624" s="4">
        <f t="shared" si="113"/>
        <v>1.105583195135434E-4</v>
      </c>
      <c r="K2624" s="5">
        <f t="shared" si="114"/>
        <v>0.28988391376450867</v>
      </c>
    </row>
    <row r="2625" spans="1:11" x14ac:dyDescent="0.25">
      <c r="A2625" t="s">
        <v>12050</v>
      </c>
      <c r="C2625" t="s">
        <v>12051</v>
      </c>
      <c r="D2625" t="s">
        <v>5</v>
      </c>
      <c r="E2625" t="s">
        <v>6</v>
      </c>
      <c r="F2625" t="s">
        <v>251</v>
      </c>
      <c r="G2625">
        <v>3</v>
      </c>
      <c r="H2625" s="2">
        <f>Tabelle13[[#This Row],[commits]]/Tabelle13[[#Totals],[commits]]</f>
        <v>1.3943371321273866E-5</v>
      </c>
      <c r="I2625" s="5">
        <f>Tabelle13[[#This Row],[%]]+I2624</f>
        <v>0.96283626763838481</v>
      </c>
      <c r="J2625" s="4">
        <f t="shared" si="113"/>
        <v>1.105583195135434E-4</v>
      </c>
      <c r="K2625" s="5">
        <f t="shared" si="114"/>
        <v>0.28999447208402224</v>
      </c>
    </row>
    <row r="2626" spans="1:11" x14ac:dyDescent="0.25">
      <c r="A2626" t="s">
        <v>12052</v>
      </c>
      <c r="C2626" t="s">
        <v>12053</v>
      </c>
      <c r="D2626" t="s">
        <v>11616</v>
      </c>
      <c r="E2626" t="s">
        <v>6</v>
      </c>
      <c r="F2626" t="s">
        <v>251</v>
      </c>
      <c r="G2626">
        <v>3</v>
      </c>
      <c r="H2626" s="2">
        <f>Tabelle13[[#This Row],[commits]]/Tabelle13[[#Totals],[commits]]</f>
        <v>1.3943371321273866E-5</v>
      </c>
      <c r="I2626" s="5">
        <f>Tabelle13[[#This Row],[%]]+I2625</f>
        <v>0.96285021100970614</v>
      </c>
      <c r="J2626" s="4">
        <f t="shared" si="113"/>
        <v>1.105583195135434E-4</v>
      </c>
      <c r="K2626" s="5">
        <f t="shared" si="114"/>
        <v>0.2901050304035358</v>
      </c>
    </row>
    <row r="2627" spans="1:11" x14ac:dyDescent="0.25">
      <c r="A2627" t="s">
        <v>12054</v>
      </c>
      <c r="C2627" t="s">
        <v>12055</v>
      </c>
      <c r="D2627" t="s">
        <v>5</v>
      </c>
      <c r="E2627" t="s">
        <v>6</v>
      </c>
      <c r="F2627" t="s">
        <v>251</v>
      </c>
      <c r="G2627">
        <v>3</v>
      </c>
      <c r="H2627" s="2">
        <f>Tabelle13[[#This Row],[commits]]/Tabelle13[[#Totals],[commits]]</f>
        <v>1.3943371321273866E-5</v>
      </c>
      <c r="I2627" s="5">
        <f>Tabelle13[[#This Row],[%]]+I2626</f>
        <v>0.96286415438102746</v>
      </c>
      <c r="J2627" s="4">
        <f t="shared" ref="J2627:J2690" si="115">1/9045</f>
        <v>1.105583195135434E-4</v>
      </c>
      <c r="K2627" s="5">
        <f t="shared" si="114"/>
        <v>0.29021558872304937</v>
      </c>
    </row>
    <row r="2628" spans="1:11" x14ac:dyDescent="0.25">
      <c r="A2628" t="s">
        <v>12056</v>
      </c>
      <c r="C2628" t="s">
        <v>12057</v>
      </c>
      <c r="D2628" t="s">
        <v>5</v>
      </c>
      <c r="E2628" t="s">
        <v>6</v>
      </c>
      <c r="F2628" t="s">
        <v>251</v>
      </c>
      <c r="G2628">
        <v>3</v>
      </c>
      <c r="H2628" s="2">
        <f>Tabelle13[[#This Row],[commits]]/Tabelle13[[#Totals],[commits]]</f>
        <v>1.3943371321273866E-5</v>
      </c>
      <c r="I2628" s="5">
        <f>Tabelle13[[#This Row],[%]]+I2627</f>
        <v>0.96287809775234878</v>
      </c>
      <c r="J2628" s="4">
        <f t="shared" si="115"/>
        <v>1.105583195135434E-4</v>
      </c>
      <c r="K2628" s="5">
        <f t="shared" si="114"/>
        <v>0.29032614704256293</v>
      </c>
    </row>
    <row r="2629" spans="1:11" x14ac:dyDescent="0.25">
      <c r="A2629" t="s">
        <v>12058</v>
      </c>
      <c r="C2629" t="s">
        <v>12059</v>
      </c>
      <c r="D2629" t="s">
        <v>5</v>
      </c>
      <c r="E2629" t="s">
        <v>6</v>
      </c>
      <c r="F2629" t="s">
        <v>251</v>
      </c>
      <c r="G2629">
        <v>3</v>
      </c>
      <c r="H2629" s="2">
        <f>Tabelle13[[#This Row],[commits]]/Tabelle13[[#Totals],[commits]]</f>
        <v>1.3943371321273866E-5</v>
      </c>
      <c r="I2629" s="5">
        <f>Tabelle13[[#This Row],[%]]+I2628</f>
        <v>0.96289204112367011</v>
      </c>
      <c r="J2629" s="4">
        <f t="shared" si="115"/>
        <v>1.105583195135434E-4</v>
      </c>
      <c r="K2629" s="5">
        <f t="shared" si="114"/>
        <v>0.2904367053620765</v>
      </c>
    </row>
    <row r="2630" spans="1:11" x14ac:dyDescent="0.25">
      <c r="A2630" t="s">
        <v>12060</v>
      </c>
      <c r="C2630" t="s">
        <v>12061</v>
      </c>
      <c r="D2630" t="s">
        <v>309</v>
      </c>
      <c r="E2630" t="s">
        <v>6</v>
      </c>
      <c r="F2630" t="s">
        <v>251</v>
      </c>
      <c r="G2630">
        <v>3</v>
      </c>
      <c r="H2630" s="2">
        <f>Tabelle13[[#This Row],[commits]]/Tabelle13[[#Totals],[commits]]</f>
        <v>1.3943371321273866E-5</v>
      </c>
      <c r="I2630" s="5">
        <f>Tabelle13[[#This Row],[%]]+I2629</f>
        <v>0.96290598449499143</v>
      </c>
      <c r="J2630" s="4">
        <f t="shared" si="115"/>
        <v>1.105583195135434E-4</v>
      </c>
      <c r="K2630" s="5">
        <f t="shared" ref="K2630:K2693" si="116">J2630+K2629</f>
        <v>0.29054726368159006</v>
      </c>
    </row>
    <row r="2631" spans="1:11" x14ac:dyDescent="0.25">
      <c r="A2631" t="s">
        <v>12062</v>
      </c>
      <c r="C2631" t="s">
        <v>12063</v>
      </c>
      <c r="D2631" t="s">
        <v>5</v>
      </c>
      <c r="E2631" t="s">
        <v>6</v>
      </c>
      <c r="F2631" t="s">
        <v>251</v>
      </c>
      <c r="G2631">
        <v>3</v>
      </c>
      <c r="H2631" s="2">
        <f>Tabelle13[[#This Row],[commits]]/Tabelle13[[#Totals],[commits]]</f>
        <v>1.3943371321273866E-5</v>
      </c>
      <c r="I2631" s="5">
        <f>Tabelle13[[#This Row],[%]]+I2630</f>
        <v>0.96291992786631275</v>
      </c>
      <c r="J2631" s="4">
        <f t="shared" si="115"/>
        <v>1.105583195135434E-4</v>
      </c>
      <c r="K2631" s="5">
        <f t="shared" si="116"/>
        <v>0.29065782200110363</v>
      </c>
    </row>
    <row r="2632" spans="1:11" x14ac:dyDescent="0.25">
      <c r="A2632" t="s">
        <v>12064</v>
      </c>
      <c r="C2632" t="s">
        <v>12065</v>
      </c>
      <c r="D2632" t="s">
        <v>5</v>
      </c>
      <c r="E2632" t="s">
        <v>6</v>
      </c>
      <c r="F2632" t="s">
        <v>251</v>
      </c>
      <c r="G2632">
        <v>3</v>
      </c>
      <c r="H2632" s="2">
        <f>Tabelle13[[#This Row],[commits]]/Tabelle13[[#Totals],[commits]]</f>
        <v>1.3943371321273866E-5</v>
      </c>
      <c r="I2632" s="5">
        <f>Tabelle13[[#This Row],[%]]+I2631</f>
        <v>0.96293387123763408</v>
      </c>
      <c r="J2632" s="4">
        <f t="shared" si="115"/>
        <v>1.105583195135434E-4</v>
      </c>
      <c r="K2632" s="5">
        <f t="shared" si="116"/>
        <v>0.29076838032061719</v>
      </c>
    </row>
    <row r="2633" spans="1:11" x14ac:dyDescent="0.25">
      <c r="A2633" t="s">
        <v>12066</v>
      </c>
      <c r="C2633" t="s">
        <v>12067</v>
      </c>
      <c r="D2633" t="s">
        <v>11616</v>
      </c>
      <c r="E2633" t="s">
        <v>6</v>
      </c>
      <c r="F2633" t="s">
        <v>251</v>
      </c>
      <c r="G2633">
        <v>3</v>
      </c>
      <c r="H2633" s="2">
        <f>Tabelle13[[#This Row],[commits]]/Tabelle13[[#Totals],[commits]]</f>
        <v>1.3943371321273866E-5</v>
      </c>
      <c r="I2633" s="5">
        <f>Tabelle13[[#This Row],[%]]+I2632</f>
        <v>0.9629478146089554</v>
      </c>
      <c r="J2633" s="4">
        <f t="shared" si="115"/>
        <v>1.105583195135434E-4</v>
      </c>
      <c r="K2633" s="5">
        <f t="shared" si="116"/>
        <v>0.29087893864013076</v>
      </c>
    </row>
    <row r="2634" spans="1:11" x14ac:dyDescent="0.25">
      <c r="A2634" t="s">
        <v>12068</v>
      </c>
      <c r="C2634" t="s">
        <v>12069</v>
      </c>
      <c r="D2634" t="s">
        <v>5</v>
      </c>
      <c r="E2634" t="s">
        <v>6</v>
      </c>
      <c r="F2634" t="s">
        <v>251</v>
      </c>
      <c r="G2634">
        <v>3</v>
      </c>
      <c r="H2634" s="2">
        <f>Tabelle13[[#This Row],[commits]]/Tabelle13[[#Totals],[commits]]</f>
        <v>1.3943371321273866E-5</v>
      </c>
      <c r="I2634" s="5">
        <f>Tabelle13[[#This Row],[%]]+I2633</f>
        <v>0.96296175798027672</v>
      </c>
      <c r="J2634" s="4">
        <f t="shared" si="115"/>
        <v>1.105583195135434E-4</v>
      </c>
      <c r="K2634" s="5">
        <f t="shared" si="116"/>
        <v>0.29098949695964432</v>
      </c>
    </row>
    <row r="2635" spans="1:11" x14ac:dyDescent="0.25">
      <c r="A2635" t="s">
        <v>12070</v>
      </c>
      <c r="C2635" t="s">
        <v>12071</v>
      </c>
      <c r="D2635" t="s">
        <v>309</v>
      </c>
      <c r="E2635" t="s">
        <v>6</v>
      </c>
      <c r="F2635" t="s">
        <v>251</v>
      </c>
      <c r="G2635">
        <v>3</v>
      </c>
      <c r="H2635" s="2">
        <f>Tabelle13[[#This Row],[commits]]/Tabelle13[[#Totals],[commits]]</f>
        <v>1.3943371321273866E-5</v>
      </c>
      <c r="I2635" s="5">
        <f>Tabelle13[[#This Row],[%]]+I2634</f>
        <v>0.96297570135159805</v>
      </c>
      <c r="J2635" s="4">
        <f t="shared" si="115"/>
        <v>1.105583195135434E-4</v>
      </c>
      <c r="K2635" s="5">
        <f t="shared" si="116"/>
        <v>0.29110005527915789</v>
      </c>
    </row>
    <row r="2636" spans="1:11" x14ac:dyDescent="0.25">
      <c r="A2636" t="s">
        <v>12072</v>
      </c>
      <c r="C2636" t="s">
        <v>12073</v>
      </c>
      <c r="D2636" t="s">
        <v>5</v>
      </c>
      <c r="E2636" t="s">
        <v>6</v>
      </c>
      <c r="F2636" t="s">
        <v>251</v>
      </c>
      <c r="G2636">
        <v>3</v>
      </c>
      <c r="H2636" s="2">
        <f>Tabelle13[[#This Row],[commits]]/Tabelle13[[#Totals],[commits]]</f>
        <v>1.3943371321273866E-5</v>
      </c>
      <c r="I2636" s="5">
        <f>Tabelle13[[#This Row],[%]]+I2635</f>
        <v>0.96298964472291937</v>
      </c>
      <c r="J2636" s="4">
        <f t="shared" si="115"/>
        <v>1.105583195135434E-4</v>
      </c>
      <c r="K2636" s="5">
        <f t="shared" si="116"/>
        <v>0.29121061359867145</v>
      </c>
    </row>
    <row r="2637" spans="1:11" x14ac:dyDescent="0.25">
      <c r="A2637" t="s">
        <v>12074</v>
      </c>
      <c r="C2637" t="s">
        <v>12075</v>
      </c>
      <c r="D2637" t="s">
        <v>309</v>
      </c>
      <c r="E2637" t="s">
        <v>6</v>
      </c>
      <c r="F2637" t="s">
        <v>251</v>
      </c>
      <c r="G2637">
        <v>3</v>
      </c>
      <c r="H2637" s="2">
        <f>Tabelle13[[#This Row],[commits]]/Tabelle13[[#Totals],[commits]]</f>
        <v>1.3943371321273866E-5</v>
      </c>
      <c r="I2637" s="5">
        <f>Tabelle13[[#This Row],[%]]+I2636</f>
        <v>0.96300358809424069</v>
      </c>
      <c r="J2637" s="4">
        <f t="shared" si="115"/>
        <v>1.105583195135434E-4</v>
      </c>
      <c r="K2637" s="5">
        <f t="shared" si="116"/>
        <v>0.29132117191818502</v>
      </c>
    </row>
    <row r="2638" spans="1:11" x14ac:dyDescent="0.25">
      <c r="A2638" t="s">
        <v>12076</v>
      </c>
      <c r="C2638" t="s">
        <v>12077</v>
      </c>
      <c r="D2638" t="s">
        <v>8874</v>
      </c>
      <c r="E2638" t="s">
        <v>6</v>
      </c>
      <c r="F2638" t="s">
        <v>251</v>
      </c>
      <c r="G2638">
        <v>3</v>
      </c>
      <c r="H2638" s="2">
        <f>Tabelle13[[#This Row],[commits]]/Tabelle13[[#Totals],[commits]]</f>
        <v>1.3943371321273866E-5</v>
      </c>
      <c r="I2638" s="5">
        <f>Tabelle13[[#This Row],[%]]+I2637</f>
        <v>0.96301753146556202</v>
      </c>
      <c r="J2638" s="4">
        <f t="shared" si="115"/>
        <v>1.105583195135434E-4</v>
      </c>
      <c r="K2638" s="5">
        <f t="shared" si="116"/>
        <v>0.29143173023769858</v>
      </c>
    </row>
    <row r="2639" spans="1:11" x14ac:dyDescent="0.25">
      <c r="A2639" t="s">
        <v>12078</v>
      </c>
      <c r="C2639" t="s">
        <v>12079</v>
      </c>
      <c r="D2639" t="s">
        <v>5</v>
      </c>
      <c r="E2639" t="s">
        <v>6</v>
      </c>
      <c r="F2639" t="s">
        <v>251</v>
      </c>
      <c r="G2639">
        <v>3</v>
      </c>
      <c r="H2639" s="2">
        <f>Tabelle13[[#This Row],[commits]]/Tabelle13[[#Totals],[commits]]</f>
        <v>1.3943371321273866E-5</v>
      </c>
      <c r="I2639" s="5">
        <f>Tabelle13[[#This Row],[%]]+I2638</f>
        <v>0.96303147483688334</v>
      </c>
      <c r="J2639" s="4">
        <f t="shared" si="115"/>
        <v>1.105583195135434E-4</v>
      </c>
      <c r="K2639" s="5">
        <f t="shared" si="116"/>
        <v>0.29154228855721215</v>
      </c>
    </row>
    <row r="2640" spans="1:11" x14ac:dyDescent="0.25">
      <c r="A2640" t="s">
        <v>12080</v>
      </c>
      <c r="C2640" t="s">
        <v>12081</v>
      </c>
      <c r="D2640" t="s">
        <v>5</v>
      </c>
      <c r="E2640" t="s">
        <v>6</v>
      </c>
      <c r="F2640" t="s">
        <v>251</v>
      </c>
      <c r="G2640">
        <v>3</v>
      </c>
      <c r="H2640" s="2">
        <f>Tabelle13[[#This Row],[commits]]/Tabelle13[[#Totals],[commits]]</f>
        <v>1.3943371321273866E-5</v>
      </c>
      <c r="I2640" s="5">
        <f>Tabelle13[[#This Row],[%]]+I2639</f>
        <v>0.96304541820820466</v>
      </c>
      <c r="J2640" s="4">
        <f t="shared" si="115"/>
        <v>1.105583195135434E-4</v>
      </c>
      <c r="K2640" s="5">
        <f t="shared" si="116"/>
        <v>0.29165284687672571</v>
      </c>
    </row>
    <row r="2641" spans="1:11" x14ac:dyDescent="0.25">
      <c r="A2641" t="s">
        <v>12082</v>
      </c>
      <c r="C2641" t="s">
        <v>12083</v>
      </c>
      <c r="D2641" t="s">
        <v>9035</v>
      </c>
      <c r="E2641" t="s">
        <v>6</v>
      </c>
      <c r="F2641" t="s">
        <v>251</v>
      </c>
      <c r="G2641">
        <v>3</v>
      </c>
      <c r="H2641" s="2">
        <f>Tabelle13[[#This Row],[commits]]/Tabelle13[[#Totals],[commits]]</f>
        <v>1.3943371321273866E-5</v>
      </c>
      <c r="I2641" s="5">
        <f>Tabelle13[[#This Row],[%]]+I2640</f>
        <v>0.96305936157952599</v>
      </c>
      <c r="J2641" s="4">
        <f t="shared" si="115"/>
        <v>1.105583195135434E-4</v>
      </c>
      <c r="K2641" s="5">
        <f t="shared" si="116"/>
        <v>0.29176340519623928</v>
      </c>
    </row>
    <row r="2642" spans="1:11" x14ac:dyDescent="0.25">
      <c r="A2642" t="s">
        <v>12084</v>
      </c>
      <c r="C2642" t="s">
        <v>12085</v>
      </c>
      <c r="D2642" t="s">
        <v>309</v>
      </c>
      <c r="E2642" t="s">
        <v>6</v>
      </c>
      <c r="F2642" t="s">
        <v>251</v>
      </c>
      <c r="G2642">
        <v>3</v>
      </c>
      <c r="H2642" s="2">
        <f>Tabelle13[[#This Row],[commits]]/Tabelle13[[#Totals],[commits]]</f>
        <v>1.3943371321273866E-5</v>
      </c>
      <c r="I2642" s="5">
        <f>Tabelle13[[#This Row],[%]]+I2641</f>
        <v>0.96307330495084731</v>
      </c>
      <c r="J2642" s="4">
        <f t="shared" si="115"/>
        <v>1.105583195135434E-4</v>
      </c>
      <c r="K2642" s="5">
        <f t="shared" si="116"/>
        <v>0.29187396351575284</v>
      </c>
    </row>
    <row r="2643" spans="1:11" x14ac:dyDescent="0.25">
      <c r="A2643" t="s">
        <v>12086</v>
      </c>
      <c r="C2643" t="s">
        <v>12087</v>
      </c>
      <c r="D2643" t="s">
        <v>12088</v>
      </c>
      <c r="E2643" t="s">
        <v>6</v>
      </c>
      <c r="F2643" t="s">
        <v>251</v>
      </c>
      <c r="G2643">
        <v>3</v>
      </c>
      <c r="H2643" s="2">
        <f>Tabelle13[[#This Row],[commits]]/Tabelle13[[#Totals],[commits]]</f>
        <v>1.3943371321273866E-5</v>
      </c>
      <c r="I2643" s="5">
        <f>Tabelle13[[#This Row],[%]]+I2642</f>
        <v>0.96308724832216863</v>
      </c>
      <c r="J2643" s="4">
        <f t="shared" si="115"/>
        <v>1.105583195135434E-4</v>
      </c>
      <c r="K2643" s="5">
        <f t="shared" si="116"/>
        <v>0.29198452183526641</v>
      </c>
    </row>
    <row r="2644" spans="1:11" x14ac:dyDescent="0.25">
      <c r="A2644" t="s">
        <v>12089</v>
      </c>
      <c r="C2644" t="s">
        <v>12090</v>
      </c>
      <c r="D2644" t="s">
        <v>309</v>
      </c>
      <c r="E2644" t="s">
        <v>6</v>
      </c>
      <c r="F2644" t="s">
        <v>251</v>
      </c>
      <c r="G2644">
        <v>3</v>
      </c>
      <c r="H2644" s="2">
        <f>Tabelle13[[#This Row],[commits]]/Tabelle13[[#Totals],[commits]]</f>
        <v>1.3943371321273866E-5</v>
      </c>
      <c r="I2644" s="5">
        <f>Tabelle13[[#This Row],[%]]+I2643</f>
        <v>0.96310119169348996</v>
      </c>
      <c r="J2644" s="4">
        <f t="shared" si="115"/>
        <v>1.105583195135434E-4</v>
      </c>
      <c r="K2644" s="5">
        <f t="shared" si="116"/>
        <v>0.29209508015477997</v>
      </c>
    </row>
    <row r="2645" spans="1:11" x14ac:dyDescent="0.25">
      <c r="A2645" t="s">
        <v>12091</v>
      </c>
      <c r="C2645" t="s">
        <v>12092</v>
      </c>
      <c r="D2645" t="s">
        <v>5</v>
      </c>
      <c r="E2645" t="s">
        <v>6</v>
      </c>
      <c r="F2645" t="s">
        <v>251</v>
      </c>
      <c r="G2645">
        <v>3</v>
      </c>
      <c r="H2645" s="2">
        <f>Tabelle13[[#This Row],[commits]]/Tabelle13[[#Totals],[commits]]</f>
        <v>1.3943371321273866E-5</v>
      </c>
      <c r="I2645" s="5">
        <f>Tabelle13[[#This Row],[%]]+I2644</f>
        <v>0.96311513506481128</v>
      </c>
      <c r="J2645" s="4">
        <f t="shared" si="115"/>
        <v>1.105583195135434E-4</v>
      </c>
      <c r="K2645" s="5">
        <f t="shared" si="116"/>
        <v>0.29220563847429354</v>
      </c>
    </row>
    <row r="2646" spans="1:11" x14ac:dyDescent="0.25">
      <c r="A2646" t="s">
        <v>12093</v>
      </c>
      <c r="C2646" t="s">
        <v>12094</v>
      </c>
      <c r="D2646" t="s">
        <v>9636</v>
      </c>
      <c r="E2646" t="s">
        <v>6</v>
      </c>
      <c r="F2646" t="s">
        <v>251</v>
      </c>
      <c r="G2646">
        <v>3</v>
      </c>
      <c r="H2646" s="2">
        <f>Tabelle13[[#This Row],[commits]]/Tabelle13[[#Totals],[commits]]</f>
        <v>1.3943371321273866E-5</v>
      </c>
      <c r="I2646" s="5">
        <f>Tabelle13[[#This Row],[%]]+I2645</f>
        <v>0.9631290784361326</v>
      </c>
      <c r="J2646" s="4">
        <f t="shared" si="115"/>
        <v>1.105583195135434E-4</v>
      </c>
      <c r="K2646" s="5">
        <f t="shared" si="116"/>
        <v>0.2923161967938071</v>
      </c>
    </row>
    <row r="2647" spans="1:11" x14ac:dyDescent="0.25">
      <c r="A2647" t="s">
        <v>12095</v>
      </c>
      <c r="C2647" t="s">
        <v>12096</v>
      </c>
      <c r="D2647" t="s">
        <v>5</v>
      </c>
      <c r="E2647" t="s">
        <v>6</v>
      </c>
      <c r="F2647" t="s">
        <v>251</v>
      </c>
      <c r="G2647">
        <v>3</v>
      </c>
      <c r="H2647" s="2">
        <f>Tabelle13[[#This Row],[commits]]/Tabelle13[[#Totals],[commits]]</f>
        <v>1.3943371321273866E-5</v>
      </c>
      <c r="I2647" s="5">
        <f>Tabelle13[[#This Row],[%]]+I2646</f>
        <v>0.96314302180745393</v>
      </c>
      <c r="J2647" s="4">
        <f t="shared" si="115"/>
        <v>1.105583195135434E-4</v>
      </c>
      <c r="K2647" s="5">
        <f t="shared" si="116"/>
        <v>0.29242675511332067</v>
      </c>
    </row>
    <row r="2648" spans="1:11" x14ac:dyDescent="0.25">
      <c r="A2648" t="s">
        <v>12097</v>
      </c>
      <c r="C2648" t="s">
        <v>12098</v>
      </c>
      <c r="D2648" t="s">
        <v>5</v>
      </c>
      <c r="E2648" t="s">
        <v>6</v>
      </c>
      <c r="F2648" t="s">
        <v>251</v>
      </c>
      <c r="G2648">
        <v>3</v>
      </c>
      <c r="H2648" s="2">
        <f>Tabelle13[[#This Row],[commits]]/Tabelle13[[#Totals],[commits]]</f>
        <v>1.3943371321273866E-5</v>
      </c>
      <c r="I2648" s="5">
        <f>Tabelle13[[#This Row],[%]]+I2647</f>
        <v>0.96315696517877525</v>
      </c>
      <c r="J2648" s="4">
        <f t="shared" si="115"/>
        <v>1.105583195135434E-4</v>
      </c>
      <c r="K2648" s="5">
        <f t="shared" si="116"/>
        <v>0.29253731343283423</v>
      </c>
    </row>
    <row r="2649" spans="1:11" x14ac:dyDescent="0.25">
      <c r="A2649" t="s">
        <v>12099</v>
      </c>
      <c r="C2649" t="s">
        <v>12100</v>
      </c>
      <c r="D2649" t="s">
        <v>309</v>
      </c>
      <c r="E2649" t="s">
        <v>6</v>
      </c>
      <c r="F2649" t="s">
        <v>251</v>
      </c>
      <c r="G2649">
        <v>3</v>
      </c>
      <c r="H2649" s="2">
        <f>Tabelle13[[#This Row],[commits]]/Tabelle13[[#Totals],[commits]]</f>
        <v>1.3943371321273866E-5</v>
      </c>
      <c r="I2649" s="5">
        <f>Tabelle13[[#This Row],[%]]+I2648</f>
        <v>0.96317090855009657</v>
      </c>
      <c r="J2649" s="4">
        <f t="shared" si="115"/>
        <v>1.105583195135434E-4</v>
      </c>
      <c r="K2649" s="5">
        <f t="shared" si="116"/>
        <v>0.2926478717523478</v>
      </c>
    </row>
    <row r="2650" spans="1:11" x14ac:dyDescent="0.25">
      <c r="A2650" t="s">
        <v>12101</v>
      </c>
      <c r="C2650" t="s">
        <v>12102</v>
      </c>
      <c r="D2650" t="s">
        <v>5</v>
      </c>
      <c r="E2650" t="s">
        <v>6</v>
      </c>
      <c r="F2650" t="s">
        <v>251</v>
      </c>
      <c r="G2650">
        <v>3</v>
      </c>
      <c r="H2650" s="2">
        <f>Tabelle13[[#This Row],[commits]]/Tabelle13[[#Totals],[commits]]</f>
        <v>1.3943371321273866E-5</v>
      </c>
      <c r="I2650" s="5">
        <f>Tabelle13[[#This Row],[%]]+I2649</f>
        <v>0.96318485192141789</v>
      </c>
      <c r="J2650" s="4">
        <f t="shared" si="115"/>
        <v>1.105583195135434E-4</v>
      </c>
      <c r="K2650" s="5">
        <f t="shared" si="116"/>
        <v>0.29275843007186136</v>
      </c>
    </row>
    <row r="2651" spans="1:11" x14ac:dyDescent="0.25">
      <c r="A2651" t="s">
        <v>12103</v>
      </c>
      <c r="C2651" t="s">
        <v>12104</v>
      </c>
      <c r="D2651" t="s">
        <v>5</v>
      </c>
      <c r="E2651" t="s">
        <v>6</v>
      </c>
      <c r="F2651" t="s">
        <v>251</v>
      </c>
      <c r="G2651">
        <v>3</v>
      </c>
      <c r="H2651" s="2">
        <f>Tabelle13[[#This Row],[commits]]/Tabelle13[[#Totals],[commits]]</f>
        <v>1.3943371321273866E-5</v>
      </c>
      <c r="I2651" s="5">
        <f>Tabelle13[[#This Row],[%]]+I2650</f>
        <v>0.96319879529273922</v>
      </c>
      <c r="J2651" s="4">
        <f t="shared" si="115"/>
        <v>1.105583195135434E-4</v>
      </c>
      <c r="K2651" s="5">
        <f t="shared" si="116"/>
        <v>0.29286898839137493</v>
      </c>
    </row>
    <row r="2652" spans="1:11" x14ac:dyDescent="0.25">
      <c r="A2652" t="s">
        <v>12105</v>
      </c>
      <c r="C2652" t="s">
        <v>12106</v>
      </c>
      <c r="D2652" t="s">
        <v>309</v>
      </c>
      <c r="E2652" t="s">
        <v>6</v>
      </c>
      <c r="F2652" t="s">
        <v>251</v>
      </c>
      <c r="G2652">
        <v>3</v>
      </c>
      <c r="H2652" s="2">
        <f>Tabelle13[[#This Row],[commits]]/Tabelle13[[#Totals],[commits]]</f>
        <v>1.3943371321273866E-5</v>
      </c>
      <c r="I2652" s="5">
        <f>Tabelle13[[#This Row],[%]]+I2651</f>
        <v>0.96321273866406054</v>
      </c>
      <c r="J2652" s="4">
        <f t="shared" si="115"/>
        <v>1.105583195135434E-4</v>
      </c>
      <c r="K2652" s="5">
        <f t="shared" si="116"/>
        <v>0.29297954671088849</v>
      </c>
    </row>
    <row r="2653" spans="1:11" x14ac:dyDescent="0.25">
      <c r="A2653" t="s">
        <v>12107</v>
      </c>
      <c r="C2653" t="s">
        <v>12108</v>
      </c>
      <c r="D2653" t="s">
        <v>5</v>
      </c>
      <c r="E2653" t="s">
        <v>6</v>
      </c>
      <c r="F2653" t="s">
        <v>251</v>
      </c>
      <c r="G2653">
        <v>3</v>
      </c>
      <c r="H2653" s="2">
        <f>Tabelle13[[#This Row],[commits]]/Tabelle13[[#Totals],[commits]]</f>
        <v>1.3943371321273866E-5</v>
      </c>
      <c r="I2653" s="5">
        <f>Tabelle13[[#This Row],[%]]+I2652</f>
        <v>0.96322668203538186</v>
      </c>
      <c r="J2653" s="4">
        <f t="shared" si="115"/>
        <v>1.105583195135434E-4</v>
      </c>
      <c r="K2653" s="5">
        <f t="shared" si="116"/>
        <v>0.29309010503040206</v>
      </c>
    </row>
    <row r="2654" spans="1:11" x14ac:dyDescent="0.25">
      <c r="A2654" t="s">
        <v>12109</v>
      </c>
      <c r="C2654" t="s">
        <v>12110</v>
      </c>
      <c r="D2654" t="s">
        <v>8948</v>
      </c>
      <c r="E2654" t="s">
        <v>6</v>
      </c>
      <c r="F2654" t="s">
        <v>251</v>
      </c>
      <c r="G2654">
        <v>3</v>
      </c>
      <c r="H2654" s="2">
        <f>Tabelle13[[#This Row],[commits]]/Tabelle13[[#Totals],[commits]]</f>
        <v>1.3943371321273866E-5</v>
      </c>
      <c r="I2654" s="5">
        <f>Tabelle13[[#This Row],[%]]+I2653</f>
        <v>0.96324062540670319</v>
      </c>
      <c r="J2654" s="4">
        <f t="shared" si="115"/>
        <v>1.105583195135434E-4</v>
      </c>
      <c r="K2654" s="5">
        <f t="shared" si="116"/>
        <v>0.29320066334991562</v>
      </c>
    </row>
    <row r="2655" spans="1:11" x14ac:dyDescent="0.25">
      <c r="A2655" t="s">
        <v>12111</v>
      </c>
      <c r="C2655" t="s">
        <v>12112</v>
      </c>
      <c r="D2655" t="s">
        <v>5</v>
      </c>
      <c r="E2655" t="s">
        <v>6</v>
      </c>
      <c r="F2655" t="s">
        <v>251</v>
      </c>
      <c r="G2655">
        <v>3</v>
      </c>
      <c r="H2655" s="2">
        <f>Tabelle13[[#This Row],[commits]]/Tabelle13[[#Totals],[commits]]</f>
        <v>1.3943371321273866E-5</v>
      </c>
      <c r="I2655" s="5">
        <f>Tabelle13[[#This Row],[%]]+I2654</f>
        <v>0.96325456877802451</v>
      </c>
      <c r="J2655" s="4">
        <f t="shared" si="115"/>
        <v>1.105583195135434E-4</v>
      </c>
      <c r="K2655" s="5">
        <f t="shared" si="116"/>
        <v>0.29331122166942919</v>
      </c>
    </row>
    <row r="2656" spans="1:11" x14ac:dyDescent="0.25">
      <c r="A2656" t="s">
        <v>12113</v>
      </c>
      <c r="C2656" t="s">
        <v>12114</v>
      </c>
      <c r="D2656" t="s">
        <v>9062</v>
      </c>
      <c r="E2656" t="s">
        <v>6</v>
      </c>
      <c r="F2656" t="s">
        <v>251</v>
      </c>
      <c r="G2656">
        <v>3</v>
      </c>
      <c r="H2656" s="2">
        <f>Tabelle13[[#This Row],[commits]]/Tabelle13[[#Totals],[commits]]</f>
        <v>1.3943371321273866E-5</v>
      </c>
      <c r="I2656" s="5">
        <f>Tabelle13[[#This Row],[%]]+I2655</f>
        <v>0.96326851214934583</v>
      </c>
      <c r="J2656" s="4">
        <f t="shared" si="115"/>
        <v>1.105583195135434E-4</v>
      </c>
      <c r="K2656" s="5">
        <f t="shared" si="116"/>
        <v>0.29342177998894275</v>
      </c>
    </row>
    <row r="2657" spans="1:11" x14ac:dyDescent="0.25">
      <c r="A2657" t="s">
        <v>12115</v>
      </c>
      <c r="C2657" t="s">
        <v>12116</v>
      </c>
      <c r="D2657" t="s">
        <v>309</v>
      </c>
      <c r="E2657" t="s">
        <v>6</v>
      </c>
      <c r="F2657" t="s">
        <v>251</v>
      </c>
      <c r="G2657">
        <v>3</v>
      </c>
      <c r="H2657" s="2">
        <f>Tabelle13[[#This Row],[commits]]/Tabelle13[[#Totals],[commits]]</f>
        <v>1.3943371321273866E-5</v>
      </c>
      <c r="I2657" s="5">
        <f>Tabelle13[[#This Row],[%]]+I2656</f>
        <v>0.96328245552066716</v>
      </c>
      <c r="J2657" s="4">
        <f t="shared" si="115"/>
        <v>1.105583195135434E-4</v>
      </c>
      <c r="K2657" s="5">
        <f t="shared" si="116"/>
        <v>0.29353233830845632</v>
      </c>
    </row>
    <row r="2658" spans="1:11" x14ac:dyDescent="0.25">
      <c r="A2658" t="s">
        <v>12117</v>
      </c>
      <c r="C2658" t="s">
        <v>12118</v>
      </c>
      <c r="D2658" t="s">
        <v>5</v>
      </c>
      <c r="E2658" t="s">
        <v>6</v>
      </c>
      <c r="F2658" t="s">
        <v>251</v>
      </c>
      <c r="G2658">
        <v>3</v>
      </c>
      <c r="H2658" s="2">
        <f>Tabelle13[[#This Row],[commits]]/Tabelle13[[#Totals],[commits]]</f>
        <v>1.3943371321273866E-5</v>
      </c>
      <c r="I2658" s="5">
        <f>Tabelle13[[#This Row],[%]]+I2657</f>
        <v>0.96329639889198848</v>
      </c>
      <c r="J2658" s="4">
        <f t="shared" si="115"/>
        <v>1.105583195135434E-4</v>
      </c>
      <c r="K2658" s="5">
        <f t="shared" si="116"/>
        <v>0.29364289662796988</v>
      </c>
    </row>
    <row r="2659" spans="1:11" x14ac:dyDescent="0.25">
      <c r="A2659" t="s">
        <v>12119</v>
      </c>
      <c r="C2659" t="s">
        <v>1687</v>
      </c>
      <c r="D2659" t="s">
        <v>11367</v>
      </c>
      <c r="E2659" t="s">
        <v>6</v>
      </c>
      <c r="F2659" t="s">
        <v>251</v>
      </c>
      <c r="G2659">
        <v>3</v>
      </c>
      <c r="H2659" s="2">
        <f>Tabelle13[[#This Row],[commits]]/Tabelle13[[#Totals],[commits]]</f>
        <v>1.3943371321273866E-5</v>
      </c>
      <c r="I2659" s="5">
        <f>Tabelle13[[#This Row],[%]]+I2658</f>
        <v>0.9633103422633098</v>
      </c>
      <c r="J2659" s="4">
        <f t="shared" si="115"/>
        <v>1.105583195135434E-4</v>
      </c>
      <c r="K2659" s="5">
        <f t="shared" si="116"/>
        <v>0.29375345494748345</v>
      </c>
    </row>
    <row r="2660" spans="1:11" x14ac:dyDescent="0.25">
      <c r="A2660" t="s">
        <v>12120</v>
      </c>
      <c r="C2660">
        <v>1004815462</v>
      </c>
      <c r="D2660" t="s">
        <v>5</v>
      </c>
      <c r="E2660" t="s">
        <v>6</v>
      </c>
      <c r="F2660" t="s">
        <v>251</v>
      </c>
      <c r="G2660">
        <v>3</v>
      </c>
      <c r="H2660" s="2">
        <f>Tabelle13[[#This Row],[commits]]/Tabelle13[[#Totals],[commits]]</f>
        <v>1.3943371321273866E-5</v>
      </c>
      <c r="I2660" s="5">
        <f>Tabelle13[[#This Row],[%]]+I2659</f>
        <v>0.96332428563463113</v>
      </c>
      <c r="J2660" s="4">
        <f t="shared" si="115"/>
        <v>1.105583195135434E-4</v>
      </c>
      <c r="K2660" s="5">
        <f t="shared" si="116"/>
        <v>0.29386401326699702</v>
      </c>
    </row>
    <row r="2661" spans="1:11" x14ac:dyDescent="0.25">
      <c r="A2661" t="s">
        <v>12121</v>
      </c>
      <c r="C2661" t="s">
        <v>12122</v>
      </c>
      <c r="D2661" t="s">
        <v>5</v>
      </c>
      <c r="E2661" t="s">
        <v>6</v>
      </c>
      <c r="F2661" t="s">
        <v>251</v>
      </c>
      <c r="G2661">
        <v>3</v>
      </c>
      <c r="H2661" s="2">
        <f>Tabelle13[[#This Row],[commits]]/Tabelle13[[#Totals],[commits]]</f>
        <v>1.3943371321273866E-5</v>
      </c>
      <c r="I2661" s="5">
        <f>Tabelle13[[#This Row],[%]]+I2660</f>
        <v>0.96333822900595245</v>
      </c>
      <c r="J2661" s="4">
        <f t="shared" si="115"/>
        <v>1.105583195135434E-4</v>
      </c>
      <c r="K2661" s="5">
        <f t="shared" si="116"/>
        <v>0.29397457158651058</v>
      </c>
    </row>
    <row r="2662" spans="1:11" x14ac:dyDescent="0.25">
      <c r="A2662" t="s">
        <v>12123</v>
      </c>
      <c r="C2662" t="s">
        <v>12124</v>
      </c>
      <c r="D2662" t="s">
        <v>309</v>
      </c>
      <c r="E2662" t="s">
        <v>6</v>
      </c>
      <c r="F2662" t="s">
        <v>251</v>
      </c>
      <c r="G2662">
        <v>3</v>
      </c>
      <c r="H2662" s="2">
        <f>Tabelle13[[#This Row],[commits]]/Tabelle13[[#Totals],[commits]]</f>
        <v>1.3943371321273866E-5</v>
      </c>
      <c r="I2662" s="5">
        <f>Tabelle13[[#This Row],[%]]+I2661</f>
        <v>0.96335217237727377</v>
      </c>
      <c r="J2662" s="4">
        <f t="shared" si="115"/>
        <v>1.105583195135434E-4</v>
      </c>
      <c r="K2662" s="5">
        <f t="shared" si="116"/>
        <v>0.29408512990602415</v>
      </c>
    </row>
    <row r="2663" spans="1:11" x14ac:dyDescent="0.25">
      <c r="A2663" t="s">
        <v>12125</v>
      </c>
      <c r="C2663" t="s">
        <v>12126</v>
      </c>
      <c r="D2663" t="s">
        <v>7531</v>
      </c>
      <c r="E2663" t="s">
        <v>6</v>
      </c>
      <c r="F2663" t="s">
        <v>251</v>
      </c>
      <c r="G2663">
        <v>3</v>
      </c>
      <c r="H2663" s="2">
        <f>Tabelle13[[#This Row],[commits]]/Tabelle13[[#Totals],[commits]]</f>
        <v>1.3943371321273866E-5</v>
      </c>
      <c r="I2663" s="5">
        <f>Tabelle13[[#This Row],[%]]+I2662</f>
        <v>0.9633661157485951</v>
      </c>
      <c r="J2663" s="4">
        <f t="shared" si="115"/>
        <v>1.105583195135434E-4</v>
      </c>
      <c r="K2663" s="5">
        <f t="shared" si="116"/>
        <v>0.29419568822553771</v>
      </c>
    </row>
    <row r="2664" spans="1:11" x14ac:dyDescent="0.25">
      <c r="A2664" t="s">
        <v>12127</v>
      </c>
      <c r="C2664" t="s">
        <v>12128</v>
      </c>
      <c r="D2664" t="s">
        <v>9035</v>
      </c>
      <c r="E2664" t="s">
        <v>6</v>
      </c>
      <c r="F2664" t="s">
        <v>251</v>
      </c>
      <c r="G2664">
        <v>3</v>
      </c>
      <c r="H2664" s="2">
        <f>Tabelle13[[#This Row],[commits]]/Tabelle13[[#Totals],[commits]]</f>
        <v>1.3943371321273866E-5</v>
      </c>
      <c r="I2664" s="5">
        <f>Tabelle13[[#This Row],[%]]+I2663</f>
        <v>0.96338005911991642</v>
      </c>
      <c r="J2664" s="4">
        <f t="shared" si="115"/>
        <v>1.105583195135434E-4</v>
      </c>
      <c r="K2664" s="5">
        <f t="shared" si="116"/>
        <v>0.29430624654505128</v>
      </c>
    </row>
    <row r="2665" spans="1:11" x14ac:dyDescent="0.25">
      <c r="A2665" t="s">
        <v>12129</v>
      </c>
      <c r="C2665" t="s">
        <v>12130</v>
      </c>
      <c r="D2665" t="s">
        <v>309</v>
      </c>
      <c r="E2665" t="s">
        <v>6</v>
      </c>
      <c r="F2665" t="s">
        <v>251</v>
      </c>
      <c r="G2665">
        <v>3</v>
      </c>
      <c r="H2665" s="2">
        <f>Tabelle13[[#This Row],[commits]]/Tabelle13[[#Totals],[commits]]</f>
        <v>1.3943371321273866E-5</v>
      </c>
      <c r="I2665" s="5">
        <f>Tabelle13[[#This Row],[%]]+I2664</f>
        <v>0.96339400249123774</v>
      </c>
      <c r="J2665" s="4">
        <f t="shared" si="115"/>
        <v>1.105583195135434E-4</v>
      </c>
      <c r="K2665" s="5">
        <f t="shared" si="116"/>
        <v>0.29441680486456484</v>
      </c>
    </row>
    <row r="2666" spans="1:11" x14ac:dyDescent="0.25">
      <c r="A2666" t="s">
        <v>12131</v>
      </c>
      <c r="C2666" t="s">
        <v>12132</v>
      </c>
      <c r="D2666" t="s">
        <v>5</v>
      </c>
      <c r="E2666" t="s">
        <v>6</v>
      </c>
      <c r="F2666" t="s">
        <v>251</v>
      </c>
      <c r="G2666">
        <v>3</v>
      </c>
      <c r="H2666" s="2">
        <f>Tabelle13[[#This Row],[commits]]/Tabelle13[[#Totals],[commits]]</f>
        <v>1.3943371321273866E-5</v>
      </c>
      <c r="I2666" s="5">
        <f>Tabelle13[[#This Row],[%]]+I2665</f>
        <v>0.96340794586255907</v>
      </c>
      <c r="J2666" s="4">
        <f t="shared" si="115"/>
        <v>1.105583195135434E-4</v>
      </c>
      <c r="K2666" s="5">
        <f t="shared" si="116"/>
        <v>0.29452736318407841</v>
      </c>
    </row>
    <row r="2667" spans="1:11" x14ac:dyDescent="0.25">
      <c r="A2667" t="s">
        <v>12133</v>
      </c>
      <c r="C2667" t="s">
        <v>12134</v>
      </c>
      <c r="D2667" t="s">
        <v>5</v>
      </c>
      <c r="E2667" t="s">
        <v>6</v>
      </c>
      <c r="F2667" t="s">
        <v>251</v>
      </c>
      <c r="G2667">
        <v>3</v>
      </c>
      <c r="H2667" s="2">
        <f>Tabelle13[[#This Row],[commits]]/Tabelle13[[#Totals],[commits]]</f>
        <v>1.3943371321273866E-5</v>
      </c>
      <c r="I2667" s="5">
        <f>Tabelle13[[#This Row],[%]]+I2666</f>
        <v>0.96342188923388039</v>
      </c>
      <c r="J2667" s="4">
        <f t="shared" si="115"/>
        <v>1.105583195135434E-4</v>
      </c>
      <c r="K2667" s="5">
        <f t="shared" si="116"/>
        <v>0.29463792150359197</v>
      </c>
    </row>
    <row r="2668" spans="1:11" x14ac:dyDescent="0.25">
      <c r="A2668" t="s">
        <v>12135</v>
      </c>
      <c r="C2668" t="s">
        <v>12136</v>
      </c>
      <c r="D2668" t="s">
        <v>5</v>
      </c>
      <c r="E2668" t="s">
        <v>6</v>
      </c>
      <c r="F2668" t="s">
        <v>251</v>
      </c>
      <c r="G2668">
        <v>3</v>
      </c>
      <c r="H2668" s="2">
        <f>Tabelle13[[#This Row],[commits]]/Tabelle13[[#Totals],[commits]]</f>
        <v>1.3943371321273866E-5</v>
      </c>
      <c r="I2668" s="5">
        <f>Tabelle13[[#This Row],[%]]+I2667</f>
        <v>0.96343583260520171</v>
      </c>
      <c r="J2668" s="4">
        <f t="shared" si="115"/>
        <v>1.105583195135434E-4</v>
      </c>
      <c r="K2668" s="5">
        <f t="shared" si="116"/>
        <v>0.29474847982310554</v>
      </c>
    </row>
    <row r="2669" spans="1:11" x14ac:dyDescent="0.25">
      <c r="A2669" t="s">
        <v>12137</v>
      </c>
      <c r="C2669" t="s">
        <v>12138</v>
      </c>
      <c r="D2669" t="s">
        <v>309</v>
      </c>
      <c r="E2669" t="s">
        <v>6</v>
      </c>
      <c r="F2669" t="s">
        <v>251</v>
      </c>
      <c r="G2669">
        <v>3</v>
      </c>
      <c r="H2669" s="2">
        <f>Tabelle13[[#This Row],[commits]]/Tabelle13[[#Totals],[commits]]</f>
        <v>1.3943371321273866E-5</v>
      </c>
      <c r="I2669" s="5">
        <f>Tabelle13[[#This Row],[%]]+I2668</f>
        <v>0.96344977597652304</v>
      </c>
      <c r="J2669" s="4">
        <f t="shared" si="115"/>
        <v>1.105583195135434E-4</v>
      </c>
      <c r="K2669" s="5">
        <f t="shared" si="116"/>
        <v>0.2948590381426191</v>
      </c>
    </row>
    <row r="2670" spans="1:11" x14ac:dyDescent="0.25">
      <c r="A2670" t="s">
        <v>12139</v>
      </c>
      <c r="C2670" t="s">
        <v>12140</v>
      </c>
      <c r="D2670" t="s">
        <v>309</v>
      </c>
      <c r="E2670" t="s">
        <v>6</v>
      </c>
      <c r="F2670" t="s">
        <v>251</v>
      </c>
      <c r="G2670">
        <v>3</v>
      </c>
      <c r="H2670" s="2">
        <f>Tabelle13[[#This Row],[commits]]/Tabelle13[[#Totals],[commits]]</f>
        <v>1.3943371321273866E-5</v>
      </c>
      <c r="I2670" s="5">
        <f>Tabelle13[[#This Row],[%]]+I2669</f>
        <v>0.96346371934784436</v>
      </c>
      <c r="J2670" s="4">
        <f t="shared" si="115"/>
        <v>1.105583195135434E-4</v>
      </c>
      <c r="K2670" s="5">
        <f t="shared" si="116"/>
        <v>0.29496959646213267</v>
      </c>
    </row>
    <row r="2671" spans="1:11" x14ac:dyDescent="0.25">
      <c r="A2671" t="s">
        <v>12141</v>
      </c>
      <c r="C2671" t="s">
        <v>12142</v>
      </c>
      <c r="D2671" t="s">
        <v>5</v>
      </c>
      <c r="E2671" t="s">
        <v>6</v>
      </c>
      <c r="F2671" t="s">
        <v>251</v>
      </c>
      <c r="G2671">
        <v>3</v>
      </c>
      <c r="H2671" s="2">
        <f>Tabelle13[[#This Row],[commits]]/Tabelle13[[#Totals],[commits]]</f>
        <v>1.3943371321273866E-5</v>
      </c>
      <c r="I2671" s="5">
        <f>Tabelle13[[#This Row],[%]]+I2670</f>
        <v>0.96347766271916568</v>
      </c>
      <c r="J2671" s="4">
        <f t="shared" si="115"/>
        <v>1.105583195135434E-4</v>
      </c>
      <c r="K2671" s="5">
        <f t="shared" si="116"/>
        <v>0.29508015478164623</v>
      </c>
    </row>
    <row r="2672" spans="1:11" x14ac:dyDescent="0.25">
      <c r="A2672" t="s">
        <v>12143</v>
      </c>
      <c r="C2672" t="s">
        <v>12144</v>
      </c>
      <c r="D2672" t="s">
        <v>5</v>
      </c>
      <c r="E2672" t="s">
        <v>6</v>
      </c>
      <c r="F2672" t="s">
        <v>251</v>
      </c>
      <c r="G2672">
        <v>3</v>
      </c>
      <c r="H2672" s="2">
        <f>Tabelle13[[#This Row],[commits]]/Tabelle13[[#Totals],[commits]]</f>
        <v>1.3943371321273866E-5</v>
      </c>
      <c r="I2672" s="5">
        <f>Tabelle13[[#This Row],[%]]+I2671</f>
        <v>0.96349160609048701</v>
      </c>
      <c r="J2672" s="4">
        <f t="shared" si="115"/>
        <v>1.105583195135434E-4</v>
      </c>
      <c r="K2672" s="5">
        <f t="shared" si="116"/>
        <v>0.2951907131011598</v>
      </c>
    </row>
    <row r="2673" spans="1:11" x14ac:dyDescent="0.25">
      <c r="A2673" t="s">
        <v>12145</v>
      </c>
      <c r="C2673" t="s">
        <v>12146</v>
      </c>
      <c r="D2673" t="s">
        <v>5</v>
      </c>
      <c r="E2673" t="s">
        <v>6</v>
      </c>
      <c r="F2673" t="s">
        <v>251</v>
      </c>
      <c r="G2673">
        <v>3</v>
      </c>
      <c r="H2673" s="2">
        <f>Tabelle13[[#This Row],[commits]]/Tabelle13[[#Totals],[commits]]</f>
        <v>1.3943371321273866E-5</v>
      </c>
      <c r="I2673" s="5">
        <f>Tabelle13[[#This Row],[%]]+I2672</f>
        <v>0.96350554946180833</v>
      </c>
      <c r="J2673" s="4">
        <f t="shared" si="115"/>
        <v>1.105583195135434E-4</v>
      </c>
      <c r="K2673" s="5">
        <f t="shared" si="116"/>
        <v>0.29530127142067336</v>
      </c>
    </row>
    <row r="2674" spans="1:11" x14ac:dyDescent="0.25">
      <c r="A2674" t="s">
        <v>12147</v>
      </c>
      <c r="C2674" t="s">
        <v>12148</v>
      </c>
      <c r="D2674" t="s">
        <v>8948</v>
      </c>
      <c r="E2674" t="s">
        <v>6</v>
      </c>
      <c r="F2674" t="s">
        <v>251</v>
      </c>
      <c r="G2674">
        <v>3</v>
      </c>
      <c r="H2674" s="2">
        <f>Tabelle13[[#This Row],[commits]]/Tabelle13[[#Totals],[commits]]</f>
        <v>1.3943371321273866E-5</v>
      </c>
      <c r="I2674" s="5">
        <f>Tabelle13[[#This Row],[%]]+I2673</f>
        <v>0.96351949283312965</v>
      </c>
      <c r="J2674" s="4">
        <f t="shared" si="115"/>
        <v>1.105583195135434E-4</v>
      </c>
      <c r="K2674" s="5">
        <f t="shared" si="116"/>
        <v>0.29541182974018693</v>
      </c>
    </row>
    <row r="2675" spans="1:11" x14ac:dyDescent="0.25">
      <c r="A2675" t="s">
        <v>12149</v>
      </c>
      <c r="C2675" t="s">
        <v>12150</v>
      </c>
      <c r="D2675" t="s">
        <v>5</v>
      </c>
      <c r="E2675" t="s">
        <v>6</v>
      </c>
      <c r="F2675" t="s">
        <v>251</v>
      </c>
      <c r="G2675">
        <v>3</v>
      </c>
      <c r="H2675" s="2">
        <f>Tabelle13[[#This Row],[commits]]/Tabelle13[[#Totals],[commits]]</f>
        <v>1.3943371321273866E-5</v>
      </c>
      <c r="I2675" s="5">
        <f>Tabelle13[[#This Row],[%]]+I2674</f>
        <v>0.96353343620445098</v>
      </c>
      <c r="J2675" s="4">
        <f t="shared" si="115"/>
        <v>1.105583195135434E-4</v>
      </c>
      <c r="K2675" s="5">
        <f t="shared" si="116"/>
        <v>0.29552238805970049</v>
      </c>
    </row>
    <row r="2676" spans="1:11" x14ac:dyDescent="0.25">
      <c r="A2676" t="s">
        <v>12151</v>
      </c>
      <c r="C2676" t="s">
        <v>12152</v>
      </c>
      <c r="D2676" t="s">
        <v>5</v>
      </c>
      <c r="E2676" t="s">
        <v>6</v>
      </c>
      <c r="F2676" t="s">
        <v>251</v>
      </c>
      <c r="G2676">
        <v>3</v>
      </c>
      <c r="H2676" s="2">
        <f>Tabelle13[[#This Row],[commits]]/Tabelle13[[#Totals],[commits]]</f>
        <v>1.3943371321273866E-5</v>
      </c>
      <c r="I2676" s="5">
        <f>Tabelle13[[#This Row],[%]]+I2675</f>
        <v>0.9635473795757723</v>
      </c>
      <c r="J2676" s="4">
        <f t="shared" si="115"/>
        <v>1.105583195135434E-4</v>
      </c>
      <c r="K2676" s="5">
        <f t="shared" si="116"/>
        <v>0.29563294637921406</v>
      </c>
    </row>
    <row r="2677" spans="1:11" x14ac:dyDescent="0.25">
      <c r="A2677" t="s">
        <v>12153</v>
      </c>
      <c r="C2677" t="s">
        <v>12154</v>
      </c>
      <c r="D2677" t="s">
        <v>309</v>
      </c>
      <c r="E2677" t="s">
        <v>6</v>
      </c>
      <c r="F2677" t="s">
        <v>251</v>
      </c>
      <c r="G2677">
        <v>3</v>
      </c>
      <c r="H2677" s="2">
        <f>Tabelle13[[#This Row],[commits]]/Tabelle13[[#Totals],[commits]]</f>
        <v>1.3943371321273866E-5</v>
      </c>
      <c r="I2677" s="5">
        <f>Tabelle13[[#This Row],[%]]+I2676</f>
        <v>0.96356132294709362</v>
      </c>
      <c r="J2677" s="4">
        <f t="shared" si="115"/>
        <v>1.105583195135434E-4</v>
      </c>
      <c r="K2677" s="5">
        <f t="shared" si="116"/>
        <v>0.29574350469872762</v>
      </c>
    </row>
    <row r="2678" spans="1:11" x14ac:dyDescent="0.25">
      <c r="A2678" t="s">
        <v>12155</v>
      </c>
      <c r="C2678" t="s">
        <v>12156</v>
      </c>
      <c r="D2678" t="s">
        <v>5</v>
      </c>
      <c r="E2678" t="s">
        <v>6</v>
      </c>
      <c r="F2678" t="s">
        <v>251</v>
      </c>
      <c r="G2678">
        <v>3</v>
      </c>
      <c r="H2678" s="2">
        <f>Tabelle13[[#This Row],[commits]]/Tabelle13[[#Totals],[commits]]</f>
        <v>1.3943371321273866E-5</v>
      </c>
      <c r="I2678" s="5">
        <f>Tabelle13[[#This Row],[%]]+I2677</f>
        <v>0.96357526631841495</v>
      </c>
      <c r="J2678" s="4">
        <f t="shared" si="115"/>
        <v>1.105583195135434E-4</v>
      </c>
      <c r="K2678" s="5">
        <f t="shared" si="116"/>
        <v>0.29585406301824119</v>
      </c>
    </row>
    <row r="2679" spans="1:11" x14ac:dyDescent="0.25">
      <c r="A2679" t="s">
        <v>12157</v>
      </c>
      <c r="C2679" t="s">
        <v>12158</v>
      </c>
      <c r="D2679" t="s">
        <v>5</v>
      </c>
      <c r="E2679" t="s">
        <v>6</v>
      </c>
      <c r="F2679" t="s">
        <v>251</v>
      </c>
      <c r="G2679">
        <v>3</v>
      </c>
      <c r="H2679" s="2">
        <f>Tabelle13[[#This Row],[commits]]/Tabelle13[[#Totals],[commits]]</f>
        <v>1.3943371321273866E-5</v>
      </c>
      <c r="I2679" s="5">
        <f>Tabelle13[[#This Row],[%]]+I2678</f>
        <v>0.96358920968973627</v>
      </c>
      <c r="J2679" s="4">
        <f t="shared" si="115"/>
        <v>1.105583195135434E-4</v>
      </c>
      <c r="K2679" s="5">
        <f t="shared" si="116"/>
        <v>0.29596462133775475</v>
      </c>
    </row>
    <row r="2680" spans="1:11" x14ac:dyDescent="0.25">
      <c r="A2680" t="s">
        <v>12159</v>
      </c>
      <c r="C2680" t="s">
        <v>12160</v>
      </c>
      <c r="D2680" t="s">
        <v>5</v>
      </c>
      <c r="E2680" t="s">
        <v>6</v>
      </c>
      <c r="F2680" t="s">
        <v>251</v>
      </c>
      <c r="G2680">
        <v>3</v>
      </c>
      <c r="H2680" s="2">
        <f>Tabelle13[[#This Row],[commits]]/Tabelle13[[#Totals],[commits]]</f>
        <v>1.3943371321273866E-5</v>
      </c>
      <c r="I2680" s="5">
        <f>Tabelle13[[#This Row],[%]]+I2679</f>
        <v>0.96360315306105759</v>
      </c>
      <c r="J2680" s="4">
        <f t="shared" si="115"/>
        <v>1.105583195135434E-4</v>
      </c>
      <c r="K2680" s="5">
        <f t="shared" si="116"/>
        <v>0.29607517965726832</v>
      </c>
    </row>
    <row r="2681" spans="1:11" x14ac:dyDescent="0.25">
      <c r="A2681" t="s">
        <v>12161</v>
      </c>
      <c r="C2681" t="s">
        <v>12162</v>
      </c>
      <c r="D2681" t="s">
        <v>8874</v>
      </c>
      <c r="E2681" t="s">
        <v>6</v>
      </c>
      <c r="F2681" t="s">
        <v>251</v>
      </c>
      <c r="G2681">
        <v>3</v>
      </c>
      <c r="H2681" s="2">
        <f>Tabelle13[[#This Row],[commits]]/Tabelle13[[#Totals],[commits]]</f>
        <v>1.3943371321273866E-5</v>
      </c>
      <c r="I2681" s="5">
        <f>Tabelle13[[#This Row],[%]]+I2680</f>
        <v>0.96361709643237892</v>
      </c>
      <c r="J2681" s="4">
        <f t="shared" si="115"/>
        <v>1.105583195135434E-4</v>
      </c>
      <c r="K2681" s="5">
        <f t="shared" si="116"/>
        <v>0.29618573797678188</v>
      </c>
    </row>
    <row r="2682" spans="1:11" x14ac:dyDescent="0.25">
      <c r="A2682" t="s">
        <v>12163</v>
      </c>
      <c r="C2682" t="s">
        <v>12164</v>
      </c>
      <c r="D2682" t="s">
        <v>5</v>
      </c>
      <c r="E2682" t="s">
        <v>6</v>
      </c>
      <c r="F2682" t="s">
        <v>251</v>
      </c>
      <c r="G2682">
        <v>3</v>
      </c>
      <c r="H2682" s="2">
        <f>Tabelle13[[#This Row],[commits]]/Tabelle13[[#Totals],[commits]]</f>
        <v>1.3943371321273866E-5</v>
      </c>
      <c r="I2682" s="5">
        <f>Tabelle13[[#This Row],[%]]+I2681</f>
        <v>0.96363103980370024</v>
      </c>
      <c r="J2682" s="4">
        <f t="shared" si="115"/>
        <v>1.105583195135434E-4</v>
      </c>
      <c r="K2682" s="5">
        <f t="shared" si="116"/>
        <v>0.29629629629629545</v>
      </c>
    </row>
    <row r="2683" spans="1:11" x14ac:dyDescent="0.25">
      <c r="A2683" t="s">
        <v>12165</v>
      </c>
      <c r="C2683" t="s">
        <v>12166</v>
      </c>
      <c r="D2683" t="s">
        <v>10870</v>
      </c>
      <c r="E2683" t="s">
        <v>6</v>
      </c>
      <c r="F2683" t="s">
        <v>251</v>
      </c>
      <c r="G2683">
        <v>3</v>
      </c>
      <c r="H2683" s="2">
        <f>Tabelle13[[#This Row],[commits]]/Tabelle13[[#Totals],[commits]]</f>
        <v>1.3943371321273866E-5</v>
      </c>
      <c r="I2683" s="5">
        <f>Tabelle13[[#This Row],[%]]+I2682</f>
        <v>0.96364498317502156</v>
      </c>
      <c r="J2683" s="4">
        <f t="shared" si="115"/>
        <v>1.105583195135434E-4</v>
      </c>
      <c r="K2683" s="5">
        <f t="shared" si="116"/>
        <v>0.29640685461580901</v>
      </c>
    </row>
    <row r="2684" spans="1:11" x14ac:dyDescent="0.25">
      <c r="A2684" t="s">
        <v>12167</v>
      </c>
      <c r="C2684" t="s">
        <v>12168</v>
      </c>
      <c r="D2684" t="s">
        <v>5</v>
      </c>
      <c r="E2684" t="s">
        <v>6</v>
      </c>
      <c r="F2684" t="s">
        <v>251</v>
      </c>
      <c r="G2684">
        <v>3</v>
      </c>
      <c r="H2684" s="2">
        <f>Tabelle13[[#This Row],[commits]]/Tabelle13[[#Totals],[commits]]</f>
        <v>1.3943371321273866E-5</v>
      </c>
      <c r="I2684" s="5">
        <f>Tabelle13[[#This Row],[%]]+I2683</f>
        <v>0.96365892654634289</v>
      </c>
      <c r="J2684" s="4">
        <f t="shared" si="115"/>
        <v>1.105583195135434E-4</v>
      </c>
      <c r="K2684" s="5">
        <f t="shared" si="116"/>
        <v>0.29651741293532258</v>
      </c>
    </row>
    <row r="2685" spans="1:11" x14ac:dyDescent="0.25">
      <c r="A2685" t="s">
        <v>12169</v>
      </c>
      <c r="C2685" t="s">
        <v>277</v>
      </c>
      <c r="D2685" t="s">
        <v>8874</v>
      </c>
      <c r="E2685" t="s">
        <v>6</v>
      </c>
      <c r="F2685" t="s">
        <v>251</v>
      </c>
      <c r="G2685">
        <v>3</v>
      </c>
      <c r="H2685" s="2">
        <f>Tabelle13[[#This Row],[commits]]/Tabelle13[[#Totals],[commits]]</f>
        <v>1.3943371321273866E-5</v>
      </c>
      <c r="I2685" s="5">
        <f>Tabelle13[[#This Row],[%]]+I2684</f>
        <v>0.96367286991766421</v>
      </c>
      <c r="J2685" s="4">
        <f t="shared" si="115"/>
        <v>1.105583195135434E-4</v>
      </c>
      <c r="K2685" s="5">
        <f t="shared" si="116"/>
        <v>0.29662797125483614</v>
      </c>
    </row>
    <row r="2686" spans="1:11" x14ac:dyDescent="0.25">
      <c r="A2686" t="s">
        <v>12170</v>
      </c>
      <c r="C2686" t="s">
        <v>12171</v>
      </c>
      <c r="D2686" t="s">
        <v>309</v>
      </c>
      <c r="E2686" t="s">
        <v>6</v>
      </c>
      <c r="F2686" t="s">
        <v>251</v>
      </c>
      <c r="G2686">
        <v>3</v>
      </c>
      <c r="H2686" s="2">
        <f>Tabelle13[[#This Row],[commits]]/Tabelle13[[#Totals],[commits]]</f>
        <v>1.3943371321273866E-5</v>
      </c>
      <c r="I2686" s="5">
        <f>Tabelle13[[#This Row],[%]]+I2685</f>
        <v>0.96368681328898553</v>
      </c>
      <c r="J2686" s="4">
        <f t="shared" si="115"/>
        <v>1.105583195135434E-4</v>
      </c>
      <c r="K2686" s="5">
        <f t="shared" si="116"/>
        <v>0.29673852957434971</v>
      </c>
    </row>
    <row r="2687" spans="1:11" x14ac:dyDescent="0.25">
      <c r="A2687" t="s">
        <v>12172</v>
      </c>
      <c r="C2687" t="s">
        <v>12173</v>
      </c>
      <c r="D2687" t="s">
        <v>5</v>
      </c>
      <c r="E2687" t="s">
        <v>6</v>
      </c>
      <c r="F2687" t="s">
        <v>251</v>
      </c>
      <c r="G2687">
        <v>3</v>
      </c>
      <c r="H2687" s="2">
        <f>Tabelle13[[#This Row],[commits]]/Tabelle13[[#Totals],[commits]]</f>
        <v>1.3943371321273866E-5</v>
      </c>
      <c r="I2687" s="5">
        <f>Tabelle13[[#This Row],[%]]+I2686</f>
        <v>0.96370075666030686</v>
      </c>
      <c r="J2687" s="4">
        <f t="shared" si="115"/>
        <v>1.105583195135434E-4</v>
      </c>
      <c r="K2687" s="5">
        <f t="shared" si="116"/>
        <v>0.29684908789386327</v>
      </c>
    </row>
    <row r="2688" spans="1:11" x14ac:dyDescent="0.25">
      <c r="A2688" t="s">
        <v>12174</v>
      </c>
      <c r="C2688" t="s">
        <v>12175</v>
      </c>
      <c r="D2688" t="s">
        <v>5</v>
      </c>
      <c r="E2688" t="s">
        <v>6</v>
      </c>
      <c r="F2688" t="s">
        <v>251</v>
      </c>
      <c r="G2688">
        <v>3</v>
      </c>
      <c r="H2688" s="2">
        <f>Tabelle13[[#This Row],[commits]]/Tabelle13[[#Totals],[commits]]</f>
        <v>1.3943371321273866E-5</v>
      </c>
      <c r="I2688" s="5">
        <f>Tabelle13[[#This Row],[%]]+I2687</f>
        <v>0.96371470003162818</v>
      </c>
      <c r="J2688" s="4">
        <f t="shared" si="115"/>
        <v>1.105583195135434E-4</v>
      </c>
      <c r="K2688" s="5">
        <f t="shared" si="116"/>
        <v>0.29695964621337684</v>
      </c>
    </row>
    <row r="2689" spans="1:11" x14ac:dyDescent="0.25">
      <c r="A2689" t="s">
        <v>12176</v>
      </c>
      <c r="C2689" t="s">
        <v>12177</v>
      </c>
      <c r="D2689" t="s">
        <v>309</v>
      </c>
      <c r="E2689" t="s">
        <v>6</v>
      </c>
      <c r="F2689" t="s">
        <v>251</v>
      </c>
      <c r="G2689">
        <v>3</v>
      </c>
      <c r="H2689" s="2">
        <f>Tabelle13[[#This Row],[commits]]/Tabelle13[[#Totals],[commits]]</f>
        <v>1.3943371321273866E-5</v>
      </c>
      <c r="I2689" s="5">
        <f>Tabelle13[[#This Row],[%]]+I2688</f>
        <v>0.9637286434029495</v>
      </c>
      <c r="J2689" s="4">
        <f t="shared" si="115"/>
        <v>1.105583195135434E-4</v>
      </c>
      <c r="K2689" s="5">
        <f t="shared" si="116"/>
        <v>0.2970702045328904</v>
      </c>
    </row>
    <row r="2690" spans="1:11" x14ac:dyDescent="0.25">
      <c r="A2690" t="s">
        <v>12178</v>
      </c>
      <c r="C2690" t="s">
        <v>12179</v>
      </c>
      <c r="D2690" t="s">
        <v>12180</v>
      </c>
      <c r="E2690" t="s">
        <v>6</v>
      </c>
      <c r="F2690" t="s">
        <v>251</v>
      </c>
      <c r="G2690">
        <v>3</v>
      </c>
      <c r="H2690" s="2">
        <f>Tabelle13[[#This Row],[commits]]/Tabelle13[[#Totals],[commits]]</f>
        <v>1.3943371321273866E-5</v>
      </c>
      <c r="I2690" s="5">
        <f>Tabelle13[[#This Row],[%]]+I2689</f>
        <v>0.96374258677427083</v>
      </c>
      <c r="J2690" s="4">
        <f t="shared" si="115"/>
        <v>1.105583195135434E-4</v>
      </c>
      <c r="K2690" s="5">
        <f t="shared" si="116"/>
        <v>0.29718076285240397</v>
      </c>
    </row>
    <row r="2691" spans="1:11" x14ac:dyDescent="0.25">
      <c r="A2691" t="s">
        <v>12181</v>
      </c>
      <c r="C2691" t="s">
        <v>12182</v>
      </c>
      <c r="D2691" t="s">
        <v>5</v>
      </c>
      <c r="E2691" t="s">
        <v>6</v>
      </c>
      <c r="F2691" t="s">
        <v>251</v>
      </c>
      <c r="G2691">
        <v>3</v>
      </c>
      <c r="H2691" s="2">
        <f>Tabelle13[[#This Row],[commits]]/Tabelle13[[#Totals],[commits]]</f>
        <v>1.3943371321273866E-5</v>
      </c>
      <c r="I2691" s="5">
        <f>Tabelle13[[#This Row],[%]]+I2690</f>
        <v>0.96375653014559215</v>
      </c>
      <c r="J2691" s="4">
        <f t="shared" ref="J2691:J2754" si="117">1/9045</f>
        <v>1.105583195135434E-4</v>
      </c>
      <c r="K2691" s="5">
        <f t="shared" si="116"/>
        <v>0.29729132117191753</v>
      </c>
    </row>
    <row r="2692" spans="1:11" x14ac:dyDescent="0.25">
      <c r="A2692" t="s">
        <v>12183</v>
      </c>
      <c r="C2692" t="s">
        <v>12184</v>
      </c>
      <c r="D2692" t="s">
        <v>5</v>
      </c>
      <c r="E2692" t="s">
        <v>6</v>
      </c>
      <c r="F2692" t="s">
        <v>251</v>
      </c>
      <c r="G2692">
        <v>3</v>
      </c>
      <c r="H2692" s="2">
        <f>Tabelle13[[#This Row],[commits]]/Tabelle13[[#Totals],[commits]]</f>
        <v>1.3943371321273866E-5</v>
      </c>
      <c r="I2692" s="5">
        <f>Tabelle13[[#This Row],[%]]+I2691</f>
        <v>0.96377047351691347</v>
      </c>
      <c r="J2692" s="4">
        <f t="shared" si="117"/>
        <v>1.105583195135434E-4</v>
      </c>
      <c r="K2692" s="5">
        <f t="shared" si="116"/>
        <v>0.2974018794914311</v>
      </c>
    </row>
    <row r="2693" spans="1:11" x14ac:dyDescent="0.25">
      <c r="A2693" t="s">
        <v>12185</v>
      </c>
      <c r="C2693" t="s">
        <v>12186</v>
      </c>
      <c r="D2693" t="s">
        <v>5</v>
      </c>
      <c r="E2693" t="s">
        <v>6</v>
      </c>
      <c r="F2693" t="s">
        <v>251</v>
      </c>
      <c r="G2693">
        <v>3</v>
      </c>
      <c r="H2693" s="2">
        <f>Tabelle13[[#This Row],[commits]]/Tabelle13[[#Totals],[commits]]</f>
        <v>1.3943371321273866E-5</v>
      </c>
      <c r="I2693" s="5">
        <f>Tabelle13[[#This Row],[%]]+I2692</f>
        <v>0.9637844168882348</v>
      </c>
      <c r="J2693" s="4">
        <f t="shared" si="117"/>
        <v>1.105583195135434E-4</v>
      </c>
      <c r="K2693" s="5">
        <f t="shared" si="116"/>
        <v>0.29751243781094466</v>
      </c>
    </row>
    <row r="2694" spans="1:11" x14ac:dyDescent="0.25">
      <c r="A2694" t="s">
        <v>12187</v>
      </c>
      <c r="C2694" t="s">
        <v>12188</v>
      </c>
      <c r="D2694" t="s">
        <v>5</v>
      </c>
      <c r="E2694" t="s">
        <v>6</v>
      </c>
      <c r="F2694" t="s">
        <v>251</v>
      </c>
      <c r="G2694">
        <v>3</v>
      </c>
      <c r="H2694" s="2">
        <f>Tabelle13[[#This Row],[commits]]/Tabelle13[[#Totals],[commits]]</f>
        <v>1.3943371321273866E-5</v>
      </c>
      <c r="I2694" s="5">
        <f>Tabelle13[[#This Row],[%]]+I2693</f>
        <v>0.96379836025955612</v>
      </c>
      <c r="J2694" s="4">
        <f t="shared" si="117"/>
        <v>1.105583195135434E-4</v>
      </c>
      <c r="K2694" s="5">
        <f t="shared" ref="K2694:K2757" si="118">J2694+K2693</f>
        <v>0.29762299613045823</v>
      </c>
    </row>
    <row r="2695" spans="1:11" x14ac:dyDescent="0.25">
      <c r="A2695" t="s">
        <v>12189</v>
      </c>
      <c r="C2695" t="s">
        <v>12190</v>
      </c>
      <c r="D2695" t="s">
        <v>5</v>
      </c>
      <c r="E2695" t="s">
        <v>6</v>
      </c>
      <c r="F2695" t="s">
        <v>251</v>
      </c>
      <c r="G2695">
        <v>3</v>
      </c>
      <c r="H2695" s="2">
        <f>Tabelle13[[#This Row],[commits]]/Tabelle13[[#Totals],[commits]]</f>
        <v>1.3943371321273866E-5</v>
      </c>
      <c r="I2695" s="5">
        <f>Tabelle13[[#This Row],[%]]+I2694</f>
        <v>0.96381230363087744</v>
      </c>
      <c r="J2695" s="4">
        <f t="shared" si="117"/>
        <v>1.105583195135434E-4</v>
      </c>
      <c r="K2695" s="5">
        <f t="shared" si="118"/>
        <v>0.29773355444997179</v>
      </c>
    </row>
    <row r="2696" spans="1:11" x14ac:dyDescent="0.25">
      <c r="A2696" t="s">
        <v>12191</v>
      </c>
      <c r="C2696" t="s">
        <v>12192</v>
      </c>
      <c r="D2696" t="s">
        <v>5</v>
      </c>
      <c r="E2696" t="s">
        <v>6</v>
      </c>
      <c r="F2696" t="s">
        <v>251</v>
      </c>
      <c r="G2696">
        <v>3</v>
      </c>
      <c r="H2696" s="2">
        <f>Tabelle13[[#This Row],[commits]]/Tabelle13[[#Totals],[commits]]</f>
        <v>1.3943371321273866E-5</v>
      </c>
      <c r="I2696" s="5">
        <f>Tabelle13[[#This Row],[%]]+I2695</f>
        <v>0.96382624700219877</v>
      </c>
      <c r="J2696" s="4">
        <f t="shared" si="117"/>
        <v>1.105583195135434E-4</v>
      </c>
      <c r="K2696" s="5">
        <f t="shared" si="118"/>
        <v>0.29784411276948536</v>
      </c>
    </row>
    <row r="2697" spans="1:11" x14ac:dyDescent="0.25">
      <c r="A2697" t="s">
        <v>12193</v>
      </c>
      <c r="C2697" t="s">
        <v>12194</v>
      </c>
      <c r="D2697" t="s">
        <v>5</v>
      </c>
      <c r="E2697" t="s">
        <v>6</v>
      </c>
      <c r="F2697" t="s">
        <v>251</v>
      </c>
      <c r="G2697">
        <v>3</v>
      </c>
      <c r="H2697" s="2">
        <f>Tabelle13[[#This Row],[commits]]/Tabelle13[[#Totals],[commits]]</f>
        <v>1.3943371321273866E-5</v>
      </c>
      <c r="I2697" s="5">
        <f>Tabelle13[[#This Row],[%]]+I2696</f>
        <v>0.96384019037352009</v>
      </c>
      <c r="J2697" s="4">
        <f t="shared" si="117"/>
        <v>1.105583195135434E-4</v>
      </c>
      <c r="K2697" s="5">
        <f t="shared" si="118"/>
        <v>0.29795467108899892</v>
      </c>
    </row>
    <row r="2698" spans="1:11" x14ac:dyDescent="0.25">
      <c r="A2698" t="s">
        <v>12195</v>
      </c>
      <c r="C2698" t="s">
        <v>12196</v>
      </c>
      <c r="D2698" t="s">
        <v>5</v>
      </c>
      <c r="E2698" t="s">
        <v>6</v>
      </c>
      <c r="F2698" t="s">
        <v>251</v>
      </c>
      <c r="G2698">
        <v>3</v>
      </c>
      <c r="H2698" s="2">
        <f>Tabelle13[[#This Row],[commits]]/Tabelle13[[#Totals],[commits]]</f>
        <v>1.3943371321273866E-5</v>
      </c>
      <c r="I2698" s="5">
        <f>Tabelle13[[#This Row],[%]]+I2697</f>
        <v>0.96385413374484141</v>
      </c>
      <c r="J2698" s="4">
        <f t="shared" si="117"/>
        <v>1.105583195135434E-4</v>
      </c>
      <c r="K2698" s="5">
        <f t="shared" si="118"/>
        <v>0.29806522940851249</v>
      </c>
    </row>
    <row r="2699" spans="1:11" x14ac:dyDescent="0.25">
      <c r="A2699" t="s">
        <v>12197</v>
      </c>
      <c r="C2699" t="s">
        <v>12198</v>
      </c>
      <c r="D2699" t="s">
        <v>8874</v>
      </c>
      <c r="E2699" t="s">
        <v>6</v>
      </c>
      <c r="F2699" t="s">
        <v>251</v>
      </c>
      <c r="G2699">
        <v>3</v>
      </c>
      <c r="H2699" s="2">
        <f>Tabelle13[[#This Row],[commits]]/Tabelle13[[#Totals],[commits]]</f>
        <v>1.3943371321273866E-5</v>
      </c>
      <c r="I2699" s="5">
        <f>Tabelle13[[#This Row],[%]]+I2698</f>
        <v>0.96386807711616274</v>
      </c>
      <c r="J2699" s="4">
        <f t="shared" si="117"/>
        <v>1.105583195135434E-4</v>
      </c>
      <c r="K2699" s="5">
        <f t="shared" si="118"/>
        <v>0.29817578772802605</v>
      </c>
    </row>
    <row r="2700" spans="1:11" x14ac:dyDescent="0.25">
      <c r="A2700" t="s">
        <v>12199</v>
      </c>
      <c r="C2700" t="s">
        <v>12200</v>
      </c>
      <c r="D2700" t="s">
        <v>12201</v>
      </c>
      <c r="E2700" t="s">
        <v>6</v>
      </c>
      <c r="F2700" t="s">
        <v>251</v>
      </c>
      <c r="G2700">
        <v>3</v>
      </c>
      <c r="H2700" s="2">
        <f>Tabelle13[[#This Row],[commits]]/Tabelle13[[#Totals],[commits]]</f>
        <v>1.3943371321273866E-5</v>
      </c>
      <c r="I2700" s="5">
        <f>Tabelle13[[#This Row],[%]]+I2699</f>
        <v>0.96388202048748406</v>
      </c>
      <c r="J2700" s="4">
        <f t="shared" si="117"/>
        <v>1.105583195135434E-4</v>
      </c>
      <c r="K2700" s="5">
        <f t="shared" si="118"/>
        <v>0.29828634604753962</v>
      </c>
    </row>
    <row r="2701" spans="1:11" x14ac:dyDescent="0.25">
      <c r="A2701" t="s">
        <v>12202</v>
      </c>
      <c r="C2701" t="s">
        <v>12203</v>
      </c>
      <c r="D2701" t="s">
        <v>8760</v>
      </c>
      <c r="E2701" t="s">
        <v>6</v>
      </c>
      <c r="F2701" t="s">
        <v>251</v>
      </c>
      <c r="G2701">
        <v>3</v>
      </c>
      <c r="H2701" s="2">
        <f>Tabelle13[[#This Row],[commits]]/Tabelle13[[#Totals],[commits]]</f>
        <v>1.3943371321273866E-5</v>
      </c>
      <c r="I2701" s="5">
        <f>Tabelle13[[#This Row],[%]]+I2700</f>
        <v>0.96389596385880538</v>
      </c>
      <c r="J2701" s="4">
        <f t="shared" si="117"/>
        <v>1.105583195135434E-4</v>
      </c>
      <c r="K2701" s="5">
        <f t="shared" si="118"/>
        <v>0.29839690436705318</v>
      </c>
    </row>
    <row r="2702" spans="1:11" x14ac:dyDescent="0.25">
      <c r="A2702" t="s">
        <v>12204</v>
      </c>
      <c r="C2702" t="s">
        <v>12205</v>
      </c>
      <c r="D2702" t="s">
        <v>5</v>
      </c>
      <c r="E2702" t="s">
        <v>6</v>
      </c>
      <c r="F2702" t="s">
        <v>251</v>
      </c>
      <c r="G2702">
        <v>3</v>
      </c>
      <c r="H2702" s="2">
        <f>Tabelle13[[#This Row],[commits]]/Tabelle13[[#Totals],[commits]]</f>
        <v>1.3943371321273866E-5</v>
      </c>
      <c r="I2702" s="5">
        <f>Tabelle13[[#This Row],[%]]+I2701</f>
        <v>0.96390990723012671</v>
      </c>
      <c r="J2702" s="4">
        <f t="shared" si="117"/>
        <v>1.105583195135434E-4</v>
      </c>
      <c r="K2702" s="5">
        <f t="shared" si="118"/>
        <v>0.29850746268656675</v>
      </c>
    </row>
    <row r="2703" spans="1:11" x14ac:dyDescent="0.25">
      <c r="A2703" t="s">
        <v>12206</v>
      </c>
      <c r="C2703" t="s">
        <v>12207</v>
      </c>
      <c r="D2703" t="s">
        <v>11717</v>
      </c>
      <c r="E2703" t="s">
        <v>6</v>
      </c>
      <c r="F2703" t="s">
        <v>251</v>
      </c>
      <c r="G2703">
        <v>3</v>
      </c>
      <c r="H2703" s="2">
        <f>Tabelle13[[#This Row],[commits]]/Tabelle13[[#Totals],[commits]]</f>
        <v>1.3943371321273866E-5</v>
      </c>
      <c r="I2703" s="5">
        <f>Tabelle13[[#This Row],[%]]+I2702</f>
        <v>0.96392385060144803</v>
      </c>
      <c r="J2703" s="4">
        <f t="shared" si="117"/>
        <v>1.105583195135434E-4</v>
      </c>
      <c r="K2703" s="5">
        <f t="shared" si="118"/>
        <v>0.29861802100608031</v>
      </c>
    </row>
    <row r="2704" spans="1:11" x14ac:dyDescent="0.25">
      <c r="A2704" t="s">
        <v>12208</v>
      </c>
      <c r="C2704">
        <v>1458495650</v>
      </c>
      <c r="D2704" t="s">
        <v>5</v>
      </c>
      <c r="E2704" t="s">
        <v>6</v>
      </c>
      <c r="F2704" t="s">
        <v>251</v>
      </c>
      <c r="G2704">
        <v>3</v>
      </c>
      <c r="H2704" s="2">
        <f>Tabelle13[[#This Row],[commits]]/Tabelle13[[#Totals],[commits]]</f>
        <v>1.3943371321273866E-5</v>
      </c>
      <c r="I2704" s="5">
        <f>Tabelle13[[#This Row],[%]]+I2703</f>
        <v>0.96393779397276935</v>
      </c>
      <c r="J2704" s="4">
        <f t="shared" si="117"/>
        <v>1.105583195135434E-4</v>
      </c>
      <c r="K2704" s="5">
        <f t="shared" si="118"/>
        <v>0.29872857932559388</v>
      </c>
    </row>
    <row r="2705" spans="1:11" x14ac:dyDescent="0.25">
      <c r="A2705" t="s">
        <v>12209</v>
      </c>
      <c r="C2705" t="s">
        <v>12210</v>
      </c>
      <c r="D2705" t="s">
        <v>5</v>
      </c>
      <c r="E2705" t="s">
        <v>6</v>
      </c>
      <c r="F2705" t="s">
        <v>251</v>
      </c>
      <c r="G2705">
        <v>3</v>
      </c>
      <c r="H2705" s="2">
        <f>Tabelle13[[#This Row],[commits]]/Tabelle13[[#Totals],[commits]]</f>
        <v>1.3943371321273866E-5</v>
      </c>
      <c r="I2705" s="5">
        <f>Tabelle13[[#This Row],[%]]+I2704</f>
        <v>0.96395173734409068</v>
      </c>
      <c r="J2705" s="4">
        <f t="shared" si="117"/>
        <v>1.105583195135434E-4</v>
      </c>
      <c r="K2705" s="5">
        <f t="shared" si="118"/>
        <v>0.29883913764510744</v>
      </c>
    </row>
    <row r="2706" spans="1:11" x14ac:dyDescent="0.25">
      <c r="A2706" t="s">
        <v>12211</v>
      </c>
      <c r="C2706" t="s">
        <v>12212</v>
      </c>
      <c r="D2706" t="s">
        <v>5</v>
      </c>
      <c r="E2706" t="s">
        <v>6</v>
      </c>
      <c r="F2706" t="s">
        <v>251</v>
      </c>
      <c r="G2706">
        <v>3</v>
      </c>
      <c r="H2706" s="2">
        <f>Tabelle13[[#This Row],[commits]]/Tabelle13[[#Totals],[commits]]</f>
        <v>1.3943371321273866E-5</v>
      </c>
      <c r="I2706" s="5">
        <f>Tabelle13[[#This Row],[%]]+I2705</f>
        <v>0.963965680715412</v>
      </c>
      <c r="J2706" s="4">
        <f t="shared" si="117"/>
        <v>1.105583195135434E-4</v>
      </c>
      <c r="K2706" s="5">
        <f t="shared" si="118"/>
        <v>0.29894969596462101</v>
      </c>
    </row>
    <row r="2707" spans="1:11" x14ac:dyDescent="0.25">
      <c r="A2707" t="s">
        <v>12213</v>
      </c>
      <c r="C2707" t="s">
        <v>12214</v>
      </c>
      <c r="D2707" t="s">
        <v>5</v>
      </c>
      <c r="E2707" t="s">
        <v>6</v>
      </c>
      <c r="F2707" t="s">
        <v>251</v>
      </c>
      <c r="G2707">
        <v>3</v>
      </c>
      <c r="H2707" s="2">
        <f>Tabelle13[[#This Row],[commits]]/Tabelle13[[#Totals],[commits]]</f>
        <v>1.3943371321273866E-5</v>
      </c>
      <c r="I2707" s="5">
        <f>Tabelle13[[#This Row],[%]]+I2706</f>
        <v>0.96397962408673332</v>
      </c>
      <c r="J2707" s="4">
        <f t="shared" si="117"/>
        <v>1.105583195135434E-4</v>
      </c>
      <c r="K2707" s="5">
        <f t="shared" si="118"/>
        <v>0.29906025428413457</v>
      </c>
    </row>
    <row r="2708" spans="1:11" x14ac:dyDescent="0.25">
      <c r="A2708" t="s">
        <v>12215</v>
      </c>
      <c r="C2708" t="s">
        <v>12216</v>
      </c>
      <c r="D2708" t="s">
        <v>5</v>
      </c>
      <c r="E2708" t="s">
        <v>6</v>
      </c>
      <c r="F2708" t="s">
        <v>251</v>
      </c>
      <c r="G2708">
        <v>3</v>
      </c>
      <c r="H2708" s="2">
        <f>Tabelle13[[#This Row],[commits]]/Tabelle13[[#Totals],[commits]]</f>
        <v>1.3943371321273866E-5</v>
      </c>
      <c r="I2708" s="5">
        <f>Tabelle13[[#This Row],[%]]+I2707</f>
        <v>0.96399356745805465</v>
      </c>
      <c r="J2708" s="4">
        <f t="shared" si="117"/>
        <v>1.105583195135434E-4</v>
      </c>
      <c r="K2708" s="5">
        <f t="shared" si="118"/>
        <v>0.29917081260364814</v>
      </c>
    </row>
    <row r="2709" spans="1:11" x14ac:dyDescent="0.25">
      <c r="A2709" t="s">
        <v>12217</v>
      </c>
      <c r="C2709" t="s">
        <v>12218</v>
      </c>
      <c r="D2709" t="s">
        <v>5</v>
      </c>
      <c r="E2709" t="s">
        <v>6</v>
      </c>
      <c r="F2709" t="s">
        <v>251</v>
      </c>
      <c r="G2709">
        <v>3</v>
      </c>
      <c r="H2709" s="2">
        <f>Tabelle13[[#This Row],[commits]]/Tabelle13[[#Totals],[commits]]</f>
        <v>1.3943371321273866E-5</v>
      </c>
      <c r="I2709" s="5">
        <f>Tabelle13[[#This Row],[%]]+I2708</f>
        <v>0.96400751082937597</v>
      </c>
      <c r="J2709" s="4">
        <f t="shared" si="117"/>
        <v>1.105583195135434E-4</v>
      </c>
      <c r="K2709" s="5">
        <f t="shared" si="118"/>
        <v>0.2992813709231617</v>
      </c>
    </row>
    <row r="2710" spans="1:11" x14ac:dyDescent="0.25">
      <c r="A2710" t="s">
        <v>12219</v>
      </c>
      <c r="C2710" t="s">
        <v>12220</v>
      </c>
      <c r="D2710" t="s">
        <v>5</v>
      </c>
      <c r="E2710" t="s">
        <v>6</v>
      </c>
      <c r="F2710" t="s">
        <v>251</v>
      </c>
      <c r="G2710">
        <v>3</v>
      </c>
      <c r="H2710" s="2">
        <f>Tabelle13[[#This Row],[commits]]/Tabelle13[[#Totals],[commits]]</f>
        <v>1.3943371321273866E-5</v>
      </c>
      <c r="I2710" s="5">
        <f>Tabelle13[[#This Row],[%]]+I2709</f>
        <v>0.96402145420069729</v>
      </c>
      <c r="J2710" s="4">
        <f t="shared" si="117"/>
        <v>1.105583195135434E-4</v>
      </c>
      <c r="K2710" s="5">
        <f t="shared" si="118"/>
        <v>0.29939192924267527</v>
      </c>
    </row>
    <row r="2711" spans="1:11" x14ac:dyDescent="0.25">
      <c r="A2711" t="s">
        <v>12221</v>
      </c>
      <c r="C2711" t="s">
        <v>12222</v>
      </c>
      <c r="D2711" t="s">
        <v>5</v>
      </c>
      <c r="E2711" t="s">
        <v>6</v>
      </c>
      <c r="F2711" t="s">
        <v>251</v>
      </c>
      <c r="G2711">
        <v>3</v>
      </c>
      <c r="H2711" s="2">
        <f>Tabelle13[[#This Row],[commits]]/Tabelle13[[#Totals],[commits]]</f>
        <v>1.3943371321273866E-5</v>
      </c>
      <c r="I2711" s="5">
        <f>Tabelle13[[#This Row],[%]]+I2710</f>
        <v>0.96403539757201862</v>
      </c>
      <c r="J2711" s="4">
        <f t="shared" si="117"/>
        <v>1.105583195135434E-4</v>
      </c>
      <c r="K2711" s="5">
        <f t="shared" si="118"/>
        <v>0.29950248756218883</v>
      </c>
    </row>
    <row r="2712" spans="1:11" x14ac:dyDescent="0.25">
      <c r="A2712" t="s">
        <v>12223</v>
      </c>
      <c r="C2712" t="s">
        <v>12224</v>
      </c>
      <c r="D2712" t="s">
        <v>309</v>
      </c>
      <c r="E2712" t="s">
        <v>6</v>
      </c>
      <c r="F2712" t="s">
        <v>251</v>
      </c>
      <c r="G2712">
        <v>3</v>
      </c>
      <c r="H2712" s="2">
        <f>Tabelle13[[#This Row],[commits]]/Tabelle13[[#Totals],[commits]]</f>
        <v>1.3943371321273866E-5</v>
      </c>
      <c r="I2712" s="5">
        <f>Tabelle13[[#This Row],[%]]+I2711</f>
        <v>0.96404934094333994</v>
      </c>
      <c r="J2712" s="4">
        <f t="shared" si="117"/>
        <v>1.105583195135434E-4</v>
      </c>
      <c r="K2712" s="5">
        <f t="shared" si="118"/>
        <v>0.2996130458817024</v>
      </c>
    </row>
    <row r="2713" spans="1:11" x14ac:dyDescent="0.25">
      <c r="A2713" t="s">
        <v>12225</v>
      </c>
      <c r="C2713" t="s">
        <v>12226</v>
      </c>
      <c r="D2713" t="s">
        <v>5</v>
      </c>
      <c r="E2713" t="s">
        <v>6</v>
      </c>
      <c r="F2713" t="s">
        <v>251</v>
      </c>
      <c r="G2713">
        <v>3</v>
      </c>
      <c r="H2713" s="2">
        <f>Tabelle13[[#This Row],[commits]]/Tabelle13[[#Totals],[commits]]</f>
        <v>1.3943371321273866E-5</v>
      </c>
      <c r="I2713" s="5">
        <f>Tabelle13[[#This Row],[%]]+I2712</f>
        <v>0.96406328431466126</v>
      </c>
      <c r="J2713" s="4">
        <f t="shared" si="117"/>
        <v>1.105583195135434E-4</v>
      </c>
      <c r="K2713" s="5">
        <f t="shared" si="118"/>
        <v>0.29972360420121597</v>
      </c>
    </row>
    <row r="2714" spans="1:11" x14ac:dyDescent="0.25">
      <c r="A2714" t="s">
        <v>12227</v>
      </c>
      <c r="C2714" t="s">
        <v>12228</v>
      </c>
      <c r="D2714" t="s">
        <v>5175</v>
      </c>
      <c r="E2714" t="s">
        <v>6</v>
      </c>
      <c r="F2714" t="s">
        <v>251</v>
      </c>
      <c r="G2714">
        <v>3</v>
      </c>
      <c r="H2714" s="2">
        <f>Tabelle13[[#This Row],[commits]]/Tabelle13[[#Totals],[commits]]</f>
        <v>1.3943371321273866E-5</v>
      </c>
      <c r="I2714" s="5">
        <f>Tabelle13[[#This Row],[%]]+I2713</f>
        <v>0.96407722768598259</v>
      </c>
      <c r="J2714" s="4">
        <f t="shared" si="117"/>
        <v>1.105583195135434E-4</v>
      </c>
      <c r="K2714" s="5">
        <f t="shared" si="118"/>
        <v>0.29983416252072953</v>
      </c>
    </row>
    <row r="2715" spans="1:11" x14ac:dyDescent="0.25">
      <c r="A2715" t="s">
        <v>12229</v>
      </c>
      <c r="C2715" t="s">
        <v>12230</v>
      </c>
      <c r="D2715" t="s">
        <v>309</v>
      </c>
      <c r="E2715" t="s">
        <v>6</v>
      </c>
      <c r="F2715" t="s">
        <v>251</v>
      </c>
      <c r="G2715">
        <v>3</v>
      </c>
      <c r="H2715" s="2">
        <f>Tabelle13[[#This Row],[commits]]/Tabelle13[[#Totals],[commits]]</f>
        <v>1.3943371321273866E-5</v>
      </c>
      <c r="I2715" s="5">
        <f>Tabelle13[[#This Row],[%]]+I2714</f>
        <v>0.96409117105730391</v>
      </c>
      <c r="J2715" s="4">
        <f t="shared" si="117"/>
        <v>1.105583195135434E-4</v>
      </c>
      <c r="K2715" s="5">
        <f t="shared" si="118"/>
        <v>0.2999447208402431</v>
      </c>
    </row>
    <row r="2716" spans="1:11" x14ac:dyDescent="0.25">
      <c r="A2716" t="s">
        <v>12231</v>
      </c>
      <c r="C2716" t="s">
        <v>12232</v>
      </c>
      <c r="D2716" t="s">
        <v>5</v>
      </c>
      <c r="E2716" t="s">
        <v>6</v>
      </c>
      <c r="F2716" t="s">
        <v>251</v>
      </c>
      <c r="G2716">
        <v>3</v>
      </c>
      <c r="H2716" s="2">
        <f>Tabelle13[[#This Row],[commits]]/Tabelle13[[#Totals],[commits]]</f>
        <v>1.3943371321273866E-5</v>
      </c>
      <c r="I2716" s="5">
        <f>Tabelle13[[#This Row],[%]]+I2715</f>
        <v>0.96410511442862523</v>
      </c>
      <c r="J2716" s="4">
        <f t="shared" si="117"/>
        <v>1.105583195135434E-4</v>
      </c>
      <c r="K2716" s="5">
        <f t="shared" si="118"/>
        <v>0.30005527915975666</v>
      </c>
    </row>
    <row r="2717" spans="1:11" x14ac:dyDescent="0.25">
      <c r="A2717" t="s">
        <v>12233</v>
      </c>
      <c r="C2717" t="s">
        <v>12234</v>
      </c>
      <c r="D2717" t="s">
        <v>5</v>
      </c>
      <c r="E2717" t="s">
        <v>6</v>
      </c>
      <c r="F2717" t="s">
        <v>251</v>
      </c>
      <c r="G2717">
        <v>3</v>
      </c>
      <c r="H2717" s="2">
        <f>Tabelle13[[#This Row],[commits]]/Tabelle13[[#Totals],[commits]]</f>
        <v>1.3943371321273866E-5</v>
      </c>
      <c r="I2717" s="5">
        <f>Tabelle13[[#This Row],[%]]+I2716</f>
        <v>0.96411905779994655</v>
      </c>
      <c r="J2717" s="4">
        <f t="shared" si="117"/>
        <v>1.105583195135434E-4</v>
      </c>
      <c r="K2717" s="5">
        <f t="shared" si="118"/>
        <v>0.30016583747927023</v>
      </c>
    </row>
    <row r="2718" spans="1:11" x14ac:dyDescent="0.25">
      <c r="A2718" t="s">
        <v>12235</v>
      </c>
      <c r="C2718" t="s">
        <v>12236</v>
      </c>
      <c r="D2718" t="s">
        <v>5</v>
      </c>
      <c r="E2718" t="s">
        <v>6</v>
      </c>
      <c r="F2718" t="s">
        <v>251</v>
      </c>
      <c r="G2718">
        <v>3</v>
      </c>
      <c r="H2718" s="2">
        <f>Tabelle13[[#This Row],[commits]]/Tabelle13[[#Totals],[commits]]</f>
        <v>1.3943371321273866E-5</v>
      </c>
      <c r="I2718" s="5">
        <f>Tabelle13[[#This Row],[%]]+I2717</f>
        <v>0.96413300117126788</v>
      </c>
      <c r="J2718" s="4">
        <f t="shared" si="117"/>
        <v>1.105583195135434E-4</v>
      </c>
      <c r="K2718" s="5">
        <f t="shared" si="118"/>
        <v>0.30027639579878379</v>
      </c>
    </row>
    <row r="2719" spans="1:11" x14ac:dyDescent="0.25">
      <c r="A2719" t="s">
        <v>12237</v>
      </c>
      <c r="C2719" t="s">
        <v>12238</v>
      </c>
      <c r="D2719" t="s">
        <v>309</v>
      </c>
      <c r="E2719" t="s">
        <v>6</v>
      </c>
      <c r="F2719" t="s">
        <v>251</v>
      </c>
      <c r="G2719">
        <v>3</v>
      </c>
      <c r="H2719" s="2">
        <f>Tabelle13[[#This Row],[commits]]/Tabelle13[[#Totals],[commits]]</f>
        <v>1.3943371321273866E-5</v>
      </c>
      <c r="I2719" s="5">
        <f>Tabelle13[[#This Row],[%]]+I2718</f>
        <v>0.9641469445425892</v>
      </c>
      <c r="J2719" s="4">
        <f t="shared" si="117"/>
        <v>1.105583195135434E-4</v>
      </c>
      <c r="K2719" s="5">
        <f t="shared" si="118"/>
        <v>0.30038695411829736</v>
      </c>
    </row>
    <row r="2720" spans="1:11" x14ac:dyDescent="0.25">
      <c r="A2720" t="s">
        <v>12239</v>
      </c>
      <c r="C2720" t="s">
        <v>12240</v>
      </c>
      <c r="D2720" t="s">
        <v>5</v>
      </c>
      <c r="E2720" t="s">
        <v>6</v>
      </c>
      <c r="F2720" t="s">
        <v>251</v>
      </c>
      <c r="G2720">
        <v>3</v>
      </c>
      <c r="H2720" s="2">
        <f>Tabelle13[[#This Row],[commits]]/Tabelle13[[#Totals],[commits]]</f>
        <v>1.3943371321273866E-5</v>
      </c>
      <c r="I2720" s="5">
        <f>Tabelle13[[#This Row],[%]]+I2719</f>
        <v>0.96416088791391052</v>
      </c>
      <c r="J2720" s="4">
        <f t="shared" si="117"/>
        <v>1.105583195135434E-4</v>
      </c>
      <c r="K2720" s="5">
        <f t="shared" si="118"/>
        <v>0.30049751243781092</v>
      </c>
    </row>
    <row r="2721" spans="1:11" x14ac:dyDescent="0.25">
      <c r="A2721" t="s">
        <v>12241</v>
      </c>
      <c r="C2721" t="s">
        <v>12242</v>
      </c>
      <c r="D2721" t="s">
        <v>8948</v>
      </c>
      <c r="E2721" t="s">
        <v>6</v>
      </c>
      <c r="F2721" t="s">
        <v>251</v>
      </c>
      <c r="G2721">
        <v>3</v>
      </c>
      <c r="H2721" s="2">
        <f>Tabelle13[[#This Row],[commits]]/Tabelle13[[#Totals],[commits]]</f>
        <v>1.3943371321273866E-5</v>
      </c>
      <c r="I2721" s="5">
        <f>Tabelle13[[#This Row],[%]]+I2720</f>
        <v>0.96417483128523185</v>
      </c>
      <c r="J2721" s="4">
        <f t="shared" si="117"/>
        <v>1.105583195135434E-4</v>
      </c>
      <c r="K2721" s="5">
        <f t="shared" si="118"/>
        <v>0.30060807075732449</v>
      </c>
    </row>
    <row r="2722" spans="1:11" x14ac:dyDescent="0.25">
      <c r="A2722" t="s">
        <v>12243</v>
      </c>
      <c r="C2722" t="s">
        <v>10750</v>
      </c>
      <c r="D2722" t="s">
        <v>309</v>
      </c>
      <c r="E2722" t="s">
        <v>6</v>
      </c>
      <c r="F2722" t="s">
        <v>251</v>
      </c>
      <c r="G2722">
        <v>3</v>
      </c>
      <c r="H2722" s="2">
        <f>Tabelle13[[#This Row],[commits]]/Tabelle13[[#Totals],[commits]]</f>
        <v>1.3943371321273866E-5</v>
      </c>
      <c r="I2722" s="5">
        <f>Tabelle13[[#This Row],[%]]+I2721</f>
        <v>0.96418877465655317</v>
      </c>
      <c r="J2722" s="4">
        <f t="shared" si="117"/>
        <v>1.105583195135434E-4</v>
      </c>
      <c r="K2722" s="5">
        <f t="shared" si="118"/>
        <v>0.30071862907683805</v>
      </c>
    </row>
    <row r="2723" spans="1:11" x14ac:dyDescent="0.25">
      <c r="A2723" t="s">
        <v>12244</v>
      </c>
      <c r="C2723" t="s">
        <v>12245</v>
      </c>
      <c r="D2723" t="s">
        <v>5</v>
      </c>
      <c r="E2723" t="s">
        <v>6</v>
      </c>
      <c r="F2723" t="s">
        <v>251</v>
      </c>
      <c r="G2723">
        <v>3</v>
      </c>
      <c r="H2723" s="2">
        <f>Tabelle13[[#This Row],[commits]]/Tabelle13[[#Totals],[commits]]</f>
        <v>1.3943371321273866E-5</v>
      </c>
      <c r="I2723" s="5">
        <f>Tabelle13[[#This Row],[%]]+I2722</f>
        <v>0.96420271802787449</v>
      </c>
      <c r="J2723" s="4">
        <f t="shared" si="117"/>
        <v>1.105583195135434E-4</v>
      </c>
      <c r="K2723" s="5">
        <f t="shared" si="118"/>
        <v>0.30082918739635162</v>
      </c>
    </row>
    <row r="2724" spans="1:11" x14ac:dyDescent="0.25">
      <c r="A2724" t="s">
        <v>12246</v>
      </c>
      <c r="C2724" t="s">
        <v>12247</v>
      </c>
      <c r="D2724" t="s">
        <v>11709</v>
      </c>
      <c r="E2724" t="s">
        <v>6</v>
      </c>
      <c r="F2724" t="s">
        <v>251</v>
      </c>
      <c r="G2724">
        <v>3</v>
      </c>
      <c r="H2724" s="2">
        <f>Tabelle13[[#This Row],[commits]]/Tabelle13[[#Totals],[commits]]</f>
        <v>1.3943371321273866E-5</v>
      </c>
      <c r="I2724" s="5">
        <f>Tabelle13[[#This Row],[%]]+I2723</f>
        <v>0.96421666139919582</v>
      </c>
      <c r="J2724" s="4">
        <f t="shared" si="117"/>
        <v>1.105583195135434E-4</v>
      </c>
      <c r="K2724" s="5">
        <f t="shared" si="118"/>
        <v>0.30093974571586518</v>
      </c>
    </row>
    <row r="2725" spans="1:11" x14ac:dyDescent="0.25">
      <c r="A2725" t="s">
        <v>12248</v>
      </c>
      <c r="C2725" t="s">
        <v>12249</v>
      </c>
      <c r="D2725" t="s">
        <v>309</v>
      </c>
      <c r="E2725" t="s">
        <v>6</v>
      </c>
      <c r="F2725" t="s">
        <v>251</v>
      </c>
      <c r="G2725">
        <v>3</v>
      </c>
      <c r="H2725" s="2">
        <f>Tabelle13[[#This Row],[commits]]/Tabelle13[[#Totals],[commits]]</f>
        <v>1.3943371321273866E-5</v>
      </c>
      <c r="I2725" s="5">
        <f>Tabelle13[[#This Row],[%]]+I2724</f>
        <v>0.96423060477051714</v>
      </c>
      <c r="J2725" s="4">
        <f t="shared" si="117"/>
        <v>1.105583195135434E-4</v>
      </c>
      <c r="K2725" s="5">
        <f t="shared" si="118"/>
        <v>0.30105030403537875</v>
      </c>
    </row>
    <row r="2726" spans="1:11" x14ac:dyDescent="0.25">
      <c r="A2726" t="s">
        <v>12250</v>
      </c>
      <c r="C2726" t="s">
        <v>12251</v>
      </c>
      <c r="D2726" t="s">
        <v>5</v>
      </c>
      <c r="E2726" t="s">
        <v>6</v>
      </c>
      <c r="F2726" t="s">
        <v>251</v>
      </c>
      <c r="G2726">
        <v>3</v>
      </c>
      <c r="H2726" s="2">
        <f>Tabelle13[[#This Row],[commits]]/Tabelle13[[#Totals],[commits]]</f>
        <v>1.3943371321273866E-5</v>
      </c>
      <c r="I2726" s="5">
        <f>Tabelle13[[#This Row],[%]]+I2725</f>
        <v>0.96424454814183846</v>
      </c>
      <c r="J2726" s="4">
        <f t="shared" si="117"/>
        <v>1.105583195135434E-4</v>
      </c>
      <c r="K2726" s="5">
        <f t="shared" si="118"/>
        <v>0.30116086235489231</v>
      </c>
    </row>
    <row r="2727" spans="1:11" x14ac:dyDescent="0.25">
      <c r="A2727" t="s">
        <v>12252</v>
      </c>
      <c r="C2727" t="s">
        <v>12253</v>
      </c>
      <c r="D2727" t="s">
        <v>5</v>
      </c>
      <c r="E2727" t="s">
        <v>6</v>
      </c>
      <c r="F2727" t="s">
        <v>251</v>
      </c>
      <c r="G2727">
        <v>3</v>
      </c>
      <c r="H2727" s="2">
        <f>Tabelle13[[#This Row],[commits]]/Tabelle13[[#Totals],[commits]]</f>
        <v>1.3943371321273866E-5</v>
      </c>
      <c r="I2727" s="5">
        <f>Tabelle13[[#This Row],[%]]+I2726</f>
        <v>0.96425849151315979</v>
      </c>
      <c r="J2727" s="4">
        <f t="shared" si="117"/>
        <v>1.105583195135434E-4</v>
      </c>
      <c r="K2727" s="5">
        <f t="shared" si="118"/>
        <v>0.30127142067440588</v>
      </c>
    </row>
    <row r="2728" spans="1:11" x14ac:dyDescent="0.25">
      <c r="A2728" t="s">
        <v>12254</v>
      </c>
      <c r="C2728" t="s">
        <v>12255</v>
      </c>
      <c r="D2728" t="s">
        <v>309</v>
      </c>
      <c r="E2728" t="s">
        <v>6</v>
      </c>
      <c r="F2728" t="s">
        <v>251</v>
      </c>
      <c r="G2728">
        <v>3</v>
      </c>
      <c r="H2728" s="2">
        <f>Tabelle13[[#This Row],[commits]]/Tabelle13[[#Totals],[commits]]</f>
        <v>1.3943371321273866E-5</v>
      </c>
      <c r="I2728" s="5">
        <f>Tabelle13[[#This Row],[%]]+I2727</f>
        <v>0.96427243488448111</v>
      </c>
      <c r="J2728" s="4">
        <f t="shared" si="117"/>
        <v>1.105583195135434E-4</v>
      </c>
      <c r="K2728" s="5">
        <f t="shared" si="118"/>
        <v>0.30138197899391944</v>
      </c>
    </row>
    <row r="2729" spans="1:11" x14ac:dyDescent="0.25">
      <c r="A2729" t="s">
        <v>12256</v>
      </c>
      <c r="C2729" t="s">
        <v>12257</v>
      </c>
      <c r="D2729" t="s">
        <v>5</v>
      </c>
      <c r="E2729" t="s">
        <v>6</v>
      </c>
      <c r="F2729" t="s">
        <v>251</v>
      </c>
      <c r="G2729">
        <v>3</v>
      </c>
      <c r="H2729" s="2">
        <f>Tabelle13[[#This Row],[commits]]/Tabelle13[[#Totals],[commits]]</f>
        <v>1.3943371321273866E-5</v>
      </c>
      <c r="I2729" s="5">
        <f>Tabelle13[[#This Row],[%]]+I2728</f>
        <v>0.96428637825580243</v>
      </c>
      <c r="J2729" s="4">
        <f t="shared" si="117"/>
        <v>1.105583195135434E-4</v>
      </c>
      <c r="K2729" s="5">
        <f t="shared" si="118"/>
        <v>0.30149253731343301</v>
      </c>
    </row>
    <row r="2730" spans="1:11" x14ac:dyDescent="0.25">
      <c r="A2730" t="s">
        <v>12258</v>
      </c>
      <c r="C2730" t="s">
        <v>12259</v>
      </c>
      <c r="D2730" t="s">
        <v>5</v>
      </c>
      <c r="E2730" t="s">
        <v>6</v>
      </c>
      <c r="F2730" t="s">
        <v>251</v>
      </c>
      <c r="G2730">
        <v>3</v>
      </c>
      <c r="H2730" s="2">
        <f>Tabelle13[[#This Row],[commits]]/Tabelle13[[#Totals],[commits]]</f>
        <v>1.3943371321273866E-5</v>
      </c>
      <c r="I2730" s="5">
        <f>Tabelle13[[#This Row],[%]]+I2729</f>
        <v>0.96430032162712376</v>
      </c>
      <c r="J2730" s="4">
        <f t="shared" si="117"/>
        <v>1.105583195135434E-4</v>
      </c>
      <c r="K2730" s="5">
        <f t="shared" si="118"/>
        <v>0.30160309563294657</v>
      </c>
    </row>
    <row r="2731" spans="1:11" x14ac:dyDescent="0.25">
      <c r="A2731" t="s">
        <v>12260</v>
      </c>
      <c r="C2731" t="s">
        <v>12261</v>
      </c>
      <c r="D2731" t="s">
        <v>5</v>
      </c>
      <c r="E2731" t="s">
        <v>6</v>
      </c>
      <c r="F2731" t="s">
        <v>251</v>
      </c>
      <c r="G2731">
        <v>3</v>
      </c>
      <c r="H2731" s="2">
        <f>Tabelle13[[#This Row],[commits]]/Tabelle13[[#Totals],[commits]]</f>
        <v>1.3943371321273866E-5</v>
      </c>
      <c r="I2731" s="5">
        <f>Tabelle13[[#This Row],[%]]+I2730</f>
        <v>0.96431426499844508</v>
      </c>
      <c r="J2731" s="4">
        <f t="shared" si="117"/>
        <v>1.105583195135434E-4</v>
      </c>
      <c r="K2731" s="5">
        <f t="shared" si="118"/>
        <v>0.30171365395246014</v>
      </c>
    </row>
    <row r="2732" spans="1:11" x14ac:dyDescent="0.25">
      <c r="A2732" t="s">
        <v>12262</v>
      </c>
      <c r="C2732" t="s">
        <v>12263</v>
      </c>
      <c r="D2732" t="s">
        <v>309</v>
      </c>
      <c r="E2732" t="s">
        <v>6</v>
      </c>
      <c r="F2732" t="s">
        <v>251</v>
      </c>
      <c r="G2732">
        <v>3</v>
      </c>
      <c r="H2732" s="2">
        <f>Tabelle13[[#This Row],[commits]]/Tabelle13[[#Totals],[commits]]</f>
        <v>1.3943371321273866E-5</v>
      </c>
      <c r="I2732" s="5">
        <f>Tabelle13[[#This Row],[%]]+I2731</f>
        <v>0.9643282083697664</v>
      </c>
      <c r="J2732" s="4">
        <f t="shared" si="117"/>
        <v>1.105583195135434E-4</v>
      </c>
      <c r="K2732" s="5">
        <f t="shared" si="118"/>
        <v>0.3018242122719737</v>
      </c>
    </row>
    <row r="2733" spans="1:11" x14ac:dyDescent="0.25">
      <c r="A2733" t="s">
        <v>12264</v>
      </c>
      <c r="C2733" t="s">
        <v>12265</v>
      </c>
      <c r="D2733" t="s">
        <v>5</v>
      </c>
      <c r="E2733" t="s">
        <v>6</v>
      </c>
      <c r="F2733" t="s">
        <v>251</v>
      </c>
      <c r="G2733">
        <v>3</v>
      </c>
      <c r="H2733" s="2">
        <f>Tabelle13[[#This Row],[commits]]/Tabelle13[[#Totals],[commits]]</f>
        <v>1.3943371321273866E-5</v>
      </c>
      <c r="I2733" s="5">
        <f>Tabelle13[[#This Row],[%]]+I2732</f>
        <v>0.96434215174108773</v>
      </c>
      <c r="J2733" s="4">
        <f t="shared" si="117"/>
        <v>1.105583195135434E-4</v>
      </c>
      <c r="K2733" s="5">
        <f t="shared" si="118"/>
        <v>0.30193477059148727</v>
      </c>
    </row>
    <row r="2734" spans="1:11" x14ac:dyDescent="0.25">
      <c r="A2734" t="s">
        <v>12266</v>
      </c>
      <c r="C2734" t="s">
        <v>12267</v>
      </c>
      <c r="D2734" t="s">
        <v>5</v>
      </c>
      <c r="E2734" t="s">
        <v>6</v>
      </c>
      <c r="F2734" t="s">
        <v>251</v>
      </c>
      <c r="G2734">
        <v>3</v>
      </c>
      <c r="H2734" s="2">
        <f>Tabelle13[[#This Row],[commits]]/Tabelle13[[#Totals],[commits]]</f>
        <v>1.3943371321273866E-5</v>
      </c>
      <c r="I2734" s="5">
        <f>Tabelle13[[#This Row],[%]]+I2733</f>
        <v>0.96435609511240905</v>
      </c>
      <c r="J2734" s="4">
        <f t="shared" si="117"/>
        <v>1.105583195135434E-4</v>
      </c>
      <c r="K2734" s="5">
        <f t="shared" si="118"/>
        <v>0.30204532891100083</v>
      </c>
    </row>
    <row r="2735" spans="1:11" x14ac:dyDescent="0.25">
      <c r="A2735" t="s">
        <v>12268</v>
      </c>
      <c r="C2735" t="s">
        <v>12269</v>
      </c>
      <c r="D2735" t="s">
        <v>5</v>
      </c>
      <c r="E2735" t="s">
        <v>6</v>
      </c>
      <c r="F2735" t="s">
        <v>251</v>
      </c>
      <c r="G2735">
        <v>3</v>
      </c>
      <c r="H2735" s="2">
        <f>Tabelle13[[#This Row],[commits]]/Tabelle13[[#Totals],[commits]]</f>
        <v>1.3943371321273866E-5</v>
      </c>
      <c r="I2735" s="5">
        <f>Tabelle13[[#This Row],[%]]+I2734</f>
        <v>0.96437003848373037</v>
      </c>
      <c r="J2735" s="4">
        <f t="shared" si="117"/>
        <v>1.105583195135434E-4</v>
      </c>
      <c r="K2735" s="5">
        <f t="shared" si="118"/>
        <v>0.3021558872305144</v>
      </c>
    </row>
    <row r="2736" spans="1:11" x14ac:dyDescent="0.25">
      <c r="A2736" t="s">
        <v>12270</v>
      </c>
      <c r="C2736" t="s">
        <v>12271</v>
      </c>
      <c r="D2736" t="s">
        <v>5</v>
      </c>
      <c r="E2736" t="s">
        <v>6</v>
      </c>
      <c r="F2736" t="s">
        <v>251</v>
      </c>
      <c r="G2736">
        <v>3</v>
      </c>
      <c r="H2736" s="2">
        <f>Tabelle13[[#This Row],[commits]]/Tabelle13[[#Totals],[commits]]</f>
        <v>1.3943371321273866E-5</v>
      </c>
      <c r="I2736" s="5">
        <f>Tabelle13[[#This Row],[%]]+I2735</f>
        <v>0.9643839818550517</v>
      </c>
      <c r="J2736" s="4">
        <f t="shared" si="117"/>
        <v>1.105583195135434E-4</v>
      </c>
      <c r="K2736" s="5">
        <f t="shared" si="118"/>
        <v>0.30226644555002796</v>
      </c>
    </row>
    <row r="2737" spans="1:11" x14ac:dyDescent="0.25">
      <c r="A2737" t="s">
        <v>12272</v>
      </c>
      <c r="C2737" t="s">
        <v>26</v>
      </c>
      <c r="D2737" t="s">
        <v>5</v>
      </c>
      <c r="E2737" t="s">
        <v>6</v>
      </c>
      <c r="F2737" t="s">
        <v>251</v>
      </c>
      <c r="G2737">
        <v>3</v>
      </c>
      <c r="H2737" s="2">
        <f>Tabelle13[[#This Row],[commits]]/Tabelle13[[#Totals],[commits]]</f>
        <v>1.3943371321273866E-5</v>
      </c>
      <c r="I2737" s="5">
        <f>Tabelle13[[#This Row],[%]]+I2736</f>
        <v>0.96439792522637302</v>
      </c>
      <c r="J2737" s="4">
        <f t="shared" si="117"/>
        <v>1.105583195135434E-4</v>
      </c>
      <c r="K2737" s="5">
        <f t="shared" si="118"/>
        <v>0.30237700386954153</v>
      </c>
    </row>
    <row r="2738" spans="1:11" x14ac:dyDescent="0.25">
      <c r="A2738" t="s">
        <v>12273</v>
      </c>
      <c r="C2738" t="s">
        <v>12274</v>
      </c>
      <c r="D2738" t="s">
        <v>5</v>
      </c>
      <c r="E2738" t="s">
        <v>6</v>
      </c>
      <c r="F2738" t="s">
        <v>251</v>
      </c>
      <c r="G2738">
        <v>3</v>
      </c>
      <c r="H2738" s="2">
        <f>Tabelle13[[#This Row],[commits]]/Tabelle13[[#Totals],[commits]]</f>
        <v>1.3943371321273866E-5</v>
      </c>
      <c r="I2738" s="5">
        <f>Tabelle13[[#This Row],[%]]+I2737</f>
        <v>0.96441186859769434</v>
      </c>
      <c r="J2738" s="4">
        <f t="shared" si="117"/>
        <v>1.105583195135434E-4</v>
      </c>
      <c r="K2738" s="5">
        <f t="shared" si="118"/>
        <v>0.30248756218905509</v>
      </c>
    </row>
    <row r="2739" spans="1:11" x14ac:dyDescent="0.25">
      <c r="A2739" t="s">
        <v>12275</v>
      </c>
      <c r="C2739" t="s">
        <v>12276</v>
      </c>
      <c r="D2739" t="s">
        <v>309</v>
      </c>
      <c r="E2739" t="s">
        <v>6</v>
      </c>
      <c r="F2739" t="s">
        <v>251</v>
      </c>
      <c r="G2739">
        <v>3</v>
      </c>
      <c r="H2739" s="2">
        <f>Tabelle13[[#This Row],[commits]]/Tabelle13[[#Totals],[commits]]</f>
        <v>1.3943371321273866E-5</v>
      </c>
      <c r="I2739" s="5">
        <f>Tabelle13[[#This Row],[%]]+I2738</f>
        <v>0.96442581196901567</v>
      </c>
      <c r="J2739" s="4">
        <f t="shared" si="117"/>
        <v>1.105583195135434E-4</v>
      </c>
      <c r="K2739" s="5">
        <f t="shared" si="118"/>
        <v>0.30259812050856866</v>
      </c>
    </row>
    <row r="2740" spans="1:11" x14ac:dyDescent="0.25">
      <c r="A2740" t="s">
        <v>12277</v>
      </c>
      <c r="C2740" t="s">
        <v>12278</v>
      </c>
      <c r="D2740" t="s">
        <v>5</v>
      </c>
      <c r="E2740" t="s">
        <v>6</v>
      </c>
      <c r="F2740" t="s">
        <v>251</v>
      </c>
      <c r="G2740">
        <v>3</v>
      </c>
      <c r="H2740" s="2">
        <f>Tabelle13[[#This Row],[commits]]/Tabelle13[[#Totals],[commits]]</f>
        <v>1.3943371321273866E-5</v>
      </c>
      <c r="I2740" s="5">
        <f>Tabelle13[[#This Row],[%]]+I2739</f>
        <v>0.96443975534033699</v>
      </c>
      <c r="J2740" s="4">
        <f t="shared" si="117"/>
        <v>1.105583195135434E-4</v>
      </c>
      <c r="K2740" s="5">
        <f t="shared" si="118"/>
        <v>0.30270867882808222</v>
      </c>
    </row>
    <row r="2741" spans="1:11" x14ac:dyDescent="0.25">
      <c r="A2741" t="s">
        <v>12279</v>
      </c>
      <c r="C2741" t="s">
        <v>12280</v>
      </c>
      <c r="D2741" t="s">
        <v>5</v>
      </c>
      <c r="E2741" t="s">
        <v>6</v>
      </c>
      <c r="F2741" t="s">
        <v>251</v>
      </c>
      <c r="G2741">
        <v>3</v>
      </c>
      <c r="H2741" s="2">
        <f>Tabelle13[[#This Row],[commits]]/Tabelle13[[#Totals],[commits]]</f>
        <v>1.3943371321273866E-5</v>
      </c>
      <c r="I2741" s="5">
        <f>Tabelle13[[#This Row],[%]]+I2740</f>
        <v>0.96445369871165831</v>
      </c>
      <c r="J2741" s="4">
        <f t="shared" si="117"/>
        <v>1.105583195135434E-4</v>
      </c>
      <c r="K2741" s="5">
        <f t="shared" si="118"/>
        <v>0.30281923714759579</v>
      </c>
    </row>
    <row r="2742" spans="1:11" x14ac:dyDescent="0.25">
      <c r="A2742" t="s">
        <v>12281</v>
      </c>
      <c r="C2742" t="s">
        <v>12282</v>
      </c>
      <c r="D2742" t="s">
        <v>5</v>
      </c>
      <c r="E2742" t="s">
        <v>6</v>
      </c>
      <c r="F2742" t="s">
        <v>251</v>
      </c>
      <c r="G2742">
        <v>3</v>
      </c>
      <c r="H2742" s="2">
        <f>Tabelle13[[#This Row],[commits]]/Tabelle13[[#Totals],[commits]]</f>
        <v>1.3943371321273866E-5</v>
      </c>
      <c r="I2742" s="5">
        <f>Tabelle13[[#This Row],[%]]+I2741</f>
        <v>0.96446764208297964</v>
      </c>
      <c r="J2742" s="4">
        <f t="shared" si="117"/>
        <v>1.105583195135434E-4</v>
      </c>
      <c r="K2742" s="5">
        <f t="shared" si="118"/>
        <v>0.30292979546710935</v>
      </c>
    </row>
    <row r="2743" spans="1:11" x14ac:dyDescent="0.25">
      <c r="A2743" t="s">
        <v>12283</v>
      </c>
      <c r="C2743" t="s">
        <v>12284</v>
      </c>
      <c r="D2743" t="s">
        <v>5</v>
      </c>
      <c r="E2743" t="s">
        <v>6</v>
      </c>
      <c r="F2743" t="s">
        <v>251</v>
      </c>
      <c r="G2743">
        <v>3</v>
      </c>
      <c r="H2743" s="2">
        <f>Tabelle13[[#This Row],[commits]]/Tabelle13[[#Totals],[commits]]</f>
        <v>1.3943371321273866E-5</v>
      </c>
      <c r="I2743" s="5">
        <f>Tabelle13[[#This Row],[%]]+I2742</f>
        <v>0.96448158545430096</v>
      </c>
      <c r="J2743" s="4">
        <f t="shared" si="117"/>
        <v>1.105583195135434E-4</v>
      </c>
      <c r="K2743" s="5">
        <f t="shared" si="118"/>
        <v>0.30304035378662292</v>
      </c>
    </row>
    <row r="2744" spans="1:11" x14ac:dyDescent="0.25">
      <c r="A2744" t="s">
        <v>12285</v>
      </c>
      <c r="C2744" t="s">
        <v>12286</v>
      </c>
      <c r="D2744" t="s">
        <v>5</v>
      </c>
      <c r="E2744" t="s">
        <v>6</v>
      </c>
      <c r="F2744" t="s">
        <v>251</v>
      </c>
      <c r="G2744">
        <v>3</v>
      </c>
      <c r="H2744" s="2">
        <f>Tabelle13[[#This Row],[commits]]/Tabelle13[[#Totals],[commits]]</f>
        <v>1.3943371321273866E-5</v>
      </c>
      <c r="I2744" s="5">
        <f>Tabelle13[[#This Row],[%]]+I2743</f>
        <v>0.96449552882562228</v>
      </c>
      <c r="J2744" s="4">
        <f t="shared" si="117"/>
        <v>1.105583195135434E-4</v>
      </c>
      <c r="K2744" s="5">
        <f t="shared" si="118"/>
        <v>0.30315091210613648</v>
      </c>
    </row>
    <row r="2745" spans="1:11" x14ac:dyDescent="0.25">
      <c r="A2745" t="s">
        <v>12287</v>
      </c>
      <c r="C2745" t="s">
        <v>12288</v>
      </c>
      <c r="D2745" t="s">
        <v>5</v>
      </c>
      <c r="E2745" t="s">
        <v>6</v>
      </c>
      <c r="F2745" t="s">
        <v>251</v>
      </c>
      <c r="G2745">
        <v>3</v>
      </c>
      <c r="H2745" s="2">
        <f>Tabelle13[[#This Row],[commits]]/Tabelle13[[#Totals],[commits]]</f>
        <v>1.3943371321273866E-5</v>
      </c>
      <c r="I2745" s="5">
        <f>Tabelle13[[#This Row],[%]]+I2744</f>
        <v>0.96450947219694361</v>
      </c>
      <c r="J2745" s="4">
        <f t="shared" si="117"/>
        <v>1.105583195135434E-4</v>
      </c>
      <c r="K2745" s="5">
        <f t="shared" si="118"/>
        <v>0.30326147042565005</v>
      </c>
    </row>
    <row r="2746" spans="1:11" x14ac:dyDescent="0.25">
      <c r="A2746" t="s">
        <v>12289</v>
      </c>
      <c r="C2746" t="s">
        <v>12290</v>
      </c>
      <c r="D2746" t="s">
        <v>5</v>
      </c>
      <c r="E2746" t="s">
        <v>6</v>
      </c>
      <c r="F2746" t="s">
        <v>251</v>
      </c>
      <c r="G2746">
        <v>3</v>
      </c>
      <c r="H2746" s="2">
        <f>Tabelle13[[#This Row],[commits]]/Tabelle13[[#Totals],[commits]]</f>
        <v>1.3943371321273866E-5</v>
      </c>
      <c r="I2746" s="5">
        <f>Tabelle13[[#This Row],[%]]+I2745</f>
        <v>0.96452341556826493</v>
      </c>
      <c r="J2746" s="4">
        <f t="shared" si="117"/>
        <v>1.105583195135434E-4</v>
      </c>
      <c r="K2746" s="5">
        <f t="shared" si="118"/>
        <v>0.30337202874516361</v>
      </c>
    </row>
    <row r="2747" spans="1:11" x14ac:dyDescent="0.25">
      <c r="A2747" t="s">
        <v>12291</v>
      </c>
      <c r="C2747" t="s">
        <v>12292</v>
      </c>
      <c r="D2747" t="s">
        <v>5</v>
      </c>
      <c r="E2747" t="s">
        <v>6</v>
      </c>
      <c r="F2747" t="s">
        <v>251</v>
      </c>
      <c r="G2747">
        <v>3</v>
      </c>
      <c r="H2747" s="2">
        <f>Tabelle13[[#This Row],[commits]]/Tabelle13[[#Totals],[commits]]</f>
        <v>1.3943371321273866E-5</v>
      </c>
      <c r="I2747" s="5">
        <f>Tabelle13[[#This Row],[%]]+I2746</f>
        <v>0.96453735893958625</v>
      </c>
      <c r="J2747" s="4">
        <f t="shared" si="117"/>
        <v>1.105583195135434E-4</v>
      </c>
      <c r="K2747" s="5">
        <f t="shared" si="118"/>
        <v>0.30348258706467718</v>
      </c>
    </row>
    <row r="2748" spans="1:11" x14ac:dyDescent="0.25">
      <c r="A2748" t="s">
        <v>12293</v>
      </c>
      <c r="C2748" t="s">
        <v>12294</v>
      </c>
      <c r="D2748" t="s">
        <v>5</v>
      </c>
      <c r="E2748" t="s">
        <v>6</v>
      </c>
      <c r="F2748" t="s">
        <v>251</v>
      </c>
      <c r="G2748">
        <v>3</v>
      </c>
      <c r="H2748" s="2">
        <f>Tabelle13[[#This Row],[commits]]/Tabelle13[[#Totals],[commits]]</f>
        <v>1.3943371321273866E-5</v>
      </c>
      <c r="I2748" s="5">
        <f>Tabelle13[[#This Row],[%]]+I2747</f>
        <v>0.96455130231090758</v>
      </c>
      <c r="J2748" s="4">
        <f t="shared" si="117"/>
        <v>1.105583195135434E-4</v>
      </c>
      <c r="K2748" s="5">
        <f t="shared" si="118"/>
        <v>0.30359314538419074</v>
      </c>
    </row>
    <row r="2749" spans="1:11" x14ac:dyDescent="0.25">
      <c r="A2749" t="s">
        <v>12295</v>
      </c>
      <c r="C2749" t="s">
        <v>12296</v>
      </c>
      <c r="D2749" t="s">
        <v>309</v>
      </c>
      <c r="E2749" t="s">
        <v>6</v>
      </c>
      <c r="F2749" t="s">
        <v>251</v>
      </c>
      <c r="G2749">
        <v>3</v>
      </c>
      <c r="H2749" s="2">
        <f>Tabelle13[[#This Row],[commits]]/Tabelle13[[#Totals],[commits]]</f>
        <v>1.3943371321273866E-5</v>
      </c>
      <c r="I2749" s="5">
        <f>Tabelle13[[#This Row],[%]]+I2748</f>
        <v>0.9645652456822289</v>
      </c>
      <c r="J2749" s="4">
        <f t="shared" si="117"/>
        <v>1.105583195135434E-4</v>
      </c>
      <c r="K2749" s="5">
        <f t="shared" si="118"/>
        <v>0.30370370370370431</v>
      </c>
    </row>
    <row r="2750" spans="1:11" x14ac:dyDescent="0.25">
      <c r="A2750" t="s">
        <v>12297</v>
      </c>
      <c r="C2750" t="s">
        <v>12298</v>
      </c>
      <c r="D2750" t="s">
        <v>5</v>
      </c>
      <c r="E2750" t="s">
        <v>6</v>
      </c>
      <c r="F2750" t="s">
        <v>251</v>
      </c>
      <c r="G2750">
        <v>3</v>
      </c>
      <c r="H2750" s="2">
        <f>Tabelle13[[#This Row],[commits]]/Tabelle13[[#Totals],[commits]]</f>
        <v>1.3943371321273866E-5</v>
      </c>
      <c r="I2750" s="5">
        <f>Tabelle13[[#This Row],[%]]+I2749</f>
        <v>0.96457918905355022</v>
      </c>
      <c r="J2750" s="4">
        <f t="shared" si="117"/>
        <v>1.105583195135434E-4</v>
      </c>
      <c r="K2750" s="5">
        <f t="shared" si="118"/>
        <v>0.30381426202321787</v>
      </c>
    </row>
    <row r="2751" spans="1:11" x14ac:dyDescent="0.25">
      <c r="A2751" t="s">
        <v>12299</v>
      </c>
      <c r="C2751" t="s">
        <v>12300</v>
      </c>
      <c r="D2751" t="s">
        <v>5</v>
      </c>
      <c r="E2751" t="s">
        <v>6</v>
      </c>
      <c r="F2751" t="s">
        <v>251</v>
      </c>
      <c r="G2751">
        <v>3</v>
      </c>
      <c r="H2751" s="2">
        <f>Tabelle13[[#This Row],[commits]]/Tabelle13[[#Totals],[commits]]</f>
        <v>1.3943371321273866E-5</v>
      </c>
      <c r="I2751" s="5">
        <f>Tabelle13[[#This Row],[%]]+I2750</f>
        <v>0.96459313242487155</v>
      </c>
      <c r="J2751" s="4">
        <f t="shared" si="117"/>
        <v>1.105583195135434E-4</v>
      </c>
      <c r="K2751" s="5">
        <f t="shared" si="118"/>
        <v>0.30392482034273144</v>
      </c>
    </row>
    <row r="2752" spans="1:11" x14ac:dyDescent="0.25">
      <c r="A2752" t="s">
        <v>12301</v>
      </c>
      <c r="C2752" t="s">
        <v>12302</v>
      </c>
      <c r="D2752" t="s">
        <v>5</v>
      </c>
      <c r="E2752" t="s">
        <v>6</v>
      </c>
      <c r="F2752" t="s">
        <v>251</v>
      </c>
      <c r="G2752">
        <v>3</v>
      </c>
      <c r="H2752" s="2">
        <f>Tabelle13[[#This Row],[commits]]/Tabelle13[[#Totals],[commits]]</f>
        <v>1.3943371321273866E-5</v>
      </c>
      <c r="I2752" s="5">
        <f>Tabelle13[[#This Row],[%]]+I2751</f>
        <v>0.96460707579619287</v>
      </c>
      <c r="J2752" s="4">
        <f t="shared" si="117"/>
        <v>1.105583195135434E-4</v>
      </c>
      <c r="K2752" s="5">
        <f t="shared" si="118"/>
        <v>0.304035378662245</v>
      </c>
    </row>
    <row r="2753" spans="1:11" x14ac:dyDescent="0.25">
      <c r="A2753" t="s">
        <v>12303</v>
      </c>
      <c r="C2753" t="s">
        <v>12304</v>
      </c>
      <c r="D2753" t="s">
        <v>309</v>
      </c>
      <c r="E2753" t="s">
        <v>6</v>
      </c>
      <c r="F2753" t="s">
        <v>251</v>
      </c>
      <c r="G2753">
        <v>3</v>
      </c>
      <c r="H2753" s="2">
        <f>Tabelle13[[#This Row],[commits]]/Tabelle13[[#Totals],[commits]]</f>
        <v>1.3943371321273866E-5</v>
      </c>
      <c r="I2753" s="5">
        <f>Tabelle13[[#This Row],[%]]+I2752</f>
        <v>0.96462101916751419</v>
      </c>
      <c r="J2753" s="4">
        <f t="shared" si="117"/>
        <v>1.105583195135434E-4</v>
      </c>
      <c r="K2753" s="5">
        <f t="shared" si="118"/>
        <v>0.30414593698175857</v>
      </c>
    </row>
    <row r="2754" spans="1:11" x14ac:dyDescent="0.25">
      <c r="A2754" t="s">
        <v>12305</v>
      </c>
      <c r="C2754" t="s">
        <v>12306</v>
      </c>
      <c r="D2754" t="s">
        <v>5</v>
      </c>
      <c r="E2754" t="s">
        <v>6</v>
      </c>
      <c r="F2754" t="s">
        <v>251</v>
      </c>
      <c r="G2754">
        <v>3</v>
      </c>
      <c r="H2754" s="2">
        <f>Tabelle13[[#This Row],[commits]]/Tabelle13[[#Totals],[commits]]</f>
        <v>1.3943371321273866E-5</v>
      </c>
      <c r="I2754" s="5">
        <f>Tabelle13[[#This Row],[%]]+I2753</f>
        <v>0.96463496253883552</v>
      </c>
      <c r="J2754" s="4">
        <f t="shared" si="117"/>
        <v>1.105583195135434E-4</v>
      </c>
      <c r="K2754" s="5">
        <f t="shared" si="118"/>
        <v>0.30425649530127213</v>
      </c>
    </row>
    <row r="2755" spans="1:11" x14ac:dyDescent="0.25">
      <c r="A2755" t="s">
        <v>12307</v>
      </c>
      <c r="C2755" t="s">
        <v>12308</v>
      </c>
      <c r="D2755" t="s">
        <v>5</v>
      </c>
      <c r="E2755" t="s">
        <v>6</v>
      </c>
      <c r="F2755" t="s">
        <v>251</v>
      </c>
      <c r="G2755">
        <v>3</v>
      </c>
      <c r="H2755" s="2">
        <f>Tabelle13[[#This Row],[commits]]/Tabelle13[[#Totals],[commits]]</f>
        <v>1.3943371321273866E-5</v>
      </c>
      <c r="I2755" s="5">
        <f>Tabelle13[[#This Row],[%]]+I2754</f>
        <v>0.96464890591015684</v>
      </c>
      <c r="J2755" s="4">
        <f t="shared" ref="J2755:J2818" si="119">1/9045</f>
        <v>1.105583195135434E-4</v>
      </c>
      <c r="K2755" s="5">
        <f t="shared" si="118"/>
        <v>0.3043670536207857</v>
      </c>
    </row>
    <row r="2756" spans="1:11" x14ac:dyDescent="0.25">
      <c r="A2756" t="s">
        <v>12309</v>
      </c>
      <c r="C2756" t="s">
        <v>12310</v>
      </c>
      <c r="D2756" t="s">
        <v>5</v>
      </c>
      <c r="E2756" t="s">
        <v>6</v>
      </c>
      <c r="F2756" t="s">
        <v>251</v>
      </c>
      <c r="G2756">
        <v>3</v>
      </c>
      <c r="H2756" s="2">
        <f>Tabelle13[[#This Row],[commits]]/Tabelle13[[#Totals],[commits]]</f>
        <v>1.3943371321273866E-5</v>
      </c>
      <c r="I2756" s="5">
        <f>Tabelle13[[#This Row],[%]]+I2755</f>
        <v>0.96466284928147816</v>
      </c>
      <c r="J2756" s="4">
        <f t="shared" si="119"/>
        <v>1.105583195135434E-4</v>
      </c>
      <c r="K2756" s="5">
        <f t="shared" si="118"/>
        <v>0.30447761194029926</v>
      </c>
    </row>
    <row r="2757" spans="1:11" x14ac:dyDescent="0.25">
      <c r="A2757" t="s">
        <v>12311</v>
      </c>
      <c r="C2757" t="s">
        <v>12312</v>
      </c>
      <c r="D2757" t="s">
        <v>5</v>
      </c>
      <c r="E2757" t="s">
        <v>6</v>
      </c>
      <c r="F2757" t="s">
        <v>251</v>
      </c>
      <c r="G2757">
        <v>3</v>
      </c>
      <c r="H2757" s="2">
        <f>Tabelle13[[#This Row],[commits]]/Tabelle13[[#Totals],[commits]]</f>
        <v>1.3943371321273866E-5</v>
      </c>
      <c r="I2757" s="5">
        <f>Tabelle13[[#This Row],[%]]+I2756</f>
        <v>0.96467679265279949</v>
      </c>
      <c r="J2757" s="4">
        <f t="shared" si="119"/>
        <v>1.105583195135434E-4</v>
      </c>
      <c r="K2757" s="5">
        <f t="shared" si="118"/>
        <v>0.30458817025981283</v>
      </c>
    </row>
    <row r="2758" spans="1:11" x14ac:dyDescent="0.25">
      <c r="A2758" t="s">
        <v>12313</v>
      </c>
      <c r="C2758" t="s">
        <v>12314</v>
      </c>
      <c r="D2758" t="s">
        <v>5</v>
      </c>
      <c r="E2758" t="s">
        <v>6</v>
      </c>
      <c r="F2758" t="s">
        <v>251</v>
      </c>
      <c r="G2758">
        <v>3</v>
      </c>
      <c r="H2758" s="2">
        <f>Tabelle13[[#This Row],[commits]]/Tabelle13[[#Totals],[commits]]</f>
        <v>1.3943371321273866E-5</v>
      </c>
      <c r="I2758" s="5">
        <f>Tabelle13[[#This Row],[%]]+I2757</f>
        <v>0.96469073602412081</v>
      </c>
      <c r="J2758" s="4">
        <f t="shared" si="119"/>
        <v>1.105583195135434E-4</v>
      </c>
      <c r="K2758" s="5">
        <f t="shared" ref="K2758:K2821" si="120">J2758+K2757</f>
        <v>0.30469872857932639</v>
      </c>
    </row>
    <row r="2759" spans="1:11" x14ac:dyDescent="0.25">
      <c r="A2759" t="s">
        <v>12315</v>
      </c>
      <c r="C2759" t="s">
        <v>12316</v>
      </c>
      <c r="D2759" t="s">
        <v>5</v>
      </c>
      <c r="E2759" t="s">
        <v>6</v>
      </c>
      <c r="F2759" t="s">
        <v>251</v>
      </c>
      <c r="G2759">
        <v>3</v>
      </c>
      <c r="H2759" s="2">
        <f>Tabelle13[[#This Row],[commits]]/Tabelle13[[#Totals],[commits]]</f>
        <v>1.3943371321273866E-5</v>
      </c>
      <c r="I2759" s="5">
        <f>Tabelle13[[#This Row],[%]]+I2758</f>
        <v>0.96470467939544213</v>
      </c>
      <c r="J2759" s="4">
        <f t="shared" si="119"/>
        <v>1.105583195135434E-4</v>
      </c>
      <c r="K2759" s="5">
        <f t="shared" si="120"/>
        <v>0.30480928689883996</v>
      </c>
    </row>
    <row r="2760" spans="1:11" x14ac:dyDescent="0.25">
      <c r="A2760" t="s">
        <v>12317</v>
      </c>
      <c r="C2760" t="s">
        <v>12318</v>
      </c>
      <c r="D2760" t="s">
        <v>5</v>
      </c>
      <c r="E2760" t="s">
        <v>6</v>
      </c>
      <c r="F2760" t="s">
        <v>251</v>
      </c>
      <c r="G2760">
        <v>3</v>
      </c>
      <c r="H2760" s="2">
        <f>Tabelle13[[#This Row],[commits]]/Tabelle13[[#Totals],[commits]]</f>
        <v>1.3943371321273866E-5</v>
      </c>
      <c r="I2760" s="5">
        <f>Tabelle13[[#This Row],[%]]+I2759</f>
        <v>0.96471862276676346</v>
      </c>
      <c r="J2760" s="4">
        <f t="shared" si="119"/>
        <v>1.105583195135434E-4</v>
      </c>
      <c r="K2760" s="5">
        <f t="shared" si="120"/>
        <v>0.30491984521835352</v>
      </c>
    </row>
    <row r="2761" spans="1:11" x14ac:dyDescent="0.25">
      <c r="A2761" t="s">
        <v>12319</v>
      </c>
      <c r="C2761" t="s">
        <v>12320</v>
      </c>
      <c r="D2761" t="s">
        <v>5</v>
      </c>
      <c r="E2761" t="s">
        <v>6</v>
      </c>
      <c r="F2761" t="s">
        <v>251</v>
      </c>
      <c r="G2761">
        <v>3</v>
      </c>
      <c r="H2761" s="2">
        <f>Tabelle13[[#This Row],[commits]]/Tabelle13[[#Totals],[commits]]</f>
        <v>1.3943371321273866E-5</v>
      </c>
      <c r="I2761" s="5">
        <f>Tabelle13[[#This Row],[%]]+I2760</f>
        <v>0.96473256613808478</v>
      </c>
      <c r="J2761" s="4">
        <f t="shared" si="119"/>
        <v>1.105583195135434E-4</v>
      </c>
      <c r="K2761" s="5">
        <f t="shared" si="120"/>
        <v>0.30503040353786709</v>
      </c>
    </row>
    <row r="2762" spans="1:11" x14ac:dyDescent="0.25">
      <c r="A2762" t="s">
        <v>12321</v>
      </c>
      <c r="C2762" t="s">
        <v>12322</v>
      </c>
      <c r="D2762" t="s">
        <v>5</v>
      </c>
      <c r="E2762" t="s">
        <v>6</v>
      </c>
      <c r="F2762" t="s">
        <v>251</v>
      </c>
      <c r="G2762">
        <v>3</v>
      </c>
      <c r="H2762" s="2">
        <f>Tabelle13[[#This Row],[commits]]/Tabelle13[[#Totals],[commits]]</f>
        <v>1.3943371321273866E-5</v>
      </c>
      <c r="I2762" s="5">
        <f>Tabelle13[[#This Row],[%]]+I2761</f>
        <v>0.9647465095094061</v>
      </c>
      <c r="J2762" s="4">
        <f t="shared" si="119"/>
        <v>1.105583195135434E-4</v>
      </c>
      <c r="K2762" s="5">
        <f t="shared" si="120"/>
        <v>0.30514096185738065</v>
      </c>
    </row>
    <row r="2763" spans="1:11" x14ac:dyDescent="0.25">
      <c r="A2763" t="s">
        <v>12323</v>
      </c>
      <c r="C2763" t="s">
        <v>12324</v>
      </c>
      <c r="D2763" t="s">
        <v>309</v>
      </c>
      <c r="E2763" t="s">
        <v>6</v>
      </c>
      <c r="F2763" t="s">
        <v>251</v>
      </c>
      <c r="G2763">
        <v>3</v>
      </c>
      <c r="H2763" s="2">
        <f>Tabelle13[[#This Row],[commits]]/Tabelle13[[#Totals],[commits]]</f>
        <v>1.3943371321273866E-5</v>
      </c>
      <c r="I2763" s="5">
        <f>Tabelle13[[#This Row],[%]]+I2762</f>
        <v>0.96476045288072743</v>
      </c>
      <c r="J2763" s="4">
        <f t="shared" si="119"/>
        <v>1.105583195135434E-4</v>
      </c>
      <c r="K2763" s="5">
        <f t="shared" si="120"/>
        <v>0.30525152017689422</v>
      </c>
    </row>
    <row r="2764" spans="1:11" x14ac:dyDescent="0.25">
      <c r="A2764" t="s">
        <v>12325</v>
      </c>
      <c r="C2764" t="s">
        <v>12326</v>
      </c>
      <c r="D2764" t="s">
        <v>2659</v>
      </c>
      <c r="E2764" t="s">
        <v>6</v>
      </c>
      <c r="F2764" t="s">
        <v>251</v>
      </c>
      <c r="G2764">
        <v>3</v>
      </c>
      <c r="H2764" s="2">
        <f>Tabelle13[[#This Row],[commits]]/Tabelle13[[#Totals],[commits]]</f>
        <v>1.3943371321273866E-5</v>
      </c>
      <c r="I2764" s="5">
        <f>Tabelle13[[#This Row],[%]]+I2763</f>
        <v>0.96477439625204875</v>
      </c>
      <c r="J2764" s="4">
        <f t="shared" si="119"/>
        <v>1.105583195135434E-4</v>
      </c>
      <c r="K2764" s="5">
        <f t="shared" si="120"/>
        <v>0.30536207849640778</v>
      </c>
    </row>
    <row r="2765" spans="1:11" x14ac:dyDescent="0.25">
      <c r="A2765" t="s">
        <v>12327</v>
      </c>
      <c r="C2765" t="s">
        <v>12328</v>
      </c>
      <c r="D2765" t="s">
        <v>5</v>
      </c>
      <c r="E2765" t="s">
        <v>6</v>
      </c>
      <c r="F2765" t="s">
        <v>251</v>
      </c>
      <c r="G2765">
        <v>3</v>
      </c>
      <c r="H2765" s="2">
        <f>Tabelle13[[#This Row],[commits]]/Tabelle13[[#Totals],[commits]]</f>
        <v>1.3943371321273866E-5</v>
      </c>
      <c r="I2765" s="5">
        <f>Tabelle13[[#This Row],[%]]+I2764</f>
        <v>0.96478833962337007</v>
      </c>
      <c r="J2765" s="4">
        <f t="shared" si="119"/>
        <v>1.105583195135434E-4</v>
      </c>
      <c r="K2765" s="5">
        <f t="shared" si="120"/>
        <v>0.30547263681592135</v>
      </c>
    </row>
    <row r="2766" spans="1:11" x14ac:dyDescent="0.25">
      <c r="A2766" t="s">
        <v>12329</v>
      </c>
      <c r="C2766" t="s">
        <v>12330</v>
      </c>
      <c r="D2766" t="s">
        <v>5</v>
      </c>
      <c r="E2766" t="s">
        <v>6</v>
      </c>
      <c r="F2766" t="s">
        <v>251</v>
      </c>
      <c r="G2766">
        <v>3</v>
      </c>
      <c r="H2766" s="2">
        <f>Tabelle13[[#This Row],[commits]]/Tabelle13[[#Totals],[commits]]</f>
        <v>1.3943371321273866E-5</v>
      </c>
      <c r="I2766" s="5">
        <f>Tabelle13[[#This Row],[%]]+I2765</f>
        <v>0.9648022829946914</v>
      </c>
      <c r="J2766" s="4">
        <f t="shared" si="119"/>
        <v>1.105583195135434E-4</v>
      </c>
      <c r="K2766" s="5">
        <f t="shared" si="120"/>
        <v>0.30558319513543492</v>
      </c>
    </row>
    <row r="2767" spans="1:11" x14ac:dyDescent="0.25">
      <c r="A2767" t="s">
        <v>12331</v>
      </c>
      <c r="C2767" t="s">
        <v>12332</v>
      </c>
      <c r="D2767" t="s">
        <v>5</v>
      </c>
      <c r="E2767" t="s">
        <v>6</v>
      </c>
      <c r="F2767" t="s">
        <v>251</v>
      </c>
      <c r="G2767">
        <v>3</v>
      </c>
      <c r="H2767" s="2">
        <f>Tabelle13[[#This Row],[commits]]/Tabelle13[[#Totals],[commits]]</f>
        <v>1.3943371321273866E-5</v>
      </c>
      <c r="I2767" s="5">
        <f>Tabelle13[[#This Row],[%]]+I2766</f>
        <v>0.96481622636601272</v>
      </c>
      <c r="J2767" s="4">
        <f t="shared" si="119"/>
        <v>1.105583195135434E-4</v>
      </c>
      <c r="K2767" s="5">
        <f t="shared" si="120"/>
        <v>0.30569375345494848</v>
      </c>
    </row>
    <row r="2768" spans="1:11" x14ac:dyDescent="0.25">
      <c r="A2768" t="s">
        <v>12333</v>
      </c>
      <c r="C2768" t="s">
        <v>10858</v>
      </c>
      <c r="D2768" t="s">
        <v>5</v>
      </c>
      <c r="E2768" t="s">
        <v>6</v>
      </c>
      <c r="F2768" t="s">
        <v>251</v>
      </c>
      <c r="G2768">
        <v>3</v>
      </c>
      <c r="H2768" s="2">
        <f>Tabelle13[[#This Row],[commits]]/Tabelle13[[#Totals],[commits]]</f>
        <v>1.3943371321273866E-5</v>
      </c>
      <c r="I2768" s="5">
        <f>Tabelle13[[#This Row],[%]]+I2767</f>
        <v>0.96483016973733404</v>
      </c>
      <c r="J2768" s="4">
        <f t="shared" si="119"/>
        <v>1.105583195135434E-4</v>
      </c>
      <c r="K2768" s="5">
        <f t="shared" si="120"/>
        <v>0.30580431177446205</v>
      </c>
    </row>
    <row r="2769" spans="1:11" x14ac:dyDescent="0.25">
      <c r="A2769" t="s">
        <v>12334</v>
      </c>
      <c r="C2769" t="s">
        <v>12335</v>
      </c>
      <c r="D2769" t="s">
        <v>5</v>
      </c>
      <c r="E2769" t="s">
        <v>6</v>
      </c>
      <c r="F2769" t="s">
        <v>251</v>
      </c>
      <c r="G2769">
        <v>3</v>
      </c>
      <c r="H2769" s="2">
        <f>Tabelle13[[#This Row],[commits]]/Tabelle13[[#Totals],[commits]]</f>
        <v>1.3943371321273866E-5</v>
      </c>
      <c r="I2769" s="5">
        <f>Tabelle13[[#This Row],[%]]+I2768</f>
        <v>0.96484411310865537</v>
      </c>
      <c r="J2769" s="4">
        <f t="shared" si="119"/>
        <v>1.105583195135434E-4</v>
      </c>
      <c r="K2769" s="5">
        <f t="shared" si="120"/>
        <v>0.30591487009397561</v>
      </c>
    </row>
    <row r="2770" spans="1:11" x14ac:dyDescent="0.25">
      <c r="A2770" t="s">
        <v>12336</v>
      </c>
      <c r="C2770" t="s">
        <v>12337</v>
      </c>
      <c r="D2770" t="s">
        <v>5</v>
      </c>
      <c r="E2770" t="s">
        <v>6</v>
      </c>
      <c r="F2770" t="s">
        <v>251</v>
      </c>
      <c r="G2770">
        <v>3</v>
      </c>
      <c r="H2770" s="2">
        <f>Tabelle13[[#This Row],[commits]]/Tabelle13[[#Totals],[commits]]</f>
        <v>1.3943371321273866E-5</v>
      </c>
      <c r="I2770" s="5">
        <f>Tabelle13[[#This Row],[%]]+I2769</f>
        <v>0.96485805647997669</v>
      </c>
      <c r="J2770" s="4">
        <f t="shared" si="119"/>
        <v>1.105583195135434E-4</v>
      </c>
      <c r="K2770" s="5">
        <f t="shared" si="120"/>
        <v>0.30602542841348918</v>
      </c>
    </row>
    <row r="2771" spans="1:11" x14ac:dyDescent="0.25">
      <c r="A2771" t="s">
        <v>12338</v>
      </c>
      <c r="C2771" t="s">
        <v>12339</v>
      </c>
      <c r="D2771" t="s">
        <v>309</v>
      </c>
      <c r="E2771" t="s">
        <v>6</v>
      </c>
      <c r="F2771" t="s">
        <v>251</v>
      </c>
      <c r="G2771">
        <v>3</v>
      </c>
      <c r="H2771" s="2">
        <f>Tabelle13[[#This Row],[commits]]/Tabelle13[[#Totals],[commits]]</f>
        <v>1.3943371321273866E-5</v>
      </c>
      <c r="I2771" s="5">
        <f>Tabelle13[[#This Row],[%]]+I2770</f>
        <v>0.96487199985129801</v>
      </c>
      <c r="J2771" s="4">
        <f t="shared" si="119"/>
        <v>1.105583195135434E-4</v>
      </c>
      <c r="K2771" s="5">
        <f t="shared" si="120"/>
        <v>0.30613598673300274</v>
      </c>
    </row>
    <row r="2772" spans="1:11" x14ac:dyDescent="0.25">
      <c r="A2772" t="s">
        <v>12340</v>
      </c>
      <c r="C2772" t="s">
        <v>12341</v>
      </c>
      <c r="D2772" t="s">
        <v>5</v>
      </c>
      <c r="E2772" t="s">
        <v>6</v>
      </c>
      <c r="F2772" t="s">
        <v>251</v>
      </c>
      <c r="G2772">
        <v>3</v>
      </c>
      <c r="H2772" s="2">
        <f>Tabelle13[[#This Row],[commits]]/Tabelle13[[#Totals],[commits]]</f>
        <v>1.3943371321273866E-5</v>
      </c>
      <c r="I2772" s="5">
        <f>Tabelle13[[#This Row],[%]]+I2771</f>
        <v>0.96488594322261934</v>
      </c>
      <c r="J2772" s="4">
        <f t="shared" si="119"/>
        <v>1.105583195135434E-4</v>
      </c>
      <c r="K2772" s="5">
        <f t="shared" si="120"/>
        <v>0.30624654505251631</v>
      </c>
    </row>
    <row r="2773" spans="1:11" x14ac:dyDescent="0.25">
      <c r="A2773" t="s">
        <v>12342</v>
      </c>
      <c r="C2773" t="s">
        <v>12343</v>
      </c>
      <c r="D2773" t="s">
        <v>5</v>
      </c>
      <c r="E2773" t="s">
        <v>6</v>
      </c>
      <c r="F2773" t="s">
        <v>251</v>
      </c>
      <c r="G2773">
        <v>3</v>
      </c>
      <c r="H2773" s="2">
        <f>Tabelle13[[#This Row],[commits]]/Tabelle13[[#Totals],[commits]]</f>
        <v>1.3943371321273866E-5</v>
      </c>
      <c r="I2773" s="5">
        <f>Tabelle13[[#This Row],[%]]+I2772</f>
        <v>0.96489988659394066</v>
      </c>
      <c r="J2773" s="4">
        <f t="shared" si="119"/>
        <v>1.105583195135434E-4</v>
      </c>
      <c r="K2773" s="5">
        <f t="shared" si="120"/>
        <v>0.30635710337202987</v>
      </c>
    </row>
    <row r="2774" spans="1:11" x14ac:dyDescent="0.25">
      <c r="A2774" t="s">
        <v>12344</v>
      </c>
      <c r="C2774" t="s">
        <v>12345</v>
      </c>
      <c r="D2774" t="s">
        <v>5</v>
      </c>
      <c r="E2774" t="s">
        <v>6</v>
      </c>
      <c r="F2774" t="s">
        <v>251</v>
      </c>
      <c r="G2774">
        <v>3</v>
      </c>
      <c r="H2774" s="2">
        <f>Tabelle13[[#This Row],[commits]]/Tabelle13[[#Totals],[commits]]</f>
        <v>1.3943371321273866E-5</v>
      </c>
      <c r="I2774" s="5">
        <f>Tabelle13[[#This Row],[%]]+I2773</f>
        <v>0.96491382996526198</v>
      </c>
      <c r="J2774" s="4">
        <f t="shared" si="119"/>
        <v>1.105583195135434E-4</v>
      </c>
      <c r="K2774" s="5">
        <f t="shared" si="120"/>
        <v>0.30646766169154344</v>
      </c>
    </row>
    <row r="2775" spans="1:11" x14ac:dyDescent="0.25">
      <c r="A2775" t="s">
        <v>12346</v>
      </c>
      <c r="C2775" t="s">
        <v>12347</v>
      </c>
      <c r="D2775" t="s">
        <v>5</v>
      </c>
      <c r="E2775" t="s">
        <v>6</v>
      </c>
      <c r="F2775" t="s">
        <v>251</v>
      </c>
      <c r="G2775">
        <v>3</v>
      </c>
      <c r="H2775" s="2">
        <f>Tabelle13[[#This Row],[commits]]/Tabelle13[[#Totals],[commits]]</f>
        <v>1.3943371321273866E-5</v>
      </c>
      <c r="I2775" s="5">
        <f>Tabelle13[[#This Row],[%]]+I2774</f>
        <v>0.96492777333658331</v>
      </c>
      <c r="J2775" s="4">
        <f t="shared" si="119"/>
        <v>1.105583195135434E-4</v>
      </c>
      <c r="K2775" s="5">
        <f t="shared" si="120"/>
        <v>0.306578220011057</v>
      </c>
    </row>
    <row r="2776" spans="1:11" x14ac:dyDescent="0.25">
      <c r="A2776" t="s">
        <v>12348</v>
      </c>
      <c r="C2776" t="s">
        <v>12349</v>
      </c>
      <c r="D2776" t="s">
        <v>5</v>
      </c>
      <c r="E2776" t="s">
        <v>6</v>
      </c>
      <c r="F2776" t="s">
        <v>251</v>
      </c>
      <c r="G2776">
        <v>3</v>
      </c>
      <c r="H2776" s="2">
        <f>Tabelle13[[#This Row],[commits]]/Tabelle13[[#Totals],[commits]]</f>
        <v>1.3943371321273866E-5</v>
      </c>
      <c r="I2776" s="5">
        <f>Tabelle13[[#This Row],[%]]+I2775</f>
        <v>0.96494171670790463</v>
      </c>
      <c r="J2776" s="4">
        <f t="shared" si="119"/>
        <v>1.105583195135434E-4</v>
      </c>
      <c r="K2776" s="5">
        <f t="shared" si="120"/>
        <v>0.30668877833057057</v>
      </c>
    </row>
    <row r="2777" spans="1:11" x14ac:dyDescent="0.25">
      <c r="A2777" t="s">
        <v>12350</v>
      </c>
      <c r="C2777" t="s">
        <v>12351</v>
      </c>
      <c r="D2777" t="s">
        <v>5</v>
      </c>
      <c r="E2777" t="s">
        <v>6</v>
      </c>
      <c r="F2777" t="s">
        <v>251</v>
      </c>
      <c r="G2777">
        <v>3</v>
      </c>
      <c r="H2777" s="2">
        <f>Tabelle13[[#This Row],[commits]]/Tabelle13[[#Totals],[commits]]</f>
        <v>1.3943371321273866E-5</v>
      </c>
      <c r="I2777" s="5">
        <f>Tabelle13[[#This Row],[%]]+I2776</f>
        <v>0.96495566007922595</v>
      </c>
      <c r="J2777" s="4">
        <f t="shared" si="119"/>
        <v>1.105583195135434E-4</v>
      </c>
      <c r="K2777" s="5">
        <f t="shared" si="120"/>
        <v>0.30679933665008413</v>
      </c>
    </row>
    <row r="2778" spans="1:11" x14ac:dyDescent="0.25">
      <c r="A2778" t="s">
        <v>12352</v>
      </c>
      <c r="C2778" t="s">
        <v>12353</v>
      </c>
      <c r="D2778" t="s">
        <v>5</v>
      </c>
      <c r="E2778" t="s">
        <v>6</v>
      </c>
      <c r="F2778" t="s">
        <v>251</v>
      </c>
      <c r="G2778">
        <v>3</v>
      </c>
      <c r="H2778" s="2">
        <f>Tabelle13[[#This Row],[commits]]/Tabelle13[[#Totals],[commits]]</f>
        <v>1.3943371321273866E-5</v>
      </c>
      <c r="I2778" s="5">
        <f>Tabelle13[[#This Row],[%]]+I2777</f>
        <v>0.96496960345054728</v>
      </c>
      <c r="J2778" s="4">
        <f t="shared" si="119"/>
        <v>1.105583195135434E-4</v>
      </c>
      <c r="K2778" s="5">
        <f t="shared" si="120"/>
        <v>0.3069098949695977</v>
      </c>
    </row>
    <row r="2779" spans="1:11" x14ac:dyDescent="0.25">
      <c r="A2779" t="s">
        <v>12354</v>
      </c>
      <c r="C2779" t="s">
        <v>151</v>
      </c>
      <c r="D2779" t="s">
        <v>5</v>
      </c>
      <c r="E2779" t="s">
        <v>6</v>
      </c>
      <c r="F2779" t="s">
        <v>251</v>
      </c>
      <c r="G2779">
        <v>3</v>
      </c>
      <c r="H2779" s="2">
        <f>Tabelle13[[#This Row],[commits]]/Tabelle13[[#Totals],[commits]]</f>
        <v>1.3943371321273866E-5</v>
      </c>
      <c r="I2779" s="5">
        <f>Tabelle13[[#This Row],[%]]+I2778</f>
        <v>0.9649835468218686</v>
      </c>
      <c r="J2779" s="4">
        <f t="shared" si="119"/>
        <v>1.105583195135434E-4</v>
      </c>
      <c r="K2779" s="5">
        <f t="shared" si="120"/>
        <v>0.30702045328911126</v>
      </c>
    </row>
    <row r="2780" spans="1:11" x14ac:dyDescent="0.25">
      <c r="A2780" t="s">
        <v>12355</v>
      </c>
      <c r="C2780" t="s">
        <v>12356</v>
      </c>
      <c r="D2780" t="s">
        <v>5</v>
      </c>
      <c r="E2780" t="s">
        <v>6</v>
      </c>
      <c r="F2780" t="s">
        <v>251</v>
      </c>
      <c r="G2780">
        <v>3</v>
      </c>
      <c r="H2780" s="2">
        <f>Tabelle13[[#This Row],[commits]]/Tabelle13[[#Totals],[commits]]</f>
        <v>1.3943371321273866E-5</v>
      </c>
      <c r="I2780" s="5">
        <f>Tabelle13[[#This Row],[%]]+I2779</f>
        <v>0.96499749019318992</v>
      </c>
      <c r="J2780" s="4">
        <f t="shared" si="119"/>
        <v>1.105583195135434E-4</v>
      </c>
      <c r="K2780" s="5">
        <f t="shared" si="120"/>
        <v>0.30713101160862483</v>
      </c>
    </row>
    <row r="2781" spans="1:11" x14ac:dyDescent="0.25">
      <c r="A2781" t="s">
        <v>12357</v>
      </c>
      <c r="C2781" t="s">
        <v>12358</v>
      </c>
      <c r="D2781" t="s">
        <v>5</v>
      </c>
      <c r="E2781" t="s">
        <v>6</v>
      </c>
      <c r="F2781" t="s">
        <v>251</v>
      </c>
      <c r="G2781">
        <v>3</v>
      </c>
      <c r="H2781" s="2">
        <f>Tabelle13[[#This Row],[commits]]/Tabelle13[[#Totals],[commits]]</f>
        <v>1.3943371321273866E-5</v>
      </c>
      <c r="I2781" s="5">
        <f>Tabelle13[[#This Row],[%]]+I2780</f>
        <v>0.96501143356451125</v>
      </c>
      <c r="J2781" s="4">
        <f t="shared" si="119"/>
        <v>1.105583195135434E-4</v>
      </c>
      <c r="K2781" s="5">
        <f t="shared" si="120"/>
        <v>0.30724156992813839</v>
      </c>
    </row>
    <row r="2782" spans="1:11" x14ac:dyDescent="0.25">
      <c r="A2782" t="s">
        <v>12359</v>
      </c>
      <c r="C2782" t="s">
        <v>12360</v>
      </c>
      <c r="D2782" t="s">
        <v>5</v>
      </c>
      <c r="E2782" t="s">
        <v>6</v>
      </c>
      <c r="F2782" t="s">
        <v>251</v>
      </c>
      <c r="G2782">
        <v>3</v>
      </c>
      <c r="H2782" s="2">
        <f>Tabelle13[[#This Row],[commits]]/Tabelle13[[#Totals],[commits]]</f>
        <v>1.3943371321273866E-5</v>
      </c>
      <c r="I2782" s="5">
        <f>Tabelle13[[#This Row],[%]]+I2781</f>
        <v>0.96502537693583257</v>
      </c>
      <c r="J2782" s="4">
        <f t="shared" si="119"/>
        <v>1.105583195135434E-4</v>
      </c>
      <c r="K2782" s="5">
        <f t="shared" si="120"/>
        <v>0.30735212824765196</v>
      </c>
    </row>
    <row r="2783" spans="1:11" x14ac:dyDescent="0.25">
      <c r="A2783" t="s">
        <v>12361</v>
      </c>
      <c r="C2783" t="s">
        <v>12362</v>
      </c>
      <c r="D2783" t="s">
        <v>5</v>
      </c>
      <c r="E2783" t="s">
        <v>6</v>
      </c>
      <c r="F2783" t="s">
        <v>251</v>
      </c>
      <c r="G2783">
        <v>3</v>
      </c>
      <c r="H2783" s="2">
        <f>Tabelle13[[#This Row],[commits]]/Tabelle13[[#Totals],[commits]]</f>
        <v>1.3943371321273866E-5</v>
      </c>
      <c r="I2783" s="5">
        <f>Tabelle13[[#This Row],[%]]+I2782</f>
        <v>0.96503932030715389</v>
      </c>
      <c r="J2783" s="4">
        <f t="shared" si="119"/>
        <v>1.105583195135434E-4</v>
      </c>
      <c r="K2783" s="5">
        <f t="shared" si="120"/>
        <v>0.30746268656716552</v>
      </c>
    </row>
    <row r="2784" spans="1:11" x14ac:dyDescent="0.25">
      <c r="A2784" t="s">
        <v>12363</v>
      </c>
      <c r="C2784" t="s">
        <v>12364</v>
      </c>
      <c r="D2784" t="s">
        <v>5</v>
      </c>
      <c r="E2784" t="s">
        <v>6</v>
      </c>
      <c r="F2784" t="s">
        <v>251</v>
      </c>
      <c r="G2784">
        <v>3</v>
      </c>
      <c r="H2784" s="2">
        <f>Tabelle13[[#This Row],[commits]]/Tabelle13[[#Totals],[commits]]</f>
        <v>1.3943371321273866E-5</v>
      </c>
      <c r="I2784" s="5">
        <f>Tabelle13[[#This Row],[%]]+I2783</f>
        <v>0.96505326367847521</v>
      </c>
      <c r="J2784" s="4">
        <f t="shared" si="119"/>
        <v>1.105583195135434E-4</v>
      </c>
      <c r="K2784" s="5">
        <f t="shared" si="120"/>
        <v>0.30757324488667909</v>
      </c>
    </row>
    <row r="2785" spans="1:11" x14ac:dyDescent="0.25">
      <c r="A2785" t="s">
        <v>12365</v>
      </c>
      <c r="C2785" t="s">
        <v>12366</v>
      </c>
      <c r="D2785" t="s">
        <v>5</v>
      </c>
      <c r="E2785" t="s">
        <v>6</v>
      </c>
      <c r="F2785" t="s">
        <v>251</v>
      </c>
      <c r="G2785">
        <v>3</v>
      </c>
      <c r="H2785" s="2">
        <f>Tabelle13[[#This Row],[commits]]/Tabelle13[[#Totals],[commits]]</f>
        <v>1.3943371321273866E-5</v>
      </c>
      <c r="I2785" s="5">
        <f>Tabelle13[[#This Row],[%]]+I2784</f>
        <v>0.96506720704979654</v>
      </c>
      <c r="J2785" s="4">
        <f t="shared" si="119"/>
        <v>1.105583195135434E-4</v>
      </c>
      <c r="K2785" s="5">
        <f t="shared" si="120"/>
        <v>0.30768380320619265</v>
      </c>
    </row>
    <row r="2786" spans="1:11" x14ac:dyDescent="0.25">
      <c r="A2786" t="s">
        <v>12367</v>
      </c>
      <c r="C2786" t="s">
        <v>12368</v>
      </c>
      <c r="D2786" t="s">
        <v>5</v>
      </c>
      <c r="E2786" t="s">
        <v>6</v>
      </c>
      <c r="F2786" t="s">
        <v>251</v>
      </c>
      <c r="G2786">
        <v>3</v>
      </c>
      <c r="H2786" s="2">
        <f>Tabelle13[[#This Row],[commits]]/Tabelle13[[#Totals],[commits]]</f>
        <v>1.3943371321273866E-5</v>
      </c>
      <c r="I2786" s="5">
        <f>Tabelle13[[#This Row],[%]]+I2785</f>
        <v>0.96508115042111786</v>
      </c>
      <c r="J2786" s="4">
        <f t="shared" si="119"/>
        <v>1.105583195135434E-4</v>
      </c>
      <c r="K2786" s="5">
        <f t="shared" si="120"/>
        <v>0.30779436152570622</v>
      </c>
    </row>
    <row r="2787" spans="1:11" x14ac:dyDescent="0.25">
      <c r="A2787" t="s">
        <v>12369</v>
      </c>
      <c r="C2787" t="s">
        <v>12370</v>
      </c>
      <c r="D2787" t="s">
        <v>8948</v>
      </c>
      <c r="E2787" t="s">
        <v>6</v>
      </c>
      <c r="F2787" t="s">
        <v>251</v>
      </c>
      <c r="G2787">
        <v>3</v>
      </c>
      <c r="H2787" s="2">
        <f>Tabelle13[[#This Row],[commits]]/Tabelle13[[#Totals],[commits]]</f>
        <v>1.3943371321273866E-5</v>
      </c>
      <c r="I2787" s="5">
        <f>Tabelle13[[#This Row],[%]]+I2786</f>
        <v>0.96509509379243918</v>
      </c>
      <c r="J2787" s="4">
        <f t="shared" si="119"/>
        <v>1.105583195135434E-4</v>
      </c>
      <c r="K2787" s="5">
        <f t="shared" si="120"/>
        <v>0.30790491984521978</v>
      </c>
    </row>
    <row r="2788" spans="1:11" x14ac:dyDescent="0.25">
      <c r="A2788" t="s">
        <v>12371</v>
      </c>
      <c r="C2788" t="s">
        <v>12372</v>
      </c>
      <c r="D2788" t="s">
        <v>5</v>
      </c>
      <c r="E2788" t="s">
        <v>6</v>
      </c>
      <c r="F2788" t="s">
        <v>251</v>
      </c>
      <c r="G2788">
        <v>3</v>
      </c>
      <c r="H2788" s="2">
        <f>Tabelle13[[#This Row],[commits]]/Tabelle13[[#Totals],[commits]]</f>
        <v>1.3943371321273866E-5</v>
      </c>
      <c r="I2788" s="5">
        <f>Tabelle13[[#This Row],[%]]+I2787</f>
        <v>0.96510903716376051</v>
      </c>
      <c r="J2788" s="4">
        <f t="shared" si="119"/>
        <v>1.105583195135434E-4</v>
      </c>
      <c r="K2788" s="5">
        <f t="shared" si="120"/>
        <v>0.30801547816473335</v>
      </c>
    </row>
    <row r="2789" spans="1:11" x14ac:dyDescent="0.25">
      <c r="A2789" t="s">
        <v>12373</v>
      </c>
      <c r="C2789" t="s">
        <v>12374</v>
      </c>
      <c r="D2789" t="s">
        <v>5</v>
      </c>
      <c r="E2789" t="s">
        <v>6</v>
      </c>
      <c r="F2789" t="s">
        <v>251</v>
      </c>
      <c r="G2789">
        <v>3</v>
      </c>
      <c r="H2789" s="2">
        <f>Tabelle13[[#This Row],[commits]]/Tabelle13[[#Totals],[commits]]</f>
        <v>1.3943371321273866E-5</v>
      </c>
      <c r="I2789" s="5">
        <f>Tabelle13[[#This Row],[%]]+I2788</f>
        <v>0.96512298053508183</v>
      </c>
      <c r="J2789" s="4">
        <f t="shared" si="119"/>
        <v>1.105583195135434E-4</v>
      </c>
      <c r="K2789" s="5">
        <f t="shared" si="120"/>
        <v>0.30812603648424691</v>
      </c>
    </row>
    <row r="2790" spans="1:11" x14ac:dyDescent="0.25">
      <c r="A2790" t="s">
        <v>12375</v>
      </c>
      <c r="C2790" t="s">
        <v>12376</v>
      </c>
      <c r="D2790" t="s">
        <v>5</v>
      </c>
      <c r="E2790" t="s">
        <v>6</v>
      </c>
      <c r="F2790" t="s">
        <v>251</v>
      </c>
      <c r="G2790">
        <v>3</v>
      </c>
      <c r="H2790" s="2">
        <f>Tabelle13[[#This Row],[commits]]/Tabelle13[[#Totals],[commits]]</f>
        <v>1.3943371321273866E-5</v>
      </c>
      <c r="I2790" s="5">
        <f>Tabelle13[[#This Row],[%]]+I2789</f>
        <v>0.96513692390640315</v>
      </c>
      <c r="J2790" s="4">
        <f t="shared" si="119"/>
        <v>1.105583195135434E-4</v>
      </c>
      <c r="K2790" s="5">
        <f t="shared" si="120"/>
        <v>0.30823659480376048</v>
      </c>
    </row>
    <row r="2791" spans="1:11" x14ac:dyDescent="0.25">
      <c r="A2791" t="s">
        <v>12377</v>
      </c>
      <c r="C2791" t="s">
        <v>12378</v>
      </c>
      <c r="D2791" t="s">
        <v>5</v>
      </c>
      <c r="E2791" t="s">
        <v>6</v>
      </c>
      <c r="F2791" t="s">
        <v>251</v>
      </c>
      <c r="G2791">
        <v>3</v>
      </c>
      <c r="H2791" s="2">
        <f>Tabelle13[[#This Row],[commits]]/Tabelle13[[#Totals],[commits]]</f>
        <v>1.3943371321273866E-5</v>
      </c>
      <c r="I2791" s="5">
        <f>Tabelle13[[#This Row],[%]]+I2790</f>
        <v>0.96515086727772448</v>
      </c>
      <c r="J2791" s="4">
        <f t="shared" si="119"/>
        <v>1.105583195135434E-4</v>
      </c>
      <c r="K2791" s="5">
        <f t="shared" si="120"/>
        <v>0.30834715312327404</v>
      </c>
    </row>
    <row r="2792" spans="1:11" x14ac:dyDescent="0.25">
      <c r="A2792" t="s">
        <v>12379</v>
      </c>
      <c r="C2792" t="s">
        <v>12380</v>
      </c>
      <c r="D2792" t="s">
        <v>12381</v>
      </c>
      <c r="E2792" t="s">
        <v>6</v>
      </c>
      <c r="F2792" t="s">
        <v>251</v>
      </c>
      <c r="G2792">
        <v>3</v>
      </c>
      <c r="H2792" s="2">
        <f>Tabelle13[[#This Row],[commits]]/Tabelle13[[#Totals],[commits]]</f>
        <v>1.3943371321273866E-5</v>
      </c>
      <c r="I2792" s="5">
        <f>Tabelle13[[#This Row],[%]]+I2791</f>
        <v>0.9651648106490458</v>
      </c>
      <c r="J2792" s="4">
        <f t="shared" si="119"/>
        <v>1.105583195135434E-4</v>
      </c>
      <c r="K2792" s="5">
        <f t="shared" si="120"/>
        <v>0.30845771144278761</v>
      </c>
    </row>
    <row r="2793" spans="1:11" x14ac:dyDescent="0.25">
      <c r="A2793" t="s">
        <v>12382</v>
      </c>
      <c r="C2793" t="s">
        <v>12383</v>
      </c>
      <c r="D2793" t="s">
        <v>12384</v>
      </c>
      <c r="E2793" t="s">
        <v>6</v>
      </c>
      <c r="F2793" t="s">
        <v>251</v>
      </c>
      <c r="G2793">
        <v>3</v>
      </c>
      <c r="H2793" s="2">
        <f>Tabelle13[[#This Row],[commits]]/Tabelle13[[#Totals],[commits]]</f>
        <v>1.3943371321273866E-5</v>
      </c>
      <c r="I2793" s="5">
        <f>Tabelle13[[#This Row],[%]]+I2792</f>
        <v>0.96517875402036712</v>
      </c>
      <c r="J2793" s="4">
        <f t="shared" si="119"/>
        <v>1.105583195135434E-4</v>
      </c>
      <c r="K2793" s="5">
        <f t="shared" si="120"/>
        <v>0.30856826976230117</v>
      </c>
    </row>
    <row r="2794" spans="1:11" x14ac:dyDescent="0.25">
      <c r="A2794" t="s">
        <v>12385</v>
      </c>
      <c r="C2794" t="s">
        <v>12386</v>
      </c>
      <c r="D2794" t="s">
        <v>5</v>
      </c>
      <c r="E2794" t="s">
        <v>6</v>
      </c>
      <c r="F2794" t="s">
        <v>251</v>
      </c>
      <c r="G2794">
        <v>3</v>
      </c>
      <c r="H2794" s="2">
        <f>Tabelle13[[#This Row],[commits]]/Tabelle13[[#Totals],[commits]]</f>
        <v>1.3943371321273866E-5</v>
      </c>
      <c r="I2794" s="5">
        <f>Tabelle13[[#This Row],[%]]+I2793</f>
        <v>0.96519269739168845</v>
      </c>
      <c r="J2794" s="4">
        <f t="shared" si="119"/>
        <v>1.105583195135434E-4</v>
      </c>
      <c r="K2794" s="5">
        <f t="shared" si="120"/>
        <v>0.30867882808181474</v>
      </c>
    </row>
    <row r="2795" spans="1:11" x14ac:dyDescent="0.25">
      <c r="A2795" t="s">
        <v>12387</v>
      </c>
      <c r="C2795" t="s">
        <v>12388</v>
      </c>
      <c r="D2795" t="s">
        <v>5</v>
      </c>
      <c r="E2795" t="s">
        <v>6</v>
      </c>
      <c r="F2795" t="s">
        <v>251</v>
      </c>
      <c r="G2795">
        <v>3</v>
      </c>
      <c r="H2795" s="2">
        <f>Tabelle13[[#This Row],[commits]]/Tabelle13[[#Totals],[commits]]</f>
        <v>1.3943371321273866E-5</v>
      </c>
      <c r="I2795" s="5">
        <f>Tabelle13[[#This Row],[%]]+I2794</f>
        <v>0.96520664076300977</v>
      </c>
      <c r="J2795" s="4">
        <f t="shared" si="119"/>
        <v>1.105583195135434E-4</v>
      </c>
      <c r="K2795" s="5">
        <f t="shared" si="120"/>
        <v>0.3087893864013283</v>
      </c>
    </row>
    <row r="2796" spans="1:11" x14ac:dyDescent="0.25">
      <c r="A2796" t="s">
        <v>12389</v>
      </c>
      <c r="C2796" t="s">
        <v>12390</v>
      </c>
      <c r="D2796" t="s">
        <v>309</v>
      </c>
      <c r="E2796" t="s">
        <v>6</v>
      </c>
      <c r="F2796" t="s">
        <v>251</v>
      </c>
      <c r="G2796">
        <v>3</v>
      </c>
      <c r="H2796" s="2">
        <f>Tabelle13[[#This Row],[commits]]/Tabelle13[[#Totals],[commits]]</f>
        <v>1.3943371321273866E-5</v>
      </c>
      <c r="I2796" s="5">
        <f>Tabelle13[[#This Row],[%]]+I2795</f>
        <v>0.96522058413433109</v>
      </c>
      <c r="J2796" s="4">
        <f t="shared" si="119"/>
        <v>1.105583195135434E-4</v>
      </c>
      <c r="K2796" s="5">
        <f t="shared" si="120"/>
        <v>0.30889994472084187</v>
      </c>
    </row>
    <row r="2797" spans="1:11" x14ac:dyDescent="0.25">
      <c r="A2797" t="s">
        <v>12391</v>
      </c>
      <c r="C2797" t="s">
        <v>12392</v>
      </c>
      <c r="D2797" t="s">
        <v>309</v>
      </c>
      <c r="E2797" t="s">
        <v>6</v>
      </c>
      <c r="F2797" t="s">
        <v>251</v>
      </c>
      <c r="G2797">
        <v>3</v>
      </c>
      <c r="H2797" s="2">
        <f>Tabelle13[[#This Row],[commits]]/Tabelle13[[#Totals],[commits]]</f>
        <v>1.3943371321273866E-5</v>
      </c>
      <c r="I2797" s="5">
        <f>Tabelle13[[#This Row],[%]]+I2796</f>
        <v>0.96523452750565242</v>
      </c>
      <c r="J2797" s="4">
        <f t="shared" si="119"/>
        <v>1.105583195135434E-4</v>
      </c>
      <c r="K2797" s="5">
        <f t="shared" si="120"/>
        <v>0.30901050304035543</v>
      </c>
    </row>
    <row r="2798" spans="1:11" x14ac:dyDescent="0.25">
      <c r="A2798" t="s">
        <v>12393</v>
      </c>
      <c r="C2798" t="s">
        <v>12394</v>
      </c>
      <c r="D2798" t="s">
        <v>309</v>
      </c>
      <c r="E2798" t="s">
        <v>6</v>
      </c>
      <c r="F2798" t="s">
        <v>251</v>
      </c>
      <c r="G2798">
        <v>3</v>
      </c>
      <c r="H2798" s="2">
        <f>Tabelle13[[#This Row],[commits]]/Tabelle13[[#Totals],[commits]]</f>
        <v>1.3943371321273866E-5</v>
      </c>
      <c r="I2798" s="5">
        <f>Tabelle13[[#This Row],[%]]+I2797</f>
        <v>0.96524847087697374</v>
      </c>
      <c r="J2798" s="4">
        <f t="shared" si="119"/>
        <v>1.105583195135434E-4</v>
      </c>
      <c r="K2798" s="5">
        <f t="shared" si="120"/>
        <v>0.309121061359869</v>
      </c>
    </row>
    <row r="2799" spans="1:11" x14ac:dyDescent="0.25">
      <c r="A2799" t="s">
        <v>12395</v>
      </c>
      <c r="C2799" t="s">
        <v>12396</v>
      </c>
      <c r="D2799" t="s">
        <v>5</v>
      </c>
      <c r="E2799" t="s">
        <v>6</v>
      </c>
      <c r="F2799" t="s">
        <v>251</v>
      </c>
      <c r="G2799">
        <v>3</v>
      </c>
      <c r="H2799" s="2">
        <f>Tabelle13[[#This Row],[commits]]/Tabelle13[[#Totals],[commits]]</f>
        <v>1.3943371321273866E-5</v>
      </c>
      <c r="I2799" s="5">
        <f>Tabelle13[[#This Row],[%]]+I2798</f>
        <v>0.96526241424829506</v>
      </c>
      <c r="J2799" s="4">
        <f t="shared" si="119"/>
        <v>1.105583195135434E-4</v>
      </c>
      <c r="K2799" s="5">
        <f t="shared" si="120"/>
        <v>0.30923161967938256</v>
      </c>
    </row>
    <row r="2800" spans="1:11" x14ac:dyDescent="0.25">
      <c r="A2800" t="s">
        <v>12397</v>
      </c>
      <c r="C2800" t="s">
        <v>12398</v>
      </c>
      <c r="D2800" t="s">
        <v>309</v>
      </c>
      <c r="E2800" t="s">
        <v>6</v>
      </c>
      <c r="F2800" t="s">
        <v>251</v>
      </c>
      <c r="G2800">
        <v>3</v>
      </c>
      <c r="H2800" s="2">
        <f>Tabelle13[[#This Row],[commits]]/Tabelle13[[#Totals],[commits]]</f>
        <v>1.3943371321273866E-5</v>
      </c>
      <c r="I2800" s="5">
        <f>Tabelle13[[#This Row],[%]]+I2799</f>
        <v>0.96527635761961639</v>
      </c>
      <c r="J2800" s="4">
        <f t="shared" si="119"/>
        <v>1.105583195135434E-4</v>
      </c>
      <c r="K2800" s="5">
        <f t="shared" si="120"/>
        <v>0.30934217799889613</v>
      </c>
    </row>
    <row r="2801" spans="1:11" x14ac:dyDescent="0.25">
      <c r="A2801" t="s">
        <v>12399</v>
      </c>
      <c r="C2801" t="s">
        <v>12400</v>
      </c>
      <c r="D2801" t="s">
        <v>5</v>
      </c>
      <c r="E2801" t="s">
        <v>6</v>
      </c>
      <c r="F2801" t="s">
        <v>251</v>
      </c>
      <c r="G2801">
        <v>3</v>
      </c>
      <c r="H2801" s="2">
        <f>Tabelle13[[#This Row],[commits]]/Tabelle13[[#Totals],[commits]]</f>
        <v>1.3943371321273866E-5</v>
      </c>
      <c r="I2801" s="5">
        <f>Tabelle13[[#This Row],[%]]+I2800</f>
        <v>0.96529030099093771</v>
      </c>
      <c r="J2801" s="4">
        <f t="shared" si="119"/>
        <v>1.105583195135434E-4</v>
      </c>
      <c r="K2801" s="5">
        <f t="shared" si="120"/>
        <v>0.30945273631840969</v>
      </c>
    </row>
    <row r="2802" spans="1:11" x14ac:dyDescent="0.25">
      <c r="A2802" t="s">
        <v>12401</v>
      </c>
      <c r="C2802" t="s">
        <v>12402</v>
      </c>
      <c r="D2802" t="s">
        <v>5</v>
      </c>
      <c r="E2802" t="s">
        <v>6</v>
      </c>
      <c r="F2802" t="s">
        <v>251</v>
      </c>
      <c r="G2802">
        <v>3</v>
      </c>
      <c r="H2802" s="2">
        <f>Tabelle13[[#This Row],[commits]]/Tabelle13[[#Totals],[commits]]</f>
        <v>1.3943371321273866E-5</v>
      </c>
      <c r="I2802" s="5">
        <f>Tabelle13[[#This Row],[%]]+I2801</f>
        <v>0.96530424436225903</v>
      </c>
      <c r="J2802" s="4">
        <f t="shared" si="119"/>
        <v>1.105583195135434E-4</v>
      </c>
      <c r="K2802" s="5">
        <f t="shared" si="120"/>
        <v>0.30956329463792326</v>
      </c>
    </row>
    <row r="2803" spans="1:11" x14ac:dyDescent="0.25">
      <c r="A2803" t="s">
        <v>12403</v>
      </c>
      <c r="C2803" t="s">
        <v>12404</v>
      </c>
      <c r="D2803" t="s">
        <v>5</v>
      </c>
      <c r="E2803" t="s">
        <v>6</v>
      </c>
      <c r="F2803" t="s">
        <v>251</v>
      </c>
      <c r="G2803">
        <v>3</v>
      </c>
      <c r="H2803" s="2">
        <f>Tabelle13[[#This Row],[commits]]/Tabelle13[[#Totals],[commits]]</f>
        <v>1.3943371321273866E-5</v>
      </c>
      <c r="I2803" s="5">
        <f>Tabelle13[[#This Row],[%]]+I2802</f>
        <v>0.96531818773358036</v>
      </c>
      <c r="J2803" s="4">
        <f t="shared" si="119"/>
        <v>1.105583195135434E-4</v>
      </c>
      <c r="K2803" s="5">
        <f t="shared" si="120"/>
        <v>0.30967385295743682</v>
      </c>
    </row>
    <row r="2804" spans="1:11" x14ac:dyDescent="0.25">
      <c r="A2804" t="s">
        <v>12405</v>
      </c>
      <c r="C2804" t="s">
        <v>12406</v>
      </c>
      <c r="D2804" t="s">
        <v>5</v>
      </c>
      <c r="E2804" t="s">
        <v>6</v>
      </c>
      <c r="F2804" t="s">
        <v>251</v>
      </c>
      <c r="G2804">
        <v>3</v>
      </c>
      <c r="H2804" s="2">
        <f>Tabelle13[[#This Row],[commits]]/Tabelle13[[#Totals],[commits]]</f>
        <v>1.3943371321273866E-5</v>
      </c>
      <c r="I2804" s="5">
        <f>Tabelle13[[#This Row],[%]]+I2803</f>
        <v>0.96533213110490168</v>
      </c>
      <c r="J2804" s="4">
        <f t="shared" si="119"/>
        <v>1.105583195135434E-4</v>
      </c>
      <c r="K2804" s="5">
        <f t="shared" si="120"/>
        <v>0.30978441127695039</v>
      </c>
    </row>
    <row r="2805" spans="1:11" x14ac:dyDescent="0.25">
      <c r="A2805" t="s">
        <v>12407</v>
      </c>
      <c r="C2805" t="s">
        <v>12408</v>
      </c>
      <c r="D2805" t="s">
        <v>5</v>
      </c>
      <c r="E2805" t="s">
        <v>6</v>
      </c>
      <c r="F2805" t="s">
        <v>251</v>
      </c>
      <c r="G2805">
        <v>3</v>
      </c>
      <c r="H2805" s="2">
        <f>Tabelle13[[#This Row],[commits]]/Tabelle13[[#Totals],[commits]]</f>
        <v>1.3943371321273866E-5</v>
      </c>
      <c r="I2805" s="5">
        <f>Tabelle13[[#This Row],[%]]+I2804</f>
        <v>0.965346074476223</v>
      </c>
      <c r="J2805" s="4">
        <f t="shared" si="119"/>
        <v>1.105583195135434E-4</v>
      </c>
      <c r="K2805" s="5">
        <f t="shared" si="120"/>
        <v>0.30989496959646395</v>
      </c>
    </row>
    <row r="2806" spans="1:11" x14ac:dyDescent="0.25">
      <c r="A2806" t="s">
        <v>12409</v>
      </c>
      <c r="C2806">
        <v>779222056</v>
      </c>
      <c r="D2806" t="s">
        <v>5</v>
      </c>
      <c r="E2806" t="s">
        <v>6</v>
      </c>
      <c r="F2806" t="s">
        <v>251</v>
      </c>
      <c r="G2806">
        <v>3</v>
      </c>
      <c r="H2806" s="2">
        <f>Tabelle13[[#This Row],[commits]]/Tabelle13[[#Totals],[commits]]</f>
        <v>1.3943371321273866E-5</v>
      </c>
      <c r="I2806" s="5">
        <f>Tabelle13[[#This Row],[%]]+I2805</f>
        <v>0.96536001784754433</v>
      </c>
      <c r="J2806" s="4">
        <f t="shared" si="119"/>
        <v>1.105583195135434E-4</v>
      </c>
      <c r="K2806" s="5">
        <f t="shared" si="120"/>
        <v>0.31000552791597752</v>
      </c>
    </row>
    <row r="2807" spans="1:11" x14ac:dyDescent="0.25">
      <c r="A2807" t="s">
        <v>12410</v>
      </c>
      <c r="C2807" t="s">
        <v>12411</v>
      </c>
      <c r="D2807" t="s">
        <v>5</v>
      </c>
      <c r="E2807" t="s">
        <v>6</v>
      </c>
      <c r="F2807" t="s">
        <v>251</v>
      </c>
      <c r="G2807">
        <v>3</v>
      </c>
      <c r="H2807" s="2">
        <f>Tabelle13[[#This Row],[commits]]/Tabelle13[[#Totals],[commits]]</f>
        <v>1.3943371321273866E-5</v>
      </c>
      <c r="I2807" s="5">
        <f>Tabelle13[[#This Row],[%]]+I2806</f>
        <v>0.96537396121886565</v>
      </c>
      <c r="J2807" s="4">
        <f t="shared" si="119"/>
        <v>1.105583195135434E-4</v>
      </c>
      <c r="K2807" s="5">
        <f t="shared" si="120"/>
        <v>0.31011608623549108</v>
      </c>
    </row>
    <row r="2808" spans="1:11" x14ac:dyDescent="0.25">
      <c r="A2808" t="s">
        <v>12412</v>
      </c>
      <c r="C2808" t="s">
        <v>12413</v>
      </c>
      <c r="D2808" t="s">
        <v>5</v>
      </c>
      <c r="E2808" t="s">
        <v>6</v>
      </c>
      <c r="F2808" t="s">
        <v>251</v>
      </c>
      <c r="G2808">
        <v>3</v>
      </c>
      <c r="H2808" s="2">
        <f>Tabelle13[[#This Row],[commits]]/Tabelle13[[#Totals],[commits]]</f>
        <v>1.3943371321273866E-5</v>
      </c>
      <c r="I2808" s="5">
        <f>Tabelle13[[#This Row],[%]]+I2807</f>
        <v>0.96538790459018697</v>
      </c>
      <c r="J2808" s="4">
        <f t="shared" si="119"/>
        <v>1.105583195135434E-4</v>
      </c>
      <c r="K2808" s="5">
        <f t="shared" si="120"/>
        <v>0.31022664455500465</v>
      </c>
    </row>
    <row r="2809" spans="1:11" x14ac:dyDescent="0.25">
      <c r="A2809" t="s">
        <v>12414</v>
      </c>
      <c r="C2809" t="s">
        <v>12415</v>
      </c>
      <c r="D2809" t="s">
        <v>5</v>
      </c>
      <c r="E2809" t="s">
        <v>6</v>
      </c>
      <c r="F2809" t="s">
        <v>251</v>
      </c>
      <c r="G2809">
        <v>3</v>
      </c>
      <c r="H2809" s="2">
        <f>Tabelle13[[#This Row],[commits]]/Tabelle13[[#Totals],[commits]]</f>
        <v>1.3943371321273866E-5</v>
      </c>
      <c r="I2809" s="5">
        <f>Tabelle13[[#This Row],[%]]+I2808</f>
        <v>0.9654018479615083</v>
      </c>
      <c r="J2809" s="4">
        <f t="shared" si="119"/>
        <v>1.105583195135434E-4</v>
      </c>
      <c r="K2809" s="5">
        <f t="shared" si="120"/>
        <v>0.31033720287451821</v>
      </c>
    </row>
    <row r="2810" spans="1:11" x14ac:dyDescent="0.25">
      <c r="A2810" t="s">
        <v>12416</v>
      </c>
      <c r="C2810" t="s">
        <v>12417</v>
      </c>
      <c r="D2810" t="s">
        <v>5</v>
      </c>
      <c r="E2810" t="s">
        <v>6</v>
      </c>
      <c r="F2810" t="s">
        <v>251</v>
      </c>
      <c r="G2810">
        <v>3</v>
      </c>
      <c r="H2810" s="2">
        <f>Tabelle13[[#This Row],[commits]]/Tabelle13[[#Totals],[commits]]</f>
        <v>1.3943371321273866E-5</v>
      </c>
      <c r="I2810" s="5">
        <f>Tabelle13[[#This Row],[%]]+I2809</f>
        <v>0.96541579133282962</v>
      </c>
      <c r="J2810" s="4">
        <f t="shared" si="119"/>
        <v>1.105583195135434E-4</v>
      </c>
      <c r="K2810" s="5">
        <f t="shared" si="120"/>
        <v>0.31044776119403178</v>
      </c>
    </row>
    <row r="2811" spans="1:11" x14ac:dyDescent="0.25">
      <c r="A2811" t="s">
        <v>12418</v>
      </c>
      <c r="C2811" t="s">
        <v>12419</v>
      </c>
      <c r="D2811" t="s">
        <v>5</v>
      </c>
      <c r="E2811" t="s">
        <v>6</v>
      </c>
      <c r="F2811" t="s">
        <v>251</v>
      </c>
      <c r="G2811">
        <v>3</v>
      </c>
      <c r="H2811" s="2">
        <f>Tabelle13[[#This Row],[commits]]/Tabelle13[[#Totals],[commits]]</f>
        <v>1.3943371321273866E-5</v>
      </c>
      <c r="I2811" s="5">
        <f>Tabelle13[[#This Row],[%]]+I2810</f>
        <v>0.96542973470415094</v>
      </c>
      <c r="J2811" s="4">
        <f t="shared" si="119"/>
        <v>1.105583195135434E-4</v>
      </c>
      <c r="K2811" s="5">
        <f t="shared" si="120"/>
        <v>0.31055831951354534</v>
      </c>
    </row>
    <row r="2812" spans="1:11" x14ac:dyDescent="0.25">
      <c r="A2812" t="s">
        <v>12420</v>
      </c>
      <c r="C2812" t="s">
        <v>12421</v>
      </c>
      <c r="D2812" t="s">
        <v>5</v>
      </c>
      <c r="E2812" t="s">
        <v>6</v>
      </c>
      <c r="F2812" t="s">
        <v>251</v>
      </c>
      <c r="G2812">
        <v>3</v>
      </c>
      <c r="H2812" s="2">
        <f>Tabelle13[[#This Row],[commits]]/Tabelle13[[#Totals],[commits]]</f>
        <v>1.3943371321273866E-5</v>
      </c>
      <c r="I2812" s="5">
        <f>Tabelle13[[#This Row],[%]]+I2811</f>
        <v>0.96544367807547227</v>
      </c>
      <c r="J2812" s="4">
        <f t="shared" si="119"/>
        <v>1.105583195135434E-4</v>
      </c>
      <c r="K2812" s="5">
        <f t="shared" si="120"/>
        <v>0.31066887783305891</v>
      </c>
    </row>
    <row r="2813" spans="1:11" x14ac:dyDescent="0.25">
      <c r="A2813" t="s">
        <v>12422</v>
      </c>
      <c r="C2813" t="s">
        <v>12423</v>
      </c>
      <c r="D2813" t="s">
        <v>5</v>
      </c>
      <c r="E2813" t="s">
        <v>6</v>
      </c>
      <c r="F2813" t="s">
        <v>251</v>
      </c>
      <c r="G2813">
        <v>3</v>
      </c>
      <c r="H2813" s="2">
        <f>Tabelle13[[#This Row],[commits]]/Tabelle13[[#Totals],[commits]]</f>
        <v>1.3943371321273866E-5</v>
      </c>
      <c r="I2813" s="5">
        <f>Tabelle13[[#This Row],[%]]+I2812</f>
        <v>0.96545762144679359</v>
      </c>
      <c r="J2813" s="4">
        <f t="shared" si="119"/>
        <v>1.105583195135434E-4</v>
      </c>
      <c r="K2813" s="5">
        <f t="shared" si="120"/>
        <v>0.31077943615257247</v>
      </c>
    </row>
    <row r="2814" spans="1:11" x14ac:dyDescent="0.25">
      <c r="A2814" t="s">
        <v>12424</v>
      </c>
      <c r="C2814" t="s">
        <v>12425</v>
      </c>
      <c r="D2814" t="s">
        <v>309</v>
      </c>
      <c r="E2814" t="s">
        <v>6</v>
      </c>
      <c r="F2814" t="s">
        <v>251</v>
      </c>
      <c r="G2814">
        <v>3</v>
      </c>
      <c r="H2814" s="2">
        <f>Tabelle13[[#This Row],[commits]]/Tabelle13[[#Totals],[commits]]</f>
        <v>1.3943371321273866E-5</v>
      </c>
      <c r="I2814" s="5">
        <f>Tabelle13[[#This Row],[%]]+I2813</f>
        <v>0.96547156481811491</v>
      </c>
      <c r="J2814" s="4">
        <f t="shared" si="119"/>
        <v>1.105583195135434E-4</v>
      </c>
      <c r="K2814" s="5">
        <f t="shared" si="120"/>
        <v>0.31088999447208604</v>
      </c>
    </row>
    <row r="2815" spans="1:11" x14ac:dyDescent="0.25">
      <c r="A2815" t="s">
        <v>12426</v>
      </c>
      <c r="C2815" t="s">
        <v>1427</v>
      </c>
      <c r="D2815" t="s">
        <v>5</v>
      </c>
      <c r="E2815" t="s">
        <v>6</v>
      </c>
      <c r="F2815" t="s">
        <v>251</v>
      </c>
      <c r="G2815">
        <v>3</v>
      </c>
      <c r="H2815" s="2">
        <f>Tabelle13[[#This Row],[commits]]/Tabelle13[[#Totals],[commits]]</f>
        <v>1.3943371321273866E-5</v>
      </c>
      <c r="I2815" s="5">
        <f>Tabelle13[[#This Row],[%]]+I2814</f>
        <v>0.96548550818943624</v>
      </c>
      <c r="J2815" s="4">
        <f t="shared" si="119"/>
        <v>1.105583195135434E-4</v>
      </c>
      <c r="K2815" s="5">
        <f t="shared" si="120"/>
        <v>0.3110005527915996</v>
      </c>
    </row>
    <row r="2816" spans="1:11" x14ac:dyDescent="0.25">
      <c r="A2816" t="s">
        <v>12427</v>
      </c>
      <c r="C2816" t="s">
        <v>12428</v>
      </c>
      <c r="D2816" t="s">
        <v>5</v>
      </c>
      <c r="E2816" t="s">
        <v>6</v>
      </c>
      <c r="F2816" t="s">
        <v>251</v>
      </c>
      <c r="G2816">
        <v>3</v>
      </c>
      <c r="H2816" s="2">
        <f>Tabelle13[[#This Row],[commits]]/Tabelle13[[#Totals],[commits]]</f>
        <v>1.3943371321273866E-5</v>
      </c>
      <c r="I2816" s="5">
        <f>Tabelle13[[#This Row],[%]]+I2815</f>
        <v>0.96549945156075756</v>
      </c>
      <c r="J2816" s="4">
        <f t="shared" si="119"/>
        <v>1.105583195135434E-4</v>
      </c>
      <c r="K2816" s="5">
        <f t="shared" si="120"/>
        <v>0.31111111111111317</v>
      </c>
    </row>
    <row r="2817" spans="1:11" x14ac:dyDescent="0.25">
      <c r="A2817" t="s">
        <v>12429</v>
      </c>
      <c r="C2817" t="s">
        <v>12430</v>
      </c>
      <c r="D2817" t="s">
        <v>6702</v>
      </c>
      <c r="E2817" t="s">
        <v>6</v>
      </c>
      <c r="F2817" t="s">
        <v>251</v>
      </c>
      <c r="G2817">
        <v>3</v>
      </c>
      <c r="H2817" s="2">
        <f>Tabelle13[[#This Row],[commits]]/Tabelle13[[#Totals],[commits]]</f>
        <v>1.3943371321273866E-5</v>
      </c>
      <c r="I2817" s="5">
        <f>Tabelle13[[#This Row],[%]]+I2816</f>
        <v>0.96551339493207888</v>
      </c>
      <c r="J2817" s="4">
        <f t="shared" si="119"/>
        <v>1.105583195135434E-4</v>
      </c>
      <c r="K2817" s="5">
        <f t="shared" si="120"/>
        <v>0.31122166943062674</v>
      </c>
    </row>
    <row r="2818" spans="1:11" x14ac:dyDescent="0.25">
      <c r="A2818" t="s">
        <v>12431</v>
      </c>
      <c r="C2818" t="s">
        <v>12432</v>
      </c>
      <c r="D2818" t="s">
        <v>5</v>
      </c>
      <c r="E2818" t="s">
        <v>6</v>
      </c>
      <c r="F2818" t="s">
        <v>251</v>
      </c>
      <c r="G2818">
        <v>3</v>
      </c>
      <c r="H2818" s="2">
        <f>Tabelle13[[#This Row],[commits]]/Tabelle13[[#Totals],[commits]]</f>
        <v>1.3943371321273866E-5</v>
      </c>
      <c r="I2818" s="5">
        <f>Tabelle13[[#This Row],[%]]+I2817</f>
        <v>0.96552733830340021</v>
      </c>
      <c r="J2818" s="4">
        <f t="shared" si="119"/>
        <v>1.105583195135434E-4</v>
      </c>
      <c r="K2818" s="5">
        <f t="shared" si="120"/>
        <v>0.3113322277501403</v>
      </c>
    </row>
    <row r="2819" spans="1:11" x14ac:dyDescent="0.25">
      <c r="A2819" t="s">
        <v>12433</v>
      </c>
      <c r="C2819" t="s">
        <v>12434</v>
      </c>
      <c r="D2819" t="s">
        <v>5</v>
      </c>
      <c r="E2819" t="s">
        <v>6</v>
      </c>
      <c r="F2819" t="s">
        <v>251</v>
      </c>
      <c r="G2819">
        <v>3</v>
      </c>
      <c r="H2819" s="2">
        <f>Tabelle13[[#This Row],[commits]]/Tabelle13[[#Totals],[commits]]</f>
        <v>1.3943371321273866E-5</v>
      </c>
      <c r="I2819" s="5">
        <f>Tabelle13[[#This Row],[%]]+I2818</f>
        <v>0.96554128167472153</v>
      </c>
      <c r="J2819" s="4">
        <f t="shared" ref="J2819:J2882" si="121">1/9045</f>
        <v>1.105583195135434E-4</v>
      </c>
      <c r="K2819" s="5">
        <f t="shared" si="120"/>
        <v>0.31144278606965387</v>
      </c>
    </row>
    <row r="2820" spans="1:11" x14ac:dyDescent="0.25">
      <c r="A2820" t="s">
        <v>12435</v>
      </c>
      <c r="C2820" t="s">
        <v>12436</v>
      </c>
      <c r="D2820" t="s">
        <v>5</v>
      </c>
      <c r="E2820" t="s">
        <v>6</v>
      </c>
      <c r="F2820" t="s">
        <v>251</v>
      </c>
      <c r="G2820">
        <v>3</v>
      </c>
      <c r="H2820" s="2">
        <f>Tabelle13[[#This Row],[commits]]/Tabelle13[[#Totals],[commits]]</f>
        <v>1.3943371321273866E-5</v>
      </c>
      <c r="I2820" s="5">
        <f>Tabelle13[[#This Row],[%]]+I2819</f>
        <v>0.96555522504604285</v>
      </c>
      <c r="J2820" s="4">
        <f t="shared" si="121"/>
        <v>1.105583195135434E-4</v>
      </c>
      <c r="K2820" s="5">
        <f t="shared" si="120"/>
        <v>0.31155334438916743</v>
      </c>
    </row>
    <row r="2821" spans="1:11" x14ac:dyDescent="0.25">
      <c r="A2821" t="s">
        <v>12437</v>
      </c>
      <c r="C2821" t="s">
        <v>12438</v>
      </c>
      <c r="D2821" t="s">
        <v>5</v>
      </c>
      <c r="E2821" t="s">
        <v>6</v>
      </c>
      <c r="F2821" t="s">
        <v>251</v>
      </c>
      <c r="G2821">
        <v>3</v>
      </c>
      <c r="H2821" s="2">
        <f>Tabelle13[[#This Row],[commits]]/Tabelle13[[#Totals],[commits]]</f>
        <v>1.3943371321273866E-5</v>
      </c>
      <c r="I2821" s="5">
        <f>Tabelle13[[#This Row],[%]]+I2820</f>
        <v>0.96556916841736418</v>
      </c>
      <c r="J2821" s="4">
        <f t="shared" si="121"/>
        <v>1.105583195135434E-4</v>
      </c>
      <c r="K2821" s="5">
        <f t="shared" si="120"/>
        <v>0.311663902708681</v>
      </c>
    </row>
    <row r="2822" spans="1:11" x14ac:dyDescent="0.25">
      <c r="A2822" t="s">
        <v>12439</v>
      </c>
      <c r="C2822" t="s">
        <v>12440</v>
      </c>
      <c r="D2822" t="s">
        <v>5</v>
      </c>
      <c r="E2822" t="s">
        <v>6</v>
      </c>
      <c r="F2822" t="s">
        <v>251</v>
      </c>
      <c r="G2822">
        <v>3</v>
      </c>
      <c r="H2822" s="2">
        <f>Tabelle13[[#This Row],[commits]]/Tabelle13[[#Totals],[commits]]</f>
        <v>1.3943371321273866E-5</v>
      </c>
      <c r="I2822" s="5">
        <f>Tabelle13[[#This Row],[%]]+I2821</f>
        <v>0.9655831117886855</v>
      </c>
      <c r="J2822" s="4">
        <f t="shared" si="121"/>
        <v>1.105583195135434E-4</v>
      </c>
      <c r="K2822" s="5">
        <f t="shared" ref="K2822:K2885" si="122">J2822+K2821</f>
        <v>0.31177446102819456</v>
      </c>
    </row>
    <row r="2823" spans="1:11" x14ac:dyDescent="0.25">
      <c r="A2823" t="s">
        <v>12441</v>
      </c>
      <c r="C2823" t="s">
        <v>12442</v>
      </c>
      <c r="D2823" t="s">
        <v>309</v>
      </c>
      <c r="E2823" t="s">
        <v>6</v>
      </c>
      <c r="F2823" t="s">
        <v>251</v>
      </c>
      <c r="G2823">
        <v>3</v>
      </c>
      <c r="H2823" s="2">
        <f>Tabelle13[[#This Row],[commits]]/Tabelle13[[#Totals],[commits]]</f>
        <v>1.3943371321273866E-5</v>
      </c>
      <c r="I2823" s="5">
        <f>Tabelle13[[#This Row],[%]]+I2822</f>
        <v>0.96559705516000682</v>
      </c>
      <c r="J2823" s="4">
        <f t="shared" si="121"/>
        <v>1.105583195135434E-4</v>
      </c>
      <c r="K2823" s="5">
        <f t="shared" si="122"/>
        <v>0.31188501934770813</v>
      </c>
    </row>
    <row r="2824" spans="1:11" x14ac:dyDescent="0.25">
      <c r="A2824" t="s">
        <v>12443</v>
      </c>
      <c r="C2824" t="s">
        <v>12444</v>
      </c>
      <c r="D2824" t="s">
        <v>5</v>
      </c>
      <c r="E2824" t="s">
        <v>6</v>
      </c>
      <c r="F2824" t="s">
        <v>251</v>
      </c>
      <c r="G2824">
        <v>3</v>
      </c>
      <c r="H2824" s="2">
        <f>Tabelle13[[#This Row],[commits]]/Tabelle13[[#Totals],[commits]]</f>
        <v>1.3943371321273866E-5</v>
      </c>
      <c r="I2824" s="5">
        <f>Tabelle13[[#This Row],[%]]+I2823</f>
        <v>0.96561099853132815</v>
      </c>
      <c r="J2824" s="4">
        <f t="shared" si="121"/>
        <v>1.105583195135434E-4</v>
      </c>
      <c r="K2824" s="5">
        <f t="shared" si="122"/>
        <v>0.31199557766722169</v>
      </c>
    </row>
    <row r="2825" spans="1:11" x14ac:dyDescent="0.25">
      <c r="A2825" t="s">
        <v>12445</v>
      </c>
      <c r="C2825" t="s">
        <v>12446</v>
      </c>
      <c r="D2825" t="s">
        <v>309</v>
      </c>
      <c r="E2825" t="s">
        <v>6</v>
      </c>
      <c r="F2825" t="s">
        <v>251</v>
      </c>
      <c r="G2825">
        <v>3</v>
      </c>
      <c r="H2825" s="2">
        <f>Tabelle13[[#This Row],[commits]]/Tabelle13[[#Totals],[commits]]</f>
        <v>1.3943371321273866E-5</v>
      </c>
      <c r="I2825" s="5">
        <f>Tabelle13[[#This Row],[%]]+I2824</f>
        <v>0.96562494190264947</v>
      </c>
      <c r="J2825" s="4">
        <f t="shared" si="121"/>
        <v>1.105583195135434E-4</v>
      </c>
      <c r="K2825" s="5">
        <f t="shared" si="122"/>
        <v>0.31210613598673526</v>
      </c>
    </row>
    <row r="2826" spans="1:11" x14ac:dyDescent="0.25">
      <c r="A2826" t="s">
        <v>17185</v>
      </c>
      <c r="C2826" t="s">
        <v>17186</v>
      </c>
      <c r="D2826" t="s">
        <v>5</v>
      </c>
      <c r="E2826" t="s">
        <v>6</v>
      </c>
      <c r="F2826" t="s">
        <v>334</v>
      </c>
      <c r="G2826">
        <v>3</v>
      </c>
      <c r="H2826" s="2">
        <f>Tabelle13[[#This Row],[commits]]/Tabelle13[[#Totals],[commits]]</f>
        <v>1.3943371321273866E-5</v>
      </c>
      <c r="I2826" s="5">
        <f>Tabelle13[[#This Row],[%]]+I2825</f>
        <v>0.96563888527397079</v>
      </c>
      <c r="J2826" s="4">
        <f t="shared" si="121"/>
        <v>1.105583195135434E-4</v>
      </c>
      <c r="K2826" s="5">
        <f t="shared" si="122"/>
        <v>0.31221669430624882</v>
      </c>
    </row>
    <row r="2827" spans="1:11" x14ac:dyDescent="0.25">
      <c r="A2827" t="s">
        <v>17187</v>
      </c>
      <c r="C2827" t="s">
        <v>17188</v>
      </c>
      <c r="D2827" t="s">
        <v>5</v>
      </c>
      <c r="E2827" t="s">
        <v>6</v>
      </c>
      <c r="F2827" t="s">
        <v>334</v>
      </c>
      <c r="G2827">
        <v>3</v>
      </c>
      <c r="H2827" s="2">
        <f>Tabelle13[[#This Row],[commits]]/Tabelle13[[#Totals],[commits]]</f>
        <v>1.3943371321273866E-5</v>
      </c>
      <c r="I2827" s="5">
        <f>Tabelle13[[#This Row],[%]]+I2826</f>
        <v>0.96565282864529212</v>
      </c>
      <c r="J2827" s="4">
        <f t="shared" si="121"/>
        <v>1.105583195135434E-4</v>
      </c>
      <c r="K2827" s="5">
        <f t="shared" si="122"/>
        <v>0.31232725262576239</v>
      </c>
    </row>
    <row r="2828" spans="1:11" x14ac:dyDescent="0.25">
      <c r="A2828" t="s">
        <v>17189</v>
      </c>
      <c r="C2828" t="s">
        <v>17190</v>
      </c>
      <c r="D2828" t="s">
        <v>5</v>
      </c>
      <c r="E2828" t="s">
        <v>6</v>
      </c>
      <c r="F2828" t="s">
        <v>334</v>
      </c>
      <c r="G2828">
        <v>3</v>
      </c>
      <c r="H2828" s="2">
        <f>Tabelle13[[#This Row],[commits]]/Tabelle13[[#Totals],[commits]]</f>
        <v>1.3943371321273866E-5</v>
      </c>
      <c r="I2828" s="5">
        <f>Tabelle13[[#This Row],[%]]+I2827</f>
        <v>0.96566677201661344</v>
      </c>
      <c r="J2828" s="4">
        <f t="shared" si="121"/>
        <v>1.105583195135434E-4</v>
      </c>
      <c r="K2828" s="5">
        <f t="shared" si="122"/>
        <v>0.31243781094527595</v>
      </c>
    </row>
    <row r="2829" spans="1:11" x14ac:dyDescent="0.25">
      <c r="A2829" t="s">
        <v>17191</v>
      </c>
      <c r="C2829" t="s">
        <v>17192</v>
      </c>
      <c r="D2829" t="s">
        <v>5</v>
      </c>
      <c r="E2829" t="s">
        <v>6</v>
      </c>
      <c r="F2829" t="s">
        <v>334</v>
      </c>
      <c r="G2829">
        <v>3</v>
      </c>
      <c r="H2829" s="2">
        <f>Tabelle13[[#This Row],[commits]]/Tabelle13[[#Totals],[commits]]</f>
        <v>1.3943371321273866E-5</v>
      </c>
      <c r="I2829" s="5">
        <f>Tabelle13[[#This Row],[%]]+I2828</f>
        <v>0.96568071538793476</v>
      </c>
      <c r="J2829" s="4">
        <f t="shared" si="121"/>
        <v>1.105583195135434E-4</v>
      </c>
      <c r="K2829" s="5">
        <f t="shared" si="122"/>
        <v>0.31254836926478952</v>
      </c>
    </row>
    <row r="2830" spans="1:11" x14ac:dyDescent="0.25">
      <c r="A2830" t="s">
        <v>17193</v>
      </c>
      <c r="C2830" t="s">
        <v>17194</v>
      </c>
      <c r="D2830" t="s">
        <v>5</v>
      </c>
      <c r="E2830" t="s">
        <v>6</v>
      </c>
      <c r="F2830" t="s">
        <v>334</v>
      </c>
      <c r="G2830">
        <v>3</v>
      </c>
      <c r="H2830" s="2">
        <f>Tabelle13[[#This Row],[commits]]/Tabelle13[[#Totals],[commits]]</f>
        <v>1.3943371321273866E-5</v>
      </c>
      <c r="I2830" s="5">
        <f>Tabelle13[[#This Row],[%]]+I2829</f>
        <v>0.96569465875925609</v>
      </c>
      <c r="J2830" s="4">
        <f t="shared" si="121"/>
        <v>1.105583195135434E-4</v>
      </c>
      <c r="K2830" s="5">
        <f t="shared" si="122"/>
        <v>0.31265892758430308</v>
      </c>
    </row>
    <row r="2831" spans="1:11" x14ac:dyDescent="0.25">
      <c r="A2831" t="s">
        <v>17195</v>
      </c>
      <c r="C2831" t="s">
        <v>17196</v>
      </c>
      <c r="D2831" t="s">
        <v>5</v>
      </c>
      <c r="E2831" t="s">
        <v>6</v>
      </c>
      <c r="F2831" t="s">
        <v>334</v>
      </c>
      <c r="G2831">
        <v>3</v>
      </c>
      <c r="H2831" s="2">
        <f>Tabelle13[[#This Row],[commits]]/Tabelle13[[#Totals],[commits]]</f>
        <v>1.3943371321273866E-5</v>
      </c>
      <c r="I2831" s="5">
        <f>Tabelle13[[#This Row],[%]]+I2830</f>
        <v>0.96570860213057741</v>
      </c>
      <c r="J2831" s="4">
        <f t="shared" si="121"/>
        <v>1.105583195135434E-4</v>
      </c>
      <c r="K2831" s="5">
        <f t="shared" si="122"/>
        <v>0.31276948590381665</v>
      </c>
    </row>
    <row r="2832" spans="1:11" x14ac:dyDescent="0.25">
      <c r="A2832" t="s">
        <v>17197</v>
      </c>
      <c r="C2832" t="s">
        <v>532</v>
      </c>
      <c r="D2832" t="s">
        <v>5</v>
      </c>
      <c r="E2832" t="s">
        <v>6</v>
      </c>
      <c r="F2832" t="s">
        <v>334</v>
      </c>
      <c r="G2832">
        <v>3</v>
      </c>
      <c r="H2832" s="2">
        <f>Tabelle13[[#This Row],[commits]]/Tabelle13[[#Totals],[commits]]</f>
        <v>1.3943371321273866E-5</v>
      </c>
      <c r="I2832" s="5">
        <f>Tabelle13[[#This Row],[%]]+I2831</f>
        <v>0.96572254550189873</v>
      </c>
      <c r="J2832" s="4">
        <f t="shared" si="121"/>
        <v>1.105583195135434E-4</v>
      </c>
      <c r="K2832" s="5">
        <f t="shared" si="122"/>
        <v>0.31288004422333021</v>
      </c>
    </row>
    <row r="2833" spans="1:11" x14ac:dyDescent="0.25">
      <c r="A2833" t="s">
        <v>17198</v>
      </c>
      <c r="C2833">
        <v>1340641314</v>
      </c>
      <c r="D2833" t="s">
        <v>5</v>
      </c>
      <c r="E2833" t="s">
        <v>6</v>
      </c>
      <c r="F2833" t="s">
        <v>334</v>
      </c>
      <c r="G2833">
        <v>3</v>
      </c>
      <c r="H2833" s="2">
        <f>Tabelle13[[#This Row],[commits]]/Tabelle13[[#Totals],[commits]]</f>
        <v>1.3943371321273866E-5</v>
      </c>
      <c r="I2833" s="5">
        <f>Tabelle13[[#This Row],[%]]+I2832</f>
        <v>0.96573648887322006</v>
      </c>
      <c r="J2833" s="4">
        <f t="shared" si="121"/>
        <v>1.105583195135434E-4</v>
      </c>
      <c r="K2833" s="5">
        <f t="shared" si="122"/>
        <v>0.31299060254284378</v>
      </c>
    </row>
    <row r="2834" spans="1:11" x14ac:dyDescent="0.25">
      <c r="A2834" t="s">
        <v>17199</v>
      </c>
      <c r="C2834" t="s">
        <v>17200</v>
      </c>
      <c r="D2834" t="s">
        <v>5</v>
      </c>
      <c r="E2834" t="s">
        <v>6</v>
      </c>
      <c r="F2834" t="s">
        <v>334</v>
      </c>
      <c r="G2834">
        <v>3</v>
      </c>
      <c r="H2834" s="2">
        <f>Tabelle13[[#This Row],[commits]]/Tabelle13[[#Totals],[commits]]</f>
        <v>1.3943371321273866E-5</v>
      </c>
      <c r="I2834" s="5">
        <f>Tabelle13[[#This Row],[%]]+I2833</f>
        <v>0.96575043224454138</v>
      </c>
      <c r="J2834" s="4">
        <f t="shared" si="121"/>
        <v>1.105583195135434E-4</v>
      </c>
      <c r="K2834" s="5">
        <f t="shared" si="122"/>
        <v>0.31310116086235734</v>
      </c>
    </row>
    <row r="2835" spans="1:11" x14ac:dyDescent="0.25">
      <c r="A2835" t="s">
        <v>17201</v>
      </c>
      <c r="C2835" t="s">
        <v>17202</v>
      </c>
      <c r="D2835" t="s">
        <v>5</v>
      </c>
      <c r="E2835" t="s">
        <v>6</v>
      </c>
      <c r="F2835" t="s">
        <v>334</v>
      </c>
      <c r="G2835">
        <v>3</v>
      </c>
      <c r="H2835" s="2">
        <f>Tabelle13[[#This Row],[commits]]/Tabelle13[[#Totals],[commits]]</f>
        <v>1.3943371321273866E-5</v>
      </c>
      <c r="I2835" s="5">
        <f>Tabelle13[[#This Row],[%]]+I2834</f>
        <v>0.9657643756158627</v>
      </c>
      <c r="J2835" s="4">
        <f t="shared" si="121"/>
        <v>1.105583195135434E-4</v>
      </c>
      <c r="K2835" s="5">
        <f t="shared" si="122"/>
        <v>0.31321171918187091</v>
      </c>
    </row>
    <row r="2836" spans="1:11" x14ac:dyDescent="0.25">
      <c r="A2836" t="s">
        <v>17203</v>
      </c>
      <c r="C2836" t="s">
        <v>17204</v>
      </c>
      <c r="D2836" t="s">
        <v>5</v>
      </c>
      <c r="E2836" t="s">
        <v>6</v>
      </c>
      <c r="F2836" t="s">
        <v>334</v>
      </c>
      <c r="G2836">
        <v>3</v>
      </c>
      <c r="H2836" s="2">
        <f>Tabelle13[[#This Row],[commits]]/Tabelle13[[#Totals],[commits]]</f>
        <v>1.3943371321273866E-5</v>
      </c>
      <c r="I2836" s="5">
        <f>Tabelle13[[#This Row],[%]]+I2835</f>
        <v>0.96577831898718403</v>
      </c>
      <c r="J2836" s="4">
        <f t="shared" si="121"/>
        <v>1.105583195135434E-4</v>
      </c>
      <c r="K2836" s="5">
        <f t="shared" si="122"/>
        <v>0.31332227750138447</v>
      </c>
    </row>
    <row r="2837" spans="1:11" x14ac:dyDescent="0.25">
      <c r="A2837" t="s">
        <v>17205</v>
      </c>
      <c r="C2837" t="s">
        <v>17206</v>
      </c>
      <c r="D2837" t="s">
        <v>5</v>
      </c>
      <c r="E2837" t="s">
        <v>6</v>
      </c>
      <c r="F2837" t="s">
        <v>334</v>
      </c>
      <c r="G2837">
        <v>3</v>
      </c>
      <c r="H2837" s="2">
        <f>Tabelle13[[#This Row],[commits]]/Tabelle13[[#Totals],[commits]]</f>
        <v>1.3943371321273866E-5</v>
      </c>
      <c r="I2837" s="5">
        <f>Tabelle13[[#This Row],[%]]+I2836</f>
        <v>0.96579226235850535</v>
      </c>
      <c r="J2837" s="4">
        <f t="shared" si="121"/>
        <v>1.105583195135434E-4</v>
      </c>
      <c r="K2837" s="5">
        <f t="shared" si="122"/>
        <v>0.31343283582089804</v>
      </c>
    </row>
    <row r="2838" spans="1:11" x14ac:dyDescent="0.25">
      <c r="A2838" t="s">
        <v>17207</v>
      </c>
      <c r="C2838" t="s">
        <v>17208</v>
      </c>
      <c r="D2838" t="s">
        <v>5</v>
      </c>
      <c r="E2838" t="s">
        <v>6</v>
      </c>
      <c r="F2838" t="s">
        <v>334</v>
      </c>
      <c r="G2838">
        <v>3</v>
      </c>
      <c r="H2838" s="2">
        <f>Tabelle13[[#This Row],[commits]]/Tabelle13[[#Totals],[commits]]</f>
        <v>1.3943371321273866E-5</v>
      </c>
      <c r="I2838" s="5">
        <f>Tabelle13[[#This Row],[%]]+I2837</f>
        <v>0.96580620572982667</v>
      </c>
      <c r="J2838" s="4">
        <f t="shared" si="121"/>
        <v>1.105583195135434E-4</v>
      </c>
      <c r="K2838" s="5">
        <f t="shared" si="122"/>
        <v>0.3135433941404116</v>
      </c>
    </row>
    <row r="2839" spans="1:11" x14ac:dyDescent="0.25">
      <c r="A2839" t="s">
        <v>17209</v>
      </c>
      <c r="C2839" t="s">
        <v>17210</v>
      </c>
      <c r="D2839" t="s">
        <v>5</v>
      </c>
      <c r="E2839" t="s">
        <v>6</v>
      </c>
      <c r="F2839" t="s">
        <v>334</v>
      </c>
      <c r="G2839">
        <v>3</v>
      </c>
      <c r="H2839" s="2">
        <f>Tabelle13[[#This Row],[commits]]/Tabelle13[[#Totals],[commits]]</f>
        <v>1.3943371321273866E-5</v>
      </c>
      <c r="I2839" s="5">
        <f>Tabelle13[[#This Row],[%]]+I2838</f>
        <v>0.965820149101148</v>
      </c>
      <c r="J2839" s="4">
        <f t="shared" si="121"/>
        <v>1.105583195135434E-4</v>
      </c>
      <c r="K2839" s="5">
        <f t="shared" si="122"/>
        <v>0.31365395245992517</v>
      </c>
    </row>
    <row r="2840" spans="1:11" x14ac:dyDescent="0.25">
      <c r="A2840" t="s">
        <v>17211</v>
      </c>
      <c r="C2840" t="s">
        <v>17212</v>
      </c>
      <c r="D2840" t="s">
        <v>5</v>
      </c>
      <c r="E2840" t="s">
        <v>6</v>
      </c>
      <c r="F2840" t="s">
        <v>334</v>
      </c>
      <c r="G2840">
        <v>3</v>
      </c>
      <c r="H2840" s="2">
        <f>Tabelle13[[#This Row],[commits]]/Tabelle13[[#Totals],[commits]]</f>
        <v>1.3943371321273866E-5</v>
      </c>
      <c r="I2840" s="5">
        <f>Tabelle13[[#This Row],[%]]+I2839</f>
        <v>0.96583409247246932</v>
      </c>
      <c r="J2840" s="4">
        <f t="shared" si="121"/>
        <v>1.105583195135434E-4</v>
      </c>
      <c r="K2840" s="5">
        <f t="shared" si="122"/>
        <v>0.31376451077943873</v>
      </c>
    </row>
    <row r="2841" spans="1:11" x14ac:dyDescent="0.25">
      <c r="A2841" t="s">
        <v>335</v>
      </c>
      <c r="C2841" t="s">
        <v>336</v>
      </c>
      <c r="D2841" t="s">
        <v>36</v>
      </c>
      <c r="E2841" t="s">
        <v>6</v>
      </c>
      <c r="F2841" t="s">
        <v>7</v>
      </c>
      <c r="G2841">
        <v>2</v>
      </c>
      <c r="H2841" s="2">
        <f>Tabelle13[[#This Row],[commits]]/Tabelle13[[#Totals],[commits]]</f>
        <v>9.2955808808492451E-6</v>
      </c>
      <c r="I2841" s="5">
        <f>Tabelle13[[#This Row],[%]]+I2840</f>
        <v>0.96584338805335013</v>
      </c>
      <c r="J2841" s="4">
        <f t="shared" si="121"/>
        <v>1.105583195135434E-4</v>
      </c>
      <c r="K2841" s="5">
        <f t="shared" si="122"/>
        <v>0.3138750690989523</v>
      </c>
    </row>
    <row r="2842" spans="1:11" x14ac:dyDescent="0.25">
      <c r="A2842" t="s">
        <v>337</v>
      </c>
      <c r="C2842" t="s">
        <v>338</v>
      </c>
      <c r="D2842" t="s">
        <v>5</v>
      </c>
      <c r="E2842" t="s">
        <v>6</v>
      </c>
      <c r="F2842" t="s">
        <v>7</v>
      </c>
      <c r="G2842">
        <v>2</v>
      </c>
      <c r="H2842" s="2">
        <f>Tabelle13[[#This Row],[commits]]/Tabelle13[[#Totals],[commits]]</f>
        <v>9.2955808808492451E-6</v>
      </c>
      <c r="I2842" s="5">
        <f>Tabelle13[[#This Row],[%]]+I2841</f>
        <v>0.96585268363423094</v>
      </c>
      <c r="J2842" s="4">
        <f t="shared" si="121"/>
        <v>1.105583195135434E-4</v>
      </c>
      <c r="K2842" s="5">
        <f t="shared" si="122"/>
        <v>0.31398562741846586</v>
      </c>
    </row>
    <row r="2843" spans="1:11" x14ac:dyDescent="0.25">
      <c r="A2843" t="s">
        <v>339</v>
      </c>
      <c r="C2843" t="s">
        <v>340</v>
      </c>
      <c r="D2843" t="s">
        <v>341</v>
      </c>
      <c r="E2843" t="s">
        <v>6</v>
      </c>
      <c r="F2843" t="s">
        <v>7</v>
      </c>
      <c r="G2843">
        <v>2</v>
      </c>
      <c r="H2843" s="2">
        <f>Tabelle13[[#This Row],[commits]]/Tabelle13[[#Totals],[commits]]</f>
        <v>9.2955808808492451E-6</v>
      </c>
      <c r="I2843" s="5">
        <f>Tabelle13[[#This Row],[%]]+I2842</f>
        <v>0.96586197921511174</v>
      </c>
      <c r="J2843" s="4">
        <f t="shared" si="121"/>
        <v>1.105583195135434E-4</v>
      </c>
      <c r="K2843" s="5">
        <f t="shared" si="122"/>
        <v>0.31409618573797943</v>
      </c>
    </row>
    <row r="2844" spans="1:11" x14ac:dyDescent="0.25">
      <c r="A2844" t="s">
        <v>342</v>
      </c>
      <c r="C2844" t="s">
        <v>343</v>
      </c>
      <c r="D2844" t="s">
        <v>5</v>
      </c>
      <c r="E2844" t="s">
        <v>6</v>
      </c>
      <c r="F2844" t="s">
        <v>7</v>
      </c>
      <c r="G2844">
        <v>2</v>
      </c>
      <c r="H2844" s="2">
        <f>Tabelle13[[#This Row],[commits]]/Tabelle13[[#Totals],[commits]]</f>
        <v>9.2955808808492451E-6</v>
      </c>
      <c r="I2844" s="5">
        <f>Tabelle13[[#This Row],[%]]+I2843</f>
        <v>0.96587127479599255</v>
      </c>
      <c r="J2844" s="4">
        <f t="shared" si="121"/>
        <v>1.105583195135434E-4</v>
      </c>
      <c r="K2844" s="5">
        <f t="shared" si="122"/>
        <v>0.31420674405749299</v>
      </c>
    </row>
    <row r="2845" spans="1:11" x14ac:dyDescent="0.25">
      <c r="A2845" t="s">
        <v>344</v>
      </c>
      <c r="C2845" t="s">
        <v>345</v>
      </c>
      <c r="D2845" t="s">
        <v>5</v>
      </c>
      <c r="E2845" t="s">
        <v>6</v>
      </c>
      <c r="F2845" t="s">
        <v>7</v>
      </c>
      <c r="G2845">
        <v>2</v>
      </c>
      <c r="H2845" s="2">
        <f>Tabelle13[[#This Row],[commits]]/Tabelle13[[#Totals],[commits]]</f>
        <v>9.2955808808492451E-6</v>
      </c>
      <c r="I2845" s="5">
        <f>Tabelle13[[#This Row],[%]]+I2844</f>
        <v>0.96588057037687336</v>
      </c>
      <c r="J2845" s="4">
        <f t="shared" si="121"/>
        <v>1.105583195135434E-4</v>
      </c>
      <c r="K2845" s="5">
        <f t="shared" si="122"/>
        <v>0.31431730237700656</v>
      </c>
    </row>
    <row r="2846" spans="1:11" x14ac:dyDescent="0.25">
      <c r="A2846" t="s">
        <v>346</v>
      </c>
      <c r="C2846" t="s">
        <v>347</v>
      </c>
      <c r="D2846" t="s">
        <v>5</v>
      </c>
      <c r="E2846" t="s">
        <v>6</v>
      </c>
      <c r="F2846" t="s">
        <v>7</v>
      </c>
      <c r="G2846">
        <v>2</v>
      </c>
      <c r="H2846" s="2">
        <f>Tabelle13[[#This Row],[commits]]/Tabelle13[[#Totals],[commits]]</f>
        <v>9.2955808808492451E-6</v>
      </c>
      <c r="I2846" s="5">
        <f>Tabelle13[[#This Row],[%]]+I2845</f>
        <v>0.96588986595775417</v>
      </c>
      <c r="J2846" s="4">
        <f t="shared" si="121"/>
        <v>1.105583195135434E-4</v>
      </c>
      <c r="K2846" s="5">
        <f t="shared" si="122"/>
        <v>0.31442786069652012</v>
      </c>
    </row>
    <row r="2847" spans="1:11" x14ac:dyDescent="0.25">
      <c r="A2847" t="s">
        <v>348</v>
      </c>
      <c r="C2847" t="s">
        <v>349</v>
      </c>
      <c r="D2847" t="s">
        <v>5</v>
      </c>
      <c r="E2847" t="s">
        <v>6</v>
      </c>
      <c r="F2847" t="s">
        <v>7</v>
      </c>
      <c r="G2847">
        <v>2</v>
      </c>
      <c r="H2847" s="2">
        <f>Tabelle13[[#This Row],[commits]]/Tabelle13[[#Totals],[commits]]</f>
        <v>9.2955808808492451E-6</v>
      </c>
      <c r="I2847" s="5">
        <f>Tabelle13[[#This Row],[%]]+I2846</f>
        <v>0.96589916153863498</v>
      </c>
      <c r="J2847" s="4">
        <f t="shared" si="121"/>
        <v>1.105583195135434E-4</v>
      </c>
      <c r="K2847" s="5">
        <f t="shared" si="122"/>
        <v>0.31453841901603369</v>
      </c>
    </row>
    <row r="2848" spans="1:11" x14ac:dyDescent="0.25">
      <c r="A2848" t="s">
        <v>350</v>
      </c>
      <c r="C2848" t="s">
        <v>351</v>
      </c>
      <c r="D2848" t="s">
        <v>5</v>
      </c>
      <c r="E2848" t="s">
        <v>6</v>
      </c>
      <c r="F2848" t="s">
        <v>7</v>
      </c>
      <c r="G2848">
        <v>2</v>
      </c>
      <c r="H2848" s="2">
        <f>Tabelle13[[#This Row],[commits]]/Tabelle13[[#Totals],[commits]]</f>
        <v>9.2955808808492451E-6</v>
      </c>
      <c r="I2848" s="5">
        <f>Tabelle13[[#This Row],[%]]+I2847</f>
        <v>0.96590845711951578</v>
      </c>
      <c r="J2848" s="4">
        <f t="shared" si="121"/>
        <v>1.105583195135434E-4</v>
      </c>
      <c r="K2848" s="5">
        <f t="shared" si="122"/>
        <v>0.31464897733554725</v>
      </c>
    </row>
    <row r="2849" spans="1:11" x14ac:dyDescent="0.25">
      <c r="A2849" t="s">
        <v>352</v>
      </c>
      <c r="C2849" t="s">
        <v>353</v>
      </c>
      <c r="D2849" t="s">
        <v>5</v>
      </c>
      <c r="E2849" t="s">
        <v>6</v>
      </c>
      <c r="F2849" t="s">
        <v>7</v>
      </c>
      <c r="G2849">
        <v>2</v>
      </c>
      <c r="H2849" s="2">
        <f>Tabelle13[[#This Row],[commits]]/Tabelle13[[#Totals],[commits]]</f>
        <v>9.2955808808492451E-6</v>
      </c>
      <c r="I2849" s="5">
        <f>Tabelle13[[#This Row],[%]]+I2848</f>
        <v>0.96591775270039659</v>
      </c>
      <c r="J2849" s="4">
        <f t="shared" si="121"/>
        <v>1.105583195135434E-4</v>
      </c>
      <c r="K2849" s="5">
        <f t="shared" si="122"/>
        <v>0.31475953565506082</v>
      </c>
    </row>
    <row r="2850" spans="1:11" x14ac:dyDescent="0.25">
      <c r="A2850" t="s">
        <v>354</v>
      </c>
      <c r="C2850" t="s">
        <v>26</v>
      </c>
      <c r="D2850" t="s">
        <v>5</v>
      </c>
      <c r="E2850" t="s">
        <v>6</v>
      </c>
      <c r="F2850" t="s">
        <v>7</v>
      </c>
      <c r="G2850">
        <v>2</v>
      </c>
      <c r="H2850" s="2">
        <f>Tabelle13[[#This Row],[commits]]/Tabelle13[[#Totals],[commits]]</f>
        <v>9.2955808808492451E-6</v>
      </c>
      <c r="I2850" s="5">
        <f>Tabelle13[[#This Row],[%]]+I2849</f>
        <v>0.9659270482812774</v>
      </c>
      <c r="J2850" s="4">
        <f t="shared" si="121"/>
        <v>1.105583195135434E-4</v>
      </c>
      <c r="K2850" s="5">
        <f t="shared" si="122"/>
        <v>0.31487009397457438</v>
      </c>
    </row>
    <row r="2851" spans="1:11" x14ac:dyDescent="0.25">
      <c r="A2851" t="s">
        <v>355</v>
      </c>
      <c r="C2851" t="s">
        <v>356</v>
      </c>
      <c r="D2851" t="s">
        <v>5</v>
      </c>
      <c r="E2851" t="s">
        <v>6</v>
      </c>
      <c r="F2851" t="s">
        <v>7</v>
      </c>
      <c r="G2851">
        <v>2</v>
      </c>
      <c r="H2851" s="2">
        <f>Tabelle13[[#This Row],[commits]]/Tabelle13[[#Totals],[commits]]</f>
        <v>9.2955808808492451E-6</v>
      </c>
      <c r="I2851" s="5">
        <f>Tabelle13[[#This Row],[%]]+I2850</f>
        <v>0.96593634386215821</v>
      </c>
      <c r="J2851" s="4">
        <f t="shared" si="121"/>
        <v>1.105583195135434E-4</v>
      </c>
      <c r="K2851" s="5">
        <f t="shared" si="122"/>
        <v>0.31498065229408795</v>
      </c>
    </row>
    <row r="2852" spans="1:11" x14ac:dyDescent="0.25">
      <c r="A2852" t="s">
        <v>357</v>
      </c>
      <c r="C2852" t="s">
        <v>358</v>
      </c>
      <c r="D2852" t="s">
        <v>5</v>
      </c>
      <c r="E2852" t="s">
        <v>6</v>
      </c>
      <c r="F2852" t="s">
        <v>7</v>
      </c>
      <c r="G2852">
        <v>2</v>
      </c>
      <c r="H2852" s="2">
        <f>Tabelle13[[#This Row],[commits]]/Tabelle13[[#Totals],[commits]]</f>
        <v>9.2955808808492451E-6</v>
      </c>
      <c r="I2852" s="5">
        <f>Tabelle13[[#This Row],[%]]+I2851</f>
        <v>0.96594563944303902</v>
      </c>
      <c r="J2852" s="4">
        <f t="shared" si="121"/>
        <v>1.105583195135434E-4</v>
      </c>
      <c r="K2852" s="5">
        <f t="shared" si="122"/>
        <v>0.31509121061360151</v>
      </c>
    </row>
    <row r="2853" spans="1:11" x14ac:dyDescent="0.25">
      <c r="A2853" t="s">
        <v>359</v>
      </c>
      <c r="C2853" t="s">
        <v>360</v>
      </c>
      <c r="D2853" t="s">
        <v>5</v>
      </c>
      <c r="E2853" t="s">
        <v>6</v>
      </c>
      <c r="F2853" t="s">
        <v>7</v>
      </c>
      <c r="G2853">
        <v>2</v>
      </c>
      <c r="H2853" s="2">
        <f>Tabelle13[[#This Row],[commits]]/Tabelle13[[#Totals],[commits]]</f>
        <v>9.2955808808492451E-6</v>
      </c>
      <c r="I2853" s="5">
        <f>Tabelle13[[#This Row],[%]]+I2852</f>
        <v>0.96595493502391983</v>
      </c>
      <c r="J2853" s="4">
        <f t="shared" si="121"/>
        <v>1.105583195135434E-4</v>
      </c>
      <c r="K2853" s="5">
        <f t="shared" si="122"/>
        <v>0.31520176893311508</v>
      </c>
    </row>
    <row r="2854" spans="1:11" x14ac:dyDescent="0.25">
      <c r="A2854" t="s">
        <v>361</v>
      </c>
      <c r="C2854" t="s">
        <v>362</v>
      </c>
      <c r="D2854" t="s">
        <v>5</v>
      </c>
      <c r="E2854" t="s">
        <v>6</v>
      </c>
      <c r="F2854" t="s">
        <v>7</v>
      </c>
      <c r="G2854">
        <v>2</v>
      </c>
      <c r="H2854" s="2">
        <f>Tabelle13[[#This Row],[commits]]/Tabelle13[[#Totals],[commits]]</f>
        <v>9.2955808808492451E-6</v>
      </c>
      <c r="I2854" s="5">
        <f>Tabelle13[[#This Row],[%]]+I2853</f>
        <v>0.96596423060480063</v>
      </c>
      <c r="J2854" s="4">
        <f t="shared" si="121"/>
        <v>1.105583195135434E-4</v>
      </c>
      <c r="K2854" s="5">
        <f t="shared" si="122"/>
        <v>0.31531232725262864</v>
      </c>
    </row>
    <row r="2855" spans="1:11" x14ac:dyDescent="0.25">
      <c r="A2855" t="s">
        <v>363</v>
      </c>
      <c r="C2855" t="s">
        <v>364</v>
      </c>
      <c r="D2855" t="s">
        <v>5</v>
      </c>
      <c r="E2855" t="s">
        <v>6</v>
      </c>
      <c r="F2855" t="s">
        <v>7</v>
      </c>
      <c r="G2855">
        <v>2</v>
      </c>
      <c r="H2855" s="2">
        <f>Tabelle13[[#This Row],[commits]]/Tabelle13[[#Totals],[commits]]</f>
        <v>9.2955808808492451E-6</v>
      </c>
      <c r="I2855" s="5">
        <f>Tabelle13[[#This Row],[%]]+I2854</f>
        <v>0.96597352618568144</v>
      </c>
      <c r="J2855" s="4">
        <f t="shared" si="121"/>
        <v>1.105583195135434E-4</v>
      </c>
      <c r="K2855" s="5">
        <f t="shared" si="122"/>
        <v>0.31542288557214221</v>
      </c>
    </row>
    <row r="2856" spans="1:11" x14ac:dyDescent="0.25">
      <c r="A2856" t="s">
        <v>365</v>
      </c>
      <c r="C2856" t="s">
        <v>366</v>
      </c>
      <c r="D2856" t="s">
        <v>5</v>
      </c>
      <c r="E2856" t="s">
        <v>6</v>
      </c>
      <c r="F2856" t="s">
        <v>7</v>
      </c>
      <c r="G2856">
        <v>2</v>
      </c>
      <c r="H2856" s="2">
        <f>Tabelle13[[#This Row],[commits]]/Tabelle13[[#Totals],[commits]]</f>
        <v>9.2955808808492451E-6</v>
      </c>
      <c r="I2856" s="5">
        <f>Tabelle13[[#This Row],[%]]+I2855</f>
        <v>0.96598282176656225</v>
      </c>
      <c r="J2856" s="4">
        <f t="shared" si="121"/>
        <v>1.105583195135434E-4</v>
      </c>
      <c r="K2856" s="5">
        <f t="shared" si="122"/>
        <v>0.31553344389165577</v>
      </c>
    </row>
    <row r="2857" spans="1:11" x14ac:dyDescent="0.25">
      <c r="A2857" t="s">
        <v>367</v>
      </c>
      <c r="C2857" t="s">
        <v>368</v>
      </c>
      <c r="D2857" t="s">
        <v>5</v>
      </c>
      <c r="E2857" t="s">
        <v>6</v>
      </c>
      <c r="F2857" t="s">
        <v>7</v>
      </c>
      <c r="G2857">
        <v>2</v>
      </c>
      <c r="H2857" s="2">
        <f>Tabelle13[[#This Row],[commits]]/Tabelle13[[#Totals],[commits]]</f>
        <v>9.2955808808492451E-6</v>
      </c>
      <c r="I2857" s="5">
        <f>Tabelle13[[#This Row],[%]]+I2856</f>
        <v>0.96599211734744306</v>
      </c>
      <c r="J2857" s="4">
        <f t="shared" si="121"/>
        <v>1.105583195135434E-4</v>
      </c>
      <c r="K2857" s="5">
        <f t="shared" si="122"/>
        <v>0.31564400221116934</v>
      </c>
    </row>
    <row r="2858" spans="1:11" x14ac:dyDescent="0.25">
      <c r="A2858" t="s">
        <v>369</v>
      </c>
      <c r="C2858" t="s">
        <v>370</v>
      </c>
      <c r="D2858" t="s">
        <v>5</v>
      </c>
      <c r="E2858" t="s">
        <v>6</v>
      </c>
      <c r="F2858" t="s">
        <v>7</v>
      </c>
      <c r="G2858">
        <v>2</v>
      </c>
      <c r="H2858" s="2">
        <f>Tabelle13[[#This Row],[commits]]/Tabelle13[[#Totals],[commits]]</f>
        <v>9.2955808808492451E-6</v>
      </c>
      <c r="I2858" s="5">
        <f>Tabelle13[[#This Row],[%]]+I2857</f>
        <v>0.96600141292832387</v>
      </c>
      <c r="J2858" s="4">
        <f t="shared" si="121"/>
        <v>1.105583195135434E-4</v>
      </c>
      <c r="K2858" s="5">
        <f t="shared" si="122"/>
        <v>0.3157545605306829</v>
      </c>
    </row>
    <row r="2859" spans="1:11" x14ac:dyDescent="0.25">
      <c r="A2859" t="s">
        <v>371</v>
      </c>
      <c r="C2859" t="s">
        <v>372</v>
      </c>
      <c r="D2859" t="s">
        <v>5</v>
      </c>
      <c r="E2859" t="s">
        <v>6</v>
      </c>
      <c r="F2859" t="s">
        <v>7</v>
      </c>
      <c r="G2859">
        <v>2</v>
      </c>
      <c r="H2859" s="2">
        <f>Tabelle13[[#This Row],[commits]]/Tabelle13[[#Totals],[commits]]</f>
        <v>9.2955808808492451E-6</v>
      </c>
      <c r="I2859" s="5">
        <f>Tabelle13[[#This Row],[%]]+I2858</f>
        <v>0.96601070850920467</v>
      </c>
      <c r="J2859" s="4">
        <f t="shared" si="121"/>
        <v>1.105583195135434E-4</v>
      </c>
      <c r="K2859" s="5">
        <f t="shared" si="122"/>
        <v>0.31586511885019647</v>
      </c>
    </row>
    <row r="2860" spans="1:11" x14ac:dyDescent="0.25">
      <c r="A2860" t="s">
        <v>375</v>
      </c>
      <c r="C2860" t="s">
        <v>376</v>
      </c>
      <c r="D2860" t="s">
        <v>5</v>
      </c>
      <c r="E2860" t="s">
        <v>6</v>
      </c>
      <c r="F2860" t="s">
        <v>7</v>
      </c>
      <c r="G2860">
        <v>2</v>
      </c>
      <c r="H2860" s="2">
        <f>Tabelle13[[#This Row],[commits]]/Tabelle13[[#Totals],[commits]]</f>
        <v>9.2955808808492451E-6</v>
      </c>
      <c r="I2860" s="5">
        <f>Tabelle13[[#This Row],[%]]+I2859</f>
        <v>0.96602000409008548</v>
      </c>
      <c r="J2860" s="4">
        <f t="shared" si="121"/>
        <v>1.105583195135434E-4</v>
      </c>
      <c r="K2860" s="5">
        <f t="shared" si="122"/>
        <v>0.31597567716971003</v>
      </c>
    </row>
    <row r="2861" spans="1:11" x14ac:dyDescent="0.25">
      <c r="A2861" t="s">
        <v>377</v>
      </c>
      <c r="C2861" t="s">
        <v>378</v>
      </c>
      <c r="D2861" t="s">
        <v>5</v>
      </c>
      <c r="E2861" t="s">
        <v>6</v>
      </c>
      <c r="F2861" t="s">
        <v>7</v>
      </c>
      <c r="G2861">
        <v>2</v>
      </c>
      <c r="H2861" s="2">
        <f>Tabelle13[[#This Row],[commits]]/Tabelle13[[#Totals],[commits]]</f>
        <v>9.2955808808492451E-6</v>
      </c>
      <c r="I2861" s="5">
        <f>Tabelle13[[#This Row],[%]]+I2860</f>
        <v>0.96602929967096629</v>
      </c>
      <c r="J2861" s="4">
        <f t="shared" si="121"/>
        <v>1.105583195135434E-4</v>
      </c>
      <c r="K2861" s="5">
        <f t="shared" si="122"/>
        <v>0.3160862354892236</v>
      </c>
    </row>
    <row r="2862" spans="1:11" x14ac:dyDescent="0.25">
      <c r="A2862" t="s">
        <v>379</v>
      </c>
      <c r="C2862" t="s">
        <v>380</v>
      </c>
      <c r="D2862" t="s">
        <v>5</v>
      </c>
      <c r="E2862" t="s">
        <v>6</v>
      </c>
      <c r="F2862" t="s">
        <v>7</v>
      </c>
      <c r="G2862">
        <v>2</v>
      </c>
      <c r="H2862" s="2">
        <f>Tabelle13[[#This Row],[commits]]/Tabelle13[[#Totals],[commits]]</f>
        <v>9.2955808808492451E-6</v>
      </c>
      <c r="I2862" s="5">
        <f>Tabelle13[[#This Row],[%]]+I2861</f>
        <v>0.9660385952518471</v>
      </c>
      <c r="J2862" s="4">
        <f t="shared" si="121"/>
        <v>1.105583195135434E-4</v>
      </c>
      <c r="K2862" s="5">
        <f t="shared" si="122"/>
        <v>0.31619679380873716</v>
      </c>
    </row>
    <row r="2863" spans="1:11" x14ac:dyDescent="0.25">
      <c r="A2863" t="s">
        <v>381</v>
      </c>
      <c r="C2863" t="s">
        <v>382</v>
      </c>
      <c r="D2863" t="s">
        <v>5</v>
      </c>
      <c r="E2863" t="s">
        <v>6</v>
      </c>
      <c r="F2863" t="s">
        <v>7</v>
      </c>
      <c r="G2863">
        <v>2</v>
      </c>
      <c r="H2863" s="2">
        <f>Tabelle13[[#This Row],[commits]]/Tabelle13[[#Totals],[commits]]</f>
        <v>9.2955808808492451E-6</v>
      </c>
      <c r="I2863" s="5">
        <f>Tabelle13[[#This Row],[%]]+I2862</f>
        <v>0.96604789083272791</v>
      </c>
      <c r="J2863" s="4">
        <f t="shared" si="121"/>
        <v>1.105583195135434E-4</v>
      </c>
      <c r="K2863" s="5">
        <f t="shared" si="122"/>
        <v>0.31630735212825073</v>
      </c>
    </row>
    <row r="2864" spans="1:11" x14ac:dyDescent="0.25">
      <c r="A2864" t="s">
        <v>383</v>
      </c>
      <c r="C2864" t="s">
        <v>384</v>
      </c>
      <c r="D2864" t="s">
        <v>5</v>
      </c>
      <c r="E2864" t="s">
        <v>6</v>
      </c>
      <c r="F2864" t="s">
        <v>7</v>
      </c>
      <c r="G2864">
        <v>2</v>
      </c>
      <c r="H2864" s="2">
        <f>Tabelle13[[#This Row],[commits]]/Tabelle13[[#Totals],[commits]]</f>
        <v>9.2955808808492451E-6</v>
      </c>
      <c r="I2864" s="5">
        <f>Tabelle13[[#This Row],[%]]+I2863</f>
        <v>0.96605718641360872</v>
      </c>
      <c r="J2864" s="4">
        <f t="shared" si="121"/>
        <v>1.105583195135434E-4</v>
      </c>
      <c r="K2864" s="5">
        <f t="shared" si="122"/>
        <v>0.31641791044776429</v>
      </c>
    </row>
    <row r="2865" spans="1:11" x14ac:dyDescent="0.25">
      <c r="A2865" t="s">
        <v>385</v>
      </c>
      <c r="C2865" t="s">
        <v>386</v>
      </c>
      <c r="D2865" t="s">
        <v>5</v>
      </c>
      <c r="E2865" t="s">
        <v>6</v>
      </c>
      <c r="F2865" t="s">
        <v>7</v>
      </c>
      <c r="G2865">
        <v>2</v>
      </c>
      <c r="H2865" s="2">
        <f>Tabelle13[[#This Row],[commits]]/Tabelle13[[#Totals],[commits]]</f>
        <v>9.2955808808492451E-6</v>
      </c>
      <c r="I2865" s="5">
        <f>Tabelle13[[#This Row],[%]]+I2864</f>
        <v>0.96606648199448952</v>
      </c>
      <c r="J2865" s="4">
        <f t="shared" si="121"/>
        <v>1.105583195135434E-4</v>
      </c>
      <c r="K2865" s="5">
        <f t="shared" si="122"/>
        <v>0.31652846876727786</v>
      </c>
    </row>
    <row r="2866" spans="1:11" x14ac:dyDescent="0.25">
      <c r="A2866" t="s">
        <v>387</v>
      </c>
      <c r="C2866" t="s">
        <v>388</v>
      </c>
      <c r="D2866" t="s">
        <v>5</v>
      </c>
      <c r="E2866" t="s">
        <v>6</v>
      </c>
      <c r="F2866" t="s">
        <v>7</v>
      </c>
      <c r="G2866">
        <v>2</v>
      </c>
      <c r="H2866" s="2">
        <f>Tabelle13[[#This Row],[commits]]/Tabelle13[[#Totals],[commits]]</f>
        <v>9.2955808808492451E-6</v>
      </c>
      <c r="I2866" s="5">
        <f>Tabelle13[[#This Row],[%]]+I2865</f>
        <v>0.96607577757537033</v>
      </c>
      <c r="J2866" s="4">
        <f t="shared" si="121"/>
        <v>1.105583195135434E-4</v>
      </c>
      <c r="K2866" s="5">
        <f t="shared" si="122"/>
        <v>0.31663902708679142</v>
      </c>
    </row>
    <row r="2867" spans="1:11" x14ac:dyDescent="0.25">
      <c r="A2867" t="s">
        <v>389</v>
      </c>
      <c r="C2867" t="s">
        <v>390</v>
      </c>
      <c r="D2867" t="s">
        <v>5</v>
      </c>
      <c r="E2867" t="s">
        <v>6</v>
      </c>
      <c r="F2867" t="s">
        <v>7</v>
      </c>
      <c r="G2867">
        <v>2</v>
      </c>
      <c r="H2867" s="2">
        <f>Tabelle13[[#This Row],[commits]]/Tabelle13[[#Totals],[commits]]</f>
        <v>9.2955808808492451E-6</v>
      </c>
      <c r="I2867" s="5">
        <f>Tabelle13[[#This Row],[%]]+I2866</f>
        <v>0.96608507315625114</v>
      </c>
      <c r="J2867" s="4">
        <f t="shared" si="121"/>
        <v>1.105583195135434E-4</v>
      </c>
      <c r="K2867" s="5">
        <f t="shared" si="122"/>
        <v>0.31674958540630499</v>
      </c>
    </row>
    <row r="2868" spans="1:11" x14ac:dyDescent="0.25">
      <c r="A2868" t="s">
        <v>391</v>
      </c>
      <c r="C2868" t="s">
        <v>392</v>
      </c>
      <c r="D2868" t="s">
        <v>5</v>
      </c>
      <c r="E2868" t="s">
        <v>6</v>
      </c>
      <c r="F2868" t="s">
        <v>7</v>
      </c>
      <c r="G2868">
        <v>2</v>
      </c>
      <c r="H2868" s="2">
        <f>Tabelle13[[#This Row],[commits]]/Tabelle13[[#Totals],[commits]]</f>
        <v>9.2955808808492451E-6</v>
      </c>
      <c r="I2868" s="5">
        <f>Tabelle13[[#This Row],[%]]+I2867</f>
        <v>0.96609436873713195</v>
      </c>
      <c r="J2868" s="4">
        <f t="shared" si="121"/>
        <v>1.105583195135434E-4</v>
      </c>
      <c r="K2868" s="5">
        <f t="shared" si="122"/>
        <v>0.31686014372581855</v>
      </c>
    </row>
    <row r="2869" spans="1:11" x14ac:dyDescent="0.25">
      <c r="A2869" t="s">
        <v>393</v>
      </c>
      <c r="C2869" t="s">
        <v>394</v>
      </c>
      <c r="D2869" t="s">
        <v>5</v>
      </c>
      <c r="E2869" t="s">
        <v>6</v>
      </c>
      <c r="F2869" t="s">
        <v>7</v>
      </c>
      <c r="G2869">
        <v>2</v>
      </c>
      <c r="H2869" s="2">
        <f>Tabelle13[[#This Row],[commits]]/Tabelle13[[#Totals],[commits]]</f>
        <v>9.2955808808492451E-6</v>
      </c>
      <c r="I2869" s="5">
        <f>Tabelle13[[#This Row],[%]]+I2868</f>
        <v>0.96610366431801276</v>
      </c>
      <c r="J2869" s="4">
        <f t="shared" si="121"/>
        <v>1.105583195135434E-4</v>
      </c>
      <c r="K2869" s="5">
        <f t="shared" si="122"/>
        <v>0.31697070204533212</v>
      </c>
    </row>
    <row r="2870" spans="1:11" x14ac:dyDescent="0.25">
      <c r="A2870" t="s">
        <v>395</v>
      </c>
      <c r="C2870" t="s">
        <v>396</v>
      </c>
      <c r="D2870" t="s">
        <v>5</v>
      </c>
      <c r="E2870" t="s">
        <v>6</v>
      </c>
      <c r="F2870" t="s">
        <v>7</v>
      </c>
      <c r="G2870">
        <v>2</v>
      </c>
      <c r="H2870" s="2">
        <f>Tabelle13[[#This Row],[commits]]/Tabelle13[[#Totals],[commits]]</f>
        <v>9.2955808808492451E-6</v>
      </c>
      <c r="I2870" s="5">
        <f>Tabelle13[[#This Row],[%]]+I2869</f>
        <v>0.96611295989889356</v>
      </c>
      <c r="J2870" s="4">
        <f t="shared" si="121"/>
        <v>1.105583195135434E-4</v>
      </c>
      <c r="K2870" s="5">
        <f t="shared" si="122"/>
        <v>0.31708126036484569</v>
      </c>
    </row>
    <row r="2871" spans="1:11" x14ac:dyDescent="0.25">
      <c r="A2871" t="s">
        <v>397</v>
      </c>
      <c r="C2871" t="s">
        <v>398</v>
      </c>
      <c r="D2871" t="s">
        <v>399</v>
      </c>
      <c r="E2871" t="s">
        <v>6</v>
      </c>
      <c r="F2871" t="s">
        <v>7</v>
      </c>
      <c r="G2871">
        <v>2</v>
      </c>
      <c r="H2871" s="2">
        <f>Tabelle13[[#This Row],[commits]]/Tabelle13[[#Totals],[commits]]</f>
        <v>9.2955808808492451E-6</v>
      </c>
      <c r="I2871" s="5">
        <f>Tabelle13[[#This Row],[%]]+I2870</f>
        <v>0.96612225547977437</v>
      </c>
      <c r="J2871" s="4">
        <f t="shared" si="121"/>
        <v>1.105583195135434E-4</v>
      </c>
      <c r="K2871" s="5">
        <f t="shared" si="122"/>
        <v>0.31719181868435925</v>
      </c>
    </row>
    <row r="2872" spans="1:11" x14ac:dyDescent="0.25">
      <c r="A2872" t="s">
        <v>400</v>
      </c>
      <c r="C2872" t="s">
        <v>401</v>
      </c>
      <c r="D2872" t="s">
        <v>5</v>
      </c>
      <c r="E2872" t="s">
        <v>6</v>
      </c>
      <c r="F2872" t="s">
        <v>7</v>
      </c>
      <c r="G2872">
        <v>2</v>
      </c>
      <c r="H2872" s="2">
        <f>Tabelle13[[#This Row],[commits]]/Tabelle13[[#Totals],[commits]]</f>
        <v>9.2955808808492451E-6</v>
      </c>
      <c r="I2872" s="5">
        <f>Tabelle13[[#This Row],[%]]+I2871</f>
        <v>0.96613155106065518</v>
      </c>
      <c r="J2872" s="4">
        <f t="shared" si="121"/>
        <v>1.105583195135434E-4</v>
      </c>
      <c r="K2872" s="5">
        <f t="shared" si="122"/>
        <v>0.31730237700387282</v>
      </c>
    </row>
    <row r="2873" spans="1:11" x14ac:dyDescent="0.25">
      <c r="A2873" t="s">
        <v>402</v>
      </c>
      <c r="C2873" t="s">
        <v>211</v>
      </c>
      <c r="D2873" t="s">
        <v>5</v>
      </c>
      <c r="E2873" t="s">
        <v>6</v>
      </c>
      <c r="F2873" t="s">
        <v>7</v>
      </c>
      <c r="G2873">
        <v>2</v>
      </c>
      <c r="H2873" s="2">
        <f>Tabelle13[[#This Row],[commits]]/Tabelle13[[#Totals],[commits]]</f>
        <v>9.2955808808492451E-6</v>
      </c>
      <c r="I2873" s="5">
        <f>Tabelle13[[#This Row],[%]]+I2872</f>
        <v>0.96614084664153599</v>
      </c>
      <c r="J2873" s="4">
        <f t="shared" si="121"/>
        <v>1.105583195135434E-4</v>
      </c>
      <c r="K2873" s="5">
        <f t="shared" si="122"/>
        <v>0.31741293532338638</v>
      </c>
    </row>
    <row r="2874" spans="1:11" x14ac:dyDescent="0.25">
      <c r="A2874" t="s">
        <v>403</v>
      </c>
      <c r="C2874" t="s">
        <v>404</v>
      </c>
      <c r="D2874" t="s">
        <v>5</v>
      </c>
      <c r="E2874" t="s">
        <v>6</v>
      </c>
      <c r="F2874" t="s">
        <v>7</v>
      </c>
      <c r="G2874">
        <v>2</v>
      </c>
      <c r="H2874" s="2">
        <f>Tabelle13[[#This Row],[commits]]/Tabelle13[[#Totals],[commits]]</f>
        <v>9.2955808808492451E-6</v>
      </c>
      <c r="I2874" s="5">
        <f>Tabelle13[[#This Row],[%]]+I2873</f>
        <v>0.9661501422224168</v>
      </c>
      <c r="J2874" s="4">
        <f t="shared" si="121"/>
        <v>1.105583195135434E-4</v>
      </c>
      <c r="K2874" s="5">
        <f t="shared" si="122"/>
        <v>0.31752349364289995</v>
      </c>
    </row>
    <row r="2875" spans="1:11" x14ac:dyDescent="0.25">
      <c r="A2875" t="s">
        <v>405</v>
      </c>
      <c r="C2875" t="s">
        <v>406</v>
      </c>
      <c r="D2875" t="s">
        <v>5</v>
      </c>
      <c r="E2875" t="s">
        <v>6</v>
      </c>
      <c r="F2875" t="s">
        <v>7</v>
      </c>
      <c r="G2875">
        <v>2</v>
      </c>
      <c r="H2875" s="2">
        <f>Tabelle13[[#This Row],[commits]]/Tabelle13[[#Totals],[commits]]</f>
        <v>9.2955808808492451E-6</v>
      </c>
      <c r="I2875" s="5">
        <f>Tabelle13[[#This Row],[%]]+I2874</f>
        <v>0.9661594378032976</v>
      </c>
      <c r="J2875" s="4">
        <f t="shared" si="121"/>
        <v>1.105583195135434E-4</v>
      </c>
      <c r="K2875" s="5">
        <f t="shared" si="122"/>
        <v>0.31763405196241351</v>
      </c>
    </row>
    <row r="2876" spans="1:11" x14ac:dyDescent="0.25">
      <c r="A2876" t="s">
        <v>407</v>
      </c>
      <c r="C2876" t="s">
        <v>408</v>
      </c>
      <c r="D2876" t="s">
        <v>5</v>
      </c>
      <c r="E2876" t="s">
        <v>6</v>
      </c>
      <c r="F2876" t="s">
        <v>7</v>
      </c>
      <c r="G2876">
        <v>2</v>
      </c>
      <c r="H2876" s="2">
        <f>Tabelle13[[#This Row],[commits]]/Tabelle13[[#Totals],[commits]]</f>
        <v>9.2955808808492451E-6</v>
      </c>
      <c r="I2876" s="5">
        <f>Tabelle13[[#This Row],[%]]+I2875</f>
        <v>0.96616873338417841</v>
      </c>
      <c r="J2876" s="4">
        <f t="shared" si="121"/>
        <v>1.105583195135434E-4</v>
      </c>
      <c r="K2876" s="5">
        <f t="shared" si="122"/>
        <v>0.31774461028192708</v>
      </c>
    </row>
    <row r="2877" spans="1:11" x14ac:dyDescent="0.25">
      <c r="A2877" t="s">
        <v>409</v>
      </c>
      <c r="C2877" t="s">
        <v>410</v>
      </c>
      <c r="D2877" t="s">
        <v>5</v>
      </c>
      <c r="E2877" t="s">
        <v>6</v>
      </c>
      <c r="F2877" t="s">
        <v>7</v>
      </c>
      <c r="G2877">
        <v>2</v>
      </c>
      <c r="H2877" s="2">
        <f>Tabelle13[[#This Row],[commits]]/Tabelle13[[#Totals],[commits]]</f>
        <v>9.2955808808492451E-6</v>
      </c>
      <c r="I2877" s="5">
        <f>Tabelle13[[#This Row],[%]]+I2876</f>
        <v>0.96617802896505922</v>
      </c>
      <c r="J2877" s="4">
        <f t="shared" si="121"/>
        <v>1.105583195135434E-4</v>
      </c>
      <c r="K2877" s="5">
        <f t="shared" si="122"/>
        <v>0.31785516860144064</v>
      </c>
    </row>
    <row r="2878" spans="1:11" x14ac:dyDescent="0.25">
      <c r="A2878" t="s">
        <v>411</v>
      </c>
      <c r="C2878" t="s">
        <v>151</v>
      </c>
      <c r="D2878" t="s">
        <v>5</v>
      </c>
      <c r="E2878" t="s">
        <v>6</v>
      </c>
      <c r="F2878" t="s">
        <v>7</v>
      </c>
      <c r="G2878">
        <v>2</v>
      </c>
      <c r="H2878" s="2">
        <f>Tabelle13[[#This Row],[commits]]/Tabelle13[[#Totals],[commits]]</f>
        <v>9.2955808808492451E-6</v>
      </c>
      <c r="I2878" s="5">
        <f>Tabelle13[[#This Row],[%]]+I2877</f>
        <v>0.96618732454594003</v>
      </c>
      <c r="J2878" s="4">
        <f t="shared" si="121"/>
        <v>1.105583195135434E-4</v>
      </c>
      <c r="K2878" s="5">
        <f t="shared" si="122"/>
        <v>0.31796572692095421</v>
      </c>
    </row>
    <row r="2879" spans="1:11" x14ac:dyDescent="0.25">
      <c r="A2879" t="s">
        <v>412</v>
      </c>
      <c r="C2879" t="s">
        <v>413</v>
      </c>
      <c r="D2879" t="s">
        <v>5</v>
      </c>
      <c r="E2879" t="s">
        <v>6</v>
      </c>
      <c r="F2879" t="s">
        <v>7</v>
      </c>
      <c r="G2879">
        <v>2</v>
      </c>
      <c r="H2879" s="2">
        <f>Tabelle13[[#This Row],[commits]]/Tabelle13[[#Totals],[commits]]</f>
        <v>9.2955808808492451E-6</v>
      </c>
      <c r="I2879" s="5">
        <f>Tabelle13[[#This Row],[%]]+I2878</f>
        <v>0.96619662012682084</v>
      </c>
      <c r="J2879" s="4">
        <f t="shared" si="121"/>
        <v>1.105583195135434E-4</v>
      </c>
      <c r="K2879" s="5">
        <f t="shared" si="122"/>
        <v>0.31807628524046777</v>
      </c>
    </row>
    <row r="2880" spans="1:11" x14ac:dyDescent="0.25">
      <c r="A2880" t="s">
        <v>414</v>
      </c>
      <c r="C2880" t="s">
        <v>415</v>
      </c>
      <c r="D2880" t="s">
        <v>5</v>
      </c>
      <c r="E2880" t="s">
        <v>6</v>
      </c>
      <c r="F2880" t="s">
        <v>7</v>
      </c>
      <c r="G2880">
        <v>2</v>
      </c>
      <c r="H2880" s="2">
        <f>Tabelle13[[#This Row],[commits]]/Tabelle13[[#Totals],[commits]]</f>
        <v>9.2955808808492451E-6</v>
      </c>
      <c r="I2880" s="5">
        <f>Tabelle13[[#This Row],[%]]+I2879</f>
        <v>0.96620591570770165</v>
      </c>
      <c r="J2880" s="4">
        <f t="shared" si="121"/>
        <v>1.105583195135434E-4</v>
      </c>
      <c r="K2880" s="5">
        <f t="shared" si="122"/>
        <v>0.31818684355998134</v>
      </c>
    </row>
    <row r="2881" spans="1:11" x14ac:dyDescent="0.25">
      <c r="A2881" t="s">
        <v>416</v>
      </c>
      <c r="C2881" t="s">
        <v>417</v>
      </c>
      <c r="D2881" t="s">
        <v>5</v>
      </c>
      <c r="E2881" t="s">
        <v>6</v>
      </c>
      <c r="F2881" t="s">
        <v>7</v>
      </c>
      <c r="G2881">
        <v>2</v>
      </c>
      <c r="H2881" s="2">
        <f>Tabelle13[[#This Row],[commits]]/Tabelle13[[#Totals],[commits]]</f>
        <v>9.2955808808492451E-6</v>
      </c>
      <c r="I2881" s="5">
        <f>Tabelle13[[#This Row],[%]]+I2880</f>
        <v>0.96621521128858245</v>
      </c>
      <c r="J2881" s="4">
        <f t="shared" si="121"/>
        <v>1.105583195135434E-4</v>
      </c>
      <c r="K2881" s="5">
        <f t="shared" si="122"/>
        <v>0.3182974018794949</v>
      </c>
    </row>
    <row r="2882" spans="1:11" x14ac:dyDescent="0.25">
      <c r="A2882" t="s">
        <v>418</v>
      </c>
      <c r="C2882" t="s">
        <v>419</v>
      </c>
      <c r="D2882" t="s">
        <v>5</v>
      </c>
      <c r="E2882" t="s">
        <v>6</v>
      </c>
      <c r="F2882" t="s">
        <v>7</v>
      </c>
      <c r="G2882">
        <v>2</v>
      </c>
      <c r="H2882" s="2">
        <f>Tabelle13[[#This Row],[commits]]/Tabelle13[[#Totals],[commits]]</f>
        <v>9.2955808808492451E-6</v>
      </c>
      <c r="I2882" s="5">
        <f>Tabelle13[[#This Row],[%]]+I2881</f>
        <v>0.96622450686946326</v>
      </c>
      <c r="J2882" s="4">
        <f t="shared" si="121"/>
        <v>1.105583195135434E-4</v>
      </c>
      <c r="K2882" s="5">
        <f t="shared" si="122"/>
        <v>0.31840796019900847</v>
      </c>
    </row>
    <row r="2883" spans="1:11" x14ac:dyDescent="0.25">
      <c r="A2883" t="s">
        <v>420</v>
      </c>
      <c r="C2883" t="s">
        <v>421</v>
      </c>
      <c r="D2883" t="s">
        <v>422</v>
      </c>
      <c r="E2883" t="s">
        <v>6</v>
      </c>
      <c r="F2883" t="s">
        <v>7</v>
      </c>
      <c r="G2883">
        <v>2</v>
      </c>
      <c r="H2883" s="2">
        <f>Tabelle13[[#This Row],[commits]]/Tabelle13[[#Totals],[commits]]</f>
        <v>9.2955808808492451E-6</v>
      </c>
      <c r="I2883" s="5">
        <f>Tabelle13[[#This Row],[%]]+I2882</f>
        <v>0.96623380245034407</v>
      </c>
      <c r="J2883" s="4">
        <f t="shared" ref="J2883:J2946" si="123">1/9045</f>
        <v>1.105583195135434E-4</v>
      </c>
      <c r="K2883" s="5">
        <f t="shared" si="122"/>
        <v>0.31851851851852203</v>
      </c>
    </row>
    <row r="2884" spans="1:11" x14ac:dyDescent="0.25">
      <c r="A2884" t="s">
        <v>423</v>
      </c>
      <c r="C2884" t="s">
        <v>424</v>
      </c>
      <c r="D2884" t="s">
        <v>5</v>
      </c>
      <c r="E2884" t="s">
        <v>6</v>
      </c>
      <c r="F2884" t="s">
        <v>7</v>
      </c>
      <c r="G2884">
        <v>2</v>
      </c>
      <c r="H2884" s="2">
        <f>Tabelle13[[#This Row],[commits]]/Tabelle13[[#Totals],[commits]]</f>
        <v>9.2955808808492451E-6</v>
      </c>
      <c r="I2884" s="5">
        <f>Tabelle13[[#This Row],[%]]+I2883</f>
        <v>0.96624309803122488</v>
      </c>
      <c r="J2884" s="4">
        <f t="shared" si="123"/>
        <v>1.105583195135434E-4</v>
      </c>
      <c r="K2884" s="5">
        <f t="shared" si="122"/>
        <v>0.3186290768380356</v>
      </c>
    </row>
    <row r="2885" spans="1:11" x14ac:dyDescent="0.25">
      <c r="A2885" t="s">
        <v>425</v>
      </c>
      <c r="C2885" t="s">
        <v>426</v>
      </c>
      <c r="D2885" t="s">
        <v>427</v>
      </c>
      <c r="E2885" t="s">
        <v>6</v>
      </c>
      <c r="F2885" t="s">
        <v>7</v>
      </c>
      <c r="G2885">
        <v>2</v>
      </c>
      <c r="H2885" s="2">
        <f>Tabelle13[[#This Row],[commits]]/Tabelle13[[#Totals],[commits]]</f>
        <v>9.2955808808492451E-6</v>
      </c>
      <c r="I2885" s="5">
        <f>Tabelle13[[#This Row],[%]]+I2884</f>
        <v>0.96625239361210569</v>
      </c>
      <c r="J2885" s="4">
        <f t="shared" si="123"/>
        <v>1.105583195135434E-4</v>
      </c>
      <c r="K2885" s="5">
        <f t="shared" si="122"/>
        <v>0.31873963515754916</v>
      </c>
    </row>
    <row r="2886" spans="1:11" x14ac:dyDescent="0.25">
      <c r="A2886" t="s">
        <v>428</v>
      </c>
      <c r="C2886" t="s">
        <v>429</v>
      </c>
      <c r="D2886" t="s">
        <v>430</v>
      </c>
      <c r="E2886" t="s">
        <v>6</v>
      </c>
      <c r="F2886" t="s">
        <v>7</v>
      </c>
      <c r="G2886">
        <v>2</v>
      </c>
      <c r="H2886" s="2">
        <f>Tabelle13[[#This Row],[commits]]/Tabelle13[[#Totals],[commits]]</f>
        <v>9.2955808808492451E-6</v>
      </c>
      <c r="I2886" s="5">
        <f>Tabelle13[[#This Row],[%]]+I2885</f>
        <v>0.96626168919298649</v>
      </c>
      <c r="J2886" s="4">
        <f t="shared" si="123"/>
        <v>1.105583195135434E-4</v>
      </c>
      <c r="K2886" s="5">
        <f t="shared" ref="K2886:K2949" si="124">J2886+K2885</f>
        <v>0.31885019347706273</v>
      </c>
    </row>
    <row r="2887" spans="1:11" x14ac:dyDescent="0.25">
      <c r="A2887" t="s">
        <v>431</v>
      </c>
      <c r="C2887" t="s">
        <v>432</v>
      </c>
      <c r="D2887" t="s">
        <v>5</v>
      </c>
      <c r="E2887" t="s">
        <v>6</v>
      </c>
      <c r="F2887" t="s">
        <v>7</v>
      </c>
      <c r="G2887">
        <v>2</v>
      </c>
      <c r="H2887" s="2">
        <f>Tabelle13[[#This Row],[commits]]/Tabelle13[[#Totals],[commits]]</f>
        <v>9.2955808808492451E-6</v>
      </c>
      <c r="I2887" s="5">
        <f>Tabelle13[[#This Row],[%]]+I2886</f>
        <v>0.9662709847738673</v>
      </c>
      <c r="J2887" s="4">
        <f t="shared" si="123"/>
        <v>1.105583195135434E-4</v>
      </c>
      <c r="K2887" s="5">
        <f t="shared" si="124"/>
        <v>0.31896075179657629</v>
      </c>
    </row>
    <row r="2888" spans="1:11" x14ac:dyDescent="0.25">
      <c r="A2888" t="s">
        <v>433</v>
      </c>
      <c r="C2888" t="s">
        <v>434</v>
      </c>
      <c r="D2888" t="s">
        <v>5</v>
      </c>
      <c r="E2888" t="s">
        <v>6</v>
      </c>
      <c r="F2888" t="s">
        <v>7</v>
      </c>
      <c r="G2888">
        <v>2</v>
      </c>
      <c r="H2888" s="2">
        <f>Tabelle13[[#This Row],[commits]]/Tabelle13[[#Totals],[commits]]</f>
        <v>9.2955808808492451E-6</v>
      </c>
      <c r="I2888" s="5">
        <f>Tabelle13[[#This Row],[%]]+I2887</f>
        <v>0.96628028035474811</v>
      </c>
      <c r="J2888" s="4">
        <f t="shared" si="123"/>
        <v>1.105583195135434E-4</v>
      </c>
      <c r="K2888" s="5">
        <f t="shared" si="124"/>
        <v>0.31907131011608986</v>
      </c>
    </row>
    <row r="2889" spans="1:11" x14ac:dyDescent="0.25">
      <c r="A2889" t="s">
        <v>435</v>
      </c>
      <c r="C2889" t="s">
        <v>436</v>
      </c>
      <c r="D2889" t="s">
        <v>5</v>
      </c>
      <c r="E2889" t="s">
        <v>6</v>
      </c>
      <c r="F2889" t="s">
        <v>7</v>
      </c>
      <c r="G2889">
        <v>2</v>
      </c>
      <c r="H2889" s="2">
        <f>Tabelle13[[#This Row],[commits]]/Tabelle13[[#Totals],[commits]]</f>
        <v>9.2955808808492451E-6</v>
      </c>
      <c r="I2889" s="5">
        <f>Tabelle13[[#This Row],[%]]+I2888</f>
        <v>0.96628957593562892</v>
      </c>
      <c r="J2889" s="4">
        <f t="shared" si="123"/>
        <v>1.105583195135434E-4</v>
      </c>
      <c r="K2889" s="5">
        <f t="shared" si="124"/>
        <v>0.31918186843560342</v>
      </c>
    </row>
    <row r="2890" spans="1:11" x14ac:dyDescent="0.25">
      <c r="A2890" t="s">
        <v>437</v>
      </c>
      <c r="C2890" t="s">
        <v>438</v>
      </c>
      <c r="D2890" t="s">
        <v>5</v>
      </c>
      <c r="E2890" t="s">
        <v>6</v>
      </c>
      <c r="F2890" t="s">
        <v>7</v>
      </c>
      <c r="G2890">
        <v>2</v>
      </c>
      <c r="H2890" s="2">
        <f>Tabelle13[[#This Row],[commits]]/Tabelle13[[#Totals],[commits]]</f>
        <v>9.2955808808492451E-6</v>
      </c>
      <c r="I2890" s="5">
        <f>Tabelle13[[#This Row],[%]]+I2889</f>
        <v>0.96629887151650973</v>
      </c>
      <c r="J2890" s="4">
        <f t="shared" si="123"/>
        <v>1.105583195135434E-4</v>
      </c>
      <c r="K2890" s="5">
        <f t="shared" si="124"/>
        <v>0.31929242675511699</v>
      </c>
    </row>
    <row r="2891" spans="1:11" x14ac:dyDescent="0.25">
      <c r="A2891" t="s">
        <v>439</v>
      </c>
      <c r="C2891" t="s">
        <v>440</v>
      </c>
      <c r="D2891" t="s">
        <v>5</v>
      </c>
      <c r="E2891" t="s">
        <v>6</v>
      </c>
      <c r="F2891" t="s">
        <v>7</v>
      </c>
      <c r="G2891">
        <v>2</v>
      </c>
      <c r="H2891" s="2">
        <f>Tabelle13[[#This Row],[commits]]/Tabelle13[[#Totals],[commits]]</f>
        <v>9.2955808808492451E-6</v>
      </c>
      <c r="I2891" s="5">
        <f>Tabelle13[[#This Row],[%]]+I2890</f>
        <v>0.96630816709739054</v>
      </c>
      <c r="J2891" s="4">
        <f t="shared" si="123"/>
        <v>1.105583195135434E-4</v>
      </c>
      <c r="K2891" s="5">
        <f t="shared" si="124"/>
        <v>0.31940298507463055</v>
      </c>
    </row>
    <row r="2892" spans="1:11" x14ac:dyDescent="0.25">
      <c r="A2892" t="s">
        <v>441</v>
      </c>
      <c r="C2892" t="s">
        <v>442</v>
      </c>
      <c r="D2892" t="s">
        <v>5</v>
      </c>
      <c r="E2892" t="s">
        <v>6</v>
      </c>
      <c r="F2892" t="s">
        <v>7</v>
      </c>
      <c r="G2892">
        <v>2</v>
      </c>
      <c r="H2892" s="2">
        <f>Tabelle13[[#This Row],[commits]]/Tabelle13[[#Totals],[commits]]</f>
        <v>9.2955808808492451E-6</v>
      </c>
      <c r="I2892" s="5">
        <f>Tabelle13[[#This Row],[%]]+I2891</f>
        <v>0.96631746267827134</v>
      </c>
      <c r="J2892" s="4">
        <f t="shared" si="123"/>
        <v>1.105583195135434E-4</v>
      </c>
      <c r="K2892" s="5">
        <f t="shared" si="124"/>
        <v>0.31951354339414412</v>
      </c>
    </row>
    <row r="2893" spans="1:11" x14ac:dyDescent="0.25">
      <c r="A2893" t="s">
        <v>443</v>
      </c>
      <c r="C2893" t="s">
        <v>444</v>
      </c>
      <c r="D2893" t="s">
        <v>5</v>
      </c>
      <c r="E2893" t="s">
        <v>6</v>
      </c>
      <c r="F2893" t="s">
        <v>7</v>
      </c>
      <c r="G2893">
        <v>2</v>
      </c>
      <c r="H2893" s="2">
        <f>Tabelle13[[#This Row],[commits]]/Tabelle13[[#Totals],[commits]]</f>
        <v>9.2955808808492451E-6</v>
      </c>
      <c r="I2893" s="5">
        <f>Tabelle13[[#This Row],[%]]+I2892</f>
        <v>0.96632675825915215</v>
      </c>
      <c r="J2893" s="4">
        <f t="shared" si="123"/>
        <v>1.105583195135434E-4</v>
      </c>
      <c r="K2893" s="5">
        <f t="shared" si="124"/>
        <v>0.31962410171365768</v>
      </c>
    </row>
    <row r="2894" spans="1:11" x14ac:dyDescent="0.25">
      <c r="A2894" t="s">
        <v>445</v>
      </c>
      <c r="C2894" t="s">
        <v>446</v>
      </c>
      <c r="D2894" t="s">
        <v>5</v>
      </c>
      <c r="E2894" t="s">
        <v>6</v>
      </c>
      <c r="F2894" t="s">
        <v>7</v>
      </c>
      <c r="G2894">
        <v>2</v>
      </c>
      <c r="H2894" s="2">
        <f>Tabelle13[[#This Row],[commits]]/Tabelle13[[#Totals],[commits]]</f>
        <v>9.2955808808492451E-6</v>
      </c>
      <c r="I2894" s="5">
        <f>Tabelle13[[#This Row],[%]]+I2893</f>
        <v>0.96633605384003296</v>
      </c>
      <c r="J2894" s="4">
        <f t="shared" si="123"/>
        <v>1.105583195135434E-4</v>
      </c>
      <c r="K2894" s="5">
        <f t="shared" si="124"/>
        <v>0.31973466003317125</v>
      </c>
    </row>
    <row r="2895" spans="1:11" x14ac:dyDescent="0.25">
      <c r="A2895" t="s">
        <v>447</v>
      </c>
      <c r="C2895" t="s">
        <v>448</v>
      </c>
      <c r="D2895" t="s">
        <v>5</v>
      </c>
      <c r="E2895" t="s">
        <v>6</v>
      </c>
      <c r="F2895" t="s">
        <v>7</v>
      </c>
      <c r="G2895">
        <v>2</v>
      </c>
      <c r="H2895" s="2">
        <f>Tabelle13[[#This Row],[commits]]/Tabelle13[[#Totals],[commits]]</f>
        <v>9.2955808808492451E-6</v>
      </c>
      <c r="I2895" s="5">
        <f>Tabelle13[[#This Row],[%]]+I2894</f>
        <v>0.96634534942091377</v>
      </c>
      <c r="J2895" s="4">
        <f t="shared" si="123"/>
        <v>1.105583195135434E-4</v>
      </c>
      <c r="K2895" s="5">
        <f t="shared" si="124"/>
        <v>0.31984521835268481</v>
      </c>
    </row>
    <row r="2896" spans="1:11" x14ac:dyDescent="0.25">
      <c r="A2896" t="s">
        <v>451</v>
      </c>
      <c r="C2896" t="s">
        <v>452</v>
      </c>
      <c r="D2896" t="s">
        <v>5</v>
      </c>
      <c r="E2896" t="s">
        <v>6</v>
      </c>
      <c r="F2896" t="s">
        <v>7</v>
      </c>
      <c r="G2896">
        <v>2</v>
      </c>
      <c r="H2896" s="2">
        <f>Tabelle13[[#This Row],[commits]]/Tabelle13[[#Totals],[commits]]</f>
        <v>9.2955808808492451E-6</v>
      </c>
      <c r="I2896" s="5">
        <f>Tabelle13[[#This Row],[%]]+I2895</f>
        <v>0.96635464500179458</v>
      </c>
      <c r="J2896" s="4">
        <f t="shared" si="123"/>
        <v>1.105583195135434E-4</v>
      </c>
      <c r="K2896" s="5">
        <f t="shared" si="124"/>
        <v>0.31995577667219838</v>
      </c>
    </row>
    <row r="2897" spans="1:11" x14ac:dyDescent="0.25">
      <c r="A2897" t="s">
        <v>453</v>
      </c>
      <c r="C2897" t="s">
        <v>454</v>
      </c>
      <c r="D2897" t="s">
        <v>5</v>
      </c>
      <c r="E2897" t="s">
        <v>6</v>
      </c>
      <c r="F2897" t="s">
        <v>7</v>
      </c>
      <c r="G2897">
        <v>2</v>
      </c>
      <c r="H2897" s="2">
        <f>Tabelle13[[#This Row],[commits]]/Tabelle13[[#Totals],[commits]]</f>
        <v>9.2955808808492451E-6</v>
      </c>
      <c r="I2897" s="5">
        <f>Tabelle13[[#This Row],[%]]+I2896</f>
        <v>0.96636394058267538</v>
      </c>
      <c r="J2897" s="4">
        <f t="shared" si="123"/>
        <v>1.105583195135434E-4</v>
      </c>
      <c r="K2897" s="5">
        <f t="shared" si="124"/>
        <v>0.32006633499171194</v>
      </c>
    </row>
    <row r="2898" spans="1:11" x14ac:dyDescent="0.25">
      <c r="A2898" t="s">
        <v>455</v>
      </c>
      <c r="C2898" t="s">
        <v>456</v>
      </c>
      <c r="D2898" t="s">
        <v>5</v>
      </c>
      <c r="E2898" t="s">
        <v>6</v>
      </c>
      <c r="F2898" t="s">
        <v>7</v>
      </c>
      <c r="G2898">
        <v>2</v>
      </c>
      <c r="H2898" s="2">
        <f>Tabelle13[[#This Row],[commits]]/Tabelle13[[#Totals],[commits]]</f>
        <v>9.2955808808492451E-6</v>
      </c>
      <c r="I2898" s="5">
        <f>Tabelle13[[#This Row],[%]]+I2897</f>
        <v>0.96637323616355619</v>
      </c>
      <c r="J2898" s="4">
        <f t="shared" si="123"/>
        <v>1.105583195135434E-4</v>
      </c>
      <c r="K2898" s="5">
        <f t="shared" si="124"/>
        <v>0.32017689331122551</v>
      </c>
    </row>
    <row r="2899" spans="1:11" x14ac:dyDescent="0.25">
      <c r="A2899" t="s">
        <v>457</v>
      </c>
      <c r="C2899" t="s">
        <v>458</v>
      </c>
      <c r="D2899" t="s">
        <v>5</v>
      </c>
      <c r="E2899" t="s">
        <v>6</v>
      </c>
      <c r="F2899" t="s">
        <v>7</v>
      </c>
      <c r="G2899">
        <v>2</v>
      </c>
      <c r="H2899" s="2">
        <f>Tabelle13[[#This Row],[commits]]/Tabelle13[[#Totals],[commits]]</f>
        <v>9.2955808808492451E-6</v>
      </c>
      <c r="I2899" s="5">
        <f>Tabelle13[[#This Row],[%]]+I2898</f>
        <v>0.966382531744437</v>
      </c>
      <c r="J2899" s="4">
        <f t="shared" si="123"/>
        <v>1.105583195135434E-4</v>
      </c>
      <c r="K2899" s="5">
        <f t="shared" si="124"/>
        <v>0.32028745163073907</v>
      </c>
    </row>
    <row r="2900" spans="1:11" x14ac:dyDescent="0.25">
      <c r="A2900" t="s">
        <v>459</v>
      </c>
      <c r="C2900" t="s">
        <v>460</v>
      </c>
      <c r="D2900" t="s">
        <v>5</v>
      </c>
      <c r="E2900" t="s">
        <v>6</v>
      </c>
      <c r="F2900" t="s">
        <v>7</v>
      </c>
      <c r="G2900">
        <v>2</v>
      </c>
      <c r="H2900" s="2">
        <f>Tabelle13[[#This Row],[commits]]/Tabelle13[[#Totals],[commits]]</f>
        <v>9.2955808808492451E-6</v>
      </c>
      <c r="I2900" s="5">
        <f>Tabelle13[[#This Row],[%]]+I2899</f>
        <v>0.96639182732531781</v>
      </c>
      <c r="J2900" s="4">
        <f t="shared" si="123"/>
        <v>1.105583195135434E-4</v>
      </c>
      <c r="K2900" s="5">
        <f t="shared" si="124"/>
        <v>0.32039800995025264</v>
      </c>
    </row>
    <row r="2901" spans="1:11" x14ac:dyDescent="0.25">
      <c r="A2901" t="s">
        <v>461</v>
      </c>
      <c r="C2901" t="s">
        <v>462</v>
      </c>
      <c r="D2901" t="s">
        <v>5</v>
      </c>
      <c r="E2901" t="s">
        <v>6</v>
      </c>
      <c r="F2901" t="s">
        <v>7</v>
      </c>
      <c r="G2901">
        <v>2</v>
      </c>
      <c r="H2901" s="2">
        <f>Tabelle13[[#This Row],[commits]]/Tabelle13[[#Totals],[commits]]</f>
        <v>9.2955808808492451E-6</v>
      </c>
      <c r="I2901" s="5">
        <f>Tabelle13[[#This Row],[%]]+I2900</f>
        <v>0.96640112290619862</v>
      </c>
      <c r="J2901" s="4">
        <f t="shared" si="123"/>
        <v>1.105583195135434E-4</v>
      </c>
      <c r="K2901" s="5">
        <f t="shared" si="124"/>
        <v>0.3205085682697662</v>
      </c>
    </row>
    <row r="2902" spans="1:11" x14ac:dyDescent="0.25">
      <c r="A2902" t="s">
        <v>463</v>
      </c>
      <c r="C2902" t="s">
        <v>464</v>
      </c>
      <c r="D2902" t="s">
        <v>5</v>
      </c>
      <c r="E2902" t="s">
        <v>6</v>
      </c>
      <c r="F2902" t="s">
        <v>7</v>
      </c>
      <c r="G2902">
        <v>2</v>
      </c>
      <c r="H2902" s="2">
        <f>Tabelle13[[#This Row],[commits]]/Tabelle13[[#Totals],[commits]]</f>
        <v>9.2955808808492451E-6</v>
      </c>
      <c r="I2902" s="5">
        <f>Tabelle13[[#This Row],[%]]+I2901</f>
        <v>0.96641041848707943</v>
      </c>
      <c r="J2902" s="4">
        <f t="shared" si="123"/>
        <v>1.105583195135434E-4</v>
      </c>
      <c r="K2902" s="5">
        <f t="shared" si="124"/>
        <v>0.32061912658927977</v>
      </c>
    </row>
    <row r="2903" spans="1:11" x14ac:dyDescent="0.25">
      <c r="A2903" t="s">
        <v>465</v>
      </c>
      <c r="C2903" t="s">
        <v>466</v>
      </c>
      <c r="D2903" t="s">
        <v>5</v>
      </c>
      <c r="E2903" t="s">
        <v>6</v>
      </c>
      <c r="F2903" t="s">
        <v>7</v>
      </c>
      <c r="G2903">
        <v>2</v>
      </c>
      <c r="H2903" s="2">
        <f>Tabelle13[[#This Row],[commits]]/Tabelle13[[#Totals],[commits]]</f>
        <v>9.2955808808492451E-6</v>
      </c>
      <c r="I2903" s="5">
        <f>Tabelle13[[#This Row],[%]]+I2902</f>
        <v>0.96641971406796023</v>
      </c>
      <c r="J2903" s="4">
        <f t="shared" si="123"/>
        <v>1.105583195135434E-4</v>
      </c>
      <c r="K2903" s="5">
        <f t="shared" si="124"/>
        <v>0.32072968490879333</v>
      </c>
    </row>
    <row r="2904" spans="1:11" x14ac:dyDescent="0.25">
      <c r="A2904" t="s">
        <v>468</v>
      </c>
      <c r="C2904" t="s">
        <v>469</v>
      </c>
      <c r="D2904" t="s">
        <v>5</v>
      </c>
      <c r="E2904" t="s">
        <v>6</v>
      </c>
      <c r="F2904" t="s">
        <v>7</v>
      </c>
      <c r="G2904">
        <v>2</v>
      </c>
      <c r="H2904" s="2">
        <f>Tabelle13[[#This Row],[commits]]/Tabelle13[[#Totals],[commits]]</f>
        <v>9.2955808808492451E-6</v>
      </c>
      <c r="I2904" s="5">
        <f>Tabelle13[[#This Row],[%]]+I2903</f>
        <v>0.96642900964884104</v>
      </c>
      <c r="J2904" s="4">
        <f t="shared" si="123"/>
        <v>1.105583195135434E-4</v>
      </c>
      <c r="K2904" s="5">
        <f t="shared" si="124"/>
        <v>0.3208402432283069</v>
      </c>
    </row>
    <row r="2905" spans="1:11" x14ac:dyDescent="0.25">
      <c r="A2905" t="s">
        <v>470</v>
      </c>
      <c r="C2905" t="s">
        <v>471</v>
      </c>
      <c r="D2905" t="s">
        <v>5</v>
      </c>
      <c r="E2905" t="s">
        <v>6</v>
      </c>
      <c r="F2905" t="s">
        <v>7</v>
      </c>
      <c r="G2905">
        <v>2</v>
      </c>
      <c r="H2905" s="2">
        <f>Tabelle13[[#This Row],[commits]]/Tabelle13[[#Totals],[commits]]</f>
        <v>9.2955808808492451E-6</v>
      </c>
      <c r="I2905" s="5">
        <f>Tabelle13[[#This Row],[%]]+I2904</f>
        <v>0.96643830522972185</v>
      </c>
      <c r="J2905" s="4">
        <f t="shared" si="123"/>
        <v>1.105583195135434E-4</v>
      </c>
      <c r="K2905" s="5">
        <f t="shared" si="124"/>
        <v>0.32095080154782046</v>
      </c>
    </row>
    <row r="2906" spans="1:11" x14ac:dyDescent="0.25">
      <c r="A2906" t="s">
        <v>472</v>
      </c>
      <c r="C2906" t="s">
        <v>473</v>
      </c>
      <c r="D2906" t="s">
        <v>5</v>
      </c>
      <c r="E2906" t="s">
        <v>6</v>
      </c>
      <c r="F2906" t="s">
        <v>7</v>
      </c>
      <c r="G2906">
        <v>2</v>
      </c>
      <c r="H2906" s="2">
        <f>Tabelle13[[#This Row],[commits]]/Tabelle13[[#Totals],[commits]]</f>
        <v>9.2955808808492451E-6</v>
      </c>
      <c r="I2906" s="5">
        <f>Tabelle13[[#This Row],[%]]+I2905</f>
        <v>0.96644760081060266</v>
      </c>
      <c r="J2906" s="4">
        <f t="shared" si="123"/>
        <v>1.105583195135434E-4</v>
      </c>
      <c r="K2906" s="5">
        <f t="shared" si="124"/>
        <v>0.32106135986733403</v>
      </c>
    </row>
    <row r="2907" spans="1:11" x14ac:dyDescent="0.25">
      <c r="A2907" t="s">
        <v>474</v>
      </c>
      <c r="C2907" t="s">
        <v>475</v>
      </c>
      <c r="D2907" t="s">
        <v>5</v>
      </c>
      <c r="E2907" t="s">
        <v>6</v>
      </c>
      <c r="F2907" t="s">
        <v>7</v>
      </c>
      <c r="G2907">
        <v>2</v>
      </c>
      <c r="H2907" s="2">
        <f>Tabelle13[[#This Row],[commits]]/Tabelle13[[#Totals],[commits]]</f>
        <v>9.2955808808492451E-6</v>
      </c>
      <c r="I2907" s="5">
        <f>Tabelle13[[#This Row],[%]]+I2906</f>
        <v>0.96645689639148347</v>
      </c>
      <c r="J2907" s="4">
        <f t="shared" si="123"/>
        <v>1.105583195135434E-4</v>
      </c>
      <c r="K2907" s="5">
        <f t="shared" si="124"/>
        <v>0.32117191818684759</v>
      </c>
    </row>
    <row r="2908" spans="1:11" x14ac:dyDescent="0.25">
      <c r="A2908" t="s">
        <v>476</v>
      </c>
      <c r="C2908" t="s">
        <v>477</v>
      </c>
      <c r="D2908" t="s">
        <v>5</v>
      </c>
      <c r="E2908" t="s">
        <v>6</v>
      </c>
      <c r="F2908" t="s">
        <v>7</v>
      </c>
      <c r="G2908">
        <v>2</v>
      </c>
      <c r="H2908" s="2">
        <f>Tabelle13[[#This Row],[commits]]/Tabelle13[[#Totals],[commits]]</f>
        <v>9.2955808808492451E-6</v>
      </c>
      <c r="I2908" s="5">
        <f>Tabelle13[[#This Row],[%]]+I2907</f>
        <v>0.96646619197236427</v>
      </c>
      <c r="J2908" s="4">
        <f t="shared" si="123"/>
        <v>1.105583195135434E-4</v>
      </c>
      <c r="K2908" s="5">
        <f t="shared" si="124"/>
        <v>0.32128247650636116</v>
      </c>
    </row>
    <row r="2909" spans="1:11" x14ac:dyDescent="0.25">
      <c r="A2909" t="s">
        <v>478</v>
      </c>
      <c r="C2909" t="s">
        <v>479</v>
      </c>
      <c r="D2909" t="s">
        <v>5</v>
      </c>
      <c r="E2909" t="s">
        <v>6</v>
      </c>
      <c r="F2909" t="s">
        <v>7</v>
      </c>
      <c r="G2909">
        <v>2</v>
      </c>
      <c r="H2909" s="2">
        <f>Tabelle13[[#This Row],[commits]]/Tabelle13[[#Totals],[commits]]</f>
        <v>9.2955808808492451E-6</v>
      </c>
      <c r="I2909" s="5">
        <f>Tabelle13[[#This Row],[%]]+I2908</f>
        <v>0.96647548755324508</v>
      </c>
      <c r="J2909" s="4">
        <f t="shared" si="123"/>
        <v>1.105583195135434E-4</v>
      </c>
      <c r="K2909" s="5">
        <f t="shared" si="124"/>
        <v>0.32139303482587472</v>
      </c>
    </row>
    <row r="2910" spans="1:11" x14ac:dyDescent="0.25">
      <c r="A2910" t="s">
        <v>480</v>
      </c>
      <c r="C2910" t="s">
        <v>481</v>
      </c>
      <c r="D2910" t="s">
        <v>5</v>
      </c>
      <c r="E2910" t="s">
        <v>6</v>
      </c>
      <c r="F2910" t="s">
        <v>7</v>
      </c>
      <c r="G2910">
        <v>2</v>
      </c>
      <c r="H2910" s="2">
        <f>Tabelle13[[#This Row],[commits]]/Tabelle13[[#Totals],[commits]]</f>
        <v>9.2955808808492451E-6</v>
      </c>
      <c r="I2910" s="5">
        <f>Tabelle13[[#This Row],[%]]+I2909</f>
        <v>0.96648478313412589</v>
      </c>
      <c r="J2910" s="4">
        <f t="shared" si="123"/>
        <v>1.105583195135434E-4</v>
      </c>
      <c r="K2910" s="5">
        <f t="shared" si="124"/>
        <v>0.32150359314538829</v>
      </c>
    </row>
    <row r="2911" spans="1:11" x14ac:dyDescent="0.25">
      <c r="A2911" t="s">
        <v>482</v>
      </c>
      <c r="C2911" t="s">
        <v>483</v>
      </c>
      <c r="D2911" t="s">
        <v>5</v>
      </c>
      <c r="E2911" t="s">
        <v>6</v>
      </c>
      <c r="F2911" t="s">
        <v>7</v>
      </c>
      <c r="G2911">
        <v>2</v>
      </c>
      <c r="H2911" s="2">
        <f>Tabelle13[[#This Row],[commits]]/Tabelle13[[#Totals],[commits]]</f>
        <v>9.2955808808492451E-6</v>
      </c>
      <c r="I2911" s="5">
        <f>Tabelle13[[#This Row],[%]]+I2910</f>
        <v>0.9664940787150067</v>
      </c>
      <c r="J2911" s="4">
        <f t="shared" si="123"/>
        <v>1.105583195135434E-4</v>
      </c>
      <c r="K2911" s="5">
        <f t="shared" si="124"/>
        <v>0.32161415146490185</v>
      </c>
    </row>
    <row r="2912" spans="1:11" x14ac:dyDescent="0.25">
      <c r="A2912" t="s">
        <v>484</v>
      </c>
      <c r="C2912" t="s">
        <v>485</v>
      </c>
      <c r="D2912" t="s">
        <v>5</v>
      </c>
      <c r="E2912" t="s">
        <v>6</v>
      </c>
      <c r="F2912" t="s">
        <v>7</v>
      </c>
      <c r="G2912">
        <v>2</v>
      </c>
      <c r="H2912" s="2">
        <f>Tabelle13[[#This Row],[commits]]/Tabelle13[[#Totals],[commits]]</f>
        <v>9.2955808808492451E-6</v>
      </c>
      <c r="I2912" s="5">
        <f>Tabelle13[[#This Row],[%]]+I2911</f>
        <v>0.96650337429588751</v>
      </c>
      <c r="J2912" s="4">
        <f t="shared" si="123"/>
        <v>1.105583195135434E-4</v>
      </c>
      <c r="K2912" s="5">
        <f t="shared" si="124"/>
        <v>0.32172470978441542</v>
      </c>
    </row>
    <row r="2913" spans="1:11" x14ac:dyDescent="0.25">
      <c r="A2913" t="s">
        <v>486</v>
      </c>
      <c r="C2913" t="s">
        <v>487</v>
      </c>
      <c r="D2913" t="s">
        <v>5</v>
      </c>
      <c r="E2913" t="s">
        <v>6</v>
      </c>
      <c r="F2913" t="s">
        <v>7</v>
      </c>
      <c r="G2913">
        <v>2</v>
      </c>
      <c r="H2913" s="2">
        <f>Tabelle13[[#This Row],[commits]]/Tabelle13[[#Totals],[commits]]</f>
        <v>9.2955808808492451E-6</v>
      </c>
      <c r="I2913" s="5">
        <f>Tabelle13[[#This Row],[%]]+I2912</f>
        <v>0.96651266987676832</v>
      </c>
      <c r="J2913" s="4">
        <f t="shared" si="123"/>
        <v>1.105583195135434E-4</v>
      </c>
      <c r="K2913" s="5">
        <f t="shared" si="124"/>
        <v>0.32183526810392898</v>
      </c>
    </row>
    <row r="2914" spans="1:11" x14ac:dyDescent="0.25">
      <c r="A2914" t="s">
        <v>488</v>
      </c>
      <c r="C2914" t="s">
        <v>489</v>
      </c>
      <c r="D2914" t="s">
        <v>5</v>
      </c>
      <c r="E2914" t="s">
        <v>6</v>
      </c>
      <c r="F2914" t="s">
        <v>7</v>
      </c>
      <c r="G2914">
        <v>2</v>
      </c>
      <c r="H2914" s="2">
        <f>Tabelle13[[#This Row],[commits]]/Tabelle13[[#Totals],[commits]]</f>
        <v>9.2955808808492451E-6</v>
      </c>
      <c r="I2914" s="5">
        <f>Tabelle13[[#This Row],[%]]+I2913</f>
        <v>0.96652196545764912</v>
      </c>
      <c r="J2914" s="4">
        <f t="shared" si="123"/>
        <v>1.105583195135434E-4</v>
      </c>
      <c r="K2914" s="5">
        <f t="shared" si="124"/>
        <v>0.32194582642344255</v>
      </c>
    </row>
    <row r="2915" spans="1:11" x14ac:dyDescent="0.25">
      <c r="A2915" t="s">
        <v>490</v>
      </c>
      <c r="C2915" t="s">
        <v>491</v>
      </c>
      <c r="D2915" t="s">
        <v>5</v>
      </c>
      <c r="E2915" t="s">
        <v>6</v>
      </c>
      <c r="F2915" t="s">
        <v>7</v>
      </c>
      <c r="G2915">
        <v>2</v>
      </c>
      <c r="H2915" s="2">
        <f>Tabelle13[[#This Row],[commits]]/Tabelle13[[#Totals],[commits]]</f>
        <v>9.2955808808492451E-6</v>
      </c>
      <c r="I2915" s="5">
        <f>Tabelle13[[#This Row],[%]]+I2914</f>
        <v>0.96653126103852993</v>
      </c>
      <c r="J2915" s="4">
        <f t="shared" si="123"/>
        <v>1.105583195135434E-4</v>
      </c>
      <c r="K2915" s="5">
        <f t="shared" si="124"/>
        <v>0.32205638474295611</v>
      </c>
    </row>
    <row r="2916" spans="1:11" x14ac:dyDescent="0.25">
      <c r="A2916" t="s">
        <v>492</v>
      </c>
      <c r="C2916" t="s">
        <v>493</v>
      </c>
      <c r="D2916" t="s">
        <v>5</v>
      </c>
      <c r="E2916" t="s">
        <v>6</v>
      </c>
      <c r="F2916" t="s">
        <v>7</v>
      </c>
      <c r="G2916">
        <v>2</v>
      </c>
      <c r="H2916" s="2">
        <f>Tabelle13[[#This Row],[commits]]/Tabelle13[[#Totals],[commits]]</f>
        <v>9.2955808808492451E-6</v>
      </c>
      <c r="I2916" s="5">
        <f>Tabelle13[[#This Row],[%]]+I2915</f>
        <v>0.96654055661941074</v>
      </c>
      <c r="J2916" s="4">
        <f t="shared" si="123"/>
        <v>1.105583195135434E-4</v>
      </c>
      <c r="K2916" s="5">
        <f t="shared" si="124"/>
        <v>0.32216694306246968</v>
      </c>
    </row>
    <row r="2917" spans="1:11" x14ac:dyDescent="0.25">
      <c r="A2917" t="s">
        <v>494</v>
      </c>
      <c r="C2917" t="s">
        <v>495</v>
      </c>
      <c r="D2917" t="s">
        <v>5</v>
      </c>
      <c r="E2917" t="s">
        <v>6</v>
      </c>
      <c r="F2917" t="s">
        <v>7</v>
      </c>
      <c r="G2917">
        <v>2</v>
      </c>
      <c r="H2917" s="2">
        <f>Tabelle13[[#This Row],[commits]]/Tabelle13[[#Totals],[commits]]</f>
        <v>9.2955808808492451E-6</v>
      </c>
      <c r="I2917" s="5">
        <f>Tabelle13[[#This Row],[%]]+I2916</f>
        <v>0.96654985220029155</v>
      </c>
      <c r="J2917" s="4">
        <f t="shared" si="123"/>
        <v>1.105583195135434E-4</v>
      </c>
      <c r="K2917" s="5">
        <f t="shared" si="124"/>
        <v>0.32227750138198324</v>
      </c>
    </row>
    <row r="2918" spans="1:11" x14ac:dyDescent="0.25">
      <c r="A2918" t="s">
        <v>496</v>
      </c>
      <c r="C2918" t="s">
        <v>497</v>
      </c>
      <c r="D2918" t="s">
        <v>5</v>
      </c>
      <c r="E2918" t="s">
        <v>6</v>
      </c>
      <c r="F2918" t="s">
        <v>7</v>
      </c>
      <c r="G2918">
        <v>2</v>
      </c>
      <c r="H2918" s="2">
        <f>Tabelle13[[#This Row],[commits]]/Tabelle13[[#Totals],[commits]]</f>
        <v>9.2955808808492451E-6</v>
      </c>
      <c r="I2918" s="5">
        <f>Tabelle13[[#This Row],[%]]+I2917</f>
        <v>0.96655914778117236</v>
      </c>
      <c r="J2918" s="4">
        <f t="shared" si="123"/>
        <v>1.105583195135434E-4</v>
      </c>
      <c r="K2918" s="5">
        <f t="shared" si="124"/>
        <v>0.32238805970149681</v>
      </c>
    </row>
    <row r="2919" spans="1:11" x14ac:dyDescent="0.25">
      <c r="A2919" t="s">
        <v>498</v>
      </c>
      <c r="C2919" t="s">
        <v>499</v>
      </c>
      <c r="D2919" t="s">
        <v>5</v>
      </c>
      <c r="E2919" t="s">
        <v>6</v>
      </c>
      <c r="F2919" t="s">
        <v>7</v>
      </c>
      <c r="G2919">
        <v>2</v>
      </c>
      <c r="H2919" s="2">
        <f>Tabelle13[[#This Row],[commits]]/Tabelle13[[#Totals],[commits]]</f>
        <v>9.2955808808492451E-6</v>
      </c>
      <c r="I2919" s="5">
        <f>Tabelle13[[#This Row],[%]]+I2918</f>
        <v>0.96656844336205316</v>
      </c>
      <c r="J2919" s="4">
        <f t="shared" si="123"/>
        <v>1.105583195135434E-4</v>
      </c>
      <c r="K2919" s="5">
        <f t="shared" si="124"/>
        <v>0.32249861802101037</v>
      </c>
    </row>
    <row r="2920" spans="1:11" x14ac:dyDescent="0.25">
      <c r="A2920" t="s">
        <v>500</v>
      </c>
      <c r="C2920" t="s">
        <v>501</v>
      </c>
      <c r="D2920" t="s">
        <v>5</v>
      </c>
      <c r="E2920" t="s">
        <v>6</v>
      </c>
      <c r="F2920" t="s">
        <v>7</v>
      </c>
      <c r="G2920">
        <v>2</v>
      </c>
      <c r="H2920" s="2">
        <f>Tabelle13[[#This Row],[commits]]/Tabelle13[[#Totals],[commits]]</f>
        <v>9.2955808808492451E-6</v>
      </c>
      <c r="I2920" s="5">
        <f>Tabelle13[[#This Row],[%]]+I2919</f>
        <v>0.96657773894293397</v>
      </c>
      <c r="J2920" s="4">
        <f t="shared" si="123"/>
        <v>1.105583195135434E-4</v>
      </c>
      <c r="K2920" s="5">
        <f t="shared" si="124"/>
        <v>0.32260917634052394</v>
      </c>
    </row>
    <row r="2921" spans="1:11" x14ac:dyDescent="0.25">
      <c r="A2921" t="s">
        <v>502</v>
      </c>
      <c r="C2921" t="s">
        <v>503</v>
      </c>
      <c r="D2921" t="s">
        <v>5</v>
      </c>
      <c r="E2921" t="s">
        <v>6</v>
      </c>
      <c r="F2921" t="s">
        <v>7</v>
      </c>
      <c r="G2921">
        <v>2</v>
      </c>
      <c r="H2921" s="2">
        <f>Tabelle13[[#This Row],[commits]]/Tabelle13[[#Totals],[commits]]</f>
        <v>9.2955808808492451E-6</v>
      </c>
      <c r="I2921" s="5">
        <f>Tabelle13[[#This Row],[%]]+I2920</f>
        <v>0.96658703452381478</v>
      </c>
      <c r="J2921" s="4">
        <f t="shared" si="123"/>
        <v>1.105583195135434E-4</v>
      </c>
      <c r="K2921" s="5">
        <f t="shared" si="124"/>
        <v>0.3227197346600375</v>
      </c>
    </row>
    <row r="2922" spans="1:11" x14ac:dyDescent="0.25">
      <c r="A2922" t="s">
        <v>504</v>
      </c>
      <c r="C2922" t="s">
        <v>26</v>
      </c>
      <c r="D2922" t="s">
        <v>5</v>
      </c>
      <c r="E2922" t="s">
        <v>6</v>
      </c>
      <c r="F2922" t="s">
        <v>7</v>
      </c>
      <c r="G2922">
        <v>2</v>
      </c>
      <c r="H2922" s="2">
        <f>Tabelle13[[#This Row],[commits]]/Tabelle13[[#Totals],[commits]]</f>
        <v>9.2955808808492451E-6</v>
      </c>
      <c r="I2922" s="5">
        <f>Tabelle13[[#This Row],[%]]+I2921</f>
        <v>0.96659633010469559</v>
      </c>
      <c r="J2922" s="4">
        <f t="shared" si="123"/>
        <v>1.105583195135434E-4</v>
      </c>
      <c r="K2922" s="5">
        <f t="shared" si="124"/>
        <v>0.32283029297955107</v>
      </c>
    </row>
    <row r="2923" spans="1:11" x14ac:dyDescent="0.25">
      <c r="A2923" t="s">
        <v>505</v>
      </c>
      <c r="C2923" t="s">
        <v>506</v>
      </c>
      <c r="D2923" t="s">
        <v>507</v>
      </c>
      <c r="E2923" t="s">
        <v>6</v>
      </c>
      <c r="F2923" t="s">
        <v>7</v>
      </c>
      <c r="G2923">
        <v>2</v>
      </c>
      <c r="H2923" s="2">
        <f>Tabelle13[[#This Row],[commits]]/Tabelle13[[#Totals],[commits]]</f>
        <v>9.2955808808492451E-6</v>
      </c>
      <c r="I2923" s="5">
        <f>Tabelle13[[#This Row],[%]]+I2922</f>
        <v>0.9666056256855764</v>
      </c>
      <c r="J2923" s="4">
        <f t="shared" si="123"/>
        <v>1.105583195135434E-4</v>
      </c>
      <c r="K2923" s="5">
        <f t="shared" si="124"/>
        <v>0.32294085129906464</v>
      </c>
    </row>
    <row r="2924" spans="1:11" x14ac:dyDescent="0.25">
      <c r="A2924" t="s">
        <v>508</v>
      </c>
      <c r="C2924" t="s">
        <v>509</v>
      </c>
      <c r="D2924" t="s">
        <v>5</v>
      </c>
      <c r="E2924" t="s">
        <v>6</v>
      </c>
      <c r="F2924" t="s">
        <v>7</v>
      </c>
      <c r="G2924">
        <v>2</v>
      </c>
      <c r="H2924" s="2">
        <f>Tabelle13[[#This Row],[commits]]/Tabelle13[[#Totals],[commits]]</f>
        <v>9.2955808808492451E-6</v>
      </c>
      <c r="I2924" s="5">
        <f>Tabelle13[[#This Row],[%]]+I2923</f>
        <v>0.96661492126645721</v>
      </c>
      <c r="J2924" s="4">
        <f t="shared" si="123"/>
        <v>1.105583195135434E-4</v>
      </c>
      <c r="K2924" s="5">
        <f t="shared" si="124"/>
        <v>0.3230514096185782</v>
      </c>
    </row>
    <row r="2925" spans="1:11" x14ac:dyDescent="0.25">
      <c r="A2925" t="s">
        <v>510</v>
      </c>
      <c r="C2925" t="s">
        <v>511</v>
      </c>
      <c r="D2925" t="s">
        <v>5</v>
      </c>
      <c r="E2925" t="s">
        <v>6</v>
      </c>
      <c r="F2925" t="s">
        <v>7</v>
      </c>
      <c r="G2925">
        <v>2</v>
      </c>
      <c r="H2925" s="2">
        <f>Tabelle13[[#This Row],[commits]]/Tabelle13[[#Totals],[commits]]</f>
        <v>9.2955808808492451E-6</v>
      </c>
      <c r="I2925" s="5">
        <f>Tabelle13[[#This Row],[%]]+I2924</f>
        <v>0.96662421684733801</v>
      </c>
      <c r="J2925" s="4">
        <f t="shared" si="123"/>
        <v>1.105583195135434E-4</v>
      </c>
      <c r="K2925" s="5">
        <f t="shared" si="124"/>
        <v>0.32316196793809177</v>
      </c>
    </row>
    <row r="2926" spans="1:11" x14ac:dyDescent="0.25">
      <c r="A2926" t="s">
        <v>512</v>
      </c>
      <c r="C2926" t="s">
        <v>311</v>
      </c>
      <c r="D2926" t="s">
        <v>5</v>
      </c>
      <c r="E2926" t="s">
        <v>6</v>
      </c>
      <c r="F2926" t="s">
        <v>7</v>
      </c>
      <c r="G2926">
        <v>2</v>
      </c>
      <c r="H2926" s="2">
        <f>Tabelle13[[#This Row],[commits]]/Tabelle13[[#Totals],[commits]]</f>
        <v>9.2955808808492451E-6</v>
      </c>
      <c r="I2926" s="5">
        <f>Tabelle13[[#This Row],[%]]+I2925</f>
        <v>0.96663351242821882</v>
      </c>
      <c r="J2926" s="4">
        <f t="shared" si="123"/>
        <v>1.105583195135434E-4</v>
      </c>
      <c r="K2926" s="5">
        <f t="shared" si="124"/>
        <v>0.32327252625760533</v>
      </c>
    </row>
    <row r="2927" spans="1:11" x14ac:dyDescent="0.25">
      <c r="A2927" t="s">
        <v>513</v>
      </c>
      <c r="C2927" t="s">
        <v>514</v>
      </c>
      <c r="D2927" t="s">
        <v>5</v>
      </c>
      <c r="E2927" t="s">
        <v>6</v>
      </c>
      <c r="F2927" t="s">
        <v>7</v>
      </c>
      <c r="G2927">
        <v>2</v>
      </c>
      <c r="H2927" s="2">
        <f>Tabelle13[[#This Row],[commits]]/Tabelle13[[#Totals],[commits]]</f>
        <v>9.2955808808492451E-6</v>
      </c>
      <c r="I2927" s="5">
        <f>Tabelle13[[#This Row],[%]]+I2926</f>
        <v>0.96664280800909963</v>
      </c>
      <c r="J2927" s="4">
        <f t="shared" si="123"/>
        <v>1.105583195135434E-4</v>
      </c>
      <c r="K2927" s="5">
        <f t="shared" si="124"/>
        <v>0.3233830845771189</v>
      </c>
    </row>
    <row r="2928" spans="1:11" x14ac:dyDescent="0.25">
      <c r="A2928" t="s">
        <v>515</v>
      </c>
      <c r="C2928" t="s">
        <v>516</v>
      </c>
      <c r="D2928" t="s">
        <v>5</v>
      </c>
      <c r="E2928" t="s">
        <v>6</v>
      </c>
      <c r="F2928" t="s">
        <v>7</v>
      </c>
      <c r="G2928">
        <v>2</v>
      </c>
      <c r="H2928" s="2">
        <f>Tabelle13[[#This Row],[commits]]/Tabelle13[[#Totals],[commits]]</f>
        <v>9.2955808808492451E-6</v>
      </c>
      <c r="I2928" s="5">
        <f>Tabelle13[[#This Row],[%]]+I2927</f>
        <v>0.96665210358998044</v>
      </c>
      <c r="J2928" s="4">
        <f t="shared" si="123"/>
        <v>1.105583195135434E-4</v>
      </c>
      <c r="K2928" s="5">
        <f t="shared" si="124"/>
        <v>0.32349364289663246</v>
      </c>
    </row>
    <row r="2929" spans="1:11" x14ac:dyDescent="0.25">
      <c r="A2929" t="s">
        <v>517</v>
      </c>
      <c r="C2929" t="s">
        <v>518</v>
      </c>
      <c r="D2929" t="s">
        <v>5</v>
      </c>
      <c r="E2929" t="s">
        <v>6</v>
      </c>
      <c r="F2929" t="s">
        <v>7</v>
      </c>
      <c r="G2929">
        <v>2</v>
      </c>
      <c r="H2929" s="2">
        <f>Tabelle13[[#This Row],[commits]]/Tabelle13[[#Totals],[commits]]</f>
        <v>9.2955808808492451E-6</v>
      </c>
      <c r="I2929" s="5">
        <f>Tabelle13[[#This Row],[%]]+I2928</f>
        <v>0.96666139917086125</v>
      </c>
      <c r="J2929" s="4">
        <f t="shared" si="123"/>
        <v>1.105583195135434E-4</v>
      </c>
      <c r="K2929" s="5">
        <f t="shared" si="124"/>
        <v>0.32360420121614603</v>
      </c>
    </row>
    <row r="2930" spans="1:11" x14ac:dyDescent="0.25">
      <c r="A2930" t="s">
        <v>519</v>
      </c>
      <c r="C2930" t="s">
        <v>520</v>
      </c>
      <c r="D2930" t="s">
        <v>5</v>
      </c>
      <c r="E2930" t="s">
        <v>6</v>
      </c>
      <c r="F2930" t="s">
        <v>7</v>
      </c>
      <c r="G2930">
        <v>2</v>
      </c>
      <c r="H2930" s="2">
        <f>Tabelle13[[#This Row],[commits]]/Tabelle13[[#Totals],[commits]]</f>
        <v>9.2955808808492451E-6</v>
      </c>
      <c r="I2930" s="5">
        <f>Tabelle13[[#This Row],[%]]+I2929</f>
        <v>0.96667069475174205</v>
      </c>
      <c r="J2930" s="4">
        <f t="shared" si="123"/>
        <v>1.105583195135434E-4</v>
      </c>
      <c r="K2930" s="5">
        <f t="shared" si="124"/>
        <v>0.32371475953565959</v>
      </c>
    </row>
    <row r="2931" spans="1:11" x14ac:dyDescent="0.25">
      <c r="A2931" t="s">
        <v>521</v>
      </c>
      <c r="C2931" t="s">
        <v>522</v>
      </c>
      <c r="D2931" t="s">
        <v>5</v>
      </c>
      <c r="E2931" t="s">
        <v>6</v>
      </c>
      <c r="F2931" t="s">
        <v>7</v>
      </c>
      <c r="G2931">
        <v>2</v>
      </c>
      <c r="H2931" s="2">
        <f>Tabelle13[[#This Row],[commits]]/Tabelle13[[#Totals],[commits]]</f>
        <v>9.2955808808492451E-6</v>
      </c>
      <c r="I2931" s="5">
        <f>Tabelle13[[#This Row],[%]]+I2930</f>
        <v>0.96667999033262286</v>
      </c>
      <c r="J2931" s="4">
        <f t="shared" si="123"/>
        <v>1.105583195135434E-4</v>
      </c>
      <c r="K2931" s="5">
        <f t="shared" si="124"/>
        <v>0.32382531785517316</v>
      </c>
    </row>
    <row r="2932" spans="1:11" x14ac:dyDescent="0.25">
      <c r="A2932" t="s">
        <v>523</v>
      </c>
      <c r="C2932" t="s">
        <v>524</v>
      </c>
      <c r="D2932" t="s">
        <v>5</v>
      </c>
      <c r="E2932" t="s">
        <v>6</v>
      </c>
      <c r="F2932" t="s">
        <v>7</v>
      </c>
      <c r="G2932">
        <v>2</v>
      </c>
      <c r="H2932" s="2">
        <f>Tabelle13[[#This Row],[commits]]/Tabelle13[[#Totals],[commits]]</f>
        <v>9.2955808808492451E-6</v>
      </c>
      <c r="I2932" s="5">
        <f>Tabelle13[[#This Row],[%]]+I2931</f>
        <v>0.96668928591350367</v>
      </c>
      <c r="J2932" s="4">
        <f t="shared" si="123"/>
        <v>1.105583195135434E-4</v>
      </c>
      <c r="K2932" s="5">
        <f t="shared" si="124"/>
        <v>0.32393587617468672</v>
      </c>
    </row>
    <row r="2933" spans="1:11" x14ac:dyDescent="0.25">
      <c r="A2933" t="s">
        <v>525</v>
      </c>
      <c r="C2933" t="s">
        <v>526</v>
      </c>
      <c r="D2933" t="s">
        <v>5</v>
      </c>
      <c r="E2933" t="s">
        <v>6</v>
      </c>
      <c r="F2933" t="s">
        <v>7</v>
      </c>
      <c r="G2933">
        <v>2</v>
      </c>
      <c r="H2933" s="2">
        <f>Tabelle13[[#This Row],[commits]]/Tabelle13[[#Totals],[commits]]</f>
        <v>9.2955808808492451E-6</v>
      </c>
      <c r="I2933" s="5">
        <f>Tabelle13[[#This Row],[%]]+I2932</f>
        <v>0.96669858149438448</v>
      </c>
      <c r="J2933" s="4">
        <f t="shared" si="123"/>
        <v>1.105583195135434E-4</v>
      </c>
      <c r="K2933" s="5">
        <f t="shared" si="124"/>
        <v>0.32404643449420029</v>
      </c>
    </row>
    <row r="2934" spans="1:11" x14ac:dyDescent="0.25">
      <c r="A2934" t="s">
        <v>527</v>
      </c>
      <c r="C2934" t="s">
        <v>528</v>
      </c>
      <c r="D2934" t="s">
        <v>5</v>
      </c>
      <c r="E2934" t="s">
        <v>6</v>
      </c>
      <c r="F2934" t="s">
        <v>7</v>
      </c>
      <c r="G2934">
        <v>2</v>
      </c>
      <c r="H2934" s="2">
        <f>Tabelle13[[#This Row],[commits]]/Tabelle13[[#Totals],[commits]]</f>
        <v>9.2955808808492451E-6</v>
      </c>
      <c r="I2934" s="5">
        <f>Tabelle13[[#This Row],[%]]+I2933</f>
        <v>0.96670787707526529</v>
      </c>
      <c r="J2934" s="4">
        <f t="shared" si="123"/>
        <v>1.105583195135434E-4</v>
      </c>
      <c r="K2934" s="5">
        <f t="shared" si="124"/>
        <v>0.32415699281371385</v>
      </c>
    </row>
    <row r="2935" spans="1:11" x14ac:dyDescent="0.25">
      <c r="A2935" t="s">
        <v>529</v>
      </c>
      <c r="C2935" t="s">
        <v>530</v>
      </c>
      <c r="D2935" t="s">
        <v>5</v>
      </c>
      <c r="E2935" t="s">
        <v>6</v>
      </c>
      <c r="F2935" t="s">
        <v>7</v>
      </c>
      <c r="G2935">
        <v>2</v>
      </c>
      <c r="H2935" s="2">
        <f>Tabelle13[[#This Row],[commits]]/Tabelle13[[#Totals],[commits]]</f>
        <v>9.2955808808492451E-6</v>
      </c>
      <c r="I2935" s="5">
        <f>Tabelle13[[#This Row],[%]]+I2934</f>
        <v>0.9667171726561461</v>
      </c>
      <c r="J2935" s="4">
        <f t="shared" si="123"/>
        <v>1.105583195135434E-4</v>
      </c>
      <c r="K2935" s="5">
        <f t="shared" si="124"/>
        <v>0.32426755113322742</v>
      </c>
    </row>
    <row r="2936" spans="1:11" x14ac:dyDescent="0.25">
      <c r="A2936" t="s">
        <v>531</v>
      </c>
      <c r="C2936" t="s">
        <v>532</v>
      </c>
      <c r="D2936" t="s">
        <v>5</v>
      </c>
      <c r="E2936" t="s">
        <v>6</v>
      </c>
      <c r="F2936" t="s">
        <v>7</v>
      </c>
      <c r="G2936">
        <v>2</v>
      </c>
      <c r="H2936" s="2">
        <f>Tabelle13[[#This Row],[commits]]/Tabelle13[[#Totals],[commits]]</f>
        <v>9.2955808808492451E-6</v>
      </c>
      <c r="I2936" s="5">
        <f>Tabelle13[[#This Row],[%]]+I2935</f>
        <v>0.9667264682370269</v>
      </c>
      <c r="J2936" s="4">
        <f t="shared" si="123"/>
        <v>1.105583195135434E-4</v>
      </c>
      <c r="K2936" s="5">
        <f t="shared" si="124"/>
        <v>0.32437810945274098</v>
      </c>
    </row>
    <row r="2937" spans="1:11" x14ac:dyDescent="0.25">
      <c r="A2937" t="s">
        <v>533</v>
      </c>
      <c r="C2937" t="s">
        <v>534</v>
      </c>
      <c r="D2937" t="s">
        <v>5</v>
      </c>
      <c r="E2937" t="s">
        <v>6</v>
      </c>
      <c r="F2937" t="s">
        <v>7</v>
      </c>
      <c r="G2937">
        <v>2</v>
      </c>
      <c r="H2937" s="2">
        <f>Tabelle13[[#This Row],[commits]]/Tabelle13[[#Totals],[commits]]</f>
        <v>9.2955808808492451E-6</v>
      </c>
      <c r="I2937" s="5">
        <f>Tabelle13[[#This Row],[%]]+I2936</f>
        <v>0.96673576381790771</v>
      </c>
      <c r="J2937" s="4">
        <f t="shared" si="123"/>
        <v>1.105583195135434E-4</v>
      </c>
      <c r="K2937" s="5">
        <f t="shared" si="124"/>
        <v>0.32448866777225455</v>
      </c>
    </row>
    <row r="2938" spans="1:11" x14ac:dyDescent="0.25">
      <c r="A2938" t="s">
        <v>535</v>
      </c>
      <c r="C2938" t="s">
        <v>536</v>
      </c>
      <c r="D2938" t="s">
        <v>5</v>
      </c>
      <c r="E2938" t="s">
        <v>6</v>
      </c>
      <c r="F2938" t="s">
        <v>7</v>
      </c>
      <c r="G2938">
        <v>2</v>
      </c>
      <c r="H2938" s="2">
        <f>Tabelle13[[#This Row],[commits]]/Tabelle13[[#Totals],[commits]]</f>
        <v>9.2955808808492451E-6</v>
      </c>
      <c r="I2938" s="5">
        <f>Tabelle13[[#This Row],[%]]+I2937</f>
        <v>0.96674505939878852</v>
      </c>
      <c r="J2938" s="4">
        <f t="shared" si="123"/>
        <v>1.105583195135434E-4</v>
      </c>
      <c r="K2938" s="5">
        <f t="shared" si="124"/>
        <v>0.32459922609176811</v>
      </c>
    </row>
    <row r="2939" spans="1:11" x14ac:dyDescent="0.25">
      <c r="A2939" t="s">
        <v>537</v>
      </c>
      <c r="C2939" t="s">
        <v>538</v>
      </c>
      <c r="D2939" t="s">
        <v>5</v>
      </c>
      <c r="E2939" t="s">
        <v>6</v>
      </c>
      <c r="F2939" t="s">
        <v>7</v>
      </c>
      <c r="G2939">
        <v>2</v>
      </c>
      <c r="H2939" s="2">
        <f>Tabelle13[[#This Row],[commits]]/Tabelle13[[#Totals],[commits]]</f>
        <v>9.2955808808492451E-6</v>
      </c>
      <c r="I2939" s="5">
        <f>Tabelle13[[#This Row],[%]]+I2938</f>
        <v>0.96675435497966933</v>
      </c>
      <c r="J2939" s="4">
        <f t="shared" si="123"/>
        <v>1.105583195135434E-4</v>
      </c>
      <c r="K2939" s="5">
        <f t="shared" si="124"/>
        <v>0.32470978441128168</v>
      </c>
    </row>
    <row r="2940" spans="1:11" x14ac:dyDescent="0.25">
      <c r="A2940" t="s">
        <v>539</v>
      </c>
      <c r="C2940" t="s">
        <v>540</v>
      </c>
      <c r="D2940" t="s">
        <v>5</v>
      </c>
      <c r="E2940" t="s">
        <v>6</v>
      </c>
      <c r="F2940" t="s">
        <v>7</v>
      </c>
      <c r="G2940">
        <v>2</v>
      </c>
      <c r="H2940" s="2">
        <f>Tabelle13[[#This Row],[commits]]/Tabelle13[[#Totals],[commits]]</f>
        <v>9.2955808808492451E-6</v>
      </c>
      <c r="I2940" s="5">
        <f>Tabelle13[[#This Row],[%]]+I2939</f>
        <v>0.96676365056055014</v>
      </c>
      <c r="J2940" s="4">
        <f t="shared" si="123"/>
        <v>1.105583195135434E-4</v>
      </c>
      <c r="K2940" s="5">
        <f t="shared" si="124"/>
        <v>0.32482034273079524</v>
      </c>
    </row>
    <row r="2941" spans="1:11" x14ac:dyDescent="0.25">
      <c r="A2941" t="s">
        <v>541</v>
      </c>
      <c r="C2941" t="s">
        <v>197</v>
      </c>
      <c r="D2941" t="s">
        <v>5</v>
      </c>
      <c r="E2941" t="s">
        <v>6</v>
      </c>
      <c r="F2941" t="s">
        <v>7</v>
      </c>
      <c r="G2941">
        <v>2</v>
      </c>
      <c r="H2941" s="2">
        <f>Tabelle13[[#This Row],[commits]]/Tabelle13[[#Totals],[commits]]</f>
        <v>9.2955808808492451E-6</v>
      </c>
      <c r="I2941" s="5">
        <f>Tabelle13[[#This Row],[%]]+I2940</f>
        <v>0.96677294614143094</v>
      </c>
      <c r="J2941" s="4">
        <f t="shared" si="123"/>
        <v>1.105583195135434E-4</v>
      </c>
      <c r="K2941" s="5">
        <f t="shared" si="124"/>
        <v>0.32493090105030881</v>
      </c>
    </row>
    <row r="2942" spans="1:11" x14ac:dyDescent="0.25">
      <c r="A2942" t="s">
        <v>542</v>
      </c>
      <c r="C2942" t="s">
        <v>543</v>
      </c>
      <c r="D2942" t="s">
        <v>5</v>
      </c>
      <c r="E2942" t="s">
        <v>6</v>
      </c>
      <c r="F2942" t="s">
        <v>7</v>
      </c>
      <c r="G2942">
        <v>2</v>
      </c>
      <c r="H2942" s="2">
        <f>Tabelle13[[#This Row],[commits]]/Tabelle13[[#Totals],[commits]]</f>
        <v>9.2955808808492451E-6</v>
      </c>
      <c r="I2942" s="5">
        <f>Tabelle13[[#This Row],[%]]+I2941</f>
        <v>0.96678224172231175</v>
      </c>
      <c r="J2942" s="4">
        <f t="shared" si="123"/>
        <v>1.105583195135434E-4</v>
      </c>
      <c r="K2942" s="5">
        <f t="shared" si="124"/>
        <v>0.32504145936982237</v>
      </c>
    </row>
    <row r="2943" spans="1:11" x14ac:dyDescent="0.25">
      <c r="A2943" t="s">
        <v>544</v>
      </c>
      <c r="C2943" t="s">
        <v>545</v>
      </c>
      <c r="D2943" t="s">
        <v>5</v>
      </c>
      <c r="E2943" t="s">
        <v>6</v>
      </c>
      <c r="F2943" t="s">
        <v>7</v>
      </c>
      <c r="G2943">
        <v>2</v>
      </c>
      <c r="H2943" s="2">
        <f>Tabelle13[[#This Row],[commits]]/Tabelle13[[#Totals],[commits]]</f>
        <v>9.2955808808492451E-6</v>
      </c>
      <c r="I2943" s="5">
        <f>Tabelle13[[#This Row],[%]]+I2942</f>
        <v>0.96679153730319256</v>
      </c>
      <c r="J2943" s="4">
        <f t="shared" si="123"/>
        <v>1.105583195135434E-4</v>
      </c>
      <c r="K2943" s="5">
        <f t="shared" si="124"/>
        <v>0.32515201768933594</v>
      </c>
    </row>
    <row r="2944" spans="1:11" x14ac:dyDescent="0.25">
      <c r="A2944" t="s">
        <v>546</v>
      </c>
      <c r="C2944" t="s">
        <v>547</v>
      </c>
      <c r="D2944" t="s">
        <v>5</v>
      </c>
      <c r="E2944" t="s">
        <v>6</v>
      </c>
      <c r="F2944" t="s">
        <v>7</v>
      </c>
      <c r="G2944">
        <v>2</v>
      </c>
      <c r="H2944" s="2">
        <f>Tabelle13[[#This Row],[commits]]/Tabelle13[[#Totals],[commits]]</f>
        <v>9.2955808808492451E-6</v>
      </c>
      <c r="I2944" s="5">
        <f>Tabelle13[[#This Row],[%]]+I2943</f>
        <v>0.96680083288407337</v>
      </c>
      <c r="J2944" s="4">
        <f t="shared" si="123"/>
        <v>1.105583195135434E-4</v>
      </c>
      <c r="K2944" s="5">
        <f t="shared" si="124"/>
        <v>0.3252625760088495</v>
      </c>
    </row>
    <row r="2945" spans="1:11" x14ac:dyDescent="0.25">
      <c r="A2945" t="s">
        <v>548</v>
      </c>
      <c r="C2945" t="s">
        <v>549</v>
      </c>
      <c r="D2945" t="s">
        <v>5</v>
      </c>
      <c r="E2945" t="s">
        <v>6</v>
      </c>
      <c r="F2945" t="s">
        <v>7</v>
      </c>
      <c r="G2945">
        <v>2</v>
      </c>
      <c r="H2945" s="2">
        <f>Tabelle13[[#This Row],[commits]]/Tabelle13[[#Totals],[commits]]</f>
        <v>9.2955808808492451E-6</v>
      </c>
      <c r="I2945" s="5">
        <f>Tabelle13[[#This Row],[%]]+I2944</f>
        <v>0.96681012846495418</v>
      </c>
      <c r="J2945" s="4">
        <f t="shared" si="123"/>
        <v>1.105583195135434E-4</v>
      </c>
      <c r="K2945" s="5">
        <f t="shared" si="124"/>
        <v>0.32537313432836307</v>
      </c>
    </row>
    <row r="2946" spans="1:11" x14ac:dyDescent="0.25">
      <c r="A2946" t="s">
        <v>550</v>
      </c>
      <c r="C2946" t="s">
        <v>551</v>
      </c>
      <c r="D2946" t="s">
        <v>309</v>
      </c>
      <c r="E2946" t="s">
        <v>6</v>
      </c>
      <c r="F2946" t="s">
        <v>7</v>
      </c>
      <c r="G2946">
        <v>2</v>
      </c>
      <c r="H2946" s="2">
        <f>Tabelle13[[#This Row],[commits]]/Tabelle13[[#Totals],[commits]]</f>
        <v>9.2955808808492451E-6</v>
      </c>
      <c r="I2946" s="5">
        <f>Tabelle13[[#This Row],[%]]+I2945</f>
        <v>0.96681942404583499</v>
      </c>
      <c r="J2946" s="4">
        <f t="shared" si="123"/>
        <v>1.105583195135434E-4</v>
      </c>
      <c r="K2946" s="5">
        <f t="shared" si="124"/>
        <v>0.32548369264787663</v>
      </c>
    </row>
    <row r="2947" spans="1:11" x14ac:dyDescent="0.25">
      <c r="A2947" t="s">
        <v>552</v>
      </c>
      <c r="C2947" t="s">
        <v>553</v>
      </c>
      <c r="D2947" t="s">
        <v>5</v>
      </c>
      <c r="E2947" t="s">
        <v>6</v>
      </c>
      <c r="F2947" t="s">
        <v>7</v>
      </c>
      <c r="G2947">
        <v>2</v>
      </c>
      <c r="H2947" s="2">
        <f>Tabelle13[[#This Row],[commits]]/Tabelle13[[#Totals],[commits]]</f>
        <v>9.2955808808492451E-6</v>
      </c>
      <c r="I2947" s="5">
        <f>Tabelle13[[#This Row],[%]]+I2946</f>
        <v>0.96682871962671579</v>
      </c>
      <c r="J2947" s="4">
        <f t="shared" ref="J2947:J3010" si="125">1/9045</f>
        <v>1.105583195135434E-4</v>
      </c>
      <c r="K2947" s="5">
        <f t="shared" si="124"/>
        <v>0.3255942509673902</v>
      </c>
    </row>
    <row r="2948" spans="1:11" x14ac:dyDescent="0.25">
      <c r="A2948" t="s">
        <v>554</v>
      </c>
      <c r="C2948" t="s">
        <v>555</v>
      </c>
      <c r="D2948" t="s">
        <v>5</v>
      </c>
      <c r="E2948" t="s">
        <v>6</v>
      </c>
      <c r="F2948" t="s">
        <v>7</v>
      </c>
      <c r="G2948">
        <v>2</v>
      </c>
      <c r="H2948" s="2">
        <f>Tabelle13[[#This Row],[commits]]/Tabelle13[[#Totals],[commits]]</f>
        <v>9.2955808808492451E-6</v>
      </c>
      <c r="I2948" s="5">
        <f>Tabelle13[[#This Row],[%]]+I2947</f>
        <v>0.9668380152075966</v>
      </c>
      <c r="J2948" s="4">
        <f t="shared" si="125"/>
        <v>1.105583195135434E-4</v>
      </c>
      <c r="K2948" s="5">
        <f t="shared" si="124"/>
        <v>0.32570480928690376</v>
      </c>
    </row>
    <row r="2949" spans="1:11" x14ac:dyDescent="0.25">
      <c r="A2949" t="s">
        <v>558</v>
      </c>
      <c r="C2949" t="s">
        <v>559</v>
      </c>
      <c r="D2949" t="s">
        <v>5</v>
      </c>
      <c r="E2949" t="s">
        <v>6</v>
      </c>
      <c r="F2949" t="s">
        <v>7</v>
      </c>
      <c r="G2949">
        <v>2</v>
      </c>
      <c r="H2949" s="2">
        <f>Tabelle13[[#This Row],[commits]]/Tabelle13[[#Totals],[commits]]</f>
        <v>9.2955808808492451E-6</v>
      </c>
      <c r="I2949" s="5">
        <f>Tabelle13[[#This Row],[%]]+I2948</f>
        <v>0.96684731078847741</v>
      </c>
      <c r="J2949" s="4">
        <f t="shared" si="125"/>
        <v>1.105583195135434E-4</v>
      </c>
      <c r="K2949" s="5">
        <f t="shared" si="124"/>
        <v>0.32581536760641733</v>
      </c>
    </row>
    <row r="2950" spans="1:11" x14ac:dyDescent="0.25">
      <c r="A2950" t="s">
        <v>560</v>
      </c>
      <c r="C2950" t="s">
        <v>561</v>
      </c>
      <c r="D2950" t="s">
        <v>5</v>
      </c>
      <c r="E2950" t="s">
        <v>6</v>
      </c>
      <c r="F2950" t="s">
        <v>7</v>
      </c>
      <c r="G2950">
        <v>2</v>
      </c>
      <c r="H2950" s="2">
        <f>Tabelle13[[#This Row],[commits]]/Tabelle13[[#Totals],[commits]]</f>
        <v>9.2955808808492451E-6</v>
      </c>
      <c r="I2950" s="5">
        <f>Tabelle13[[#This Row],[%]]+I2949</f>
        <v>0.96685660636935822</v>
      </c>
      <c r="J2950" s="4">
        <f t="shared" si="125"/>
        <v>1.105583195135434E-4</v>
      </c>
      <c r="K2950" s="5">
        <f t="shared" ref="K2950:K3013" si="126">J2950+K2949</f>
        <v>0.32592592592593089</v>
      </c>
    </row>
    <row r="2951" spans="1:11" x14ac:dyDescent="0.25">
      <c r="A2951" t="s">
        <v>562</v>
      </c>
      <c r="C2951" t="s">
        <v>563</v>
      </c>
      <c r="D2951" t="s">
        <v>5</v>
      </c>
      <c r="E2951" t="s">
        <v>6</v>
      </c>
      <c r="F2951" t="s">
        <v>7</v>
      </c>
      <c r="G2951">
        <v>2</v>
      </c>
      <c r="H2951" s="2">
        <f>Tabelle13[[#This Row],[commits]]/Tabelle13[[#Totals],[commits]]</f>
        <v>9.2955808808492451E-6</v>
      </c>
      <c r="I2951" s="5">
        <f>Tabelle13[[#This Row],[%]]+I2950</f>
        <v>0.96686590195023903</v>
      </c>
      <c r="J2951" s="4">
        <f t="shared" si="125"/>
        <v>1.105583195135434E-4</v>
      </c>
      <c r="K2951" s="5">
        <f t="shared" si="126"/>
        <v>0.32603648424544446</v>
      </c>
    </row>
    <row r="2952" spans="1:11" x14ac:dyDescent="0.25">
      <c r="A2952" t="s">
        <v>564</v>
      </c>
      <c r="C2952" t="s">
        <v>565</v>
      </c>
      <c r="D2952" t="s">
        <v>5</v>
      </c>
      <c r="E2952" t="s">
        <v>6</v>
      </c>
      <c r="F2952" t="s">
        <v>7</v>
      </c>
      <c r="G2952">
        <v>2</v>
      </c>
      <c r="H2952" s="2">
        <f>Tabelle13[[#This Row],[commits]]/Tabelle13[[#Totals],[commits]]</f>
        <v>9.2955808808492451E-6</v>
      </c>
      <c r="I2952" s="5">
        <f>Tabelle13[[#This Row],[%]]+I2951</f>
        <v>0.96687519753111983</v>
      </c>
      <c r="J2952" s="4">
        <f t="shared" si="125"/>
        <v>1.105583195135434E-4</v>
      </c>
      <c r="K2952" s="5">
        <f t="shared" si="126"/>
        <v>0.32614704256495802</v>
      </c>
    </row>
    <row r="2953" spans="1:11" x14ac:dyDescent="0.25">
      <c r="A2953" t="s">
        <v>566</v>
      </c>
      <c r="C2953" t="s">
        <v>567</v>
      </c>
      <c r="D2953" t="s">
        <v>5</v>
      </c>
      <c r="E2953" t="s">
        <v>6</v>
      </c>
      <c r="F2953" t="s">
        <v>7</v>
      </c>
      <c r="G2953">
        <v>2</v>
      </c>
      <c r="H2953" s="2">
        <f>Tabelle13[[#This Row],[commits]]/Tabelle13[[#Totals],[commits]]</f>
        <v>9.2955808808492451E-6</v>
      </c>
      <c r="I2953" s="5">
        <f>Tabelle13[[#This Row],[%]]+I2952</f>
        <v>0.96688449311200064</v>
      </c>
      <c r="J2953" s="4">
        <f t="shared" si="125"/>
        <v>1.105583195135434E-4</v>
      </c>
      <c r="K2953" s="5">
        <f t="shared" si="126"/>
        <v>0.32625760088447159</v>
      </c>
    </row>
    <row r="2954" spans="1:11" x14ac:dyDescent="0.25">
      <c r="A2954" t="s">
        <v>568</v>
      </c>
      <c r="C2954" t="s">
        <v>569</v>
      </c>
      <c r="D2954" t="s">
        <v>5</v>
      </c>
      <c r="E2954" t="s">
        <v>6</v>
      </c>
      <c r="F2954" t="s">
        <v>7</v>
      </c>
      <c r="G2954">
        <v>2</v>
      </c>
      <c r="H2954" s="2">
        <f>Tabelle13[[#This Row],[commits]]/Tabelle13[[#Totals],[commits]]</f>
        <v>9.2955808808492451E-6</v>
      </c>
      <c r="I2954" s="5">
        <f>Tabelle13[[#This Row],[%]]+I2953</f>
        <v>0.96689378869288145</v>
      </c>
      <c r="J2954" s="4">
        <f t="shared" si="125"/>
        <v>1.105583195135434E-4</v>
      </c>
      <c r="K2954" s="5">
        <f t="shared" si="126"/>
        <v>0.32636815920398515</v>
      </c>
    </row>
    <row r="2955" spans="1:11" x14ac:dyDescent="0.25">
      <c r="A2955" t="s">
        <v>570</v>
      </c>
      <c r="C2955" t="s">
        <v>571</v>
      </c>
      <c r="D2955" t="s">
        <v>5</v>
      </c>
      <c r="E2955" t="s">
        <v>6</v>
      </c>
      <c r="F2955" t="s">
        <v>7</v>
      </c>
      <c r="G2955">
        <v>2</v>
      </c>
      <c r="H2955" s="2">
        <f>Tabelle13[[#This Row],[commits]]/Tabelle13[[#Totals],[commits]]</f>
        <v>9.2955808808492451E-6</v>
      </c>
      <c r="I2955" s="5">
        <f>Tabelle13[[#This Row],[%]]+I2954</f>
        <v>0.96690308427376226</v>
      </c>
      <c r="J2955" s="4">
        <f t="shared" si="125"/>
        <v>1.105583195135434E-4</v>
      </c>
      <c r="K2955" s="5">
        <f t="shared" si="126"/>
        <v>0.32647871752349872</v>
      </c>
    </row>
    <row r="2956" spans="1:11" x14ac:dyDescent="0.25">
      <c r="A2956" t="s">
        <v>572</v>
      </c>
      <c r="C2956" t="s">
        <v>573</v>
      </c>
      <c r="D2956" t="s">
        <v>5</v>
      </c>
      <c r="E2956" t="s">
        <v>6</v>
      </c>
      <c r="F2956" t="s">
        <v>7</v>
      </c>
      <c r="G2956">
        <v>2</v>
      </c>
      <c r="H2956" s="2">
        <f>Tabelle13[[#This Row],[commits]]/Tabelle13[[#Totals],[commits]]</f>
        <v>9.2955808808492451E-6</v>
      </c>
      <c r="I2956" s="5">
        <f>Tabelle13[[#This Row],[%]]+I2955</f>
        <v>0.96691237985464307</v>
      </c>
      <c r="J2956" s="4">
        <f t="shared" si="125"/>
        <v>1.105583195135434E-4</v>
      </c>
      <c r="K2956" s="5">
        <f t="shared" si="126"/>
        <v>0.32658927584301228</v>
      </c>
    </row>
    <row r="2957" spans="1:11" x14ac:dyDescent="0.25">
      <c r="A2957" t="s">
        <v>574</v>
      </c>
      <c r="C2957" t="s">
        <v>575</v>
      </c>
      <c r="D2957" t="s">
        <v>5</v>
      </c>
      <c r="E2957" t="s">
        <v>6</v>
      </c>
      <c r="F2957" t="s">
        <v>7</v>
      </c>
      <c r="G2957">
        <v>2</v>
      </c>
      <c r="H2957" s="2">
        <f>Tabelle13[[#This Row],[commits]]/Tabelle13[[#Totals],[commits]]</f>
        <v>9.2955808808492451E-6</v>
      </c>
      <c r="I2957" s="5">
        <f>Tabelle13[[#This Row],[%]]+I2956</f>
        <v>0.96692167543552388</v>
      </c>
      <c r="J2957" s="4">
        <f t="shared" si="125"/>
        <v>1.105583195135434E-4</v>
      </c>
      <c r="K2957" s="5">
        <f t="shared" si="126"/>
        <v>0.32669983416252585</v>
      </c>
    </row>
    <row r="2958" spans="1:11" x14ac:dyDescent="0.25">
      <c r="A2958" t="s">
        <v>576</v>
      </c>
      <c r="C2958" t="s">
        <v>577</v>
      </c>
      <c r="D2958" t="s">
        <v>5</v>
      </c>
      <c r="E2958" t="s">
        <v>6</v>
      </c>
      <c r="F2958" t="s">
        <v>7</v>
      </c>
      <c r="G2958">
        <v>2</v>
      </c>
      <c r="H2958" s="2">
        <f>Tabelle13[[#This Row],[commits]]/Tabelle13[[#Totals],[commits]]</f>
        <v>9.2955808808492451E-6</v>
      </c>
      <c r="I2958" s="5">
        <f>Tabelle13[[#This Row],[%]]+I2957</f>
        <v>0.96693097101640468</v>
      </c>
      <c r="J2958" s="4">
        <f t="shared" si="125"/>
        <v>1.105583195135434E-4</v>
      </c>
      <c r="K2958" s="5">
        <f t="shared" si="126"/>
        <v>0.32681039248203941</v>
      </c>
    </row>
    <row r="2959" spans="1:11" x14ac:dyDescent="0.25">
      <c r="A2959" t="s">
        <v>580</v>
      </c>
      <c r="C2959" t="s">
        <v>581</v>
      </c>
      <c r="D2959" t="s">
        <v>5</v>
      </c>
      <c r="E2959" t="s">
        <v>6</v>
      </c>
      <c r="F2959" t="s">
        <v>7</v>
      </c>
      <c r="G2959">
        <v>2</v>
      </c>
      <c r="H2959" s="2">
        <f>Tabelle13[[#This Row],[commits]]/Tabelle13[[#Totals],[commits]]</f>
        <v>9.2955808808492451E-6</v>
      </c>
      <c r="I2959" s="5">
        <f>Tabelle13[[#This Row],[%]]+I2958</f>
        <v>0.96694026659728549</v>
      </c>
      <c r="J2959" s="4">
        <f t="shared" si="125"/>
        <v>1.105583195135434E-4</v>
      </c>
      <c r="K2959" s="5">
        <f t="shared" si="126"/>
        <v>0.32692095080155298</v>
      </c>
    </row>
    <row r="2960" spans="1:11" x14ac:dyDescent="0.25">
      <c r="A2960" t="s">
        <v>582</v>
      </c>
      <c r="C2960" t="s">
        <v>583</v>
      </c>
      <c r="D2960" t="s">
        <v>5</v>
      </c>
      <c r="E2960" t="s">
        <v>6</v>
      </c>
      <c r="F2960" t="s">
        <v>7</v>
      </c>
      <c r="G2960">
        <v>2</v>
      </c>
      <c r="H2960" s="2">
        <f>Tabelle13[[#This Row],[commits]]/Tabelle13[[#Totals],[commits]]</f>
        <v>9.2955808808492451E-6</v>
      </c>
      <c r="I2960" s="5">
        <f>Tabelle13[[#This Row],[%]]+I2959</f>
        <v>0.9669495621781663</v>
      </c>
      <c r="J2960" s="4">
        <f t="shared" si="125"/>
        <v>1.105583195135434E-4</v>
      </c>
      <c r="K2960" s="5">
        <f t="shared" si="126"/>
        <v>0.32703150912106654</v>
      </c>
    </row>
    <row r="2961" spans="1:11" x14ac:dyDescent="0.25">
      <c r="A2961" t="s">
        <v>584</v>
      </c>
      <c r="C2961" t="s">
        <v>221</v>
      </c>
      <c r="D2961" t="s">
        <v>5</v>
      </c>
      <c r="E2961" t="s">
        <v>6</v>
      </c>
      <c r="F2961" t="s">
        <v>7</v>
      </c>
      <c r="G2961">
        <v>2</v>
      </c>
      <c r="H2961" s="2">
        <f>Tabelle13[[#This Row],[commits]]/Tabelle13[[#Totals],[commits]]</f>
        <v>9.2955808808492451E-6</v>
      </c>
      <c r="I2961" s="5">
        <f>Tabelle13[[#This Row],[%]]+I2960</f>
        <v>0.96695885775904711</v>
      </c>
      <c r="J2961" s="4">
        <f t="shared" si="125"/>
        <v>1.105583195135434E-4</v>
      </c>
      <c r="K2961" s="5">
        <f t="shared" si="126"/>
        <v>0.32714206744058011</v>
      </c>
    </row>
    <row r="2962" spans="1:11" x14ac:dyDescent="0.25">
      <c r="A2962" t="s">
        <v>585</v>
      </c>
      <c r="C2962" t="s">
        <v>586</v>
      </c>
      <c r="D2962" t="s">
        <v>5</v>
      </c>
      <c r="E2962" t="s">
        <v>6</v>
      </c>
      <c r="F2962" t="s">
        <v>7</v>
      </c>
      <c r="G2962">
        <v>2</v>
      </c>
      <c r="H2962" s="2">
        <f>Tabelle13[[#This Row],[commits]]/Tabelle13[[#Totals],[commits]]</f>
        <v>9.2955808808492451E-6</v>
      </c>
      <c r="I2962" s="5">
        <f>Tabelle13[[#This Row],[%]]+I2961</f>
        <v>0.96696815333992792</v>
      </c>
      <c r="J2962" s="4">
        <f t="shared" si="125"/>
        <v>1.105583195135434E-4</v>
      </c>
      <c r="K2962" s="5">
        <f t="shared" si="126"/>
        <v>0.32725262576009367</v>
      </c>
    </row>
    <row r="2963" spans="1:11" x14ac:dyDescent="0.25">
      <c r="A2963" t="s">
        <v>587</v>
      </c>
      <c r="C2963" t="s">
        <v>588</v>
      </c>
      <c r="D2963" t="s">
        <v>5</v>
      </c>
      <c r="E2963" t="s">
        <v>6</v>
      </c>
      <c r="F2963" t="s">
        <v>7</v>
      </c>
      <c r="G2963">
        <v>2</v>
      </c>
      <c r="H2963" s="2">
        <f>Tabelle13[[#This Row],[commits]]/Tabelle13[[#Totals],[commits]]</f>
        <v>9.2955808808492451E-6</v>
      </c>
      <c r="I2963" s="5">
        <f>Tabelle13[[#This Row],[%]]+I2962</f>
        <v>0.96697744892080872</v>
      </c>
      <c r="J2963" s="4">
        <f t="shared" si="125"/>
        <v>1.105583195135434E-4</v>
      </c>
      <c r="K2963" s="5">
        <f t="shared" si="126"/>
        <v>0.32736318407960724</v>
      </c>
    </row>
    <row r="2964" spans="1:11" x14ac:dyDescent="0.25">
      <c r="A2964" t="s">
        <v>589</v>
      </c>
      <c r="C2964" t="s">
        <v>315</v>
      </c>
      <c r="D2964" t="s">
        <v>5</v>
      </c>
      <c r="E2964" t="s">
        <v>6</v>
      </c>
      <c r="F2964" t="s">
        <v>7</v>
      </c>
      <c r="G2964">
        <v>2</v>
      </c>
      <c r="H2964" s="2">
        <f>Tabelle13[[#This Row],[commits]]/Tabelle13[[#Totals],[commits]]</f>
        <v>9.2955808808492451E-6</v>
      </c>
      <c r="I2964" s="5">
        <f>Tabelle13[[#This Row],[%]]+I2963</f>
        <v>0.96698674450168953</v>
      </c>
      <c r="J2964" s="4">
        <f t="shared" si="125"/>
        <v>1.105583195135434E-4</v>
      </c>
      <c r="K2964" s="5">
        <f t="shared" si="126"/>
        <v>0.3274737423991208</v>
      </c>
    </row>
    <row r="2965" spans="1:11" x14ac:dyDescent="0.25">
      <c r="A2965" t="s">
        <v>590</v>
      </c>
      <c r="C2965" t="s">
        <v>591</v>
      </c>
      <c r="D2965" t="s">
        <v>5</v>
      </c>
      <c r="E2965" t="s">
        <v>6</v>
      </c>
      <c r="F2965" t="s">
        <v>7</v>
      </c>
      <c r="G2965">
        <v>2</v>
      </c>
      <c r="H2965" s="2">
        <f>Tabelle13[[#This Row],[commits]]/Tabelle13[[#Totals],[commits]]</f>
        <v>9.2955808808492451E-6</v>
      </c>
      <c r="I2965" s="5">
        <f>Tabelle13[[#This Row],[%]]+I2964</f>
        <v>0.96699604008257034</v>
      </c>
      <c r="J2965" s="4">
        <f t="shared" si="125"/>
        <v>1.105583195135434E-4</v>
      </c>
      <c r="K2965" s="5">
        <f t="shared" si="126"/>
        <v>0.32758430071863437</v>
      </c>
    </row>
    <row r="2966" spans="1:11" x14ac:dyDescent="0.25">
      <c r="A2966" t="s">
        <v>592</v>
      </c>
      <c r="C2966" t="s">
        <v>579</v>
      </c>
      <c r="D2966" t="s">
        <v>5</v>
      </c>
      <c r="E2966" t="s">
        <v>6</v>
      </c>
      <c r="F2966" t="s">
        <v>7</v>
      </c>
      <c r="G2966">
        <v>2</v>
      </c>
      <c r="H2966" s="2">
        <f>Tabelle13[[#This Row],[commits]]/Tabelle13[[#Totals],[commits]]</f>
        <v>9.2955808808492451E-6</v>
      </c>
      <c r="I2966" s="5">
        <f>Tabelle13[[#This Row],[%]]+I2965</f>
        <v>0.96700533566345115</v>
      </c>
      <c r="J2966" s="4">
        <f t="shared" si="125"/>
        <v>1.105583195135434E-4</v>
      </c>
      <c r="K2966" s="5">
        <f t="shared" si="126"/>
        <v>0.32769485903814793</v>
      </c>
    </row>
    <row r="2967" spans="1:11" x14ac:dyDescent="0.25">
      <c r="A2967" t="s">
        <v>593</v>
      </c>
      <c r="C2967" t="s">
        <v>594</v>
      </c>
      <c r="D2967" t="s">
        <v>5</v>
      </c>
      <c r="E2967" t="s">
        <v>6</v>
      </c>
      <c r="F2967" t="s">
        <v>7</v>
      </c>
      <c r="G2967">
        <v>2</v>
      </c>
      <c r="H2967" s="2">
        <f>Tabelle13[[#This Row],[commits]]/Tabelle13[[#Totals],[commits]]</f>
        <v>9.2955808808492451E-6</v>
      </c>
      <c r="I2967" s="5">
        <f>Tabelle13[[#This Row],[%]]+I2966</f>
        <v>0.96701463124433196</v>
      </c>
      <c r="J2967" s="4">
        <f t="shared" si="125"/>
        <v>1.105583195135434E-4</v>
      </c>
      <c r="K2967" s="5">
        <f t="shared" si="126"/>
        <v>0.3278054173576615</v>
      </c>
    </row>
    <row r="2968" spans="1:11" x14ac:dyDescent="0.25">
      <c r="A2968" t="s">
        <v>595</v>
      </c>
      <c r="C2968" t="s">
        <v>596</v>
      </c>
      <c r="D2968" t="s">
        <v>5</v>
      </c>
      <c r="E2968" t="s">
        <v>6</v>
      </c>
      <c r="F2968" t="s">
        <v>7</v>
      </c>
      <c r="G2968">
        <v>2</v>
      </c>
      <c r="H2968" s="2">
        <f>Tabelle13[[#This Row],[commits]]/Tabelle13[[#Totals],[commits]]</f>
        <v>9.2955808808492451E-6</v>
      </c>
      <c r="I2968" s="5">
        <f>Tabelle13[[#This Row],[%]]+I2967</f>
        <v>0.96702392682521277</v>
      </c>
      <c r="J2968" s="4">
        <f t="shared" si="125"/>
        <v>1.105583195135434E-4</v>
      </c>
      <c r="K2968" s="5">
        <f t="shared" si="126"/>
        <v>0.32791597567717506</v>
      </c>
    </row>
    <row r="2969" spans="1:11" x14ac:dyDescent="0.25">
      <c r="A2969" t="s">
        <v>597</v>
      </c>
      <c r="C2969" t="s">
        <v>598</v>
      </c>
      <c r="D2969" t="s">
        <v>5</v>
      </c>
      <c r="E2969" t="s">
        <v>6</v>
      </c>
      <c r="F2969" t="s">
        <v>7</v>
      </c>
      <c r="G2969">
        <v>2</v>
      </c>
      <c r="H2969" s="2">
        <f>Tabelle13[[#This Row],[commits]]/Tabelle13[[#Totals],[commits]]</f>
        <v>9.2955808808492451E-6</v>
      </c>
      <c r="I2969" s="5">
        <f>Tabelle13[[#This Row],[%]]+I2968</f>
        <v>0.96703322240609357</v>
      </c>
      <c r="J2969" s="4">
        <f t="shared" si="125"/>
        <v>1.105583195135434E-4</v>
      </c>
      <c r="K2969" s="5">
        <f t="shared" si="126"/>
        <v>0.32802653399668863</v>
      </c>
    </row>
    <row r="2970" spans="1:11" x14ac:dyDescent="0.25">
      <c r="A2970" t="s">
        <v>599</v>
      </c>
      <c r="C2970" t="s">
        <v>600</v>
      </c>
      <c r="D2970" t="s">
        <v>5</v>
      </c>
      <c r="E2970" t="s">
        <v>6</v>
      </c>
      <c r="F2970" t="s">
        <v>7</v>
      </c>
      <c r="G2970">
        <v>2</v>
      </c>
      <c r="H2970" s="2">
        <f>Tabelle13[[#This Row],[commits]]/Tabelle13[[#Totals],[commits]]</f>
        <v>9.2955808808492451E-6</v>
      </c>
      <c r="I2970" s="5">
        <f>Tabelle13[[#This Row],[%]]+I2969</f>
        <v>0.96704251798697438</v>
      </c>
      <c r="J2970" s="4">
        <f t="shared" si="125"/>
        <v>1.105583195135434E-4</v>
      </c>
      <c r="K2970" s="5">
        <f t="shared" si="126"/>
        <v>0.32813709231620219</v>
      </c>
    </row>
    <row r="2971" spans="1:11" x14ac:dyDescent="0.25">
      <c r="A2971" t="s">
        <v>601</v>
      </c>
      <c r="C2971" t="s">
        <v>602</v>
      </c>
      <c r="D2971" t="s">
        <v>5</v>
      </c>
      <c r="E2971" t="s">
        <v>6</v>
      </c>
      <c r="F2971" t="s">
        <v>7</v>
      </c>
      <c r="G2971">
        <v>2</v>
      </c>
      <c r="H2971" s="2">
        <f>Tabelle13[[#This Row],[commits]]/Tabelle13[[#Totals],[commits]]</f>
        <v>9.2955808808492451E-6</v>
      </c>
      <c r="I2971" s="5">
        <f>Tabelle13[[#This Row],[%]]+I2970</f>
        <v>0.96705181356785519</v>
      </c>
      <c r="J2971" s="4">
        <f t="shared" si="125"/>
        <v>1.105583195135434E-4</v>
      </c>
      <c r="K2971" s="5">
        <f t="shared" si="126"/>
        <v>0.32824765063571576</v>
      </c>
    </row>
    <row r="2972" spans="1:11" x14ac:dyDescent="0.25">
      <c r="A2972" t="s">
        <v>603</v>
      </c>
      <c r="C2972" t="s">
        <v>604</v>
      </c>
      <c r="D2972" t="s">
        <v>5</v>
      </c>
      <c r="E2972" t="s">
        <v>6</v>
      </c>
      <c r="F2972" t="s">
        <v>7</v>
      </c>
      <c r="G2972">
        <v>2</v>
      </c>
      <c r="H2972" s="2">
        <f>Tabelle13[[#This Row],[commits]]/Tabelle13[[#Totals],[commits]]</f>
        <v>9.2955808808492451E-6</v>
      </c>
      <c r="I2972" s="5">
        <f>Tabelle13[[#This Row],[%]]+I2971</f>
        <v>0.967061109148736</v>
      </c>
      <c r="J2972" s="4">
        <f t="shared" si="125"/>
        <v>1.105583195135434E-4</v>
      </c>
      <c r="K2972" s="5">
        <f t="shared" si="126"/>
        <v>0.32835820895522932</v>
      </c>
    </row>
    <row r="2973" spans="1:11" x14ac:dyDescent="0.25">
      <c r="A2973" t="s">
        <v>605</v>
      </c>
      <c r="C2973" t="s">
        <v>606</v>
      </c>
      <c r="D2973" t="s">
        <v>5</v>
      </c>
      <c r="E2973" t="s">
        <v>6</v>
      </c>
      <c r="F2973" t="s">
        <v>7</v>
      </c>
      <c r="G2973">
        <v>2</v>
      </c>
      <c r="H2973" s="2">
        <f>Tabelle13[[#This Row],[commits]]/Tabelle13[[#Totals],[commits]]</f>
        <v>9.2955808808492451E-6</v>
      </c>
      <c r="I2973" s="5">
        <f>Tabelle13[[#This Row],[%]]+I2972</f>
        <v>0.96707040472961681</v>
      </c>
      <c r="J2973" s="4">
        <f t="shared" si="125"/>
        <v>1.105583195135434E-4</v>
      </c>
      <c r="K2973" s="5">
        <f t="shared" si="126"/>
        <v>0.32846876727474289</v>
      </c>
    </row>
    <row r="2974" spans="1:11" x14ac:dyDescent="0.25">
      <c r="A2974" t="s">
        <v>607</v>
      </c>
      <c r="C2974" t="s">
        <v>608</v>
      </c>
      <c r="D2974" t="s">
        <v>5</v>
      </c>
      <c r="E2974" t="s">
        <v>6</v>
      </c>
      <c r="F2974" t="s">
        <v>7</v>
      </c>
      <c r="G2974">
        <v>2</v>
      </c>
      <c r="H2974" s="2">
        <f>Tabelle13[[#This Row],[commits]]/Tabelle13[[#Totals],[commits]]</f>
        <v>9.2955808808492451E-6</v>
      </c>
      <c r="I2974" s="5">
        <f>Tabelle13[[#This Row],[%]]+I2973</f>
        <v>0.96707970031049761</v>
      </c>
      <c r="J2974" s="4">
        <f t="shared" si="125"/>
        <v>1.105583195135434E-4</v>
      </c>
      <c r="K2974" s="5">
        <f t="shared" si="126"/>
        <v>0.32857932559425646</v>
      </c>
    </row>
    <row r="2975" spans="1:11" x14ac:dyDescent="0.25">
      <c r="A2975" t="s">
        <v>609</v>
      </c>
      <c r="C2975" t="s">
        <v>610</v>
      </c>
      <c r="D2975" t="s">
        <v>5</v>
      </c>
      <c r="E2975" t="s">
        <v>6</v>
      </c>
      <c r="F2975" t="s">
        <v>7</v>
      </c>
      <c r="G2975">
        <v>2</v>
      </c>
      <c r="H2975" s="2">
        <f>Tabelle13[[#This Row],[commits]]/Tabelle13[[#Totals],[commits]]</f>
        <v>9.2955808808492451E-6</v>
      </c>
      <c r="I2975" s="5">
        <f>Tabelle13[[#This Row],[%]]+I2974</f>
        <v>0.96708899589137842</v>
      </c>
      <c r="J2975" s="4">
        <f t="shared" si="125"/>
        <v>1.105583195135434E-4</v>
      </c>
      <c r="K2975" s="5">
        <f t="shared" si="126"/>
        <v>0.32868988391377002</v>
      </c>
    </row>
    <row r="2976" spans="1:11" x14ac:dyDescent="0.25">
      <c r="A2976" t="s">
        <v>611</v>
      </c>
      <c r="C2976" t="s">
        <v>612</v>
      </c>
      <c r="D2976" t="s">
        <v>5</v>
      </c>
      <c r="E2976" t="s">
        <v>6</v>
      </c>
      <c r="F2976" t="s">
        <v>7</v>
      </c>
      <c r="G2976">
        <v>2</v>
      </c>
      <c r="H2976" s="2">
        <f>Tabelle13[[#This Row],[commits]]/Tabelle13[[#Totals],[commits]]</f>
        <v>9.2955808808492451E-6</v>
      </c>
      <c r="I2976" s="5">
        <f>Tabelle13[[#This Row],[%]]+I2975</f>
        <v>0.96709829147225923</v>
      </c>
      <c r="J2976" s="4">
        <f t="shared" si="125"/>
        <v>1.105583195135434E-4</v>
      </c>
      <c r="K2976" s="5">
        <f t="shared" si="126"/>
        <v>0.32880044223328359</v>
      </c>
    </row>
    <row r="2977" spans="1:11" x14ac:dyDescent="0.25">
      <c r="A2977" t="s">
        <v>613</v>
      </c>
      <c r="C2977" t="s">
        <v>614</v>
      </c>
      <c r="D2977" t="s">
        <v>5</v>
      </c>
      <c r="E2977" t="s">
        <v>6</v>
      </c>
      <c r="F2977" t="s">
        <v>7</v>
      </c>
      <c r="G2977">
        <v>2</v>
      </c>
      <c r="H2977" s="2">
        <f>Tabelle13[[#This Row],[commits]]/Tabelle13[[#Totals],[commits]]</f>
        <v>9.2955808808492451E-6</v>
      </c>
      <c r="I2977" s="5">
        <f>Tabelle13[[#This Row],[%]]+I2976</f>
        <v>0.96710758705314004</v>
      </c>
      <c r="J2977" s="4">
        <f t="shared" si="125"/>
        <v>1.105583195135434E-4</v>
      </c>
      <c r="K2977" s="5">
        <f t="shared" si="126"/>
        <v>0.32891100055279715</v>
      </c>
    </row>
    <row r="2978" spans="1:11" x14ac:dyDescent="0.25">
      <c r="A2978" t="s">
        <v>615</v>
      </c>
      <c r="C2978" t="s">
        <v>616</v>
      </c>
      <c r="D2978" t="s">
        <v>5</v>
      </c>
      <c r="E2978" t="s">
        <v>6</v>
      </c>
      <c r="F2978" t="s">
        <v>7</v>
      </c>
      <c r="G2978">
        <v>2</v>
      </c>
      <c r="H2978" s="2">
        <f>Tabelle13[[#This Row],[commits]]/Tabelle13[[#Totals],[commits]]</f>
        <v>9.2955808808492451E-6</v>
      </c>
      <c r="I2978" s="5">
        <f>Tabelle13[[#This Row],[%]]+I2977</f>
        <v>0.96711688263402085</v>
      </c>
      <c r="J2978" s="4">
        <f t="shared" si="125"/>
        <v>1.105583195135434E-4</v>
      </c>
      <c r="K2978" s="5">
        <f t="shared" si="126"/>
        <v>0.32902155887231072</v>
      </c>
    </row>
    <row r="2979" spans="1:11" x14ac:dyDescent="0.25">
      <c r="A2979" t="s">
        <v>617</v>
      </c>
      <c r="C2979" t="s">
        <v>618</v>
      </c>
      <c r="D2979" t="s">
        <v>5</v>
      </c>
      <c r="E2979" t="s">
        <v>6</v>
      </c>
      <c r="F2979" t="s">
        <v>7</v>
      </c>
      <c r="G2979">
        <v>2</v>
      </c>
      <c r="H2979" s="2">
        <f>Tabelle13[[#This Row],[commits]]/Tabelle13[[#Totals],[commits]]</f>
        <v>9.2955808808492451E-6</v>
      </c>
      <c r="I2979" s="5">
        <f>Tabelle13[[#This Row],[%]]+I2978</f>
        <v>0.96712617821490166</v>
      </c>
      <c r="J2979" s="4">
        <f t="shared" si="125"/>
        <v>1.105583195135434E-4</v>
      </c>
      <c r="K2979" s="5">
        <f t="shared" si="126"/>
        <v>0.32913211719182428</v>
      </c>
    </row>
    <row r="2980" spans="1:11" x14ac:dyDescent="0.25">
      <c r="A2980" t="s">
        <v>619</v>
      </c>
      <c r="C2980" t="s">
        <v>620</v>
      </c>
      <c r="D2980" t="s">
        <v>5</v>
      </c>
      <c r="E2980" t="s">
        <v>6</v>
      </c>
      <c r="F2980" t="s">
        <v>7</v>
      </c>
      <c r="G2980">
        <v>2</v>
      </c>
      <c r="H2980" s="2">
        <f>Tabelle13[[#This Row],[commits]]/Tabelle13[[#Totals],[commits]]</f>
        <v>9.2955808808492451E-6</v>
      </c>
      <c r="I2980" s="5">
        <f>Tabelle13[[#This Row],[%]]+I2979</f>
        <v>0.96713547379578246</v>
      </c>
      <c r="J2980" s="4">
        <f t="shared" si="125"/>
        <v>1.105583195135434E-4</v>
      </c>
      <c r="K2980" s="5">
        <f t="shared" si="126"/>
        <v>0.32924267551133785</v>
      </c>
    </row>
    <row r="2981" spans="1:11" x14ac:dyDescent="0.25">
      <c r="A2981" t="s">
        <v>665</v>
      </c>
      <c r="C2981" t="s">
        <v>666</v>
      </c>
      <c r="D2981" t="s">
        <v>5</v>
      </c>
      <c r="E2981" t="s">
        <v>6</v>
      </c>
      <c r="F2981" t="s">
        <v>251</v>
      </c>
      <c r="G2981">
        <v>2</v>
      </c>
      <c r="H2981" s="2">
        <f>Tabelle13[[#This Row],[commits]]/Tabelle13[[#Totals],[commits]]</f>
        <v>9.2955808808492451E-6</v>
      </c>
      <c r="I2981" s="5">
        <f>Tabelle13[[#This Row],[%]]+I2980</f>
        <v>0.96714476937666327</v>
      </c>
      <c r="J2981" s="4">
        <f t="shared" si="125"/>
        <v>1.105583195135434E-4</v>
      </c>
      <c r="K2981" s="5">
        <f t="shared" si="126"/>
        <v>0.32935323383085141</v>
      </c>
    </row>
    <row r="2982" spans="1:11" x14ac:dyDescent="0.25">
      <c r="A2982" t="s">
        <v>695</v>
      </c>
      <c r="C2982" t="s">
        <v>696</v>
      </c>
      <c r="D2982" t="s">
        <v>5</v>
      </c>
      <c r="E2982" t="s">
        <v>6</v>
      </c>
      <c r="F2982" t="s">
        <v>251</v>
      </c>
      <c r="G2982">
        <v>2</v>
      </c>
      <c r="H2982" s="2">
        <f>Tabelle13[[#This Row],[commits]]/Tabelle13[[#Totals],[commits]]</f>
        <v>9.2955808808492451E-6</v>
      </c>
      <c r="I2982" s="5">
        <f>Tabelle13[[#This Row],[%]]+I2981</f>
        <v>0.96715406495754408</v>
      </c>
      <c r="J2982" s="4">
        <f t="shared" si="125"/>
        <v>1.105583195135434E-4</v>
      </c>
      <c r="K2982" s="5">
        <f t="shared" si="126"/>
        <v>0.32946379215036498</v>
      </c>
    </row>
    <row r="2983" spans="1:11" x14ac:dyDescent="0.25">
      <c r="A2983" t="s">
        <v>850</v>
      </c>
      <c r="C2983" t="s">
        <v>851</v>
      </c>
      <c r="D2983" t="s">
        <v>5</v>
      </c>
      <c r="E2983" t="s">
        <v>6</v>
      </c>
      <c r="F2983" t="s">
        <v>334</v>
      </c>
      <c r="G2983">
        <v>2</v>
      </c>
      <c r="H2983" s="2">
        <f>Tabelle13[[#This Row],[commits]]/Tabelle13[[#Totals],[commits]]</f>
        <v>9.2955808808492451E-6</v>
      </c>
      <c r="I2983" s="5">
        <f>Tabelle13[[#This Row],[%]]+I2982</f>
        <v>0.96716336053842489</v>
      </c>
      <c r="J2983" s="4">
        <f t="shared" si="125"/>
        <v>1.105583195135434E-4</v>
      </c>
      <c r="K2983" s="5">
        <f t="shared" si="126"/>
        <v>0.32957435046987854</v>
      </c>
    </row>
    <row r="2984" spans="1:11" x14ac:dyDescent="0.25">
      <c r="A2984" t="s">
        <v>1127</v>
      </c>
      <c r="C2984" t="s">
        <v>1128</v>
      </c>
      <c r="D2984" t="s">
        <v>5</v>
      </c>
      <c r="E2984" t="s">
        <v>6</v>
      </c>
      <c r="F2984" t="s">
        <v>251</v>
      </c>
      <c r="G2984">
        <v>2</v>
      </c>
      <c r="H2984" s="2">
        <f>Tabelle13[[#This Row],[commits]]/Tabelle13[[#Totals],[commits]]</f>
        <v>9.2955808808492451E-6</v>
      </c>
      <c r="I2984" s="5">
        <f>Tabelle13[[#This Row],[%]]+I2983</f>
        <v>0.9671726561193057</v>
      </c>
      <c r="J2984" s="4">
        <f t="shared" si="125"/>
        <v>1.105583195135434E-4</v>
      </c>
      <c r="K2984" s="5">
        <f t="shared" si="126"/>
        <v>0.32968490878939211</v>
      </c>
    </row>
    <row r="2985" spans="1:11" x14ac:dyDescent="0.25">
      <c r="A2985" t="s">
        <v>1715</v>
      </c>
      <c r="C2985" t="s">
        <v>1716</v>
      </c>
      <c r="D2985" t="s">
        <v>5</v>
      </c>
      <c r="E2985" t="s">
        <v>6</v>
      </c>
      <c r="F2985" t="s">
        <v>334</v>
      </c>
      <c r="G2985">
        <v>2</v>
      </c>
      <c r="H2985" s="2">
        <f>Tabelle13[[#This Row],[commits]]/Tabelle13[[#Totals],[commits]]</f>
        <v>9.2955808808492451E-6</v>
      </c>
      <c r="I2985" s="5">
        <f>Tabelle13[[#This Row],[%]]+I2984</f>
        <v>0.9671819517001865</v>
      </c>
      <c r="J2985" s="4">
        <f t="shared" si="125"/>
        <v>1.105583195135434E-4</v>
      </c>
      <c r="K2985" s="5">
        <f t="shared" si="126"/>
        <v>0.32979546710890567</v>
      </c>
    </row>
    <row r="2986" spans="1:11" x14ac:dyDescent="0.25">
      <c r="A2986" t="s">
        <v>1791</v>
      </c>
      <c r="C2986" t="s">
        <v>1792</v>
      </c>
      <c r="D2986" t="s">
        <v>1793</v>
      </c>
      <c r="E2986" t="s">
        <v>6</v>
      </c>
      <c r="F2986" t="s">
        <v>251</v>
      </c>
      <c r="G2986">
        <v>2</v>
      </c>
      <c r="H2986" s="2">
        <f>Tabelle13[[#This Row],[commits]]/Tabelle13[[#Totals],[commits]]</f>
        <v>9.2955808808492451E-6</v>
      </c>
      <c r="I2986" s="5">
        <f>Tabelle13[[#This Row],[%]]+I2985</f>
        <v>0.96719124728106731</v>
      </c>
      <c r="J2986" s="4">
        <f t="shared" si="125"/>
        <v>1.105583195135434E-4</v>
      </c>
      <c r="K2986" s="5">
        <f t="shared" si="126"/>
        <v>0.32990602542841924</v>
      </c>
    </row>
    <row r="2987" spans="1:11" x14ac:dyDescent="0.25">
      <c r="A2987" t="s">
        <v>2018</v>
      </c>
      <c r="C2987" t="s">
        <v>2019</v>
      </c>
      <c r="D2987" t="s">
        <v>5</v>
      </c>
      <c r="E2987" t="s">
        <v>6</v>
      </c>
      <c r="F2987" t="s">
        <v>251</v>
      </c>
      <c r="G2987">
        <v>2</v>
      </c>
      <c r="H2987" s="2">
        <f>Tabelle13[[#This Row],[commits]]/Tabelle13[[#Totals],[commits]]</f>
        <v>9.2955808808492451E-6</v>
      </c>
      <c r="I2987" s="5">
        <f>Tabelle13[[#This Row],[%]]+I2986</f>
        <v>0.96720054286194812</v>
      </c>
      <c r="J2987" s="4">
        <f t="shared" si="125"/>
        <v>1.105583195135434E-4</v>
      </c>
      <c r="K2987" s="5">
        <f t="shared" si="126"/>
        <v>0.3300165837479328</v>
      </c>
    </row>
    <row r="2988" spans="1:11" x14ac:dyDescent="0.25">
      <c r="A2988" t="s">
        <v>3129</v>
      </c>
      <c r="C2988" t="s">
        <v>3130</v>
      </c>
      <c r="D2988" t="s">
        <v>5</v>
      </c>
      <c r="E2988" t="s">
        <v>6</v>
      </c>
      <c r="F2988" t="s">
        <v>724</v>
      </c>
      <c r="G2988">
        <v>2</v>
      </c>
      <c r="H2988" s="2">
        <f>Tabelle13[[#This Row],[commits]]/Tabelle13[[#Totals],[commits]]</f>
        <v>9.2955808808492451E-6</v>
      </c>
      <c r="I2988" s="5">
        <f>Tabelle13[[#This Row],[%]]+I2987</f>
        <v>0.96720983844282893</v>
      </c>
      <c r="J2988" s="4">
        <f t="shared" si="125"/>
        <v>1.105583195135434E-4</v>
      </c>
      <c r="K2988" s="5">
        <f t="shared" si="126"/>
        <v>0.33012714206744637</v>
      </c>
    </row>
    <row r="2989" spans="1:11" x14ac:dyDescent="0.25">
      <c r="A2989" t="s">
        <v>3131</v>
      </c>
      <c r="C2989" t="s">
        <v>3132</v>
      </c>
      <c r="D2989" t="s">
        <v>5</v>
      </c>
      <c r="E2989" t="s">
        <v>6</v>
      </c>
      <c r="F2989" t="s">
        <v>724</v>
      </c>
      <c r="G2989">
        <v>2</v>
      </c>
      <c r="H2989" s="2">
        <f>Tabelle13[[#This Row],[commits]]/Tabelle13[[#Totals],[commits]]</f>
        <v>9.2955808808492451E-6</v>
      </c>
      <c r="I2989" s="5">
        <f>Tabelle13[[#This Row],[%]]+I2988</f>
        <v>0.96721913402370974</v>
      </c>
      <c r="J2989" s="4">
        <f t="shared" si="125"/>
        <v>1.105583195135434E-4</v>
      </c>
      <c r="K2989" s="5">
        <f t="shared" si="126"/>
        <v>0.33023770038695993</v>
      </c>
    </row>
    <row r="2990" spans="1:11" x14ac:dyDescent="0.25">
      <c r="A2990" t="s">
        <v>3133</v>
      </c>
      <c r="C2990" t="s">
        <v>3134</v>
      </c>
      <c r="D2990" t="s">
        <v>5</v>
      </c>
      <c r="E2990" t="s">
        <v>6</v>
      </c>
      <c r="F2990" t="s">
        <v>724</v>
      </c>
      <c r="G2990">
        <v>2</v>
      </c>
      <c r="H2990" s="2">
        <f>Tabelle13[[#This Row],[commits]]/Tabelle13[[#Totals],[commits]]</f>
        <v>9.2955808808492451E-6</v>
      </c>
      <c r="I2990" s="5">
        <f>Tabelle13[[#This Row],[%]]+I2989</f>
        <v>0.96722842960459054</v>
      </c>
      <c r="J2990" s="4">
        <f t="shared" si="125"/>
        <v>1.105583195135434E-4</v>
      </c>
      <c r="K2990" s="5">
        <f t="shared" si="126"/>
        <v>0.3303482587064735</v>
      </c>
    </row>
    <row r="2991" spans="1:11" x14ac:dyDescent="0.25">
      <c r="A2991" t="s">
        <v>3135</v>
      </c>
      <c r="C2991" t="s">
        <v>3136</v>
      </c>
      <c r="D2991" t="s">
        <v>5</v>
      </c>
      <c r="E2991" t="s">
        <v>6</v>
      </c>
      <c r="F2991" t="s">
        <v>724</v>
      </c>
      <c r="G2991">
        <v>2</v>
      </c>
      <c r="H2991" s="2">
        <f>Tabelle13[[#This Row],[commits]]/Tabelle13[[#Totals],[commits]]</f>
        <v>9.2955808808492451E-6</v>
      </c>
      <c r="I2991" s="5">
        <f>Tabelle13[[#This Row],[%]]+I2990</f>
        <v>0.96723772518547135</v>
      </c>
      <c r="J2991" s="4">
        <f t="shared" si="125"/>
        <v>1.105583195135434E-4</v>
      </c>
      <c r="K2991" s="5">
        <f t="shared" si="126"/>
        <v>0.33045881702598706</v>
      </c>
    </row>
    <row r="2992" spans="1:11" x14ac:dyDescent="0.25">
      <c r="A2992" t="s">
        <v>3137</v>
      </c>
      <c r="C2992" t="s">
        <v>3138</v>
      </c>
      <c r="D2992" t="s">
        <v>5</v>
      </c>
      <c r="E2992" t="s">
        <v>6</v>
      </c>
      <c r="F2992" t="s">
        <v>724</v>
      </c>
      <c r="G2992">
        <v>2</v>
      </c>
      <c r="H2992" s="2">
        <f>Tabelle13[[#This Row],[commits]]/Tabelle13[[#Totals],[commits]]</f>
        <v>9.2955808808492451E-6</v>
      </c>
      <c r="I2992" s="5">
        <f>Tabelle13[[#This Row],[%]]+I2991</f>
        <v>0.96724702076635216</v>
      </c>
      <c r="J2992" s="4">
        <f t="shared" si="125"/>
        <v>1.105583195135434E-4</v>
      </c>
      <c r="K2992" s="5">
        <f t="shared" si="126"/>
        <v>0.33056937534550063</v>
      </c>
    </row>
    <row r="2993" spans="1:11" x14ac:dyDescent="0.25">
      <c r="A2993" t="s">
        <v>3139</v>
      </c>
      <c r="C2993" t="s">
        <v>3140</v>
      </c>
      <c r="D2993" t="s">
        <v>5</v>
      </c>
      <c r="E2993" t="s">
        <v>6</v>
      </c>
      <c r="F2993" t="s">
        <v>724</v>
      </c>
      <c r="G2993">
        <v>2</v>
      </c>
      <c r="H2993" s="2">
        <f>Tabelle13[[#This Row],[commits]]/Tabelle13[[#Totals],[commits]]</f>
        <v>9.2955808808492451E-6</v>
      </c>
      <c r="I2993" s="5">
        <f>Tabelle13[[#This Row],[%]]+I2992</f>
        <v>0.96725631634723297</v>
      </c>
      <c r="J2993" s="4">
        <f t="shared" si="125"/>
        <v>1.105583195135434E-4</v>
      </c>
      <c r="K2993" s="5">
        <f t="shared" si="126"/>
        <v>0.33067993366501419</v>
      </c>
    </row>
    <row r="2994" spans="1:11" x14ac:dyDescent="0.25">
      <c r="A2994" t="s">
        <v>3141</v>
      </c>
      <c r="C2994" t="s">
        <v>3142</v>
      </c>
      <c r="D2994" t="s">
        <v>5</v>
      </c>
      <c r="E2994" t="s">
        <v>6</v>
      </c>
      <c r="F2994" t="s">
        <v>724</v>
      </c>
      <c r="G2994">
        <v>2</v>
      </c>
      <c r="H2994" s="2">
        <f>Tabelle13[[#This Row],[commits]]/Tabelle13[[#Totals],[commits]]</f>
        <v>9.2955808808492451E-6</v>
      </c>
      <c r="I2994" s="5">
        <f>Tabelle13[[#This Row],[%]]+I2993</f>
        <v>0.96726561192811378</v>
      </c>
      <c r="J2994" s="4">
        <f t="shared" si="125"/>
        <v>1.105583195135434E-4</v>
      </c>
      <c r="K2994" s="5">
        <f t="shared" si="126"/>
        <v>0.33079049198452776</v>
      </c>
    </row>
    <row r="2995" spans="1:11" x14ac:dyDescent="0.25">
      <c r="A2995" t="s">
        <v>3143</v>
      </c>
      <c r="C2995" t="s">
        <v>3144</v>
      </c>
      <c r="D2995" t="s">
        <v>309</v>
      </c>
      <c r="E2995" t="s">
        <v>6</v>
      </c>
      <c r="F2995" t="s">
        <v>724</v>
      </c>
      <c r="G2995">
        <v>2</v>
      </c>
      <c r="H2995" s="2">
        <f>Tabelle13[[#This Row],[commits]]/Tabelle13[[#Totals],[commits]]</f>
        <v>9.2955808808492451E-6</v>
      </c>
      <c r="I2995" s="5">
        <f>Tabelle13[[#This Row],[%]]+I2994</f>
        <v>0.96727490750899459</v>
      </c>
      <c r="J2995" s="4">
        <f t="shared" si="125"/>
        <v>1.105583195135434E-4</v>
      </c>
      <c r="K2995" s="5">
        <f t="shared" si="126"/>
        <v>0.33090105030404132</v>
      </c>
    </row>
    <row r="2996" spans="1:11" x14ac:dyDescent="0.25">
      <c r="A2996" t="s">
        <v>3145</v>
      </c>
      <c r="C2996" t="s">
        <v>3146</v>
      </c>
      <c r="D2996" t="s">
        <v>5</v>
      </c>
      <c r="E2996" t="s">
        <v>6</v>
      </c>
      <c r="F2996" t="s">
        <v>724</v>
      </c>
      <c r="G2996">
        <v>2</v>
      </c>
      <c r="H2996" s="2">
        <f>Tabelle13[[#This Row],[commits]]/Tabelle13[[#Totals],[commits]]</f>
        <v>9.2955808808492451E-6</v>
      </c>
      <c r="I2996" s="5">
        <f>Tabelle13[[#This Row],[%]]+I2995</f>
        <v>0.96728420308987539</v>
      </c>
      <c r="J2996" s="4">
        <f t="shared" si="125"/>
        <v>1.105583195135434E-4</v>
      </c>
      <c r="K2996" s="5">
        <f t="shared" si="126"/>
        <v>0.33101160862355489</v>
      </c>
    </row>
    <row r="2997" spans="1:11" x14ac:dyDescent="0.25">
      <c r="A2997" t="s">
        <v>3147</v>
      </c>
      <c r="C2997" t="s">
        <v>3148</v>
      </c>
      <c r="D2997" t="s">
        <v>5</v>
      </c>
      <c r="E2997" t="s">
        <v>6</v>
      </c>
      <c r="F2997" t="s">
        <v>724</v>
      </c>
      <c r="G2997">
        <v>2</v>
      </c>
      <c r="H2997" s="2">
        <f>Tabelle13[[#This Row],[commits]]/Tabelle13[[#Totals],[commits]]</f>
        <v>9.2955808808492451E-6</v>
      </c>
      <c r="I2997" s="5">
        <f>Tabelle13[[#This Row],[%]]+I2996</f>
        <v>0.9672934986707562</v>
      </c>
      <c r="J2997" s="4">
        <f t="shared" si="125"/>
        <v>1.105583195135434E-4</v>
      </c>
      <c r="K2997" s="5">
        <f t="shared" si="126"/>
        <v>0.33112216694306845</v>
      </c>
    </row>
    <row r="2998" spans="1:11" x14ac:dyDescent="0.25">
      <c r="A2998" t="s">
        <v>3149</v>
      </c>
      <c r="C2998" t="s">
        <v>3150</v>
      </c>
      <c r="D2998" t="s">
        <v>5</v>
      </c>
      <c r="E2998" t="s">
        <v>6</v>
      </c>
      <c r="F2998" t="s">
        <v>724</v>
      </c>
      <c r="G2998">
        <v>2</v>
      </c>
      <c r="H2998" s="2">
        <f>Tabelle13[[#This Row],[commits]]/Tabelle13[[#Totals],[commits]]</f>
        <v>9.2955808808492451E-6</v>
      </c>
      <c r="I2998" s="5">
        <f>Tabelle13[[#This Row],[%]]+I2997</f>
        <v>0.96730279425163701</v>
      </c>
      <c r="J2998" s="4">
        <f t="shared" si="125"/>
        <v>1.105583195135434E-4</v>
      </c>
      <c r="K2998" s="5">
        <f t="shared" si="126"/>
        <v>0.33123272526258202</v>
      </c>
    </row>
    <row r="2999" spans="1:11" x14ac:dyDescent="0.25">
      <c r="A2999" t="s">
        <v>3151</v>
      </c>
      <c r="C2999" t="s">
        <v>3152</v>
      </c>
      <c r="D2999" t="s">
        <v>5</v>
      </c>
      <c r="E2999" t="s">
        <v>6</v>
      </c>
      <c r="F2999" t="s">
        <v>724</v>
      </c>
      <c r="G2999">
        <v>2</v>
      </c>
      <c r="H2999" s="2">
        <f>Tabelle13[[#This Row],[commits]]/Tabelle13[[#Totals],[commits]]</f>
        <v>9.2955808808492451E-6</v>
      </c>
      <c r="I2999" s="5">
        <f>Tabelle13[[#This Row],[%]]+I2998</f>
        <v>0.96731208983251782</v>
      </c>
      <c r="J2999" s="4">
        <f t="shared" si="125"/>
        <v>1.105583195135434E-4</v>
      </c>
      <c r="K2999" s="5">
        <f t="shared" si="126"/>
        <v>0.33134328358209558</v>
      </c>
    </row>
    <row r="3000" spans="1:11" x14ac:dyDescent="0.25">
      <c r="A3000" t="s">
        <v>3153</v>
      </c>
      <c r="C3000" t="s">
        <v>3154</v>
      </c>
      <c r="D3000" t="s">
        <v>5</v>
      </c>
      <c r="E3000" t="s">
        <v>6</v>
      </c>
      <c r="F3000" t="s">
        <v>724</v>
      </c>
      <c r="G3000">
        <v>2</v>
      </c>
      <c r="H3000" s="2">
        <f>Tabelle13[[#This Row],[commits]]/Tabelle13[[#Totals],[commits]]</f>
        <v>9.2955808808492451E-6</v>
      </c>
      <c r="I3000" s="5">
        <f>Tabelle13[[#This Row],[%]]+I2999</f>
        <v>0.96732138541339863</v>
      </c>
      <c r="J3000" s="4">
        <f t="shared" si="125"/>
        <v>1.105583195135434E-4</v>
      </c>
      <c r="K3000" s="5">
        <f t="shared" si="126"/>
        <v>0.33145384190160915</v>
      </c>
    </row>
    <row r="3001" spans="1:11" x14ac:dyDescent="0.25">
      <c r="A3001" t="s">
        <v>3155</v>
      </c>
      <c r="C3001" t="s">
        <v>3156</v>
      </c>
      <c r="D3001" t="s">
        <v>5</v>
      </c>
      <c r="E3001" t="s">
        <v>6</v>
      </c>
      <c r="F3001" t="s">
        <v>724</v>
      </c>
      <c r="G3001">
        <v>2</v>
      </c>
      <c r="H3001" s="2">
        <f>Tabelle13[[#This Row],[commits]]/Tabelle13[[#Totals],[commits]]</f>
        <v>9.2955808808492451E-6</v>
      </c>
      <c r="I3001" s="5">
        <f>Tabelle13[[#This Row],[%]]+I3000</f>
        <v>0.96733068099427943</v>
      </c>
      <c r="J3001" s="4">
        <f t="shared" si="125"/>
        <v>1.105583195135434E-4</v>
      </c>
      <c r="K3001" s="5">
        <f t="shared" si="126"/>
        <v>0.33156440022112271</v>
      </c>
    </row>
    <row r="3002" spans="1:11" x14ac:dyDescent="0.25">
      <c r="A3002" t="s">
        <v>3157</v>
      </c>
      <c r="C3002" t="s">
        <v>3158</v>
      </c>
      <c r="D3002" t="s">
        <v>5</v>
      </c>
      <c r="E3002" t="s">
        <v>6</v>
      </c>
      <c r="F3002" t="s">
        <v>724</v>
      </c>
      <c r="G3002">
        <v>2</v>
      </c>
      <c r="H3002" s="2">
        <f>Tabelle13[[#This Row],[commits]]/Tabelle13[[#Totals],[commits]]</f>
        <v>9.2955808808492451E-6</v>
      </c>
      <c r="I3002" s="5">
        <f>Tabelle13[[#This Row],[%]]+I3001</f>
        <v>0.96733997657516024</v>
      </c>
      <c r="J3002" s="4">
        <f t="shared" si="125"/>
        <v>1.105583195135434E-4</v>
      </c>
      <c r="K3002" s="5">
        <f t="shared" si="126"/>
        <v>0.33167495854063628</v>
      </c>
    </row>
    <row r="3003" spans="1:11" x14ac:dyDescent="0.25">
      <c r="A3003" t="s">
        <v>3159</v>
      </c>
      <c r="C3003" t="s">
        <v>3160</v>
      </c>
      <c r="D3003" t="s">
        <v>5</v>
      </c>
      <c r="E3003" t="s">
        <v>6</v>
      </c>
      <c r="F3003" t="s">
        <v>724</v>
      </c>
      <c r="G3003">
        <v>2</v>
      </c>
      <c r="H3003" s="2">
        <f>Tabelle13[[#This Row],[commits]]/Tabelle13[[#Totals],[commits]]</f>
        <v>9.2955808808492451E-6</v>
      </c>
      <c r="I3003" s="5">
        <f>Tabelle13[[#This Row],[%]]+I3002</f>
        <v>0.96734927215604105</v>
      </c>
      <c r="J3003" s="4">
        <f t="shared" si="125"/>
        <v>1.105583195135434E-4</v>
      </c>
      <c r="K3003" s="5">
        <f t="shared" si="126"/>
        <v>0.33178551686014984</v>
      </c>
    </row>
    <row r="3004" spans="1:11" x14ac:dyDescent="0.25">
      <c r="A3004" t="s">
        <v>3161</v>
      </c>
      <c r="C3004" t="s">
        <v>3162</v>
      </c>
      <c r="D3004" t="s">
        <v>5</v>
      </c>
      <c r="E3004" t="s">
        <v>6</v>
      </c>
      <c r="F3004" t="s">
        <v>724</v>
      </c>
      <c r="G3004">
        <v>2</v>
      </c>
      <c r="H3004" s="2">
        <f>Tabelle13[[#This Row],[commits]]/Tabelle13[[#Totals],[commits]]</f>
        <v>9.2955808808492451E-6</v>
      </c>
      <c r="I3004" s="5">
        <f>Tabelle13[[#This Row],[%]]+I3003</f>
        <v>0.96735856773692186</v>
      </c>
      <c r="J3004" s="4">
        <f t="shared" si="125"/>
        <v>1.105583195135434E-4</v>
      </c>
      <c r="K3004" s="5">
        <f t="shared" si="126"/>
        <v>0.33189607517966341</v>
      </c>
    </row>
    <row r="3005" spans="1:11" x14ac:dyDescent="0.25">
      <c r="A3005" t="s">
        <v>3163</v>
      </c>
      <c r="C3005" t="s">
        <v>3164</v>
      </c>
      <c r="D3005" t="s">
        <v>5</v>
      </c>
      <c r="E3005" t="s">
        <v>6</v>
      </c>
      <c r="F3005" t="s">
        <v>724</v>
      </c>
      <c r="G3005">
        <v>2</v>
      </c>
      <c r="H3005" s="2">
        <f>Tabelle13[[#This Row],[commits]]/Tabelle13[[#Totals],[commits]]</f>
        <v>9.2955808808492451E-6</v>
      </c>
      <c r="I3005" s="5">
        <f>Tabelle13[[#This Row],[%]]+I3004</f>
        <v>0.96736786331780267</v>
      </c>
      <c r="J3005" s="4">
        <f t="shared" si="125"/>
        <v>1.105583195135434E-4</v>
      </c>
      <c r="K3005" s="5">
        <f t="shared" si="126"/>
        <v>0.33200663349917697</v>
      </c>
    </row>
    <row r="3006" spans="1:11" x14ac:dyDescent="0.25">
      <c r="A3006" t="s">
        <v>3165</v>
      </c>
      <c r="C3006" t="s">
        <v>3166</v>
      </c>
      <c r="D3006" t="s">
        <v>5</v>
      </c>
      <c r="E3006" t="s">
        <v>6</v>
      </c>
      <c r="F3006" t="s">
        <v>724</v>
      </c>
      <c r="G3006">
        <v>2</v>
      </c>
      <c r="H3006" s="2">
        <f>Tabelle13[[#This Row],[commits]]/Tabelle13[[#Totals],[commits]]</f>
        <v>9.2955808808492451E-6</v>
      </c>
      <c r="I3006" s="5">
        <f>Tabelle13[[#This Row],[%]]+I3005</f>
        <v>0.96737715889868348</v>
      </c>
      <c r="J3006" s="4">
        <f t="shared" si="125"/>
        <v>1.105583195135434E-4</v>
      </c>
      <c r="K3006" s="5">
        <f t="shared" si="126"/>
        <v>0.33211719181869054</v>
      </c>
    </row>
    <row r="3007" spans="1:11" x14ac:dyDescent="0.25">
      <c r="A3007" t="s">
        <v>3167</v>
      </c>
      <c r="C3007" t="s">
        <v>3168</v>
      </c>
      <c r="D3007" t="s">
        <v>5</v>
      </c>
      <c r="E3007" t="s">
        <v>6</v>
      </c>
      <c r="F3007" t="s">
        <v>724</v>
      </c>
      <c r="G3007">
        <v>2</v>
      </c>
      <c r="H3007" s="2">
        <f>Tabelle13[[#This Row],[commits]]/Tabelle13[[#Totals],[commits]]</f>
        <v>9.2955808808492451E-6</v>
      </c>
      <c r="I3007" s="5">
        <f>Tabelle13[[#This Row],[%]]+I3006</f>
        <v>0.96738645447956428</v>
      </c>
      <c r="J3007" s="4">
        <f t="shared" si="125"/>
        <v>1.105583195135434E-4</v>
      </c>
      <c r="K3007" s="5">
        <f t="shared" si="126"/>
        <v>0.3322277501382041</v>
      </c>
    </row>
    <row r="3008" spans="1:11" x14ac:dyDescent="0.25">
      <c r="A3008" t="s">
        <v>3169</v>
      </c>
      <c r="C3008" t="s">
        <v>3170</v>
      </c>
      <c r="D3008" t="s">
        <v>5</v>
      </c>
      <c r="E3008" t="s">
        <v>6</v>
      </c>
      <c r="F3008" t="s">
        <v>724</v>
      </c>
      <c r="G3008">
        <v>2</v>
      </c>
      <c r="H3008" s="2">
        <f>Tabelle13[[#This Row],[commits]]/Tabelle13[[#Totals],[commits]]</f>
        <v>9.2955808808492451E-6</v>
      </c>
      <c r="I3008" s="5">
        <f>Tabelle13[[#This Row],[%]]+I3007</f>
        <v>0.96739575006044509</v>
      </c>
      <c r="J3008" s="4">
        <f t="shared" si="125"/>
        <v>1.105583195135434E-4</v>
      </c>
      <c r="K3008" s="5">
        <f t="shared" si="126"/>
        <v>0.33233830845771767</v>
      </c>
    </row>
    <row r="3009" spans="1:11" x14ac:dyDescent="0.25">
      <c r="A3009" t="s">
        <v>3171</v>
      </c>
      <c r="C3009" t="s">
        <v>3172</v>
      </c>
      <c r="D3009" t="s">
        <v>5</v>
      </c>
      <c r="E3009" t="s">
        <v>6</v>
      </c>
      <c r="F3009" t="s">
        <v>724</v>
      </c>
      <c r="G3009">
        <v>2</v>
      </c>
      <c r="H3009" s="2">
        <f>Tabelle13[[#This Row],[commits]]/Tabelle13[[#Totals],[commits]]</f>
        <v>9.2955808808492451E-6</v>
      </c>
      <c r="I3009" s="5">
        <f>Tabelle13[[#This Row],[%]]+I3008</f>
        <v>0.9674050456413259</v>
      </c>
      <c r="J3009" s="4">
        <f t="shared" si="125"/>
        <v>1.105583195135434E-4</v>
      </c>
      <c r="K3009" s="5">
        <f t="shared" si="126"/>
        <v>0.33244886677723123</v>
      </c>
    </row>
    <row r="3010" spans="1:11" x14ac:dyDescent="0.25">
      <c r="A3010" t="s">
        <v>3173</v>
      </c>
      <c r="C3010" t="s">
        <v>3174</v>
      </c>
      <c r="D3010" t="s">
        <v>5</v>
      </c>
      <c r="E3010" t="s">
        <v>6</v>
      </c>
      <c r="F3010" t="s">
        <v>724</v>
      </c>
      <c r="G3010">
        <v>2</v>
      </c>
      <c r="H3010" s="2">
        <f>Tabelle13[[#This Row],[commits]]/Tabelle13[[#Totals],[commits]]</f>
        <v>9.2955808808492451E-6</v>
      </c>
      <c r="I3010" s="5">
        <f>Tabelle13[[#This Row],[%]]+I3009</f>
        <v>0.96741434122220671</v>
      </c>
      <c r="J3010" s="4">
        <f t="shared" si="125"/>
        <v>1.105583195135434E-4</v>
      </c>
      <c r="K3010" s="5">
        <f t="shared" si="126"/>
        <v>0.3325594250967448</v>
      </c>
    </row>
    <row r="3011" spans="1:11" x14ac:dyDescent="0.25">
      <c r="A3011" t="s">
        <v>3175</v>
      </c>
      <c r="C3011" t="s">
        <v>3176</v>
      </c>
      <c r="D3011" t="s">
        <v>5</v>
      </c>
      <c r="E3011" t="s">
        <v>6</v>
      </c>
      <c r="F3011" t="s">
        <v>724</v>
      </c>
      <c r="G3011">
        <v>2</v>
      </c>
      <c r="H3011" s="2">
        <f>Tabelle13[[#This Row],[commits]]/Tabelle13[[#Totals],[commits]]</f>
        <v>9.2955808808492451E-6</v>
      </c>
      <c r="I3011" s="5">
        <f>Tabelle13[[#This Row],[%]]+I3010</f>
        <v>0.96742363680308752</v>
      </c>
      <c r="J3011" s="4">
        <f t="shared" ref="J3011:J3074" si="127">1/9045</f>
        <v>1.105583195135434E-4</v>
      </c>
      <c r="K3011" s="5">
        <f t="shared" si="126"/>
        <v>0.33266998341625836</v>
      </c>
    </row>
    <row r="3012" spans="1:11" x14ac:dyDescent="0.25">
      <c r="A3012" t="s">
        <v>3177</v>
      </c>
      <c r="C3012" t="s">
        <v>3178</v>
      </c>
      <c r="D3012" t="s">
        <v>5</v>
      </c>
      <c r="E3012" t="s">
        <v>6</v>
      </c>
      <c r="F3012" t="s">
        <v>724</v>
      </c>
      <c r="G3012">
        <v>2</v>
      </c>
      <c r="H3012" s="2">
        <f>Tabelle13[[#This Row],[commits]]/Tabelle13[[#Totals],[commits]]</f>
        <v>9.2955808808492451E-6</v>
      </c>
      <c r="I3012" s="5">
        <f>Tabelle13[[#This Row],[%]]+I3011</f>
        <v>0.96743293238396832</v>
      </c>
      <c r="J3012" s="4">
        <f t="shared" si="127"/>
        <v>1.105583195135434E-4</v>
      </c>
      <c r="K3012" s="5">
        <f t="shared" si="126"/>
        <v>0.33278054173577193</v>
      </c>
    </row>
    <row r="3013" spans="1:11" x14ac:dyDescent="0.25">
      <c r="A3013" t="s">
        <v>3179</v>
      </c>
      <c r="C3013" t="s">
        <v>3180</v>
      </c>
      <c r="D3013" t="s">
        <v>5</v>
      </c>
      <c r="E3013" t="s">
        <v>6</v>
      </c>
      <c r="F3013" t="s">
        <v>724</v>
      </c>
      <c r="G3013">
        <v>2</v>
      </c>
      <c r="H3013" s="2">
        <f>Tabelle13[[#This Row],[commits]]/Tabelle13[[#Totals],[commits]]</f>
        <v>9.2955808808492451E-6</v>
      </c>
      <c r="I3013" s="5">
        <f>Tabelle13[[#This Row],[%]]+I3012</f>
        <v>0.96744222796484913</v>
      </c>
      <c r="J3013" s="4">
        <f t="shared" si="127"/>
        <v>1.105583195135434E-4</v>
      </c>
      <c r="K3013" s="5">
        <f t="shared" si="126"/>
        <v>0.33289110005528549</v>
      </c>
    </row>
    <row r="3014" spans="1:11" x14ac:dyDescent="0.25">
      <c r="A3014" t="s">
        <v>3181</v>
      </c>
      <c r="C3014" t="s">
        <v>3182</v>
      </c>
      <c r="D3014" t="s">
        <v>5</v>
      </c>
      <c r="E3014" t="s">
        <v>6</v>
      </c>
      <c r="F3014" t="s">
        <v>724</v>
      </c>
      <c r="G3014">
        <v>2</v>
      </c>
      <c r="H3014" s="2">
        <f>Tabelle13[[#This Row],[commits]]/Tabelle13[[#Totals],[commits]]</f>
        <v>9.2955808808492451E-6</v>
      </c>
      <c r="I3014" s="5">
        <f>Tabelle13[[#This Row],[%]]+I3013</f>
        <v>0.96745152354572994</v>
      </c>
      <c r="J3014" s="4">
        <f t="shared" si="127"/>
        <v>1.105583195135434E-4</v>
      </c>
      <c r="K3014" s="5">
        <f t="shared" ref="K3014:K3077" si="128">J3014+K3013</f>
        <v>0.33300165837479906</v>
      </c>
    </row>
    <row r="3015" spans="1:11" x14ac:dyDescent="0.25">
      <c r="A3015" t="s">
        <v>3183</v>
      </c>
      <c r="C3015" t="s">
        <v>3184</v>
      </c>
      <c r="D3015" t="s">
        <v>5</v>
      </c>
      <c r="E3015" t="s">
        <v>6</v>
      </c>
      <c r="F3015" t="s">
        <v>724</v>
      </c>
      <c r="G3015">
        <v>2</v>
      </c>
      <c r="H3015" s="2">
        <f>Tabelle13[[#This Row],[commits]]/Tabelle13[[#Totals],[commits]]</f>
        <v>9.2955808808492451E-6</v>
      </c>
      <c r="I3015" s="5">
        <f>Tabelle13[[#This Row],[%]]+I3014</f>
        <v>0.96746081912661075</v>
      </c>
      <c r="J3015" s="4">
        <f t="shared" si="127"/>
        <v>1.105583195135434E-4</v>
      </c>
      <c r="K3015" s="5">
        <f t="shared" si="128"/>
        <v>0.33311221669431262</v>
      </c>
    </row>
    <row r="3016" spans="1:11" x14ac:dyDescent="0.25">
      <c r="A3016" t="s">
        <v>3185</v>
      </c>
      <c r="C3016" t="s">
        <v>3186</v>
      </c>
      <c r="D3016" t="s">
        <v>5</v>
      </c>
      <c r="E3016" t="s">
        <v>6</v>
      </c>
      <c r="F3016" t="s">
        <v>724</v>
      </c>
      <c r="G3016">
        <v>2</v>
      </c>
      <c r="H3016" s="2">
        <f>Tabelle13[[#This Row],[commits]]/Tabelle13[[#Totals],[commits]]</f>
        <v>9.2955808808492451E-6</v>
      </c>
      <c r="I3016" s="5">
        <f>Tabelle13[[#This Row],[%]]+I3015</f>
        <v>0.96747011470749156</v>
      </c>
      <c r="J3016" s="4">
        <f t="shared" si="127"/>
        <v>1.105583195135434E-4</v>
      </c>
      <c r="K3016" s="5">
        <f t="shared" si="128"/>
        <v>0.33322277501382619</v>
      </c>
    </row>
    <row r="3017" spans="1:11" x14ac:dyDescent="0.25">
      <c r="A3017" t="s">
        <v>3187</v>
      </c>
      <c r="C3017">
        <v>407660109</v>
      </c>
      <c r="D3017" t="s">
        <v>5</v>
      </c>
      <c r="E3017" t="s">
        <v>6</v>
      </c>
      <c r="F3017" t="s">
        <v>724</v>
      </c>
      <c r="G3017">
        <v>2</v>
      </c>
      <c r="H3017" s="2">
        <f>Tabelle13[[#This Row],[commits]]/Tabelle13[[#Totals],[commits]]</f>
        <v>9.2955808808492451E-6</v>
      </c>
      <c r="I3017" s="5">
        <f>Tabelle13[[#This Row],[%]]+I3016</f>
        <v>0.96747941028837237</v>
      </c>
      <c r="J3017" s="4">
        <f t="shared" si="127"/>
        <v>1.105583195135434E-4</v>
      </c>
      <c r="K3017" s="5">
        <f t="shared" si="128"/>
        <v>0.33333333333333975</v>
      </c>
    </row>
    <row r="3018" spans="1:11" x14ac:dyDescent="0.25">
      <c r="A3018" t="s">
        <v>3188</v>
      </c>
      <c r="C3018" t="s">
        <v>3189</v>
      </c>
      <c r="D3018" t="s">
        <v>5</v>
      </c>
      <c r="E3018" t="s">
        <v>6</v>
      </c>
      <c r="F3018" t="s">
        <v>724</v>
      </c>
      <c r="G3018">
        <v>2</v>
      </c>
      <c r="H3018" s="2">
        <f>Tabelle13[[#This Row],[commits]]/Tabelle13[[#Totals],[commits]]</f>
        <v>9.2955808808492451E-6</v>
      </c>
      <c r="I3018" s="5">
        <f>Tabelle13[[#This Row],[%]]+I3017</f>
        <v>0.96748870586925317</v>
      </c>
      <c r="J3018" s="4">
        <f t="shared" si="127"/>
        <v>1.105583195135434E-4</v>
      </c>
      <c r="K3018" s="5">
        <f t="shared" si="128"/>
        <v>0.33344389165285332</v>
      </c>
    </row>
    <row r="3019" spans="1:11" x14ac:dyDescent="0.25">
      <c r="A3019" t="s">
        <v>3190</v>
      </c>
      <c r="C3019" t="s">
        <v>3191</v>
      </c>
      <c r="D3019" t="s">
        <v>5</v>
      </c>
      <c r="E3019" t="s">
        <v>6</v>
      </c>
      <c r="F3019" t="s">
        <v>724</v>
      </c>
      <c r="G3019">
        <v>2</v>
      </c>
      <c r="H3019" s="2">
        <f>Tabelle13[[#This Row],[commits]]/Tabelle13[[#Totals],[commits]]</f>
        <v>9.2955808808492451E-6</v>
      </c>
      <c r="I3019" s="5">
        <f>Tabelle13[[#This Row],[%]]+I3018</f>
        <v>0.96749800145013398</v>
      </c>
      <c r="J3019" s="4">
        <f t="shared" si="127"/>
        <v>1.105583195135434E-4</v>
      </c>
      <c r="K3019" s="5">
        <f t="shared" si="128"/>
        <v>0.33355444997236688</v>
      </c>
    </row>
    <row r="3020" spans="1:11" x14ac:dyDescent="0.25">
      <c r="A3020" t="s">
        <v>3192</v>
      </c>
      <c r="C3020" t="s">
        <v>3193</v>
      </c>
      <c r="D3020" t="s">
        <v>5</v>
      </c>
      <c r="E3020" t="s">
        <v>6</v>
      </c>
      <c r="F3020" t="s">
        <v>724</v>
      </c>
      <c r="G3020">
        <v>2</v>
      </c>
      <c r="H3020" s="2">
        <f>Tabelle13[[#This Row],[commits]]/Tabelle13[[#Totals],[commits]]</f>
        <v>9.2955808808492451E-6</v>
      </c>
      <c r="I3020" s="5">
        <f>Tabelle13[[#This Row],[%]]+I3019</f>
        <v>0.96750729703101479</v>
      </c>
      <c r="J3020" s="4">
        <f t="shared" si="127"/>
        <v>1.105583195135434E-4</v>
      </c>
      <c r="K3020" s="5">
        <f t="shared" si="128"/>
        <v>0.33366500829188045</v>
      </c>
    </row>
    <row r="3021" spans="1:11" x14ac:dyDescent="0.25">
      <c r="A3021" t="s">
        <v>3194</v>
      </c>
      <c r="C3021" t="s">
        <v>3195</v>
      </c>
      <c r="D3021" t="s">
        <v>5</v>
      </c>
      <c r="E3021" t="s">
        <v>6</v>
      </c>
      <c r="F3021" t="s">
        <v>724</v>
      </c>
      <c r="G3021">
        <v>2</v>
      </c>
      <c r="H3021" s="2">
        <f>Tabelle13[[#This Row],[commits]]/Tabelle13[[#Totals],[commits]]</f>
        <v>9.2955808808492451E-6</v>
      </c>
      <c r="I3021" s="5">
        <f>Tabelle13[[#This Row],[%]]+I3020</f>
        <v>0.9675165926118956</v>
      </c>
      <c r="J3021" s="4">
        <f t="shared" si="127"/>
        <v>1.105583195135434E-4</v>
      </c>
      <c r="K3021" s="5">
        <f t="shared" si="128"/>
        <v>0.33377556661139401</v>
      </c>
    </row>
    <row r="3022" spans="1:11" x14ac:dyDescent="0.25">
      <c r="A3022" t="s">
        <v>3196</v>
      </c>
      <c r="C3022" t="s">
        <v>3197</v>
      </c>
      <c r="D3022" t="s">
        <v>5</v>
      </c>
      <c r="E3022" t="s">
        <v>6</v>
      </c>
      <c r="F3022" t="s">
        <v>724</v>
      </c>
      <c r="G3022">
        <v>2</v>
      </c>
      <c r="H3022" s="2">
        <f>Tabelle13[[#This Row],[commits]]/Tabelle13[[#Totals],[commits]]</f>
        <v>9.2955808808492451E-6</v>
      </c>
      <c r="I3022" s="5">
        <f>Tabelle13[[#This Row],[%]]+I3021</f>
        <v>0.96752588819277641</v>
      </c>
      <c r="J3022" s="4">
        <f t="shared" si="127"/>
        <v>1.105583195135434E-4</v>
      </c>
      <c r="K3022" s="5">
        <f t="shared" si="128"/>
        <v>0.33388612493090758</v>
      </c>
    </row>
    <row r="3023" spans="1:11" x14ac:dyDescent="0.25">
      <c r="A3023" t="s">
        <v>3198</v>
      </c>
      <c r="C3023" t="s">
        <v>3199</v>
      </c>
      <c r="D3023" t="s">
        <v>309</v>
      </c>
      <c r="E3023" t="s">
        <v>6</v>
      </c>
      <c r="F3023" t="s">
        <v>724</v>
      </c>
      <c r="G3023">
        <v>2</v>
      </c>
      <c r="H3023" s="2">
        <f>Tabelle13[[#This Row],[commits]]/Tabelle13[[#Totals],[commits]]</f>
        <v>9.2955808808492451E-6</v>
      </c>
      <c r="I3023" s="5">
        <f>Tabelle13[[#This Row],[%]]+I3022</f>
        <v>0.96753518377365721</v>
      </c>
      <c r="J3023" s="4">
        <f t="shared" si="127"/>
        <v>1.105583195135434E-4</v>
      </c>
      <c r="K3023" s="5">
        <f t="shared" si="128"/>
        <v>0.33399668325042114</v>
      </c>
    </row>
    <row r="3024" spans="1:11" x14ac:dyDescent="0.25">
      <c r="A3024" t="s">
        <v>3200</v>
      </c>
      <c r="C3024" t="s">
        <v>3201</v>
      </c>
      <c r="D3024" t="s">
        <v>5</v>
      </c>
      <c r="E3024" t="s">
        <v>6</v>
      </c>
      <c r="F3024" t="s">
        <v>724</v>
      </c>
      <c r="G3024">
        <v>2</v>
      </c>
      <c r="H3024" s="2">
        <f>Tabelle13[[#This Row],[commits]]/Tabelle13[[#Totals],[commits]]</f>
        <v>9.2955808808492451E-6</v>
      </c>
      <c r="I3024" s="5">
        <f>Tabelle13[[#This Row],[%]]+I3023</f>
        <v>0.96754447935453802</v>
      </c>
      <c r="J3024" s="4">
        <f t="shared" si="127"/>
        <v>1.105583195135434E-4</v>
      </c>
      <c r="K3024" s="5">
        <f t="shared" si="128"/>
        <v>0.33410724156993471</v>
      </c>
    </row>
    <row r="3025" spans="1:11" x14ac:dyDescent="0.25">
      <c r="A3025" t="s">
        <v>3202</v>
      </c>
      <c r="C3025" t="s">
        <v>3203</v>
      </c>
      <c r="D3025" t="s">
        <v>5</v>
      </c>
      <c r="E3025" t="s">
        <v>6</v>
      </c>
      <c r="F3025" t="s">
        <v>724</v>
      </c>
      <c r="G3025">
        <v>2</v>
      </c>
      <c r="H3025" s="2">
        <f>Tabelle13[[#This Row],[commits]]/Tabelle13[[#Totals],[commits]]</f>
        <v>9.2955808808492451E-6</v>
      </c>
      <c r="I3025" s="5">
        <f>Tabelle13[[#This Row],[%]]+I3024</f>
        <v>0.96755377493541883</v>
      </c>
      <c r="J3025" s="4">
        <f t="shared" si="127"/>
        <v>1.105583195135434E-4</v>
      </c>
      <c r="K3025" s="5">
        <f t="shared" si="128"/>
        <v>0.33421779988944827</v>
      </c>
    </row>
    <row r="3026" spans="1:11" x14ac:dyDescent="0.25">
      <c r="A3026" t="s">
        <v>3204</v>
      </c>
      <c r="C3026" t="s">
        <v>3205</v>
      </c>
      <c r="D3026" t="s">
        <v>5</v>
      </c>
      <c r="E3026" t="s">
        <v>6</v>
      </c>
      <c r="F3026" t="s">
        <v>724</v>
      </c>
      <c r="G3026">
        <v>2</v>
      </c>
      <c r="H3026" s="2">
        <f>Tabelle13[[#This Row],[commits]]/Tabelle13[[#Totals],[commits]]</f>
        <v>9.2955808808492451E-6</v>
      </c>
      <c r="I3026" s="5">
        <f>Tabelle13[[#This Row],[%]]+I3025</f>
        <v>0.96756307051629964</v>
      </c>
      <c r="J3026" s="4">
        <f t="shared" si="127"/>
        <v>1.105583195135434E-4</v>
      </c>
      <c r="K3026" s="5">
        <f t="shared" si="128"/>
        <v>0.33432835820896184</v>
      </c>
    </row>
    <row r="3027" spans="1:11" x14ac:dyDescent="0.25">
      <c r="A3027" t="s">
        <v>3206</v>
      </c>
      <c r="C3027" t="s">
        <v>3207</v>
      </c>
      <c r="D3027" t="s">
        <v>5</v>
      </c>
      <c r="E3027" t="s">
        <v>6</v>
      </c>
      <c r="F3027" t="s">
        <v>724</v>
      </c>
      <c r="G3027">
        <v>2</v>
      </c>
      <c r="H3027" s="2">
        <f>Tabelle13[[#This Row],[commits]]/Tabelle13[[#Totals],[commits]]</f>
        <v>9.2955808808492451E-6</v>
      </c>
      <c r="I3027" s="5">
        <f>Tabelle13[[#This Row],[%]]+I3026</f>
        <v>0.96757236609718045</v>
      </c>
      <c r="J3027" s="4">
        <f t="shared" si="127"/>
        <v>1.105583195135434E-4</v>
      </c>
      <c r="K3027" s="5">
        <f t="shared" si="128"/>
        <v>0.33443891652847541</v>
      </c>
    </row>
    <row r="3028" spans="1:11" x14ac:dyDescent="0.25">
      <c r="A3028" t="s">
        <v>3208</v>
      </c>
      <c r="C3028" t="s">
        <v>3209</v>
      </c>
      <c r="D3028" t="s">
        <v>5</v>
      </c>
      <c r="E3028" t="s">
        <v>6</v>
      </c>
      <c r="F3028" t="s">
        <v>724</v>
      </c>
      <c r="G3028">
        <v>2</v>
      </c>
      <c r="H3028" s="2">
        <f>Tabelle13[[#This Row],[commits]]/Tabelle13[[#Totals],[commits]]</f>
        <v>9.2955808808492451E-6</v>
      </c>
      <c r="I3028" s="5">
        <f>Tabelle13[[#This Row],[%]]+I3027</f>
        <v>0.96758166167806126</v>
      </c>
      <c r="J3028" s="4">
        <f t="shared" si="127"/>
        <v>1.105583195135434E-4</v>
      </c>
      <c r="K3028" s="5">
        <f t="shared" si="128"/>
        <v>0.33454947484798897</v>
      </c>
    </row>
    <row r="3029" spans="1:11" x14ac:dyDescent="0.25">
      <c r="A3029" t="s">
        <v>3210</v>
      </c>
      <c r="C3029" t="s">
        <v>3211</v>
      </c>
      <c r="D3029" t="s">
        <v>5</v>
      </c>
      <c r="E3029" t="s">
        <v>6</v>
      </c>
      <c r="F3029" t="s">
        <v>724</v>
      </c>
      <c r="G3029">
        <v>2</v>
      </c>
      <c r="H3029" s="2">
        <f>Tabelle13[[#This Row],[commits]]/Tabelle13[[#Totals],[commits]]</f>
        <v>9.2955808808492451E-6</v>
      </c>
      <c r="I3029" s="5">
        <f>Tabelle13[[#This Row],[%]]+I3028</f>
        <v>0.96759095725894206</v>
      </c>
      <c r="J3029" s="4">
        <f t="shared" si="127"/>
        <v>1.105583195135434E-4</v>
      </c>
      <c r="K3029" s="5">
        <f t="shared" si="128"/>
        <v>0.33466003316750254</v>
      </c>
    </row>
    <row r="3030" spans="1:11" x14ac:dyDescent="0.25">
      <c r="A3030" t="s">
        <v>3212</v>
      </c>
      <c r="C3030" t="s">
        <v>3213</v>
      </c>
      <c r="D3030" t="s">
        <v>5</v>
      </c>
      <c r="E3030" t="s">
        <v>6</v>
      </c>
      <c r="F3030" t="s">
        <v>724</v>
      </c>
      <c r="G3030">
        <v>2</v>
      </c>
      <c r="H3030" s="2">
        <f>Tabelle13[[#This Row],[commits]]/Tabelle13[[#Totals],[commits]]</f>
        <v>9.2955808808492451E-6</v>
      </c>
      <c r="I3030" s="5">
        <f>Tabelle13[[#This Row],[%]]+I3029</f>
        <v>0.96760025283982287</v>
      </c>
      <c r="J3030" s="4">
        <f t="shared" si="127"/>
        <v>1.105583195135434E-4</v>
      </c>
      <c r="K3030" s="5">
        <f t="shared" si="128"/>
        <v>0.3347705914870161</v>
      </c>
    </row>
    <row r="3031" spans="1:11" x14ac:dyDescent="0.25">
      <c r="A3031" t="s">
        <v>3214</v>
      </c>
      <c r="C3031" t="s">
        <v>3215</v>
      </c>
      <c r="D3031" t="s">
        <v>5</v>
      </c>
      <c r="E3031" t="s">
        <v>6</v>
      </c>
      <c r="F3031" t="s">
        <v>724</v>
      </c>
      <c r="G3031">
        <v>2</v>
      </c>
      <c r="H3031" s="2">
        <f>Tabelle13[[#This Row],[commits]]/Tabelle13[[#Totals],[commits]]</f>
        <v>9.2955808808492451E-6</v>
      </c>
      <c r="I3031" s="5">
        <f>Tabelle13[[#This Row],[%]]+I3030</f>
        <v>0.96760954842070368</v>
      </c>
      <c r="J3031" s="4">
        <f t="shared" si="127"/>
        <v>1.105583195135434E-4</v>
      </c>
      <c r="K3031" s="5">
        <f t="shared" si="128"/>
        <v>0.33488114980652967</v>
      </c>
    </row>
    <row r="3032" spans="1:11" x14ac:dyDescent="0.25">
      <c r="A3032" t="s">
        <v>3216</v>
      </c>
      <c r="C3032" t="s">
        <v>3217</v>
      </c>
      <c r="D3032" t="s">
        <v>5</v>
      </c>
      <c r="E3032" t="s">
        <v>6</v>
      </c>
      <c r="F3032" t="s">
        <v>724</v>
      </c>
      <c r="G3032">
        <v>2</v>
      </c>
      <c r="H3032" s="2">
        <f>Tabelle13[[#This Row],[commits]]/Tabelle13[[#Totals],[commits]]</f>
        <v>9.2955808808492451E-6</v>
      </c>
      <c r="I3032" s="5">
        <f>Tabelle13[[#This Row],[%]]+I3031</f>
        <v>0.96761884400158449</v>
      </c>
      <c r="J3032" s="4">
        <f t="shared" si="127"/>
        <v>1.105583195135434E-4</v>
      </c>
      <c r="K3032" s="5">
        <f t="shared" si="128"/>
        <v>0.33499170812604323</v>
      </c>
    </row>
    <row r="3033" spans="1:11" x14ac:dyDescent="0.25">
      <c r="A3033" t="s">
        <v>3218</v>
      </c>
      <c r="C3033" t="s">
        <v>3219</v>
      </c>
      <c r="D3033" t="s">
        <v>5</v>
      </c>
      <c r="E3033" t="s">
        <v>6</v>
      </c>
      <c r="F3033" t="s">
        <v>724</v>
      </c>
      <c r="G3033">
        <v>2</v>
      </c>
      <c r="H3033" s="2">
        <f>Tabelle13[[#This Row],[commits]]/Tabelle13[[#Totals],[commits]]</f>
        <v>9.2955808808492451E-6</v>
      </c>
      <c r="I3033" s="5">
        <f>Tabelle13[[#This Row],[%]]+I3032</f>
        <v>0.9676281395824653</v>
      </c>
      <c r="J3033" s="4">
        <f t="shared" si="127"/>
        <v>1.105583195135434E-4</v>
      </c>
      <c r="K3033" s="5">
        <f t="shared" si="128"/>
        <v>0.3351022664455568</v>
      </c>
    </row>
    <row r="3034" spans="1:11" x14ac:dyDescent="0.25">
      <c r="A3034" t="s">
        <v>3220</v>
      </c>
      <c r="C3034" t="s">
        <v>3221</v>
      </c>
      <c r="D3034" t="s">
        <v>5</v>
      </c>
      <c r="E3034" t="s">
        <v>6</v>
      </c>
      <c r="F3034" t="s">
        <v>724</v>
      </c>
      <c r="G3034">
        <v>2</v>
      </c>
      <c r="H3034" s="2">
        <f>Tabelle13[[#This Row],[commits]]/Tabelle13[[#Totals],[commits]]</f>
        <v>9.2955808808492451E-6</v>
      </c>
      <c r="I3034" s="5">
        <f>Tabelle13[[#This Row],[%]]+I3033</f>
        <v>0.9676374351633461</v>
      </c>
      <c r="J3034" s="4">
        <f t="shared" si="127"/>
        <v>1.105583195135434E-4</v>
      </c>
      <c r="K3034" s="5">
        <f t="shared" si="128"/>
        <v>0.33521282476507036</v>
      </c>
    </row>
    <row r="3035" spans="1:11" x14ac:dyDescent="0.25">
      <c r="A3035" t="s">
        <v>3222</v>
      </c>
      <c r="C3035" t="s">
        <v>3223</v>
      </c>
      <c r="D3035" t="s">
        <v>3224</v>
      </c>
      <c r="E3035" t="s">
        <v>6</v>
      </c>
      <c r="F3035" t="s">
        <v>724</v>
      </c>
      <c r="G3035">
        <v>2</v>
      </c>
      <c r="H3035" s="2">
        <f>Tabelle13[[#This Row],[commits]]/Tabelle13[[#Totals],[commits]]</f>
        <v>9.2955808808492451E-6</v>
      </c>
      <c r="I3035" s="5">
        <f>Tabelle13[[#This Row],[%]]+I3034</f>
        <v>0.96764673074422691</v>
      </c>
      <c r="J3035" s="4">
        <f t="shared" si="127"/>
        <v>1.105583195135434E-4</v>
      </c>
      <c r="K3035" s="5">
        <f t="shared" si="128"/>
        <v>0.33532338308458393</v>
      </c>
    </row>
    <row r="3036" spans="1:11" x14ac:dyDescent="0.25">
      <c r="A3036" t="s">
        <v>3225</v>
      </c>
      <c r="C3036" t="s">
        <v>3226</v>
      </c>
      <c r="D3036" t="s">
        <v>5</v>
      </c>
      <c r="E3036" t="s">
        <v>6</v>
      </c>
      <c r="F3036" t="s">
        <v>724</v>
      </c>
      <c r="G3036">
        <v>2</v>
      </c>
      <c r="H3036" s="2">
        <f>Tabelle13[[#This Row],[commits]]/Tabelle13[[#Totals],[commits]]</f>
        <v>9.2955808808492451E-6</v>
      </c>
      <c r="I3036" s="5">
        <f>Tabelle13[[#This Row],[%]]+I3035</f>
        <v>0.96765602632510772</v>
      </c>
      <c r="J3036" s="4">
        <f t="shared" si="127"/>
        <v>1.105583195135434E-4</v>
      </c>
      <c r="K3036" s="5">
        <f t="shared" si="128"/>
        <v>0.33543394140409749</v>
      </c>
    </row>
    <row r="3037" spans="1:11" x14ac:dyDescent="0.25">
      <c r="A3037" t="s">
        <v>3227</v>
      </c>
      <c r="C3037">
        <v>1129584401</v>
      </c>
      <c r="D3037" t="s">
        <v>5</v>
      </c>
      <c r="E3037" t="s">
        <v>6</v>
      </c>
      <c r="F3037" t="s">
        <v>724</v>
      </c>
      <c r="G3037">
        <v>2</v>
      </c>
      <c r="H3037" s="2">
        <f>Tabelle13[[#This Row],[commits]]/Tabelle13[[#Totals],[commits]]</f>
        <v>9.2955808808492451E-6</v>
      </c>
      <c r="I3037" s="5">
        <f>Tabelle13[[#This Row],[%]]+I3036</f>
        <v>0.96766532190598853</v>
      </c>
      <c r="J3037" s="4">
        <f t="shared" si="127"/>
        <v>1.105583195135434E-4</v>
      </c>
      <c r="K3037" s="5">
        <f t="shared" si="128"/>
        <v>0.33554449972361106</v>
      </c>
    </row>
    <row r="3038" spans="1:11" x14ac:dyDescent="0.25">
      <c r="A3038" t="s">
        <v>3228</v>
      </c>
      <c r="C3038" t="s">
        <v>3229</v>
      </c>
      <c r="D3038" t="s">
        <v>5</v>
      </c>
      <c r="E3038" t="s">
        <v>6</v>
      </c>
      <c r="F3038" t="s">
        <v>724</v>
      </c>
      <c r="G3038">
        <v>2</v>
      </c>
      <c r="H3038" s="2">
        <f>Tabelle13[[#This Row],[commits]]/Tabelle13[[#Totals],[commits]]</f>
        <v>9.2955808808492451E-6</v>
      </c>
      <c r="I3038" s="5">
        <f>Tabelle13[[#This Row],[%]]+I3037</f>
        <v>0.96767461748686934</v>
      </c>
      <c r="J3038" s="4">
        <f t="shared" si="127"/>
        <v>1.105583195135434E-4</v>
      </c>
      <c r="K3038" s="5">
        <f t="shared" si="128"/>
        <v>0.33565505804312462</v>
      </c>
    </row>
    <row r="3039" spans="1:11" x14ac:dyDescent="0.25">
      <c r="A3039" t="s">
        <v>3230</v>
      </c>
      <c r="C3039" t="s">
        <v>3231</v>
      </c>
      <c r="D3039" t="s">
        <v>5</v>
      </c>
      <c r="E3039" t="s">
        <v>6</v>
      </c>
      <c r="F3039" t="s">
        <v>724</v>
      </c>
      <c r="G3039">
        <v>2</v>
      </c>
      <c r="H3039" s="2">
        <f>Tabelle13[[#This Row],[commits]]/Tabelle13[[#Totals],[commits]]</f>
        <v>9.2955808808492451E-6</v>
      </c>
      <c r="I3039" s="5">
        <f>Tabelle13[[#This Row],[%]]+I3038</f>
        <v>0.96768391306775015</v>
      </c>
      <c r="J3039" s="4">
        <f t="shared" si="127"/>
        <v>1.105583195135434E-4</v>
      </c>
      <c r="K3039" s="5">
        <f t="shared" si="128"/>
        <v>0.33576561636263819</v>
      </c>
    </row>
    <row r="3040" spans="1:11" x14ac:dyDescent="0.25">
      <c r="A3040" t="s">
        <v>3232</v>
      </c>
      <c r="C3040" t="s">
        <v>3233</v>
      </c>
      <c r="D3040" t="s">
        <v>5</v>
      </c>
      <c r="E3040" t="s">
        <v>6</v>
      </c>
      <c r="F3040" t="s">
        <v>724</v>
      </c>
      <c r="G3040">
        <v>2</v>
      </c>
      <c r="H3040" s="2">
        <f>Tabelle13[[#This Row],[commits]]/Tabelle13[[#Totals],[commits]]</f>
        <v>9.2955808808492451E-6</v>
      </c>
      <c r="I3040" s="5">
        <f>Tabelle13[[#This Row],[%]]+I3039</f>
        <v>0.96769320864863095</v>
      </c>
      <c r="J3040" s="4">
        <f t="shared" si="127"/>
        <v>1.105583195135434E-4</v>
      </c>
      <c r="K3040" s="5">
        <f t="shared" si="128"/>
        <v>0.33587617468215175</v>
      </c>
    </row>
    <row r="3041" spans="1:11" x14ac:dyDescent="0.25">
      <c r="A3041" t="s">
        <v>3234</v>
      </c>
      <c r="C3041" t="s">
        <v>3235</v>
      </c>
      <c r="D3041" t="s">
        <v>5</v>
      </c>
      <c r="E3041" t="s">
        <v>6</v>
      </c>
      <c r="F3041" t="s">
        <v>724</v>
      </c>
      <c r="G3041">
        <v>2</v>
      </c>
      <c r="H3041" s="2">
        <f>Tabelle13[[#This Row],[commits]]/Tabelle13[[#Totals],[commits]]</f>
        <v>9.2955808808492451E-6</v>
      </c>
      <c r="I3041" s="5">
        <f>Tabelle13[[#This Row],[%]]+I3040</f>
        <v>0.96770250422951176</v>
      </c>
      <c r="J3041" s="4">
        <f t="shared" si="127"/>
        <v>1.105583195135434E-4</v>
      </c>
      <c r="K3041" s="5">
        <f t="shared" si="128"/>
        <v>0.33598673300166532</v>
      </c>
    </row>
    <row r="3042" spans="1:11" x14ac:dyDescent="0.25">
      <c r="A3042" t="s">
        <v>3236</v>
      </c>
      <c r="C3042" t="s">
        <v>3237</v>
      </c>
      <c r="D3042" t="s">
        <v>5</v>
      </c>
      <c r="E3042" t="s">
        <v>6</v>
      </c>
      <c r="F3042" t="s">
        <v>724</v>
      </c>
      <c r="G3042">
        <v>2</v>
      </c>
      <c r="H3042" s="2">
        <f>Tabelle13[[#This Row],[commits]]/Tabelle13[[#Totals],[commits]]</f>
        <v>9.2955808808492451E-6</v>
      </c>
      <c r="I3042" s="5">
        <f>Tabelle13[[#This Row],[%]]+I3041</f>
        <v>0.96771179981039257</v>
      </c>
      <c r="J3042" s="4">
        <f t="shared" si="127"/>
        <v>1.105583195135434E-4</v>
      </c>
      <c r="K3042" s="5">
        <f t="shared" si="128"/>
        <v>0.33609729132117888</v>
      </c>
    </row>
    <row r="3043" spans="1:11" x14ac:dyDescent="0.25">
      <c r="A3043" t="s">
        <v>3238</v>
      </c>
      <c r="C3043" t="s">
        <v>3239</v>
      </c>
      <c r="D3043" t="s">
        <v>3240</v>
      </c>
      <c r="E3043" t="s">
        <v>6</v>
      </c>
      <c r="F3043" t="s">
        <v>724</v>
      </c>
      <c r="G3043">
        <v>2</v>
      </c>
      <c r="H3043" s="2">
        <f>Tabelle13[[#This Row],[commits]]/Tabelle13[[#Totals],[commits]]</f>
        <v>9.2955808808492451E-6</v>
      </c>
      <c r="I3043" s="5">
        <f>Tabelle13[[#This Row],[%]]+I3042</f>
        <v>0.96772109539127338</v>
      </c>
      <c r="J3043" s="4">
        <f t="shared" si="127"/>
        <v>1.105583195135434E-4</v>
      </c>
      <c r="K3043" s="5">
        <f t="shared" si="128"/>
        <v>0.33620784964069245</v>
      </c>
    </row>
    <row r="3044" spans="1:11" x14ac:dyDescent="0.25">
      <c r="A3044" t="s">
        <v>3241</v>
      </c>
      <c r="C3044" t="s">
        <v>3242</v>
      </c>
      <c r="D3044" t="s">
        <v>5</v>
      </c>
      <c r="E3044" t="s">
        <v>6</v>
      </c>
      <c r="F3044" t="s">
        <v>724</v>
      </c>
      <c r="G3044">
        <v>2</v>
      </c>
      <c r="H3044" s="2">
        <f>Tabelle13[[#This Row],[commits]]/Tabelle13[[#Totals],[commits]]</f>
        <v>9.2955808808492451E-6</v>
      </c>
      <c r="I3044" s="5">
        <f>Tabelle13[[#This Row],[%]]+I3043</f>
        <v>0.96773039097215419</v>
      </c>
      <c r="J3044" s="4">
        <f t="shared" si="127"/>
        <v>1.105583195135434E-4</v>
      </c>
      <c r="K3044" s="5">
        <f t="shared" si="128"/>
        <v>0.33631840796020601</v>
      </c>
    </row>
    <row r="3045" spans="1:11" x14ac:dyDescent="0.25">
      <c r="A3045" t="s">
        <v>3243</v>
      </c>
      <c r="C3045" t="s">
        <v>3244</v>
      </c>
      <c r="D3045" t="s">
        <v>5</v>
      </c>
      <c r="E3045" t="s">
        <v>6</v>
      </c>
      <c r="F3045" t="s">
        <v>724</v>
      </c>
      <c r="G3045">
        <v>2</v>
      </c>
      <c r="H3045" s="2">
        <f>Tabelle13[[#This Row],[commits]]/Tabelle13[[#Totals],[commits]]</f>
        <v>9.2955808808492451E-6</v>
      </c>
      <c r="I3045" s="5">
        <f>Tabelle13[[#This Row],[%]]+I3044</f>
        <v>0.96773968655303499</v>
      </c>
      <c r="J3045" s="4">
        <f t="shared" si="127"/>
        <v>1.105583195135434E-4</v>
      </c>
      <c r="K3045" s="5">
        <f t="shared" si="128"/>
        <v>0.33642896627971958</v>
      </c>
    </row>
    <row r="3046" spans="1:11" x14ac:dyDescent="0.25">
      <c r="A3046" t="s">
        <v>3245</v>
      </c>
      <c r="C3046" t="s">
        <v>3246</v>
      </c>
      <c r="D3046" t="s">
        <v>3247</v>
      </c>
      <c r="E3046" t="s">
        <v>6</v>
      </c>
      <c r="F3046" t="s">
        <v>724</v>
      </c>
      <c r="G3046">
        <v>2</v>
      </c>
      <c r="H3046" s="2">
        <f>Tabelle13[[#This Row],[commits]]/Tabelle13[[#Totals],[commits]]</f>
        <v>9.2955808808492451E-6</v>
      </c>
      <c r="I3046" s="5">
        <f>Tabelle13[[#This Row],[%]]+I3045</f>
        <v>0.9677489821339158</v>
      </c>
      <c r="J3046" s="4">
        <f t="shared" si="127"/>
        <v>1.105583195135434E-4</v>
      </c>
      <c r="K3046" s="5">
        <f t="shared" si="128"/>
        <v>0.33653952459923314</v>
      </c>
    </row>
    <row r="3047" spans="1:11" x14ac:dyDescent="0.25">
      <c r="A3047" t="s">
        <v>3248</v>
      </c>
      <c r="C3047" t="s">
        <v>3249</v>
      </c>
      <c r="D3047" t="s">
        <v>5</v>
      </c>
      <c r="E3047" t="s">
        <v>6</v>
      </c>
      <c r="F3047" t="s">
        <v>724</v>
      </c>
      <c r="G3047">
        <v>2</v>
      </c>
      <c r="H3047" s="2">
        <f>Tabelle13[[#This Row],[commits]]/Tabelle13[[#Totals],[commits]]</f>
        <v>9.2955808808492451E-6</v>
      </c>
      <c r="I3047" s="5">
        <f>Tabelle13[[#This Row],[%]]+I3046</f>
        <v>0.96775827771479661</v>
      </c>
      <c r="J3047" s="4">
        <f t="shared" si="127"/>
        <v>1.105583195135434E-4</v>
      </c>
      <c r="K3047" s="5">
        <f t="shared" si="128"/>
        <v>0.33665008291874671</v>
      </c>
    </row>
    <row r="3048" spans="1:11" x14ac:dyDescent="0.25">
      <c r="A3048" t="s">
        <v>3250</v>
      </c>
      <c r="C3048" t="s">
        <v>3251</v>
      </c>
      <c r="D3048" t="s">
        <v>5</v>
      </c>
      <c r="E3048" t="s">
        <v>6</v>
      </c>
      <c r="F3048" t="s">
        <v>724</v>
      </c>
      <c r="G3048">
        <v>2</v>
      </c>
      <c r="H3048" s="2">
        <f>Tabelle13[[#This Row],[commits]]/Tabelle13[[#Totals],[commits]]</f>
        <v>9.2955808808492451E-6</v>
      </c>
      <c r="I3048" s="5">
        <f>Tabelle13[[#This Row],[%]]+I3047</f>
        <v>0.96776757329567742</v>
      </c>
      <c r="J3048" s="4">
        <f t="shared" si="127"/>
        <v>1.105583195135434E-4</v>
      </c>
      <c r="K3048" s="5">
        <f t="shared" si="128"/>
        <v>0.33676064123826027</v>
      </c>
    </row>
    <row r="3049" spans="1:11" x14ac:dyDescent="0.25">
      <c r="A3049" t="s">
        <v>3252</v>
      </c>
      <c r="C3049" t="s">
        <v>3253</v>
      </c>
      <c r="D3049" t="s">
        <v>5</v>
      </c>
      <c r="E3049" t="s">
        <v>6</v>
      </c>
      <c r="F3049" t="s">
        <v>724</v>
      </c>
      <c r="G3049">
        <v>2</v>
      </c>
      <c r="H3049" s="2">
        <f>Tabelle13[[#This Row],[commits]]/Tabelle13[[#Totals],[commits]]</f>
        <v>9.2955808808492451E-6</v>
      </c>
      <c r="I3049" s="5">
        <f>Tabelle13[[#This Row],[%]]+I3048</f>
        <v>0.96777686887655823</v>
      </c>
      <c r="J3049" s="4">
        <f t="shared" si="127"/>
        <v>1.105583195135434E-4</v>
      </c>
      <c r="K3049" s="5">
        <f t="shared" si="128"/>
        <v>0.33687119955777384</v>
      </c>
    </row>
    <row r="3050" spans="1:11" x14ac:dyDescent="0.25">
      <c r="A3050" t="s">
        <v>3254</v>
      </c>
      <c r="C3050" t="s">
        <v>3255</v>
      </c>
      <c r="D3050" t="s">
        <v>5</v>
      </c>
      <c r="E3050" t="s">
        <v>6</v>
      </c>
      <c r="F3050" t="s">
        <v>724</v>
      </c>
      <c r="G3050">
        <v>2</v>
      </c>
      <c r="H3050" s="2">
        <f>Tabelle13[[#This Row],[commits]]/Tabelle13[[#Totals],[commits]]</f>
        <v>9.2955808808492451E-6</v>
      </c>
      <c r="I3050" s="5">
        <f>Tabelle13[[#This Row],[%]]+I3049</f>
        <v>0.96778616445743904</v>
      </c>
      <c r="J3050" s="4">
        <f t="shared" si="127"/>
        <v>1.105583195135434E-4</v>
      </c>
      <c r="K3050" s="5">
        <f t="shared" si="128"/>
        <v>0.3369817578772874</v>
      </c>
    </row>
    <row r="3051" spans="1:11" x14ac:dyDescent="0.25">
      <c r="A3051" t="s">
        <v>3256</v>
      </c>
      <c r="C3051" t="s">
        <v>3257</v>
      </c>
      <c r="D3051" t="s">
        <v>5</v>
      </c>
      <c r="E3051" t="s">
        <v>6</v>
      </c>
      <c r="F3051" t="s">
        <v>724</v>
      </c>
      <c r="G3051">
        <v>2</v>
      </c>
      <c r="H3051" s="2">
        <f>Tabelle13[[#This Row],[commits]]/Tabelle13[[#Totals],[commits]]</f>
        <v>9.2955808808492451E-6</v>
      </c>
      <c r="I3051" s="5">
        <f>Tabelle13[[#This Row],[%]]+I3050</f>
        <v>0.96779546003831984</v>
      </c>
      <c r="J3051" s="4">
        <f t="shared" si="127"/>
        <v>1.105583195135434E-4</v>
      </c>
      <c r="K3051" s="5">
        <f t="shared" si="128"/>
        <v>0.33709231619680097</v>
      </c>
    </row>
    <row r="3052" spans="1:11" x14ac:dyDescent="0.25">
      <c r="A3052" t="s">
        <v>3258</v>
      </c>
      <c r="C3052" t="s">
        <v>3259</v>
      </c>
      <c r="D3052" t="s">
        <v>5</v>
      </c>
      <c r="E3052" t="s">
        <v>6</v>
      </c>
      <c r="F3052" t="s">
        <v>724</v>
      </c>
      <c r="G3052">
        <v>2</v>
      </c>
      <c r="H3052" s="2">
        <f>Tabelle13[[#This Row],[commits]]/Tabelle13[[#Totals],[commits]]</f>
        <v>9.2955808808492451E-6</v>
      </c>
      <c r="I3052" s="5">
        <f>Tabelle13[[#This Row],[%]]+I3051</f>
        <v>0.96780475561920065</v>
      </c>
      <c r="J3052" s="4">
        <f t="shared" si="127"/>
        <v>1.105583195135434E-4</v>
      </c>
      <c r="K3052" s="5">
        <f t="shared" si="128"/>
        <v>0.33720287451631453</v>
      </c>
    </row>
    <row r="3053" spans="1:11" x14ac:dyDescent="0.25">
      <c r="A3053" t="s">
        <v>3260</v>
      </c>
      <c r="C3053" t="s">
        <v>3261</v>
      </c>
      <c r="D3053" t="s">
        <v>5</v>
      </c>
      <c r="E3053" t="s">
        <v>6</v>
      </c>
      <c r="F3053" t="s">
        <v>724</v>
      </c>
      <c r="G3053">
        <v>2</v>
      </c>
      <c r="H3053" s="2">
        <f>Tabelle13[[#This Row],[commits]]/Tabelle13[[#Totals],[commits]]</f>
        <v>9.2955808808492451E-6</v>
      </c>
      <c r="I3053" s="5">
        <f>Tabelle13[[#This Row],[%]]+I3052</f>
        <v>0.96781405120008146</v>
      </c>
      <c r="J3053" s="4">
        <f t="shared" si="127"/>
        <v>1.105583195135434E-4</v>
      </c>
      <c r="K3053" s="5">
        <f t="shared" si="128"/>
        <v>0.3373134328358281</v>
      </c>
    </row>
    <row r="3054" spans="1:11" x14ac:dyDescent="0.25">
      <c r="A3054" t="s">
        <v>3262</v>
      </c>
      <c r="C3054" t="s">
        <v>3263</v>
      </c>
      <c r="D3054" t="s">
        <v>5</v>
      </c>
      <c r="E3054" t="s">
        <v>6</v>
      </c>
      <c r="F3054" t="s">
        <v>724</v>
      </c>
      <c r="G3054">
        <v>2</v>
      </c>
      <c r="H3054" s="2">
        <f>Tabelle13[[#This Row],[commits]]/Tabelle13[[#Totals],[commits]]</f>
        <v>9.2955808808492451E-6</v>
      </c>
      <c r="I3054" s="5">
        <f>Tabelle13[[#This Row],[%]]+I3053</f>
        <v>0.96782334678096227</v>
      </c>
      <c r="J3054" s="4">
        <f t="shared" si="127"/>
        <v>1.105583195135434E-4</v>
      </c>
      <c r="K3054" s="5">
        <f t="shared" si="128"/>
        <v>0.33742399115534166</v>
      </c>
    </row>
    <row r="3055" spans="1:11" x14ac:dyDescent="0.25">
      <c r="A3055" t="s">
        <v>3264</v>
      </c>
      <c r="C3055" t="s">
        <v>3265</v>
      </c>
      <c r="D3055" t="s">
        <v>5</v>
      </c>
      <c r="E3055" t="s">
        <v>6</v>
      </c>
      <c r="F3055" t="s">
        <v>724</v>
      </c>
      <c r="G3055">
        <v>2</v>
      </c>
      <c r="H3055" s="2">
        <f>Tabelle13[[#This Row],[commits]]/Tabelle13[[#Totals],[commits]]</f>
        <v>9.2955808808492451E-6</v>
      </c>
      <c r="I3055" s="5">
        <f>Tabelle13[[#This Row],[%]]+I3054</f>
        <v>0.96783264236184308</v>
      </c>
      <c r="J3055" s="4">
        <f t="shared" si="127"/>
        <v>1.105583195135434E-4</v>
      </c>
      <c r="K3055" s="5">
        <f t="shared" si="128"/>
        <v>0.33753454947485523</v>
      </c>
    </row>
    <row r="3056" spans="1:11" x14ac:dyDescent="0.25">
      <c r="A3056" t="s">
        <v>3266</v>
      </c>
      <c r="C3056" t="s">
        <v>3267</v>
      </c>
      <c r="D3056" t="s">
        <v>5</v>
      </c>
      <c r="E3056" t="s">
        <v>6</v>
      </c>
      <c r="F3056" t="s">
        <v>724</v>
      </c>
      <c r="G3056">
        <v>2</v>
      </c>
      <c r="H3056" s="2">
        <f>Tabelle13[[#This Row],[commits]]/Tabelle13[[#Totals],[commits]]</f>
        <v>9.2955808808492451E-6</v>
      </c>
      <c r="I3056" s="5">
        <f>Tabelle13[[#This Row],[%]]+I3055</f>
        <v>0.96784193794272388</v>
      </c>
      <c r="J3056" s="4">
        <f t="shared" si="127"/>
        <v>1.105583195135434E-4</v>
      </c>
      <c r="K3056" s="5">
        <f t="shared" si="128"/>
        <v>0.33764510779436879</v>
      </c>
    </row>
    <row r="3057" spans="1:11" x14ac:dyDescent="0.25">
      <c r="A3057" t="s">
        <v>3268</v>
      </c>
      <c r="C3057" t="s">
        <v>3269</v>
      </c>
      <c r="D3057" t="s">
        <v>5</v>
      </c>
      <c r="E3057" t="s">
        <v>6</v>
      </c>
      <c r="F3057" t="s">
        <v>724</v>
      </c>
      <c r="G3057">
        <v>2</v>
      </c>
      <c r="H3057" s="2">
        <f>Tabelle13[[#This Row],[commits]]/Tabelle13[[#Totals],[commits]]</f>
        <v>9.2955808808492451E-6</v>
      </c>
      <c r="I3057" s="5">
        <f>Tabelle13[[#This Row],[%]]+I3056</f>
        <v>0.96785123352360469</v>
      </c>
      <c r="J3057" s="4">
        <f t="shared" si="127"/>
        <v>1.105583195135434E-4</v>
      </c>
      <c r="K3057" s="5">
        <f t="shared" si="128"/>
        <v>0.33775566611388236</v>
      </c>
    </row>
    <row r="3058" spans="1:11" x14ac:dyDescent="0.25">
      <c r="A3058" t="s">
        <v>3270</v>
      </c>
      <c r="C3058" t="s">
        <v>3271</v>
      </c>
      <c r="D3058" t="s">
        <v>5</v>
      </c>
      <c r="E3058" t="s">
        <v>6</v>
      </c>
      <c r="F3058" t="s">
        <v>724</v>
      </c>
      <c r="G3058">
        <v>2</v>
      </c>
      <c r="H3058" s="2">
        <f>Tabelle13[[#This Row],[commits]]/Tabelle13[[#Totals],[commits]]</f>
        <v>9.2955808808492451E-6</v>
      </c>
      <c r="I3058" s="5">
        <f>Tabelle13[[#This Row],[%]]+I3057</f>
        <v>0.9678605291044855</v>
      </c>
      <c r="J3058" s="4">
        <f t="shared" si="127"/>
        <v>1.105583195135434E-4</v>
      </c>
      <c r="K3058" s="5">
        <f t="shared" si="128"/>
        <v>0.33786622443339592</v>
      </c>
    </row>
    <row r="3059" spans="1:11" x14ac:dyDescent="0.25">
      <c r="A3059" t="s">
        <v>3272</v>
      </c>
      <c r="C3059" t="s">
        <v>3273</v>
      </c>
      <c r="D3059" t="s">
        <v>5</v>
      </c>
      <c r="E3059" t="s">
        <v>6</v>
      </c>
      <c r="F3059" t="s">
        <v>724</v>
      </c>
      <c r="G3059">
        <v>2</v>
      </c>
      <c r="H3059" s="2">
        <f>Tabelle13[[#This Row],[commits]]/Tabelle13[[#Totals],[commits]]</f>
        <v>9.2955808808492451E-6</v>
      </c>
      <c r="I3059" s="5">
        <f>Tabelle13[[#This Row],[%]]+I3058</f>
        <v>0.96786982468536631</v>
      </c>
      <c r="J3059" s="4">
        <f t="shared" si="127"/>
        <v>1.105583195135434E-4</v>
      </c>
      <c r="K3059" s="5">
        <f t="shared" si="128"/>
        <v>0.33797678275290949</v>
      </c>
    </row>
    <row r="3060" spans="1:11" x14ac:dyDescent="0.25">
      <c r="A3060" t="s">
        <v>3274</v>
      </c>
      <c r="C3060" t="s">
        <v>3275</v>
      </c>
      <c r="D3060" t="s">
        <v>5</v>
      </c>
      <c r="E3060" t="s">
        <v>6</v>
      </c>
      <c r="F3060" t="s">
        <v>724</v>
      </c>
      <c r="G3060">
        <v>2</v>
      </c>
      <c r="H3060" s="2">
        <f>Tabelle13[[#This Row],[commits]]/Tabelle13[[#Totals],[commits]]</f>
        <v>9.2955808808492451E-6</v>
      </c>
      <c r="I3060" s="5">
        <f>Tabelle13[[#This Row],[%]]+I3059</f>
        <v>0.96787912026624712</v>
      </c>
      <c r="J3060" s="4">
        <f t="shared" si="127"/>
        <v>1.105583195135434E-4</v>
      </c>
      <c r="K3060" s="5">
        <f t="shared" si="128"/>
        <v>0.33808734107242305</v>
      </c>
    </row>
    <row r="3061" spans="1:11" x14ac:dyDescent="0.25">
      <c r="A3061" t="s">
        <v>3276</v>
      </c>
      <c r="C3061" t="s">
        <v>3277</v>
      </c>
      <c r="D3061" t="s">
        <v>309</v>
      </c>
      <c r="E3061" t="s">
        <v>6</v>
      </c>
      <c r="F3061" t="s">
        <v>724</v>
      </c>
      <c r="G3061">
        <v>2</v>
      </c>
      <c r="H3061" s="2">
        <f>Tabelle13[[#This Row],[commits]]/Tabelle13[[#Totals],[commits]]</f>
        <v>9.2955808808492451E-6</v>
      </c>
      <c r="I3061" s="5">
        <f>Tabelle13[[#This Row],[%]]+I3060</f>
        <v>0.96788841584712793</v>
      </c>
      <c r="J3061" s="4">
        <f t="shared" si="127"/>
        <v>1.105583195135434E-4</v>
      </c>
      <c r="K3061" s="5">
        <f t="shared" si="128"/>
        <v>0.33819789939193662</v>
      </c>
    </row>
    <row r="3062" spans="1:11" x14ac:dyDescent="0.25">
      <c r="A3062" t="s">
        <v>3278</v>
      </c>
      <c r="C3062" t="s">
        <v>3279</v>
      </c>
      <c r="D3062" t="s">
        <v>5</v>
      </c>
      <c r="E3062" t="s">
        <v>6</v>
      </c>
      <c r="F3062" t="s">
        <v>724</v>
      </c>
      <c r="G3062">
        <v>2</v>
      </c>
      <c r="H3062" s="2">
        <f>Tabelle13[[#This Row],[commits]]/Tabelle13[[#Totals],[commits]]</f>
        <v>9.2955808808492451E-6</v>
      </c>
      <c r="I3062" s="5">
        <f>Tabelle13[[#This Row],[%]]+I3061</f>
        <v>0.96789771142800873</v>
      </c>
      <c r="J3062" s="4">
        <f t="shared" si="127"/>
        <v>1.105583195135434E-4</v>
      </c>
      <c r="K3062" s="5">
        <f t="shared" si="128"/>
        <v>0.33830845771145018</v>
      </c>
    </row>
    <row r="3063" spans="1:11" x14ac:dyDescent="0.25">
      <c r="A3063" t="s">
        <v>3280</v>
      </c>
      <c r="C3063" t="s">
        <v>532</v>
      </c>
      <c r="D3063" t="s">
        <v>5</v>
      </c>
      <c r="E3063" t="s">
        <v>6</v>
      </c>
      <c r="F3063" t="s">
        <v>724</v>
      </c>
      <c r="G3063">
        <v>2</v>
      </c>
      <c r="H3063" s="2">
        <f>Tabelle13[[#This Row],[commits]]/Tabelle13[[#Totals],[commits]]</f>
        <v>9.2955808808492451E-6</v>
      </c>
      <c r="I3063" s="5">
        <f>Tabelle13[[#This Row],[%]]+I3062</f>
        <v>0.96790700700888954</v>
      </c>
      <c r="J3063" s="4">
        <f t="shared" si="127"/>
        <v>1.105583195135434E-4</v>
      </c>
      <c r="K3063" s="5">
        <f t="shared" si="128"/>
        <v>0.33841901603096375</v>
      </c>
    </row>
    <row r="3064" spans="1:11" x14ac:dyDescent="0.25">
      <c r="A3064" t="s">
        <v>3281</v>
      </c>
      <c r="C3064" t="s">
        <v>3282</v>
      </c>
      <c r="D3064" t="s">
        <v>5</v>
      </c>
      <c r="E3064" t="s">
        <v>6</v>
      </c>
      <c r="F3064" t="s">
        <v>724</v>
      </c>
      <c r="G3064">
        <v>2</v>
      </c>
      <c r="H3064" s="2">
        <f>Tabelle13[[#This Row],[commits]]/Tabelle13[[#Totals],[commits]]</f>
        <v>9.2955808808492451E-6</v>
      </c>
      <c r="I3064" s="5">
        <f>Tabelle13[[#This Row],[%]]+I3063</f>
        <v>0.96791630258977035</v>
      </c>
      <c r="J3064" s="4">
        <f t="shared" si="127"/>
        <v>1.105583195135434E-4</v>
      </c>
      <c r="K3064" s="5">
        <f t="shared" si="128"/>
        <v>0.33852957435047731</v>
      </c>
    </row>
    <row r="3065" spans="1:11" x14ac:dyDescent="0.25">
      <c r="A3065" t="s">
        <v>3283</v>
      </c>
      <c r="C3065" t="s">
        <v>3284</v>
      </c>
      <c r="D3065" t="s">
        <v>5</v>
      </c>
      <c r="E3065" t="s">
        <v>6</v>
      </c>
      <c r="F3065" t="s">
        <v>724</v>
      </c>
      <c r="G3065">
        <v>2</v>
      </c>
      <c r="H3065" s="2">
        <f>Tabelle13[[#This Row],[commits]]/Tabelle13[[#Totals],[commits]]</f>
        <v>9.2955808808492451E-6</v>
      </c>
      <c r="I3065" s="5">
        <f>Tabelle13[[#This Row],[%]]+I3064</f>
        <v>0.96792559817065116</v>
      </c>
      <c r="J3065" s="4">
        <f t="shared" si="127"/>
        <v>1.105583195135434E-4</v>
      </c>
      <c r="K3065" s="5">
        <f t="shared" si="128"/>
        <v>0.33864013266999088</v>
      </c>
    </row>
    <row r="3066" spans="1:11" x14ac:dyDescent="0.25">
      <c r="A3066" t="s">
        <v>3285</v>
      </c>
      <c r="C3066" t="s">
        <v>3286</v>
      </c>
      <c r="D3066" t="s">
        <v>5</v>
      </c>
      <c r="E3066" t="s">
        <v>6</v>
      </c>
      <c r="F3066" t="s">
        <v>724</v>
      </c>
      <c r="G3066">
        <v>2</v>
      </c>
      <c r="H3066" s="2">
        <f>Tabelle13[[#This Row],[commits]]/Tabelle13[[#Totals],[commits]]</f>
        <v>9.2955808808492451E-6</v>
      </c>
      <c r="I3066" s="5">
        <f>Tabelle13[[#This Row],[%]]+I3065</f>
        <v>0.96793489375153197</v>
      </c>
      <c r="J3066" s="4">
        <f t="shared" si="127"/>
        <v>1.105583195135434E-4</v>
      </c>
      <c r="K3066" s="5">
        <f t="shared" si="128"/>
        <v>0.33875069098950444</v>
      </c>
    </row>
    <row r="3067" spans="1:11" x14ac:dyDescent="0.25">
      <c r="A3067" t="s">
        <v>3287</v>
      </c>
      <c r="C3067" t="s">
        <v>3288</v>
      </c>
      <c r="D3067" t="s">
        <v>5</v>
      </c>
      <c r="E3067" t="s">
        <v>6</v>
      </c>
      <c r="F3067" t="s">
        <v>724</v>
      </c>
      <c r="G3067">
        <v>2</v>
      </c>
      <c r="H3067" s="2">
        <f>Tabelle13[[#This Row],[commits]]/Tabelle13[[#Totals],[commits]]</f>
        <v>9.2955808808492451E-6</v>
      </c>
      <c r="I3067" s="5">
        <f>Tabelle13[[#This Row],[%]]+I3066</f>
        <v>0.96794418933241277</v>
      </c>
      <c r="J3067" s="4">
        <f t="shared" si="127"/>
        <v>1.105583195135434E-4</v>
      </c>
      <c r="K3067" s="5">
        <f t="shared" si="128"/>
        <v>0.33886124930901801</v>
      </c>
    </row>
    <row r="3068" spans="1:11" x14ac:dyDescent="0.25">
      <c r="A3068" t="s">
        <v>3289</v>
      </c>
      <c r="C3068" t="s">
        <v>3290</v>
      </c>
      <c r="D3068" t="s">
        <v>5</v>
      </c>
      <c r="E3068" t="s">
        <v>6</v>
      </c>
      <c r="F3068" t="s">
        <v>724</v>
      </c>
      <c r="G3068">
        <v>2</v>
      </c>
      <c r="H3068" s="2">
        <f>Tabelle13[[#This Row],[commits]]/Tabelle13[[#Totals],[commits]]</f>
        <v>9.2955808808492451E-6</v>
      </c>
      <c r="I3068" s="5">
        <f>Tabelle13[[#This Row],[%]]+I3067</f>
        <v>0.96795348491329358</v>
      </c>
      <c r="J3068" s="4">
        <f t="shared" si="127"/>
        <v>1.105583195135434E-4</v>
      </c>
      <c r="K3068" s="5">
        <f t="shared" si="128"/>
        <v>0.33897180762853157</v>
      </c>
    </row>
    <row r="3069" spans="1:11" x14ac:dyDescent="0.25">
      <c r="A3069" t="s">
        <v>3291</v>
      </c>
      <c r="C3069" t="s">
        <v>3292</v>
      </c>
      <c r="D3069" t="s">
        <v>5</v>
      </c>
      <c r="E3069" t="s">
        <v>6</v>
      </c>
      <c r="F3069" t="s">
        <v>724</v>
      </c>
      <c r="G3069">
        <v>2</v>
      </c>
      <c r="H3069" s="2">
        <f>Tabelle13[[#This Row],[commits]]/Tabelle13[[#Totals],[commits]]</f>
        <v>9.2955808808492451E-6</v>
      </c>
      <c r="I3069" s="5">
        <f>Tabelle13[[#This Row],[%]]+I3068</f>
        <v>0.96796278049417439</v>
      </c>
      <c r="J3069" s="4">
        <f t="shared" si="127"/>
        <v>1.105583195135434E-4</v>
      </c>
      <c r="K3069" s="5">
        <f t="shared" si="128"/>
        <v>0.33908236594804514</v>
      </c>
    </row>
    <row r="3070" spans="1:11" x14ac:dyDescent="0.25">
      <c r="A3070" t="s">
        <v>3293</v>
      </c>
      <c r="C3070" t="s">
        <v>3294</v>
      </c>
      <c r="D3070" t="s">
        <v>5</v>
      </c>
      <c r="E3070" t="s">
        <v>6</v>
      </c>
      <c r="F3070" t="s">
        <v>724</v>
      </c>
      <c r="G3070">
        <v>2</v>
      </c>
      <c r="H3070" s="2">
        <f>Tabelle13[[#This Row],[commits]]/Tabelle13[[#Totals],[commits]]</f>
        <v>9.2955808808492451E-6</v>
      </c>
      <c r="I3070" s="5">
        <f>Tabelle13[[#This Row],[%]]+I3069</f>
        <v>0.9679720760750552</v>
      </c>
      <c r="J3070" s="4">
        <f t="shared" si="127"/>
        <v>1.105583195135434E-4</v>
      </c>
      <c r="K3070" s="5">
        <f t="shared" si="128"/>
        <v>0.3391929242675587</v>
      </c>
    </row>
    <row r="3071" spans="1:11" x14ac:dyDescent="0.25">
      <c r="A3071" t="s">
        <v>3295</v>
      </c>
      <c r="C3071" t="s">
        <v>579</v>
      </c>
      <c r="D3071" t="s">
        <v>5</v>
      </c>
      <c r="E3071" t="s">
        <v>6</v>
      </c>
      <c r="F3071" t="s">
        <v>724</v>
      </c>
      <c r="G3071">
        <v>2</v>
      </c>
      <c r="H3071" s="2">
        <f>Tabelle13[[#This Row],[commits]]/Tabelle13[[#Totals],[commits]]</f>
        <v>9.2955808808492451E-6</v>
      </c>
      <c r="I3071" s="5">
        <f>Tabelle13[[#This Row],[%]]+I3070</f>
        <v>0.96798137165593601</v>
      </c>
      <c r="J3071" s="4">
        <f t="shared" si="127"/>
        <v>1.105583195135434E-4</v>
      </c>
      <c r="K3071" s="5">
        <f t="shared" si="128"/>
        <v>0.33930348258707227</v>
      </c>
    </row>
    <row r="3072" spans="1:11" x14ac:dyDescent="0.25">
      <c r="A3072" t="s">
        <v>3296</v>
      </c>
      <c r="C3072" t="s">
        <v>3297</v>
      </c>
      <c r="D3072" t="s">
        <v>5</v>
      </c>
      <c r="E3072" t="s">
        <v>6</v>
      </c>
      <c r="F3072" t="s">
        <v>724</v>
      </c>
      <c r="G3072">
        <v>2</v>
      </c>
      <c r="H3072" s="2">
        <f>Tabelle13[[#This Row],[commits]]/Tabelle13[[#Totals],[commits]]</f>
        <v>9.2955808808492451E-6</v>
      </c>
      <c r="I3072" s="5">
        <f>Tabelle13[[#This Row],[%]]+I3071</f>
        <v>0.96799066723681682</v>
      </c>
      <c r="J3072" s="4">
        <f t="shared" si="127"/>
        <v>1.105583195135434E-4</v>
      </c>
      <c r="K3072" s="5">
        <f t="shared" si="128"/>
        <v>0.33941404090658583</v>
      </c>
    </row>
    <row r="3073" spans="1:11" x14ac:dyDescent="0.25">
      <c r="A3073" t="s">
        <v>3298</v>
      </c>
      <c r="C3073" t="s">
        <v>3299</v>
      </c>
      <c r="D3073" t="s">
        <v>5</v>
      </c>
      <c r="E3073" t="s">
        <v>6</v>
      </c>
      <c r="F3073" t="s">
        <v>724</v>
      </c>
      <c r="G3073">
        <v>2</v>
      </c>
      <c r="H3073" s="2">
        <f>Tabelle13[[#This Row],[commits]]/Tabelle13[[#Totals],[commits]]</f>
        <v>9.2955808808492451E-6</v>
      </c>
      <c r="I3073" s="5">
        <f>Tabelle13[[#This Row],[%]]+I3072</f>
        <v>0.96799996281769762</v>
      </c>
      <c r="J3073" s="4">
        <f t="shared" si="127"/>
        <v>1.105583195135434E-4</v>
      </c>
      <c r="K3073" s="5">
        <f t="shared" si="128"/>
        <v>0.3395245992260994</v>
      </c>
    </row>
    <row r="3074" spans="1:11" x14ac:dyDescent="0.25">
      <c r="A3074" t="s">
        <v>3300</v>
      </c>
      <c r="C3074" t="s">
        <v>3301</v>
      </c>
      <c r="D3074" t="s">
        <v>5</v>
      </c>
      <c r="E3074" t="s">
        <v>6</v>
      </c>
      <c r="F3074" t="s">
        <v>724</v>
      </c>
      <c r="G3074">
        <v>2</v>
      </c>
      <c r="H3074" s="2">
        <f>Tabelle13[[#This Row],[commits]]/Tabelle13[[#Totals],[commits]]</f>
        <v>9.2955808808492451E-6</v>
      </c>
      <c r="I3074" s="5">
        <f>Tabelle13[[#This Row],[%]]+I3073</f>
        <v>0.96800925839857843</v>
      </c>
      <c r="J3074" s="4">
        <f t="shared" si="127"/>
        <v>1.105583195135434E-4</v>
      </c>
      <c r="K3074" s="5">
        <f t="shared" si="128"/>
        <v>0.33963515754561296</v>
      </c>
    </row>
    <row r="3075" spans="1:11" x14ac:dyDescent="0.25">
      <c r="A3075" t="s">
        <v>3302</v>
      </c>
      <c r="C3075" t="s">
        <v>3303</v>
      </c>
      <c r="D3075" t="s">
        <v>5</v>
      </c>
      <c r="E3075" t="s">
        <v>6</v>
      </c>
      <c r="F3075" t="s">
        <v>724</v>
      </c>
      <c r="G3075">
        <v>2</v>
      </c>
      <c r="H3075" s="2">
        <f>Tabelle13[[#This Row],[commits]]/Tabelle13[[#Totals],[commits]]</f>
        <v>9.2955808808492451E-6</v>
      </c>
      <c r="I3075" s="5">
        <f>Tabelle13[[#This Row],[%]]+I3074</f>
        <v>0.96801855397945924</v>
      </c>
      <c r="J3075" s="4">
        <f t="shared" ref="J3075:J3138" si="129">1/9045</f>
        <v>1.105583195135434E-4</v>
      </c>
      <c r="K3075" s="5">
        <f t="shared" si="128"/>
        <v>0.33974571586512653</v>
      </c>
    </row>
    <row r="3076" spans="1:11" x14ac:dyDescent="0.25">
      <c r="A3076" t="s">
        <v>3304</v>
      </c>
      <c r="C3076" t="s">
        <v>3305</v>
      </c>
      <c r="D3076" t="s">
        <v>5</v>
      </c>
      <c r="E3076" t="s">
        <v>6</v>
      </c>
      <c r="F3076" t="s">
        <v>724</v>
      </c>
      <c r="G3076">
        <v>2</v>
      </c>
      <c r="H3076" s="2">
        <f>Tabelle13[[#This Row],[commits]]/Tabelle13[[#Totals],[commits]]</f>
        <v>9.2955808808492451E-6</v>
      </c>
      <c r="I3076" s="5">
        <f>Tabelle13[[#This Row],[%]]+I3075</f>
        <v>0.96802784956034005</v>
      </c>
      <c r="J3076" s="4">
        <f t="shared" si="129"/>
        <v>1.105583195135434E-4</v>
      </c>
      <c r="K3076" s="5">
        <f t="shared" si="128"/>
        <v>0.33985627418464009</v>
      </c>
    </row>
    <row r="3077" spans="1:11" x14ac:dyDescent="0.25">
      <c r="A3077" t="s">
        <v>3306</v>
      </c>
      <c r="C3077" t="s">
        <v>3307</v>
      </c>
      <c r="D3077" t="s">
        <v>5</v>
      </c>
      <c r="E3077" t="s">
        <v>6</v>
      </c>
      <c r="F3077" t="s">
        <v>724</v>
      </c>
      <c r="G3077">
        <v>2</v>
      </c>
      <c r="H3077" s="2">
        <f>Tabelle13[[#This Row],[commits]]/Tabelle13[[#Totals],[commits]]</f>
        <v>9.2955808808492451E-6</v>
      </c>
      <c r="I3077" s="5">
        <f>Tabelle13[[#This Row],[%]]+I3076</f>
        <v>0.96803714514122086</v>
      </c>
      <c r="J3077" s="4">
        <f t="shared" si="129"/>
        <v>1.105583195135434E-4</v>
      </c>
      <c r="K3077" s="5">
        <f t="shared" si="128"/>
        <v>0.33996683250415366</v>
      </c>
    </row>
    <row r="3078" spans="1:11" x14ac:dyDescent="0.25">
      <c r="A3078" t="s">
        <v>3308</v>
      </c>
      <c r="C3078" t="s">
        <v>3309</v>
      </c>
      <c r="D3078" t="s">
        <v>5</v>
      </c>
      <c r="E3078" t="s">
        <v>6</v>
      </c>
      <c r="F3078" t="s">
        <v>724</v>
      </c>
      <c r="G3078">
        <v>2</v>
      </c>
      <c r="H3078" s="2">
        <f>Tabelle13[[#This Row],[commits]]/Tabelle13[[#Totals],[commits]]</f>
        <v>9.2955808808492451E-6</v>
      </c>
      <c r="I3078" s="5">
        <f>Tabelle13[[#This Row],[%]]+I3077</f>
        <v>0.96804644072210166</v>
      </c>
      <c r="J3078" s="4">
        <f t="shared" si="129"/>
        <v>1.105583195135434E-4</v>
      </c>
      <c r="K3078" s="5">
        <f t="shared" ref="K3078:K3141" si="130">J3078+K3077</f>
        <v>0.34007739082366722</v>
      </c>
    </row>
    <row r="3079" spans="1:11" x14ac:dyDescent="0.25">
      <c r="A3079" t="s">
        <v>3310</v>
      </c>
      <c r="C3079" t="s">
        <v>3311</v>
      </c>
      <c r="D3079" t="s">
        <v>5</v>
      </c>
      <c r="E3079" t="s">
        <v>6</v>
      </c>
      <c r="F3079" t="s">
        <v>724</v>
      </c>
      <c r="G3079">
        <v>2</v>
      </c>
      <c r="H3079" s="2">
        <f>Tabelle13[[#This Row],[commits]]/Tabelle13[[#Totals],[commits]]</f>
        <v>9.2955808808492451E-6</v>
      </c>
      <c r="I3079" s="5">
        <f>Tabelle13[[#This Row],[%]]+I3078</f>
        <v>0.96805573630298247</v>
      </c>
      <c r="J3079" s="4">
        <f t="shared" si="129"/>
        <v>1.105583195135434E-4</v>
      </c>
      <c r="K3079" s="5">
        <f t="shared" si="130"/>
        <v>0.34018794914318079</v>
      </c>
    </row>
    <row r="3080" spans="1:11" x14ac:dyDescent="0.25">
      <c r="A3080" t="s">
        <v>3312</v>
      </c>
      <c r="C3080" t="s">
        <v>3313</v>
      </c>
      <c r="D3080" t="s">
        <v>5</v>
      </c>
      <c r="E3080" t="s">
        <v>6</v>
      </c>
      <c r="F3080" t="s">
        <v>724</v>
      </c>
      <c r="G3080">
        <v>2</v>
      </c>
      <c r="H3080" s="2">
        <f>Tabelle13[[#This Row],[commits]]/Tabelle13[[#Totals],[commits]]</f>
        <v>9.2955808808492451E-6</v>
      </c>
      <c r="I3080" s="5">
        <f>Tabelle13[[#This Row],[%]]+I3079</f>
        <v>0.96806503188386328</v>
      </c>
      <c r="J3080" s="4">
        <f t="shared" si="129"/>
        <v>1.105583195135434E-4</v>
      </c>
      <c r="K3080" s="5">
        <f t="shared" si="130"/>
        <v>0.34029850746269436</v>
      </c>
    </row>
    <row r="3081" spans="1:11" x14ac:dyDescent="0.25">
      <c r="A3081" t="s">
        <v>3314</v>
      </c>
      <c r="C3081" t="s">
        <v>3315</v>
      </c>
      <c r="D3081" t="s">
        <v>5</v>
      </c>
      <c r="E3081" t="s">
        <v>6</v>
      </c>
      <c r="F3081" t="s">
        <v>724</v>
      </c>
      <c r="G3081">
        <v>2</v>
      </c>
      <c r="H3081" s="2">
        <f>Tabelle13[[#This Row],[commits]]/Tabelle13[[#Totals],[commits]]</f>
        <v>9.2955808808492451E-6</v>
      </c>
      <c r="I3081" s="5">
        <f>Tabelle13[[#This Row],[%]]+I3080</f>
        <v>0.96807432746474409</v>
      </c>
      <c r="J3081" s="4">
        <f t="shared" si="129"/>
        <v>1.105583195135434E-4</v>
      </c>
      <c r="K3081" s="5">
        <f t="shared" si="130"/>
        <v>0.34040906578220792</v>
      </c>
    </row>
    <row r="3082" spans="1:11" x14ac:dyDescent="0.25">
      <c r="A3082" t="s">
        <v>3316</v>
      </c>
      <c r="C3082" t="s">
        <v>3317</v>
      </c>
      <c r="D3082" t="s">
        <v>5</v>
      </c>
      <c r="E3082" t="s">
        <v>6</v>
      </c>
      <c r="F3082" t="s">
        <v>724</v>
      </c>
      <c r="G3082">
        <v>2</v>
      </c>
      <c r="H3082" s="2">
        <f>Tabelle13[[#This Row],[commits]]/Tabelle13[[#Totals],[commits]]</f>
        <v>9.2955808808492451E-6</v>
      </c>
      <c r="I3082" s="5">
        <f>Tabelle13[[#This Row],[%]]+I3081</f>
        <v>0.9680836230456249</v>
      </c>
      <c r="J3082" s="4">
        <f t="shared" si="129"/>
        <v>1.105583195135434E-4</v>
      </c>
      <c r="K3082" s="5">
        <f t="shared" si="130"/>
        <v>0.34051962410172149</v>
      </c>
    </row>
    <row r="3083" spans="1:11" x14ac:dyDescent="0.25">
      <c r="A3083" t="s">
        <v>3318</v>
      </c>
      <c r="C3083" t="s">
        <v>3319</v>
      </c>
      <c r="D3083" t="s">
        <v>5</v>
      </c>
      <c r="E3083" t="s">
        <v>6</v>
      </c>
      <c r="F3083" t="s">
        <v>724</v>
      </c>
      <c r="G3083">
        <v>2</v>
      </c>
      <c r="H3083" s="2">
        <f>Tabelle13[[#This Row],[commits]]/Tabelle13[[#Totals],[commits]]</f>
        <v>9.2955808808492451E-6</v>
      </c>
      <c r="I3083" s="5">
        <f>Tabelle13[[#This Row],[%]]+I3082</f>
        <v>0.96809291862650571</v>
      </c>
      <c r="J3083" s="4">
        <f t="shared" si="129"/>
        <v>1.105583195135434E-4</v>
      </c>
      <c r="K3083" s="5">
        <f t="shared" si="130"/>
        <v>0.34063018242123505</v>
      </c>
    </row>
    <row r="3084" spans="1:11" x14ac:dyDescent="0.25">
      <c r="A3084" t="s">
        <v>3320</v>
      </c>
      <c r="C3084" t="s">
        <v>3321</v>
      </c>
      <c r="D3084" t="s">
        <v>5</v>
      </c>
      <c r="E3084" t="s">
        <v>6</v>
      </c>
      <c r="F3084" t="s">
        <v>724</v>
      </c>
      <c r="G3084">
        <v>2</v>
      </c>
      <c r="H3084" s="2">
        <f>Tabelle13[[#This Row],[commits]]/Tabelle13[[#Totals],[commits]]</f>
        <v>9.2955808808492451E-6</v>
      </c>
      <c r="I3084" s="5">
        <f>Tabelle13[[#This Row],[%]]+I3083</f>
        <v>0.96810221420738651</v>
      </c>
      <c r="J3084" s="4">
        <f t="shared" si="129"/>
        <v>1.105583195135434E-4</v>
      </c>
      <c r="K3084" s="5">
        <f t="shared" si="130"/>
        <v>0.34074074074074862</v>
      </c>
    </row>
    <row r="3085" spans="1:11" x14ac:dyDescent="0.25">
      <c r="A3085" t="s">
        <v>3322</v>
      </c>
      <c r="C3085" t="s">
        <v>3323</v>
      </c>
      <c r="D3085" t="s">
        <v>5</v>
      </c>
      <c r="E3085" t="s">
        <v>6</v>
      </c>
      <c r="F3085" t="s">
        <v>724</v>
      </c>
      <c r="G3085">
        <v>2</v>
      </c>
      <c r="H3085" s="2">
        <f>Tabelle13[[#This Row],[commits]]/Tabelle13[[#Totals],[commits]]</f>
        <v>9.2955808808492451E-6</v>
      </c>
      <c r="I3085" s="5">
        <f>Tabelle13[[#This Row],[%]]+I3084</f>
        <v>0.96811150978826732</v>
      </c>
      <c r="J3085" s="4">
        <f t="shared" si="129"/>
        <v>1.105583195135434E-4</v>
      </c>
      <c r="K3085" s="5">
        <f t="shared" si="130"/>
        <v>0.34085129906026218</v>
      </c>
    </row>
    <row r="3086" spans="1:11" x14ac:dyDescent="0.25">
      <c r="A3086" t="s">
        <v>3324</v>
      </c>
      <c r="C3086" t="s">
        <v>3325</v>
      </c>
      <c r="D3086" t="s">
        <v>5</v>
      </c>
      <c r="E3086" t="s">
        <v>6</v>
      </c>
      <c r="F3086" t="s">
        <v>724</v>
      </c>
      <c r="G3086">
        <v>2</v>
      </c>
      <c r="H3086" s="2">
        <f>Tabelle13[[#This Row],[commits]]/Tabelle13[[#Totals],[commits]]</f>
        <v>9.2955808808492451E-6</v>
      </c>
      <c r="I3086" s="5">
        <f>Tabelle13[[#This Row],[%]]+I3085</f>
        <v>0.96812080536914813</v>
      </c>
      <c r="J3086" s="4">
        <f t="shared" si="129"/>
        <v>1.105583195135434E-4</v>
      </c>
      <c r="K3086" s="5">
        <f t="shared" si="130"/>
        <v>0.34096185737977575</v>
      </c>
    </row>
    <row r="3087" spans="1:11" x14ac:dyDescent="0.25">
      <c r="A3087" t="s">
        <v>3326</v>
      </c>
      <c r="C3087" t="s">
        <v>3327</v>
      </c>
      <c r="D3087" t="s">
        <v>2659</v>
      </c>
      <c r="E3087" t="s">
        <v>6</v>
      </c>
      <c r="F3087" t="s">
        <v>724</v>
      </c>
      <c r="G3087">
        <v>2</v>
      </c>
      <c r="H3087" s="2">
        <f>Tabelle13[[#This Row],[commits]]/Tabelle13[[#Totals],[commits]]</f>
        <v>9.2955808808492451E-6</v>
      </c>
      <c r="I3087" s="5">
        <f>Tabelle13[[#This Row],[%]]+I3086</f>
        <v>0.96813010095002894</v>
      </c>
      <c r="J3087" s="4">
        <f t="shared" si="129"/>
        <v>1.105583195135434E-4</v>
      </c>
      <c r="K3087" s="5">
        <f t="shared" si="130"/>
        <v>0.34107241569928931</v>
      </c>
    </row>
    <row r="3088" spans="1:11" x14ac:dyDescent="0.25">
      <c r="A3088" t="s">
        <v>3328</v>
      </c>
      <c r="C3088">
        <v>468561207</v>
      </c>
      <c r="D3088" t="s">
        <v>5</v>
      </c>
      <c r="E3088" t="s">
        <v>6</v>
      </c>
      <c r="F3088" t="s">
        <v>724</v>
      </c>
      <c r="G3088">
        <v>2</v>
      </c>
      <c r="H3088" s="2">
        <f>Tabelle13[[#This Row],[commits]]/Tabelle13[[#Totals],[commits]]</f>
        <v>9.2955808808492451E-6</v>
      </c>
      <c r="I3088" s="5">
        <f>Tabelle13[[#This Row],[%]]+I3087</f>
        <v>0.96813939653090975</v>
      </c>
      <c r="J3088" s="4">
        <f t="shared" si="129"/>
        <v>1.105583195135434E-4</v>
      </c>
      <c r="K3088" s="5">
        <f t="shared" si="130"/>
        <v>0.34118297401880288</v>
      </c>
    </row>
    <row r="3089" spans="1:11" x14ac:dyDescent="0.25">
      <c r="A3089" t="s">
        <v>3329</v>
      </c>
      <c r="C3089" t="s">
        <v>3330</v>
      </c>
      <c r="D3089" t="s">
        <v>5</v>
      </c>
      <c r="E3089" t="s">
        <v>6</v>
      </c>
      <c r="F3089" t="s">
        <v>724</v>
      </c>
      <c r="G3089">
        <v>2</v>
      </c>
      <c r="H3089" s="2">
        <f>Tabelle13[[#This Row],[commits]]/Tabelle13[[#Totals],[commits]]</f>
        <v>9.2955808808492451E-6</v>
      </c>
      <c r="I3089" s="5">
        <f>Tabelle13[[#This Row],[%]]+I3088</f>
        <v>0.96814869211179055</v>
      </c>
      <c r="J3089" s="4">
        <f t="shared" si="129"/>
        <v>1.105583195135434E-4</v>
      </c>
      <c r="K3089" s="5">
        <f t="shared" si="130"/>
        <v>0.34129353233831644</v>
      </c>
    </row>
    <row r="3090" spans="1:11" x14ac:dyDescent="0.25">
      <c r="A3090" t="s">
        <v>3331</v>
      </c>
      <c r="C3090" t="s">
        <v>3332</v>
      </c>
      <c r="D3090" t="s">
        <v>5</v>
      </c>
      <c r="E3090" t="s">
        <v>6</v>
      </c>
      <c r="F3090" t="s">
        <v>724</v>
      </c>
      <c r="G3090">
        <v>2</v>
      </c>
      <c r="H3090" s="2">
        <f>Tabelle13[[#This Row],[commits]]/Tabelle13[[#Totals],[commits]]</f>
        <v>9.2955808808492451E-6</v>
      </c>
      <c r="I3090" s="5">
        <f>Tabelle13[[#This Row],[%]]+I3089</f>
        <v>0.96815798769267136</v>
      </c>
      <c r="J3090" s="4">
        <f t="shared" si="129"/>
        <v>1.105583195135434E-4</v>
      </c>
      <c r="K3090" s="5">
        <f t="shared" si="130"/>
        <v>0.34140409065783001</v>
      </c>
    </row>
    <row r="3091" spans="1:11" x14ac:dyDescent="0.25">
      <c r="A3091" t="s">
        <v>3335</v>
      </c>
      <c r="C3091" t="s">
        <v>3336</v>
      </c>
      <c r="D3091" t="s">
        <v>309</v>
      </c>
      <c r="E3091" t="s">
        <v>6</v>
      </c>
      <c r="F3091" t="s">
        <v>724</v>
      </c>
      <c r="G3091">
        <v>2</v>
      </c>
      <c r="H3091" s="2">
        <f>Tabelle13[[#This Row],[commits]]/Tabelle13[[#Totals],[commits]]</f>
        <v>9.2955808808492451E-6</v>
      </c>
      <c r="I3091" s="5">
        <f>Tabelle13[[#This Row],[%]]+I3090</f>
        <v>0.96816728327355217</v>
      </c>
      <c r="J3091" s="4">
        <f t="shared" si="129"/>
        <v>1.105583195135434E-4</v>
      </c>
      <c r="K3091" s="5">
        <f t="shared" si="130"/>
        <v>0.34151464897734357</v>
      </c>
    </row>
    <row r="3092" spans="1:11" x14ac:dyDescent="0.25">
      <c r="A3092" t="s">
        <v>3337</v>
      </c>
      <c r="C3092" t="s">
        <v>3338</v>
      </c>
      <c r="D3092" t="s">
        <v>5</v>
      </c>
      <c r="E3092" t="s">
        <v>6</v>
      </c>
      <c r="F3092" t="s">
        <v>724</v>
      </c>
      <c r="G3092">
        <v>2</v>
      </c>
      <c r="H3092" s="2">
        <f>Tabelle13[[#This Row],[commits]]/Tabelle13[[#Totals],[commits]]</f>
        <v>9.2955808808492451E-6</v>
      </c>
      <c r="I3092" s="5">
        <f>Tabelle13[[#This Row],[%]]+I3091</f>
        <v>0.96817657885443298</v>
      </c>
      <c r="J3092" s="4">
        <f t="shared" si="129"/>
        <v>1.105583195135434E-4</v>
      </c>
      <c r="K3092" s="5">
        <f t="shared" si="130"/>
        <v>0.34162520729685714</v>
      </c>
    </row>
    <row r="3093" spans="1:11" x14ac:dyDescent="0.25">
      <c r="A3093" t="s">
        <v>3339</v>
      </c>
      <c r="C3093" t="s">
        <v>3340</v>
      </c>
      <c r="D3093" t="s">
        <v>5</v>
      </c>
      <c r="E3093" t="s">
        <v>6</v>
      </c>
      <c r="F3093" t="s">
        <v>724</v>
      </c>
      <c r="G3093">
        <v>2</v>
      </c>
      <c r="H3093" s="2">
        <f>Tabelle13[[#This Row],[commits]]/Tabelle13[[#Totals],[commits]]</f>
        <v>9.2955808808492451E-6</v>
      </c>
      <c r="I3093" s="5">
        <f>Tabelle13[[#This Row],[%]]+I3092</f>
        <v>0.96818587443531379</v>
      </c>
      <c r="J3093" s="4">
        <f t="shared" si="129"/>
        <v>1.105583195135434E-4</v>
      </c>
      <c r="K3093" s="5">
        <f t="shared" si="130"/>
        <v>0.3417357656163707</v>
      </c>
    </row>
    <row r="3094" spans="1:11" x14ac:dyDescent="0.25">
      <c r="A3094" t="s">
        <v>3341</v>
      </c>
      <c r="C3094" t="s">
        <v>3342</v>
      </c>
      <c r="D3094" t="s">
        <v>5</v>
      </c>
      <c r="E3094" t="s">
        <v>6</v>
      </c>
      <c r="F3094" t="s">
        <v>724</v>
      </c>
      <c r="G3094">
        <v>2</v>
      </c>
      <c r="H3094" s="2">
        <f>Tabelle13[[#This Row],[commits]]/Tabelle13[[#Totals],[commits]]</f>
        <v>9.2955808808492451E-6</v>
      </c>
      <c r="I3094" s="5">
        <f>Tabelle13[[#This Row],[%]]+I3093</f>
        <v>0.9681951700161946</v>
      </c>
      <c r="J3094" s="4">
        <f t="shared" si="129"/>
        <v>1.105583195135434E-4</v>
      </c>
      <c r="K3094" s="5">
        <f t="shared" si="130"/>
        <v>0.34184632393588427</v>
      </c>
    </row>
    <row r="3095" spans="1:11" x14ac:dyDescent="0.25">
      <c r="A3095" t="s">
        <v>3343</v>
      </c>
      <c r="C3095" t="s">
        <v>3344</v>
      </c>
      <c r="D3095" t="s">
        <v>5</v>
      </c>
      <c r="E3095" t="s">
        <v>6</v>
      </c>
      <c r="F3095" t="s">
        <v>724</v>
      </c>
      <c r="G3095">
        <v>2</v>
      </c>
      <c r="H3095" s="2">
        <f>Tabelle13[[#This Row],[commits]]/Tabelle13[[#Totals],[commits]]</f>
        <v>9.2955808808492451E-6</v>
      </c>
      <c r="I3095" s="5">
        <f>Tabelle13[[#This Row],[%]]+I3094</f>
        <v>0.9682044655970754</v>
      </c>
      <c r="J3095" s="4">
        <f t="shared" si="129"/>
        <v>1.105583195135434E-4</v>
      </c>
      <c r="K3095" s="5">
        <f t="shared" si="130"/>
        <v>0.34195688225539783</v>
      </c>
    </row>
    <row r="3096" spans="1:11" x14ac:dyDescent="0.25">
      <c r="A3096" t="s">
        <v>3345</v>
      </c>
      <c r="C3096" t="s">
        <v>3346</v>
      </c>
      <c r="D3096" t="s">
        <v>5</v>
      </c>
      <c r="E3096" t="s">
        <v>6</v>
      </c>
      <c r="F3096" t="s">
        <v>724</v>
      </c>
      <c r="G3096">
        <v>2</v>
      </c>
      <c r="H3096" s="2">
        <f>Tabelle13[[#This Row],[commits]]/Tabelle13[[#Totals],[commits]]</f>
        <v>9.2955808808492451E-6</v>
      </c>
      <c r="I3096" s="5">
        <f>Tabelle13[[#This Row],[%]]+I3095</f>
        <v>0.96821376117795621</v>
      </c>
      <c r="J3096" s="4">
        <f t="shared" si="129"/>
        <v>1.105583195135434E-4</v>
      </c>
      <c r="K3096" s="5">
        <f t="shared" si="130"/>
        <v>0.3420674405749114</v>
      </c>
    </row>
    <row r="3097" spans="1:11" x14ac:dyDescent="0.25">
      <c r="A3097" t="s">
        <v>3347</v>
      </c>
      <c r="C3097" t="s">
        <v>3348</v>
      </c>
      <c r="D3097" t="s">
        <v>5</v>
      </c>
      <c r="E3097" t="s">
        <v>6</v>
      </c>
      <c r="F3097" t="s">
        <v>724</v>
      </c>
      <c r="G3097">
        <v>2</v>
      </c>
      <c r="H3097" s="2">
        <f>Tabelle13[[#This Row],[commits]]/Tabelle13[[#Totals],[commits]]</f>
        <v>9.2955808808492451E-6</v>
      </c>
      <c r="I3097" s="5">
        <f>Tabelle13[[#This Row],[%]]+I3096</f>
        <v>0.96822305675883702</v>
      </c>
      <c r="J3097" s="4">
        <f t="shared" si="129"/>
        <v>1.105583195135434E-4</v>
      </c>
      <c r="K3097" s="5">
        <f t="shared" si="130"/>
        <v>0.34217799889442496</v>
      </c>
    </row>
    <row r="3098" spans="1:11" x14ac:dyDescent="0.25">
      <c r="A3098" t="s">
        <v>3349</v>
      </c>
      <c r="C3098" t="s">
        <v>3350</v>
      </c>
      <c r="D3098" t="s">
        <v>5</v>
      </c>
      <c r="E3098" t="s">
        <v>6</v>
      </c>
      <c r="F3098" t="s">
        <v>724</v>
      </c>
      <c r="G3098">
        <v>2</v>
      </c>
      <c r="H3098" s="2">
        <f>Tabelle13[[#This Row],[commits]]/Tabelle13[[#Totals],[commits]]</f>
        <v>9.2955808808492451E-6</v>
      </c>
      <c r="I3098" s="5">
        <f>Tabelle13[[#This Row],[%]]+I3097</f>
        <v>0.96823235233971783</v>
      </c>
      <c r="J3098" s="4">
        <f t="shared" si="129"/>
        <v>1.105583195135434E-4</v>
      </c>
      <c r="K3098" s="5">
        <f t="shared" si="130"/>
        <v>0.34228855721393853</v>
      </c>
    </row>
    <row r="3099" spans="1:11" x14ac:dyDescent="0.25">
      <c r="A3099" t="s">
        <v>3351</v>
      </c>
      <c r="C3099" t="s">
        <v>3352</v>
      </c>
      <c r="D3099" t="s">
        <v>5</v>
      </c>
      <c r="E3099" t="s">
        <v>6</v>
      </c>
      <c r="F3099" t="s">
        <v>724</v>
      </c>
      <c r="G3099">
        <v>2</v>
      </c>
      <c r="H3099" s="2">
        <f>Tabelle13[[#This Row],[commits]]/Tabelle13[[#Totals],[commits]]</f>
        <v>9.2955808808492451E-6</v>
      </c>
      <c r="I3099" s="5">
        <f>Tabelle13[[#This Row],[%]]+I3098</f>
        <v>0.96824164792059864</v>
      </c>
      <c r="J3099" s="4">
        <f t="shared" si="129"/>
        <v>1.105583195135434E-4</v>
      </c>
      <c r="K3099" s="5">
        <f t="shared" si="130"/>
        <v>0.34239911553345209</v>
      </c>
    </row>
    <row r="3100" spans="1:11" x14ac:dyDescent="0.25">
      <c r="A3100" t="s">
        <v>3353</v>
      </c>
      <c r="C3100" t="s">
        <v>3354</v>
      </c>
      <c r="D3100" t="s">
        <v>5</v>
      </c>
      <c r="E3100" t="s">
        <v>6</v>
      </c>
      <c r="F3100" t="s">
        <v>724</v>
      </c>
      <c r="G3100">
        <v>2</v>
      </c>
      <c r="H3100" s="2">
        <f>Tabelle13[[#This Row],[commits]]/Tabelle13[[#Totals],[commits]]</f>
        <v>9.2955808808492451E-6</v>
      </c>
      <c r="I3100" s="5">
        <f>Tabelle13[[#This Row],[%]]+I3099</f>
        <v>0.96825094350147944</v>
      </c>
      <c r="J3100" s="4">
        <f t="shared" si="129"/>
        <v>1.105583195135434E-4</v>
      </c>
      <c r="K3100" s="5">
        <f t="shared" si="130"/>
        <v>0.34250967385296566</v>
      </c>
    </row>
    <row r="3101" spans="1:11" x14ac:dyDescent="0.25">
      <c r="A3101" t="s">
        <v>3355</v>
      </c>
      <c r="C3101" t="s">
        <v>3356</v>
      </c>
      <c r="D3101" t="s">
        <v>5</v>
      </c>
      <c r="E3101" t="s">
        <v>6</v>
      </c>
      <c r="F3101" t="s">
        <v>724</v>
      </c>
      <c r="G3101">
        <v>2</v>
      </c>
      <c r="H3101" s="2">
        <f>Tabelle13[[#This Row],[commits]]/Tabelle13[[#Totals],[commits]]</f>
        <v>9.2955808808492451E-6</v>
      </c>
      <c r="I3101" s="5">
        <f>Tabelle13[[#This Row],[%]]+I3100</f>
        <v>0.96826023908236025</v>
      </c>
      <c r="J3101" s="4">
        <f t="shared" si="129"/>
        <v>1.105583195135434E-4</v>
      </c>
      <c r="K3101" s="5">
        <f t="shared" si="130"/>
        <v>0.34262023217247922</v>
      </c>
    </row>
    <row r="3102" spans="1:11" x14ac:dyDescent="0.25">
      <c r="A3102" t="s">
        <v>3357</v>
      </c>
      <c r="C3102" t="s">
        <v>3358</v>
      </c>
      <c r="D3102" t="s">
        <v>5</v>
      </c>
      <c r="E3102" t="s">
        <v>6</v>
      </c>
      <c r="F3102" t="s">
        <v>724</v>
      </c>
      <c r="G3102">
        <v>2</v>
      </c>
      <c r="H3102" s="2">
        <f>Tabelle13[[#This Row],[commits]]/Tabelle13[[#Totals],[commits]]</f>
        <v>9.2955808808492451E-6</v>
      </c>
      <c r="I3102" s="5">
        <f>Tabelle13[[#This Row],[%]]+I3101</f>
        <v>0.96826953466324106</v>
      </c>
      <c r="J3102" s="4">
        <f t="shared" si="129"/>
        <v>1.105583195135434E-4</v>
      </c>
      <c r="K3102" s="5">
        <f t="shared" si="130"/>
        <v>0.34273079049199279</v>
      </c>
    </row>
    <row r="3103" spans="1:11" x14ac:dyDescent="0.25">
      <c r="A3103" t="s">
        <v>3359</v>
      </c>
      <c r="C3103" t="s">
        <v>3360</v>
      </c>
      <c r="D3103" t="s">
        <v>5</v>
      </c>
      <c r="E3103" t="s">
        <v>6</v>
      </c>
      <c r="F3103" t="s">
        <v>724</v>
      </c>
      <c r="G3103">
        <v>2</v>
      </c>
      <c r="H3103" s="2">
        <f>Tabelle13[[#This Row],[commits]]/Tabelle13[[#Totals],[commits]]</f>
        <v>9.2955808808492451E-6</v>
      </c>
      <c r="I3103" s="5">
        <f>Tabelle13[[#This Row],[%]]+I3102</f>
        <v>0.96827883024412187</v>
      </c>
      <c r="J3103" s="4">
        <f t="shared" si="129"/>
        <v>1.105583195135434E-4</v>
      </c>
      <c r="K3103" s="5">
        <f t="shared" si="130"/>
        <v>0.34284134881150635</v>
      </c>
    </row>
    <row r="3104" spans="1:11" x14ac:dyDescent="0.25">
      <c r="A3104" t="s">
        <v>3361</v>
      </c>
      <c r="C3104" t="s">
        <v>3362</v>
      </c>
      <c r="D3104" t="s">
        <v>5</v>
      </c>
      <c r="E3104" t="s">
        <v>6</v>
      </c>
      <c r="F3104" t="s">
        <v>724</v>
      </c>
      <c r="G3104">
        <v>2</v>
      </c>
      <c r="H3104" s="2">
        <f>Tabelle13[[#This Row],[commits]]/Tabelle13[[#Totals],[commits]]</f>
        <v>9.2955808808492451E-6</v>
      </c>
      <c r="I3104" s="5">
        <f>Tabelle13[[#This Row],[%]]+I3103</f>
        <v>0.96828812582500268</v>
      </c>
      <c r="J3104" s="4">
        <f t="shared" si="129"/>
        <v>1.105583195135434E-4</v>
      </c>
      <c r="K3104" s="5">
        <f t="shared" si="130"/>
        <v>0.34295190713101992</v>
      </c>
    </row>
    <row r="3105" spans="1:11" x14ac:dyDescent="0.25">
      <c r="A3105" t="s">
        <v>3363</v>
      </c>
      <c r="C3105" t="s">
        <v>3364</v>
      </c>
      <c r="D3105" t="s">
        <v>5</v>
      </c>
      <c r="E3105" t="s">
        <v>6</v>
      </c>
      <c r="F3105" t="s">
        <v>724</v>
      </c>
      <c r="G3105">
        <v>2</v>
      </c>
      <c r="H3105" s="2">
        <f>Tabelle13[[#This Row],[commits]]/Tabelle13[[#Totals],[commits]]</f>
        <v>9.2955808808492451E-6</v>
      </c>
      <c r="I3105" s="5">
        <f>Tabelle13[[#This Row],[%]]+I3104</f>
        <v>0.96829742140588348</v>
      </c>
      <c r="J3105" s="4">
        <f t="shared" si="129"/>
        <v>1.105583195135434E-4</v>
      </c>
      <c r="K3105" s="5">
        <f t="shared" si="130"/>
        <v>0.34306246545053348</v>
      </c>
    </row>
    <row r="3106" spans="1:11" x14ac:dyDescent="0.25">
      <c r="A3106" t="s">
        <v>3365</v>
      </c>
      <c r="C3106" t="s">
        <v>3366</v>
      </c>
      <c r="D3106" t="s">
        <v>5</v>
      </c>
      <c r="E3106" t="s">
        <v>6</v>
      </c>
      <c r="F3106" t="s">
        <v>724</v>
      </c>
      <c r="G3106">
        <v>2</v>
      </c>
      <c r="H3106" s="2">
        <f>Tabelle13[[#This Row],[commits]]/Tabelle13[[#Totals],[commits]]</f>
        <v>9.2955808808492451E-6</v>
      </c>
      <c r="I3106" s="5">
        <f>Tabelle13[[#This Row],[%]]+I3105</f>
        <v>0.96830671698676429</v>
      </c>
      <c r="J3106" s="4">
        <f t="shared" si="129"/>
        <v>1.105583195135434E-4</v>
      </c>
      <c r="K3106" s="5">
        <f t="shared" si="130"/>
        <v>0.34317302377004705</v>
      </c>
    </row>
    <row r="3107" spans="1:11" x14ac:dyDescent="0.25">
      <c r="A3107" t="s">
        <v>3367</v>
      </c>
      <c r="C3107" t="s">
        <v>3368</v>
      </c>
      <c r="D3107" t="s">
        <v>5</v>
      </c>
      <c r="E3107" t="s">
        <v>6</v>
      </c>
      <c r="F3107" t="s">
        <v>724</v>
      </c>
      <c r="G3107">
        <v>2</v>
      </c>
      <c r="H3107" s="2">
        <f>Tabelle13[[#This Row],[commits]]/Tabelle13[[#Totals],[commits]]</f>
        <v>9.2955808808492451E-6</v>
      </c>
      <c r="I3107" s="5">
        <f>Tabelle13[[#This Row],[%]]+I3106</f>
        <v>0.9683160125676451</v>
      </c>
      <c r="J3107" s="4">
        <f t="shared" si="129"/>
        <v>1.105583195135434E-4</v>
      </c>
      <c r="K3107" s="5">
        <f t="shared" si="130"/>
        <v>0.34328358208956061</v>
      </c>
    </row>
    <row r="3108" spans="1:11" x14ac:dyDescent="0.25">
      <c r="A3108" t="s">
        <v>3369</v>
      </c>
      <c r="C3108" t="s">
        <v>3370</v>
      </c>
      <c r="D3108" t="s">
        <v>309</v>
      </c>
      <c r="E3108" t="s">
        <v>6</v>
      </c>
      <c r="F3108" t="s">
        <v>724</v>
      </c>
      <c r="G3108">
        <v>2</v>
      </c>
      <c r="H3108" s="2">
        <f>Tabelle13[[#This Row],[commits]]/Tabelle13[[#Totals],[commits]]</f>
        <v>9.2955808808492451E-6</v>
      </c>
      <c r="I3108" s="5">
        <f>Tabelle13[[#This Row],[%]]+I3107</f>
        <v>0.96832530814852591</v>
      </c>
      <c r="J3108" s="4">
        <f t="shared" si="129"/>
        <v>1.105583195135434E-4</v>
      </c>
      <c r="K3108" s="5">
        <f t="shared" si="130"/>
        <v>0.34339414040907418</v>
      </c>
    </row>
    <row r="3109" spans="1:11" x14ac:dyDescent="0.25">
      <c r="A3109" t="s">
        <v>3371</v>
      </c>
      <c r="C3109" t="s">
        <v>3372</v>
      </c>
      <c r="D3109" t="s">
        <v>5</v>
      </c>
      <c r="E3109" t="s">
        <v>6</v>
      </c>
      <c r="F3109" t="s">
        <v>724</v>
      </c>
      <c r="G3109">
        <v>2</v>
      </c>
      <c r="H3109" s="2">
        <f>Tabelle13[[#This Row],[commits]]/Tabelle13[[#Totals],[commits]]</f>
        <v>9.2955808808492451E-6</v>
      </c>
      <c r="I3109" s="5">
        <f>Tabelle13[[#This Row],[%]]+I3108</f>
        <v>0.96833460372940672</v>
      </c>
      <c r="J3109" s="4">
        <f t="shared" si="129"/>
        <v>1.105583195135434E-4</v>
      </c>
      <c r="K3109" s="5">
        <f t="shared" si="130"/>
        <v>0.34350469872858774</v>
      </c>
    </row>
    <row r="3110" spans="1:11" x14ac:dyDescent="0.25">
      <c r="A3110" t="s">
        <v>3373</v>
      </c>
      <c r="C3110" t="s">
        <v>3374</v>
      </c>
      <c r="D3110" t="s">
        <v>5</v>
      </c>
      <c r="E3110" t="s">
        <v>6</v>
      </c>
      <c r="F3110" t="s">
        <v>724</v>
      </c>
      <c r="G3110">
        <v>2</v>
      </c>
      <c r="H3110" s="2">
        <f>Tabelle13[[#This Row],[commits]]/Tabelle13[[#Totals],[commits]]</f>
        <v>9.2955808808492451E-6</v>
      </c>
      <c r="I3110" s="5">
        <f>Tabelle13[[#This Row],[%]]+I3109</f>
        <v>0.96834389931028753</v>
      </c>
      <c r="J3110" s="4">
        <f t="shared" si="129"/>
        <v>1.105583195135434E-4</v>
      </c>
      <c r="K3110" s="5">
        <f t="shared" si="130"/>
        <v>0.34361525704810131</v>
      </c>
    </row>
    <row r="3111" spans="1:11" x14ac:dyDescent="0.25">
      <c r="A3111" t="s">
        <v>3375</v>
      </c>
      <c r="C3111" t="s">
        <v>3376</v>
      </c>
      <c r="D3111" t="s">
        <v>5</v>
      </c>
      <c r="E3111" t="s">
        <v>6</v>
      </c>
      <c r="F3111" t="s">
        <v>724</v>
      </c>
      <c r="G3111">
        <v>2</v>
      </c>
      <c r="H3111" s="2">
        <f>Tabelle13[[#This Row],[commits]]/Tabelle13[[#Totals],[commits]]</f>
        <v>9.2955808808492451E-6</v>
      </c>
      <c r="I3111" s="5">
        <f>Tabelle13[[#This Row],[%]]+I3110</f>
        <v>0.96835319489116833</v>
      </c>
      <c r="J3111" s="4">
        <f t="shared" si="129"/>
        <v>1.105583195135434E-4</v>
      </c>
      <c r="K3111" s="5">
        <f t="shared" si="130"/>
        <v>0.34372581536761487</v>
      </c>
    </row>
    <row r="3112" spans="1:11" x14ac:dyDescent="0.25">
      <c r="A3112" t="s">
        <v>3377</v>
      </c>
      <c r="C3112" t="s">
        <v>3378</v>
      </c>
      <c r="D3112" t="s">
        <v>5</v>
      </c>
      <c r="E3112" t="s">
        <v>6</v>
      </c>
      <c r="F3112" t="s">
        <v>724</v>
      </c>
      <c r="G3112">
        <v>2</v>
      </c>
      <c r="H3112" s="2">
        <f>Tabelle13[[#This Row],[commits]]/Tabelle13[[#Totals],[commits]]</f>
        <v>9.2955808808492451E-6</v>
      </c>
      <c r="I3112" s="5">
        <f>Tabelle13[[#This Row],[%]]+I3111</f>
        <v>0.96836249047204914</v>
      </c>
      <c r="J3112" s="4">
        <f t="shared" si="129"/>
        <v>1.105583195135434E-4</v>
      </c>
      <c r="K3112" s="5">
        <f t="shared" si="130"/>
        <v>0.34383637368712844</v>
      </c>
    </row>
    <row r="3113" spans="1:11" x14ac:dyDescent="0.25">
      <c r="A3113" t="s">
        <v>3379</v>
      </c>
      <c r="C3113" t="s">
        <v>3380</v>
      </c>
      <c r="D3113" t="s">
        <v>5</v>
      </c>
      <c r="E3113" t="s">
        <v>6</v>
      </c>
      <c r="F3113" t="s">
        <v>724</v>
      </c>
      <c r="G3113">
        <v>2</v>
      </c>
      <c r="H3113" s="2">
        <f>Tabelle13[[#This Row],[commits]]/Tabelle13[[#Totals],[commits]]</f>
        <v>9.2955808808492451E-6</v>
      </c>
      <c r="I3113" s="5">
        <f>Tabelle13[[#This Row],[%]]+I3112</f>
        <v>0.96837178605292995</v>
      </c>
      <c r="J3113" s="4">
        <f t="shared" si="129"/>
        <v>1.105583195135434E-4</v>
      </c>
      <c r="K3113" s="5">
        <f t="shared" si="130"/>
        <v>0.343946932006642</v>
      </c>
    </row>
    <row r="3114" spans="1:11" x14ac:dyDescent="0.25">
      <c r="A3114" t="s">
        <v>3381</v>
      </c>
      <c r="C3114" t="s">
        <v>681</v>
      </c>
      <c r="D3114" t="s">
        <v>5</v>
      </c>
      <c r="E3114" t="s">
        <v>6</v>
      </c>
      <c r="F3114" t="s">
        <v>724</v>
      </c>
      <c r="G3114">
        <v>2</v>
      </c>
      <c r="H3114" s="2">
        <f>Tabelle13[[#This Row],[commits]]/Tabelle13[[#Totals],[commits]]</f>
        <v>9.2955808808492451E-6</v>
      </c>
      <c r="I3114" s="5">
        <f>Tabelle13[[#This Row],[%]]+I3113</f>
        <v>0.96838108163381076</v>
      </c>
      <c r="J3114" s="4">
        <f t="shared" si="129"/>
        <v>1.105583195135434E-4</v>
      </c>
      <c r="K3114" s="5">
        <f t="shared" si="130"/>
        <v>0.34405749032615557</v>
      </c>
    </row>
    <row r="3115" spans="1:11" x14ac:dyDescent="0.25">
      <c r="A3115" t="s">
        <v>3382</v>
      </c>
      <c r="C3115" t="s">
        <v>3383</v>
      </c>
      <c r="D3115" t="s">
        <v>5</v>
      </c>
      <c r="E3115" t="s">
        <v>6</v>
      </c>
      <c r="F3115" t="s">
        <v>724</v>
      </c>
      <c r="G3115">
        <v>2</v>
      </c>
      <c r="H3115" s="2">
        <f>Tabelle13[[#This Row],[commits]]/Tabelle13[[#Totals],[commits]]</f>
        <v>9.2955808808492451E-6</v>
      </c>
      <c r="I3115" s="5">
        <f>Tabelle13[[#This Row],[%]]+I3114</f>
        <v>0.96839037721469157</v>
      </c>
      <c r="J3115" s="4">
        <f t="shared" si="129"/>
        <v>1.105583195135434E-4</v>
      </c>
      <c r="K3115" s="5">
        <f t="shared" si="130"/>
        <v>0.34416804864566913</v>
      </c>
    </row>
    <row r="3116" spans="1:11" x14ac:dyDescent="0.25">
      <c r="A3116" t="s">
        <v>3384</v>
      </c>
      <c r="C3116" t="s">
        <v>3385</v>
      </c>
      <c r="D3116" t="s">
        <v>5</v>
      </c>
      <c r="E3116" t="s">
        <v>6</v>
      </c>
      <c r="F3116" t="s">
        <v>724</v>
      </c>
      <c r="G3116">
        <v>2</v>
      </c>
      <c r="H3116" s="2">
        <f>Tabelle13[[#This Row],[commits]]/Tabelle13[[#Totals],[commits]]</f>
        <v>9.2955808808492451E-6</v>
      </c>
      <c r="I3116" s="5">
        <f>Tabelle13[[#This Row],[%]]+I3115</f>
        <v>0.96839967279557237</v>
      </c>
      <c r="J3116" s="4">
        <f t="shared" si="129"/>
        <v>1.105583195135434E-4</v>
      </c>
      <c r="K3116" s="5">
        <f t="shared" si="130"/>
        <v>0.3442786069651827</v>
      </c>
    </row>
    <row r="3117" spans="1:11" x14ac:dyDescent="0.25">
      <c r="A3117" t="s">
        <v>3386</v>
      </c>
      <c r="C3117" t="s">
        <v>277</v>
      </c>
      <c r="D3117" t="s">
        <v>5</v>
      </c>
      <c r="E3117" t="s">
        <v>6</v>
      </c>
      <c r="F3117" t="s">
        <v>724</v>
      </c>
      <c r="G3117">
        <v>2</v>
      </c>
      <c r="H3117" s="2">
        <f>Tabelle13[[#This Row],[commits]]/Tabelle13[[#Totals],[commits]]</f>
        <v>9.2955808808492451E-6</v>
      </c>
      <c r="I3117" s="5">
        <f>Tabelle13[[#This Row],[%]]+I3116</f>
        <v>0.96840896837645318</v>
      </c>
      <c r="J3117" s="4">
        <f t="shared" si="129"/>
        <v>1.105583195135434E-4</v>
      </c>
      <c r="K3117" s="5">
        <f t="shared" si="130"/>
        <v>0.34438916528469626</v>
      </c>
    </row>
    <row r="3118" spans="1:11" x14ac:dyDescent="0.25">
      <c r="A3118" t="s">
        <v>3387</v>
      </c>
      <c r="C3118" t="s">
        <v>3388</v>
      </c>
      <c r="D3118" t="s">
        <v>5</v>
      </c>
      <c r="E3118" t="s">
        <v>6</v>
      </c>
      <c r="F3118" t="s">
        <v>724</v>
      </c>
      <c r="G3118">
        <v>2</v>
      </c>
      <c r="H3118" s="2">
        <f>Tabelle13[[#This Row],[commits]]/Tabelle13[[#Totals],[commits]]</f>
        <v>9.2955808808492451E-6</v>
      </c>
      <c r="I3118" s="5">
        <f>Tabelle13[[#This Row],[%]]+I3117</f>
        <v>0.96841826395733399</v>
      </c>
      <c r="J3118" s="4">
        <f t="shared" si="129"/>
        <v>1.105583195135434E-4</v>
      </c>
      <c r="K3118" s="5">
        <f t="shared" si="130"/>
        <v>0.34449972360420983</v>
      </c>
    </row>
    <row r="3119" spans="1:11" x14ac:dyDescent="0.25">
      <c r="A3119" t="s">
        <v>3389</v>
      </c>
      <c r="C3119" t="s">
        <v>3390</v>
      </c>
      <c r="D3119" t="s">
        <v>5</v>
      </c>
      <c r="E3119" t="s">
        <v>6</v>
      </c>
      <c r="F3119" t="s">
        <v>724</v>
      </c>
      <c r="G3119">
        <v>2</v>
      </c>
      <c r="H3119" s="2">
        <f>Tabelle13[[#This Row],[commits]]/Tabelle13[[#Totals],[commits]]</f>
        <v>9.2955808808492451E-6</v>
      </c>
      <c r="I3119" s="5">
        <f>Tabelle13[[#This Row],[%]]+I3118</f>
        <v>0.9684275595382148</v>
      </c>
      <c r="J3119" s="4">
        <f t="shared" si="129"/>
        <v>1.105583195135434E-4</v>
      </c>
      <c r="K3119" s="5">
        <f t="shared" si="130"/>
        <v>0.34461028192372339</v>
      </c>
    </row>
    <row r="3120" spans="1:11" x14ac:dyDescent="0.25">
      <c r="A3120" t="s">
        <v>3391</v>
      </c>
      <c r="C3120" t="s">
        <v>3392</v>
      </c>
      <c r="D3120" t="s">
        <v>5</v>
      </c>
      <c r="E3120" t="s">
        <v>6</v>
      </c>
      <c r="F3120" t="s">
        <v>724</v>
      </c>
      <c r="G3120">
        <v>2</v>
      </c>
      <c r="H3120" s="2">
        <f>Tabelle13[[#This Row],[commits]]/Tabelle13[[#Totals],[commits]]</f>
        <v>9.2955808808492451E-6</v>
      </c>
      <c r="I3120" s="5">
        <f>Tabelle13[[#This Row],[%]]+I3119</f>
        <v>0.96843685511909561</v>
      </c>
      <c r="J3120" s="4">
        <f t="shared" si="129"/>
        <v>1.105583195135434E-4</v>
      </c>
      <c r="K3120" s="5">
        <f t="shared" si="130"/>
        <v>0.34472084024323696</v>
      </c>
    </row>
    <row r="3121" spans="1:11" x14ac:dyDescent="0.25">
      <c r="A3121" t="s">
        <v>3393</v>
      </c>
      <c r="C3121" t="s">
        <v>3394</v>
      </c>
      <c r="D3121" t="s">
        <v>5</v>
      </c>
      <c r="E3121" t="s">
        <v>6</v>
      </c>
      <c r="F3121" t="s">
        <v>724</v>
      </c>
      <c r="G3121">
        <v>2</v>
      </c>
      <c r="H3121" s="2">
        <f>Tabelle13[[#This Row],[commits]]/Tabelle13[[#Totals],[commits]]</f>
        <v>9.2955808808492451E-6</v>
      </c>
      <c r="I3121" s="5">
        <f>Tabelle13[[#This Row],[%]]+I3120</f>
        <v>0.96844615069997642</v>
      </c>
      <c r="J3121" s="4">
        <f t="shared" si="129"/>
        <v>1.105583195135434E-4</v>
      </c>
      <c r="K3121" s="5">
        <f t="shared" si="130"/>
        <v>0.34483139856275052</v>
      </c>
    </row>
    <row r="3122" spans="1:11" x14ac:dyDescent="0.25">
      <c r="A3122" t="s">
        <v>3395</v>
      </c>
      <c r="C3122" t="s">
        <v>3396</v>
      </c>
      <c r="D3122" t="s">
        <v>5</v>
      </c>
      <c r="E3122" t="s">
        <v>6</v>
      </c>
      <c r="F3122" t="s">
        <v>724</v>
      </c>
      <c r="G3122">
        <v>2</v>
      </c>
      <c r="H3122" s="2">
        <f>Tabelle13[[#This Row],[commits]]/Tabelle13[[#Totals],[commits]]</f>
        <v>9.2955808808492451E-6</v>
      </c>
      <c r="I3122" s="5">
        <f>Tabelle13[[#This Row],[%]]+I3121</f>
        <v>0.96845544628085722</v>
      </c>
      <c r="J3122" s="4">
        <f t="shared" si="129"/>
        <v>1.105583195135434E-4</v>
      </c>
      <c r="K3122" s="5">
        <f t="shared" si="130"/>
        <v>0.34494195688226409</v>
      </c>
    </row>
    <row r="3123" spans="1:11" x14ac:dyDescent="0.25">
      <c r="A3123" t="s">
        <v>3397</v>
      </c>
      <c r="C3123" t="s">
        <v>3398</v>
      </c>
      <c r="D3123" t="s">
        <v>5</v>
      </c>
      <c r="E3123" t="s">
        <v>6</v>
      </c>
      <c r="F3123" t="s">
        <v>724</v>
      </c>
      <c r="G3123">
        <v>2</v>
      </c>
      <c r="H3123" s="2">
        <f>Tabelle13[[#This Row],[commits]]/Tabelle13[[#Totals],[commits]]</f>
        <v>9.2955808808492451E-6</v>
      </c>
      <c r="I3123" s="5">
        <f>Tabelle13[[#This Row],[%]]+I3122</f>
        <v>0.96846474186173803</v>
      </c>
      <c r="J3123" s="4">
        <f t="shared" si="129"/>
        <v>1.105583195135434E-4</v>
      </c>
      <c r="K3123" s="5">
        <f t="shared" si="130"/>
        <v>0.34505251520177765</v>
      </c>
    </row>
    <row r="3124" spans="1:11" x14ac:dyDescent="0.25">
      <c r="A3124" t="s">
        <v>3399</v>
      </c>
      <c r="C3124" t="s">
        <v>3400</v>
      </c>
      <c r="D3124" t="s">
        <v>309</v>
      </c>
      <c r="E3124" t="s">
        <v>6</v>
      </c>
      <c r="F3124" t="s">
        <v>724</v>
      </c>
      <c r="G3124">
        <v>2</v>
      </c>
      <c r="H3124" s="2">
        <f>Tabelle13[[#This Row],[commits]]/Tabelle13[[#Totals],[commits]]</f>
        <v>9.2955808808492451E-6</v>
      </c>
      <c r="I3124" s="5">
        <f>Tabelle13[[#This Row],[%]]+I3123</f>
        <v>0.96847403744261884</v>
      </c>
      <c r="J3124" s="4">
        <f t="shared" si="129"/>
        <v>1.105583195135434E-4</v>
      </c>
      <c r="K3124" s="5">
        <f t="shared" si="130"/>
        <v>0.34516307352129122</v>
      </c>
    </row>
    <row r="3125" spans="1:11" x14ac:dyDescent="0.25">
      <c r="A3125" t="s">
        <v>3401</v>
      </c>
      <c r="C3125" t="s">
        <v>3402</v>
      </c>
      <c r="D3125" t="s">
        <v>5</v>
      </c>
      <c r="E3125" t="s">
        <v>6</v>
      </c>
      <c r="F3125" t="s">
        <v>724</v>
      </c>
      <c r="G3125">
        <v>2</v>
      </c>
      <c r="H3125" s="2">
        <f>Tabelle13[[#This Row],[commits]]/Tabelle13[[#Totals],[commits]]</f>
        <v>9.2955808808492451E-6</v>
      </c>
      <c r="I3125" s="5">
        <f>Tabelle13[[#This Row],[%]]+I3124</f>
        <v>0.96848333302349965</v>
      </c>
      <c r="J3125" s="4">
        <f t="shared" si="129"/>
        <v>1.105583195135434E-4</v>
      </c>
      <c r="K3125" s="5">
        <f t="shared" si="130"/>
        <v>0.34527363184080478</v>
      </c>
    </row>
    <row r="3126" spans="1:11" x14ac:dyDescent="0.25">
      <c r="A3126" t="s">
        <v>3403</v>
      </c>
      <c r="C3126" t="s">
        <v>3404</v>
      </c>
      <c r="D3126" t="s">
        <v>5</v>
      </c>
      <c r="E3126" t="s">
        <v>6</v>
      </c>
      <c r="F3126" t="s">
        <v>724</v>
      </c>
      <c r="G3126">
        <v>2</v>
      </c>
      <c r="H3126" s="2">
        <f>Tabelle13[[#This Row],[commits]]/Tabelle13[[#Totals],[commits]]</f>
        <v>9.2955808808492451E-6</v>
      </c>
      <c r="I3126" s="5">
        <f>Tabelle13[[#This Row],[%]]+I3125</f>
        <v>0.96849262860438046</v>
      </c>
      <c r="J3126" s="4">
        <f t="shared" si="129"/>
        <v>1.105583195135434E-4</v>
      </c>
      <c r="K3126" s="5">
        <f t="shared" si="130"/>
        <v>0.34538419016031835</v>
      </c>
    </row>
    <row r="3127" spans="1:11" x14ac:dyDescent="0.25">
      <c r="A3127" t="s">
        <v>3405</v>
      </c>
      <c r="C3127" t="s">
        <v>3406</v>
      </c>
      <c r="D3127" t="s">
        <v>5</v>
      </c>
      <c r="E3127" t="s">
        <v>6</v>
      </c>
      <c r="F3127" t="s">
        <v>28</v>
      </c>
      <c r="G3127">
        <v>2</v>
      </c>
      <c r="H3127" s="2">
        <f>Tabelle13[[#This Row],[commits]]/Tabelle13[[#Totals],[commits]]</f>
        <v>9.2955808808492451E-6</v>
      </c>
      <c r="I3127" s="5">
        <f>Tabelle13[[#This Row],[%]]+I3126</f>
        <v>0.96850192418526126</v>
      </c>
      <c r="J3127" s="4">
        <f t="shared" si="129"/>
        <v>1.105583195135434E-4</v>
      </c>
      <c r="K3127" s="5">
        <f t="shared" si="130"/>
        <v>0.34549474847983191</v>
      </c>
    </row>
    <row r="3128" spans="1:11" x14ac:dyDescent="0.25">
      <c r="A3128" t="s">
        <v>3407</v>
      </c>
      <c r="C3128" t="s">
        <v>3408</v>
      </c>
      <c r="D3128" t="s">
        <v>5</v>
      </c>
      <c r="E3128" t="s">
        <v>6</v>
      </c>
      <c r="F3128" t="s">
        <v>724</v>
      </c>
      <c r="G3128">
        <v>2</v>
      </c>
      <c r="H3128" s="2">
        <f>Tabelle13[[#This Row],[commits]]/Tabelle13[[#Totals],[commits]]</f>
        <v>9.2955808808492451E-6</v>
      </c>
      <c r="I3128" s="5">
        <f>Tabelle13[[#This Row],[%]]+I3127</f>
        <v>0.96851121976614207</v>
      </c>
      <c r="J3128" s="4">
        <f t="shared" si="129"/>
        <v>1.105583195135434E-4</v>
      </c>
      <c r="K3128" s="5">
        <f t="shared" si="130"/>
        <v>0.34560530679934548</v>
      </c>
    </row>
    <row r="3129" spans="1:11" x14ac:dyDescent="0.25">
      <c r="A3129" t="s">
        <v>3409</v>
      </c>
      <c r="C3129" t="s">
        <v>3410</v>
      </c>
      <c r="D3129" t="s">
        <v>5</v>
      </c>
      <c r="E3129" t="s">
        <v>6</v>
      </c>
      <c r="F3129" t="s">
        <v>724</v>
      </c>
      <c r="G3129">
        <v>2</v>
      </c>
      <c r="H3129" s="2">
        <f>Tabelle13[[#This Row],[commits]]/Tabelle13[[#Totals],[commits]]</f>
        <v>9.2955808808492451E-6</v>
      </c>
      <c r="I3129" s="5">
        <f>Tabelle13[[#This Row],[%]]+I3128</f>
        <v>0.96852051534702288</v>
      </c>
      <c r="J3129" s="4">
        <f t="shared" si="129"/>
        <v>1.105583195135434E-4</v>
      </c>
      <c r="K3129" s="5">
        <f t="shared" si="130"/>
        <v>0.34571586511885904</v>
      </c>
    </row>
    <row r="3130" spans="1:11" x14ac:dyDescent="0.25">
      <c r="A3130" t="s">
        <v>3411</v>
      </c>
      <c r="C3130" t="s">
        <v>2335</v>
      </c>
      <c r="D3130" t="s">
        <v>5</v>
      </c>
      <c r="E3130" t="s">
        <v>6</v>
      </c>
      <c r="F3130" t="s">
        <v>724</v>
      </c>
      <c r="G3130">
        <v>2</v>
      </c>
      <c r="H3130" s="2">
        <f>Tabelle13[[#This Row],[commits]]/Tabelle13[[#Totals],[commits]]</f>
        <v>9.2955808808492451E-6</v>
      </c>
      <c r="I3130" s="5">
        <f>Tabelle13[[#This Row],[%]]+I3129</f>
        <v>0.96852981092790369</v>
      </c>
      <c r="J3130" s="4">
        <f t="shared" si="129"/>
        <v>1.105583195135434E-4</v>
      </c>
      <c r="K3130" s="5">
        <f t="shared" si="130"/>
        <v>0.34582642343837261</v>
      </c>
    </row>
    <row r="3131" spans="1:11" x14ac:dyDescent="0.25">
      <c r="A3131" t="s">
        <v>3412</v>
      </c>
      <c r="C3131" t="s">
        <v>3413</v>
      </c>
      <c r="D3131" t="s">
        <v>5</v>
      </c>
      <c r="E3131" t="s">
        <v>6</v>
      </c>
      <c r="F3131" t="s">
        <v>724</v>
      </c>
      <c r="G3131">
        <v>2</v>
      </c>
      <c r="H3131" s="2">
        <f>Tabelle13[[#This Row],[commits]]/Tabelle13[[#Totals],[commits]]</f>
        <v>9.2955808808492451E-6</v>
      </c>
      <c r="I3131" s="5">
        <f>Tabelle13[[#This Row],[%]]+I3130</f>
        <v>0.9685391065087845</v>
      </c>
      <c r="J3131" s="4">
        <f t="shared" si="129"/>
        <v>1.105583195135434E-4</v>
      </c>
      <c r="K3131" s="5">
        <f t="shared" si="130"/>
        <v>0.34593698175788617</v>
      </c>
    </row>
    <row r="3132" spans="1:11" x14ac:dyDescent="0.25">
      <c r="A3132" t="s">
        <v>3414</v>
      </c>
      <c r="C3132" t="s">
        <v>3415</v>
      </c>
      <c r="D3132" t="s">
        <v>5</v>
      </c>
      <c r="E3132" t="s">
        <v>6</v>
      </c>
      <c r="F3132" t="s">
        <v>724</v>
      </c>
      <c r="G3132">
        <v>2</v>
      </c>
      <c r="H3132" s="2">
        <f>Tabelle13[[#This Row],[commits]]/Tabelle13[[#Totals],[commits]]</f>
        <v>9.2955808808492451E-6</v>
      </c>
      <c r="I3132" s="5">
        <f>Tabelle13[[#This Row],[%]]+I3131</f>
        <v>0.96854840208966531</v>
      </c>
      <c r="J3132" s="4">
        <f t="shared" si="129"/>
        <v>1.105583195135434E-4</v>
      </c>
      <c r="K3132" s="5">
        <f t="shared" si="130"/>
        <v>0.34604754007739974</v>
      </c>
    </row>
    <row r="3133" spans="1:11" x14ac:dyDescent="0.25">
      <c r="A3133" t="s">
        <v>3416</v>
      </c>
      <c r="C3133" t="s">
        <v>151</v>
      </c>
      <c r="D3133" t="s">
        <v>5</v>
      </c>
      <c r="E3133" t="s">
        <v>6</v>
      </c>
      <c r="F3133" t="s">
        <v>724</v>
      </c>
      <c r="G3133">
        <v>2</v>
      </c>
      <c r="H3133" s="2">
        <f>Tabelle13[[#This Row],[commits]]/Tabelle13[[#Totals],[commits]]</f>
        <v>9.2955808808492451E-6</v>
      </c>
      <c r="I3133" s="5">
        <f>Tabelle13[[#This Row],[%]]+I3132</f>
        <v>0.96855769767054611</v>
      </c>
      <c r="J3133" s="4">
        <f t="shared" si="129"/>
        <v>1.105583195135434E-4</v>
      </c>
      <c r="K3133" s="5">
        <f t="shared" si="130"/>
        <v>0.34615809839691331</v>
      </c>
    </row>
    <row r="3134" spans="1:11" x14ac:dyDescent="0.25">
      <c r="A3134" t="s">
        <v>3417</v>
      </c>
      <c r="C3134" t="s">
        <v>3418</v>
      </c>
      <c r="D3134" t="s">
        <v>5</v>
      </c>
      <c r="E3134" t="s">
        <v>6</v>
      </c>
      <c r="F3134" t="s">
        <v>724</v>
      </c>
      <c r="G3134">
        <v>2</v>
      </c>
      <c r="H3134" s="2">
        <f>Tabelle13[[#This Row],[commits]]/Tabelle13[[#Totals],[commits]]</f>
        <v>9.2955808808492451E-6</v>
      </c>
      <c r="I3134" s="5">
        <f>Tabelle13[[#This Row],[%]]+I3133</f>
        <v>0.96856699325142692</v>
      </c>
      <c r="J3134" s="4">
        <f t="shared" si="129"/>
        <v>1.105583195135434E-4</v>
      </c>
      <c r="K3134" s="5">
        <f t="shared" si="130"/>
        <v>0.34626865671642687</v>
      </c>
    </row>
    <row r="3135" spans="1:11" x14ac:dyDescent="0.25">
      <c r="A3135" t="s">
        <v>3419</v>
      </c>
      <c r="C3135" t="s">
        <v>3144</v>
      </c>
      <c r="D3135" t="s">
        <v>5</v>
      </c>
      <c r="E3135" t="s">
        <v>6</v>
      </c>
      <c r="F3135" t="s">
        <v>724</v>
      </c>
      <c r="G3135">
        <v>2</v>
      </c>
      <c r="H3135" s="2">
        <f>Tabelle13[[#This Row],[commits]]/Tabelle13[[#Totals],[commits]]</f>
        <v>9.2955808808492451E-6</v>
      </c>
      <c r="I3135" s="5">
        <f>Tabelle13[[#This Row],[%]]+I3134</f>
        <v>0.96857628883230773</v>
      </c>
      <c r="J3135" s="4">
        <f t="shared" si="129"/>
        <v>1.105583195135434E-4</v>
      </c>
      <c r="K3135" s="5">
        <f t="shared" si="130"/>
        <v>0.34637921503594044</v>
      </c>
    </row>
    <row r="3136" spans="1:11" x14ac:dyDescent="0.25">
      <c r="A3136" t="s">
        <v>3420</v>
      </c>
      <c r="C3136" t="s">
        <v>3421</v>
      </c>
      <c r="D3136" t="s">
        <v>5</v>
      </c>
      <c r="E3136" t="s">
        <v>6</v>
      </c>
      <c r="F3136" t="s">
        <v>724</v>
      </c>
      <c r="G3136">
        <v>2</v>
      </c>
      <c r="H3136" s="2">
        <f>Tabelle13[[#This Row],[commits]]/Tabelle13[[#Totals],[commits]]</f>
        <v>9.2955808808492451E-6</v>
      </c>
      <c r="I3136" s="5">
        <f>Tabelle13[[#This Row],[%]]+I3135</f>
        <v>0.96858558441318854</v>
      </c>
      <c r="J3136" s="4">
        <f t="shared" si="129"/>
        <v>1.105583195135434E-4</v>
      </c>
      <c r="K3136" s="5">
        <f t="shared" si="130"/>
        <v>0.346489773355454</v>
      </c>
    </row>
    <row r="3137" spans="1:11" x14ac:dyDescent="0.25">
      <c r="A3137" t="s">
        <v>3422</v>
      </c>
      <c r="C3137" t="s">
        <v>3423</v>
      </c>
      <c r="D3137" t="s">
        <v>5</v>
      </c>
      <c r="E3137" t="s">
        <v>6</v>
      </c>
      <c r="F3137" t="s">
        <v>724</v>
      </c>
      <c r="G3137">
        <v>2</v>
      </c>
      <c r="H3137" s="2">
        <f>Tabelle13[[#This Row],[commits]]/Tabelle13[[#Totals],[commits]]</f>
        <v>9.2955808808492451E-6</v>
      </c>
      <c r="I3137" s="5">
        <f>Tabelle13[[#This Row],[%]]+I3136</f>
        <v>0.96859487999406935</v>
      </c>
      <c r="J3137" s="4">
        <f t="shared" si="129"/>
        <v>1.105583195135434E-4</v>
      </c>
      <c r="K3137" s="5">
        <f t="shared" si="130"/>
        <v>0.34660033167496757</v>
      </c>
    </row>
    <row r="3138" spans="1:11" x14ac:dyDescent="0.25">
      <c r="A3138" t="s">
        <v>3424</v>
      </c>
      <c r="C3138" t="s">
        <v>3425</v>
      </c>
      <c r="D3138" t="s">
        <v>5</v>
      </c>
      <c r="E3138" t="s">
        <v>6</v>
      </c>
      <c r="F3138" t="s">
        <v>724</v>
      </c>
      <c r="G3138">
        <v>2</v>
      </c>
      <c r="H3138" s="2">
        <f>Tabelle13[[#This Row],[commits]]/Tabelle13[[#Totals],[commits]]</f>
        <v>9.2955808808492451E-6</v>
      </c>
      <c r="I3138" s="5">
        <f>Tabelle13[[#This Row],[%]]+I3137</f>
        <v>0.96860417557495015</v>
      </c>
      <c r="J3138" s="4">
        <f t="shared" si="129"/>
        <v>1.105583195135434E-4</v>
      </c>
      <c r="K3138" s="5">
        <f t="shared" si="130"/>
        <v>0.34671088999448113</v>
      </c>
    </row>
    <row r="3139" spans="1:11" x14ac:dyDescent="0.25">
      <c r="A3139" t="s">
        <v>3426</v>
      </c>
      <c r="C3139" t="s">
        <v>3427</v>
      </c>
      <c r="D3139" t="s">
        <v>5</v>
      </c>
      <c r="E3139" t="s">
        <v>6</v>
      </c>
      <c r="F3139" t="s">
        <v>724</v>
      </c>
      <c r="G3139">
        <v>2</v>
      </c>
      <c r="H3139" s="2">
        <f>Tabelle13[[#This Row],[commits]]/Tabelle13[[#Totals],[commits]]</f>
        <v>9.2955808808492451E-6</v>
      </c>
      <c r="I3139" s="5">
        <f>Tabelle13[[#This Row],[%]]+I3138</f>
        <v>0.96861347115583096</v>
      </c>
      <c r="J3139" s="4">
        <f t="shared" ref="J3139:J3202" si="131">1/9045</f>
        <v>1.105583195135434E-4</v>
      </c>
      <c r="K3139" s="5">
        <f t="shared" si="130"/>
        <v>0.3468214483139947</v>
      </c>
    </row>
    <row r="3140" spans="1:11" x14ac:dyDescent="0.25">
      <c r="A3140" t="s">
        <v>3428</v>
      </c>
      <c r="C3140" t="s">
        <v>3429</v>
      </c>
      <c r="D3140" t="s">
        <v>5</v>
      </c>
      <c r="E3140" t="s">
        <v>6</v>
      </c>
      <c r="F3140" t="s">
        <v>724</v>
      </c>
      <c r="G3140">
        <v>2</v>
      </c>
      <c r="H3140" s="2">
        <f>Tabelle13[[#This Row],[commits]]/Tabelle13[[#Totals],[commits]]</f>
        <v>9.2955808808492451E-6</v>
      </c>
      <c r="I3140" s="5">
        <f>Tabelle13[[#This Row],[%]]+I3139</f>
        <v>0.96862276673671177</v>
      </c>
      <c r="J3140" s="4">
        <f t="shared" si="131"/>
        <v>1.105583195135434E-4</v>
      </c>
      <c r="K3140" s="5">
        <f t="shared" si="130"/>
        <v>0.34693200663350826</v>
      </c>
    </row>
    <row r="3141" spans="1:11" x14ac:dyDescent="0.25">
      <c r="A3141" t="s">
        <v>3430</v>
      </c>
      <c r="C3141" t="s">
        <v>3431</v>
      </c>
      <c r="D3141" t="s">
        <v>5</v>
      </c>
      <c r="E3141" t="s">
        <v>6</v>
      </c>
      <c r="F3141" t="s">
        <v>724</v>
      </c>
      <c r="G3141">
        <v>2</v>
      </c>
      <c r="H3141" s="2">
        <f>Tabelle13[[#This Row],[commits]]/Tabelle13[[#Totals],[commits]]</f>
        <v>9.2955808808492451E-6</v>
      </c>
      <c r="I3141" s="5">
        <f>Tabelle13[[#This Row],[%]]+I3140</f>
        <v>0.96863206231759258</v>
      </c>
      <c r="J3141" s="4">
        <f t="shared" si="131"/>
        <v>1.105583195135434E-4</v>
      </c>
      <c r="K3141" s="5">
        <f t="shared" si="130"/>
        <v>0.34704256495302183</v>
      </c>
    </row>
    <row r="3142" spans="1:11" x14ac:dyDescent="0.25">
      <c r="A3142" t="s">
        <v>3432</v>
      </c>
      <c r="C3142" t="s">
        <v>3433</v>
      </c>
      <c r="D3142" t="s">
        <v>5</v>
      </c>
      <c r="E3142" t="s">
        <v>6</v>
      </c>
      <c r="F3142" t="s">
        <v>724</v>
      </c>
      <c r="G3142">
        <v>2</v>
      </c>
      <c r="H3142" s="2">
        <f>Tabelle13[[#This Row],[commits]]/Tabelle13[[#Totals],[commits]]</f>
        <v>9.2955808808492451E-6</v>
      </c>
      <c r="I3142" s="5">
        <f>Tabelle13[[#This Row],[%]]+I3141</f>
        <v>0.96864135789847339</v>
      </c>
      <c r="J3142" s="4">
        <f t="shared" si="131"/>
        <v>1.105583195135434E-4</v>
      </c>
      <c r="K3142" s="5">
        <f t="shared" ref="K3142:K3205" si="132">J3142+K3141</f>
        <v>0.34715312327253539</v>
      </c>
    </row>
    <row r="3143" spans="1:11" x14ac:dyDescent="0.25">
      <c r="A3143" t="s">
        <v>3434</v>
      </c>
      <c r="C3143" t="s">
        <v>3435</v>
      </c>
      <c r="D3143" t="s">
        <v>5</v>
      </c>
      <c r="E3143" t="s">
        <v>6</v>
      </c>
      <c r="F3143" t="s">
        <v>724</v>
      </c>
      <c r="G3143">
        <v>2</v>
      </c>
      <c r="H3143" s="2">
        <f>Tabelle13[[#This Row],[commits]]/Tabelle13[[#Totals],[commits]]</f>
        <v>9.2955808808492451E-6</v>
      </c>
      <c r="I3143" s="5">
        <f>Tabelle13[[#This Row],[%]]+I3142</f>
        <v>0.9686506534793542</v>
      </c>
      <c r="J3143" s="4">
        <f t="shared" si="131"/>
        <v>1.105583195135434E-4</v>
      </c>
      <c r="K3143" s="5">
        <f t="shared" si="132"/>
        <v>0.34726368159204896</v>
      </c>
    </row>
    <row r="3144" spans="1:11" x14ac:dyDescent="0.25">
      <c r="A3144" t="s">
        <v>3436</v>
      </c>
      <c r="C3144" t="s">
        <v>3437</v>
      </c>
      <c r="D3144" t="s">
        <v>309</v>
      </c>
      <c r="E3144" t="s">
        <v>6</v>
      </c>
      <c r="F3144" t="s">
        <v>724</v>
      </c>
      <c r="G3144">
        <v>2</v>
      </c>
      <c r="H3144" s="2">
        <f>Tabelle13[[#This Row],[commits]]/Tabelle13[[#Totals],[commits]]</f>
        <v>9.2955808808492451E-6</v>
      </c>
      <c r="I3144" s="5">
        <f>Tabelle13[[#This Row],[%]]+I3143</f>
        <v>0.968659949060235</v>
      </c>
      <c r="J3144" s="4">
        <f t="shared" si="131"/>
        <v>1.105583195135434E-4</v>
      </c>
      <c r="K3144" s="5">
        <f t="shared" si="132"/>
        <v>0.34737423991156252</v>
      </c>
    </row>
    <row r="3145" spans="1:11" x14ac:dyDescent="0.25">
      <c r="A3145" t="s">
        <v>3438</v>
      </c>
      <c r="C3145" t="s">
        <v>3439</v>
      </c>
      <c r="D3145" t="s">
        <v>5</v>
      </c>
      <c r="E3145" t="s">
        <v>6</v>
      </c>
      <c r="F3145" t="s">
        <v>724</v>
      </c>
      <c r="G3145">
        <v>2</v>
      </c>
      <c r="H3145" s="2">
        <f>Tabelle13[[#This Row],[commits]]/Tabelle13[[#Totals],[commits]]</f>
        <v>9.2955808808492451E-6</v>
      </c>
      <c r="I3145" s="5">
        <f>Tabelle13[[#This Row],[%]]+I3144</f>
        <v>0.96866924464111581</v>
      </c>
      <c r="J3145" s="4">
        <f t="shared" si="131"/>
        <v>1.105583195135434E-4</v>
      </c>
      <c r="K3145" s="5">
        <f t="shared" si="132"/>
        <v>0.34748479823107609</v>
      </c>
    </row>
    <row r="3146" spans="1:11" x14ac:dyDescent="0.25">
      <c r="A3146" t="s">
        <v>3440</v>
      </c>
      <c r="C3146" t="s">
        <v>3441</v>
      </c>
      <c r="D3146" t="s">
        <v>5</v>
      </c>
      <c r="E3146" t="s">
        <v>6</v>
      </c>
      <c r="F3146" t="s">
        <v>724</v>
      </c>
      <c r="G3146">
        <v>2</v>
      </c>
      <c r="H3146" s="2">
        <f>Tabelle13[[#This Row],[commits]]/Tabelle13[[#Totals],[commits]]</f>
        <v>9.2955808808492451E-6</v>
      </c>
      <c r="I3146" s="5">
        <f>Tabelle13[[#This Row],[%]]+I3145</f>
        <v>0.96867854022199662</v>
      </c>
      <c r="J3146" s="4">
        <f t="shared" si="131"/>
        <v>1.105583195135434E-4</v>
      </c>
      <c r="K3146" s="5">
        <f t="shared" si="132"/>
        <v>0.34759535655058965</v>
      </c>
    </row>
    <row r="3147" spans="1:11" x14ac:dyDescent="0.25">
      <c r="A3147" t="s">
        <v>3442</v>
      </c>
      <c r="C3147" t="s">
        <v>3443</v>
      </c>
      <c r="D3147" t="s">
        <v>5</v>
      </c>
      <c r="E3147" t="s">
        <v>6</v>
      </c>
      <c r="F3147" t="s">
        <v>724</v>
      </c>
      <c r="G3147">
        <v>2</v>
      </c>
      <c r="H3147" s="2">
        <f>Tabelle13[[#This Row],[commits]]/Tabelle13[[#Totals],[commits]]</f>
        <v>9.2955808808492451E-6</v>
      </c>
      <c r="I3147" s="5">
        <f>Tabelle13[[#This Row],[%]]+I3146</f>
        <v>0.96868783580287743</v>
      </c>
      <c r="J3147" s="4">
        <f t="shared" si="131"/>
        <v>1.105583195135434E-4</v>
      </c>
      <c r="K3147" s="5">
        <f t="shared" si="132"/>
        <v>0.34770591487010322</v>
      </c>
    </row>
    <row r="3148" spans="1:11" x14ac:dyDescent="0.25">
      <c r="A3148" t="s">
        <v>3444</v>
      </c>
      <c r="C3148" t="s">
        <v>3445</v>
      </c>
      <c r="D3148" t="s">
        <v>5</v>
      </c>
      <c r="E3148" t="s">
        <v>6</v>
      </c>
      <c r="F3148" t="s">
        <v>724</v>
      </c>
      <c r="G3148">
        <v>2</v>
      </c>
      <c r="H3148" s="2">
        <f>Tabelle13[[#This Row],[commits]]/Tabelle13[[#Totals],[commits]]</f>
        <v>9.2955808808492451E-6</v>
      </c>
      <c r="I3148" s="5">
        <f>Tabelle13[[#This Row],[%]]+I3147</f>
        <v>0.96869713138375824</v>
      </c>
      <c r="J3148" s="4">
        <f t="shared" si="131"/>
        <v>1.105583195135434E-4</v>
      </c>
      <c r="K3148" s="5">
        <f t="shared" si="132"/>
        <v>0.34781647318961678</v>
      </c>
    </row>
    <row r="3149" spans="1:11" x14ac:dyDescent="0.25">
      <c r="A3149" t="s">
        <v>3446</v>
      </c>
      <c r="C3149" t="s">
        <v>3447</v>
      </c>
      <c r="D3149" t="s">
        <v>309</v>
      </c>
      <c r="E3149" t="s">
        <v>6</v>
      </c>
      <c r="F3149" t="s">
        <v>724</v>
      </c>
      <c r="G3149">
        <v>2</v>
      </c>
      <c r="H3149" s="2">
        <f>Tabelle13[[#This Row],[commits]]/Tabelle13[[#Totals],[commits]]</f>
        <v>9.2955808808492451E-6</v>
      </c>
      <c r="I3149" s="5">
        <f>Tabelle13[[#This Row],[%]]+I3148</f>
        <v>0.96870642696463904</v>
      </c>
      <c r="J3149" s="4">
        <f t="shared" si="131"/>
        <v>1.105583195135434E-4</v>
      </c>
      <c r="K3149" s="5">
        <f t="shared" si="132"/>
        <v>0.34792703150913035</v>
      </c>
    </row>
    <row r="3150" spans="1:11" x14ac:dyDescent="0.25">
      <c r="A3150" t="s">
        <v>3448</v>
      </c>
      <c r="C3150" t="s">
        <v>3449</v>
      </c>
      <c r="D3150" t="s">
        <v>5</v>
      </c>
      <c r="E3150" t="s">
        <v>6</v>
      </c>
      <c r="F3150" t="s">
        <v>724</v>
      </c>
      <c r="G3150">
        <v>2</v>
      </c>
      <c r="H3150" s="2">
        <f>Tabelle13[[#This Row],[commits]]/Tabelle13[[#Totals],[commits]]</f>
        <v>9.2955808808492451E-6</v>
      </c>
      <c r="I3150" s="5">
        <f>Tabelle13[[#This Row],[%]]+I3149</f>
        <v>0.96871572254551985</v>
      </c>
      <c r="J3150" s="4">
        <f t="shared" si="131"/>
        <v>1.105583195135434E-4</v>
      </c>
      <c r="K3150" s="5">
        <f t="shared" si="132"/>
        <v>0.34803758982864391</v>
      </c>
    </row>
    <row r="3151" spans="1:11" x14ac:dyDescent="0.25">
      <c r="A3151" t="s">
        <v>3450</v>
      </c>
      <c r="C3151" t="s">
        <v>3451</v>
      </c>
      <c r="D3151" t="s">
        <v>5</v>
      </c>
      <c r="E3151" t="s">
        <v>6</v>
      </c>
      <c r="F3151" t="s">
        <v>724</v>
      </c>
      <c r="G3151">
        <v>2</v>
      </c>
      <c r="H3151" s="2">
        <f>Tabelle13[[#This Row],[commits]]/Tabelle13[[#Totals],[commits]]</f>
        <v>9.2955808808492451E-6</v>
      </c>
      <c r="I3151" s="5">
        <f>Tabelle13[[#This Row],[%]]+I3150</f>
        <v>0.96872501812640066</v>
      </c>
      <c r="J3151" s="4">
        <f t="shared" si="131"/>
        <v>1.105583195135434E-4</v>
      </c>
      <c r="K3151" s="5">
        <f t="shared" si="132"/>
        <v>0.34814814814815748</v>
      </c>
    </row>
    <row r="3152" spans="1:11" x14ac:dyDescent="0.25">
      <c r="A3152" t="s">
        <v>3452</v>
      </c>
      <c r="C3152" t="s">
        <v>3453</v>
      </c>
      <c r="D3152" t="s">
        <v>5</v>
      </c>
      <c r="E3152" t="s">
        <v>6</v>
      </c>
      <c r="F3152" t="s">
        <v>724</v>
      </c>
      <c r="G3152">
        <v>2</v>
      </c>
      <c r="H3152" s="2">
        <f>Tabelle13[[#This Row],[commits]]/Tabelle13[[#Totals],[commits]]</f>
        <v>9.2955808808492451E-6</v>
      </c>
      <c r="I3152" s="5">
        <f>Tabelle13[[#This Row],[%]]+I3151</f>
        <v>0.96873431370728147</v>
      </c>
      <c r="J3152" s="4">
        <f t="shared" si="131"/>
        <v>1.105583195135434E-4</v>
      </c>
      <c r="K3152" s="5">
        <f t="shared" si="132"/>
        <v>0.34825870646767104</v>
      </c>
    </row>
    <row r="3153" spans="1:11" x14ac:dyDescent="0.25">
      <c r="A3153" t="s">
        <v>3454</v>
      </c>
      <c r="C3153" t="s">
        <v>3455</v>
      </c>
      <c r="D3153" t="s">
        <v>5</v>
      </c>
      <c r="E3153" t="s">
        <v>6</v>
      </c>
      <c r="F3153" t="s">
        <v>724</v>
      </c>
      <c r="G3153">
        <v>2</v>
      </c>
      <c r="H3153" s="2">
        <f>Tabelle13[[#This Row],[commits]]/Tabelle13[[#Totals],[commits]]</f>
        <v>9.2955808808492451E-6</v>
      </c>
      <c r="I3153" s="5">
        <f>Tabelle13[[#This Row],[%]]+I3152</f>
        <v>0.96874360928816228</v>
      </c>
      <c r="J3153" s="4">
        <f t="shared" si="131"/>
        <v>1.105583195135434E-4</v>
      </c>
      <c r="K3153" s="5">
        <f t="shared" si="132"/>
        <v>0.34836926478718461</v>
      </c>
    </row>
    <row r="3154" spans="1:11" x14ac:dyDescent="0.25">
      <c r="A3154" t="s">
        <v>3456</v>
      </c>
      <c r="C3154" t="s">
        <v>3457</v>
      </c>
      <c r="D3154" t="s">
        <v>5</v>
      </c>
      <c r="E3154" t="s">
        <v>6</v>
      </c>
      <c r="F3154" t="s">
        <v>724</v>
      </c>
      <c r="G3154">
        <v>2</v>
      </c>
      <c r="H3154" s="2">
        <f>Tabelle13[[#This Row],[commits]]/Tabelle13[[#Totals],[commits]]</f>
        <v>9.2955808808492451E-6</v>
      </c>
      <c r="I3154" s="5">
        <f>Tabelle13[[#This Row],[%]]+I3153</f>
        <v>0.96875290486904309</v>
      </c>
      <c r="J3154" s="4">
        <f t="shared" si="131"/>
        <v>1.105583195135434E-4</v>
      </c>
      <c r="K3154" s="5">
        <f t="shared" si="132"/>
        <v>0.34847982310669817</v>
      </c>
    </row>
    <row r="3155" spans="1:11" x14ac:dyDescent="0.25">
      <c r="A3155" t="s">
        <v>3458</v>
      </c>
      <c r="C3155" t="s">
        <v>3459</v>
      </c>
      <c r="D3155" t="s">
        <v>309</v>
      </c>
      <c r="E3155" t="s">
        <v>6</v>
      </c>
      <c r="F3155" t="s">
        <v>724</v>
      </c>
      <c r="G3155">
        <v>2</v>
      </c>
      <c r="H3155" s="2">
        <f>Tabelle13[[#This Row],[commits]]/Tabelle13[[#Totals],[commits]]</f>
        <v>9.2955808808492451E-6</v>
      </c>
      <c r="I3155" s="5">
        <f>Tabelle13[[#This Row],[%]]+I3154</f>
        <v>0.96876220044992389</v>
      </c>
      <c r="J3155" s="4">
        <f t="shared" si="131"/>
        <v>1.105583195135434E-4</v>
      </c>
      <c r="K3155" s="5">
        <f t="shared" si="132"/>
        <v>0.34859038142621174</v>
      </c>
    </row>
    <row r="3156" spans="1:11" x14ac:dyDescent="0.25">
      <c r="A3156" t="s">
        <v>3460</v>
      </c>
      <c r="C3156" t="s">
        <v>3461</v>
      </c>
      <c r="D3156" t="s">
        <v>5</v>
      </c>
      <c r="E3156" t="s">
        <v>6</v>
      </c>
      <c r="F3156" t="s">
        <v>724</v>
      </c>
      <c r="G3156">
        <v>2</v>
      </c>
      <c r="H3156" s="2">
        <f>Tabelle13[[#This Row],[commits]]/Tabelle13[[#Totals],[commits]]</f>
        <v>9.2955808808492451E-6</v>
      </c>
      <c r="I3156" s="5">
        <f>Tabelle13[[#This Row],[%]]+I3155</f>
        <v>0.9687714960308047</v>
      </c>
      <c r="J3156" s="4">
        <f t="shared" si="131"/>
        <v>1.105583195135434E-4</v>
      </c>
      <c r="K3156" s="5">
        <f t="shared" si="132"/>
        <v>0.3487009397457253</v>
      </c>
    </row>
    <row r="3157" spans="1:11" x14ac:dyDescent="0.25">
      <c r="A3157" t="s">
        <v>3462</v>
      </c>
      <c r="C3157" t="s">
        <v>3463</v>
      </c>
      <c r="D3157" t="s">
        <v>5</v>
      </c>
      <c r="E3157" t="s">
        <v>6</v>
      </c>
      <c r="F3157" t="s">
        <v>724</v>
      </c>
      <c r="G3157">
        <v>2</v>
      </c>
      <c r="H3157" s="2">
        <f>Tabelle13[[#This Row],[commits]]/Tabelle13[[#Totals],[commits]]</f>
        <v>9.2955808808492451E-6</v>
      </c>
      <c r="I3157" s="5">
        <f>Tabelle13[[#This Row],[%]]+I3156</f>
        <v>0.96878079161168551</v>
      </c>
      <c r="J3157" s="4">
        <f t="shared" si="131"/>
        <v>1.105583195135434E-4</v>
      </c>
      <c r="K3157" s="5">
        <f t="shared" si="132"/>
        <v>0.34881149806523887</v>
      </c>
    </row>
    <row r="3158" spans="1:11" x14ac:dyDescent="0.25">
      <c r="A3158" t="s">
        <v>3464</v>
      </c>
      <c r="C3158" t="s">
        <v>2220</v>
      </c>
      <c r="D3158" t="s">
        <v>5</v>
      </c>
      <c r="E3158" t="s">
        <v>6</v>
      </c>
      <c r="F3158" t="s">
        <v>724</v>
      </c>
      <c r="G3158">
        <v>2</v>
      </c>
      <c r="H3158" s="2">
        <f>Tabelle13[[#This Row],[commits]]/Tabelle13[[#Totals],[commits]]</f>
        <v>9.2955808808492451E-6</v>
      </c>
      <c r="I3158" s="5">
        <f>Tabelle13[[#This Row],[%]]+I3157</f>
        <v>0.96879008719256632</v>
      </c>
      <c r="J3158" s="4">
        <f t="shared" si="131"/>
        <v>1.105583195135434E-4</v>
      </c>
      <c r="K3158" s="5">
        <f t="shared" si="132"/>
        <v>0.34892205638475243</v>
      </c>
    </row>
    <row r="3159" spans="1:11" x14ac:dyDescent="0.25">
      <c r="A3159" t="s">
        <v>3465</v>
      </c>
      <c r="C3159" t="s">
        <v>3466</v>
      </c>
      <c r="D3159" t="s">
        <v>5</v>
      </c>
      <c r="E3159" t="s">
        <v>6</v>
      </c>
      <c r="F3159" t="s">
        <v>724</v>
      </c>
      <c r="G3159">
        <v>2</v>
      </c>
      <c r="H3159" s="2">
        <f>Tabelle13[[#This Row],[commits]]/Tabelle13[[#Totals],[commits]]</f>
        <v>9.2955808808492451E-6</v>
      </c>
      <c r="I3159" s="5">
        <f>Tabelle13[[#This Row],[%]]+I3158</f>
        <v>0.96879938277344713</v>
      </c>
      <c r="J3159" s="4">
        <f t="shared" si="131"/>
        <v>1.105583195135434E-4</v>
      </c>
      <c r="K3159" s="5">
        <f t="shared" si="132"/>
        <v>0.349032614704266</v>
      </c>
    </row>
    <row r="3160" spans="1:11" x14ac:dyDescent="0.25">
      <c r="A3160" t="s">
        <v>3467</v>
      </c>
      <c r="C3160" t="s">
        <v>3468</v>
      </c>
      <c r="D3160" t="s">
        <v>5</v>
      </c>
      <c r="E3160" t="s">
        <v>6</v>
      </c>
      <c r="F3160" t="s">
        <v>724</v>
      </c>
      <c r="G3160">
        <v>2</v>
      </c>
      <c r="H3160" s="2">
        <f>Tabelle13[[#This Row],[commits]]/Tabelle13[[#Totals],[commits]]</f>
        <v>9.2955808808492451E-6</v>
      </c>
      <c r="I3160" s="5">
        <f>Tabelle13[[#This Row],[%]]+I3159</f>
        <v>0.96880867835432793</v>
      </c>
      <c r="J3160" s="4">
        <f t="shared" si="131"/>
        <v>1.105583195135434E-4</v>
      </c>
      <c r="K3160" s="5">
        <f t="shared" si="132"/>
        <v>0.34914317302377956</v>
      </c>
    </row>
    <row r="3161" spans="1:11" x14ac:dyDescent="0.25">
      <c r="A3161" t="s">
        <v>3469</v>
      </c>
      <c r="C3161" t="s">
        <v>3470</v>
      </c>
      <c r="D3161" t="s">
        <v>309</v>
      </c>
      <c r="E3161" t="s">
        <v>6</v>
      </c>
      <c r="F3161" t="s">
        <v>724</v>
      </c>
      <c r="G3161">
        <v>2</v>
      </c>
      <c r="H3161" s="2">
        <f>Tabelle13[[#This Row],[commits]]/Tabelle13[[#Totals],[commits]]</f>
        <v>9.2955808808492451E-6</v>
      </c>
      <c r="I3161" s="5">
        <f>Tabelle13[[#This Row],[%]]+I3160</f>
        <v>0.96881797393520874</v>
      </c>
      <c r="J3161" s="4">
        <f t="shared" si="131"/>
        <v>1.105583195135434E-4</v>
      </c>
      <c r="K3161" s="5">
        <f t="shared" si="132"/>
        <v>0.34925373134329313</v>
      </c>
    </row>
    <row r="3162" spans="1:11" x14ac:dyDescent="0.25">
      <c r="A3162" t="s">
        <v>3471</v>
      </c>
      <c r="C3162" t="s">
        <v>3472</v>
      </c>
      <c r="D3162" t="s">
        <v>309</v>
      </c>
      <c r="E3162" t="s">
        <v>6</v>
      </c>
      <c r="F3162" t="s">
        <v>724</v>
      </c>
      <c r="G3162">
        <v>2</v>
      </c>
      <c r="H3162" s="2">
        <f>Tabelle13[[#This Row],[commits]]/Tabelle13[[#Totals],[commits]]</f>
        <v>9.2955808808492451E-6</v>
      </c>
      <c r="I3162" s="5">
        <f>Tabelle13[[#This Row],[%]]+I3161</f>
        <v>0.96882726951608955</v>
      </c>
      <c r="J3162" s="4">
        <f t="shared" si="131"/>
        <v>1.105583195135434E-4</v>
      </c>
      <c r="K3162" s="5">
        <f t="shared" si="132"/>
        <v>0.34936428966280669</v>
      </c>
    </row>
    <row r="3163" spans="1:11" x14ac:dyDescent="0.25">
      <c r="A3163" t="s">
        <v>3473</v>
      </c>
      <c r="C3163" t="s">
        <v>3474</v>
      </c>
      <c r="D3163" t="s">
        <v>309</v>
      </c>
      <c r="E3163" t="s">
        <v>6</v>
      </c>
      <c r="F3163" t="s">
        <v>724</v>
      </c>
      <c r="G3163">
        <v>2</v>
      </c>
      <c r="H3163" s="2">
        <f>Tabelle13[[#This Row],[commits]]/Tabelle13[[#Totals],[commits]]</f>
        <v>9.2955808808492451E-6</v>
      </c>
      <c r="I3163" s="5">
        <f>Tabelle13[[#This Row],[%]]+I3162</f>
        <v>0.96883656509697036</v>
      </c>
      <c r="J3163" s="4">
        <f t="shared" si="131"/>
        <v>1.105583195135434E-4</v>
      </c>
      <c r="K3163" s="5">
        <f t="shared" si="132"/>
        <v>0.34947484798232026</v>
      </c>
    </row>
    <row r="3164" spans="1:11" x14ac:dyDescent="0.25">
      <c r="A3164" t="s">
        <v>3475</v>
      </c>
      <c r="C3164" t="s">
        <v>3476</v>
      </c>
      <c r="D3164" t="s">
        <v>309</v>
      </c>
      <c r="E3164" t="s">
        <v>6</v>
      </c>
      <c r="F3164" t="s">
        <v>724</v>
      </c>
      <c r="G3164">
        <v>2</v>
      </c>
      <c r="H3164" s="2">
        <f>Tabelle13[[#This Row],[commits]]/Tabelle13[[#Totals],[commits]]</f>
        <v>9.2955808808492451E-6</v>
      </c>
      <c r="I3164" s="5">
        <f>Tabelle13[[#This Row],[%]]+I3163</f>
        <v>0.96884586067785117</v>
      </c>
      <c r="J3164" s="4">
        <f t="shared" si="131"/>
        <v>1.105583195135434E-4</v>
      </c>
      <c r="K3164" s="5">
        <f t="shared" si="132"/>
        <v>0.34958540630183382</v>
      </c>
    </row>
    <row r="3165" spans="1:11" x14ac:dyDescent="0.25">
      <c r="A3165" t="s">
        <v>3477</v>
      </c>
      <c r="C3165" t="s">
        <v>3478</v>
      </c>
      <c r="D3165" t="s">
        <v>5</v>
      </c>
      <c r="E3165" t="s">
        <v>6</v>
      </c>
      <c r="F3165" t="s">
        <v>724</v>
      </c>
      <c r="G3165">
        <v>2</v>
      </c>
      <c r="H3165" s="2">
        <f>Tabelle13[[#This Row],[commits]]/Tabelle13[[#Totals],[commits]]</f>
        <v>9.2955808808492451E-6</v>
      </c>
      <c r="I3165" s="5">
        <f>Tabelle13[[#This Row],[%]]+I3164</f>
        <v>0.96885515625873198</v>
      </c>
      <c r="J3165" s="4">
        <f t="shared" si="131"/>
        <v>1.105583195135434E-4</v>
      </c>
      <c r="K3165" s="5">
        <f t="shared" si="132"/>
        <v>0.34969596462134739</v>
      </c>
    </row>
    <row r="3166" spans="1:11" x14ac:dyDescent="0.25">
      <c r="A3166" t="s">
        <v>3479</v>
      </c>
      <c r="C3166" t="s">
        <v>3480</v>
      </c>
      <c r="D3166" t="s">
        <v>5</v>
      </c>
      <c r="E3166" t="s">
        <v>6</v>
      </c>
      <c r="F3166" t="s">
        <v>724</v>
      </c>
      <c r="G3166">
        <v>2</v>
      </c>
      <c r="H3166" s="2">
        <f>Tabelle13[[#This Row],[commits]]/Tabelle13[[#Totals],[commits]]</f>
        <v>9.2955808808492451E-6</v>
      </c>
      <c r="I3166" s="5">
        <f>Tabelle13[[#This Row],[%]]+I3165</f>
        <v>0.96886445183961278</v>
      </c>
      <c r="J3166" s="4">
        <f t="shared" si="131"/>
        <v>1.105583195135434E-4</v>
      </c>
      <c r="K3166" s="5">
        <f t="shared" si="132"/>
        <v>0.34980652294086095</v>
      </c>
    </row>
    <row r="3167" spans="1:11" x14ac:dyDescent="0.25">
      <c r="A3167" t="s">
        <v>3481</v>
      </c>
      <c r="C3167" t="s">
        <v>3482</v>
      </c>
      <c r="D3167" t="s">
        <v>5</v>
      </c>
      <c r="E3167" t="s">
        <v>6</v>
      </c>
      <c r="F3167" t="s">
        <v>724</v>
      </c>
      <c r="G3167">
        <v>2</v>
      </c>
      <c r="H3167" s="2">
        <f>Tabelle13[[#This Row],[commits]]/Tabelle13[[#Totals],[commits]]</f>
        <v>9.2955808808492451E-6</v>
      </c>
      <c r="I3167" s="5">
        <f>Tabelle13[[#This Row],[%]]+I3166</f>
        <v>0.96887374742049359</v>
      </c>
      <c r="J3167" s="4">
        <f t="shared" si="131"/>
        <v>1.105583195135434E-4</v>
      </c>
      <c r="K3167" s="5">
        <f t="shared" si="132"/>
        <v>0.34991708126037452</v>
      </c>
    </row>
    <row r="3168" spans="1:11" x14ac:dyDescent="0.25">
      <c r="A3168" t="s">
        <v>3483</v>
      </c>
      <c r="C3168" t="s">
        <v>3484</v>
      </c>
      <c r="D3168" t="s">
        <v>309</v>
      </c>
      <c r="E3168" t="s">
        <v>6</v>
      </c>
      <c r="F3168" t="s">
        <v>724</v>
      </c>
      <c r="G3168">
        <v>2</v>
      </c>
      <c r="H3168" s="2">
        <f>Tabelle13[[#This Row],[commits]]/Tabelle13[[#Totals],[commits]]</f>
        <v>9.2955808808492451E-6</v>
      </c>
      <c r="I3168" s="5">
        <f>Tabelle13[[#This Row],[%]]+I3167</f>
        <v>0.9688830430013744</v>
      </c>
      <c r="J3168" s="4">
        <f t="shared" si="131"/>
        <v>1.105583195135434E-4</v>
      </c>
      <c r="K3168" s="5">
        <f t="shared" si="132"/>
        <v>0.35002763957988808</v>
      </c>
    </row>
    <row r="3169" spans="1:11" x14ac:dyDescent="0.25">
      <c r="A3169" t="s">
        <v>3485</v>
      </c>
      <c r="C3169" t="s">
        <v>3486</v>
      </c>
      <c r="D3169" t="s">
        <v>5</v>
      </c>
      <c r="E3169" t="s">
        <v>6</v>
      </c>
      <c r="F3169" t="s">
        <v>724</v>
      </c>
      <c r="G3169">
        <v>2</v>
      </c>
      <c r="H3169" s="2">
        <f>Tabelle13[[#This Row],[commits]]/Tabelle13[[#Totals],[commits]]</f>
        <v>9.2955808808492451E-6</v>
      </c>
      <c r="I3169" s="5">
        <f>Tabelle13[[#This Row],[%]]+I3168</f>
        <v>0.96889233858225521</v>
      </c>
      <c r="J3169" s="4">
        <f t="shared" si="131"/>
        <v>1.105583195135434E-4</v>
      </c>
      <c r="K3169" s="5">
        <f t="shared" si="132"/>
        <v>0.35013819789940165</v>
      </c>
    </row>
    <row r="3170" spans="1:11" x14ac:dyDescent="0.25">
      <c r="A3170" t="s">
        <v>3487</v>
      </c>
      <c r="C3170" t="s">
        <v>3488</v>
      </c>
      <c r="D3170" t="s">
        <v>5</v>
      </c>
      <c r="E3170" t="s">
        <v>6</v>
      </c>
      <c r="F3170" t="s">
        <v>724</v>
      </c>
      <c r="G3170">
        <v>2</v>
      </c>
      <c r="H3170" s="2">
        <f>Tabelle13[[#This Row],[commits]]/Tabelle13[[#Totals],[commits]]</f>
        <v>9.2955808808492451E-6</v>
      </c>
      <c r="I3170" s="5">
        <f>Tabelle13[[#This Row],[%]]+I3169</f>
        <v>0.96890163416313602</v>
      </c>
      <c r="J3170" s="4">
        <f t="shared" si="131"/>
        <v>1.105583195135434E-4</v>
      </c>
      <c r="K3170" s="5">
        <f t="shared" si="132"/>
        <v>0.35024875621891521</v>
      </c>
    </row>
    <row r="3171" spans="1:11" x14ac:dyDescent="0.25">
      <c r="A3171" t="s">
        <v>4678</v>
      </c>
      <c r="C3171" t="s">
        <v>4679</v>
      </c>
      <c r="D3171" t="s">
        <v>5</v>
      </c>
      <c r="E3171" t="s">
        <v>6</v>
      </c>
      <c r="F3171" t="s">
        <v>251</v>
      </c>
      <c r="G3171">
        <v>2</v>
      </c>
      <c r="H3171" s="2">
        <f>Tabelle13[[#This Row],[commits]]/Tabelle13[[#Totals],[commits]]</f>
        <v>9.2955808808492451E-6</v>
      </c>
      <c r="I3171" s="5">
        <f>Tabelle13[[#This Row],[%]]+I3170</f>
        <v>0.96891092974401682</v>
      </c>
      <c r="J3171" s="4">
        <f t="shared" si="131"/>
        <v>1.105583195135434E-4</v>
      </c>
      <c r="K3171" s="5">
        <f t="shared" si="132"/>
        <v>0.35035931453842878</v>
      </c>
    </row>
    <row r="3172" spans="1:11" x14ac:dyDescent="0.25">
      <c r="A3172" t="s">
        <v>4902</v>
      </c>
      <c r="C3172" t="s">
        <v>4903</v>
      </c>
      <c r="D3172" t="s">
        <v>5</v>
      </c>
      <c r="E3172" t="s">
        <v>6</v>
      </c>
      <c r="F3172" t="s">
        <v>251</v>
      </c>
      <c r="G3172">
        <v>2</v>
      </c>
      <c r="H3172" s="2">
        <f>Tabelle13[[#This Row],[commits]]/Tabelle13[[#Totals],[commits]]</f>
        <v>9.2955808808492451E-6</v>
      </c>
      <c r="I3172" s="5">
        <f>Tabelle13[[#This Row],[%]]+I3171</f>
        <v>0.96892022532489763</v>
      </c>
      <c r="J3172" s="4">
        <f t="shared" si="131"/>
        <v>1.105583195135434E-4</v>
      </c>
      <c r="K3172" s="5">
        <f t="shared" si="132"/>
        <v>0.35046987285794234</v>
      </c>
    </row>
    <row r="3173" spans="1:11" x14ac:dyDescent="0.25">
      <c r="A3173" t="s">
        <v>5542</v>
      </c>
      <c r="C3173" t="s">
        <v>5543</v>
      </c>
      <c r="D3173" t="s">
        <v>5</v>
      </c>
      <c r="E3173" t="s">
        <v>6</v>
      </c>
      <c r="F3173" t="s">
        <v>334</v>
      </c>
      <c r="G3173">
        <v>2</v>
      </c>
      <c r="H3173" s="2">
        <f>Tabelle13[[#This Row],[commits]]/Tabelle13[[#Totals],[commits]]</f>
        <v>9.2955808808492451E-6</v>
      </c>
      <c r="I3173" s="5">
        <f>Tabelle13[[#This Row],[%]]+I3172</f>
        <v>0.96892952090577844</v>
      </c>
      <c r="J3173" s="4">
        <f t="shared" si="131"/>
        <v>1.105583195135434E-4</v>
      </c>
      <c r="K3173" s="5">
        <f t="shared" si="132"/>
        <v>0.35058043117745591</v>
      </c>
    </row>
    <row r="3174" spans="1:11" x14ac:dyDescent="0.25">
      <c r="A3174" t="s">
        <v>5553</v>
      </c>
      <c r="C3174" t="s">
        <v>1427</v>
      </c>
      <c r="D3174" t="s">
        <v>5</v>
      </c>
      <c r="E3174" t="s">
        <v>6</v>
      </c>
      <c r="F3174" t="s">
        <v>251</v>
      </c>
      <c r="G3174">
        <v>2</v>
      </c>
      <c r="H3174" s="2">
        <f>Tabelle13[[#This Row],[commits]]/Tabelle13[[#Totals],[commits]]</f>
        <v>9.2955808808492451E-6</v>
      </c>
      <c r="I3174" s="5">
        <f>Tabelle13[[#This Row],[%]]+I3173</f>
        <v>0.96893881648665925</v>
      </c>
      <c r="J3174" s="4">
        <f t="shared" si="131"/>
        <v>1.105583195135434E-4</v>
      </c>
      <c r="K3174" s="5">
        <f t="shared" si="132"/>
        <v>0.35069098949696947</v>
      </c>
    </row>
    <row r="3175" spans="1:11" x14ac:dyDescent="0.25">
      <c r="A3175" t="s">
        <v>5728</v>
      </c>
      <c r="C3175">
        <v>451417726</v>
      </c>
      <c r="D3175" t="s">
        <v>5</v>
      </c>
      <c r="E3175" t="s">
        <v>6</v>
      </c>
      <c r="F3175" t="s">
        <v>28</v>
      </c>
      <c r="G3175">
        <v>2</v>
      </c>
      <c r="H3175" s="2">
        <f>Tabelle13[[#This Row],[commits]]/Tabelle13[[#Totals],[commits]]</f>
        <v>9.2955808808492451E-6</v>
      </c>
      <c r="I3175" s="5">
        <f>Tabelle13[[#This Row],[%]]+I3174</f>
        <v>0.96894811206754006</v>
      </c>
      <c r="J3175" s="4">
        <f t="shared" si="131"/>
        <v>1.105583195135434E-4</v>
      </c>
      <c r="K3175" s="5">
        <f t="shared" si="132"/>
        <v>0.35080154781648304</v>
      </c>
    </row>
    <row r="3176" spans="1:11" x14ac:dyDescent="0.25">
      <c r="A3176" t="s">
        <v>5729</v>
      </c>
      <c r="C3176">
        <v>2356281422</v>
      </c>
      <c r="D3176" t="s">
        <v>5</v>
      </c>
      <c r="E3176" t="s">
        <v>6</v>
      </c>
      <c r="F3176" t="s">
        <v>28</v>
      </c>
      <c r="G3176">
        <v>2</v>
      </c>
      <c r="H3176" s="2">
        <f>Tabelle13[[#This Row],[commits]]/Tabelle13[[#Totals],[commits]]</f>
        <v>9.2955808808492451E-6</v>
      </c>
      <c r="I3176" s="5">
        <f>Tabelle13[[#This Row],[%]]+I3175</f>
        <v>0.96895740764842087</v>
      </c>
      <c r="J3176" s="4">
        <f t="shared" si="131"/>
        <v>1.105583195135434E-4</v>
      </c>
      <c r="K3176" s="5">
        <f t="shared" si="132"/>
        <v>0.3509121061359966</v>
      </c>
    </row>
    <row r="3177" spans="1:11" x14ac:dyDescent="0.25">
      <c r="A3177" t="s">
        <v>5730</v>
      </c>
      <c r="C3177">
        <v>18366276315</v>
      </c>
      <c r="D3177" t="s">
        <v>5</v>
      </c>
      <c r="E3177" t="s">
        <v>6</v>
      </c>
      <c r="F3177" t="s">
        <v>28</v>
      </c>
      <c r="G3177">
        <v>2</v>
      </c>
      <c r="H3177" s="2">
        <f>Tabelle13[[#This Row],[commits]]/Tabelle13[[#Totals],[commits]]</f>
        <v>9.2955808808492451E-6</v>
      </c>
      <c r="I3177" s="5">
        <f>Tabelle13[[#This Row],[%]]+I3176</f>
        <v>0.96896670322930167</v>
      </c>
      <c r="J3177" s="4">
        <f t="shared" si="131"/>
        <v>1.105583195135434E-4</v>
      </c>
      <c r="K3177" s="5">
        <f t="shared" si="132"/>
        <v>0.35102266445551017</v>
      </c>
    </row>
    <row r="3178" spans="1:11" x14ac:dyDescent="0.25">
      <c r="A3178" t="s">
        <v>5731</v>
      </c>
      <c r="C3178" t="s">
        <v>5732</v>
      </c>
      <c r="D3178" t="s">
        <v>5</v>
      </c>
      <c r="E3178" t="s">
        <v>6</v>
      </c>
      <c r="F3178" t="s">
        <v>28</v>
      </c>
      <c r="G3178">
        <v>2</v>
      </c>
      <c r="H3178" s="2">
        <f>Tabelle13[[#This Row],[commits]]/Tabelle13[[#Totals],[commits]]</f>
        <v>9.2955808808492451E-6</v>
      </c>
      <c r="I3178" s="5">
        <f>Tabelle13[[#This Row],[%]]+I3177</f>
        <v>0.96897599881018248</v>
      </c>
      <c r="J3178" s="4">
        <f t="shared" si="131"/>
        <v>1.105583195135434E-4</v>
      </c>
      <c r="K3178" s="5">
        <f t="shared" si="132"/>
        <v>0.35113322277502373</v>
      </c>
    </row>
    <row r="3179" spans="1:11" x14ac:dyDescent="0.25">
      <c r="A3179" t="s">
        <v>5733</v>
      </c>
      <c r="C3179" t="s">
        <v>5734</v>
      </c>
      <c r="D3179" t="s">
        <v>5</v>
      </c>
      <c r="E3179" t="s">
        <v>6</v>
      </c>
      <c r="F3179" t="s">
        <v>28</v>
      </c>
      <c r="G3179">
        <v>2</v>
      </c>
      <c r="H3179" s="2">
        <f>Tabelle13[[#This Row],[commits]]/Tabelle13[[#Totals],[commits]]</f>
        <v>9.2955808808492451E-6</v>
      </c>
      <c r="I3179" s="5">
        <f>Tabelle13[[#This Row],[%]]+I3178</f>
        <v>0.96898529439106329</v>
      </c>
      <c r="J3179" s="4">
        <f t="shared" si="131"/>
        <v>1.105583195135434E-4</v>
      </c>
      <c r="K3179" s="5">
        <f t="shared" si="132"/>
        <v>0.3512437810945373</v>
      </c>
    </row>
    <row r="3180" spans="1:11" x14ac:dyDescent="0.25">
      <c r="A3180" t="s">
        <v>5735</v>
      </c>
      <c r="C3180" t="s">
        <v>5736</v>
      </c>
      <c r="D3180" t="s">
        <v>5</v>
      </c>
      <c r="E3180" t="s">
        <v>6</v>
      </c>
      <c r="F3180" t="s">
        <v>28</v>
      </c>
      <c r="G3180">
        <v>2</v>
      </c>
      <c r="H3180" s="2">
        <f>Tabelle13[[#This Row],[commits]]/Tabelle13[[#Totals],[commits]]</f>
        <v>9.2955808808492451E-6</v>
      </c>
      <c r="I3180" s="5">
        <f>Tabelle13[[#This Row],[%]]+I3179</f>
        <v>0.9689945899719441</v>
      </c>
      <c r="J3180" s="4">
        <f t="shared" si="131"/>
        <v>1.105583195135434E-4</v>
      </c>
      <c r="K3180" s="5">
        <f t="shared" si="132"/>
        <v>0.35135433941405086</v>
      </c>
    </row>
    <row r="3181" spans="1:11" x14ac:dyDescent="0.25">
      <c r="A3181" t="s">
        <v>5737</v>
      </c>
      <c r="C3181" t="s">
        <v>5738</v>
      </c>
      <c r="D3181" t="s">
        <v>5</v>
      </c>
      <c r="E3181" t="s">
        <v>6</v>
      </c>
      <c r="F3181" t="s">
        <v>28</v>
      </c>
      <c r="G3181">
        <v>2</v>
      </c>
      <c r="H3181" s="2">
        <f>Tabelle13[[#This Row],[commits]]/Tabelle13[[#Totals],[commits]]</f>
        <v>9.2955808808492451E-6</v>
      </c>
      <c r="I3181" s="5">
        <f>Tabelle13[[#This Row],[%]]+I3180</f>
        <v>0.96900388555282491</v>
      </c>
      <c r="J3181" s="4">
        <f t="shared" si="131"/>
        <v>1.105583195135434E-4</v>
      </c>
      <c r="K3181" s="5">
        <f t="shared" si="132"/>
        <v>0.35146489773356443</v>
      </c>
    </row>
    <row r="3182" spans="1:11" x14ac:dyDescent="0.25">
      <c r="A3182" t="s">
        <v>5739</v>
      </c>
      <c r="C3182" t="s">
        <v>5740</v>
      </c>
      <c r="D3182" t="s">
        <v>5</v>
      </c>
      <c r="E3182" t="s">
        <v>6</v>
      </c>
      <c r="F3182" t="s">
        <v>28</v>
      </c>
      <c r="G3182">
        <v>2</v>
      </c>
      <c r="H3182" s="2">
        <f>Tabelle13[[#This Row],[commits]]/Tabelle13[[#Totals],[commits]]</f>
        <v>9.2955808808492451E-6</v>
      </c>
      <c r="I3182" s="5">
        <f>Tabelle13[[#This Row],[%]]+I3181</f>
        <v>0.96901318113370571</v>
      </c>
      <c r="J3182" s="4">
        <f t="shared" si="131"/>
        <v>1.105583195135434E-4</v>
      </c>
      <c r="K3182" s="5">
        <f t="shared" si="132"/>
        <v>0.35157545605307799</v>
      </c>
    </row>
    <row r="3183" spans="1:11" x14ac:dyDescent="0.25">
      <c r="A3183" t="s">
        <v>5741</v>
      </c>
      <c r="C3183" t="s">
        <v>5742</v>
      </c>
      <c r="D3183" t="s">
        <v>5</v>
      </c>
      <c r="E3183" t="s">
        <v>6</v>
      </c>
      <c r="F3183" t="s">
        <v>28</v>
      </c>
      <c r="G3183">
        <v>2</v>
      </c>
      <c r="H3183" s="2">
        <f>Tabelle13[[#This Row],[commits]]/Tabelle13[[#Totals],[commits]]</f>
        <v>9.2955808808492451E-6</v>
      </c>
      <c r="I3183" s="5">
        <f>Tabelle13[[#This Row],[%]]+I3182</f>
        <v>0.96902247671458652</v>
      </c>
      <c r="J3183" s="4">
        <f t="shared" si="131"/>
        <v>1.105583195135434E-4</v>
      </c>
      <c r="K3183" s="5">
        <f t="shared" si="132"/>
        <v>0.35168601437259156</v>
      </c>
    </row>
    <row r="3184" spans="1:11" x14ac:dyDescent="0.25">
      <c r="A3184" t="s">
        <v>5743</v>
      </c>
      <c r="C3184" t="s">
        <v>5744</v>
      </c>
      <c r="D3184" t="s">
        <v>5</v>
      </c>
      <c r="E3184" t="s">
        <v>6</v>
      </c>
      <c r="F3184" t="s">
        <v>28</v>
      </c>
      <c r="G3184">
        <v>2</v>
      </c>
      <c r="H3184" s="2">
        <f>Tabelle13[[#This Row],[commits]]/Tabelle13[[#Totals],[commits]]</f>
        <v>9.2955808808492451E-6</v>
      </c>
      <c r="I3184" s="5">
        <f>Tabelle13[[#This Row],[%]]+I3183</f>
        <v>0.96903177229546733</v>
      </c>
      <c r="J3184" s="4">
        <f t="shared" si="131"/>
        <v>1.105583195135434E-4</v>
      </c>
      <c r="K3184" s="5">
        <f t="shared" si="132"/>
        <v>0.35179657269210513</v>
      </c>
    </row>
    <row r="3185" spans="1:11" x14ac:dyDescent="0.25">
      <c r="A3185" t="s">
        <v>5745</v>
      </c>
      <c r="C3185" t="s">
        <v>5746</v>
      </c>
      <c r="D3185" t="s">
        <v>5</v>
      </c>
      <c r="E3185" t="s">
        <v>6</v>
      </c>
      <c r="F3185" t="s">
        <v>28</v>
      </c>
      <c r="G3185">
        <v>2</v>
      </c>
      <c r="H3185" s="2">
        <f>Tabelle13[[#This Row],[commits]]/Tabelle13[[#Totals],[commits]]</f>
        <v>9.2955808808492451E-6</v>
      </c>
      <c r="I3185" s="5">
        <f>Tabelle13[[#This Row],[%]]+I3184</f>
        <v>0.96904106787634814</v>
      </c>
      <c r="J3185" s="4">
        <f t="shared" si="131"/>
        <v>1.105583195135434E-4</v>
      </c>
      <c r="K3185" s="5">
        <f t="shared" si="132"/>
        <v>0.35190713101161869</v>
      </c>
    </row>
    <row r="3186" spans="1:11" x14ac:dyDescent="0.25">
      <c r="A3186" t="s">
        <v>5747</v>
      </c>
      <c r="C3186" t="s">
        <v>5748</v>
      </c>
      <c r="D3186" t="s">
        <v>5</v>
      </c>
      <c r="E3186" t="s">
        <v>6</v>
      </c>
      <c r="F3186" t="s">
        <v>28</v>
      </c>
      <c r="G3186">
        <v>2</v>
      </c>
      <c r="H3186" s="2">
        <f>Tabelle13[[#This Row],[commits]]/Tabelle13[[#Totals],[commits]]</f>
        <v>9.2955808808492451E-6</v>
      </c>
      <c r="I3186" s="5">
        <f>Tabelle13[[#This Row],[%]]+I3185</f>
        <v>0.96905036345722895</v>
      </c>
      <c r="J3186" s="4">
        <f t="shared" si="131"/>
        <v>1.105583195135434E-4</v>
      </c>
      <c r="K3186" s="5">
        <f t="shared" si="132"/>
        <v>0.35201768933113226</v>
      </c>
    </row>
    <row r="3187" spans="1:11" x14ac:dyDescent="0.25">
      <c r="A3187" t="s">
        <v>5749</v>
      </c>
      <c r="C3187" t="s">
        <v>5750</v>
      </c>
      <c r="D3187" t="s">
        <v>5</v>
      </c>
      <c r="E3187" t="s">
        <v>6</v>
      </c>
      <c r="F3187" t="s">
        <v>28</v>
      </c>
      <c r="G3187">
        <v>2</v>
      </c>
      <c r="H3187" s="2">
        <f>Tabelle13[[#This Row],[commits]]/Tabelle13[[#Totals],[commits]]</f>
        <v>9.2955808808492451E-6</v>
      </c>
      <c r="I3187" s="5">
        <f>Tabelle13[[#This Row],[%]]+I3186</f>
        <v>0.96905965903810976</v>
      </c>
      <c r="J3187" s="4">
        <f t="shared" si="131"/>
        <v>1.105583195135434E-4</v>
      </c>
      <c r="K3187" s="5">
        <f t="shared" si="132"/>
        <v>0.35212824765064582</v>
      </c>
    </row>
    <row r="3188" spans="1:11" x14ac:dyDescent="0.25">
      <c r="A3188" t="s">
        <v>5751</v>
      </c>
      <c r="C3188" t="s">
        <v>5752</v>
      </c>
      <c r="D3188" t="s">
        <v>5</v>
      </c>
      <c r="E3188" t="s">
        <v>6</v>
      </c>
      <c r="F3188" t="s">
        <v>28</v>
      </c>
      <c r="G3188">
        <v>2</v>
      </c>
      <c r="H3188" s="2">
        <f>Tabelle13[[#This Row],[commits]]/Tabelle13[[#Totals],[commits]]</f>
        <v>9.2955808808492451E-6</v>
      </c>
      <c r="I3188" s="5">
        <f>Tabelle13[[#This Row],[%]]+I3187</f>
        <v>0.96906895461899056</v>
      </c>
      <c r="J3188" s="4">
        <f t="shared" si="131"/>
        <v>1.105583195135434E-4</v>
      </c>
      <c r="K3188" s="5">
        <f t="shared" si="132"/>
        <v>0.35223880597015939</v>
      </c>
    </row>
    <row r="3189" spans="1:11" x14ac:dyDescent="0.25">
      <c r="A3189" t="s">
        <v>5753</v>
      </c>
      <c r="C3189" t="s">
        <v>5754</v>
      </c>
      <c r="D3189" t="s">
        <v>5</v>
      </c>
      <c r="E3189" t="s">
        <v>6</v>
      </c>
      <c r="F3189" t="s">
        <v>28</v>
      </c>
      <c r="G3189">
        <v>2</v>
      </c>
      <c r="H3189" s="2">
        <f>Tabelle13[[#This Row],[commits]]/Tabelle13[[#Totals],[commits]]</f>
        <v>9.2955808808492451E-6</v>
      </c>
      <c r="I3189" s="5">
        <f>Tabelle13[[#This Row],[%]]+I3188</f>
        <v>0.96907825019987137</v>
      </c>
      <c r="J3189" s="4">
        <f t="shared" si="131"/>
        <v>1.105583195135434E-4</v>
      </c>
      <c r="K3189" s="5">
        <f t="shared" si="132"/>
        <v>0.35234936428967295</v>
      </c>
    </row>
    <row r="3190" spans="1:11" x14ac:dyDescent="0.25">
      <c r="A3190" t="s">
        <v>5755</v>
      </c>
      <c r="C3190" t="s">
        <v>5756</v>
      </c>
      <c r="D3190" t="s">
        <v>5</v>
      </c>
      <c r="E3190" t="s">
        <v>6</v>
      </c>
      <c r="F3190" t="s">
        <v>28</v>
      </c>
      <c r="G3190">
        <v>2</v>
      </c>
      <c r="H3190" s="2">
        <f>Tabelle13[[#This Row],[commits]]/Tabelle13[[#Totals],[commits]]</f>
        <v>9.2955808808492451E-6</v>
      </c>
      <c r="I3190" s="5">
        <f>Tabelle13[[#This Row],[%]]+I3189</f>
        <v>0.96908754578075218</v>
      </c>
      <c r="J3190" s="4">
        <f t="shared" si="131"/>
        <v>1.105583195135434E-4</v>
      </c>
      <c r="K3190" s="5">
        <f t="shared" si="132"/>
        <v>0.35245992260918652</v>
      </c>
    </row>
    <row r="3191" spans="1:11" x14ac:dyDescent="0.25">
      <c r="A3191" t="s">
        <v>5757</v>
      </c>
      <c r="C3191" t="s">
        <v>5758</v>
      </c>
      <c r="D3191" t="s">
        <v>5</v>
      </c>
      <c r="E3191" t="s">
        <v>6</v>
      </c>
      <c r="F3191" t="s">
        <v>28</v>
      </c>
      <c r="G3191">
        <v>2</v>
      </c>
      <c r="H3191" s="2">
        <f>Tabelle13[[#This Row],[commits]]/Tabelle13[[#Totals],[commits]]</f>
        <v>9.2955808808492451E-6</v>
      </c>
      <c r="I3191" s="5">
        <f>Tabelle13[[#This Row],[%]]+I3190</f>
        <v>0.96909684136163299</v>
      </c>
      <c r="J3191" s="4">
        <f t="shared" si="131"/>
        <v>1.105583195135434E-4</v>
      </c>
      <c r="K3191" s="5">
        <f t="shared" si="132"/>
        <v>0.35257048092870008</v>
      </c>
    </row>
    <row r="3192" spans="1:11" x14ac:dyDescent="0.25">
      <c r="A3192" t="s">
        <v>5759</v>
      </c>
      <c r="C3192" t="s">
        <v>5760</v>
      </c>
      <c r="D3192" t="s">
        <v>5</v>
      </c>
      <c r="E3192" t="s">
        <v>6</v>
      </c>
      <c r="F3192" t="s">
        <v>28</v>
      </c>
      <c r="G3192">
        <v>2</v>
      </c>
      <c r="H3192" s="2">
        <f>Tabelle13[[#This Row],[commits]]/Tabelle13[[#Totals],[commits]]</f>
        <v>9.2955808808492451E-6</v>
      </c>
      <c r="I3192" s="5">
        <f>Tabelle13[[#This Row],[%]]+I3191</f>
        <v>0.9691061369425138</v>
      </c>
      <c r="J3192" s="4">
        <f t="shared" si="131"/>
        <v>1.105583195135434E-4</v>
      </c>
      <c r="K3192" s="5">
        <f t="shared" si="132"/>
        <v>0.35268103924821365</v>
      </c>
    </row>
    <row r="3193" spans="1:11" x14ac:dyDescent="0.25">
      <c r="A3193" t="s">
        <v>5761</v>
      </c>
      <c r="C3193" t="s">
        <v>5762</v>
      </c>
      <c r="D3193" t="s">
        <v>5</v>
      </c>
      <c r="E3193" t="s">
        <v>6</v>
      </c>
      <c r="F3193" t="s">
        <v>28</v>
      </c>
      <c r="G3193">
        <v>2</v>
      </c>
      <c r="H3193" s="2">
        <f>Tabelle13[[#This Row],[commits]]/Tabelle13[[#Totals],[commits]]</f>
        <v>9.2955808808492451E-6</v>
      </c>
      <c r="I3193" s="5">
        <f>Tabelle13[[#This Row],[%]]+I3192</f>
        <v>0.9691154325233946</v>
      </c>
      <c r="J3193" s="4">
        <f t="shared" si="131"/>
        <v>1.105583195135434E-4</v>
      </c>
      <c r="K3193" s="5">
        <f t="shared" si="132"/>
        <v>0.35279159756772721</v>
      </c>
    </row>
    <row r="3194" spans="1:11" x14ac:dyDescent="0.25">
      <c r="A3194" t="s">
        <v>5763</v>
      </c>
      <c r="C3194" t="s">
        <v>5764</v>
      </c>
      <c r="D3194" t="s">
        <v>5</v>
      </c>
      <c r="E3194" t="s">
        <v>6</v>
      </c>
      <c r="F3194" t="s">
        <v>28</v>
      </c>
      <c r="G3194">
        <v>2</v>
      </c>
      <c r="H3194" s="2">
        <f>Tabelle13[[#This Row],[commits]]/Tabelle13[[#Totals],[commits]]</f>
        <v>9.2955808808492451E-6</v>
      </c>
      <c r="I3194" s="5">
        <f>Tabelle13[[#This Row],[%]]+I3193</f>
        <v>0.96912472810427541</v>
      </c>
      <c r="J3194" s="4">
        <f t="shared" si="131"/>
        <v>1.105583195135434E-4</v>
      </c>
      <c r="K3194" s="5">
        <f t="shared" si="132"/>
        <v>0.35290215588724078</v>
      </c>
    </row>
    <row r="3195" spans="1:11" x14ac:dyDescent="0.25">
      <c r="A3195" t="s">
        <v>5765</v>
      </c>
      <c r="C3195" t="s">
        <v>5766</v>
      </c>
      <c r="D3195" t="s">
        <v>5</v>
      </c>
      <c r="E3195" t="s">
        <v>6</v>
      </c>
      <c r="F3195" t="s">
        <v>28</v>
      </c>
      <c r="G3195">
        <v>2</v>
      </c>
      <c r="H3195" s="2">
        <f>Tabelle13[[#This Row],[commits]]/Tabelle13[[#Totals],[commits]]</f>
        <v>9.2955808808492451E-6</v>
      </c>
      <c r="I3195" s="5">
        <f>Tabelle13[[#This Row],[%]]+I3194</f>
        <v>0.96913402368515622</v>
      </c>
      <c r="J3195" s="4">
        <f t="shared" si="131"/>
        <v>1.105583195135434E-4</v>
      </c>
      <c r="K3195" s="5">
        <f t="shared" si="132"/>
        <v>0.35301271420675434</v>
      </c>
    </row>
    <row r="3196" spans="1:11" x14ac:dyDescent="0.25">
      <c r="A3196" t="s">
        <v>5767</v>
      </c>
      <c r="C3196" t="s">
        <v>5768</v>
      </c>
      <c r="D3196" t="s">
        <v>5</v>
      </c>
      <c r="E3196" t="s">
        <v>6</v>
      </c>
      <c r="F3196" t="s">
        <v>28</v>
      </c>
      <c r="G3196">
        <v>2</v>
      </c>
      <c r="H3196" s="2">
        <f>Tabelle13[[#This Row],[commits]]/Tabelle13[[#Totals],[commits]]</f>
        <v>9.2955808808492451E-6</v>
      </c>
      <c r="I3196" s="5">
        <f>Tabelle13[[#This Row],[%]]+I3195</f>
        <v>0.96914331926603703</v>
      </c>
      <c r="J3196" s="4">
        <f t="shared" si="131"/>
        <v>1.105583195135434E-4</v>
      </c>
      <c r="K3196" s="5">
        <f t="shared" si="132"/>
        <v>0.35312327252626791</v>
      </c>
    </row>
    <row r="3197" spans="1:11" x14ac:dyDescent="0.25">
      <c r="A3197" t="s">
        <v>5769</v>
      </c>
      <c r="C3197" t="s">
        <v>5770</v>
      </c>
      <c r="D3197" t="s">
        <v>5</v>
      </c>
      <c r="E3197" t="s">
        <v>6</v>
      </c>
      <c r="F3197" t="s">
        <v>28</v>
      </c>
      <c r="G3197">
        <v>2</v>
      </c>
      <c r="H3197" s="2">
        <f>Tabelle13[[#This Row],[commits]]/Tabelle13[[#Totals],[commits]]</f>
        <v>9.2955808808492451E-6</v>
      </c>
      <c r="I3197" s="5">
        <f>Tabelle13[[#This Row],[%]]+I3196</f>
        <v>0.96915261484691784</v>
      </c>
      <c r="J3197" s="4">
        <f t="shared" si="131"/>
        <v>1.105583195135434E-4</v>
      </c>
      <c r="K3197" s="5">
        <f t="shared" si="132"/>
        <v>0.35323383084578147</v>
      </c>
    </row>
    <row r="3198" spans="1:11" x14ac:dyDescent="0.25">
      <c r="A3198" t="s">
        <v>5773</v>
      </c>
      <c r="C3198" t="s">
        <v>5774</v>
      </c>
      <c r="D3198" t="s">
        <v>5</v>
      </c>
      <c r="E3198" t="s">
        <v>6</v>
      </c>
      <c r="F3198" t="s">
        <v>28</v>
      </c>
      <c r="G3198">
        <v>2</v>
      </c>
      <c r="H3198" s="2">
        <f>Tabelle13[[#This Row],[commits]]/Tabelle13[[#Totals],[commits]]</f>
        <v>9.2955808808492451E-6</v>
      </c>
      <c r="I3198" s="5">
        <f>Tabelle13[[#This Row],[%]]+I3197</f>
        <v>0.96916191042779865</v>
      </c>
      <c r="J3198" s="4">
        <f t="shared" si="131"/>
        <v>1.105583195135434E-4</v>
      </c>
      <c r="K3198" s="5">
        <f t="shared" si="132"/>
        <v>0.35334438916529504</v>
      </c>
    </row>
    <row r="3199" spans="1:11" x14ac:dyDescent="0.25">
      <c r="A3199" t="s">
        <v>5775</v>
      </c>
      <c r="C3199" t="s">
        <v>5776</v>
      </c>
      <c r="D3199" t="s">
        <v>5</v>
      </c>
      <c r="E3199" t="s">
        <v>6</v>
      </c>
      <c r="F3199" t="s">
        <v>28</v>
      </c>
      <c r="G3199">
        <v>2</v>
      </c>
      <c r="H3199" s="2">
        <f>Tabelle13[[#This Row],[commits]]/Tabelle13[[#Totals],[commits]]</f>
        <v>9.2955808808492451E-6</v>
      </c>
      <c r="I3199" s="5">
        <f>Tabelle13[[#This Row],[%]]+I3198</f>
        <v>0.96917120600867945</v>
      </c>
      <c r="J3199" s="4">
        <f t="shared" si="131"/>
        <v>1.105583195135434E-4</v>
      </c>
      <c r="K3199" s="5">
        <f t="shared" si="132"/>
        <v>0.3534549474848086</v>
      </c>
    </row>
    <row r="3200" spans="1:11" x14ac:dyDescent="0.25">
      <c r="A3200" t="s">
        <v>5777</v>
      </c>
      <c r="C3200" t="s">
        <v>5778</v>
      </c>
      <c r="D3200" t="s">
        <v>5</v>
      </c>
      <c r="E3200" t="s">
        <v>6</v>
      </c>
      <c r="F3200" t="s">
        <v>28</v>
      </c>
      <c r="G3200">
        <v>2</v>
      </c>
      <c r="H3200" s="2">
        <f>Tabelle13[[#This Row],[commits]]/Tabelle13[[#Totals],[commits]]</f>
        <v>9.2955808808492451E-6</v>
      </c>
      <c r="I3200" s="5">
        <f>Tabelle13[[#This Row],[%]]+I3199</f>
        <v>0.96918050158956026</v>
      </c>
      <c r="J3200" s="4">
        <f t="shared" si="131"/>
        <v>1.105583195135434E-4</v>
      </c>
      <c r="K3200" s="5">
        <f t="shared" si="132"/>
        <v>0.35356550580432217</v>
      </c>
    </row>
    <row r="3201" spans="1:11" x14ac:dyDescent="0.25">
      <c r="A3201" t="s">
        <v>5779</v>
      </c>
      <c r="C3201" t="s">
        <v>5780</v>
      </c>
      <c r="D3201" t="s">
        <v>5</v>
      </c>
      <c r="E3201" t="s">
        <v>6</v>
      </c>
      <c r="F3201" t="s">
        <v>28</v>
      </c>
      <c r="G3201">
        <v>2</v>
      </c>
      <c r="H3201" s="2">
        <f>Tabelle13[[#This Row],[commits]]/Tabelle13[[#Totals],[commits]]</f>
        <v>9.2955808808492451E-6</v>
      </c>
      <c r="I3201" s="5">
        <f>Tabelle13[[#This Row],[%]]+I3200</f>
        <v>0.96918979717044107</v>
      </c>
      <c r="J3201" s="4">
        <f t="shared" si="131"/>
        <v>1.105583195135434E-4</v>
      </c>
      <c r="K3201" s="5">
        <f t="shared" si="132"/>
        <v>0.35367606412383573</v>
      </c>
    </row>
    <row r="3202" spans="1:11" x14ac:dyDescent="0.25">
      <c r="A3202" t="s">
        <v>5781</v>
      </c>
      <c r="C3202" t="s">
        <v>5782</v>
      </c>
      <c r="D3202" t="s">
        <v>5</v>
      </c>
      <c r="E3202" t="s">
        <v>6</v>
      </c>
      <c r="F3202" t="s">
        <v>28</v>
      </c>
      <c r="G3202">
        <v>2</v>
      </c>
      <c r="H3202" s="2">
        <f>Tabelle13[[#This Row],[commits]]/Tabelle13[[#Totals],[commits]]</f>
        <v>9.2955808808492451E-6</v>
      </c>
      <c r="I3202" s="5">
        <f>Tabelle13[[#This Row],[%]]+I3201</f>
        <v>0.96919909275132188</v>
      </c>
      <c r="J3202" s="4">
        <f t="shared" si="131"/>
        <v>1.105583195135434E-4</v>
      </c>
      <c r="K3202" s="5">
        <f t="shared" si="132"/>
        <v>0.3537866224433493</v>
      </c>
    </row>
    <row r="3203" spans="1:11" x14ac:dyDescent="0.25">
      <c r="A3203" t="s">
        <v>5783</v>
      </c>
      <c r="C3203" t="s">
        <v>5784</v>
      </c>
      <c r="D3203" t="s">
        <v>5</v>
      </c>
      <c r="E3203" t="s">
        <v>6</v>
      </c>
      <c r="F3203" t="s">
        <v>28</v>
      </c>
      <c r="G3203">
        <v>2</v>
      </c>
      <c r="H3203" s="2">
        <f>Tabelle13[[#This Row],[commits]]/Tabelle13[[#Totals],[commits]]</f>
        <v>9.2955808808492451E-6</v>
      </c>
      <c r="I3203" s="5">
        <f>Tabelle13[[#This Row],[%]]+I3202</f>
        <v>0.96920838833220269</v>
      </c>
      <c r="J3203" s="4">
        <f t="shared" ref="J3203:J3266" si="133">1/9045</f>
        <v>1.105583195135434E-4</v>
      </c>
      <c r="K3203" s="5">
        <f t="shared" si="132"/>
        <v>0.35389718076286286</v>
      </c>
    </row>
    <row r="3204" spans="1:11" x14ac:dyDescent="0.25">
      <c r="A3204" t="s">
        <v>5785</v>
      </c>
      <c r="C3204" t="s">
        <v>5786</v>
      </c>
      <c r="D3204" t="s">
        <v>5175</v>
      </c>
      <c r="E3204" t="s">
        <v>6</v>
      </c>
      <c r="F3204" t="s">
        <v>28</v>
      </c>
      <c r="G3204">
        <v>2</v>
      </c>
      <c r="H3204" s="2">
        <f>Tabelle13[[#This Row],[commits]]/Tabelle13[[#Totals],[commits]]</f>
        <v>9.2955808808492451E-6</v>
      </c>
      <c r="I3204" s="5">
        <f>Tabelle13[[#This Row],[%]]+I3203</f>
        <v>0.96921768391308349</v>
      </c>
      <c r="J3204" s="4">
        <f t="shared" si="133"/>
        <v>1.105583195135434E-4</v>
      </c>
      <c r="K3204" s="5">
        <f t="shared" si="132"/>
        <v>0.35400773908237643</v>
      </c>
    </row>
    <row r="3205" spans="1:11" x14ac:dyDescent="0.25">
      <c r="A3205" t="s">
        <v>5787</v>
      </c>
      <c r="C3205" t="s">
        <v>5788</v>
      </c>
      <c r="D3205" t="s">
        <v>5175</v>
      </c>
      <c r="E3205" t="s">
        <v>6</v>
      </c>
      <c r="F3205" t="s">
        <v>28</v>
      </c>
      <c r="G3205">
        <v>2</v>
      </c>
      <c r="H3205" s="2">
        <f>Tabelle13[[#This Row],[commits]]/Tabelle13[[#Totals],[commits]]</f>
        <v>9.2955808808492451E-6</v>
      </c>
      <c r="I3205" s="5">
        <f>Tabelle13[[#This Row],[%]]+I3204</f>
        <v>0.9692269794939643</v>
      </c>
      <c r="J3205" s="4">
        <f t="shared" si="133"/>
        <v>1.105583195135434E-4</v>
      </c>
      <c r="K3205" s="5">
        <f t="shared" si="132"/>
        <v>0.35411829740188999</v>
      </c>
    </row>
    <row r="3206" spans="1:11" x14ac:dyDescent="0.25">
      <c r="A3206" t="s">
        <v>5789</v>
      </c>
      <c r="C3206" t="s">
        <v>5790</v>
      </c>
      <c r="D3206" t="s">
        <v>5</v>
      </c>
      <c r="E3206" t="s">
        <v>6</v>
      </c>
      <c r="F3206" t="s">
        <v>28</v>
      </c>
      <c r="G3206">
        <v>2</v>
      </c>
      <c r="H3206" s="2">
        <f>Tabelle13[[#This Row],[commits]]/Tabelle13[[#Totals],[commits]]</f>
        <v>9.2955808808492451E-6</v>
      </c>
      <c r="I3206" s="5">
        <f>Tabelle13[[#This Row],[%]]+I3205</f>
        <v>0.96923627507484511</v>
      </c>
      <c r="J3206" s="4">
        <f t="shared" si="133"/>
        <v>1.105583195135434E-4</v>
      </c>
      <c r="K3206" s="5">
        <f t="shared" ref="K3206:K3269" si="134">J3206+K3205</f>
        <v>0.35422885572140356</v>
      </c>
    </row>
    <row r="3207" spans="1:11" x14ac:dyDescent="0.25">
      <c r="A3207" t="s">
        <v>5791</v>
      </c>
      <c r="C3207" t="s">
        <v>5792</v>
      </c>
      <c r="D3207" t="s">
        <v>5</v>
      </c>
      <c r="E3207" t="s">
        <v>6</v>
      </c>
      <c r="F3207" t="s">
        <v>28</v>
      </c>
      <c r="G3207">
        <v>2</v>
      </c>
      <c r="H3207" s="2">
        <f>Tabelle13[[#This Row],[commits]]/Tabelle13[[#Totals],[commits]]</f>
        <v>9.2955808808492451E-6</v>
      </c>
      <c r="I3207" s="5">
        <f>Tabelle13[[#This Row],[%]]+I3206</f>
        <v>0.96924557065572592</v>
      </c>
      <c r="J3207" s="4">
        <f t="shared" si="133"/>
        <v>1.105583195135434E-4</v>
      </c>
      <c r="K3207" s="5">
        <f t="shared" si="134"/>
        <v>0.35433941404091712</v>
      </c>
    </row>
    <row r="3208" spans="1:11" x14ac:dyDescent="0.25">
      <c r="A3208" t="s">
        <v>5793</v>
      </c>
      <c r="C3208" t="s">
        <v>5794</v>
      </c>
      <c r="D3208" t="s">
        <v>5</v>
      </c>
      <c r="E3208" t="s">
        <v>6</v>
      </c>
      <c r="F3208" t="s">
        <v>28</v>
      </c>
      <c r="G3208">
        <v>2</v>
      </c>
      <c r="H3208" s="2">
        <f>Tabelle13[[#This Row],[commits]]/Tabelle13[[#Totals],[commits]]</f>
        <v>9.2955808808492451E-6</v>
      </c>
      <c r="I3208" s="5">
        <f>Tabelle13[[#This Row],[%]]+I3207</f>
        <v>0.96925486623660673</v>
      </c>
      <c r="J3208" s="4">
        <f t="shared" si="133"/>
        <v>1.105583195135434E-4</v>
      </c>
      <c r="K3208" s="5">
        <f t="shared" si="134"/>
        <v>0.35444997236043069</v>
      </c>
    </row>
    <row r="3209" spans="1:11" x14ac:dyDescent="0.25">
      <c r="A3209" t="s">
        <v>5795</v>
      </c>
      <c r="C3209" t="s">
        <v>5796</v>
      </c>
      <c r="D3209" t="s">
        <v>5</v>
      </c>
      <c r="E3209" t="s">
        <v>6</v>
      </c>
      <c r="F3209" t="s">
        <v>28</v>
      </c>
      <c r="G3209">
        <v>2</v>
      </c>
      <c r="H3209" s="2">
        <f>Tabelle13[[#This Row],[commits]]/Tabelle13[[#Totals],[commits]]</f>
        <v>9.2955808808492451E-6</v>
      </c>
      <c r="I3209" s="5">
        <f>Tabelle13[[#This Row],[%]]+I3208</f>
        <v>0.96926416181748754</v>
      </c>
      <c r="J3209" s="4">
        <f t="shared" si="133"/>
        <v>1.105583195135434E-4</v>
      </c>
      <c r="K3209" s="5">
        <f t="shared" si="134"/>
        <v>0.35456053067994425</v>
      </c>
    </row>
    <row r="3210" spans="1:11" x14ac:dyDescent="0.25">
      <c r="A3210" t="s">
        <v>5797</v>
      </c>
      <c r="C3210" t="s">
        <v>266</v>
      </c>
      <c r="D3210" t="s">
        <v>5</v>
      </c>
      <c r="E3210" t="s">
        <v>6</v>
      </c>
      <c r="F3210" t="s">
        <v>28</v>
      </c>
      <c r="G3210">
        <v>2</v>
      </c>
      <c r="H3210" s="2">
        <f>Tabelle13[[#This Row],[commits]]/Tabelle13[[#Totals],[commits]]</f>
        <v>9.2955808808492451E-6</v>
      </c>
      <c r="I3210" s="5">
        <f>Tabelle13[[#This Row],[%]]+I3209</f>
        <v>0.96927345739836834</v>
      </c>
      <c r="J3210" s="4">
        <f t="shared" si="133"/>
        <v>1.105583195135434E-4</v>
      </c>
      <c r="K3210" s="5">
        <f t="shared" si="134"/>
        <v>0.35467108899945782</v>
      </c>
    </row>
    <row r="3211" spans="1:11" x14ac:dyDescent="0.25">
      <c r="A3211" t="s">
        <v>5798</v>
      </c>
      <c r="C3211" t="s">
        <v>5799</v>
      </c>
      <c r="D3211" t="s">
        <v>5</v>
      </c>
      <c r="E3211" t="s">
        <v>6</v>
      </c>
      <c r="F3211" t="s">
        <v>28</v>
      </c>
      <c r="G3211">
        <v>2</v>
      </c>
      <c r="H3211" s="2">
        <f>Tabelle13[[#This Row],[commits]]/Tabelle13[[#Totals],[commits]]</f>
        <v>9.2955808808492451E-6</v>
      </c>
      <c r="I3211" s="5">
        <f>Tabelle13[[#This Row],[%]]+I3210</f>
        <v>0.96928275297924915</v>
      </c>
      <c r="J3211" s="4">
        <f t="shared" si="133"/>
        <v>1.105583195135434E-4</v>
      </c>
      <c r="K3211" s="5">
        <f t="shared" si="134"/>
        <v>0.35478164731897138</v>
      </c>
    </row>
    <row r="3212" spans="1:11" x14ac:dyDescent="0.25">
      <c r="A3212" t="s">
        <v>5800</v>
      </c>
      <c r="C3212" t="s">
        <v>5801</v>
      </c>
      <c r="D3212" t="s">
        <v>5175</v>
      </c>
      <c r="E3212" t="s">
        <v>6</v>
      </c>
      <c r="F3212" t="s">
        <v>28</v>
      </c>
      <c r="G3212">
        <v>2</v>
      </c>
      <c r="H3212" s="2">
        <f>Tabelle13[[#This Row],[commits]]/Tabelle13[[#Totals],[commits]]</f>
        <v>9.2955808808492451E-6</v>
      </c>
      <c r="I3212" s="5">
        <f>Tabelle13[[#This Row],[%]]+I3211</f>
        <v>0.96929204856012996</v>
      </c>
      <c r="J3212" s="4">
        <f t="shared" si="133"/>
        <v>1.105583195135434E-4</v>
      </c>
      <c r="K3212" s="5">
        <f t="shared" si="134"/>
        <v>0.35489220563848495</v>
      </c>
    </row>
    <row r="3213" spans="1:11" x14ac:dyDescent="0.25">
      <c r="A3213" t="s">
        <v>5802</v>
      </c>
      <c r="C3213" t="s">
        <v>5803</v>
      </c>
      <c r="D3213" t="s">
        <v>5804</v>
      </c>
      <c r="E3213" t="s">
        <v>6</v>
      </c>
      <c r="F3213" t="s">
        <v>28</v>
      </c>
      <c r="G3213">
        <v>2</v>
      </c>
      <c r="H3213" s="2">
        <f>Tabelle13[[#This Row],[commits]]/Tabelle13[[#Totals],[commits]]</f>
        <v>9.2955808808492451E-6</v>
      </c>
      <c r="I3213" s="5">
        <f>Tabelle13[[#This Row],[%]]+I3212</f>
        <v>0.96930134414101077</v>
      </c>
      <c r="J3213" s="4">
        <f t="shared" si="133"/>
        <v>1.105583195135434E-4</v>
      </c>
      <c r="K3213" s="5">
        <f t="shared" si="134"/>
        <v>0.35500276395799851</v>
      </c>
    </row>
    <row r="3214" spans="1:11" x14ac:dyDescent="0.25">
      <c r="A3214" t="s">
        <v>5805</v>
      </c>
      <c r="C3214" t="s">
        <v>5616</v>
      </c>
      <c r="D3214" t="s">
        <v>5</v>
      </c>
      <c r="E3214" t="s">
        <v>6</v>
      </c>
      <c r="F3214" t="s">
        <v>28</v>
      </c>
      <c r="G3214">
        <v>2</v>
      </c>
      <c r="H3214" s="2">
        <f>Tabelle13[[#This Row],[commits]]/Tabelle13[[#Totals],[commits]]</f>
        <v>9.2955808808492451E-6</v>
      </c>
      <c r="I3214" s="5">
        <f>Tabelle13[[#This Row],[%]]+I3213</f>
        <v>0.96931063972189158</v>
      </c>
      <c r="J3214" s="4">
        <f t="shared" si="133"/>
        <v>1.105583195135434E-4</v>
      </c>
      <c r="K3214" s="5">
        <f t="shared" si="134"/>
        <v>0.35511332227751208</v>
      </c>
    </row>
    <row r="3215" spans="1:11" x14ac:dyDescent="0.25">
      <c r="A3215" t="s">
        <v>5806</v>
      </c>
      <c r="C3215" t="s">
        <v>2735</v>
      </c>
      <c r="D3215" t="s">
        <v>5</v>
      </c>
      <c r="E3215" t="s">
        <v>6</v>
      </c>
      <c r="F3215" t="s">
        <v>28</v>
      </c>
      <c r="G3215">
        <v>2</v>
      </c>
      <c r="H3215" s="2">
        <f>Tabelle13[[#This Row],[commits]]/Tabelle13[[#Totals],[commits]]</f>
        <v>9.2955808808492451E-6</v>
      </c>
      <c r="I3215" s="5">
        <f>Tabelle13[[#This Row],[%]]+I3214</f>
        <v>0.96931993530277238</v>
      </c>
      <c r="J3215" s="4">
        <f t="shared" si="133"/>
        <v>1.105583195135434E-4</v>
      </c>
      <c r="K3215" s="5">
        <f t="shared" si="134"/>
        <v>0.35522388059702564</v>
      </c>
    </row>
    <row r="3216" spans="1:11" x14ac:dyDescent="0.25">
      <c r="A3216" t="s">
        <v>5807</v>
      </c>
      <c r="C3216" t="s">
        <v>5808</v>
      </c>
      <c r="D3216" t="s">
        <v>5</v>
      </c>
      <c r="E3216" t="s">
        <v>6</v>
      </c>
      <c r="F3216" t="s">
        <v>28</v>
      </c>
      <c r="G3216">
        <v>2</v>
      </c>
      <c r="H3216" s="2">
        <f>Tabelle13[[#This Row],[commits]]/Tabelle13[[#Totals],[commits]]</f>
        <v>9.2955808808492451E-6</v>
      </c>
      <c r="I3216" s="5">
        <f>Tabelle13[[#This Row],[%]]+I3215</f>
        <v>0.96932923088365319</v>
      </c>
      <c r="J3216" s="4">
        <f t="shared" si="133"/>
        <v>1.105583195135434E-4</v>
      </c>
      <c r="K3216" s="5">
        <f t="shared" si="134"/>
        <v>0.35533443891653921</v>
      </c>
    </row>
    <row r="3217" spans="1:11" x14ac:dyDescent="0.25">
      <c r="A3217" t="s">
        <v>5809</v>
      </c>
      <c r="C3217" t="s">
        <v>5810</v>
      </c>
      <c r="D3217" t="s">
        <v>5</v>
      </c>
      <c r="E3217" t="s">
        <v>6</v>
      </c>
      <c r="F3217" t="s">
        <v>28</v>
      </c>
      <c r="G3217">
        <v>2</v>
      </c>
      <c r="H3217" s="2">
        <f>Tabelle13[[#This Row],[commits]]/Tabelle13[[#Totals],[commits]]</f>
        <v>9.2955808808492451E-6</v>
      </c>
      <c r="I3217" s="5">
        <f>Tabelle13[[#This Row],[%]]+I3216</f>
        <v>0.969338526464534</v>
      </c>
      <c r="J3217" s="4">
        <f t="shared" si="133"/>
        <v>1.105583195135434E-4</v>
      </c>
      <c r="K3217" s="5">
        <f t="shared" si="134"/>
        <v>0.35544499723605277</v>
      </c>
    </row>
    <row r="3218" spans="1:11" x14ac:dyDescent="0.25">
      <c r="A3218" t="s">
        <v>5811</v>
      </c>
      <c r="C3218" t="s">
        <v>5812</v>
      </c>
      <c r="D3218" t="s">
        <v>5</v>
      </c>
      <c r="E3218" t="s">
        <v>6</v>
      </c>
      <c r="F3218" t="s">
        <v>28</v>
      </c>
      <c r="G3218">
        <v>2</v>
      </c>
      <c r="H3218" s="2">
        <f>Tabelle13[[#This Row],[commits]]/Tabelle13[[#Totals],[commits]]</f>
        <v>9.2955808808492451E-6</v>
      </c>
      <c r="I3218" s="5">
        <f>Tabelle13[[#This Row],[%]]+I3217</f>
        <v>0.96934782204541481</v>
      </c>
      <c r="J3218" s="4">
        <f t="shared" si="133"/>
        <v>1.105583195135434E-4</v>
      </c>
      <c r="K3218" s="5">
        <f t="shared" si="134"/>
        <v>0.35555555555556634</v>
      </c>
    </row>
    <row r="3219" spans="1:11" x14ac:dyDescent="0.25">
      <c r="A3219" t="s">
        <v>5813</v>
      </c>
      <c r="C3219" t="s">
        <v>5814</v>
      </c>
      <c r="D3219" t="s">
        <v>5</v>
      </c>
      <c r="E3219" t="s">
        <v>6</v>
      </c>
      <c r="F3219" t="s">
        <v>28</v>
      </c>
      <c r="G3219">
        <v>2</v>
      </c>
      <c r="H3219" s="2">
        <f>Tabelle13[[#This Row],[commits]]/Tabelle13[[#Totals],[commits]]</f>
        <v>9.2955808808492451E-6</v>
      </c>
      <c r="I3219" s="5">
        <f>Tabelle13[[#This Row],[%]]+I3218</f>
        <v>0.96935711762629562</v>
      </c>
      <c r="J3219" s="4">
        <f t="shared" si="133"/>
        <v>1.105583195135434E-4</v>
      </c>
      <c r="K3219" s="5">
        <f t="shared" si="134"/>
        <v>0.3556661138750799</v>
      </c>
    </row>
    <row r="3220" spans="1:11" x14ac:dyDescent="0.25">
      <c r="A3220" t="s">
        <v>5815</v>
      </c>
      <c r="C3220" t="s">
        <v>5816</v>
      </c>
      <c r="D3220" t="s">
        <v>5</v>
      </c>
      <c r="E3220" t="s">
        <v>6</v>
      </c>
      <c r="F3220" t="s">
        <v>28</v>
      </c>
      <c r="G3220">
        <v>2</v>
      </c>
      <c r="H3220" s="2">
        <f>Tabelle13[[#This Row],[commits]]/Tabelle13[[#Totals],[commits]]</f>
        <v>9.2955808808492451E-6</v>
      </c>
      <c r="I3220" s="5">
        <f>Tabelle13[[#This Row],[%]]+I3219</f>
        <v>0.96936641320717643</v>
      </c>
      <c r="J3220" s="4">
        <f t="shared" si="133"/>
        <v>1.105583195135434E-4</v>
      </c>
      <c r="K3220" s="5">
        <f t="shared" si="134"/>
        <v>0.35577667219459347</v>
      </c>
    </row>
    <row r="3221" spans="1:11" x14ac:dyDescent="0.25">
      <c r="A3221" t="s">
        <v>5817</v>
      </c>
      <c r="C3221" t="s">
        <v>221</v>
      </c>
      <c r="D3221" t="s">
        <v>5</v>
      </c>
      <c r="E3221" t="s">
        <v>6</v>
      </c>
      <c r="F3221" t="s">
        <v>28</v>
      </c>
      <c r="G3221">
        <v>2</v>
      </c>
      <c r="H3221" s="2">
        <f>Tabelle13[[#This Row],[commits]]/Tabelle13[[#Totals],[commits]]</f>
        <v>9.2955808808492451E-6</v>
      </c>
      <c r="I3221" s="5">
        <f>Tabelle13[[#This Row],[%]]+I3220</f>
        <v>0.96937570878805723</v>
      </c>
      <c r="J3221" s="4">
        <f t="shared" si="133"/>
        <v>1.105583195135434E-4</v>
      </c>
      <c r="K3221" s="5">
        <f t="shared" si="134"/>
        <v>0.35588723051410703</v>
      </c>
    </row>
    <row r="3222" spans="1:11" x14ac:dyDescent="0.25">
      <c r="A3222" t="s">
        <v>5818</v>
      </c>
      <c r="C3222" t="s">
        <v>5819</v>
      </c>
      <c r="D3222" t="s">
        <v>5</v>
      </c>
      <c r="E3222" t="s">
        <v>6</v>
      </c>
      <c r="F3222" t="s">
        <v>28</v>
      </c>
      <c r="G3222">
        <v>2</v>
      </c>
      <c r="H3222" s="2">
        <f>Tabelle13[[#This Row],[commits]]/Tabelle13[[#Totals],[commits]]</f>
        <v>9.2955808808492451E-6</v>
      </c>
      <c r="I3222" s="5">
        <f>Tabelle13[[#This Row],[%]]+I3221</f>
        <v>0.96938500436893804</v>
      </c>
      <c r="J3222" s="4">
        <f t="shared" si="133"/>
        <v>1.105583195135434E-4</v>
      </c>
      <c r="K3222" s="5">
        <f t="shared" si="134"/>
        <v>0.3559977888336206</v>
      </c>
    </row>
    <row r="3223" spans="1:11" x14ac:dyDescent="0.25">
      <c r="A3223" t="s">
        <v>5820</v>
      </c>
      <c r="C3223" t="s">
        <v>5821</v>
      </c>
      <c r="D3223" t="s">
        <v>5</v>
      </c>
      <c r="E3223" t="s">
        <v>6</v>
      </c>
      <c r="F3223" t="s">
        <v>28</v>
      </c>
      <c r="G3223">
        <v>2</v>
      </c>
      <c r="H3223" s="2">
        <f>Tabelle13[[#This Row],[commits]]/Tabelle13[[#Totals],[commits]]</f>
        <v>9.2955808808492451E-6</v>
      </c>
      <c r="I3223" s="5">
        <f>Tabelle13[[#This Row],[%]]+I3222</f>
        <v>0.96939429994981885</v>
      </c>
      <c r="J3223" s="4">
        <f t="shared" si="133"/>
        <v>1.105583195135434E-4</v>
      </c>
      <c r="K3223" s="5">
        <f t="shared" si="134"/>
        <v>0.35610834715313416</v>
      </c>
    </row>
    <row r="3224" spans="1:11" x14ac:dyDescent="0.25">
      <c r="A3224" t="s">
        <v>5824</v>
      </c>
      <c r="C3224" t="s">
        <v>5825</v>
      </c>
      <c r="D3224" t="s">
        <v>5175</v>
      </c>
      <c r="E3224" t="s">
        <v>6</v>
      </c>
      <c r="F3224" t="s">
        <v>28</v>
      </c>
      <c r="G3224">
        <v>2</v>
      </c>
      <c r="H3224" s="2">
        <f>Tabelle13[[#This Row],[commits]]/Tabelle13[[#Totals],[commits]]</f>
        <v>9.2955808808492451E-6</v>
      </c>
      <c r="I3224" s="5">
        <f>Tabelle13[[#This Row],[%]]+I3223</f>
        <v>0.96940359553069966</v>
      </c>
      <c r="J3224" s="4">
        <f t="shared" si="133"/>
        <v>1.105583195135434E-4</v>
      </c>
      <c r="K3224" s="5">
        <f t="shared" si="134"/>
        <v>0.35621890547264773</v>
      </c>
    </row>
    <row r="3225" spans="1:11" x14ac:dyDescent="0.25">
      <c r="A3225" t="s">
        <v>5826</v>
      </c>
      <c r="C3225" t="s">
        <v>197</v>
      </c>
      <c r="D3225" t="s">
        <v>5</v>
      </c>
      <c r="E3225" t="s">
        <v>6</v>
      </c>
      <c r="F3225" t="s">
        <v>28</v>
      </c>
      <c r="G3225">
        <v>2</v>
      </c>
      <c r="H3225" s="2">
        <f>Tabelle13[[#This Row],[commits]]/Tabelle13[[#Totals],[commits]]</f>
        <v>9.2955808808492451E-6</v>
      </c>
      <c r="I3225" s="5">
        <f>Tabelle13[[#This Row],[%]]+I3224</f>
        <v>0.96941289111158047</v>
      </c>
      <c r="J3225" s="4">
        <f t="shared" si="133"/>
        <v>1.105583195135434E-4</v>
      </c>
      <c r="K3225" s="5">
        <f t="shared" si="134"/>
        <v>0.35632946379216129</v>
      </c>
    </row>
    <row r="3226" spans="1:11" x14ac:dyDescent="0.25">
      <c r="A3226" t="s">
        <v>5827</v>
      </c>
      <c r="C3226" t="s">
        <v>5828</v>
      </c>
      <c r="D3226" t="s">
        <v>5</v>
      </c>
      <c r="E3226" t="s">
        <v>6</v>
      </c>
      <c r="F3226" t="s">
        <v>28</v>
      </c>
      <c r="G3226">
        <v>2</v>
      </c>
      <c r="H3226" s="2">
        <f>Tabelle13[[#This Row],[commits]]/Tabelle13[[#Totals],[commits]]</f>
        <v>9.2955808808492451E-6</v>
      </c>
      <c r="I3226" s="5">
        <f>Tabelle13[[#This Row],[%]]+I3225</f>
        <v>0.96942218669246127</v>
      </c>
      <c r="J3226" s="4">
        <f t="shared" si="133"/>
        <v>1.105583195135434E-4</v>
      </c>
      <c r="K3226" s="5">
        <f t="shared" si="134"/>
        <v>0.35644002211167486</v>
      </c>
    </row>
    <row r="3227" spans="1:11" x14ac:dyDescent="0.25">
      <c r="A3227" t="s">
        <v>5829</v>
      </c>
      <c r="C3227" t="s">
        <v>5830</v>
      </c>
      <c r="D3227" t="s">
        <v>5</v>
      </c>
      <c r="E3227" t="s">
        <v>6</v>
      </c>
      <c r="F3227" t="s">
        <v>28</v>
      </c>
      <c r="G3227">
        <v>2</v>
      </c>
      <c r="H3227" s="2">
        <f>Tabelle13[[#This Row],[commits]]/Tabelle13[[#Totals],[commits]]</f>
        <v>9.2955808808492451E-6</v>
      </c>
      <c r="I3227" s="5">
        <f>Tabelle13[[#This Row],[%]]+I3226</f>
        <v>0.96943148227334208</v>
      </c>
      <c r="J3227" s="4">
        <f t="shared" si="133"/>
        <v>1.105583195135434E-4</v>
      </c>
      <c r="K3227" s="5">
        <f t="shared" si="134"/>
        <v>0.35655058043118842</v>
      </c>
    </row>
    <row r="3228" spans="1:11" x14ac:dyDescent="0.25">
      <c r="A3228" t="s">
        <v>5831</v>
      </c>
      <c r="C3228" t="s">
        <v>5832</v>
      </c>
      <c r="D3228" t="s">
        <v>5</v>
      </c>
      <c r="E3228" t="s">
        <v>6</v>
      </c>
      <c r="F3228" t="s">
        <v>28</v>
      </c>
      <c r="G3228">
        <v>2</v>
      </c>
      <c r="H3228" s="2">
        <f>Tabelle13[[#This Row],[commits]]/Tabelle13[[#Totals],[commits]]</f>
        <v>9.2955808808492451E-6</v>
      </c>
      <c r="I3228" s="5">
        <f>Tabelle13[[#This Row],[%]]+I3227</f>
        <v>0.96944077785422289</v>
      </c>
      <c r="J3228" s="4">
        <f t="shared" si="133"/>
        <v>1.105583195135434E-4</v>
      </c>
      <c r="K3228" s="5">
        <f t="shared" si="134"/>
        <v>0.35666113875070199</v>
      </c>
    </row>
    <row r="3229" spans="1:11" x14ac:dyDescent="0.25">
      <c r="A3229" t="s">
        <v>5833</v>
      </c>
      <c r="C3229" t="s">
        <v>5834</v>
      </c>
      <c r="D3229" t="s">
        <v>5</v>
      </c>
      <c r="E3229" t="s">
        <v>6</v>
      </c>
      <c r="F3229" t="s">
        <v>28</v>
      </c>
      <c r="G3229">
        <v>2</v>
      </c>
      <c r="H3229" s="2">
        <f>Tabelle13[[#This Row],[commits]]/Tabelle13[[#Totals],[commits]]</f>
        <v>9.2955808808492451E-6</v>
      </c>
      <c r="I3229" s="5">
        <f>Tabelle13[[#This Row],[%]]+I3228</f>
        <v>0.9694500734351037</v>
      </c>
      <c r="J3229" s="4">
        <f t="shared" si="133"/>
        <v>1.105583195135434E-4</v>
      </c>
      <c r="K3229" s="5">
        <f t="shared" si="134"/>
        <v>0.35677169707021555</v>
      </c>
    </row>
    <row r="3230" spans="1:11" x14ac:dyDescent="0.25">
      <c r="A3230" t="s">
        <v>5835</v>
      </c>
      <c r="C3230" t="s">
        <v>5836</v>
      </c>
      <c r="D3230" t="s">
        <v>5</v>
      </c>
      <c r="E3230" t="s">
        <v>6</v>
      </c>
      <c r="F3230" t="s">
        <v>28</v>
      </c>
      <c r="G3230">
        <v>2</v>
      </c>
      <c r="H3230" s="2">
        <f>Tabelle13[[#This Row],[commits]]/Tabelle13[[#Totals],[commits]]</f>
        <v>9.2955808808492451E-6</v>
      </c>
      <c r="I3230" s="5">
        <f>Tabelle13[[#This Row],[%]]+I3229</f>
        <v>0.96945936901598451</v>
      </c>
      <c r="J3230" s="4">
        <f t="shared" si="133"/>
        <v>1.105583195135434E-4</v>
      </c>
      <c r="K3230" s="5">
        <f t="shared" si="134"/>
        <v>0.35688225538972912</v>
      </c>
    </row>
    <row r="3231" spans="1:11" x14ac:dyDescent="0.25">
      <c r="A3231" t="s">
        <v>5837</v>
      </c>
      <c r="C3231" t="s">
        <v>1687</v>
      </c>
      <c r="D3231" t="s">
        <v>5</v>
      </c>
      <c r="E3231" t="s">
        <v>6</v>
      </c>
      <c r="F3231" t="s">
        <v>28</v>
      </c>
      <c r="G3231">
        <v>2</v>
      </c>
      <c r="H3231" s="2">
        <f>Tabelle13[[#This Row],[commits]]/Tabelle13[[#Totals],[commits]]</f>
        <v>9.2955808808492451E-6</v>
      </c>
      <c r="I3231" s="5">
        <f>Tabelle13[[#This Row],[%]]+I3230</f>
        <v>0.96946866459686531</v>
      </c>
      <c r="J3231" s="4">
        <f t="shared" si="133"/>
        <v>1.105583195135434E-4</v>
      </c>
      <c r="K3231" s="5">
        <f t="shared" si="134"/>
        <v>0.35699281370924268</v>
      </c>
    </row>
    <row r="3232" spans="1:11" x14ac:dyDescent="0.25">
      <c r="A3232" t="s">
        <v>5838</v>
      </c>
      <c r="C3232" t="s">
        <v>1687</v>
      </c>
      <c r="D3232" t="s">
        <v>5</v>
      </c>
      <c r="E3232" t="s">
        <v>6</v>
      </c>
      <c r="F3232" t="s">
        <v>28</v>
      </c>
      <c r="G3232">
        <v>2</v>
      </c>
      <c r="H3232" s="2">
        <f>Tabelle13[[#This Row],[commits]]/Tabelle13[[#Totals],[commits]]</f>
        <v>9.2955808808492451E-6</v>
      </c>
      <c r="I3232" s="5">
        <f>Tabelle13[[#This Row],[%]]+I3231</f>
        <v>0.96947796017774612</v>
      </c>
      <c r="J3232" s="4">
        <f t="shared" si="133"/>
        <v>1.105583195135434E-4</v>
      </c>
      <c r="K3232" s="5">
        <f t="shared" si="134"/>
        <v>0.35710337202875625</v>
      </c>
    </row>
    <row r="3233" spans="1:11" x14ac:dyDescent="0.25">
      <c r="A3233" t="s">
        <v>5839</v>
      </c>
      <c r="C3233" t="s">
        <v>5840</v>
      </c>
      <c r="D3233" t="s">
        <v>5</v>
      </c>
      <c r="E3233" t="s">
        <v>6</v>
      </c>
      <c r="F3233" t="s">
        <v>28</v>
      </c>
      <c r="G3233">
        <v>2</v>
      </c>
      <c r="H3233" s="2">
        <f>Tabelle13[[#This Row],[commits]]/Tabelle13[[#Totals],[commits]]</f>
        <v>9.2955808808492451E-6</v>
      </c>
      <c r="I3233" s="5">
        <f>Tabelle13[[#This Row],[%]]+I3232</f>
        <v>0.96948725575862693</v>
      </c>
      <c r="J3233" s="4">
        <f t="shared" si="133"/>
        <v>1.105583195135434E-4</v>
      </c>
      <c r="K3233" s="5">
        <f t="shared" si="134"/>
        <v>0.35721393034826981</v>
      </c>
    </row>
    <row r="3234" spans="1:11" x14ac:dyDescent="0.25">
      <c r="A3234" t="s">
        <v>5841</v>
      </c>
      <c r="C3234" t="s">
        <v>5842</v>
      </c>
      <c r="D3234" t="s">
        <v>5</v>
      </c>
      <c r="E3234" t="s">
        <v>6</v>
      </c>
      <c r="F3234" t="s">
        <v>28</v>
      </c>
      <c r="G3234">
        <v>2</v>
      </c>
      <c r="H3234" s="2">
        <f>Tabelle13[[#This Row],[commits]]/Tabelle13[[#Totals],[commits]]</f>
        <v>9.2955808808492451E-6</v>
      </c>
      <c r="I3234" s="5">
        <f>Tabelle13[[#This Row],[%]]+I3233</f>
        <v>0.96949655133950774</v>
      </c>
      <c r="J3234" s="4">
        <f t="shared" si="133"/>
        <v>1.105583195135434E-4</v>
      </c>
      <c r="K3234" s="5">
        <f t="shared" si="134"/>
        <v>0.35732448866778338</v>
      </c>
    </row>
    <row r="3235" spans="1:11" x14ac:dyDescent="0.25">
      <c r="A3235" t="s">
        <v>5843</v>
      </c>
      <c r="C3235" t="s">
        <v>5844</v>
      </c>
      <c r="D3235" t="s">
        <v>5</v>
      </c>
      <c r="E3235" t="s">
        <v>6</v>
      </c>
      <c r="F3235" t="s">
        <v>28</v>
      </c>
      <c r="G3235">
        <v>2</v>
      </c>
      <c r="H3235" s="2">
        <f>Tabelle13[[#This Row],[commits]]/Tabelle13[[#Totals],[commits]]</f>
        <v>9.2955808808492451E-6</v>
      </c>
      <c r="I3235" s="5">
        <f>Tabelle13[[#This Row],[%]]+I3234</f>
        <v>0.96950584692038855</v>
      </c>
      <c r="J3235" s="4">
        <f t="shared" si="133"/>
        <v>1.105583195135434E-4</v>
      </c>
      <c r="K3235" s="5">
        <f t="shared" si="134"/>
        <v>0.35743504698729694</v>
      </c>
    </row>
    <row r="3236" spans="1:11" x14ac:dyDescent="0.25">
      <c r="A3236" t="s">
        <v>5845</v>
      </c>
      <c r="C3236" t="s">
        <v>5846</v>
      </c>
      <c r="D3236" t="s">
        <v>5</v>
      </c>
      <c r="E3236" t="s">
        <v>6</v>
      </c>
      <c r="F3236" t="s">
        <v>28</v>
      </c>
      <c r="G3236">
        <v>2</v>
      </c>
      <c r="H3236" s="2">
        <f>Tabelle13[[#This Row],[commits]]/Tabelle13[[#Totals],[commits]]</f>
        <v>9.2955808808492451E-6</v>
      </c>
      <c r="I3236" s="5">
        <f>Tabelle13[[#This Row],[%]]+I3235</f>
        <v>0.96951514250126936</v>
      </c>
      <c r="J3236" s="4">
        <f t="shared" si="133"/>
        <v>1.105583195135434E-4</v>
      </c>
      <c r="K3236" s="5">
        <f t="shared" si="134"/>
        <v>0.35754560530681051</v>
      </c>
    </row>
    <row r="3237" spans="1:11" x14ac:dyDescent="0.25">
      <c r="A3237" t="s">
        <v>5847</v>
      </c>
      <c r="C3237" t="s">
        <v>5848</v>
      </c>
      <c r="D3237" t="s">
        <v>5</v>
      </c>
      <c r="E3237" t="s">
        <v>6</v>
      </c>
      <c r="F3237" t="s">
        <v>28</v>
      </c>
      <c r="G3237">
        <v>2</v>
      </c>
      <c r="H3237" s="2">
        <f>Tabelle13[[#This Row],[commits]]/Tabelle13[[#Totals],[commits]]</f>
        <v>9.2955808808492451E-6</v>
      </c>
      <c r="I3237" s="5">
        <f>Tabelle13[[#This Row],[%]]+I3236</f>
        <v>0.96952443808215016</v>
      </c>
      <c r="J3237" s="4">
        <f t="shared" si="133"/>
        <v>1.105583195135434E-4</v>
      </c>
      <c r="K3237" s="5">
        <f t="shared" si="134"/>
        <v>0.35765616362632408</v>
      </c>
    </row>
    <row r="3238" spans="1:11" x14ac:dyDescent="0.25">
      <c r="A3238" t="s">
        <v>5849</v>
      </c>
      <c r="C3238" t="s">
        <v>5850</v>
      </c>
      <c r="D3238" t="s">
        <v>5</v>
      </c>
      <c r="E3238" t="s">
        <v>6</v>
      </c>
      <c r="F3238" t="s">
        <v>28</v>
      </c>
      <c r="G3238">
        <v>2</v>
      </c>
      <c r="H3238" s="2">
        <f>Tabelle13[[#This Row],[commits]]/Tabelle13[[#Totals],[commits]]</f>
        <v>9.2955808808492451E-6</v>
      </c>
      <c r="I3238" s="5">
        <f>Tabelle13[[#This Row],[%]]+I3237</f>
        <v>0.96953373366303097</v>
      </c>
      <c r="J3238" s="4">
        <f t="shared" si="133"/>
        <v>1.105583195135434E-4</v>
      </c>
      <c r="K3238" s="5">
        <f t="shared" si="134"/>
        <v>0.35776672194583764</v>
      </c>
    </row>
    <row r="3239" spans="1:11" x14ac:dyDescent="0.25">
      <c r="A3239" t="s">
        <v>5851</v>
      </c>
      <c r="C3239" t="s">
        <v>5852</v>
      </c>
      <c r="D3239" t="s">
        <v>5</v>
      </c>
      <c r="E3239" t="s">
        <v>6</v>
      </c>
      <c r="F3239" t="s">
        <v>28</v>
      </c>
      <c r="G3239">
        <v>2</v>
      </c>
      <c r="H3239" s="2">
        <f>Tabelle13[[#This Row],[commits]]/Tabelle13[[#Totals],[commits]]</f>
        <v>9.2955808808492451E-6</v>
      </c>
      <c r="I3239" s="5">
        <f>Tabelle13[[#This Row],[%]]+I3238</f>
        <v>0.96954302924391178</v>
      </c>
      <c r="J3239" s="4">
        <f t="shared" si="133"/>
        <v>1.105583195135434E-4</v>
      </c>
      <c r="K3239" s="5">
        <f t="shared" si="134"/>
        <v>0.35787728026535121</v>
      </c>
    </row>
    <row r="3240" spans="1:11" x14ac:dyDescent="0.25">
      <c r="A3240" t="s">
        <v>5853</v>
      </c>
      <c r="C3240" t="s">
        <v>5854</v>
      </c>
      <c r="D3240" t="s">
        <v>5</v>
      </c>
      <c r="E3240" t="s">
        <v>6</v>
      </c>
      <c r="F3240" t="s">
        <v>28</v>
      </c>
      <c r="G3240">
        <v>2</v>
      </c>
      <c r="H3240" s="2">
        <f>Tabelle13[[#This Row],[commits]]/Tabelle13[[#Totals],[commits]]</f>
        <v>9.2955808808492451E-6</v>
      </c>
      <c r="I3240" s="5">
        <f>Tabelle13[[#This Row],[%]]+I3239</f>
        <v>0.96955232482479259</v>
      </c>
      <c r="J3240" s="4">
        <f t="shared" si="133"/>
        <v>1.105583195135434E-4</v>
      </c>
      <c r="K3240" s="5">
        <f t="shared" si="134"/>
        <v>0.35798783858486477</v>
      </c>
    </row>
    <row r="3241" spans="1:11" x14ac:dyDescent="0.25">
      <c r="A3241" t="s">
        <v>5855</v>
      </c>
      <c r="C3241" t="s">
        <v>5856</v>
      </c>
      <c r="D3241" t="s">
        <v>5175</v>
      </c>
      <c r="E3241" t="s">
        <v>6</v>
      </c>
      <c r="F3241" t="s">
        <v>28</v>
      </c>
      <c r="G3241">
        <v>2</v>
      </c>
      <c r="H3241" s="2">
        <f>Tabelle13[[#This Row],[commits]]/Tabelle13[[#Totals],[commits]]</f>
        <v>9.2955808808492451E-6</v>
      </c>
      <c r="I3241" s="5">
        <f>Tabelle13[[#This Row],[%]]+I3240</f>
        <v>0.9695616204056734</v>
      </c>
      <c r="J3241" s="4">
        <f t="shared" si="133"/>
        <v>1.105583195135434E-4</v>
      </c>
      <c r="K3241" s="5">
        <f t="shared" si="134"/>
        <v>0.35809839690437834</v>
      </c>
    </row>
    <row r="3242" spans="1:11" x14ac:dyDescent="0.25">
      <c r="A3242" t="s">
        <v>5857</v>
      </c>
      <c r="C3242" t="s">
        <v>5858</v>
      </c>
      <c r="D3242" t="s">
        <v>5</v>
      </c>
      <c r="E3242" t="s">
        <v>6</v>
      </c>
      <c r="F3242" t="s">
        <v>28</v>
      </c>
      <c r="G3242">
        <v>2</v>
      </c>
      <c r="H3242" s="2">
        <f>Tabelle13[[#This Row],[commits]]/Tabelle13[[#Totals],[commits]]</f>
        <v>9.2955808808492451E-6</v>
      </c>
      <c r="I3242" s="5">
        <f>Tabelle13[[#This Row],[%]]+I3241</f>
        <v>0.9695709159865542</v>
      </c>
      <c r="J3242" s="4">
        <f t="shared" si="133"/>
        <v>1.105583195135434E-4</v>
      </c>
      <c r="K3242" s="5">
        <f t="shared" si="134"/>
        <v>0.3582089552238919</v>
      </c>
    </row>
    <row r="3243" spans="1:11" x14ac:dyDescent="0.25">
      <c r="A3243" t="s">
        <v>5859</v>
      </c>
      <c r="C3243" t="s">
        <v>5860</v>
      </c>
      <c r="D3243" t="s">
        <v>5</v>
      </c>
      <c r="E3243" t="s">
        <v>6</v>
      </c>
      <c r="F3243" t="s">
        <v>28</v>
      </c>
      <c r="G3243">
        <v>2</v>
      </c>
      <c r="H3243" s="2">
        <f>Tabelle13[[#This Row],[commits]]/Tabelle13[[#Totals],[commits]]</f>
        <v>9.2955808808492451E-6</v>
      </c>
      <c r="I3243" s="5">
        <f>Tabelle13[[#This Row],[%]]+I3242</f>
        <v>0.96958021156743501</v>
      </c>
      <c r="J3243" s="4">
        <f t="shared" si="133"/>
        <v>1.105583195135434E-4</v>
      </c>
      <c r="K3243" s="5">
        <f t="shared" si="134"/>
        <v>0.35831951354340547</v>
      </c>
    </row>
    <row r="3244" spans="1:11" x14ac:dyDescent="0.25">
      <c r="A3244" t="s">
        <v>5861</v>
      </c>
      <c r="C3244" t="s">
        <v>5862</v>
      </c>
      <c r="D3244" t="s">
        <v>5</v>
      </c>
      <c r="E3244" t="s">
        <v>6</v>
      </c>
      <c r="F3244" t="s">
        <v>28</v>
      </c>
      <c r="G3244">
        <v>2</v>
      </c>
      <c r="H3244" s="2">
        <f>Tabelle13[[#This Row],[commits]]/Tabelle13[[#Totals],[commits]]</f>
        <v>9.2955808808492451E-6</v>
      </c>
      <c r="I3244" s="5">
        <f>Tabelle13[[#This Row],[%]]+I3243</f>
        <v>0.96958950714831582</v>
      </c>
      <c r="J3244" s="4">
        <f t="shared" si="133"/>
        <v>1.105583195135434E-4</v>
      </c>
      <c r="K3244" s="5">
        <f t="shared" si="134"/>
        <v>0.35843007186291903</v>
      </c>
    </row>
    <row r="3245" spans="1:11" x14ac:dyDescent="0.25">
      <c r="A3245" t="s">
        <v>5863</v>
      </c>
      <c r="C3245" t="s">
        <v>5864</v>
      </c>
      <c r="D3245" t="s">
        <v>5</v>
      </c>
      <c r="E3245" t="s">
        <v>6</v>
      </c>
      <c r="F3245" t="s">
        <v>28</v>
      </c>
      <c r="G3245">
        <v>2</v>
      </c>
      <c r="H3245" s="2">
        <f>Tabelle13[[#This Row],[commits]]/Tabelle13[[#Totals],[commits]]</f>
        <v>9.2955808808492451E-6</v>
      </c>
      <c r="I3245" s="5">
        <f>Tabelle13[[#This Row],[%]]+I3244</f>
        <v>0.96959880272919663</v>
      </c>
      <c r="J3245" s="4">
        <f t="shared" si="133"/>
        <v>1.105583195135434E-4</v>
      </c>
      <c r="K3245" s="5">
        <f t="shared" si="134"/>
        <v>0.3585406301824326</v>
      </c>
    </row>
    <row r="3246" spans="1:11" x14ac:dyDescent="0.25">
      <c r="A3246" t="s">
        <v>5865</v>
      </c>
      <c r="C3246" t="s">
        <v>5866</v>
      </c>
      <c r="D3246" t="s">
        <v>5</v>
      </c>
      <c r="E3246" t="s">
        <v>6</v>
      </c>
      <c r="F3246" t="s">
        <v>28</v>
      </c>
      <c r="G3246">
        <v>2</v>
      </c>
      <c r="H3246" s="2">
        <f>Tabelle13[[#This Row],[commits]]/Tabelle13[[#Totals],[commits]]</f>
        <v>9.2955808808492451E-6</v>
      </c>
      <c r="I3246" s="5">
        <f>Tabelle13[[#This Row],[%]]+I3245</f>
        <v>0.96960809831007744</v>
      </c>
      <c r="J3246" s="4">
        <f t="shared" si="133"/>
        <v>1.105583195135434E-4</v>
      </c>
      <c r="K3246" s="5">
        <f t="shared" si="134"/>
        <v>0.35865118850194616</v>
      </c>
    </row>
    <row r="3247" spans="1:11" x14ac:dyDescent="0.25">
      <c r="A3247" t="s">
        <v>5867</v>
      </c>
      <c r="C3247" t="s">
        <v>5868</v>
      </c>
      <c r="D3247" t="s">
        <v>5175</v>
      </c>
      <c r="E3247" t="s">
        <v>6</v>
      </c>
      <c r="F3247" t="s">
        <v>28</v>
      </c>
      <c r="G3247">
        <v>2</v>
      </c>
      <c r="H3247" s="2">
        <f>Tabelle13[[#This Row],[commits]]/Tabelle13[[#Totals],[commits]]</f>
        <v>9.2955808808492451E-6</v>
      </c>
      <c r="I3247" s="5">
        <f>Tabelle13[[#This Row],[%]]+I3246</f>
        <v>0.96961739389095825</v>
      </c>
      <c r="J3247" s="4">
        <f t="shared" si="133"/>
        <v>1.105583195135434E-4</v>
      </c>
      <c r="K3247" s="5">
        <f t="shared" si="134"/>
        <v>0.35876174682145973</v>
      </c>
    </row>
    <row r="3248" spans="1:11" x14ac:dyDescent="0.25">
      <c r="A3248" t="s">
        <v>5869</v>
      </c>
      <c r="C3248" t="s">
        <v>5870</v>
      </c>
      <c r="D3248" t="s">
        <v>5</v>
      </c>
      <c r="E3248" t="s">
        <v>6</v>
      </c>
      <c r="F3248" t="s">
        <v>28</v>
      </c>
      <c r="G3248">
        <v>2</v>
      </c>
      <c r="H3248" s="2">
        <f>Tabelle13[[#This Row],[commits]]/Tabelle13[[#Totals],[commits]]</f>
        <v>9.2955808808492451E-6</v>
      </c>
      <c r="I3248" s="5">
        <f>Tabelle13[[#This Row],[%]]+I3247</f>
        <v>0.96962668947183905</v>
      </c>
      <c r="J3248" s="4">
        <f t="shared" si="133"/>
        <v>1.105583195135434E-4</v>
      </c>
      <c r="K3248" s="5">
        <f t="shared" si="134"/>
        <v>0.35887230514097329</v>
      </c>
    </row>
    <row r="3249" spans="1:11" x14ac:dyDescent="0.25">
      <c r="A3249" t="s">
        <v>5871</v>
      </c>
      <c r="C3249" t="s">
        <v>5872</v>
      </c>
      <c r="D3249" t="s">
        <v>5</v>
      </c>
      <c r="E3249" t="s">
        <v>6</v>
      </c>
      <c r="F3249" t="s">
        <v>28</v>
      </c>
      <c r="G3249">
        <v>2</v>
      </c>
      <c r="H3249" s="2">
        <f>Tabelle13[[#This Row],[commits]]/Tabelle13[[#Totals],[commits]]</f>
        <v>9.2955808808492451E-6</v>
      </c>
      <c r="I3249" s="5">
        <f>Tabelle13[[#This Row],[%]]+I3248</f>
        <v>0.96963598505271986</v>
      </c>
      <c r="J3249" s="4">
        <f t="shared" si="133"/>
        <v>1.105583195135434E-4</v>
      </c>
      <c r="K3249" s="5">
        <f t="shared" si="134"/>
        <v>0.35898286346048686</v>
      </c>
    </row>
    <row r="3250" spans="1:11" x14ac:dyDescent="0.25">
      <c r="A3250" t="s">
        <v>5873</v>
      </c>
      <c r="C3250" t="s">
        <v>5874</v>
      </c>
      <c r="D3250" t="s">
        <v>5</v>
      </c>
      <c r="E3250" t="s">
        <v>6</v>
      </c>
      <c r="F3250" t="s">
        <v>28</v>
      </c>
      <c r="G3250">
        <v>2</v>
      </c>
      <c r="H3250" s="2">
        <f>Tabelle13[[#This Row],[commits]]/Tabelle13[[#Totals],[commits]]</f>
        <v>9.2955808808492451E-6</v>
      </c>
      <c r="I3250" s="5">
        <f>Tabelle13[[#This Row],[%]]+I3249</f>
        <v>0.96964528063360067</v>
      </c>
      <c r="J3250" s="4">
        <f t="shared" si="133"/>
        <v>1.105583195135434E-4</v>
      </c>
      <c r="K3250" s="5">
        <f t="shared" si="134"/>
        <v>0.35909342178000042</v>
      </c>
    </row>
    <row r="3251" spans="1:11" x14ac:dyDescent="0.25">
      <c r="A3251" t="s">
        <v>5875</v>
      </c>
      <c r="C3251" t="s">
        <v>5876</v>
      </c>
      <c r="D3251" t="s">
        <v>5</v>
      </c>
      <c r="E3251" t="s">
        <v>6</v>
      </c>
      <c r="F3251" t="s">
        <v>28</v>
      </c>
      <c r="G3251">
        <v>2</v>
      </c>
      <c r="H3251" s="2">
        <f>Tabelle13[[#This Row],[commits]]/Tabelle13[[#Totals],[commits]]</f>
        <v>9.2955808808492451E-6</v>
      </c>
      <c r="I3251" s="5">
        <f>Tabelle13[[#This Row],[%]]+I3250</f>
        <v>0.96965457621448148</v>
      </c>
      <c r="J3251" s="4">
        <f t="shared" si="133"/>
        <v>1.105583195135434E-4</v>
      </c>
      <c r="K3251" s="5">
        <f t="shared" si="134"/>
        <v>0.35920398009951399</v>
      </c>
    </row>
    <row r="3252" spans="1:11" x14ac:dyDescent="0.25">
      <c r="A3252" t="s">
        <v>5877</v>
      </c>
      <c r="C3252" t="s">
        <v>5878</v>
      </c>
      <c r="D3252" t="s">
        <v>5</v>
      </c>
      <c r="E3252" t="s">
        <v>6</v>
      </c>
      <c r="F3252" t="s">
        <v>28</v>
      </c>
      <c r="G3252">
        <v>2</v>
      </c>
      <c r="H3252" s="2">
        <f>Tabelle13[[#This Row],[commits]]/Tabelle13[[#Totals],[commits]]</f>
        <v>9.2955808808492451E-6</v>
      </c>
      <c r="I3252" s="5">
        <f>Tabelle13[[#This Row],[%]]+I3251</f>
        <v>0.96966387179536229</v>
      </c>
      <c r="J3252" s="4">
        <f t="shared" si="133"/>
        <v>1.105583195135434E-4</v>
      </c>
      <c r="K3252" s="5">
        <f t="shared" si="134"/>
        <v>0.35931453841902755</v>
      </c>
    </row>
    <row r="3253" spans="1:11" x14ac:dyDescent="0.25">
      <c r="A3253" t="s">
        <v>5879</v>
      </c>
      <c r="C3253" t="s">
        <v>5880</v>
      </c>
      <c r="D3253" t="s">
        <v>5</v>
      </c>
      <c r="E3253" t="s">
        <v>6</v>
      </c>
      <c r="F3253" t="s">
        <v>28</v>
      </c>
      <c r="G3253">
        <v>2</v>
      </c>
      <c r="H3253" s="2">
        <f>Tabelle13[[#This Row],[commits]]/Tabelle13[[#Totals],[commits]]</f>
        <v>9.2955808808492451E-6</v>
      </c>
      <c r="I3253" s="5">
        <f>Tabelle13[[#This Row],[%]]+I3252</f>
        <v>0.96967316737624309</v>
      </c>
      <c r="J3253" s="4">
        <f t="shared" si="133"/>
        <v>1.105583195135434E-4</v>
      </c>
      <c r="K3253" s="5">
        <f t="shared" si="134"/>
        <v>0.35942509673854112</v>
      </c>
    </row>
    <row r="3254" spans="1:11" x14ac:dyDescent="0.25">
      <c r="A3254" t="s">
        <v>5881</v>
      </c>
      <c r="C3254" t="s">
        <v>5882</v>
      </c>
      <c r="D3254" t="s">
        <v>5</v>
      </c>
      <c r="E3254" t="s">
        <v>6</v>
      </c>
      <c r="F3254" t="s">
        <v>28</v>
      </c>
      <c r="G3254">
        <v>2</v>
      </c>
      <c r="H3254" s="2">
        <f>Tabelle13[[#This Row],[commits]]/Tabelle13[[#Totals],[commits]]</f>
        <v>9.2955808808492451E-6</v>
      </c>
      <c r="I3254" s="5">
        <f>Tabelle13[[#This Row],[%]]+I3253</f>
        <v>0.9696824629571239</v>
      </c>
      <c r="J3254" s="4">
        <f t="shared" si="133"/>
        <v>1.105583195135434E-4</v>
      </c>
      <c r="K3254" s="5">
        <f t="shared" si="134"/>
        <v>0.35953565505805468</v>
      </c>
    </row>
    <row r="3255" spans="1:11" x14ac:dyDescent="0.25">
      <c r="A3255" t="s">
        <v>5883</v>
      </c>
      <c r="C3255" t="s">
        <v>5884</v>
      </c>
      <c r="D3255" t="s">
        <v>5</v>
      </c>
      <c r="E3255" t="s">
        <v>6</v>
      </c>
      <c r="F3255" t="s">
        <v>28</v>
      </c>
      <c r="G3255">
        <v>2</v>
      </c>
      <c r="H3255" s="2">
        <f>Tabelle13[[#This Row],[commits]]/Tabelle13[[#Totals],[commits]]</f>
        <v>9.2955808808492451E-6</v>
      </c>
      <c r="I3255" s="5">
        <f>Tabelle13[[#This Row],[%]]+I3254</f>
        <v>0.96969175853800471</v>
      </c>
      <c r="J3255" s="4">
        <f t="shared" si="133"/>
        <v>1.105583195135434E-4</v>
      </c>
      <c r="K3255" s="5">
        <f t="shared" si="134"/>
        <v>0.35964621337756825</v>
      </c>
    </row>
    <row r="3256" spans="1:11" x14ac:dyDescent="0.25">
      <c r="A3256" t="s">
        <v>5885</v>
      </c>
      <c r="C3256" t="s">
        <v>5886</v>
      </c>
      <c r="D3256" t="s">
        <v>5</v>
      </c>
      <c r="E3256" t="s">
        <v>6</v>
      </c>
      <c r="F3256" t="s">
        <v>28</v>
      </c>
      <c r="G3256">
        <v>2</v>
      </c>
      <c r="H3256" s="2">
        <f>Tabelle13[[#This Row],[commits]]/Tabelle13[[#Totals],[commits]]</f>
        <v>9.2955808808492451E-6</v>
      </c>
      <c r="I3256" s="5">
        <f>Tabelle13[[#This Row],[%]]+I3255</f>
        <v>0.96970105411888552</v>
      </c>
      <c r="J3256" s="4">
        <f t="shared" si="133"/>
        <v>1.105583195135434E-4</v>
      </c>
      <c r="K3256" s="5">
        <f t="shared" si="134"/>
        <v>0.35975677169708181</v>
      </c>
    </row>
    <row r="3257" spans="1:11" x14ac:dyDescent="0.25">
      <c r="A3257" t="s">
        <v>5887</v>
      </c>
      <c r="C3257" t="s">
        <v>5888</v>
      </c>
      <c r="D3257" t="s">
        <v>5</v>
      </c>
      <c r="E3257" t="s">
        <v>6</v>
      </c>
      <c r="F3257" t="s">
        <v>28</v>
      </c>
      <c r="G3257">
        <v>2</v>
      </c>
      <c r="H3257" s="2">
        <f>Tabelle13[[#This Row],[commits]]/Tabelle13[[#Totals],[commits]]</f>
        <v>9.2955808808492451E-6</v>
      </c>
      <c r="I3257" s="5">
        <f>Tabelle13[[#This Row],[%]]+I3256</f>
        <v>0.96971034969976633</v>
      </c>
      <c r="J3257" s="4">
        <f t="shared" si="133"/>
        <v>1.105583195135434E-4</v>
      </c>
      <c r="K3257" s="5">
        <f t="shared" si="134"/>
        <v>0.35986733001659538</v>
      </c>
    </row>
    <row r="3258" spans="1:11" x14ac:dyDescent="0.25">
      <c r="A3258" t="s">
        <v>5891</v>
      </c>
      <c r="C3258" t="s">
        <v>5892</v>
      </c>
      <c r="D3258" t="s">
        <v>5</v>
      </c>
      <c r="E3258" t="s">
        <v>6</v>
      </c>
      <c r="F3258" t="s">
        <v>28</v>
      </c>
      <c r="G3258">
        <v>2</v>
      </c>
      <c r="H3258" s="2">
        <f>Tabelle13[[#This Row],[commits]]/Tabelle13[[#Totals],[commits]]</f>
        <v>9.2955808808492451E-6</v>
      </c>
      <c r="I3258" s="5">
        <f>Tabelle13[[#This Row],[%]]+I3257</f>
        <v>0.96971964528064714</v>
      </c>
      <c r="J3258" s="4">
        <f t="shared" si="133"/>
        <v>1.105583195135434E-4</v>
      </c>
      <c r="K3258" s="5">
        <f t="shared" si="134"/>
        <v>0.35997788833610894</v>
      </c>
    </row>
    <row r="3259" spans="1:11" x14ac:dyDescent="0.25">
      <c r="A3259" t="s">
        <v>5893</v>
      </c>
      <c r="C3259" t="s">
        <v>5894</v>
      </c>
      <c r="D3259" t="s">
        <v>5</v>
      </c>
      <c r="E3259" t="s">
        <v>6</v>
      </c>
      <c r="F3259" t="s">
        <v>28</v>
      </c>
      <c r="G3259">
        <v>2</v>
      </c>
      <c r="H3259" s="2">
        <f>Tabelle13[[#This Row],[commits]]/Tabelle13[[#Totals],[commits]]</f>
        <v>9.2955808808492451E-6</v>
      </c>
      <c r="I3259" s="5">
        <f>Tabelle13[[#This Row],[%]]+I3258</f>
        <v>0.96972894086152794</v>
      </c>
      <c r="J3259" s="4">
        <f t="shared" si="133"/>
        <v>1.105583195135434E-4</v>
      </c>
      <c r="K3259" s="5">
        <f t="shared" si="134"/>
        <v>0.36008844665562251</v>
      </c>
    </row>
    <row r="3260" spans="1:11" x14ac:dyDescent="0.25">
      <c r="A3260" t="s">
        <v>5895</v>
      </c>
      <c r="C3260" t="s">
        <v>187</v>
      </c>
      <c r="D3260" t="s">
        <v>5</v>
      </c>
      <c r="E3260" t="s">
        <v>6</v>
      </c>
      <c r="F3260" t="s">
        <v>28</v>
      </c>
      <c r="G3260">
        <v>2</v>
      </c>
      <c r="H3260" s="2">
        <f>Tabelle13[[#This Row],[commits]]/Tabelle13[[#Totals],[commits]]</f>
        <v>9.2955808808492451E-6</v>
      </c>
      <c r="I3260" s="5">
        <f>Tabelle13[[#This Row],[%]]+I3259</f>
        <v>0.96973823644240875</v>
      </c>
      <c r="J3260" s="4">
        <f t="shared" si="133"/>
        <v>1.105583195135434E-4</v>
      </c>
      <c r="K3260" s="5">
        <f t="shared" si="134"/>
        <v>0.36019900497513607</v>
      </c>
    </row>
    <row r="3261" spans="1:11" x14ac:dyDescent="0.25">
      <c r="A3261" t="s">
        <v>5896</v>
      </c>
      <c r="C3261" t="s">
        <v>26</v>
      </c>
      <c r="D3261" t="s">
        <v>5</v>
      </c>
      <c r="E3261" t="s">
        <v>6</v>
      </c>
      <c r="F3261" t="s">
        <v>28</v>
      </c>
      <c r="G3261">
        <v>2</v>
      </c>
      <c r="H3261" s="2">
        <f>Tabelle13[[#This Row],[commits]]/Tabelle13[[#Totals],[commits]]</f>
        <v>9.2955808808492451E-6</v>
      </c>
      <c r="I3261" s="5">
        <f>Tabelle13[[#This Row],[%]]+I3260</f>
        <v>0.96974753202328956</v>
      </c>
      <c r="J3261" s="4">
        <f t="shared" si="133"/>
        <v>1.105583195135434E-4</v>
      </c>
      <c r="K3261" s="5">
        <f t="shared" si="134"/>
        <v>0.36030956329464964</v>
      </c>
    </row>
    <row r="3262" spans="1:11" x14ac:dyDescent="0.25">
      <c r="A3262" t="s">
        <v>5897</v>
      </c>
      <c r="C3262" t="s">
        <v>26</v>
      </c>
      <c r="D3262" t="s">
        <v>5</v>
      </c>
      <c r="E3262" t="s">
        <v>6</v>
      </c>
      <c r="F3262" t="s">
        <v>28</v>
      </c>
      <c r="G3262">
        <v>2</v>
      </c>
      <c r="H3262" s="2">
        <f>Tabelle13[[#This Row],[commits]]/Tabelle13[[#Totals],[commits]]</f>
        <v>9.2955808808492451E-6</v>
      </c>
      <c r="I3262" s="5">
        <f>Tabelle13[[#This Row],[%]]+I3261</f>
        <v>0.96975682760417037</v>
      </c>
      <c r="J3262" s="4">
        <f t="shared" si="133"/>
        <v>1.105583195135434E-4</v>
      </c>
      <c r="K3262" s="5">
        <f t="shared" si="134"/>
        <v>0.3604201216141632</v>
      </c>
    </row>
    <row r="3263" spans="1:11" x14ac:dyDescent="0.25">
      <c r="A3263" t="s">
        <v>5898</v>
      </c>
      <c r="C3263" t="s">
        <v>26</v>
      </c>
      <c r="D3263" t="s">
        <v>5</v>
      </c>
      <c r="E3263" t="s">
        <v>6</v>
      </c>
      <c r="F3263" t="s">
        <v>28</v>
      </c>
      <c r="G3263">
        <v>2</v>
      </c>
      <c r="H3263" s="2">
        <f>Tabelle13[[#This Row],[commits]]/Tabelle13[[#Totals],[commits]]</f>
        <v>9.2955808808492451E-6</v>
      </c>
      <c r="I3263" s="5">
        <f>Tabelle13[[#This Row],[%]]+I3262</f>
        <v>0.96976612318505118</v>
      </c>
      <c r="J3263" s="4">
        <f t="shared" si="133"/>
        <v>1.105583195135434E-4</v>
      </c>
      <c r="K3263" s="5">
        <f t="shared" si="134"/>
        <v>0.36053067993367677</v>
      </c>
    </row>
    <row r="3264" spans="1:11" x14ac:dyDescent="0.25">
      <c r="A3264" t="s">
        <v>5899</v>
      </c>
      <c r="C3264" t="s">
        <v>5900</v>
      </c>
      <c r="D3264" t="s">
        <v>5</v>
      </c>
      <c r="E3264" t="s">
        <v>6</v>
      </c>
      <c r="F3264" t="s">
        <v>28</v>
      </c>
      <c r="G3264">
        <v>2</v>
      </c>
      <c r="H3264" s="2">
        <f>Tabelle13[[#This Row],[commits]]/Tabelle13[[#Totals],[commits]]</f>
        <v>9.2955808808492451E-6</v>
      </c>
      <c r="I3264" s="5">
        <f>Tabelle13[[#This Row],[%]]+I3263</f>
        <v>0.96977541876593198</v>
      </c>
      <c r="J3264" s="4">
        <f t="shared" si="133"/>
        <v>1.105583195135434E-4</v>
      </c>
      <c r="K3264" s="5">
        <f t="shared" si="134"/>
        <v>0.36064123825319033</v>
      </c>
    </row>
    <row r="3265" spans="1:11" x14ac:dyDescent="0.25">
      <c r="A3265" t="s">
        <v>5901</v>
      </c>
      <c r="C3265" t="s">
        <v>5902</v>
      </c>
      <c r="D3265" t="s">
        <v>5</v>
      </c>
      <c r="E3265" t="s">
        <v>6</v>
      </c>
      <c r="F3265" t="s">
        <v>28</v>
      </c>
      <c r="G3265">
        <v>2</v>
      </c>
      <c r="H3265" s="2">
        <f>Tabelle13[[#This Row],[commits]]/Tabelle13[[#Totals],[commits]]</f>
        <v>9.2955808808492451E-6</v>
      </c>
      <c r="I3265" s="5">
        <f>Tabelle13[[#This Row],[%]]+I3264</f>
        <v>0.96978471434681279</v>
      </c>
      <c r="J3265" s="4">
        <f t="shared" si="133"/>
        <v>1.105583195135434E-4</v>
      </c>
      <c r="K3265" s="5">
        <f t="shared" si="134"/>
        <v>0.3607517965727039</v>
      </c>
    </row>
    <row r="3266" spans="1:11" x14ac:dyDescent="0.25">
      <c r="A3266" t="s">
        <v>5903</v>
      </c>
      <c r="C3266" t="s">
        <v>5904</v>
      </c>
      <c r="D3266" t="s">
        <v>5</v>
      </c>
      <c r="E3266" t="s">
        <v>6</v>
      </c>
      <c r="F3266" t="s">
        <v>28</v>
      </c>
      <c r="G3266">
        <v>2</v>
      </c>
      <c r="H3266" s="2">
        <f>Tabelle13[[#This Row],[commits]]/Tabelle13[[#Totals],[commits]]</f>
        <v>9.2955808808492451E-6</v>
      </c>
      <c r="I3266" s="5">
        <f>Tabelle13[[#This Row],[%]]+I3265</f>
        <v>0.9697940099276936</v>
      </c>
      <c r="J3266" s="4">
        <f t="shared" si="133"/>
        <v>1.105583195135434E-4</v>
      </c>
      <c r="K3266" s="5">
        <f t="shared" si="134"/>
        <v>0.36086235489221746</v>
      </c>
    </row>
    <row r="3267" spans="1:11" x14ac:dyDescent="0.25">
      <c r="A3267" t="s">
        <v>5905</v>
      </c>
      <c r="C3267" t="s">
        <v>5906</v>
      </c>
      <c r="D3267" t="s">
        <v>5</v>
      </c>
      <c r="E3267" t="s">
        <v>6</v>
      </c>
      <c r="F3267" t="s">
        <v>28</v>
      </c>
      <c r="G3267">
        <v>2</v>
      </c>
      <c r="H3267" s="2">
        <f>Tabelle13[[#This Row],[commits]]/Tabelle13[[#Totals],[commits]]</f>
        <v>9.2955808808492451E-6</v>
      </c>
      <c r="I3267" s="5">
        <f>Tabelle13[[#This Row],[%]]+I3266</f>
        <v>0.96980330550857441</v>
      </c>
      <c r="J3267" s="4">
        <f t="shared" ref="J3267:J3330" si="135">1/9045</f>
        <v>1.105583195135434E-4</v>
      </c>
      <c r="K3267" s="5">
        <f t="shared" si="134"/>
        <v>0.36097291321173103</v>
      </c>
    </row>
    <row r="3268" spans="1:11" x14ac:dyDescent="0.25">
      <c r="A3268" t="s">
        <v>5907</v>
      </c>
      <c r="C3268" t="s">
        <v>5908</v>
      </c>
      <c r="D3268" t="s">
        <v>5</v>
      </c>
      <c r="E3268" t="s">
        <v>6</v>
      </c>
      <c r="F3268" t="s">
        <v>28</v>
      </c>
      <c r="G3268">
        <v>2</v>
      </c>
      <c r="H3268" s="2">
        <f>Tabelle13[[#This Row],[commits]]/Tabelle13[[#Totals],[commits]]</f>
        <v>9.2955808808492451E-6</v>
      </c>
      <c r="I3268" s="5">
        <f>Tabelle13[[#This Row],[%]]+I3267</f>
        <v>0.96981260108945522</v>
      </c>
      <c r="J3268" s="4">
        <f t="shared" si="135"/>
        <v>1.105583195135434E-4</v>
      </c>
      <c r="K3268" s="5">
        <f t="shared" si="134"/>
        <v>0.36108347153124459</v>
      </c>
    </row>
    <row r="3269" spans="1:11" x14ac:dyDescent="0.25">
      <c r="A3269" t="s">
        <v>5909</v>
      </c>
      <c r="C3269" t="s">
        <v>5910</v>
      </c>
      <c r="D3269" t="s">
        <v>5</v>
      </c>
      <c r="E3269" t="s">
        <v>6</v>
      </c>
      <c r="F3269" t="s">
        <v>28</v>
      </c>
      <c r="G3269">
        <v>2</v>
      </c>
      <c r="H3269" s="2">
        <f>Tabelle13[[#This Row],[commits]]/Tabelle13[[#Totals],[commits]]</f>
        <v>9.2955808808492451E-6</v>
      </c>
      <c r="I3269" s="5">
        <f>Tabelle13[[#This Row],[%]]+I3268</f>
        <v>0.96982189667033603</v>
      </c>
      <c r="J3269" s="4">
        <f t="shared" si="135"/>
        <v>1.105583195135434E-4</v>
      </c>
      <c r="K3269" s="5">
        <f t="shared" si="134"/>
        <v>0.36119402985075816</v>
      </c>
    </row>
    <row r="3270" spans="1:11" x14ac:dyDescent="0.25">
      <c r="A3270" t="s">
        <v>5911</v>
      </c>
      <c r="C3270" t="s">
        <v>532</v>
      </c>
      <c r="D3270" t="s">
        <v>5</v>
      </c>
      <c r="E3270" t="s">
        <v>6</v>
      </c>
      <c r="F3270" t="s">
        <v>28</v>
      </c>
      <c r="G3270">
        <v>2</v>
      </c>
      <c r="H3270" s="2">
        <f>Tabelle13[[#This Row],[commits]]/Tabelle13[[#Totals],[commits]]</f>
        <v>9.2955808808492451E-6</v>
      </c>
      <c r="I3270" s="5">
        <f>Tabelle13[[#This Row],[%]]+I3269</f>
        <v>0.96983119225121683</v>
      </c>
      <c r="J3270" s="4">
        <f t="shared" si="135"/>
        <v>1.105583195135434E-4</v>
      </c>
      <c r="K3270" s="5">
        <f t="shared" ref="K3270:K3333" si="136">J3270+K3269</f>
        <v>0.36130458817027172</v>
      </c>
    </row>
    <row r="3271" spans="1:11" x14ac:dyDescent="0.25">
      <c r="A3271" t="s">
        <v>5912</v>
      </c>
      <c r="C3271" t="s">
        <v>532</v>
      </c>
      <c r="D3271" t="s">
        <v>5</v>
      </c>
      <c r="E3271" t="s">
        <v>6</v>
      </c>
      <c r="F3271" t="s">
        <v>28</v>
      </c>
      <c r="G3271">
        <v>2</v>
      </c>
      <c r="H3271" s="2">
        <f>Tabelle13[[#This Row],[commits]]/Tabelle13[[#Totals],[commits]]</f>
        <v>9.2955808808492451E-6</v>
      </c>
      <c r="I3271" s="5">
        <f>Tabelle13[[#This Row],[%]]+I3270</f>
        <v>0.96984048783209764</v>
      </c>
      <c r="J3271" s="4">
        <f t="shared" si="135"/>
        <v>1.105583195135434E-4</v>
      </c>
      <c r="K3271" s="5">
        <f t="shared" si="136"/>
        <v>0.36141514648978529</v>
      </c>
    </row>
    <row r="3272" spans="1:11" x14ac:dyDescent="0.25">
      <c r="A3272" t="s">
        <v>5913</v>
      </c>
      <c r="C3272" t="s">
        <v>5914</v>
      </c>
      <c r="D3272" t="s">
        <v>5</v>
      </c>
      <c r="E3272" t="s">
        <v>6</v>
      </c>
      <c r="F3272" t="s">
        <v>28</v>
      </c>
      <c r="G3272">
        <v>2</v>
      </c>
      <c r="H3272" s="2">
        <f>Tabelle13[[#This Row],[commits]]/Tabelle13[[#Totals],[commits]]</f>
        <v>9.2955808808492451E-6</v>
      </c>
      <c r="I3272" s="5">
        <f>Tabelle13[[#This Row],[%]]+I3271</f>
        <v>0.96984978341297845</v>
      </c>
      <c r="J3272" s="4">
        <f t="shared" si="135"/>
        <v>1.105583195135434E-4</v>
      </c>
      <c r="K3272" s="5">
        <f t="shared" si="136"/>
        <v>0.36152570480929885</v>
      </c>
    </row>
    <row r="3273" spans="1:11" x14ac:dyDescent="0.25">
      <c r="A3273" t="s">
        <v>5915</v>
      </c>
      <c r="C3273" t="s">
        <v>5916</v>
      </c>
      <c r="D3273" t="s">
        <v>5</v>
      </c>
      <c r="E3273" t="s">
        <v>6</v>
      </c>
      <c r="F3273" t="s">
        <v>28</v>
      </c>
      <c r="G3273">
        <v>2</v>
      </c>
      <c r="H3273" s="2">
        <f>Tabelle13[[#This Row],[commits]]/Tabelle13[[#Totals],[commits]]</f>
        <v>9.2955808808492451E-6</v>
      </c>
      <c r="I3273" s="5">
        <f>Tabelle13[[#This Row],[%]]+I3272</f>
        <v>0.96985907899385926</v>
      </c>
      <c r="J3273" s="4">
        <f t="shared" si="135"/>
        <v>1.105583195135434E-4</v>
      </c>
      <c r="K3273" s="5">
        <f t="shared" si="136"/>
        <v>0.36163626312881242</v>
      </c>
    </row>
    <row r="3274" spans="1:11" x14ac:dyDescent="0.25">
      <c r="A3274" t="s">
        <v>5917</v>
      </c>
      <c r="C3274" t="s">
        <v>5918</v>
      </c>
      <c r="D3274" t="s">
        <v>5</v>
      </c>
      <c r="E3274" t="s">
        <v>6</v>
      </c>
      <c r="F3274" t="s">
        <v>28</v>
      </c>
      <c r="G3274">
        <v>2</v>
      </c>
      <c r="H3274" s="2">
        <f>Tabelle13[[#This Row],[commits]]/Tabelle13[[#Totals],[commits]]</f>
        <v>9.2955808808492451E-6</v>
      </c>
      <c r="I3274" s="5">
        <f>Tabelle13[[#This Row],[%]]+I3273</f>
        <v>0.96986837457474007</v>
      </c>
      <c r="J3274" s="4">
        <f t="shared" si="135"/>
        <v>1.105583195135434E-4</v>
      </c>
      <c r="K3274" s="5">
        <f t="shared" si="136"/>
        <v>0.36174682144832598</v>
      </c>
    </row>
    <row r="3275" spans="1:11" x14ac:dyDescent="0.25">
      <c r="A3275" t="s">
        <v>5919</v>
      </c>
      <c r="C3275" t="s">
        <v>5920</v>
      </c>
      <c r="D3275" t="s">
        <v>5</v>
      </c>
      <c r="E3275" t="s">
        <v>6</v>
      </c>
      <c r="F3275" t="s">
        <v>28</v>
      </c>
      <c r="G3275">
        <v>2</v>
      </c>
      <c r="H3275" s="2">
        <f>Tabelle13[[#This Row],[commits]]/Tabelle13[[#Totals],[commits]]</f>
        <v>9.2955808808492451E-6</v>
      </c>
      <c r="I3275" s="5">
        <f>Tabelle13[[#This Row],[%]]+I3274</f>
        <v>0.96987767015562087</v>
      </c>
      <c r="J3275" s="4">
        <f t="shared" si="135"/>
        <v>1.105583195135434E-4</v>
      </c>
      <c r="K3275" s="5">
        <f t="shared" si="136"/>
        <v>0.36185737976783955</v>
      </c>
    </row>
    <row r="3276" spans="1:11" x14ac:dyDescent="0.25">
      <c r="A3276" t="s">
        <v>5921</v>
      </c>
      <c r="C3276" t="s">
        <v>219</v>
      </c>
      <c r="D3276" t="s">
        <v>5</v>
      </c>
      <c r="E3276" t="s">
        <v>6</v>
      </c>
      <c r="F3276" t="s">
        <v>28</v>
      </c>
      <c r="G3276">
        <v>2</v>
      </c>
      <c r="H3276" s="2">
        <f>Tabelle13[[#This Row],[commits]]/Tabelle13[[#Totals],[commits]]</f>
        <v>9.2955808808492451E-6</v>
      </c>
      <c r="I3276" s="5">
        <f>Tabelle13[[#This Row],[%]]+I3275</f>
        <v>0.96988696573650168</v>
      </c>
      <c r="J3276" s="4">
        <f t="shared" si="135"/>
        <v>1.105583195135434E-4</v>
      </c>
      <c r="K3276" s="5">
        <f t="shared" si="136"/>
        <v>0.36196793808735311</v>
      </c>
    </row>
    <row r="3277" spans="1:11" x14ac:dyDescent="0.25">
      <c r="A3277" t="s">
        <v>5922</v>
      </c>
      <c r="C3277" t="s">
        <v>5923</v>
      </c>
      <c r="D3277" t="s">
        <v>5175</v>
      </c>
      <c r="E3277" t="s">
        <v>6</v>
      </c>
      <c r="F3277" t="s">
        <v>28</v>
      </c>
      <c r="G3277">
        <v>2</v>
      </c>
      <c r="H3277" s="2">
        <f>Tabelle13[[#This Row],[commits]]/Tabelle13[[#Totals],[commits]]</f>
        <v>9.2955808808492451E-6</v>
      </c>
      <c r="I3277" s="5">
        <f>Tabelle13[[#This Row],[%]]+I3276</f>
        <v>0.96989626131738249</v>
      </c>
      <c r="J3277" s="4">
        <f t="shared" si="135"/>
        <v>1.105583195135434E-4</v>
      </c>
      <c r="K3277" s="5">
        <f t="shared" si="136"/>
        <v>0.36207849640686668</v>
      </c>
    </row>
    <row r="3278" spans="1:11" x14ac:dyDescent="0.25">
      <c r="A3278" t="s">
        <v>5924</v>
      </c>
      <c r="C3278" t="s">
        <v>5925</v>
      </c>
      <c r="D3278" t="s">
        <v>5</v>
      </c>
      <c r="E3278" t="s">
        <v>6</v>
      </c>
      <c r="F3278" t="s">
        <v>28</v>
      </c>
      <c r="G3278">
        <v>2</v>
      </c>
      <c r="H3278" s="2">
        <f>Tabelle13[[#This Row],[commits]]/Tabelle13[[#Totals],[commits]]</f>
        <v>9.2955808808492451E-6</v>
      </c>
      <c r="I3278" s="5">
        <f>Tabelle13[[#This Row],[%]]+I3277</f>
        <v>0.9699055568982633</v>
      </c>
      <c r="J3278" s="4">
        <f t="shared" si="135"/>
        <v>1.105583195135434E-4</v>
      </c>
      <c r="K3278" s="5">
        <f t="shared" si="136"/>
        <v>0.36218905472638024</v>
      </c>
    </row>
    <row r="3279" spans="1:11" x14ac:dyDescent="0.25">
      <c r="A3279" t="s">
        <v>5926</v>
      </c>
      <c r="C3279" t="s">
        <v>5927</v>
      </c>
      <c r="D3279" t="s">
        <v>5</v>
      </c>
      <c r="E3279" t="s">
        <v>6</v>
      </c>
      <c r="F3279" t="s">
        <v>28</v>
      </c>
      <c r="G3279">
        <v>2</v>
      </c>
      <c r="H3279" s="2">
        <f>Tabelle13[[#This Row],[commits]]/Tabelle13[[#Totals],[commits]]</f>
        <v>9.2955808808492451E-6</v>
      </c>
      <c r="I3279" s="5">
        <f>Tabelle13[[#This Row],[%]]+I3278</f>
        <v>0.96991485247914411</v>
      </c>
      <c r="J3279" s="4">
        <f t="shared" si="135"/>
        <v>1.105583195135434E-4</v>
      </c>
      <c r="K3279" s="5">
        <f t="shared" si="136"/>
        <v>0.36229961304589381</v>
      </c>
    </row>
    <row r="3280" spans="1:11" x14ac:dyDescent="0.25">
      <c r="A3280" t="s">
        <v>5928</v>
      </c>
      <c r="C3280" t="s">
        <v>5929</v>
      </c>
      <c r="D3280" t="s">
        <v>5</v>
      </c>
      <c r="E3280" t="s">
        <v>6</v>
      </c>
      <c r="F3280" t="s">
        <v>28</v>
      </c>
      <c r="G3280">
        <v>2</v>
      </c>
      <c r="H3280" s="2">
        <f>Tabelle13[[#This Row],[commits]]/Tabelle13[[#Totals],[commits]]</f>
        <v>9.2955808808492451E-6</v>
      </c>
      <c r="I3280" s="5">
        <f>Tabelle13[[#This Row],[%]]+I3279</f>
        <v>0.96992414806002492</v>
      </c>
      <c r="J3280" s="4">
        <f t="shared" si="135"/>
        <v>1.105583195135434E-4</v>
      </c>
      <c r="K3280" s="5">
        <f t="shared" si="136"/>
        <v>0.36241017136540737</v>
      </c>
    </row>
    <row r="3281" spans="1:11" x14ac:dyDescent="0.25">
      <c r="A3281" t="s">
        <v>5930</v>
      </c>
      <c r="C3281" t="s">
        <v>5931</v>
      </c>
      <c r="D3281" t="s">
        <v>5</v>
      </c>
      <c r="E3281" t="s">
        <v>6</v>
      </c>
      <c r="F3281" t="s">
        <v>28</v>
      </c>
      <c r="G3281">
        <v>2</v>
      </c>
      <c r="H3281" s="2">
        <f>Tabelle13[[#This Row],[commits]]/Tabelle13[[#Totals],[commits]]</f>
        <v>9.2955808808492451E-6</v>
      </c>
      <c r="I3281" s="5">
        <f>Tabelle13[[#This Row],[%]]+I3280</f>
        <v>0.96993344364090572</v>
      </c>
      <c r="J3281" s="4">
        <f t="shared" si="135"/>
        <v>1.105583195135434E-4</v>
      </c>
      <c r="K3281" s="5">
        <f t="shared" si="136"/>
        <v>0.36252072968492094</v>
      </c>
    </row>
    <row r="3282" spans="1:11" x14ac:dyDescent="0.25">
      <c r="A3282" t="s">
        <v>5932</v>
      </c>
      <c r="C3282" t="s">
        <v>5933</v>
      </c>
      <c r="D3282" t="s">
        <v>5</v>
      </c>
      <c r="E3282" t="s">
        <v>6</v>
      </c>
      <c r="F3282" t="s">
        <v>28</v>
      </c>
      <c r="G3282">
        <v>2</v>
      </c>
      <c r="H3282" s="2">
        <f>Tabelle13[[#This Row],[commits]]/Tabelle13[[#Totals],[commits]]</f>
        <v>9.2955808808492451E-6</v>
      </c>
      <c r="I3282" s="5">
        <f>Tabelle13[[#This Row],[%]]+I3281</f>
        <v>0.96994273922178653</v>
      </c>
      <c r="J3282" s="4">
        <f t="shared" si="135"/>
        <v>1.105583195135434E-4</v>
      </c>
      <c r="K3282" s="5">
        <f t="shared" si="136"/>
        <v>0.3626312880044345</v>
      </c>
    </row>
    <row r="3283" spans="1:11" x14ac:dyDescent="0.25">
      <c r="A3283" t="s">
        <v>5934</v>
      </c>
      <c r="C3283" t="s">
        <v>5935</v>
      </c>
      <c r="D3283" t="s">
        <v>5</v>
      </c>
      <c r="E3283" t="s">
        <v>6</v>
      </c>
      <c r="F3283" t="s">
        <v>28</v>
      </c>
      <c r="G3283">
        <v>2</v>
      </c>
      <c r="H3283" s="2">
        <f>Tabelle13[[#This Row],[commits]]/Tabelle13[[#Totals],[commits]]</f>
        <v>9.2955808808492451E-6</v>
      </c>
      <c r="I3283" s="5">
        <f>Tabelle13[[#This Row],[%]]+I3282</f>
        <v>0.96995203480266734</v>
      </c>
      <c r="J3283" s="4">
        <f t="shared" si="135"/>
        <v>1.105583195135434E-4</v>
      </c>
      <c r="K3283" s="5">
        <f t="shared" si="136"/>
        <v>0.36274184632394807</v>
      </c>
    </row>
    <row r="3284" spans="1:11" x14ac:dyDescent="0.25">
      <c r="A3284" t="s">
        <v>5936</v>
      </c>
      <c r="C3284" t="s">
        <v>5937</v>
      </c>
      <c r="D3284" t="s">
        <v>5</v>
      </c>
      <c r="E3284" t="s">
        <v>6</v>
      </c>
      <c r="F3284" t="s">
        <v>28</v>
      </c>
      <c r="G3284">
        <v>2</v>
      </c>
      <c r="H3284" s="2">
        <f>Tabelle13[[#This Row],[commits]]/Tabelle13[[#Totals],[commits]]</f>
        <v>9.2955808808492451E-6</v>
      </c>
      <c r="I3284" s="5">
        <f>Tabelle13[[#This Row],[%]]+I3283</f>
        <v>0.96996133038354815</v>
      </c>
      <c r="J3284" s="4">
        <f t="shared" si="135"/>
        <v>1.105583195135434E-4</v>
      </c>
      <c r="K3284" s="5">
        <f t="shared" si="136"/>
        <v>0.36285240464346163</v>
      </c>
    </row>
    <row r="3285" spans="1:11" x14ac:dyDescent="0.25">
      <c r="A3285" t="s">
        <v>5938</v>
      </c>
      <c r="C3285" t="s">
        <v>1898</v>
      </c>
      <c r="D3285" t="s">
        <v>5</v>
      </c>
      <c r="E3285" t="s">
        <v>6</v>
      </c>
      <c r="F3285" t="s">
        <v>28</v>
      </c>
      <c r="G3285">
        <v>2</v>
      </c>
      <c r="H3285" s="2">
        <f>Tabelle13[[#This Row],[commits]]/Tabelle13[[#Totals],[commits]]</f>
        <v>9.2955808808492451E-6</v>
      </c>
      <c r="I3285" s="5">
        <f>Tabelle13[[#This Row],[%]]+I3284</f>
        <v>0.96997062596442896</v>
      </c>
      <c r="J3285" s="4">
        <f t="shared" si="135"/>
        <v>1.105583195135434E-4</v>
      </c>
      <c r="K3285" s="5">
        <f t="shared" si="136"/>
        <v>0.3629629629629752</v>
      </c>
    </row>
    <row r="3286" spans="1:11" x14ac:dyDescent="0.25">
      <c r="A3286" t="s">
        <v>5939</v>
      </c>
      <c r="C3286" t="s">
        <v>5940</v>
      </c>
      <c r="D3286" t="s">
        <v>5</v>
      </c>
      <c r="E3286" t="s">
        <v>6</v>
      </c>
      <c r="F3286" t="s">
        <v>28</v>
      </c>
      <c r="G3286">
        <v>2</v>
      </c>
      <c r="H3286" s="2">
        <f>Tabelle13[[#This Row],[commits]]/Tabelle13[[#Totals],[commits]]</f>
        <v>9.2955808808492451E-6</v>
      </c>
      <c r="I3286" s="5">
        <f>Tabelle13[[#This Row],[%]]+I3285</f>
        <v>0.96997992154530976</v>
      </c>
      <c r="J3286" s="4">
        <f t="shared" si="135"/>
        <v>1.105583195135434E-4</v>
      </c>
      <c r="K3286" s="5">
        <f t="shared" si="136"/>
        <v>0.36307352128248876</v>
      </c>
    </row>
    <row r="3287" spans="1:11" x14ac:dyDescent="0.25">
      <c r="A3287" t="s">
        <v>5941</v>
      </c>
      <c r="C3287" t="s">
        <v>5942</v>
      </c>
      <c r="D3287" t="s">
        <v>5</v>
      </c>
      <c r="E3287" t="s">
        <v>6</v>
      </c>
      <c r="F3287" t="s">
        <v>28</v>
      </c>
      <c r="G3287">
        <v>2</v>
      </c>
      <c r="H3287" s="2">
        <f>Tabelle13[[#This Row],[commits]]/Tabelle13[[#Totals],[commits]]</f>
        <v>9.2955808808492451E-6</v>
      </c>
      <c r="I3287" s="5">
        <f>Tabelle13[[#This Row],[%]]+I3286</f>
        <v>0.96998921712619057</v>
      </c>
      <c r="J3287" s="4">
        <f t="shared" si="135"/>
        <v>1.105583195135434E-4</v>
      </c>
      <c r="K3287" s="5">
        <f t="shared" si="136"/>
        <v>0.36318407960200233</v>
      </c>
    </row>
    <row r="3288" spans="1:11" x14ac:dyDescent="0.25">
      <c r="A3288" t="s">
        <v>5943</v>
      </c>
      <c r="C3288" t="s">
        <v>5944</v>
      </c>
      <c r="D3288" t="s">
        <v>5</v>
      </c>
      <c r="E3288" t="s">
        <v>6</v>
      </c>
      <c r="F3288" t="s">
        <v>28</v>
      </c>
      <c r="G3288">
        <v>2</v>
      </c>
      <c r="H3288" s="2">
        <f>Tabelle13[[#This Row],[commits]]/Tabelle13[[#Totals],[commits]]</f>
        <v>9.2955808808492451E-6</v>
      </c>
      <c r="I3288" s="5">
        <f>Tabelle13[[#This Row],[%]]+I3287</f>
        <v>0.96999851270707138</v>
      </c>
      <c r="J3288" s="4">
        <f t="shared" si="135"/>
        <v>1.105583195135434E-4</v>
      </c>
      <c r="K3288" s="5">
        <f t="shared" si="136"/>
        <v>0.36329463792151589</v>
      </c>
    </row>
    <row r="3289" spans="1:11" x14ac:dyDescent="0.25">
      <c r="A3289" t="s">
        <v>5945</v>
      </c>
      <c r="C3289" t="s">
        <v>5946</v>
      </c>
      <c r="D3289" t="s">
        <v>5175</v>
      </c>
      <c r="E3289" t="s">
        <v>6</v>
      </c>
      <c r="F3289" t="s">
        <v>28</v>
      </c>
      <c r="G3289">
        <v>2</v>
      </c>
      <c r="H3289" s="2">
        <f>Tabelle13[[#This Row],[commits]]/Tabelle13[[#Totals],[commits]]</f>
        <v>9.2955808808492451E-6</v>
      </c>
      <c r="I3289" s="5">
        <f>Tabelle13[[#This Row],[%]]+I3288</f>
        <v>0.97000780828795219</v>
      </c>
      <c r="J3289" s="4">
        <f t="shared" si="135"/>
        <v>1.105583195135434E-4</v>
      </c>
      <c r="K3289" s="5">
        <f t="shared" si="136"/>
        <v>0.36340519624102946</v>
      </c>
    </row>
    <row r="3290" spans="1:11" x14ac:dyDescent="0.25">
      <c r="A3290" t="s">
        <v>5947</v>
      </c>
      <c r="C3290" t="s">
        <v>5948</v>
      </c>
      <c r="D3290" t="s">
        <v>5</v>
      </c>
      <c r="E3290" t="s">
        <v>6</v>
      </c>
      <c r="F3290" t="s">
        <v>28</v>
      </c>
      <c r="G3290">
        <v>2</v>
      </c>
      <c r="H3290" s="2">
        <f>Tabelle13[[#This Row],[commits]]/Tabelle13[[#Totals],[commits]]</f>
        <v>9.2955808808492451E-6</v>
      </c>
      <c r="I3290" s="5">
        <f>Tabelle13[[#This Row],[%]]+I3289</f>
        <v>0.970017103868833</v>
      </c>
      <c r="J3290" s="4">
        <f t="shared" si="135"/>
        <v>1.105583195135434E-4</v>
      </c>
      <c r="K3290" s="5">
        <f t="shared" si="136"/>
        <v>0.36351575456054303</v>
      </c>
    </row>
    <row r="3291" spans="1:11" x14ac:dyDescent="0.25">
      <c r="A3291" t="s">
        <v>5949</v>
      </c>
      <c r="C3291" t="s">
        <v>5950</v>
      </c>
      <c r="D3291" t="s">
        <v>5</v>
      </c>
      <c r="E3291" t="s">
        <v>6</v>
      </c>
      <c r="F3291" t="s">
        <v>28</v>
      </c>
      <c r="G3291">
        <v>2</v>
      </c>
      <c r="H3291" s="2">
        <f>Tabelle13[[#This Row],[commits]]/Tabelle13[[#Totals],[commits]]</f>
        <v>9.2955808808492451E-6</v>
      </c>
      <c r="I3291" s="5">
        <f>Tabelle13[[#This Row],[%]]+I3290</f>
        <v>0.97002639944971381</v>
      </c>
      <c r="J3291" s="4">
        <f t="shared" si="135"/>
        <v>1.105583195135434E-4</v>
      </c>
      <c r="K3291" s="5">
        <f t="shared" si="136"/>
        <v>0.36362631288005659</v>
      </c>
    </row>
    <row r="3292" spans="1:11" x14ac:dyDescent="0.25">
      <c r="A3292" t="s">
        <v>5951</v>
      </c>
      <c r="C3292" t="s">
        <v>5952</v>
      </c>
      <c r="D3292" t="s">
        <v>5</v>
      </c>
      <c r="E3292" t="s">
        <v>6</v>
      </c>
      <c r="F3292" t="s">
        <v>28</v>
      </c>
      <c r="G3292">
        <v>2</v>
      </c>
      <c r="H3292" s="2">
        <f>Tabelle13[[#This Row],[commits]]/Tabelle13[[#Totals],[commits]]</f>
        <v>9.2955808808492451E-6</v>
      </c>
      <c r="I3292" s="5">
        <f>Tabelle13[[#This Row],[%]]+I3291</f>
        <v>0.97003569503059461</v>
      </c>
      <c r="J3292" s="4">
        <f t="shared" si="135"/>
        <v>1.105583195135434E-4</v>
      </c>
      <c r="K3292" s="5">
        <f t="shared" si="136"/>
        <v>0.36373687119957016</v>
      </c>
    </row>
    <row r="3293" spans="1:11" x14ac:dyDescent="0.25">
      <c r="A3293" t="s">
        <v>5953</v>
      </c>
      <c r="C3293" t="s">
        <v>5954</v>
      </c>
      <c r="D3293" t="s">
        <v>5</v>
      </c>
      <c r="E3293" t="s">
        <v>6</v>
      </c>
      <c r="F3293" t="s">
        <v>28</v>
      </c>
      <c r="G3293">
        <v>2</v>
      </c>
      <c r="H3293" s="2">
        <f>Tabelle13[[#This Row],[commits]]/Tabelle13[[#Totals],[commits]]</f>
        <v>9.2955808808492451E-6</v>
      </c>
      <c r="I3293" s="5">
        <f>Tabelle13[[#This Row],[%]]+I3292</f>
        <v>0.97004499061147542</v>
      </c>
      <c r="J3293" s="4">
        <f t="shared" si="135"/>
        <v>1.105583195135434E-4</v>
      </c>
      <c r="K3293" s="5">
        <f t="shared" si="136"/>
        <v>0.36384742951908372</v>
      </c>
    </row>
    <row r="3294" spans="1:11" x14ac:dyDescent="0.25">
      <c r="A3294" t="s">
        <v>5955</v>
      </c>
      <c r="C3294" t="s">
        <v>5956</v>
      </c>
      <c r="D3294" t="s">
        <v>5175</v>
      </c>
      <c r="E3294" t="s">
        <v>6</v>
      </c>
      <c r="F3294" t="s">
        <v>28</v>
      </c>
      <c r="G3294">
        <v>2</v>
      </c>
      <c r="H3294" s="2">
        <f>Tabelle13[[#This Row],[commits]]/Tabelle13[[#Totals],[commits]]</f>
        <v>9.2955808808492451E-6</v>
      </c>
      <c r="I3294" s="5">
        <f>Tabelle13[[#This Row],[%]]+I3293</f>
        <v>0.97005428619235623</v>
      </c>
      <c r="J3294" s="4">
        <f t="shared" si="135"/>
        <v>1.105583195135434E-4</v>
      </c>
      <c r="K3294" s="5">
        <f t="shared" si="136"/>
        <v>0.36395798783859729</v>
      </c>
    </row>
    <row r="3295" spans="1:11" x14ac:dyDescent="0.25">
      <c r="A3295" t="s">
        <v>5957</v>
      </c>
      <c r="C3295" t="s">
        <v>5958</v>
      </c>
      <c r="D3295" t="s">
        <v>5</v>
      </c>
      <c r="E3295" t="s">
        <v>6</v>
      </c>
      <c r="F3295" t="s">
        <v>28</v>
      </c>
      <c r="G3295">
        <v>2</v>
      </c>
      <c r="H3295" s="2">
        <f>Tabelle13[[#This Row],[commits]]/Tabelle13[[#Totals],[commits]]</f>
        <v>9.2955808808492451E-6</v>
      </c>
      <c r="I3295" s="5">
        <f>Tabelle13[[#This Row],[%]]+I3294</f>
        <v>0.97006358177323704</v>
      </c>
      <c r="J3295" s="4">
        <f t="shared" si="135"/>
        <v>1.105583195135434E-4</v>
      </c>
      <c r="K3295" s="5">
        <f t="shared" si="136"/>
        <v>0.36406854615811085</v>
      </c>
    </row>
    <row r="3296" spans="1:11" x14ac:dyDescent="0.25">
      <c r="A3296" t="s">
        <v>5959</v>
      </c>
      <c r="C3296" t="s">
        <v>5960</v>
      </c>
      <c r="D3296" t="s">
        <v>5</v>
      </c>
      <c r="E3296" t="s">
        <v>6</v>
      </c>
      <c r="F3296" t="s">
        <v>28</v>
      </c>
      <c r="G3296">
        <v>2</v>
      </c>
      <c r="H3296" s="2">
        <f>Tabelle13[[#This Row],[commits]]/Tabelle13[[#Totals],[commits]]</f>
        <v>9.2955808808492451E-6</v>
      </c>
      <c r="I3296" s="5">
        <f>Tabelle13[[#This Row],[%]]+I3295</f>
        <v>0.97007287735411785</v>
      </c>
      <c r="J3296" s="4">
        <f t="shared" si="135"/>
        <v>1.105583195135434E-4</v>
      </c>
      <c r="K3296" s="5">
        <f t="shared" si="136"/>
        <v>0.36417910447762442</v>
      </c>
    </row>
    <row r="3297" spans="1:11" x14ac:dyDescent="0.25">
      <c r="A3297" t="s">
        <v>5961</v>
      </c>
      <c r="C3297" t="s">
        <v>5962</v>
      </c>
      <c r="D3297" t="s">
        <v>5</v>
      </c>
      <c r="E3297" t="s">
        <v>6</v>
      </c>
      <c r="F3297" t="s">
        <v>28</v>
      </c>
      <c r="G3297">
        <v>2</v>
      </c>
      <c r="H3297" s="2">
        <f>Tabelle13[[#This Row],[commits]]/Tabelle13[[#Totals],[commits]]</f>
        <v>9.2955808808492451E-6</v>
      </c>
      <c r="I3297" s="5">
        <f>Tabelle13[[#This Row],[%]]+I3296</f>
        <v>0.97008217293499865</v>
      </c>
      <c r="J3297" s="4">
        <f t="shared" si="135"/>
        <v>1.105583195135434E-4</v>
      </c>
      <c r="K3297" s="5">
        <f t="shared" si="136"/>
        <v>0.36428966279713798</v>
      </c>
    </row>
    <row r="3298" spans="1:11" x14ac:dyDescent="0.25">
      <c r="A3298" t="s">
        <v>5963</v>
      </c>
      <c r="C3298" t="s">
        <v>5964</v>
      </c>
      <c r="D3298" t="s">
        <v>5</v>
      </c>
      <c r="E3298" t="s">
        <v>6</v>
      </c>
      <c r="F3298" t="s">
        <v>28</v>
      </c>
      <c r="G3298">
        <v>2</v>
      </c>
      <c r="H3298" s="2">
        <f>Tabelle13[[#This Row],[commits]]/Tabelle13[[#Totals],[commits]]</f>
        <v>9.2955808808492451E-6</v>
      </c>
      <c r="I3298" s="5">
        <f>Tabelle13[[#This Row],[%]]+I3297</f>
        <v>0.97009146851587946</v>
      </c>
      <c r="J3298" s="4">
        <f t="shared" si="135"/>
        <v>1.105583195135434E-4</v>
      </c>
      <c r="K3298" s="5">
        <f t="shared" si="136"/>
        <v>0.36440022111665155</v>
      </c>
    </row>
    <row r="3299" spans="1:11" x14ac:dyDescent="0.25">
      <c r="A3299" t="s">
        <v>5965</v>
      </c>
      <c r="C3299" t="s">
        <v>5966</v>
      </c>
      <c r="D3299" t="s">
        <v>5175</v>
      </c>
      <c r="E3299" t="s">
        <v>6</v>
      </c>
      <c r="F3299" t="s">
        <v>28</v>
      </c>
      <c r="G3299">
        <v>2</v>
      </c>
      <c r="H3299" s="2">
        <f>Tabelle13[[#This Row],[commits]]/Tabelle13[[#Totals],[commits]]</f>
        <v>9.2955808808492451E-6</v>
      </c>
      <c r="I3299" s="5">
        <f>Tabelle13[[#This Row],[%]]+I3298</f>
        <v>0.97010076409676027</v>
      </c>
      <c r="J3299" s="4">
        <f t="shared" si="135"/>
        <v>1.105583195135434E-4</v>
      </c>
      <c r="K3299" s="5">
        <f t="shared" si="136"/>
        <v>0.36451077943616511</v>
      </c>
    </row>
    <row r="3300" spans="1:11" x14ac:dyDescent="0.25">
      <c r="A3300" t="s">
        <v>5967</v>
      </c>
      <c r="C3300" t="s">
        <v>5968</v>
      </c>
      <c r="D3300" t="s">
        <v>5</v>
      </c>
      <c r="E3300" t="s">
        <v>6</v>
      </c>
      <c r="F3300" t="s">
        <v>28</v>
      </c>
      <c r="G3300">
        <v>2</v>
      </c>
      <c r="H3300" s="2">
        <f>Tabelle13[[#This Row],[commits]]/Tabelle13[[#Totals],[commits]]</f>
        <v>9.2955808808492451E-6</v>
      </c>
      <c r="I3300" s="5">
        <f>Tabelle13[[#This Row],[%]]+I3299</f>
        <v>0.97011005967764108</v>
      </c>
      <c r="J3300" s="4">
        <f t="shared" si="135"/>
        <v>1.105583195135434E-4</v>
      </c>
      <c r="K3300" s="5">
        <f t="shared" si="136"/>
        <v>0.36462133775567868</v>
      </c>
    </row>
    <row r="3301" spans="1:11" x14ac:dyDescent="0.25">
      <c r="A3301" t="s">
        <v>5969</v>
      </c>
      <c r="C3301" t="s">
        <v>5970</v>
      </c>
      <c r="D3301" t="s">
        <v>5</v>
      </c>
      <c r="E3301" t="s">
        <v>6</v>
      </c>
      <c r="F3301" t="s">
        <v>28</v>
      </c>
      <c r="G3301">
        <v>2</v>
      </c>
      <c r="H3301" s="2">
        <f>Tabelle13[[#This Row],[commits]]/Tabelle13[[#Totals],[commits]]</f>
        <v>9.2955808808492451E-6</v>
      </c>
      <c r="I3301" s="5">
        <f>Tabelle13[[#This Row],[%]]+I3300</f>
        <v>0.97011935525852189</v>
      </c>
      <c r="J3301" s="4">
        <f t="shared" si="135"/>
        <v>1.105583195135434E-4</v>
      </c>
      <c r="K3301" s="5">
        <f t="shared" si="136"/>
        <v>0.36473189607519224</v>
      </c>
    </row>
    <row r="3302" spans="1:11" x14ac:dyDescent="0.25">
      <c r="A3302" t="s">
        <v>5971</v>
      </c>
      <c r="C3302" t="s">
        <v>5972</v>
      </c>
      <c r="D3302" t="s">
        <v>5</v>
      </c>
      <c r="E3302" t="s">
        <v>6</v>
      </c>
      <c r="F3302" t="s">
        <v>28</v>
      </c>
      <c r="G3302">
        <v>2</v>
      </c>
      <c r="H3302" s="2">
        <f>Tabelle13[[#This Row],[commits]]/Tabelle13[[#Totals],[commits]]</f>
        <v>9.2955808808492451E-6</v>
      </c>
      <c r="I3302" s="5">
        <f>Tabelle13[[#This Row],[%]]+I3301</f>
        <v>0.9701286508394027</v>
      </c>
      <c r="J3302" s="4">
        <f t="shared" si="135"/>
        <v>1.105583195135434E-4</v>
      </c>
      <c r="K3302" s="5">
        <f t="shared" si="136"/>
        <v>0.36484245439470581</v>
      </c>
    </row>
    <row r="3303" spans="1:11" x14ac:dyDescent="0.25">
      <c r="A3303" t="s">
        <v>5973</v>
      </c>
      <c r="C3303" t="s">
        <v>5974</v>
      </c>
      <c r="D3303" t="s">
        <v>5</v>
      </c>
      <c r="E3303" t="s">
        <v>6</v>
      </c>
      <c r="F3303" t="s">
        <v>28</v>
      </c>
      <c r="G3303">
        <v>2</v>
      </c>
      <c r="H3303" s="2">
        <f>Tabelle13[[#This Row],[commits]]/Tabelle13[[#Totals],[commits]]</f>
        <v>9.2955808808492451E-6</v>
      </c>
      <c r="I3303" s="5">
        <f>Tabelle13[[#This Row],[%]]+I3302</f>
        <v>0.9701379464202835</v>
      </c>
      <c r="J3303" s="4">
        <f t="shared" si="135"/>
        <v>1.105583195135434E-4</v>
      </c>
      <c r="K3303" s="5">
        <f t="shared" si="136"/>
        <v>0.36495301271421937</v>
      </c>
    </row>
    <row r="3304" spans="1:11" x14ac:dyDescent="0.25">
      <c r="A3304" t="s">
        <v>5975</v>
      </c>
      <c r="C3304" t="s">
        <v>5976</v>
      </c>
      <c r="D3304" t="s">
        <v>5</v>
      </c>
      <c r="E3304" t="s">
        <v>6</v>
      </c>
      <c r="F3304" t="s">
        <v>28</v>
      </c>
      <c r="G3304">
        <v>2</v>
      </c>
      <c r="H3304" s="2">
        <f>Tabelle13[[#This Row],[commits]]/Tabelle13[[#Totals],[commits]]</f>
        <v>9.2955808808492451E-6</v>
      </c>
      <c r="I3304" s="5">
        <f>Tabelle13[[#This Row],[%]]+I3303</f>
        <v>0.97014724200116431</v>
      </c>
      <c r="J3304" s="4">
        <f t="shared" si="135"/>
        <v>1.105583195135434E-4</v>
      </c>
      <c r="K3304" s="5">
        <f t="shared" si="136"/>
        <v>0.36506357103373294</v>
      </c>
    </row>
    <row r="3305" spans="1:11" x14ac:dyDescent="0.25">
      <c r="A3305" t="s">
        <v>5977</v>
      </c>
      <c r="C3305" t="s">
        <v>5978</v>
      </c>
      <c r="D3305" t="s">
        <v>5</v>
      </c>
      <c r="E3305" t="s">
        <v>6</v>
      </c>
      <c r="F3305" t="s">
        <v>28</v>
      </c>
      <c r="G3305">
        <v>2</v>
      </c>
      <c r="H3305" s="2">
        <f>Tabelle13[[#This Row],[commits]]/Tabelle13[[#Totals],[commits]]</f>
        <v>9.2955808808492451E-6</v>
      </c>
      <c r="I3305" s="5">
        <f>Tabelle13[[#This Row],[%]]+I3304</f>
        <v>0.97015653758204512</v>
      </c>
      <c r="J3305" s="4">
        <f t="shared" si="135"/>
        <v>1.105583195135434E-4</v>
      </c>
      <c r="K3305" s="5">
        <f t="shared" si="136"/>
        <v>0.3651741293532465</v>
      </c>
    </row>
    <row r="3306" spans="1:11" x14ac:dyDescent="0.25">
      <c r="A3306" t="s">
        <v>5979</v>
      </c>
      <c r="C3306" t="s">
        <v>5980</v>
      </c>
      <c r="D3306" t="s">
        <v>5</v>
      </c>
      <c r="E3306" t="s">
        <v>6</v>
      </c>
      <c r="F3306" t="s">
        <v>28</v>
      </c>
      <c r="G3306">
        <v>2</v>
      </c>
      <c r="H3306" s="2">
        <f>Tabelle13[[#This Row],[commits]]/Tabelle13[[#Totals],[commits]]</f>
        <v>9.2955808808492451E-6</v>
      </c>
      <c r="I3306" s="5">
        <f>Tabelle13[[#This Row],[%]]+I3305</f>
        <v>0.97016583316292593</v>
      </c>
      <c r="J3306" s="4">
        <f t="shared" si="135"/>
        <v>1.105583195135434E-4</v>
      </c>
      <c r="K3306" s="5">
        <f t="shared" si="136"/>
        <v>0.36528468767276007</v>
      </c>
    </row>
    <row r="3307" spans="1:11" x14ac:dyDescent="0.25">
      <c r="A3307" t="s">
        <v>5981</v>
      </c>
      <c r="C3307" t="s">
        <v>5982</v>
      </c>
      <c r="D3307" t="s">
        <v>5</v>
      </c>
      <c r="E3307" t="s">
        <v>6</v>
      </c>
      <c r="F3307" t="s">
        <v>28</v>
      </c>
      <c r="G3307">
        <v>2</v>
      </c>
      <c r="H3307" s="2">
        <f>Tabelle13[[#This Row],[commits]]/Tabelle13[[#Totals],[commits]]</f>
        <v>9.2955808808492451E-6</v>
      </c>
      <c r="I3307" s="5">
        <f>Tabelle13[[#This Row],[%]]+I3306</f>
        <v>0.97017512874380674</v>
      </c>
      <c r="J3307" s="4">
        <f t="shared" si="135"/>
        <v>1.105583195135434E-4</v>
      </c>
      <c r="K3307" s="5">
        <f t="shared" si="136"/>
        <v>0.36539524599227363</v>
      </c>
    </row>
    <row r="3308" spans="1:11" x14ac:dyDescent="0.25">
      <c r="A3308" t="s">
        <v>5983</v>
      </c>
      <c r="C3308" t="s">
        <v>5659</v>
      </c>
      <c r="D3308" t="s">
        <v>5</v>
      </c>
      <c r="E3308" t="s">
        <v>6</v>
      </c>
      <c r="F3308" t="s">
        <v>28</v>
      </c>
      <c r="G3308">
        <v>2</v>
      </c>
      <c r="H3308" s="2">
        <f>Tabelle13[[#This Row],[commits]]/Tabelle13[[#Totals],[commits]]</f>
        <v>9.2955808808492451E-6</v>
      </c>
      <c r="I3308" s="5">
        <f>Tabelle13[[#This Row],[%]]+I3307</f>
        <v>0.97018442432468754</v>
      </c>
      <c r="J3308" s="4">
        <f t="shared" si="135"/>
        <v>1.105583195135434E-4</v>
      </c>
      <c r="K3308" s="5">
        <f t="shared" si="136"/>
        <v>0.3655058043117872</v>
      </c>
    </row>
    <row r="3309" spans="1:11" x14ac:dyDescent="0.25">
      <c r="A3309" t="s">
        <v>5984</v>
      </c>
      <c r="C3309" t="s">
        <v>5985</v>
      </c>
      <c r="D3309" t="s">
        <v>5</v>
      </c>
      <c r="E3309" t="s">
        <v>6</v>
      </c>
      <c r="F3309" t="s">
        <v>28</v>
      </c>
      <c r="G3309">
        <v>2</v>
      </c>
      <c r="H3309" s="2">
        <f>Tabelle13[[#This Row],[commits]]/Tabelle13[[#Totals],[commits]]</f>
        <v>9.2955808808492451E-6</v>
      </c>
      <c r="I3309" s="5">
        <f>Tabelle13[[#This Row],[%]]+I3308</f>
        <v>0.97019371990556835</v>
      </c>
      <c r="J3309" s="4">
        <f t="shared" si="135"/>
        <v>1.105583195135434E-4</v>
      </c>
      <c r="K3309" s="5">
        <f t="shared" si="136"/>
        <v>0.36561636263130076</v>
      </c>
    </row>
    <row r="3310" spans="1:11" x14ac:dyDescent="0.25">
      <c r="A3310" t="s">
        <v>5986</v>
      </c>
      <c r="C3310" t="s">
        <v>5987</v>
      </c>
      <c r="D3310" t="s">
        <v>5</v>
      </c>
      <c r="E3310" t="s">
        <v>6</v>
      </c>
      <c r="F3310" t="s">
        <v>28</v>
      </c>
      <c r="G3310">
        <v>2</v>
      </c>
      <c r="H3310" s="2">
        <f>Tabelle13[[#This Row],[commits]]/Tabelle13[[#Totals],[commits]]</f>
        <v>9.2955808808492451E-6</v>
      </c>
      <c r="I3310" s="5">
        <f>Tabelle13[[#This Row],[%]]+I3309</f>
        <v>0.97020301548644916</v>
      </c>
      <c r="J3310" s="4">
        <f t="shared" si="135"/>
        <v>1.105583195135434E-4</v>
      </c>
      <c r="K3310" s="5">
        <f t="shared" si="136"/>
        <v>0.36572692095081433</v>
      </c>
    </row>
    <row r="3311" spans="1:11" x14ac:dyDescent="0.25">
      <c r="A3311" t="s">
        <v>5988</v>
      </c>
      <c r="C3311" t="s">
        <v>5989</v>
      </c>
      <c r="D3311" t="s">
        <v>5</v>
      </c>
      <c r="E3311" t="s">
        <v>6</v>
      </c>
      <c r="F3311" t="s">
        <v>28</v>
      </c>
      <c r="G3311">
        <v>2</v>
      </c>
      <c r="H3311" s="2">
        <f>Tabelle13[[#This Row],[commits]]/Tabelle13[[#Totals],[commits]]</f>
        <v>9.2955808808492451E-6</v>
      </c>
      <c r="I3311" s="5">
        <f>Tabelle13[[#This Row],[%]]+I3310</f>
        <v>0.97021231106732997</v>
      </c>
      <c r="J3311" s="4">
        <f t="shared" si="135"/>
        <v>1.105583195135434E-4</v>
      </c>
      <c r="K3311" s="5">
        <f t="shared" si="136"/>
        <v>0.36583747927032789</v>
      </c>
    </row>
    <row r="3312" spans="1:11" x14ac:dyDescent="0.25">
      <c r="A3312" t="s">
        <v>5990</v>
      </c>
      <c r="C3312" t="s">
        <v>5991</v>
      </c>
      <c r="D3312" t="s">
        <v>5</v>
      </c>
      <c r="E3312" t="s">
        <v>6</v>
      </c>
      <c r="F3312" t="s">
        <v>28</v>
      </c>
      <c r="G3312">
        <v>2</v>
      </c>
      <c r="H3312" s="2">
        <f>Tabelle13[[#This Row],[commits]]/Tabelle13[[#Totals],[commits]]</f>
        <v>9.2955808808492451E-6</v>
      </c>
      <c r="I3312" s="5">
        <f>Tabelle13[[#This Row],[%]]+I3311</f>
        <v>0.97022160664821078</v>
      </c>
      <c r="J3312" s="4">
        <f t="shared" si="135"/>
        <v>1.105583195135434E-4</v>
      </c>
      <c r="K3312" s="5">
        <f t="shared" si="136"/>
        <v>0.36594803758984146</v>
      </c>
    </row>
    <row r="3313" spans="1:11" x14ac:dyDescent="0.25">
      <c r="A3313" t="s">
        <v>5992</v>
      </c>
      <c r="C3313" t="s">
        <v>5993</v>
      </c>
      <c r="D3313" t="s">
        <v>5</v>
      </c>
      <c r="E3313" t="s">
        <v>6</v>
      </c>
      <c r="F3313" t="s">
        <v>28</v>
      </c>
      <c r="G3313">
        <v>2</v>
      </c>
      <c r="H3313" s="2">
        <f>Tabelle13[[#This Row],[commits]]/Tabelle13[[#Totals],[commits]]</f>
        <v>9.2955808808492451E-6</v>
      </c>
      <c r="I3313" s="5">
        <f>Tabelle13[[#This Row],[%]]+I3312</f>
        <v>0.97023090222909159</v>
      </c>
      <c r="J3313" s="4">
        <f t="shared" si="135"/>
        <v>1.105583195135434E-4</v>
      </c>
      <c r="K3313" s="5">
        <f t="shared" si="136"/>
        <v>0.36605859590935502</v>
      </c>
    </row>
    <row r="3314" spans="1:11" x14ac:dyDescent="0.25">
      <c r="A3314" t="s">
        <v>5994</v>
      </c>
      <c r="C3314" t="s">
        <v>5995</v>
      </c>
      <c r="D3314" t="s">
        <v>5</v>
      </c>
      <c r="E3314" t="s">
        <v>6</v>
      </c>
      <c r="F3314" t="s">
        <v>28</v>
      </c>
      <c r="G3314">
        <v>2</v>
      </c>
      <c r="H3314" s="2">
        <f>Tabelle13[[#This Row],[commits]]/Tabelle13[[#Totals],[commits]]</f>
        <v>9.2955808808492451E-6</v>
      </c>
      <c r="I3314" s="5">
        <f>Tabelle13[[#This Row],[%]]+I3313</f>
        <v>0.97024019780997239</v>
      </c>
      <c r="J3314" s="4">
        <f t="shared" si="135"/>
        <v>1.105583195135434E-4</v>
      </c>
      <c r="K3314" s="5">
        <f t="shared" si="136"/>
        <v>0.36616915422886859</v>
      </c>
    </row>
    <row r="3315" spans="1:11" x14ac:dyDescent="0.25">
      <c r="A3315" t="s">
        <v>5996</v>
      </c>
      <c r="C3315" t="s">
        <v>5997</v>
      </c>
      <c r="D3315" t="s">
        <v>5</v>
      </c>
      <c r="E3315" t="s">
        <v>6</v>
      </c>
      <c r="F3315" t="s">
        <v>28</v>
      </c>
      <c r="G3315">
        <v>2</v>
      </c>
      <c r="H3315" s="2">
        <f>Tabelle13[[#This Row],[commits]]/Tabelle13[[#Totals],[commits]]</f>
        <v>9.2955808808492451E-6</v>
      </c>
      <c r="I3315" s="5">
        <f>Tabelle13[[#This Row],[%]]+I3314</f>
        <v>0.9702494933908532</v>
      </c>
      <c r="J3315" s="4">
        <f t="shared" si="135"/>
        <v>1.105583195135434E-4</v>
      </c>
      <c r="K3315" s="5">
        <f t="shared" si="136"/>
        <v>0.36627971254838215</v>
      </c>
    </row>
    <row r="3316" spans="1:11" x14ac:dyDescent="0.25">
      <c r="A3316" t="s">
        <v>5998</v>
      </c>
      <c r="C3316" t="s">
        <v>5999</v>
      </c>
      <c r="D3316" t="s">
        <v>5</v>
      </c>
      <c r="E3316" t="s">
        <v>6</v>
      </c>
      <c r="F3316" t="s">
        <v>28</v>
      </c>
      <c r="G3316">
        <v>2</v>
      </c>
      <c r="H3316" s="2">
        <f>Tabelle13[[#This Row],[commits]]/Tabelle13[[#Totals],[commits]]</f>
        <v>9.2955808808492451E-6</v>
      </c>
      <c r="I3316" s="5">
        <f>Tabelle13[[#This Row],[%]]+I3315</f>
        <v>0.97025878897173401</v>
      </c>
      <c r="J3316" s="4">
        <f t="shared" si="135"/>
        <v>1.105583195135434E-4</v>
      </c>
      <c r="K3316" s="5">
        <f t="shared" si="136"/>
        <v>0.36639027086789572</v>
      </c>
    </row>
    <row r="3317" spans="1:11" x14ac:dyDescent="0.25">
      <c r="A3317" t="s">
        <v>6000</v>
      </c>
      <c r="C3317" t="s">
        <v>6001</v>
      </c>
      <c r="D3317" t="s">
        <v>5</v>
      </c>
      <c r="E3317" t="s">
        <v>6</v>
      </c>
      <c r="F3317" t="s">
        <v>28</v>
      </c>
      <c r="G3317">
        <v>2</v>
      </c>
      <c r="H3317" s="2">
        <f>Tabelle13[[#This Row],[commits]]/Tabelle13[[#Totals],[commits]]</f>
        <v>9.2955808808492451E-6</v>
      </c>
      <c r="I3317" s="5">
        <f>Tabelle13[[#This Row],[%]]+I3316</f>
        <v>0.97026808455261482</v>
      </c>
      <c r="J3317" s="4">
        <f t="shared" si="135"/>
        <v>1.105583195135434E-4</v>
      </c>
      <c r="K3317" s="5">
        <f t="shared" si="136"/>
        <v>0.36650082918740928</v>
      </c>
    </row>
    <row r="3318" spans="1:11" x14ac:dyDescent="0.25">
      <c r="A3318" t="s">
        <v>6002</v>
      </c>
      <c r="C3318" t="s">
        <v>6003</v>
      </c>
      <c r="D3318" t="s">
        <v>5</v>
      </c>
      <c r="E3318" t="s">
        <v>6</v>
      </c>
      <c r="F3318" t="s">
        <v>28</v>
      </c>
      <c r="G3318">
        <v>2</v>
      </c>
      <c r="H3318" s="2">
        <f>Tabelle13[[#This Row],[commits]]/Tabelle13[[#Totals],[commits]]</f>
        <v>9.2955808808492451E-6</v>
      </c>
      <c r="I3318" s="5">
        <f>Tabelle13[[#This Row],[%]]+I3317</f>
        <v>0.97027738013349563</v>
      </c>
      <c r="J3318" s="4">
        <f t="shared" si="135"/>
        <v>1.105583195135434E-4</v>
      </c>
      <c r="K3318" s="5">
        <f t="shared" si="136"/>
        <v>0.36661138750692285</v>
      </c>
    </row>
    <row r="3319" spans="1:11" x14ac:dyDescent="0.25">
      <c r="A3319" t="s">
        <v>6004</v>
      </c>
      <c r="C3319" t="s">
        <v>6005</v>
      </c>
      <c r="D3319" t="s">
        <v>5</v>
      </c>
      <c r="E3319" t="s">
        <v>6</v>
      </c>
      <c r="F3319" t="s">
        <v>28</v>
      </c>
      <c r="G3319">
        <v>2</v>
      </c>
      <c r="H3319" s="2">
        <f>Tabelle13[[#This Row],[commits]]/Tabelle13[[#Totals],[commits]]</f>
        <v>9.2955808808492451E-6</v>
      </c>
      <c r="I3319" s="5">
        <f>Tabelle13[[#This Row],[%]]+I3318</f>
        <v>0.97028667571437643</v>
      </c>
      <c r="J3319" s="4">
        <f t="shared" si="135"/>
        <v>1.105583195135434E-4</v>
      </c>
      <c r="K3319" s="5">
        <f t="shared" si="136"/>
        <v>0.36672194582643641</v>
      </c>
    </row>
    <row r="3320" spans="1:11" x14ac:dyDescent="0.25">
      <c r="A3320" t="s">
        <v>6006</v>
      </c>
      <c r="C3320" t="s">
        <v>6007</v>
      </c>
      <c r="D3320" t="s">
        <v>5</v>
      </c>
      <c r="E3320" t="s">
        <v>6</v>
      </c>
      <c r="F3320" t="s">
        <v>28</v>
      </c>
      <c r="G3320">
        <v>2</v>
      </c>
      <c r="H3320" s="2">
        <f>Tabelle13[[#This Row],[commits]]/Tabelle13[[#Totals],[commits]]</f>
        <v>9.2955808808492451E-6</v>
      </c>
      <c r="I3320" s="5">
        <f>Tabelle13[[#This Row],[%]]+I3319</f>
        <v>0.97029597129525724</v>
      </c>
      <c r="J3320" s="4">
        <f t="shared" si="135"/>
        <v>1.105583195135434E-4</v>
      </c>
      <c r="K3320" s="5">
        <f t="shared" si="136"/>
        <v>0.36683250414594998</v>
      </c>
    </row>
    <row r="3321" spans="1:11" x14ac:dyDescent="0.25">
      <c r="A3321" t="s">
        <v>6008</v>
      </c>
      <c r="C3321" t="s">
        <v>6009</v>
      </c>
      <c r="D3321" t="s">
        <v>5</v>
      </c>
      <c r="E3321" t="s">
        <v>6</v>
      </c>
      <c r="F3321" t="s">
        <v>28</v>
      </c>
      <c r="G3321">
        <v>2</v>
      </c>
      <c r="H3321" s="2">
        <f>Tabelle13[[#This Row],[commits]]/Tabelle13[[#Totals],[commits]]</f>
        <v>9.2955808808492451E-6</v>
      </c>
      <c r="I3321" s="5">
        <f>Tabelle13[[#This Row],[%]]+I3320</f>
        <v>0.97030526687613805</v>
      </c>
      <c r="J3321" s="4">
        <f t="shared" si="135"/>
        <v>1.105583195135434E-4</v>
      </c>
      <c r="K3321" s="5">
        <f t="shared" si="136"/>
        <v>0.36694306246546354</v>
      </c>
    </row>
    <row r="3322" spans="1:11" x14ac:dyDescent="0.25">
      <c r="A3322" t="s">
        <v>6010</v>
      </c>
      <c r="C3322" t="s">
        <v>6011</v>
      </c>
      <c r="D3322" t="s">
        <v>5</v>
      </c>
      <c r="E3322" t="s">
        <v>6</v>
      </c>
      <c r="F3322" t="s">
        <v>28</v>
      </c>
      <c r="G3322">
        <v>2</v>
      </c>
      <c r="H3322" s="2">
        <f>Tabelle13[[#This Row],[commits]]/Tabelle13[[#Totals],[commits]]</f>
        <v>9.2955808808492451E-6</v>
      </c>
      <c r="I3322" s="5">
        <f>Tabelle13[[#This Row],[%]]+I3321</f>
        <v>0.97031456245701886</v>
      </c>
      <c r="J3322" s="4">
        <f t="shared" si="135"/>
        <v>1.105583195135434E-4</v>
      </c>
      <c r="K3322" s="5">
        <f t="shared" si="136"/>
        <v>0.36705362078497711</v>
      </c>
    </row>
    <row r="3323" spans="1:11" x14ac:dyDescent="0.25">
      <c r="A3323" t="s">
        <v>6012</v>
      </c>
      <c r="C3323" t="s">
        <v>6013</v>
      </c>
      <c r="D3323" t="s">
        <v>5</v>
      </c>
      <c r="E3323" t="s">
        <v>6</v>
      </c>
      <c r="F3323" t="s">
        <v>28</v>
      </c>
      <c r="G3323">
        <v>2</v>
      </c>
      <c r="H3323" s="2">
        <f>Tabelle13[[#This Row],[commits]]/Tabelle13[[#Totals],[commits]]</f>
        <v>9.2955808808492451E-6</v>
      </c>
      <c r="I3323" s="5">
        <f>Tabelle13[[#This Row],[%]]+I3322</f>
        <v>0.97032385803789967</v>
      </c>
      <c r="J3323" s="4">
        <f t="shared" si="135"/>
        <v>1.105583195135434E-4</v>
      </c>
      <c r="K3323" s="5">
        <f t="shared" si="136"/>
        <v>0.36716417910449067</v>
      </c>
    </row>
    <row r="3324" spans="1:11" x14ac:dyDescent="0.25">
      <c r="A3324" t="s">
        <v>6014</v>
      </c>
      <c r="C3324" t="s">
        <v>6015</v>
      </c>
      <c r="D3324" t="s">
        <v>5</v>
      </c>
      <c r="E3324" t="s">
        <v>6</v>
      </c>
      <c r="F3324" t="s">
        <v>28</v>
      </c>
      <c r="G3324">
        <v>2</v>
      </c>
      <c r="H3324" s="2">
        <f>Tabelle13[[#This Row],[commits]]/Tabelle13[[#Totals],[commits]]</f>
        <v>9.2955808808492451E-6</v>
      </c>
      <c r="I3324" s="5">
        <f>Tabelle13[[#This Row],[%]]+I3323</f>
        <v>0.97033315361878048</v>
      </c>
      <c r="J3324" s="4">
        <f t="shared" si="135"/>
        <v>1.105583195135434E-4</v>
      </c>
      <c r="K3324" s="5">
        <f t="shared" si="136"/>
        <v>0.36727473742400424</v>
      </c>
    </row>
    <row r="3325" spans="1:11" x14ac:dyDescent="0.25">
      <c r="A3325" t="s">
        <v>6016</v>
      </c>
      <c r="C3325" t="s">
        <v>6017</v>
      </c>
      <c r="D3325" t="s">
        <v>5</v>
      </c>
      <c r="E3325" t="s">
        <v>6</v>
      </c>
      <c r="F3325" t="s">
        <v>28</v>
      </c>
      <c r="G3325">
        <v>2</v>
      </c>
      <c r="H3325" s="2">
        <f>Tabelle13[[#This Row],[commits]]/Tabelle13[[#Totals],[commits]]</f>
        <v>9.2955808808492451E-6</v>
      </c>
      <c r="I3325" s="5">
        <f>Tabelle13[[#This Row],[%]]+I3324</f>
        <v>0.97034244919966128</v>
      </c>
      <c r="J3325" s="4">
        <f t="shared" si="135"/>
        <v>1.105583195135434E-4</v>
      </c>
      <c r="K3325" s="5">
        <f t="shared" si="136"/>
        <v>0.3673852957435178</v>
      </c>
    </row>
    <row r="3326" spans="1:11" x14ac:dyDescent="0.25">
      <c r="A3326" t="s">
        <v>6018</v>
      </c>
      <c r="C3326" t="s">
        <v>6019</v>
      </c>
      <c r="D3326" t="s">
        <v>5</v>
      </c>
      <c r="E3326" t="s">
        <v>6</v>
      </c>
      <c r="F3326" t="s">
        <v>28</v>
      </c>
      <c r="G3326">
        <v>2</v>
      </c>
      <c r="H3326" s="2">
        <f>Tabelle13[[#This Row],[commits]]/Tabelle13[[#Totals],[commits]]</f>
        <v>9.2955808808492451E-6</v>
      </c>
      <c r="I3326" s="5">
        <f>Tabelle13[[#This Row],[%]]+I3325</f>
        <v>0.97035174478054209</v>
      </c>
      <c r="J3326" s="4">
        <f t="shared" si="135"/>
        <v>1.105583195135434E-4</v>
      </c>
      <c r="K3326" s="5">
        <f t="shared" si="136"/>
        <v>0.36749585406303137</v>
      </c>
    </row>
    <row r="3327" spans="1:11" x14ac:dyDescent="0.25">
      <c r="A3327" t="s">
        <v>6020</v>
      </c>
      <c r="C3327" t="s">
        <v>685</v>
      </c>
      <c r="D3327" t="s">
        <v>5</v>
      </c>
      <c r="E3327" t="s">
        <v>6</v>
      </c>
      <c r="F3327" t="s">
        <v>28</v>
      </c>
      <c r="G3327">
        <v>2</v>
      </c>
      <c r="H3327" s="2">
        <f>Tabelle13[[#This Row],[commits]]/Tabelle13[[#Totals],[commits]]</f>
        <v>9.2955808808492451E-6</v>
      </c>
      <c r="I3327" s="5">
        <f>Tabelle13[[#This Row],[%]]+I3326</f>
        <v>0.9703610403614229</v>
      </c>
      <c r="J3327" s="4">
        <f t="shared" si="135"/>
        <v>1.105583195135434E-4</v>
      </c>
      <c r="K3327" s="5">
        <f t="shared" si="136"/>
        <v>0.36760641238254493</v>
      </c>
    </row>
    <row r="3328" spans="1:11" x14ac:dyDescent="0.25">
      <c r="A3328" t="s">
        <v>6021</v>
      </c>
      <c r="C3328" t="s">
        <v>902</v>
      </c>
      <c r="D3328" t="s">
        <v>5</v>
      </c>
      <c r="E3328" t="s">
        <v>6</v>
      </c>
      <c r="F3328" t="s">
        <v>28</v>
      </c>
      <c r="G3328">
        <v>2</v>
      </c>
      <c r="H3328" s="2">
        <f>Tabelle13[[#This Row],[commits]]/Tabelle13[[#Totals],[commits]]</f>
        <v>9.2955808808492451E-6</v>
      </c>
      <c r="I3328" s="5">
        <f>Tabelle13[[#This Row],[%]]+I3327</f>
        <v>0.97037033594230371</v>
      </c>
      <c r="J3328" s="4">
        <f t="shared" si="135"/>
        <v>1.105583195135434E-4</v>
      </c>
      <c r="K3328" s="5">
        <f t="shared" si="136"/>
        <v>0.3677169707020585</v>
      </c>
    </row>
    <row r="3329" spans="1:11" x14ac:dyDescent="0.25">
      <c r="A3329" t="s">
        <v>6022</v>
      </c>
      <c r="C3329" t="s">
        <v>6023</v>
      </c>
      <c r="D3329" t="s">
        <v>5</v>
      </c>
      <c r="E3329" t="s">
        <v>6</v>
      </c>
      <c r="F3329" t="s">
        <v>28</v>
      </c>
      <c r="G3329">
        <v>2</v>
      </c>
      <c r="H3329" s="2">
        <f>Tabelle13[[#This Row],[commits]]/Tabelle13[[#Totals],[commits]]</f>
        <v>9.2955808808492451E-6</v>
      </c>
      <c r="I3329" s="5">
        <f>Tabelle13[[#This Row],[%]]+I3328</f>
        <v>0.97037963152318452</v>
      </c>
      <c r="J3329" s="4">
        <f t="shared" si="135"/>
        <v>1.105583195135434E-4</v>
      </c>
      <c r="K3329" s="5">
        <f t="shared" si="136"/>
        <v>0.36782752902157206</v>
      </c>
    </row>
    <row r="3330" spans="1:11" x14ac:dyDescent="0.25">
      <c r="A3330" t="s">
        <v>6024</v>
      </c>
      <c r="C3330" t="s">
        <v>151</v>
      </c>
      <c r="D3330" t="s">
        <v>5</v>
      </c>
      <c r="E3330" t="s">
        <v>6</v>
      </c>
      <c r="F3330" t="s">
        <v>28</v>
      </c>
      <c r="G3330">
        <v>2</v>
      </c>
      <c r="H3330" s="2">
        <f>Tabelle13[[#This Row],[commits]]/Tabelle13[[#Totals],[commits]]</f>
        <v>9.2955808808492451E-6</v>
      </c>
      <c r="I3330" s="5">
        <f>Tabelle13[[#This Row],[%]]+I3329</f>
        <v>0.97038892710406532</v>
      </c>
      <c r="J3330" s="4">
        <f t="shared" si="135"/>
        <v>1.105583195135434E-4</v>
      </c>
      <c r="K3330" s="5">
        <f t="shared" si="136"/>
        <v>0.36793808734108563</v>
      </c>
    </row>
    <row r="3331" spans="1:11" x14ac:dyDescent="0.25">
      <c r="A3331" t="s">
        <v>6025</v>
      </c>
      <c r="C3331" t="s">
        <v>6026</v>
      </c>
      <c r="D3331" t="s">
        <v>5</v>
      </c>
      <c r="E3331" t="s">
        <v>6</v>
      </c>
      <c r="F3331" t="s">
        <v>28</v>
      </c>
      <c r="G3331">
        <v>2</v>
      </c>
      <c r="H3331" s="2">
        <f>Tabelle13[[#This Row],[commits]]/Tabelle13[[#Totals],[commits]]</f>
        <v>9.2955808808492451E-6</v>
      </c>
      <c r="I3331" s="5">
        <f>Tabelle13[[#This Row],[%]]+I3330</f>
        <v>0.97039822268494613</v>
      </c>
      <c r="J3331" s="4">
        <f t="shared" ref="J3331:J3394" si="137">1/9045</f>
        <v>1.105583195135434E-4</v>
      </c>
      <c r="K3331" s="5">
        <f t="shared" si="136"/>
        <v>0.36804864566059919</v>
      </c>
    </row>
    <row r="3332" spans="1:11" x14ac:dyDescent="0.25">
      <c r="A3332" t="s">
        <v>6027</v>
      </c>
      <c r="C3332" t="s">
        <v>6028</v>
      </c>
      <c r="D3332" t="s">
        <v>5</v>
      </c>
      <c r="E3332" t="s">
        <v>6</v>
      </c>
      <c r="F3332" t="s">
        <v>28</v>
      </c>
      <c r="G3332">
        <v>2</v>
      </c>
      <c r="H3332" s="2">
        <f>Tabelle13[[#This Row],[commits]]/Tabelle13[[#Totals],[commits]]</f>
        <v>9.2955808808492451E-6</v>
      </c>
      <c r="I3332" s="5">
        <f>Tabelle13[[#This Row],[%]]+I3331</f>
        <v>0.97040751826582694</v>
      </c>
      <c r="J3332" s="4">
        <f t="shared" si="137"/>
        <v>1.105583195135434E-4</v>
      </c>
      <c r="K3332" s="5">
        <f t="shared" si="136"/>
        <v>0.36815920398011276</v>
      </c>
    </row>
    <row r="3333" spans="1:11" x14ac:dyDescent="0.25">
      <c r="A3333" t="s">
        <v>6029</v>
      </c>
      <c r="C3333" t="s">
        <v>1346</v>
      </c>
      <c r="D3333" t="s">
        <v>5</v>
      </c>
      <c r="E3333" t="s">
        <v>6</v>
      </c>
      <c r="F3333" t="s">
        <v>28</v>
      </c>
      <c r="G3333">
        <v>2</v>
      </c>
      <c r="H3333" s="2">
        <f>Tabelle13[[#This Row],[commits]]/Tabelle13[[#Totals],[commits]]</f>
        <v>9.2955808808492451E-6</v>
      </c>
      <c r="I3333" s="5">
        <f>Tabelle13[[#This Row],[%]]+I3332</f>
        <v>0.97041681384670775</v>
      </c>
      <c r="J3333" s="4">
        <f t="shared" si="137"/>
        <v>1.105583195135434E-4</v>
      </c>
      <c r="K3333" s="5">
        <f t="shared" si="136"/>
        <v>0.36826976229962632</v>
      </c>
    </row>
    <row r="3334" spans="1:11" x14ac:dyDescent="0.25">
      <c r="A3334" t="s">
        <v>6030</v>
      </c>
      <c r="C3334" t="s">
        <v>6031</v>
      </c>
      <c r="D3334" t="s">
        <v>5</v>
      </c>
      <c r="E3334" t="s">
        <v>6</v>
      </c>
      <c r="F3334" t="s">
        <v>28</v>
      </c>
      <c r="G3334">
        <v>2</v>
      </c>
      <c r="H3334" s="2">
        <f>Tabelle13[[#This Row],[commits]]/Tabelle13[[#Totals],[commits]]</f>
        <v>9.2955808808492451E-6</v>
      </c>
      <c r="I3334" s="5">
        <f>Tabelle13[[#This Row],[%]]+I3333</f>
        <v>0.97042610942758856</v>
      </c>
      <c r="J3334" s="4">
        <f t="shared" si="137"/>
        <v>1.105583195135434E-4</v>
      </c>
      <c r="K3334" s="5">
        <f t="shared" ref="K3334:K3397" si="138">J3334+K3333</f>
        <v>0.36838032061913989</v>
      </c>
    </row>
    <row r="3335" spans="1:11" x14ac:dyDescent="0.25">
      <c r="A3335" t="s">
        <v>6032</v>
      </c>
      <c r="C3335" t="s">
        <v>6033</v>
      </c>
      <c r="D3335" t="s">
        <v>5</v>
      </c>
      <c r="E3335" t="s">
        <v>6</v>
      </c>
      <c r="F3335" t="s">
        <v>28</v>
      </c>
      <c r="G3335">
        <v>2</v>
      </c>
      <c r="H3335" s="2">
        <f>Tabelle13[[#This Row],[commits]]/Tabelle13[[#Totals],[commits]]</f>
        <v>9.2955808808492451E-6</v>
      </c>
      <c r="I3335" s="5">
        <f>Tabelle13[[#This Row],[%]]+I3334</f>
        <v>0.97043540500846937</v>
      </c>
      <c r="J3335" s="4">
        <f t="shared" si="137"/>
        <v>1.105583195135434E-4</v>
      </c>
      <c r="K3335" s="5">
        <f t="shared" si="138"/>
        <v>0.36849087893865345</v>
      </c>
    </row>
    <row r="3336" spans="1:11" x14ac:dyDescent="0.25">
      <c r="A3336" t="s">
        <v>6034</v>
      </c>
      <c r="C3336" t="s">
        <v>6035</v>
      </c>
      <c r="D3336" t="s">
        <v>5</v>
      </c>
      <c r="E3336" t="s">
        <v>6</v>
      </c>
      <c r="F3336" t="s">
        <v>28</v>
      </c>
      <c r="G3336">
        <v>2</v>
      </c>
      <c r="H3336" s="2">
        <f>Tabelle13[[#This Row],[commits]]/Tabelle13[[#Totals],[commits]]</f>
        <v>9.2955808808492451E-6</v>
      </c>
      <c r="I3336" s="5">
        <f>Tabelle13[[#This Row],[%]]+I3335</f>
        <v>0.97044470058935017</v>
      </c>
      <c r="J3336" s="4">
        <f t="shared" si="137"/>
        <v>1.105583195135434E-4</v>
      </c>
      <c r="K3336" s="5">
        <f t="shared" si="138"/>
        <v>0.36860143725816702</v>
      </c>
    </row>
    <row r="3337" spans="1:11" x14ac:dyDescent="0.25">
      <c r="A3337" t="s">
        <v>6036</v>
      </c>
      <c r="C3337" t="s">
        <v>6037</v>
      </c>
      <c r="D3337" t="s">
        <v>5</v>
      </c>
      <c r="E3337" t="s">
        <v>6</v>
      </c>
      <c r="F3337" t="s">
        <v>28</v>
      </c>
      <c r="G3337">
        <v>2</v>
      </c>
      <c r="H3337" s="2">
        <f>Tabelle13[[#This Row],[commits]]/Tabelle13[[#Totals],[commits]]</f>
        <v>9.2955808808492451E-6</v>
      </c>
      <c r="I3337" s="5">
        <f>Tabelle13[[#This Row],[%]]+I3336</f>
        <v>0.97045399617023098</v>
      </c>
      <c r="J3337" s="4">
        <f t="shared" si="137"/>
        <v>1.105583195135434E-4</v>
      </c>
      <c r="K3337" s="5">
        <f t="shared" si="138"/>
        <v>0.36871199557768058</v>
      </c>
    </row>
    <row r="3338" spans="1:11" x14ac:dyDescent="0.25">
      <c r="A3338" t="s">
        <v>6038</v>
      </c>
      <c r="C3338" t="s">
        <v>6039</v>
      </c>
      <c r="D3338" t="s">
        <v>5</v>
      </c>
      <c r="E3338" t="s">
        <v>6</v>
      </c>
      <c r="F3338" t="s">
        <v>28</v>
      </c>
      <c r="G3338">
        <v>2</v>
      </c>
      <c r="H3338" s="2">
        <f>Tabelle13[[#This Row],[commits]]/Tabelle13[[#Totals],[commits]]</f>
        <v>9.2955808808492451E-6</v>
      </c>
      <c r="I3338" s="5">
        <f>Tabelle13[[#This Row],[%]]+I3337</f>
        <v>0.97046329175111179</v>
      </c>
      <c r="J3338" s="4">
        <f t="shared" si="137"/>
        <v>1.105583195135434E-4</v>
      </c>
      <c r="K3338" s="5">
        <f t="shared" si="138"/>
        <v>0.36882255389719415</v>
      </c>
    </row>
    <row r="3339" spans="1:11" x14ac:dyDescent="0.25">
      <c r="A3339" t="s">
        <v>6040</v>
      </c>
      <c r="C3339" t="s">
        <v>6041</v>
      </c>
      <c r="D3339" t="s">
        <v>5</v>
      </c>
      <c r="E3339" t="s">
        <v>6</v>
      </c>
      <c r="F3339" t="s">
        <v>28</v>
      </c>
      <c r="G3339">
        <v>2</v>
      </c>
      <c r="H3339" s="2">
        <f>Tabelle13[[#This Row],[commits]]/Tabelle13[[#Totals],[commits]]</f>
        <v>9.2955808808492451E-6</v>
      </c>
      <c r="I3339" s="5">
        <f>Tabelle13[[#This Row],[%]]+I3338</f>
        <v>0.9704725873319926</v>
      </c>
      <c r="J3339" s="4">
        <f t="shared" si="137"/>
        <v>1.105583195135434E-4</v>
      </c>
      <c r="K3339" s="5">
        <f t="shared" si="138"/>
        <v>0.36893311221670771</v>
      </c>
    </row>
    <row r="3340" spans="1:11" x14ac:dyDescent="0.25">
      <c r="A3340" t="s">
        <v>6042</v>
      </c>
      <c r="C3340" t="s">
        <v>6043</v>
      </c>
      <c r="D3340" t="s">
        <v>5</v>
      </c>
      <c r="E3340" t="s">
        <v>6</v>
      </c>
      <c r="F3340" t="s">
        <v>28</v>
      </c>
      <c r="G3340">
        <v>2</v>
      </c>
      <c r="H3340" s="2">
        <f>Tabelle13[[#This Row],[commits]]/Tabelle13[[#Totals],[commits]]</f>
        <v>9.2955808808492451E-6</v>
      </c>
      <c r="I3340" s="5">
        <f>Tabelle13[[#This Row],[%]]+I3339</f>
        <v>0.97048188291287341</v>
      </c>
      <c r="J3340" s="4">
        <f t="shared" si="137"/>
        <v>1.105583195135434E-4</v>
      </c>
      <c r="K3340" s="5">
        <f t="shared" si="138"/>
        <v>0.36904367053622128</v>
      </c>
    </row>
    <row r="3341" spans="1:11" x14ac:dyDescent="0.25">
      <c r="A3341" t="s">
        <v>6044</v>
      </c>
      <c r="C3341" t="s">
        <v>6045</v>
      </c>
      <c r="D3341" t="s">
        <v>5</v>
      </c>
      <c r="E3341" t="s">
        <v>6</v>
      </c>
      <c r="F3341" t="s">
        <v>28</v>
      </c>
      <c r="G3341">
        <v>2</v>
      </c>
      <c r="H3341" s="2">
        <f>Tabelle13[[#This Row],[commits]]/Tabelle13[[#Totals],[commits]]</f>
        <v>9.2955808808492451E-6</v>
      </c>
      <c r="I3341" s="5">
        <f>Tabelle13[[#This Row],[%]]+I3340</f>
        <v>0.97049117849375421</v>
      </c>
      <c r="J3341" s="4">
        <f t="shared" si="137"/>
        <v>1.105583195135434E-4</v>
      </c>
      <c r="K3341" s="5">
        <f t="shared" si="138"/>
        <v>0.36915422885573485</v>
      </c>
    </row>
    <row r="3342" spans="1:11" x14ac:dyDescent="0.25">
      <c r="A3342" t="s">
        <v>6046</v>
      </c>
      <c r="C3342" t="s">
        <v>6047</v>
      </c>
      <c r="D3342" t="s">
        <v>5</v>
      </c>
      <c r="E3342" t="s">
        <v>6</v>
      </c>
      <c r="F3342" t="s">
        <v>28</v>
      </c>
      <c r="G3342">
        <v>2</v>
      </c>
      <c r="H3342" s="2">
        <f>Tabelle13[[#This Row],[commits]]/Tabelle13[[#Totals],[commits]]</f>
        <v>9.2955808808492451E-6</v>
      </c>
      <c r="I3342" s="5">
        <f>Tabelle13[[#This Row],[%]]+I3341</f>
        <v>0.97050047407463502</v>
      </c>
      <c r="J3342" s="4">
        <f t="shared" si="137"/>
        <v>1.105583195135434E-4</v>
      </c>
      <c r="K3342" s="5">
        <f t="shared" si="138"/>
        <v>0.36926478717524841</v>
      </c>
    </row>
    <row r="3343" spans="1:11" x14ac:dyDescent="0.25">
      <c r="A3343" t="s">
        <v>6048</v>
      </c>
      <c r="C3343" t="s">
        <v>6049</v>
      </c>
      <c r="D3343" t="s">
        <v>5</v>
      </c>
      <c r="E3343" t="s">
        <v>6</v>
      </c>
      <c r="F3343" t="s">
        <v>28</v>
      </c>
      <c r="G3343">
        <v>2</v>
      </c>
      <c r="H3343" s="2">
        <f>Tabelle13[[#This Row],[commits]]/Tabelle13[[#Totals],[commits]]</f>
        <v>9.2955808808492451E-6</v>
      </c>
      <c r="I3343" s="5">
        <f>Tabelle13[[#This Row],[%]]+I3342</f>
        <v>0.97050976965551583</v>
      </c>
      <c r="J3343" s="4">
        <f t="shared" si="137"/>
        <v>1.105583195135434E-4</v>
      </c>
      <c r="K3343" s="5">
        <f t="shared" si="138"/>
        <v>0.36937534549476198</v>
      </c>
    </row>
    <row r="3344" spans="1:11" x14ac:dyDescent="0.25">
      <c r="A3344" t="s">
        <v>6050</v>
      </c>
      <c r="C3344" t="s">
        <v>6051</v>
      </c>
      <c r="D3344" t="s">
        <v>5175</v>
      </c>
      <c r="E3344" t="s">
        <v>6</v>
      </c>
      <c r="F3344" t="s">
        <v>28</v>
      </c>
      <c r="G3344">
        <v>2</v>
      </c>
      <c r="H3344" s="2">
        <f>Tabelle13[[#This Row],[commits]]/Tabelle13[[#Totals],[commits]]</f>
        <v>9.2955808808492451E-6</v>
      </c>
      <c r="I3344" s="5">
        <f>Tabelle13[[#This Row],[%]]+I3343</f>
        <v>0.97051906523639664</v>
      </c>
      <c r="J3344" s="4">
        <f t="shared" si="137"/>
        <v>1.105583195135434E-4</v>
      </c>
      <c r="K3344" s="5">
        <f t="shared" si="138"/>
        <v>0.36948590381427554</v>
      </c>
    </row>
    <row r="3345" spans="1:11" x14ac:dyDescent="0.25">
      <c r="A3345" t="s">
        <v>6052</v>
      </c>
      <c r="C3345" t="s">
        <v>6053</v>
      </c>
      <c r="D3345" t="s">
        <v>5</v>
      </c>
      <c r="E3345" t="s">
        <v>6</v>
      </c>
      <c r="F3345" t="s">
        <v>28</v>
      </c>
      <c r="G3345">
        <v>2</v>
      </c>
      <c r="H3345" s="2">
        <f>Tabelle13[[#This Row],[commits]]/Tabelle13[[#Totals],[commits]]</f>
        <v>9.2955808808492451E-6</v>
      </c>
      <c r="I3345" s="5">
        <f>Tabelle13[[#This Row],[%]]+I3344</f>
        <v>0.97052836081727745</v>
      </c>
      <c r="J3345" s="4">
        <f t="shared" si="137"/>
        <v>1.105583195135434E-4</v>
      </c>
      <c r="K3345" s="5">
        <f t="shared" si="138"/>
        <v>0.36959646213378911</v>
      </c>
    </row>
    <row r="3346" spans="1:11" x14ac:dyDescent="0.25">
      <c r="A3346" t="s">
        <v>6054</v>
      </c>
      <c r="C3346" t="s">
        <v>6055</v>
      </c>
      <c r="D3346" t="s">
        <v>4461</v>
      </c>
      <c r="E3346" t="s">
        <v>6</v>
      </c>
      <c r="F3346" t="s">
        <v>28</v>
      </c>
      <c r="G3346">
        <v>2</v>
      </c>
      <c r="H3346" s="2">
        <f>Tabelle13[[#This Row],[commits]]/Tabelle13[[#Totals],[commits]]</f>
        <v>9.2955808808492451E-6</v>
      </c>
      <c r="I3346" s="5">
        <f>Tabelle13[[#This Row],[%]]+I3345</f>
        <v>0.97053765639815825</v>
      </c>
      <c r="J3346" s="4">
        <f t="shared" si="137"/>
        <v>1.105583195135434E-4</v>
      </c>
      <c r="K3346" s="5">
        <f t="shared" si="138"/>
        <v>0.36970702045330267</v>
      </c>
    </row>
    <row r="3347" spans="1:11" x14ac:dyDescent="0.25">
      <c r="A3347" t="s">
        <v>6056</v>
      </c>
      <c r="C3347" t="s">
        <v>6057</v>
      </c>
      <c r="D3347" t="s">
        <v>5</v>
      </c>
      <c r="E3347" t="s">
        <v>6</v>
      </c>
      <c r="F3347" t="s">
        <v>28</v>
      </c>
      <c r="G3347">
        <v>2</v>
      </c>
      <c r="H3347" s="2">
        <f>Tabelle13[[#This Row],[commits]]/Tabelle13[[#Totals],[commits]]</f>
        <v>9.2955808808492451E-6</v>
      </c>
      <c r="I3347" s="5">
        <f>Tabelle13[[#This Row],[%]]+I3346</f>
        <v>0.97054695197903906</v>
      </c>
      <c r="J3347" s="4">
        <f t="shared" si="137"/>
        <v>1.105583195135434E-4</v>
      </c>
      <c r="K3347" s="5">
        <f t="shared" si="138"/>
        <v>0.36981757877281624</v>
      </c>
    </row>
    <row r="3348" spans="1:11" x14ac:dyDescent="0.25">
      <c r="A3348" t="s">
        <v>6058</v>
      </c>
      <c r="C3348" t="s">
        <v>6059</v>
      </c>
      <c r="D3348" t="s">
        <v>5</v>
      </c>
      <c r="E3348" t="s">
        <v>6</v>
      </c>
      <c r="F3348" t="s">
        <v>28</v>
      </c>
      <c r="G3348">
        <v>2</v>
      </c>
      <c r="H3348" s="2">
        <f>Tabelle13[[#This Row],[commits]]/Tabelle13[[#Totals],[commits]]</f>
        <v>9.2955808808492451E-6</v>
      </c>
      <c r="I3348" s="5">
        <f>Tabelle13[[#This Row],[%]]+I3347</f>
        <v>0.97055624755991987</v>
      </c>
      <c r="J3348" s="4">
        <f t="shared" si="137"/>
        <v>1.105583195135434E-4</v>
      </c>
      <c r="K3348" s="5">
        <f t="shared" si="138"/>
        <v>0.3699281370923298</v>
      </c>
    </row>
    <row r="3349" spans="1:11" x14ac:dyDescent="0.25">
      <c r="A3349" t="s">
        <v>6060</v>
      </c>
      <c r="C3349" t="s">
        <v>6061</v>
      </c>
      <c r="D3349" t="s">
        <v>5</v>
      </c>
      <c r="E3349" t="s">
        <v>6</v>
      </c>
      <c r="F3349" t="s">
        <v>28</v>
      </c>
      <c r="G3349">
        <v>2</v>
      </c>
      <c r="H3349" s="2">
        <f>Tabelle13[[#This Row],[commits]]/Tabelle13[[#Totals],[commits]]</f>
        <v>9.2955808808492451E-6</v>
      </c>
      <c r="I3349" s="5">
        <f>Tabelle13[[#This Row],[%]]+I3348</f>
        <v>0.97056554314080068</v>
      </c>
      <c r="J3349" s="4">
        <f t="shared" si="137"/>
        <v>1.105583195135434E-4</v>
      </c>
      <c r="K3349" s="5">
        <f t="shared" si="138"/>
        <v>0.37003869541184337</v>
      </c>
    </row>
    <row r="3350" spans="1:11" x14ac:dyDescent="0.25">
      <c r="A3350" t="s">
        <v>6062</v>
      </c>
      <c r="C3350" t="s">
        <v>6063</v>
      </c>
      <c r="D3350" t="s">
        <v>5</v>
      </c>
      <c r="E3350" t="s">
        <v>6</v>
      </c>
      <c r="F3350" t="s">
        <v>28</v>
      </c>
      <c r="G3350">
        <v>2</v>
      </c>
      <c r="H3350" s="2">
        <f>Tabelle13[[#This Row],[commits]]/Tabelle13[[#Totals],[commits]]</f>
        <v>9.2955808808492451E-6</v>
      </c>
      <c r="I3350" s="5">
        <f>Tabelle13[[#This Row],[%]]+I3349</f>
        <v>0.97057483872168149</v>
      </c>
      <c r="J3350" s="4">
        <f t="shared" si="137"/>
        <v>1.105583195135434E-4</v>
      </c>
      <c r="K3350" s="5">
        <f t="shared" si="138"/>
        <v>0.37014925373135693</v>
      </c>
    </row>
    <row r="3351" spans="1:11" x14ac:dyDescent="0.25">
      <c r="A3351" t="s">
        <v>6064</v>
      </c>
      <c r="C3351" t="s">
        <v>6065</v>
      </c>
      <c r="D3351" t="s">
        <v>5</v>
      </c>
      <c r="E3351" t="s">
        <v>6</v>
      </c>
      <c r="F3351" t="s">
        <v>28</v>
      </c>
      <c r="G3351">
        <v>2</v>
      </c>
      <c r="H3351" s="2">
        <f>Tabelle13[[#This Row],[commits]]/Tabelle13[[#Totals],[commits]]</f>
        <v>9.2955808808492451E-6</v>
      </c>
      <c r="I3351" s="5">
        <f>Tabelle13[[#This Row],[%]]+I3350</f>
        <v>0.9705841343025623</v>
      </c>
      <c r="J3351" s="4">
        <f t="shared" si="137"/>
        <v>1.105583195135434E-4</v>
      </c>
      <c r="K3351" s="5">
        <f t="shared" si="138"/>
        <v>0.3702598120508705</v>
      </c>
    </row>
    <row r="3352" spans="1:11" x14ac:dyDescent="0.25">
      <c r="A3352" t="s">
        <v>6066</v>
      </c>
      <c r="C3352" t="s">
        <v>6067</v>
      </c>
      <c r="D3352" t="s">
        <v>5</v>
      </c>
      <c r="E3352" t="s">
        <v>6</v>
      </c>
      <c r="F3352" t="s">
        <v>28</v>
      </c>
      <c r="G3352">
        <v>2</v>
      </c>
      <c r="H3352" s="2">
        <f>Tabelle13[[#This Row],[commits]]/Tabelle13[[#Totals],[commits]]</f>
        <v>9.2955808808492451E-6</v>
      </c>
      <c r="I3352" s="5">
        <f>Tabelle13[[#This Row],[%]]+I3351</f>
        <v>0.9705934298834431</v>
      </c>
      <c r="J3352" s="4">
        <f t="shared" si="137"/>
        <v>1.105583195135434E-4</v>
      </c>
      <c r="K3352" s="5">
        <f t="shared" si="138"/>
        <v>0.37037037037038406</v>
      </c>
    </row>
    <row r="3353" spans="1:11" x14ac:dyDescent="0.25">
      <c r="A3353" t="s">
        <v>6068</v>
      </c>
      <c r="C3353" t="s">
        <v>6069</v>
      </c>
      <c r="D3353" t="s">
        <v>5</v>
      </c>
      <c r="E3353" t="s">
        <v>6</v>
      </c>
      <c r="F3353" t="s">
        <v>28</v>
      </c>
      <c r="G3353">
        <v>2</v>
      </c>
      <c r="H3353" s="2">
        <f>Tabelle13[[#This Row],[commits]]/Tabelle13[[#Totals],[commits]]</f>
        <v>9.2955808808492451E-6</v>
      </c>
      <c r="I3353" s="5">
        <f>Tabelle13[[#This Row],[%]]+I3352</f>
        <v>0.97060272546432391</v>
      </c>
      <c r="J3353" s="4">
        <f t="shared" si="137"/>
        <v>1.105583195135434E-4</v>
      </c>
      <c r="K3353" s="5">
        <f t="shared" si="138"/>
        <v>0.37048092868989763</v>
      </c>
    </row>
    <row r="3354" spans="1:11" x14ac:dyDescent="0.25">
      <c r="A3354" t="s">
        <v>6070</v>
      </c>
      <c r="C3354" t="s">
        <v>6071</v>
      </c>
      <c r="D3354" t="s">
        <v>5</v>
      </c>
      <c r="E3354" t="s">
        <v>6</v>
      </c>
      <c r="F3354" t="s">
        <v>28</v>
      </c>
      <c r="G3354">
        <v>2</v>
      </c>
      <c r="H3354" s="2">
        <f>Tabelle13[[#This Row],[commits]]/Tabelle13[[#Totals],[commits]]</f>
        <v>9.2955808808492451E-6</v>
      </c>
      <c r="I3354" s="5">
        <f>Tabelle13[[#This Row],[%]]+I3353</f>
        <v>0.97061202104520472</v>
      </c>
      <c r="J3354" s="4">
        <f t="shared" si="137"/>
        <v>1.105583195135434E-4</v>
      </c>
      <c r="K3354" s="5">
        <f t="shared" si="138"/>
        <v>0.37059148700941119</v>
      </c>
    </row>
    <row r="3355" spans="1:11" x14ac:dyDescent="0.25">
      <c r="A3355" t="s">
        <v>6072</v>
      </c>
      <c r="C3355" t="s">
        <v>6073</v>
      </c>
      <c r="D3355" t="s">
        <v>5</v>
      </c>
      <c r="E3355" t="s">
        <v>6</v>
      </c>
      <c r="F3355" t="s">
        <v>28</v>
      </c>
      <c r="G3355">
        <v>2</v>
      </c>
      <c r="H3355" s="2">
        <f>Tabelle13[[#This Row],[commits]]/Tabelle13[[#Totals],[commits]]</f>
        <v>9.2955808808492451E-6</v>
      </c>
      <c r="I3355" s="5">
        <f>Tabelle13[[#This Row],[%]]+I3354</f>
        <v>0.97062131662608553</v>
      </c>
      <c r="J3355" s="4">
        <f t="shared" si="137"/>
        <v>1.105583195135434E-4</v>
      </c>
      <c r="K3355" s="5">
        <f t="shared" si="138"/>
        <v>0.37070204532892476</v>
      </c>
    </row>
    <row r="3356" spans="1:11" x14ac:dyDescent="0.25">
      <c r="A3356" t="s">
        <v>6076</v>
      </c>
      <c r="C3356" t="s">
        <v>6077</v>
      </c>
      <c r="D3356" t="s">
        <v>5</v>
      </c>
      <c r="E3356" t="s">
        <v>6</v>
      </c>
      <c r="F3356" t="s">
        <v>28</v>
      </c>
      <c r="G3356">
        <v>2</v>
      </c>
      <c r="H3356" s="2">
        <f>Tabelle13[[#This Row],[commits]]/Tabelle13[[#Totals],[commits]]</f>
        <v>9.2955808808492451E-6</v>
      </c>
      <c r="I3356" s="5">
        <f>Tabelle13[[#This Row],[%]]+I3355</f>
        <v>0.97063061220696634</v>
      </c>
      <c r="J3356" s="4">
        <f t="shared" si="137"/>
        <v>1.105583195135434E-4</v>
      </c>
      <c r="K3356" s="5">
        <f t="shared" si="138"/>
        <v>0.37081260364843832</v>
      </c>
    </row>
    <row r="3357" spans="1:11" x14ac:dyDescent="0.25">
      <c r="A3357" t="s">
        <v>6078</v>
      </c>
      <c r="C3357" t="s">
        <v>6079</v>
      </c>
      <c r="D3357" t="s">
        <v>5</v>
      </c>
      <c r="E3357" t="s">
        <v>6</v>
      </c>
      <c r="F3357" t="s">
        <v>28</v>
      </c>
      <c r="G3357">
        <v>2</v>
      </c>
      <c r="H3357" s="2">
        <f>Tabelle13[[#This Row],[commits]]/Tabelle13[[#Totals],[commits]]</f>
        <v>9.2955808808492451E-6</v>
      </c>
      <c r="I3357" s="5">
        <f>Tabelle13[[#This Row],[%]]+I3356</f>
        <v>0.97063990778784714</v>
      </c>
      <c r="J3357" s="4">
        <f t="shared" si="137"/>
        <v>1.105583195135434E-4</v>
      </c>
      <c r="K3357" s="5">
        <f t="shared" si="138"/>
        <v>0.37092316196795189</v>
      </c>
    </row>
    <row r="3358" spans="1:11" x14ac:dyDescent="0.25">
      <c r="A3358" t="s">
        <v>6080</v>
      </c>
      <c r="C3358" t="s">
        <v>6081</v>
      </c>
      <c r="D3358" t="s">
        <v>5</v>
      </c>
      <c r="E3358" t="s">
        <v>6</v>
      </c>
      <c r="F3358" t="s">
        <v>28</v>
      </c>
      <c r="G3358">
        <v>2</v>
      </c>
      <c r="H3358" s="2">
        <f>Tabelle13[[#This Row],[commits]]/Tabelle13[[#Totals],[commits]]</f>
        <v>9.2955808808492451E-6</v>
      </c>
      <c r="I3358" s="5">
        <f>Tabelle13[[#This Row],[%]]+I3357</f>
        <v>0.97064920336872795</v>
      </c>
      <c r="J3358" s="4">
        <f t="shared" si="137"/>
        <v>1.105583195135434E-4</v>
      </c>
      <c r="K3358" s="5">
        <f t="shared" si="138"/>
        <v>0.37103372028746545</v>
      </c>
    </row>
    <row r="3359" spans="1:11" x14ac:dyDescent="0.25">
      <c r="A3359" t="s">
        <v>6082</v>
      </c>
      <c r="C3359" t="s">
        <v>6083</v>
      </c>
      <c r="D3359" t="s">
        <v>5</v>
      </c>
      <c r="E3359" t="s">
        <v>6</v>
      </c>
      <c r="F3359" t="s">
        <v>28</v>
      </c>
      <c r="G3359">
        <v>2</v>
      </c>
      <c r="H3359" s="2">
        <f>Tabelle13[[#This Row],[commits]]/Tabelle13[[#Totals],[commits]]</f>
        <v>9.2955808808492451E-6</v>
      </c>
      <c r="I3359" s="5">
        <f>Tabelle13[[#This Row],[%]]+I3358</f>
        <v>0.97065849894960876</v>
      </c>
      <c r="J3359" s="4">
        <f t="shared" si="137"/>
        <v>1.105583195135434E-4</v>
      </c>
      <c r="K3359" s="5">
        <f t="shared" si="138"/>
        <v>0.37114427860697902</v>
      </c>
    </row>
    <row r="3360" spans="1:11" x14ac:dyDescent="0.25">
      <c r="A3360" t="s">
        <v>6086</v>
      </c>
      <c r="C3360" t="s">
        <v>809</v>
      </c>
      <c r="D3360" t="s">
        <v>6087</v>
      </c>
      <c r="E3360" t="s">
        <v>6</v>
      </c>
      <c r="F3360" t="s">
        <v>28</v>
      </c>
      <c r="G3360">
        <v>2</v>
      </c>
      <c r="H3360" s="2">
        <f>Tabelle13[[#This Row],[commits]]/Tabelle13[[#Totals],[commits]]</f>
        <v>9.2955808808492451E-6</v>
      </c>
      <c r="I3360" s="5">
        <f>Tabelle13[[#This Row],[%]]+I3359</f>
        <v>0.97066779453048957</v>
      </c>
      <c r="J3360" s="4">
        <f t="shared" si="137"/>
        <v>1.105583195135434E-4</v>
      </c>
      <c r="K3360" s="5">
        <f t="shared" si="138"/>
        <v>0.37125483692649258</v>
      </c>
    </row>
    <row r="3361" spans="1:11" x14ac:dyDescent="0.25">
      <c r="A3361" t="s">
        <v>6088</v>
      </c>
      <c r="C3361" t="s">
        <v>6089</v>
      </c>
      <c r="D3361" t="s">
        <v>5</v>
      </c>
      <c r="E3361" t="s">
        <v>6</v>
      </c>
      <c r="F3361" t="s">
        <v>28</v>
      </c>
      <c r="G3361">
        <v>2</v>
      </c>
      <c r="H3361" s="2">
        <f>Tabelle13[[#This Row],[commits]]/Tabelle13[[#Totals],[commits]]</f>
        <v>9.2955808808492451E-6</v>
      </c>
      <c r="I3361" s="5">
        <f>Tabelle13[[#This Row],[%]]+I3360</f>
        <v>0.97067709011137038</v>
      </c>
      <c r="J3361" s="4">
        <f t="shared" si="137"/>
        <v>1.105583195135434E-4</v>
      </c>
      <c r="K3361" s="5">
        <f t="shared" si="138"/>
        <v>0.37136539524600615</v>
      </c>
    </row>
    <row r="3362" spans="1:11" x14ac:dyDescent="0.25">
      <c r="A3362" t="s">
        <v>6090</v>
      </c>
      <c r="C3362" t="s">
        <v>6091</v>
      </c>
      <c r="D3362" t="s">
        <v>5</v>
      </c>
      <c r="E3362" t="s">
        <v>6</v>
      </c>
      <c r="F3362" t="s">
        <v>28</v>
      </c>
      <c r="G3362">
        <v>2</v>
      </c>
      <c r="H3362" s="2">
        <f>Tabelle13[[#This Row],[commits]]/Tabelle13[[#Totals],[commits]]</f>
        <v>9.2955808808492451E-6</v>
      </c>
      <c r="I3362" s="5">
        <f>Tabelle13[[#This Row],[%]]+I3361</f>
        <v>0.97068638569225119</v>
      </c>
      <c r="J3362" s="4">
        <f t="shared" si="137"/>
        <v>1.105583195135434E-4</v>
      </c>
      <c r="K3362" s="5">
        <f t="shared" si="138"/>
        <v>0.37147595356551971</v>
      </c>
    </row>
    <row r="3363" spans="1:11" x14ac:dyDescent="0.25">
      <c r="A3363" t="s">
        <v>6092</v>
      </c>
      <c r="C3363" t="s">
        <v>6093</v>
      </c>
      <c r="D3363" t="s">
        <v>5</v>
      </c>
      <c r="E3363" t="s">
        <v>6</v>
      </c>
      <c r="F3363" t="s">
        <v>28</v>
      </c>
      <c r="G3363">
        <v>2</v>
      </c>
      <c r="H3363" s="2">
        <f>Tabelle13[[#This Row],[commits]]/Tabelle13[[#Totals],[commits]]</f>
        <v>9.2955808808492451E-6</v>
      </c>
      <c r="I3363" s="5">
        <f>Tabelle13[[#This Row],[%]]+I3362</f>
        <v>0.97069568127313199</v>
      </c>
      <c r="J3363" s="4">
        <f t="shared" si="137"/>
        <v>1.105583195135434E-4</v>
      </c>
      <c r="K3363" s="5">
        <f t="shared" si="138"/>
        <v>0.37158651188503328</v>
      </c>
    </row>
    <row r="3364" spans="1:11" x14ac:dyDescent="0.25">
      <c r="A3364" t="s">
        <v>6094</v>
      </c>
      <c r="C3364" t="s">
        <v>6095</v>
      </c>
      <c r="D3364" t="s">
        <v>5</v>
      </c>
      <c r="E3364" t="s">
        <v>6</v>
      </c>
      <c r="F3364" t="s">
        <v>28</v>
      </c>
      <c r="G3364">
        <v>2</v>
      </c>
      <c r="H3364" s="2">
        <f>Tabelle13[[#This Row],[commits]]/Tabelle13[[#Totals],[commits]]</f>
        <v>9.2955808808492451E-6</v>
      </c>
      <c r="I3364" s="5">
        <f>Tabelle13[[#This Row],[%]]+I3363</f>
        <v>0.9707049768540128</v>
      </c>
      <c r="J3364" s="4">
        <f t="shared" si="137"/>
        <v>1.105583195135434E-4</v>
      </c>
      <c r="K3364" s="5">
        <f t="shared" si="138"/>
        <v>0.37169707020454684</v>
      </c>
    </row>
    <row r="3365" spans="1:11" x14ac:dyDescent="0.25">
      <c r="A3365" t="s">
        <v>6096</v>
      </c>
      <c r="C3365" t="s">
        <v>6097</v>
      </c>
      <c r="D3365" t="s">
        <v>5</v>
      </c>
      <c r="E3365" t="s">
        <v>6</v>
      </c>
      <c r="F3365" t="s">
        <v>28</v>
      </c>
      <c r="G3365">
        <v>2</v>
      </c>
      <c r="H3365" s="2">
        <f>Tabelle13[[#This Row],[commits]]/Tabelle13[[#Totals],[commits]]</f>
        <v>9.2955808808492451E-6</v>
      </c>
      <c r="I3365" s="5">
        <f>Tabelle13[[#This Row],[%]]+I3364</f>
        <v>0.97071427243489361</v>
      </c>
      <c r="J3365" s="4">
        <f t="shared" si="137"/>
        <v>1.105583195135434E-4</v>
      </c>
      <c r="K3365" s="5">
        <f t="shared" si="138"/>
        <v>0.37180762852406041</v>
      </c>
    </row>
    <row r="3366" spans="1:11" x14ac:dyDescent="0.25">
      <c r="A3366" t="s">
        <v>6098</v>
      </c>
      <c r="C3366" t="s">
        <v>6099</v>
      </c>
      <c r="D3366" t="s">
        <v>5</v>
      </c>
      <c r="E3366" t="s">
        <v>6</v>
      </c>
      <c r="F3366" t="s">
        <v>28</v>
      </c>
      <c r="G3366">
        <v>2</v>
      </c>
      <c r="H3366" s="2">
        <f>Tabelle13[[#This Row],[commits]]/Tabelle13[[#Totals],[commits]]</f>
        <v>9.2955808808492451E-6</v>
      </c>
      <c r="I3366" s="5">
        <f>Tabelle13[[#This Row],[%]]+I3365</f>
        <v>0.97072356801577442</v>
      </c>
      <c r="J3366" s="4">
        <f t="shared" si="137"/>
        <v>1.105583195135434E-4</v>
      </c>
      <c r="K3366" s="5">
        <f t="shared" si="138"/>
        <v>0.37191818684357397</v>
      </c>
    </row>
    <row r="3367" spans="1:11" x14ac:dyDescent="0.25">
      <c r="A3367" t="s">
        <v>6100</v>
      </c>
      <c r="C3367" t="s">
        <v>6101</v>
      </c>
      <c r="D3367" t="s">
        <v>5</v>
      </c>
      <c r="E3367" t="s">
        <v>6</v>
      </c>
      <c r="F3367" t="s">
        <v>28</v>
      </c>
      <c r="G3367">
        <v>2</v>
      </c>
      <c r="H3367" s="2">
        <f>Tabelle13[[#This Row],[commits]]/Tabelle13[[#Totals],[commits]]</f>
        <v>9.2955808808492451E-6</v>
      </c>
      <c r="I3367" s="5">
        <f>Tabelle13[[#This Row],[%]]+I3366</f>
        <v>0.97073286359665523</v>
      </c>
      <c r="J3367" s="4">
        <f t="shared" si="137"/>
        <v>1.105583195135434E-4</v>
      </c>
      <c r="K3367" s="5">
        <f t="shared" si="138"/>
        <v>0.37202874516308754</v>
      </c>
    </row>
    <row r="3368" spans="1:11" x14ac:dyDescent="0.25">
      <c r="A3368" t="s">
        <v>6102</v>
      </c>
      <c r="C3368" t="s">
        <v>1180</v>
      </c>
      <c r="D3368" t="s">
        <v>5</v>
      </c>
      <c r="E3368" t="s">
        <v>6</v>
      </c>
      <c r="F3368" t="s">
        <v>28</v>
      </c>
      <c r="G3368">
        <v>2</v>
      </c>
      <c r="H3368" s="2">
        <f>Tabelle13[[#This Row],[commits]]/Tabelle13[[#Totals],[commits]]</f>
        <v>9.2955808808492451E-6</v>
      </c>
      <c r="I3368" s="5">
        <f>Tabelle13[[#This Row],[%]]+I3367</f>
        <v>0.97074215917753603</v>
      </c>
      <c r="J3368" s="4">
        <f t="shared" si="137"/>
        <v>1.105583195135434E-4</v>
      </c>
      <c r="K3368" s="5">
        <f t="shared" si="138"/>
        <v>0.3721393034826011</v>
      </c>
    </row>
    <row r="3369" spans="1:11" x14ac:dyDescent="0.25">
      <c r="A3369" t="s">
        <v>6103</v>
      </c>
      <c r="C3369" t="s">
        <v>1180</v>
      </c>
      <c r="D3369" t="s">
        <v>5</v>
      </c>
      <c r="E3369" t="s">
        <v>6</v>
      </c>
      <c r="F3369" t="s">
        <v>28</v>
      </c>
      <c r="G3369">
        <v>2</v>
      </c>
      <c r="H3369" s="2">
        <f>Tabelle13[[#This Row],[commits]]/Tabelle13[[#Totals],[commits]]</f>
        <v>9.2955808808492451E-6</v>
      </c>
      <c r="I3369" s="5">
        <f>Tabelle13[[#This Row],[%]]+I3368</f>
        <v>0.97075145475841684</v>
      </c>
      <c r="J3369" s="4">
        <f t="shared" si="137"/>
        <v>1.105583195135434E-4</v>
      </c>
      <c r="K3369" s="5">
        <f t="shared" si="138"/>
        <v>0.37224986180211467</v>
      </c>
    </row>
    <row r="3370" spans="1:11" x14ac:dyDescent="0.25">
      <c r="A3370" t="s">
        <v>6104</v>
      </c>
      <c r="C3370" t="s">
        <v>6105</v>
      </c>
      <c r="D3370" t="s">
        <v>5</v>
      </c>
      <c r="E3370" t="s">
        <v>6</v>
      </c>
      <c r="F3370" t="s">
        <v>28</v>
      </c>
      <c r="G3370">
        <v>2</v>
      </c>
      <c r="H3370" s="2">
        <f>Tabelle13[[#This Row],[commits]]/Tabelle13[[#Totals],[commits]]</f>
        <v>9.2955808808492451E-6</v>
      </c>
      <c r="I3370" s="5">
        <f>Tabelle13[[#This Row],[%]]+I3369</f>
        <v>0.97076075033929765</v>
      </c>
      <c r="J3370" s="4">
        <f t="shared" si="137"/>
        <v>1.105583195135434E-4</v>
      </c>
      <c r="K3370" s="5">
        <f t="shared" si="138"/>
        <v>0.37236042012162823</v>
      </c>
    </row>
    <row r="3371" spans="1:11" x14ac:dyDescent="0.25">
      <c r="A3371" t="s">
        <v>6106</v>
      </c>
      <c r="C3371" t="s">
        <v>6107</v>
      </c>
      <c r="D3371" t="s">
        <v>5</v>
      </c>
      <c r="E3371" t="s">
        <v>6</v>
      </c>
      <c r="F3371" t="s">
        <v>28</v>
      </c>
      <c r="G3371">
        <v>2</v>
      </c>
      <c r="H3371" s="2">
        <f>Tabelle13[[#This Row],[commits]]/Tabelle13[[#Totals],[commits]]</f>
        <v>9.2955808808492451E-6</v>
      </c>
      <c r="I3371" s="5">
        <f>Tabelle13[[#This Row],[%]]+I3370</f>
        <v>0.97077004592017846</v>
      </c>
      <c r="J3371" s="4">
        <f t="shared" si="137"/>
        <v>1.105583195135434E-4</v>
      </c>
      <c r="K3371" s="5">
        <f t="shared" si="138"/>
        <v>0.3724709784411418</v>
      </c>
    </row>
    <row r="3372" spans="1:11" x14ac:dyDescent="0.25">
      <c r="A3372" t="s">
        <v>6110</v>
      </c>
      <c r="C3372" t="s">
        <v>6111</v>
      </c>
      <c r="D3372" t="s">
        <v>5</v>
      </c>
      <c r="E3372" t="s">
        <v>6</v>
      </c>
      <c r="F3372" t="s">
        <v>28</v>
      </c>
      <c r="G3372">
        <v>2</v>
      </c>
      <c r="H3372" s="2">
        <f>Tabelle13[[#This Row],[commits]]/Tabelle13[[#Totals],[commits]]</f>
        <v>9.2955808808492451E-6</v>
      </c>
      <c r="I3372" s="5">
        <f>Tabelle13[[#This Row],[%]]+I3371</f>
        <v>0.97077934150105927</v>
      </c>
      <c r="J3372" s="4">
        <f t="shared" si="137"/>
        <v>1.105583195135434E-4</v>
      </c>
      <c r="K3372" s="5">
        <f t="shared" si="138"/>
        <v>0.37258153676065536</v>
      </c>
    </row>
    <row r="3373" spans="1:11" x14ac:dyDescent="0.25">
      <c r="A3373" t="s">
        <v>6112</v>
      </c>
      <c r="C3373" t="s">
        <v>6113</v>
      </c>
      <c r="D3373" t="s">
        <v>5</v>
      </c>
      <c r="E3373" t="s">
        <v>6</v>
      </c>
      <c r="F3373" t="s">
        <v>28</v>
      </c>
      <c r="G3373">
        <v>2</v>
      </c>
      <c r="H3373" s="2">
        <f>Tabelle13[[#This Row],[commits]]/Tabelle13[[#Totals],[commits]]</f>
        <v>9.2955808808492451E-6</v>
      </c>
      <c r="I3373" s="5">
        <f>Tabelle13[[#This Row],[%]]+I3372</f>
        <v>0.97078863708194008</v>
      </c>
      <c r="J3373" s="4">
        <f t="shared" si="137"/>
        <v>1.105583195135434E-4</v>
      </c>
      <c r="K3373" s="5">
        <f t="shared" si="138"/>
        <v>0.37269209508016893</v>
      </c>
    </row>
    <row r="3374" spans="1:11" x14ac:dyDescent="0.25">
      <c r="A3374" t="s">
        <v>6114</v>
      </c>
      <c r="C3374" t="s">
        <v>6115</v>
      </c>
      <c r="D3374" t="s">
        <v>5</v>
      </c>
      <c r="E3374" t="s">
        <v>6</v>
      </c>
      <c r="F3374" t="s">
        <v>28</v>
      </c>
      <c r="G3374">
        <v>2</v>
      </c>
      <c r="H3374" s="2">
        <f>Tabelle13[[#This Row],[commits]]/Tabelle13[[#Totals],[commits]]</f>
        <v>9.2955808808492451E-6</v>
      </c>
      <c r="I3374" s="5">
        <f>Tabelle13[[#This Row],[%]]+I3373</f>
        <v>0.97079793266282088</v>
      </c>
      <c r="J3374" s="4">
        <f t="shared" si="137"/>
        <v>1.105583195135434E-4</v>
      </c>
      <c r="K3374" s="5">
        <f t="shared" si="138"/>
        <v>0.37280265339968249</v>
      </c>
    </row>
    <row r="3375" spans="1:11" x14ac:dyDescent="0.25">
      <c r="A3375" t="s">
        <v>6116</v>
      </c>
      <c r="C3375" t="s">
        <v>6117</v>
      </c>
      <c r="D3375" t="s">
        <v>5</v>
      </c>
      <c r="E3375" t="s">
        <v>6</v>
      </c>
      <c r="F3375" t="s">
        <v>28</v>
      </c>
      <c r="G3375">
        <v>2</v>
      </c>
      <c r="H3375" s="2">
        <f>Tabelle13[[#This Row],[commits]]/Tabelle13[[#Totals],[commits]]</f>
        <v>9.2955808808492451E-6</v>
      </c>
      <c r="I3375" s="5">
        <f>Tabelle13[[#This Row],[%]]+I3374</f>
        <v>0.97080722824370169</v>
      </c>
      <c r="J3375" s="4">
        <f t="shared" si="137"/>
        <v>1.105583195135434E-4</v>
      </c>
      <c r="K3375" s="5">
        <f t="shared" si="138"/>
        <v>0.37291321171919606</v>
      </c>
    </row>
    <row r="3376" spans="1:11" x14ac:dyDescent="0.25">
      <c r="A3376" t="s">
        <v>6118</v>
      </c>
      <c r="C3376" t="s">
        <v>6119</v>
      </c>
      <c r="D3376" t="s">
        <v>5</v>
      </c>
      <c r="E3376" t="s">
        <v>6</v>
      </c>
      <c r="F3376" t="s">
        <v>28</v>
      </c>
      <c r="G3376">
        <v>2</v>
      </c>
      <c r="H3376" s="2">
        <f>Tabelle13[[#This Row],[commits]]/Tabelle13[[#Totals],[commits]]</f>
        <v>9.2955808808492451E-6</v>
      </c>
      <c r="I3376" s="5">
        <f>Tabelle13[[#This Row],[%]]+I3375</f>
        <v>0.9708165238245825</v>
      </c>
      <c r="J3376" s="4">
        <f t="shared" si="137"/>
        <v>1.105583195135434E-4</v>
      </c>
      <c r="K3376" s="5">
        <f t="shared" si="138"/>
        <v>0.37302377003870962</v>
      </c>
    </row>
    <row r="3377" spans="1:11" x14ac:dyDescent="0.25">
      <c r="A3377" t="s">
        <v>6120</v>
      </c>
      <c r="C3377" t="s">
        <v>5576</v>
      </c>
      <c r="D3377" t="s">
        <v>5</v>
      </c>
      <c r="E3377" t="s">
        <v>6</v>
      </c>
      <c r="F3377" t="s">
        <v>28</v>
      </c>
      <c r="G3377">
        <v>2</v>
      </c>
      <c r="H3377" s="2">
        <f>Tabelle13[[#This Row],[commits]]/Tabelle13[[#Totals],[commits]]</f>
        <v>9.2955808808492451E-6</v>
      </c>
      <c r="I3377" s="5">
        <f>Tabelle13[[#This Row],[%]]+I3376</f>
        <v>0.97082581940546331</v>
      </c>
      <c r="J3377" s="4">
        <f t="shared" si="137"/>
        <v>1.105583195135434E-4</v>
      </c>
      <c r="K3377" s="5">
        <f t="shared" si="138"/>
        <v>0.37313432835822319</v>
      </c>
    </row>
    <row r="3378" spans="1:11" x14ac:dyDescent="0.25">
      <c r="A3378" t="s">
        <v>6121</v>
      </c>
      <c r="C3378" t="s">
        <v>6122</v>
      </c>
      <c r="D3378" t="s">
        <v>5</v>
      </c>
      <c r="E3378" t="s">
        <v>6</v>
      </c>
      <c r="F3378" t="s">
        <v>28</v>
      </c>
      <c r="G3378">
        <v>2</v>
      </c>
      <c r="H3378" s="2">
        <f>Tabelle13[[#This Row],[commits]]/Tabelle13[[#Totals],[commits]]</f>
        <v>9.2955808808492451E-6</v>
      </c>
      <c r="I3378" s="5">
        <f>Tabelle13[[#This Row],[%]]+I3377</f>
        <v>0.97083511498634412</v>
      </c>
      <c r="J3378" s="4">
        <f t="shared" si="137"/>
        <v>1.105583195135434E-4</v>
      </c>
      <c r="K3378" s="5">
        <f t="shared" si="138"/>
        <v>0.37324488667773675</v>
      </c>
    </row>
    <row r="3379" spans="1:11" x14ac:dyDescent="0.25">
      <c r="A3379" t="s">
        <v>6123</v>
      </c>
      <c r="C3379" t="s">
        <v>6124</v>
      </c>
      <c r="D3379" t="s">
        <v>5</v>
      </c>
      <c r="E3379" t="s">
        <v>6</v>
      </c>
      <c r="F3379" t="s">
        <v>28</v>
      </c>
      <c r="G3379">
        <v>2</v>
      </c>
      <c r="H3379" s="2">
        <f>Tabelle13[[#This Row],[commits]]/Tabelle13[[#Totals],[commits]]</f>
        <v>9.2955808808492451E-6</v>
      </c>
      <c r="I3379" s="5">
        <f>Tabelle13[[#This Row],[%]]+I3378</f>
        <v>0.97084441056722492</v>
      </c>
      <c r="J3379" s="4">
        <f t="shared" si="137"/>
        <v>1.105583195135434E-4</v>
      </c>
      <c r="K3379" s="5">
        <f t="shared" si="138"/>
        <v>0.37335544499725032</v>
      </c>
    </row>
    <row r="3380" spans="1:11" x14ac:dyDescent="0.25">
      <c r="A3380" t="s">
        <v>6125</v>
      </c>
      <c r="C3380" t="s">
        <v>6126</v>
      </c>
      <c r="D3380" t="s">
        <v>5</v>
      </c>
      <c r="E3380" t="s">
        <v>6</v>
      </c>
      <c r="F3380" t="s">
        <v>28</v>
      </c>
      <c r="G3380">
        <v>2</v>
      </c>
      <c r="H3380" s="2">
        <f>Tabelle13[[#This Row],[commits]]/Tabelle13[[#Totals],[commits]]</f>
        <v>9.2955808808492451E-6</v>
      </c>
      <c r="I3380" s="5">
        <f>Tabelle13[[#This Row],[%]]+I3379</f>
        <v>0.97085370614810573</v>
      </c>
      <c r="J3380" s="4">
        <f t="shared" si="137"/>
        <v>1.105583195135434E-4</v>
      </c>
      <c r="K3380" s="5">
        <f t="shared" si="138"/>
        <v>0.37346600331676388</v>
      </c>
    </row>
    <row r="3381" spans="1:11" x14ac:dyDescent="0.25">
      <c r="A3381" t="s">
        <v>6127</v>
      </c>
      <c r="C3381" t="s">
        <v>6128</v>
      </c>
      <c r="D3381" t="s">
        <v>5</v>
      </c>
      <c r="E3381" t="s">
        <v>6</v>
      </c>
      <c r="F3381" t="s">
        <v>28</v>
      </c>
      <c r="G3381">
        <v>2</v>
      </c>
      <c r="H3381" s="2">
        <f>Tabelle13[[#This Row],[commits]]/Tabelle13[[#Totals],[commits]]</f>
        <v>9.2955808808492451E-6</v>
      </c>
      <c r="I3381" s="5">
        <f>Tabelle13[[#This Row],[%]]+I3380</f>
        <v>0.97086300172898654</v>
      </c>
      <c r="J3381" s="4">
        <f t="shared" si="137"/>
        <v>1.105583195135434E-4</v>
      </c>
      <c r="K3381" s="5">
        <f t="shared" si="138"/>
        <v>0.37357656163627745</v>
      </c>
    </row>
    <row r="3382" spans="1:11" x14ac:dyDescent="0.25">
      <c r="A3382" t="s">
        <v>6129</v>
      </c>
      <c r="C3382" t="s">
        <v>6130</v>
      </c>
      <c r="D3382" t="s">
        <v>5</v>
      </c>
      <c r="E3382" t="s">
        <v>6</v>
      </c>
      <c r="F3382" t="s">
        <v>28</v>
      </c>
      <c r="G3382">
        <v>2</v>
      </c>
      <c r="H3382" s="2">
        <f>Tabelle13[[#This Row],[commits]]/Tabelle13[[#Totals],[commits]]</f>
        <v>9.2955808808492451E-6</v>
      </c>
      <c r="I3382" s="5">
        <f>Tabelle13[[#This Row],[%]]+I3381</f>
        <v>0.97087229730986735</v>
      </c>
      <c r="J3382" s="4">
        <f t="shared" si="137"/>
        <v>1.105583195135434E-4</v>
      </c>
      <c r="K3382" s="5">
        <f t="shared" si="138"/>
        <v>0.37368711995579101</v>
      </c>
    </row>
    <row r="3383" spans="1:11" x14ac:dyDescent="0.25">
      <c r="A3383" t="s">
        <v>6131</v>
      </c>
      <c r="C3383" t="s">
        <v>5383</v>
      </c>
      <c r="D3383" t="s">
        <v>6132</v>
      </c>
      <c r="E3383" t="s">
        <v>6</v>
      </c>
      <c r="F3383" t="s">
        <v>28</v>
      </c>
      <c r="G3383">
        <v>2</v>
      </c>
      <c r="H3383" s="2">
        <f>Tabelle13[[#This Row],[commits]]/Tabelle13[[#Totals],[commits]]</f>
        <v>9.2955808808492451E-6</v>
      </c>
      <c r="I3383" s="5">
        <f>Tabelle13[[#This Row],[%]]+I3382</f>
        <v>0.97088159289074816</v>
      </c>
      <c r="J3383" s="4">
        <f t="shared" si="137"/>
        <v>1.105583195135434E-4</v>
      </c>
      <c r="K3383" s="5">
        <f t="shared" si="138"/>
        <v>0.37379767827530458</v>
      </c>
    </row>
    <row r="3384" spans="1:11" x14ac:dyDescent="0.25">
      <c r="A3384" t="s">
        <v>6133</v>
      </c>
      <c r="C3384" t="s">
        <v>6134</v>
      </c>
      <c r="D3384" t="s">
        <v>5</v>
      </c>
      <c r="E3384" t="s">
        <v>6</v>
      </c>
      <c r="F3384" t="s">
        <v>28</v>
      </c>
      <c r="G3384">
        <v>2</v>
      </c>
      <c r="H3384" s="2">
        <f>Tabelle13[[#This Row],[commits]]/Tabelle13[[#Totals],[commits]]</f>
        <v>9.2955808808492451E-6</v>
      </c>
      <c r="I3384" s="5">
        <f>Tabelle13[[#This Row],[%]]+I3383</f>
        <v>0.97089088847162897</v>
      </c>
      <c r="J3384" s="4">
        <f t="shared" si="137"/>
        <v>1.105583195135434E-4</v>
      </c>
      <c r="K3384" s="5">
        <f t="shared" si="138"/>
        <v>0.37390823659481814</v>
      </c>
    </row>
    <row r="3385" spans="1:11" x14ac:dyDescent="0.25">
      <c r="A3385" t="s">
        <v>6135</v>
      </c>
      <c r="C3385" t="s">
        <v>6136</v>
      </c>
      <c r="D3385" t="s">
        <v>5175</v>
      </c>
      <c r="E3385" t="s">
        <v>6</v>
      </c>
      <c r="F3385" t="s">
        <v>28</v>
      </c>
      <c r="G3385">
        <v>2</v>
      </c>
      <c r="H3385" s="2">
        <f>Tabelle13[[#This Row],[commits]]/Tabelle13[[#Totals],[commits]]</f>
        <v>9.2955808808492451E-6</v>
      </c>
      <c r="I3385" s="5">
        <f>Tabelle13[[#This Row],[%]]+I3384</f>
        <v>0.97090018405250977</v>
      </c>
      <c r="J3385" s="4">
        <f t="shared" si="137"/>
        <v>1.105583195135434E-4</v>
      </c>
      <c r="K3385" s="5">
        <f t="shared" si="138"/>
        <v>0.37401879491433171</v>
      </c>
    </row>
    <row r="3386" spans="1:11" x14ac:dyDescent="0.25">
      <c r="A3386" t="s">
        <v>6137</v>
      </c>
      <c r="C3386" t="s">
        <v>6138</v>
      </c>
      <c r="D3386" t="s">
        <v>5</v>
      </c>
      <c r="E3386" t="s">
        <v>6</v>
      </c>
      <c r="F3386" t="s">
        <v>28</v>
      </c>
      <c r="G3386">
        <v>2</v>
      </c>
      <c r="H3386" s="2">
        <f>Tabelle13[[#This Row],[commits]]/Tabelle13[[#Totals],[commits]]</f>
        <v>9.2955808808492451E-6</v>
      </c>
      <c r="I3386" s="5">
        <f>Tabelle13[[#This Row],[%]]+I3385</f>
        <v>0.97090947963339058</v>
      </c>
      <c r="J3386" s="4">
        <f t="shared" si="137"/>
        <v>1.105583195135434E-4</v>
      </c>
      <c r="K3386" s="5">
        <f t="shared" si="138"/>
        <v>0.37412935323384527</v>
      </c>
    </row>
    <row r="3387" spans="1:11" x14ac:dyDescent="0.25">
      <c r="A3387" t="s">
        <v>6139</v>
      </c>
      <c r="C3387" t="s">
        <v>6140</v>
      </c>
      <c r="D3387" t="s">
        <v>5</v>
      </c>
      <c r="E3387" t="s">
        <v>6</v>
      </c>
      <c r="F3387" t="s">
        <v>28</v>
      </c>
      <c r="G3387">
        <v>2</v>
      </c>
      <c r="H3387" s="2">
        <f>Tabelle13[[#This Row],[commits]]/Tabelle13[[#Totals],[commits]]</f>
        <v>9.2955808808492451E-6</v>
      </c>
      <c r="I3387" s="5">
        <f>Tabelle13[[#This Row],[%]]+I3386</f>
        <v>0.97091877521427139</v>
      </c>
      <c r="J3387" s="4">
        <f t="shared" si="137"/>
        <v>1.105583195135434E-4</v>
      </c>
      <c r="K3387" s="5">
        <f t="shared" si="138"/>
        <v>0.37423991155335884</v>
      </c>
    </row>
    <row r="3388" spans="1:11" x14ac:dyDescent="0.25">
      <c r="A3388" t="s">
        <v>6141</v>
      </c>
      <c r="C3388" t="s">
        <v>6142</v>
      </c>
      <c r="D3388" t="s">
        <v>5</v>
      </c>
      <c r="E3388" t="s">
        <v>6</v>
      </c>
      <c r="F3388" t="s">
        <v>28</v>
      </c>
      <c r="G3388">
        <v>2</v>
      </c>
      <c r="H3388" s="2">
        <f>Tabelle13[[#This Row],[commits]]/Tabelle13[[#Totals],[commits]]</f>
        <v>9.2955808808492451E-6</v>
      </c>
      <c r="I3388" s="5">
        <f>Tabelle13[[#This Row],[%]]+I3387</f>
        <v>0.9709280707951522</v>
      </c>
      <c r="J3388" s="4">
        <f t="shared" si="137"/>
        <v>1.105583195135434E-4</v>
      </c>
      <c r="K3388" s="5">
        <f t="shared" si="138"/>
        <v>0.3743504698728724</v>
      </c>
    </row>
    <row r="3389" spans="1:11" x14ac:dyDescent="0.25">
      <c r="A3389" t="s">
        <v>6143</v>
      </c>
      <c r="C3389" t="s">
        <v>6144</v>
      </c>
      <c r="D3389" t="s">
        <v>5</v>
      </c>
      <c r="E3389" t="s">
        <v>6</v>
      </c>
      <c r="F3389" t="s">
        <v>28</v>
      </c>
      <c r="G3389">
        <v>2</v>
      </c>
      <c r="H3389" s="2">
        <f>Tabelle13[[#This Row],[commits]]/Tabelle13[[#Totals],[commits]]</f>
        <v>9.2955808808492451E-6</v>
      </c>
      <c r="I3389" s="5">
        <f>Tabelle13[[#This Row],[%]]+I3388</f>
        <v>0.97093736637603301</v>
      </c>
      <c r="J3389" s="4">
        <f t="shared" si="137"/>
        <v>1.105583195135434E-4</v>
      </c>
      <c r="K3389" s="5">
        <f t="shared" si="138"/>
        <v>0.37446102819238597</v>
      </c>
    </row>
    <row r="3390" spans="1:11" x14ac:dyDescent="0.25">
      <c r="A3390" t="s">
        <v>6145</v>
      </c>
      <c r="C3390" t="s">
        <v>6146</v>
      </c>
      <c r="D3390" t="s">
        <v>5</v>
      </c>
      <c r="E3390" t="s">
        <v>6</v>
      </c>
      <c r="F3390" t="s">
        <v>28</v>
      </c>
      <c r="G3390">
        <v>2</v>
      </c>
      <c r="H3390" s="2">
        <f>Tabelle13[[#This Row],[commits]]/Tabelle13[[#Totals],[commits]]</f>
        <v>9.2955808808492451E-6</v>
      </c>
      <c r="I3390" s="5">
        <f>Tabelle13[[#This Row],[%]]+I3389</f>
        <v>0.97094666195691381</v>
      </c>
      <c r="J3390" s="4">
        <f t="shared" si="137"/>
        <v>1.105583195135434E-4</v>
      </c>
      <c r="K3390" s="5">
        <f t="shared" si="138"/>
        <v>0.37457158651189953</v>
      </c>
    </row>
    <row r="3391" spans="1:11" x14ac:dyDescent="0.25">
      <c r="A3391" t="s">
        <v>6147</v>
      </c>
      <c r="C3391" t="s">
        <v>6148</v>
      </c>
      <c r="D3391" t="s">
        <v>5</v>
      </c>
      <c r="E3391" t="s">
        <v>6</v>
      </c>
      <c r="F3391" t="s">
        <v>28</v>
      </c>
      <c r="G3391">
        <v>2</v>
      </c>
      <c r="H3391" s="2">
        <f>Tabelle13[[#This Row],[commits]]/Tabelle13[[#Totals],[commits]]</f>
        <v>9.2955808808492451E-6</v>
      </c>
      <c r="I3391" s="5">
        <f>Tabelle13[[#This Row],[%]]+I3390</f>
        <v>0.97095595753779462</v>
      </c>
      <c r="J3391" s="4">
        <f t="shared" si="137"/>
        <v>1.105583195135434E-4</v>
      </c>
      <c r="K3391" s="5">
        <f t="shared" si="138"/>
        <v>0.3746821448314131</v>
      </c>
    </row>
    <row r="3392" spans="1:11" x14ac:dyDescent="0.25">
      <c r="A3392" t="s">
        <v>6149</v>
      </c>
      <c r="C3392" t="s">
        <v>6150</v>
      </c>
      <c r="D3392" t="s">
        <v>6151</v>
      </c>
      <c r="E3392" t="s">
        <v>6</v>
      </c>
      <c r="F3392" t="s">
        <v>28</v>
      </c>
      <c r="G3392">
        <v>2</v>
      </c>
      <c r="H3392" s="2">
        <f>Tabelle13[[#This Row],[commits]]/Tabelle13[[#Totals],[commits]]</f>
        <v>9.2955808808492451E-6</v>
      </c>
      <c r="I3392" s="5">
        <f>Tabelle13[[#This Row],[%]]+I3391</f>
        <v>0.97096525311867543</v>
      </c>
      <c r="J3392" s="4">
        <f t="shared" si="137"/>
        <v>1.105583195135434E-4</v>
      </c>
      <c r="K3392" s="5">
        <f t="shared" si="138"/>
        <v>0.37479270315092666</v>
      </c>
    </row>
    <row r="3393" spans="1:11" x14ac:dyDescent="0.25">
      <c r="A3393" t="s">
        <v>6152</v>
      </c>
      <c r="C3393" t="s">
        <v>6153</v>
      </c>
      <c r="D3393" t="s">
        <v>5</v>
      </c>
      <c r="E3393" t="s">
        <v>6</v>
      </c>
      <c r="F3393" t="s">
        <v>28</v>
      </c>
      <c r="G3393">
        <v>2</v>
      </c>
      <c r="H3393" s="2">
        <f>Tabelle13[[#This Row],[commits]]/Tabelle13[[#Totals],[commits]]</f>
        <v>9.2955808808492451E-6</v>
      </c>
      <c r="I3393" s="5">
        <f>Tabelle13[[#This Row],[%]]+I3392</f>
        <v>0.97097454869955624</v>
      </c>
      <c r="J3393" s="4">
        <f t="shared" si="137"/>
        <v>1.105583195135434E-4</v>
      </c>
      <c r="K3393" s="5">
        <f t="shared" si="138"/>
        <v>0.37490326147044023</v>
      </c>
    </row>
    <row r="3394" spans="1:11" x14ac:dyDescent="0.25">
      <c r="A3394" t="s">
        <v>6154</v>
      </c>
      <c r="C3394" t="s">
        <v>6155</v>
      </c>
      <c r="D3394" t="s">
        <v>5</v>
      </c>
      <c r="E3394" t="s">
        <v>6</v>
      </c>
      <c r="F3394" t="s">
        <v>28</v>
      </c>
      <c r="G3394">
        <v>2</v>
      </c>
      <c r="H3394" s="2">
        <f>Tabelle13[[#This Row],[commits]]/Tabelle13[[#Totals],[commits]]</f>
        <v>9.2955808808492451E-6</v>
      </c>
      <c r="I3394" s="5">
        <f>Tabelle13[[#This Row],[%]]+I3393</f>
        <v>0.97098384428043705</v>
      </c>
      <c r="J3394" s="4">
        <f t="shared" si="137"/>
        <v>1.105583195135434E-4</v>
      </c>
      <c r="K3394" s="5">
        <f t="shared" si="138"/>
        <v>0.3750138197899538</v>
      </c>
    </row>
    <row r="3395" spans="1:11" x14ac:dyDescent="0.25">
      <c r="A3395" t="s">
        <v>6156</v>
      </c>
      <c r="C3395" t="s">
        <v>6157</v>
      </c>
      <c r="D3395" t="s">
        <v>5</v>
      </c>
      <c r="E3395" t="s">
        <v>6</v>
      </c>
      <c r="F3395" t="s">
        <v>28</v>
      </c>
      <c r="G3395">
        <v>2</v>
      </c>
      <c r="H3395" s="2">
        <f>Tabelle13[[#This Row],[commits]]/Tabelle13[[#Totals],[commits]]</f>
        <v>9.2955808808492451E-6</v>
      </c>
      <c r="I3395" s="5">
        <f>Tabelle13[[#This Row],[%]]+I3394</f>
        <v>0.97099313986131786</v>
      </c>
      <c r="J3395" s="4">
        <f t="shared" ref="J3395:J3458" si="139">1/9045</f>
        <v>1.105583195135434E-4</v>
      </c>
      <c r="K3395" s="5">
        <f t="shared" si="138"/>
        <v>0.37512437810946736</v>
      </c>
    </row>
    <row r="3396" spans="1:11" x14ac:dyDescent="0.25">
      <c r="A3396" t="s">
        <v>6158</v>
      </c>
      <c r="C3396" t="s">
        <v>681</v>
      </c>
      <c r="D3396" t="s">
        <v>5</v>
      </c>
      <c r="E3396" t="s">
        <v>6</v>
      </c>
      <c r="F3396" t="s">
        <v>28</v>
      </c>
      <c r="G3396">
        <v>2</v>
      </c>
      <c r="H3396" s="2">
        <f>Tabelle13[[#This Row],[commits]]/Tabelle13[[#Totals],[commits]]</f>
        <v>9.2955808808492451E-6</v>
      </c>
      <c r="I3396" s="5">
        <f>Tabelle13[[#This Row],[%]]+I3395</f>
        <v>0.97100243544219866</v>
      </c>
      <c r="J3396" s="4">
        <f t="shared" si="139"/>
        <v>1.105583195135434E-4</v>
      </c>
      <c r="K3396" s="5">
        <f t="shared" si="138"/>
        <v>0.37523493642898093</v>
      </c>
    </row>
    <row r="3397" spans="1:11" x14ac:dyDescent="0.25">
      <c r="A3397" t="s">
        <v>6159</v>
      </c>
      <c r="C3397" t="s">
        <v>1244</v>
      </c>
      <c r="D3397" t="s">
        <v>5</v>
      </c>
      <c r="E3397" t="s">
        <v>6</v>
      </c>
      <c r="F3397" t="s">
        <v>28</v>
      </c>
      <c r="G3397">
        <v>2</v>
      </c>
      <c r="H3397" s="2">
        <f>Tabelle13[[#This Row],[commits]]/Tabelle13[[#Totals],[commits]]</f>
        <v>9.2955808808492451E-6</v>
      </c>
      <c r="I3397" s="5">
        <f>Tabelle13[[#This Row],[%]]+I3396</f>
        <v>0.97101173102307947</v>
      </c>
      <c r="J3397" s="4">
        <f t="shared" si="139"/>
        <v>1.105583195135434E-4</v>
      </c>
      <c r="K3397" s="5">
        <f t="shared" si="138"/>
        <v>0.37534549474849449</v>
      </c>
    </row>
    <row r="3398" spans="1:11" x14ac:dyDescent="0.25">
      <c r="A3398" t="s">
        <v>6160</v>
      </c>
      <c r="C3398" t="s">
        <v>6161</v>
      </c>
      <c r="D3398" t="s">
        <v>5</v>
      </c>
      <c r="E3398" t="s">
        <v>6</v>
      </c>
      <c r="F3398" t="s">
        <v>28</v>
      </c>
      <c r="G3398">
        <v>2</v>
      </c>
      <c r="H3398" s="2">
        <f>Tabelle13[[#This Row],[commits]]/Tabelle13[[#Totals],[commits]]</f>
        <v>9.2955808808492451E-6</v>
      </c>
      <c r="I3398" s="5">
        <f>Tabelle13[[#This Row],[%]]+I3397</f>
        <v>0.97102102660396028</v>
      </c>
      <c r="J3398" s="4">
        <f t="shared" si="139"/>
        <v>1.105583195135434E-4</v>
      </c>
      <c r="K3398" s="5">
        <f t="shared" ref="K3398:K3461" si="140">J3398+K3397</f>
        <v>0.37545605306800806</v>
      </c>
    </row>
    <row r="3399" spans="1:11" x14ac:dyDescent="0.25">
      <c r="A3399" t="s">
        <v>6162</v>
      </c>
      <c r="C3399" t="s">
        <v>6163</v>
      </c>
      <c r="D3399" t="s">
        <v>5</v>
      </c>
      <c r="E3399" t="s">
        <v>6</v>
      </c>
      <c r="F3399" t="s">
        <v>28</v>
      </c>
      <c r="G3399">
        <v>2</v>
      </c>
      <c r="H3399" s="2">
        <f>Tabelle13[[#This Row],[commits]]/Tabelle13[[#Totals],[commits]]</f>
        <v>9.2955808808492451E-6</v>
      </c>
      <c r="I3399" s="5">
        <f>Tabelle13[[#This Row],[%]]+I3398</f>
        <v>0.97103032218484109</v>
      </c>
      <c r="J3399" s="4">
        <f t="shared" si="139"/>
        <v>1.105583195135434E-4</v>
      </c>
      <c r="K3399" s="5">
        <f t="shared" si="140"/>
        <v>0.37556661138752162</v>
      </c>
    </row>
    <row r="3400" spans="1:11" x14ac:dyDescent="0.25">
      <c r="A3400" t="s">
        <v>6164</v>
      </c>
      <c r="C3400" t="s">
        <v>6165</v>
      </c>
      <c r="D3400" t="s">
        <v>5</v>
      </c>
      <c r="E3400" t="s">
        <v>6</v>
      </c>
      <c r="F3400" t="s">
        <v>28</v>
      </c>
      <c r="G3400">
        <v>2</v>
      </c>
      <c r="H3400" s="2">
        <f>Tabelle13[[#This Row],[commits]]/Tabelle13[[#Totals],[commits]]</f>
        <v>9.2955808808492451E-6</v>
      </c>
      <c r="I3400" s="5">
        <f>Tabelle13[[#This Row],[%]]+I3399</f>
        <v>0.9710396177657219</v>
      </c>
      <c r="J3400" s="4">
        <f t="shared" si="139"/>
        <v>1.105583195135434E-4</v>
      </c>
      <c r="K3400" s="5">
        <f t="shared" si="140"/>
        <v>0.37567716970703519</v>
      </c>
    </row>
    <row r="3401" spans="1:11" x14ac:dyDescent="0.25">
      <c r="A3401" t="s">
        <v>6166</v>
      </c>
      <c r="C3401" t="s">
        <v>6167</v>
      </c>
      <c r="D3401" t="s">
        <v>5</v>
      </c>
      <c r="E3401" t="s">
        <v>6</v>
      </c>
      <c r="F3401" t="s">
        <v>28</v>
      </c>
      <c r="G3401">
        <v>2</v>
      </c>
      <c r="H3401" s="2">
        <f>Tabelle13[[#This Row],[commits]]/Tabelle13[[#Totals],[commits]]</f>
        <v>9.2955808808492451E-6</v>
      </c>
      <c r="I3401" s="5">
        <f>Tabelle13[[#This Row],[%]]+I3400</f>
        <v>0.9710489133466027</v>
      </c>
      <c r="J3401" s="4">
        <f t="shared" si="139"/>
        <v>1.105583195135434E-4</v>
      </c>
      <c r="K3401" s="5">
        <f t="shared" si="140"/>
        <v>0.37578772802654875</v>
      </c>
    </row>
    <row r="3402" spans="1:11" x14ac:dyDescent="0.25">
      <c r="A3402" t="s">
        <v>6168</v>
      </c>
      <c r="C3402" t="s">
        <v>6169</v>
      </c>
      <c r="D3402" t="s">
        <v>5</v>
      </c>
      <c r="E3402" t="s">
        <v>6</v>
      </c>
      <c r="F3402" t="s">
        <v>28</v>
      </c>
      <c r="G3402">
        <v>2</v>
      </c>
      <c r="H3402" s="2">
        <f>Tabelle13[[#This Row],[commits]]/Tabelle13[[#Totals],[commits]]</f>
        <v>9.2955808808492451E-6</v>
      </c>
      <c r="I3402" s="5">
        <f>Tabelle13[[#This Row],[%]]+I3401</f>
        <v>0.97105820892748351</v>
      </c>
      <c r="J3402" s="4">
        <f t="shared" si="139"/>
        <v>1.105583195135434E-4</v>
      </c>
      <c r="K3402" s="5">
        <f t="shared" si="140"/>
        <v>0.37589828634606232</v>
      </c>
    </row>
    <row r="3403" spans="1:11" x14ac:dyDescent="0.25">
      <c r="A3403" t="s">
        <v>6170</v>
      </c>
      <c r="C3403" t="s">
        <v>6171</v>
      </c>
      <c r="D3403" t="s">
        <v>5</v>
      </c>
      <c r="E3403" t="s">
        <v>6</v>
      </c>
      <c r="F3403" t="s">
        <v>28</v>
      </c>
      <c r="G3403">
        <v>2</v>
      </c>
      <c r="H3403" s="2">
        <f>Tabelle13[[#This Row],[commits]]/Tabelle13[[#Totals],[commits]]</f>
        <v>9.2955808808492451E-6</v>
      </c>
      <c r="I3403" s="5">
        <f>Tabelle13[[#This Row],[%]]+I3402</f>
        <v>0.97106750450836432</v>
      </c>
      <c r="J3403" s="4">
        <f t="shared" si="139"/>
        <v>1.105583195135434E-4</v>
      </c>
      <c r="K3403" s="5">
        <f t="shared" si="140"/>
        <v>0.37600884466557588</v>
      </c>
    </row>
    <row r="3404" spans="1:11" x14ac:dyDescent="0.25">
      <c r="A3404" t="s">
        <v>6172</v>
      </c>
      <c r="C3404" t="s">
        <v>6173</v>
      </c>
      <c r="D3404" t="s">
        <v>5</v>
      </c>
      <c r="E3404" t="s">
        <v>6</v>
      </c>
      <c r="F3404" t="s">
        <v>28</v>
      </c>
      <c r="G3404">
        <v>2</v>
      </c>
      <c r="H3404" s="2">
        <f>Tabelle13[[#This Row],[commits]]/Tabelle13[[#Totals],[commits]]</f>
        <v>9.2955808808492451E-6</v>
      </c>
      <c r="I3404" s="5">
        <f>Tabelle13[[#This Row],[%]]+I3403</f>
        <v>0.97107680008924513</v>
      </c>
      <c r="J3404" s="4">
        <f t="shared" si="139"/>
        <v>1.105583195135434E-4</v>
      </c>
      <c r="K3404" s="5">
        <f t="shared" si="140"/>
        <v>0.37611940298508945</v>
      </c>
    </row>
    <row r="3405" spans="1:11" x14ac:dyDescent="0.25">
      <c r="A3405" t="s">
        <v>6174</v>
      </c>
      <c r="C3405" t="s">
        <v>6175</v>
      </c>
      <c r="D3405" t="s">
        <v>5</v>
      </c>
      <c r="E3405" t="s">
        <v>6</v>
      </c>
      <c r="F3405" t="s">
        <v>28</v>
      </c>
      <c r="G3405">
        <v>2</v>
      </c>
      <c r="H3405" s="2">
        <f>Tabelle13[[#This Row],[commits]]/Tabelle13[[#Totals],[commits]]</f>
        <v>9.2955808808492451E-6</v>
      </c>
      <c r="I3405" s="5">
        <f>Tabelle13[[#This Row],[%]]+I3404</f>
        <v>0.97108609567012594</v>
      </c>
      <c r="J3405" s="4">
        <f t="shared" si="139"/>
        <v>1.105583195135434E-4</v>
      </c>
      <c r="K3405" s="5">
        <f t="shared" si="140"/>
        <v>0.37622996130460301</v>
      </c>
    </row>
    <row r="3406" spans="1:11" x14ac:dyDescent="0.25">
      <c r="A3406" t="s">
        <v>6176</v>
      </c>
      <c r="C3406" t="s">
        <v>6177</v>
      </c>
      <c r="D3406" t="s">
        <v>5</v>
      </c>
      <c r="E3406" t="s">
        <v>6</v>
      </c>
      <c r="F3406" t="s">
        <v>28</v>
      </c>
      <c r="G3406">
        <v>2</v>
      </c>
      <c r="H3406" s="2">
        <f>Tabelle13[[#This Row],[commits]]/Tabelle13[[#Totals],[commits]]</f>
        <v>9.2955808808492451E-6</v>
      </c>
      <c r="I3406" s="5">
        <f>Tabelle13[[#This Row],[%]]+I3405</f>
        <v>0.97109539125100675</v>
      </c>
      <c r="J3406" s="4">
        <f t="shared" si="139"/>
        <v>1.105583195135434E-4</v>
      </c>
      <c r="K3406" s="5">
        <f t="shared" si="140"/>
        <v>0.37634051962411658</v>
      </c>
    </row>
    <row r="3407" spans="1:11" x14ac:dyDescent="0.25">
      <c r="A3407" t="s">
        <v>6178</v>
      </c>
      <c r="C3407" t="s">
        <v>6179</v>
      </c>
      <c r="D3407" t="s">
        <v>5</v>
      </c>
      <c r="E3407" t="s">
        <v>6</v>
      </c>
      <c r="F3407" t="s">
        <v>28</v>
      </c>
      <c r="G3407">
        <v>2</v>
      </c>
      <c r="H3407" s="2">
        <f>Tabelle13[[#This Row],[commits]]/Tabelle13[[#Totals],[commits]]</f>
        <v>9.2955808808492451E-6</v>
      </c>
      <c r="I3407" s="5">
        <f>Tabelle13[[#This Row],[%]]+I3406</f>
        <v>0.97110468683188755</v>
      </c>
      <c r="J3407" s="4">
        <f t="shared" si="139"/>
        <v>1.105583195135434E-4</v>
      </c>
      <c r="K3407" s="5">
        <f t="shared" si="140"/>
        <v>0.37645107794363014</v>
      </c>
    </row>
    <row r="3408" spans="1:11" x14ac:dyDescent="0.25">
      <c r="A3408" t="s">
        <v>6180</v>
      </c>
      <c r="C3408" t="s">
        <v>6181</v>
      </c>
      <c r="D3408" t="s">
        <v>5</v>
      </c>
      <c r="E3408" t="s">
        <v>6</v>
      </c>
      <c r="F3408" t="s">
        <v>28</v>
      </c>
      <c r="G3408">
        <v>2</v>
      </c>
      <c r="H3408" s="2">
        <f>Tabelle13[[#This Row],[commits]]/Tabelle13[[#Totals],[commits]]</f>
        <v>9.2955808808492451E-6</v>
      </c>
      <c r="I3408" s="5">
        <f>Tabelle13[[#This Row],[%]]+I3407</f>
        <v>0.97111398241276836</v>
      </c>
      <c r="J3408" s="4">
        <f t="shared" si="139"/>
        <v>1.105583195135434E-4</v>
      </c>
      <c r="K3408" s="5">
        <f t="shared" si="140"/>
        <v>0.37656163626314371</v>
      </c>
    </row>
    <row r="3409" spans="1:11" x14ac:dyDescent="0.25">
      <c r="A3409" t="s">
        <v>6182</v>
      </c>
      <c r="C3409" t="s">
        <v>6183</v>
      </c>
      <c r="D3409" t="s">
        <v>5</v>
      </c>
      <c r="E3409" t="s">
        <v>6</v>
      </c>
      <c r="F3409" t="s">
        <v>28</v>
      </c>
      <c r="G3409">
        <v>2</v>
      </c>
      <c r="H3409" s="2">
        <f>Tabelle13[[#This Row],[commits]]/Tabelle13[[#Totals],[commits]]</f>
        <v>9.2955808808492451E-6</v>
      </c>
      <c r="I3409" s="5">
        <f>Tabelle13[[#This Row],[%]]+I3408</f>
        <v>0.97112327799364917</v>
      </c>
      <c r="J3409" s="4">
        <f t="shared" si="139"/>
        <v>1.105583195135434E-4</v>
      </c>
      <c r="K3409" s="5">
        <f t="shared" si="140"/>
        <v>0.37667219458265727</v>
      </c>
    </row>
    <row r="3410" spans="1:11" x14ac:dyDescent="0.25">
      <c r="A3410" t="s">
        <v>6184</v>
      </c>
      <c r="C3410" t="s">
        <v>6185</v>
      </c>
      <c r="D3410" t="s">
        <v>4461</v>
      </c>
      <c r="E3410" t="s">
        <v>6</v>
      </c>
      <c r="F3410" t="s">
        <v>28</v>
      </c>
      <c r="G3410">
        <v>2</v>
      </c>
      <c r="H3410" s="2">
        <f>Tabelle13[[#This Row],[commits]]/Tabelle13[[#Totals],[commits]]</f>
        <v>9.2955808808492451E-6</v>
      </c>
      <c r="I3410" s="5">
        <f>Tabelle13[[#This Row],[%]]+I3409</f>
        <v>0.97113257357452998</v>
      </c>
      <c r="J3410" s="4">
        <f t="shared" si="139"/>
        <v>1.105583195135434E-4</v>
      </c>
      <c r="K3410" s="5">
        <f t="shared" si="140"/>
        <v>0.37678275290217084</v>
      </c>
    </row>
    <row r="3411" spans="1:11" x14ac:dyDescent="0.25">
      <c r="A3411" t="s">
        <v>6186</v>
      </c>
      <c r="C3411" t="s">
        <v>6187</v>
      </c>
      <c r="D3411" t="s">
        <v>5</v>
      </c>
      <c r="E3411" t="s">
        <v>6</v>
      </c>
      <c r="F3411" t="s">
        <v>28</v>
      </c>
      <c r="G3411">
        <v>2</v>
      </c>
      <c r="H3411" s="2">
        <f>Tabelle13[[#This Row],[commits]]/Tabelle13[[#Totals],[commits]]</f>
        <v>9.2955808808492451E-6</v>
      </c>
      <c r="I3411" s="5">
        <f>Tabelle13[[#This Row],[%]]+I3410</f>
        <v>0.97114186915541079</v>
      </c>
      <c r="J3411" s="4">
        <f t="shared" si="139"/>
        <v>1.105583195135434E-4</v>
      </c>
      <c r="K3411" s="5">
        <f t="shared" si="140"/>
        <v>0.3768933112216844</v>
      </c>
    </row>
    <row r="3412" spans="1:11" x14ac:dyDescent="0.25">
      <c r="A3412" t="s">
        <v>6188</v>
      </c>
      <c r="C3412" t="s">
        <v>6189</v>
      </c>
      <c r="D3412" t="s">
        <v>5</v>
      </c>
      <c r="E3412" t="s">
        <v>6</v>
      </c>
      <c r="F3412" t="s">
        <v>28</v>
      </c>
      <c r="G3412">
        <v>2</v>
      </c>
      <c r="H3412" s="2">
        <f>Tabelle13[[#This Row],[commits]]/Tabelle13[[#Totals],[commits]]</f>
        <v>9.2955808808492451E-6</v>
      </c>
      <c r="I3412" s="5">
        <f>Tabelle13[[#This Row],[%]]+I3411</f>
        <v>0.97115116473629159</v>
      </c>
      <c r="J3412" s="4">
        <f t="shared" si="139"/>
        <v>1.105583195135434E-4</v>
      </c>
      <c r="K3412" s="5">
        <f t="shared" si="140"/>
        <v>0.37700386954119797</v>
      </c>
    </row>
    <row r="3413" spans="1:11" x14ac:dyDescent="0.25">
      <c r="A3413" t="s">
        <v>7235</v>
      </c>
      <c r="C3413" t="s">
        <v>7236</v>
      </c>
      <c r="D3413" t="s">
        <v>5</v>
      </c>
      <c r="E3413" t="s">
        <v>6</v>
      </c>
      <c r="F3413" t="s">
        <v>251</v>
      </c>
      <c r="G3413">
        <v>2</v>
      </c>
      <c r="H3413" s="2">
        <f>Tabelle13[[#This Row],[commits]]/Tabelle13[[#Totals],[commits]]</f>
        <v>9.2955808808492451E-6</v>
      </c>
      <c r="I3413" s="5">
        <f>Tabelle13[[#This Row],[%]]+I3412</f>
        <v>0.9711604603171724</v>
      </c>
      <c r="J3413" s="4">
        <f t="shared" si="139"/>
        <v>1.105583195135434E-4</v>
      </c>
      <c r="K3413" s="5">
        <f t="shared" si="140"/>
        <v>0.37711442786071153</v>
      </c>
    </row>
    <row r="3414" spans="1:11" x14ac:dyDescent="0.25">
      <c r="A3414" t="s">
        <v>7499</v>
      </c>
      <c r="C3414" t="s">
        <v>7500</v>
      </c>
      <c r="D3414" t="s">
        <v>5</v>
      </c>
      <c r="E3414" t="s">
        <v>6</v>
      </c>
      <c r="F3414" t="s">
        <v>251</v>
      </c>
      <c r="G3414">
        <v>2</v>
      </c>
      <c r="H3414" s="2">
        <f>Tabelle13[[#This Row],[commits]]/Tabelle13[[#Totals],[commits]]</f>
        <v>9.2955808808492451E-6</v>
      </c>
      <c r="I3414" s="5">
        <f>Tabelle13[[#This Row],[%]]+I3413</f>
        <v>0.97116975589805321</v>
      </c>
      <c r="J3414" s="4">
        <f t="shared" si="139"/>
        <v>1.105583195135434E-4</v>
      </c>
      <c r="K3414" s="5">
        <f t="shared" si="140"/>
        <v>0.3772249861802251</v>
      </c>
    </row>
    <row r="3415" spans="1:11" x14ac:dyDescent="0.25">
      <c r="A3415" t="s">
        <v>12447</v>
      </c>
      <c r="C3415" t="s">
        <v>12448</v>
      </c>
      <c r="D3415" t="s">
        <v>309</v>
      </c>
      <c r="E3415" t="s">
        <v>6</v>
      </c>
      <c r="F3415" t="s">
        <v>251</v>
      </c>
      <c r="G3415">
        <v>2</v>
      </c>
      <c r="H3415" s="2">
        <f>Tabelle13[[#This Row],[commits]]/Tabelle13[[#Totals],[commits]]</f>
        <v>9.2955808808492451E-6</v>
      </c>
      <c r="I3415" s="5">
        <f>Tabelle13[[#This Row],[%]]+I3414</f>
        <v>0.97117905147893402</v>
      </c>
      <c r="J3415" s="4">
        <f t="shared" si="139"/>
        <v>1.105583195135434E-4</v>
      </c>
      <c r="K3415" s="5">
        <f t="shared" si="140"/>
        <v>0.37733554449973866</v>
      </c>
    </row>
    <row r="3416" spans="1:11" x14ac:dyDescent="0.25">
      <c r="A3416" t="s">
        <v>12449</v>
      </c>
      <c r="C3416" t="s">
        <v>12450</v>
      </c>
      <c r="D3416" t="s">
        <v>309</v>
      </c>
      <c r="E3416" t="s">
        <v>6</v>
      </c>
      <c r="F3416" t="s">
        <v>251</v>
      </c>
      <c r="G3416">
        <v>2</v>
      </c>
      <c r="H3416" s="2">
        <f>Tabelle13[[#This Row],[commits]]/Tabelle13[[#Totals],[commits]]</f>
        <v>9.2955808808492451E-6</v>
      </c>
      <c r="I3416" s="5">
        <f>Tabelle13[[#This Row],[%]]+I3415</f>
        <v>0.97118834705981483</v>
      </c>
      <c r="J3416" s="4">
        <f t="shared" si="139"/>
        <v>1.105583195135434E-4</v>
      </c>
      <c r="K3416" s="5">
        <f t="shared" si="140"/>
        <v>0.37744610281925223</v>
      </c>
    </row>
    <row r="3417" spans="1:11" x14ac:dyDescent="0.25">
      <c r="A3417" t="s">
        <v>12451</v>
      </c>
      <c r="C3417" t="s">
        <v>12452</v>
      </c>
      <c r="D3417" t="s">
        <v>309</v>
      </c>
      <c r="E3417" t="s">
        <v>6</v>
      </c>
      <c r="F3417" t="s">
        <v>251</v>
      </c>
      <c r="G3417">
        <v>2</v>
      </c>
      <c r="H3417" s="2">
        <f>Tabelle13[[#This Row],[commits]]/Tabelle13[[#Totals],[commits]]</f>
        <v>9.2955808808492451E-6</v>
      </c>
      <c r="I3417" s="5">
        <f>Tabelle13[[#This Row],[%]]+I3416</f>
        <v>0.97119764264069564</v>
      </c>
      <c r="J3417" s="4">
        <f t="shared" si="139"/>
        <v>1.105583195135434E-4</v>
      </c>
      <c r="K3417" s="5">
        <f t="shared" si="140"/>
        <v>0.37755666113876579</v>
      </c>
    </row>
    <row r="3418" spans="1:11" x14ac:dyDescent="0.25">
      <c r="A3418" t="s">
        <v>12453</v>
      </c>
      <c r="C3418" t="s">
        <v>12454</v>
      </c>
      <c r="D3418" t="s">
        <v>5</v>
      </c>
      <c r="E3418" t="s">
        <v>6</v>
      </c>
      <c r="F3418" t="s">
        <v>251</v>
      </c>
      <c r="G3418">
        <v>2</v>
      </c>
      <c r="H3418" s="2">
        <f>Tabelle13[[#This Row],[commits]]/Tabelle13[[#Totals],[commits]]</f>
        <v>9.2955808808492451E-6</v>
      </c>
      <c r="I3418" s="5">
        <f>Tabelle13[[#This Row],[%]]+I3417</f>
        <v>0.97120693822157644</v>
      </c>
      <c r="J3418" s="4">
        <f t="shared" si="139"/>
        <v>1.105583195135434E-4</v>
      </c>
      <c r="K3418" s="5">
        <f t="shared" si="140"/>
        <v>0.37766721945827936</v>
      </c>
    </row>
    <row r="3419" spans="1:11" x14ac:dyDescent="0.25">
      <c r="A3419" t="s">
        <v>12455</v>
      </c>
      <c r="C3419" t="s">
        <v>12456</v>
      </c>
      <c r="D3419" t="s">
        <v>309</v>
      </c>
      <c r="E3419" t="s">
        <v>6</v>
      </c>
      <c r="F3419" t="s">
        <v>251</v>
      </c>
      <c r="G3419">
        <v>2</v>
      </c>
      <c r="H3419" s="2">
        <f>Tabelle13[[#This Row],[commits]]/Tabelle13[[#Totals],[commits]]</f>
        <v>9.2955808808492451E-6</v>
      </c>
      <c r="I3419" s="5">
        <f>Tabelle13[[#This Row],[%]]+I3418</f>
        <v>0.97121623380245725</v>
      </c>
      <c r="J3419" s="4">
        <f t="shared" si="139"/>
        <v>1.105583195135434E-4</v>
      </c>
      <c r="K3419" s="5">
        <f t="shared" si="140"/>
        <v>0.37777777777779292</v>
      </c>
    </row>
    <row r="3420" spans="1:11" x14ac:dyDescent="0.25">
      <c r="A3420" t="s">
        <v>12457</v>
      </c>
      <c r="C3420" t="s">
        <v>12458</v>
      </c>
      <c r="D3420" t="s">
        <v>309</v>
      </c>
      <c r="E3420" t="s">
        <v>6</v>
      </c>
      <c r="F3420" t="s">
        <v>251</v>
      </c>
      <c r="G3420">
        <v>2</v>
      </c>
      <c r="H3420" s="2">
        <f>Tabelle13[[#This Row],[commits]]/Tabelle13[[#Totals],[commits]]</f>
        <v>9.2955808808492451E-6</v>
      </c>
      <c r="I3420" s="5">
        <f>Tabelle13[[#This Row],[%]]+I3419</f>
        <v>0.97122552938333806</v>
      </c>
      <c r="J3420" s="4">
        <f t="shared" si="139"/>
        <v>1.105583195135434E-4</v>
      </c>
      <c r="K3420" s="5">
        <f t="shared" si="140"/>
        <v>0.37788833609730649</v>
      </c>
    </row>
    <row r="3421" spans="1:11" x14ac:dyDescent="0.25">
      <c r="A3421" t="s">
        <v>12459</v>
      </c>
      <c r="C3421" t="s">
        <v>12460</v>
      </c>
      <c r="D3421" t="s">
        <v>309</v>
      </c>
      <c r="E3421" t="s">
        <v>6</v>
      </c>
      <c r="F3421" t="s">
        <v>251</v>
      </c>
      <c r="G3421">
        <v>2</v>
      </c>
      <c r="H3421" s="2">
        <f>Tabelle13[[#This Row],[commits]]/Tabelle13[[#Totals],[commits]]</f>
        <v>9.2955808808492451E-6</v>
      </c>
      <c r="I3421" s="5">
        <f>Tabelle13[[#This Row],[%]]+I3420</f>
        <v>0.97123482496421887</v>
      </c>
      <c r="J3421" s="4">
        <f t="shared" si="139"/>
        <v>1.105583195135434E-4</v>
      </c>
      <c r="K3421" s="5">
        <f t="shared" si="140"/>
        <v>0.37799889441682005</v>
      </c>
    </row>
    <row r="3422" spans="1:11" x14ac:dyDescent="0.25">
      <c r="A3422" t="s">
        <v>12461</v>
      </c>
      <c r="C3422" t="s">
        <v>12462</v>
      </c>
      <c r="D3422" t="s">
        <v>309</v>
      </c>
      <c r="E3422" t="s">
        <v>6</v>
      </c>
      <c r="F3422" t="s">
        <v>251</v>
      </c>
      <c r="G3422">
        <v>2</v>
      </c>
      <c r="H3422" s="2">
        <f>Tabelle13[[#This Row],[commits]]/Tabelle13[[#Totals],[commits]]</f>
        <v>9.2955808808492451E-6</v>
      </c>
      <c r="I3422" s="5">
        <f>Tabelle13[[#This Row],[%]]+I3421</f>
        <v>0.97124412054509968</v>
      </c>
      <c r="J3422" s="4">
        <f t="shared" si="139"/>
        <v>1.105583195135434E-4</v>
      </c>
      <c r="K3422" s="5">
        <f t="shared" si="140"/>
        <v>0.37810945273633362</v>
      </c>
    </row>
    <row r="3423" spans="1:11" x14ac:dyDescent="0.25">
      <c r="A3423" t="s">
        <v>12463</v>
      </c>
      <c r="C3423" t="s">
        <v>12464</v>
      </c>
      <c r="D3423" t="s">
        <v>8757</v>
      </c>
      <c r="E3423" t="s">
        <v>6</v>
      </c>
      <c r="F3423" t="s">
        <v>251</v>
      </c>
      <c r="G3423">
        <v>2</v>
      </c>
      <c r="H3423" s="2">
        <f>Tabelle13[[#This Row],[commits]]/Tabelle13[[#Totals],[commits]]</f>
        <v>9.2955808808492451E-6</v>
      </c>
      <c r="I3423" s="5">
        <f>Tabelle13[[#This Row],[%]]+I3422</f>
        <v>0.97125341612598048</v>
      </c>
      <c r="J3423" s="4">
        <f t="shared" si="139"/>
        <v>1.105583195135434E-4</v>
      </c>
      <c r="K3423" s="5">
        <f t="shared" si="140"/>
        <v>0.37822001105584718</v>
      </c>
    </row>
    <row r="3424" spans="1:11" x14ac:dyDescent="0.25">
      <c r="A3424" t="s">
        <v>12465</v>
      </c>
      <c r="C3424" t="s">
        <v>12466</v>
      </c>
      <c r="D3424" t="s">
        <v>5</v>
      </c>
      <c r="E3424" t="s">
        <v>6</v>
      </c>
      <c r="F3424" t="s">
        <v>251</v>
      </c>
      <c r="G3424">
        <v>2</v>
      </c>
      <c r="H3424" s="2">
        <f>Tabelle13[[#This Row],[commits]]/Tabelle13[[#Totals],[commits]]</f>
        <v>9.2955808808492451E-6</v>
      </c>
      <c r="I3424" s="5">
        <f>Tabelle13[[#This Row],[%]]+I3423</f>
        <v>0.97126271170686129</v>
      </c>
      <c r="J3424" s="4">
        <f t="shared" si="139"/>
        <v>1.105583195135434E-4</v>
      </c>
      <c r="K3424" s="5">
        <f t="shared" si="140"/>
        <v>0.37833056937536075</v>
      </c>
    </row>
    <row r="3425" spans="1:11" x14ac:dyDescent="0.25">
      <c r="A3425" t="s">
        <v>12467</v>
      </c>
      <c r="C3425" t="s">
        <v>12468</v>
      </c>
      <c r="D3425" t="s">
        <v>309</v>
      </c>
      <c r="E3425" t="s">
        <v>6</v>
      </c>
      <c r="F3425" t="s">
        <v>251</v>
      </c>
      <c r="G3425">
        <v>2</v>
      </c>
      <c r="H3425" s="2">
        <f>Tabelle13[[#This Row],[commits]]/Tabelle13[[#Totals],[commits]]</f>
        <v>9.2955808808492451E-6</v>
      </c>
      <c r="I3425" s="5">
        <f>Tabelle13[[#This Row],[%]]+I3424</f>
        <v>0.9712720072877421</v>
      </c>
      <c r="J3425" s="4">
        <f t="shared" si="139"/>
        <v>1.105583195135434E-4</v>
      </c>
      <c r="K3425" s="5">
        <f t="shared" si="140"/>
        <v>0.37844112769487431</v>
      </c>
    </row>
    <row r="3426" spans="1:11" x14ac:dyDescent="0.25">
      <c r="A3426" t="s">
        <v>12469</v>
      </c>
      <c r="C3426" t="s">
        <v>12470</v>
      </c>
      <c r="D3426" t="s">
        <v>5</v>
      </c>
      <c r="E3426" t="s">
        <v>6</v>
      </c>
      <c r="F3426" t="s">
        <v>251</v>
      </c>
      <c r="G3426">
        <v>2</v>
      </c>
      <c r="H3426" s="2">
        <f>Tabelle13[[#This Row],[commits]]/Tabelle13[[#Totals],[commits]]</f>
        <v>9.2955808808492451E-6</v>
      </c>
      <c r="I3426" s="5">
        <f>Tabelle13[[#This Row],[%]]+I3425</f>
        <v>0.97128130286862291</v>
      </c>
      <c r="J3426" s="4">
        <f t="shared" si="139"/>
        <v>1.105583195135434E-4</v>
      </c>
      <c r="K3426" s="5">
        <f t="shared" si="140"/>
        <v>0.37855168601438788</v>
      </c>
    </row>
    <row r="3427" spans="1:11" x14ac:dyDescent="0.25">
      <c r="A3427" t="s">
        <v>12471</v>
      </c>
      <c r="C3427" t="s">
        <v>12472</v>
      </c>
      <c r="D3427" t="s">
        <v>12473</v>
      </c>
      <c r="E3427" t="s">
        <v>6</v>
      </c>
      <c r="F3427" t="s">
        <v>251</v>
      </c>
      <c r="G3427">
        <v>2</v>
      </c>
      <c r="H3427" s="2">
        <f>Tabelle13[[#This Row],[commits]]/Tabelle13[[#Totals],[commits]]</f>
        <v>9.2955808808492451E-6</v>
      </c>
      <c r="I3427" s="5">
        <f>Tabelle13[[#This Row],[%]]+I3426</f>
        <v>0.97129059844950372</v>
      </c>
      <c r="J3427" s="4">
        <f t="shared" si="139"/>
        <v>1.105583195135434E-4</v>
      </c>
      <c r="K3427" s="5">
        <f t="shared" si="140"/>
        <v>0.37866224433390144</v>
      </c>
    </row>
    <row r="3428" spans="1:11" x14ac:dyDescent="0.25">
      <c r="A3428" t="s">
        <v>12474</v>
      </c>
      <c r="C3428" t="s">
        <v>12475</v>
      </c>
      <c r="D3428" t="s">
        <v>5</v>
      </c>
      <c r="E3428" t="s">
        <v>6</v>
      </c>
      <c r="F3428" t="s">
        <v>251</v>
      </c>
      <c r="G3428">
        <v>2</v>
      </c>
      <c r="H3428" s="2">
        <f>Tabelle13[[#This Row],[commits]]/Tabelle13[[#Totals],[commits]]</f>
        <v>9.2955808808492451E-6</v>
      </c>
      <c r="I3428" s="5">
        <f>Tabelle13[[#This Row],[%]]+I3427</f>
        <v>0.97129989403038453</v>
      </c>
      <c r="J3428" s="4">
        <f t="shared" si="139"/>
        <v>1.105583195135434E-4</v>
      </c>
      <c r="K3428" s="5">
        <f t="shared" si="140"/>
        <v>0.37877280265341501</v>
      </c>
    </row>
    <row r="3429" spans="1:11" x14ac:dyDescent="0.25">
      <c r="A3429" t="s">
        <v>12476</v>
      </c>
      <c r="C3429" t="s">
        <v>12477</v>
      </c>
      <c r="D3429" t="s">
        <v>309</v>
      </c>
      <c r="E3429" t="s">
        <v>6</v>
      </c>
      <c r="F3429" t="s">
        <v>251</v>
      </c>
      <c r="G3429">
        <v>2</v>
      </c>
      <c r="H3429" s="2">
        <f>Tabelle13[[#This Row],[commits]]/Tabelle13[[#Totals],[commits]]</f>
        <v>9.2955808808492451E-6</v>
      </c>
      <c r="I3429" s="5">
        <f>Tabelle13[[#This Row],[%]]+I3428</f>
        <v>0.97130918961126533</v>
      </c>
      <c r="J3429" s="4">
        <f t="shared" si="139"/>
        <v>1.105583195135434E-4</v>
      </c>
      <c r="K3429" s="5">
        <f t="shared" si="140"/>
        <v>0.37888336097292857</v>
      </c>
    </row>
    <row r="3430" spans="1:11" x14ac:dyDescent="0.25">
      <c r="A3430" t="s">
        <v>12478</v>
      </c>
      <c r="C3430" t="s">
        <v>12479</v>
      </c>
      <c r="D3430" t="s">
        <v>9035</v>
      </c>
      <c r="E3430" t="s">
        <v>6</v>
      </c>
      <c r="F3430" t="s">
        <v>251</v>
      </c>
      <c r="G3430">
        <v>2</v>
      </c>
      <c r="H3430" s="2">
        <f>Tabelle13[[#This Row],[commits]]/Tabelle13[[#Totals],[commits]]</f>
        <v>9.2955808808492451E-6</v>
      </c>
      <c r="I3430" s="5">
        <f>Tabelle13[[#This Row],[%]]+I3429</f>
        <v>0.97131848519214614</v>
      </c>
      <c r="J3430" s="4">
        <f t="shared" si="139"/>
        <v>1.105583195135434E-4</v>
      </c>
      <c r="K3430" s="5">
        <f t="shared" si="140"/>
        <v>0.37899391929244214</v>
      </c>
    </row>
    <row r="3431" spans="1:11" x14ac:dyDescent="0.25">
      <c r="A3431" t="s">
        <v>12480</v>
      </c>
      <c r="C3431" t="s">
        <v>12481</v>
      </c>
      <c r="D3431" t="s">
        <v>8757</v>
      </c>
      <c r="E3431" t="s">
        <v>6</v>
      </c>
      <c r="F3431" t="s">
        <v>251</v>
      </c>
      <c r="G3431">
        <v>2</v>
      </c>
      <c r="H3431" s="2">
        <f>Tabelle13[[#This Row],[commits]]/Tabelle13[[#Totals],[commits]]</f>
        <v>9.2955808808492451E-6</v>
      </c>
      <c r="I3431" s="5">
        <f>Tabelle13[[#This Row],[%]]+I3430</f>
        <v>0.97132778077302695</v>
      </c>
      <c r="J3431" s="4">
        <f t="shared" si="139"/>
        <v>1.105583195135434E-4</v>
      </c>
      <c r="K3431" s="5">
        <f t="shared" si="140"/>
        <v>0.3791044776119557</v>
      </c>
    </row>
    <row r="3432" spans="1:11" x14ac:dyDescent="0.25">
      <c r="A3432" t="s">
        <v>12482</v>
      </c>
      <c r="C3432" t="s">
        <v>12483</v>
      </c>
      <c r="D3432" t="s">
        <v>5</v>
      </c>
      <c r="E3432" t="s">
        <v>6</v>
      </c>
      <c r="F3432" t="s">
        <v>251</v>
      </c>
      <c r="G3432">
        <v>2</v>
      </c>
      <c r="H3432" s="2">
        <f>Tabelle13[[#This Row],[commits]]/Tabelle13[[#Totals],[commits]]</f>
        <v>9.2955808808492451E-6</v>
      </c>
      <c r="I3432" s="5">
        <f>Tabelle13[[#This Row],[%]]+I3431</f>
        <v>0.97133707635390776</v>
      </c>
      <c r="J3432" s="4">
        <f t="shared" si="139"/>
        <v>1.105583195135434E-4</v>
      </c>
      <c r="K3432" s="5">
        <f t="shared" si="140"/>
        <v>0.37921503593146927</v>
      </c>
    </row>
    <row r="3433" spans="1:11" x14ac:dyDescent="0.25">
      <c r="A3433" t="s">
        <v>12484</v>
      </c>
      <c r="C3433" t="s">
        <v>12485</v>
      </c>
      <c r="D3433" t="s">
        <v>309</v>
      </c>
      <c r="E3433" t="s">
        <v>6</v>
      </c>
      <c r="F3433" t="s">
        <v>251</v>
      </c>
      <c r="G3433">
        <v>2</v>
      </c>
      <c r="H3433" s="2">
        <f>Tabelle13[[#This Row],[commits]]/Tabelle13[[#Totals],[commits]]</f>
        <v>9.2955808808492451E-6</v>
      </c>
      <c r="I3433" s="5">
        <f>Tabelle13[[#This Row],[%]]+I3432</f>
        <v>0.97134637193478857</v>
      </c>
      <c r="J3433" s="4">
        <f t="shared" si="139"/>
        <v>1.105583195135434E-4</v>
      </c>
      <c r="K3433" s="5">
        <f t="shared" si="140"/>
        <v>0.37932559425098283</v>
      </c>
    </row>
    <row r="3434" spans="1:11" x14ac:dyDescent="0.25">
      <c r="A3434" t="s">
        <v>12486</v>
      </c>
      <c r="C3434" t="s">
        <v>12487</v>
      </c>
      <c r="D3434" t="s">
        <v>5</v>
      </c>
      <c r="E3434" t="s">
        <v>6</v>
      </c>
      <c r="F3434" t="s">
        <v>251</v>
      </c>
      <c r="G3434">
        <v>2</v>
      </c>
      <c r="H3434" s="2">
        <f>Tabelle13[[#This Row],[commits]]/Tabelle13[[#Totals],[commits]]</f>
        <v>9.2955808808492451E-6</v>
      </c>
      <c r="I3434" s="5">
        <f>Tabelle13[[#This Row],[%]]+I3433</f>
        <v>0.97135566751566937</v>
      </c>
      <c r="J3434" s="4">
        <f t="shared" si="139"/>
        <v>1.105583195135434E-4</v>
      </c>
      <c r="K3434" s="5">
        <f t="shared" si="140"/>
        <v>0.3794361525704964</v>
      </c>
    </row>
    <row r="3435" spans="1:11" x14ac:dyDescent="0.25">
      <c r="A3435" t="s">
        <v>12488</v>
      </c>
      <c r="C3435" t="s">
        <v>12489</v>
      </c>
      <c r="D3435" t="s">
        <v>5</v>
      </c>
      <c r="E3435" t="s">
        <v>6</v>
      </c>
      <c r="F3435" t="s">
        <v>251</v>
      </c>
      <c r="G3435">
        <v>2</v>
      </c>
      <c r="H3435" s="2">
        <f>Tabelle13[[#This Row],[commits]]/Tabelle13[[#Totals],[commits]]</f>
        <v>9.2955808808492451E-6</v>
      </c>
      <c r="I3435" s="5">
        <f>Tabelle13[[#This Row],[%]]+I3434</f>
        <v>0.97136496309655018</v>
      </c>
      <c r="J3435" s="4">
        <f t="shared" si="139"/>
        <v>1.105583195135434E-4</v>
      </c>
      <c r="K3435" s="5">
        <f t="shared" si="140"/>
        <v>0.37954671089000996</v>
      </c>
    </row>
    <row r="3436" spans="1:11" x14ac:dyDescent="0.25">
      <c r="A3436" t="s">
        <v>12490</v>
      </c>
      <c r="C3436" t="s">
        <v>12491</v>
      </c>
      <c r="D3436" t="s">
        <v>309</v>
      </c>
      <c r="E3436" t="s">
        <v>6</v>
      </c>
      <c r="F3436" t="s">
        <v>251</v>
      </c>
      <c r="G3436">
        <v>2</v>
      </c>
      <c r="H3436" s="2">
        <f>Tabelle13[[#This Row],[commits]]/Tabelle13[[#Totals],[commits]]</f>
        <v>9.2955808808492451E-6</v>
      </c>
      <c r="I3436" s="5">
        <f>Tabelle13[[#This Row],[%]]+I3435</f>
        <v>0.97137425867743099</v>
      </c>
      <c r="J3436" s="4">
        <f t="shared" si="139"/>
        <v>1.105583195135434E-4</v>
      </c>
      <c r="K3436" s="5">
        <f t="shared" si="140"/>
        <v>0.37965726920952353</v>
      </c>
    </row>
    <row r="3437" spans="1:11" x14ac:dyDescent="0.25">
      <c r="A3437" t="s">
        <v>12492</v>
      </c>
      <c r="C3437" t="s">
        <v>12493</v>
      </c>
      <c r="D3437" t="s">
        <v>309</v>
      </c>
      <c r="E3437" t="s">
        <v>6</v>
      </c>
      <c r="F3437" t="s">
        <v>251</v>
      </c>
      <c r="G3437">
        <v>2</v>
      </c>
      <c r="H3437" s="2">
        <f>Tabelle13[[#This Row],[commits]]/Tabelle13[[#Totals],[commits]]</f>
        <v>9.2955808808492451E-6</v>
      </c>
      <c r="I3437" s="5">
        <f>Tabelle13[[#This Row],[%]]+I3436</f>
        <v>0.9713835542583118</v>
      </c>
      <c r="J3437" s="4">
        <f t="shared" si="139"/>
        <v>1.105583195135434E-4</v>
      </c>
      <c r="K3437" s="5">
        <f t="shared" si="140"/>
        <v>0.37976782752903709</v>
      </c>
    </row>
    <row r="3438" spans="1:11" x14ac:dyDescent="0.25">
      <c r="A3438" t="s">
        <v>12494</v>
      </c>
      <c r="C3438" t="s">
        <v>12495</v>
      </c>
      <c r="D3438" t="s">
        <v>11354</v>
      </c>
      <c r="E3438" t="s">
        <v>6</v>
      </c>
      <c r="F3438" t="s">
        <v>251</v>
      </c>
      <c r="G3438">
        <v>2</v>
      </c>
      <c r="H3438" s="2">
        <f>Tabelle13[[#This Row],[commits]]/Tabelle13[[#Totals],[commits]]</f>
        <v>9.2955808808492451E-6</v>
      </c>
      <c r="I3438" s="5">
        <f>Tabelle13[[#This Row],[%]]+I3437</f>
        <v>0.97139284983919261</v>
      </c>
      <c r="J3438" s="4">
        <f t="shared" si="139"/>
        <v>1.105583195135434E-4</v>
      </c>
      <c r="K3438" s="5">
        <f t="shared" si="140"/>
        <v>0.37987838584855066</v>
      </c>
    </row>
    <row r="3439" spans="1:11" x14ac:dyDescent="0.25">
      <c r="A3439" t="s">
        <v>12496</v>
      </c>
      <c r="C3439" t="s">
        <v>12497</v>
      </c>
      <c r="D3439" t="s">
        <v>309</v>
      </c>
      <c r="E3439" t="s">
        <v>6</v>
      </c>
      <c r="F3439" t="s">
        <v>251</v>
      </c>
      <c r="G3439">
        <v>2</v>
      </c>
      <c r="H3439" s="2">
        <f>Tabelle13[[#This Row],[commits]]/Tabelle13[[#Totals],[commits]]</f>
        <v>9.2955808808492451E-6</v>
      </c>
      <c r="I3439" s="5">
        <f>Tabelle13[[#This Row],[%]]+I3438</f>
        <v>0.97140214542007342</v>
      </c>
      <c r="J3439" s="4">
        <f t="shared" si="139"/>
        <v>1.105583195135434E-4</v>
      </c>
      <c r="K3439" s="5">
        <f t="shared" si="140"/>
        <v>0.37998894416806422</v>
      </c>
    </row>
    <row r="3440" spans="1:11" x14ac:dyDescent="0.25">
      <c r="A3440" t="s">
        <v>12498</v>
      </c>
      <c r="C3440" t="s">
        <v>12499</v>
      </c>
      <c r="D3440" t="s">
        <v>5</v>
      </c>
      <c r="E3440" t="s">
        <v>6</v>
      </c>
      <c r="F3440" t="s">
        <v>251</v>
      </c>
      <c r="G3440">
        <v>2</v>
      </c>
      <c r="H3440" s="2">
        <f>Tabelle13[[#This Row],[commits]]/Tabelle13[[#Totals],[commits]]</f>
        <v>9.2955808808492451E-6</v>
      </c>
      <c r="I3440" s="5">
        <f>Tabelle13[[#This Row],[%]]+I3439</f>
        <v>0.97141144100095422</v>
      </c>
      <c r="J3440" s="4">
        <f t="shared" si="139"/>
        <v>1.105583195135434E-4</v>
      </c>
      <c r="K3440" s="5">
        <f t="shared" si="140"/>
        <v>0.38009950248757779</v>
      </c>
    </row>
    <row r="3441" spans="1:11" x14ac:dyDescent="0.25">
      <c r="A3441" t="s">
        <v>12500</v>
      </c>
      <c r="C3441" t="s">
        <v>12501</v>
      </c>
      <c r="D3441" t="s">
        <v>12502</v>
      </c>
      <c r="E3441" t="s">
        <v>6</v>
      </c>
      <c r="F3441" t="s">
        <v>251</v>
      </c>
      <c r="G3441">
        <v>2</v>
      </c>
      <c r="H3441" s="2">
        <f>Tabelle13[[#This Row],[commits]]/Tabelle13[[#Totals],[commits]]</f>
        <v>9.2955808808492451E-6</v>
      </c>
      <c r="I3441" s="5">
        <f>Tabelle13[[#This Row],[%]]+I3440</f>
        <v>0.97142073658183503</v>
      </c>
      <c r="J3441" s="4">
        <f t="shared" si="139"/>
        <v>1.105583195135434E-4</v>
      </c>
      <c r="K3441" s="5">
        <f t="shared" si="140"/>
        <v>0.38021006080709135</v>
      </c>
    </row>
    <row r="3442" spans="1:11" x14ac:dyDescent="0.25">
      <c r="A3442" t="s">
        <v>12503</v>
      </c>
      <c r="C3442" t="s">
        <v>12504</v>
      </c>
      <c r="D3442" t="s">
        <v>5</v>
      </c>
      <c r="E3442" t="s">
        <v>6</v>
      </c>
      <c r="F3442" t="s">
        <v>251</v>
      </c>
      <c r="G3442">
        <v>2</v>
      </c>
      <c r="H3442" s="2">
        <f>Tabelle13[[#This Row],[commits]]/Tabelle13[[#Totals],[commits]]</f>
        <v>9.2955808808492451E-6</v>
      </c>
      <c r="I3442" s="5">
        <f>Tabelle13[[#This Row],[%]]+I3441</f>
        <v>0.97143003216271584</v>
      </c>
      <c r="J3442" s="4">
        <f t="shared" si="139"/>
        <v>1.105583195135434E-4</v>
      </c>
      <c r="K3442" s="5">
        <f t="shared" si="140"/>
        <v>0.38032061912660492</v>
      </c>
    </row>
    <row r="3443" spans="1:11" x14ac:dyDescent="0.25">
      <c r="A3443" t="s">
        <v>12505</v>
      </c>
      <c r="C3443" t="s">
        <v>12506</v>
      </c>
      <c r="D3443" t="s">
        <v>5</v>
      </c>
      <c r="E3443" t="s">
        <v>6</v>
      </c>
      <c r="F3443" t="s">
        <v>251</v>
      </c>
      <c r="G3443">
        <v>2</v>
      </c>
      <c r="H3443" s="2">
        <f>Tabelle13[[#This Row],[commits]]/Tabelle13[[#Totals],[commits]]</f>
        <v>9.2955808808492451E-6</v>
      </c>
      <c r="I3443" s="5">
        <f>Tabelle13[[#This Row],[%]]+I3442</f>
        <v>0.97143932774359665</v>
      </c>
      <c r="J3443" s="4">
        <f t="shared" si="139"/>
        <v>1.105583195135434E-4</v>
      </c>
      <c r="K3443" s="5">
        <f t="shared" si="140"/>
        <v>0.38043117744611848</v>
      </c>
    </row>
    <row r="3444" spans="1:11" x14ac:dyDescent="0.25">
      <c r="A3444" t="s">
        <v>12507</v>
      </c>
      <c r="C3444" t="s">
        <v>12508</v>
      </c>
      <c r="D3444" t="s">
        <v>309</v>
      </c>
      <c r="E3444" t="s">
        <v>6</v>
      </c>
      <c r="F3444" t="s">
        <v>251</v>
      </c>
      <c r="G3444">
        <v>2</v>
      </c>
      <c r="H3444" s="2">
        <f>Tabelle13[[#This Row],[commits]]/Tabelle13[[#Totals],[commits]]</f>
        <v>9.2955808808492451E-6</v>
      </c>
      <c r="I3444" s="5">
        <f>Tabelle13[[#This Row],[%]]+I3443</f>
        <v>0.97144862332447746</v>
      </c>
      <c r="J3444" s="4">
        <f t="shared" si="139"/>
        <v>1.105583195135434E-4</v>
      </c>
      <c r="K3444" s="5">
        <f t="shared" si="140"/>
        <v>0.38054173576563205</v>
      </c>
    </row>
    <row r="3445" spans="1:11" x14ac:dyDescent="0.25">
      <c r="A3445" t="s">
        <v>12509</v>
      </c>
      <c r="C3445" t="s">
        <v>12510</v>
      </c>
      <c r="D3445" t="s">
        <v>9035</v>
      </c>
      <c r="E3445" t="s">
        <v>6</v>
      </c>
      <c r="F3445" t="s">
        <v>251</v>
      </c>
      <c r="G3445">
        <v>2</v>
      </c>
      <c r="H3445" s="2">
        <f>Tabelle13[[#This Row],[commits]]/Tabelle13[[#Totals],[commits]]</f>
        <v>9.2955808808492451E-6</v>
      </c>
      <c r="I3445" s="5">
        <f>Tabelle13[[#This Row],[%]]+I3444</f>
        <v>0.97145791890535826</v>
      </c>
      <c r="J3445" s="4">
        <f t="shared" si="139"/>
        <v>1.105583195135434E-4</v>
      </c>
      <c r="K3445" s="5">
        <f t="shared" si="140"/>
        <v>0.38065229408514561</v>
      </c>
    </row>
    <row r="3446" spans="1:11" x14ac:dyDescent="0.25">
      <c r="A3446" t="s">
        <v>12511</v>
      </c>
      <c r="C3446" t="s">
        <v>12512</v>
      </c>
      <c r="D3446" t="s">
        <v>8757</v>
      </c>
      <c r="E3446" t="s">
        <v>6</v>
      </c>
      <c r="F3446" t="s">
        <v>251</v>
      </c>
      <c r="G3446">
        <v>2</v>
      </c>
      <c r="H3446" s="2">
        <f>Tabelle13[[#This Row],[commits]]/Tabelle13[[#Totals],[commits]]</f>
        <v>9.2955808808492451E-6</v>
      </c>
      <c r="I3446" s="5">
        <f>Tabelle13[[#This Row],[%]]+I3445</f>
        <v>0.97146721448623907</v>
      </c>
      <c r="J3446" s="4">
        <f t="shared" si="139"/>
        <v>1.105583195135434E-4</v>
      </c>
      <c r="K3446" s="5">
        <f t="shared" si="140"/>
        <v>0.38076285240465918</v>
      </c>
    </row>
    <row r="3447" spans="1:11" x14ac:dyDescent="0.25">
      <c r="A3447" t="s">
        <v>12513</v>
      </c>
      <c r="C3447" t="s">
        <v>12514</v>
      </c>
      <c r="D3447" t="s">
        <v>12515</v>
      </c>
      <c r="E3447" t="s">
        <v>6</v>
      </c>
      <c r="F3447" t="s">
        <v>251</v>
      </c>
      <c r="G3447">
        <v>2</v>
      </c>
      <c r="H3447" s="2">
        <f>Tabelle13[[#This Row],[commits]]/Tabelle13[[#Totals],[commits]]</f>
        <v>9.2955808808492451E-6</v>
      </c>
      <c r="I3447" s="5">
        <f>Tabelle13[[#This Row],[%]]+I3446</f>
        <v>0.97147651006711988</v>
      </c>
      <c r="J3447" s="4">
        <f t="shared" si="139"/>
        <v>1.105583195135434E-4</v>
      </c>
      <c r="K3447" s="5">
        <f t="shared" si="140"/>
        <v>0.38087341072417275</v>
      </c>
    </row>
    <row r="3448" spans="1:11" x14ac:dyDescent="0.25">
      <c r="A3448" t="s">
        <v>12516</v>
      </c>
      <c r="C3448" t="s">
        <v>12517</v>
      </c>
      <c r="D3448" t="s">
        <v>309</v>
      </c>
      <c r="E3448" t="s">
        <v>6</v>
      </c>
      <c r="F3448" t="s">
        <v>251</v>
      </c>
      <c r="G3448">
        <v>2</v>
      </c>
      <c r="H3448" s="2">
        <f>Tabelle13[[#This Row],[commits]]/Tabelle13[[#Totals],[commits]]</f>
        <v>9.2955808808492451E-6</v>
      </c>
      <c r="I3448" s="5">
        <f>Tabelle13[[#This Row],[%]]+I3447</f>
        <v>0.97148580564800069</v>
      </c>
      <c r="J3448" s="4">
        <f t="shared" si="139"/>
        <v>1.105583195135434E-4</v>
      </c>
      <c r="K3448" s="5">
        <f t="shared" si="140"/>
        <v>0.38098396904368631</v>
      </c>
    </row>
    <row r="3449" spans="1:11" x14ac:dyDescent="0.25">
      <c r="A3449" t="s">
        <v>12518</v>
      </c>
      <c r="C3449" t="s">
        <v>12519</v>
      </c>
      <c r="D3449" t="s">
        <v>9035</v>
      </c>
      <c r="E3449" t="s">
        <v>6</v>
      </c>
      <c r="F3449" t="s">
        <v>251</v>
      </c>
      <c r="G3449">
        <v>2</v>
      </c>
      <c r="H3449" s="2">
        <f>Tabelle13[[#This Row],[commits]]/Tabelle13[[#Totals],[commits]]</f>
        <v>9.2955808808492451E-6</v>
      </c>
      <c r="I3449" s="5">
        <f>Tabelle13[[#This Row],[%]]+I3448</f>
        <v>0.9714951012288815</v>
      </c>
      <c r="J3449" s="4">
        <f t="shared" si="139"/>
        <v>1.105583195135434E-4</v>
      </c>
      <c r="K3449" s="5">
        <f t="shared" si="140"/>
        <v>0.38109452736319988</v>
      </c>
    </row>
    <row r="3450" spans="1:11" x14ac:dyDescent="0.25">
      <c r="A3450" t="s">
        <v>12520</v>
      </c>
      <c r="C3450" t="s">
        <v>12521</v>
      </c>
      <c r="D3450" t="s">
        <v>309</v>
      </c>
      <c r="E3450" t="s">
        <v>6</v>
      </c>
      <c r="F3450" t="s">
        <v>251</v>
      </c>
      <c r="G3450">
        <v>2</v>
      </c>
      <c r="H3450" s="2">
        <f>Tabelle13[[#This Row],[commits]]/Tabelle13[[#Totals],[commits]]</f>
        <v>9.2955808808492451E-6</v>
      </c>
      <c r="I3450" s="5">
        <f>Tabelle13[[#This Row],[%]]+I3449</f>
        <v>0.97150439680976231</v>
      </c>
      <c r="J3450" s="4">
        <f t="shared" si="139"/>
        <v>1.105583195135434E-4</v>
      </c>
      <c r="K3450" s="5">
        <f t="shared" si="140"/>
        <v>0.38120508568271344</v>
      </c>
    </row>
    <row r="3451" spans="1:11" x14ac:dyDescent="0.25">
      <c r="A3451" t="s">
        <v>12522</v>
      </c>
      <c r="C3451" t="s">
        <v>12523</v>
      </c>
      <c r="D3451" t="s">
        <v>5</v>
      </c>
      <c r="E3451" t="s">
        <v>6</v>
      </c>
      <c r="F3451" t="s">
        <v>251</v>
      </c>
      <c r="G3451">
        <v>2</v>
      </c>
      <c r="H3451" s="2">
        <f>Tabelle13[[#This Row],[commits]]/Tabelle13[[#Totals],[commits]]</f>
        <v>9.2955808808492451E-6</v>
      </c>
      <c r="I3451" s="5">
        <f>Tabelle13[[#This Row],[%]]+I3450</f>
        <v>0.97151369239064311</v>
      </c>
      <c r="J3451" s="4">
        <f t="shared" si="139"/>
        <v>1.105583195135434E-4</v>
      </c>
      <c r="K3451" s="5">
        <f t="shared" si="140"/>
        <v>0.38131564400222701</v>
      </c>
    </row>
    <row r="3452" spans="1:11" x14ac:dyDescent="0.25">
      <c r="A3452" t="s">
        <v>12524</v>
      </c>
      <c r="C3452" t="s">
        <v>12525</v>
      </c>
      <c r="D3452" t="s">
        <v>5</v>
      </c>
      <c r="E3452" t="s">
        <v>6</v>
      </c>
      <c r="F3452" t="s">
        <v>251</v>
      </c>
      <c r="G3452">
        <v>2</v>
      </c>
      <c r="H3452" s="2">
        <f>Tabelle13[[#This Row],[commits]]/Tabelle13[[#Totals],[commits]]</f>
        <v>9.2955808808492451E-6</v>
      </c>
      <c r="I3452" s="5">
        <f>Tabelle13[[#This Row],[%]]+I3451</f>
        <v>0.97152298797152392</v>
      </c>
      <c r="J3452" s="4">
        <f t="shared" si="139"/>
        <v>1.105583195135434E-4</v>
      </c>
      <c r="K3452" s="5">
        <f t="shared" si="140"/>
        <v>0.38142620232174057</v>
      </c>
    </row>
    <row r="3453" spans="1:11" x14ac:dyDescent="0.25">
      <c r="A3453" t="s">
        <v>12526</v>
      </c>
      <c r="C3453" t="s">
        <v>12527</v>
      </c>
      <c r="D3453" t="s">
        <v>309</v>
      </c>
      <c r="E3453" t="s">
        <v>6</v>
      </c>
      <c r="F3453" t="s">
        <v>251</v>
      </c>
      <c r="G3453">
        <v>2</v>
      </c>
      <c r="H3453" s="2">
        <f>Tabelle13[[#This Row],[commits]]/Tabelle13[[#Totals],[commits]]</f>
        <v>9.2955808808492451E-6</v>
      </c>
      <c r="I3453" s="5">
        <f>Tabelle13[[#This Row],[%]]+I3452</f>
        <v>0.97153228355240473</v>
      </c>
      <c r="J3453" s="4">
        <f t="shared" si="139"/>
        <v>1.105583195135434E-4</v>
      </c>
      <c r="K3453" s="5">
        <f t="shared" si="140"/>
        <v>0.38153676064125414</v>
      </c>
    </row>
    <row r="3454" spans="1:11" x14ac:dyDescent="0.25">
      <c r="A3454" t="s">
        <v>12528</v>
      </c>
      <c r="C3454" t="s">
        <v>12529</v>
      </c>
      <c r="D3454" t="s">
        <v>309</v>
      </c>
      <c r="E3454" t="s">
        <v>6</v>
      </c>
      <c r="F3454" t="s">
        <v>251</v>
      </c>
      <c r="G3454">
        <v>2</v>
      </c>
      <c r="H3454" s="2">
        <f>Tabelle13[[#This Row],[commits]]/Tabelle13[[#Totals],[commits]]</f>
        <v>9.2955808808492451E-6</v>
      </c>
      <c r="I3454" s="5">
        <f>Tabelle13[[#This Row],[%]]+I3453</f>
        <v>0.97154157913328554</v>
      </c>
      <c r="J3454" s="4">
        <f t="shared" si="139"/>
        <v>1.105583195135434E-4</v>
      </c>
      <c r="K3454" s="5">
        <f t="shared" si="140"/>
        <v>0.3816473189607677</v>
      </c>
    </row>
    <row r="3455" spans="1:11" x14ac:dyDescent="0.25">
      <c r="A3455" t="s">
        <v>12530</v>
      </c>
      <c r="C3455" t="s">
        <v>12531</v>
      </c>
      <c r="D3455" t="s">
        <v>8948</v>
      </c>
      <c r="E3455" t="s">
        <v>6</v>
      </c>
      <c r="F3455" t="s">
        <v>251</v>
      </c>
      <c r="G3455">
        <v>2</v>
      </c>
      <c r="H3455" s="2">
        <f>Tabelle13[[#This Row],[commits]]/Tabelle13[[#Totals],[commits]]</f>
        <v>9.2955808808492451E-6</v>
      </c>
      <c r="I3455" s="5">
        <f>Tabelle13[[#This Row],[%]]+I3454</f>
        <v>0.97155087471416635</v>
      </c>
      <c r="J3455" s="4">
        <f t="shared" si="139"/>
        <v>1.105583195135434E-4</v>
      </c>
      <c r="K3455" s="5">
        <f t="shared" si="140"/>
        <v>0.38175787728028127</v>
      </c>
    </row>
    <row r="3456" spans="1:11" x14ac:dyDescent="0.25">
      <c r="A3456" t="s">
        <v>12532</v>
      </c>
      <c r="C3456" t="s">
        <v>12533</v>
      </c>
      <c r="D3456" t="s">
        <v>5</v>
      </c>
      <c r="E3456" t="s">
        <v>6</v>
      </c>
      <c r="F3456" t="s">
        <v>251</v>
      </c>
      <c r="G3456">
        <v>2</v>
      </c>
      <c r="H3456" s="2">
        <f>Tabelle13[[#This Row],[commits]]/Tabelle13[[#Totals],[commits]]</f>
        <v>9.2955808808492451E-6</v>
      </c>
      <c r="I3456" s="5">
        <f>Tabelle13[[#This Row],[%]]+I3455</f>
        <v>0.97156017029504715</v>
      </c>
      <c r="J3456" s="4">
        <f t="shared" si="139"/>
        <v>1.105583195135434E-4</v>
      </c>
      <c r="K3456" s="5">
        <f t="shared" si="140"/>
        <v>0.38186843559979483</v>
      </c>
    </row>
    <row r="3457" spans="1:11" x14ac:dyDescent="0.25">
      <c r="A3457" t="s">
        <v>12534</v>
      </c>
      <c r="C3457" t="s">
        <v>12535</v>
      </c>
      <c r="D3457" t="s">
        <v>5</v>
      </c>
      <c r="E3457" t="s">
        <v>6</v>
      </c>
      <c r="F3457" t="s">
        <v>251</v>
      </c>
      <c r="G3457">
        <v>2</v>
      </c>
      <c r="H3457" s="2">
        <f>Tabelle13[[#This Row],[commits]]/Tabelle13[[#Totals],[commits]]</f>
        <v>9.2955808808492451E-6</v>
      </c>
      <c r="I3457" s="5">
        <f>Tabelle13[[#This Row],[%]]+I3456</f>
        <v>0.97156946587592796</v>
      </c>
      <c r="J3457" s="4">
        <f t="shared" si="139"/>
        <v>1.105583195135434E-4</v>
      </c>
      <c r="K3457" s="5">
        <f t="shared" si="140"/>
        <v>0.3819789939193084</v>
      </c>
    </row>
    <row r="3458" spans="1:11" x14ac:dyDescent="0.25">
      <c r="A3458" t="s">
        <v>12536</v>
      </c>
      <c r="C3458" t="s">
        <v>12537</v>
      </c>
      <c r="D3458" t="s">
        <v>309</v>
      </c>
      <c r="E3458" t="s">
        <v>6</v>
      </c>
      <c r="F3458" t="s">
        <v>251</v>
      </c>
      <c r="G3458">
        <v>2</v>
      </c>
      <c r="H3458" s="2">
        <f>Tabelle13[[#This Row],[commits]]/Tabelle13[[#Totals],[commits]]</f>
        <v>9.2955808808492451E-6</v>
      </c>
      <c r="I3458" s="5">
        <f>Tabelle13[[#This Row],[%]]+I3457</f>
        <v>0.97157876145680877</v>
      </c>
      <c r="J3458" s="4">
        <f t="shared" si="139"/>
        <v>1.105583195135434E-4</v>
      </c>
      <c r="K3458" s="5">
        <f t="shared" si="140"/>
        <v>0.38208955223882196</v>
      </c>
    </row>
    <row r="3459" spans="1:11" x14ac:dyDescent="0.25">
      <c r="A3459" t="s">
        <v>12538</v>
      </c>
      <c r="C3459" t="s">
        <v>12539</v>
      </c>
      <c r="D3459" t="s">
        <v>12540</v>
      </c>
      <c r="E3459" t="s">
        <v>6</v>
      </c>
      <c r="F3459" t="s">
        <v>251</v>
      </c>
      <c r="G3459">
        <v>2</v>
      </c>
      <c r="H3459" s="2">
        <f>Tabelle13[[#This Row],[commits]]/Tabelle13[[#Totals],[commits]]</f>
        <v>9.2955808808492451E-6</v>
      </c>
      <c r="I3459" s="5">
        <f>Tabelle13[[#This Row],[%]]+I3458</f>
        <v>0.97158805703768958</v>
      </c>
      <c r="J3459" s="4">
        <f t="shared" ref="J3459:J3522" si="141">1/9045</f>
        <v>1.105583195135434E-4</v>
      </c>
      <c r="K3459" s="5">
        <f t="shared" si="140"/>
        <v>0.38220011055833553</v>
      </c>
    </row>
    <row r="3460" spans="1:11" x14ac:dyDescent="0.25">
      <c r="A3460" t="s">
        <v>12541</v>
      </c>
      <c r="C3460" t="s">
        <v>12542</v>
      </c>
      <c r="D3460" t="s">
        <v>5</v>
      </c>
      <c r="E3460" t="s">
        <v>6</v>
      </c>
      <c r="F3460" t="s">
        <v>251</v>
      </c>
      <c r="G3460">
        <v>2</v>
      </c>
      <c r="H3460" s="2">
        <f>Tabelle13[[#This Row],[commits]]/Tabelle13[[#Totals],[commits]]</f>
        <v>9.2955808808492451E-6</v>
      </c>
      <c r="I3460" s="5">
        <f>Tabelle13[[#This Row],[%]]+I3459</f>
        <v>0.97159735261857039</v>
      </c>
      <c r="J3460" s="4">
        <f t="shared" si="141"/>
        <v>1.105583195135434E-4</v>
      </c>
      <c r="K3460" s="5">
        <f t="shared" si="140"/>
        <v>0.38231066887784909</v>
      </c>
    </row>
    <row r="3461" spans="1:11" x14ac:dyDescent="0.25">
      <c r="A3461" t="s">
        <v>12543</v>
      </c>
      <c r="C3461" t="s">
        <v>12544</v>
      </c>
      <c r="D3461" t="s">
        <v>5</v>
      </c>
      <c r="E3461" t="s">
        <v>6</v>
      </c>
      <c r="F3461" t="s">
        <v>251</v>
      </c>
      <c r="G3461">
        <v>2</v>
      </c>
      <c r="H3461" s="2">
        <f>Tabelle13[[#This Row],[commits]]/Tabelle13[[#Totals],[commits]]</f>
        <v>9.2955808808492451E-6</v>
      </c>
      <c r="I3461" s="5">
        <f>Tabelle13[[#This Row],[%]]+I3460</f>
        <v>0.97160664819945119</v>
      </c>
      <c r="J3461" s="4">
        <f t="shared" si="141"/>
        <v>1.105583195135434E-4</v>
      </c>
      <c r="K3461" s="5">
        <f t="shared" si="140"/>
        <v>0.38242122719736266</v>
      </c>
    </row>
    <row r="3462" spans="1:11" x14ac:dyDescent="0.25">
      <c r="A3462" t="s">
        <v>12545</v>
      </c>
      <c r="C3462" t="s">
        <v>12546</v>
      </c>
      <c r="D3462" t="s">
        <v>5</v>
      </c>
      <c r="E3462" t="s">
        <v>6</v>
      </c>
      <c r="F3462" t="s">
        <v>251</v>
      </c>
      <c r="G3462">
        <v>2</v>
      </c>
      <c r="H3462" s="2">
        <f>Tabelle13[[#This Row],[commits]]/Tabelle13[[#Totals],[commits]]</f>
        <v>9.2955808808492451E-6</v>
      </c>
      <c r="I3462" s="5">
        <f>Tabelle13[[#This Row],[%]]+I3461</f>
        <v>0.971615943780332</v>
      </c>
      <c r="J3462" s="4">
        <f t="shared" si="141"/>
        <v>1.105583195135434E-4</v>
      </c>
      <c r="K3462" s="5">
        <f t="shared" ref="K3462:K3525" si="142">J3462+K3461</f>
        <v>0.38253178551687622</v>
      </c>
    </row>
    <row r="3463" spans="1:11" x14ac:dyDescent="0.25">
      <c r="A3463" t="s">
        <v>12547</v>
      </c>
      <c r="C3463" t="s">
        <v>12548</v>
      </c>
      <c r="D3463" t="s">
        <v>5</v>
      </c>
      <c r="E3463" t="s">
        <v>6</v>
      </c>
      <c r="F3463" t="s">
        <v>251</v>
      </c>
      <c r="G3463">
        <v>2</v>
      </c>
      <c r="H3463" s="2">
        <f>Tabelle13[[#This Row],[commits]]/Tabelle13[[#Totals],[commits]]</f>
        <v>9.2955808808492451E-6</v>
      </c>
      <c r="I3463" s="5">
        <f>Tabelle13[[#This Row],[%]]+I3462</f>
        <v>0.97162523936121281</v>
      </c>
      <c r="J3463" s="4">
        <f t="shared" si="141"/>
        <v>1.105583195135434E-4</v>
      </c>
      <c r="K3463" s="5">
        <f t="shared" si="142"/>
        <v>0.38264234383638979</v>
      </c>
    </row>
    <row r="3464" spans="1:11" x14ac:dyDescent="0.25">
      <c r="A3464" t="s">
        <v>12549</v>
      </c>
      <c r="C3464" t="s">
        <v>12550</v>
      </c>
      <c r="D3464" t="s">
        <v>5</v>
      </c>
      <c r="E3464" t="s">
        <v>6</v>
      </c>
      <c r="F3464" t="s">
        <v>251</v>
      </c>
      <c r="G3464">
        <v>2</v>
      </c>
      <c r="H3464" s="2">
        <f>Tabelle13[[#This Row],[commits]]/Tabelle13[[#Totals],[commits]]</f>
        <v>9.2955808808492451E-6</v>
      </c>
      <c r="I3464" s="5">
        <f>Tabelle13[[#This Row],[%]]+I3463</f>
        <v>0.97163453494209362</v>
      </c>
      <c r="J3464" s="4">
        <f t="shared" si="141"/>
        <v>1.105583195135434E-4</v>
      </c>
      <c r="K3464" s="5">
        <f t="shared" si="142"/>
        <v>0.38275290215590335</v>
      </c>
    </row>
    <row r="3465" spans="1:11" x14ac:dyDescent="0.25">
      <c r="A3465" t="s">
        <v>12551</v>
      </c>
      <c r="C3465" t="s">
        <v>12552</v>
      </c>
      <c r="D3465" t="s">
        <v>309</v>
      </c>
      <c r="E3465" t="s">
        <v>6</v>
      </c>
      <c r="F3465" t="s">
        <v>251</v>
      </c>
      <c r="G3465">
        <v>2</v>
      </c>
      <c r="H3465" s="2">
        <f>Tabelle13[[#This Row],[commits]]/Tabelle13[[#Totals],[commits]]</f>
        <v>9.2955808808492451E-6</v>
      </c>
      <c r="I3465" s="5">
        <f>Tabelle13[[#This Row],[%]]+I3464</f>
        <v>0.97164383052297443</v>
      </c>
      <c r="J3465" s="4">
        <f t="shared" si="141"/>
        <v>1.105583195135434E-4</v>
      </c>
      <c r="K3465" s="5">
        <f t="shared" si="142"/>
        <v>0.38286346047541692</v>
      </c>
    </row>
    <row r="3466" spans="1:11" x14ac:dyDescent="0.25">
      <c r="A3466" t="s">
        <v>12553</v>
      </c>
      <c r="C3466" t="s">
        <v>12554</v>
      </c>
      <c r="D3466" t="s">
        <v>8760</v>
      </c>
      <c r="E3466" t="s">
        <v>6</v>
      </c>
      <c r="F3466" t="s">
        <v>251</v>
      </c>
      <c r="G3466">
        <v>2</v>
      </c>
      <c r="H3466" s="2">
        <f>Tabelle13[[#This Row],[commits]]/Tabelle13[[#Totals],[commits]]</f>
        <v>9.2955808808492451E-6</v>
      </c>
      <c r="I3466" s="5">
        <f>Tabelle13[[#This Row],[%]]+I3465</f>
        <v>0.97165312610385524</v>
      </c>
      <c r="J3466" s="4">
        <f t="shared" si="141"/>
        <v>1.105583195135434E-4</v>
      </c>
      <c r="K3466" s="5">
        <f t="shared" si="142"/>
        <v>0.38297401879493048</v>
      </c>
    </row>
    <row r="3467" spans="1:11" x14ac:dyDescent="0.25">
      <c r="A3467" t="s">
        <v>12555</v>
      </c>
      <c r="C3467" t="s">
        <v>12556</v>
      </c>
      <c r="D3467" t="s">
        <v>5</v>
      </c>
      <c r="E3467" t="s">
        <v>6</v>
      </c>
      <c r="F3467" t="s">
        <v>251</v>
      </c>
      <c r="G3467">
        <v>2</v>
      </c>
      <c r="H3467" s="2">
        <f>Tabelle13[[#This Row],[commits]]/Tabelle13[[#Totals],[commits]]</f>
        <v>9.2955808808492451E-6</v>
      </c>
      <c r="I3467" s="5">
        <f>Tabelle13[[#This Row],[%]]+I3466</f>
        <v>0.97166242168473604</v>
      </c>
      <c r="J3467" s="4">
        <f t="shared" si="141"/>
        <v>1.105583195135434E-4</v>
      </c>
      <c r="K3467" s="5">
        <f t="shared" si="142"/>
        <v>0.38308457711444405</v>
      </c>
    </row>
    <row r="3468" spans="1:11" x14ac:dyDescent="0.25">
      <c r="A3468" t="s">
        <v>12557</v>
      </c>
      <c r="C3468" t="s">
        <v>12558</v>
      </c>
      <c r="D3468" t="s">
        <v>11319</v>
      </c>
      <c r="E3468" t="s">
        <v>6</v>
      </c>
      <c r="F3468" t="s">
        <v>251</v>
      </c>
      <c r="G3468">
        <v>2</v>
      </c>
      <c r="H3468" s="2">
        <f>Tabelle13[[#This Row],[commits]]/Tabelle13[[#Totals],[commits]]</f>
        <v>9.2955808808492451E-6</v>
      </c>
      <c r="I3468" s="5">
        <f>Tabelle13[[#This Row],[%]]+I3467</f>
        <v>0.97167171726561685</v>
      </c>
      <c r="J3468" s="4">
        <f t="shared" si="141"/>
        <v>1.105583195135434E-4</v>
      </c>
      <c r="K3468" s="5">
        <f t="shared" si="142"/>
        <v>0.38319513543395761</v>
      </c>
    </row>
    <row r="3469" spans="1:11" x14ac:dyDescent="0.25">
      <c r="A3469" t="s">
        <v>12559</v>
      </c>
      <c r="C3469" t="s">
        <v>12560</v>
      </c>
      <c r="D3469" t="s">
        <v>5</v>
      </c>
      <c r="E3469" t="s">
        <v>6</v>
      </c>
      <c r="F3469" t="s">
        <v>251</v>
      </c>
      <c r="G3469">
        <v>2</v>
      </c>
      <c r="H3469" s="2">
        <f>Tabelle13[[#This Row],[commits]]/Tabelle13[[#Totals],[commits]]</f>
        <v>9.2955808808492451E-6</v>
      </c>
      <c r="I3469" s="5">
        <f>Tabelle13[[#This Row],[%]]+I3468</f>
        <v>0.97168101284649766</v>
      </c>
      <c r="J3469" s="4">
        <f t="shared" si="141"/>
        <v>1.105583195135434E-4</v>
      </c>
      <c r="K3469" s="5">
        <f t="shared" si="142"/>
        <v>0.38330569375347118</v>
      </c>
    </row>
    <row r="3470" spans="1:11" x14ac:dyDescent="0.25">
      <c r="A3470" t="s">
        <v>12561</v>
      </c>
      <c r="C3470" t="s">
        <v>12562</v>
      </c>
      <c r="D3470" t="s">
        <v>309</v>
      </c>
      <c r="E3470" t="s">
        <v>6</v>
      </c>
      <c r="F3470" t="s">
        <v>251</v>
      </c>
      <c r="G3470">
        <v>2</v>
      </c>
      <c r="H3470" s="2">
        <f>Tabelle13[[#This Row],[commits]]/Tabelle13[[#Totals],[commits]]</f>
        <v>9.2955808808492451E-6</v>
      </c>
      <c r="I3470" s="5">
        <f>Tabelle13[[#This Row],[%]]+I3469</f>
        <v>0.97169030842737847</v>
      </c>
      <c r="J3470" s="4">
        <f t="shared" si="141"/>
        <v>1.105583195135434E-4</v>
      </c>
      <c r="K3470" s="5">
        <f t="shared" si="142"/>
        <v>0.38341625207298474</v>
      </c>
    </row>
    <row r="3471" spans="1:11" x14ac:dyDescent="0.25">
      <c r="A3471" t="s">
        <v>12563</v>
      </c>
      <c r="C3471" t="s">
        <v>12564</v>
      </c>
      <c r="D3471" t="s">
        <v>8760</v>
      </c>
      <c r="E3471" t="s">
        <v>6</v>
      </c>
      <c r="F3471" t="s">
        <v>251</v>
      </c>
      <c r="G3471">
        <v>2</v>
      </c>
      <c r="H3471" s="2">
        <f>Tabelle13[[#This Row],[commits]]/Tabelle13[[#Totals],[commits]]</f>
        <v>9.2955808808492451E-6</v>
      </c>
      <c r="I3471" s="5">
        <f>Tabelle13[[#This Row],[%]]+I3470</f>
        <v>0.97169960400825928</v>
      </c>
      <c r="J3471" s="4">
        <f t="shared" si="141"/>
        <v>1.105583195135434E-4</v>
      </c>
      <c r="K3471" s="5">
        <f t="shared" si="142"/>
        <v>0.38352681039249831</v>
      </c>
    </row>
    <row r="3472" spans="1:11" x14ac:dyDescent="0.25">
      <c r="A3472" t="s">
        <v>12565</v>
      </c>
      <c r="C3472" t="s">
        <v>12566</v>
      </c>
      <c r="D3472" t="s">
        <v>8948</v>
      </c>
      <c r="E3472" t="s">
        <v>6</v>
      </c>
      <c r="F3472" t="s">
        <v>251</v>
      </c>
      <c r="G3472">
        <v>2</v>
      </c>
      <c r="H3472" s="2">
        <f>Tabelle13[[#This Row],[commits]]/Tabelle13[[#Totals],[commits]]</f>
        <v>9.2955808808492451E-6</v>
      </c>
      <c r="I3472" s="5">
        <f>Tabelle13[[#This Row],[%]]+I3471</f>
        <v>0.97170889958914008</v>
      </c>
      <c r="J3472" s="4">
        <f t="shared" si="141"/>
        <v>1.105583195135434E-4</v>
      </c>
      <c r="K3472" s="5">
        <f t="shared" si="142"/>
        <v>0.38363736871201187</v>
      </c>
    </row>
    <row r="3473" spans="1:11" x14ac:dyDescent="0.25">
      <c r="A3473" t="s">
        <v>12567</v>
      </c>
      <c r="C3473" t="s">
        <v>12568</v>
      </c>
      <c r="D3473" t="s">
        <v>309</v>
      </c>
      <c r="E3473" t="s">
        <v>6</v>
      </c>
      <c r="F3473" t="s">
        <v>251</v>
      </c>
      <c r="G3473">
        <v>2</v>
      </c>
      <c r="H3473" s="2">
        <f>Tabelle13[[#This Row],[commits]]/Tabelle13[[#Totals],[commits]]</f>
        <v>9.2955808808492451E-6</v>
      </c>
      <c r="I3473" s="5">
        <f>Tabelle13[[#This Row],[%]]+I3472</f>
        <v>0.97171819517002089</v>
      </c>
      <c r="J3473" s="4">
        <f t="shared" si="141"/>
        <v>1.105583195135434E-4</v>
      </c>
      <c r="K3473" s="5">
        <f t="shared" si="142"/>
        <v>0.38374792703152544</v>
      </c>
    </row>
    <row r="3474" spans="1:11" x14ac:dyDescent="0.25">
      <c r="A3474" t="s">
        <v>12569</v>
      </c>
      <c r="C3474">
        <v>1039105206</v>
      </c>
      <c r="D3474" t="s">
        <v>5</v>
      </c>
      <c r="E3474" t="s">
        <v>6</v>
      </c>
      <c r="F3474" t="s">
        <v>251</v>
      </c>
      <c r="G3474">
        <v>2</v>
      </c>
      <c r="H3474" s="2">
        <f>Tabelle13[[#This Row],[commits]]/Tabelle13[[#Totals],[commits]]</f>
        <v>9.2955808808492451E-6</v>
      </c>
      <c r="I3474" s="5">
        <f>Tabelle13[[#This Row],[%]]+I3473</f>
        <v>0.9717274907509017</v>
      </c>
      <c r="J3474" s="4">
        <f t="shared" si="141"/>
        <v>1.105583195135434E-4</v>
      </c>
      <c r="K3474" s="5">
        <f t="shared" si="142"/>
        <v>0.383858485351039</v>
      </c>
    </row>
    <row r="3475" spans="1:11" x14ac:dyDescent="0.25">
      <c r="A3475" t="s">
        <v>12570</v>
      </c>
      <c r="C3475" t="s">
        <v>12571</v>
      </c>
      <c r="D3475" t="s">
        <v>5</v>
      </c>
      <c r="E3475" t="s">
        <v>6</v>
      </c>
      <c r="F3475" t="s">
        <v>251</v>
      </c>
      <c r="G3475">
        <v>2</v>
      </c>
      <c r="H3475" s="2">
        <f>Tabelle13[[#This Row],[commits]]/Tabelle13[[#Totals],[commits]]</f>
        <v>9.2955808808492451E-6</v>
      </c>
      <c r="I3475" s="5">
        <f>Tabelle13[[#This Row],[%]]+I3474</f>
        <v>0.97173678633178251</v>
      </c>
      <c r="J3475" s="4">
        <f t="shared" si="141"/>
        <v>1.105583195135434E-4</v>
      </c>
      <c r="K3475" s="5">
        <f t="shared" si="142"/>
        <v>0.38396904367055257</v>
      </c>
    </row>
    <row r="3476" spans="1:11" x14ac:dyDescent="0.25">
      <c r="A3476" t="s">
        <v>12572</v>
      </c>
      <c r="C3476" t="s">
        <v>12573</v>
      </c>
      <c r="D3476" t="s">
        <v>5</v>
      </c>
      <c r="E3476" t="s">
        <v>6</v>
      </c>
      <c r="F3476" t="s">
        <v>251</v>
      </c>
      <c r="G3476">
        <v>2</v>
      </c>
      <c r="H3476" s="2">
        <f>Tabelle13[[#This Row],[commits]]/Tabelle13[[#Totals],[commits]]</f>
        <v>9.2955808808492451E-6</v>
      </c>
      <c r="I3476" s="5">
        <f>Tabelle13[[#This Row],[%]]+I3475</f>
        <v>0.97174608191266332</v>
      </c>
      <c r="J3476" s="4">
        <f t="shared" si="141"/>
        <v>1.105583195135434E-4</v>
      </c>
      <c r="K3476" s="5">
        <f t="shared" si="142"/>
        <v>0.38407960199006613</v>
      </c>
    </row>
    <row r="3477" spans="1:11" x14ac:dyDescent="0.25">
      <c r="A3477" t="s">
        <v>12574</v>
      </c>
      <c r="C3477" t="s">
        <v>12575</v>
      </c>
      <c r="D3477" t="s">
        <v>5</v>
      </c>
      <c r="E3477" t="s">
        <v>6</v>
      </c>
      <c r="F3477" t="s">
        <v>251</v>
      </c>
      <c r="G3477">
        <v>2</v>
      </c>
      <c r="H3477" s="2">
        <f>Tabelle13[[#This Row],[commits]]/Tabelle13[[#Totals],[commits]]</f>
        <v>9.2955808808492451E-6</v>
      </c>
      <c r="I3477" s="5">
        <f>Tabelle13[[#This Row],[%]]+I3476</f>
        <v>0.97175537749354413</v>
      </c>
      <c r="J3477" s="4">
        <f t="shared" si="141"/>
        <v>1.105583195135434E-4</v>
      </c>
      <c r="K3477" s="5">
        <f t="shared" si="142"/>
        <v>0.3841901603095797</v>
      </c>
    </row>
    <row r="3478" spans="1:11" x14ac:dyDescent="0.25">
      <c r="A3478" t="s">
        <v>12576</v>
      </c>
      <c r="C3478" t="s">
        <v>12577</v>
      </c>
      <c r="D3478" t="s">
        <v>309</v>
      </c>
      <c r="E3478" t="s">
        <v>6</v>
      </c>
      <c r="F3478" t="s">
        <v>251</v>
      </c>
      <c r="G3478">
        <v>2</v>
      </c>
      <c r="H3478" s="2">
        <f>Tabelle13[[#This Row],[commits]]/Tabelle13[[#Totals],[commits]]</f>
        <v>9.2955808808492451E-6</v>
      </c>
      <c r="I3478" s="5">
        <f>Tabelle13[[#This Row],[%]]+I3477</f>
        <v>0.97176467307442493</v>
      </c>
      <c r="J3478" s="4">
        <f t="shared" si="141"/>
        <v>1.105583195135434E-4</v>
      </c>
      <c r="K3478" s="5">
        <f t="shared" si="142"/>
        <v>0.38430071862909326</v>
      </c>
    </row>
    <row r="3479" spans="1:11" x14ac:dyDescent="0.25">
      <c r="A3479" t="s">
        <v>12578</v>
      </c>
      <c r="C3479" t="s">
        <v>12579</v>
      </c>
      <c r="D3479" t="s">
        <v>5</v>
      </c>
      <c r="E3479" t="s">
        <v>6</v>
      </c>
      <c r="F3479" t="s">
        <v>251</v>
      </c>
      <c r="G3479">
        <v>2</v>
      </c>
      <c r="H3479" s="2">
        <f>Tabelle13[[#This Row],[commits]]/Tabelle13[[#Totals],[commits]]</f>
        <v>9.2955808808492451E-6</v>
      </c>
      <c r="I3479" s="5">
        <f>Tabelle13[[#This Row],[%]]+I3478</f>
        <v>0.97177396865530574</v>
      </c>
      <c r="J3479" s="4">
        <f t="shared" si="141"/>
        <v>1.105583195135434E-4</v>
      </c>
      <c r="K3479" s="5">
        <f t="shared" si="142"/>
        <v>0.38441127694860683</v>
      </c>
    </row>
    <row r="3480" spans="1:11" x14ac:dyDescent="0.25">
      <c r="A3480" t="s">
        <v>12580</v>
      </c>
      <c r="C3480" t="s">
        <v>6368</v>
      </c>
      <c r="D3480" t="s">
        <v>5</v>
      </c>
      <c r="E3480" t="s">
        <v>6</v>
      </c>
      <c r="F3480" t="s">
        <v>251</v>
      </c>
      <c r="G3480">
        <v>2</v>
      </c>
      <c r="H3480" s="2">
        <f>Tabelle13[[#This Row],[commits]]/Tabelle13[[#Totals],[commits]]</f>
        <v>9.2955808808492451E-6</v>
      </c>
      <c r="I3480" s="5">
        <f>Tabelle13[[#This Row],[%]]+I3479</f>
        <v>0.97178326423618655</v>
      </c>
      <c r="J3480" s="4">
        <f t="shared" si="141"/>
        <v>1.105583195135434E-4</v>
      </c>
      <c r="K3480" s="5">
        <f t="shared" si="142"/>
        <v>0.38452183526812039</v>
      </c>
    </row>
    <row r="3481" spans="1:11" x14ac:dyDescent="0.25">
      <c r="A3481" t="s">
        <v>12581</v>
      </c>
      <c r="C3481" t="s">
        <v>5067</v>
      </c>
      <c r="D3481" t="s">
        <v>5</v>
      </c>
      <c r="E3481" t="s">
        <v>6</v>
      </c>
      <c r="F3481" t="s">
        <v>251</v>
      </c>
      <c r="G3481">
        <v>2</v>
      </c>
      <c r="H3481" s="2">
        <f>Tabelle13[[#This Row],[commits]]/Tabelle13[[#Totals],[commits]]</f>
        <v>9.2955808808492451E-6</v>
      </c>
      <c r="I3481" s="5">
        <f>Tabelle13[[#This Row],[%]]+I3480</f>
        <v>0.97179255981706736</v>
      </c>
      <c r="J3481" s="4">
        <f t="shared" si="141"/>
        <v>1.105583195135434E-4</v>
      </c>
      <c r="K3481" s="5">
        <f t="shared" si="142"/>
        <v>0.38463239358763396</v>
      </c>
    </row>
    <row r="3482" spans="1:11" x14ac:dyDescent="0.25">
      <c r="A3482" t="s">
        <v>12582</v>
      </c>
      <c r="C3482" t="s">
        <v>12583</v>
      </c>
      <c r="D3482" t="s">
        <v>5</v>
      </c>
      <c r="E3482" t="s">
        <v>6</v>
      </c>
      <c r="F3482" t="s">
        <v>251</v>
      </c>
      <c r="G3482">
        <v>2</v>
      </c>
      <c r="H3482" s="2">
        <f>Tabelle13[[#This Row],[commits]]/Tabelle13[[#Totals],[commits]]</f>
        <v>9.2955808808492451E-6</v>
      </c>
      <c r="I3482" s="5">
        <f>Tabelle13[[#This Row],[%]]+I3481</f>
        <v>0.97180185539794817</v>
      </c>
      <c r="J3482" s="4">
        <f t="shared" si="141"/>
        <v>1.105583195135434E-4</v>
      </c>
      <c r="K3482" s="5">
        <f t="shared" si="142"/>
        <v>0.38474295190714752</v>
      </c>
    </row>
    <row r="3483" spans="1:11" x14ac:dyDescent="0.25">
      <c r="A3483" t="s">
        <v>12584</v>
      </c>
      <c r="C3483" t="s">
        <v>12585</v>
      </c>
      <c r="D3483" t="s">
        <v>5</v>
      </c>
      <c r="E3483" t="s">
        <v>6</v>
      </c>
      <c r="F3483" t="s">
        <v>251</v>
      </c>
      <c r="G3483">
        <v>2</v>
      </c>
      <c r="H3483" s="2">
        <f>Tabelle13[[#This Row],[commits]]/Tabelle13[[#Totals],[commits]]</f>
        <v>9.2955808808492451E-6</v>
      </c>
      <c r="I3483" s="5">
        <f>Tabelle13[[#This Row],[%]]+I3482</f>
        <v>0.97181115097882897</v>
      </c>
      <c r="J3483" s="4">
        <f t="shared" si="141"/>
        <v>1.105583195135434E-4</v>
      </c>
      <c r="K3483" s="5">
        <f t="shared" si="142"/>
        <v>0.38485351022666109</v>
      </c>
    </row>
    <row r="3484" spans="1:11" x14ac:dyDescent="0.25">
      <c r="A3484" t="s">
        <v>12586</v>
      </c>
      <c r="C3484" t="s">
        <v>12587</v>
      </c>
      <c r="D3484" t="s">
        <v>5</v>
      </c>
      <c r="E3484" t="s">
        <v>6</v>
      </c>
      <c r="F3484" t="s">
        <v>251</v>
      </c>
      <c r="G3484">
        <v>2</v>
      </c>
      <c r="H3484" s="2">
        <f>Tabelle13[[#This Row],[commits]]/Tabelle13[[#Totals],[commits]]</f>
        <v>9.2955808808492451E-6</v>
      </c>
      <c r="I3484" s="5">
        <f>Tabelle13[[#This Row],[%]]+I3483</f>
        <v>0.97182044655970978</v>
      </c>
      <c r="J3484" s="4">
        <f t="shared" si="141"/>
        <v>1.105583195135434E-4</v>
      </c>
      <c r="K3484" s="5">
        <f t="shared" si="142"/>
        <v>0.38496406854617465</v>
      </c>
    </row>
    <row r="3485" spans="1:11" x14ac:dyDescent="0.25">
      <c r="A3485" t="s">
        <v>12588</v>
      </c>
      <c r="C3485" t="s">
        <v>12589</v>
      </c>
      <c r="D3485" t="s">
        <v>8760</v>
      </c>
      <c r="E3485" t="s">
        <v>6</v>
      </c>
      <c r="F3485" t="s">
        <v>251</v>
      </c>
      <c r="G3485">
        <v>2</v>
      </c>
      <c r="H3485" s="2">
        <f>Tabelle13[[#This Row],[commits]]/Tabelle13[[#Totals],[commits]]</f>
        <v>9.2955808808492451E-6</v>
      </c>
      <c r="I3485" s="5">
        <f>Tabelle13[[#This Row],[%]]+I3484</f>
        <v>0.97182974214059059</v>
      </c>
      <c r="J3485" s="4">
        <f t="shared" si="141"/>
        <v>1.105583195135434E-4</v>
      </c>
      <c r="K3485" s="5">
        <f t="shared" si="142"/>
        <v>0.38507462686568822</v>
      </c>
    </row>
    <row r="3486" spans="1:11" x14ac:dyDescent="0.25">
      <c r="A3486" t="s">
        <v>12590</v>
      </c>
      <c r="C3486" t="s">
        <v>12591</v>
      </c>
      <c r="D3486" t="s">
        <v>8874</v>
      </c>
      <c r="E3486" t="s">
        <v>6</v>
      </c>
      <c r="F3486" t="s">
        <v>251</v>
      </c>
      <c r="G3486">
        <v>2</v>
      </c>
      <c r="H3486" s="2">
        <f>Tabelle13[[#This Row],[commits]]/Tabelle13[[#Totals],[commits]]</f>
        <v>9.2955808808492451E-6</v>
      </c>
      <c r="I3486" s="5">
        <f>Tabelle13[[#This Row],[%]]+I3485</f>
        <v>0.9718390377214714</v>
      </c>
      <c r="J3486" s="4">
        <f t="shared" si="141"/>
        <v>1.105583195135434E-4</v>
      </c>
      <c r="K3486" s="5">
        <f t="shared" si="142"/>
        <v>0.38518518518520178</v>
      </c>
    </row>
    <row r="3487" spans="1:11" x14ac:dyDescent="0.25">
      <c r="A3487" t="s">
        <v>12592</v>
      </c>
      <c r="C3487" t="s">
        <v>12593</v>
      </c>
      <c r="D3487" t="s">
        <v>309</v>
      </c>
      <c r="E3487" t="s">
        <v>6</v>
      </c>
      <c r="F3487" t="s">
        <v>251</v>
      </c>
      <c r="G3487">
        <v>2</v>
      </c>
      <c r="H3487" s="2">
        <f>Tabelle13[[#This Row],[commits]]/Tabelle13[[#Totals],[commits]]</f>
        <v>9.2955808808492451E-6</v>
      </c>
      <c r="I3487" s="5">
        <f>Tabelle13[[#This Row],[%]]+I3486</f>
        <v>0.97184833330235221</v>
      </c>
      <c r="J3487" s="4">
        <f t="shared" si="141"/>
        <v>1.105583195135434E-4</v>
      </c>
      <c r="K3487" s="5">
        <f t="shared" si="142"/>
        <v>0.38529574350471535</v>
      </c>
    </row>
    <row r="3488" spans="1:11" x14ac:dyDescent="0.25">
      <c r="A3488" t="s">
        <v>12594</v>
      </c>
      <c r="C3488" t="s">
        <v>12595</v>
      </c>
      <c r="D3488" t="s">
        <v>10461</v>
      </c>
      <c r="E3488" t="s">
        <v>6</v>
      </c>
      <c r="F3488" t="s">
        <v>251</v>
      </c>
      <c r="G3488">
        <v>2</v>
      </c>
      <c r="H3488" s="2">
        <f>Tabelle13[[#This Row],[commits]]/Tabelle13[[#Totals],[commits]]</f>
        <v>9.2955808808492451E-6</v>
      </c>
      <c r="I3488" s="5">
        <f>Tabelle13[[#This Row],[%]]+I3487</f>
        <v>0.97185762888323302</v>
      </c>
      <c r="J3488" s="4">
        <f t="shared" si="141"/>
        <v>1.105583195135434E-4</v>
      </c>
      <c r="K3488" s="5">
        <f t="shared" si="142"/>
        <v>0.38540630182422891</v>
      </c>
    </row>
    <row r="3489" spans="1:11" x14ac:dyDescent="0.25">
      <c r="A3489" t="s">
        <v>12596</v>
      </c>
      <c r="C3489" t="s">
        <v>12597</v>
      </c>
      <c r="D3489" t="s">
        <v>5</v>
      </c>
      <c r="E3489" t="s">
        <v>6</v>
      </c>
      <c r="F3489" t="s">
        <v>251</v>
      </c>
      <c r="G3489">
        <v>2</v>
      </c>
      <c r="H3489" s="2">
        <f>Tabelle13[[#This Row],[commits]]/Tabelle13[[#Totals],[commits]]</f>
        <v>9.2955808808492451E-6</v>
      </c>
      <c r="I3489" s="5">
        <f>Tabelle13[[#This Row],[%]]+I3488</f>
        <v>0.97186692446411382</v>
      </c>
      <c r="J3489" s="4">
        <f t="shared" si="141"/>
        <v>1.105583195135434E-4</v>
      </c>
      <c r="K3489" s="5">
        <f t="shared" si="142"/>
        <v>0.38551686014374248</v>
      </c>
    </row>
    <row r="3490" spans="1:11" x14ac:dyDescent="0.25">
      <c r="A3490" t="s">
        <v>12598</v>
      </c>
      <c r="C3490" t="s">
        <v>12599</v>
      </c>
      <c r="D3490" t="s">
        <v>12384</v>
      </c>
      <c r="E3490" t="s">
        <v>6</v>
      </c>
      <c r="F3490" t="s">
        <v>251</v>
      </c>
      <c r="G3490">
        <v>2</v>
      </c>
      <c r="H3490" s="2">
        <f>Tabelle13[[#This Row],[commits]]/Tabelle13[[#Totals],[commits]]</f>
        <v>9.2955808808492451E-6</v>
      </c>
      <c r="I3490" s="5">
        <f>Tabelle13[[#This Row],[%]]+I3489</f>
        <v>0.97187622004499463</v>
      </c>
      <c r="J3490" s="4">
        <f t="shared" si="141"/>
        <v>1.105583195135434E-4</v>
      </c>
      <c r="K3490" s="5">
        <f t="shared" si="142"/>
        <v>0.38562741846325604</v>
      </c>
    </row>
    <row r="3491" spans="1:11" x14ac:dyDescent="0.25">
      <c r="A3491" t="s">
        <v>12600</v>
      </c>
      <c r="C3491" t="s">
        <v>12601</v>
      </c>
      <c r="D3491" t="s">
        <v>5</v>
      </c>
      <c r="E3491" t="s">
        <v>6</v>
      </c>
      <c r="F3491" t="s">
        <v>251</v>
      </c>
      <c r="G3491">
        <v>2</v>
      </c>
      <c r="H3491" s="2">
        <f>Tabelle13[[#This Row],[commits]]/Tabelle13[[#Totals],[commits]]</f>
        <v>9.2955808808492451E-6</v>
      </c>
      <c r="I3491" s="5">
        <f>Tabelle13[[#This Row],[%]]+I3490</f>
        <v>0.97188551562587544</v>
      </c>
      <c r="J3491" s="4">
        <f t="shared" si="141"/>
        <v>1.105583195135434E-4</v>
      </c>
      <c r="K3491" s="5">
        <f t="shared" si="142"/>
        <v>0.38573797678276961</v>
      </c>
    </row>
    <row r="3492" spans="1:11" x14ac:dyDescent="0.25">
      <c r="A3492" t="s">
        <v>12602</v>
      </c>
      <c r="C3492" t="s">
        <v>12603</v>
      </c>
      <c r="D3492" t="s">
        <v>8760</v>
      </c>
      <c r="E3492" t="s">
        <v>6</v>
      </c>
      <c r="F3492" t="s">
        <v>251</v>
      </c>
      <c r="G3492">
        <v>2</v>
      </c>
      <c r="H3492" s="2">
        <f>Tabelle13[[#This Row],[commits]]/Tabelle13[[#Totals],[commits]]</f>
        <v>9.2955808808492451E-6</v>
      </c>
      <c r="I3492" s="5">
        <f>Tabelle13[[#This Row],[%]]+I3491</f>
        <v>0.97189481120675625</v>
      </c>
      <c r="J3492" s="4">
        <f t="shared" si="141"/>
        <v>1.105583195135434E-4</v>
      </c>
      <c r="K3492" s="5">
        <f t="shared" si="142"/>
        <v>0.38584853510228317</v>
      </c>
    </row>
    <row r="3493" spans="1:11" x14ac:dyDescent="0.25">
      <c r="A3493" t="s">
        <v>12604</v>
      </c>
      <c r="C3493" t="s">
        <v>12605</v>
      </c>
      <c r="D3493" t="s">
        <v>5</v>
      </c>
      <c r="E3493" t="s">
        <v>6</v>
      </c>
      <c r="F3493" t="s">
        <v>251</v>
      </c>
      <c r="G3493">
        <v>2</v>
      </c>
      <c r="H3493" s="2">
        <f>Tabelle13[[#This Row],[commits]]/Tabelle13[[#Totals],[commits]]</f>
        <v>9.2955808808492451E-6</v>
      </c>
      <c r="I3493" s="5">
        <f>Tabelle13[[#This Row],[%]]+I3492</f>
        <v>0.97190410678763706</v>
      </c>
      <c r="J3493" s="4">
        <f t="shared" si="141"/>
        <v>1.105583195135434E-4</v>
      </c>
      <c r="K3493" s="5">
        <f t="shared" si="142"/>
        <v>0.38595909342179674</v>
      </c>
    </row>
    <row r="3494" spans="1:11" x14ac:dyDescent="0.25">
      <c r="A3494" t="s">
        <v>12606</v>
      </c>
      <c r="C3494" t="s">
        <v>12607</v>
      </c>
      <c r="D3494" t="s">
        <v>309</v>
      </c>
      <c r="E3494" t="s">
        <v>6</v>
      </c>
      <c r="F3494" t="s">
        <v>251</v>
      </c>
      <c r="G3494">
        <v>2</v>
      </c>
      <c r="H3494" s="2">
        <f>Tabelle13[[#This Row],[commits]]/Tabelle13[[#Totals],[commits]]</f>
        <v>9.2955808808492451E-6</v>
      </c>
      <c r="I3494" s="5">
        <f>Tabelle13[[#This Row],[%]]+I3493</f>
        <v>0.97191340236851786</v>
      </c>
      <c r="J3494" s="4">
        <f t="shared" si="141"/>
        <v>1.105583195135434E-4</v>
      </c>
      <c r="K3494" s="5">
        <f t="shared" si="142"/>
        <v>0.3860696517413103</v>
      </c>
    </row>
    <row r="3495" spans="1:11" x14ac:dyDescent="0.25">
      <c r="A3495" t="s">
        <v>12608</v>
      </c>
      <c r="C3495" t="s">
        <v>12609</v>
      </c>
      <c r="D3495" t="s">
        <v>12610</v>
      </c>
      <c r="E3495" t="s">
        <v>6</v>
      </c>
      <c r="F3495" t="s">
        <v>251</v>
      </c>
      <c r="G3495">
        <v>2</v>
      </c>
      <c r="H3495" s="2">
        <f>Tabelle13[[#This Row],[commits]]/Tabelle13[[#Totals],[commits]]</f>
        <v>9.2955808808492451E-6</v>
      </c>
      <c r="I3495" s="5">
        <f>Tabelle13[[#This Row],[%]]+I3494</f>
        <v>0.97192269794939867</v>
      </c>
      <c r="J3495" s="4">
        <f t="shared" si="141"/>
        <v>1.105583195135434E-4</v>
      </c>
      <c r="K3495" s="5">
        <f t="shared" si="142"/>
        <v>0.38618021006082387</v>
      </c>
    </row>
    <row r="3496" spans="1:11" x14ac:dyDescent="0.25">
      <c r="A3496" t="s">
        <v>12611</v>
      </c>
      <c r="C3496" t="s">
        <v>12612</v>
      </c>
      <c r="D3496" t="s">
        <v>10047</v>
      </c>
      <c r="E3496" t="s">
        <v>6</v>
      </c>
      <c r="F3496" t="s">
        <v>251</v>
      </c>
      <c r="G3496">
        <v>2</v>
      </c>
      <c r="H3496" s="2">
        <f>Tabelle13[[#This Row],[commits]]/Tabelle13[[#Totals],[commits]]</f>
        <v>9.2955808808492451E-6</v>
      </c>
      <c r="I3496" s="5">
        <f>Tabelle13[[#This Row],[%]]+I3495</f>
        <v>0.97193199353027948</v>
      </c>
      <c r="J3496" s="4">
        <f t="shared" si="141"/>
        <v>1.105583195135434E-4</v>
      </c>
      <c r="K3496" s="5">
        <f t="shared" si="142"/>
        <v>0.38629076838033743</v>
      </c>
    </row>
    <row r="3497" spans="1:11" x14ac:dyDescent="0.25">
      <c r="A3497" t="s">
        <v>12613</v>
      </c>
      <c r="C3497" t="s">
        <v>12614</v>
      </c>
      <c r="D3497" t="s">
        <v>309</v>
      </c>
      <c r="E3497" t="s">
        <v>6</v>
      </c>
      <c r="F3497" t="s">
        <v>251</v>
      </c>
      <c r="G3497">
        <v>2</v>
      </c>
      <c r="H3497" s="2">
        <f>Tabelle13[[#This Row],[commits]]/Tabelle13[[#Totals],[commits]]</f>
        <v>9.2955808808492451E-6</v>
      </c>
      <c r="I3497" s="5">
        <f>Tabelle13[[#This Row],[%]]+I3496</f>
        <v>0.97194128911116029</v>
      </c>
      <c r="J3497" s="4">
        <f t="shared" si="141"/>
        <v>1.105583195135434E-4</v>
      </c>
      <c r="K3497" s="5">
        <f t="shared" si="142"/>
        <v>0.386401326699851</v>
      </c>
    </row>
    <row r="3498" spans="1:11" x14ac:dyDescent="0.25">
      <c r="A3498" t="s">
        <v>12615</v>
      </c>
      <c r="C3498" t="s">
        <v>12616</v>
      </c>
      <c r="D3498" t="s">
        <v>5</v>
      </c>
      <c r="E3498" t="s">
        <v>6</v>
      </c>
      <c r="F3498" t="s">
        <v>251</v>
      </c>
      <c r="G3498">
        <v>2</v>
      </c>
      <c r="H3498" s="2">
        <f>Tabelle13[[#This Row],[commits]]/Tabelle13[[#Totals],[commits]]</f>
        <v>9.2955808808492451E-6</v>
      </c>
      <c r="I3498" s="5">
        <f>Tabelle13[[#This Row],[%]]+I3497</f>
        <v>0.9719505846920411</v>
      </c>
      <c r="J3498" s="4">
        <f t="shared" si="141"/>
        <v>1.105583195135434E-4</v>
      </c>
      <c r="K3498" s="5">
        <f t="shared" si="142"/>
        <v>0.38651188501936456</v>
      </c>
    </row>
    <row r="3499" spans="1:11" x14ac:dyDescent="0.25">
      <c r="A3499" t="s">
        <v>12617</v>
      </c>
      <c r="C3499" t="s">
        <v>12618</v>
      </c>
      <c r="D3499" t="s">
        <v>309</v>
      </c>
      <c r="E3499" t="s">
        <v>6</v>
      </c>
      <c r="F3499" t="s">
        <v>251</v>
      </c>
      <c r="G3499">
        <v>2</v>
      </c>
      <c r="H3499" s="2">
        <f>Tabelle13[[#This Row],[commits]]/Tabelle13[[#Totals],[commits]]</f>
        <v>9.2955808808492451E-6</v>
      </c>
      <c r="I3499" s="5">
        <f>Tabelle13[[#This Row],[%]]+I3498</f>
        <v>0.97195988027292191</v>
      </c>
      <c r="J3499" s="4">
        <f t="shared" si="141"/>
        <v>1.105583195135434E-4</v>
      </c>
      <c r="K3499" s="5">
        <f t="shared" si="142"/>
        <v>0.38662244333887813</v>
      </c>
    </row>
    <row r="3500" spans="1:11" x14ac:dyDescent="0.25">
      <c r="A3500" t="s">
        <v>12619</v>
      </c>
      <c r="C3500" t="s">
        <v>12620</v>
      </c>
      <c r="D3500" t="s">
        <v>309</v>
      </c>
      <c r="E3500" t="s">
        <v>6</v>
      </c>
      <c r="F3500" t="s">
        <v>251</v>
      </c>
      <c r="G3500">
        <v>2</v>
      </c>
      <c r="H3500" s="2">
        <f>Tabelle13[[#This Row],[commits]]/Tabelle13[[#Totals],[commits]]</f>
        <v>9.2955808808492451E-6</v>
      </c>
      <c r="I3500" s="5">
        <f>Tabelle13[[#This Row],[%]]+I3499</f>
        <v>0.97196917585380271</v>
      </c>
      <c r="J3500" s="4">
        <f t="shared" si="141"/>
        <v>1.105583195135434E-4</v>
      </c>
      <c r="K3500" s="5">
        <f t="shared" si="142"/>
        <v>0.3867330016583917</v>
      </c>
    </row>
    <row r="3501" spans="1:11" x14ac:dyDescent="0.25">
      <c r="A3501" t="s">
        <v>12621</v>
      </c>
      <c r="C3501" t="s">
        <v>12622</v>
      </c>
      <c r="D3501" t="s">
        <v>5</v>
      </c>
      <c r="E3501" t="s">
        <v>6</v>
      </c>
      <c r="F3501" t="s">
        <v>251</v>
      </c>
      <c r="G3501">
        <v>2</v>
      </c>
      <c r="H3501" s="2">
        <f>Tabelle13[[#This Row],[commits]]/Tabelle13[[#Totals],[commits]]</f>
        <v>9.2955808808492451E-6</v>
      </c>
      <c r="I3501" s="5">
        <f>Tabelle13[[#This Row],[%]]+I3500</f>
        <v>0.97197847143468352</v>
      </c>
      <c r="J3501" s="4">
        <f t="shared" si="141"/>
        <v>1.105583195135434E-4</v>
      </c>
      <c r="K3501" s="5">
        <f t="shared" si="142"/>
        <v>0.38684355997790526</v>
      </c>
    </row>
    <row r="3502" spans="1:11" x14ac:dyDescent="0.25">
      <c r="A3502" t="s">
        <v>12623</v>
      </c>
      <c r="C3502" t="s">
        <v>12624</v>
      </c>
      <c r="D3502" t="s">
        <v>5</v>
      </c>
      <c r="E3502" t="s">
        <v>6</v>
      </c>
      <c r="F3502" t="s">
        <v>251</v>
      </c>
      <c r="G3502">
        <v>2</v>
      </c>
      <c r="H3502" s="2">
        <f>Tabelle13[[#This Row],[commits]]/Tabelle13[[#Totals],[commits]]</f>
        <v>9.2955808808492451E-6</v>
      </c>
      <c r="I3502" s="5">
        <f>Tabelle13[[#This Row],[%]]+I3501</f>
        <v>0.97198776701556433</v>
      </c>
      <c r="J3502" s="4">
        <f t="shared" si="141"/>
        <v>1.105583195135434E-4</v>
      </c>
      <c r="K3502" s="5">
        <f t="shared" si="142"/>
        <v>0.38695411829741883</v>
      </c>
    </row>
    <row r="3503" spans="1:11" x14ac:dyDescent="0.25">
      <c r="A3503" t="s">
        <v>12625</v>
      </c>
      <c r="C3503" t="s">
        <v>12626</v>
      </c>
      <c r="D3503" t="s">
        <v>5</v>
      </c>
      <c r="E3503" t="s">
        <v>6</v>
      </c>
      <c r="F3503" t="s">
        <v>251</v>
      </c>
      <c r="G3503">
        <v>2</v>
      </c>
      <c r="H3503" s="2">
        <f>Tabelle13[[#This Row],[commits]]/Tabelle13[[#Totals],[commits]]</f>
        <v>9.2955808808492451E-6</v>
      </c>
      <c r="I3503" s="5">
        <f>Tabelle13[[#This Row],[%]]+I3502</f>
        <v>0.97199706259644514</v>
      </c>
      <c r="J3503" s="4">
        <f t="shared" si="141"/>
        <v>1.105583195135434E-4</v>
      </c>
      <c r="K3503" s="5">
        <f t="shared" si="142"/>
        <v>0.38706467661693239</v>
      </c>
    </row>
    <row r="3504" spans="1:11" x14ac:dyDescent="0.25">
      <c r="A3504" t="s">
        <v>12627</v>
      </c>
      <c r="C3504" t="s">
        <v>12628</v>
      </c>
      <c r="D3504" t="s">
        <v>7531</v>
      </c>
      <c r="E3504" t="s">
        <v>6</v>
      </c>
      <c r="F3504" t="s">
        <v>251</v>
      </c>
      <c r="G3504">
        <v>2</v>
      </c>
      <c r="H3504" s="2">
        <f>Tabelle13[[#This Row],[commits]]/Tabelle13[[#Totals],[commits]]</f>
        <v>9.2955808808492451E-6</v>
      </c>
      <c r="I3504" s="5">
        <f>Tabelle13[[#This Row],[%]]+I3503</f>
        <v>0.97200635817732595</v>
      </c>
      <c r="J3504" s="4">
        <f t="shared" si="141"/>
        <v>1.105583195135434E-4</v>
      </c>
      <c r="K3504" s="5">
        <f t="shared" si="142"/>
        <v>0.38717523493644596</v>
      </c>
    </row>
    <row r="3505" spans="1:11" x14ac:dyDescent="0.25">
      <c r="A3505" t="s">
        <v>12629</v>
      </c>
      <c r="C3505" t="s">
        <v>12630</v>
      </c>
      <c r="D3505" t="s">
        <v>10109</v>
      </c>
      <c r="E3505" t="s">
        <v>6</v>
      </c>
      <c r="F3505" t="s">
        <v>251</v>
      </c>
      <c r="G3505">
        <v>2</v>
      </c>
      <c r="H3505" s="2">
        <f>Tabelle13[[#This Row],[commits]]/Tabelle13[[#Totals],[commits]]</f>
        <v>9.2955808808492451E-6</v>
      </c>
      <c r="I3505" s="5">
        <f>Tabelle13[[#This Row],[%]]+I3504</f>
        <v>0.97201565375820675</v>
      </c>
      <c r="J3505" s="4">
        <f t="shared" si="141"/>
        <v>1.105583195135434E-4</v>
      </c>
      <c r="K3505" s="5">
        <f t="shared" si="142"/>
        <v>0.38728579325595952</v>
      </c>
    </row>
    <row r="3506" spans="1:11" x14ac:dyDescent="0.25">
      <c r="A3506" t="s">
        <v>12631</v>
      </c>
      <c r="C3506" t="s">
        <v>12632</v>
      </c>
      <c r="D3506" t="s">
        <v>5</v>
      </c>
      <c r="E3506" t="s">
        <v>6</v>
      </c>
      <c r="F3506" t="s">
        <v>251</v>
      </c>
      <c r="G3506">
        <v>2</v>
      </c>
      <c r="H3506" s="2">
        <f>Tabelle13[[#This Row],[commits]]/Tabelle13[[#Totals],[commits]]</f>
        <v>9.2955808808492451E-6</v>
      </c>
      <c r="I3506" s="5">
        <f>Tabelle13[[#This Row],[%]]+I3505</f>
        <v>0.97202494933908756</v>
      </c>
      <c r="J3506" s="4">
        <f t="shared" si="141"/>
        <v>1.105583195135434E-4</v>
      </c>
      <c r="K3506" s="5">
        <f t="shared" si="142"/>
        <v>0.38739635157547309</v>
      </c>
    </row>
    <row r="3507" spans="1:11" x14ac:dyDescent="0.25">
      <c r="A3507" t="s">
        <v>12633</v>
      </c>
      <c r="C3507" t="s">
        <v>12634</v>
      </c>
      <c r="D3507" t="s">
        <v>5</v>
      </c>
      <c r="E3507" t="s">
        <v>6</v>
      </c>
      <c r="F3507" t="s">
        <v>251</v>
      </c>
      <c r="G3507">
        <v>2</v>
      </c>
      <c r="H3507" s="2">
        <f>Tabelle13[[#This Row],[commits]]/Tabelle13[[#Totals],[commits]]</f>
        <v>9.2955808808492451E-6</v>
      </c>
      <c r="I3507" s="5">
        <f>Tabelle13[[#This Row],[%]]+I3506</f>
        <v>0.97203424491996837</v>
      </c>
      <c r="J3507" s="4">
        <f t="shared" si="141"/>
        <v>1.105583195135434E-4</v>
      </c>
      <c r="K3507" s="5">
        <f t="shared" si="142"/>
        <v>0.38750690989498665</v>
      </c>
    </row>
    <row r="3508" spans="1:11" x14ac:dyDescent="0.25">
      <c r="A3508" t="s">
        <v>12635</v>
      </c>
      <c r="C3508" t="s">
        <v>12636</v>
      </c>
      <c r="D3508" t="s">
        <v>9997</v>
      </c>
      <c r="E3508" t="s">
        <v>6</v>
      </c>
      <c r="F3508" t="s">
        <v>251</v>
      </c>
      <c r="G3508">
        <v>2</v>
      </c>
      <c r="H3508" s="2">
        <f>Tabelle13[[#This Row],[commits]]/Tabelle13[[#Totals],[commits]]</f>
        <v>9.2955808808492451E-6</v>
      </c>
      <c r="I3508" s="5">
        <f>Tabelle13[[#This Row],[%]]+I3507</f>
        <v>0.97204354050084918</v>
      </c>
      <c r="J3508" s="4">
        <f t="shared" si="141"/>
        <v>1.105583195135434E-4</v>
      </c>
      <c r="K3508" s="5">
        <f t="shared" si="142"/>
        <v>0.38761746821450022</v>
      </c>
    </row>
    <row r="3509" spans="1:11" x14ac:dyDescent="0.25">
      <c r="A3509" t="s">
        <v>12637</v>
      </c>
      <c r="C3509" t="s">
        <v>12638</v>
      </c>
      <c r="D3509" t="s">
        <v>12639</v>
      </c>
      <c r="E3509" t="s">
        <v>6</v>
      </c>
      <c r="F3509" t="s">
        <v>251</v>
      </c>
      <c r="G3509">
        <v>2</v>
      </c>
      <c r="H3509" s="2">
        <f>Tabelle13[[#This Row],[commits]]/Tabelle13[[#Totals],[commits]]</f>
        <v>9.2955808808492451E-6</v>
      </c>
      <c r="I3509" s="5">
        <f>Tabelle13[[#This Row],[%]]+I3508</f>
        <v>0.97205283608172999</v>
      </c>
      <c r="J3509" s="4">
        <f t="shared" si="141"/>
        <v>1.105583195135434E-4</v>
      </c>
      <c r="K3509" s="5">
        <f t="shared" si="142"/>
        <v>0.38772802653401378</v>
      </c>
    </row>
    <row r="3510" spans="1:11" x14ac:dyDescent="0.25">
      <c r="A3510" t="s">
        <v>12640</v>
      </c>
      <c r="C3510" t="s">
        <v>12641</v>
      </c>
      <c r="D3510" t="s">
        <v>12642</v>
      </c>
      <c r="E3510" t="s">
        <v>6</v>
      </c>
      <c r="F3510" t="s">
        <v>251</v>
      </c>
      <c r="G3510">
        <v>2</v>
      </c>
      <c r="H3510" s="2">
        <f>Tabelle13[[#This Row],[commits]]/Tabelle13[[#Totals],[commits]]</f>
        <v>9.2955808808492451E-6</v>
      </c>
      <c r="I3510" s="5">
        <f>Tabelle13[[#This Row],[%]]+I3509</f>
        <v>0.9720621316626108</v>
      </c>
      <c r="J3510" s="4">
        <f t="shared" si="141"/>
        <v>1.105583195135434E-4</v>
      </c>
      <c r="K3510" s="5">
        <f t="shared" si="142"/>
        <v>0.38783858485352735</v>
      </c>
    </row>
    <row r="3511" spans="1:11" x14ac:dyDescent="0.25">
      <c r="A3511" t="s">
        <v>12643</v>
      </c>
      <c r="C3511" t="s">
        <v>12644</v>
      </c>
      <c r="D3511" t="s">
        <v>5</v>
      </c>
      <c r="E3511" t="s">
        <v>6</v>
      </c>
      <c r="F3511" t="s">
        <v>251</v>
      </c>
      <c r="G3511">
        <v>2</v>
      </c>
      <c r="H3511" s="2">
        <f>Tabelle13[[#This Row],[commits]]/Tabelle13[[#Totals],[commits]]</f>
        <v>9.2955808808492451E-6</v>
      </c>
      <c r="I3511" s="5">
        <f>Tabelle13[[#This Row],[%]]+I3510</f>
        <v>0.9720714272434916</v>
      </c>
      <c r="J3511" s="4">
        <f t="shared" si="141"/>
        <v>1.105583195135434E-4</v>
      </c>
      <c r="K3511" s="5">
        <f t="shared" si="142"/>
        <v>0.38794914317304091</v>
      </c>
    </row>
    <row r="3512" spans="1:11" x14ac:dyDescent="0.25">
      <c r="A3512" t="s">
        <v>12645</v>
      </c>
      <c r="C3512" t="s">
        <v>12646</v>
      </c>
      <c r="D3512" t="s">
        <v>5</v>
      </c>
      <c r="E3512" t="s">
        <v>6</v>
      </c>
      <c r="F3512" t="s">
        <v>251</v>
      </c>
      <c r="G3512">
        <v>2</v>
      </c>
      <c r="H3512" s="2">
        <f>Tabelle13[[#This Row],[commits]]/Tabelle13[[#Totals],[commits]]</f>
        <v>9.2955808808492451E-6</v>
      </c>
      <c r="I3512" s="5">
        <f>Tabelle13[[#This Row],[%]]+I3511</f>
        <v>0.97208072282437241</v>
      </c>
      <c r="J3512" s="4">
        <f t="shared" si="141"/>
        <v>1.105583195135434E-4</v>
      </c>
      <c r="K3512" s="5">
        <f t="shared" si="142"/>
        <v>0.38805970149255448</v>
      </c>
    </row>
    <row r="3513" spans="1:11" x14ac:dyDescent="0.25">
      <c r="A3513" t="s">
        <v>12647</v>
      </c>
      <c r="C3513" t="s">
        <v>12648</v>
      </c>
      <c r="D3513" t="s">
        <v>5</v>
      </c>
      <c r="E3513" t="s">
        <v>6</v>
      </c>
      <c r="F3513" t="s">
        <v>251</v>
      </c>
      <c r="G3513">
        <v>2</v>
      </c>
      <c r="H3513" s="2">
        <f>Tabelle13[[#This Row],[commits]]/Tabelle13[[#Totals],[commits]]</f>
        <v>9.2955808808492451E-6</v>
      </c>
      <c r="I3513" s="5">
        <f>Tabelle13[[#This Row],[%]]+I3512</f>
        <v>0.97209001840525322</v>
      </c>
      <c r="J3513" s="4">
        <f t="shared" si="141"/>
        <v>1.105583195135434E-4</v>
      </c>
      <c r="K3513" s="5">
        <f t="shared" si="142"/>
        <v>0.38817025981206804</v>
      </c>
    </row>
    <row r="3514" spans="1:11" x14ac:dyDescent="0.25">
      <c r="A3514" t="s">
        <v>12649</v>
      </c>
      <c r="C3514" t="s">
        <v>12650</v>
      </c>
      <c r="D3514" t="s">
        <v>9035</v>
      </c>
      <c r="E3514" t="s">
        <v>6</v>
      </c>
      <c r="F3514" t="s">
        <v>251</v>
      </c>
      <c r="G3514">
        <v>2</v>
      </c>
      <c r="H3514" s="2">
        <f>Tabelle13[[#This Row],[commits]]/Tabelle13[[#Totals],[commits]]</f>
        <v>9.2955808808492451E-6</v>
      </c>
      <c r="I3514" s="5">
        <f>Tabelle13[[#This Row],[%]]+I3513</f>
        <v>0.97209931398613403</v>
      </c>
      <c r="J3514" s="4">
        <f t="shared" si="141"/>
        <v>1.105583195135434E-4</v>
      </c>
      <c r="K3514" s="5">
        <f t="shared" si="142"/>
        <v>0.38828081813158161</v>
      </c>
    </row>
    <row r="3515" spans="1:11" x14ac:dyDescent="0.25">
      <c r="A3515" t="s">
        <v>12651</v>
      </c>
      <c r="C3515" t="s">
        <v>12652</v>
      </c>
      <c r="D3515" t="s">
        <v>309</v>
      </c>
      <c r="E3515" t="s">
        <v>6</v>
      </c>
      <c r="F3515" t="s">
        <v>251</v>
      </c>
      <c r="G3515">
        <v>2</v>
      </c>
      <c r="H3515" s="2">
        <f>Tabelle13[[#This Row],[commits]]/Tabelle13[[#Totals],[commits]]</f>
        <v>9.2955808808492451E-6</v>
      </c>
      <c r="I3515" s="5">
        <f>Tabelle13[[#This Row],[%]]+I3514</f>
        <v>0.97210860956701484</v>
      </c>
      <c r="J3515" s="4">
        <f t="shared" si="141"/>
        <v>1.105583195135434E-4</v>
      </c>
      <c r="K3515" s="5">
        <f t="shared" si="142"/>
        <v>0.38839137645109517</v>
      </c>
    </row>
    <row r="3516" spans="1:11" x14ac:dyDescent="0.25">
      <c r="A3516" t="s">
        <v>12653</v>
      </c>
      <c r="C3516" t="s">
        <v>12654</v>
      </c>
      <c r="D3516" t="s">
        <v>309</v>
      </c>
      <c r="E3516" t="s">
        <v>6</v>
      </c>
      <c r="F3516" t="s">
        <v>251</v>
      </c>
      <c r="G3516">
        <v>2</v>
      </c>
      <c r="H3516" s="2">
        <f>Tabelle13[[#This Row],[commits]]/Tabelle13[[#Totals],[commits]]</f>
        <v>9.2955808808492451E-6</v>
      </c>
      <c r="I3516" s="5">
        <f>Tabelle13[[#This Row],[%]]+I3515</f>
        <v>0.97211790514789564</v>
      </c>
      <c r="J3516" s="4">
        <f t="shared" si="141"/>
        <v>1.105583195135434E-4</v>
      </c>
      <c r="K3516" s="5">
        <f t="shared" si="142"/>
        <v>0.38850193477060874</v>
      </c>
    </row>
    <row r="3517" spans="1:11" x14ac:dyDescent="0.25">
      <c r="A3517" t="s">
        <v>12655</v>
      </c>
      <c r="C3517" t="s">
        <v>12656</v>
      </c>
      <c r="D3517" t="s">
        <v>309</v>
      </c>
      <c r="E3517" t="s">
        <v>6</v>
      </c>
      <c r="F3517" t="s">
        <v>251</v>
      </c>
      <c r="G3517">
        <v>2</v>
      </c>
      <c r="H3517" s="2">
        <f>Tabelle13[[#This Row],[commits]]/Tabelle13[[#Totals],[commits]]</f>
        <v>9.2955808808492451E-6</v>
      </c>
      <c r="I3517" s="5">
        <f>Tabelle13[[#This Row],[%]]+I3516</f>
        <v>0.97212720072877645</v>
      </c>
      <c r="J3517" s="4">
        <f t="shared" si="141"/>
        <v>1.105583195135434E-4</v>
      </c>
      <c r="K3517" s="5">
        <f t="shared" si="142"/>
        <v>0.3886124930901223</v>
      </c>
    </row>
    <row r="3518" spans="1:11" x14ac:dyDescent="0.25">
      <c r="A3518" t="s">
        <v>12657</v>
      </c>
      <c r="C3518" t="s">
        <v>12658</v>
      </c>
      <c r="D3518" t="s">
        <v>309</v>
      </c>
      <c r="E3518" t="s">
        <v>6</v>
      </c>
      <c r="F3518" t="s">
        <v>251</v>
      </c>
      <c r="G3518">
        <v>2</v>
      </c>
      <c r="H3518" s="2">
        <f>Tabelle13[[#This Row],[commits]]/Tabelle13[[#Totals],[commits]]</f>
        <v>9.2955808808492451E-6</v>
      </c>
      <c r="I3518" s="5">
        <f>Tabelle13[[#This Row],[%]]+I3517</f>
        <v>0.97213649630965726</v>
      </c>
      <c r="J3518" s="4">
        <f t="shared" si="141"/>
        <v>1.105583195135434E-4</v>
      </c>
      <c r="K3518" s="5">
        <f t="shared" si="142"/>
        <v>0.38872305140963587</v>
      </c>
    </row>
    <row r="3519" spans="1:11" x14ac:dyDescent="0.25">
      <c r="A3519" t="s">
        <v>12659</v>
      </c>
      <c r="C3519" t="s">
        <v>362</v>
      </c>
      <c r="D3519" t="s">
        <v>5</v>
      </c>
      <c r="E3519" t="s">
        <v>6</v>
      </c>
      <c r="F3519" t="s">
        <v>251</v>
      </c>
      <c r="G3519">
        <v>2</v>
      </c>
      <c r="H3519" s="2">
        <f>Tabelle13[[#This Row],[commits]]/Tabelle13[[#Totals],[commits]]</f>
        <v>9.2955808808492451E-6</v>
      </c>
      <c r="I3519" s="5">
        <f>Tabelle13[[#This Row],[%]]+I3518</f>
        <v>0.97214579189053807</v>
      </c>
      <c r="J3519" s="4">
        <f t="shared" si="141"/>
        <v>1.105583195135434E-4</v>
      </c>
      <c r="K3519" s="5">
        <f t="shared" si="142"/>
        <v>0.38883360972914943</v>
      </c>
    </row>
    <row r="3520" spans="1:11" x14ac:dyDescent="0.25">
      <c r="A3520" t="s">
        <v>12660</v>
      </c>
      <c r="C3520" t="s">
        <v>12661</v>
      </c>
      <c r="D3520" t="s">
        <v>309</v>
      </c>
      <c r="E3520" t="s">
        <v>6</v>
      </c>
      <c r="F3520" t="s">
        <v>251</v>
      </c>
      <c r="G3520">
        <v>2</v>
      </c>
      <c r="H3520" s="2">
        <f>Tabelle13[[#This Row],[commits]]/Tabelle13[[#Totals],[commits]]</f>
        <v>9.2955808808492451E-6</v>
      </c>
      <c r="I3520" s="5">
        <f>Tabelle13[[#This Row],[%]]+I3519</f>
        <v>0.97215508747141888</v>
      </c>
      <c r="J3520" s="4">
        <f t="shared" si="141"/>
        <v>1.105583195135434E-4</v>
      </c>
      <c r="K3520" s="5">
        <f t="shared" si="142"/>
        <v>0.388944168048663</v>
      </c>
    </row>
    <row r="3521" spans="1:11" x14ac:dyDescent="0.25">
      <c r="A3521" t="s">
        <v>12662</v>
      </c>
      <c r="C3521" t="s">
        <v>12663</v>
      </c>
      <c r="D3521" t="s">
        <v>5</v>
      </c>
      <c r="E3521" t="s">
        <v>6</v>
      </c>
      <c r="F3521" t="s">
        <v>251</v>
      </c>
      <c r="G3521">
        <v>2</v>
      </c>
      <c r="H3521" s="2">
        <f>Tabelle13[[#This Row],[commits]]/Tabelle13[[#Totals],[commits]]</f>
        <v>9.2955808808492451E-6</v>
      </c>
      <c r="I3521" s="5">
        <f>Tabelle13[[#This Row],[%]]+I3520</f>
        <v>0.97216438305229969</v>
      </c>
      <c r="J3521" s="4">
        <f t="shared" si="141"/>
        <v>1.105583195135434E-4</v>
      </c>
      <c r="K3521" s="5">
        <f t="shared" si="142"/>
        <v>0.38905472636817656</v>
      </c>
    </row>
    <row r="3522" spans="1:11" x14ac:dyDescent="0.25">
      <c r="A3522" t="s">
        <v>12664</v>
      </c>
      <c r="C3522" t="s">
        <v>12665</v>
      </c>
      <c r="D3522" t="s">
        <v>5</v>
      </c>
      <c r="E3522" t="s">
        <v>6</v>
      </c>
      <c r="F3522" t="s">
        <v>251</v>
      </c>
      <c r="G3522">
        <v>2</v>
      </c>
      <c r="H3522" s="2">
        <f>Tabelle13[[#This Row],[commits]]/Tabelle13[[#Totals],[commits]]</f>
        <v>9.2955808808492451E-6</v>
      </c>
      <c r="I3522" s="5">
        <f>Tabelle13[[#This Row],[%]]+I3521</f>
        <v>0.97217367863318049</v>
      </c>
      <c r="J3522" s="4">
        <f t="shared" si="141"/>
        <v>1.105583195135434E-4</v>
      </c>
      <c r="K3522" s="5">
        <f t="shared" si="142"/>
        <v>0.38916528468769013</v>
      </c>
    </row>
    <row r="3523" spans="1:11" x14ac:dyDescent="0.25">
      <c r="A3523" t="s">
        <v>12666</v>
      </c>
      <c r="C3523" t="s">
        <v>12667</v>
      </c>
      <c r="D3523" t="s">
        <v>309</v>
      </c>
      <c r="E3523" t="s">
        <v>6</v>
      </c>
      <c r="F3523" t="s">
        <v>251</v>
      </c>
      <c r="G3523">
        <v>2</v>
      </c>
      <c r="H3523" s="2">
        <f>Tabelle13[[#This Row],[commits]]/Tabelle13[[#Totals],[commits]]</f>
        <v>9.2955808808492451E-6</v>
      </c>
      <c r="I3523" s="5">
        <f>Tabelle13[[#This Row],[%]]+I3522</f>
        <v>0.9721829742140613</v>
      </c>
      <c r="J3523" s="4">
        <f t="shared" ref="J3523:J3586" si="143">1/9045</f>
        <v>1.105583195135434E-4</v>
      </c>
      <c r="K3523" s="5">
        <f t="shared" si="142"/>
        <v>0.38927584300720369</v>
      </c>
    </row>
    <row r="3524" spans="1:11" x14ac:dyDescent="0.25">
      <c r="A3524" t="s">
        <v>12668</v>
      </c>
      <c r="C3524" t="s">
        <v>12669</v>
      </c>
      <c r="D3524" t="s">
        <v>5</v>
      </c>
      <c r="E3524" t="s">
        <v>6</v>
      </c>
      <c r="F3524" t="s">
        <v>251</v>
      </c>
      <c r="G3524">
        <v>2</v>
      </c>
      <c r="H3524" s="2">
        <f>Tabelle13[[#This Row],[commits]]/Tabelle13[[#Totals],[commits]]</f>
        <v>9.2955808808492451E-6</v>
      </c>
      <c r="I3524" s="5">
        <f>Tabelle13[[#This Row],[%]]+I3523</f>
        <v>0.97219226979494211</v>
      </c>
      <c r="J3524" s="4">
        <f t="shared" si="143"/>
        <v>1.105583195135434E-4</v>
      </c>
      <c r="K3524" s="5">
        <f t="shared" si="142"/>
        <v>0.38938640132671726</v>
      </c>
    </row>
    <row r="3525" spans="1:11" x14ac:dyDescent="0.25">
      <c r="A3525" t="s">
        <v>12670</v>
      </c>
      <c r="C3525" t="s">
        <v>12671</v>
      </c>
      <c r="D3525" t="s">
        <v>5</v>
      </c>
      <c r="E3525" t="s">
        <v>6</v>
      </c>
      <c r="F3525" t="s">
        <v>251</v>
      </c>
      <c r="G3525">
        <v>2</v>
      </c>
      <c r="H3525" s="2">
        <f>Tabelle13[[#This Row],[commits]]/Tabelle13[[#Totals],[commits]]</f>
        <v>9.2955808808492451E-6</v>
      </c>
      <c r="I3525" s="5">
        <f>Tabelle13[[#This Row],[%]]+I3524</f>
        <v>0.97220156537582292</v>
      </c>
      <c r="J3525" s="4">
        <f t="shared" si="143"/>
        <v>1.105583195135434E-4</v>
      </c>
      <c r="K3525" s="5">
        <f t="shared" si="142"/>
        <v>0.38949695964623082</v>
      </c>
    </row>
    <row r="3526" spans="1:11" x14ac:dyDescent="0.25">
      <c r="A3526" t="s">
        <v>12672</v>
      </c>
      <c r="C3526" t="s">
        <v>12673</v>
      </c>
      <c r="D3526" t="s">
        <v>5</v>
      </c>
      <c r="E3526" t="s">
        <v>6</v>
      </c>
      <c r="F3526" t="s">
        <v>251</v>
      </c>
      <c r="G3526">
        <v>2</v>
      </c>
      <c r="H3526" s="2">
        <f>Tabelle13[[#This Row],[commits]]/Tabelle13[[#Totals],[commits]]</f>
        <v>9.2955808808492451E-6</v>
      </c>
      <c r="I3526" s="5">
        <f>Tabelle13[[#This Row],[%]]+I3525</f>
        <v>0.97221086095670373</v>
      </c>
      <c r="J3526" s="4">
        <f t="shared" si="143"/>
        <v>1.105583195135434E-4</v>
      </c>
      <c r="K3526" s="5">
        <f t="shared" ref="K3526:K3589" si="144">J3526+K3525</f>
        <v>0.38960751796574439</v>
      </c>
    </row>
    <row r="3527" spans="1:11" x14ac:dyDescent="0.25">
      <c r="A3527" t="s">
        <v>12674</v>
      </c>
      <c r="C3527" t="s">
        <v>187</v>
      </c>
      <c r="D3527" t="s">
        <v>5</v>
      </c>
      <c r="E3527" t="s">
        <v>6</v>
      </c>
      <c r="F3527" t="s">
        <v>251</v>
      </c>
      <c r="G3527">
        <v>2</v>
      </c>
      <c r="H3527" s="2">
        <f>Tabelle13[[#This Row],[commits]]/Tabelle13[[#Totals],[commits]]</f>
        <v>9.2955808808492451E-6</v>
      </c>
      <c r="I3527" s="5">
        <f>Tabelle13[[#This Row],[%]]+I3526</f>
        <v>0.97222015653758453</v>
      </c>
      <c r="J3527" s="4">
        <f t="shared" si="143"/>
        <v>1.105583195135434E-4</v>
      </c>
      <c r="K3527" s="5">
        <f t="shared" si="144"/>
        <v>0.38971807628525795</v>
      </c>
    </row>
    <row r="3528" spans="1:11" x14ac:dyDescent="0.25">
      <c r="A3528" t="s">
        <v>12675</v>
      </c>
      <c r="C3528" t="s">
        <v>12676</v>
      </c>
      <c r="D3528" t="s">
        <v>5</v>
      </c>
      <c r="E3528" t="s">
        <v>6</v>
      </c>
      <c r="F3528" t="s">
        <v>251</v>
      </c>
      <c r="G3528">
        <v>2</v>
      </c>
      <c r="H3528" s="2">
        <f>Tabelle13[[#This Row],[commits]]/Tabelle13[[#Totals],[commits]]</f>
        <v>9.2955808808492451E-6</v>
      </c>
      <c r="I3528" s="5">
        <f>Tabelle13[[#This Row],[%]]+I3527</f>
        <v>0.97222945211846534</v>
      </c>
      <c r="J3528" s="4">
        <f t="shared" si="143"/>
        <v>1.105583195135434E-4</v>
      </c>
      <c r="K3528" s="5">
        <f t="shared" si="144"/>
        <v>0.38982863460477152</v>
      </c>
    </row>
    <row r="3529" spans="1:11" x14ac:dyDescent="0.25">
      <c r="A3529" t="s">
        <v>12677</v>
      </c>
      <c r="C3529" t="s">
        <v>12678</v>
      </c>
      <c r="D3529" t="s">
        <v>5</v>
      </c>
      <c r="E3529" t="s">
        <v>6</v>
      </c>
      <c r="F3529" t="s">
        <v>251</v>
      </c>
      <c r="G3529">
        <v>2</v>
      </c>
      <c r="H3529" s="2">
        <f>Tabelle13[[#This Row],[commits]]/Tabelle13[[#Totals],[commits]]</f>
        <v>9.2955808808492451E-6</v>
      </c>
      <c r="I3529" s="5">
        <f>Tabelle13[[#This Row],[%]]+I3528</f>
        <v>0.97223874769934615</v>
      </c>
      <c r="J3529" s="4">
        <f t="shared" si="143"/>
        <v>1.105583195135434E-4</v>
      </c>
      <c r="K3529" s="5">
        <f t="shared" si="144"/>
        <v>0.38993919292428508</v>
      </c>
    </row>
    <row r="3530" spans="1:11" x14ac:dyDescent="0.25">
      <c r="A3530" t="s">
        <v>12679</v>
      </c>
      <c r="C3530" t="s">
        <v>12680</v>
      </c>
      <c r="D3530" t="s">
        <v>12681</v>
      </c>
      <c r="E3530" t="s">
        <v>6</v>
      </c>
      <c r="F3530" t="s">
        <v>251</v>
      </c>
      <c r="G3530">
        <v>2</v>
      </c>
      <c r="H3530" s="2">
        <f>Tabelle13[[#This Row],[commits]]/Tabelle13[[#Totals],[commits]]</f>
        <v>9.2955808808492451E-6</v>
      </c>
      <c r="I3530" s="5">
        <f>Tabelle13[[#This Row],[%]]+I3529</f>
        <v>0.97224804328022696</v>
      </c>
      <c r="J3530" s="4">
        <f t="shared" si="143"/>
        <v>1.105583195135434E-4</v>
      </c>
      <c r="K3530" s="5">
        <f t="shared" si="144"/>
        <v>0.39004975124379865</v>
      </c>
    </row>
    <row r="3531" spans="1:11" x14ac:dyDescent="0.25">
      <c r="A3531" t="s">
        <v>12682</v>
      </c>
      <c r="C3531" t="s">
        <v>12683</v>
      </c>
      <c r="D3531" t="s">
        <v>5</v>
      </c>
      <c r="E3531" t="s">
        <v>6</v>
      </c>
      <c r="F3531" t="s">
        <v>251</v>
      </c>
      <c r="G3531">
        <v>2</v>
      </c>
      <c r="H3531" s="2">
        <f>Tabelle13[[#This Row],[commits]]/Tabelle13[[#Totals],[commits]]</f>
        <v>9.2955808808492451E-6</v>
      </c>
      <c r="I3531" s="5">
        <f>Tabelle13[[#This Row],[%]]+I3530</f>
        <v>0.97225733886110777</v>
      </c>
      <c r="J3531" s="4">
        <f t="shared" si="143"/>
        <v>1.105583195135434E-4</v>
      </c>
      <c r="K3531" s="5">
        <f t="shared" si="144"/>
        <v>0.39016030956331221</v>
      </c>
    </row>
    <row r="3532" spans="1:11" x14ac:dyDescent="0.25">
      <c r="A3532" t="s">
        <v>12684</v>
      </c>
      <c r="C3532" t="s">
        <v>12685</v>
      </c>
      <c r="D3532" t="s">
        <v>5</v>
      </c>
      <c r="E3532" t="s">
        <v>6</v>
      </c>
      <c r="F3532" t="s">
        <v>251</v>
      </c>
      <c r="G3532">
        <v>2</v>
      </c>
      <c r="H3532" s="2">
        <f>Tabelle13[[#This Row],[commits]]/Tabelle13[[#Totals],[commits]]</f>
        <v>9.2955808808492451E-6</v>
      </c>
      <c r="I3532" s="5">
        <f>Tabelle13[[#This Row],[%]]+I3531</f>
        <v>0.97226663444198858</v>
      </c>
      <c r="J3532" s="4">
        <f t="shared" si="143"/>
        <v>1.105583195135434E-4</v>
      </c>
      <c r="K3532" s="5">
        <f t="shared" si="144"/>
        <v>0.39027086788282578</v>
      </c>
    </row>
    <row r="3533" spans="1:11" x14ac:dyDescent="0.25">
      <c r="A3533" t="s">
        <v>12686</v>
      </c>
      <c r="C3533" t="s">
        <v>12687</v>
      </c>
      <c r="D3533" t="s">
        <v>309</v>
      </c>
      <c r="E3533" t="s">
        <v>6</v>
      </c>
      <c r="F3533" t="s">
        <v>251</v>
      </c>
      <c r="G3533">
        <v>2</v>
      </c>
      <c r="H3533" s="2">
        <f>Tabelle13[[#This Row],[commits]]/Tabelle13[[#Totals],[commits]]</f>
        <v>9.2955808808492451E-6</v>
      </c>
      <c r="I3533" s="5">
        <f>Tabelle13[[#This Row],[%]]+I3532</f>
        <v>0.97227593002286938</v>
      </c>
      <c r="J3533" s="4">
        <f t="shared" si="143"/>
        <v>1.105583195135434E-4</v>
      </c>
      <c r="K3533" s="5">
        <f t="shared" si="144"/>
        <v>0.39038142620233934</v>
      </c>
    </row>
    <row r="3534" spans="1:11" x14ac:dyDescent="0.25">
      <c r="A3534" t="s">
        <v>12688</v>
      </c>
      <c r="C3534" t="s">
        <v>12689</v>
      </c>
      <c r="D3534" t="s">
        <v>5</v>
      </c>
      <c r="E3534" t="s">
        <v>6</v>
      </c>
      <c r="F3534" t="s">
        <v>251</v>
      </c>
      <c r="G3534">
        <v>2</v>
      </c>
      <c r="H3534" s="2">
        <f>Tabelle13[[#This Row],[commits]]/Tabelle13[[#Totals],[commits]]</f>
        <v>9.2955808808492451E-6</v>
      </c>
      <c r="I3534" s="5">
        <f>Tabelle13[[#This Row],[%]]+I3533</f>
        <v>0.97228522560375019</v>
      </c>
      <c r="J3534" s="4">
        <f t="shared" si="143"/>
        <v>1.105583195135434E-4</v>
      </c>
      <c r="K3534" s="5">
        <f t="shared" si="144"/>
        <v>0.39049198452185291</v>
      </c>
    </row>
    <row r="3535" spans="1:11" x14ac:dyDescent="0.25">
      <c r="A3535" t="s">
        <v>12690</v>
      </c>
      <c r="C3535" t="s">
        <v>12691</v>
      </c>
      <c r="D3535" t="s">
        <v>5</v>
      </c>
      <c r="E3535" t="s">
        <v>6</v>
      </c>
      <c r="F3535" t="s">
        <v>251</v>
      </c>
      <c r="G3535">
        <v>2</v>
      </c>
      <c r="H3535" s="2">
        <f>Tabelle13[[#This Row],[commits]]/Tabelle13[[#Totals],[commits]]</f>
        <v>9.2955808808492451E-6</v>
      </c>
      <c r="I3535" s="5">
        <f>Tabelle13[[#This Row],[%]]+I3534</f>
        <v>0.972294521184631</v>
      </c>
      <c r="J3535" s="4">
        <f t="shared" si="143"/>
        <v>1.105583195135434E-4</v>
      </c>
      <c r="K3535" s="5">
        <f t="shared" si="144"/>
        <v>0.39060254284136647</v>
      </c>
    </row>
    <row r="3536" spans="1:11" x14ac:dyDescent="0.25">
      <c r="A3536" t="s">
        <v>12692</v>
      </c>
      <c r="C3536" t="s">
        <v>12693</v>
      </c>
      <c r="D3536" t="s">
        <v>12694</v>
      </c>
      <c r="E3536" t="s">
        <v>6</v>
      </c>
      <c r="F3536" t="s">
        <v>251</v>
      </c>
      <c r="G3536">
        <v>2</v>
      </c>
      <c r="H3536" s="2">
        <f>Tabelle13[[#This Row],[commits]]/Tabelle13[[#Totals],[commits]]</f>
        <v>9.2955808808492451E-6</v>
      </c>
      <c r="I3536" s="5">
        <f>Tabelle13[[#This Row],[%]]+I3535</f>
        <v>0.97230381676551181</v>
      </c>
      <c r="J3536" s="4">
        <f t="shared" si="143"/>
        <v>1.105583195135434E-4</v>
      </c>
      <c r="K3536" s="5">
        <f t="shared" si="144"/>
        <v>0.39071310116088004</v>
      </c>
    </row>
    <row r="3537" spans="1:11" x14ac:dyDescent="0.25">
      <c r="A3537" t="s">
        <v>12695</v>
      </c>
      <c r="C3537" t="s">
        <v>12696</v>
      </c>
      <c r="D3537" t="s">
        <v>309</v>
      </c>
      <c r="E3537" t="s">
        <v>6</v>
      </c>
      <c r="F3537" t="s">
        <v>251</v>
      </c>
      <c r="G3537">
        <v>2</v>
      </c>
      <c r="H3537" s="2">
        <f>Tabelle13[[#This Row],[commits]]/Tabelle13[[#Totals],[commits]]</f>
        <v>9.2955808808492451E-6</v>
      </c>
      <c r="I3537" s="5">
        <f>Tabelle13[[#This Row],[%]]+I3536</f>
        <v>0.97231311234639262</v>
      </c>
      <c r="J3537" s="4">
        <f t="shared" si="143"/>
        <v>1.105583195135434E-4</v>
      </c>
      <c r="K3537" s="5">
        <f t="shared" si="144"/>
        <v>0.3908236594803936</v>
      </c>
    </row>
    <row r="3538" spans="1:11" x14ac:dyDescent="0.25">
      <c r="A3538" t="s">
        <v>12697</v>
      </c>
      <c r="C3538" t="s">
        <v>12698</v>
      </c>
      <c r="D3538" t="s">
        <v>5</v>
      </c>
      <c r="E3538" t="s">
        <v>6</v>
      </c>
      <c r="F3538" t="s">
        <v>251</v>
      </c>
      <c r="G3538">
        <v>2</v>
      </c>
      <c r="H3538" s="2">
        <f>Tabelle13[[#This Row],[commits]]/Tabelle13[[#Totals],[commits]]</f>
        <v>9.2955808808492451E-6</v>
      </c>
      <c r="I3538" s="5">
        <f>Tabelle13[[#This Row],[%]]+I3537</f>
        <v>0.97232240792727342</v>
      </c>
      <c r="J3538" s="4">
        <f t="shared" si="143"/>
        <v>1.105583195135434E-4</v>
      </c>
      <c r="K3538" s="5">
        <f t="shared" si="144"/>
        <v>0.39093421779990717</v>
      </c>
    </row>
    <row r="3539" spans="1:11" x14ac:dyDescent="0.25">
      <c r="A3539" t="s">
        <v>12699</v>
      </c>
      <c r="C3539" t="s">
        <v>12700</v>
      </c>
      <c r="D3539" t="s">
        <v>5</v>
      </c>
      <c r="E3539" t="s">
        <v>6</v>
      </c>
      <c r="F3539" t="s">
        <v>251</v>
      </c>
      <c r="G3539">
        <v>2</v>
      </c>
      <c r="H3539" s="2">
        <f>Tabelle13[[#This Row],[commits]]/Tabelle13[[#Totals],[commits]]</f>
        <v>9.2955808808492451E-6</v>
      </c>
      <c r="I3539" s="5">
        <f>Tabelle13[[#This Row],[%]]+I3538</f>
        <v>0.97233170350815423</v>
      </c>
      <c r="J3539" s="4">
        <f t="shared" si="143"/>
        <v>1.105583195135434E-4</v>
      </c>
      <c r="K3539" s="5">
        <f t="shared" si="144"/>
        <v>0.39104477611942073</v>
      </c>
    </row>
    <row r="3540" spans="1:11" x14ac:dyDescent="0.25">
      <c r="A3540" t="s">
        <v>12701</v>
      </c>
      <c r="C3540" t="s">
        <v>12702</v>
      </c>
      <c r="D3540" t="s">
        <v>5</v>
      </c>
      <c r="E3540" t="s">
        <v>6</v>
      </c>
      <c r="F3540" t="s">
        <v>251</v>
      </c>
      <c r="G3540">
        <v>2</v>
      </c>
      <c r="H3540" s="2">
        <f>Tabelle13[[#This Row],[commits]]/Tabelle13[[#Totals],[commits]]</f>
        <v>9.2955808808492451E-6</v>
      </c>
      <c r="I3540" s="5">
        <f>Tabelle13[[#This Row],[%]]+I3539</f>
        <v>0.97234099908903504</v>
      </c>
      <c r="J3540" s="4">
        <f t="shared" si="143"/>
        <v>1.105583195135434E-4</v>
      </c>
      <c r="K3540" s="5">
        <f t="shared" si="144"/>
        <v>0.3911553344389343</v>
      </c>
    </row>
    <row r="3541" spans="1:11" x14ac:dyDescent="0.25">
      <c r="A3541" t="s">
        <v>12703</v>
      </c>
      <c r="C3541" t="s">
        <v>12704</v>
      </c>
      <c r="D3541" t="s">
        <v>309</v>
      </c>
      <c r="E3541" t="s">
        <v>6</v>
      </c>
      <c r="F3541" t="s">
        <v>251</v>
      </c>
      <c r="G3541">
        <v>2</v>
      </c>
      <c r="H3541" s="2">
        <f>Tabelle13[[#This Row],[commits]]/Tabelle13[[#Totals],[commits]]</f>
        <v>9.2955808808492451E-6</v>
      </c>
      <c r="I3541" s="5">
        <f>Tabelle13[[#This Row],[%]]+I3540</f>
        <v>0.97235029466991585</v>
      </c>
      <c r="J3541" s="4">
        <f t="shared" si="143"/>
        <v>1.105583195135434E-4</v>
      </c>
      <c r="K3541" s="5">
        <f t="shared" si="144"/>
        <v>0.39126589275844786</v>
      </c>
    </row>
    <row r="3542" spans="1:11" x14ac:dyDescent="0.25">
      <c r="A3542" t="s">
        <v>12705</v>
      </c>
      <c r="C3542" t="s">
        <v>12706</v>
      </c>
      <c r="D3542" t="s">
        <v>309</v>
      </c>
      <c r="E3542" t="s">
        <v>6</v>
      </c>
      <c r="F3542" t="s">
        <v>251</v>
      </c>
      <c r="G3542">
        <v>2</v>
      </c>
      <c r="H3542" s="2">
        <f>Tabelle13[[#This Row],[commits]]/Tabelle13[[#Totals],[commits]]</f>
        <v>9.2955808808492451E-6</v>
      </c>
      <c r="I3542" s="5">
        <f>Tabelle13[[#This Row],[%]]+I3541</f>
        <v>0.97235959025079666</v>
      </c>
      <c r="J3542" s="4">
        <f t="shared" si="143"/>
        <v>1.105583195135434E-4</v>
      </c>
      <c r="K3542" s="5">
        <f t="shared" si="144"/>
        <v>0.39137645107796143</v>
      </c>
    </row>
    <row r="3543" spans="1:11" x14ac:dyDescent="0.25">
      <c r="A3543" t="s">
        <v>12707</v>
      </c>
      <c r="C3543" t="s">
        <v>12708</v>
      </c>
      <c r="D3543" t="s">
        <v>309</v>
      </c>
      <c r="E3543" t="s">
        <v>6</v>
      </c>
      <c r="F3543" t="s">
        <v>251</v>
      </c>
      <c r="G3543">
        <v>2</v>
      </c>
      <c r="H3543" s="2">
        <f>Tabelle13[[#This Row],[commits]]/Tabelle13[[#Totals],[commits]]</f>
        <v>9.2955808808492451E-6</v>
      </c>
      <c r="I3543" s="5">
        <f>Tabelle13[[#This Row],[%]]+I3542</f>
        <v>0.97236888583167747</v>
      </c>
      <c r="J3543" s="4">
        <f t="shared" si="143"/>
        <v>1.105583195135434E-4</v>
      </c>
      <c r="K3543" s="5">
        <f t="shared" si="144"/>
        <v>0.39148700939747499</v>
      </c>
    </row>
    <row r="3544" spans="1:11" x14ac:dyDescent="0.25">
      <c r="A3544" t="s">
        <v>12709</v>
      </c>
      <c r="C3544" t="s">
        <v>12710</v>
      </c>
      <c r="D3544" t="s">
        <v>5</v>
      </c>
      <c r="E3544" t="s">
        <v>6</v>
      </c>
      <c r="F3544" t="s">
        <v>251</v>
      </c>
      <c r="G3544">
        <v>2</v>
      </c>
      <c r="H3544" s="2">
        <f>Tabelle13[[#This Row],[commits]]/Tabelle13[[#Totals],[commits]]</f>
        <v>9.2955808808492451E-6</v>
      </c>
      <c r="I3544" s="5">
        <f>Tabelle13[[#This Row],[%]]+I3543</f>
        <v>0.97237818141255827</v>
      </c>
      <c r="J3544" s="4">
        <f t="shared" si="143"/>
        <v>1.105583195135434E-4</v>
      </c>
      <c r="K3544" s="5">
        <f t="shared" si="144"/>
        <v>0.39159756771698856</v>
      </c>
    </row>
    <row r="3545" spans="1:11" x14ac:dyDescent="0.25">
      <c r="A3545" t="s">
        <v>12711</v>
      </c>
      <c r="C3545" t="s">
        <v>12712</v>
      </c>
      <c r="D3545" t="s">
        <v>8948</v>
      </c>
      <c r="E3545" t="s">
        <v>6</v>
      </c>
      <c r="F3545" t="s">
        <v>251</v>
      </c>
      <c r="G3545">
        <v>2</v>
      </c>
      <c r="H3545" s="2">
        <f>Tabelle13[[#This Row],[commits]]/Tabelle13[[#Totals],[commits]]</f>
        <v>9.2955808808492451E-6</v>
      </c>
      <c r="I3545" s="5">
        <f>Tabelle13[[#This Row],[%]]+I3544</f>
        <v>0.97238747699343908</v>
      </c>
      <c r="J3545" s="4">
        <f t="shared" si="143"/>
        <v>1.105583195135434E-4</v>
      </c>
      <c r="K3545" s="5">
        <f t="shared" si="144"/>
        <v>0.39170812603650212</v>
      </c>
    </row>
    <row r="3546" spans="1:11" x14ac:dyDescent="0.25">
      <c r="A3546" t="s">
        <v>12713</v>
      </c>
      <c r="C3546" t="s">
        <v>12714</v>
      </c>
      <c r="D3546" t="s">
        <v>5</v>
      </c>
      <c r="E3546" t="s">
        <v>6</v>
      </c>
      <c r="F3546" t="s">
        <v>251</v>
      </c>
      <c r="G3546">
        <v>2</v>
      </c>
      <c r="H3546" s="2">
        <f>Tabelle13[[#This Row],[commits]]/Tabelle13[[#Totals],[commits]]</f>
        <v>9.2955808808492451E-6</v>
      </c>
      <c r="I3546" s="5">
        <f>Tabelle13[[#This Row],[%]]+I3545</f>
        <v>0.97239677257431989</v>
      </c>
      <c r="J3546" s="4">
        <f t="shared" si="143"/>
        <v>1.105583195135434E-4</v>
      </c>
      <c r="K3546" s="5">
        <f t="shared" si="144"/>
        <v>0.39181868435601569</v>
      </c>
    </row>
    <row r="3547" spans="1:11" x14ac:dyDescent="0.25">
      <c r="A3547" t="s">
        <v>12715</v>
      </c>
      <c r="C3547" t="s">
        <v>12716</v>
      </c>
      <c r="D3547" t="s">
        <v>12717</v>
      </c>
      <c r="E3547" t="s">
        <v>6</v>
      </c>
      <c r="F3547" t="s">
        <v>251</v>
      </c>
      <c r="G3547">
        <v>2</v>
      </c>
      <c r="H3547" s="2">
        <f>Tabelle13[[#This Row],[commits]]/Tabelle13[[#Totals],[commits]]</f>
        <v>9.2955808808492451E-6</v>
      </c>
      <c r="I3547" s="5">
        <f>Tabelle13[[#This Row],[%]]+I3546</f>
        <v>0.9724060681552007</v>
      </c>
      <c r="J3547" s="4">
        <f t="shared" si="143"/>
        <v>1.105583195135434E-4</v>
      </c>
      <c r="K3547" s="5">
        <f t="shared" si="144"/>
        <v>0.39192924267552925</v>
      </c>
    </row>
    <row r="3548" spans="1:11" x14ac:dyDescent="0.25">
      <c r="A3548" t="s">
        <v>12718</v>
      </c>
      <c r="C3548" t="s">
        <v>12719</v>
      </c>
      <c r="D3548" t="s">
        <v>5</v>
      </c>
      <c r="E3548" t="s">
        <v>6</v>
      </c>
      <c r="F3548" t="s">
        <v>251</v>
      </c>
      <c r="G3548">
        <v>2</v>
      </c>
      <c r="H3548" s="2">
        <f>Tabelle13[[#This Row],[commits]]/Tabelle13[[#Totals],[commits]]</f>
        <v>9.2955808808492451E-6</v>
      </c>
      <c r="I3548" s="5">
        <f>Tabelle13[[#This Row],[%]]+I3547</f>
        <v>0.97241536373608151</v>
      </c>
      <c r="J3548" s="4">
        <f t="shared" si="143"/>
        <v>1.105583195135434E-4</v>
      </c>
      <c r="K3548" s="5">
        <f t="shared" si="144"/>
        <v>0.39203980099504282</v>
      </c>
    </row>
    <row r="3549" spans="1:11" x14ac:dyDescent="0.25">
      <c r="A3549" t="s">
        <v>12720</v>
      </c>
      <c r="C3549" t="s">
        <v>12721</v>
      </c>
      <c r="D3549" t="s">
        <v>5</v>
      </c>
      <c r="E3549" t="s">
        <v>6</v>
      </c>
      <c r="F3549" t="s">
        <v>251</v>
      </c>
      <c r="G3549">
        <v>2</v>
      </c>
      <c r="H3549" s="2">
        <f>Tabelle13[[#This Row],[commits]]/Tabelle13[[#Totals],[commits]]</f>
        <v>9.2955808808492451E-6</v>
      </c>
      <c r="I3549" s="5">
        <f>Tabelle13[[#This Row],[%]]+I3548</f>
        <v>0.97242465931696231</v>
      </c>
      <c r="J3549" s="4">
        <f t="shared" si="143"/>
        <v>1.105583195135434E-4</v>
      </c>
      <c r="K3549" s="5">
        <f t="shared" si="144"/>
        <v>0.39215035931455638</v>
      </c>
    </row>
    <row r="3550" spans="1:11" x14ac:dyDescent="0.25">
      <c r="A3550" t="s">
        <v>12722</v>
      </c>
      <c r="C3550" t="s">
        <v>12723</v>
      </c>
      <c r="D3550" t="s">
        <v>5</v>
      </c>
      <c r="E3550" t="s">
        <v>6</v>
      </c>
      <c r="F3550" t="s">
        <v>251</v>
      </c>
      <c r="G3550">
        <v>2</v>
      </c>
      <c r="H3550" s="2">
        <f>Tabelle13[[#This Row],[commits]]/Tabelle13[[#Totals],[commits]]</f>
        <v>9.2955808808492451E-6</v>
      </c>
      <c r="I3550" s="5">
        <f>Tabelle13[[#This Row],[%]]+I3549</f>
        <v>0.97243395489784312</v>
      </c>
      <c r="J3550" s="4">
        <f t="shared" si="143"/>
        <v>1.105583195135434E-4</v>
      </c>
      <c r="K3550" s="5">
        <f t="shared" si="144"/>
        <v>0.39226091763406995</v>
      </c>
    </row>
    <row r="3551" spans="1:11" x14ac:dyDescent="0.25">
      <c r="A3551" t="s">
        <v>12724</v>
      </c>
      <c r="C3551" t="s">
        <v>12725</v>
      </c>
      <c r="D3551" t="s">
        <v>309</v>
      </c>
      <c r="E3551" t="s">
        <v>6</v>
      </c>
      <c r="F3551" t="s">
        <v>251</v>
      </c>
      <c r="G3551">
        <v>2</v>
      </c>
      <c r="H3551" s="2">
        <f>Tabelle13[[#This Row],[commits]]/Tabelle13[[#Totals],[commits]]</f>
        <v>9.2955808808492451E-6</v>
      </c>
      <c r="I3551" s="5">
        <f>Tabelle13[[#This Row],[%]]+I3550</f>
        <v>0.97244325047872393</v>
      </c>
      <c r="J3551" s="4">
        <f t="shared" si="143"/>
        <v>1.105583195135434E-4</v>
      </c>
      <c r="K3551" s="5">
        <f t="shared" si="144"/>
        <v>0.39237147595358352</v>
      </c>
    </row>
    <row r="3552" spans="1:11" x14ac:dyDescent="0.25">
      <c r="A3552" t="s">
        <v>12726</v>
      </c>
      <c r="C3552" t="s">
        <v>12727</v>
      </c>
      <c r="D3552" t="s">
        <v>5</v>
      </c>
      <c r="E3552" t="s">
        <v>6</v>
      </c>
      <c r="F3552" t="s">
        <v>251</v>
      </c>
      <c r="G3552">
        <v>2</v>
      </c>
      <c r="H3552" s="2">
        <f>Tabelle13[[#This Row],[commits]]/Tabelle13[[#Totals],[commits]]</f>
        <v>9.2955808808492451E-6</v>
      </c>
      <c r="I3552" s="5">
        <f>Tabelle13[[#This Row],[%]]+I3551</f>
        <v>0.97245254605960474</v>
      </c>
      <c r="J3552" s="4">
        <f t="shared" si="143"/>
        <v>1.105583195135434E-4</v>
      </c>
      <c r="K3552" s="5">
        <f t="shared" si="144"/>
        <v>0.39248203427309708</v>
      </c>
    </row>
    <row r="3553" spans="1:11" x14ac:dyDescent="0.25">
      <c r="A3553" t="s">
        <v>12728</v>
      </c>
      <c r="C3553" t="s">
        <v>12729</v>
      </c>
      <c r="D3553" t="s">
        <v>5</v>
      </c>
      <c r="E3553" t="s">
        <v>6</v>
      </c>
      <c r="F3553" t="s">
        <v>251</v>
      </c>
      <c r="G3553">
        <v>2</v>
      </c>
      <c r="H3553" s="2">
        <f>Tabelle13[[#This Row],[commits]]/Tabelle13[[#Totals],[commits]]</f>
        <v>9.2955808808492451E-6</v>
      </c>
      <c r="I3553" s="5">
        <f>Tabelle13[[#This Row],[%]]+I3552</f>
        <v>0.97246184164048555</v>
      </c>
      <c r="J3553" s="4">
        <f t="shared" si="143"/>
        <v>1.105583195135434E-4</v>
      </c>
      <c r="K3553" s="5">
        <f t="shared" si="144"/>
        <v>0.39259259259261065</v>
      </c>
    </row>
    <row r="3554" spans="1:11" x14ac:dyDescent="0.25">
      <c r="A3554" t="s">
        <v>12730</v>
      </c>
      <c r="C3554" t="s">
        <v>12731</v>
      </c>
      <c r="D3554" t="s">
        <v>8874</v>
      </c>
      <c r="E3554" t="s">
        <v>6</v>
      </c>
      <c r="F3554" t="s">
        <v>251</v>
      </c>
      <c r="G3554">
        <v>2</v>
      </c>
      <c r="H3554" s="2">
        <f>Tabelle13[[#This Row],[commits]]/Tabelle13[[#Totals],[commits]]</f>
        <v>9.2955808808492451E-6</v>
      </c>
      <c r="I3554" s="5">
        <f>Tabelle13[[#This Row],[%]]+I3553</f>
        <v>0.97247113722136636</v>
      </c>
      <c r="J3554" s="4">
        <f t="shared" si="143"/>
        <v>1.105583195135434E-4</v>
      </c>
      <c r="K3554" s="5">
        <f t="shared" si="144"/>
        <v>0.39270315091212421</v>
      </c>
    </row>
    <row r="3555" spans="1:11" x14ac:dyDescent="0.25">
      <c r="A3555" t="s">
        <v>12732</v>
      </c>
      <c r="C3555" t="s">
        <v>12733</v>
      </c>
      <c r="D3555" t="s">
        <v>5</v>
      </c>
      <c r="E3555" t="s">
        <v>6</v>
      </c>
      <c r="F3555" t="s">
        <v>251</v>
      </c>
      <c r="G3555">
        <v>2</v>
      </c>
      <c r="H3555" s="2">
        <f>Tabelle13[[#This Row],[commits]]/Tabelle13[[#Totals],[commits]]</f>
        <v>9.2955808808492451E-6</v>
      </c>
      <c r="I3555" s="5">
        <f>Tabelle13[[#This Row],[%]]+I3554</f>
        <v>0.97248043280224716</v>
      </c>
      <c r="J3555" s="4">
        <f t="shared" si="143"/>
        <v>1.105583195135434E-4</v>
      </c>
      <c r="K3555" s="5">
        <f t="shared" si="144"/>
        <v>0.39281370923163778</v>
      </c>
    </row>
    <row r="3556" spans="1:11" x14ac:dyDescent="0.25">
      <c r="A3556" t="s">
        <v>12734</v>
      </c>
      <c r="C3556" t="s">
        <v>12735</v>
      </c>
      <c r="D3556" t="s">
        <v>5</v>
      </c>
      <c r="E3556" t="s">
        <v>6</v>
      </c>
      <c r="F3556" t="s">
        <v>251</v>
      </c>
      <c r="G3556">
        <v>2</v>
      </c>
      <c r="H3556" s="2">
        <f>Tabelle13[[#This Row],[commits]]/Tabelle13[[#Totals],[commits]]</f>
        <v>9.2955808808492451E-6</v>
      </c>
      <c r="I3556" s="5">
        <f>Tabelle13[[#This Row],[%]]+I3555</f>
        <v>0.97248972838312797</v>
      </c>
      <c r="J3556" s="4">
        <f t="shared" si="143"/>
        <v>1.105583195135434E-4</v>
      </c>
      <c r="K3556" s="5">
        <f t="shared" si="144"/>
        <v>0.39292426755115134</v>
      </c>
    </row>
    <row r="3557" spans="1:11" x14ac:dyDescent="0.25">
      <c r="A3557" t="s">
        <v>12736</v>
      </c>
      <c r="C3557" t="s">
        <v>12737</v>
      </c>
      <c r="D3557" t="s">
        <v>5</v>
      </c>
      <c r="E3557" t="s">
        <v>6</v>
      </c>
      <c r="F3557" t="s">
        <v>251</v>
      </c>
      <c r="G3557">
        <v>2</v>
      </c>
      <c r="H3557" s="2">
        <f>Tabelle13[[#This Row],[commits]]/Tabelle13[[#Totals],[commits]]</f>
        <v>9.2955808808492451E-6</v>
      </c>
      <c r="I3557" s="5">
        <f>Tabelle13[[#This Row],[%]]+I3556</f>
        <v>0.97249902396400878</v>
      </c>
      <c r="J3557" s="4">
        <f t="shared" si="143"/>
        <v>1.105583195135434E-4</v>
      </c>
      <c r="K3557" s="5">
        <f t="shared" si="144"/>
        <v>0.39303482587066491</v>
      </c>
    </row>
    <row r="3558" spans="1:11" x14ac:dyDescent="0.25">
      <c r="A3558" t="s">
        <v>12738</v>
      </c>
      <c r="C3558" t="s">
        <v>12739</v>
      </c>
      <c r="D3558" t="s">
        <v>5</v>
      </c>
      <c r="E3558" t="s">
        <v>6</v>
      </c>
      <c r="F3558" t="s">
        <v>251</v>
      </c>
      <c r="G3558">
        <v>2</v>
      </c>
      <c r="H3558" s="2">
        <f>Tabelle13[[#This Row],[commits]]/Tabelle13[[#Totals],[commits]]</f>
        <v>9.2955808808492451E-6</v>
      </c>
      <c r="I3558" s="5">
        <f>Tabelle13[[#This Row],[%]]+I3557</f>
        <v>0.97250831954488959</v>
      </c>
      <c r="J3558" s="4">
        <f t="shared" si="143"/>
        <v>1.105583195135434E-4</v>
      </c>
      <c r="K3558" s="5">
        <f t="shared" si="144"/>
        <v>0.39314538419017847</v>
      </c>
    </row>
    <row r="3559" spans="1:11" x14ac:dyDescent="0.25">
      <c r="A3559" t="s">
        <v>12740</v>
      </c>
      <c r="C3559" t="s">
        <v>12741</v>
      </c>
      <c r="D3559" t="s">
        <v>309</v>
      </c>
      <c r="E3559" t="s">
        <v>6</v>
      </c>
      <c r="F3559" t="s">
        <v>251</v>
      </c>
      <c r="G3559">
        <v>2</v>
      </c>
      <c r="H3559" s="2">
        <f>Tabelle13[[#This Row],[commits]]/Tabelle13[[#Totals],[commits]]</f>
        <v>9.2955808808492451E-6</v>
      </c>
      <c r="I3559" s="5">
        <f>Tabelle13[[#This Row],[%]]+I3558</f>
        <v>0.9725176151257704</v>
      </c>
      <c r="J3559" s="4">
        <f t="shared" si="143"/>
        <v>1.105583195135434E-4</v>
      </c>
      <c r="K3559" s="5">
        <f t="shared" si="144"/>
        <v>0.39325594250969204</v>
      </c>
    </row>
    <row r="3560" spans="1:11" x14ac:dyDescent="0.25">
      <c r="A3560" t="s">
        <v>12742</v>
      </c>
      <c r="C3560" t="s">
        <v>12743</v>
      </c>
      <c r="D3560" t="s">
        <v>5</v>
      </c>
      <c r="E3560" t="s">
        <v>6</v>
      </c>
      <c r="F3560" t="s">
        <v>251</v>
      </c>
      <c r="G3560">
        <v>2</v>
      </c>
      <c r="H3560" s="2">
        <f>Tabelle13[[#This Row],[commits]]/Tabelle13[[#Totals],[commits]]</f>
        <v>9.2955808808492451E-6</v>
      </c>
      <c r="I3560" s="5">
        <f>Tabelle13[[#This Row],[%]]+I3559</f>
        <v>0.9725269107066512</v>
      </c>
      <c r="J3560" s="4">
        <f t="shared" si="143"/>
        <v>1.105583195135434E-4</v>
      </c>
      <c r="K3560" s="5">
        <f t="shared" si="144"/>
        <v>0.3933665008292056</v>
      </c>
    </row>
    <row r="3561" spans="1:11" x14ac:dyDescent="0.25">
      <c r="A3561" t="s">
        <v>12744</v>
      </c>
      <c r="C3561" t="s">
        <v>12745</v>
      </c>
      <c r="D3561" t="s">
        <v>5</v>
      </c>
      <c r="E3561" t="s">
        <v>6</v>
      </c>
      <c r="F3561" t="s">
        <v>251</v>
      </c>
      <c r="G3561">
        <v>2</v>
      </c>
      <c r="H3561" s="2">
        <f>Tabelle13[[#This Row],[commits]]/Tabelle13[[#Totals],[commits]]</f>
        <v>9.2955808808492451E-6</v>
      </c>
      <c r="I3561" s="5">
        <f>Tabelle13[[#This Row],[%]]+I3560</f>
        <v>0.97253620628753201</v>
      </c>
      <c r="J3561" s="4">
        <f t="shared" si="143"/>
        <v>1.105583195135434E-4</v>
      </c>
      <c r="K3561" s="5">
        <f t="shared" si="144"/>
        <v>0.39347705914871917</v>
      </c>
    </row>
    <row r="3562" spans="1:11" x14ac:dyDescent="0.25">
      <c r="A3562" t="s">
        <v>12746</v>
      </c>
      <c r="C3562" t="s">
        <v>12747</v>
      </c>
      <c r="D3562" t="s">
        <v>5</v>
      </c>
      <c r="E3562" t="s">
        <v>6</v>
      </c>
      <c r="F3562" t="s">
        <v>251</v>
      </c>
      <c r="G3562">
        <v>2</v>
      </c>
      <c r="H3562" s="2">
        <f>Tabelle13[[#This Row],[commits]]/Tabelle13[[#Totals],[commits]]</f>
        <v>9.2955808808492451E-6</v>
      </c>
      <c r="I3562" s="5">
        <f>Tabelle13[[#This Row],[%]]+I3561</f>
        <v>0.97254550186841282</v>
      </c>
      <c r="J3562" s="4">
        <f t="shared" si="143"/>
        <v>1.105583195135434E-4</v>
      </c>
      <c r="K3562" s="5">
        <f t="shared" si="144"/>
        <v>0.39358761746823273</v>
      </c>
    </row>
    <row r="3563" spans="1:11" x14ac:dyDescent="0.25">
      <c r="A3563" t="s">
        <v>12748</v>
      </c>
      <c r="C3563" t="s">
        <v>12749</v>
      </c>
      <c r="D3563" t="s">
        <v>12750</v>
      </c>
      <c r="E3563" t="s">
        <v>6</v>
      </c>
      <c r="F3563" t="s">
        <v>251</v>
      </c>
      <c r="G3563">
        <v>2</v>
      </c>
      <c r="H3563" s="2">
        <f>Tabelle13[[#This Row],[commits]]/Tabelle13[[#Totals],[commits]]</f>
        <v>9.2955808808492451E-6</v>
      </c>
      <c r="I3563" s="5">
        <f>Tabelle13[[#This Row],[%]]+I3562</f>
        <v>0.97255479744929363</v>
      </c>
      <c r="J3563" s="4">
        <f t="shared" si="143"/>
        <v>1.105583195135434E-4</v>
      </c>
      <c r="K3563" s="5">
        <f t="shared" si="144"/>
        <v>0.3936981757877463</v>
      </c>
    </row>
    <row r="3564" spans="1:11" x14ac:dyDescent="0.25">
      <c r="A3564" t="s">
        <v>12751</v>
      </c>
      <c r="C3564" t="s">
        <v>12752</v>
      </c>
      <c r="D3564" t="s">
        <v>309</v>
      </c>
      <c r="E3564" t="s">
        <v>6</v>
      </c>
      <c r="F3564" t="s">
        <v>251</v>
      </c>
      <c r="G3564">
        <v>2</v>
      </c>
      <c r="H3564" s="2">
        <f>Tabelle13[[#This Row],[commits]]/Tabelle13[[#Totals],[commits]]</f>
        <v>9.2955808808492451E-6</v>
      </c>
      <c r="I3564" s="5">
        <f>Tabelle13[[#This Row],[%]]+I3563</f>
        <v>0.97256409303017444</v>
      </c>
      <c r="J3564" s="4">
        <f t="shared" si="143"/>
        <v>1.105583195135434E-4</v>
      </c>
      <c r="K3564" s="5">
        <f t="shared" si="144"/>
        <v>0.39380873410725986</v>
      </c>
    </row>
    <row r="3565" spans="1:11" x14ac:dyDescent="0.25">
      <c r="A3565" t="s">
        <v>12753</v>
      </c>
      <c r="C3565" t="s">
        <v>12754</v>
      </c>
      <c r="D3565" t="s">
        <v>12642</v>
      </c>
      <c r="E3565" t="s">
        <v>6</v>
      </c>
      <c r="F3565" t="s">
        <v>251</v>
      </c>
      <c r="G3565">
        <v>2</v>
      </c>
      <c r="H3565" s="2">
        <f>Tabelle13[[#This Row],[commits]]/Tabelle13[[#Totals],[commits]]</f>
        <v>9.2955808808492451E-6</v>
      </c>
      <c r="I3565" s="5">
        <f>Tabelle13[[#This Row],[%]]+I3564</f>
        <v>0.97257338861105525</v>
      </c>
      <c r="J3565" s="4">
        <f t="shared" si="143"/>
        <v>1.105583195135434E-4</v>
      </c>
      <c r="K3565" s="5">
        <f t="shared" si="144"/>
        <v>0.39391929242677343</v>
      </c>
    </row>
    <row r="3566" spans="1:11" x14ac:dyDescent="0.25">
      <c r="A3566" t="s">
        <v>12755</v>
      </c>
      <c r="C3566" t="s">
        <v>12756</v>
      </c>
      <c r="D3566" t="s">
        <v>8948</v>
      </c>
      <c r="E3566" t="s">
        <v>6</v>
      </c>
      <c r="F3566" t="s">
        <v>251</v>
      </c>
      <c r="G3566">
        <v>2</v>
      </c>
      <c r="H3566" s="2">
        <f>Tabelle13[[#This Row],[commits]]/Tabelle13[[#Totals],[commits]]</f>
        <v>9.2955808808492451E-6</v>
      </c>
      <c r="I3566" s="5">
        <f>Tabelle13[[#This Row],[%]]+I3565</f>
        <v>0.97258268419193605</v>
      </c>
      <c r="J3566" s="4">
        <f t="shared" si="143"/>
        <v>1.105583195135434E-4</v>
      </c>
      <c r="K3566" s="5">
        <f t="shared" si="144"/>
        <v>0.39402985074628699</v>
      </c>
    </row>
    <row r="3567" spans="1:11" x14ac:dyDescent="0.25">
      <c r="A3567" t="s">
        <v>12757</v>
      </c>
      <c r="C3567" t="s">
        <v>12758</v>
      </c>
      <c r="D3567" t="s">
        <v>9085</v>
      </c>
      <c r="E3567" t="s">
        <v>6</v>
      </c>
      <c r="F3567" t="s">
        <v>251</v>
      </c>
      <c r="G3567">
        <v>2</v>
      </c>
      <c r="H3567" s="2">
        <f>Tabelle13[[#This Row],[commits]]/Tabelle13[[#Totals],[commits]]</f>
        <v>9.2955808808492451E-6</v>
      </c>
      <c r="I3567" s="5">
        <f>Tabelle13[[#This Row],[%]]+I3566</f>
        <v>0.97259197977281686</v>
      </c>
      <c r="J3567" s="4">
        <f t="shared" si="143"/>
        <v>1.105583195135434E-4</v>
      </c>
      <c r="K3567" s="5">
        <f t="shared" si="144"/>
        <v>0.39414040906580056</v>
      </c>
    </row>
    <row r="3568" spans="1:11" x14ac:dyDescent="0.25">
      <c r="A3568" t="s">
        <v>12759</v>
      </c>
      <c r="C3568" t="s">
        <v>12760</v>
      </c>
      <c r="D3568" t="s">
        <v>9929</v>
      </c>
      <c r="E3568" t="s">
        <v>6</v>
      </c>
      <c r="F3568" t="s">
        <v>251</v>
      </c>
      <c r="G3568">
        <v>2</v>
      </c>
      <c r="H3568" s="2">
        <f>Tabelle13[[#This Row],[commits]]/Tabelle13[[#Totals],[commits]]</f>
        <v>9.2955808808492451E-6</v>
      </c>
      <c r="I3568" s="5">
        <f>Tabelle13[[#This Row],[%]]+I3567</f>
        <v>0.97260127535369767</v>
      </c>
      <c r="J3568" s="4">
        <f t="shared" si="143"/>
        <v>1.105583195135434E-4</v>
      </c>
      <c r="K3568" s="5">
        <f t="shared" si="144"/>
        <v>0.39425096738531412</v>
      </c>
    </row>
    <row r="3569" spans="1:11" x14ac:dyDescent="0.25">
      <c r="A3569" t="s">
        <v>12761</v>
      </c>
      <c r="C3569" t="s">
        <v>12762</v>
      </c>
      <c r="D3569" t="s">
        <v>5</v>
      </c>
      <c r="E3569" t="s">
        <v>6</v>
      </c>
      <c r="F3569" t="s">
        <v>251</v>
      </c>
      <c r="G3569">
        <v>2</v>
      </c>
      <c r="H3569" s="2">
        <f>Tabelle13[[#This Row],[commits]]/Tabelle13[[#Totals],[commits]]</f>
        <v>9.2955808808492451E-6</v>
      </c>
      <c r="I3569" s="5">
        <f>Tabelle13[[#This Row],[%]]+I3568</f>
        <v>0.97261057093457848</v>
      </c>
      <c r="J3569" s="4">
        <f t="shared" si="143"/>
        <v>1.105583195135434E-4</v>
      </c>
      <c r="K3569" s="5">
        <f t="shared" si="144"/>
        <v>0.39436152570482769</v>
      </c>
    </row>
    <row r="3570" spans="1:11" x14ac:dyDescent="0.25">
      <c r="A3570" t="s">
        <v>12763</v>
      </c>
      <c r="C3570" t="s">
        <v>12764</v>
      </c>
      <c r="D3570" t="s">
        <v>309</v>
      </c>
      <c r="E3570" t="s">
        <v>6</v>
      </c>
      <c r="F3570" t="s">
        <v>251</v>
      </c>
      <c r="G3570">
        <v>2</v>
      </c>
      <c r="H3570" s="2">
        <f>Tabelle13[[#This Row],[commits]]/Tabelle13[[#Totals],[commits]]</f>
        <v>9.2955808808492451E-6</v>
      </c>
      <c r="I3570" s="5">
        <f>Tabelle13[[#This Row],[%]]+I3569</f>
        <v>0.97261986651545929</v>
      </c>
      <c r="J3570" s="4">
        <f t="shared" si="143"/>
        <v>1.105583195135434E-4</v>
      </c>
      <c r="K3570" s="5">
        <f t="shared" si="144"/>
        <v>0.39447208402434125</v>
      </c>
    </row>
    <row r="3571" spans="1:11" x14ac:dyDescent="0.25">
      <c r="A3571" t="s">
        <v>12765</v>
      </c>
      <c r="C3571" t="s">
        <v>12766</v>
      </c>
      <c r="D3571" t="s">
        <v>5</v>
      </c>
      <c r="E3571" t="s">
        <v>6</v>
      </c>
      <c r="F3571" t="s">
        <v>251</v>
      </c>
      <c r="G3571">
        <v>2</v>
      </c>
      <c r="H3571" s="2">
        <f>Tabelle13[[#This Row],[commits]]/Tabelle13[[#Totals],[commits]]</f>
        <v>9.2955808808492451E-6</v>
      </c>
      <c r="I3571" s="5">
        <f>Tabelle13[[#This Row],[%]]+I3570</f>
        <v>0.97262916209634009</v>
      </c>
      <c r="J3571" s="4">
        <f t="shared" si="143"/>
        <v>1.105583195135434E-4</v>
      </c>
      <c r="K3571" s="5">
        <f t="shared" si="144"/>
        <v>0.39458264234385482</v>
      </c>
    </row>
    <row r="3572" spans="1:11" x14ac:dyDescent="0.25">
      <c r="A3572" t="s">
        <v>12767</v>
      </c>
      <c r="C3572" t="s">
        <v>12768</v>
      </c>
      <c r="D3572" t="s">
        <v>5</v>
      </c>
      <c r="E3572" t="s">
        <v>6</v>
      </c>
      <c r="F3572" t="s">
        <v>251</v>
      </c>
      <c r="G3572">
        <v>2</v>
      </c>
      <c r="H3572" s="2">
        <f>Tabelle13[[#This Row],[commits]]/Tabelle13[[#Totals],[commits]]</f>
        <v>9.2955808808492451E-6</v>
      </c>
      <c r="I3572" s="5">
        <f>Tabelle13[[#This Row],[%]]+I3571</f>
        <v>0.9726384576772209</v>
      </c>
      <c r="J3572" s="4">
        <f t="shared" si="143"/>
        <v>1.105583195135434E-4</v>
      </c>
      <c r="K3572" s="5">
        <f t="shared" si="144"/>
        <v>0.39469320066336838</v>
      </c>
    </row>
    <row r="3573" spans="1:11" x14ac:dyDescent="0.25">
      <c r="A3573" t="s">
        <v>12769</v>
      </c>
      <c r="C3573" t="s">
        <v>12770</v>
      </c>
      <c r="D3573" t="s">
        <v>12771</v>
      </c>
      <c r="E3573" t="s">
        <v>6</v>
      </c>
      <c r="F3573" t="s">
        <v>251</v>
      </c>
      <c r="G3573">
        <v>2</v>
      </c>
      <c r="H3573" s="2">
        <f>Tabelle13[[#This Row],[commits]]/Tabelle13[[#Totals],[commits]]</f>
        <v>9.2955808808492451E-6</v>
      </c>
      <c r="I3573" s="5">
        <f>Tabelle13[[#This Row],[%]]+I3572</f>
        <v>0.97264775325810171</v>
      </c>
      <c r="J3573" s="4">
        <f t="shared" si="143"/>
        <v>1.105583195135434E-4</v>
      </c>
      <c r="K3573" s="5">
        <f t="shared" si="144"/>
        <v>0.39480375898288195</v>
      </c>
    </row>
    <row r="3574" spans="1:11" x14ac:dyDescent="0.25">
      <c r="A3574" t="s">
        <v>12772</v>
      </c>
      <c r="C3574" t="s">
        <v>12773</v>
      </c>
      <c r="D3574" t="s">
        <v>5</v>
      </c>
      <c r="E3574" t="s">
        <v>6</v>
      </c>
      <c r="F3574" t="s">
        <v>251</v>
      </c>
      <c r="G3574">
        <v>2</v>
      </c>
      <c r="H3574" s="2">
        <f>Tabelle13[[#This Row],[commits]]/Tabelle13[[#Totals],[commits]]</f>
        <v>9.2955808808492451E-6</v>
      </c>
      <c r="I3574" s="5">
        <f>Tabelle13[[#This Row],[%]]+I3573</f>
        <v>0.97265704883898252</v>
      </c>
      <c r="J3574" s="4">
        <f t="shared" si="143"/>
        <v>1.105583195135434E-4</v>
      </c>
      <c r="K3574" s="5">
        <f t="shared" si="144"/>
        <v>0.39491431730239551</v>
      </c>
    </row>
    <row r="3575" spans="1:11" x14ac:dyDescent="0.25">
      <c r="A3575" t="s">
        <v>12774</v>
      </c>
      <c r="C3575" t="s">
        <v>12775</v>
      </c>
      <c r="D3575" t="s">
        <v>5</v>
      </c>
      <c r="E3575" t="s">
        <v>6</v>
      </c>
      <c r="F3575" t="s">
        <v>251</v>
      </c>
      <c r="G3575">
        <v>2</v>
      </c>
      <c r="H3575" s="2">
        <f>Tabelle13[[#This Row],[commits]]/Tabelle13[[#Totals],[commits]]</f>
        <v>9.2955808808492451E-6</v>
      </c>
      <c r="I3575" s="5">
        <f>Tabelle13[[#This Row],[%]]+I3574</f>
        <v>0.97266634441986333</v>
      </c>
      <c r="J3575" s="4">
        <f t="shared" si="143"/>
        <v>1.105583195135434E-4</v>
      </c>
      <c r="K3575" s="5">
        <f t="shared" si="144"/>
        <v>0.39502487562190908</v>
      </c>
    </row>
    <row r="3576" spans="1:11" x14ac:dyDescent="0.25">
      <c r="A3576" t="s">
        <v>12776</v>
      </c>
      <c r="C3576" t="s">
        <v>12777</v>
      </c>
      <c r="D3576" t="s">
        <v>11585</v>
      </c>
      <c r="E3576" t="s">
        <v>6</v>
      </c>
      <c r="F3576" t="s">
        <v>251</v>
      </c>
      <c r="G3576">
        <v>2</v>
      </c>
      <c r="H3576" s="2">
        <f>Tabelle13[[#This Row],[commits]]/Tabelle13[[#Totals],[commits]]</f>
        <v>9.2955808808492451E-6</v>
      </c>
      <c r="I3576" s="5">
        <f>Tabelle13[[#This Row],[%]]+I3575</f>
        <v>0.97267564000074413</v>
      </c>
      <c r="J3576" s="4">
        <f t="shared" si="143"/>
        <v>1.105583195135434E-4</v>
      </c>
      <c r="K3576" s="5">
        <f t="shared" si="144"/>
        <v>0.39513543394142264</v>
      </c>
    </row>
    <row r="3577" spans="1:11" x14ac:dyDescent="0.25">
      <c r="A3577" t="s">
        <v>12778</v>
      </c>
      <c r="C3577" t="s">
        <v>12779</v>
      </c>
      <c r="D3577" t="s">
        <v>5</v>
      </c>
      <c r="E3577" t="s">
        <v>6</v>
      </c>
      <c r="F3577" t="s">
        <v>251</v>
      </c>
      <c r="G3577">
        <v>2</v>
      </c>
      <c r="H3577" s="2">
        <f>Tabelle13[[#This Row],[commits]]/Tabelle13[[#Totals],[commits]]</f>
        <v>9.2955808808492451E-6</v>
      </c>
      <c r="I3577" s="5">
        <f>Tabelle13[[#This Row],[%]]+I3576</f>
        <v>0.97268493558162494</v>
      </c>
      <c r="J3577" s="4">
        <f t="shared" si="143"/>
        <v>1.105583195135434E-4</v>
      </c>
      <c r="K3577" s="5">
        <f t="shared" si="144"/>
        <v>0.39524599226093621</v>
      </c>
    </row>
    <row r="3578" spans="1:11" x14ac:dyDescent="0.25">
      <c r="A3578" t="s">
        <v>12780</v>
      </c>
      <c r="C3578" t="s">
        <v>2327</v>
      </c>
      <c r="D3578" t="s">
        <v>12781</v>
      </c>
      <c r="E3578" t="s">
        <v>6</v>
      </c>
      <c r="F3578" t="s">
        <v>251</v>
      </c>
      <c r="G3578">
        <v>2</v>
      </c>
      <c r="H3578" s="2">
        <f>Tabelle13[[#This Row],[commits]]/Tabelle13[[#Totals],[commits]]</f>
        <v>9.2955808808492451E-6</v>
      </c>
      <c r="I3578" s="5">
        <f>Tabelle13[[#This Row],[%]]+I3577</f>
        <v>0.97269423116250575</v>
      </c>
      <c r="J3578" s="4">
        <f t="shared" si="143"/>
        <v>1.105583195135434E-4</v>
      </c>
      <c r="K3578" s="5">
        <f t="shared" si="144"/>
        <v>0.39535655058044977</v>
      </c>
    </row>
    <row r="3579" spans="1:11" x14ac:dyDescent="0.25">
      <c r="A3579" t="s">
        <v>12782</v>
      </c>
      <c r="C3579" t="s">
        <v>12783</v>
      </c>
      <c r="D3579" t="s">
        <v>309</v>
      </c>
      <c r="E3579" t="s">
        <v>6</v>
      </c>
      <c r="F3579" t="s">
        <v>251</v>
      </c>
      <c r="G3579">
        <v>2</v>
      </c>
      <c r="H3579" s="2">
        <f>Tabelle13[[#This Row],[commits]]/Tabelle13[[#Totals],[commits]]</f>
        <v>9.2955808808492451E-6</v>
      </c>
      <c r="I3579" s="5">
        <f>Tabelle13[[#This Row],[%]]+I3578</f>
        <v>0.97270352674338656</v>
      </c>
      <c r="J3579" s="4">
        <f t="shared" si="143"/>
        <v>1.105583195135434E-4</v>
      </c>
      <c r="K3579" s="5">
        <f t="shared" si="144"/>
        <v>0.39546710889996334</v>
      </c>
    </row>
    <row r="3580" spans="1:11" x14ac:dyDescent="0.25">
      <c r="A3580" t="s">
        <v>12784</v>
      </c>
      <c r="C3580" t="s">
        <v>12785</v>
      </c>
      <c r="D3580" t="s">
        <v>309</v>
      </c>
      <c r="E3580" t="s">
        <v>6</v>
      </c>
      <c r="F3580" t="s">
        <v>251</v>
      </c>
      <c r="G3580">
        <v>2</v>
      </c>
      <c r="H3580" s="2">
        <f>Tabelle13[[#This Row],[commits]]/Tabelle13[[#Totals],[commits]]</f>
        <v>9.2955808808492451E-6</v>
      </c>
      <c r="I3580" s="5">
        <f>Tabelle13[[#This Row],[%]]+I3579</f>
        <v>0.97271282232426737</v>
      </c>
      <c r="J3580" s="4">
        <f t="shared" si="143"/>
        <v>1.105583195135434E-4</v>
      </c>
      <c r="K3580" s="5">
        <f t="shared" si="144"/>
        <v>0.3955776672194769</v>
      </c>
    </row>
    <row r="3581" spans="1:11" x14ac:dyDescent="0.25">
      <c r="A3581" t="s">
        <v>12786</v>
      </c>
      <c r="C3581" t="s">
        <v>12787</v>
      </c>
      <c r="D3581" t="s">
        <v>309</v>
      </c>
      <c r="E3581" t="s">
        <v>6</v>
      </c>
      <c r="F3581" t="s">
        <v>251</v>
      </c>
      <c r="G3581">
        <v>2</v>
      </c>
      <c r="H3581" s="2">
        <f>Tabelle13[[#This Row],[commits]]/Tabelle13[[#Totals],[commits]]</f>
        <v>9.2955808808492451E-6</v>
      </c>
      <c r="I3581" s="5">
        <f>Tabelle13[[#This Row],[%]]+I3580</f>
        <v>0.97272211790514818</v>
      </c>
      <c r="J3581" s="4">
        <f t="shared" si="143"/>
        <v>1.105583195135434E-4</v>
      </c>
      <c r="K3581" s="5">
        <f t="shared" si="144"/>
        <v>0.39568822553899047</v>
      </c>
    </row>
    <row r="3582" spans="1:11" x14ac:dyDescent="0.25">
      <c r="A3582" t="s">
        <v>12788</v>
      </c>
      <c r="C3582" t="s">
        <v>12789</v>
      </c>
      <c r="D3582" t="s">
        <v>309</v>
      </c>
      <c r="E3582" t="s">
        <v>6</v>
      </c>
      <c r="F3582" t="s">
        <v>251</v>
      </c>
      <c r="G3582">
        <v>2</v>
      </c>
      <c r="H3582" s="2">
        <f>Tabelle13[[#This Row],[commits]]/Tabelle13[[#Totals],[commits]]</f>
        <v>9.2955808808492451E-6</v>
      </c>
      <c r="I3582" s="5">
        <f>Tabelle13[[#This Row],[%]]+I3581</f>
        <v>0.97273141348602898</v>
      </c>
      <c r="J3582" s="4">
        <f t="shared" si="143"/>
        <v>1.105583195135434E-4</v>
      </c>
      <c r="K3582" s="5">
        <f t="shared" si="144"/>
        <v>0.39579878385850403</v>
      </c>
    </row>
    <row r="3583" spans="1:11" x14ac:dyDescent="0.25">
      <c r="A3583" t="s">
        <v>12790</v>
      </c>
      <c r="C3583" t="s">
        <v>12791</v>
      </c>
      <c r="D3583" t="s">
        <v>5</v>
      </c>
      <c r="E3583" t="s">
        <v>6</v>
      </c>
      <c r="F3583" t="s">
        <v>251</v>
      </c>
      <c r="G3583">
        <v>2</v>
      </c>
      <c r="H3583" s="2">
        <f>Tabelle13[[#This Row],[commits]]/Tabelle13[[#Totals],[commits]]</f>
        <v>9.2955808808492451E-6</v>
      </c>
      <c r="I3583" s="5">
        <f>Tabelle13[[#This Row],[%]]+I3582</f>
        <v>0.97274070906690979</v>
      </c>
      <c r="J3583" s="4">
        <f t="shared" si="143"/>
        <v>1.105583195135434E-4</v>
      </c>
      <c r="K3583" s="5">
        <f t="shared" si="144"/>
        <v>0.3959093421780176</v>
      </c>
    </row>
    <row r="3584" spans="1:11" x14ac:dyDescent="0.25">
      <c r="A3584" t="s">
        <v>12792</v>
      </c>
      <c r="C3584" t="s">
        <v>12793</v>
      </c>
      <c r="D3584" t="s">
        <v>10461</v>
      </c>
      <c r="E3584" t="s">
        <v>6</v>
      </c>
      <c r="F3584" t="s">
        <v>251</v>
      </c>
      <c r="G3584">
        <v>2</v>
      </c>
      <c r="H3584" s="2">
        <f>Tabelle13[[#This Row],[commits]]/Tabelle13[[#Totals],[commits]]</f>
        <v>9.2955808808492451E-6</v>
      </c>
      <c r="I3584" s="5">
        <f>Tabelle13[[#This Row],[%]]+I3583</f>
        <v>0.9727500046477906</v>
      </c>
      <c r="J3584" s="4">
        <f t="shared" si="143"/>
        <v>1.105583195135434E-4</v>
      </c>
      <c r="K3584" s="5">
        <f t="shared" si="144"/>
        <v>0.39601990049753116</v>
      </c>
    </row>
    <row r="3585" spans="1:11" x14ac:dyDescent="0.25">
      <c r="A3585" t="s">
        <v>12794</v>
      </c>
      <c r="C3585" t="s">
        <v>12795</v>
      </c>
      <c r="D3585" t="s">
        <v>5</v>
      </c>
      <c r="E3585" t="s">
        <v>6</v>
      </c>
      <c r="F3585" t="s">
        <v>251</v>
      </c>
      <c r="G3585">
        <v>2</v>
      </c>
      <c r="H3585" s="2">
        <f>Tabelle13[[#This Row],[commits]]/Tabelle13[[#Totals],[commits]]</f>
        <v>9.2955808808492451E-6</v>
      </c>
      <c r="I3585" s="5">
        <f>Tabelle13[[#This Row],[%]]+I3584</f>
        <v>0.97275930022867141</v>
      </c>
      <c r="J3585" s="4">
        <f t="shared" si="143"/>
        <v>1.105583195135434E-4</v>
      </c>
      <c r="K3585" s="5">
        <f t="shared" si="144"/>
        <v>0.39613045881704473</v>
      </c>
    </row>
    <row r="3586" spans="1:11" x14ac:dyDescent="0.25">
      <c r="A3586" t="s">
        <v>12796</v>
      </c>
      <c r="C3586" t="s">
        <v>12797</v>
      </c>
      <c r="D3586" t="s">
        <v>309</v>
      </c>
      <c r="E3586" t="s">
        <v>6</v>
      </c>
      <c r="F3586" t="s">
        <v>251</v>
      </c>
      <c r="G3586">
        <v>2</v>
      </c>
      <c r="H3586" s="2">
        <f>Tabelle13[[#This Row],[commits]]/Tabelle13[[#Totals],[commits]]</f>
        <v>9.2955808808492451E-6</v>
      </c>
      <c r="I3586" s="5">
        <f>Tabelle13[[#This Row],[%]]+I3585</f>
        <v>0.97276859580955222</v>
      </c>
      <c r="J3586" s="4">
        <f t="shared" si="143"/>
        <v>1.105583195135434E-4</v>
      </c>
      <c r="K3586" s="5">
        <f t="shared" si="144"/>
        <v>0.39624101713655829</v>
      </c>
    </row>
    <row r="3587" spans="1:11" x14ac:dyDescent="0.25">
      <c r="A3587" t="s">
        <v>12798</v>
      </c>
      <c r="C3587" t="s">
        <v>12799</v>
      </c>
      <c r="D3587" t="s">
        <v>5</v>
      </c>
      <c r="E3587" t="s">
        <v>6</v>
      </c>
      <c r="F3587" t="s">
        <v>251</v>
      </c>
      <c r="G3587">
        <v>2</v>
      </c>
      <c r="H3587" s="2">
        <f>Tabelle13[[#This Row],[commits]]/Tabelle13[[#Totals],[commits]]</f>
        <v>9.2955808808492451E-6</v>
      </c>
      <c r="I3587" s="5">
        <f>Tabelle13[[#This Row],[%]]+I3586</f>
        <v>0.97277789139043302</v>
      </c>
      <c r="J3587" s="4">
        <f t="shared" ref="J3587:J3650" si="145">1/9045</f>
        <v>1.105583195135434E-4</v>
      </c>
      <c r="K3587" s="5">
        <f t="shared" si="144"/>
        <v>0.39635157545607186</v>
      </c>
    </row>
    <row r="3588" spans="1:11" x14ac:dyDescent="0.25">
      <c r="A3588" t="s">
        <v>12800</v>
      </c>
      <c r="C3588" t="s">
        <v>12801</v>
      </c>
      <c r="D3588" t="s">
        <v>5</v>
      </c>
      <c r="E3588" t="s">
        <v>6</v>
      </c>
      <c r="F3588" t="s">
        <v>251</v>
      </c>
      <c r="G3588">
        <v>2</v>
      </c>
      <c r="H3588" s="2">
        <f>Tabelle13[[#This Row],[commits]]/Tabelle13[[#Totals],[commits]]</f>
        <v>9.2955808808492451E-6</v>
      </c>
      <c r="I3588" s="5">
        <f>Tabelle13[[#This Row],[%]]+I3587</f>
        <v>0.97278718697131383</v>
      </c>
      <c r="J3588" s="4">
        <f t="shared" si="145"/>
        <v>1.105583195135434E-4</v>
      </c>
      <c r="K3588" s="5">
        <f t="shared" si="144"/>
        <v>0.39646213377558542</v>
      </c>
    </row>
    <row r="3589" spans="1:11" x14ac:dyDescent="0.25">
      <c r="A3589" t="s">
        <v>12802</v>
      </c>
      <c r="C3589" t="s">
        <v>12803</v>
      </c>
      <c r="D3589" t="s">
        <v>5</v>
      </c>
      <c r="E3589" t="s">
        <v>6</v>
      </c>
      <c r="F3589" t="s">
        <v>251</v>
      </c>
      <c r="G3589">
        <v>2</v>
      </c>
      <c r="H3589" s="2">
        <f>Tabelle13[[#This Row],[commits]]/Tabelle13[[#Totals],[commits]]</f>
        <v>9.2955808808492451E-6</v>
      </c>
      <c r="I3589" s="5">
        <f>Tabelle13[[#This Row],[%]]+I3588</f>
        <v>0.97279648255219464</v>
      </c>
      <c r="J3589" s="4">
        <f t="shared" si="145"/>
        <v>1.105583195135434E-4</v>
      </c>
      <c r="K3589" s="5">
        <f t="shared" si="144"/>
        <v>0.39657269209509899</v>
      </c>
    </row>
    <row r="3590" spans="1:11" x14ac:dyDescent="0.25">
      <c r="A3590" t="s">
        <v>12804</v>
      </c>
      <c r="C3590" t="s">
        <v>12805</v>
      </c>
      <c r="D3590" t="s">
        <v>5</v>
      </c>
      <c r="E3590" t="s">
        <v>6</v>
      </c>
      <c r="F3590" t="s">
        <v>251</v>
      </c>
      <c r="G3590">
        <v>2</v>
      </c>
      <c r="H3590" s="2">
        <f>Tabelle13[[#This Row],[commits]]/Tabelle13[[#Totals],[commits]]</f>
        <v>9.2955808808492451E-6</v>
      </c>
      <c r="I3590" s="5">
        <f>Tabelle13[[#This Row],[%]]+I3589</f>
        <v>0.97280577813307545</v>
      </c>
      <c r="J3590" s="4">
        <f t="shared" si="145"/>
        <v>1.105583195135434E-4</v>
      </c>
      <c r="K3590" s="5">
        <f t="shared" ref="K3590:K3653" si="146">J3590+K3589</f>
        <v>0.39668325041461255</v>
      </c>
    </row>
    <row r="3591" spans="1:11" x14ac:dyDescent="0.25">
      <c r="A3591" t="s">
        <v>12806</v>
      </c>
      <c r="C3591" t="s">
        <v>12807</v>
      </c>
      <c r="D3591" t="s">
        <v>5</v>
      </c>
      <c r="E3591" t="s">
        <v>6</v>
      </c>
      <c r="F3591" t="s">
        <v>251</v>
      </c>
      <c r="G3591">
        <v>2</v>
      </c>
      <c r="H3591" s="2">
        <f>Tabelle13[[#This Row],[commits]]/Tabelle13[[#Totals],[commits]]</f>
        <v>9.2955808808492451E-6</v>
      </c>
      <c r="I3591" s="5">
        <f>Tabelle13[[#This Row],[%]]+I3590</f>
        <v>0.97281507371395626</v>
      </c>
      <c r="J3591" s="4">
        <f t="shared" si="145"/>
        <v>1.105583195135434E-4</v>
      </c>
      <c r="K3591" s="5">
        <f t="shared" si="146"/>
        <v>0.39679380873412612</v>
      </c>
    </row>
    <row r="3592" spans="1:11" x14ac:dyDescent="0.25">
      <c r="A3592" t="s">
        <v>12808</v>
      </c>
      <c r="C3592" t="s">
        <v>12809</v>
      </c>
      <c r="D3592" t="s">
        <v>5</v>
      </c>
      <c r="E3592" t="s">
        <v>6</v>
      </c>
      <c r="F3592" t="s">
        <v>251</v>
      </c>
      <c r="G3592">
        <v>2</v>
      </c>
      <c r="H3592" s="2">
        <f>Tabelle13[[#This Row],[commits]]/Tabelle13[[#Totals],[commits]]</f>
        <v>9.2955808808492451E-6</v>
      </c>
      <c r="I3592" s="5">
        <f>Tabelle13[[#This Row],[%]]+I3591</f>
        <v>0.97282436929483707</v>
      </c>
      <c r="J3592" s="4">
        <f t="shared" si="145"/>
        <v>1.105583195135434E-4</v>
      </c>
      <c r="K3592" s="5">
        <f t="shared" si="146"/>
        <v>0.39690436705363968</v>
      </c>
    </row>
    <row r="3593" spans="1:11" x14ac:dyDescent="0.25">
      <c r="A3593" t="s">
        <v>12810</v>
      </c>
      <c r="C3593" t="s">
        <v>12811</v>
      </c>
      <c r="D3593" t="s">
        <v>5</v>
      </c>
      <c r="E3593" t="s">
        <v>6</v>
      </c>
      <c r="F3593" t="s">
        <v>251</v>
      </c>
      <c r="G3593">
        <v>2</v>
      </c>
      <c r="H3593" s="2">
        <f>Tabelle13[[#This Row],[commits]]/Tabelle13[[#Totals],[commits]]</f>
        <v>9.2955808808492451E-6</v>
      </c>
      <c r="I3593" s="5">
        <f>Tabelle13[[#This Row],[%]]+I3592</f>
        <v>0.97283366487571787</v>
      </c>
      <c r="J3593" s="4">
        <f t="shared" si="145"/>
        <v>1.105583195135434E-4</v>
      </c>
      <c r="K3593" s="5">
        <f t="shared" si="146"/>
        <v>0.39701492537315325</v>
      </c>
    </row>
    <row r="3594" spans="1:11" x14ac:dyDescent="0.25">
      <c r="A3594" t="s">
        <v>12812</v>
      </c>
      <c r="C3594" t="s">
        <v>12813</v>
      </c>
      <c r="D3594" t="s">
        <v>5</v>
      </c>
      <c r="E3594" t="s">
        <v>6</v>
      </c>
      <c r="F3594" t="s">
        <v>251</v>
      </c>
      <c r="G3594">
        <v>2</v>
      </c>
      <c r="H3594" s="2">
        <f>Tabelle13[[#This Row],[commits]]/Tabelle13[[#Totals],[commits]]</f>
        <v>9.2955808808492451E-6</v>
      </c>
      <c r="I3594" s="5">
        <f>Tabelle13[[#This Row],[%]]+I3593</f>
        <v>0.97284296045659868</v>
      </c>
      <c r="J3594" s="4">
        <f t="shared" si="145"/>
        <v>1.105583195135434E-4</v>
      </c>
      <c r="K3594" s="5">
        <f t="shared" si="146"/>
        <v>0.39712548369266681</v>
      </c>
    </row>
    <row r="3595" spans="1:11" x14ac:dyDescent="0.25">
      <c r="A3595" t="s">
        <v>12814</v>
      </c>
      <c r="C3595" t="s">
        <v>12815</v>
      </c>
      <c r="D3595" t="s">
        <v>309</v>
      </c>
      <c r="E3595" t="s">
        <v>6</v>
      </c>
      <c r="F3595" t="s">
        <v>251</v>
      </c>
      <c r="G3595">
        <v>2</v>
      </c>
      <c r="H3595" s="2">
        <f>Tabelle13[[#This Row],[commits]]/Tabelle13[[#Totals],[commits]]</f>
        <v>9.2955808808492451E-6</v>
      </c>
      <c r="I3595" s="5">
        <f>Tabelle13[[#This Row],[%]]+I3594</f>
        <v>0.97285225603747949</v>
      </c>
      <c r="J3595" s="4">
        <f t="shared" si="145"/>
        <v>1.105583195135434E-4</v>
      </c>
      <c r="K3595" s="5">
        <f t="shared" si="146"/>
        <v>0.39723604201218038</v>
      </c>
    </row>
    <row r="3596" spans="1:11" x14ac:dyDescent="0.25">
      <c r="A3596" t="s">
        <v>12816</v>
      </c>
      <c r="C3596" t="s">
        <v>12817</v>
      </c>
      <c r="D3596" t="s">
        <v>5</v>
      </c>
      <c r="E3596" t="s">
        <v>6</v>
      </c>
      <c r="F3596" t="s">
        <v>251</v>
      </c>
      <c r="G3596">
        <v>2</v>
      </c>
      <c r="H3596" s="2">
        <f>Tabelle13[[#This Row],[commits]]/Tabelle13[[#Totals],[commits]]</f>
        <v>9.2955808808492451E-6</v>
      </c>
      <c r="I3596" s="5">
        <f>Tabelle13[[#This Row],[%]]+I3595</f>
        <v>0.9728615516183603</v>
      </c>
      <c r="J3596" s="4">
        <f t="shared" si="145"/>
        <v>1.105583195135434E-4</v>
      </c>
      <c r="K3596" s="5">
        <f t="shared" si="146"/>
        <v>0.39734660033169394</v>
      </c>
    </row>
    <row r="3597" spans="1:11" x14ac:dyDescent="0.25">
      <c r="A3597" t="s">
        <v>12818</v>
      </c>
      <c r="C3597" t="s">
        <v>12819</v>
      </c>
      <c r="D3597" t="s">
        <v>5</v>
      </c>
      <c r="E3597" t="s">
        <v>6</v>
      </c>
      <c r="F3597" t="s">
        <v>251</v>
      </c>
      <c r="G3597">
        <v>2</v>
      </c>
      <c r="H3597" s="2">
        <f>Tabelle13[[#This Row],[commits]]/Tabelle13[[#Totals],[commits]]</f>
        <v>9.2955808808492451E-6</v>
      </c>
      <c r="I3597" s="5">
        <f>Tabelle13[[#This Row],[%]]+I3596</f>
        <v>0.97287084719924111</v>
      </c>
      <c r="J3597" s="4">
        <f t="shared" si="145"/>
        <v>1.105583195135434E-4</v>
      </c>
      <c r="K3597" s="5">
        <f t="shared" si="146"/>
        <v>0.39745715865120751</v>
      </c>
    </row>
    <row r="3598" spans="1:11" x14ac:dyDescent="0.25">
      <c r="A3598" t="s">
        <v>12820</v>
      </c>
      <c r="C3598" t="s">
        <v>12821</v>
      </c>
      <c r="D3598" t="s">
        <v>5</v>
      </c>
      <c r="E3598" t="s">
        <v>6</v>
      </c>
      <c r="F3598" t="s">
        <v>251</v>
      </c>
      <c r="G3598">
        <v>2</v>
      </c>
      <c r="H3598" s="2">
        <f>Tabelle13[[#This Row],[commits]]/Tabelle13[[#Totals],[commits]]</f>
        <v>9.2955808808492451E-6</v>
      </c>
      <c r="I3598" s="5">
        <f>Tabelle13[[#This Row],[%]]+I3597</f>
        <v>0.97288014278012191</v>
      </c>
      <c r="J3598" s="4">
        <f t="shared" si="145"/>
        <v>1.105583195135434E-4</v>
      </c>
      <c r="K3598" s="5">
        <f t="shared" si="146"/>
        <v>0.39756771697072107</v>
      </c>
    </row>
    <row r="3599" spans="1:11" x14ac:dyDescent="0.25">
      <c r="A3599" t="s">
        <v>12822</v>
      </c>
      <c r="C3599" t="s">
        <v>12823</v>
      </c>
      <c r="D3599" t="s">
        <v>5</v>
      </c>
      <c r="E3599" t="s">
        <v>6</v>
      </c>
      <c r="F3599" t="s">
        <v>251</v>
      </c>
      <c r="G3599">
        <v>2</v>
      </c>
      <c r="H3599" s="2">
        <f>Tabelle13[[#This Row],[commits]]/Tabelle13[[#Totals],[commits]]</f>
        <v>9.2955808808492451E-6</v>
      </c>
      <c r="I3599" s="5">
        <f>Tabelle13[[#This Row],[%]]+I3598</f>
        <v>0.97288943836100272</v>
      </c>
      <c r="J3599" s="4">
        <f t="shared" si="145"/>
        <v>1.105583195135434E-4</v>
      </c>
      <c r="K3599" s="5">
        <f t="shared" si="146"/>
        <v>0.39767827529023464</v>
      </c>
    </row>
    <row r="3600" spans="1:11" x14ac:dyDescent="0.25">
      <c r="A3600" t="s">
        <v>12824</v>
      </c>
      <c r="C3600" t="s">
        <v>12825</v>
      </c>
      <c r="D3600" t="s">
        <v>5</v>
      </c>
      <c r="E3600" t="s">
        <v>6</v>
      </c>
      <c r="F3600" t="s">
        <v>251</v>
      </c>
      <c r="G3600">
        <v>2</v>
      </c>
      <c r="H3600" s="2">
        <f>Tabelle13[[#This Row],[commits]]/Tabelle13[[#Totals],[commits]]</f>
        <v>9.2955808808492451E-6</v>
      </c>
      <c r="I3600" s="5">
        <f>Tabelle13[[#This Row],[%]]+I3599</f>
        <v>0.97289873394188353</v>
      </c>
      <c r="J3600" s="4">
        <f t="shared" si="145"/>
        <v>1.105583195135434E-4</v>
      </c>
      <c r="K3600" s="5">
        <f t="shared" si="146"/>
        <v>0.3977888336097482</v>
      </c>
    </row>
    <row r="3601" spans="1:11" x14ac:dyDescent="0.25">
      <c r="A3601" t="s">
        <v>12826</v>
      </c>
      <c r="C3601" t="s">
        <v>12827</v>
      </c>
      <c r="D3601" t="s">
        <v>5</v>
      </c>
      <c r="E3601" t="s">
        <v>6</v>
      </c>
      <c r="F3601" t="s">
        <v>251</v>
      </c>
      <c r="G3601">
        <v>2</v>
      </c>
      <c r="H3601" s="2">
        <f>Tabelle13[[#This Row],[commits]]/Tabelle13[[#Totals],[commits]]</f>
        <v>9.2955808808492451E-6</v>
      </c>
      <c r="I3601" s="5">
        <f>Tabelle13[[#This Row],[%]]+I3600</f>
        <v>0.97290802952276434</v>
      </c>
      <c r="J3601" s="4">
        <f t="shared" si="145"/>
        <v>1.105583195135434E-4</v>
      </c>
      <c r="K3601" s="5">
        <f t="shared" si="146"/>
        <v>0.39789939192926177</v>
      </c>
    </row>
    <row r="3602" spans="1:11" x14ac:dyDescent="0.25">
      <c r="A3602" t="s">
        <v>12828</v>
      </c>
      <c r="C3602" t="s">
        <v>12829</v>
      </c>
      <c r="D3602" t="s">
        <v>5</v>
      </c>
      <c r="E3602" t="s">
        <v>6</v>
      </c>
      <c r="F3602" t="s">
        <v>251</v>
      </c>
      <c r="G3602">
        <v>2</v>
      </c>
      <c r="H3602" s="2">
        <f>Tabelle13[[#This Row],[commits]]/Tabelle13[[#Totals],[commits]]</f>
        <v>9.2955808808492451E-6</v>
      </c>
      <c r="I3602" s="5">
        <f>Tabelle13[[#This Row],[%]]+I3601</f>
        <v>0.97291732510364515</v>
      </c>
      <c r="J3602" s="4">
        <f t="shared" si="145"/>
        <v>1.105583195135434E-4</v>
      </c>
      <c r="K3602" s="5">
        <f t="shared" si="146"/>
        <v>0.39800995024877533</v>
      </c>
    </row>
    <row r="3603" spans="1:11" x14ac:dyDescent="0.25">
      <c r="A3603" t="s">
        <v>12830</v>
      </c>
      <c r="C3603" t="s">
        <v>12831</v>
      </c>
      <c r="D3603" t="s">
        <v>309</v>
      </c>
      <c r="E3603" t="s">
        <v>6</v>
      </c>
      <c r="F3603" t="s">
        <v>251</v>
      </c>
      <c r="G3603">
        <v>2</v>
      </c>
      <c r="H3603" s="2">
        <f>Tabelle13[[#This Row],[commits]]/Tabelle13[[#Totals],[commits]]</f>
        <v>9.2955808808492451E-6</v>
      </c>
      <c r="I3603" s="5">
        <f>Tabelle13[[#This Row],[%]]+I3602</f>
        <v>0.97292662068452596</v>
      </c>
      <c r="J3603" s="4">
        <f t="shared" si="145"/>
        <v>1.105583195135434E-4</v>
      </c>
      <c r="K3603" s="5">
        <f t="shared" si="146"/>
        <v>0.3981205085682889</v>
      </c>
    </row>
    <row r="3604" spans="1:11" x14ac:dyDescent="0.25">
      <c r="A3604" t="s">
        <v>12832</v>
      </c>
      <c r="C3604" t="s">
        <v>12833</v>
      </c>
      <c r="D3604" t="s">
        <v>11686</v>
      </c>
      <c r="E3604" t="s">
        <v>6</v>
      </c>
      <c r="F3604" t="s">
        <v>251</v>
      </c>
      <c r="G3604">
        <v>2</v>
      </c>
      <c r="H3604" s="2">
        <f>Tabelle13[[#This Row],[commits]]/Tabelle13[[#Totals],[commits]]</f>
        <v>9.2955808808492451E-6</v>
      </c>
      <c r="I3604" s="5">
        <f>Tabelle13[[#This Row],[%]]+I3603</f>
        <v>0.97293591626540676</v>
      </c>
      <c r="J3604" s="4">
        <f t="shared" si="145"/>
        <v>1.105583195135434E-4</v>
      </c>
      <c r="K3604" s="5">
        <f t="shared" si="146"/>
        <v>0.39823106688780247</v>
      </c>
    </row>
    <row r="3605" spans="1:11" x14ac:dyDescent="0.25">
      <c r="A3605" t="s">
        <v>12834</v>
      </c>
      <c r="C3605" t="s">
        <v>12835</v>
      </c>
      <c r="D3605" t="s">
        <v>5</v>
      </c>
      <c r="E3605" t="s">
        <v>6</v>
      </c>
      <c r="F3605" t="s">
        <v>251</v>
      </c>
      <c r="G3605">
        <v>2</v>
      </c>
      <c r="H3605" s="2">
        <f>Tabelle13[[#This Row],[commits]]/Tabelle13[[#Totals],[commits]]</f>
        <v>9.2955808808492451E-6</v>
      </c>
      <c r="I3605" s="5">
        <f>Tabelle13[[#This Row],[%]]+I3604</f>
        <v>0.97294521184628757</v>
      </c>
      <c r="J3605" s="4">
        <f t="shared" si="145"/>
        <v>1.105583195135434E-4</v>
      </c>
      <c r="K3605" s="5">
        <f t="shared" si="146"/>
        <v>0.39834162520731603</v>
      </c>
    </row>
    <row r="3606" spans="1:11" x14ac:dyDescent="0.25">
      <c r="A3606" t="s">
        <v>12836</v>
      </c>
      <c r="C3606" t="s">
        <v>12837</v>
      </c>
      <c r="D3606" t="s">
        <v>5</v>
      </c>
      <c r="E3606" t="s">
        <v>6</v>
      </c>
      <c r="F3606" t="s">
        <v>251</v>
      </c>
      <c r="G3606">
        <v>2</v>
      </c>
      <c r="H3606" s="2">
        <f>Tabelle13[[#This Row],[commits]]/Tabelle13[[#Totals],[commits]]</f>
        <v>9.2955808808492451E-6</v>
      </c>
      <c r="I3606" s="5">
        <f>Tabelle13[[#This Row],[%]]+I3605</f>
        <v>0.97295450742716838</v>
      </c>
      <c r="J3606" s="4">
        <f t="shared" si="145"/>
        <v>1.105583195135434E-4</v>
      </c>
      <c r="K3606" s="5">
        <f t="shared" si="146"/>
        <v>0.3984521835268296</v>
      </c>
    </row>
    <row r="3607" spans="1:11" x14ac:dyDescent="0.25">
      <c r="A3607" t="s">
        <v>12838</v>
      </c>
      <c r="C3607" t="s">
        <v>12839</v>
      </c>
      <c r="D3607" t="s">
        <v>5</v>
      </c>
      <c r="E3607" t="s">
        <v>6</v>
      </c>
      <c r="F3607" t="s">
        <v>251</v>
      </c>
      <c r="G3607">
        <v>2</v>
      </c>
      <c r="H3607" s="2">
        <f>Tabelle13[[#This Row],[commits]]/Tabelle13[[#Totals],[commits]]</f>
        <v>9.2955808808492451E-6</v>
      </c>
      <c r="I3607" s="5">
        <f>Tabelle13[[#This Row],[%]]+I3606</f>
        <v>0.97296380300804919</v>
      </c>
      <c r="J3607" s="4">
        <f t="shared" si="145"/>
        <v>1.105583195135434E-4</v>
      </c>
      <c r="K3607" s="5">
        <f t="shared" si="146"/>
        <v>0.39856274184634316</v>
      </c>
    </row>
    <row r="3608" spans="1:11" x14ac:dyDescent="0.25">
      <c r="A3608" t="s">
        <v>12840</v>
      </c>
      <c r="C3608" t="s">
        <v>12841</v>
      </c>
      <c r="D3608" t="s">
        <v>5</v>
      </c>
      <c r="E3608" t="s">
        <v>6</v>
      </c>
      <c r="F3608" t="s">
        <v>251</v>
      </c>
      <c r="G3608">
        <v>2</v>
      </c>
      <c r="H3608" s="2">
        <f>Tabelle13[[#This Row],[commits]]/Tabelle13[[#Totals],[commits]]</f>
        <v>9.2955808808492451E-6</v>
      </c>
      <c r="I3608" s="5">
        <f>Tabelle13[[#This Row],[%]]+I3607</f>
        <v>0.97297309858893</v>
      </c>
      <c r="J3608" s="4">
        <f t="shared" si="145"/>
        <v>1.105583195135434E-4</v>
      </c>
      <c r="K3608" s="5">
        <f t="shared" si="146"/>
        <v>0.39867330016585673</v>
      </c>
    </row>
    <row r="3609" spans="1:11" x14ac:dyDescent="0.25">
      <c r="A3609" t="s">
        <v>12842</v>
      </c>
      <c r="C3609" t="s">
        <v>12843</v>
      </c>
      <c r="D3609" t="s">
        <v>5</v>
      </c>
      <c r="E3609" t="s">
        <v>6</v>
      </c>
      <c r="F3609" t="s">
        <v>251</v>
      </c>
      <c r="G3609">
        <v>2</v>
      </c>
      <c r="H3609" s="2">
        <f>Tabelle13[[#This Row],[commits]]/Tabelle13[[#Totals],[commits]]</f>
        <v>9.2955808808492451E-6</v>
      </c>
      <c r="I3609" s="5">
        <f>Tabelle13[[#This Row],[%]]+I3608</f>
        <v>0.9729823941698108</v>
      </c>
      <c r="J3609" s="4">
        <f t="shared" si="145"/>
        <v>1.105583195135434E-4</v>
      </c>
      <c r="K3609" s="5">
        <f t="shared" si="146"/>
        <v>0.39878385848537029</v>
      </c>
    </row>
    <row r="3610" spans="1:11" x14ac:dyDescent="0.25">
      <c r="A3610" t="s">
        <v>12844</v>
      </c>
      <c r="C3610" t="s">
        <v>12845</v>
      </c>
      <c r="D3610" t="s">
        <v>5</v>
      </c>
      <c r="E3610" t="s">
        <v>6</v>
      </c>
      <c r="F3610" t="s">
        <v>251</v>
      </c>
      <c r="G3610">
        <v>2</v>
      </c>
      <c r="H3610" s="2">
        <f>Tabelle13[[#This Row],[commits]]/Tabelle13[[#Totals],[commits]]</f>
        <v>9.2955808808492451E-6</v>
      </c>
      <c r="I3610" s="5">
        <f>Tabelle13[[#This Row],[%]]+I3609</f>
        <v>0.97299168975069161</v>
      </c>
      <c r="J3610" s="4">
        <f t="shared" si="145"/>
        <v>1.105583195135434E-4</v>
      </c>
      <c r="K3610" s="5">
        <f t="shared" si="146"/>
        <v>0.39889441680488386</v>
      </c>
    </row>
    <row r="3611" spans="1:11" x14ac:dyDescent="0.25">
      <c r="A3611" t="s">
        <v>12846</v>
      </c>
      <c r="C3611" t="s">
        <v>12847</v>
      </c>
      <c r="D3611" t="s">
        <v>12848</v>
      </c>
      <c r="E3611" t="s">
        <v>6</v>
      </c>
      <c r="F3611" t="s">
        <v>251</v>
      </c>
      <c r="G3611">
        <v>2</v>
      </c>
      <c r="H3611" s="2">
        <f>Tabelle13[[#This Row],[commits]]/Tabelle13[[#Totals],[commits]]</f>
        <v>9.2955808808492451E-6</v>
      </c>
      <c r="I3611" s="5">
        <f>Tabelle13[[#This Row],[%]]+I3610</f>
        <v>0.97300098533157242</v>
      </c>
      <c r="J3611" s="4">
        <f t="shared" si="145"/>
        <v>1.105583195135434E-4</v>
      </c>
      <c r="K3611" s="5">
        <f t="shared" si="146"/>
        <v>0.39900497512439742</v>
      </c>
    </row>
    <row r="3612" spans="1:11" x14ac:dyDescent="0.25">
      <c r="A3612" t="s">
        <v>12849</v>
      </c>
      <c r="C3612" t="s">
        <v>12850</v>
      </c>
      <c r="D3612" t="s">
        <v>5</v>
      </c>
      <c r="E3612" t="s">
        <v>6</v>
      </c>
      <c r="F3612" t="s">
        <v>251</v>
      </c>
      <c r="G3612">
        <v>2</v>
      </c>
      <c r="H3612" s="2">
        <f>Tabelle13[[#This Row],[commits]]/Tabelle13[[#Totals],[commits]]</f>
        <v>9.2955808808492451E-6</v>
      </c>
      <c r="I3612" s="5">
        <f>Tabelle13[[#This Row],[%]]+I3611</f>
        <v>0.97301028091245323</v>
      </c>
      <c r="J3612" s="4">
        <f t="shared" si="145"/>
        <v>1.105583195135434E-4</v>
      </c>
      <c r="K3612" s="5">
        <f t="shared" si="146"/>
        <v>0.39911553344391099</v>
      </c>
    </row>
    <row r="3613" spans="1:11" x14ac:dyDescent="0.25">
      <c r="A3613" t="s">
        <v>12851</v>
      </c>
      <c r="C3613" t="s">
        <v>12852</v>
      </c>
      <c r="D3613" t="s">
        <v>5</v>
      </c>
      <c r="E3613" t="s">
        <v>6</v>
      </c>
      <c r="F3613" t="s">
        <v>251</v>
      </c>
      <c r="G3613">
        <v>2</v>
      </c>
      <c r="H3613" s="2">
        <f>Tabelle13[[#This Row],[commits]]/Tabelle13[[#Totals],[commits]]</f>
        <v>9.2955808808492451E-6</v>
      </c>
      <c r="I3613" s="5">
        <f>Tabelle13[[#This Row],[%]]+I3612</f>
        <v>0.97301957649333404</v>
      </c>
      <c r="J3613" s="4">
        <f t="shared" si="145"/>
        <v>1.105583195135434E-4</v>
      </c>
      <c r="K3613" s="5">
        <f t="shared" si="146"/>
        <v>0.39922609176342455</v>
      </c>
    </row>
    <row r="3614" spans="1:11" x14ac:dyDescent="0.25">
      <c r="A3614" t="s">
        <v>12853</v>
      </c>
      <c r="C3614" t="s">
        <v>12854</v>
      </c>
      <c r="D3614" t="s">
        <v>5</v>
      </c>
      <c r="E3614" t="s">
        <v>6</v>
      </c>
      <c r="F3614" t="s">
        <v>251</v>
      </c>
      <c r="G3614">
        <v>2</v>
      </c>
      <c r="H3614" s="2">
        <f>Tabelle13[[#This Row],[commits]]/Tabelle13[[#Totals],[commits]]</f>
        <v>9.2955808808492451E-6</v>
      </c>
      <c r="I3614" s="5">
        <f>Tabelle13[[#This Row],[%]]+I3613</f>
        <v>0.97302887207421485</v>
      </c>
      <c r="J3614" s="4">
        <f t="shared" si="145"/>
        <v>1.105583195135434E-4</v>
      </c>
      <c r="K3614" s="5">
        <f t="shared" si="146"/>
        <v>0.39933665008293812</v>
      </c>
    </row>
    <row r="3615" spans="1:11" x14ac:dyDescent="0.25">
      <c r="A3615" t="s">
        <v>12855</v>
      </c>
      <c r="C3615" t="s">
        <v>12856</v>
      </c>
      <c r="D3615" t="s">
        <v>309</v>
      </c>
      <c r="E3615" t="s">
        <v>6</v>
      </c>
      <c r="F3615" t="s">
        <v>251</v>
      </c>
      <c r="G3615">
        <v>2</v>
      </c>
      <c r="H3615" s="2">
        <f>Tabelle13[[#This Row],[commits]]/Tabelle13[[#Totals],[commits]]</f>
        <v>9.2955808808492451E-6</v>
      </c>
      <c r="I3615" s="5">
        <f>Tabelle13[[#This Row],[%]]+I3614</f>
        <v>0.97303816765509565</v>
      </c>
      <c r="J3615" s="4">
        <f t="shared" si="145"/>
        <v>1.105583195135434E-4</v>
      </c>
      <c r="K3615" s="5">
        <f t="shared" si="146"/>
        <v>0.39944720840245168</v>
      </c>
    </row>
    <row r="3616" spans="1:11" x14ac:dyDescent="0.25">
      <c r="A3616" t="s">
        <v>12857</v>
      </c>
      <c r="C3616" t="s">
        <v>12858</v>
      </c>
      <c r="D3616" t="s">
        <v>5</v>
      </c>
      <c r="E3616" t="s">
        <v>6</v>
      </c>
      <c r="F3616" t="s">
        <v>251</v>
      </c>
      <c r="G3616">
        <v>2</v>
      </c>
      <c r="H3616" s="2">
        <f>Tabelle13[[#This Row],[commits]]/Tabelle13[[#Totals],[commits]]</f>
        <v>9.2955808808492451E-6</v>
      </c>
      <c r="I3616" s="5">
        <f>Tabelle13[[#This Row],[%]]+I3615</f>
        <v>0.97304746323597646</v>
      </c>
      <c r="J3616" s="4">
        <f t="shared" si="145"/>
        <v>1.105583195135434E-4</v>
      </c>
      <c r="K3616" s="5">
        <f t="shared" si="146"/>
        <v>0.39955776672196525</v>
      </c>
    </row>
    <row r="3617" spans="1:11" x14ac:dyDescent="0.25">
      <c r="A3617" t="s">
        <v>12859</v>
      </c>
      <c r="C3617" t="s">
        <v>12860</v>
      </c>
      <c r="D3617" t="s">
        <v>5</v>
      </c>
      <c r="E3617" t="s">
        <v>6</v>
      </c>
      <c r="F3617" t="s">
        <v>251</v>
      </c>
      <c r="G3617">
        <v>2</v>
      </c>
      <c r="H3617" s="2">
        <f>Tabelle13[[#This Row],[commits]]/Tabelle13[[#Totals],[commits]]</f>
        <v>9.2955808808492451E-6</v>
      </c>
      <c r="I3617" s="5">
        <f>Tabelle13[[#This Row],[%]]+I3616</f>
        <v>0.97305675881685727</v>
      </c>
      <c r="J3617" s="4">
        <f t="shared" si="145"/>
        <v>1.105583195135434E-4</v>
      </c>
      <c r="K3617" s="5">
        <f t="shared" si="146"/>
        <v>0.39966832504147881</v>
      </c>
    </row>
    <row r="3618" spans="1:11" x14ac:dyDescent="0.25">
      <c r="A3618" t="s">
        <v>12861</v>
      </c>
      <c r="C3618" t="s">
        <v>12862</v>
      </c>
      <c r="D3618" t="s">
        <v>5</v>
      </c>
      <c r="E3618" t="s">
        <v>6</v>
      </c>
      <c r="F3618" t="s">
        <v>251</v>
      </c>
      <c r="G3618">
        <v>2</v>
      </c>
      <c r="H3618" s="2">
        <f>Tabelle13[[#This Row],[commits]]/Tabelle13[[#Totals],[commits]]</f>
        <v>9.2955808808492451E-6</v>
      </c>
      <c r="I3618" s="5">
        <f>Tabelle13[[#This Row],[%]]+I3617</f>
        <v>0.97306605439773808</v>
      </c>
      <c r="J3618" s="4">
        <f t="shared" si="145"/>
        <v>1.105583195135434E-4</v>
      </c>
      <c r="K3618" s="5">
        <f t="shared" si="146"/>
        <v>0.39977888336099238</v>
      </c>
    </row>
    <row r="3619" spans="1:11" x14ac:dyDescent="0.25">
      <c r="A3619" t="s">
        <v>12863</v>
      </c>
      <c r="C3619" t="s">
        <v>12864</v>
      </c>
      <c r="D3619" t="s">
        <v>5</v>
      </c>
      <c r="E3619" t="s">
        <v>6</v>
      </c>
      <c r="F3619" t="s">
        <v>251</v>
      </c>
      <c r="G3619">
        <v>2</v>
      </c>
      <c r="H3619" s="2">
        <f>Tabelle13[[#This Row],[commits]]/Tabelle13[[#Totals],[commits]]</f>
        <v>9.2955808808492451E-6</v>
      </c>
      <c r="I3619" s="5">
        <f>Tabelle13[[#This Row],[%]]+I3618</f>
        <v>0.97307534997861889</v>
      </c>
      <c r="J3619" s="4">
        <f t="shared" si="145"/>
        <v>1.105583195135434E-4</v>
      </c>
      <c r="K3619" s="5">
        <f t="shared" si="146"/>
        <v>0.39988944168050594</v>
      </c>
    </row>
    <row r="3620" spans="1:11" x14ac:dyDescent="0.25">
      <c r="A3620" t="s">
        <v>12865</v>
      </c>
      <c r="C3620" t="s">
        <v>12866</v>
      </c>
      <c r="D3620" t="s">
        <v>12867</v>
      </c>
      <c r="E3620" t="s">
        <v>6</v>
      </c>
      <c r="F3620" t="s">
        <v>251</v>
      </c>
      <c r="G3620">
        <v>2</v>
      </c>
      <c r="H3620" s="2">
        <f>Tabelle13[[#This Row],[commits]]/Tabelle13[[#Totals],[commits]]</f>
        <v>9.2955808808492451E-6</v>
      </c>
      <c r="I3620" s="5">
        <f>Tabelle13[[#This Row],[%]]+I3619</f>
        <v>0.97308464555949969</v>
      </c>
      <c r="J3620" s="4">
        <f t="shared" si="145"/>
        <v>1.105583195135434E-4</v>
      </c>
      <c r="K3620" s="5">
        <f t="shared" si="146"/>
        <v>0.40000000000001951</v>
      </c>
    </row>
    <row r="3621" spans="1:11" x14ac:dyDescent="0.25">
      <c r="A3621" t="s">
        <v>12868</v>
      </c>
      <c r="C3621" t="s">
        <v>12869</v>
      </c>
      <c r="D3621" t="s">
        <v>5</v>
      </c>
      <c r="E3621" t="s">
        <v>6</v>
      </c>
      <c r="F3621" t="s">
        <v>251</v>
      </c>
      <c r="G3621">
        <v>2</v>
      </c>
      <c r="H3621" s="2">
        <f>Tabelle13[[#This Row],[commits]]/Tabelle13[[#Totals],[commits]]</f>
        <v>9.2955808808492451E-6</v>
      </c>
      <c r="I3621" s="5">
        <f>Tabelle13[[#This Row],[%]]+I3620</f>
        <v>0.9730939411403805</v>
      </c>
      <c r="J3621" s="4">
        <f t="shared" si="145"/>
        <v>1.105583195135434E-4</v>
      </c>
      <c r="K3621" s="5">
        <f t="shared" si="146"/>
        <v>0.40011055831953307</v>
      </c>
    </row>
    <row r="3622" spans="1:11" x14ac:dyDescent="0.25">
      <c r="A3622" t="s">
        <v>12870</v>
      </c>
      <c r="C3622" t="s">
        <v>12871</v>
      </c>
      <c r="D3622" t="s">
        <v>5</v>
      </c>
      <c r="E3622" t="s">
        <v>6</v>
      </c>
      <c r="F3622" t="s">
        <v>251</v>
      </c>
      <c r="G3622">
        <v>2</v>
      </c>
      <c r="H3622" s="2">
        <f>Tabelle13[[#This Row],[commits]]/Tabelle13[[#Totals],[commits]]</f>
        <v>9.2955808808492451E-6</v>
      </c>
      <c r="I3622" s="5">
        <f>Tabelle13[[#This Row],[%]]+I3621</f>
        <v>0.97310323672126131</v>
      </c>
      <c r="J3622" s="4">
        <f t="shared" si="145"/>
        <v>1.105583195135434E-4</v>
      </c>
      <c r="K3622" s="5">
        <f t="shared" si="146"/>
        <v>0.40022111663904664</v>
      </c>
    </row>
    <row r="3623" spans="1:11" x14ac:dyDescent="0.25">
      <c r="A3623" t="s">
        <v>12872</v>
      </c>
      <c r="C3623" t="s">
        <v>315</v>
      </c>
      <c r="D3623" t="s">
        <v>12873</v>
      </c>
      <c r="E3623" t="s">
        <v>6</v>
      </c>
      <c r="F3623" t="s">
        <v>251</v>
      </c>
      <c r="G3623">
        <v>2</v>
      </c>
      <c r="H3623" s="2">
        <f>Tabelle13[[#This Row],[commits]]/Tabelle13[[#Totals],[commits]]</f>
        <v>9.2955808808492451E-6</v>
      </c>
      <c r="I3623" s="5">
        <f>Tabelle13[[#This Row],[%]]+I3622</f>
        <v>0.97311253230214212</v>
      </c>
      <c r="J3623" s="4">
        <f t="shared" si="145"/>
        <v>1.105583195135434E-4</v>
      </c>
      <c r="K3623" s="5">
        <f t="shared" si="146"/>
        <v>0.4003316749585602</v>
      </c>
    </row>
    <row r="3624" spans="1:11" x14ac:dyDescent="0.25">
      <c r="A3624" t="s">
        <v>12874</v>
      </c>
      <c r="C3624" t="s">
        <v>12875</v>
      </c>
      <c r="D3624" t="s">
        <v>5</v>
      </c>
      <c r="E3624" t="s">
        <v>6</v>
      </c>
      <c r="F3624" t="s">
        <v>251</v>
      </c>
      <c r="G3624">
        <v>2</v>
      </c>
      <c r="H3624" s="2">
        <f>Tabelle13[[#This Row],[commits]]/Tabelle13[[#Totals],[commits]]</f>
        <v>9.2955808808492451E-6</v>
      </c>
      <c r="I3624" s="5">
        <f>Tabelle13[[#This Row],[%]]+I3623</f>
        <v>0.97312182788302293</v>
      </c>
      <c r="J3624" s="4">
        <f t="shared" si="145"/>
        <v>1.105583195135434E-4</v>
      </c>
      <c r="K3624" s="5">
        <f t="shared" si="146"/>
        <v>0.40044223327807377</v>
      </c>
    </row>
    <row r="3625" spans="1:11" x14ac:dyDescent="0.25">
      <c r="A3625" t="s">
        <v>12876</v>
      </c>
      <c r="C3625">
        <v>372046933</v>
      </c>
      <c r="D3625" t="s">
        <v>5</v>
      </c>
      <c r="E3625" t="s">
        <v>6</v>
      </c>
      <c r="F3625" t="s">
        <v>251</v>
      </c>
      <c r="G3625">
        <v>2</v>
      </c>
      <c r="H3625" s="2">
        <f>Tabelle13[[#This Row],[commits]]/Tabelle13[[#Totals],[commits]]</f>
        <v>9.2955808808492451E-6</v>
      </c>
      <c r="I3625" s="5">
        <f>Tabelle13[[#This Row],[%]]+I3624</f>
        <v>0.97313112346390374</v>
      </c>
      <c r="J3625" s="4">
        <f t="shared" si="145"/>
        <v>1.105583195135434E-4</v>
      </c>
      <c r="K3625" s="5">
        <f t="shared" si="146"/>
        <v>0.40055279159758733</v>
      </c>
    </row>
    <row r="3626" spans="1:11" x14ac:dyDescent="0.25">
      <c r="A3626" t="s">
        <v>12877</v>
      </c>
      <c r="C3626" t="s">
        <v>12878</v>
      </c>
      <c r="D3626" t="s">
        <v>5</v>
      </c>
      <c r="E3626" t="s">
        <v>6</v>
      </c>
      <c r="F3626" t="s">
        <v>251</v>
      </c>
      <c r="G3626">
        <v>2</v>
      </c>
      <c r="H3626" s="2">
        <f>Tabelle13[[#This Row],[commits]]/Tabelle13[[#Totals],[commits]]</f>
        <v>9.2955808808492451E-6</v>
      </c>
      <c r="I3626" s="5">
        <f>Tabelle13[[#This Row],[%]]+I3625</f>
        <v>0.97314041904478454</v>
      </c>
      <c r="J3626" s="4">
        <f t="shared" si="145"/>
        <v>1.105583195135434E-4</v>
      </c>
      <c r="K3626" s="5">
        <f t="shared" si="146"/>
        <v>0.4006633499171009</v>
      </c>
    </row>
    <row r="3627" spans="1:11" x14ac:dyDescent="0.25">
      <c r="A3627" t="s">
        <v>12879</v>
      </c>
      <c r="C3627" t="s">
        <v>12880</v>
      </c>
      <c r="D3627" t="s">
        <v>12881</v>
      </c>
      <c r="E3627" t="s">
        <v>6</v>
      </c>
      <c r="F3627" t="s">
        <v>251</v>
      </c>
      <c r="G3627">
        <v>2</v>
      </c>
      <c r="H3627" s="2">
        <f>Tabelle13[[#This Row],[commits]]/Tabelle13[[#Totals],[commits]]</f>
        <v>9.2955808808492451E-6</v>
      </c>
      <c r="I3627" s="5">
        <f>Tabelle13[[#This Row],[%]]+I3626</f>
        <v>0.97314971462566535</v>
      </c>
      <c r="J3627" s="4">
        <f t="shared" si="145"/>
        <v>1.105583195135434E-4</v>
      </c>
      <c r="K3627" s="5">
        <f t="shared" si="146"/>
        <v>0.40077390823661446</v>
      </c>
    </row>
    <row r="3628" spans="1:11" x14ac:dyDescent="0.25">
      <c r="A3628" t="s">
        <v>12882</v>
      </c>
      <c r="C3628" t="s">
        <v>12883</v>
      </c>
      <c r="D3628" t="s">
        <v>12884</v>
      </c>
      <c r="E3628" t="s">
        <v>6</v>
      </c>
      <c r="F3628" t="s">
        <v>251</v>
      </c>
      <c r="G3628">
        <v>2</v>
      </c>
      <c r="H3628" s="2">
        <f>Tabelle13[[#This Row],[commits]]/Tabelle13[[#Totals],[commits]]</f>
        <v>9.2955808808492451E-6</v>
      </c>
      <c r="I3628" s="5">
        <f>Tabelle13[[#This Row],[%]]+I3627</f>
        <v>0.97315901020654616</v>
      </c>
      <c r="J3628" s="4">
        <f t="shared" si="145"/>
        <v>1.105583195135434E-4</v>
      </c>
      <c r="K3628" s="5">
        <f t="shared" si="146"/>
        <v>0.40088446655612803</v>
      </c>
    </row>
    <row r="3629" spans="1:11" x14ac:dyDescent="0.25">
      <c r="A3629" t="s">
        <v>12885</v>
      </c>
      <c r="C3629" t="s">
        <v>12886</v>
      </c>
      <c r="D3629" t="s">
        <v>5</v>
      </c>
      <c r="E3629" t="s">
        <v>6</v>
      </c>
      <c r="F3629" t="s">
        <v>251</v>
      </c>
      <c r="G3629">
        <v>2</v>
      </c>
      <c r="H3629" s="2">
        <f>Tabelle13[[#This Row],[commits]]/Tabelle13[[#Totals],[commits]]</f>
        <v>9.2955808808492451E-6</v>
      </c>
      <c r="I3629" s="5">
        <f>Tabelle13[[#This Row],[%]]+I3628</f>
        <v>0.97316830578742697</v>
      </c>
      <c r="J3629" s="4">
        <f t="shared" si="145"/>
        <v>1.105583195135434E-4</v>
      </c>
      <c r="K3629" s="5">
        <f t="shared" si="146"/>
        <v>0.40099502487564159</v>
      </c>
    </row>
    <row r="3630" spans="1:11" x14ac:dyDescent="0.25">
      <c r="A3630" t="s">
        <v>12887</v>
      </c>
      <c r="C3630" t="s">
        <v>12888</v>
      </c>
      <c r="D3630" t="s">
        <v>5</v>
      </c>
      <c r="E3630" t="s">
        <v>6</v>
      </c>
      <c r="F3630" t="s">
        <v>251</v>
      </c>
      <c r="G3630">
        <v>2</v>
      </c>
      <c r="H3630" s="2">
        <f>Tabelle13[[#This Row],[commits]]/Tabelle13[[#Totals],[commits]]</f>
        <v>9.2955808808492451E-6</v>
      </c>
      <c r="I3630" s="5">
        <f>Tabelle13[[#This Row],[%]]+I3629</f>
        <v>0.97317760136830778</v>
      </c>
      <c r="J3630" s="4">
        <f t="shared" si="145"/>
        <v>1.105583195135434E-4</v>
      </c>
      <c r="K3630" s="5">
        <f t="shared" si="146"/>
        <v>0.40110558319515516</v>
      </c>
    </row>
    <row r="3631" spans="1:11" x14ac:dyDescent="0.25">
      <c r="A3631" t="s">
        <v>12889</v>
      </c>
      <c r="C3631" t="s">
        <v>12890</v>
      </c>
      <c r="D3631" t="s">
        <v>5</v>
      </c>
      <c r="E3631" t="s">
        <v>6</v>
      </c>
      <c r="F3631" t="s">
        <v>251</v>
      </c>
      <c r="G3631">
        <v>2</v>
      </c>
      <c r="H3631" s="2">
        <f>Tabelle13[[#This Row],[commits]]/Tabelle13[[#Totals],[commits]]</f>
        <v>9.2955808808492451E-6</v>
      </c>
      <c r="I3631" s="5">
        <f>Tabelle13[[#This Row],[%]]+I3630</f>
        <v>0.97318689694918858</v>
      </c>
      <c r="J3631" s="4">
        <f t="shared" si="145"/>
        <v>1.105583195135434E-4</v>
      </c>
      <c r="K3631" s="5">
        <f t="shared" si="146"/>
        <v>0.40121614151466872</v>
      </c>
    </row>
    <row r="3632" spans="1:11" x14ac:dyDescent="0.25">
      <c r="A3632" t="s">
        <v>12891</v>
      </c>
      <c r="C3632" t="s">
        <v>12892</v>
      </c>
      <c r="D3632" t="s">
        <v>5</v>
      </c>
      <c r="E3632" t="s">
        <v>6</v>
      </c>
      <c r="F3632" t="s">
        <v>251</v>
      </c>
      <c r="G3632">
        <v>2</v>
      </c>
      <c r="H3632" s="2">
        <f>Tabelle13[[#This Row],[commits]]/Tabelle13[[#Totals],[commits]]</f>
        <v>9.2955808808492451E-6</v>
      </c>
      <c r="I3632" s="5">
        <f>Tabelle13[[#This Row],[%]]+I3631</f>
        <v>0.97319619253006939</v>
      </c>
      <c r="J3632" s="4">
        <f t="shared" si="145"/>
        <v>1.105583195135434E-4</v>
      </c>
      <c r="K3632" s="5">
        <f t="shared" si="146"/>
        <v>0.40132669983418229</v>
      </c>
    </row>
    <row r="3633" spans="1:11" x14ac:dyDescent="0.25">
      <c r="A3633" t="s">
        <v>12893</v>
      </c>
      <c r="C3633" t="s">
        <v>12894</v>
      </c>
      <c r="D3633" t="s">
        <v>5</v>
      </c>
      <c r="E3633" t="s">
        <v>6</v>
      </c>
      <c r="F3633" t="s">
        <v>251</v>
      </c>
      <c r="G3633">
        <v>2</v>
      </c>
      <c r="H3633" s="2">
        <f>Tabelle13[[#This Row],[commits]]/Tabelle13[[#Totals],[commits]]</f>
        <v>9.2955808808492451E-6</v>
      </c>
      <c r="I3633" s="5">
        <f>Tabelle13[[#This Row],[%]]+I3632</f>
        <v>0.9732054881109502</v>
      </c>
      <c r="J3633" s="4">
        <f t="shared" si="145"/>
        <v>1.105583195135434E-4</v>
      </c>
      <c r="K3633" s="5">
        <f t="shared" si="146"/>
        <v>0.40143725815369585</v>
      </c>
    </row>
    <row r="3634" spans="1:11" x14ac:dyDescent="0.25">
      <c r="A3634" t="s">
        <v>12895</v>
      </c>
      <c r="C3634" t="s">
        <v>12896</v>
      </c>
      <c r="D3634" t="s">
        <v>12897</v>
      </c>
      <c r="E3634" t="s">
        <v>6</v>
      </c>
      <c r="F3634" t="s">
        <v>251</v>
      </c>
      <c r="G3634">
        <v>2</v>
      </c>
      <c r="H3634" s="2">
        <f>Tabelle13[[#This Row],[commits]]/Tabelle13[[#Totals],[commits]]</f>
        <v>9.2955808808492451E-6</v>
      </c>
      <c r="I3634" s="5">
        <f>Tabelle13[[#This Row],[%]]+I3633</f>
        <v>0.97321478369183101</v>
      </c>
      <c r="J3634" s="4">
        <f t="shared" si="145"/>
        <v>1.105583195135434E-4</v>
      </c>
      <c r="K3634" s="5">
        <f t="shared" si="146"/>
        <v>0.40154781647320942</v>
      </c>
    </row>
    <row r="3635" spans="1:11" x14ac:dyDescent="0.25">
      <c r="A3635" t="s">
        <v>12898</v>
      </c>
      <c r="C3635" t="s">
        <v>12899</v>
      </c>
      <c r="D3635" t="s">
        <v>5</v>
      </c>
      <c r="E3635" t="s">
        <v>6</v>
      </c>
      <c r="F3635" t="s">
        <v>251</v>
      </c>
      <c r="G3635">
        <v>2</v>
      </c>
      <c r="H3635" s="2">
        <f>Tabelle13[[#This Row],[commits]]/Tabelle13[[#Totals],[commits]]</f>
        <v>9.2955808808492451E-6</v>
      </c>
      <c r="I3635" s="5">
        <f>Tabelle13[[#This Row],[%]]+I3634</f>
        <v>0.97322407927271182</v>
      </c>
      <c r="J3635" s="4">
        <f t="shared" si="145"/>
        <v>1.105583195135434E-4</v>
      </c>
      <c r="K3635" s="5">
        <f t="shared" si="146"/>
        <v>0.40165837479272298</v>
      </c>
    </row>
    <row r="3636" spans="1:11" x14ac:dyDescent="0.25">
      <c r="A3636" t="s">
        <v>12900</v>
      </c>
      <c r="C3636" t="s">
        <v>12901</v>
      </c>
      <c r="D3636" t="s">
        <v>5</v>
      </c>
      <c r="E3636" t="s">
        <v>6</v>
      </c>
      <c r="F3636" t="s">
        <v>251</v>
      </c>
      <c r="G3636">
        <v>2</v>
      </c>
      <c r="H3636" s="2">
        <f>Tabelle13[[#This Row],[commits]]/Tabelle13[[#Totals],[commits]]</f>
        <v>9.2955808808492451E-6</v>
      </c>
      <c r="I3636" s="5">
        <f>Tabelle13[[#This Row],[%]]+I3635</f>
        <v>0.97323337485359263</v>
      </c>
      <c r="J3636" s="4">
        <f t="shared" si="145"/>
        <v>1.105583195135434E-4</v>
      </c>
      <c r="K3636" s="5">
        <f t="shared" si="146"/>
        <v>0.40176893311223655</v>
      </c>
    </row>
    <row r="3637" spans="1:11" x14ac:dyDescent="0.25">
      <c r="A3637" t="s">
        <v>12902</v>
      </c>
      <c r="C3637" t="s">
        <v>12903</v>
      </c>
      <c r="D3637" t="s">
        <v>8948</v>
      </c>
      <c r="E3637" t="s">
        <v>6</v>
      </c>
      <c r="F3637" t="s">
        <v>251</v>
      </c>
      <c r="G3637">
        <v>2</v>
      </c>
      <c r="H3637" s="2">
        <f>Tabelle13[[#This Row],[commits]]/Tabelle13[[#Totals],[commits]]</f>
        <v>9.2955808808492451E-6</v>
      </c>
      <c r="I3637" s="5">
        <f>Tabelle13[[#This Row],[%]]+I3636</f>
        <v>0.97324267043447343</v>
      </c>
      <c r="J3637" s="4">
        <f t="shared" si="145"/>
        <v>1.105583195135434E-4</v>
      </c>
      <c r="K3637" s="5">
        <f t="shared" si="146"/>
        <v>0.40187949143175011</v>
      </c>
    </row>
    <row r="3638" spans="1:11" x14ac:dyDescent="0.25">
      <c r="A3638" t="s">
        <v>12904</v>
      </c>
      <c r="C3638" t="s">
        <v>12905</v>
      </c>
      <c r="D3638" t="s">
        <v>5</v>
      </c>
      <c r="E3638" t="s">
        <v>6</v>
      </c>
      <c r="F3638" t="s">
        <v>251</v>
      </c>
      <c r="G3638">
        <v>2</v>
      </c>
      <c r="H3638" s="2">
        <f>Tabelle13[[#This Row],[commits]]/Tabelle13[[#Totals],[commits]]</f>
        <v>9.2955808808492451E-6</v>
      </c>
      <c r="I3638" s="5">
        <f>Tabelle13[[#This Row],[%]]+I3637</f>
        <v>0.97325196601535424</v>
      </c>
      <c r="J3638" s="4">
        <f t="shared" si="145"/>
        <v>1.105583195135434E-4</v>
      </c>
      <c r="K3638" s="5">
        <f t="shared" si="146"/>
        <v>0.40199004975126368</v>
      </c>
    </row>
    <row r="3639" spans="1:11" x14ac:dyDescent="0.25">
      <c r="A3639" t="s">
        <v>12906</v>
      </c>
      <c r="C3639" t="s">
        <v>12907</v>
      </c>
      <c r="D3639" t="s">
        <v>5</v>
      </c>
      <c r="E3639" t="s">
        <v>6</v>
      </c>
      <c r="F3639" t="s">
        <v>251</v>
      </c>
      <c r="G3639">
        <v>2</v>
      </c>
      <c r="H3639" s="2">
        <f>Tabelle13[[#This Row],[commits]]/Tabelle13[[#Totals],[commits]]</f>
        <v>9.2955808808492451E-6</v>
      </c>
      <c r="I3639" s="5">
        <f>Tabelle13[[#This Row],[%]]+I3638</f>
        <v>0.97326126159623505</v>
      </c>
      <c r="J3639" s="4">
        <f t="shared" si="145"/>
        <v>1.105583195135434E-4</v>
      </c>
      <c r="K3639" s="5">
        <f t="shared" si="146"/>
        <v>0.40210060807077724</v>
      </c>
    </row>
    <row r="3640" spans="1:11" x14ac:dyDescent="0.25">
      <c r="A3640" t="s">
        <v>12908</v>
      </c>
      <c r="C3640" t="s">
        <v>12909</v>
      </c>
      <c r="D3640" t="s">
        <v>5</v>
      </c>
      <c r="E3640" t="s">
        <v>6</v>
      </c>
      <c r="F3640" t="s">
        <v>251</v>
      </c>
      <c r="G3640">
        <v>2</v>
      </c>
      <c r="H3640" s="2">
        <f>Tabelle13[[#This Row],[commits]]/Tabelle13[[#Totals],[commits]]</f>
        <v>9.2955808808492451E-6</v>
      </c>
      <c r="I3640" s="5">
        <f>Tabelle13[[#This Row],[%]]+I3639</f>
        <v>0.97327055717711586</v>
      </c>
      <c r="J3640" s="4">
        <f t="shared" si="145"/>
        <v>1.105583195135434E-4</v>
      </c>
      <c r="K3640" s="5">
        <f t="shared" si="146"/>
        <v>0.40221116639029081</v>
      </c>
    </row>
    <row r="3641" spans="1:11" x14ac:dyDescent="0.25">
      <c r="A3641" t="s">
        <v>12910</v>
      </c>
      <c r="C3641" t="s">
        <v>12911</v>
      </c>
      <c r="D3641" t="s">
        <v>5</v>
      </c>
      <c r="E3641" t="s">
        <v>6</v>
      </c>
      <c r="F3641" t="s">
        <v>251</v>
      </c>
      <c r="G3641">
        <v>2</v>
      </c>
      <c r="H3641" s="2">
        <f>Tabelle13[[#This Row],[commits]]/Tabelle13[[#Totals],[commits]]</f>
        <v>9.2955808808492451E-6</v>
      </c>
      <c r="I3641" s="5">
        <f>Tabelle13[[#This Row],[%]]+I3640</f>
        <v>0.97327985275799667</v>
      </c>
      <c r="J3641" s="4">
        <f t="shared" si="145"/>
        <v>1.105583195135434E-4</v>
      </c>
      <c r="K3641" s="5">
        <f t="shared" si="146"/>
        <v>0.40232172470980437</v>
      </c>
    </row>
    <row r="3642" spans="1:11" x14ac:dyDescent="0.25">
      <c r="A3642" t="s">
        <v>12912</v>
      </c>
      <c r="C3642" t="s">
        <v>12913</v>
      </c>
      <c r="D3642" t="s">
        <v>5</v>
      </c>
      <c r="E3642" t="s">
        <v>6</v>
      </c>
      <c r="F3642" t="s">
        <v>251</v>
      </c>
      <c r="G3642">
        <v>2</v>
      </c>
      <c r="H3642" s="2">
        <f>Tabelle13[[#This Row],[commits]]/Tabelle13[[#Totals],[commits]]</f>
        <v>9.2955808808492451E-6</v>
      </c>
      <c r="I3642" s="5">
        <f>Tabelle13[[#This Row],[%]]+I3641</f>
        <v>0.97328914833887747</v>
      </c>
      <c r="J3642" s="4">
        <f t="shared" si="145"/>
        <v>1.105583195135434E-4</v>
      </c>
      <c r="K3642" s="5">
        <f t="shared" si="146"/>
        <v>0.40243228302931794</v>
      </c>
    </row>
    <row r="3643" spans="1:11" x14ac:dyDescent="0.25">
      <c r="A3643" t="s">
        <v>12914</v>
      </c>
      <c r="C3643" t="s">
        <v>12915</v>
      </c>
      <c r="D3643" t="s">
        <v>11585</v>
      </c>
      <c r="E3643" t="s">
        <v>6</v>
      </c>
      <c r="F3643" t="s">
        <v>251</v>
      </c>
      <c r="G3643">
        <v>2</v>
      </c>
      <c r="H3643" s="2">
        <f>Tabelle13[[#This Row],[commits]]/Tabelle13[[#Totals],[commits]]</f>
        <v>9.2955808808492451E-6</v>
      </c>
      <c r="I3643" s="5">
        <f>Tabelle13[[#This Row],[%]]+I3642</f>
        <v>0.97329844391975828</v>
      </c>
      <c r="J3643" s="4">
        <f t="shared" si="145"/>
        <v>1.105583195135434E-4</v>
      </c>
      <c r="K3643" s="5">
        <f t="shared" si="146"/>
        <v>0.4025428413488315</v>
      </c>
    </row>
    <row r="3644" spans="1:11" x14ac:dyDescent="0.25">
      <c r="A3644" t="s">
        <v>12916</v>
      </c>
      <c r="C3644" t="s">
        <v>12917</v>
      </c>
      <c r="D3644" t="s">
        <v>309</v>
      </c>
      <c r="E3644" t="s">
        <v>6</v>
      </c>
      <c r="F3644" t="s">
        <v>251</v>
      </c>
      <c r="G3644">
        <v>2</v>
      </c>
      <c r="H3644" s="2">
        <f>Tabelle13[[#This Row],[commits]]/Tabelle13[[#Totals],[commits]]</f>
        <v>9.2955808808492451E-6</v>
      </c>
      <c r="I3644" s="5">
        <f>Tabelle13[[#This Row],[%]]+I3643</f>
        <v>0.97330773950063909</v>
      </c>
      <c r="J3644" s="4">
        <f t="shared" si="145"/>
        <v>1.105583195135434E-4</v>
      </c>
      <c r="K3644" s="5">
        <f t="shared" si="146"/>
        <v>0.40265339966834507</v>
      </c>
    </row>
    <row r="3645" spans="1:11" x14ac:dyDescent="0.25">
      <c r="A3645" t="s">
        <v>12918</v>
      </c>
      <c r="C3645" t="s">
        <v>12919</v>
      </c>
      <c r="D3645" t="s">
        <v>12920</v>
      </c>
      <c r="E3645" t="s">
        <v>6</v>
      </c>
      <c r="F3645" t="s">
        <v>251</v>
      </c>
      <c r="G3645">
        <v>2</v>
      </c>
      <c r="H3645" s="2">
        <f>Tabelle13[[#This Row],[commits]]/Tabelle13[[#Totals],[commits]]</f>
        <v>9.2955808808492451E-6</v>
      </c>
      <c r="I3645" s="5">
        <f>Tabelle13[[#This Row],[%]]+I3644</f>
        <v>0.9733170350815199</v>
      </c>
      <c r="J3645" s="4">
        <f t="shared" si="145"/>
        <v>1.105583195135434E-4</v>
      </c>
      <c r="K3645" s="5">
        <f t="shared" si="146"/>
        <v>0.40276395798785863</v>
      </c>
    </row>
    <row r="3646" spans="1:11" x14ac:dyDescent="0.25">
      <c r="A3646" t="s">
        <v>12921</v>
      </c>
      <c r="C3646" t="s">
        <v>12922</v>
      </c>
      <c r="D3646" t="s">
        <v>5</v>
      </c>
      <c r="E3646" t="s">
        <v>6</v>
      </c>
      <c r="F3646" t="s">
        <v>251</v>
      </c>
      <c r="G3646">
        <v>2</v>
      </c>
      <c r="H3646" s="2">
        <f>Tabelle13[[#This Row],[commits]]/Tabelle13[[#Totals],[commits]]</f>
        <v>9.2955808808492451E-6</v>
      </c>
      <c r="I3646" s="5">
        <f>Tabelle13[[#This Row],[%]]+I3645</f>
        <v>0.97332633066240071</v>
      </c>
      <c r="J3646" s="4">
        <f t="shared" si="145"/>
        <v>1.105583195135434E-4</v>
      </c>
      <c r="K3646" s="5">
        <f t="shared" si="146"/>
        <v>0.4028745163073722</v>
      </c>
    </row>
    <row r="3647" spans="1:11" x14ac:dyDescent="0.25">
      <c r="A3647" t="s">
        <v>12923</v>
      </c>
      <c r="C3647" t="s">
        <v>12924</v>
      </c>
      <c r="D3647" t="s">
        <v>5</v>
      </c>
      <c r="E3647" t="s">
        <v>6</v>
      </c>
      <c r="F3647" t="s">
        <v>251</v>
      </c>
      <c r="G3647">
        <v>2</v>
      </c>
      <c r="H3647" s="2">
        <f>Tabelle13[[#This Row],[commits]]/Tabelle13[[#Totals],[commits]]</f>
        <v>9.2955808808492451E-6</v>
      </c>
      <c r="I3647" s="5">
        <f>Tabelle13[[#This Row],[%]]+I3646</f>
        <v>0.97333562624328152</v>
      </c>
      <c r="J3647" s="4">
        <f t="shared" si="145"/>
        <v>1.105583195135434E-4</v>
      </c>
      <c r="K3647" s="5">
        <f t="shared" si="146"/>
        <v>0.40298507462688576</v>
      </c>
    </row>
    <row r="3648" spans="1:11" x14ac:dyDescent="0.25">
      <c r="A3648" t="s">
        <v>12925</v>
      </c>
      <c r="C3648" t="s">
        <v>9327</v>
      </c>
      <c r="D3648" t="s">
        <v>309</v>
      </c>
      <c r="E3648" t="s">
        <v>6</v>
      </c>
      <c r="F3648" t="s">
        <v>251</v>
      </c>
      <c r="G3648">
        <v>2</v>
      </c>
      <c r="H3648" s="2">
        <f>Tabelle13[[#This Row],[commits]]/Tabelle13[[#Totals],[commits]]</f>
        <v>9.2955808808492451E-6</v>
      </c>
      <c r="I3648" s="5">
        <f>Tabelle13[[#This Row],[%]]+I3647</f>
        <v>0.97334492182416232</v>
      </c>
      <c r="J3648" s="4">
        <f t="shared" si="145"/>
        <v>1.105583195135434E-4</v>
      </c>
      <c r="K3648" s="5">
        <f t="shared" si="146"/>
        <v>0.40309563294639933</v>
      </c>
    </row>
    <row r="3649" spans="1:11" x14ac:dyDescent="0.25">
      <c r="A3649" t="s">
        <v>12926</v>
      </c>
      <c r="C3649" t="s">
        <v>12927</v>
      </c>
      <c r="D3649" t="s">
        <v>5</v>
      </c>
      <c r="E3649" t="s">
        <v>6</v>
      </c>
      <c r="F3649" t="s">
        <v>251</v>
      </c>
      <c r="G3649">
        <v>2</v>
      </c>
      <c r="H3649" s="2">
        <f>Tabelle13[[#This Row],[commits]]/Tabelle13[[#Totals],[commits]]</f>
        <v>9.2955808808492451E-6</v>
      </c>
      <c r="I3649" s="5">
        <f>Tabelle13[[#This Row],[%]]+I3648</f>
        <v>0.97335421740504313</v>
      </c>
      <c r="J3649" s="4">
        <f t="shared" si="145"/>
        <v>1.105583195135434E-4</v>
      </c>
      <c r="K3649" s="5">
        <f t="shared" si="146"/>
        <v>0.40320619126591289</v>
      </c>
    </row>
    <row r="3650" spans="1:11" x14ac:dyDescent="0.25">
      <c r="A3650" t="s">
        <v>12928</v>
      </c>
      <c r="C3650" t="s">
        <v>12929</v>
      </c>
      <c r="D3650" t="s">
        <v>309</v>
      </c>
      <c r="E3650" t="s">
        <v>6</v>
      </c>
      <c r="F3650" t="s">
        <v>251</v>
      </c>
      <c r="G3650">
        <v>2</v>
      </c>
      <c r="H3650" s="2">
        <f>Tabelle13[[#This Row],[commits]]/Tabelle13[[#Totals],[commits]]</f>
        <v>9.2955808808492451E-6</v>
      </c>
      <c r="I3650" s="5">
        <f>Tabelle13[[#This Row],[%]]+I3649</f>
        <v>0.97336351298592394</v>
      </c>
      <c r="J3650" s="4">
        <f t="shared" si="145"/>
        <v>1.105583195135434E-4</v>
      </c>
      <c r="K3650" s="5">
        <f t="shared" si="146"/>
        <v>0.40331674958542646</v>
      </c>
    </row>
    <row r="3651" spans="1:11" x14ac:dyDescent="0.25">
      <c r="A3651" t="s">
        <v>12930</v>
      </c>
      <c r="C3651" t="s">
        <v>12931</v>
      </c>
      <c r="D3651" t="s">
        <v>5</v>
      </c>
      <c r="E3651" t="s">
        <v>6</v>
      </c>
      <c r="F3651" t="s">
        <v>251</v>
      </c>
      <c r="G3651">
        <v>2</v>
      </c>
      <c r="H3651" s="2">
        <f>Tabelle13[[#This Row],[commits]]/Tabelle13[[#Totals],[commits]]</f>
        <v>9.2955808808492451E-6</v>
      </c>
      <c r="I3651" s="5">
        <f>Tabelle13[[#This Row],[%]]+I3650</f>
        <v>0.97337280856680475</v>
      </c>
      <c r="J3651" s="4">
        <f t="shared" ref="J3651:J3714" si="147">1/9045</f>
        <v>1.105583195135434E-4</v>
      </c>
      <c r="K3651" s="5">
        <f t="shared" si="146"/>
        <v>0.40342730790494002</v>
      </c>
    </row>
    <row r="3652" spans="1:11" x14ac:dyDescent="0.25">
      <c r="A3652" t="s">
        <v>12932</v>
      </c>
      <c r="C3652" t="s">
        <v>12933</v>
      </c>
      <c r="D3652" t="s">
        <v>309</v>
      </c>
      <c r="E3652" t="s">
        <v>6</v>
      </c>
      <c r="F3652" t="s">
        <v>251</v>
      </c>
      <c r="G3652">
        <v>2</v>
      </c>
      <c r="H3652" s="2">
        <f>Tabelle13[[#This Row],[commits]]/Tabelle13[[#Totals],[commits]]</f>
        <v>9.2955808808492451E-6</v>
      </c>
      <c r="I3652" s="5">
        <f>Tabelle13[[#This Row],[%]]+I3651</f>
        <v>0.97338210414768556</v>
      </c>
      <c r="J3652" s="4">
        <f t="shared" si="147"/>
        <v>1.105583195135434E-4</v>
      </c>
      <c r="K3652" s="5">
        <f t="shared" si="146"/>
        <v>0.40353786622445359</v>
      </c>
    </row>
    <row r="3653" spans="1:11" x14ac:dyDescent="0.25">
      <c r="A3653" t="s">
        <v>12934</v>
      </c>
      <c r="C3653" t="s">
        <v>12935</v>
      </c>
      <c r="D3653" t="s">
        <v>5</v>
      </c>
      <c r="E3653" t="s">
        <v>6</v>
      </c>
      <c r="F3653" t="s">
        <v>251</v>
      </c>
      <c r="G3653">
        <v>2</v>
      </c>
      <c r="H3653" s="2">
        <f>Tabelle13[[#This Row],[commits]]/Tabelle13[[#Totals],[commits]]</f>
        <v>9.2955808808492451E-6</v>
      </c>
      <c r="I3653" s="5">
        <f>Tabelle13[[#This Row],[%]]+I3652</f>
        <v>0.97339139972856636</v>
      </c>
      <c r="J3653" s="4">
        <f t="shared" si="147"/>
        <v>1.105583195135434E-4</v>
      </c>
      <c r="K3653" s="5">
        <f t="shared" si="146"/>
        <v>0.40364842454396715</v>
      </c>
    </row>
    <row r="3654" spans="1:11" x14ac:dyDescent="0.25">
      <c r="A3654" t="s">
        <v>12936</v>
      </c>
      <c r="C3654" t="s">
        <v>12937</v>
      </c>
      <c r="D3654" t="s">
        <v>5</v>
      </c>
      <c r="E3654" t="s">
        <v>6</v>
      </c>
      <c r="F3654" t="s">
        <v>251</v>
      </c>
      <c r="G3654">
        <v>2</v>
      </c>
      <c r="H3654" s="2">
        <f>Tabelle13[[#This Row],[commits]]/Tabelle13[[#Totals],[commits]]</f>
        <v>9.2955808808492451E-6</v>
      </c>
      <c r="I3654" s="5">
        <f>Tabelle13[[#This Row],[%]]+I3653</f>
        <v>0.97340069530944717</v>
      </c>
      <c r="J3654" s="4">
        <f t="shared" si="147"/>
        <v>1.105583195135434E-4</v>
      </c>
      <c r="K3654" s="5">
        <f t="shared" ref="K3654:K3717" si="148">J3654+K3653</f>
        <v>0.40375898286348072</v>
      </c>
    </row>
    <row r="3655" spans="1:11" x14ac:dyDescent="0.25">
      <c r="A3655" t="s">
        <v>12938</v>
      </c>
      <c r="C3655" t="s">
        <v>12939</v>
      </c>
      <c r="D3655" t="s">
        <v>5</v>
      </c>
      <c r="E3655" t="s">
        <v>6</v>
      </c>
      <c r="F3655" t="s">
        <v>251</v>
      </c>
      <c r="G3655">
        <v>2</v>
      </c>
      <c r="H3655" s="2">
        <f>Tabelle13[[#This Row],[commits]]/Tabelle13[[#Totals],[commits]]</f>
        <v>9.2955808808492451E-6</v>
      </c>
      <c r="I3655" s="5">
        <f>Tabelle13[[#This Row],[%]]+I3654</f>
        <v>0.97340999089032798</v>
      </c>
      <c r="J3655" s="4">
        <f t="shared" si="147"/>
        <v>1.105583195135434E-4</v>
      </c>
      <c r="K3655" s="5">
        <f t="shared" si="148"/>
        <v>0.40386954118299428</v>
      </c>
    </row>
    <row r="3656" spans="1:11" x14ac:dyDescent="0.25">
      <c r="A3656" t="s">
        <v>12940</v>
      </c>
      <c r="C3656" t="s">
        <v>12941</v>
      </c>
      <c r="D3656" t="s">
        <v>5</v>
      </c>
      <c r="E3656" t="s">
        <v>6</v>
      </c>
      <c r="F3656" t="s">
        <v>251</v>
      </c>
      <c r="G3656">
        <v>2</v>
      </c>
      <c r="H3656" s="2">
        <f>Tabelle13[[#This Row],[commits]]/Tabelle13[[#Totals],[commits]]</f>
        <v>9.2955808808492451E-6</v>
      </c>
      <c r="I3656" s="5">
        <f>Tabelle13[[#This Row],[%]]+I3655</f>
        <v>0.97341928647120879</v>
      </c>
      <c r="J3656" s="4">
        <f t="shared" si="147"/>
        <v>1.105583195135434E-4</v>
      </c>
      <c r="K3656" s="5">
        <f t="shared" si="148"/>
        <v>0.40398009950250785</v>
      </c>
    </row>
    <row r="3657" spans="1:11" x14ac:dyDescent="0.25">
      <c r="A3657" t="s">
        <v>12942</v>
      </c>
      <c r="C3657" t="s">
        <v>12943</v>
      </c>
      <c r="D3657" t="s">
        <v>309</v>
      </c>
      <c r="E3657" t="s">
        <v>6</v>
      </c>
      <c r="F3657" t="s">
        <v>251</v>
      </c>
      <c r="G3657">
        <v>2</v>
      </c>
      <c r="H3657" s="2">
        <f>Tabelle13[[#This Row],[commits]]/Tabelle13[[#Totals],[commits]]</f>
        <v>9.2955808808492451E-6</v>
      </c>
      <c r="I3657" s="5">
        <f>Tabelle13[[#This Row],[%]]+I3656</f>
        <v>0.9734285820520896</v>
      </c>
      <c r="J3657" s="4">
        <f t="shared" si="147"/>
        <v>1.105583195135434E-4</v>
      </c>
      <c r="K3657" s="5">
        <f t="shared" si="148"/>
        <v>0.40409065782202142</v>
      </c>
    </row>
    <row r="3658" spans="1:11" x14ac:dyDescent="0.25">
      <c r="A3658" t="s">
        <v>12944</v>
      </c>
      <c r="C3658" t="s">
        <v>12945</v>
      </c>
      <c r="D3658" t="s">
        <v>5</v>
      </c>
      <c r="E3658" t="s">
        <v>6</v>
      </c>
      <c r="F3658" t="s">
        <v>251</v>
      </c>
      <c r="G3658">
        <v>2</v>
      </c>
      <c r="H3658" s="2">
        <f>Tabelle13[[#This Row],[commits]]/Tabelle13[[#Totals],[commits]]</f>
        <v>9.2955808808492451E-6</v>
      </c>
      <c r="I3658" s="5">
        <f>Tabelle13[[#This Row],[%]]+I3657</f>
        <v>0.97343787763297041</v>
      </c>
      <c r="J3658" s="4">
        <f t="shared" si="147"/>
        <v>1.105583195135434E-4</v>
      </c>
      <c r="K3658" s="5">
        <f t="shared" si="148"/>
        <v>0.40420121614153498</v>
      </c>
    </row>
    <row r="3659" spans="1:11" x14ac:dyDescent="0.25">
      <c r="A3659" t="s">
        <v>12946</v>
      </c>
      <c r="C3659" t="s">
        <v>12947</v>
      </c>
      <c r="D3659" t="s">
        <v>309</v>
      </c>
      <c r="E3659" t="s">
        <v>6</v>
      </c>
      <c r="F3659" t="s">
        <v>251</v>
      </c>
      <c r="G3659">
        <v>2</v>
      </c>
      <c r="H3659" s="2">
        <f>Tabelle13[[#This Row],[commits]]/Tabelle13[[#Totals],[commits]]</f>
        <v>9.2955808808492451E-6</v>
      </c>
      <c r="I3659" s="5">
        <f>Tabelle13[[#This Row],[%]]+I3658</f>
        <v>0.97344717321385121</v>
      </c>
      <c r="J3659" s="4">
        <f t="shared" si="147"/>
        <v>1.105583195135434E-4</v>
      </c>
      <c r="K3659" s="5">
        <f t="shared" si="148"/>
        <v>0.40431177446104855</v>
      </c>
    </row>
    <row r="3660" spans="1:11" x14ac:dyDescent="0.25">
      <c r="A3660" t="s">
        <v>12948</v>
      </c>
      <c r="C3660" t="s">
        <v>12949</v>
      </c>
      <c r="D3660" t="s">
        <v>8760</v>
      </c>
      <c r="E3660" t="s">
        <v>6</v>
      </c>
      <c r="F3660" t="s">
        <v>251</v>
      </c>
      <c r="G3660">
        <v>2</v>
      </c>
      <c r="H3660" s="2">
        <f>Tabelle13[[#This Row],[commits]]/Tabelle13[[#Totals],[commits]]</f>
        <v>9.2955808808492451E-6</v>
      </c>
      <c r="I3660" s="5">
        <f>Tabelle13[[#This Row],[%]]+I3659</f>
        <v>0.97345646879473202</v>
      </c>
      <c r="J3660" s="4">
        <f t="shared" si="147"/>
        <v>1.105583195135434E-4</v>
      </c>
      <c r="K3660" s="5">
        <f t="shared" si="148"/>
        <v>0.40442233278056211</v>
      </c>
    </row>
    <row r="3661" spans="1:11" x14ac:dyDescent="0.25">
      <c r="A3661" t="s">
        <v>12950</v>
      </c>
      <c r="C3661" t="s">
        <v>12951</v>
      </c>
      <c r="D3661" t="s">
        <v>5</v>
      </c>
      <c r="E3661" t="s">
        <v>6</v>
      </c>
      <c r="F3661" t="s">
        <v>251</v>
      </c>
      <c r="G3661">
        <v>2</v>
      </c>
      <c r="H3661" s="2">
        <f>Tabelle13[[#This Row],[commits]]/Tabelle13[[#Totals],[commits]]</f>
        <v>9.2955808808492451E-6</v>
      </c>
      <c r="I3661" s="5">
        <f>Tabelle13[[#This Row],[%]]+I3660</f>
        <v>0.97346576437561283</v>
      </c>
      <c r="J3661" s="4">
        <f t="shared" si="147"/>
        <v>1.105583195135434E-4</v>
      </c>
      <c r="K3661" s="5">
        <f t="shared" si="148"/>
        <v>0.40453289110007568</v>
      </c>
    </row>
    <row r="3662" spans="1:11" x14ac:dyDescent="0.25">
      <c r="A3662" t="s">
        <v>12952</v>
      </c>
      <c r="C3662" t="s">
        <v>12953</v>
      </c>
      <c r="D3662" t="s">
        <v>5</v>
      </c>
      <c r="E3662" t="s">
        <v>6</v>
      </c>
      <c r="F3662" t="s">
        <v>251</v>
      </c>
      <c r="G3662">
        <v>2</v>
      </c>
      <c r="H3662" s="2">
        <f>Tabelle13[[#This Row],[commits]]/Tabelle13[[#Totals],[commits]]</f>
        <v>9.2955808808492451E-6</v>
      </c>
      <c r="I3662" s="5">
        <f>Tabelle13[[#This Row],[%]]+I3661</f>
        <v>0.97347505995649364</v>
      </c>
      <c r="J3662" s="4">
        <f t="shared" si="147"/>
        <v>1.105583195135434E-4</v>
      </c>
      <c r="K3662" s="5">
        <f t="shared" si="148"/>
        <v>0.40464344941958924</v>
      </c>
    </row>
    <row r="3663" spans="1:11" x14ac:dyDescent="0.25">
      <c r="A3663" t="s">
        <v>12954</v>
      </c>
      <c r="C3663" t="s">
        <v>12955</v>
      </c>
      <c r="D3663" t="s">
        <v>8948</v>
      </c>
      <c r="E3663" t="s">
        <v>6</v>
      </c>
      <c r="F3663" t="s">
        <v>251</v>
      </c>
      <c r="G3663">
        <v>2</v>
      </c>
      <c r="H3663" s="2">
        <f>Tabelle13[[#This Row],[commits]]/Tabelle13[[#Totals],[commits]]</f>
        <v>9.2955808808492451E-6</v>
      </c>
      <c r="I3663" s="5">
        <f>Tabelle13[[#This Row],[%]]+I3662</f>
        <v>0.97348435553737445</v>
      </c>
      <c r="J3663" s="4">
        <f t="shared" si="147"/>
        <v>1.105583195135434E-4</v>
      </c>
      <c r="K3663" s="5">
        <f t="shared" si="148"/>
        <v>0.40475400773910281</v>
      </c>
    </row>
    <row r="3664" spans="1:11" x14ac:dyDescent="0.25">
      <c r="A3664" t="s">
        <v>12956</v>
      </c>
      <c r="C3664" t="s">
        <v>12957</v>
      </c>
      <c r="D3664" t="s">
        <v>5</v>
      </c>
      <c r="E3664" t="s">
        <v>6</v>
      </c>
      <c r="F3664" t="s">
        <v>251</v>
      </c>
      <c r="G3664">
        <v>2</v>
      </c>
      <c r="H3664" s="2">
        <f>Tabelle13[[#This Row],[commits]]/Tabelle13[[#Totals],[commits]]</f>
        <v>9.2955808808492451E-6</v>
      </c>
      <c r="I3664" s="5">
        <f>Tabelle13[[#This Row],[%]]+I3663</f>
        <v>0.97349365111825525</v>
      </c>
      <c r="J3664" s="4">
        <f t="shared" si="147"/>
        <v>1.105583195135434E-4</v>
      </c>
      <c r="K3664" s="5">
        <f t="shared" si="148"/>
        <v>0.40486456605861637</v>
      </c>
    </row>
    <row r="3665" spans="1:11" x14ac:dyDescent="0.25">
      <c r="A3665" t="s">
        <v>12958</v>
      </c>
      <c r="C3665" t="s">
        <v>12959</v>
      </c>
      <c r="D3665" t="s">
        <v>309</v>
      </c>
      <c r="E3665" t="s">
        <v>6</v>
      </c>
      <c r="F3665" t="s">
        <v>251</v>
      </c>
      <c r="G3665">
        <v>2</v>
      </c>
      <c r="H3665" s="2">
        <f>Tabelle13[[#This Row],[commits]]/Tabelle13[[#Totals],[commits]]</f>
        <v>9.2955808808492451E-6</v>
      </c>
      <c r="I3665" s="5">
        <f>Tabelle13[[#This Row],[%]]+I3664</f>
        <v>0.97350294669913606</v>
      </c>
      <c r="J3665" s="4">
        <f t="shared" si="147"/>
        <v>1.105583195135434E-4</v>
      </c>
      <c r="K3665" s="5">
        <f t="shared" si="148"/>
        <v>0.40497512437812994</v>
      </c>
    </row>
    <row r="3666" spans="1:11" x14ac:dyDescent="0.25">
      <c r="A3666" t="s">
        <v>12960</v>
      </c>
      <c r="C3666" t="s">
        <v>12961</v>
      </c>
      <c r="D3666" t="s">
        <v>5</v>
      </c>
      <c r="E3666" t="s">
        <v>6</v>
      </c>
      <c r="F3666" t="s">
        <v>251</v>
      </c>
      <c r="G3666">
        <v>2</v>
      </c>
      <c r="H3666" s="2">
        <f>Tabelle13[[#This Row],[commits]]/Tabelle13[[#Totals],[commits]]</f>
        <v>9.2955808808492451E-6</v>
      </c>
      <c r="I3666" s="5">
        <f>Tabelle13[[#This Row],[%]]+I3665</f>
        <v>0.97351224228001687</v>
      </c>
      <c r="J3666" s="4">
        <f t="shared" si="147"/>
        <v>1.105583195135434E-4</v>
      </c>
      <c r="K3666" s="5">
        <f t="shared" si="148"/>
        <v>0.4050856826976435</v>
      </c>
    </row>
    <row r="3667" spans="1:11" x14ac:dyDescent="0.25">
      <c r="A3667" t="s">
        <v>12962</v>
      </c>
      <c r="C3667" t="s">
        <v>12963</v>
      </c>
      <c r="D3667" t="s">
        <v>5</v>
      </c>
      <c r="E3667" t="s">
        <v>6</v>
      </c>
      <c r="F3667" t="s">
        <v>251</v>
      </c>
      <c r="G3667">
        <v>2</v>
      </c>
      <c r="H3667" s="2">
        <f>Tabelle13[[#This Row],[commits]]/Tabelle13[[#Totals],[commits]]</f>
        <v>9.2955808808492451E-6</v>
      </c>
      <c r="I3667" s="5">
        <f>Tabelle13[[#This Row],[%]]+I3666</f>
        <v>0.97352153786089768</v>
      </c>
      <c r="J3667" s="4">
        <f t="shared" si="147"/>
        <v>1.105583195135434E-4</v>
      </c>
      <c r="K3667" s="5">
        <f t="shared" si="148"/>
        <v>0.40519624101715707</v>
      </c>
    </row>
    <row r="3668" spans="1:11" x14ac:dyDescent="0.25">
      <c r="A3668" t="s">
        <v>12964</v>
      </c>
      <c r="C3668" t="s">
        <v>12965</v>
      </c>
      <c r="D3668" t="s">
        <v>5</v>
      </c>
      <c r="E3668" t="s">
        <v>6</v>
      </c>
      <c r="F3668" t="s">
        <v>251</v>
      </c>
      <c r="G3668">
        <v>2</v>
      </c>
      <c r="H3668" s="2">
        <f>Tabelle13[[#This Row],[commits]]/Tabelle13[[#Totals],[commits]]</f>
        <v>9.2955808808492451E-6</v>
      </c>
      <c r="I3668" s="5">
        <f>Tabelle13[[#This Row],[%]]+I3667</f>
        <v>0.97353083344177849</v>
      </c>
      <c r="J3668" s="4">
        <f t="shared" si="147"/>
        <v>1.105583195135434E-4</v>
      </c>
      <c r="K3668" s="5">
        <f t="shared" si="148"/>
        <v>0.40530679933667063</v>
      </c>
    </row>
    <row r="3669" spans="1:11" x14ac:dyDescent="0.25">
      <c r="A3669" t="s">
        <v>12966</v>
      </c>
      <c r="C3669" t="s">
        <v>12967</v>
      </c>
      <c r="D3669" t="s">
        <v>309</v>
      </c>
      <c r="E3669" t="s">
        <v>6</v>
      </c>
      <c r="F3669" t="s">
        <v>251</v>
      </c>
      <c r="G3669">
        <v>2</v>
      </c>
      <c r="H3669" s="2">
        <f>Tabelle13[[#This Row],[commits]]/Tabelle13[[#Totals],[commits]]</f>
        <v>9.2955808808492451E-6</v>
      </c>
      <c r="I3669" s="5">
        <f>Tabelle13[[#This Row],[%]]+I3668</f>
        <v>0.9735401290226593</v>
      </c>
      <c r="J3669" s="4">
        <f t="shared" si="147"/>
        <v>1.105583195135434E-4</v>
      </c>
      <c r="K3669" s="5">
        <f t="shared" si="148"/>
        <v>0.4054173576561842</v>
      </c>
    </row>
    <row r="3670" spans="1:11" x14ac:dyDescent="0.25">
      <c r="A3670" t="s">
        <v>12968</v>
      </c>
      <c r="C3670" t="s">
        <v>12969</v>
      </c>
      <c r="D3670" t="s">
        <v>5</v>
      </c>
      <c r="E3670" t="s">
        <v>6</v>
      </c>
      <c r="F3670" t="s">
        <v>251</v>
      </c>
      <c r="G3670">
        <v>2</v>
      </c>
      <c r="H3670" s="2">
        <f>Tabelle13[[#This Row],[commits]]/Tabelle13[[#Totals],[commits]]</f>
        <v>9.2955808808492451E-6</v>
      </c>
      <c r="I3670" s="5">
        <f>Tabelle13[[#This Row],[%]]+I3669</f>
        <v>0.9735494246035401</v>
      </c>
      <c r="J3670" s="4">
        <f t="shared" si="147"/>
        <v>1.105583195135434E-4</v>
      </c>
      <c r="K3670" s="5">
        <f t="shared" si="148"/>
        <v>0.40552791597569776</v>
      </c>
    </row>
    <row r="3671" spans="1:11" x14ac:dyDescent="0.25">
      <c r="A3671" t="s">
        <v>12970</v>
      </c>
      <c r="C3671" t="s">
        <v>12971</v>
      </c>
      <c r="D3671" t="s">
        <v>5</v>
      </c>
      <c r="E3671" t="s">
        <v>6</v>
      </c>
      <c r="F3671" t="s">
        <v>251</v>
      </c>
      <c r="G3671">
        <v>2</v>
      </c>
      <c r="H3671" s="2">
        <f>Tabelle13[[#This Row],[commits]]/Tabelle13[[#Totals],[commits]]</f>
        <v>9.2955808808492451E-6</v>
      </c>
      <c r="I3671" s="5">
        <f>Tabelle13[[#This Row],[%]]+I3670</f>
        <v>0.97355872018442091</v>
      </c>
      <c r="J3671" s="4">
        <f t="shared" si="147"/>
        <v>1.105583195135434E-4</v>
      </c>
      <c r="K3671" s="5">
        <f t="shared" si="148"/>
        <v>0.40563847429521133</v>
      </c>
    </row>
    <row r="3672" spans="1:11" x14ac:dyDescent="0.25">
      <c r="A3672" t="s">
        <v>12972</v>
      </c>
      <c r="C3672" t="s">
        <v>12973</v>
      </c>
      <c r="D3672" t="s">
        <v>5</v>
      </c>
      <c r="E3672" t="s">
        <v>6</v>
      </c>
      <c r="F3672" t="s">
        <v>251</v>
      </c>
      <c r="G3672">
        <v>2</v>
      </c>
      <c r="H3672" s="2">
        <f>Tabelle13[[#This Row],[commits]]/Tabelle13[[#Totals],[commits]]</f>
        <v>9.2955808808492451E-6</v>
      </c>
      <c r="I3672" s="5">
        <f>Tabelle13[[#This Row],[%]]+I3671</f>
        <v>0.97356801576530172</v>
      </c>
      <c r="J3672" s="4">
        <f t="shared" si="147"/>
        <v>1.105583195135434E-4</v>
      </c>
      <c r="K3672" s="5">
        <f t="shared" si="148"/>
        <v>0.40574903261472489</v>
      </c>
    </row>
    <row r="3673" spans="1:11" x14ac:dyDescent="0.25">
      <c r="A3673" t="s">
        <v>12974</v>
      </c>
      <c r="C3673" t="s">
        <v>12975</v>
      </c>
      <c r="D3673" t="s">
        <v>5</v>
      </c>
      <c r="E3673" t="s">
        <v>6</v>
      </c>
      <c r="F3673" t="s">
        <v>251</v>
      </c>
      <c r="G3673">
        <v>2</v>
      </c>
      <c r="H3673" s="2">
        <f>Tabelle13[[#This Row],[commits]]/Tabelle13[[#Totals],[commits]]</f>
        <v>9.2955808808492451E-6</v>
      </c>
      <c r="I3673" s="5">
        <f>Tabelle13[[#This Row],[%]]+I3672</f>
        <v>0.97357731134618253</v>
      </c>
      <c r="J3673" s="4">
        <f t="shared" si="147"/>
        <v>1.105583195135434E-4</v>
      </c>
      <c r="K3673" s="5">
        <f t="shared" si="148"/>
        <v>0.40585959093423846</v>
      </c>
    </row>
    <row r="3674" spans="1:11" x14ac:dyDescent="0.25">
      <c r="A3674" t="s">
        <v>12976</v>
      </c>
      <c r="C3674" t="s">
        <v>12977</v>
      </c>
      <c r="D3674" t="s">
        <v>5</v>
      </c>
      <c r="E3674" t="s">
        <v>6</v>
      </c>
      <c r="F3674" t="s">
        <v>251</v>
      </c>
      <c r="G3674">
        <v>2</v>
      </c>
      <c r="H3674" s="2">
        <f>Tabelle13[[#This Row],[commits]]/Tabelle13[[#Totals],[commits]]</f>
        <v>9.2955808808492451E-6</v>
      </c>
      <c r="I3674" s="5">
        <f>Tabelle13[[#This Row],[%]]+I3673</f>
        <v>0.97358660692706334</v>
      </c>
      <c r="J3674" s="4">
        <f t="shared" si="147"/>
        <v>1.105583195135434E-4</v>
      </c>
      <c r="K3674" s="5">
        <f t="shared" si="148"/>
        <v>0.40597014925375202</v>
      </c>
    </row>
    <row r="3675" spans="1:11" x14ac:dyDescent="0.25">
      <c r="A3675" t="s">
        <v>12978</v>
      </c>
      <c r="C3675" t="s">
        <v>12979</v>
      </c>
      <c r="D3675" t="s">
        <v>309</v>
      </c>
      <c r="E3675" t="s">
        <v>6</v>
      </c>
      <c r="F3675" t="s">
        <v>251</v>
      </c>
      <c r="G3675">
        <v>2</v>
      </c>
      <c r="H3675" s="2">
        <f>Tabelle13[[#This Row],[commits]]/Tabelle13[[#Totals],[commits]]</f>
        <v>9.2955808808492451E-6</v>
      </c>
      <c r="I3675" s="5">
        <f>Tabelle13[[#This Row],[%]]+I3674</f>
        <v>0.97359590250794414</v>
      </c>
      <c r="J3675" s="4">
        <f t="shared" si="147"/>
        <v>1.105583195135434E-4</v>
      </c>
      <c r="K3675" s="5">
        <f t="shared" si="148"/>
        <v>0.40608070757326559</v>
      </c>
    </row>
    <row r="3676" spans="1:11" x14ac:dyDescent="0.25">
      <c r="A3676" t="s">
        <v>12980</v>
      </c>
      <c r="C3676" t="s">
        <v>12981</v>
      </c>
      <c r="D3676" t="s">
        <v>309</v>
      </c>
      <c r="E3676" t="s">
        <v>6</v>
      </c>
      <c r="F3676" t="s">
        <v>251</v>
      </c>
      <c r="G3676">
        <v>2</v>
      </c>
      <c r="H3676" s="2">
        <f>Tabelle13[[#This Row],[commits]]/Tabelle13[[#Totals],[commits]]</f>
        <v>9.2955808808492451E-6</v>
      </c>
      <c r="I3676" s="5">
        <f>Tabelle13[[#This Row],[%]]+I3675</f>
        <v>0.97360519808882495</v>
      </c>
      <c r="J3676" s="4">
        <f t="shared" si="147"/>
        <v>1.105583195135434E-4</v>
      </c>
      <c r="K3676" s="5">
        <f t="shared" si="148"/>
        <v>0.40619126589277915</v>
      </c>
    </row>
    <row r="3677" spans="1:11" x14ac:dyDescent="0.25">
      <c r="A3677" t="s">
        <v>12982</v>
      </c>
      <c r="C3677" t="s">
        <v>12983</v>
      </c>
      <c r="D3677" t="s">
        <v>9085</v>
      </c>
      <c r="E3677" t="s">
        <v>6</v>
      </c>
      <c r="F3677" t="s">
        <v>251</v>
      </c>
      <c r="G3677">
        <v>2</v>
      </c>
      <c r="H3677" s="2">
        <f>Tabelle13[[#This Row],[commits]]/Tabelle13[[#Totals],[commits]]</f>
        <v>9.2955808808492451E-6</v>
      </c>
      <c r="I3677" s="5">
        <f>Tabelle13[[#This Row],[%]]+I3676</f>
        <v>0.97361449366970576</v>
      </c>
      <c r="J3677" s="4">
        <f t="shared" si="147"/>
        <v>1.105583195135434E-4</v>
      </c>
      <c r="K3677" s="5">
        <f t="shared" si="148"/>
        <v>0.40630182421229272</v>
      </c>
    </row>
    <row r="3678" spans="1:11" x14ac:dyDescent="0.25">
      <c r="A3678" t="s">
        <v>12984</v>
      </c>
      <c r="C3678" t="s">
        <v>12985</v>
      </c>
      <c r="D3678" t="s">
        <v>10440</v>
      </c>
      <c r="E3678" t="s">
        <v>6</v>
      </c>
      <c r="F3678" t="s">
        <v>251</v>
      </c>
      <c r="G3678">
        <v>2</v>
      </c>
      <c r="H3678" s="2">
        <f>Tabelle13[[#This Row],[commits]]/Tabelle13[[#Totals],[commits]]</f>
        <v>9.2955808808492451E-6</v>
      </c>
      <c r="I3678" s="5">
        <f>Tabelle13[[#This Row],[%]]+I3677</f>
        <v>0.97362378925058657</v>
      </c>
      <c r="J3678" s="4">
        <f t="shared" si="147"/>
        <v>1.105583195135434E-4</v>
      </c>
      <c r="K3678" s="5">
        <f t="shared" si="148"/>
        <v>0.40641238253180628</v>
      </c>
    </row>
    <row r="3679" spans="1:11" x14ac:dyDescent="0.25">
      <c r="A3679" t="s">
        <v>12986</v>
      </c>
      <c r="C3679" t="s">
        <v>12987</v>
      </c>
      <c r="D3679" t="s">
        <v>5</v>
      </c>
      <c r="E3679" t="s">
        <v>6</v>
      </c>
      <c r="F3679" t="s">
        <v>251</v>
      </c>
      <c r="G3679">
        <v>2</v>
      </c>
      <c r="H3679" s="2">
        <f>Tabelle13[[#This Row],[commits]]/Tabelle13[[#Totals],[commits]]</f>
        <v>9.2955808808492451E-6</v>
      </c>
      <c r="I3679" s="5">
        <f>Tabelle13[[#This Row],[%]]+I3678</f>
        <v>0.97363308483146738</v>
      </c>
      <c r="J3679" s="4">
        <f t="shared" si="147"/>
        <v>1.105583195135434E-4</v>
      </c>
      <c r="K3679" s="5">
        <f t="shared" si="148"/>
        <v>0.40652294085131985</v>
      </c>
    </row>
    <row r="3680" spans="1:11" x14ac:dyDescent="0.25">
      <c r="A3680" t="s">
        <v>12988</v>
      </c>
      <c r="C3680" t="s">
        <v>12989</v>
      </c>
      <c r="D3680" t="s">
        <v>5</v>
      </c>
      <c r="E3680" t="s">
        <v>6</v>
      </c>
      <c r="F3680" t="s">
        <v>251</v>
      </c>
      <c r="G3680">
        <v>2</v>
      </c>
      <c r="H3680" s="2">
        <f>Tabelle13[[#This Row],[commits]]/Tabelle13[[#Totals],[commits]]</f>
        <v>9.2955808808492451E-6</v>
      </c>
      <c r="I3680" s="5">
        <f>Tabelle13[[#This Row],[%]]+I3679</f>
        <v>0.97364238041234819</v>
      </c>
      <c r="J3680" s="4">
        <f t="shared" si="147"/>
        <v>1.105583195135434E-4</v>
      </c>
      <c r="K3680" s="5">
        <f t="shared" si="148"/>
        <v>0.40663349917083341</v>
      </c>
    </row>
    <row r="3681" spans="1:11" x14ac:dyDescent="0.25">
      <c r="A3681" t="s">
        <v>12990</v>
      </c>
      <c r="C3681" t="s">
        <v>12991</v>
      </c>
      <c r="D3681" t="s">
        <v>5</v>
      </c>
      <c r="E3681" t="s">
        <v>6</v>
      </c>
      <c r="F3681" t="s">
        <v>251</v>
      </c>
      <c r="G3681">
        <v>2</v>
      </c>
      <c r="H3681" s="2">
        <f>Tabelle13[[#This Row],[commits]]/Tabelle13[[#Totals],[commits]]</f>
        <v>9.2955808808492451E-6</v>
      </c>
      <c r="I3681" s="5">
        <f>Tabelle13[[#This Row],[%]]+I3680</f>
        <v>0.97365167599322899</v>
      </c>
      <c r="J3681" s="4">
        <f t="shared" si="147"/>
        <v>1.105583195135434E-4</v>
      </c>
      <c r="K3681" s="5">
        <f t="shared" si="148"/>
        <v>0.40674405749034698</v>
      </c>
    </row>
    <row r="3682" spans="1:11" x14ac:dyDescent="0.25">
      <c r="A3682" t="s">
        <v>12992</v>
      </c>
      <c r="C3682" t="s">
        <v>12993</v>
      </c>
      <c r="D3682" t="s">
        <v>5</v>
      </c>
      <c r="E3682" t="s">
        <v>6</v>
      </c>
      <c r="F3682" t="s">
        <v>251</v>
      </c>
      <c r="G3682">
        <v>2</v>
      </c>
      <c r="H3682" s="2">
        <f>Tabelle13[[#This Row],[commits]]/Tabelle13[[#Totals],[commits]]</f>
        <v>9.2955808808492451E-6</v>
      </c>
      <c r="I3682" s="5">
        <f>Tabelle13[[#This Row],[%]]+I3681</f>
        <v>0.9736609715741098</v>
      </c>
      <c r="J3682" s="4">
        <f t="shared" si="147"/>
        <v>1.105583195135434E-4</v>
      </c>
      <c r="K3682" s="5">
        <f t="shared" si="148"/>
        <v>0.40685461580986054</v>
      </c>
    </row>
    <row r="3683" spans="1:11" x14ac:dyDescent="0.25">
      <c r="A3683" t="s">
        <v>12994</v>
      </c>
      <c r="C3683" t="s">
        <v>12995</v>
      </c>
      <c r="D3683" t="s">
        <v>5</v>
      </c>
      <c r="E3683" t="s">
        <v>6</v>
      </c>
      <c r="F3683" t="s">
        <v>251</v>
      </c>
      <c r="G3683">
        <v>2</v>
      </c>
      <c r="H3683" s="2">
        <f>Tabelle13[[#This Row],[commits]]/Tabelle13[[#Totals],[commits]]</f>
        <v>9.2955808808492451E-6</v>
      </c>
      <c r="I3683" s="5">
        <f>Tabelle13[[#This Row],[%]]+I3682</f>
        <v>0.97367026715499061</v>
      </c>
      <c r="J3683" s="4">
        <f t="shared" si="147"/>
        <v>1.105583195135434E-4</v>
      </c>
      <c r="K3683" s="5">
        <f t="shared" si="148"/>
        <v>0.40696517412937411</v>
      </c>
    </row>
    <row r="3684" spans="1:11" x14ac:dyDescent="0.25">
      <c r="A3684" t="s">
        <v>12996</v>
      </c>
      <c r="C3684" t="s">
        <v>12997</v>
      </c>
      <c r="D3684" t="s">
        <v>5</v>
      </c>
      <c r="E3684" t="s">
        <v>6</v>
      </c>
      <c r="F3684" t="s">
        <v>251</v>
      </c>
      <c r="G3684">
        <v>2</v>
      </c>
      <c r="H3684" s="2">
        <f>Tabelle13[[#This Row],[commits]]/Tabelle13[[#Totals],[commits]]</f>
        <v>9.2955808808492451E-6</v>
      </c>
      <c r="I3684" s="5">
        <f>Tabelle13[[#This Row],[%]]+I3683</f>
        <v>0.97367956273587142</v>
      </c>
      <c r="J3684" s="4">
        <f t="shared" si="147"/>
        <v>1.105583195135434E-4</v>
      </c>
      <c r="K3684" s="5">
        <f t="shared" si="148"/>
        <v>0.40707573244888767</v>
      </c>
    </row>
    <row r="3685" spans="1:11" x14ac:dyDescent="0.25">
      <c r="A3685" t="s">
        <v>12998</v>
      </c>
      <c r="C3685" t="s">
        <v>12999</v>
      </c>
      <c r="D3685" t="s">
        <v>5</v>
      </c>
      <c r="E3685" t="s">
        <v>6</v>
      </c>
      <c r="F3685" t="s">
        <v>251</v>
      </c>
      <c r="G3685">
        <v>2</v>
      </c>
      <c r="H3685" s="2">
        <f>Tabelle13[[#This Row],[commits]]/Tabelle13[[#Totals],[commits]]</f>
        <v>9.2955808808492451E-6</v>
      </c>
      <c r="I3685" s="5">
        <f>Tabelle13[[#This Row],[%]]+I3684</f>
        <v>0.97368885831675223</v>
      </c>
      <c r="J3685" s="4">
        <f t="shared" si="147"/>
        <v>1.105583195135434E-4</v>
      </c>
      <c r="K3685" s="5">
        <f t="shared" si="148"/>
        <v>0.40718629076840124</v>
      </c>
    </row>
    <row r="3686" spans="1:11" x14ac:dyDescent="0.25">
      <c r="A3686" t="s">
        <v>13000</v>
      </c>
      <c r="C3686" t="s">
        <v>13001</v>
      </c>
      <c r="D3686" t="s">
        <v>5</v>
      </c>
      <c r="E3686" t="s">
        <v>6</v>
      </c>
      <c r="F3686" t="s">
        <v>251</v>
      </c>
      <c r="G3686">
        <v>2</v>
      </c>
      <c r="H3686" s="2">
        <f>Tabelle13[[#This Row],[commits]]/Tabelle13[[#Totals],[commits]]</f>
        <v>9.2955808808492451E-6</v>
      </c>
      <c r="I3686" s="5">
        <f>Tabelle13[[#This Row],[%]]+I3685</f>
        <v>0.97369815389763303</v>
      </c>
      <c r="J3686" s="4">
        <f t="shared" si="147"/>
        <v>1.105583195135434E-4</v>
      </c>
      <c r="K3686" s="5">
        <f t="shared" si="148"/>
        <v>0.4072968490879148</v>
      </c>
    </row>
    <row r="3687" spans="1:11" x14ac:dyDescent="0.25">
      <c r="A3687" t="s">
        <v>13002</v>
      </c>
      <c r="C3687" t="s">
        <v>13003</v>
      </c>
      <c r="D3687" t="s">
        <v>5</v>
      </c>
      <c r="E3687" t="s">
        <v>6</v>
      </c>
      <c r="F3687" t="s">
        <v>251</v>
      </c>
      <c r="G3687">
        <v>2</v>
      </c>
      <c r="H3687" s="2">
        <f>Tabelle13[[#This Row],[commits]]/Tabelle13[[#Totals],[commits]]</f>
        <v>9.2955808808492451E-6</v>
      </c>
      <c r="I3687" s="5">
        <f>Tabelle13[[#This Row],[%]]+I3686</f>
        <v>0.97370744947851384</v>
      </c>
      <c r="J3687" s="4">
        <f t="shared" si="147"/>
        <v>1.105583195135434E-4</v>
      </c>
      <c r="K3687" s="5">
        <f t="shared" si="148"/>
        <v>0.40740740740742837</v>
      </c>
    </row>
    <row r="3688" spans="1:11" x14ac:dyDescent="0.25">
      <c r="A3688" t="s">
        <v>13004</v>
      </c>
      <c r="C3688" t="s">
        <v>13005</v>
      </c>
      <c r="D3688" t="s">
        <v>8757</v>
      </c>
      <c r="E3688" t="s">
        <v>6</v>
      </c>
      <c r="F3688" t="s">
        <v>251</v>
      </c>
      <c r="G3688">
        <v>2</v>
      </c>
      <c r="H3688" s="2">
        <f>Tabelle13[[#This Row],[commits]]/Tabelle13[[#Totals],[commits]]</f>
        <v>9.2955808808492451E-6</v>
      </c>
      <c r="I3688" s="5">
        <f>Tabelle13[[#This Row],[%]]+I3687</f>
        <v>0.97371674505939465</v>
      </c>
      <c r="J3688" s="4">
        <f t="shared" si="147"/>
        <v>1.105583195135434E-4</v>
      </c>
      <c r="K3688" s="5">
        <f t="shared" si="148"/>
        <v>0.40751796572694193</v>
      </c>
    </row>
    <row r="3689" spans="1:11" x14ac:dyDescent="0.25">
      <c r="A3689" t="s">
        <v>13006</v>
      </c>
      <c r="C3689" t="s">
        <v>13007</v>
      </c>
      <c r="D3689" t="s">
        <v>5</v>
      </c>
      <c r="E3689" t="s">
        <v>6</v>
      </c>
      <c r="F3689" t="s">
        <v>251</v>
      </c>
      <c r="G3689">
        <v>2</v>
      </c>
      <c r="H3689" s="2">
        <f>Tabelle13[[#This Row],[commits]]/Tabelle13[[#Totals],[commits]]</f>
        <v>9.2955808808492451E-6</v>
      </c>
      <c r="I3689" s="5">
        <f>Tabelle13[[#This Row],[%]]+I3688</f>
        <v>0.97372604064027546</v>
      </c>
      <c r="J3689" s="4">
        <f t="shared" si="147"/>
        <v>1.105583195135434E-4</v>
      </c>
      <c r="K3689" s="5">
        <f t="shared" si="148"/>
        <v>0.4076285240464555</v>
      </c>
    </row>
    <row r="3690" spans="1:11" x14ac:dyDescent="0.25">
      <c r="A3690" t="s">
        <v>13008</v>
      </c>
      <c r="C3690" t="s">
        <v>13009</v>
      </c>
      <c r="D3690" t="s">
        <v>5</v>
      </c>
      <c r="E3690" t="s">
        <v>6</v>
      </c>
      <c r="F3690" t="s">
        <v>251</v>
      </c>
      <c r="G3690">
        <v>2</v>
      </c>
      <c r="H3690" s="2">
        <f>Tabelle13[[#This Row],[commits]]/Tabelle13[[#Totals],[commits]]</f>
        <v>9.2955808808492451E-6</v>
      </c>
      <c r="I3690" s="5">
        <f>Tabelle13[[#This Row],[%]]+I3689</f>
        <v>0.97373533622115627</v>
      </c>
      <c r="J3690" s="4">
        <f t="shared" si="147"/>
        <v>1.105583195135434E-4</v>
      </c>
      <c r="K3690" s="5">
        <f t="shared" si="148"/>
        <v>0.40773908236596906</v>
      </c>
    </row>
    <row r="3691" spans="1:11" x14ac:dyDescent="0.25">
      <c r="A3691" t="s">
        <v>13010</v>
      </c>
      <c r="C3691" t="s">
        <v>13011</v>
      </c>
      <c r="D3691" t="s">
        <v>309</v>
      </c>
      <c r="E3691" t="s">
        <v>6</v>
      </c>
      <c r="F3691" t="s">
        <v>251</v>
      </c>
      <c r="G3691">
        <v>2</v>
      </c>
      <c r="H3691" s="2">
        <f>Tabelle13[[#This Row],[commits]]/Tabelle13[[#Totals],[commits]]</f>
        <v>9.2955808808492451E-6</v>
      </c>
      <c r="I3691" s="5">
        <f>Tabelle13[[#This Row],[%]]+I3690</f>
        <v>0.97374463180203708</v>
      </c>
      <c r="J3691" s="4">
        <f t="shared" si="147"/>
        <v>1.105583195135434E-4</v>
      </c>
      <c r="K3691" s="5">
        <f t="shared" si="148"/>
        <v>0.40784964068548263</v>
      </c>
    </row>
    <row r="3692" spans="1:11" x14ac:dyDescent="0.25">
      <c r="A3692" t="s">
        <v>13012</v>
      </c>
      <c r="C3692" t="s">
        <v>13013</v>
      </c>
      <c r="D3692" t="s">
        <v>5</v>
      </c>
      <c r="E3692" t="s">
        <v>6</v>
      </c>
      <c r="F3692" t="s">
        <v>251</v>
      </c>
      <c r="G3692">
        <v>2</v>
      </c>
      <c r="H3692" s="2">
        <f>Tabelle13[[#This Row],[commits]]/Tabelle13[[#Totals],[commits]]</f>
        <v>9.2955808808492451E-6</v>
      </c>
      <c r="I3692" s="5">
        <f>Tabelle13[[#This Row],[%]]+I3691</f>
        <v>0.97375392738291788</v>
      </c>
      <c r="J3692" s="4">
        <f t="shared" si="147"/>
        <v>1.105583195135434E-4</v>
      </c>
      <c r="K3692" s="5">
        <f t="shared" si="148"/>
        <v>0.40796019900499619</v>
      </c>
    </row>
    <row r="3693" spans="1:11" x14ac:dyDescent="0.25">
      <c r="A3693" t="s">
        <v>13014</v>
      </c>
      <c r="C3693" t="s">
        <v>13015</v>
      </c>
      <c r="D3693" t="s">
        <v>5</v>
      </c>
      <c r="E3693" t="s">
        <v>6</v>
      </c>
      <c r="F3693" t="s">
        <v>251</v>
      </c>
      <c r="G3693">
        <v>2</v>
      </c>
      <c r="H3693" s="2">
        <f>Tabelle13[[#This Row],[commits]]/Tabelle13[[#Totals],[commits]]</f>
        <v>9.2955808808492451E-6</v>
      </c>
      <c r="I3693" s="5">
        <f>Tabelle13[[#This Row],[%]]+I3692</f>
        <v>0.97376322296379869</v>
      </c>
      <c r="J3693" s="4">
        <f t="shared" si="147"/>
        <v>1.105583195135434E-4</v>
      </c>
      <c r="K3693" s="5">
        <f t="shared" si="148"/>
        <v>0.40807075732450976</v>
      </c>
    </row>
    <row r="3694" spans="1:11" x14ac:dyDescent="0.25">
      <c r="A3694" t="s">
        <v>13016</v>
      </c>
      <c r="C3694" t="s">
        <v>13017</v>
      </c>
      <c r="D3694" t="s">
        <v>5</v>
      </c>
      <c r="E3694" t="s">
        <v>6</v>
      </c>
      <c r="F3694" t="s">
        <v>251</v>
      </c>
      <c r="G3694">
        <v>2</v>
      </c>
      <c r="H3694" s="2">
        <f>Tabelle13[[#This Row],[commits]]/Tabelle13[[#Totals],[commits]]</f>
        <v>9.2955808808492451E-6</v>
      </c>
      <c r="I3694" s="5">
        <f>Tabelle13[[#This Row],[%]]+I3693</f>
        <v>0.9737725185446795</v>
      </c>
      <c r="J3694" s="4">
        <f t="shared" si="147"/>
        <v>1.105583195135434E-4</v>
      </c>
      <c r="K3694" s="5">
        <f t="shared" si="148"/>
        <v>0.40818131564402332</v>
      </c>
    </row>
    <row r="3695" spans="1:11" x14ac:dyDescent="0.25">
      <c r="A3695" t="s">
        <v>13018</v>
      </c>
      <c r="C3695" t="s">
        <v>13019</v>
      </c>
      <c r="D3695" t="s">
        <v>5</v>
      </c>
      <c r="E3695" t="s">
        <v>6</v>
      </c>
      <c r="F3695" t="s">
        <v>251</v>
      </c>
      <c r="G3695">
        <v>2</v>
      </c>
      <c r="H3695" s="2">
        <f>Tabelle13[[#This Row],[commits]]/Tabelle13[[#Totals],[commits]]</f>
        <v>9.2955808808492451E-6</v>
      </c>
      <c r="I3695" s="5">
        <f>Tabelle13[[#This Row],[%]]+I3694</f>
        <v>0.97378181412556031</v>
      </c>
      <c r="J3695" s="4">
        <f t="shared" si="147"/>
        <v>1.105583195135434E-4</v>
      </c>
      <c r="K3695" s="5">
        <f t="shared" si="148"/>
        <v>0.40829187396353689</v>
      </c>
    </row>
    <row r="3696" spans="1:11" x14ac:dyDescent="0.25">
      <c r="A3696" t="s">
        <v>13020</v>
      </c>
      <c r="C3696" t="s">
        <v>13021</v>
      </c>
      <c r="D3696" t="s">
        <v>5</v>
      </c>
      <c r="E3696" t="s">
        <v>6</v>
      </c>
      <c r="F3696" t="s">
        <v>251</v>
      </c>
      <c r="G3696">
        <v>2</v>
      </c>
      <c r="H3696" s="2">
        <f>Tabelle13[[#This Row],[commits]]/Tabelle13[[#Totals],[commits]]</f>
        <v>9.2955808808492451E-6</v>
      </c>
      <c r="I3696" s="5">
        <f>Tabelle13[[#This Row],[%]]+I3695</f>
        <v>0.97379110970644112</v>
      </c>
      <c r="J3696" s="4">
        <f t="shared" si="147"/>
        <v>1.105583195135434E-4</v>
      </c>
      <c r="K3696" s="5">
        <f t="shared" si="148"/>
        <v>0.40840243228305045</v>
      </c>
    </row>
    <row r="3697" spans="1:11" x14ac:dyDescent="0.25">
      <c r="A3697" t="s">
        <v>13022</v>
      </c>
      <c r="C3697" t="s">
        <v>13023</v>
      </c>
      <c r="D3697" t="s">
        <v>5</v>
      </c>
      <c r="E3697" t="s">
        <v>6</v>
      </c>
      <c r="F3697" t="s">
        <v>251</v>
      </c>
      <c r="G3697">
        <v>2</v>
      </c>
      <c r="H3697" s="2">
        <f>Tabelle13[[#This Row],[commits]]/Tabelle13[[#Totals],[commits]]</f>
        <v>9.2955808808492451E-6</v>
      </c>
      <c r="I3697" s="5">
        <f>Tabelle13[[#This Row],[%]]+I3696</f>
        <v>0.97380040528732192</v>
      </c>
      <c r="J3697" s="4">
        <f t="shared" si="147"/>
        <v>1.105583195135434E-4</v>
      </c>
      <c r="K3697" s="5">
        <f t="shared" si="148"/>
        <v>0.40851299060256402</v>
      </c>
    </row>
    <row r="3698" spans="1:11" x14ac:dyDescent="0.25">
      <c r="A3698" t="s">
        <v>13024</v>
      </c>
      <c r="C3698" t="s">
        <v>13025</v>
      </c>
      <c r="D3698" t="s">
        <v>5</v>
      </c>
      <c r="E3698" t="s">
        <v>6</v>
      </c>
      <c r="F3698" t="s">
        <v>251</v>
      </c>
      <c r="G3698">
        <v>2</v>
      </c>
      <c r="H3698" s="2">
        <f>Tabelle13[[#This Row],[commits]]/Tabelle13[[#Totals],[commits]]</f>
        <v>9.2955808808492451E-6</v>
      </c>
      <c r="I3698" s="5">
        <f>Tabelle13[[#This Row],[%]]+I3697</f>
        <v>0.97380970086820273</v>
      </c>
      <c r="J3698" s="4">
        <f t="shared" si="147"/>
        <v>1.105583195135434E-4</v>
      </c>
      <c r="K3698" s="5">
        <f t="shared" si="148"/>
        <v>0.40862354892207758</v>
      </c>
    </row>
    <row r="3699" spans="1:11" x14ac:dyDescent="0.25">
      <c r="A3699" t="s">
        <v>13026</v>
      </c>
      <c r="C3699" t="s">
        <v>13027</v>
      </c>
      <c r="D3699" t="s">
        <v>309</v>
      </c>
      <c r="E3699" t="s">
        <v>6</v>
      </c>
      <c r="F3699" t="s">
        <v>251</v>
      </c>
      <c r="G3699">
        <v>2</v>
      </c>
      <c r="H3699" s="2">
        <f>Tabelle13[[#This Row],[commits]]/Tabelle13[[#Totals],[commits]]</f>
        <v>9.2955808808492451E-6</v>
      </c>
      <c r="I3699" s="5">
        <f>Tabelle13[[#This Row],[%]]+I3698</f>
        <v>0.97381899644908354</v>
      </c>
      <c r="J3699" s="4">
        <f t="shared" si="147"/>
        <v>1.105583195135434E-4</v>
      </c>
      <c r="K3699" s="5">
        <f t="shared" si="148"/>
        <v>0.40873410724159115</v>
      </c>
    </row>
    <row r="3700" spans="1:11" x14ac:dyDescent="0.25">
      <c r="A3700" t="s">
        <v>13028</v>
      </c>
      <c r="C3700" t="s">
        <v>13029</v>
      </c>
      <c r="D3700" t="s">
        <v>13030</v>
      </c>
      <c r="E3700" t="s">
        <v>6</v>
      </c>
      <c r="F3700" t="s">
        <v>251</v>
      </c>
      <c r="G3700">
        <v>2</v>
      </c>
      <c r="H3700" s="2">
        <f>Tabelle13[[#This Row],[commits]]/Tabelle13[[#Totals],[commits]]</f>
        <v>9.2955808808492451E-6</v>
      </c>
      <c r="I3700" s="5">
        <f>Tabelle13[[#This Row],[%]]+I3699</f>
        <v>0.97382829202996435</v>
      </c>
      <c r="J3700" s="4">
        <f t="shared" si="147"/>
        <v>1.105583195135434E-4</v>
      </c>
      <c r="K3700" s="5">
        <f t="shared" si="148"/>
        <v>0.40884466556110471</v>
      </c>
    </row>
    <row r="3701" spans="1:11" x14ac:dyDescent="0.25">
      <c r="A3701" t="s">
        <v>13031</v>
      </c>
      <c r="C3701" t="s">
        <v>13032</v>
      </c>
      <c r="D3701" t="s">
        <v>309</v>
      </c>
      <c r="E3701" t="s">
        <v>6</v>
      </c>
      <c r="F3701" t="s">
        <v>251</v>
      </c>
      <c r="G3701">
        <v>2</v>
      </c>
      <c r="H3701" s="2">
        <f>Tabelle13[[#This Row],[commits]]/Tabelle13[[#Totals],[commits]]</f>
        <v>9.2955808808492451E-6</v>
      </c>
      <c r="I3701" s="5">
        <f>Tabelle13[[#This Row],[%]]+I3700</f>
        <v>0.97383758761084516</v>
      </c>
      <c r="J3701" s="4">
        <f t="shared" si="147"/>
        <v>1.105583195135434E-4</v>
      </c>
      <c r="K3701" s="5">
        <f t="shared" si="148"/>
        <v>0.40895522388061828</v>
      </c>
    </row>
    <row r="3702" spans="1:11" x14ac:dyDescent="0.25">
      <c r="A3702" t="s">
        <v>13033</v>
      </c>
      <c r="C3702" t="s">
        <v>13034</v>
      </c>
      <c r="D3702" t="s">
        <v>8760</v>
      </c>
      <c r="E3702" t="s">
        <v>6</v>
      </c>
      <c r="F3702" t="s">
        <v>251</v>
      </c>
      <c r="G3702">
        <v>2</v>
      </c>
      <c r="H3702" s="2">
        <f>Tabelle13[[#This Row],[commits]]/Tabelle13[[#Totals],[commits]]</f>
        <v>9.2955808808492451E-6</v>
      </c>
      <c r="I3702" s="5">
        <f>Tabelle13[[#This Row],[%]]+I3701</f>
        <v>0.97384688319172596</v>
      </c>
      <c r="J3702" s="4">
        <f t="shared" si="147"/>
        <v>1.105583195135434E-4</v>
      </c>
      <c r="K3702" s="5">
        <f t="shared" si="148"/>
        <v>0.40906578220013184</v>
      </c>
    </row>
    <row r="3703" spans="1:11" x14ac:dyDescent="0.25">
      <c r="A3703" t="s">
        <v>13035</v>
      </c>
      <c r="C3703" t="s">
        <v>13036</v>
      </c>
      <c r="D3703" t="s">
        <v>5</v>
      </c>
      <c r="E3703" t="s">
        <v>6</v>
      </c>
      <c r="F3703" t="s">
        <v>251</v>
      </c>
      <c r="G3703">
        <v>2</v>
      </c>
      <c r="H3703" s="2">
        <f>Tabelle13[[#This Row],[commits]]/Tabelle13[[#Totals],[commits]]</f>
        <v>9.2955808808492451E-6</v>
      </c>
      <c r="I3703" s="5">
        <f>Tabelle13[[#This Row],[%]]+I3702</f>
        <v>0.97385617877260677</v>
      </c>
      <c r="J3703" s="4">
        <f t="shared" si="147"/>
        <v>1.105583195135434E-4</v>
      </c>
      <c r="K3703" s="5">
        <f t="shared" si="148"/>
        <v>0.40917634051964541</v>
      </c>
    </row>
    <row r="3704" spans="1:11" x14ac:dyDescent="0.25">
      <c r="A3704" t="s">
        <v>13037</v>
      </c>
      <c r="C3704" t="s">
        <v>13038</v>
      </c>
      <c r="D3704" t="s">
        <v>5</v>
      </c>
      <c r="E3704" t="s">
        <v>6</v>
      </c>
      <c r="F3704" t="s">
        <v>251</v>
      </c>
      <c r="G3704">
        <v>2</v>
      </c>
      <c r="H3704" s="2">
        <f>Tabelle13[[#This Row],[commits]]/Tabelle13[[#Totals],[commits]]</f>
        <v>9.2955808808492451E-6</v>
      </c>
      <c r="I3704" s="5">
        <f>Tabelle13[[#This Row],[%]]+I3703</f>
        <v>0.97386547435348758</v>
      </c>
      <c r="J3704" s="4">
        <f t="shared" si="147"/>
        <v>1.105583195135434E-4</v>
      </c>
      <c r="K3704" s="5">
        <f t="shared" si="148"/>
        <v>0.40928689883915897</v>
      </c>
    </row>
    <row r="3705" spans="1:11" x14ac:dyDescent="0.25">
      <c r="A3705" t="s">
        <v>13039</v>
      </c>
      <c r="C3705" t="s">
        <v>13040</v>
      </c>
      <c r="D3705" t="s">
        <v>5</v>
      </c>
      <c r="E3705" t="s">
        <v>6</v>
      </c>
      <c r="F3705" t="s">
        <v>251</v>
      </c>
      <c r="G3705">
        <v>2</v>
      </c>
      <c r="H3705" s="2">
        <f>Tabelle13[[#This Row],[commits]]/Tabelle13[[#Totals],[commits]]</f>
        <v>9.2955808808492451E-6</v>
      </c>
      <c r="I3705" s="5">
        <f>Tabelle13[[#This Row],[%]]+I3704</f>
        <v>0.97387476993436839</v>
      </c>
      <c r="J3705" s="4">
        <f t="shared" si="147"/>
        <v>1.105583195135434E-4</v>
      </c>
      <c r="K3705" s="5">
        <f t="shared" si="148"/>
        <v>0.40939745715867254</v>
      </c>
    </row>
    <row r="3706" spans="1:11" x14ac:dyDescent="0.25">
      <c r="A3706" t="s">
        <v>13041</v>
      </c>
      <c r="C3706" t="s">
        <v>13042</v>
      </c>
      <c r="D3706" t="s">
        <v>5</v>
      </c>
      <c r="E3706" t="s">
        <v>6</v>
      </c>
      <c r="F3706" t="s">
        <v>251</v>
      </c>
      <c r="G3706">
        <v>2</v>
      </c>
      <c r="H3706" s="2">
        <f>Tabelle13[[#This Row],[commits]]/Tabelle13[[#Totals],[commits]]</f>
        <v>9.2955808808492451E-6</v>
      </c>
      <c r="I3706" s="5">
        <f>Tabelle13[[#This Row],[%]]+I3705</f>
        <v>0.9738840655152492</v>
      </c>
      <c r="J3706" s="4">
        <f t="shared" si="147"/>
        <v>1.105583195135434E-4</v>
      </c>
      <c r="K3706" s="5">
        <f t="shared" si="148"/>
        <v>0.4095080154781861</v>
      </c>
    </row>
    <row r="3707" spans="1:11" x14ac:dyDescent="0.25">
      <c r="A3707" t="s">
        <v>13043</v>
      </c>
      <c r="C3707" t="s">
        <v>10512</v>
      </c>
      <c r="D3707" t="s">
        <v>5</v>
      </c>
      <c r="E3707" t="s">
        <v>6</v>
      </c>
      <c r="F3707" t="s">
        <v>251</v>
      </c>
      <c r="G3707">
        <v>2</v>
      </c>
      <c r="H3707" s="2">
        <f>Tabelle13[[#This Row],[commits]]/Tabelle13[[#Totals],[commits]]</f>
        <v>9.2955808808492451E-6</v>
      </c>
      <c r="I3707" s="5">
        <f>Tabelle13[[#This Row],[%]]+I3706</f>
        <v>0.97389336109613001</v>
      </c>
      <c r="J3707" s="4">
        <f t="shared" si="147"/>
        <v>1.105583195135434E-4</v>
      </c>
      <c r="K3707" s="5">
        <f t="shared" si="148"/>
        <v>0.40961857379769967</v>
      </c>
    </row>
    <row r="3708" spans="1:11" x14ac:dyDescent="0.25">
      <c r="A3708" t="s">
        <v>13044</v>
      </c>
      <c r="C3708" t="s">
        <v>13045</v>
      </c>
      <c r="D3708" t="s">
        <v>5</v>
      </c>
      <c r="E3708" t="s">
        <v>6</v>
      </c>
      <c r="F3708" t="s">
        <v>251</v>
      </c>
      <c r="G3708">
        <v>2</v>
      </c>
      <c r="H3708" s="2">
        <f>Tabelle13[[#This Row],[commits]]/Tabelle13[[#Totals],[commits]]</f>
        <v>9.2955808808492451E-6</v>
      </c>
      <c r="I3708" s="5">
        <f>Tabelle13[[#This Row],[%]]+I3707</f>
        <v>0.97390265667701081</v>
      </c>
      <c r="J3708" s="4">
        <f t="shared" si="147"/>
        <v>1.105583195135434E-4</v>
      </c>
      <c r="K3708" s="5">
        <f t="shared" si="148"/>
        <v>0.40972913211721324</v>
      </c>
    </row>
    <row r="3709" spans="1:11" x14ac:dyDescent="0.25">
      <c r="A3709" t="s">
        <v>13046</v>
      </c>
      <c r="C3709" t="s">
        <v>12337</v>
      </c>
      <c r="D3709" t="s">
        <v>309</v>
      </c>
      <c r="E3709" t="s">
        <v>6</v>
      </c>
      <c r="F3709" t="s">
        <v>251</v>
      </c>
      <c r="G3709">
        <v>2</v>
      </c>
      <c r="H3709" s="2">
        <f>Tabelle13[[#This Row],[commits]]/Tabelle13[[#Totals],[commits]]</f>
        <v>9.2955808808492451E-6</v>
      </c>
      <c r="I3709" s="5">
        <f>Tabelle13[[#This Row],[%]]+I3708</f>
        <v>0.97391195225789162</v>
      </c>
      <c r="J3709" s="4">
        <f t="shared" si="147"/>
        <v>1.105583195135434E-4</v>
      </c>
      <c r="K3709" s="5">
        <f t="shared" si="148"/>
        <v>0.4098396904367268</v>
      </c>
    </row>
    <row r="3710" spans="1:11" x14ac:dyDescent="0.25">
      <c r="A3710" t="s">
        <v>13047</v>
      </c>
      <c r="C3710" t="s">
        <v>13048</v>
      </c>
      <c r="D3710" t="s">
        <v>5</v>
      </c>
      <c r="E3710" t="s">
        <v>6</v>
      </c>
      <c r="F3710" t="s">
        <v>251</v>
      </c>
      <c r="G3710">
        <v>2</v>
      </c>
      <c r="H3710" s="2">
        <f>Tabelle13[[#This Row],[commits]]/Tabelle13[[#Totals],[commits]]</f>
        <v>9.2955808808492451E-6</v>
      </c>
      <c r="I3710" s="5">
        <f>Tabelle13[[#This Row],[%]]+I3709</f>
        <v>0.97392124783877243</v>
      </c>
      <c r="J3710" s="4">
        <f t="shared" si="147"/>
        <v>1.105583195135434E-4</v>
      </c>
      <c r="K3710" s="5">
        <f t="shared" si="148"/>
        <v>0.40995024875624037</v>
      </c>
    </row>
    <row r="3711" spans="1:11" x14ac:dyDescent="0.25">
      <c r="A3711" t="s">
        <v>13049</v>
      </c>
      <c r="C3711" t="s">
        <v>13050</v>
      </c>
      <c r="D3711" t="s">
        <v>5</v>
      </c>
      <c r="E3711" t="s">
        <v>6</v>
      </c>
      <c r="F3711" t="s">
        <v>251</v>
      </c>
      <c r="G3711">
        <v>2</v>
      </c>
      <c r="H3711" s="2">
        <f>Tabelle13[[#This Row],[commits]]/Tabelle13[[#Totals],[commits]]</f>
        <v>9.2955808808492451E-6</v>
      </c>
      <c r="I3711" s="5">
        <f>Tabelle13[[#This Row],[%]]+I3710</f>
        <v>0.97393054341965324</v>
      </c>
      <c r="J3711" s="4">
        <f t="shared" si="147"/>
        <v>1.105583195135434E-4</v>
      </c>
      <c r="K3711" s="5">
        <f t="shared" si="148"/>
        <v>0.41006080707575393</v>
      </c>
    </row>
    <row r="3712" spans="1:11" x14ac:dyDescent="0.25">
      <c r="A3712" t="s">
        <v>13051</v>
      </c>
      <c r="C3712" t="s">
        <v>13052</v>
      </c>
      <c r="D3712" t="s">
        <v>309</v>
      </c>
      <c r="E3712" t="s">
        <v>6</v>
      </c>
      <c r="F3712" t="s">
        <v>251</v>
      </c>
      <c r="G3712">
        <v>2</v>
      </c>
      <c r="H3712" s="2">
        <f>Tabelle13[[#This Row],[commits]]/Tabelle13[[#Totals],[commits]]</f>
        <v>9.2955808808492451E-6</v>
      </c>
      <c r="I3712" s="5">
        <f>Tabelle13[[#This Row],[%]]+I3711</f>
        <v>0.97393983900053405</v>
      </c>
      <c r="J3712" s="4">
        <f t="shared" si="147"/>
        <v>1.105583195135434E-4</v>
      </c>
      <c r="K3712" s="5">
        <f t="shared" si="148"/>
        <v>0.4101713653952675</v>
      </c>
    </row>
    <row r="3713" spans="1:11" x14ac:dyDescent="0.25">
      <c r="A3713" t="s">
        <v>13053</v>
      </c>
      <c r="C3713" t="s">
        <v>13054</v>
      </c>
      <c r="D3713" t="s">
        <v>5</v>
      </c>
      <c r="E3713" t="s">
        <v>6</v>
      </c>
      <c r="F3713" t="s">
        <v>251</v>
      </c>
      <c r="G3713">
        <v>2</v>
      </c>
      <c r="H3713" s="2">
        <f>Tabelle13[[#This Row],[commits]]/Tabelle13[[#Totals],[commits]]</f>
        <v>9.2955808808492451E-6</v>
      </c>
      <c r="I3713" s="5">
        <f>Tabelle13[[#This Row],[%]]+I3712</f>
        <v>0.97394913458141485</v>
      </c>
      <c r="J3713" s="4">
        <f t="shared" si="147"/>
        <v>1.105583195135434E-4</v>
      </c>
      <c r="K3713" s="5">
        <f t="shared" si="148"/>
        <v>0.41028192371478106</v>
      </c>
    </row>
    <row r="3714" spans="1:11" x14ac:dyDescent="0.25">
      <c r="A3714" t="s">
        <v>13055</v>
      </c>
      <c r="C3714" t="s">
        <v>13056</v>
      </c>
      <c r="D3714" t="s">
        <v>5</v>
      </c>
      <c r="E3714" t="s">
        <v>6</v>
      </c>
      <c r="F3714" t="s">
        <v>251</v>
      </c>
      <c r="G3714">
        <v>2</v>
      </c>
      <c r="H3714" s="2">
        <f>Tabelle13[[#This Row],[commits]]/Tabelle13[[#Totals],[commits]]</f>
        <v>9.2955808808492451E-6</v>
      </c>
      <c r="I3714" s="5">
        <f>Tabelle13[[#This Row],[%]]+I3713</f>
        <v>0.97395843016229566</v>
      </c>
      <c r="J3714" s="4">
        <f t="shared" si="147"/>
        <v>1.105583195135434E-4</v>
      </c>
      <c r="K3714" s="5">
        <f t="shared" si="148"/>
        <v>0.41039248203429463</v>
      </c>
    </row>
    <row r="3715" spans="1:11" x14ac:dyDescent="0.25">
      <c r="A3715" t="s">
        <v>13057</v>
      </c>
      <c r="C3715" t="s">
        <v>13058</v>
      </c>
      <c r="D3715" t="s">
        <v>5</v>
      </c>
      <c r="E3715" t="s">
        <v>6</v>
      </c>
      <c r="F3715" t="s">
        <v>251</v>
      </c>
      <c r="G3715">
        <v>2</v>
      </c>
      <c r="H3715" s="2">
        <f>Tabelle13[[#This Row],[commits]]/Tabelle13[[#Totals],[commits]]</f>
        <v>9.2955808808492451E-6</v>
      </c>
      <c r="I3715" s="5">
        <f>Tabelle13[[#This Row],[%]]+I3714</f>
        <v>0.97396772574317647</v>
      </c>
      <c r="J3715" s="4">
        <f t="shared" ref="J3715:J3778" si="149">1/9045</f>
        <v>1.105583195135434E-4</v>
      </c>
      <c r="K3715" s="5">
        <f t="shared" si="148"/>
        <v>0.41050304035380819</v>
      </c>
    </row>
    <row r="3716" spans="1:11" x14ac:dyDescent="0.25">
      <c r="A3716" t="s">
        <v>13059</v>
      </c>
      <c r="C3716" t="s">
        <v>13060</v>
      </c>
      <c r="D3716" t="s">
        <v>5</v>
      </c>
      <c r="E3716" t="s">
        <v>6</v>
      </c>
      <c r="F3716" t="s">
        <v>251</v>
      </c>
      <c r="G3716">
        <v>2</v>
      </c>
      <c r="H3716" s="2">
        <f>Tabelle13[[#This Row],[commits]]/Tabelle13[[#Totals],[commits]]</f>
        <v>9.2955808808492451E-6</v>
      </c>
      <c r="I3716" s="5">
        <f>Tabelle13[[#This Row],[%]]+I3715</f>
        <v>0.97397702132405728</v>
      </c>
      <c r="J3716" s="4">
        <f t="shared" si="149"/>
        <v>1.105583195135434E-4</v>
      </c>
      <c r="K3716" s="5">
        <f t="shared" si="148"/>
        <v>0.41061359867332176</v>
      </c>
    </row>
    <row r="3717" spans="1:11" x14ac:dyDescent="0.25">
      <c r="A3717" t="s">
        <v>13061</v>
      </c>
      <c r="C3717" t="s">
        <v>13062</v>
      </c>
      <c r="D3717" t="s">
        <v>5</v>
      </c>
      <c r="E3717" t="s">
        <v>6</v>
      </c>
      <c r="F3717" t="s">
        <v>251</v>
      </c>
      <c r="G3717">
        <v>2</v>
      </c>
      <c r="H3717" s="2">
        <f>Tabelle13[[#This Row],[commits]]/Tabelle13[[#Totals],[commits]]</f>
        <v>9.2955808808492451E-6</v>
      </c>
      <c r="I3717" s="5">
        <f>Tabelle13[[#This Row],[%]]+I3716</f>
        <v>0.97398631690493809</v>
      </c>
      <c r="J3717" s="4">
        <f t="shared" si="149"/>
        <v>1.105583195135434E-4</v>
      </c>
      <c r="K3717" s="5">
        <f t="shared" si="148"/>
        <v>0.41072415699283532</v>
      </c>
    </row>
    <row r="3718" spans="1:11" x14ac:dyDescent="0.25">
      <c r="A3718" t="s">
        <v>13063</v>
      </c>
      <c r="C3718" t="s">
        <v>13064</v>
      </c>
      <c r="D3718" t="s">
        <v>5</v>
      </c>
      <c r="E3718" t="s">
        <v>6</v>
      </c>
      <c r="F3718" t="s">
        <v>251</v>
      </c>
      <c r="G3718">
        <v>2</v>
      </c>
      <c r="H3718" s="2">
        <f>Tabelle13[[#This Row],[commits]]/Tabelle13[[#Totals],[commits]]</f>
        <v>9.2955808808492451E-6</v>
      </c>
      <c r="I3718" s="5">
        <f>Tabelle13[[#This Row],[%]]+I3717</f>
        <v>0.9739956124858189</v>
      </c>
      <c r="J3718" s="4">
        <f t="shared" si="149"/>
        <v>1.105583195135434E-4</v>
      </c>
      <c r="K3718" s="5">
        <f t="shared" ref="K3718:K3781" si="150">J3718+K3717</f>
        <v>0.41083471531234889</v>
      </c>
    </row>
    <row r="3719" spans="1:11" x14ac:dyDescent="0.25">
      <c r="A3719" t="s">
        <v>13065</v>
      </c>
      <c r="C3719" t="s">
        <v>13066</v>
      </c>
      <c r="D3719" t="s">
        <v>13067</v>
      </c>
      <c r="E3719" t="s">
        <v>6</v>
      </c>
      <c r="F3719" t="s">
        <v>251</v>
      </c>
      <c r="G3719">
        <v>2</v>
      </c>
      <c r="H3719" s="2">
        <f>Tabelle13[[#This Row],[commits]]/Tabelle13[[#Totals],[commits]]</f>
        <v>9.2955808808492451E-6</v>
      </c>
      <c r="I3719" s="5">
        <f>Tabelle13[[#This Row],[%]]+I3718</f>
        <v>0.9740049080666997</v>
      </c>
      <c r="J3719" s="4">
        <f t="shared" si="149"/>
        <v>1.105583195135434E-4</v>
      </c>
      <c r="K3719" s="5">
        <f t="shared" si="150"/>
        <v>0.41094527363186245</v>
      </c>
    </row>
    <row r="3720" spans="1:11" x14ac:dyDescent="0.25">
      <c r="A3720" t="s">
        <v>13068</v>
      </c>
      <c r="C3720" t="s">
        <v>13069</v>
      </c>
      <c r="D3720" t="s">
        <v>309</v>
      </c>
      <c r="E3720" t="s">
        <v>6</v>
      </c>
      <c r="F3720" t="s">
        <v>251</v>
      </c>
      <c r="G3720">
        <v>2</v>
      </c>
      <c r="H3720" s="2">
        <f>Tabelle13[[#This Row],[commits]]/Tabelle13[[#Totals],[commits]]</f>
        <v>9.2955808808492451E-6</v>
      </c>
      <c r="I3720" s="5">
        <f>Tabelle13[[#This Row],[%]]+I3719</f>
        <v>0.97401420364758051</v>
      </c>
      <c r="J3720" s="4">
        <f t="shared" si="149"/>
        <v>1.105583195135434E-4</v>
      </c>
      <c r="K3720" s="5">
        <f t="shared" si="150"/>
        <v>0.41105583195137602</v>
      </c>
    </row>
    <row r="3721" spans="1:11" x14ac:dyDescent="0.25">
      <c r="A3721" t="s">
        <v>13070</v>
      </c>
      <c r="C3721" t="s">
        <v>13071</v>
      </c>
      <c r="D3721" t="s">
        <v>5</v>
      </c>
      <c r="E3721" t="s">
        <v>6</v>
      </c>
      <c r="F3721" t="s">
        <v>251</v>
      </c>
      <c r="G3721">
        <v>2</v>
      </c>
      <c r="H3721" s="2">
        <f>Tabelle13[[#This Row],[commits]]/Tabelle13[[#Totals],[commits]]</f>
        <v>9.2955808808492451E-6</v>
      </c>
      <c r="I3721" s="5">
        <f>Tabelle13[[#This Row],[%]]+I3720</f>
        <v>0.97402349922846132</v>
      </c>
      <c r="J3721" s="4">
        <f t="shared" si="149"/>
        <v>1.105583195135434E-4</v>
      </c>
      <c r="K3721" s="5">
        <f t="shared" si="150"/>
        <v>0.41116639027088958</v>
      </c>
    </row>
    <row r="3722" spans="1:11" x14ac:dyDescent="0.25">
      <c r="A3722" t="s">
        <v>13072</v>
      </c>
      <c r="C3722" t="s">
        <v>13073</v>
      </c>
      <c r="D3722" t="s">
        <v>2139</v>
      </c>
      <c r="E3722" t="s">
        <v>6</v>
      </c>
      <c r="F3722" t="s">
        <v>251</v>
      </c>
      <c r="G3722">
        <v>2</v>
      </c>
      <c r="H3722" s="2">
        <f>Tabelle13[[#This Row],[commits]]/Tabelle13[[#Totals],[commits]]</f>
        <v>9.2955808808492451E-6</v>
      </c>
      <c r="I3722" s="5">
        <f>Tabelle13[[#This Row],[%]]+I3721</f>
        <v>0.97403279480934213</v>
      </c>
      <c r="J3722" s="4">
        <f t="shared" si="149"/>
        <v>1.105583195135434E-4</v>
      </c>
      <c r="K3722" s="5">
        <f t="shared" si="150"/>
        <v>0.41127694859040315</v>
      </c>
    </row>
    <row r="3723" spans="1:11" x14ac:dyDescent="0.25">
      <c r="A3723" t="s">
        <v>13074</v>
      </c>
      <c r="C3723" t="s">
        <v>13075</v>
      </c>
      <c r="D3723" t="s">
        <v>5</v>
      </c>
      <c r="E3723" t="s">
        <v>6</v>
      </c>
      <c r="F3723" t="s">
        <v>251</v>
      </c>
      <c r="G3723">
        <v>2</v>
      </c>
      <c r="H3723" s="2">
        <f>Tabelle13[[#This Row],[commits]]/Tabelle13[[#Totals],[commits]]</f>
        <v>9.2955808808492451E-6</v>
      </c>
      <c r="I3723" s="5">
        <f>Tabelle13[[#This Row],[%]]+I3722</f>
        <v>0.97404209039022294</v>
      </c>
      <c r="J3723" s="4">
        <f t="shared" si="149"/>
        <v>1.105583195135434E-4</v>
      </c>
      <c r="K3723" s="5">
        <f t="shared" si="150"/>
        <v>0.41138750690991671</v>
      </c>
    </row>
    <row r="3724" spans="1:11" x14ac:dyDescent="0.25">
      <c r="A3724" t="s">
        <v>13076</v>
      </c>
      <c r="C3724" t="s">
        <v>13077</v>
      </c>
      <c r="D3724" t="s">
        <v>5</v>
      </c>
      <c r="E3724" t="s">
        <v>6</v>
      </c>
      <c r="F3724" t="s">
        <v>251</v>
      </c>
      <c r="G3724">
        <v>2</v>
      </c>
      <c r="H3724" s="2">
        <f>Tabelle13[[#This Row],[commits]]/Tabelle13[[#Totals],[commits]]</f>
        <v>9.2955808808492451E-6</v>
      </c>
      <c r="I3724" s="5">
        <f>Tabelle13[[#This Row],[%]]+I3723</f>
        <v>0.97405138597110374</v>
      </c>
      <c r="J3724" s="4">
        <f t="shared" si="149"/>
        <v>1.105583195135434E-4</v>
      </c>
      <c r="K3724" s="5">
        <f t="shared" si="150"/>
        <v>0.41149806522943028</v>
      </c>
    </row>
    <row r="3725" spans="1:11" x14ac:dyDescent="0.25">
      <c r="A3725" t="s">
        <v>13078</v>
      </c>
      <c r="C3725" t="s">
        <v>13079</v>
      </c>
      <c r="D3725" t="s">
        <v>309</v>
      </c>
      <c r="E3725" t="s">
        <v>6</v>
      </c>
      <c r="F3725" t="s">
        <v>251</v>
      </c>
      <c r="G3725">
        <v>2</v>
      </c>
      <c r="H3725" s="2">
        <f>Tabelle13[[#This Row],[commits]]/Tabelle13[[#Totals],[commits]]</f>
        <v>9.2955808808492451E-6</v>
      </c>
      <c r="I3725" s="5">
        <f>Tabelle13[[#This Row],[%]]+I3724</f>
        <v>0.97406068155198455</v>
      </c>
      <c r="J3725" s="4">
        <f t="shared" si="149"/>
        <v>1.105583195135434E-4</v>
      </c>
      <c r="K3725" s="5">
        <f t="shared" si="150"/>
        <v>0.41160862354894384</v>
      </c>
    </row>
    <row r="3726" spans="1:11" x14ac:dyDescent="0.25">
      <c r="A3726" t="s">
        <v>13080</v>
      </c>
      <c r="C3726" t="s">
        <v>13081</v>
      </c>
      <c r="D3726" t="s">
        <v>5</v>
      </c>
      <c r="E3726" t="s">
        <v>6</v>
      </c>
      <c r="F3726" t="s">
        <v>251</v>
      </c>
      <c r="G3726">
        <v>2</v>
      </c>
      <c r="H3726" s="2">
        <f>Tabelle13[[#This Row],[commits]]/Tabelle13[[#Totals],[commits]]</f>
        <v>9.2955808808492451E-6</v>
      </c>
      <c r="I3726" s="5">
        <f>Tabelle13[[#This Row],[%]]+I3725</f>
        <v>0.97406997713286536</v>
      </c>
      <c r="J3726" s="4">
        <f t="shared" si="149"/>
        <v>1.105583195135434E-4</v>
      </c>
      <c r="K3726" s="5">
        <f t="shared" si="150"/>
        <v>0.41171918186845741</v>
      </c>
    </row>
    <row r="3727" spans="1:11" x14ac:dyDescent="0.25">
      <c r="A3727" t="s">
        <v>13082</v>
      </c>
      <c r="C3727" t="s">
        <v>13083</v>
      </c>
      <c r="D3727" t="s">
        <v>5</v>
      </c>
      <c r="E3727" t="s">
        <v>6</v>
      </c>
      <c r="F3727" t="s">
        <v>251</v>
      </c>
      <c r="G3727">
        <v>2</v>
      </c>
      <c r="H3727" s="2">
        <f>Tabelle13[[#This Row],[commits]]/Tabelle13[[#Totals],[commits]]</f>
        <v>9.2955808808492451E-6</v>
      </c>
      <c r="I3727" s="5">
        <f>Tabelle13[[#This Row],[%]]+I3726</f>
        <v>0.97407927271374617</v>
      </c>
      <c r="J3727" s="4">
        <f t="shared" si="149"/>
        <v>1.105583195135434E-4</v>
      </c>
      <c r="K3727" s="5">
        <f t="shared" si="150"/>
        <v>0.41182974018797097</v>
      </c>
    </row>
    <row r="3728" spans="1:11" x14ac:dyDescent="0.25">
      <c r="A3728" t="s">
        <v>13084</v>
      </c>
      <c r="C3728" t="s">
        <v>13085</v>
      </c>
      <c r="D3728" t="s">
        <v>8948</v>
      </c>
      <c r="E3728" t="s">
        <v>6</v>
      </c>
      <c r="F3728" t="s">
        <v>251</v>
      </c>
      <c r="G3728">
        <v>2</v>
      </c>
      <c r="H3728" s="2">
        <f>Tabelle13[[#This Row],[commits]]/Tabelle13[[#Totals],[commits]]</f>
        <v>9.2955808808492451E-6</v>
      </c>
      <c r="I3728" s="5">
        <f>Tabelle13[[#This Row],[%]]+I3727</f>
        <v>0.97408856829462698</v>
      </c>
      <c r="J3728" s="4">
        <f t="shared" si="149"/>
        <v>1.105583195135434E-4</v>
      </c>
      <c r="K3728" s="5">
        <f t="shared" si="150"/>
        <v>0.41194029850748454</v>
      </c>
    </row>
    <row r="3729" spans="1:11" x14ac:dyDescent="0.25">
      <c r="A3729" t="s">
        <v>13086</v>
      </c>
      <c r="C3729" t="s">
        <v>13087</v>
      </c>
      <c r="D3729" t="s">
        <v>5</v>
      </c>
      <c r="E3729" t="s">
        <v>6</v>
      </c>
      <c r="F3729" t="s">
        <v>251</v>
      </c>
      <c r="G3729">
        <v>2</v>
      </c>
      <c r="H3729" s="2">
        <f>Tabelle13[[#This Row],[commits]]/Tabelle13[[#Totals],[commits]]</f>
        <v>9.2955808808492451E-6</v>
      </c>
      <c r="I3729" s="5">
        <f>Tabelle13[[#This Row],[%]]+I3728</f>
        <v>0.97409786387550779</v>
      </c>
      <c r="J3729" s="4">
        <f t="shared" si="149"/>
        <v>1.105583195135434E-4</v>
      </c>
      <c r="K3729" s="5">
        <f t="shared" si="150"/>
        <v>0.4120508568269981</v>
      </c>
    </row>
    <row r="3730" spans="1:11" x14ac:dyDescent="0.25">
      <c r="A3730" t="s">
        <v>13088</v>
      </c>
      <c r="C3730" t="s">
        <v>13089</v>
      </c>
      <c r="D3730" t="s">
        <v>5</v>
      </c>
      <c r="E3730" t="s">
        <v>6</v>
      </c>
      <c r="F3730" t="s">
        <v>251</v>
      </c>
      <c r="G3730">
        <v>2</v>
      </c>
      <c r="H3730" s="2">
        <f>Tabelle13[[#This Row],[commits]]/Tabelle13[[#Totals],[commits]]</f>
        <v>9.2955808808492451E-6</v>
      </c>
      <c r="I3730" s="5">
        <f>Tabelle13[[#This Row],[%]]+I3729</f>
        <v>0.97410715945638859</v>
      </c>
      <c r="J3730" s="4">
        <f t="shared" si="149"/>
        <v>1.105583195135434E-4</v>
      </c>
      <c r="K3730" s="5">
        <f t="shared" si="150"/>
        <v>0.41216141514651167</v>
      </c>
    </row>
    <row r="3731" spans="1:11" x14ac:dyDescent="0.25">
      <c r="A3731" t="s">
        <v>13090</v>
      </c>
      <c r="C3731" t="s">
        <v>13091</v>
      </c>
      <c r="D3731" t="s">
        <v>5</v>
      </c>
      <c r="E3731" t="s">
        <v>6</v>
      </c>
      <c r="F3731" t="s">
        <v>251</v>
      </c>
      <c r="G3731">
        <v>2</v>
      </c>
      <c r="H3731" s="2">
        <f>Tabelle13[[#This Row],[commits]]/Tabelle13[[#Totals],[commits]]</f>
        <v>9.2955808808492451E-6</v>
      </c>
      <c r="I3731" s="5">
        <f>Tabelle13[[#This Row],[%]]+I3730</f>
        <v>0.9741164550372694</v>
      </c>
      <c r="J3731" s="4">
        <f t="shared" si="149"/>
        <v>1.105583195135434E-4</v>
      </c>
      <c r="K3731" s="5">
        <f t="shared" si="150"/>
        <v>0.41227197346602523</v>
      </c>
    </row>
    <row r="3732" spans="1:11" x14ac:dyDescent="0.25">
      <c r="A3732" t="s">
        <v>13092</v>
      </c>
      <c r="C3732" t="s">
        <v>13093</v>
      </c>
      <c r="D3732" t="s">
        <v>5</v>
      </c>
      <c r="E3732" t="s">
        <v>6</v>
      </c>
      <c r="F3732" t="s">
        <v>251</v>
      </c>
      <c r="G3732">
        <v>2</v>
      </c>
      <c r="H3732" s="2">
        <f>Tabelle13[[#This Row],[commits]]/Tabelle13[[#Totals],[commits]]</f>
        <v>9.2955808808492451E-6</v>
      </c>
      <c r="I3732" s="5">
        <f>Tabelle13[[#This Row],[%]]+I3731</f>
        <v>0.97412575061815021</v>
      </c>
      <c r="J3732" s="4">
        <f t="shared" si="149"/>
        <v>1.105583195135434E-4</v>
      </c>
      <c r="K3732" s="5">
        <f t="shared" si="150"/>
        <v>0.4123825317855388</v>
      </c>
    </row>
    <row r="3733" spans="1:11" x14ac:dyDescent="0.25">
      <c r="A3733" t="s">
        <v>13094</v>
      </c>
      <c r="C3733" t="s">
        <v>13095</v>
      </c>
      <c r="D3733" t="s">
        <v>5</v>
      </c>
      <c r="E3733" t="s">
        <v>6</v>
      </c>
      <c r="F3733" t="s">
        <v>251</v>
      </c>
      <c r="G3733">
        <v>2</v>
      </c>
      <c r="H3733" s="2">
        <f>Tabelle13[[#This Row],[commits]]/Tabelle13[[#Totals],[commits]]</f>
        <v>9.2955808808492451E-6</v>
      </c>
      <c r="I3733" s="5">
        <f>Tabelle13[[#This Row],[%]]+I3732</f>
        <v>0.97413504619903102</v>
      </c>
      <c r="J3733" s="4">
        <f t="shared" si="149"/>
        <v>1.105583195135434E-4</v>
      </c>
      <c r="K3733" s="5">
        <f t="shared" si="150"/>
        <v>0.41249309010505236</v>
      </c>
    </row>
    <row r="3734" spans="1:11" x14ac:dyDescent="0.25">
      <c r="A3734" t="s">
        <v>13096</v>
      </c>
      <c r="C3734" t="s">
        <v>13097</v>
      </c>
      <c r="D3734" t="s">
        <v>5</v>
      </c>
      <c r="E3734" t="s">
        <v>6</v>
      </c>
      <c r="F3734" t="s">
        <v>251</v>
      </c>
      <c r="G3734">
        <v>2</v>
      </c>
      <c r="H3734" s="2">
        <f>Tabelle13[[#This Row],[commits]]/Tabelle13[[#Totals],[commits]]</f>
        <v>9.2955808808492451E-6</v>
      </c>
      <c r="I3734" s="5">
        <f>Tabelle13[[#This Row],[%]]+I3733</f>
        <v>0.97414434177991183</v>
      </c>
      <c r="J3734" s="4">
        <f t="shared" si="149"/>
        <v>1.105583195135434E-4</v>
      </c>
      <c r="K3734" s="5">
        <f t="shared" si="150"/>
        <v>0.41260364842456593</v>
      </c>
    </row>
    <row r="3735" spans="1:11" x14ac:dyDescent="0.25">
      <c r="A3735" t="s">
        <v>13098</v>
      </c>
      <c r="C3735" t="s">
        <v>13099</v>
      </c>
      <c r="D3735" t="s">
        <v>5</v>
      </c>
      <c r="E3735" t="s">
        <v>6</v>
      </c>
      <c r="F3735" t="s">
        <v>251</v>
      </c>
      <c r="G3735">
        <v>2</v>
      </c>
      <c r="H3735" s="2">
        <f>Tabelle13[[#This Row],[commits]]/Tabelle13[[#Totals],[commits]]</f>
        <v>9.2955808808492451E-6</v>
      </c>
      <c r="I3735" s="5">
        <f>Tabelle13[[#This Row],[%]]+I3734</f>
        <v>0.97415363736079263</v>
      </c>
      <c r="J3735" s="4">
        <f t="shared" si="149"/>
        <v>1.105583195135434E-4</v>
      </c>
      <c r="K3735" s="5">
        <f t="shared" si="150"/>
        <v>0.41271420674407949</v>
      </c>
    </row>
    <row r="3736" spans="1:11" x14ac:dyDescent="0.25">
      <c r="A3736" t="s">
        <v>13100</v>
      </c>
      <c r="C3736" t="s">
        <v>13101</v>
      </c>
      <c r="D3736" t="s">
        <v>5</v>
      </c>
      <c r="E3736" t="s">
        <v>6</v>
      </c>
      <c r="F3736" t="s">
        <v>251</v>
      </c>
      <c r="G3736">
        <v>2</v>
      </c>
      <c r="H3736" s="2">
        <f>Tabelle13[[#This Row],[commits]]/Tabelle13[[#Totals],[commits]]</f>
        <v>9.2955808808492451E-6</v>
      </c>
      <c r="I3736" s="5">
        <f>Tabelle13[[#This Row],[%]]+I3735</f>
        <v>0.97416293294167344</v>
      </c>
      <c r="J3736" s="4">
        <f t="shared" si="149"/>
        <v>1.105583195135434E-4</v>
      </c>
      <c r="K3736" s="5">
        <f t="shared" si="150"/>
        <v>0.41282476506359306</v>
      </c>
    </row>
    <row r="3737" spans="1:11" x14ac:dyDescent="0.25">
      <c r="A3737" t="s">
        <v>13102</v>
      </c>
      <c r="C3737" t="s">
        <v>13103</v>
      </c>
      <c r="D3737" t="s">
        <v>5</v>
      </c>
      <c r="E3737" t="s">
        <v>6</v>
      </c>
      <c r="F3737" t="s">
        <v>251</v>
      </c>
      <c r="G3737">
        <v>2</v>
      </c>
      <c r="H3737" s="2">
        <f>Tabelle13[[#This Row],[commits]]/Tabelle13[[#Totals],[commits]]</f>
        <v>9.2955808808492451E-6</v>
      </c>
      <c r="I3737" s="5">
        <f>Tabelle13[[#This Row],[%]]+I3736</f>
        <v>0.97417222852255425</v>
      </c>
      <c r="J3737" s="4">
        <f t="shared" si="149"/>
        <v>1.105583195135434E-4</v>
      </c>
      <c r="K3737" s="5">
        <f t="shared" si="150"/>
        <v>0.41293532338310662</v>
      </c>
    </row>
    <row r="3738" spans="1:11" x14ac:dyDescent="0.25">
      <c r="A3738" t="s">
        <v>13104</v>
      </c>
      <c r="C3738" t="s">
        <v>13105</v>
      </c>
      <c r="D3738" t="s">
        <v>5</v>
      </c>
      <c r="E3738" t="s">
        <v>6</v>
      </c>
      <c r="F3738" t="s">
        <v>251</v>
      </c>
      <c r="G3738">
        <v>2</v>
      </c>
      <c r="H3738" s="2">
        <f>Tabelle13[[#This Row],[commits]]/Tabelle13[[#Totals],[commits]]</f>
        <v>9.2955808808492451E-6</v>
      </c>
      <c r="I3738" s="5">
        <f>Tabelle13[[#This Row],[%]]+I3737</f>
        <v>0.97418152410343506</v>
      </c>
      <c r="J3738" s="4">
        <f t="shared" si="149"/>
        <v>1.105583195135434E-4</v>
      </c>
      <c r="K3738" s="5">
        <f t="shared" si="150"/>
        <v>0.41304588170262019</v>
      </c>
    </row>
    <row r="3739" spans="1:11" x14ac:dyDescent="0.25">
      <c r="A3739" t="s">
        <v>13106</v>
      </c>
      <c r="C3739" t="s">
        <v>13107</v>
      </c>
      <c r="D3739" t="s">
        <v>5</v>
      </c>
      <c r="E3739" t="s">
        <v>6</v>
      </c>
      <c r="F3739" t="s">
        <v>251</v>
      </c>
      <c r="G3739">
        <v>2</v>
      </c>
      <c r="H3739" s="2">
        <f>Tabelle13[[#This Row],[commits]]/Tabelle13[[#Totals],[commits]]</f>
        <v>9.2955808808492451E-6</v>
      </c>
      <c r="I3739" s="5">
        <f>Tabelle13[[#This Row],[%]]+I3738</f>
        <v>0.97419081968431587</v>
      </c>
      <c r="J3739" s="4">
        <f t="shared" si="149"/>
        <v>1.105583195135434E-4</v>
      </c>
      <c r="K3739" s="5">
        <f t="shared" si="150"/>
        <v>0.41315644002213375</v>
      </c>
    </row>
    <row r="3740" spans="1:11" x14ac:dyDescent="0.25">
      <c r="A3740" t="s">
        <v>13108</v>
      </c>
      <c r="C3740" t="s">
        <v>13109</v>
      </c>
      <c r="D3740" t="s">
        <v>5</v>
      </c>
      <c r="E3740" t="s">
        <v>6</v>
      </c>
      <c r="F3740" t="s">
        <v>251</v>
      </c>
      <c r="G3740">
        <v>2</v>
      </c>
      <c r="H3740" s="2">
        <f>Tabelle13[[#This Row],[commits]]/Tabelle13[[#Totals],[commits]]</f>
        <v>9.2955808808492451E-6</v>
      </c>
      <c r="I3740" s="5">
        <f>Tabelle13[[#This Row],[%]]+I3739</f>
        <v>0.97420011526519668</v>
      </c>
      <c r="J3740" s="4">
        <f t="shared" si="149"/>
        <v>1.105583195135434E-4</v>
      </c>
      <c r="K3740" s="5">
        <f t="shared" si="150"/>
        <v>0.41326699834164732</v>
      </c>
    </row>
    <row r="3741" spans="1:11" x14ac:dyDescent="0.25">
      <c r="A3741" t="s">
        <v>13110</v>
      </c>
      <c r="C3741" t="s">
        <v>13111</v>
      </c>
      <c r="D3741" t="s">
        <v>309</v>
      </c>
      <c r="E3741" t="s">
        <v>6</v>
      </c>
      <c r="F3741" t="s">
        <v>251</v>
      </c>
      <c r="G3741">
        <v>2</v>
      </c>
      <c r="H3741" s="2">
        <f>Tabelle13[[#This Row],[commits]]/Tabelle13[[#Totals],[commits]]</f>
        <v>9.2955808808492451E-6</v>
      </c>
      <c r="I3741" s="5">
        <f>Tabelle13[[#This Row],[%]]+I3740</f>
        <v>0.97420941084607748</v>
      </c>
      <c r="J3741" s="4">
        <f t="shared" si="149"/>
        <v>1.105583195135434E-4</v>
      </c>
      <c r="K3741" s="5">
        <f t="shared" si="150"/>
        <v>0.41337755666116088</v>
      </c>
    </row>
    <row r="3742" spans="1:11" x14ac:dyDescent="0.25">
      <c r="A3742" t="s">
        <v>13112</v>
      </c>
      <c r="C3742" t="s">
        <v>13113</v>
      </c>
      <c r="D3742" t="s">
        <v>5</v>
      </c>
      <c r="E3742" t="s">
        <v>6</v>
      </c>
      <c r="F3742" t="s">
        <v>251</v>
      </c>
      <c r="G3742">
        <v>2</v>
      </c>
      <c r="H3742" s="2">
        <f>Tabelle13[[#This Row],[commits]]/Tabelle13[[#Totals],[commits]]</f>
        <v>9.2955808808492451E-6</v>
      </c>
      <c r="I3742" s="5">
        <f>Tabelle13[[#This Row],[%]]+I3741</f>
        <v>0.97421870642695829</v>
      </c>
      <c r="J3742" s="4">
        <f t="shared" si="149"/>
        <v>1.105583195135434E-4</v>
      </c>
      <c r="K3742" s="5">
        <f t="shared" si="150"/>
        <v>0.41348811498067445</v>
      </c>
    </row>
    <row r="3743" spans="1:11" x14ac:dyDescent="0.25">
      <c r="A3743" t="s">
        <v>13114</v>
      </c>
      <c r="C3743" t="s">
        <v>13115</v>
      </c>
      <c r="D3743" t="s">
        <v>13116</v>
      </c>
      <c r="E3743" t="s">
        <v>6</v>
      </c>
      <c r="F3743" t="s">
        <v>251</v>
      </c>
      <c r="G3743">
        <v>2</v>
      </c>
      <c r="H3743" s="2">
        <f>Tabelle13[[#This Row],[commits]]/Tabelle13[[#Totals],[commits]]</f>
        <v>9.2955808808492451E-6</v>
      </c>
      <c r="I3743" s="5">
        <f>Tabelle13[[#This Row],[%]]+I3742</f>
        <v>0.9742280020078391</v>
      </c>
      <c r="J3743" s="4">
        <f t="shared" si="149"/>
        <v>1.105583195135434E-4</v>
      </c>
      <c r="K3743" s="5">
        <f t="shared" si="150"/>
        <v>0.41359867330018801</v>
      </c>
    </row>
    <row r="3744" spans="1:11" x14ac:dyDescent="0.25">
      <c r="A3744" t="s">
        <v>13117</v>
      </c>
      <c r="C3744" t="s">
        <v>13118</v>
      </c>
      <c r="D3744" t="s">
        <v>13119</v>
      </c>
      <c r="E3744" t="s">
        <v>6</v>
      </c>
      <c r="F3744" t="s">
        <v>251</v>
      </c>
      <c r="G3744">
        <v>2</v>
      </c>
      <c r="H3744" s="2">
        <f>Tabelle13[[#This Row],[commits]]/Tabelle13[[#Totals],[commits]]</f>
        <v>9.2955808808492451E-6</v>
      </c>
      <c r="I3744" s="5">
        <f>Tabelle13[[#This Row],[%]]+I3743</f>
        <v>0.97423729758871991</v>
      </c>
      <c r="J3744" s="4">
        <f t="shared" si="149"/>
        <v>1.105583195135434E-4</v>
      </c>
      <c r="K3744" s="5">
        <f t="shared" si="150"/>
        <v>0.41370923161970158</v>
      </c>
    </row>
    <row r="3745" spans="1:11" x14ac:dyDescent="0.25">
      <c r="A3745" t="s">
        <v>13120</v>
      </c>
      <c r="C3745" t="s">
        <v>187</v>
      </c>
      <c r="D3745" t="s">
        <v>5</v>
      </c>
      <c r="E3745" t="s">
        <v>6</v>
      </c>
      <c r="F3745" t="s">
        <v>251</v>
      </c>
      <c r="G3745">
        <v>2</v>
      </c>
      <c r="H3745" s="2">
        <f>Tabelle13[[#This Row],[commits]]/Tabelle13[[#Totals],[commits]]</f>
        <v>9.2955808808492451E-6</v>
      </c>
      <c r="I3745" s="5">
        <f>Tabelle13[[#This Row],[%]]+I3744</f>
        <v>0.97424659316960072</v>
      </c>
      <c r="J3745" s="4">
        <f t="shared" si="149"/>
        <v>1.105583195135434E-4</v>
      </c>
      <c r="K3745" s="5">
        <f t="shared" si="150"/>
        <v>0.41381978993921514</v>
      </c>
    </row>
    <row r="3746" spans="1:11" x14ac:dyDescent="0.25">
      <c r="A3746" t="s">
        <v>13121</v>
      </c>
      <c r="C3746" t="s">
        <v>13122</v>
      </c>
      <c r="D3746" t="s">
        <v>309</v>
      </c>
      <c r="E3746" t="s">
        <v>6</v>
      </c>
      <c r="F3746" t="s">
        <v>251</v>
      </c>
      <c r="G3746">
        <v>2</v>
      </c>
      <c r="H3746" s="2">
        <f>Tabelle13[[#This Row],[commits]]/Tabelle13[[#Totals],[commits]]</f>
        <v>9.2955808808492451E-6</v>
      </c>
      <c r="I3746" s="5">
        <f>Tabelle13[[#This Row],[%]]+I3745</f>
        <v>0.97425588875048152</v>
      </c>
      <c r="J3746" s="4">
        <f t="shared" si="149"/>
        <v>1.105583195135434E-4</v>
      </c>
      <c r="K3746" s="5">
        <f t="shared" si="150"/>
        <v>0.41393034825872871</v>
      </c>
    </row>
    <row r="3747" spans="1:11" x14ac:dyDescent="0.25">
      <c r="A3747" t="s">
        <v>13123</v>
      </c>
      <c r="C3747" t="s">
        <v>13124</v>
      </c>
      <c r="D3747" t="s">
        <v>5</v>
      </c>
      <c r="E3747" t="s">
        <v>6</v>
      </c>
      <c r="F3747" t="s">
        <v>251</v>
      </c>
      <c r="G3747">
        <v>2</v>
      </c>
      <c r="H3747" s="2">
        <f>Tabelle13[[#This Row],[commits]]/Tabelle13[[#Totals],[commits]]</f>
        <v>9.2955808808492451E-6</v>
      </c>
      <c r="I3747" s="5">
        <f>Tabelle13[[#This Row],[%]]+I3746</f>
        <v>0.97426518433136233</v>
      </c>
      <c r="J3747" s="4">
        <f t="shared" si="149"/>
        <v>1.105583195135434E-4</v>
      </c>
      <c r="K3747" s="5">
        <f t="shared" si="150"/>
        <v>0.41404090657824227</v>
      </c>
    </row>
    <row r="3748" spans="1:11" x14ac:dyDescent="0.25">
      <c r="A3748" t="s">
        <v>13125</v>
      </c>
      <c r="C3748" t="s">
        <v>13126</v>
      </c>
      <c r="D3748" t="s">
        <v>5</v>
      </c>
      <c r="E3748" t="s">
        <v>6</v>
      </c>
      <c r="F3748" t="s">
        <v>251</v>
      </c>
      <c r="G3748">
        <v>2</v>
      </c>
      <c r="H3748" s="2">
        <f>Tabelle13[[#This Row],[commits]]/Tabelle13[[#Totals],[commits]]</f>
        <v>9.2955808808492451E-6</v>
      </c>
      <c r="I3748" s="5">
        <f>Tabelle13[[#This Row],[%]]+I3747</f>
        <v>0.97427447991224314</v>
      </c>
      <c r="J3748" s="4">
        <f t="shared" si="149"/>
        <v>1.105583195135434E-4</v>
      </c>
      <c r="K3748" s="5">
        <f t="shared" si="150"/>
        <v>0.41415146489775584</v>
      </c>
    </row>
    <row r="3749" spans="1:11" x14ac:dyDescent="0.25">
      <c r="A3749" t="s">
        <v>13127</v>
      </c>
      <c r="C3749" t="s">
        <v>13128</v>
      </c>
      <c r="D3749" t="s">
        <v>5</v>
      </c>
      <c r="E3749" t="s">
        <v>6</v>
      </c>
      <c r="F3749" t="s">
        <v>251</v>
      </c>
      <c r="G3749">
        <v>2</v>
      </c>
      <c r="H3749" s="2">
        <f>Tabelle13[[#This Row],[commits]]/Tabelle13[[#Totals],[commits]]</f>
        <v>9.2955808808492451E-6</v>
      </c>
      <c r="I3749" s="5">
        <f>Tabelle13[[#This Row],[%]]+I3748</f>
        <v>0.97428377549312395</v>
      </c>
      <c r="J3749" s="4">
        <f t="shared" si="149"/>
        <v>1.105583195135434E-4</v>
      </c>
      <c r="K3749" s="5">
        <f t="shared" si="150"/>
        <v>0.4142620232172694</v>
      </c>
    </row>
    <row r="3750" spans="1:11" x14ac:dyDescent="0.25">
      <c r="A3750" t="s">
        <v>13129</v>
      </c>
      <c r="C3750" t="s">
        <v>13130</v>
      </c>
      <c r="D3750" t="s">
        <v>5</v>
      </c>
      <c r="E3750" t="s">
        <v>6</v>
      </c>
      <c r="F3750" t="s">
        <v>251</v>
      </c>
      <c r="G3750">
        <v>2</v>
      </c>
      <c r="H3750" s="2">
        <f>Tabelle13[[#This Row],[commits]]/Tabelle13[[#Totals],[commits]]</f>
        <v>9.2955808808492451E-6</v>
      </c>
      <c r="I3750" s="5">
        <f>Tabelle13[[#This Row],[%]]+I3749</f>
        <v>0.97429307107400476</v>
      </c>
      <c r="J3750" s="4">
        <f t="shared" si="149"/>
        <v>1.105583195135434E-4</v>
      </c>
      <c r="K3750" s="5">
        <f t="shared" si="150"/>
        <v>0.41437258153678297</v>
      </c>
    </row>
    <row r="3751" spans="1:11" x14ac:dyDescent="0.25">
      <c r="A3751" t="s">
        <v>13131</v>
      </c>
      <c r="C3751" t="s">
        <v>13132</v>
      </c>
      <c r="D3751" t="s">
        <v>5</v>
      </c>
      <c r="E3751" t="s">
        <v>6</v>
      </c>
      <c r="F3751" t="s">
        <v>251</v>
      </c>
      <c r="G3751">
        <v>2</v>
      </c>
      <c r="H3751" s="2">
        <f>Tabelle13[[#This Row],[commits]]/Tabelle13[[#Totals],[commits]]</f>
        <v>9.2955808808492451E-6</v>
      </c>
      <c r="I3751" s="5">
        <f>Tabelle13[[#This Row],[%]]+I3750</f>
        <v>0.97430236665488557</v>
      </c>
      <c r="J3751" s="4">
        <f t="shared" si="149"/>
        <v>1.105583195135434E-4</v>
      </c>
      <c r="K3751" s="5">
        <f t="shared" si="150"/>
        <v>0.41448313985629653</v>
      </c>
    </row>
    <row r="3752" spans="1:11" x14ac:dyDescent="0.25">
      <c r="A3752" t="s">
        <v>13133</v>
      </c>
      <c r="C3752" t="s">
        <v>13134</v>
      </c>
      <c r="D3752" t="s">
        <v>5</v>
      </c>
      <c r="E3752" t="s">
        <v>6</v>
      </c>
      <c r="F3752" t="s">
        <v>251</v>
      </c>
      <c r="G3752">
        <v>2</v>
      </c>
      <c r="H3752" s="2">
        <f>Tabelle13[[#This Row],[commits]]/Tabelle13[[#Totals],[commits]]</f>
        <v>9.2955808808492451E-6</v>
      </c>
      <c r="I3752" s="5">
        <f>Tabelle13[[#This Row],[%]]+I3751</f>
        <v>0.97431166223576637</v>
      </c>
      <c r="J3752" s="4">
        <f t="shared" si="149"/>
        <v>1.105583195135434E-4</v>
      </c>
      <c r="K3752" s="5">
        <f t="shared" si="150"/>
        <v>0.4145936981758101</v>
      </c>
    </row>
    <row r="3753" spans="1:11" x14ac:dyDescent="0.25">
      <c r="A3753" t="s">
        <v>13135</v>
      </c>
      <c r="C3753" t="s">
        <v>13136</v>
      </c>
      <c r="D3753" t="s">
        <v>5</v>
      </c>
      <c r="E3753" t="s">
        <v>6</v>
      </c>
      <c r="F3753" t="s">
        <v>251</v>
      </c>
      <c r="G3753">
        <v>2</v>
      </c>
      <c r="H3753" s="2">
        <f>Tabelle13[[#This Row],[commits]]/Tabelle13[[#Totals],[commits]]</f>
        <v>9.2955808808492451E-6</v>
      </c>
      <c r="I3753" s="5">
        <f>Tabelle13[[#This Row],[%]]+I3752</f>
        <v>0.97432095781664718</v>
      </c>
      <c r="J3753" s="4">
        <f t="shared" si="149"/>
        <v>1.105583195135434E-4</v>
      </c>
      <c r="K3753" s="5">
        <f t="shared" si="150"/>
        <v>0.41470425649532366</v>
      </c>
    </row>
    <row r="3754" spans="1:11" x14ac:dyDescent="0.25">
      <c r="A3754" t="s">
        <v>13137</v>
      </c>
      <c r="C3754" t="s">
        <v>13138</v>
      </c>
      <c r="D3754" t="s">
        <v>5</v>
      </c>
      <c r="E3754" t="s">
        <v>6</v>
      </c>
      <c r="F3754" t="s">
        <v>251</v>
      </c>
      <c r="G3754">
        <v>2</v>
      </c>
      <c r="H3754" s="2">
        <f>Tabelle13[[#This Row],[commits]]/Tabelle13[[#Totals],[commits]]</f>
        <v>9.2955808808492451E-6</v>
      </c>
      <c r="I3754" s="5">
        <f>Tabelle13[[#This Row],[%]]+I3753</f>
        <v>0.97433025339752799</v>
      </c>
      <c r="J3754" s="4">
        <f t="shared" si="149"/>
        <v>1.105583195135434E-4</v>
      </c>
      <c r="K3754" s="5">
        <f t="shared" si="150"/>
        <v>0.41481481481483723</v>
      </c>
    </row>
    <row r="3755" spans="1:11" x14ac:dyDescent="0.25">
      <c r="A3755" t="s">
        <v>13139</v>
      </c>
      <c r="C3755" t="s">
        <v>13140</v>
      </c>
      <c r="D3755" t="s">
        <v>5</v>
      </c>
      <c r="E3755" t="s">
        <v>6</v>
      </c>
      <c r="F3755" t="s">
        <v>251</v>
      </c>
      <c r="G3755">
        <v>2</v>
      </c>
      <c r="H3755" s="2">
        <f>Tabelle13[[#This Row],[commits]]/Tabelle13[[#Totals],[commits]]</f>
        <v>9.2955808808492451E-6</v>
      </c>
      <c r="I3755" s="5">
        <f>Tabelle13[[#This Row],[%]]+I3754</f>
        <v>0.9743395489784088</v>
      </c>
      <c r="J3755" s="4">
        <f t="shared" si="149"/>
        <v>1.105583195135434E-4</v>
      </c>
      <c r="K3755" s="5">
        <f t="shared" si="150"/>
        <v>0.41492537313435079</v>
      </c>
    </row>
    <row r="3756" spans="1:11" x14ac:dyDescent="0.25">
      <c r="A3756" t="s">
        <v>13141</v>
      </c>
      <c r="C3756" t="s">
        <v>13142</v>
      </c>
      <c r="D3756" t="s">
        <v>12384</v>
      </c>
      <c r="E3756" t="s">
        <v>6</v>
      </c>
      <c r="F3756" t="s">
        <v>251</v>
      </c>
      <c r="G3756">
        <v>2</v>
      </c>
      <c r="H3756" s="2">
        <f>Tabelle13[[#This Row],[commits]]/Tabelle13[[#Totals],[commits]]</f>
        <v>9.2955808808492451E-6</v>
      </c>
      <c r="I3756" s="5">
        <f>Tabelle13[[#This Row],[%]]+I3755</f>
        <v>0.97434884455928961</v>
      </c>
      <c r="J3756" s="4">
        <f t="shared" si="149"/>
        <v>1.105583195135434E-4</v>
      </c>
      <c r="K3756" s="5">
        <f t="shared" si="150"/>
        <v>0.41503593145386436</v>
      </c>
    </row>
    <row r="3757" spans="1:11" x14ac:dyDescent="0.25">
      <c r="A3757" t="s">
        <v>13143</v>
      </c>
      <c r="C3757" t="s">
        <v>13136</v>
      </c>
      <c r="D3757" t="s">
        <v>5</v>
      </c>
      <c r="E3757" t="s">
        <v>6</v>
      </c>
      <c r="F3757" t="s">
        <v>251</v>
      </c>
      <c r="G3757">
        <v>2</v>
      </c>
      <c r="H3757" s="2">
        <f>Tabelle13[[#This Row],[commits]]/Tabelle13[[#Totals],[commits]]</f>
        <v>9.2955808808492451E-6</v>
      </c>
      <c r="I3757" s="5">
        <f>Tabelle13[[#This Row],[%]]+I3756</f>
        <v>0.97435814014017041</v>
      </c>
      <c r="J3757" s="4">
        <f t="shared" si="149"/>
        <v>1.105583195135434E-4</v>
      </c>
      <c r="K3757" s="5">
        <f t="shared" si="150"/>
        <v>0.41514648977337792</v>
      </c>
    </row>
    <row r="3758" spans="1:11" x14ac:dyDescent="0.25">
      <c r="A3758" t="s">
        <v>13144</v>
      </c>
      <c r="C3758" t="s">
        <v>13145</v>
      </c>
      <c r="D3758" t="s">
        <v>5</v>
      </c>
      <c r="E3758" t="s">
        <v>6</v>
      </c>
      <c r="F3758" t="s">
        <v>251</v>
      </c>
      <c r="G3758">
        <v>2</v>
      </c>
      <c r="H3758" s="2">
        <f>Tabelle13[[#This Row],[commits]]/Tabelle13[[#Totals],[commits]]</f>
        <v>9.2955808808492451E-6</v>
      </c>
      <c r="I3758" s="5">
        <f>Tabelle13[[#This Row],[%]]+I3757</f>
        <v>0.97436743572105122</v>
      </c>
      <c r="J3758" s="4">
        <f t="shared" si="149"/>
        <v>1.105583195135434E-4</v>
      </c>
      <c r="K3758" s="5">
        <f t="shared" si="150"/>
        <v>0.41525704809289149</v>
      </c>
    </row>
    <row r="3759" spans="1:11" x14ac:dyDescent="0.25">
      <c r="A3759" t="s">
        <v>13146</v>
      </c>
      <c r="C3759" t="s">
        <v>13147</v>
      </c>
      <c r="D3759" t="s">
        <v>5</v>
      </c>
      <c r="E3759" t="s">
        <v>6</v>
      </c>
      <c r="F3759" t="s">
        <v>251</v>
      </c>
      <c r="G3759">
        <v>2</v>
      </c>
      <c r="H3759" s="2">
        <f>Tabelle13[[#This Row],[commits]]/Tabelle13[[#Totals],[commits]]</f>
        <v>9.2955808808492451E-6</v>
      </c>
      <c r="I3759" s="5">
        <f>Tabelle13[[#This Row],[%]]+I3758</f>
        <v>0.97437673130193203</v>
      </c>
      <c r="J3759" s="4">
        <f t="shared" si="149"/>
        <v>1.105583195135434E-4</v>
      </c>
      <c r="K3759" s="5">
        <f t="shared" si="150"/>
        <v>0.41536760641240505</v>
      </c>
    </row>
    <row r="3760" spans="1:11" x14ac:dyDescent="0.25">
      <c r="A3760" t="s">
        <v>13148</v>
      </c>
      <c r="C3760" t="s">
        <v>13149</v>
      </c>
      <c r="D3760" t="s">
        <v>5</v>
      </c>
      <c r="E3760" t="s">
        <v>6</v>
      </c>
      <c r="F3760" t="s">
        <v>251</v>
      </c>
      <c r="G3760">
        <v>2</v>
      </c>
      <c r="H3760" s="2">
        <f>Tabelle13[[#This Row],[commits]]/Tabelle13[[#Totals],[commits]]</f>
        <v>9.2955808808492451E-6</v>
      </c>
      <c r="I3760" s="5">
        <f>Tabelle13[[#This Row],[%]]+I3759</f>
        <v>0.97438602688281284</v>
      </c>
      <c r="J3760" s="4">
        <f t="shared" si="149"/>
        <v>1.105583195135434E-4</v>
      </c>
      <c r="K3760" s="5">
        <f t="shared" si="150"/>
        <v>0.41547816473191862</v>
      </c>
    </row>
    <row r="3761" spans="1:11" x14ac:dyDescent="0.25">
      <c r="A3761" t="s">
        <v>13150</v>
      </c>
      <c r="C3761" t="s">
        <v>13151</v>
      </c>
      <c r="D3761" t="s">
        <v>8874</v>
      </c>
      <c r="E3761" t="s">
        <v>6</v>
      </c>
      <c r="F3761" t="s">
        <v>251</v>
      </c>
      <c r="G3761">
        <v>2</v>
      </c>
      <c r="H3761" s="2">
        <f>Tabelle13[[#This Row],[commits]]/Tabelle13[[#Totals],[commits]]</f>
        <v>9.2955808808492451E-6</v>
      </c>
      <c r="I3761" s="5">
        <f>Tabelle13[[#This Row],[%]]+I3760</f>
        <v>0.97439532246369365</v>
      </c>
      <c r="J3761" s="4">
        <f t="shared" si="149"/>
        <v>1.105583195135434E-4</v>
      </c>
      <c r="K3761" s="5">
        <f t="shared" si="150"/>
        <v>0.41558872305143219</v>
      </c>
    </row>
    <row r="3762" spans="1:11" x14ac:dyDescent="0.25">
      <c r="A3762" t="s">
        <v>13152</v>
      </c>
      <c r="C3762" t="s">
        <v>13153</v>
      </c>
      <c r="D3762" t="s">
        <v>5</v>
      </c>
      <c r="E3762" t="s">
        <v>6</v>
      </c>
      <c r="F3762" t="s">
        <v>251</v>
      </c>
      <c r="G3762">
        <v>2</v>
      </c>
      <c r="H3762" s="2">
        <f>Tabelle13[[#This Row],[commits]]/Tabelle13[[#Totals],[commits]]</f>
        <v>9.2955808808492451E-6</v>
      </c>
      <c r="I3762" s="5">
        <f>Tabelle13[[#This Row],[%]]+I3761</f>
        <v>0.97440461804457446</v>
      </c>
      <c r="J3762" s="4">
        <f t="shared" si="149"/>
        <v>1.105583195135434E-4</v>
      </c>
      <c r="K3762" s="5">
        <f t="shared" si="150"/>
        <v>0.41569928137094575</v>
      </c>
    </row>
    <row r="3763" spans="1:11" x14ac:dyDescent="0.25">
      <c r="A3763" t="s">
        <v>13154</v>
      </c>
      <c r="C3763" t="s">
        <v>13155</v>
      </c>
      <c r="D3763" t="s">
        <v>5</v>
      </c>
      <c r="E3763" t="s">
        <v>6</v>
      </c>
      <c r="F3763" t="s">
        <v>251</v>
      </c>
      <c r="G3763">
        <v>2</v>
      </c>
      <c r="H3763" s="2">
        <f>Tabelle13[[#This Row],[commits]]/Tabelle13[[#Totals],[commits]]</f>
        <v>9.2955808808492451E-6</v>
      </c>
      <c r="I3763" s="5">
        <f>Tabelle13[[#This Row],[%]]+I3762</f>
        <v>0.97441391362545526</v>
      </c>
      <c r="J3763" s="4">
        <f t="shared" si="149"/>
        <v>1.105583195135434E-4</v>
      </c>
      <c r="K3763" s="5">
        <f t="shared" si="150"/>
        <v>0.41580983969045932</v>
      </c>
    </row>
    <row r="3764" spans="1:11" x14ac:dyDescent="0.25">
      <c r="A3764" t="s">
        <v>13156</v>
      </c>
      <c r="C3764" t="s">
        <v>13157</v>
      </c>
      <c r="D3764" t="s">
        <v>5</v>
      </c>
      <c r="E3764" t="s">
        <v>6</v>
      </c>
      <c r="F3764" t="s">
        <v>251</v>
      </c>
      <c r="G3764">
        <v>2</v>
      </c>
      <c r="H3764" s="2">
        <f>Tabelle13[[#This Row],[commits]]/Tabelle13[[#Totals],[commits]]</f>
        <v>9.2955808808492451E-6</v>
      </c>
      <c r="I3764" s="5">
        <f>Tabelle13[[#This Row],[%]]+I3763</f>
        <v>0.97442320920633607</v>
      </c>
      <c r="J3764" s="4">
        <f t="shared" si="149"/>
        <v>1.105583195135434E-4</v>
      </c>
      <c r="K3764" s="5">
        <f t="shared" si="150"/>
        <v>0.41592039800997288</v>
      </c>
    </row>
    <row r="3765" spans="1:11" x14ac:dyDescent="0.25">
      <c r="A3765" t="s">
        <v>13158</v>
      </c>
      <c r="C3765">
        <v>505745416</v>
      </c>
      <c r="D3765" t="s">
        <v>5</v>
      </c>
      <c r="E3765" t="s">
        <v>6</v>
      </c>
      <c r="F3765" t="s">
        <v>251</v>
      </c>
      <c r="G3765">
        <v>2</v>
      </c>
      <c r="H3765" s="2">
        <f>Tabelle13[[#This Row],[commits]]/Tabelle13[[#Totals],[commits]]</f>
        <v>9.2955808808492451E-6</v>
      </c>
      <c r="I3765" s="5">
        <f>Tabelle13[[#This Row],[%]]+I3764</f>
        <v>0.97443250478721688</v>
      </c>
      <c r="J3765" s="4">
        <f t="shared" si="149"/>
        <v>1.105583195135434E-4</v>
      </c>
      <c r="K3765" s="5">
        <f t="shared" si="150"/>
        <v>0.41603095632948645</v>
      </c>
    </row>
    <row r="3766" spans="1:11" x14ac:dyDescent="0.25">
      <c r="A3766" t="s">
        <v>13159</v>
      </c>
      <c r="C3766" t="s">
        <v>13160</v>
      </c>
      <c r="D3766" t="s">
        <v>5</v>
      </c>
      <c r="E3766" t="s">
        <v>6</v>
      </c>
      <c r="F3766" t="s">
        <v>251</v>
      </c>
      <c r="G3766">
        <v>2</v>
      </c>
      <c r="H3766" s="2">
        <f>Tabelle13[[#This Row],[commits]]/Tabelle13[[#Totals],[commits]]</f>
        <v>9.2955808808492451E-6</v>
      </c>
      <c r="I3766" s="5">
        <f>Tabelle13[[#This Row],[%]]+I3765</f>
        <v>0.97444180036809769</v>
      </c>
      <c r="J3766" s="4">
        <f t="shared" si="149"/>
        <v>1.105583195135434E-4</v>
      </c>
      <c r="K3766" s="5">
        <f t="shared" si="150"/>
        <v>0.41614151464900001</v>
      </c>
    </row>
    <row r="3767" spans="1:11" x14ac:dyDescent="0.25">
      <c r="A3767" t="s">
        <v>13161</v>
      </c>
      <c r="C3767" t="s">
        <v>13162</v>
      </c>
      <c r="D3767" t="s">
        <v>5</v>
      </c>
      <c r="E3767" t="s">
        <v>6</v>
      </c>
      <c r="F3767" t="s">
        <v>251</v>
      </c>
      <c r="G3767">
        <v>2</v>
      </c>
      <c r="H3767" s="2">
        <f>Tabelle13[[#This Row],[commits]]/Tabelle13[[#Totals],[commits]]</f>
        <v>9.2955808808492451E-6</v>
      </c>
      <c r="I3767" s="5">
        <f>Tabelle13[[#This Row],[%]]+I3766</f>
        <v>0.9744510959489785</v>
      </c>
      <c r="J3767" s="4">
        <f t="shared" si="149"/>
        <v>1.105583195135434E-4</v>
      </c>
      <c r="K3767" s="5">
        <f t="shared" si="150"/>
        <v>0.41625207296851358</v>
      </c>
    </row>
    <row r="3768" spans="1:11" x14ac:dyDescent="0.25">
      <c r="A3768" t="s">
        <v>13163</v>
      </c>
      <c r="C3768" t="s">
        <v>13164</v>
      </c>
      <c r="D3768" t="s">
        <v>5</v>
      </c>
      <c r="E3768" t="s">
        <v>6</v>
      </c>
      <c r="F3768" t="s">
        <v>251</v>
      </c>
      <c r="G3768">
        <v>2</v>
      </c>
      <c r="H3768" s="2">
        <f>Tabelle13[[#This Row],[commits]]/Tabelle13[[#Totals],[commits]]</f>
        <v>9.2955808808492451E-6</v>
      </c>
      <c r="I3768" s="5">
        <f>Tabelle13[[#This Row],[%]]+I3767</f>
        <v>0.9744603915298593</v>
      </c>
      <c r="J3768" s="4">
        <f t="shared" si="149"/>
        <v>1.105583195135434E-4</v>
      </c>
      <c r="K3768" s="5">
        <f t="shared" si="150"/>
        <v>0.41636263128802714</v>
      </c>
    </row>
    <row r="3769" spans="1:11" x14ac:dyDescent="0.25">
      <c r="A3769" t="s">
        <v>13165</v>
      </c>
      <c r="C3769" t="s">
        <v>13166</v>
      </c>
      <c r="D3769" t="s">
        <v>5</v>
      </c>
      <c r="E3769" t="s">
        <v>6</v>
      </c>
      <c r="F3769" t="s">
        <v>251</v>
      </c>
      <c r="G3769">
        <v>2</v>
      </c>
      <c r="H3769" s="2">
        <f>Tabelle13[[#This Row],[commits]]/Tabelle13[[#Totals],[commits]]</f>
        <v>9.2955808808492451E-6</v>
      </c>
      <c r="I3769" s="5">
        <f>Tabelle13[[#This Row],[%]]+I3768</f>
        <v>0.97446968711074011</v>
      </c>
      <c r="J3769" s="4">
        <f t="shared" si="149"/>
        <v>1.105583195135434E-4</v>
      </c>
      <c r="K3769" s="5">
        <f t="shared" si="150"/>
        <v>0.41647318960754071</v>
      </c>
    </row>
    <row r="3770" spans="1:11" x14ac:dyDescent="0.25">
      <c r="A3770" t="s">
        <v>13167</v>
      </c>
      <c r="C3770" t="s">
        <v>13168</v>
      </c>
      <c r="D3770" t="s">
        <v>5</v>
      </c>
      <c r="E3770" t="s">
        <v>6</v>
      </c>
      <c r="F3770" t="s">
        <v>251</v>
      </c>
      <c r="G3770">
        <v>2</v>
      </c>
      <c r="H3770" s="2">
        <f>Tabelle13[[#This Row],[commits]]/Tabelle13[[#Totals],[commits]]</f>
        <v>9.2955808808492451E-6</v>
      </c>
      <c r="I3770" s="5">
        <f>Tabelle13[[#This Row],[%]]+I3769</f>
        <v>0.97447898269162092</v>
      </c>
      <c r="J3770" s="4">
        <f t="shared" si="149"/>
        <v>1.105583195135434E-4</v>
      </c>
      <c r="K3770" s="5">
        <f t="shared" si="150"/>
        <v>0.41658374792705427</v>
      </c>
    </row>
    <row r="3771" spans="1:11" x14ac:dyDescent="0.25">
      <c r="A3771" t="s">
        <v>13169</v>
      </c>
      <c r="C3771" t="s">
        <v>13170</v>
      </c>
      <c r="D3771" t="s">
        <v>5</v>
      </c>
      <c r="E3771" t="s">
        <v>6</v>
      </c>
      <c r="F3771" t="s">
        <v>251</v>
      </c>
      <c r="G3771">
        <v>2</v>
      </c>
      <c r="H3771" s="2">
        <f>Tabelle13[[#This Row],[commits]]/Tabelle13[[#Totals],[commits]]</f>
        <v>9.2955808808492451E-6</v>
      </c>
      <c r="I3771" s="5">
        <f>Tabelle13[[#This Row],[%]]+I3770</f>
        <v>0.97448827827250173</v>
      </c>
      <c r="J3771" s="4">
        <f t="shared" si="149"/>
        <v>1.105583195135434E-4</v>
      </c>
      <c r="K3771" s="5">
        <f t="shared" si="150"/>
        <v>0.41669430624656784</v>
      </c>
    </row>
    <row r="3772" spans="1:11" x14ac:dyDescent="0.25">
      <c r="A3772" t="s">
        <v>13171</v>
      </c>
      <c r="C3772" t="s">
        <v>13172</v>
      </c>
      <c r="D3772" t="s">
        <v>5</v>
      </c>
      <c r="E3772" t="s">
        <v>6</v>
      </c>
      <c r="F3772" t="s">
        <v>251</v>
      </c>
      <c r="G3772">
        <v>2</v>
      </c>
      <c r="H3772" s="2">
        <f>Tabelle13[[#This Row],[commits]]/Tabelle13[[#Totals],[commits]]</f>
        <v>9.2955808808492451E-6</v>
      </c>
      <c r="I3772" s="5">
        <f>Tabelle13[[#This Row],[%]]+I3771</f>
        <v>0.97449757385338254</v>
      </c>
      <c r="J3772" s="4">
        <f t="shared" si="149"/>
        <v>1.105583195135434E-4</v>
      </c>
      <c r="K3772" s="5">
        <f t="shared" si="150"/>
        <v>0.4168048645660814</v>
      </c>
    </row>
    <row r="3773" spans="1:11" x14ac:dyDescent="0.25">
      <c r="A3773" t="s">
        <v>13173</v>
      </c>
      <c r="C3773" t="s">
        <v>13174</v>
      </c>
      <c r="D3773" t="s">
        <v>11024</v>
      </c>
      <c r="E3773" t="s">
        <v>6</v>
      </c>
      <c r="F3773" t="s">
        <v>251</v>
      </c>
      <c r="G3773">
        <v>2</v>
      </c>
      <c r="H3773" s="2">
        <f>Tabelle13[[#This Row],[commits]]/Tabelle13[[#Totals],[commits]]</f>
        <v>9.2955808808492451E-6</v>
      </c>
      <c r="I3773" s="5">
        <f>Tabelle13[[#This Row],[%]]+I3772</f>
        <v>0.97450686943426335</v>
      </c>
      <c r="J3773" s="4">
        <f t="shared" si="149"/>
        <v>1.105583195135434E-4</v>
      </c>
      <c r="K3773" s="5">
        <f t="shared" si="150"/>
        <v>0.41691542288559497</v>
      </c>
    </row>
    <row r="3774" spans="1:11" x14ac:dyDescent="0.25">
      <c r="A3774" t="s">
        <v>13175</v>
      </c>
      <c r="C3774" t="s">
        <v>13176</v>
      </c>
      <c r="D3774" t="s">
        <v>5</v>
      </c>
      <c r="E3774" t="s">
        <v>6</v>
      </c>
      <c r="F3774" t="s">
        <v>251</v>
      </c>
      <c r="G3774">
        <v>2</v>
      </c>
      <c r="H3774" s="2">
        <f>Tabelle13[[#This Row],[commits]]/Tabelle13[[#Totals],[commits]]</f>
        <v>9.2955808808492451E-6</v>
      </c>
      <c r="I3774" s="5">
        <f>Tabelle13[[#This Row],[%]]+I3773</f>
        <v>0.97451616501514415</v>
      </c>
      <c r="J3774" s="4">
        <f t="shared" si="149"/>
        <v>1.105583195135434E-4</v>
      </c>
      <c r="K3774" s="5">
        <f t="shared" si="150"/>
        <v>0.41702598120510853</v>
      </c>
    </row>
    <row r="3775" spans="1:11" x14ac:dyDescent="0.25">
      <c r="A3775" t="s">
        <v>13177</v>
      </c>
      <c r="C3775" t="s">
        <v>13178</v>
      </c>
      <c r="D3775" t="s">
        <v>5</v>
      </c>
      <c r="E3775" t="s">
        <v>6</v>
      </c>
      <c r="F3775" t="s">
        <v>251</v>
      </c>
      <c r="G3775">
        <v>2</v>
      </c>
      <c r="H3775" s="2">
        <f>Tabelle13[[#This Row],[commits]]/Tabelle13[[#Totals],[commits]]</f>
        <v>9.2955808808492451E-6</v>
      </c>
      <c r="I3775" s="5">
        <f>Tabelle13[[#This Row],[%]]+I3774</f>
        <v>0.97452546059602496</v>
      </c>
      <c r="J3775" s="4">
        <f t="shared" si="149"/>
        <v>1.105583195135434E-4</v>
      </c>
      <c r="K3775" s="5">
        <f t="shared" si="150"/>
        <v>0.4171365395246221</v>
      </c>
    </row>
    <row r="3776" spans="1:11" x14ac:dyDescent="0.25">
      <c r="A3776" t="s">
        <v>13179</v>
      </c>
      <c r="C3776" t="s">
        <v>13180</v>
      </c>
      <c r="D3776" t="s">
        <v>5</v>
      </c>
      <c r="E3776" t="s">
        <v>6</v>
      </c>
      <c r="F3776" t="s">
        <v>251</v>
      </c>
      <c r="G3776">
        <v>2</v>
      </c>
      <c r="H3776" s="2">
        <f>Tabelle13[[#This Row],[commits]]/Tabelle13[[#Totals],[commits]]</f>
        <v>9.2955808808492451E-6</v>
      </c>
      <c r="I3776" s="5">
        <f>Tabelle13[[#This Row],[%]]+I3775</f>
        <v>0.97453475617690577</v>
      </c>
      <c r="J3776" s="4">
        <f t="shared" si="149"/>
        <v>1.105583195135434E-4</v>
      </c>
      <c r="K3776" s="5">
        <f t="shared" si="150"/>
        <v>0.41724709784413566</v>
      </c>
    </row>
    <row r="3777" spans="1:11" x14ac:dyDescent="0.25">
      <c r="A3777" t="s">
        <v>13181</v>
      </c>
      <c r="C3777" t="s">
        <v>9309</v>
      </c>
      <c r="D3777" t="s">
        <v>5</v>
      </c>
      <c r="E3777" t="s">
        <v>6</v>
      </c>
      <c r="F3777" t="s">
        <v>251</v>
      </c>
      <c r="G3777">
        <v>2</v>
      </c>
      <c r="H3777" s="2">
        <f>Tabelle13[[#This Row],[commits]]/Tabelle13[[#Totals],[commits]]</f>
        <v>9.2955808808492451E-6</v>
      </c>
      <c r="I3777" s="5">
        <f>Tabelle13[[#This Row],[%]]+I3776</f>
        <v>0.97454405175778658</v>
      </c>
      <c r="J3777" s="4">
        <f t="shared" si="149"/>
        <v>1.105583195135434E-4</v>
      </c>
      <c r="K3777" s="5">
        <f t="shared" si="150"/>
        <v>0.41735765616364923</v>
      </c>
    </row>
    <row r="3778" spans="1:11" x14ac:dyDescent="0.25">
      <c r="A3778" t="s">
        <v>13182</v>
      </c>
      <c r="C3778" t="s">
        <v>13183</v>
      </c>
      <c r="D3778" t="s">
        <v>5</v>
      </c>
      <c r="E3778" t="s">
        <v>6</v>
      </c>
      <c r="F3778" t="s">
        <v>251</v>
      </c>
      <c r="G3778">
        <v>2</v>
      </c>
      <c r="H3778" s="2">
        <f>Tabelle13[[#This Row],[commits]]/Tabelle13[[#Totals],[commits]]</f>
        <v>9.2955808808492451E-6</v>
      </c>
      <c r="I3778" s="5">
        <f>Tabelle13[[#This Row],[%]]+I3777</f>
        <v>0.97455334733866739</v>
      </c>
      <c r="J3778" s="4">
        <f t="shared" si="149"/>
        <v>1.105583195135434E-4</v>
      </c>
      <c r="K3778" s="5">
        <f t="shared" si="150"/>
        <v>0.41746821448316279</v>
      </c>
    </row>
    <row r="3779" spans="1:11" x14ac:dyDescent="0.25">
      <c r="A3779" t="s">
        <v>13184</v>
      </c>
      <c r="C3779" t="s">
        <v>13185</v>
      </c>
      <c r="D3779" t="s">
        <v>5</v>
      </c>
      <c r="E3779" t="s">
        <v>6</v>
      </c>
      <c r="F3779" t="s">
        <v>251</v>
      </c>
      <c r="G3779">
        <v>2</v>
      </c>
      <c r="H3779" s="2">
        <f>Tabelle13[[#This Row],[commits]]/Tabelle13[[#Totals],[commits]]</f>
        <v>9.2955808808492451E-6</v>
      </c>
      <c r="I3779" s="5">
        <f>Tabelle13[[#This Row],[%]]+I3778</f>
        <v>0.97456264291954819</v>
      </c>
      <c r="J3779" s="4">
        <f t="shared" ref="J3779:J3842" si="151">1/9045</f>
        <v>1.105583195135434E-4</v>
      </c>
      <c r="K3779" s="5">
        <f t="shared" si="150"/>
        <v>0.41757877280267636</v>
      </c>
    </row>
    <row r="3780" spans="1:11" x14ac:dyDescent="0.25">
      <c r="A3780" t="s">
        <v>13186</v>
      </c>
      <c r="C3780" t="s">
        <v>13187</v>
      </c>
      <c r="D3780" t="s">
        <v>5</v>
      </c>
      <c r="E3780" t="s">
        <v>6</v>
      </c>
      <c r="F3780" t="s">
        <v>251</v>
      </c>
      <c r="G3780">
        <v>2</v>
      </c>
      <c r="H3780" s="2">
        <f>Tabelle13[[#This Row],[commits]]/Tabelle13[[#Totals],[commits]]</f>
        <v>9.2955808808492451E-6</v>
      </c>
      <c r="I3780" s="5">
        <f>Tabelle13[[#This Row],[%]]+I3779</f>
        <v>0.974571938500429</v>
      </c>
      <c r="J3780" s="4">
        <f t="shared" si="151"/>
        <v>1.105583195135434E-4</v>
      </c>
      <c r="K3780" s="5">
        <f t="shared" si="150"/>
        <v>0.41768933112218992</v>
      </c>
    </row>
    <row r="3781" spans="1:11" x14ac:dyDescent="0.25">
      <c r="A3781" t="s">
        <v>13188</v>
      </c>
      <c r="C3781" t="s">
        <v>13189</v>
      </c>
      <c r="D3781" t="s">
        <v>5</v>
      </c>
      <c r="E3781" t="s">
        <v>6</v>
      </c>
      <c r="F3781" t="s">
        <v>251</v>
      </c>
      <c r="G3781">
        <v>2</v>
      </c>
      <c r="H3781" s="2">
        <f>Tabelle13[[#This Row],[commits]]/Tabelle13[[#Totals],[commits]]</f>
        <v>9.2955808808492451E-6</v>
      </c>
      <c r="I3781" s="5">
        <f>Tabelle13[[#This Row],[%]]+I3780</f>
        <v>0.97458123408130981</v>
      </c>
      <c r="J3781" s="4">
        <f t="shared" si="151"/>
        <v>1.105583195135434E-4</v>
      </c>
      <c r="K3781" s="5">
        <f t="shared" si="150"/>
        <v>0.41779988944170349</v>
      </c>
    </row>
    <row r="3782" spans="1:11" x14ac:dyDescent="0.25">
      <c r="A3782" t="s">
        <v>13190</v>
      </c>
      <c r="C3782" t="s">
        <v>13191</v>
      </c>
      <c r="D3782" t="s">
        <v>5</v>
      </c>
      <c r="E3782" t="s">
        <v>6</v>
      </c>
      <c r="F3782" t="s">
        <v>251</v>
      </c>
      <c r="G3782">
        <v>2</v>
      </c>
      <c r="H3782" s="2">
        <f>Tabelle13[[#This Row],[commits]]/Tabelle13[[#Totals],[commits]]</f>
        <v>9.2955808808492451E-6</v>
      </c>
      <c r="I3782" s="5">
        <f>Tabelle13[[#This Row],[%]]+I3781</f>
        <v>0.97459052966219062</v>
      </c>
      <c r="J3782" s="4">
        <f t="shared" si="151"/>
        <v>1.105583195135434E-4</v>
      </c>
      <c r="K3782" s="5">
        <f t="shared" ref="K3782:K3845" si="152">J3782+K3781</f>
        <v>0.41791044776121705</v>
      </c>
    </row>
    <row r="3783" spans="1:11" x14ac:dyDescent="0.25">
      <c r="A3783" t="s">
        <v>13192</v>
      </c>
      <c r="C3783" t="s">
        <v>13193</v>
      </c>
      <c r="D3783" t="s">
        <v>5</v>
      </c>
      <c r="E3783" t="s">
        <v>6</v>
      </c>
      <c r="F3783" t="s">
        <v>251</v>
      </c>
      <c r="G3783">
        <v>2</v>
      </c>
      <c r="H3783" s="2">
        <f>Tabelle13[[#This Row],[commits]]/Tabelle13[[#Totals],[commits]]</f>
        <v>9.2955808808492451E-6</v>
      </c>
      <c r="I3783" s="5">
        <f>Tabelle13[[#This Row],[%]]+I3782</f>
        <v>0.97459982524307143</v>
      </c>
      <c r="J3783" s="4">
        <f t="shared" si="151"/>
        <v>1.105583195135434E-4</v>
      </c>
      <c r="K3783" s="5">
        <f t="shared" si="152"/>
        <v>0.41802100608073062</v>
      </c>
    </row>
    <row r="3784" spans="1:11" x14ac:dyDescent="0.25">
      <c r="A3784" t="s">
        <v>13194</v>
      </c>
      <c r="C3784" t="s">
        <v>13195</v>
      </c>
      <c r="D3784" t="s">
        <v>5</v>
      </c>
      <c r="E3784" t="s">
        <v>6</v>
      </c>
      <c r="F3784" t="s">
        <v>251</v>
      </c>
      <c r="G3784">
        <v>2</v>
      </c>
      <c r="H3784" s="2">
        <f>Tabelle13[[#This Row],[commits]]/Tabelle13[[#Totals],[commits]]</f>
        <v>9.2955808808492451E-6</v>
      </c>
      <c r="I3784" s="5">
        <f>Tabelle13[[#This Row],[%]]+I3783</f>
        <v>0.97460912082395224</v>
      </c>
      <c r="J3784" s="4">
        <f t="shared" si="151"/>
        <v>1.105583195135434E-4</v>
      </c>
      <c r="K3784" s="5">
        <f t="shared" si="152"/>
        <v>0.41813156440024418</v>
      </c>
    </row>
    <row r="3785" spans="1:11" x14ac:dyDescent="0.25">
      <c r="A3785" t="s">
        <v>13196</v>
      </c>
      <c r="C3785" t="s">
        <v>13197</v>
      </c>
      <c r="D3785" t="s">
        <v>5</v>
      </c>
      <c r="E3785" t="s">
        <v>6</v>
      </c>
      <c r="F3785" t="s">
        <v>251</v>
      </c>
      <c r="G3785">
        <v>2</v>
      </c>
      <c r="H3785" s="2">
        <f>Tabelle13[[#This Row],[commits]]/Tabelle13[[#Totals],[commits]]</f>
        <v>9.2955808808492451E-6</v>
      </c>
      <c r="I3785" s="5">
        <f>Tabelle13[[#This Row],[%]]+I3784</f>
        <v>0.97461841640483304</v>
      </c>
      <c r="J3785" s="4">
        <f t="shared" si="151"/>
        <v>1.105583195135434E-4</v>
      </c>
      <c r="K3785" s="5">
        <f t="shared" si="152"/>
        <v>0.41824212271975775</v>
      </c>
    </row>
    <row r="3786" spans="1:11" x14ac:dyDescent="0.25">
      <c r="A3786" t="s">
        <v>13198</v>
      </c>
      <c r="C3786" t="s">
        <v>13199</v>
      </c>
      <c r="D3786" t="s">
        <v>5</v>
      </c>
      <c r="E3786" t="s">
        <v>6</v>
      </c>
      <c r="F3786" t="s">
        <v>251</v>
      </c>
      <c r="G3786">
        <v>2</v>
      </c>
      <c r="H3786" s="2">
        <f>Tabelle13[[#This Row],[commits]]/Tabelle13[[#Totals],[commits]]</f>
        <v>9.2955808808492451E-6</v>
      </c>
      <c r="I3786" s="5">
        <f>Tabelle13[[#This Row],[%]]+I3785</f>
        <v>0.97462771198571385</v>
      </c>
      <c r="J3786" s="4">
        <f t="shared" si="151"/>
        <v>1.105583195135434E-4</v>
      </c>
      <c r="K3786" s="5">
        <f t="shared" si="152"/>
        <v>0.41835268103927131</v>
      </c>
    </row>
    <row r="3787" spans="1:11" x14ac:dyDescent="0.25">
      <c r="A3787" t="s">
        <v>13200</v>
      </c>
      <c r="C3787" t="s">
        <v>13201</v>
      </c>
      <c r="D3787" t="s">
        <v>5</v>
      </c>
      <c r="E3787" t="s">
        <v>6</v>
      </c>
      <c r="F3787" t="s">
        <v>251</v>
      </c>
      <c r="G3787">
        <v>2</v>
      </c>
      <c r="H3787" s="2">
        <f>Tabelle13[[#This Row],[commits]]/Tabelle13[[#Totals],[commits]]</f>
        <v>9.2955808808492451E-6</v>
      </c>
      <c r="I3787" s="5">
        <f>Tabelle13[[#This Row],[%]]+I3786</f>
        <v>0.97463700756659466</v>
      </c>
      <c r="J3787" s="4">
        <f t="shared" si="151"/>
        <v>1.105583195135434E-4</v>
      </c>
      <c r="K3787" s="5">
        <f t="shared" si="152"/>
        <v>0.41846323935878488</v>
      </c>
    </row>
    <row r="3788" spans="1:11" x14ac:dyDescent="0.25">
      <c r="A3788" t="s">
        <v>13202</v>
      </c>
      <c r="C3788" t="s">
        <v>13203</v>
      </c>
      <c r="D3788" t="s">
        <v>5</v>
      </c>
      <c r="E3788" t="s">
        <v>6</v>
      </c>
      <c r="F3788" t="s">
        <v>251</v>
      </c>
      <c r="G3788">
        <v>2</v>
      </c>
      <c r="H3788" s="2">
        <f>Tabelle13[[#This Row],[commits]]/Tabelle13[[#Totals],[commits]]</f>
        <v>9.2955808808492451E-6</v>
      </c>
      <c r="I3788" s="5">
        <f>Tabelle13[[#This Row],[%]]+I3787</f>
        <v>0.97464630314747547</v>
      </c>
      <c r="J3788" s="4">
        <f t="shared" si="151"/>
        <v>1.105583195135434E-4</v>
      </c>
      <c r="K3788" s="5">
        <f t="shared" si="152"/>
        <v>0.41857379767829844</v>
      </c>
    </row>
    <row r="3789" spans="1:11" x14ac:dyDescent="0.25">
      <c r="A3789" t="s">
        <v>13204</v>
      </c>
      <c r="C3789" t="s">
        <v>13205</v>
      </c>
      <c r="D3789" t="s">
        <v>5</v>
      </c>
      <c r="E3789" t="s">
        <v>6</v>
      </c>
      <c r="F3789" t="s">
        <v>251</v>
      </c>
      <c r="G3789">
        <v>2</v>
      </c>
      <c r="H3789" s="2">
        <f>Tabelle13[[#This Row],[commits]]/Tabelle13[[#Totals],[commits]]</f>
        <v>9.2955808808492451E-6</v>
      </c>
      <c r="I3789" s="5">
        <f>Tabelle13[[#This Row],[%]]+I3788</f>
        <v>0.97465559872835628</v>
      </c>
      <c r="J3789" s="4">
        <f t="shared" si="151"/>
        <v>1.105583195135434E-4</v>
      </c>
      <c r="K3789" s="5">
        <f t="shared" si="152"/>
        <v>0.41868435599781201</v>
      </c>
    </row>
    <row r="3790" spans="1:11" x14ac:dyDescent="0.25">
      <c r="A3790" t="s">
        <v>13206</v>
      </c>
      <c r="C3790" t="s">
        <v>26</v>
      </c>
      <c r="D3790" t="s">
        <v>5</v>
      </c>
      <c r="E3790" t="s">
        <v>6</v>
      </c>
      <c r="F3790" t="s">
        <v>251</v>
      </c>
      <c r="G3790">
        <v>2</v>
      </c>
      <c r="H3790" s="2">
        <f>Tabelle13[[#This Row],[commits]]/Tabelle13[[#Totals],[commits]]</f>
        <v>9.2955808808492451E-6</v>
      </c>
      <c r="I3790" s="5">
        <f>Tabelle13[[#This Row],[%]]+I3789</f>
        <v>0.97466489430923708</v>
      </c>
      <c r="J3790" s="4">
        <f t="shared" si="151"/>
        <v>1.105583195135434E-4</v>
      </c>
      <c r="K3790" s="5">
        <f t="shared" si="152"/>
        <v>0.41879491431732557</v>
      </c>
    </row>
    <row r="3791" spans="1:11" x14ac:dyDescent="0.25">
      <c r="A3791" t="s">
        <v>13207</v>
      </c>
      <c r="C3791" t="s">
        <v>13208</v>
      </c>
      <c r="D3791" t="s">
        <v>5</v>
      </c>
      <c r="E3791" t="s">
        <v>6</v>
      </c>
      <c r="F3791" t="s">
        <v>251</v>
      </c>
      <c r="G3791">
        <v>2</v>
      </c>
      <c r="H3791" s="2">
        <f>Tabelle13[[#This Row],[commits]]/Tabelle13[[#Totals],[commits]]</f>
        <v>9.2955808808492451E-6</v>
      </c>
      <c r="I3791" s="5">
        <f>Tabelle13[[#This Row],[%]]+I3790</f>
        <v>0.97467418989011789</v>
      </c>
      <c r="J3791" s="4">
        <f t="shared" si="151"/>
        <v>1.105583195135434E-4</v>
      </c>
      <c r="K3791" s="5">
        <f t="shared" si="152"/>
        <v>0.41890547263683914</v>
      </c>
    </row>
    <row r="3792" spans="1:11" x14ac:dyDescent="0.25">
      <c r="A3792" t="s">
        <v>13209</v>
      </c>
      <c r="C3792" t="s">
        <v>13210</v>
      </c>
      <c r="D3792" t="s">
        <v>309</v>
      </c>
      <c r="E3792" t="s">
        <v>6</v>
      </c>
      <c r="F3792" t="s">
        <v>251</v>
      </c>
      <c r="G3792">
        <v>2</v>
      </c>
      <c r="H3792" s="2">
        <f>Tabelle13[[#This Row],[commits]]/Tabelle13[[#Totals],[commits]]</f>
        <v>9.2955808808492451E-6</v>
      </c>
      <c r="I3792" s="5">
        <f>Tabelle13[[#This Row],[%]]+I3791</f>
        <v>0.9746834854709987</v>
      </c>
      <c r="J3792" s="4">
        <f t="shared" si="151"/>
        <v>1.105583195135434E-4</v>
      </c>
      <c r="K3792" s="5">
        <f t="shared" si="152"/>
        <v>0.4190160309563527</v>
      </c>
    </row>
    <row r="3793" spans="1:11" x14ac:dyDescent="0.25">
      <c r="A3793" t="s">
        <v>13211</v>
      </c>
      <c r="C3793" t="s">
        <v>13212</v>
      </c>
      <c r="D3793" t="s">
        <v>5</v>
      </c>
      <c r="E3793" t="s">
        <v>6</v>
      </c>
      <c r="F3793" t="s">
        <v>251</v>
      </c>
      <c r="G3793">
        <v>2</v>
      </c>
      <c r="H3793" s="2">
        <f>Tabelle13[[#This Row],[commits]]/Tabelle13[[#Totals],[commits]]</f>
        <v>9.2955808808492451E-6</v>
      </c>
      <c r="I3793" s="5">
        <f>Tabelle13[[#This Row],[%]]+I3792</f>
        <v>0.97469278105187951</v>
      </c>
      <c r="J3793" s="4">
        <f t="shared" si="151"/>
        <v>1.105583195135434E-4</v>
      </c>
      <c r="K3793" s="5">
        <f t="shared" si="152"/>
        <v>0.41912658927586627</v>
      </c>
    </row>
    <row r="3794" spans="1:11" x14ac:dyDescent="0.25">
      <c r="A3794" t="s">
        <v>13213</v>
      </c>
      <c r="C3794" t="s">
        <v>13214</v>
      </c>
      <c r="D3794" t="s">
        <v>5</v>
      </c>
      <c r="E3794" t="s">
        <v>6</v>
      </c>
      <c r="F3794" t="s">
        <v>251</v>
      </c>
      <c r="G3794">
        <v>2</v>
      </c>
      <c r="H3794" s="2">
        <f>Tabelle13[[#This Row],[commits]]/Tabelle13[[#Totals],[commits]]</f>
        <v>9.2955808808492451E-6</v>
      </c>
      <c r="I3794" s="5">
        <f>Tabelle13[[#This Row],[%]]+I3793</f>
        <v>0.97470207663276032</v>
      </c>
      <c r="J3794" s="4">
        <f t="shared" si="151"/>
        <v>1.105583195135434E-4</v>
      </c>
      <c r="K3794" s="5">
        <f t="shared" si="152"/>
        <v>0.41923714759537983</v>
      </c>
    </row>
    <row r="3795" spans="1:11" x14ac:dyDescent="0.25">
      <c r="A3795" t="s">
        <v>13215</v>
      </c>
      <c r="C3795" t="s">
        <v>13216</v>
      </c>
      <c r="D3795" t="s">
        <v>13217</v>
      </c>
      <c r="E3795" t="s">
        <v>6</v>
      </c>
      <c r="F3795" t="s">
        <v>251</v>
      </c>
      <c r="G3795">
        <v>2</v>
      </c>
      <c r="H3795" s="2">
        <f>Tabelle13[[#This Row],[commits]]/Tabelle13[[#Totals],[commits]]</f>
        <v>9.2955808808492451E-6</v>
      </c>
      <c r="I3795" s="5">
        <f>Tabelle13[[#This Row],[%]]+I3794</f>
        <v>0.97471137221364113</v>
      </c>
      <c r="J3795" s="4">
        <f t="shared" si="151"/>
        <v>1.105583195135434E-4</v>
      </c>
      <c r="K3795" s="5">
        <f t="shared" si="152"/>
        <v>0.4193477059148934</v>
      </c>
    </row>
    <row r="3796" spans="1:11" x14ac:dyDescent="0.25">
      <c r="A3796" t="s">
        <v>13218</v>
      </c>
      <c r="C3796" t="s">
        <v>13219</v>
      </c>
      <c r="D3796" t="s">
        <v>5</v>
      </c>
      <c r="E3796" t="s">
        <v>6</v>
      </c>
      <c r="F3796" t="s">
        <v>251</v>
      </c>
      <c r="G3796">
        <v>2</v>
      </c>
      <c r="H3796" s="2">
        <f>Tabelle13[[#This Row],[commits]]/Tabelle13[[#Totals],[commits]]</f>
        <v>9.2955808808492451E-6</v>
      </c>
      <c r="I3796" s="5">
        <f>Tabelle13[[#This Row],[%]]+I3795</f>
        <v>0.97472066779452193</v>
      </c>
      <c r="J3796" s="4">
        <f t="shared" si="151"/>
        <v>1.105583195135434E-4</v>
      </c>
      <c r="K3796" s="5">
        <f t="shared" si="152"/>
        <v>0.41945826423440696</v>
      </c>
    </row>
    <row r="3797" spans="1:11" x14ac:dyDescent="0.25">
      <c r="A3797" t="s">
        <v>13220</v>
      </c>
      <c r="C3797" t="s">
        <v>13221</v>
      </c>
      <c r="D3797" t="s">
        <v>5</v>
      </c>
      <c r="E3797" t="s">
        <v>6</v>
      </c>
      <c r="F3797" t="s">
        <v>251</v>
      </c>
      <c r="G3797">
        <v>2</v>
      </c>
      <c r="H3797" s="2">
        <f>Tabelle13[[#This Row],[commits]]/Tabelle13[[#Totals],[commits]]</f>
        <v>9.2955808808492451E-6</v>
      </c>
      <c r="I3797" s="5">
        <f>Tabelle13[[#This Row],[%]]+I3796</f>
        <v>0.97472996337540274</v>
      </c>
      <c r="J3797" s="4">
        <f t="shared" si="151"/>
        <v>1.105583195135434E-4</v>
      </c>
      <c r="K3797" s="5">
        <f t="shared" si="152"/>
        <v>0.41956882255392053</v>
      </c>
    </row>
    <row r="3798" spans="1:11" x14ac:dyDescent="0.25">
      <c r="A3798" t="s">
        <v>13222</v>
      </c>
      <c r="C3798" t="s">
        <v>13223</v>
      </c>
      <c r="D3798" t="s">
        <v>8874</v>
      </c>
      <c r="E3798" t="s">
        <v>6</v>
      </c>
      <c r="F3798" t="s">
        <v>251</v>
      </c>
      <c r="G3798">
        <v>2</v>
      </c>
      <c r="H3798" s="2">
        <f>Tabelle13[[#This Row],[commits]]/Tabelle13[[#Totals],[commits]]</f>
        <v>9.2955808808492451E-6</v>
      </c>
      <c r="I3798" s="5">
        <f>Tabelle13[[#This Row],[%]]+I3797</f>
        <v>0.97473925895628355</v>
      </c>
      <c r="J3798" s="4">
        <f t="shared" si="151"/>
        <v>1.105583195135434E-4</v>
      </c>
      <c r="K3798" s="5">
        <f t="shared" si="152"/>
        <v>0.41967938087343409</v>
      </c>
    </row>
    <row r="3799" spans="1:11" x14ac:dyDescent="0.25">
      <c r="A3799" t="s">
        <v>13224</v>
      </c>
      <c r="C3799" t="s">
        <v>13225</v>
      </c>
      <c r="D3799" t="s">
        <v>5</v>
      </c>
      <c r="E3799" t="s">
        <v>6</v>
      </c>
      <c r="F3799" t="s">
        <v>251</v>
      </c>
      <c r="G3799">
        <v>2</v>
      </c>
      <c r="H3799" s="2">
        <f>Tabelle13[[#This Row],[commits]]/Tabelle13[[#Totals],[commits]]</f>
        <v>9.2955808808492451E-6</v>
      </c>
      <c r="I3799" s="5">
        <f>Tabelle13[[#This Row],[%]]+I3798</f>
        <v>0.97474855453716436</v>
      </c>
      <c r="J3799" s="4">
        <f t="shared" si="151"/>
        <v>1.105583195135434E-4</v>
      </c>
      <c r="K3799" s="5">
        <f t="shared" si="152"/>
        <v>0.41978993919294766</v>
      </c>
    </row>
    <row r="3800" spans="1:11" x14ac:dyDescent="0.25">
      <c r="A3800" t="s">
        <v>13226</v>
      </c>
      <c r="C3800" t="s">
        <v>13227</v>
      </c>
      <c r="D3800" t="s">
        <v>5</v>
      </c>
      <c r="E3800" t="s">
        <v>6</v>
      </c>
      <c r="F3800" t="s">
        <v>251</v>
      </c>
      <c r="G3800">
        <v>2</v>
      </c>
      <c r="H3800" s="2">
        <f>Tabelle13[[#This Row],[commits]]/Tabelle13[[#Totals],[commits]]</f>
        <v>9.2955808808492451E-6</v>
      </c>
      <c r="I3800" s="5">
        <f>Tabelle13[[#This Row],[%]]+I3799</f>
        <v>0.97475785011804517</v>
      </c>
      <c r="J3800" s="4">
        <f t="shared" si="151"/>
        <v>1.105583195135434E-4</v>
      </c>
      <c r="K3800" s="5">
        <f t="shared" si="152"/>
        <v>0.41990049751246122</v>
      </c>
    </row>
    <row r="3801" spans="1:11" x14ac:dyDescent="0.25">
      <c r="A3801" t="s">
        <v>13228</v>
      </c>
      <c r="C3801" t="s">
        <v>13229</v>
      </c>
      <c r="D3801" t="s">
        <v>8874</v>
      </c>
      <c r="E3801" t="s">
        <v>6</v>
      </c>
      <c r="F3801" t="s">
        <v>251</v>
      </c>
      <c r="G3801">
        <v>2</v>
      </c>
      <c r="H3801" s="2">
        <f>Tabelle13[[#This Row],[commits]]/Tabelle13[[#Totals],[commits]]</f>
        <v>9.2955808808492451E-6</v>
      </c>
      <c r="I3801" s="5">
        <f>Tabelle13[[#This Row],[%]]+I3800</f>
        <v>0.97476714569892597</v>
      </c>
      <c r="J3801" s="4">
        <f t="shared" si="151"/>
        <v>1.105583195135434E-4</v>
      </c>
      <c r="K3801" s="5">
        <f t="shared" si="152"/>
        <v>0.42001105583197479</v>
      </c>
    </row>
    <row r="3802" spans="1:11" x14ac:dyDescent="0.25">
      <c r="A3802" t="s">
        <v>13230</v>
      </c>
      <c r="C3802" t="s">
        <v>13231</v>
      </c>
      <c r="D3802" t="s">
        <v>5</v>
      </c>
      <c r="E3802" t="s">
        <v>6</v>
      </c>
      <c r="F3802" t="s">
        <v>251</v>
      </c>
      <c r="G3802">
        <v>2</v>
      </c>
      <c r="H3802" s="2">
        <f>Tabelle13[[#This Row],[commits]]/Tabelle13[[#Totals],[commits]]</f>
        <v>9.2955808808492451E-6</v>
      </c>
      <c r="I3802" s="5">
        <f>Tabelle13[[#This Row],[%]]+I3801</f>
        <v>0.97477644127980678</v>
      </c>
      <c r="J3802" s="4">
        <f t="shared" si="151"/>
        <v>1.105583195135434E-4</v>
      </c>
      <c r="K3802" s="5">
        <f t="shared" si="152"/>
        <v>0.42012161415148835</v>
      </c>
    </row>
    <row r="3803" spans="1:11" x14ac:dyDescent="0.25">
      <c r="A3803" t="s">
        <v>13232</v>
      </c>
      <c r="C3803" t="s">
        <v>13233</v>
      </c>
      <c r="D3803" t="s">
        <v>5</v>
      </c>
      <c r="E3803" t="s">
        <v>6</v>
      </c>
      <c r="F3803" t="s">
        <v>251</v>
      </c>
      <c r="G3803">
        <v>2</v>
      </c>
      <c r="H3803" s="2">
        <f>Tabelle13[[#This Row],[commits]]/Tabelle13[[#Totals],[commits]]</f>
        <v>9.2955808808492451E-6</v>
      </c>
      <c r="I3803" s="5">
        <f>Tabelle13[[#This Row],[%]]+I3802</f>
        <v>0.97478573686068759</v>
      </c>
      <c r="J3803" s="4">
        <f t="shared" si="151"/>
        <v>1.105583195135434E-4</v>
      </c>
      <c r="K3803" s="5">
        <f t="shared" si="152"/>
        <v>0.42023217247100192</v>
      </c>
    </row>
    <row r="3804" spans="1:11" x14ac:dyDescent="0.25">
      <c r="A3804" t="s">
        <v>13234</v>
      </c>
      <c r="C3804" t="s">
        <v>13235</v>
      </c>
      <c r="D3804" t="s">
        <v>309</v>
      </c>
      <c r="E3804" t="s">
        <v>6</v>
      </c>
      <c r="F3804" t="s">
        <v>251</v>
      </c>
      <c r="G3804">
        <v>2</v>
      </c>
      <c r="H3804" s="2">
        <f>Tabelle13[[#This Row],[commits]]/Tabelle13[[#Totals],[commits]]</f>
        <v>9.2955808808492451E-6</v>
      </c>
      <c r="I3804" s="5">
        <f>Tabelle13[[#This Row],[%]]+I3803</f>
        <v>0.9747950324415684</v>
      </c>
      <c r="J3804" s="4">
        <f t="shared" si="151"/>
        <v>1.105583195135434E-4</v>
      </c>
      <c r="K3804" s="5">
        <f t="shared" si="152"/>
        <v>0.42034273079051548</v>
      </c>
    </row>
    <row r="3805" spans="1:11" x14ac:dyDescent="0.25">
      <c r="A3805" t="s">
        <v>13236</v>
      </c>
      <c r="C3805" t="s">
        <v>161</v>
      </c>
      <c r="D3805" t="s">
        <v>10804</v>
      </c>
      <c r="E3805" t="s">
        <v>6</v>
      </c>
      <c r="F3805" t="s">
        <v>251</v>
      </c>
      <c r="G3805">
        <v>2</v>
      </c>
      <c r="H3805" s="2">
        <f>Tabelle13[[#This Row],[commits]]/Tabelle13[[#Totals],[commits]]</f>
        <v>9.2955808808492451E-6</v>
      </c>
      <c r="I3805" s="5">
        <f>Tabelle13[[#This Row],[%]]+I3804</f>
        <v>0.97480432802244921</v>
      </c>
      <c r="J3805" s="4">
        <f t="shared" si="151"/>
        <v>1.105583195135434E-4</v>
      </c>
      <c r="K3805" s="5">
        <f t="shared" si="152"/>
        <v>0.42045328911002905</v>
      </c>
    </row>
    <row r="3806" spans="1:11" x14ac:dyDescent="0.25">
      <c r="A3806" t="s">
        <v>13237</v>
      </c>
      <c r="C3806" t="s">
        <v>13238</v>
      </c>
      <c r="D3806" t="s">
        <v>5</v>
      </c>
      <c r="E3806" t="s">
        <v>6</v>
      </c>
      <c r="F3806" t="s">
        <v>251</v>
      </c>
      <c r="G3806">
        <v>2</v>
      </c>
      <c r="H3806" s="2">
        <f>Tabelle13[[#This Row],[commits]]/Tabelle13[[#Totals],[commits]]</f>
        <v>9.2955808808492451E-6</v>
      </c>
      <c r="I3806" s="5">
        <f>Tabelle13[[#This Row],[%]]+I3805</f>
        <v>0.97481362360333002</v>
      </c>
      <c r="J3806" s="4">
        <f t="shared" si="151"/>
        <v>1.105583195135434E-4</v>
      </c>
      <c r="K3806" s="5">
        <f t="shared" si="152"/>
        <v>0.42056384742954261</v>
      </c>
    </row>
    <row r="3807" spans="1:11" x14ac:dyDescent="0.25">
      <c r="A3807" t="s">
        <v>13239</v>
      </c>
      <c r="C3807" t="s">
        <v>13240</v>
      </c>
      <c r="D3807" t="s">
        <v>5</v>
      </c>
      <c r="E3807" t="s">
        <v>6</v>
      </c>
      <c r="F3807" t="s">
        <v>251</v>
      </c>
      <c r="G3807">
        <v>2</v>
      </c>
      <c r="H3807" s="2">
        <f>Tabelle13[[#This Row],[commits]]/Tabelle13[[#Totals],[commits]]</f>
        <v>9.2955808808492451E-6</v>
      </c>
      <c r="I3807" s="5">
        <f>Tabelle13[[#This Row],[%]]+I3806</f>
        <v>0.97482291918421082</v>
      </c>
      <c r="J3807" s="4">
        <f t="shared" si="151"/>
        <v>1.105583195135434E-4</v>
      </c>
      <c r="K3807" s="5">
        <f t="shared" si="152"/>
        <v>0.42067440574905618</v>
      </c>
    </row>
    <row r="3808" spans="1:11" x14ac:dyDescent="0.25">
      <c r="A3808" t="s">
        <v>13241</v>
      </c>
      <c r="C3808" t="s">
        <v>13242</v>
      </c>
      <c r="D3808" t="s">
        <v>5</v>
      </c>
      <c r="E3808" t="s">
        <v>6</v>
      </c>
      <c r="F3808" t="s">
        <v>251</v>
      </c>
      <c r="G3808">
        <v>2</v>
      </c>
      <c r="H3808" s="2">
        <f>Tabelle13[[#This Row],[commits]]/Tabelle13[[#Totals],[commits]]</f>
        <v>9.2955808808492451E-6</v>
      </c>
      <c r="I3808" s="5">
        <f>Tabelle13[[#This Row],[%]]+I3807</f>
        <v>0.97483221476509163</v>
      </c>
      <c r="J3808" s="4">
        <f t="shared" si="151"/>
        <v>1.105583195135434E-4</v>
      </c>
      <c r="K3808" s="5">
        <f t="shared" si="152"/>
        <v>0.42078496406856974</v>
      </c>
    </row>
    <row r="3809" spans="1:11" x14ac:dyDescent="0.25">
      <c r="A3809" t="s">
        <v>13243</v>
      </c>
      <c r="C3809" t="s">
        <v>13244</v>
      </c>
      <c r="D3809" t="s">
        <v>309</v>
      </c>
      <c r="E3809" t="s">
        <v>6</v>
      </c>
      <c r="F3809" t="s">
        <v>251</v>
      </c>
      <c r="G3809">
        <v>2</v>
      </c>
      <c r="H3809" s="2">
        <f>Tabelle13[[#This Row],[commits]]/Tabelle13[[#Totals],[commits]]</f>
        <v>9.2955808808492451E-6</v>
      </c>
      <c r="I3809" s="5">
        <f>Tabelle13[[#This Row],[%]]+I3808</f>
        <v>0.97484151034597244</v>
      </c>
      <c r="J3809" s="4">
        <f t="shared" si="151"/>
        <v>1.105583195135434E-4</v>
      </c>
      <c r="K3809" s="5">
        <f t="shared" si="152"/>
        <v>0.42089552238808331</v>
      </c>
    </row>
    <row r="3810" spans="1:11" x14ac:dyDescent="0.25">
      <c r="A3810" t="s">
        <v>13245</v>
      </c>
      <c r="C3810" t="s">
        <v>13246</v>
      </c>
      <c r="D3810" t="s">
        <v>309</v>
      </c>
      <c r="E3810" t="s">
        <v>6</v>
      </c>
      <c r="F3810" t="s">
        <v>251</v>
      </c>
      <c r="G3810">
        <v>2</v>
      </c>
      <c r="H3810" s="2">
        <f>Tabelle13[[#This Row],[commits]]/Tabelle13[[#Totals],[commits]]</f>
        <v>9.2955808808492451E-6</v>
      </c>
      <c r="I3810" s="5">
        <f>Tabelle13[[#This Row],[%]]+I3809</f>
        <v>0.97485080592685325</v>
      </c>
      <c r="J3810" s="4">
        <f t="shared" si="151"/>
        <v>1.105583195135434E-4</v>
      </c>
      <c r="K3810" s="5">
        <f t="shared" si="152"/>
        <v>0.42100608070759687</v>
      </c>
    </row>
    <row r="3811" spans="1:11" x14ac:dyDescent="0.25">
      <c r="A3811" t="s">
        <v>13247</v>
      </c>
      <c r="C3811" t="s">
        <v>6389</v>
      </c>
      <c r="D3811" t="s">
        <v>13248</v>
      </c>
      <c r="E3811" t="s">
        <v>6</v>
      </c>
      <c r="F3811" t="s">
        <v>251</v>
      </c>
      <c r="G3811">
        <v>2</v>
      </c>
      <c r="H3811" s="2">
        <f>Tabelle13[[#This Row],[commits]]/Tabelle13[[#Totals],[commits]]</f>
        <v>9.2955808808492451E-6</v>
      </c>
      <c r="I3811" s="5">
        <f>Tabelle13[[#This Row],[%]]+I3810</f>
        <v>0.97486010150773406</v>
      </c>
      <c r="J3811" s="4">
        <f t="shared" si="151"/>
        <v>1.105583195135434E-4</v>
      </c>
      <c r="K3811" s="5">
        <f t="shared" si="152"/>
        <v>0.42111663902711044</v>
      </c>
    </row>
    <row r="3812" spans="1:11" x14ac:dyDescent="0.25">
      <c r="A3812" t="s">
        <v>13249</v>
      </c>
      <c r="C3812" t="s">
        <v>13250</v>
      </c>
      <c r="D3812" t="s">
        <v>13250</v>
      </c>
      <c r="E3812" t="s">
        <v>6</v>
      </c>
      <c r="F3812" t="s">
        <v>251</v>
      </c>
      <c r="G3812">
        <v>2</v>
      </c>
      <c r="H3812" s="2">
        <f>Tabelle13[[#This Row],[commits]]/Tabelle13[[#Totals],[commits]]</f>
        <v>9.2955808808492451E-6</v>
      </c>
      <c r="I3812" s="5">
        <f>Tabelle13[[#This Row],[%]]+I3811</f>
        <v>0.97486939708861486</v>
      </c>
      <c r="J3812" s="4">
        <f t="shared" si="151"/>
        <v>1.105583195135434E-4</v>
      </c>
      <c r="K3812" s="5">
        <f t="shared" si="152"/>
        <v>0.421227197346624</v>
      </c>
    </row>
    <row r="3813" spans="1:11" x14ac:dyDescent="0.25">
      <c r="A3813" t="s">
        <v>13251</v>
      </c>
      <c r="C3813" t="s">
        <v>13252</v>
      </c>
      <c r="D3813" t="s">
        <v>5</v>
      </c>
      <c r="E3813" t="s">
        <v>6</v>
      </c>
      <c r="F3813" t="s">
        <v>251</v>
      </c>
      <c r="G3813">
        <v>2</v>
      </c>
      <c r="H3813" s="2">
        <f>Tabelle13[[#This Row],[commits]]/Tabelle13[[#Totals],[commits]]</f>
        <v>9.2955808808492451E-6</v>
      </c>
      <c r="I3813" s="5">
        <f>Tabelle13[[#This Row],[%]]+I3812</f>
        <v>0.97487869266949567</v>
      </c>
      <c r="J3813" s="4">
        <f t="shared" si="151"/>
        <v>1.105583195135434E-4</v>
      </c>
      <c r="K3813" s="5">
        <f t="shared" si="152"/>
        <v>0.42133775566613757</v>
      </c>
    </row>
    <row r="3814" spans="1:11" x14ac:dyDescent="0.25">
      <c r="A3814" t="s">
        <v>13253</v>
      </c>
      <c r="C3814" t="s">
        <v>13254</v>
      </c>
      <c r="D3814" t="s">
        <v>5</v>
      </c>
      <c r="E3814" t="s">
        <v>6</v>
      </c>
      <c r="F3814" t="s">
        <v>251</v>
      </c>
      <c r="G3814">
        <v>2</v>
      </c>
      <c r="H3814" s="2">
        <f>Tabelle13[[#This Row],[commits]]/Tabelle13[[#Totals],[commits]]</f>
        <v>9.2955808808492451E-6</v>
      </c>
      <c r="I3814" s="5">
        <f>Tabelle13[[#This Row],[%]]+I3813</f>
        <v>0.97488798825037648</v>
      </c>
      <c r="J3814" s="4">
        <f t="shared" si="151"/>
        <v>1.105583195135434E-4</v>
      </c>
      <c r="K3814" s="5">
        <f t="shared" si="152"/>
        <v>0.42144831398565114</v>
      </c>
    </row>
    <row r="3815" spans="1:11" x14ac:dyDescent="0.25">
      <c r="A3815" t="s">
        <v>13255</v>
      </c>
      <c r="C3815" t="s">
        <v>13256</v>
      </c>
      <c r="D3815" t="s">
        <v>5</v>
      </c>
      <c r="E3815" t="s">
        <v>6</v>
      </c>
      <c r="F3815" t="s">
        <v>251</v>
      </c>
      <c r="G3815">
        <v>2</v>
      </c>
      <c r="H3815" s="2">
        <f>Tabelle13[[#This Row],[commits]]/Tabelle13[[#Totals],[commits]]</f>
        <v>9.2955808808492451E-6</v>
      </c>
      <c r="I3815" s="5">
        <f>Tabelle13[[#This Row],[%]]+I3814</f>
        <v>0.97489728383125729</v>
      </c>
      <c r="J3815" s="4">
        <f t="shared" si="151"/>
        <v>1.105583195135434E-4</v>
      </c>
      <c r="K3815" s="5">
        <f t="shared" si="152"/>
        <v>0.4215588723051647</v>
      </c>
    </row>
    <row r="3816" spans="1:11" x14ac:dyDescent="0.25">
      <c r="A3816" t="s">
        <v>13257</v>
      </c>
      <c r="C3816" t="s">
        <v>13258</v>
      </c>
      <c r="D3816" t="s">
        <v>5</v>
      </c>
      <c r="E3816" t="s">
        <v>6</v>
      </c>
      <c r="F3816" t="s">
        <v>251</v>
      </c>
      <c r="G3816">
        <v>2</v>
      </c>
      <c r="H3816" s="2">
        <f>Tabelle13[[#This Row],[commits]]/Tabelle13[[#Totals],[commits]]</f>
        <v>9.2955808808492451E-6</v>
      </c>
      <c r="I3816" s="5">
        <f>Tabelle13[[#This Row],[%]]+I3815</f>
        <v>0.9749065794121381</v>
      </c>
      <c r="J3816" s="4">
        <f t="shared" si="151"/>
        <v>1.105583195135434E-4</v>
      </c>
      <c r="K3816" s="5">
        <f t="shared" si="152"/>
        <v>0.42166943062467827</v>
      </c>
    </row>
    <row r="3817" spans="1:11" x14ac:dyDescent="0.25">
      <c r="A3817" t="s">
        <v>13259</v>
      </c>
      <c r="C3817" t="s">
        <v>3451</v>
      </c>
      <c r="D3817" t="s">
        <v>13260</v>
      </c>
      <c r="E3817" t="s">
        <v>6</v>
      </c>
      <c r="F3817" t="s">
        <v>251</v>
      </c>
      <c r="G3817">
        <v>2</v>
      </c>
      <c r="H3817" s="2">
        <f>Tabelle13[[#This Row],[commits]]/Tabelle13[[#Totals],[commits]]</f>
        <v>9.2955808808492451E-6</v>
      </c>
      <c r="I3817" s="5">
        <f>Tabelle13[[#This Row],[%]]+I3816</f>
        <v>0.9749158749930189</v>
      </c>
      <c r="J3817" s="4">
        <f t="shared" si="151"/>
        <v>1.105583195135434E-4</v>
      </c>
      <c r="K3817" s="5">
        <f t="shared" si="152"/>
        <v>0.42177998894419183</v>
      </c>
    </row>
    <row r="3818" spans="1:11" x14ac:dyDescent="0.25">
      <c r="A3818" t="s">
        <v>13261</v>
      </c>
      <c r="C3818" t="s">
        <v>13262</v>
      </c>
      <c r="D3818" t="s">
        <v>5</v>
      </c>
      <c r="E3818" t="s">
        <v>6</v>
      </c>
      <c r="F3818" t="s">
        <v>251</v>
      </c>
      <c r="G3818">
        <v>2</v>
      </c>
      <c r="H3818" s="2">
        <f>Tabelle13[[#This Row],[commits]]/Tabelle13[[#Totals],[commits]]</f>
        <v>9.2955808808492451E-6</v>
      </c>
      <c r="I3818" s="5">
        <f>Tabelle13[[#This Row],[%]]+I3817</f>
        <v>0.97492517057389971</v>
      </c>
      <c r="J3818" s="4">
        <f t="shared" si="151"/>
        <v>1.105583195135434E-4</v>
      </c>
      <c r="K3818" s="5">
        <f t="shared" si="152"/>
        <v>0.4218905472637054</v>
      </c>
    </row>
    <row r="3819" spans="1:11" x14ac:dyDescent="0.25">
      <c r="A3819" t="s">
        <v>13263</v>
      </c>
      <c r="C3819" t="s">
        <v>13264</v>
      </c>
      <c r="D3819" t="s">
        <v>5</v>
      </c>
      <c r="E3819" t="s">
        <v>6</v>
      </c>
      <c r="F3819" t="s">
        <v>251</v>
      </c>
      <c r="G3819">
        <v>2</v>
      </c>
      <c r="H3819" s="2">
        <f>Tabelle13[[#This Row],[commits]]/Tabelle13[[#Totals],[commits]]</f>
        <v>9.2955808808492451E-6</v>
      </c>
      <c r="I3819" s="5">
        <f>Tabelle13[[#This Row],[%]]+I3818</f>
        <v>0.97493446615478052</v>
      </c>
      <c r="J3819" s="4">
        <f t="shared" si="151"/>
        <v>1.105583195135434E-4</v>
      </c>
      <c r="K3819" s="5">
        <f t="shared" si="152"/>
        <v>0.42200110558321896</v>
      </c>
    </row>
    <row r="3820" spans="1:11" x14ac:dyDescent="0.25">
      <c r="A3820" t="s">
        <v>13265</v>
      </c>
      <c r="C3820" t="s">
        <v>13266</v>
      </c>
      <c r="D3820" t="s">
        <v>5</v>
      </c>
      <c r="E3820" t="s">
        <v>6</v>
      </c>
      <c r="F3820" t="s">
        <v>251</v>
      </c>
      <c r="G3820">
        <v>2</v>
      </c>
      <c r="H3820" s="2">
        <f>Tabelle13[[#This Row],[commits]]/Tabelle13[[#Totals],[commits]]</f>
        <v>9.2955808808492451E-6</v>
      </c>
      <c r="I3820" s="5">
        <f>Tabelle13[[#This Row],[%]]+I3819</f>
        <v>0.97494376173566133</v>
      </c>
      <c r="J3820" s="4">
        <f t="shared" si="151"/>
        <v>1.105583195135434E-4</v>
      </c>
      <c r="K3820" s="5">
        <f t="shared" si="152"/>
        <v>0.42211166390273253</v>
      </c>
    </row>
    <row r="3821" spans="1:11" x14ac:dyDescent="0.25">
      <c r="A3821" t="s">
        <v>13267</v>
      </c>
      <c r="C3821" t="s">
        <v>13268</v>
      </c>
      <c r="D3821" t="s">
        <v>5</v>
      </c>
      <c r="E3821" t="s">
        <v>6</v>
      </c>
      <c r="F3821" t="s">
        <v>251</v>
      </c>
      <c r="G3821">
        <v>2</v>
      </c>
      <c r="H3821" s="2">
        <f>Tabelle13[[#This Row],[commits]]/Tabelle13[[#Totals],[commits]]</f>
        <v>9.2955808808492451E-6</v>
      </c>
      <c r="I3821" s="5">
        <f>Tabelle13[[#This Row],[%]]+I3820</f>
        <v>0.97495305731654214</v>
      </c>
      <c r="J3821" s="4">
        <f t="shared" si="151"/>
        <v>1.105583195135434E-4</v>
      </c>
      <c r="K3821" s="5">
        <f t="shared" si="152"/>
        <v>0.42222222222224609</v>
      </c>
    </row>
    <row r="3822" spans="1:11" x14ac:dyDescent="0.25">
      <c r="A3822" t="s">
        <v>13269</v>
      </c>
      <c r="C3822" t="s">
        <v>13270</v>
      </c>
      <c r="D3822" t="s">
        <v>5</v>
      </c>
      <c r="E3822" t="s">
        <v>6</v>
      </c>
      <c r="F3822" t="s">
        <v>251</v>
      </c>
      <c r="G3822">
        <v>2</v>
      </c>
      <c r="H3822" s="2">
        <f>Tabelle13[[#This Row],[commits]]/Tabelle13[[#Totals],[commits]]</f>
        <v>9.2955808808492451E-6</v>
      </c>
      <c r="I3822" s="5">
        <f>Tabelle13[[#This Row],[%]]+I3821</f>
        <v>0.97496235289742295</v>
      </c>
      <c r="J3822" s="4">
        <f t="shared" si="151"/>
        <v>1.105583195135434E-4</v>
      </c>
      <c r="K3822" s="5">
        <f t="shared" si="152"/>
        <v>0.42233278054175966</v>
      </c>
    </row>
    <row r="3823" spans="1:11" x14ac:dyDescent="0.25">
      <c r="A3823" t="s">
        <v>13271</v>
      </c>
      <c r="C3823">
        <v>654496915</v>
      </c>
      <c r="D3823" t="s">
        <v>5</v>
      </c>
      <c r="E3823" t="s">
        <v>6</v>
      </c>
      <c r="F3823" t="s">
        <v>251</v>
      </c>
      <c r="G3823">
        <v>2</v>
      </c>
      <c r="H3823" s="2">
        <f>Tabelle13[[#This Row],[commits]]/Tabelle13[[#Totals],[commits]]</f>
        <v>9.2955808808492451E-6</v>
      </c>
      <c r="I3823" s="5">
        <f>Tabelle13[[#This Row],[%]]+I3822</f>
        <v>0.97497164847830375</v>
      </c>
      <c r="J3823" s="4">
        <f t="shared" si="151"/>
        <v>1.105583195135434E-4</v>
      </c>
      <c r="K3823" s="5">
        <f t="shared" si="152"/>
        <v>0.42244333886127322</v>
      </c>
    </row>
    <row r="3824" spans="1:11" x14ac:dyDescent="0.25">
      <c r="A3824" t="s">
        <v>13272</v>
      </c>
      <c r="C3824" t="s">
        <v>13273</v>
      </c>
      <c r="D3824" t="s">
        <v>5</v>
      </c>
      <c r="E3824" t="s">
        <v>6</v>
      </c>
      <c r="F3824" t="s">
        <v>251</v>
      </c>
      <c r="G3824">
        <v>2</v>
      </c>
      <c r="H3824" s="2">
        <f>Tabelle13[[#This Row],[commits]]/Tabelle13[[#Totals],[commits]]</f>
        <v>9.2955808808492451E-6</v>
      </c>
      <c r="I3824" s="5">
        <f>Tabelle13[[#This Row],[%]]+I3823</f>
        <v>0.97498094405918456</v>
      </c>
      <c r="J3824" s="4">
        <f t="shared" si="151"/>
        <v>1.105583195135434E-4</v>
      </c>
      <c r="K3824" s="5">
        <f t="shared" si="152"/>
        <v>0.42255389718078679</v>
      </c>
    </row>
    <row r="3825" spans="1:11" x14ac:dyDescent="0.25">
      <c r="A3825" t="s">
        <v>13274</v>
      </c>
      <c r="C3825" t="s">
        <v>13275</v>
      </c>
      <c r="D3825" t="s">
        <v>5</v>
      </c>
      <c r="E3825" t="s">
        <v>6</v>
      </c>
      <c r="F3825" t="s">
        <v>251</v>
      </c>
      <c r="G3825">
        <v>2</v>
      </c>
      <c r="H3825" s="2">
        <f>Tabelle13[[#This Row],[commits]]/Tabelle13[[#Totals],[commits]]</f>
        <v>9.2955808808492451E-6</v>
      </c>
      <c r="I3825" s="5">
        <f>Tabelle13[[#This Row],[%]]+I3824</f>
        <v>0.97499023964006537</v>
      </c>
      <c r="J3825" s="4">
        <f t="shared" si="151"/>
        <v>1.105583195135434E-4</v>
      </c>
      <c r="K3825" s="5">
        <f t="shared" si="152"/>
        <v>0.42266445550030035</v>
      </c>
    </row>
    <row r="3826" spans="1:11" x14ac:dyDescent="0.25">
      <c r="A3826" t="s">
        <v>13276</v>
      </c>
      <c r="C3826" t="s">
        <v>13277</v>
      </c>
      <c r="D3826" t="s">
        <v>13278</v>
      </c>
      <c r="E3826" t="s">
        <v>6</v>
      </c>
      <c r="F3826" t="s">
        <v>251</v>
      </c>
      <c r="G3826">
        <v>2</v>
      </c>
      <c r="H3826" s="2">
        <f>Tabelle13[[#This Row],[commits]]/Tabelle13[[#Totals],[commits]]</f>
        <v>9.2955808808492451E-6</v>
      </c>
      <c r="I3826" s="5">
        <f>Tabelle13[[#This Row],[%]]+I3825</f>
        <v>0.97499953522094618</v>
      </c>
      <c r="J3826" s="4">
        <f t="shared" si="151"/>
        <v>1.105583195135434E-4</v>
      </c>
      <c r="K3826" s="5">
        <f t="shared" si="152"/>
        <v>0.42277501381981392</v>
      </c>
    </row>
    <row r="3827" spans="1:11" x14ac:dyDescent="0.25">
      <c r="A3827" t="s">
        <v>13279</v>
      </c>
      <c r="C3827" t="s">
        <v>13280</v>
      </c>
      <c r="D3827" t="s">
        <v>5</v>
      </c>
      <c r="E3827" t="s">
        <v>6</v>
      </c>
      <c r="F3827" t="s">
        <v>251</v>
      </c>
      <c r="G3827">
        <v>2</v>
      </c>
      <c r="H3827" s="2">
        <f>Tabelle13[[#This Row],[commits]]/Tabelle13[[#Totals],[commits]]</f>
        <v>9.2955808808492451E-6</v>
      </c>
      <c r="I3827" s="5">
        <f>Tabelle13[[#This Row],[%]]+I3826</f>
        <v>0.97500883080182699</v>
      </c>
      <c r="J3827" s="4">
        <f t="shared" si="151"/>
        <v>1.105583195135434E-4</v>
      </c>
      <c r="K3827" s="5">
        <f t="shared" si="152"/>
        <v>0.42288557213932748</v>
      </c>
    </row>
    <row r="3828" spans="1:11" x14ac:dyDescent="0.25">
      <c r="A3828" t="s">
        <v>13281</v>
      </c>
      <c r="C3828" t="s">
        <v>13233</v>
      </c>
      <c r="D3828" t="s">
        <v>309</v>
      </c>
      <c r="E3828" t="s">
        <v>6</v>
      </c>
      <c r="F3828" t="s">
        <v>251</v>
      </c>
      <c r="G3828">
        <v>2</v>
      </c>
      <c r="H3828" s="2">
        <f>Tabelle13[[#This Row],[commits]]/Tabelle13[[#Totals],[commits]]</f>
        <v>9.2955808808492451E-6</v>
      </c>
      <c r="I3828" s="5">
        <f>Tabelle13[[#This Row],[%]]+I3827</f>
        <v>0.97501812638270779</v>
      </c>
      <c r="J3828" s="4">
        <f t="shared" si="151"/>
        <v>1.105583195135434E-4</v>
      </c>
      <c r="K3828" s="5">
        <f t="shared" si="152"/>
        <v>0.42299613045884105</v>
      </c>
    </row>
    <row r="3829" spans="1:11" x14ac:dyDescent="0.25">
      <c r="A3829" t="s">
        <v>13282</v>
      </c>
      <c r="C3829" t="s">
        <v>13283</v>
      </c>
      <c r="D3829" t="s">
        <v>5</v>
      </c>
      <c r="E3829" t="s">
        <v>6</v>
      </c>
      <c r="F3829" t="s">
        <v>251</v>
      </c>
      <c r="G3829">
        <v>2</v>
      </c>
      <c r="H3829" s="2">
        <f>Tabelle13[[#This Row],[commits]]/Tabelle13[[#Totals],[commits]]</f>
        <v>9.2955808808492451E-6</v>
      </c>
      <c r="I3829" s="5">
        <f>Tabelle13[[#This Row],[%]]+I3828</f>
        <v>0.9750274219635886</v>
      </c>
      <c r="J3829" s="4">
        <f t="shared" si="151"/>
        <v>1.105583195135434E-4</v>
      </c>
      <c r="K3829" s="5">
        <f t="shared" si="152"/>
        <v>0.42310668877835461</v>
      </c>
    </row>
    <row r="3830" spans="1:11" x14ac:dyDescent="0.25">
      <c r="A3830" t="s">
        <v>13284</v>
      </c>
      <c r="C3830" t="s">
        <v>13285</v>
      </c>
      <c r="D3830" t="s">
        <v>5</v>
      </c>
      <c r="E3830" t="s">
        <v>6</v>
      </c>
      <c r="F3830" t="s">
        <v>251</v>
      </c>
      <c r="G3830">
        <v>2</v>
      </c>
      <c r="H3830" s="2">
        <f>Tabelle13[[#This Row],[commits]]/Tabelle13[[#Totals],[commits]]</f>
        <v>9.2955808808492451E-6</v>
      </c>
      <c r="I3830" s="5">
        <f>Tabelle13[[#This Row],[%]]+I3829</f>
        <v>0.97503671754446941</v>
      </c>
      <c r="J3830" s="4">
        <f t="shared" si="151"/>
        <v>1.105583195135434E-4</v>
      </c>
      <c r="K3830" s="5">
        <f t="shared" si="152"/>
        <v>0.42321724709786818</v>
      </c>
    </row>
    <row r="3831" spans="1:11" x14ac:dyDescent="0.25">
      <c r="A3831" t="s">
        <v>13286</v>
      </c>
      <c r="C3831" t="s">
        <v>13287</v>
      </c>
      <c r="D3831" t="s">
        <v>5</v>
      </c>
      <c r="E3831" t="s">
        <v>6</v>
      </c>
      <c r="F3831" t="s">
        <v>251</v>
      </c>
      <c r="G3831">
        <v>2</v>
      </c>
      <c r="H3831" s="2">
        <f>Tabelle13[[#This Row],[commits]]/Tabelle13[[#Totals],[commits]]</f>
        <v>9.2955808808492451E-6</v>
      </c>
      <c r="I3831" s="5">
        <f>Tabelle13[[#This Row],[%]]+I3830</f>
        <v>0.97504601312535022</v>
      </c>
      <c r="J3831" s="4">
        <f t="shared" si="151"/>
        <v>1.105583195135434E-4</v>
      </c>
      <c r="K3831" s="5">
        <f t="shared" si="152"/>
        <v>0.42332780541738174</v>
      </c>
    </row>
    <row r="3832" spans="1:11" x14ac:dyDescent="0.25">
      <c r="A3832" t="s">
        <v>13288</v>
      </c>
      <c r="C3832" t="s">
        <v>13289</v>
      </c>
      <c r="D3832" t="s">
        <v>5</v>
      </c>
      <c r="E3832" t="s">
        <v>6</v>
      </c>
      <c r="F3832" t="s">
        <v>251</v>
      </c>
      <c r="G3832">
        <v>2</v>
      </c>
      <c r="H3832" s="2">
        <f>Tabelle13[[#This Row],[commits]]/Tabelle13[[#Totals],[commits]]</f>
        <v>9.2955808808492451E-6</v>
      </c>
      <c r="I3832" s="5">
        <f>Tabelle13[[#This Row],[%]]+I3831</f>
        <v>0.97505530870623103</v>
      </c>
      <c r="J3832" s="4">
        <f t="shared" si="151"/>
        <v>1.105583195135434E-4</v>
      </c>
      <c r="K3832" s="5">
        <f t="shared" si="152"/>
        <v>0.42343836373689531</v>
      </c>
    </row>
    <row r="3833" spans="1:11" x14ac:dyDescent="0.25">
      <c r="A3833" t="s">
        <v>13290</v>
      </c>
      <c r="C3833" t="s">
        <v>13291</v>
      </c>
      <c r="D3833" t="s">
        <v>5</v>
      </c>
      <c r="E3833" t="s">
        <v>6</v>
      </c>
      <c r="F3833" t="s">
        <v>251</v>
      </c>
      <c r="G3833">
        <v>2</v>
      </c>
      <c r="H3833" s="2">
        <f>Tabelle13[[#This Row],[commits]]/Tabelle13[[#Totals],[commits]]</f>
        <v>9.2955808808492451E-6</v>
      </c>
      <c r="I3833" s="5">
        <f>Tabelle13[[#This Row],[%]]+I3832</f>
        <v>0.97506460428711184</v>
      </c>
      <c r="J3833" s="4">
        <f t="shared" si="151"/>
        <v>1.105583195135434E-4</v>
      </c>
      <c r="K3833" s="5">
        <f t="shared" si="152"/>
        <v>0.42354892205640887</v>
      </c>
    </row>
    <row r="3834" spans="1:11" x14ac:dyDescent="0.25">
      <c r="A3834" t="s">
        <v>13292</v>
      </c>
      <c r="C3834" t="s">
        <v>13293</v>
      </c>
      <c r="D3834" t="s">
        <v>5</v>
      </c>
      <c r="E3834" t="s">
        <v>6</v>
      </c>
      <c r="F3834" t="s">
        <v>251</v>
      </c>
      <c r="G3834">
        <v>2</v>
      </c>
      <c r="H3834" s="2">
        <f>Tabelle13[[#This Row],[commits]]/Tabelle13[[#Totals],[commits]]</f>
        <v>9.2955808808492451E-6</v>
      </c>
      <c r="I3834" s="5">
        <f>Tabelle13[[#This Row],[%]]+I3833</f>
        <v>0.97507389986799264</v>
      </c>
      <c r="J3834" s="4">
        <f t="shared" si="151"/>
        <v>1.105583195135434E-4</v>
      </c>
      <c r="K3834" s="5">
        <f t="shared" si="152"/>
        <v>0.42365948037592244</v>
      </c>
    </row>
    <row r="3835" spans="1:11" x14ac:dyDescent="0.25">
      <c r="A3835" t="s">
        <v>13294</v>
      </c>
      <c r="C3835" t="s">
        <v>13295</v>
      </c>
      <c r="D3835" t="s">
        <v>5</v>
      </c>
      <c r="E3835" t="s">
        <v>6</v>
      </c>
      <c r="F3835" t="s">
        <v>251</v>
      </c>
      <c r="G3835">
        <v>2</v>
      </c>
      <c r="H3835" s="2">
        <f>Tabelle13[[#This Row],[commits]]/Tabelle13[[#Totals],[commits]]</f>
        <v>9.2955808808492451E-6</v>
      </c>
      <c r="I3835" s="5">
        <f>Tabelle13[[#This Row],[%]]+I3834</f>
        <v>0.97508319544887345</v>
      </c>
      <c r="J3835" s="4">
        <f t="shared" si="151"/>
        <v>1.105583195135434E-4</v>
      </c>
      <c r="K3835" s="5">
        <f t="shared" si="152"/>
        <v>0.423770038695436</v>
      </c>
    </row>
    <row r="3836" spans="1:11" x14ac:dyDescent="0.25">
      <c r="A3836" t="s">
        <v>13296</v>
      </c>
      <c r="C3836" t="s">
        <v>13297</v>
      </c>
      <c r="D3836" t="s">
        <v>5</v>
      </c>
      <c r="E3836" t="s">
        <v>6</v>
      </c>
      <c r="F3836" t="s">
        <v>251</v>
      </c>
      <c r="G3836">
        <v>2</v>
      </c>
      <c r="H3836" s="2">
        <f>Tabelle13[[#This Row],[commits]]/Tabelle13[[#Totals],[commits]]</f>
        <v>9.2955808808492451E-6</v>
      </c>
      <c r="I3836" s="5">
        <f>Tabelle13[[#This Row],[%]]+I3835</f>
        <v>0.97509249102975426</v>
      </c>
      <c r="J3836" s="4">
        <f t="shared" si="151"/>
        <v>1.105583195135434E-4</v>
      </c>
      <c r="K3836" s="5">
        <f t="shared" si="152"/>
        <v>0.42388059701494957</v>
      </c>
    </row>
    <row r="3837" spans="1:11" x14ac:dyDescent="0.25">
      <c r="A3837" t="s">
        <v>13298</v>
      </c>
      <c r="C3837" t="s">
        <v>13299</v>
      </c>
      <c r="D3837" t="s">
        <v>13300</v>
      </c>
      <c r="E3837" t="s">
        <v>6</v>
      </c>
      <c r="F3837" t="s">
        <v>251</v>
      </c>
      <c r="G3837">
        <v>2</v>
      </c>
      <c r="H3837" s="2">
        <f>Tabelle13[[#This Row],[commits]]/Tabelle13[[#Totals],[commits]]</f>
        <v>9.2955808808492451E-6</v>
      </c>
      <c r="I3837" s="5">
        <f>Tabelle13[[#This Row],[%]]+I3836</f>
        <v>0.97510178661063507</v>
      </c>
      <c r="J3837" s="4">
        <f t="shared" si="151"/>
        <v>1.105583195135434E-4</v>
      </c>
      <c r="K3837" s="5">
        <f t="shared" si="152"/>
        <v>0.42399115533446313</v>
      </c>
    </row>
    <row r="3838" spans="1:11" x14ac:dyDescent="0.25">
      <c r="A3838" t="s">
        <v>13301</v>
      </c>
      <c r="C3838" t="s">
        <v>13302</v>
      </c>
      <c r="D3838" t="s">
        <v>5</v>
      </c>
      <c r="E3838" t="s">
        <v>6</v>
      </c>
      <c r="F3838" t="s">
        <v>251</v>
      </c>
      <c r="G3838">
        <v>2</v>
      </c>
      <c r="H3838" s="2">
        <f>Tabelle13[[#This Row],[commits]]/Tabelle13[[#Totals],[commits]]</f>
        <v>9.2955808808492451E-6</v>
      </c>
      <c r="I3838" s="5">
        <f>Tabelle13[[#This Row],[%]]+I3837</f>
        <v>0.97511108219151588</v>
      </c>
      <c r="J3838" s="4">
        <f t="shared" si="151"/>
        <v>1.105583195135434E-4</v>
      </c>
      <c r="K3838" s="5">
        <f t="shared" si="152"/>
        <v>0.4241017136539767</v>
      </c>
    </row>
    <row r="3839" spans="1:11" x14ac:dyDescent="0.25">
      <c r="A3839" t="s">
        <v>13303</v>
      </c>
      <c r="C3839" t="s">
        <v>13304</v>
      </c>
      <c r="D3839" t="s">
        <v>5</v>
      </c>
      <c r="E3839" t="s">
        <v>6</v>
      </c>
      <c r="F3839" t="s">
        <v>251</v>
      </c>
      <c r="G3839">
        <v>2</v>
      </c>
      <c r="H3839" s="2">
        <f>Tabelle13[[#This Row],[commits]]/Tabelle13[[#Totals],[commits]]</f>
        <v>9.2955808808492451E-6</v>
      </c>
      <c r="I3839" s="5">
        <f>Tabelle13[[#This Row],[%]]+I3838</f>
        <v>0.97512037777239668</v>
      </c>
      <c r="J3839" s="4">
        <f t="shared" si="151"/>
        <v>1.105583195135434E-4</v>
      </c>
      <c r="K3839" s="5">
        <f t="shared" si="152"/>
        <v>0.42421227197349026</v>
      </c>
    </row>
    <row r="3840" spans="1:11" x14ac:dyDescent="0.25">
      <c r="A3840" t="s">
        <v>13305</v>
      </c>
      <c r="C3840" t="s">
        <v>13306</v>
      </c>
      <c r="D3840" t="s">
        <v>5</v>
      </c>
      <c r="E3840" t="s">
        <v>6</v>
      </c>
      <c r="F3840" t="s">
        <v>251</v>
      </c>
      <c r="G3840">
        <v>2</v>
      </c>
      <c r="H3840" s="2">
        <f>Tabelle13[[#This Row],[commits]]/Tabelle13[[#Totals],[commits]]</f>
        <v>9.2955808808492451E-6</v>
      </c>
      <c r="I3840" s="5">
        <f>Tabelle13[[#This Row],[%]]+I3839</f>
        <v>0.97512967335327749</v>
      </c>
      <c r="J3840" s="4">
        <f t="shared" si="151"/>
        <v>1.105583195135434E-4</v>
      </c>
      <c r="K3840" s="5">
        <f t="shared" si="152"/>
        <v>0.42432283029300383</v>
      </c>
    </row>
    <row r="3841" spans="1:11" x14ac:dyDescent="0.25">
      <c r="A3841" t="s">
        <v>13307</v>
      </c>
      <c r="C3841" t="s">
        <v>13308</v>
      </c>
      <c r="D3841" t="s">
        <v>309</v>
      </c>
      <c r="E3841" t="s">
        <v>6</v>
      </c>
      <c r="F3841" t="s">
        <v>251</v>
      </c>
      <c r="G3841">
        <v>2</v>
      </c>
      <c r="H3841" s="2">
        <f>Tabelle13[[#This Row],[commits]]/Tabelle13[[#Totals],[commits]]</f>
        <v>9.2955808808492451E-6</v>
      </c>
      <c r="I3841" s="5">
        <f>Tabelle13[[#This Row],[%]]+I3840</f>
        <v>0.9751389689341583</v>
      </c>
      <c r="J3841" s="4">
        <f t="shared" si="151"/>
        <v>1.105583195135434E-4</v>
      </c>
      <c r="K3841" s="5">
        <f t="shared" si="152"/>
        <v>0.42443338861251739</v>
      </c>
    </row>
    <row r="3842" spans="1:11" x14ac:dyDescent="0.25">
      <c r="A3842" t="s">
        <v>13309</v>
      </c>
      <c r="C3842" t="s">
        <v>13310</v>
      </c>
      <c r="D3842" t="s">
        <v>5</v>
      </c>
      <c r="E3842" t="s">
        <v>6</v>
      </c>
      <c r="F3842" t="s">
        <v>251</v>
      </c>
      <c r="G3842">
        <v>2</v>
      </c>
      <c r="H3842" s="2">
        <f>Tabelle13[[#This Row],[commits]]/Tabelle13[[#Totals],[commits]]</f>
        <v>9.2955808808492451E-6</v>
      </c>
      <c r="I3842" s="5">
        <f>Tabelle13[[#This Row],[%]]+I3841</f>
        <v>0.97514826451503911</v>
      </c>
      <c r="J3842" s="4">
        <f t="shared" si="151"/>
        <v>1.105583195135434E-4</v>
      </c>
      <c r="K3842" s="5">
        <f t="shared" si="152"/>
        <v>0.42454394693203096</v>
      </c>
    </row>
    <row r="3843" spans="1:11" x14ac:dyDescent="0.25">
      <c r="A3843" t="s">
        <v>13311</v>
      </c>
      <c r="C3843" t="s">
        <v>13312</v>
      </c>
      <c r="D3843" t="s">
        <v>2471</v>
      </c>
      <c r="E3843" t="s">
        <v>6</v>
      </c>
      <c r="F3843" t="s">
        <v>251</v>
      </c>
      <c r="G3843">
        <v>2</v>
      </c>
      <c r="H3843" s="2">
        <f>Tabelle13[[#This Row],[commits]]/Tabelle13[[#Totals],[commits]]</f>
        <v>9.2955808808492451E-6</v>
      </c>
      <c r="I3843" s="5">
        <f>Tabelle13[[#This Row],[%]]+I3842</f>
        <v>0.97515756009591992</v>
      </c>
      <c r="J3843" s="4">
        <f t="shared" ref="J3843:J3906" si="153">1/9045</f>
        <v>1.105583195135434E-4</v>
      </c>
      <c r="K3843" s="5">
        <f t="shared" si="152"/>
        <v>0.42465450525154452</v>
      </c>
    </row>
    <row r="3844" spans="1:11" x14ac:dyDescent="0.25">
      <c r="A3844" t="s">
        <v>13313</v>
      </c>
      <c r="C3844" t="s">
        <v>13314</v>
      </c>
      <c r="D3844" t="s">
        <v>5</v>
      </c>
      <c r="E3844" t="s">
        <v>6</v>
      </c>
      <c r="F3844" t="s">
        <v>251</v>
      </c>
      <c r="G3844">
        <v>2</v>
      </c>
      <c r="H3844" s="2">
        <f>Tabelle13[[#This Row],[commits]]/Tabelle13[[#Totals],[commits]]</f>
        <v>9.2955808808492451E-6</v>
      </c>
      <c r="I3844" s="5">
        <f>Tabelle13[[#This Row],[%]]+I3843</f>
        <v>0.97516685567680073</v>
      </c>
      <c r="J3844" s="4">
        <f t="shared" si="153"/>
        <v>1.105583195135434E-4</v>
      </c>
      <c r="K3844" s="5">
        <f t="shared" si="152"/>
        <v>0.42476506357105809</v>
      </c>
    </row>
    <row r="3845" spans="1:11" x14ac:dyDescent="0.25">
      <c r="A3845" t="s">
        <v>13315</v>
      </c>
      <c r="C3845" t="s">
        <v>13316</v>
      </c>
      <c r="D3845" t="s">
        <v>5</v>
      </c>
      <c r="E3845" t="s">
        <v>6</v>
      </c>
      <c r="F3845" t="s">
        <v>251</v>
      </c>
      <c r="G3845">
        <v>2</v>
      </c>
      <c r="H3845" s="2">
        <f>Tabelle13[[#This Row],[commits]]/Tabelle13[[#Totals],[commits]]</f>
        <v>9.2955808808492451E-6</v>
      </c>
      <c r="I3845" s="5">
        <f>Tabelle13[[#This Row],[%]]+I3844</f>
        <v>0.97517615125768153</v>
      </c>
      <c r="J3845" s="4">
        <f t="shared" si="153"/>
        <v>1.105583195135434E-4</v>
      </c>
      <c r="K3845" s="5">
        <f t="shared" si="152"/>
        <v>0.42487562189057165</v>
      </c>
    </row>
    <row r="3846" spans="1:11" x14ac:dyDescent="0.25">
      <c r="A3846" t="s">
        <v>13317</v>
      </c>
      <c r="C3846" t="s">
        <v>13318</v>
      </c>
      <c r="D3846" t="s">
        <v>309</v>
      </c>
      <c r="E3846" t="s">
        <v>6</v>
      </c>
      <c r="F3846" t="s">
        <v>251</v>
      </c>
      <c r="G3846">
        <v>2</v>
      </c>
      <c r="H3846" s="2">
        <f>Tabelle13[[#This Row],[commits]]/Tabelle13[[#Totals],[commits]]</f>
        <v>9.2955808808492451E-6</v>
      </c>
      <c r="I3846" s="5">
        <f>Tabelle13[[#This Row],[%]]+I3845</f>
        <v>0.97518544683856234</v>
      </c>
      <c r="J3846" s="4">
        <f t="shared" si="153"/>
        <v>1.105583195135434E-4</v>
      </c>
      <c r="K3846" s="5">
        <f t="shared" ref="K3846:K3909" si="154">J3846+K3845</f>
        <v>0.42498618021008522</v>
      </c>
    </row>
    <row r="3847" spans="1:11" x14ac:dyDescent="0.25">
      <c r="A3847" t="s">
        <v>13319</v>
      </c>
      <c r="C3847" t="s">
        <v>13320</v>
      </c>
      <c r="D3847" t="s">
        <v>5</v>
      </c>
      <c r="E3847" t="s">
        <v>6</v>
      </c>
      <c r="F3847" t="s">
        <v>251</v>
      </c>
      <c r="G3847">
        <v>2</v>
      </c>
      <c r="H3847" s="2">
        <f>Tabelle13[[#This Row],[commits]]/Tabelle13[[#Totals],[commits]]</f>
        <v>9.2955808808492451E-6</v>
      </c>
      <c r="I3847" s="5">
        <f>Tabelle13[[#This Row],[%]]+I3846</f>
        <v>0.97519474241944315</v>
      </c>
      <c r="J3847" s="4">
        <f t="shared" si="153"/>
        <v>1.105583195135434E-4</v>
      </c>
      <c r="K3847" s="5">
        <f t="shared" si="154"/>
        <v>0.42509673852959878</v>
      </c>
    </row>
    <row r="3848" spans="1:11" x14ac:dyDescent="0.25">
      <c r="A3848" t="s">
        <v>13321</v>
      </c>
      <c r="C3848" t="s">
        <v>13322</v>
      </c>
      <c r="D3848" t="s">
        <v>5</v>
      </c>
      <c r="E3848" t="s">
        <v>6</v>
      </c>
      <c r="F3848" t="s">
        <v>251</v>
      </c>
      <c r="G3848">
        <v>2</v>
      </c>
      <c r="H3848" s="2">
        <f>Tabelle13[[#This Row],[commits]]/Tabelle13[[#Totals],[commits]]</f>
        <v>9.2955808808492451E-6</v>
      </c>
      <c r="I3848" s="5">
        <f>Tabelle13[[#This Row],[%]]+I3847</f>
        <v>0.97520403800032396</v>
      </c>
      <c r="J3848" s="4">
        <f t="shared" si="153"/>
        <v>1.105583195135434E-4</v>
      </c>
      <c r="K3848" s="5">
        <f t="shared" si="154"/>
        <v>0.42520729684911235</v>
      </c>
    </row>
    <row r="3849" spans="1:11" x14ac:dyDescent="0.25">
      <c r="A3849" t="s">
        <v>13323</v>
      </c>
      <c r="C3849" t="s">
        <v>13324</v>
      </c>
      <c r="D3849" t="s">
        <v>5</v>
      </c>
      <c r="E3849" t="s">
        <v>6</v>
      </c>
      <c r="F3849" t="s">
        <v>251</v>
      </c>
      <c r="G3849">
        <v>2</v>
      </c>
      <c r="H3849" s="2">
        <f>Tabelle13[[#This Row],[commits]]/Tabelle13[[#Totals],[commits]]</f>
        <v>9.2955808808492451E-6</v>
      </c>
      <c r="I3849" s="5">
        <f>Tabelle13[[#This Row],[%]]+I3848</f>
        <v>0.97521333358120477</v>
      </c>
      <c r="J3849" s="4">
        <f t="shared" si="153"/>
        <v>1.105583195135434E-4</v>
      </c>
      <c r="K3849" s="5">
        <f t="shared" si="154"/>
        <v>0.42531785516862591</v>
      </c>
    </row>
    <row r="3850" spans="1:11" x14ac:dyDescent="0.25">
      <c r="A3850" t="s">
        <v>13325</v>
      </c>
      <c r="C3850" t="s">
        <v>13326</v>
      </c>
      <c r="D3850" t="s">
        <v>5</v>
      </c>
      <c r="E3850" t="s">
        <v>6</v>
      </c>
      <c r="F3850" t="s">
        <v>251</v>
      </c>
      <c r="G3850">
        <v>2</v>
      </c>
      <c r="H3850" s="2">
        <f>Tabelle13[[#This Row],[commits]]/Tabelle13[[#Totals],[commits]]</f>
        <v>9.2955808808492451E-6</v>
      </c>
      <c r="I3850" s="5">
        <f>Tabelle13[[#This Row],[%]]+I3849</f>
        <v>0.97522262916208557</v>
      </c>
      <c r="J3850" s="4">
        <f t="shared" si="153"/>
        <v>1.105583195135434E-4</v>
      </c>
      <c r="K3850" s="5">
        <f t="shared" si="154"/>
        <v>0.42542841348813948</v>
      </c>
    </row>
    <row r="3851" spans="1:11" x14ac:dyDescent="0.25">
      <c r="A3851" t="s">
        <v>13327</v>
      </c>
      <c r="C3851" t="s">
        <v>13328</v>
      </c>
      <c r="D3851" t="s">
        <v>5</v>
      </c>
      <c r="E3851" t="s">
        <v>6</v>
      </c>
      <c r="F3851" t="s">
        <v>251</v>
      </c>
      <c r="G3851">
        <v>2</v>
      </c>
      <c r="H3851" s="2">
        <f>Tabelle13[[#This Row],[commits]]/Tabelle13[[#Totals],[commits]]</f>
        <v>9.2955808808492451E-6</v>
      </c>
      <c r="I3851" s="5">
        <f>Tabelle13[[#This Row],[%]]+I3850</f>
        <v>0.97523192474296638</v>
      </c>
      <c r="J3851" s="4">
        <f t="shared" si="153"/>
        <v>1.105583195135434E-4</v>
      </c>
      <c r="K3851" s="5">
        <f t="shared" si="154"/>
        <v>0.42553897180765304</v>
      </c>
    </row>
    <row r="3852" spans="1:11" x14ac:dyDescent="0.25">
      <c r="A3852" t="s">
        <v>13329</v>
      </c>
      <c r="C3852" t="s">
        <v>13330</v>
      </c>
      <c r="D3852" t="s">
        <v>5</v>
      </c>
      <c r="E3852" t="s">
        <v>6</v>
      </c>
      <c r="F3852" t="s">
        <v>251</v>
      </c>
      <c r="G3852">
        <v>2</v>
      </c>
      <c r="H3852" s="2">
        <f>Tabelle13[[#This Row],[commits]]/Tabelle13[[#Totals],[commits]]</f>
        <v>9.2955808808492451E-6</v>
      </c>
      <c r="I3852" s="5">
        <f>Tabelle13[[#This Row],[%]]+I3851</f>
        <v>0.97524122032384719</v>
      </c>
      <c r="J3852" s="4">
        <f t="shared" si="153"/>
        <v>1.105583195135434E-4</v>
      </c>
      <c r="K3852" s="5">
        <f t="shared" si="154"/>
        <v>0.42564953012716661</v>
      </c>
    </row>
    <row r="3853" spans="1:11" x14ac:dyDescent="0.25">
      <c r="A3853" t="s">
        <v>13331</v>
      </c>
      <c r="C3853" t="s">
        <v>13332</v>
      </c>
      <c r="D3853" t="s">
        <v>5</v>
      </c>
      <c r="E3853" t="s">
        <v>6</v>
      </c>
      <c r="F3853" t="s">
        <v>251</v>
      </c>
      <c r="G3853">
        <v>2</v>
      </c>
      <c r="H3853" s="2">
        <f>Tabelle13[[#This Row],[commits]]/Tabelle13[[#Totals],[commits]]</f>
        <v>9.2955808808492451E-6</v>
      </c>
      <c r="I3853" s="5">
        <f>Tabelle13[[#This Row],[%]]+I3852</f>
        <v>0.975250515904728</v>
      </c>
      <c r="J3853" s="4">
        <f t="shared" si="153"/>
        <v>1.105583195135434E-4</v>
      </c>
      <c r="K3853" s="5">
        <f t="shared" si="154"/>
        <v>0.42576008844668017</v>
      </c>
    </row>
    <row r="3854" spans="1:11" x14ac:dyDescent="0.25">
      <c r="A3854" t="s">
        <v>13333</v>
      </c>
      <c r="C3854" t="s">
        <v>13334</v>
      </c>
      <c r="D3854" t="s">
        <v>309</v>
      </c>
      <c r="E3854" t="s">
        <v>6</v>
      </c>
      <c r="F3854" t="s">
        <v>251</v>
      </c>
      <c r="G3854">
        <v>2</v>
      </c>
      <c r="H3854" s="2">
        <f>Tabelle13[[#This Row],[commits]]/Tabelle13[[#Totals],[commits]]</f>
        <v>9.2955808808492451E-6</v>
      </c>
      <c r="I3854" s="5">
        <f>Tabelle13[[#This Row],[%]]+I3853</f>
        <v>0.97525981148560881</v>
      </c>
      <c r="J3854" s="4">
        <f t="shared" si="153"/>
        <v>1.105583195135434E-4</v>
      </c>
      <c r="K3854" s="5">
        <f t="shared" si="154"/>
        <v>0.42587064676619374</v>
      </c>
    </row>
    <row r="3855" spans="1:11" x14ac:dyDescent="0.25">
      <c r="A3855" t="s">
        <v>13335</v>
      </c>
      <c r="C3855" t="s">
        <v>13336</v>
      </c>
      <c r="D3855" t="s">
        <v>13337</v>
      </c>
      <c r="E3855" t="s">
        <v>6</v>
      </c>
      <c r="F3855" t="s">
        <v>251</v>
      </c>
      <c r="G3855">
        <v>2</v>
      </c>
      <c r="H3855" s="2">
        <f>Tabelle13[[#This Row],[commits]]/Tabelle13[[#Totals],[commits]]</f>
        <v>9.2955808808492451E-6</v>
      </c>
      <c r="I3855" s="5">
        <f>Tabelle13[[#This Row],[%]]+I3854</f>
        <v>0.97526910706648962</v>
      </c>
      <c r="J3855" s="4">
        <f t="shared" si="153"/>
        <v>1.105583195135434E-4</v>
      </c>
      <c r="K3855" s="5">
        <f t="shared" si="154"/>
        <v>0.4259812050857073</v>
      </c>
    </row>
    <row r="3856" spans="1:11" x14ac:dyDescent="0.25">
      <c r="A3856" t="s">
        <v>13338</v>
      </c>
      <c r="C3856" t="s">
        <v>13339</v>
      </c>
      <c r="D3856" t="s">
        <v>5</v>
      </c>
      <c r="E3856" t="s">
        <v>6</v>
      </c>
      <c r="F3856" t="s">
        <v>251</v>
      </c>
      <c r="G3856">
        <v>2</v>
      </c>
      <c r="H3856" s="2">
        <f>Tabelle13[[#This Row],[commits]]/Tabelle13[[#Totals],[commits]]</f>
        <v>9.2955808808492451E-6</v>
      </c>
      <c r="I3856" s="5">
        <f>Tabelle13[[#This Row],[%]]+I3855</f>
        <v>0.97527840264737042</v>
      </c>
      <c r="J3856" s="4">
        <f t="shared" si="153"/>
        <v>1.105583195135434E-4</v>
      </c>
      <c r="K3856" s="5">
        <f t="shared" si="154"/>
        <v>0.42609176340522087</v>
      </c>
    </row>
    <row r="3857" spans="1:11" x14ac:dyDescent="0.25">
      <c r="A3857" t="s">
        <v>13340</v>
      </c>
      <c r="C3857" t="s">
        <v>13341</v>
      </c>
      <c r="D3857" t="s">
        <v>5</v>
      </c>
      <c r="E3857" t="s">
        <v>6</v>
      </c>
      <c r="F3857" t="s">
        <v>251</v>
      </c>
      <c r="G3857">
        <v>2</v>
      </c>
      <c r="H3857" s="2">
        <f>Tabelle13[[#This Row],[commits]]/Tabelle13[[#Totals],[commits]]</f>
        <v>9.2955808808492451E-6</v>
      </c>
      <c r="I3857" s="5">
        <f>Tabelle13[[#This Row],[%]]+I3856</f>
        <v>0.97528769822825123</v>
      </c>
      <c r="J3857" s="4">
        <f t="shared" si="153"/>
        <v>1.105583195135434E-4</v>
      </c>
      <c r="K3857" s="5">
        <f t="shared" si="154"/>
        <v>0.42620232172473443</v>
      </c>
    </row>
    <row r="3858" spans="1:11" x14ac:dyDescent="0.25">
      <c r="A3858" t="s">
        <v>13342</v>
      </c>
      <c r="C3858" t="s">
        <v>13343</v>
      </c>
      <c r="D3858" t="s">
        <v>5</v>
      </c>
      <c r="E3858" t="s">
        <v>6</v>
      </c>
      <c r="F3858" t="s">
        <v>251</v>
      </c>
      <c r="G3858">
        <v>2</v>
      </c>
      <c r="H3858" s="2">
        <f>Tabelle13[[#This Row],[commits]]/Tabelle13[[#Totals],[commits]]</f>
        <v>9.2955808808492451E-6</v>
      </c>
      <c r="I3858" s="5">
        <f>Tabelle13[[#This Row],[%]]+I3857</f>
        <v>0.97529699380913204</v>
      </c>
      <c r="J3858" s="4">
        <f t="shared" si="153"/>
        <v>1.105583195135434E-4</v>
      </c>
      <c r="K3858" s="5">
        <f t="shared" si="154"/>
        <v>0.426312880044248</v>
      </c>
    </row>
    <row r="3859" spans="1:11" x14ac:dyDescent="0.25">
      <c r="A3859" t="s">
        <v>13344</v>
      </c>
      <c r="C3859" t="s">
        <v>1687</v>
      </c>
      <c r="D3859" t="s">
        <v>5</v>
      </c>
      <c r="E3859" t="s">
        <v>6</v>
      </c>
      <c r="F3859" t="s">
        <v>251</v>
      </c>
      <c r="G3859">
        <v>2</v>
      </c>
      <c r="H3859" s="2">
        <f>Tabelle13[[#This Row],[commits]]/Tabelle13[[#Totals],[commits]]</f>
        <v>9.2955808808492451E-6</v>
      </c>
      <c r="I3859" s="5">
        <f>Tabelle13[[#This Row],[%]]+I3858</f>
        <v>0.97530628939001285</v>
      </c>
      <c r="J3859" s="4">
        <f t="shared" si="153"/>
        <v>1.105583195135434E-4</v>
      </c>
      <c r="K3859" s="5">
        <f t="shared" si="154"/>
        <v>0.42642343836376156</v>
      </c>
    </row>
    <row r="3860" spans="1:11" x14ac:dyDescent="0.25">
      <c r="A3860" t="s">
        <v>13345</v>
      </c>
      <c r="C3860" t="s">
        <v>13346</v>
      </c>
      <c r="D3860" t="s">
        <v>2659</v>
      </c>
      <c r="E3860" t="s">
        <v>6</v>
      </c>
      <c r="F3860" t="s">
        <v>251</v>
      </c>
      <c r="G3860">
        <v>2</v>
      </c>
      <c r="H3860" s="2">
        <f>Tabelle13[[#This Row],[commits]]/Tabelle13[[#Totals],[commits]]</f>
        <v>9.2955808808492451E-6</v>
      </c>
      <c r="I3860" s="5">
        <f>Tabelle13[[#This Row],[%]]+I3859</f>
        <v>0.97531558497089366</v>
      </c>
      <c r="J3860" s="4">
        <f t="shared" si="153"/>
        <v>1.105583195135434E-4</v>
      </c>
      <c r="K3860" s="5">
        <f t="shared" si="154"/>
        <v>0.42653399668327513</v>
      </c>
    </row>
    <row r="3861" spans="1:11" x14ac:dyDescent="0.25">
      <c r="A3861" t="s">
        <v>13347</v>
      </c>
      <c r="C3861" t="s">
        <v>13348</v>
      </c>
      <c r="D3861" t="s">
        <v>5</v>
      </c>
      <c r="E3861" t="s">
        <v>6</v>
      </c>
      <c r="F3861" t="s">
        <v>251</v>
      </c>
      <c r="G3861">
        <v>2</v>
      </c>
      <c r="H3861" s="2">
        <f>Tabelle13[[#This Row],[commits]]/Tabelle13[[#Totals],[commits]]</f>
        <v>9.2955808808492451E-6</v>
      </c>
      <c r="I3861" s="5">
        <f>Tabelle13[[#This Row],[%]]+I3860</f>
        <v>0.97532488055177446</v>
      </c>
      <c r="J3861" s="4">
        <f t="shared" si="153"/>
        <v>1.105583195135434E-4</v>
      </c>
      <c r="K3861" s="5">
        <f t="shared" si="154"/>
        <v>0.42664455500278869</v>
      </c>
    </row>
    <row r="3862" spans="1:11" x14ac:dyDescent="0.25">
      <c r="A3862" t="s">
        <v>13349</v>
      </c>
      <c r="C3862" t="s">
        <v>13350</v>
      </c>
      <c r="D3862" t="s">
        <v>5</v>
      </c>
      <c r="E3862" t="s">
        <v>6</v>
      </c>
      <c r="F3862" t="s">
        <v>251</v>
      </c>
      <c r="G3862">
        <v>2</v>
      </c>
      <c r="H3862" s="2">
        <f>Tabelle13[[#This Row],[commits]]/Tabelle13[[#Totals],[commits]]</f>
        <v>9.2955808808492451E-6</v>
      </c>
      <c r="I3862" s="5">
        <f>Tabelle13[[#This Row],[%]]+I3861</f>
        <v>0.97533417613265527</v>
      </c>
      <c r="J3862" s="4">
        <f t="shared" si="153"/>
        <v>1.105583195135434E-4</v>
      </c>
      <c r="K3862" s="5">
        <f t="shared" si="154"/>
        <v>0.42675511332230226</v>
      </c>
    </row>
    <row r="3863" spans="1:11" x14ac:dyDescent="0.25">
      <c r="A3863" t="s">
        <v>13351</v>
      </c>
      <c r="C3863" t="s">
        <v>13352</v>
      </c>
      <c r="D3863" t="s">
        <v>5</v>
      </c>
      <c r="E3863" t="s">
        <v>6</v>
      </c>
      <c r="F3863" t="s">
        <v>251</v>
      </c>
      <c r="G3863">
        <v>2</v>
      </c>
      <c r="H3863" s="2">
        <f>Tabelle13[[#This Row],[commits]]/Tabelle13[[#Totals],[commits]]</f>
        <v>9.2955808808492451E-6</v>
      </c>
      <c r="I3863" s="5">
        <f>Tabelle13[[#This Row],[%]]+I3862</f>
        <v>0.97534347171353608</v>
      </c>
      <c r="J3863" s="4">
        <f t="shared" si="153"/>
        <v>1.105583195135434E-4</v>
      </c>
      <c r="K3863" s="5">
        <f t="shared" si="154"/>
        <v>0.42686567164181582</v>
      </c>
    </row>
    <row r="3864" spans="1:11" x14ac:dyDescent="0.25">
      <c r="A3864" t="s">
        <v>13353</v>
      </c>
      <c r="C3864" t="s">
        <v>13354</v>
      </c>
      <c r="D3864" t="s">
        <v>5</v>
      </c>
      <c r="E3864" t="s">
        <v>6</v>
      </c>
      <c r="F3864" t="s">
        <v>251</v>
      </c>
      <c r="G3864">
        <v>2</v>
      </c>
      <c r="H3864" s="2">
        <f>Tabelle13[[#This Row],[commits]]/Tabelle13[[#Totals],[commits]]</f>
        <v>9.2955808808492451E-6</v>
      </c>
      <c r="I3864" s="5">
        <f>Tabelle13[[#This Row],[%]]+I3863</f>
        <v>0.97535276729441689</v>
      </c>
      <c r="J3864" s="4">
        <f t="shared" si="153"/>
        <v>1.105583195135434E-4</v>
      </c>
      <c r="K3864" s="5">
        <f t="shared" si="154"/>
        <v>0.42697622996132939</v>
      </c>
    </row>
    <row r="3865" spans="1:11" x14ac:dyDescent="0.25">
      <c r="A3865" t="s">
        <v>13355</v>
      </c>
      <c r="C3865" t="s">
        <v>13356</v>
      </c>
      <c r="D3865" t="s">
        <v>5</v>
      </c>
      <c r="E3865" t="s">
        <v>6</v>
      </c>
      <c r="F3865" t="s">
        <v>251</v>
      </c>
      <c r="G3865">
        <v>2</v>
      </c>
      <c r="H3865" s="2">
        <f>Tabelle13[[#This Row],[commits]]/Tabelle13[[#Totals],[commits]]</f>
        <v>9.2955808808492451E-6</v>
      </c>
      <c r="I3865" s="5">
        <f>Tabelle13[[#This Row],[%]]+I3864</f>
        <v>0.9753620628752977</v>
      </c>
      <c r="J3865" s="4">
        <f t="shared" si="153"/>
        <v>1.105583195135434E-4</v>
      </c>
      <c r="K3865" s="5">
        <f t="shared" si="154"/>
        <v>0.42708678828084295</v>
      </c>
    </row>
    <row r="3866" spans="1:11" x14ac:dyDescent="0.25">
      <c r="A3866" t="s">
        <v>13357</v>
      </c>
      <c r="C3866" t="s">
        <v>13358</v>
      </c>
      <c r="D3866" t="s">
        <v>5</v>
      </c>
      <c r="E3866" t="s">
        <v>6</v>
      </c>
      <c r="F3866" t="s">
        <v>251</v>
      </c>
      <c r="G3866">
        <v>2</v>
      </c>
      <c r="H3866" s="2">
        <f>Tabelle13[[#This Row],[commits]]/Tabelle13[[#Totals],[commits]]</f>
        <v>9.2955808808492451E-6</v>
      </c>
      <c r="I3866" s="5">
        <f>Tabelle13[[#This Row],[%]]+I3865</f>
        <v>0.97537135845617851</v>
      </c>
      <c r="J3866" s="4">
        <f t="shared" si="153"/>
        <v>1.105583195135434E-4</v>
      </c>
      <c r="K3866" s="5">
        <f t="shared" si="154"/>
        <v>0.42719734660035652</v>
      </c>
    </row>
    <row r="3867" spans="1:11" x14ac:dyDescent="0.25">
      <c r="A3867" t="s">
        <v>13359</v>
      </c>
      <c r="C3867" t="s">
        <v>13360</v>
      </c>
      <c r="D3867" t="s">
        <v>5</v>
      </c>
      <c r="E3867" t="s">
        <v>6</v>
      </c>
      <c r="F3867" t="s">
        <v>251</v>
      </c>
      <c r="G3867">
        <v>2</v>
      </c>
      <c r="H3867" s="2">
        <f>Tabelle13[[#This Row],[commits]]/Tabelle13[[#Totals],[commits]]</f>
        <v>9.2955808808492451E-6</v>
      </c>
      <c r="I3867" s="5">
        <f>Tabelle13[[#This Row],[%]]+I3866</f>
        <v>0.97538065403705931</v>
      </c>
      <c r="J3867" s="4">
        <f t="shared" si="153"/>
        <v>1.105583195135434E-4</v>
      </c>
      <c r="K3867" s="5">
        <f t="shared" si="154"/>
        <v>0.42730790491987009</v>
      </c>
    </row>
    <row r="3868" spans="1:11" x14ac:dyDescent="0.25">
      <c r="A3868" t="s">
        <v>13361</v>
      </c>
      <c r="C3868" t="s">
        <v>13362</v>
      </c>
      <c r="D3868" t="s">
        <v>5</v>
      </c>
      <c r="E3868" t="s">
        <v>6</v>
      </c>
      <c r="F3868" t="s">
        <v>251</v>
      </c>
      <c r="G3868">
        <v>2</v>
      </c>
      <c r="H3868" s="2">
        <f>Tabelle13[[#This Row],[commits]]/Tabelle13[[#Totals],[commits]]</f>
        <v>9.2955808808492451E-6</v>
      </c>
      <c r="I3868" s="5">
        <f>Tabelle13[[#This Row],[%]]+I3867</f>
        <v>0.97538994961794012</v>
      </c>
      <c r="J3868" s="4">
        <f t="shared" si="153"/>
        <v>1.105583195135434E-4</v>
      </c>
      <c r="K3868" s="5">
        <f t="shared" si="154"/>
        <v>0.42741846323938365</v>
      </c>
    </row>
    <row r="3869" spans="1:11" x14ac:dyDescent="0.25">
      <c r="A3869" t="s">
        <v>13363</v>
      </c>
      <c r="C3869" t="s">
        <v>13364</v>
      </c>
      <c r="D3869" t="s">
        <v>5</v>
      </c>
      <c r="E3869" t="s">
        <v>6</v>
      </c>
      <c r="F3869" t="s">
        <v>251</v>
      </c>
      <c r="G3869">
        <v>2</v>
      </c>
      <c r="H3869" s="2">
        <f>Tabelle13[[#This Row],[commits]]/Tabelle13[[#Totals],[commits]]</f>
        <v>9.2955808808492451E-6</v>
      </c>
      <c r="I3869" s="5">
        <f>Tabelle13[[#This Row],[%]]+I3868</f>
        <v>0.97539924519882093</v>
      </c>
      <c r="J3869" s="4">
        <f t="shared" si="153"/>
        <v>1.105583195135434E-4</v>
      </c>
      <c r="K3869" s="5">
        <f t="shared" si="154"/>
        <v>0.42752902155889722</v>
      </c>
    </row>
    <row r="3870" spans="1:11" x14ac:dyDescent="0.25">
      <c r="A3870" t="s">
        <v>13365</v>
      </c>
      <c r="C3870" t="s">
        <v>13366</v>
      </c>
      <c r="D3870" t="s">
        <v>5</v>
      </c>
      <c r="E3870" t="s">
        <v>6</v>
      </c>
      <c r="F3870" t="s">
        <v>251</v>
      </c>
      <c r="G3870">
        <v>2</v>
      </c>
      <c r="H3870" s="2">
        <f>Tabelle13[[#This Row],[commits]]/Tabelle13[[#Totals],[commits]]</f>
        <v>9.2955808808492451E-6</v>
      </c>
      <c r="I3870" s="5">
        <f>Tabelle13[[#This Row],[%]]+I3869</f>
        <v>0.97540854077970174</v>
      </c>
      <c r="J3870" s="4">
        <f t="shared" si="153"/>
        <v>1.105583195135434E-4</v>
      </c>
      <c r="K3870" s="5">
        <f t="shared" si="154"/>
        <v>0.42763957987841078</v>
      </c>
    </row>
    <row r="3871" spans="1:11" x14ac:dyDescent="0.25">
      <c r="A3871" t="s">
        <v>13367</v>
      </c>
      <c r="C3871">
        <v>630404796</v>
      </c>
      <c r="D3871" t="s">
        <v>5</v>
      </c>
      <c r="E3871" t="s">
        <v>6</v>
      </c>
      <c r="F3871" t="s">
        <v>251</v>
      </c>
      <c r="G3871">
        <v>2</v>
      </c>
      <c r="H3871" s="2">
        <f>Tabelle13[[#This Row],[commits]]/Tabelle13[[#Totals],[commits]]</f>
        <v>9.2955808808492451E-6</v>
      </c>
      <c r="I3871" s="5">
        <f>Tabelle13[[#This Row],[%]]+I3870</f>
        <v>0.97541783636058255</v>
      </c>
      <c r="J3871" s="4">
        <f t="shared" si="153"/>
        <v>1.105583195135434E-4</v>
      </c>
      <c r="K3871" s="5">
        <f t="shared" si="154"/>
        <v>0.42775013819792435</v>
      </c>
    </row>
    <row r="3872" spans="1:11" x14ac:dyDescent="0.25">
      <c r="A3872" t="s">
        <v>13368</v>
      </c>
      <c r="C3872" t="s">
        <v>13369</v>
      </c>
      <c r="D3872" t="s">
        <v>5</v>
      </c>
      <c r="E3872" t="s">
        <v>6</v>
      </c>
      <c r="F3872" t="s">
        <v>251</v>
      </c>
      <c r="G3872">
        <v>2</v>
      </c>
      <c r="H3872" s="2">
        <f>Tabelle13[[#This Row],[commits]]/Tabelle13[[#Totals],[commits]]</f>
        <v>9.2955808808492451E-6</v>
      </c>
      <c r="I3872" s="5">
        <f>Tabelle13[[#This Row],[%]]+I3871</f>
        <v>0.97542713194146335</v>
      </c>
      <c r="J3872" s="4">
        <f t="shared" si="153"/>
        <v>1.105583195135434E-4</v>
      </c>
      <c r="K3872" s="5">
        <f t="shared" si="154"/>
        <v>0.42786069651743791</v>
      </c>
    </row>
    <row r="3873" spans="1:11" x14ac:dyDescent="0.25">
      <c r="A3873" t="s">
        <v>13370</v>
      </c>
      <c r="C3873" t="s">
        <v>151</v>
      </c>
      <c r="D3873" t="s">
        <v>5</v>
      </c>
      <c r="E3873" t="s">
        <v>6</v>
      </c>
      <c r="F3873" t="s">
        <v>251</v>
      </c>
      <c r="G3873">
        <v>2</v>
      </c>
      <c r="H3873" s="2">
        <f>Tabelle13[[#This Row],[commits]]/Tabelle13[[#Totals],[commits]]</f>
        <v>9.2955808808492451E-6</v>
      </c>
      <c r="I3873" s="5">
        <f>Tabelle13[[#This Row],[%]]+I3872</f>
        <v>0.97543642752234416</v>
      </c>
      <c r="J3873" s="4">
        <f t="shared" si="153"/>
        <v>1.105583195135434E-4</v>
      </c>
      <c r="K3873" s="5">
        <f t="shared" si="154"/>
        <v>0.42797125483695148</v>
      </c>
    </row>
    <row r="3874" spans="1:11" x14ac:dyDescent="0.25">
      <c r="A3874" t="s">
        <v>13371</v>
      </c>
      <c r="C3874" t="s">
        <v>13372</v>
      </c>
      <c r="D3874" t="s">
        <v>5</v>
      </c>
      <c r="E3874" t="s">
        <v>6</v>
      </c>
      <c r="F3874" t="s">
        <v>251</v>
      </c>
      <c r="G3874">
        <v>2</v>
      </c>
      <c r="H3874" s="2">
        <f>Tabelle13[[#This Row],[commits]]/Tabelle13[[#Totals],[commits]]</f>
        <v>9.2955808808492451E-6</v>
      </c>
      <c r="I3874" s="5">
        <f>Tabelle13[[#This Row],[%]]+I3873</f>
        <v>0.97544572310322497</v>
      </c>
      <c r="J3874" s="4">
        <f t="shared" si="153"/>
        <v>1.105583195135434E-4</v>
      </c>
      <c r="K3874" s="5">
        <f t="shared" si="154"/>
        <v>0.42808181315646504</v>
      </c>
    </row>
    <row r="3875" spans="1:11" x14ac:dyDescent="0.25">
      <c r="A3875" t="s">
        <v>13373</v>
      </c>
      <c r="C3875" t="s">
        <v>13374</v>
      </c>
      <c r="D3875" t="s">
        <v>5</v>
      </c>
      <c r="E3875" t="s">
        <v>6</v>
      </c>
      <c r="F3875" t="s">
        <v>251</v>
      </c>
      <c r="G3875">
        <v>2</v>
      </c>
      <c r="H3875" s="2">
        <f>Tabelle13[[#This Row],[commits]]/Tabelle13[[#Totals],[commits]]</f>
        <v>9.2955808808492451E-6</v>
      </c>
      <c r="I3875" s="5">
        <f>Tabelle13[[#This Row],[%]]+I3874</f>
        <v>0.97545501868410578</v>
      </c>
      <c r="J3875" s="4">
        <f t="shared" si="153"/>
        <v>1.105583195135434E-4</v>
      </c>
      <c r="K3875" s="5">
        <f t="shared" si="154"/>
        <v>0.42819237147597861</v>
      </c>
    </row>
    <row r="3876" spans="1:11" x14ac:dyDescent="0.25">
      <c r="A3876" t="s">
        <v>13375</v>
      </c>
      <c r="C3876" t="s">
        <v>13376</v>
      </c>
      <c r="D3876" t="s">
        <v>5</v>
      </c>
      <c r="E3876" t="s">
        <v>6</v>
      </c>
      <c r="F3876" t="s">
        <v>251</v>
      </c>
      <c r="G3876">
        <v>2</v>
      </c>
      <c r="H3876" s="2">
        <f>Tabelle13[[#This Row],[commits]]/Tabelle13[[#Totals],[commits]]</f>
        <v>9.2955808808492451E-6</v>
      </c>
      <c r="I3876" s="5">
        <f>Tabelle13[[#This Row],[%]]+I3875</f>
        <v>0.97546431426498659</v>
      </c>
      <c r="J3876" s="4">
        <f t="shared" si="153"/>
        <v>1.105583195135434E-4</v>
      </c>
      <c r="K3876" s="5">
        <f t="shared" si="154"/>
        <v>0.42830292979549217</v>
      </c>
    </row>
    <row r="3877" spans="1:11" x14ac:dyDescent="0.25">
      <c r="A3877" t="s">
        <v>13377</v>
      </c>
      <c r="C3877" t="s">
        <v>13378</v>
      </c>
      <c r="D3877" t="s">
        <v>5</v>
      </c>
      <c r="E3877" t="s">
        <v>6</v>
      </c>
      <c r="F3877" t="s">
        <v>251</v>
      </c>
      <c r="G3877">
        <v>2</v>
      </c>
      <c r="H3877" s="2">
        <f>Tabelle13[[#This Row],[commits]]/Tabelle13[[#Totals],[commits]]</f>
        <v>9.2955808808492451E-6</v>
      </c>
      <c r="I3877" s="5">
        <f>Tabelle13[[#This Row],[%]]+I3876</f>
        <v>0.9754736098458674</v>
      </c>
      <c r="J3877" s="4">
        <f t="shared" si="153"/>
        <v>1.105583195135434E-4</v>
      </c>
      <c r="K3877" s="5">
        <f t="shared" si="154"/>
        <v>0.42841348811500574</v>
      </c>
    </row>
    <row r="3878" spans="1:11" x14ac:dyDescent="0.25">
      <c r="A3878" t="s">
        <v>13379</v>
      </c>
      <c r="C3878" t="s">
        <v>6963</v>
      </c>
      <c r="D3878" t="s">
        <v>5</v>
      </c>
      <c r="E3878" t="s">
        <v>6</v>
      </c>
      <c r="F3878" t="s">
        <v>251</v>
      </c>
      <c r="G3878">
        <v>2</v>
      </c>
      <c r="H3878" s="2">
        <f>Tabelle13[[#This Row],[commits]]/Tabelle13[[#Totals],[commits]]</f>
        <v>9.2955808808492451E-6</v>
      </c>
      <c r="I3878" s="5">
        <f>Tabelle13[[#This Row],[%]]+I3877</f>
        <v>0.9754829054267482</v>
      </c>
      <c r="J3878" s="4">
        <f t="shared" si="153"/>
        <v>1.105583195135434E-4</v>
      </c>
      <c r="K3878" s="5">
        <f t="shared" si="154"/>
        <v>0.4285240464345193</v>
      </c>
    </row>
    <row r="3879" spans="1:11" x14ac:dyDescent="0.25">
      <c r="A3879" t="s">
        <v>13380</v>
      </c>
      <c r="C3879" t="s">
        <v>13381</v>
      </c>
      <c r="D3879" t="s">
        <v>13382</v>
      </c>
      <c r="E3879" t="s">
        <v>6</v>
      </c>
      <c r="F3879" t="s">
        <v>251</v>
      </c>
      <c r="G3879">
        <v>2</v>
      </c>
      <c r="H3879" s="2">
        <f>Tabelle13[[#This Row],[commits]]/Tabelle13[[#Totals],[commits]]</f>
        <v>9.2955808808492451E-6</v>
      </c>
      <c r="I3879" s="5">
        <f>Tabelle13[[#This Row],[%]]+I3878</f>
        <v>0.97549220100762901</v>
      </c>
      <c r="J3879" s="4">
        <f t="shared" si="153"/>
        <v>1.105583195135434E-4</v>
      </c>
      <c r="K3879" s="5">
        <f t="shared" si="154"/>
        <v>0.42863460475403287</v>
      </c>
    </row>
    <row r="3880" spans="1:11" x14ac:dyDescent="0.25">
      <c r="A3880" t="s">
        <v>13383</v>
      </c>
      <c r="C3880" t="s">
        <v>13384</v>
      </c>
      <c r="D3880" t="s">
        <v>5</v>
      </c>
      <c r="E3880" t="s">
        <v>6</v>
      </c>
      <c r="F3880" t="s">
        <v>251</v>
      </c>
      <c r="G3880">
        <v>2</v>
      </c>
      <c r="H3880" s="2">
        <f>Tabelle13[[#This Row],[commits]]/Tabelle13[[#Totals],[commits]]</f>
        <v>9.2955808808492451E-6</v>
      </c>
      <c r="I3880" s="5">
        <f>Tabelle13[[#This Row],[%]]+I3879</f>
        <v>0.97550149658850982</v>
      </c>
      <c r="J3880" s="4">
        <f t="shared" si="153"/>
        <v>1.105583195135434E-4</v>
      </c>
      <c r="K3880" s="5">
        <f t="shared" si="154"/>
        <v>0.42874516307354643</v>
      </c>
    </row>
    <row r="3881" spans="1:11" x14ac:dyDescent="0.25">
      <c r="A3881" t="s">
        <v>13385</v>
      </c>
      <c r="C3881" t="s">
        <v>13386</v>
      </c>
      <c r="D3881" t="s">
        <v>5</v>
      </c>
      <c r="E3881" t="s">
        <v>6</v>
      </c>
      <c r="F3881" t="s">
        <v>251</v>
      </c>
      <c r="G3881">
        <v>2</v>
      </c>
      <c r="H3881" s="2">
        <f>Tabelle13[[#This Row],[commits]]/Tabelle13[[#Totals],[commits]]</f>
        <v>9.2955808808492451E-6</v>
      </c>
      <c r="I3881" s="5">
        <f>Tabelle13[[#This Row],[%]]+I3880</f>
        <v>0.97551079216939063</v>
      </c>
      <c r="J3881" s="4">
        <f t="shared" si="153"/>
        <v>1.105583195135434E-4</v>
      </c>
      <c r="K3881" s="5">
        <f t="shared" si="154"/>
        <v>0.42885572139306</v>
      </c>
    </row>
    <row r="3882" spans="1:11" x14ac:dyDescent="0.25">
      <c r="A3882" t="s">
        <v>13387</v>
      </c>
      <c r="C3882" t="s">
        <v>8507</v>
      </c>
      <c r="D3882" t="s">
        <v>5</v>
      </c>
      <c r="E3882" t="s">
        <v>6</v>
      </c>
      <c r="F3882" t="s">
        <v>251</v>
      </c>
      <c r="G3882">
        <v>2</v>
      </c>
      <c r="H3882" s="2">
        <f>Tabelle13[[#This Row],[commits]]/Tabelle13[[#Totals],[commits]]</f>
        <v>9.2955808808492451E-6</v>
      </c>
      <c r="I3882" s="5">
        <f>Tabelle13[[#This Row],[%]]+I3881</f>
        <v>0.97552008775027144</v>
      </c>
      <c r="J3882" s="4">
        <f t="shared" si="153"/>
        <v>1.105583195135434E-4</v>
      </c>
      <c r="K3882" s="5">
        <f t="shared" si="154"/>
        <v>0.42896627971257356</v>
      </c>
    </row>
    <row r="3883" spans="1:11" x14ac:dyDescent="0.25">
      <c r="A3883" t="s">
        <v>13388</v>
      </c>
      <c r="C3883" t="s">
        <v>13389</v>
      </c>
      <c r="D3883" t="s">
        <v>5</v>
      </c>
      <c r="E3883" t="s">
        <v>6</v>
      </c>
      <c r="F3883" t="s">
        <v>251</v>
      </c>
      <c r="G3883">
        <v>2</v>
      </c>
      <c r="H3883" s="2">
        <f>Tabelle13[[#This Row],[commits]]/Tabelle13[[#Totals],[commits]]</f>
        <v>9.2955808808492451E-6</v>
      </c>
      <c r="I3883" s="5">
        <f>Tabelle13[[#This Row],[%]]+I3882</f>
        <v>0.97552938333115224</v>
      </c>
      <c r="J3883" s="4">
        <f t="shared" si="153"/>
        <v>1.105583195135434E-4</v>
      </c>
      <c r="K3883" s="5">
        <f t="shared" si="154"/>
        <v>0.42907683803208713</v>
      </c>
    </row>
    <row r="3884" spans="1:11" x14ac:dyDescent="0.25">
      <c r="A3884" t="s">
        <v>13390</v>
      </c>
      <c r="C3884" t="s">
        <v>13391</v>
      </c>
      <c r="D3884" t="s">
        <v>5</v>
      </c>
      <c r="E3884" t="s">
        <v>6</v>
      </c>
      <c r="F3884" t="s">
        <v>251</v>
      </c>
      <c r="G3884">
        <v>2</v>
      </c>
      <c r="H3884" s="2">
        <f>Tabelle13[[#This Row],[commits]]/Tabelle13[[#Totals],[commits]]</f>
        <v>9.2955808808492451E-6</v>
      </c>
      <c r="I3884" s="5">
        <f>Tabelle13[[#This Row],[%]]+I3883</f>
        <v>0.97553867891203305</v>
      </c>
      <c r="J3884" s="4">
        <f t="shared" si="153"/>
        <v>1.105583195135434E-4</v>
      </c>
      <c r="K3884" s="5">
        <f t="shared" si="154"/>
        <v>0.42918739635160069</v>
      </c>
    </row>
    <row r="3885" spans="1:11" x14ac:dyDescent="0.25">
      <c r="A3885" t="s">
        <v>13392</v>
      </c>
      <c r="C3885" t="s">
        <v>13393</v>
      </c>
      <c r="D3885" t="s">
        <v>5</v>
      </c>
      <c r="E3885" t="s">
        <v>6</v>
      </c>
      <c r="F3885" t="s">
        <v>251</v>
      </c>
      <c r="G3885">
        <v>2</v>
      </c>
      <c r="H3885" s="2">
        <f>Tabelle13[[#This Row],[commits]]/Tabelle13[[#Totals],[commits]]</f>
        <v>9.2955808808492451E-6</v>
      </c>
      <c r="I3885" s="5">
        <f>Tabelle13[[#This Row],[%]]+I3884</f>
        <v>0.97554797449291386</v>
      </c>
      <c r="J3885" s="4">
        <f t="shared" si="153"/>
        <v>1.105583195135434E-4</v>
      </c>
      <c r="K3885" s="5">
        <f t="shared" si="154"/>
        <v>0.42929795467111426</v>
      </c>
    </row>
    <row r="3886" spans="1:11" x14ac:dyDescent="0.25">
      <c r="A3886" t="s">
        <v>13394</v>
      </c>
      <c r="C3886" t="s">
        <v>13395</v>
      </c>
      <c r="D3886" t="s">
        <v>5</v>
      </c>
      <c r="E3886" t="s">
        <v>6</v>
      </c>
      <c r="F3886" t="s">
        <v>251</v>
      </c>
      <c r="G3886">
        <v>2</v>
      </c>
      <c r="H3886" s="2">
        <f>Tabelle13[[#This Row],[commits]]/Tabelle13[[#Totals],[commits]]</f>
        <v>9.2955808808492451E-6</v>
      </c>
      <c r="I3886" s="5">
        <f>Tabelle13[[#This Row],[%]]+I3885</f>
        <v>0.97555727007379467</v>
      </c>
      <c r="J3886" s="4">
        <f t="shared" si="153"/>
        <v>1.105583195135434E-4</v>
      </c>
      <c r="K3886" s="5">
        <f t="shared" si="154"/>
        <v>0.42940851299062782</v>
      </c>
    </row>
    <row r="3887" spans="1:11" x14ac:dyDescent="0.25">
      <c r="A3887" t="s">
        <v>13396</v>
      </c>
      <c r="C3887" t="s">
        <v>13397</v>
      </c>
      <c r="D3887" t="s">
        <v>309</v>
      </c>
      <c r="E3887" t="s">
        <v>6</v>
      </c>
      <c r="F3887" t="s">
        <v>251</v>
      </c>
      <c r="G3887">
        <v>2</v>
      </c>
      <c r="H3887" s="2">
        <f>Tabelle13[[#This Row],[commits]]/Tabelle13[[#Totals],[commits]]</f>
        <v>9.2955808808492451E-6</v>
      </c>
      <c r="I3887" s="5">
        <f>Tabelle13[[#This Row],[%]]+I3886</f>
        <v>0.97556656565467548</v>
      </c>
      <c r="J3887" s="4">
        <f t="shared" si="153"/>
        <v>1.105583195135434E-4</v>
      </c>
      <c r="K3887" s="5">
        <f t="shared" si="154"/>
        <v>0.42951907131014139</v>
      </c>
    </row>
    <row r="3888" spans="1:11" x14ac:dyDescent="0.25">
      <c r="A3888" t="s">
        <v>13398</v>
      </c>
      <c r="C3888" t="s">
        <v>13399</v>
      </c>
      <c r="D3888" t="s">
        <v>5</v>
      </c>
      <c r="E3888" t="s">
        <v>6</v>
      </c>
      <c r="F3888" t="s">
        <v>251</v>
      </c>
      <c r="G3888">
        <v>2</v>
      </c>
      <c r="H3888" s="2">
        <f>Tabelle13[[#This Row],[commits]]/Tabelle13[[#Totals],[commits]]</f>
        <v>9.2955808808492451E-6</v>
      </c>
      <c r="I3888" s="5">
        <f>Tabelle13[[#This Row],[%]]+I3887</f>
        <v>0.97557586123555629</v>
      </c>
      <c r="J3888" s="4">
        <f t="shared" si="153"/>
        <v>1.105583195135434E-4</v>
      </c>
      <c r="K3888" s="5">
        <f t="shared" si="154"/>
        <v>0.42962962962965495</v>
      </c>
    </row>
    <row r="3889" spans="1:11" x14ac:dyDescent="0.25">
      <c r="A3889" t="s">
        <v>13400</v>
      </c>
      <c r="C3889" t="s">
        <v>13401</v>
      </c>
      <c r="D3889" t="s">
        <v>5</v>
      </c>
      <c r="E3889" t="s">
        <v>6</v>
      </c>
      <c r="F3889" t="s">
        <v>251</v>
      </c>
      <c r="G3889">
        <v>2</v>
      </c>
      <c r="H3889" s="2">
        <f>Tabelle13[[#This Row],[commits]]/Tabelle13[[#Totals],[commits]]</f>
        <v>9.2955808808492451E-6</v>
      </c>
      <c r="I3889" s="5">
        <f>Tabelle13[[#This Row],[%]]+I3888</f>
        <v>0.97558515681643709</v>
      </c>
      <c r="J3889" s="4">
        <f t="shared" si="153"/>
        <v>1.105583195135434E-4</v>
      </c>
      <c r="K3889" s="5">
        <f t="shared" si="154"/>
        <v>0.42974018794916852</v>
      </c>
    </row>
    <row r="3890" spans="1:11" x14ac:dyDescent="0.25">
      <c r="A3890" t="s">
        <v>13402</v>
      </c>
      <c r="C3890" t="s">
        <v>13403</v>
      </c>
      <c r="D3890" t="s">
        <v>5</v>
      </c>
      <c r="E3890" t="s">
        <v>6</v>
      </c>
      <c r="F3890" t="s">
        <v>251</v>
      </c>
      <c r="G3890">
        <v>2</v>
      </c>
      <c r="H3890" s="2">
        <f>Tabelle13[[#This Row],[commits]]/Tabelle13[[#Totals],[commits]]</f>
        <v>9.2955808808492451E-6</v>
      </c>
      <c r="I3890" s="5">
        <f>Tabelle13[[#This Row],[%]]+I3889</f>
        <v>0.9755944523973179</v>
      </c>
      <c r="J3890" s="4">
        <f t="shared" si="153"/>
        <v>1.105583195135434E-4</v>
      </c>
      <c r="K3890" s="5">
        <f t="shared" si="154"/>
        <v>0.42985074626868208</v>
      </c>
    </row>
    <row r="3891" spans="1:11" x14ac:dyDescent="0.25">
      <c r="A3891" t="s">
        <v>13404</v>
      </c>
      <c r="C3891" t="s">
        <v>13405</v>
      </c>
      <c r="D3891" t="s">
        <v>5</v>
      </c>
      <c r="E3891" t="s">
        <v>6</v>
      </c>
      <c r="F3891" t="s">
        <v>251</v>
      </c>
      <c r="G3891">
        <v>2</v>
      </c>
      <c r="H3891" s="2">
        <f>Tabelle13[[#This Row],[commits]]/Tabelle13[[#Totals],[commits]]</f>
        <v>9.2955808808492451E-6</v>
      </c>
      <c r="I3891" s="5">
        <f>Tabelle13[[#This Row],[%]]+I3890</f>
        <v>0.97560374797819871</v>
      </c>
      <c r="J3891" s="4">
        <f t="shared" si="153"/>
        <v>1.105583195135434E-4</v>
      </c>
      <c r="K3891" s="5">
        <f t="shared" si="154"/>
        <v>0.42996130458819565</v>
      </c>
    </row>
    <row r="3892" spans="1:11" x14ac:dyDescent="0.25">
      <c r="A3892" t="s">
        <v>13406</v>
      </c>
      <c r="C3892" t="s">
        <v>13407</v>
      </c>
      <c r="D3892" t="s">
        <v>13408</v>
      </c>
      <c r="E3892" t="s">
        <v>6</v>
      </c>
      <c r="F3892" t="s">
        <v>251</v>
      </c>
      <c r="G3892">
        <v>2</v>
      </c>
      <c r="H3892" s="2">
        <f>Tabelle13[[#This Row],[commits]]/Tabelle13[[#Totals],[commits]]</f>
        <v>9.2955808808492451E-6</v>
      </c>
      <c r="I3892" s="5">
        <f>Tabelle13[[#This Row],[%]]+I3891</f>
        <v>0.97561304355907952</v>
      </c>
      <c r="J3892" s="4">
        <f t="shared" si="153"/>
        <v>1.105583195135434E-4</v>
      </c>
      <c r="K3892" s="5">
        <f t="shared" si="154"/>
        <v>0.43007186290770921</v>
      </c>
    </row>
    <row r="3893" spans="1:11" x14ac:dyDescent="0.25">
      <c r="A3893" t="s">
        <v>13409</v>
      </c>
      <c r="C3893" t="s">
        <v>13410</v>
      </c>
      <c r="D3893" t="s">
        <v>5</v>
      </c>
      <c r="E3893" t="s">
        <v>6</v>
      </c>
      <c r="F3893" t="s">
        <v>251</v>
      </c>
      <c r="G3893">
        <v>2</v>
      </c>
      <c r="H3893" s="2">
        <f>Tabelle13[[#This Row],[commits]]/Tabelle13[[#Totals],[commits]]</f>
        <v>9.2955808808492451E-6</v>
      </c>
      <c r="I3893" s="5">
        <f>Tabelle13[[#This Row],[%]]+I3892</f>
        <v>0.97562233913996033</v>
      </c>
      <c r="J3893" s="4">
        <f t="shared" si="153"/>
        <v>1.105583195135434E-4</v>
      </c>
      <c r="K3893" s="5">
        <f t="shared" si="154"/>
        <v>0.43018242122722278</v>
      </c>
    </row>
    <row r="3894" spans="1:11" x14ac:dyDescent="0.25">
      <c r="A3894" t="s">
        <v>13411</v>
      </c>
      <c r="C3894" t="s">
        <v>13412</v>
      </c>
      <c r="D3894" t="s">
        <v>5</v>
      </c>
      <c r="E3894" t="s">
        <v>6</v>
      </c>
      <c r="F3894" t="s">
        <v>251</v>
      </c>
      <c r="G3894">
        <v>2</v>
      </c>
      <c r="H3894" s="2">
        <f>Tabelle13[[#This Row],[commits]]/Tabelle13[[#Totals],[commits]]</f>
        <v>9.2955808808492451E-6</v>
      </c>
      <c r="I3894" s="5">
        <f>Tabelle13[[#This Row],[%]]+I3893</f>
        <v>0.97563163472084113</v>
      </c>
      <c r="J3894" s="4">
        <f t="shared" si="153"/>
        <v>1.105583195135434E-4</v>
      </c>
      <c r="K3894" s="5">
        <f t="shared" si="154"/>
        <v>0.43029297954673634</v>
      </c>
    </row>
    <row r="3895" spans="1:11" x14ac:dyDescent="0.25">
      <c r="A3895" t="s">
        <v>13413</v>
      </c>
      <c r="C3895" t="s">
        <v>13414</v>
      </c>
      <c r="D3895" t="s">
        <v>5</v>
      </c>
      <c r="E3895" t="s">
        <v>6</v>
      </c>
      <c r="F3895" t="s">
        <v>251</v>
      </c>
      <c r="G3895">
        <v>2</v>
      </c>
      <c r="H3895" s="2">
        <f>Tabelle13[[#This Row],[commits]]/Tabelle13[[#Totals],[commits]]</f>
        <v>9.2955808808492451E-6</v>
      </c>
      <c r="I3895" s="5">
        <f>Tabelle13[[#This Row],[%]]+I3894</f>
        <v>0.97564093030172194</v>
      </c>
      <c r="J3895" s="4">
        <f t="shared" si="153"/>
        <v>1.105583195135434E-4</v>
      </c>
      <c r="K3895" s="5">
        <f t="shared" si="154"/>
        <v>0.43040353786624991</v>
      </c>
    </row>
    <row r="3896" spans="1:11" x14ac:dyDescent="0.25">
      <c r="A3896" t="s">
        <v>13415</v>
      </c>
      <c r="C3896" t="s">
        <v>13416</v>
      </c>
      <c r="D3896" t="s">
        <v>5</v>
      </c>
      <c r="E3896" t="s">
        <v>6</v>
      </c>
      <c r="F3896" t="s">
        <v>251</v>
      </c>
      <c r="G3896">
        <v>2</v>
      </c>
      <c r="H3896" s="2">
        <f>Tabelle13[[#This Row],[commits]]/Tabelle13[[#Totals],[commits]]</f>
        <v>9.2955808808492451E-6</v>
      </c>
      <c r="I3896" s="5">
        <f>Tabelle13[[#This Row],[%]]+I3895</f>
        <v>0.97565022588260275</v>
      </c>
      <c r="J3896" s="4">
        <f t="shared" si="153"/>
        <v>1.105583195135434E-4</v>
      </c>
      <c r="K3896" s="5">
        <f t="shared" si="154"/>
        <v>0.43051409618576347</v>
      </c>
    </row>
    <row r="3897" spans="1:11" x14ac:dyDescent="0.25">
      <c r="A3897" t="s">
        <v>13417</v>
      </c>
      <c r="C3897" t="s">
        <v>13418</v>
      </c>
      <c r="D3897" t="s">
        <v>5</v>
      </c>
      <c r="E3897" t="s">
        <v>6</v>
      </c>
      <c r="F3897" t="s">
        <v>251</v>
      </c>
      <c r="G3897">
        <v>2</v>
      </c>
      <c r="H3897" s="2">
        <f>Tabelle13[[#This Row],[commits]]/Tabelle13[[#Totals],[commits]]</f>
        <v>9.2955808808492451E-6</v>
      </c>
      <c r="I3897" s="5">
        <f>Tabelle13[[#This Row],[%]]+I3896</f>
        <v>0.97565952146348356</v>
      </c>
      <c r="J3897" s="4">
        <f t="shared" si="153"/>
        <v>1.105583195135434E-4</v>
      </c>
      <c r="K3897" s="5">
        <f t="shared" si="154"/>
        <v>0.43062465450527704</v>
      </c>
    </row>
    <row r="3898" spans="1:11" x14ac:dyDescent="0.25">
      <c r="A3898" t="s">
        <v>13419</v>
      </c>
      <c r="C3898" t="s">
        <v>13420</v>
      </c>
      <c r="D3898" t="s">
        <v>5</v>
      </c>
      <c r="E3898" t="s">
        <v>6</v>
      </c>
      <c r="F3898" t="s">
        <v>251</v>
      </c>
      <c r="G3898">
        <v>2</v>
      </c>
      <c r="H3898" s="2">
        <f>Tabelle13[[#This Row],[commits]]/Tabelle13[[#Totals],[commits]]</f>
        <v>9.2955808808492451E-6</v>
      </c>
      <c r="I3898" s="5">
        <f>Tabelle13[[#This Row],[%]]+I3897</f>
        <v>0.97566881704436437</v>
      </c>
      <c r="J3898" s="4">
        <f t="shared" si="153"/>
        <v>1.105583195135434E-4</v>
      </c>
      <c r="K3898" s="5">
        <f t="shared" si="154"/>
        <v>0.4307352128247906</v>
      </c>
    </row>
    <row r="3899" spans="1:11" x14ac:dyDescent="0.25">
      <c r="A3899" t="s">
        <v>13421</v>
      </c>
      <c r="C3899" t="s">
        <v>13422</v>
      </c>
      <c r="D3899" t="s">
        <v>5</v>
      </c>
      <c r="E3899" t="s">
        <v>6</v>
      </c>
      <c r="F3899" t="s">
        <v>251</v>
      </c>
      <c r="G3899">
        <v>2</v>
      </c>
      <c r="H3899" s="2">
        <f>Tabelle13[[#This Row],[commits]]/Tabelle13[[#Totals],[commits]]</f>
        <v>9.2955808808492451E-6</v>
      </c>
      <c r="I3899" s="5">
        <f>Tabelle13[[#This Row],[%]]+I3898</f>
        <v>0.97567811262524518</v>
      </c>
      <c r="J3899" s="4">
        <f t="shared" si="153"/>
        <v>1.105583195135434E-4</v>
      </c>
      <c r="K3899" s="5">
        <f t="shared" si="154"/>
        <v>0.43084577114430417</v>
      </c>
    </row>
    <row r="3900" spans="1:11" x14ac:dyDescent="0.25">
      <c r="A3900" t="s">
        <v>13423</v>
      </c>
      <c r="C3900">
        <v>896066322</v>
      </c>
      <c r="D3900" t="s">
        <v>5</v>
      </c>
      <c r="E3900" t="s">
        <v>6</v>
      </c>
      <c r="F3900" t="s">
        <v>251</v>
      </c>
      <c r="G3900">
        <v>2</v>
      </c>
      <c r="H3900" s="2">
        <f>Tabelle13[[#This Row],[commits]]/Tabelle13[[#Totals],[commits]]</f>
        <v>9.2955808808492451E-6</v>
      </c>
      <c r="I3900" s="5">
        <f>Tabelle13[[#This Row],[%]]+I3899</f>
        <v>0.97568740820612598</v>
      </c>
      <c r="J3900" s="4">
        <f t="shared" si="153"/>
        <v>1.105583195135434E-4</v>
      </c>
      <c r="K3900" s="5">
        <f t="shared" si="154"/>
        <v>0.43095632946381773</v>
      </c>
    </row>
    <row r="3901" spans="1:11" x14ac:dyDescent="0.25">
      <c r="A3901" t="s">
        <v>13424</v>
      </c>
      <c r="C3901" t="s">
        <v>13425</v>
      </c>
      <c r="D3901" t="s">
        <v>5</v>
      </c>
      <c r="E3901" t="s">
        <v>6</v>
      </c>
      <c r="F3901" t="s">
        <v>251</v>
      </c>
      <c r="G3901">
        <v>2</v>
      </c>
      <c r="H3901" s="2">
        <f>Tabelle13[[#This Row],[commits]]/Tabelle13[[#Totals],[commits]]</f>
        <v>9.2955808808492451E-6</v>
      </c>
      <c r="I3901" s="5">
        <f>Tabelle13[[#This Row],[%]]+I3900</f>
        <v>0.97569670378700679</v>
      </c>
      <c r="J3901" s="4">
        <f t="shared" si="153"/>
        <v>1.105583195135434E-4</v>
      </c>
      <c r="K3901" s="5">
        <f t="shared" si="154"/>
        <v>0.4310668877833313</v>
      </c>
    </row>
    <row r="3902" spans="1:11" x14ac:dyDescent="0.25">
      <c r="A3902" t="s">
        <v>13426</v>
      </c>
      <c r="C3902" t="s">
        <v>13427</v>
      </c>
      <c r="D3902" t="s">
        <v>5</v>
      </c>
      <c r="E3902" t="s">
        <v>6</v>
      </c>
      <c r="F3902" t="s">
        <v>251</v>
      </c>
      <c r="G3902">
        <v>2</v>
      </c>
      <c r="H3902" s="2">
        <f>Tabelle13[[#This Row],[commits]]/Tabelle13[[#Totals],[commits]]</f>
        <v>9.2955808808492451E-6</v>
      </c>
      <c r="I3902" s="5">
        <f>Tabelle13[[#This Row],[%]]+I3901</f>
        <v>0.9757059993678876</v>
      </c>
      <c r="J3902" s="4">
        <f t="shared" si="153"/>
        <v>1.105583195135434E-4</v>
      </c>
      <c r="K3902" s="5">
        <f t="shared" si="154"/>
        <v>0.43117744610284486</v>
      </c>
    </row>
    <row r="3903" spans="1:11" x14ac:dyDescent="0.25">
      <c r="A3903" t="s">
        <v>13428</v>
      </c>
      <c r="C3903" t="s">
        <v>13429</v>
      </c>
      <c r="D3903" t="s">
        <v>5</v>
      </c>
      <c r="E3903" t="s">
        <v>6</v>
      </c>
      <c r="F3903" t="s">
        <v>251</v>
      </c>
      <c r="G3903">
        <v>2</v>
      </c>
      <c r="H3903" s="2">
        <f>Tabelle13[[#This Row],[commits]]/Tabelle13[[#Totals],[commits]]</f>
        <v>9.2955808808492451E-6</v>
      </c>
      <c r="I3903" s="5">
        <f>Tabelle13[[#This Row],[%]]+I3902</f>
        <v>0.97571529494876841</v>
      </c>
      <c r="J3903" s="4">
        <f t="shared" si="153"/>
        <v>1.105583195135434E-4</v>
      </c>
      <c r="K3903" s="5">
        <f t="shared" si="154"/>
        <v>0.43128800442235843</v>
      </c>
    </row>
    <row r="3904" spans="1:11" x14ac:dyDescent="0.25">
      <c r="A3904" t="s">
        <v>13430</v>
      </c>
      <c r="C3904" t="s">
        <v>13431</v>
      </c>
      <c r="D3904" t="s">
        <v>5</v>
      </c>
      <c r="E3904" t="s">
        <v>6</v>
      </c>
      <c r="F3904" t="s">
        <v>251</v>
      </c>
      <c r="G3904">
        <v>2</v>
      </c>
      <c r="H3904" s="2">
        <f>Tabelle13[[#This Row],[commits]]/Tabelle13[[#Totals],[commits]]</f>
        <v>9.2955808808492451E-6</v>
      </c>
      <c r="I3904" s="5">
        <f>Tabelle13[[#This Row],[%]]+I3903</f>
        <v>0.97572459052964922</v>
      </c>
      <c r="J3904" s="4">
        <f t="shared" si="153"/>
        <v>1.105583195135434E-4</v>
      </c>
      <c r="K3904" s="5">
        <f t="shared" si="154"/>
        <v>0.43139856274187199</v>
      </c>
    </row>
    <row r="3905" spans="1:11" x14ac:dyDescent="0.25">
      <c r="A3905" t="s">
        <v>13432</v>
      </c>
      <c r="C3905" t="s">
        <v>13433</v>
      </c>
      <c r="D3905" t="s">
        <v>5</v>
      </c>
      <c r="E3905" t="s">
        <v>6</v>
      </c>
      <c r="F3905" t="s">
        <v>251</v>
      </c>
      <c r="G3905">
        <v>2</v>
      </c>
      <c r="H3905" s="2">
        <f>Tabelle13[[#This Row],[commits]]/Tabelle13[[#Totals],[commits]]</f>
        <v>9.2955808808492451E-6</v>
      </c>
      <c r="I3905" s="5">
        <f>Tabelle13[[#This Row],[%]]+I3904</f>
        <v>0.97573388611053002</v>
      </c>
      <c r="J3905" s="4">
        <f t="shared" si="153"/>
        <v>1.105583195135434E-4</v>
      </c>
      <c r="K3905" s="5">
        <f t="shared" si="154"/>
        <v>0.43150912106138556</v>
      </c>
    </row>
    <row r="3906" spans="1:11" x14ac:dyDescent="0.25">
      <c r="A3906" t="s">
        <v>13434</v>
      </c>
      <c r="C3906" t="s">
        <v>12430</v>
      </c>
      <c r="D3906" t="s">
        <v>5</v>
      </c>
      <c r="E3906" t="s">
        <v>6</v>
      </c>
      <c r="F3906" t="s">
        <v>251</v>
      </c>
      <c r="G3906">
        <v>2</v>
      </c>
      <c r="H3906" s="2">
        <f>Tabelle13[[#This Row],[commits]]/Tabelle13[[#Totals],[commits]]</f>
        <v>9.2955808808492451E-6</v>
      </c>
      <c r="I3906" s="5">
        <f>Tabelle13[[#This Row],[%]]+I3905</f>
        <v>0.97574318169141083</v>
      </c>
      <c r="J3906" s="4">
        <f t="shared" si="153"/>
        <v>1.105583195135434E-4</v>
      </c>
      <c r="K3906" s="5">
        <f t="shared" si="154"/>
        <v>0.43161967938089912</v>
      </c>
    </row>
    <row r="3907" spans="1:11" x14ac:dyDescent="0.25">
      <c r="A3907" t="s">
        <v>13435</v>
      </c>
      <c r="C3907" t="s">
        <v>13436</v>
      </c>
      <c r="D3907" t="s">
        <v>5</v>
      </c>
      <c r="E3907" t="s">
        <v>6</v>
      </c>
      <c r="F3907" t="s">
        <v>251</v>
      </c>
      <c r="G3907">
        <v>2</v>
      </c>
      <c r="H3907" s="2">
        <f>Tabelle13[[#This Row],[commits]]/Tabelle13[[#Totals],[commits]]</f>
        <v>9.2955808808492451E-6</v>
      </c>
      <c r="I3907" s="5">
        <f>Tabelle13[[#This Row],[%]]+I3906</f>
        <v>0.97575247727229164</v>
      </c>
      <c r="J3907" s="4">
        <f t="shared" ref="J3907:J3970" si="155">1/9045</f>
        <v>1.105583195135434E-4</v>
      </c>
      <c r="K3907" s="5">
        <f t="shared" si="154"/>
        <v>0.43173023770041269</v>
      </c>
    </row>
    <row r="3908" spans="1:11" x14ac:dyDescent="0.25">
      <c r="A3908" t="s">
        <v>13437</v>
      </c>
      <c r="C3908" t="s">
        <v>13438</v>
      </c>
      <c r="D3908" t="s">
        <v>5</v>
      </c>
      <c r="E3908" t="s">
        <v>6</v>
      </c>
      <c r="F3908" t="s">
        <v>251</v>
      </c>
      <c r="G3908">
        <v>2</v>
      </c>
      <c r="H3908" s="2">
        <f>Tabelle13[[#This Row],[commits]]/Tabelle13[[#Totals],[commits]]</f>
        <v>9.2955808808492451E-6</v>
      </c>
      <c r="I3908" s="5">
        <f>Tabelle13[[#This Row],[%]]+I3907</f>
        <v>0.97576177285317245</v>
      </c>
      <c r="J3908" s="4">
        <f t="shared" si="155"/>
        <v>1.105583195135434E-4</v>
      </c>
      <c r="K3908" s="5">
        <f t="shared" si="154"/>
        <v>0.43184079601992625</v>
      </c>
    </row>
    <row r="3909" spans="1:11" x14ac:dyDescent="0.25">
      <c r="A3909" t="s">
        <v>13439</v>
      </c>
      <c r="C3909" t="s">
        <v>13440</v>
      </c>
      <c r="D3909" t="s">
        <v>5</v>
      </c>
      <c r="E3909" t="s">
        <v>6</v>
      </c>
      <c r="F3909" t="s">
        <v>251</v>
      </c>
      <c r="G3909">
        <v>2</v>
      </c>
      <c r="H3909" s="2">
        <f>Tabelle13[[#This Row],[commits]]/Tabelle13[[#Totals],[commits]]</f>
        <v>9.2955808808492451E-6</v>
      </c>
      <c r="I3909" s="5">
        <f>Tabelle13[[#This Row],[%]]+I3908</f>
        <v>0.97577106843405326</v>
      </c>
      <c r="J3909" s="4">
        <f t="shared" si="155"/>
        <v>1.105583195135434E-4</v>
      </c>
      <c r="K3909" s="5">
        <f t="shared" si="154"/>
        <v>0.43195135433943982</v>
      </c>
    </row>
    <row r="3910" spans="1:11" x14ac:dyDescent="0.25">
      <c r="A3910" t="s">
        <v>13441</v>
      </c>
      <c r="C3910" t="s">
        <v>13442</v>
      </c>
      <c r="D3910" t="s">
        <v>2641</v>
      </c>
      <c r="E3910" t="s">
        <v>6</v>
      </c>
      <c r="F3910" t="s">
        <v>251</v>
      </c>
      <c r="G3910">
        <v>2</v>
      </c>
      <c r="H3910" s="2">
        <f>Tabelle13[[#This Row],[commits]]/Tabelle13[[#Totals],[commits]]</f>
        <v>9.2955808808492451E-6</v>
      </c>
      <c r="I3910" s="5">
        <f>Tabelle13[[#This Row],[%]]+I3909</f>
        <v>0.97578036401493407</v>
      </c>
      <c r="J3910" s="4">
        <f t="shared" si="155"/>
        <v>1.105583195135434E-4</v>
      </c>
      <c r="K3910" s="5">
        <f t="shared" ref="K3910:K3973" si="156">J3910+K3909</f>
        <v>0.43206191265895338</v>
      </c>
    </row>
    <row r="3911" spans="1:11" x14ac:dyDescent="0.25">
      <c r="A3911" t="s">
        <v>13443</v>
      </c>
      <c r="C3911" t="s">
        <v>13444</v>
      </c>
      <c r="D3911" t="s">
        <v>5</v>
      </c>
      <c r="E3911" t="s">
        <v>6</v>
      </c>
      <c r="F3911" t="s">
        <v>251</v>
      </c>
      <c r="G3911">
        <v>2</v>
      </c>
      <c r="H3911" s="2">
        <f>Tabelle13[[#This Row],[commits]]/Tabelle13[[#Totals],[commits]]</f>
        <v>9.2955808808492451E-6</v>
      </c>
      <c r="I3911" s="5">
        <f>Tabelle13[[#This Row],[%]]+I3910</f>
        <v>0.97578965959581487</v>
      </c>
      <c r="J3911" s="4">
        <f t="shared" si="155"/>
        <v>1.105583195135434E-4</v>
      </c>
      <c r="K3911" s="5">
        <f t="shared" si="156"/>
        <v>0.43217247097846695</v>
      </c>
    </row>
    <row r="3912" spans="1:11" x14ac:dyDescent="0.25">
      <c r="A3912" t="s">
        <v>13445</v>
      </c>
      <c r="C3912" t="s">
        <v>11257</v>
      </c>
      <c r="D3912" t="s">
        <v>5</v>
      </c>
      <c r="E3912" t="s">
        <v>6</v>
      </c>
      <c r="F3912" t="s">
        <v>251</v>
      </c>
      <c r="G3912">
        <v>2</v>
      </c>
      <c r="H3912" s="2">
        <f>Tabelle13[[#This Row],[commits]]/Tabelle13[[#Totals],[commits]]</f>
        <v>9.2955808808492451E-6</v>
      </c>
      <c r="I3912" s="5">
        <f>Tabelle13[[#This Row],[%]]+I3911</f>
        <v>0.97579895517669568</v>
      </c>
      <c r="J3912" s="4">
        <f t="shared" si="155"/>
        <v>1.105583195135434E-4</v>
      </c>
      <c r="K3912" s="5">
        <f t="shared" si="156"/>
        <v>0.43228302929798051</v>
      </c>
    </row>
    <row r="3913" spans="1:11" x14ac:dyDescent="0.25">
      <c r="A3913" t="s">
        <v>13446</v>
      </c>
      <c r="C3913" t="s">
        <v>13447</v>
      </c>
      <c r="D3913" t="s">
        <v>2659</v>
      </c>
      <c r="E3913" t="s">
        <v>6</v>
      </c>
      <c r="F3913" t="s">
        <v>251</v>
      </c>
      <c r="G3913">
        <v>2</v>
      </c>
      <c r="H3913" s="2">
        <f>Tabelle13[[#This Row],[commits]]/Tabelle13[[#Totals],[commits]]</f>
        <v>9.2955808808492451E-6</v>
      </c>
      <c r="I3913" s="5">
        <f>Tabelle13[[#This Row],[%]]+I3912</f>
        <v>0.97580825075757649</v>
      </c>
      <c r="J3913" s="4">
        <f t="shared" si="155"/>
        <v>1.105583195135434E-4</v>
      </c>
      <c r="K3913" s="5">
        <f t="shared" si="156"/>
        <v>0.43239358761749408</v>
      </c>
    </row>
    <row r="3914" spans="1:11" x14ac:dyDescent="0.25">
      <c r="A3914" t="s">
        <v>13448</v>
      </c>
      <c r="C3914" t="s">
        <v>13449</v>
      </c>
      <c r="D3914" t="s">
        <v>5</v>
      </c>
      <c r="E3914" t="s">
        <v>6</v>
      </c>
      <c r="F3914" t="s">
        <v>251</v>
      </c>
      <c r="G3914">
        <v>2</v>
      </c>
      <c r="H3914" s="2">
        <f>Tabelle13[[#This Row],[commits]]/Tabelle13[[#Totals],[commits]]</f>
        <v>9.2955808808492451E-6</v>
      </c>
      <c r="I3914" s="5">
        <f>Tabelle13[[#This Row],[%]]+I3913</f>
        <v>0.9758175463384573</v>
      </c>
      <c r="J3914" s="4">
        <f t="shared" si="155"/>
        <v>1.105583195135434E-4</v>
      </c>
      <c r="K3914" s="5">
        <f t="shared" si="156"/>
        <v>0.43250414593700764</v>
      </c>
    </row>
    <row r="3915" spans="1:11" x14ac:dyDescent="0.25">
      <c r="A3915" t="s">
        <v>13450</v>
      </c>
      <c r="C3915" t="s">
        <v>13451</v>
      </c>
      <c r="D3915" t="s">
        <v>5</v>
      </c>
      <c r="E3915" t="s">
        <v>6</v>
      </c>
      <c r="F3915" t="s">
        <v>251</v>
      </c>
      <c r="G3915">
        <v>2</v>
      </c>
      <c r="H3915" s="2">
        <f>Tabelle13[[#This Row],[commits]]/Tabelle13[[#Totals],[commits]]</f>
        <v>9.2955808808492451E-6</v>
      </c>
      <c r="I3915" s="5">
        <f>Tabelle13[[#This Row],[%]]+I3914</f>
        <v>0.97582684191933811</v>
      </c>
      <c r="J3915" s="4">
        <f t="shared" si="155"/>
        <v>1.105583195135434E-4</v>
      </c>
      <c r="K3915" s="5">
        <f t="shared" si="156"/>
        <v>0.43261470425652121</v>
      </c>
    </row>
    <row r="3916" spans="1:11" x14ac:dyDescent="0.25">
      <c r="A3916" t="s">
        <v>13452</v>
      </c>
      <c r="C3916" t="s">
        <v>114</v>
      </c>
      <c r="D3916" t="s">
        <v>5</v>
      </c>
      <c r="E3916" t="s">
        <v>6</v>
      </c>
      <c r="F3916" t="s">
        <v>251</v>
      </c>
      <c r="G3916">
        <v>2</v>
      </c>
      <c r="H3916" s="2">
        <f>Tabelle13[[#This Row],[commits]]/Tabelle13[[#Totals],[commits]]</f>
        <v>9.2955808808492451E-6</v>
      </c>
      <c r="I3916" s="5">
        <f>Tabelle13[[#This Row],[%]]+I3915</f>
        <v>0.97583613750021891</v>
      </c>
      <c r="J3916" s="4">
        <f t="shared" si="155"/>
        <v>1.105583195135434E-4</v>
      </c>
      <c r="K3916" s="5">
        <f t="shared" si="156"/>
        <v>0.43272526257603477</v>
      </c>
    </row>
    <row r="3917" spans="1:11" x14ac:dyDescent="0.25">
      <c r="A3917" t="s">
        <v>13453</v>
      </c>
      <c r="C3917" t="s">
        <v>13454</v>
      </c>
      <c r="D3917" t="s">
        <v>5</v>
      </c>
      <c r="E3917" t="s">
        <v>6</v>
      </c>
      <c r="F3917" t="s">
        <v>251</v>
      </c>
      <c r="G3917">
        <v>2</v>
      </c>
      <c r="H3917" s="2">
        <f>Tabelle13[[#This Row],[commits]]/Tabelle13[[#Totals],[commits]]</f>
        <v>9.2955808808492451E-6</v>
      </c>
      <c r="I3917" s="5">
        <f>Tabelle13[[#This Row],[%]]+I3916</f>
        <v>0.97584543308109972</v>
      </c>
      <c r="J3917" s="4">
        <f t="shared" si="155"/>
        <v>1.105583195135434E-4</v>
      </c>
      <c r="K3917" s="5">
        <f t="shared" si="156"/>
        <v>0.43283582089554834</v>
      </c>
    </row>
    <row r="3918" spans="1:11" x14ac:dyDescent="0.25">
      <c r="A3918" t="s">
        <v>13455</v>
      </c>
      <c r="C3918" t="s">
        <v>13456</v>
      </c>
      <c r="D3918" t="s">
        <v>5</v>
      </c>
      <c r="E3918" t="s">
        <v>6</v>
      </c>
      <c r="F3918" t="s">
        <v>251</v>
      </c>
      <c r="G3918">
        <v>2</v>
      </c>
      <c r="H3918" s="2">
        <f>Tabelle13[[#This Row],[commits]]/Tabelle13[[#Totals],[commits]]</f>
        <v>9.2955808808492451E-6</v>
      </c>
      <c r="I3918" s="5">
        <f>Tabelle13[[#This Row],[%]]+I3917</f>
        <v>0.97585472866198053</v>
      </c>
      <c r="J3918" s="4">
        <f t="shared" si="155"/>
        <v>1.105583195135434E-4</v>
      </c>
      <c r="K3918" s="5">
        <f t="shared" si="156"/>
        <v>0.43294637921506191</v>
      </c>
    </row>
    <row r="3919" spans="1:11" x14ac:dyDescent="0.25">
      <c r="A3919" t="s">
        <v>13457</v>
      </c>
      <c r="C3919" t="s">
        <v>13458</v>
      </c>
      <c r="D3919" t="s">
        <v>309</v>
      </c>
      <c r="E3919" t="s">
        <v>6</v>
      </c>
      <c r="F3919" t="s">
        <v>251</v>
      </c>
      <c r="G3919">
        <v>2</v>
      </c>
      <c r="H3919" s="2">
        <f>Tabelle13[[#This Row],[commits]]/Tabelle13[[#Totals],[commits]]</f>
        <v>9.2955808808492451E-6</v>
      </c>
      <c r="I3919" s="5">
        <f>Tabelle13[[#This Row],[%]]+I3918</f>
        <v>0.97586402424286134</v>
      </c>
      <c r="J3919" s="4">
        <f t="shared" si="155"/>
        <v>1.105583195135434E-4</v>
      </c>
      <c r="K3919" s="5">
        <f t="shared" si="156"/>
        <v>0.43305693753457547</v>
      </c>
    </row>
    <row r="3920" spans="1:11" x14ac:dyDescent="0.25">
      <c r="A3920" t="s">
        <v>13459</v>
      </c>
      <c r="C3920" t="s">
        <v>13460</v>
      </c>
      <c r="D3920" t="s">
        <v>5</v>
      </c>
      <c r="E3920" t="s">
        <v>6</v>
      </c>
      <c r="F3920" t="s">
        <v>251</v>
      </c>
      <c r="G3920">
        <v>2</v>
      </c>
      <c r="H3920" s="2">
        <f>Tabelle13[[#This Row],[commits]]/Tabelle13[[#Totals],[commits]]</f>
        <v>9.2955808808492451E-6</v>
      </c>
      <c r="I3920" s="5">
        <f>Tabelle13[[#This Row],[%]]+I3919</f>
        <v>0.97587331982374215</v>
      </c>
      <c r="J3920" s="4">
        <f t="shared" si="155"/>
        <v>1.105583195135434E-4</v>
      </c>
      <c r="K3920" s="5">
        <f t="shared" si="156"/>
        <v>0.43316749585408904</v>
      </c>
    </row>
    <row r="3921" spans="1:11" x14ac:dyDescent="0.25">
      <c r="A3921" t="s">
        <v>13461</v>
      </c>
      <c r="C3921" t="s">
        <v>13462</v>
      </c>
      <c r="D3921" t="s">
        <v>5</v>
      </c>
      <c r="E3921" t="s">
        <v>6</v>
      </c>
      <c r="F3921" t="s">
        <v>251</v>
      </c>
      <c r="G3921">
        <v>2</v>
      </c>
      <c r="H3921" s="2">
        <f>Tabelle13[[#This Row],[commits]]/Tabelle13[[#Totals],[commits]]</f>
        <v>9.2955808808492451E-6</v>
      </c>
      <c r="I3921" s="5">
        <f>Tabelle13[[#This Row],[%]]+I3920</f>
        <v>0.97588261540462296</v>
      </c>
      <c r="J3921" s="4">
        <f t="shared" si="155"/>
        <v>1.105583195135434E-4</v>
      </c>
      <c r="K3921" s="5">
        <f t="shared" si="156"/>
        <v>0.4332780541736026</v>
      </c>
    </row>
    <row r="3922" spans="1:11" x14ac:dyDescent="0.25">
      <c r="A3922" t="s">
        <v>13463</v>
      </c>
      <c r="C3922" t="s">
        <v>13464</v>
      </c>
      <c r="D3922" t="s">
        <v>5</v>
      </c>
      <c r="E3922" t="s">
        <v>6</v>
      </c>
      <c r="F3922" t="s">
        <v>251</v>
      </c>
      <c r="G3922">
        <v>2</v>
      </c>
      <c r="H3922" s="2">
        <f>Tabelle13[[#This Row],[commits]]/Tabelle13[[#Totals],[commits]]</f>
        <v>9.2955808808492451E-6</v>
      </c>
      <c r="I3922" s="5">
        <f>Tabelle13[[#This Row],[%]]+I3921</f>
        <v>0.97589191098550376</v>
      </c>
      <c r="J3922" s="4">
        <f t="shared" si="155"/>
        <v>1.105583195135434E-4</v>
      </c>
      <c r="K3922" s="5">
        <f t="shared" si="156"/>
        <v>0.43338861249311617</v>
      </c>
    </row>
    <row r="3923" spans="1:11" x14ac:dyDescent="0.25">
      <c r="A3923" t="s">
        <v>13465</v>
      </c>
      <c r="C3923" t="s">
        <v>13466</v>
      </c>
      <c r="D3923" t="s">
        <v>5</v>
      </c>
      <c r="E3923" t="s">
        <v>6</v>
      </c>
      <c r="F3923" t="s">
        <v>251</v>
      </c>
      <c r="G3923">
        <v>2</v>
      </c>
      <c r="H3923" s="2">
        <f>Tabelle13[[#This Row],[commits]]/Tabelle13[[#Totals],[commits]]</f>
        <v>9.2955808808492451E-6</v>
      </c>
      <c r="I3923" s="5">
        <f>Tabelle13[[#This Row],[%]]+I3922</f>
        <v>0.97590120656638457</v>
      </c>
      <c r="J3923" s="4">
        <f t="shared" si="155"/>
        <v>1.105583195135434E-4</v>
      </c>
      <c r="K3923" s="5">
        <f t="shared" si="156"/>
        <v>0.43349917081262973</v>
      </c>
    </row>
    <row r="3924" spans="1:11" x14ac:dyDescent="0.25">
      <c r="A3924" t="s">
        <v>13467</v>
      </c>
      <c r="C3924" t="s">
        <v>13468</v>
      </c>
      <c r="D3924" t="s">
        <v>5</v>
      </c>
      <c r="E3924" t="s">
        <v>6</v>
      </c>
      <c r="F3924" t="s">
        <v>251</v>
      </c>
      <c r="G3924">
        <v>2</v>
      </c>
      <c r="H3924" s="2">
        <f>Tabelle13[[#This Row],[commits]]/Tabelle13[[#Totals],[commits]]</f>
        <v>9.2955808808492451E-6</v>
      </c>
      <c r="I3924" s="5">
        <f>Tabelle13[[#This Row],[%]]+I3923</f>
        <v>0.97591050214726538</v>
      </c>
      <c r="J3924" s="4">
        <f t="shared" si="155"/>
        <v>1.105583195135434E-4</v>
      </c>
      <c r="K3924" s="5">
        <f t="shared" si="156"/>
        <v>0.4336097291321433</v>
      </c>
    </row>
    <row r="3925" spans="1:11" x14ac:dyDescent="0.25">
      <c r="A3925" t="s">
        <v>13469</v>
      </c>
      <c r="C3925" t="s">
        <v>13470</v>
      </c>
      <c r="D3925" t="s">
        <v>5</v>
      </c>
      <c r="E3925" t="s">
        <v>6</v>
      </c>
      <c r="F3925" t="s">
        <v>251</v>
      </c>
      <c r="G3925">
        <v>2</v>
      </c>
      <c r="H3925" s="2">
        <f>Tabelle13[[#This Row],[commits]]/Tabelle13[[#Totals],[commits]]</f>
        <v>9.2955808808492451E-6</v>
      </c>
      <c r="I3925" s="5">
        <f>Tabelle13[[#This Row],[%]]+I3924</f>
        <v>0.97591979772814619</v>
      </c>
      <c r="J3925" s="4">
        <f t="shared" si="155"/>
        <v>1.105583195135434E-4</v>
      </c>
      <c r="K3925" s="5">
        <f t="shared" si="156"/>
        <v>0.43372028745165686</v>
      </c>
    </row>
    <row r="3926" spans="1:11" x14ac:dyDescent="0.25">
      <c r="A3926" t="s">
        <v>13471</v>
      </c>
      <c r="C3926" t="s">
        <v>13472</v>
      </c>
      <c r="D3926" t="s">
        <v>5</v>
      </c>
      <c r="E3926" t="s">
        <v>6</v>
      </c>
      <c r="F3926" t="s">
        <v>251</v>
      </c>
      <c r="G3926">
        <v>2</v>
      </c>
      <c r="H3926" s="2">
        <f>Tabelle13[[#This Row],[commits]]/Tabelle13[[#Totals],[commits]]</f>
        <v>9.2955808808492451E-6</v>
      </c>
      <c r="I3926" s="5">
        <f>Tabelle13[[#This Row],[%]]+I3925</f>
        <v>0.975929093309027</v>
      </c>
      <c r="J3926" s="4">
        <f t="shared" si="155"/>
        <v>1.105583195135434E-4</v>
      </c>
      <c r="K3926" s="5">
        <f t="shared" si="156"/>
        <v>0.43383084577117043</v>
      </c>
    </row>
    <row r="3927" spans="1:11" x14ac:dyDescent="0.25">
      <c r="A3927" t="s">
        <v>13473</v>
      </c>
      <c r="C3927" t="s">
        <v>13474</v>
      </c>
      <c r="D3927" t="s">
        <v>2471</v>
      </c>
      <c r="E3927" t="s">
        <v>6</v>
      </c>
      <c r="F3927" t="s">
        <v>251</v>
      </c>
      <c r="G3927">
        <v>2</v>
      </c>
      <c r="H3927" s="2">
        <f>Tabelle13[[#This Row],[commits]]/Tabelle13[[#Totals],[commits]]</f>
        <v>9.2955808808492451E-6</v>
      </c>
      <c r="I3927" s="5">
        <f>Tabelle13[[#This Row],[%]]+I3926</f>
        <v>0.9759383888899078</v>
      </c>
      <c r="J3927" s="4">
        <f t="shared" si="155"/>
        <v>1.105583195135434E-4</v>
      </c>
      <c r="K3927" s="5">
        <f t="shared" si="156"/>
        <v>0.43394140409068399</v>
      </c>
    </row>
    <row r="3928" spans="1:11" x14ac:dyDescent="0.25">
      <c r="A3928" t="s">
        <v>13475</v>
      </c>
      <c r="C3928" t="s">
        <v>13476</v>
      </c>
      <c r="D3928" t="s">
        <v>5</v>
      </c>
      <c r="E3928" t="s">
        <v>6</v>
      </c>
      <c r="F3928" t="s">
        <v>251</v>
      </c>
      <c r="G3928">
        <v>2</v>
      </c>
      <c r="H3928" s="2">
        <f>Tabelle13[[#This Row],[commits]]/Tabelle13[[#Totals],[commits]]</f>
        <v>9.2955808808492451E-6</v>
      </c>
      <c r="I3928" s="5">
        <f>Tabelle13[[#This Row],[%]]+I3927</f>
        <v>0.97594768447078861</v>
      </c>
      <c r="J3928" s="4">
        <f t="shared" si="155"/>
        <v>1.105583195135434E-4</v>
      </c>
      <c r="K3928" s="5">
        <f t="shared" si="156"/>
        <v>0.43405196241019756</v>
      </c>
    </row>
    <row r="3929" spans="1:11" x14ac:dyDescent="0.25">
      <c r="A3929" t="s">
        <v>13477</v>
      </c>
      <c r="C3929" t="s">
        <v>13478</v>
      </c>
      <c r="D3929" t="s">
        <v>10870</v>
      </c>
      <c r="E3929" t="s">
        <v>6</v>
      </c>
      <c r="F3929" t="s">
        <v>251</v>
      </c>
      <c r="G3929">
        <v>2</v>
      </c>
      <c r="H3929" s="2">
        <f>Tabelle13[[#This Row],[commits]]/Tabelle13[[#Totals],[commits]]</f>
        <v>9.2955808808492451E-6</v>
      </c>
      <c r="I3929" s="5">
        <f>Tabelle13[[#This Row],[%]]+I3928</f>
        <v>0.97595698005166942</v>
      </c>
      <c r="J3929" s="4">
        <f t="shared" si="155"/>
        <v>1.105583195135434E-4</v>
      </c>
      <c r="K3929" s="5">
        <f t="shared" si="156"/>
        <v>0.43416252072971112</v>
      </c>
    </row>
    <row r="3930" spans="1:11" x14ac:dyDescent="0.25">
      <c r="A3930" t="s">
        <v>13479</v>
      </c>
      <c r="C3930" t="s">
        <v>13480</v>
      </c>
      <c r="D3930" t="s">
        <v>5</v>
      </c>
      <c r="E3930" t="s">
        <v>6</v>
      </c>
      <c r="F3930" t="s">
        <v>251</v>
      </c>
      <c r="G3930">
        <v>2</v>
      </c>
      <c r="H3930" s="2">
        <f>Tabelle13[[#This Row],[commits]]/Tabelle13[[#Totals],[commits]]</f>
        <v>9.2955808808492451E-6</v>
      </c>
      <c r="I3930" s="5">
        <f>Tabelle13[[#This Row],[%]]+I3929</f>
        <v>0.97596627563255023</v>
      </c>
      <c r="J3930" s="4">
        <f t="shared" si="155"/>
        <v>1.105583195135434E-4</v>
      </c>
      <c r="K3930" s="5">
        <f t="shared" si="156"/>
        <v>0.43427307904922469</v>
      </c>
    </row>
    <row r="3931" spans="1:11" x14ac:dyDescent="0.25">
      <c r="A3931" t="s">
        <v>13481</v>
      </c>
      <c r="C3931" t="s">
        <v>13482</v>
      </c>
      <c r="D3931" t="s">
        <v>5</v>
      </c>
      <c r="E3931" t="s">
        <v>6</v>
      </c>
      <c r="F3931" t="s">
        <v>251</v>
      </c>
      <c r="G3931">
        <v>2</v>
      </c>
      <c r="H3931" s="2">
        <f>Tabelle13[[#This Row],[commits]]/Tabelle13[[#Totals],[commits]]</f>
        <v>9.2955808808492451E-6</v>
      </c>
      <c r="I3931" s="5">
        <f>Tabelle13[[#This Row],[%]]+I3930</f>
        <v>0.97597557121343104</v>
      </c>
      <c r="J3931" s="4">
        <f t="shared" si="155"/>
        <v>1.105583195135434E-4</v>
      </c>
      <c r="K3931" s="5">
        <f t="shared" si="156"/>
        <v>0.43438363736873825</v>
      </c>
    </row>
    <row r="3932" spans="1:11" x14ac:dyDescent="0.25">
      <c r="A3932" t="s">
        <v>13483</v>
      </c>
      <c r="C3932" t="s">
        <v>13484</v>
      </c>
      <c r="D3932" t="s">
        <v>5</v>
      </c>
      <c r="E3932" t="s">
        <v>6</v>
      </c>
      <c r="F3932" t="s">
        <v>251</v>
      </c>
      <c r="G3932">
        <v>2</v>
      </c>
      <c r="H3932" s="2">
        <f>Tabelle13[[#This Row],[commits]]/Tabelle13[[#Totals],[commits]]</f>
        <v>9.2955808808492451E-6</v>
      </c>
      <c r="I3932" s="5">
        <f>Tabelle13[[#This Row],[%]]+I3931</f>
        <v>0.97598486679431184</v>
      </c>
      <c r="J3932" s="4">
        <f t="shared" si="155"/>
        <v>1.105583195135434E-4</v>
      </c>
      <c r="K3932" s="5">
        <f t="shared" si="156"/>
        <v>0.43449419568825182</v>
      </c>
    </row>
    <row r="3933" spans="1:11" x14ac:dyDescent="0.25">
      <c r="A3933" t="s">
        <v>13485</v>
      </c>
      <c r="C3933" t="s">
        <v>13486</v>
      </c>
      <c r="D3933" t="s">
        <v>5</v>
      </c>
      <c r="E3933" t="s">
        <v>6</v>
      </c>
      <c r="F3933" t="s">
        <v>251</v>
      </c>
      <c r="G3933">
        <v>2</v>
      </c>
      <c r="H3933" s="2">
        <f>Tabelle13[[#This Row],[commits]]/Tabelle13[[#Totals],[commits]]</f>
        <v>9.2955808808492451E-6</v>
      </c>
      <c r="I3933" s="5">
        <f>Tabelle13[[#This Row],[%]]+I3932</f>
        <v>0.97599416237519265</v>
      </c>
      <c r="J3933" s="4">
        <f t="shared" si="155"/>
        <v>1.105583195135434E-4</v>
      </c>
      <c r="K3933" s="5">
        <f t="shared" si="156"/>
        <v>0.43460475400776538</v>
      </c>
    </row>
    <row r="3934" spans="1:11" x14ac:dyDescent="0.25">
      <c r="A3934" t="s">
        <v>13487</v>
      </c>
      <c r="C3934" t="s">
        <v>13488</v>
      </c>
      <c r="D3934" t="s">
        <v>5</v>
      </c>
      <c r="E3934" t="s">
        <v>6</v>
      </c>
      <c r="F3934" t="s">
        <v>251</v>
      </c>
      <c r="G3934">
        <v>2</v>
      </c>
      <c r="H3934" s="2">
        <f>Tabelle13[[#This Row],[commits]]/Tabelle13[[#Totals],[commits]]</f>
        <v>9.2955808808492451E-6</v>
      </c>
      <c r="I3934" s="5">
        <f>Tabelle13[[#This Row],[%]]+I3933</f>
        <v>0.97600345795607346</v>
      </c>
      <c r="J3934" s="4">
        <f t="shared" si="155"/>
        <v>1.105583195135434E-4</v>
      </c>
      <c r="K3934" s="5">
        <f t="shared" si="156"/>
        <v>0.43471531232727895</v>
      </c>
    </row>
    <row r="3935" spans="1:11" x14ac:dyDescent="0.25">
      <c r="A3935" t="s">
        <v>13489</v>
      </c>
      <c r="C3935" t="s">
        <v>13490</v>
      </c>
      <c r="D3935" t="s">
        <v>5</v>
      </c>
      <c r="E3935" t="s">
        <v>6</v>
      </c>
      <c r="F3935" t="s">
        <v>251</v>
      </c>
      <c r="G3935">
        <v>2</v>
      </c>
      <c r="H3935" s="2">
        <f>Tabelle13[[#This Row],[commits]]/Tabelle13[[#Totals],[commits]]</f>
        <v>9.2955808808492451E-6</v>
      </c>
      <c r="I3935" s="5">
        <f>Tabelle13[[#This Row],[%]]+I3934</f>
        <v>0.97601275353695427</v>
      </c>
      <c r="J3935" s="4">
        <f t="shared" si="155"/>
        <v>1.105583195135434E-4</v>
      </c>
      <c r="K3935" s="5">
        <f t="shared" si="156"/>
        <v>0.43482587064679251</v>
      </c>
    </row>
    <row r="3936" spans="1:11" x14ac:dyDescent="0.25">
      <c r="A3936" t="s">
        <v>13491</v>
      </c>
      <c r="C3936" t="s">
        <v>13492</v>
      </c>
      <c r="D3936" t="s">
        <v>5</v>
      </c>
      <c r="E3936" t="s">
        <v>6</v>
      </c>
      <c r="F3936" t="s">
        <v>251</v>
      </c>
      <c r="G3936">
        <v>2</v>
      </c>
      <c r="H3936" s="2">
        <f>Tabelle13[[#This Row],[commits]]/Tabelle13[[#Totals],[commits]]</f>
        <v>9.2955808808492451E-6</v>
      </c>
      <c r="I3936" s="5">
        <f>Tabelle13[[#This Row],[%]]+I3935</f>
        <v>0.97602204911783508</v>
      </c>
      <c r="J3936" s="4">
        <f t="shared" si="155"/>
        <v>1.105583195135434E-4</v>
      </c>
      <c r="K3936" s="5">
        <f t="shared" si="156"/>
        <v>0.43493642896630608</v>
      </c>
    </row>
    <row r="3937" spans="1:11" x14ac:dyDescent="0.25">
      <c r="A3937" t="s">
        <v>13493</v>
      </c>
      <c r="C3937" t="s">
        <v>13494</v>
      </c>
      <c r="D3937" t="s">
        <v>5</v>
      </c>
      <c r="E3937" t="s">
        <v>6</v>
      </c>
      <c r="F3937" t="s">
        <v>251</v>
      </c>
      <c r="G3937">
        <v>2</v>
      </c>
      <c r="H3937" s="2">
        <f>Tabelle13[[#This Row],[commits]]/Tabelle13[[#Totals],[commits]]</f>
        <v>9.2955808808492451E-6</v>
      </c>
      <c r="I3937" s="5">
        <f>Tabelle13[[#This Row],[%]]+I3936</f>
        <v>0.97603134469871589</v>
      </c>
      <c r="J3937" s="4">
        <f t="shared" si="155"/>
        <v>1.105583195135434E-4</v>
      </c>
      <c r="K3937" s="5">
        <f t="shared" si="156"/>
        <v>0.43504698728581964</v>
      </c>
    </row>
    <row r="3938" spans="1:11" x14ac:dyDescent="0.25">
      <c r="A3938" t="s">
        <v>13495</v>
      </c>
      <c r="C3938" t="s">
        <v>1843</v>
      </c>
      <c r="D3938" t="s">
        <v>13496</v>
      </c>
      <c r="E3938" t="s">
        <v>6</v>
      </c>
      <c r="F3938" t="s">
        <v>251</v>
      </c>
      <c r="G3938">
        <v>2</v>
      </c>
      <c r="H3938" s="2">
        <f>Tabelle13[[#This Row],[commits]]/Tabelle13[[#Totals],[commits]]</f>
        <v>9.2955808808492451E-6</v>
      </c>
      <c r="I3938" s="5">
        <f>Tabelle13[[#This Row],[%]]+I3937</f>
        <v>0.97604064027959669</v>
      </c>
      <c r="J3938" s="4">
        <f t="shared" si="155"/>
        <v>1.105583195135434E-4</v>
      </c>
      <c r="K3938" s="5">
        <f t="shared" si="156"/>
        <v>0.43515754560533321</v>
      </c>
    </row>
    <row r="3939" spans="1:11" x14ac:dyDescent="0.25">
      <c r="A3939" t="s">
        <v>13497</v>
      </c>
      <c r="C3939" t="s">
        <v>13498</v>
      </c>
      <c r="D3939" t="s">
        <v>5</v>
      </c>
      <c r="E3939" t="s">
        <v>6</v>
      </c>
      <c r="F3939" t="s">
        <v>251</v>
      </c>
      <c r="G3939">
        <v>2</v>
      </c>
      <c r="H3939" s="2">
        <f>Tabelle13[[#This Row],[commits]]/Tabelle13[[#Totals],[commits]]</f>
        <v>9.2955808808492451E-6</v>
      </c>
      <c r="I3939" s="5">
        <f>Tabelle13[[#This Row],[%]]+I3938</f>
        <v>0.9760499358604775</v>
      </c>
      <c r="J3939" s="4">
        <f t="shared" si="155"/>
        <v>1.105583195135434E-4</v>
      </c>
      <c r="K3939" s="5">
        <f t="shared" si="156"/>
        <v>0.43526810392484677</v>
      </c>
    </row>
    <row r="3940" spans="1:11" x14ac:dyDescent="0.25">
      <c r="A3940" t="s">
        <v>13499</v>
      </c>
      <c r="C3940" t="s">
        <v>13500</v>
      </c>
      <c r="D3940" t="s">
        <v>5</v>
      </c>
      <c r="E3940" t="s">
        <v>6</v>
      </c>
      <c r="F3940" t="s">
        <v>251</v>
      </c>
      <c r="G3940">
        <v>2</v>
      </c>
      <c r="H3940" s="2">
        <f>Tabelle13[[#This Row],[commits]]/Tabelle13[[#Totals],[commits]]</f>
        <v>9.2955808808492451E-6</v>
      </c>
      <c r="I3940" s="5">
        <f>Tabelle13[[#This Row],[%]]+I3939</f>
        <v>0.97605923144135831</v>
      </c>
      <c r="J3940" s="4">
        <f t="shared" si="155"/>
        <v>1.105583195135434E-4</v>
      </c>
      <c r="K3940" s="5">
        <f t="shared" si="156"/>
        <v>0.43537866224436034</v>
      </c>
    </row>
    <row r="3941" spans="1:11" x14ac:dyDescent="0.25">
      <c r="A3941" t="s">
        <v>13501</v>
      </c>
      <c r="C3941" t="s">
        <v>13502</v>
      </c>
      <c r="D3941" t="s">
        <v>5</v>
      </c>
      <c r="E3941" t="s">
        <v>6</v>
      </c>
      <c r="F3941" t="s">
        <v>251</v>
      </c>
      <c r="G3941">
        <v>2</v>
      </c>
      <c r="H3941" s="2">
        <f>Tabelle13[[#This Row],[commits]]/Tabelle13[[#Totals],[commits]]</f>
        <v>9.2955808808492451E-6</v>
      </c>
      <c r="I3941" s="5">
        <f>Tabelle13[[#This Row],[%]]+I3940</f>
        <v>0.97606852702223912</v>
      </c>
      <c r="J3941" s="4">
        <f t="shared" si="155"/>
        <v>1.105583195135434E-4</v>
      </c>
      <c r="K3941" s="5">
        <f t="shared" si="156"/>
        <v>0.4354892205638739</v>
      </c>
    </row>
    <row r="3942" spans="1:11" x14ac:dyDescent="0.25">
      <c r="A3942" t="s">
        <v>13503</v>
      </c>
      <c r="C3942" t="s">
        <v>13504</v>
      </c>
      <c r="D3942" t="s">
        <v>5</v>
      </c>
      <c r="E3942" t="s">
        <v>6</v>
      </c>
      <c r="F3942" t="s">
        <v>251</v>
      </c>
      <c r="G3942">
        <v>2</v>
      </c>
      <c r="H3942" s="2">
        <f>Tabelle13[[#This Row],[commits]]/Tabelle13[[#Totals],[commits]]</f>
        <v>9.2955808808492451E-6</v>
      </c>
      <c r="I3942" s="5">
        <f>Tabelle13[[#This Row],[%]]+I3941</f>
        <v>0.97607782260311993</v>
      </c>
      <c r="J3942" s="4">
        <f t="shared" si="155"/>
        <v>1.105583195135434E-4</v>
      </c>
      <c r="K3942" s="5">
        <f t="shared" si="156"/>
        <v>0.43559977888338747</v>
      </c>
    </row>
    <row r="3943" spans="1:11" x14ac:dyDescent="0.25">
      <c r="A3943" t="s">
        <v>13505</v>
      </c>
      <c r="C3943" t="s">
        <v>13506</v>
      </c>
      <c r="D3943" t="s">
        <v>5</v>
      </c>
      <c r="E3943" t="s">
        <v>6</v>
      </c>
      <c r="F3943" t="s">
        <v>251</v>
      </c>
      <c r="G3943">
        <v>2</v>
      </c>
      <c r="H3943" s="2">
        <f>Tabelle13[[#This Row],[commits]]/Tabelle13[[#Totals],[commits]]</f>
        <v>9.2955808808492451E-6</v>
      </c>
      <c r="I3943" s="5">
        <f>Tabelle13[[#This Row],[%]]+I3942</f>
        <v>0.97608711818400073</v>
      </c>
      <c r="J3943" s="4">
        <f t="shared" si="155"/>
        <v>1.105583195135434E-4</v>
      </c>
      <c r="K3943" s="5">
        <f t="shared" si="156"/>
        <v>0.43571033720290103</v>
      </c>
    </row>
    <row r="3944" spans="1:11" x14ac:dyDescent="0.25">
      <c r="A3944" t="s">
        <v>13507</v>
      </c>
      <c r="C3944" t="s">
        <v>13508</v>
      </c>
      <c r="D3944" t="s">
        <v>5</v>
      </c>
      <c r="E3944" t="s">
        <v>6</v>
      </c>
      <c r="F3944" t="s">
        <v>251</v>
      </c>
      <c r="G3944">
        <v>2</v>
      </c>
      <c r="H3944" s="2">
        <f>Tabelle13[[#This Row],[commits]]/Tabelle13[[#Totals],[commits]]</f>
        <v>9.2955808808492451E-6</v>
      </c>
      <c r="I3944" s="5">
        <f>Tabelle13[[#This Row],[%]]+I3943</f>
        <v>0.97609641376488154</v>
      </c>
      <c r="J3944" s="4">
        <f t="shared" si="155"/>
        <v>1.105583195135434E-4</v>
      </c>
      <c r="K3944" s="5">
        <f t="shared" si="156"/>
        <v>0.4358208955224146</v>
      </c>
    </row>
    <row r="3945" spans="1:11" x14ac:dyDescent="0.25">
      <c r="A3945" t="s">
        <v>13509</v>
      </c>
      <c r="C3945" t="s">
        <v>13510</v>
      </c>
      <c r="D3945" t="s">
        <v>5</v>
      </c>
      <c r="E3945" t="s">
        <v>6</v>
      </c>
      <c r="F3945" t="s">
        <v>251</v>
      </c>
      <c r="G3945">
        <v>2</v>
      </c>
      <c r="H3945" s="2">
        <f>Tabelle13[[#This Row],[commits]]/Tabelle13[[#Totals],[commits]]</f>
        <v>9.2955808808492451E-6</v>
      </c>
      <c r="I3945" s="5">
        <f>Tabelle13[[#This Row],[%]]+I3944</f>
        <v>0.97610570934576235</v>
      </c>
      <c r="J3945" s="4">
        <f t="shared" si="155"/>
        <v>1.105583195135434E-4</v>
      </c>
      <c r="K3945" s="5">
        <f t="shared" si="156"/>
        <v>0.43593145384192816</v>
      </c>
    </row>
    <row r="3946" spans="1:11" x14ac:dyDescent="0.25">
      <c r="A3946" t="s">
        <v>13511</v>
      </c>
      <c r="C3946" t="s">
        <v>13512</v>
      </c>
      <c r="D3946" t="s">
        <v>5</v>
      </c>
      <c r="E3946" t="s">
        <v>6</v>
      </c>
      <c r="F3946" t="s">
        <v>251</v>
      </c>
      <c r="G3946">
        <v>2</v>
      </c>
      <c r="H3946" s="2">
        <f>Tabelle13[[#This Row],[commits]]/Tabelle13[[#Totals],[commits]]</f>
        <v>9.2955808808492451E-6</v>
      </c>
      <c r="I3946" s="5">
        <f>Tabelle13[[#This Row],[%]]+I3945</f>
        <v>0.97611500492664316</v>
      </c>
      <c r="J3946" s="4">
        <f t="shared" si="155"/>
        <v>1.105583195135434E-4</v>
      </c>
      <c r="K3946" s="5">
        <f t="shared" si="156"/>
        <v>0.43604201216144173</v>
      </c>
    </row>
    <row r="3947" spans="1:11" x14ac:dyDescent="0.25">
      <c r="A3947" t="s">
        <v>13513</v>
      </c>
      <c r="C3947" t="s">
        <v>13514</v>
      </c>
      <c r="D3947" t="s">
        <v>5</v>
      </c>
      <c r="E3947" t="s">
        <v>6</v>
      </c>
      <c r="F3947" t="s">
        <v>251</v>
      </c>
      <c r="G3947">
        <v>2</v>
      </c>
      <c r="H3947" s="2">
        <f>Tabelle13[[#This Row],[commits]]/Tabelle13[[#Totals],[commits]]</f>
        <v>9.2955808808492451E-6</v>
      </c>
      <c r="I3947" s="5">
        <f>Tabelle13[[#This Row],[%]]+I3946</f>
        <v>0.97612430050752397</v>
      </c>
      <c r="J3947" s="4">
        <f t="shared" si="155"/>
        <v>1.105583195135434E-4</v>
      </c>
      <c r="K3947" s="5">
        <f t="shared" si="156"/>
        <v>0.43615257048095529</v>
      </c>
    </row>
    <row r="3948" spans="1:11" x14ac:dyDescent="0.25">
      <c r="A3948" t="s">
        <v>13515</v>
      </c>
      <c r="C3948" t="s">
        <v>685</v>
      </c>
      <c r="D3948" t="s">
        <v>5</v>
      </c>
      <c r="E3948" t="s">
        <v>6</v>
      </c>
      <c r="F3948" t="s">
        <v>251</v>
      </c>
      <c r="G3948">
        <v>2</v>
      </c>
      <c r="H3948" s="2">
        <f>Tabelle13[[#This Row],[commits]]/Tabelle13[[#Totals],[commits]]</f>
        <v>9.2955808808492451E-6</v>
      </c>
      <c r="I3948" s="5">
        <f>Tabelle13[[#This Row],[%]]+I3947</f>
        <v>0.97613359608840478</v>
      </c>
      <c r="J3948" s="4">
        <f t="shared" si="155"/>
        <v>1.105583195135434E-4</v>
      </c>
      <c r="K3948" s="5">
        <f t="shared" si="156"/>
        <v>0.43626312880046886</v>
      </c>
    </row>
    <row r="3949" spans="1:11" x14ac:dyDescent="0.25">
      <c r="A3949" t="s">
        <v>13516</v>
      </c>
      <c r="C3949" t="s">
        <v>13517</v>
      </c>
      <c r="D3949" t="s">
        <v>5</v>
      </c>
      <c r="E3949" t="s">
        <v>6</v>
      </c>
      <c r="F3949" t="s">
        <v>251</v>
      </c>
      <c r="G3949">
        <v>2</v>
      </c>
      <c r="H3949" s="2">
        <f>Tabelle13[[#This Row],[commits]]/Tabelle13[[#Totals],[commits]]</f>
        <v>9.2955808808492451E-6</v>
      </c>
      <c r="I3949" s="5">
        <f>Tabelle13[[#This Row],[%]]+I3948</f>
        <v>0.97614289166928558</v>
      </c>
      <c r="J3949" s="4">
        <f t="shared" si="155"/>
        <v>1.105583195135434E-4</v>
      </c>
      <c r="K3949" s="5">
        <f t="shared" si="156"/>
        <v>0.43637368711998242</v>
      </c>
    </row>
    <row r="3950" spans="1:11" x14ac:dyDescent="0.25">
      <c r="A3950" t="s">
        <v>13518</v>
      </c>
      <c r="C3950" t="s">
        <v>13519</v>
      </c>
      <c r="D3950" t="s">
        <v>11908</v>
      </c>
      <c r="E3950" t="s">
        <v>6</v>
      </c>
      <c r="F3950" t="s">
        <v>251</v>
      </c>
      <c r="G3950">
        <v>2</v>
      </c>
      <c r="H3950" s="2">
        <f>Tabelle13[[#This Row],[commits]]/Tabelle13[[#Totals],[commits]]</f>
        <v>9.2955808808492451E-6</v>
      </c>
      <c r="I3950" s="5">
        <f>Tabelle13[[#This Row],[%]]+I3949</f>
        <v>0.97615218725016639</v>
      </c>
      <c r="J3950" s="4">
        <f t="shared" si="155"/>
        <v>1.105583195135434E-4</v>
      </c>
      <c r="K3950" s="5">
        <f t="shared" si="156"/>
        <v>0.43648424543949599</v>
      </c>
    </row>
    <row r="3951" spans="1:11" x14ac:dyDescent="0.25">
      <c r="A3951" t="s">
        <v>13520</v>
      </c>
      <c r="C3951" t="s">
        <v>13521</v>
      </c>
      <c r="D3951" t="s">
        <v>5</v>
      </c>
      <c r="E3951" t="s">
        <v>6</v>
      </c>
      <c r="F3951" t="s">
        <v>251</v>
      </c>
      <c r="G3951">
        <v>2</v>
      </c>
      <c r="H3951" s="2">
        <f>Tabelle13[[#This Row],[commits]]/Tabelle13[[#Totals],[commits]]</f>
        <v>9.2955808808492451E-6</v>
      </c>
      <c r="I3951" s="5">
        <f>Tabelle13[[#This Row],[%]]+I3950</f>
        <v>0.9761614828310472</v>
      </c>
      <c r="J3951" s="4">
        <f t="shared" si="155"/>
        <v>1.105583195135434E-4</v>
      </c>
      <c r="K3951" s="5">
        <f t="shared" si="156"/>
        <v>0.43659480375900955</v>
      </c>
    </row>
    <row r="3952" spans="1:11" x14ac:dyDescent="0.25">
      <c r="A3952" t="s">
        <v>17213</v>
      </c>
      <c r="C3952" t="s">
        <v>17214</v>
      </c>
      <c r="D3952" t="s">
        <v>5</v>
      </c>
      <c r="E3952" t="s">
        <v>6</v>
      </c>
      <c r="F3952" t="s">
        <v>334</v>
      </c>
      <c r="G3952">
        <v>2</v>
      </c>
      <c r="H3952" s="2">
        <f>Tabelle13[[#This Row],[commits]]/Tabelle13[[#Totals],[commits]]</f>
        <v>9.2955808808492451E-6</v>
      </c>
      <c r="I3952" s="5">
        <f>Tabelle13[[#This Row],[%]]+I3951</f>
        <v>0.97617077841192801</v>
      </c>
      <c r="J3952" s="4">
        <f t="shared" si="155"/>
        <v>1.105583195135434E-4</v>
      </c>
      <c r="K3952" s="5">
        <f t="shared" si="156"/>
        <v>0.43670536207852312</v>
      </c>
    </row>
    <row r="3953" spans="1:11" x14ac:dyDescent="0.25">
      <c r="A3953" t="s">
        <v>17215</v>
      </c>
      <c r="C3953" t="s">
        <v>17216</v>
      </c>
      <c r="D3953" t="s">
        <v>5</v>
      </c>
      <c r="E3953" t="s">
        <v>6</v>
      </c>
      <c r="F3953" t="s">
        <v>334</v>
      </c>
      <c r="G3953">
        <v>2</v>
      </c>
      <c r="H3953" s="2">
        <f>Tabelle13[[#This Row],[commits]]/Tabelle13[[#Totals],[commits]]</f>
        <v>9.2955808808492451E-6</v>
      </c>
      <c r="I3953" s="5">
        <f>Tabelle13[[#This Row],[%]]+I3952</f>
        <v>0.97618007399280882</v>
      </c>
      <c r="J3953" s="4">
        <f t="shared" si="155"/>
        <v>1.105583195135434E-4</v>
      </c>
      <c r="K3953" s="5">
        <f t="shared" si="156"/>
        <v>0.43681592039803668</v>
      </c>
    </row>
    <row r="3954" spans="1:11" x14ac:dyDescent="0.25">
      <c r="A3954" t="s">
        <v>17217</v>
      </c>
      <c r="C3954" t="s">
        <v>17218</v>
      </c>
      <c r="D3954" t="s">
        <v>5</v>
      </c>
      <c r="E3954" t="s">
        <v>6</v>
      </c>
      <c r="F3954" t="s">
        <v>334</v>
      </c>
      <c r="G3954">
        <v>2</v>
      </c>
      <c r="H3954" s="2">
        <f>Tabelle13[[#This Row],[commits]]/Tabelle13[[#Totals],[commits]]</f>
        <v>9.2955808808492451E-6</v>
      </c>
      <c r="I3954" s="5">
        <f>Tabelle13[[#This Row],[%]]+I3953</f>
        <v>0.97618936957368962</v>
      </c>
      <c r="J3954" s="4">
        <f t="shared" si="155"/>
        <v>1.105583195135434E-4</v>
      </c>
      <c r="K3954" s="5">
        <f t="shared" si="156"/>
        <v>0.43692647871755025</v>
      </c>
    </row>
    <row r="3955" spans="1:11" x14ac:dyDescent="0.25">
      <c r="A3955" t="s">
        <v>17219</v>
      </c>
      <c r="C3955" t="s">
        <v>1687</v>
      </c>
      <c r="D3955" t="s">
        <v>5</v>
      </c>
      <c r="E3955" t="s">
        <v>6</v>
      </c>
      <c r="F3955" t="s">
        <v>334</v>
      </c>
      <c r="G3955">
        <v>2</v>
      </c>
      <c r="H3955" s="2">
        <f>Tabelle13[[#This Row],[commits]]/Tabelle13[[#Totals],[commits]]</f>
        <v>9.2955808808492451E-6</v>
      </c>
      <c r="I3955" s="5">
        <f>Tabelle13[[#This Row],[%]]+I3954</f>
        <v>0.97619866515457043</v>
      </c>
      <c r="J3955" s="4">
        <f t="shared" si="155"/>
        <v>1.105583195135434E-4</v>
      </c>
      <c r="K3955" s="5">
        <f t="shared" si="156"/>
        <v>0.43703703703706381</v>
      </c>
    </row>
    <row r="3956" spans="1:11" x14ac:dyDescent="0.25">
      <c r="A3956" t="s">
        <v>17220</v>
      </c>
      <c r="C3956" t="s">
        <v>17221</v>
      </c>
      <c r="D3956" t="s">
        <v>5</v>
      </c>
      <c r="E3956" t="s">
        <v>6</v>
      </c>
      <c r="F3956" t="s">
        <v>334</v>
      </c>
      <c r="G3956">
        <v>2</v>
      </c>
      <c r="H3956" s="2">
        <f>Tabelle13[[#This Row],[commits]]/Tabelle13[[#Totals],[commits]]</f>
        <v>9.2955808808492451E-6</v>
      </c>
      <c r="I3956" s="5">
        <f>Tabelle13[[#This Row],[%]]+I3955</f>
        <v>0.97620796073545124</v>
      </c>
      <c r="J3956" s="4">
        <f t="shared" si="155"/>
        <v>1.105583195135434E-4</v>
      </c>
      <c r="K3956" s="5">
        <f t="shared" si="156"/>
        <v>0.43714759535657738</v>
      </c>
    </row>
    <row r="3957" spans="1:11" x14ac:dyDescent="0.25">
      <c r="A3957" t="s">
        <v>17222</v>
      </c>
      <c r="C3957" t="s">
        <v>17223</v>
      </c>
      <c r="D3957" t="s">
        <v>5</v>
      </c>
      <c r="E3957" t="s">
        <v>6</v>
      </c>
      <c r="F3957" t="s">
        <v>334</v>
      </c>
      <c r="G3957">
        <v>2</v>
      </c>
      <c r="H3957" s="2">
        <f>Tabelle13[[#This Row],[commits]]/Tabelle13[[#Totals],[commits]]</f>
        <v>9.2955808808492451E-6</v>
      </c>
      <c r="I3957" s="5">
        <f>Tabelle13[[#This Row],[%]]+I3956</f>
        <v>0.97621725631633205</v>
      </c>
      <c r="J3957" s="4">
        <f t="shared" si="155"/>
        <v>1.105583195135434E-4</v>
      </c>
      <c r="K3957" s="5">
        <f t="shared" si="156"/>
        <v>0.43725815367609094</v>
      </c>
    </row>
    <row r="3958" spans="1:11" x14ac:dyDescent="0.25">
      <c r="A3958" t="s">
        <v>17224</v>
      </c>
      <c r="C3958" t="s">
        <v>17225</v>
      </c>
      <c r="D3958" t="s">
        <v>5</v>
      </c>
      <c r="E3958" t="s">
        <v>6</v>
      </c>
      <c r="F3958" t="s">
        <v>334</v>
      </c>
      <c r="G3958">
        <v>2</v>
      </c>
      <c r="H3958" s="2">
        <f>Tabelle13[[#This Row],[commits]]/Tabelle13[[#Totals],[commits]]</f>
        <v>9.2955808808492451E-6</v>
      </c>
      <c r="I3958" s="5">
        <f>Tabelle13[[#This Row],[%]]+I3957</f>
        <v>0.97622655189721286</v>
      </c>
      <c r="J3958" s="4">
        <f t="shared" si="155"/>
        <v>1.105583195135434E-4</v>
      </c>
      <c r="K3958" s="5">
        <f t="shared" si="156"/>
        <v>0.43736871199560451</v>
      </c>
    </row>
    <row r="3959" spans="1:11" x14ac:dyDescent="0.25">
      <c r="A3959" t="s">
        <v>17226</v>
      </c>
      <c r="C3959" t="s">
        <v>17227</v>
      </c>
      <c r="D3959" t="s">
        <v>5</v>
      </c>
      <c r="E3959" t="s">
        <v>6</v>
      </c>
      <c r="F3959" t="s">
        <v>334</v>
      </c>
      <c r="G3959">
        <v>2</v>
      </c>
      <c r="H3959" s="2">
        <f>Tabelle13[[#This Row],[commits]]/Tabelle13[[#Totals],[commits]]</f>
        <v>9.2955808808492451E-6</v>
      </c>
      <c r="I3959" s="5">
        <f>Tabelle13[[#This Row],[%]]+I3958</f>
        <v>0.97623584747809367</v>
      </c>
      <c r="J3959" s="4">
        <f t="shared" si="155"/>
        <v>1.105583195135434E-4</v>
      </c>
      <c r="K3959" s="5">
        <f t="shared" si="156"/>
        <v>0.43747927031511807</v>
      </c>
    </row>
    <row r="3960" spans="1:11" x14ac:dyDescent="0.25">
      <c r="A3960" t="s">
        <v>17228</v>
      </c>
      <c r="C3960" t="s">
        <v>17229</v>
      </c>
      <c r="D3960" t="s">
        <v>17230</v>
      </c>
      <c r="E3960" t="s">
        <v>6</v>
      </c>
      <c r="F3960" t="s">
        <v>334</v>
      </c>
      <c r="G3960">
        <v>2</v>
      </c>
      <c r="H3960" s="2">
        <f>Tabelle13[[#This Row],[commits]]/Tabelle13[[#Totals],[commits]]</f>
        <v>9.2955808808492451E-6</v>
      </c>
      <c r="I3960" s="5">
        <f>Tabelle13[[#This Row],[%]]+I3959</f>
        <v>0.97624514305897447</v>
      </c>
      <c r="J3960" s="4">
        <f t="shared" si="155"/>
        <v>1.105583195135434E-4</v>
      </c>
      <c r="K3960" s="5">
        <f t="shared" si="156"/>
        <v>0.43758982863463164</v>
      </c>
    </row>
    <row r="3961" spans="1:11" x14ac:dyDescent="0.25">
      <c r="A3961" t="s">
        <v>17231</v>
      </c>
      <c r="C3961" t="s">
        <v>17232</v>
      </c>
      <c r="D3961" t="s">
        <v>5</v>
      </c>
      <c r="E3961" t="s">
        <v>6</v>
      </c>
      <c r="F3961" t="s">
        <v>334</v>
      </c>
      <c r="G3961">
        <v>2</v>
      </c>
      <c r="H3961" s="2">
        <f>Tabelle13[[#This Row],[commits]]/Tabelle13[[#Totals],[commits]]</f>
        <v>9.2955808808492451E-6</v>
      </c>
      <c r="I3961" s="5">
        <f>Tabelle13[[#This Row],[%]]+I3960</f>
        <v>0.97625443863985528</v>
      </c>
      <c r="J3961" s="4">
        <f t="shared" si="155"/>
        <v>1.105583195135434E-4</v>
      </c>
      <c r="K3961" s="5">
        <f t="shared" si="156"/>
        <v>0.4377003869541452</v>
      </c>
    </row>
    <row r="3962" spans="1:11" x14ac:dyDescent="0.25">
      <c r="A3962" t="s">
        <v>17233</v>
      </c>
      <c r="C3962" t="s">
        <v>17234</v>
      </c>
      <c r="D3962" t="s">
        <v>5</v>
      </c>
      <c r="E3962" t="s">
        <v>6</v>
      </c>
      <c r="F3962" t="s">
        <v>334</v>
      </c>
      <c r="G3962">
        <v>2</v>
      </c>
      <c r="H3962" s="2">
        <f>Tabelle13[[#This Row],[commits]]/Tabelle13[[#Totals],[commits]]</f>
        <v>9.2955808808492451E-6</v>
      </c>
      <c r="I3962" s="5">
        <f>Tabelle13[[#This Row],[%]]+I3961</f>
        <v>0.97626373422073609</v>
      </c>
      <c r="J3962" s="4">
        <f t="shared" si="155"/>
        <v>1.105583195135434E-4</v>
      </c>
      <c r="K3962" s="5">
        <f t="shared" si="156"/>
        <v>0.43781094527365877</v>
      </c>
    </row>
    <row r="3963" spans="1:11" x14ac:dyDescent="0.25">
      <c r="A3963" t="s">
        <v>17235</v>
      </c>
      <c r="C3963" t="s">
        <v>17236</v>
      </c>
      <c r="D3963" t="s">
        <v>17237</v>
      </c>
      <c r="E3963" t="s">
        <v>6</v>
      </c>
      <c r="F3963" t="s">
        <v>334</v>
      </c>
      <c r="G3963">
        <v>2</v>
      </c>
      <c r="H3963" s="2">
        <f>Tabelle13[[#This Row],[commits]]/Tabelle13[[#Totals],[commits]]</f>
        <v>9.2955808808492451E-6</v>
      </c>
      <c r="I3963" s="5">
        <f>Tabelle13[[#This Row],[%]]+I3962</f>
        <v>0.9762730298016169</v>
      </c>
      <c r="J3963" s="4">
        <f t="shared" si="155"/>
        <v>1.105583195135434E-4</v>
      </c>
      <c r="K3963" s="5">
        <f t="shared" si="156"/>
        <v>0.43792150359317233</v>
      </c>
    </row>
    <row r="3964" spans="1:11" x14ac:dyDescent="0.25">
      <c r="A3964" t="s">
        <v>17238</v>
      </c>
      <c r="C3964">
        <v>102706325</v>
      </c>
      <c r="D3964" t="s">
        <v>5</v>
      </c>
      <c r="E3964" t="s">
        <v>6</v>
      </c>
      <c r="F3964" t="s">
        <v>334</v>
      </c>
      <c r="G3964">
        <v>2</v>
      </c>
      <c r="H3964" s="2">
        <f>Tabelle13[[#This Row],[commits]]/Tabelle13[[#Totals],[commits]]</f>
        <v>9.2955808808492451E-6</v>
      </c>
      <c r="I3964" s="5">
        <f>Tabelle13[[#This Row],[%]]+I3963</f>
        <v>0.97628232538249771</v>
      </c>
      <c r="J3964" s="4">
        <f t="shared" si="155"/>
        <v>1.105583195135434E-4</v>
      </c>
      <c r="K3964" s="5">
        <f t="shared" si="156"/>
        <v>0.4380320619126859</v>
      </c>
    </row>
    <row r="3965" spans="1:11" x14ac:dyDescent="0.25">
      <c r="A3965" t="s">
        <v>17239</v>
      </c>
      <c r="C3965" t="s">
        <v>17240</v>
      </c>
      <c r="D3965" t="s">
        <v>5</v>
      </c>
      <c r="E3965" t="s">
        <v>6</v>
      </c>
      <c r="F3965" t="s">
        <v>334</v>
      </c>
      <c r="G3965">
        <v>2</v>
      </c>
      <c r="H3965" s="2">
        <f>Tabelle13[[#This Row],[commits]]/Tabelle13[[#Totals],[commits]]</f>
        <v>9.2955808808492451E-6</v>
      </c>
      <c r="I3965" s="5">
        <f>Tabelle13[[#This Row],[%]]+I3964</f>
        <v>0.97629162096337851</v>
      </c>
      <c r="J3965" s="4">
        <f t="shared" si="155"/>
        <v>1.105583195135434E-4</v>
      </c>
      <c r="K3965" s="5">
        <f t="shared" si="156"/>
        <v>0.43814262023219946</v>
      </c>
    </row>
    <row r="3966" spans="1:11" x14ac:dyDescent="0.25">
      <c r="A3966" t="s">
        <v>17241</v>
      </c>
      <c r="C3966" t="s">
        <v>17242</v>
      </c>
      <c r="D3966" t="s">
        <v>5</v>
      </c>
      <c r="E3966" t="s">
        <v>6</v>
      </c>
      <c r="F3966" t="s">
        <v>334</v>
      </c>
      <c r="G3966">
        <v>2</v>
      </c>
      <c r="H3966" s="2">
        <f>Tabelle13[[#This Row],[commits]]/Tabelle13[[#Totals],[commits]]</f>
        <v>9.2955808808492451E-6</v>
      </c>
      <c r="I3966" s="5">
        <f>Tabelle13[[#This Row],[%]]+I3965</f>
        <v>0.97630091654425932</v>
      </c>
      <c r="J3966" s="4">
        <f t="shared" si="155"/>
        <v>1.105583195135434E-4</v>
      </c>
      <c r="K3966" s="5">
        <f t="shared" si="156"/>
        <v>0.43825317855171303</v>
      </c>
    </row>
    <row r="3967" spans="1:11" x14ac:dyDescent="0.25">
      <c r="A3967" t="s">
        <v>17243</v>
      </c>
      <c r="C3967">
        <v>644186735</v>
      </c>
      <c r="D3967" t="s">
        <v>5</v>
      </c>
      <c r="E3967" t="s">
        <v>6</v>
      </c>
      <c r="F3967" t="s">
        <v>334</v>
      </c>
      <c r="G3967">
        <v>2</v>
      </c>
      <c r="H3967" s="2">
        <f>Tabelle13[[#This Row],[commits]]/Tabelle13[[#Totals],[commits]]</f>
        <v>9.2955808808492451E-6</v>
      </c>
      <c r="I3967" s="5">
        <f>Tabelle13[[#This Row],[%]]+I3966</f>
        <v>0.97631021212514013</v>
      </c>
      <c r="J3967" s="4">
        <f t="shared" si="155"/>
        <v>1.105583195135434E-4</v>
      </c>
      <c r="K3967" s="5">
        <f t="shared" si="156"/>
        <v>0.43836373687122659</v>
      </c>
    </row>
    <row r="3968" spans="1:11" x14ac:dyDescent="0.25">
      <c r="A3968" t="s">
        <v>17244</v>
      </c>
      <c r="C3968" t="s">
        <v>17245</v>
      </c>
      <c r="D3968" t="s">
        <v>5</v>
      </c>
      <c r="E3968" t="s">
        <v>6</v>
      </c>
      <c r="F3968" t="s">
        <v>334</v>
      </c>
      <c r="G3968">
        <v>2</v>
      </c>
      <c r="H3968" s="2">
        <f>Tabelle13[[#This Row],[commits]]/Tabelle13[[#Totals],[commits]]</f>
        <v>9.2955808808492451E-6</v>
      </c>
      <c r="I3968" s="5">
        <f>Tabelle13[[#This Row],[%]]+I3967</f>
        <v>0.97631950770602094</v>
      </c>
      <c r="J3968" s="4">
        <f t="shared" si="155"/>
        <v>1.105583195135434E-4</v>
      </c>
      <c r="K3968" s="5">
        <f t="shared" si="156"/>
        <v>0.43847429519074016</v>
      </c>
    </row>
    <row r="3969" spans="1:11" x14ac:dyDescent="0.25">
      <c r="A3969" t="s">
        <v>17246</v>
      </c>
      <c r="C3969" t="s">
        <v>17247</v>
      </c>
      <c r="D3969" t="s">
        <v>5</v>
      </c>
      <c r="E3969" t="s">
        <v>6</v>
      </c>
      <c r="F3969" t="s">
        <v>334</v>
      </c>
      <c r="G3969">
        <v>2</v>
      </c>
      <c r="H3969" s="2">
        <f>Tabelle13[[#This Row],[commits]]/Tabelle13[[#Totals],[commits]]</f>
        <v>9.2955808808492451E-6</v>
      </c>
      <c r="I3969" s="5">
        <f>Tabelle13[[#This Row],[%]]+I3968</f>
        <v>0.97632880328690175</v>
      </c>
      <c r="J3969" s="4">
        <f t="shared" si="155"/>
        <v>1.105583195135434E-4</v>
      </c>
      <c r="K3969" s="5">
        <f t="shared" si="156"/>
        <v>0.43858485351025372</v>
      </c>
    </row>
    <row r="3970" spans="1:11" x14ac:dyDescent="0.25">
      <c r="A3970" t="s">
        <v>17248</v>
      </c>
      <c r="C3970" t="s">
        <v>17249</v>
      </c>
      <c r="D3970" t="s">
        <v>5</v>
      </c>
      <c r="E3970" t="s">
        <v>6</v>
      </c>
      <c r="F3970" t="s">
        <v>334</v>
      </c>
      <c r="G3970">
        <v>2</v>
      </c>
      <c r="H3970" s="2">
        <f>Tabelle13[[#This Row],[commits]]/Tabelle13[[#Totals],[commits]]</f>
        <v>9.2955808808492451E-6</v>
      </c>
      <c r="I3970" s="5">
        <f>Tabelle13[[#This Row],[%]]+I3969</f>
        <v>0.97633809886778256</v>
      </c>
      <c r="J3970" s="4">
        <f t="shared" si="155"/>
        <v>1.105583195135434E-4</v>
      </c>
      <c r="K3970" s="5">
        <f t="shared" si="156"/>
        <v>0.43869541182976729</v>
      </c>
    </row>
    <row r="3971" spans="1:11" x14ac:dyDescent="0.25">
      <c r="A3971" t="s">
        <v>17250</v>
      </c>
      <c r="C3971" t="s">
        <v>17251</v>
      </c>
      <c r="D3971" t="s">
        <v>5</v>
      </c>
      <c r="E3971" t="s">
        <v>6</v>
      </c>
      <c r="F3971" t="s">
        <v>334</v>
      </c>
      <c r="G3971">
        <v>2</v>
      </c>
      <c r="H3971" s="2">
        <f>Tabelle13[[#This Row],[commits]]/Tabelle13[[#Totals],[commits]]</f>
        <v>9.2955808808492451E-6</v>
      </c>
      <c r="I3971" s="5">
        <f>Tabelle13[[#This Row],[%]]+I3970</f>
        <v>0.97634739444866336</v>
      </c>
      <c r="J3971" s="4">
        <f t="shared" ref="J3971:J4034" si="157">1/9045</f>
        <v>1.105583195135434E-4</v>
      </c>
      <c r="K3971" s="5">
        <f t="shared" si="156"/>
        <v>0.43880597014928086</v>
      </c>
    </row>
    <row r="3972" spans="1:11" x14ac:dyDescent="0.25">
      <c r="A3972" t="s">
        <v>17252</v>
      </c>
      <c r="C3972" t="s">
        <v>211</v>
      </c>
      <c r="D3972" t="s">
        <v>5</v>
      </c>
      <c r="E3972" t="s">
        <v>6</v>
      </c>
      <c r="F3972" t="s">
        <v>334</v>
      </c>
      <c r="G3972">
        <v>2</v>
      </c>
      <c r="H3972" s="2">
        <f>Tabelle13[[#This Row],[commits]]/Tabelle13[[#Totals],[commits]]</f>
        <v>9.2955808808492451E-6</v>
      </c>
      <c r="I3972" s="5">
        <f>Tabelle13[[#This Row],[%]]+I3971</f>
        <v>0.97635669002954417</v>
      </c>
      <c r="J3972" s="4">
        <f t="shared" si="157"/>
        <v>1.105583195135434E-4</v>
      </c>
      <c r="K3972" s="5">
        <f t="shared" si="156"/>
        <v>0.43891652846879442</v>
      </c>
    </row>
    <row r="3973" spans="1:11" x14ac:dyDescent="0.25">
      <c r="A3973" t="s">
        <v>17253</v>
      </c>
      <c r="C3973" t="s">
        <v>17254</v>
      </c>
      <c r="D3973" t="s">
        <v>5</v>
      </c>
      <c r="E3973" t="s">
        <v>6</v>
      </c>
      <c r="F3973" t="s">
        <v>334</v>
      </c>
      <c r="G3973">
        <v>2</v>
      </c>
      <c r="H3973" s="2">
        <f>Tabelle13[[#This Row],[commits]]/Tabelle13[[#Totals],[commits]]</f>
        <v>9.2955808808492451E-6</v>
      </c>
      <c r="I3973" s="5">
        <f>Tabelle13[[#This Row],[%]]+I3972</f>
        <v>0.97636598561042498</v>
      </c>
      <c r="J3973" s="4">
        <f t="shared" si="157"/>
        <v>1.105583195135434E-4</v>
      </c>
      <c r="K3973" s="5">
        <f t="shared" si="156"/>
        <v>0.43902708678830799</v>
      </c>
    </row>
    <row r="3974" spans="1:11" x14ac:dyDescent="0.25">
      <c r="A3974" t="s">
        <v>17255</v>
      </c>
      <c r="C3974" t="s">
        <v>4055</v>
      </c>
      <c r="D3974" t="s">
        <v>5</v>
      </c>
      <c r="E3974" t="s">
        <v>6</v>
      </c>
      <c r="F3974" t="s">
        <v>334</v>
      </c>
      <c r="G3974">
        <v>2</v>
      </c>
      <c r="H3974" s="2">
        <f>Tabelle13[[#This Row],[commits]]/Tabelle13[[#Totals],[commits]]</f>
        <v>9.2955808808492451E-6</v>
      </c>
      <c r="I3974" s="5">
        <f>Tabelle13[[#This Row],[%]]+I3973</f>
        <v>0.97637528119130579</v>
      </c>
      <c r="J3974" s="4">
        <f t="shared" si="157"/>
        <v>1.105583195135434E-4</v>
      </c>
      <c r="K3974" s="5">
        <f t="shared" ref="K3974:K4037" si="158">J3974+K3973</f>
        <v>0.43913764510782155</v>
      </c>
    </row>
    <row r="3975" spans="1:11" x14ac:dyDescent="0.25">
      <c r="A3975" t="s">
        <v>17256</v>
      </c>
      <c r="C3975" t="s">
        <v>17257</v>
      </c>
      <c r="D3975" t="s">
        <v>5</v>
      </c>
      <c r="E3975" t="s">
        <v>6</v>
      </c>
      <c r="F3975" t="s">
        <v>334</v>
      </c>
      <c r="G3975">
        <v>2</v>
      </c>
      <c r="H3975" s="2">
        <f>Tabelle13[[#This Row],[commits]]/Tabelle13[[#Totals],[commits]]</f>
        <v>9.2955808808492451E-6</v>
      </c>
      <c r="I3975" s="5">
        <f>Tabelle13[[#This Row],[%]]+I3974</f>
        <v>0.9763845767721866</v>
      </c>
      <c r="J3975" s="4">
        <f t="shared" si="157"/>
        <v>1.105583195135434E-4</v>
      </c>
      <c r="K3975" s="5">
        <f t="shared" si="158"/>
        <v>0.43924820342733512</v>
      </c>
    </row>
    <row r="3976" spans="1:11" x14ac:dyDescent="0.25">
      <c r="A3976" t="s">
        <v>17258</v>
      </c>
      <c r="C3976" t="s">
        <v>17259</v>
      </c>
      <c r="D3976" t="s">
        <v>5</v>
      </c>
      <c r="E3976" t="s">
        <v>6</v>
      </c>
      <c r="F3976" t="s">
        <v>334</v>
      </c>
      <c r="G3976">
        <v>2</v>
      </c>
      <c r="H3976" s="2">
        <f>Tabelle13[[#This Row],[commits]]/Tabelle13[[#Totals],[commits]]</f>
        <v>9.2955808808492451E-6</v>
      </c>
      <c r="I3976" s="5">
        <f>Tabelle13[[#This Row],[%]]+I3975</f>
        <v>0.9763938723530674</v>
      </c>
      <c r="J3976" s="4">
        <f t="shared" si="157"/>
        <v>1.105583195135434E-4</v>
      </c>
      <c r="K3976" s="5">
        <f t="shared" si="158"/>
        <v>0.43935876174684868</v>
      </c>
    </row>
    <row r="3977" spans="1:11" x14ac:dyDescent="0.25">
      <c r="A3977" t="s">
        <v>17260</v>
      </c>
      <c r="C3977" t="s">
        <v>17261</v>
      </c>
      <c r="D3977" t="s">
        <v>5</v>
      </c>
      <c r="E3977" t="s">
        <v>6</v>
      </c>
      <c r="F3977" t="s">
        <v>334</v>
      </c>
      <c r="G3977">
        <v>2</v>
      </c>
      <c r="H3977" s="2">
        <f>Tabelle13[[#This Row],[commits]]/Tabelle13[[#Totals],[commits]]</f>
        <v>9.2955808808492451E-6</v>
      </c>
      <c r="I3977" s="5">
        <f>Tabelle13[[#This Row],[%]]+I3976</f>
        <v>0.97640316793394821</v>
      </c>
      <c r="J3977" s="4">
        <f t="shared" si="157"/>
        <v>1.105583195135434E-4</v>
      </c>
      <c r="K3977" s="5">
        <f t="shared" si="158"/>
        <v>0.43946932006636225</v>
      </c>
    </row>
    <row r="3978" spans="1:11" x14ac:dyDescent="0.25">
      <c r="A3978" t="s">
        <v>17262</v>
      </c>
      <c r="C3978" t="s">
        <v>17263</v>
      </c>
      <c r="D3978" t="s">
        <v>5</v>
      </c>
      <c r="E3978" t="s">
        <v>6</v>
      </c>
      <c r="F3978" t="s">
        <v>334</v>
      </c>
      <c r="G3978">
        <v>2</v>
      </c>
      <c r="H3978" s="2">
        <f>Tabelle13[[#This Row],[commits]]/Tabelle13[[#Totals],[commits]]</f>
        <v>9.2955808808492451E-6</v>
      </c>
      <c r="I3978" s="5">
        <f>Tabelle13[[#This Row],[%]]+I3977</f>
        <v>0.97641246351482902</v>
      </c>
      <c r="J3978" s="4">
        <f t="shared" si="157"/>
        <v>1.105583195135434E-4</v>
      </c>
      <c r="K3978" s="5">
        <f t="shared" si="158"/>
        <v>0.43957987838587581</v>
      </c>
    </row>
    <row r="3979" spans="1:11" x14ac:dyDescent="0.25">
      <c r="A3979" t="s">
        <v>17264</v>
      </c>
      <c r="C3979" t="s">
        <v>17265</v>
      </c>
      <c r="D3979" t="s">
        <v>5</v>
      </c>
      <c r="E3979" t="s">
        <v>6</v>
      </c>
      <c r="F3979" t="s">
        <v>334</v>
      </c>
      <c r="G3979">
        <v>2</v>
      </c>
      <c r="H3979" s="2">
        <f>Tabelle13[[#This Row],[commits]]/Tabelle13[[#Totals],[commits]]</f>
        <v>9.2955808808492451E-6</v>
      </c>
      <c r="I3979" s="5">
        <f>Tabelle13[[#This Row],[%]]+I3978</f>
        <v>0.97642175909570983</v>
      </c>
      <c r="J3979" s="4">
        <f t="shared" si="157"/>
        <v>1.105583195135434E-4</v>
      </c>
      <c r="K3979" s="5">
        <f t="shared" si="158"/>
        <v>0.43969043670538938</v>
      </c>
    </row>
    <row r="3980" spans="1:11" x14ac:dyDescent="0.25">
      <c r="A3980" t="s">
        <v>17266</v>
      </c>
      <c r="C3980" t="s">
        <v>17267</v>
      </c>
      <c r="D3980" t="s">
        <v>5</v>
      </c>
      <c r="E3980" t="s">
        <v>6</v>
      </c>
      <c r="F3980" t="s">
        <v>334</v>
      </c>
      <c r="G3980">
        <v>2</v>
      </c>
      <c r="H3980" s="2">
        <f>Tabelle13[[#This Row],[commits]]/Tabelle13[[#Totals],[commits]]</f>
        <v>9.2955808808492451E-6</v>
      </c>
      <c r="I3980" s="5">
        <f>Tabelle13[[#This Row],[%]]+I3979</f>
        <v>0.97643105467659064</v>
      </c>
      <c r="J3980" s="4">
        <f t="shared" si="157"/>
        <v>1.105583195135434E-4</v>
      </c>
      <c r="K3980" s="5">
        <f t="shared" si="158"/>
        <v>0.43980099502490294</v>
      </c>
    </row>
    <row r="3981" spans="1:11" x14ac:dyDescent="0.25">
      <c r="A3981" t="s">
        <v>17268</v>
      </c>
      <c r="C3981" t="s">
        <v>17269</v>
      </c>
      <c r="D3981" t="s">
        <v>5</v>
      </c>
      <c r="E3981" t="s">
        <v>6</v>
      </c>
      <c r="F3981" t="s">
        <v>334</v>
      </c>
      <c r="G3981">
        <v>2</v>
      </c>
      <c r="H3981" s="2">
        <f>Tabelle13[[#This Row],[commits]]/Tabelle13[[#Totals],[commits]]</f>
        <v>9.2955808808492451E-6</v>
      </c>
      <c r="I3981" s="5">
        <f>Tabelle13[[#This Row],[%]]+I3980</f>
        <v>0.97644035025747145</v>
      </c>
      <c r="J3981" s="4">
        <f t="shared" si="157"/>
        <v>1.105583195135434E-4</v>
      </c>
      <c r="K3981" s="5">
        <f t="shared" si="158"/>
        <v>0.43991155334441651</v>
      </c>
    </row>
    <row r="3982" spans="1:11" x14ac:dyDescent="0.25">
      <c r="A3982" t="s">
        <v>17270</v>
      </c>
      <c r="C3982" t="s">
        <v>197</v>
      </c>
      <c r="D3982" t="s">
        <v>5</v>
      </c>
      <c r="E3982" t="s">
        <v>6</v>
      </c>
      <c r="F3982" t="s">
        <v>334</v>
      </c>
      <c r="G3982">
        <v>2</v>
      </c>
      <c r="H3982" s="2">
        <f>Tabelle13[[#This Row],[commits]]/Tabelle13[[#Totals],[commits]]</f>
        <v>9.2955808808492451E-6</v>
      </c>
      <c r="I3982" s="5">
        <f>Tabelle13[[#This Row],[%]]+I3981</f>
        <v>0.97644964583835225</v>
      </c>
      <c r="J3982" s="4">
        <f t="shared" si="157"/>
        <v>1.105583195135434E-4</v>
      </c>
      <c r="K3982" s="5">
        <f t="shared" si="158"/>
        <v>0.44002211166393007</v>
      </c>
    </row>
    <row r="3983" spans="1:11" x14ac:dyDescent="0.25">
      <c r="A3983" t="s">
        <v>17271</v>
      </c>
      <c r="C3983" t="s">
        <v>17272</v>
      </c>
      <c r="D3983" t="s">
        <v>5</v>
      </c>
      <c r="E3983" t="s">
        <v>6</v>
      </c>
      <c r="F3983" t="s">
        <v>334</v>
      </c>
      <c r="G3983">
        <v>2</v>
      </c>
      <c r="H3983" s="2">
        <f>Tabelle13[[#This Row],[commits]]/Tabelle13[[#Totals],[commits]]</f>
        <v>9.2955808808492451E-6</v>
      </c>
      <c r="I3983" s="5">
        <f>Tabelle13[[#This Row],[%]]+I3982</f>
        <v>0.97645894141923306</v>
      </c>
      <c r="J3983" s="4">
        <f t="shared" si="157"/>
        <v>1.105583195135434E-4</v>
      </c>
      <c r="K3983" s="5">
        <f t="shared" si="158"/>
        <v>0.44013266998344364</v>
      </c>
    </row>
    <row r="3984" spans="1:11" x14ac:dyDescent="0.25">
      <c r="A3984" t="s">
        <v>17273</v>
      </c>
      <c r="C3984" t="s">
        <v>17274</v>
      </c>
      <c r="D3984" t="s">
        <v>5</v>
      </c>
      <c r="E3984" t="s">
        <v>6</v>
      </c>
      <c r="F3984" t="s">
        <v>334</v>
      </c>
      <c r="G3984">
        <v>2</v>
      </c>
      <c r="H3984" s="2">
        <f>Tabelle13[[#This Row],[commits]]/Tabelle13[[#Totals],[commits]]</f>
        <v>9.2955808808492451E-6</v>
      </c>
      <c r="I3984" s="5">
        <f>Tabelle13[[#This Row],[%]]+I3983</f>
        <v>0.97646823700011387</v>
      </c>
      <c r="J3984" s="4">
        <f t="shared" si="157"/>
        <v>1.105583195135434E-4</v>
      </c>
      <c r="K3984" s="5">
        <f t="shared" si="158"/>
        <v>0.4402432283029572</v>
      </c>
    </row>
    <row r="3985" spans="1:11" x14ac:dyDescent="0.25">
      <c r="A3985" t="s">
        <v>27</v>
      </c>
      <c r="C3985" t="s">
        <v>26</v>
      </c>
      <c r="D3985" t="s">
        <v>5</v>
      </c>
      <c r="E3985" t="s">
        <v>6</v>
      </c>
      <c r="F3985" t="s">
        <v>28</v>
      </c>
      <c r="G3985">
        <v>1</v>
      </c>
      <c r="H3985" s="2">
        <f>Tabelle13[[#This Row],[commits]]/Tabelle13[[#Totals],[commits]]</f>
        <v>4.6477904404246225E-6</v>
      </c>
      <c r="I3985" s="5">
        <f>Tabelle13[[#This Row],[%]]+I3984</f>
        <v>0.97647288479055427</v>
      </c>
      <c r="J3985" s="4">
        <f t="shared" si="157"/>
        <v>1.105583195135434E-4</v>
      </c>
      <c r="K3985" s="5">
        <f t="shared" si="158"/>
        <v>0.44035378662247077</v>
      </c>
    </row>
    <row r="3986" spans="1:11" x14ac:dyDescent="0.25">
      <c r="A3986" t="s">
        <v>74</v>
      </c>
      <c r="C3986" t="s">
        <v>60</v>
      </c>
      <c r="D3986" t="s">
        <v>5</v>
      </c>
      <c r="E3986" t="s">
        <v>6</v>
      </c>
      <c r="F3986" t="s">
        <v>28</v>
      </c>
      <c r="G3986">
        <v>1</v>
      </c>
      <c r="H3986" s="2">
        <f>Tabelle13[[#This Row],[commits]]/Tabelle13[[#Totals],[commits]]</f>
        <v>4.6477904404246225E-6</v>
      </c>
      <c r="I3986" s="5">
        <f>Tabelle13[[#This Row],[%]]+I3985</f>
        <v>0.97647753258099468</v>
      </c>
      <c r="J3986" s="4">
        <f t="shared" si="157"/>
        <v>1.105583195135434E-4</v>
      </c>
      <c r="K3986" s="5">
        <f t="shared" si="158"/>
        <v>0.44046434494198433</v>
      </c>
    </row>
    <row r="3987" spans="1:11" x14ac:dyDescent="0.25">
      <c r="A3987" t="s">
        <v>113</v>
      </c>
      <c r="C3987" t="s">
        <v>114</v>
      </c>
      <c r="D3987" t="s">
        <v>5</v>
      </c>
      <c r="E3987" t="s">
        <v>6</v>
      </c>
      <c r="F3987" t="s">
        <v>28</v>
      </c>
      <c r="G3987">
        <v>1</v>
      </c>
      <c r="H3987" s="2">
        <f>Tabelle13[[#This Row],[commits]]/Tabelle13[[#Totals],[commits]]</f>
        <v>4.6477904404246225E-6</v>
      </c>
      <c r="I3987" s="5">
        <f>Tabelle13[[#This Row],[%]]+I3986</f>
        <v>0.97648218037143508</v>
      </c>
      <c r="J3987" s="4">
        <f t="shared" si="157"/>
        <v>1.105583195135434E-4</v>
      </c>
      <c r="K3987" s="5">
        <f t="shared" si="158"/>
        <v>0.4405749032614979</v>
      </c>
    </row>
    <row r="3988" spans="1:11" x14ac:dyDescent="0.25">
      <c r="A3988" t="s">
        <v>216</v>
      </c>
      <c r="C3988" t="s">
        <v>217</v>
      </c>
      <c r="D3988" t="s">
        <v>5</v>
      </c>
      <c r="E3988" t="s">
        <v>6</v>
      </c>
      <c r="F3988" t="s">
        <v>28</v>
      </c>
      <c r="G3988">
        <v>1</v>
      </c>
      <c r="H3988" s="2">
        <f>Tabelle13[[#This Row],[commits]]/Tabelle13[[#Totals],[commits]]</f>
        <v>4.6477904404246225E-6</v>
      </c>
      <c r="I3988" s="5">
        <f>Tabelle13[[#This Row],[%]]+I3987</f>
        <v>0.97648682816187549</v>
      </c>
      <c r="J3988" s="4">
        <f t="shared" si="157"/>
        <v>1.105583195135434E-4</v>
      </c>
      <c r="K3988" s="5">
        <f t="shared" si="158"/>
        <v>0.44068546158101146</v>
      </c>
    </row>
    <row r="3989" spans="1:11" x14ac:dyDescent="0.25">
      <c r="A3989" t="s">
        <v>249</v>
      </c>
      <c r="C3989" t="s">
        <v>250</v>
      </c>
      <c r="D3989" t="s">
        <v>5</v>
      </c>
      <c r="E3989" t="s">
        <v>6</v>
      </c>
      <c r="F3989" t="s">
        <v>251</v>
      </c>
      <c r="G3989">
        <v>1</v>
      </c>
      <c r="H3989" s="2">
        <f>Tabelle13[[#This Row],[commits]]/Tabelle13[[#Totals],[commits]]</f>
        <v>4.6477904404246225E-6</v>
      </c>
      <c r="I3989" s="5">
        <f>Tabelle13[[#This Row],[%]]+I3988</f>
        <v>0.97649147595231589</v>
      </c>
      <c r="J3989" s="4">
        <f t="shared" si="157"/>
        <v>1.105583195135434E-4</v>
      </c>
      <c r="K3989" s="5">
        <f t="shared" si="158"/>
        <v>0.44079601990052503</v>
      </c>
    </row>
    <row r="3990" spans="1:11" x14ac:dyDescent="0.25">
      <c r="A3990" t="s">
        <v>332</v>
      </c>
      <c r="C3990" t="s">
        <v>333</v>
      </c>
      <c r="D3990" t="s">
        <v>5</v>
      </c>
      <c r="E3990" t="s">
        <v>6</v>
      </c>
      <c r="F3990" t="s">
        <v>334</v>
      </c>
      <c r="G3990">
        <v>1</v>
      </c>
      <c r="H3990" s="2">
        <f>Tabelle13[[#This Row],[commits]]/Tabelle13[[#Totals],[commits]]</f>
        <v>4.6477904404246225E-6</v>
      </c>
      <c r="I3990" s="5">
        <f>Tabelle13[[#This Row],[%]]+I3989</f>
        <v>0.97649612374275629</v>
      </c>
      <c r="J3990" s="4">
        <f t="shared" si="157"/>
        <v>1.105583195135434E-4</v>
      </c>
      <c r="K3990" s="5">
        <f t="shared" si="158"/>
        <v>0.44090657822003859</v>
      </c>
    </row>
    <row r="3991" spans="1:11" x14ac:dyDescent="0.25">
      <c r="A3991" t="s">
        <v>373</v>
      </c>
      <c r="C3991" t="s">
        <v>374</v>
      </c>
      <c r="D3991" t="s">
        <v>5</v>
      </c>
      <c r="E3991" t="s">
        <v>6</v>
      </c>
      <c r="F3991" t="s">
        <v>334</v>
      </c>
      <c r="G3991">
        <v>1</v>
      </c>
      <c r="H3991" s="2">
        <f>Tabelle13[[#This Row],[commits]]/Tabelle13[[#Totals],[commits]]</f>
        <v>4.6477904404246225E-6</v>
      </c>
      <c r="I3991" s="5">
        <f>Tabelle13[[#This Row],[%]]+I3990</f>
        <v>0.9765007715331967</v>
      </c>
      <c r="J3991" s="4">
        <f t="shared" si="157"/>
        <v>1.105583195135434E-4</v>
      </c>
      <c r="K3991" s="5">
        <f t="shared" si="158"/>
        <v>0.44101713653955216</v>
      </c>
    </row>
    <row r="3992" spans="1:11" x14ac:dyDescent="0.25">
      <c r="A3992" t="s">
        <v>449</v>
      </c>
      <c r="C3992" t="s">
        <v>450</v>
      </c>
      <c r="D3992" t="s">
        <v>5</v>
      </c>
      <c r="E3992" t="s">
        <v>6</v>
      </c>
      <c r="F3992" t="s">
        <v>28</v>
      </c>
      <c r="G3992">
        <v>1</v>
      </c>
      <c r="H3992" s="2">
        <f>Tabelle13[[#This Row],[commits]]/Tabelle13[[#Totals],[commits]]</f>
        <v>4.6477904404246225E-6</v>
      </c>
      <c r="I3992" s="5">
        <f>Tabelle13[[#This Row],[%]]+I3991</f>
        <v>0.9765054193236371</v>
      </c>
      <c r="J3992" s="4">
        <f t="shared" si="157"/>
        <v>1.105583195135434E-4</v>
      </c>
      <c r="K3992" s="5">
        <f t="shared" si="158"/>
        <v>0.44112769485906572</v>
      </c>
    </row>
    <row r="3993" spans="1:11" x14ac:dyDescent="0.25">
      <c r="A3993" t="s">
        <v>578</v>
      </c>
      <c r="C3993" t="s">
        <v>579</v>
      </c>
      <c r="D3993" t="s">
        <v>5</v>
      </c>
      <c r="E3993" t="s">
        <v>6</v>
      </c>
      <c r="F3993" t="s">
        <v>28</v>
      </c>
      <c r="G3993">
        <v>1</v>
      </c>
      <c r="H3993" s="2">
        <f>Tabelle13[[#This Row],[commits]]/Tabelle13[[#Totals],[commits]]</f>
        <v>4.6477904404246225E-6</v>
      </c>
      <c r="I3993" s="5">
        <f>Tabelle13[[#This Row],[%]]+I3992</f>
        <v>0.97651006711407751</v>
      </c>
      <c r="J3993" s="4">
        <f t="shared" si="157"/>
        <v>1.105583195135434E-4</v>
      </c>
      <c r="K3993" s="5">
        <f t="shared" si="158"/>
        <v>0.44123825317857929</v>
      </c>
    </row>
    <row r="3994" spans="1:11" x14ac:dyDescent="0.25">
      <c r="A3994" t="s">
        <v>621</v>
      </c>
      <c r="C3994" t="s">
        <v>622</v>
      </c>
      <c r="D3994" t="s">
        <v>5</v>
      </c>
      <c r="E3994" t="s">
        <v>6</v>
      </c>
      <c r="F3994" t="s">
        <v>7</v>
      </c>
      <c r="G3994">
        <v>1</v>
      </c>
      <c r="H3994" s="2">
        <f>Tabelle13[[#This Row],[commits]]/Tabelle13[[#Totals],[commits]]</f>
        <v>4.6477904404246225E-6</v>
      </c>
      <c r="I3994" s="5">
        <f>Tabelle13[[#This Row],[%]]+I3993</f>
        <v>0.97651471490451791</v>
      </c>
      <c r="J3994" s="4">
        <f t="shared" si="157"/>
        <v>1.105583195135434E-4</v>
      </c>
      <c r="K3994" s="5">
        <f t="shared" si="158"/>
        <v>0.44134881149809285</v>
      </c>
    </row>
    <row r="3995" spans="1:11" x14ac:dyDescent="0.25">
      <c r="A3995" t="s">
        <v>623</v>
      </c>
      <c r="C3995" t="s">
        <v>624</v>
      </c>
      <c r="D3995" t="s">
        <v>5</v>
      </c>
      <c r="E3995" t="s">
        <v>6</v>
      </c>
      <c r="F3995" t="s">
        <v>7</v>
      </c>
      <c r="G3995">
        <v>1</v>
      </c>
      <c r="H3995" s="2">
        <f>Tabelle13[[#This Row],[commits]]/Tabelle13[[#Totals],[commits]]</f>
        <v>4.6477904404246225E-6</v>
      </c>
      <c r="I3995" s="5">
        <f>Tabelle13[[#This Row],[%]]+I3994</f>
        <v>0.97651936269495831</v>
      </c>
      <c r="J3995" s="4">
        <f t="shared" si="157"/>
        <v>1.105583195135434E-4</v>
      </c>
      <c r="K3995" s="5">
        <f t="shared" si="158"/>
        <v>0.44145936981760642</v>
      </c>
    </row>
    <row r="3996" spans="1:11" x14ac:dyDescent="0.25">
      <c r="A3996" t="s">
        <v>625</v>
      </c>
      <c r="C3996" t="s">
        <v>626</v>
      </c>
      <c r="D3996" t="s">
        <v>5</v>
      </c>
      <c r="E3996" t="s">
        <v>6</v>
      </c>
      <c r="F3996" t="s">
        <v>7</v>
      </c>
      <c r="G3996">
        <v>1</v>
      </c>
      <c r="H3996" s="2">
        <f>Tabelle13[[#This Row],[commits]]/Tabelle13[[#Totals],[commits]]</f>
        <v>4.6477904404246225E-6</v>
      </c>
      <c r="I3996" s="5">
        <f>Tabelle13[[#This Row],[%]]+I3995</f>
        <v>0.97652401048539872</v>
      </c>
      <c r="J3996" s="4">
        <f t="shared" si="157"/>
        <v>1.105583195135434E-4</v>
      </c>
      <c r="K3996" s="5">
        <f t="shared" si="158"/>
        <v>0.44156992813711998</v>
      </c>
    </row>
    <row r="3997" spans="1:11" x14ac:dyDescent="0.25">
      <c r="A3997" t="s">
        <v>627</v>
      </c>
      <c r="C3997" t="s">
        <v>628</v>
      </c>
      <c r="D3997" t="s">
        <v>5</v>
      </c>
      <c r="E3997" t="s">
        <v>6</v>
      </c>
      <c r="F3997" t="s">
        <v>7</v>
      </c>
      <c r="G3997">
        <v>1</v>
      </c>
      <c r="H3997" s="2">
        <f>Tabelle13[[#This Row],[commits]]/Tabelle13[[#Totals],[commits]]</f>
        <v>4.6477904404246225E-6</v>
      </c>
      <c r="I3997" s="5">
        <f>Tabelle13[[#This Row],[%]]+I3996</f>
        <v>0.97652865827583912</v>
      </c>
      <c r="J3997" s="4">
        <f t="shared" si="157"/>
        <v>1.105583195135434E-4</v>
      </c>
      <c r="K3997" s="5">
        <f t="shared" si="158"/>
        <v>0.44168048645663355</v>
      </c>
    </row>
    <row r="3998" spans="1:11" x14ac:dyDescent="0.25">
      <c r="A3998" t="s">
        <v>629</v>
      </c>
      <c r="C3998" t="s">
        <v>630</v>
      </c>
      <c r="D3998" t="s">
        <v>5</v>
      </c>
      <c r="E3998" t="s">
        <v>6</v>
      </c>
      <c r="F3998" t="s">
        <v>7</v>
      </c>
      <c r="G3998">
        <v>1</v>
      </c>
      <c r="H3998" s="2">
        <f>Tabelle13[[#This Row],[commits]]/Tabelle13[[#Totals],[commits]]</f>
        <v>4.6477904404246225E-6</v>
      </c>
      <c r="I3998" s="5">
        <f>Tabelle13[[#This Row],[%]]+I3997</f>
        <v>0.97653330606627953</v>
      </c>
      <c r="J3998" s="4">
        <f t="shared" si="157"/>
        <v>1.105583195135434E-4</v>
      </c>
      <c r="K3998" s="5">
        <f t="shared" si="158"/>
        <v>0.44179104477614711</v>
      </c>
    </row>
    <row r="3999" spans="1:11" x14ac:dyDescent="0.25">
      <c r="A3999" t="s">
        <v>631</v>
      </c>
      <c r="C3999" t="s">
        <v>632</v>
      </c>
      <c r="D3999" t="s">
        <v>5</v>
      </c>
      <c r="E3999" t="s">
        <v>6</v>
      </c>
      <c r="F3999" t="s">
        <v>7</v>
      </c>
      <c r="G3999">
        <v>1</v>
      </c>
      <c r="H3999" s="2">
        <f>Tabelle13[[#This Row],[commits]]/Tabelle13[[#Totals],[commits]]</f>
        <v>4.6477904404246225E-6</v>
      </c>
      <c r="I3999" s="5">
        <f>Tabelle13[[#This Row],[%]]+I3998</f>
        <v>0.97653795385671993</v>
      </c>
      <c r="J3999" s="4">
        <f t="shared" si="157"/>
        <v>1.105583195135434E-4</v>
      </c>
      <c r="K3999" s="5">
        <f t="shared" si="158"/>
        <v>0.44190160309566068</v>
      </c>
    </row>
    <row r="4000" spans="1:11" x14ac:dyDescent="0.25">
      <c r="A4000" t="s">
        <v>633</v>
      </c>
      <c r="C4000" t="s">
        <v>634</v>
      </c>
      <c r="D4000" t="s">
        <v>5</v>
      </c>
      <c r="E4000" t="s">
        <v>6</v>
      </c>
      <c r="F4000" t="s">
        <v>7</v>
      </c>
      <c r="G4000">
        <v>1</v>
      </c>
      <c r="H4000" s="2">
        <f>Tabelle13[[#This Row],[commits]]/Tabelle13[[#Totals],[commits]]</f>
        <v>4.6477904404246225E-6</v>
      </c>
      <c r="I4000" s="5">
        <f>Tabelle13[[#This Row],[%]]+I3999</f>
        <v>0.97654260164716034</v>
      </c>
      <c r="J4000" s="4">
        <f t="shared" si="157"/>
        <v>1.105583195135434E-4</v>
      </c>
      <c r="K4000" s="5">
        <f t="shared" si="158"/>
        <v>0.44201216141517424</v>
      </c>
    </row>
    <row r="4001" spans="1:11" x14ac:dyDescent="0.25">
      <c r="A4001" t="s">
        <v>635</v>
      </c>
      <c r="C4001" t="s">
        <v>636</v>
      </c>
      <c r="D4001" t="s">
        <v>5</v>
      </c>
      <c r="E4001" t="s">
        <v>6</v>
      </c>
      <c r="F4001" t="s">
        <v>7</v>
      </c>
      <c r="G4001">
        <v>1</v>
      </c>
      <c r="H4001" s="2">
        <f>Tabelle13[[#This Row],[commits]]/Tabelle13[[#Totals],[commits]]</f>
        <v>4.6477904404246225E-6</v>
      </c>
      <c r="I4001" s="5">
        <f>Tabelle13[[#This Row],[%]]+I4000</f>
        <v>0.97654724943760074</v>
      </c>
      <c r="J4001" s="4">
        <f t="shared" si="157"/>
        <v>1.105583195135434E-4</v>
      </c>
      <c r="K4001" s="5">
        <f t="shared" si="158"/>
        <v>0.44212271973468781</v>
      </c>
    </row>
    <row r="4002" spans="1:11" x14ac:dyDescent="0.25">
      <c r="A4002" t="s">
        <v>637</v>
      </c>
      <c r="C4002" t="s">
        <v>638</v>
      </c>
      <c r="D4002" t="s">
        <v>5</v>
      </c>
      <c r="E4002" t="s">
        <v>6</v>
      </c>
      <c r="F4002" t="s">
        <v>7</v>
      </c>
      <c r="G4002">
        <v>1</v>
      </c>
      <c r="H4002" s="2">
        <f>Tabelle13[[#This Row],[commits]]/Tabelle13[[#Totals],[commits]]</f>
        <v>4.6477904404246225E-6</v>
      </c>
      <c r="I4002" s="5">
        <f>Tabelle13[[#This Row],[%]]+I4001</f>
        <v>0.97655189722804114</v>
      </c>
      <c r="J4002" s="4">
        <f t="shared" si="157"/>
        <v>1.105583195135434E-4</v>
      </c>
      <c r="K4002" s="5">
        <f t="shared" si="158"/>
        <v>0.44223327805420137</v>
      </c>
    </row>
    <row r="4003" spans="1:11" x14ac:dyDescent="0.25">
      <c r="A4003" t="s">
        <v>639</v>
      </c>
      <c r="C4003" t="s">
        <v>640</v>
      </c>
      <c r="D4003" t="s">
        <v>5</v>
      </c>
      <c r="E4003" t="s">
        <v>6</v>
      </c>
      <c r="F4003" t="s">
        <v>7</v>
      </c>
      <c r="G4003">
        <v>1</v>
      </c>
      <c r="H4003" s="2">
        <f>Tabelle13[[#This Row],[commits]]/Tabelle13[[#Totals],[commits]]</f>
        <v>4.6477904404246225E-6</v>
      </c>
      <c r="I4003" s="5">
        <f>Tabelle13[[#This Row],[%]]+I4002</f>
        <v>0.97655654501848155</v>
      </c>
      <c r="J4003" s="4">
        <f t="shared" si="157"/>
        <v>1.105583195135434E-4</v>
      </c>
      <c r="K4003" s="5">
        <f t="shared" si="158"/>
        <v>0.44234383637371494</v>
      </c>
    </row>
    <row r="4004" spans="1:11" x14ac:dyDescent="0.25">
      <c r="A4004" t="s">
        <v>641</v>
      </c>
      <c r="C4004" t="s">
        <v>642</v>
      </c>
      <c r="D4004" t="s">
        <v>5</v>
      </c>
      <c r="E4004" t="s">
        <v>6</v>
      </c>
      <c r="F4004" t="s">
        <v>7</v>
      </c>
      <c r="G4004">
        <v>1</v>
      </c>
      <c r="H4004" s="2">
        <f>Tabelle13[[#This Row],[commits]]/Tabelle13[[#Totals],[commits]]</f>
        <v>4.6477904404246225E-6</v>
      </c>
      <c r="I4004" s="5">
        <f>Tabelle13[[#This Row],[%]]+I4003</f>
        <v>0.97656119280892195</v>
      </c>
      <c r="J4004" s="4">
        <f t="shared" si="157"/>
        <v>1.105583195135434E-4</v>
      </c>
      <c r="K4004" s="5">
        <f t="shared" si="158"/>
        <v>0.4424543946932285</v>
      </c>
    </row>
    <row r="4005" spans="1:11" x14ac:dyDescent="0.25">
      <c r="A4005" t="s">
        <v>643</v>
      </c>
      <c r="C4005" t="s">
        <v>644</v>
      </c>
      <c r="D4005" t="s">
        <v>5</v>
      </c>
      <c r="E4005" t="s">
        <v>6</v>
      </c>
      <c r="F4005" t="s">
        <v>7</v>
      </c>
      <c r="G4005">
        <v>1</v>
      </c>
      <c r="H4005" s="2">
        <f>Tabelle13[[#This Row],[commits]]/Tabelle13[[#Totals],[commits]]</f>
        <v>4.6477904404246225E-6</v>
      </c>
      <c r="I4005" s="5">
        <f>Tabelle13[[#This Row],[%]]+I4004</f>
        <v>0.97656584059936236</v>
      </c>
      <c r="J4005" s="4">
        <f t="shared" si="157"/>
        <v>1.105583195135434E-4</v>
      </c>
      <c r="K4005" s="5">
        <f t="shared" si="158"/>
        <v>0.44256495301274207</v>
      </c>
    </row>
    <row r="4006" spans="1:11" x14ac:dyDescent="0.25">
      <c r="A4006" t="s">
        <v>645</v>
      </c>
      <c r="C4006" t="s">
        <v>646</v>
      </c>
      <c r="D4006" t="s">
        <v>5</v>
      </c>
      <c r="E4006" t="s">
        <v>6</v>
      </c>
      <c r="F4006" t="s">
        <v>7</v>
      </c>
      <c r="G4006">
        <v>1</v>
      </c>
      <c r="H4006" s="2">
        <f>Tabelle13[[#This Row],[commits]]/Tabelle13[[#Totals],[commits]]</f>
        <v>4.6477904404246225E-6</v>
      </c>
      <c r="I4006" s="5">
        <f>Tabelle13[[#This Row],[%]]+I4005</f>
        <v>0.97657048838980276</v>
      </c>
      <c r="J4006" s="4">
        <f t="shared" si="157"/>
        <v>1.105583195135434E-4</v>
      </c>
      <c r="K4006" s="5">
        <f t="shared" si="158"/>
        <v>0.44267551133225563</v>
      </c>
    </row>
    <row r="4007" spans="1:11" x14ac:dyDescent="0.25">
      <c r="A4007" t="s">
        <v>647</v>
      </c>
      <c r="C4007" t="s">
        <v>648</v>
      </c>
      <c r="D4007" t="s">
        <v>5</v>
      </c>
      <c r="E4007" t="s">
        <v>6</v>
      </c>
      <c r="F4007" t="s">
        <v>7</v>
      </c>
      <c r="G4007">
        <v>1</v>
      </c>
      <c r="H4007" s="2">
        <f>Tabelle13[[#This Row],[commits]]/Tabelle13[[#Totals],[commits]]</f>
        <v>4.6477904404246225E-6</v>
      </c>
      <c r="I4007" s="5">
        <f>Tabelle13[[#This Row],[%]]+I4006</f>
        <v>0.97657513618024316</v>
      </c>
      <c r="J4007" s="4">
        <f t="shared" si="157"/>
        <v>1.105583195135434E-4</v>
      </c>
      <c r="K4007" s="5">
        <f t="shared" si="158"/>
        <v>0.4427860696517692</v>
      </c>
    </row>
    <row r="4008" spans="1:11" x14ac:dyDescent="0.25">
      <c r="A4008" t="s">
        <v>649</v>
      </c>
      <c r="C4008" t="s">
        <v>650</v>
      </c>
      <c r="D4008" t="s">
        <v>5</v>
      </c>
      <c r="E4008" t="s">
        <v>6</v>
      </c>
      <c r="F4008" t="s">
        <v>7</v>
      </c>
      <c r="G4008">
        <v>1</v>
      </c>
      <c r="H4008" s="2">
        <f>Tabelle13[[#This Row],[commits]]/Tabelle13[[#Totals],[commits]]</f>
        <v>4.6477904404246225E-6</v>
      </c>
      <c r="I4008" s="5">
        <f>Tabelle13[[#This Row],[%]]+I4007</f>
        <v>0.97657978397068357</v>
      </c>
      <c r="J4008" s="4">
        <f t="shared" si="157"/>
        <v>1.105583195135434E-4</v>
      </c>
      <c r="K4008" s="5">
        <f t="shared" si="158"/>
        <v>0.44289662797128276</v>
      </c>
    </row>
    <row r="4009" spans="1:11" x14ac:dyDescent="0.25">
      <c r="A4009" t="s">
        <v>651</v>
      </c>
      <c r="C4009" t="s">
        <v>652</v>
      </c>
      <c r="D4009" t="s">
        <v>5</v>
      </c>
      <c r="E4009" t="s">
        <v>6</v>
      </c>
      <c r="F4009" t="s">
        <v>7</v>
      </c>
      <c r="G4009">
        <v>1</v>
      </c>
      <c r="H4009" s="2">
        <f>Tabelle13[[#This Row],[commits]]/Tabelle13[[#Totals],[commits]]</f>
        <v>4.6477904404246225E-6</v>
      </c>
      <c r="I4009" s="5">
        <f>Tabelle13[[#This Row],[%]]+I4008</f>
        <v>0.97658443176112397</v>
      </c>
      <c r="J4009" s="4">
        <f t="shared" si="157"/>
        <v>1.105583195135434E-4</v>
      </c>
      <c r="K4009" s="5">
        <f t="shared" si="158"/>
        <v>0.44300718629079633</v>
      </c>
    </row>
    <row r="4010" spans="1:11" x14ac:dyDescent="0.25">
      <c r="A4010" t="s">
        <v>653</v>
      </c>
      <c r="C4010" t="s">
        <v>654</v>
      </c>
      <c r="D4010" t="s">
        <v>5</v>
      </c>
      <c r="E4010" t="s">
        <v>6</v>
      </c>
      <c r="F4010" t="s">
        <v>7</v>
      </c>
      <c r="G4010">
        <v>1</v>
      </c>
      <c r="H4010" s="2">
        <f>Tabelle13[[#This Row],[commits]]/Tabelle13[[#Totals],[commits]]</f>
        <v>4.6477904404246225E-6</v>
      </c>
      <c r="I4010" s="5">
        <f>Tabelle13[[#This Row],[%]]+I4009</f>
        <v>0.97658907955156438</v>
      </c>
      <c r="J4010" s="4">
        <f t="shared" si="157"/>
        <v>1.105583195135434E-4</v>
      </c>
      <c r="K4010" s="5">
        <f t="shared" si="158"/>
        <v>0.44311774461030989</v>
      </c>
    </row>
    <row r="4011" spans="1:11" x14ac:dyDescent="0.25">
      <c r="A4011" t="s">
        <v>655</v>
      </c>
      <c r="C4011" t="s">
        <v>656</v>
      </c>
      <c r="D4011" t="s">
        <v>5</v>
      </c>
      <c r="E4011" t="s">
        <v>6</v>
      </c>
      <c r="F4011" t="s">
        <v>7</v>
      </c>
      <c r="G4011">
        <v>1</v>
      </c>
      <c r="H4011" s="2">
        <f>Tabelle13[[#This Row],[commits]]/Tabelle13[[#Totals],[commits]]</f>
        <v>4.6477904404246225E-6</v>
      </c>
      <c r="I4011" s="5">
        <f>Tabelle13[[#This Row],[%]]+I4010</f>
        <v>0.97659372734200478</v>
      </c>
      <c r="J4011" s="4">
        <f t="shared" si="157"/>
        <v>1.105583195135434E-4</v>
      </c>
      <c r="K4011" s="5">
        <f t="shared" si="158"/>
        <v>0.44322830292982346</v>
      </c>
    </row>
    <row r="4012" spans="1:11" x14ac:dyDescent="0.25">
      <c r="A4012" t="s">
        <v>657</v>
      </c>
      <c r="C4012" t="s">
        <v>658</v>
      </c>
      <c r="D4012" t="s">
        <v>5</v>
      </c>
      <c r="E4012" t="s">
        <v>6</v>
      </c>
      <c r="F4012" t="s">
        <v>7</v>
      </c>
      <c r="G4012">
        <v>1</v>
      </c>
      <c r="H4012" s="2">
        <f>Tabelle13[[#This Row],[commits]]/Tabelle13[[#Totals],[commits]]</f>
        <v>4.6477904404246225E-6</v>
      </c>
      <c r="I4012" s="5">
        <f>Tabelle13[[#This Row],[%]]+I4011</f>
        <v>0.97659837513244518</v>
      </c>
      <c r="J4012" s="4">
        <f t="shared" si="157"/>
        <v>1.105583195135434E-4</v>
      </c>
      <c r="K4012" s="5">
        <f t="shared" si="158"/>
        <v>0.44333886124933702</v>
      </c>
    </row>
    <row r="4013" spans="1:11" x14ac:dyDescent="0.25">
      <c r="A4013" t="s">
        <v>659</v>
      </c>
      <c r="C4013" t="s">
        <v>660</v>
      </c>
      <c r="D4013" t="s">
        <v>5</v>
      </c>
      <c r="E4013" t="s">
        <v>6</v>
      </c>
      <c r="F4013" t="s">
        <v>7</v>
      </c>
      <c r="G4013">
        <v>1</v>
      </c>
      <c r="H4013" s="2">
        <f>Tabelle13[[#This Row],[commits]]/Tabelle13[[#Totals],[commits]]</f>
        <v>4.6477904404246225E-6</v>
      </c>
      <c r="I4013" s="5">
        <f>Tabelle13[[#This Row],[%]]+I4012</f>
        <v>0.97660302292288559</v>
      </c>
      <c r="J4013" s="4">
        <f t="shared" si="157"/>
        <v>1.105583195135434E-4</v>
      </c>
      <c r="K4013" s="5">
        <f t="shared" si="158"/>
        <v>0.44344941956885059</v>
      </c>
    </row>
    <row r="4014" spans="1:11" x14ac:dyDescent="0.25">
      <c r="A4014" t="s">
        <v>661</v>
      </c>
      <c r="C4014" t="s">
        <v>662</v>
      </c>
      <c r="D4014" t="s">
        <v>5</v>
      </c>
      <c r="E4014" t="s">
        <v>6</v>
      </c>
      <c r="F4014" t="s">
        <v>7</v>
      </c>
      <c r="G4014">
        <v>1</v>
      </c>
      <c r="H4014" s="2">
        <f>Tabelle13[[#This Row],[commits]]/Tabelle13[[#Totals],[commits]]</f>
        <v>4.6477904404246225E-6</v>
      </c>
      <c r="I4014" s="5">
        <f>Tabelle13[[#This Row],[%]]+I4013</f>
        <v>0.97660767071332599</v>
      </c>
      <c r="J4014" s="4">
        <f t="shared" si="157"/>
        <v>1.105583195135434E-4</v>
      </c>
      <c r="K4014" s="5">
        <f t="shared" si="158"/>
        <v>0.44355997788836415</v>
      </c>
    </row>
    <row r="4015" spans="1:11" x14ac:dyDescent="0.25">
      <c r="A4015" t="s">
        <v>663</v>
      </c>
      <c r="C4015" t="s">
        <v>664</v>
      </c>
      <c r="D4015" t="s">
        <v>5</v>
      </c>
      <c r="E4015" t="s">
        <v>6</v>
      </c>
      <c r="F4015" t="s">
        <v>7</v>
      </c>
      <c r="G4015">
        <v>1</v>
      </c>
      <c r="H4015" s="2">
        <f>Tabelle13[[#This Row],[commits]]/Tabelle13[[#Totals],[commits]]</f>
        <v>4.6477904404246225E-6</v>
      </c>
      <c r="I4015" s="5">
        <f>Tabelle13[[#This Row],[%]]+I4014</f>
        <v>0.9766123185037664</v>
      </c>
      <c r="J4015" s="4">
        <f t="shared" si="157"/>
        <v>1.105583195135434E-4</v>
      </c>
      <c r="K4015" s="5">
        <f t="shared" si="158"/>
        <v>0.44367053620787772</v>
      </c>
    </row>
    <row r="4016" spans="1:11" x14ac:dyDescent="0.25">
      <c r="A4016" t="s">
        <v>667</v>
      </c>
      <c r="C4016" t="s">
        <v>668</v>
      </c>
      <c r="D4016" t="s">
        <v>309</v>
      </c>
      <c r="E4016" t="s">
        <v>6</v>
      </c>
      <c r="F4016" t="s">
        <v>7</v>
      </c>
      <c r="G4016">
        <v>1</v>
      </c>
      <c r="H4016" s="2">
        <f>Tabelle13[[#This Row],[commits]]/Tabelle13[[#Totals],[commits]]</f>
        <v>4.6477904404246225E-6</v>
      </c>
      <c r="I4016" s="5">
        <f>Tabelle13[[#This Row],[%]]+I4015</f>
        <v>0.9766169662942068</v>
      </c>
      <c r="J4016" s="4">
        <f t="shared" si="157"/>
        <v>1.105583195135434E-4</v>
      </c>
      <c r="K4016" s="5">
        <f t="shared" si="158"/>
        <v>0.44378109452739128</v>
      </c>
    </row>
    <row r="4017" spans="1:11" x14ac:dyDescent="0.25">
      <c r="A4017" t="s">
        <v>669</v>
      </c>
      <c r="C4017" t="s">
        <v>670</v>
      </c>
      <c r="D4017" t="s">
        <v>5</v>
      </c>
      <c r="E4017" t="s">
        <v>6</v>
      </c>
      <c r="F4017" t="s">
        <v>7</v>
      </c>
      <c r="G4017">
        <v>1</v>
      </c>
      <c r="H4017" s="2">
        <f>Tabelle13[[#This Row],[commits]]/Tabelle13[[#Totals],[commits]]</f>
        <v>4.6477904404246225E-6</v>
      </c>
      <c r="I4017" s="5">
        <f>Tabelle13[[#This Row],[%]]+I4016</f>
        <v>0.9766216140846472</v>
      </c>
      <c r="J4017" s="4">
        <f t="shared" si="157"/>
        <v>1.105583195135434E-4</v>
      </c>
      <c r="K4017" s="5">
        <f t="shared" si="158"/>
        <v>0.44389165284690485</v>
      </c>
    </row>
    <row r="4018" spans="1:11" x14ac:dyDescent="0.25">
      <c r="A4018" t="s">
        <v>671</v>
      </c>
      <c r="C4018" t="s">
        <v>672</v>
      </c>
      <c r="D4018" t="s">
        <v>5</v>
      </c>
      <c r="E4018" t="s">
        <v>6</v>
      </c>
      <c r="F4018" t="s">
        <v>7</v>
      </c>
      <c r="G4018">
        <v>1</v>
      </c>
      <c r="H4018" s="2">
        <f>Tabelle13[[#This Row],[commits]]/Tabelle13[[#Totals],[commits]]</f>
        <v>4.6477904404246225E-6</v>
      </c>
      <c r="I4018" s="5">
        <f>Tabelle13[[#This Row],[%]]+I4017</f>
        <v>0.97662626187508761</v>
      </c>
      <c r="J4018" s="4">
        <f t="shared" si="157"/>
        <v>1.105583195135434E-4</v>
      </c>
      <c r="K4018" s="5">
        <f t="shared" si="158"/>
        <v>0.44400221116641841</v>
      </c>
    </row>
    <row r="4019" spans="1:11" x14ac:dyDescent="0.25">
      <c r="A4019" t="s">
        <v>673</v>
      </c>
      <c r="C4019" t="s">
        <v>674</v>
      </c>
      <c r="D4019" t="s">
        <v>5</v>
      </c>
      <c r="E4019" t="s">
        <v>6</v>
      </c>
      <c r="F4019" t="s">
        <v>7</v>
      </c>
      <c r="G4019">
        <v>1</v>
      </c>
      <c r="H4019" s="2">
        <f>Tabelle13[[#This Row],[commits]]/Tabelle13[[#Totals],[commits]]</f>
        <v>4.6477904404246225E-6</v>
      </c>
      <c r="I4019" s="5">
        <f>Tabelle13[[#This Row],[%]]+I4018</f>
        <v>0.97663090966552801</v>
      </c>
      <c r="J4019" s="4">
        <f t="shared" si="157"/>
        <v>1.105583195135434E-4</v>
      </c>
      <c r="K4019" s="5">
        <f t="shared" si="158"/>
        <v>0.44411276948593198</v>
      </c>
    </row>
    <row r="4020" spans="1:11" x14ac:dyDescent="0.25">
      <c r="A4020" t="s">
        <v>675</v>
      </c>
      <c r="C4020" t="s">
        <v>676</v>
      </c>
      <c r="D4020" t="s">
        <v>5</v>
      </c>
      <c r="E4020" t="s">
        <v>6</v>
      </c>
      <c r="F4020" t="s">
        <v>7</v>
      </c>
      <c r="G4020">
        <v>1</v>
      </c>
      <c r="H4020" s="2">
        <f>Tabelle13[[#This Row],[commits]]/Tabelle13[[#Totals],[commits]]</f>
        <v>4.6477904404246225E-6</v>
      </c>
      <c r="I4020" s="5">
        <f>Tabelle13[[#This Row],[%]]+I4019</f>
        <v>0.97663555745596842</v>
      </c>
      <c r="J4020" s="4">
        <f t="shared" si="157"/>
        <v>1.105583195135434E-4</v>
      </c>
      <c r="K4020" s="5">
        <f t="shared" si="158"/>
        <v>0.44422332780544554</v>
      </c>
    </row>
    <row r="4021" spans="1:11" x14ac:dyDescent="0.25">
      <c r="A4021" t="s">
        <v>677</v>
      </c>
      <c r="C4021" t="s">
        <v>678</v>
      </c>
      <c r="D4021" t="s">
        <v>5</v>
      </c>
      <c r="E4021" t="s">
        <v>6</v>
      </c>
      <c r="F4021" t="s">
        <v>7</v>
      </c>
      <c r="G4021">
        <v>1</v>
      </c>
      <c r="H4021" s="2">
        <f>Tabelle13[[#This Row],[commits]]/Tabelle13[[#Totals],[commits]]</f>
        <v>4.6477904404246225E-6</v>
      </c>
      <c r="I4021" s="5">
        <f>Tabelle13[[#This Row],[%]]+I4020</f>
        <v>0.97664020524640882</v>
      </c>
      <c r="J4021" s="4">
        <f t="shared" si="157"/>
        <v>1.105583195135434E-4</v>
      </c>
      <c r="K4021" s="5">
        <f t="shared" si="158"/>
        <v>0.44433388612495911</v>
      </c>
    </row>
    <row r="4022" spans="1:11" x14ac:dyDescent="0.25">
      <c r="A4022" t="s">
        <v>679</v>
      </c>
      <c r="C4022" t="s">
        <v>211</v>
      </c>
      <c r="D4022" t="s">
        <v>5</v>
      </c>
      <c r="E4022" t="s">
        <v>6</v>
      </c>
      <c r="F4022" t="s">
        <v>7</v>
      </c>
      <c r="G4022">
        <v>1</v>
      </c>
      <c r="H4022" s="2">
        <f>Tabelle13[[#This Row],[commits]]/Tabelle13[[#Totals],[commits]]</f>
        <v>4.6477904404246225E-6</v>
      </c>
      <c r="I4022" s="5">
        <f>Tabelle13[[#This Row],[%]]+I4021</f>
        <v>0.97664485303684923</v>
      </c>
      <c r="J4022" s="4">
        <f t="shared" si="157"/>
        <v>1.105583195135434E-4</v>
      </c>
      <c r="K4022" s="5">
        <f t="shared" si="158"/>
        <v>0.44444444444447267</v>
      </c>
    </row>
    <row r="4023" spans="1:11" x14ac:dyDescent="0.25">
      <c r="A4023" t="s">
        <v>680</v>
      </c>
      <c r="C4023" t="s">
        <v>681</v>
      </c>
      <c r="D4023" t="s">
        <v>5</v>
      </c>
      <c r="E4023" t="s">
        <v>6</v>
      </c>
      <c r="F4023" t="s">
        <v>7</v>
      </c>
      <c r="G4023">
        <v>1</v>
      </c>
      <c r="H4023" s="2">
        <f>Tabelle13[[#This Row],[commits]]/Tabelle13[[#Totals],[commits]]</f>
        <v>4.6477904404246225E-6</v>
      </c>
      <c r="I4023" s="5">
        <f>Tabelle13[[#This Row],[%]]+I4022</f>
        <v>0.97664950082728963</v>
      </c>
      <c r="J4023" s="4">
        <f t="shared" si="157"/>
        <v>1.105583195135434E-4</v>
      </c>
      <c r="K4023" s="5">
        <f t="shared" si="158"/>
        <v>0.44455500276398624</v>
      </c>
    </row>
    <row r="4024" spans="1:11" x14ac:dyDescent="0.25">
      <c r="A4024" t="s">
        <v>682</v>
      </c>
      <c r="C4024" t="s">
        <v>683</v>
      </c>
      <c r="D4024" t="s">
        <v>5</v>
      </c>
      <c r="E4024" t="s">
        <v>6</v>
      </c>
      <c r="F4024" t="s">
        <v>7</v>
      </c>
      <c r="G4024">
        <v>1</v>
      </c>
      <c r="H4024" s="2">
        <f>Tabelle13[[#This Row],[commits]]/Tabelle13[[#Totals],[commits]]</f>
        <v>4.6477904404246225E-6</v>
      </c>
      <c r="I4024" s="5">
        <f>Tabelle13[[#This Row],[%]]+I4023</f>
        <v>0.97665414861773003</v>
      </c>
      <c r="J4024" s="4">
        <f t="shared" si="157"/>
        <v>1.105583195135434E-4</v>
      </c>
      <c r="K4024" s="5">
        <f t="shared" si="158"/>
        <v>0.44466556108349981</v>
      </c>
    </row>
    <row r="4025" spans="1:11" x14ac:dyDescent="0.25">
      <c r="A4025" t="s">
        <v>684</v>
      </c>
      <c r="C4025" t="s">
        <v>685</v>
      </c>
      <c r="D4025" t="s">
        <v>5</v>
      </c>
      <c r="E4025" t="s">
        <v>6</v>
      </c>
      <c r="F4025" t="s">
        <v>7</v>
      </c>
      <c r="G4025">
        <v>1</v>
      </c>
      <c r="H4025" s="2">
        <f>Tabelle13[[#This Row],[commits]]/Tabelle13[[#Totals],[commits]]</f>
        <v>4.6477904404246225E-6</v>
      </c>
      <c r="I4025" s="5">
        <f>Tabelle13[[#This Row],[%]]+I4024</f>
        <v>0.97665879640817044</v>
      </c>
      <c r="J4025" s="4">
        <f t="shared" si="157"/>
        <v>1.105583195135434E-4</v>
      </c>
      <c r="K4025" s="5">
        <f t="shared" si="158"/>
        <v>0.44477611940301337</v>
      </c>
    </row>
    <row r="4026" spans="1:11" x14ac:dyDescent="0.25">
      <c r="A4026" t="s">
        <v>686</v>
      </c>
      <c r="C4026" t="s">
        <v>687</v>
      </c>
      <c r="D4026" t="s">
        <v>5</v>
      </c>
      <c r="E4026" t="s">
        <v>6</v>
      </c>
      <c r="F4026" t="s">
        <v>7</v>
      </c>
      <c r="G4026">
        <v>1</v>
      </c>
      <c r="H4026" s="2">
        <f>Tabelle13[[#This Row],[commits]]/Tabelle13[[#Totals],[commits]]</f>
        <v>4.6477904404246225E-6</v>
      </c>
      <c r="I4026" s="5">
        <f>Tabelle13[[#This Row],[%]]+I4025</f>
        <v>0.97666344419861084</v>
      </c>
      <c r="J4026" s="4">
        <f t="shared" si="157"/>
        <v>1.105583195135434E-4</v>
      </c>
      <c r="K4026" s="5">
        <f t="shared" si="158"/>
        <v>0.44488667772252694</v>
      </c>
    </row>
    <row r="4027" spans="1:11" x14ac:dyDescent="0.25">
      <c r="A4027" t="s">
        <v>688</v>
      </c>
      <c r="C4027" t="s">
        <v>689</v>
      </c>
      <c r="D4027" t="s">
        <v>5</v>
      </c>
      <c r="E4027" t="s">
        <v>6</v>
      </c>
      <c r="F4027" t="s">
        <v>7</v>
      </c>
      <c r="G4027">
        <v>1</v>
      </c>
      <c r="H4027" s="2">
        <f>Tabelle13[[#This Row],[commits]]/Tabelle13[[#Totals],[commits]]</f>
        <v>4.6477904404246225E-6</v>
      </c>
      <c r="I4027" s="5">
        <f>Tabelle13[[#This Row],[%]]+I4026</f>
        <v>0.97666809198905125</v>
      </c>
      <c r="J4027" s="4">
        <f t="shared" si="157"/>
        <v>1.105583195135434E-4</v>
      </c>
      <c r="K4027" s="5">
        <f t="shared" si="158"/>
        <v>0.4449972360420405</v>
      </c>
    </row>
    <row r="4028" spans="1:11" x14ac:dyDescent="0.25">
      <c r="A4028" t="s">
        <v>690</v>
      </c>
      <c r="C4028" t="s">
        <v>691</v>
      </c>
      <c r="D4028" t="s">
        <v>5</v>
      </c>
      <c r="E4028" t="s">
        <v>6</v>
      </c>
      <c r="F4028" t="s">
        <v>7</v>
      </c>
      <c r="G4028">
        <v>1</v>
      </c>
      <c r="H4028" s="2">
        <f>Tabelle13[[#This Row],[commits]]/Tabelle13[[#Totals],[commits]]</f>
        <v>4.6477904404246225E-6</v>
      </c>
      <c r="I4028" s="5">
        <f>Tabelle13[[#This Row],[%]]+I4027</f>
        <v>0.97667273977949165</v>
      </c>
      <c r="J4028" s="4">
        <f t="shared" si="157"/>
        <v>1.105583195135434E-4</v>
      </c>
      <c r="K4028" s="5">
        <f t="shared" si="158"/>
        <v>0.44510779436155407</v>
      </c>
    </row>
    <row r="4029" spans="1:11" x14ac:dyDescent="0.25">
      <c r="A4029" t="s">
        <v>692</v>
      </c>
      <c r="C4029" t="s">
        <v>693</v>
      </c>
      <c r="D4029" t="s">
        <v>5</v>
      </c>
      <c r="E4029" t="s">
        <v>6</v>
      </c>
      <c r="F4029" t="s">
        <v>7</v>
      </c>
      <c r="G4029">
        <v>1</v>
      </c>
      <c r="H4029" s="2">
        <f>Tabelle13[[#This Row],[commits]]/Tabelle13[[#Totals],[commits]]</f>
        <v>4.6477904404246225E-6</v>
      </c>
      <c r="I4029" s="5">
        <f>Tabelle13[[#This Row],[%]]+I4028</f>
        <v>0.97667738756993205</v>
      </c>
      <c r="J4029" s="4">
        <f t="shared" si="157"/>
        <v>1.105583195135434E-4</v>
      </c>
      <c r="K4029" s="5">
        <f t="shared" si="158"/>
        <v>0.44521835268106763</v>
      </c>
    </row>
    <row r="4030" spans="1:11" x14ac:dyDescent="0.25">
      <c r="A4030" t="s">
        <v>694</v>
      </c>
      <c r="C4030" t="s">
        <v>114</v>
      </c>
      <c r="D4030" t="s">
        <v>5</v>
      </c>
      <c r="E4030" t="s">
        <v>6</v>
      </c>
      <c r="F4030" t="s">
        <v>7</v>
      </c>
      <c r="G4030">
        <v>1</v>
      </c>
      <c r="H4030" s="2">
        <f>Tabelle13[[#This Row],[commits]]/Tabelle13[[#Totals],[commits]]</f>
        <v>4.6477904404246225E-6</v>
      </c>
      <c r="I4030" s="5">
        <f>Tabelle13[[#This Row],[%]]+I4029</f>
        <v>0.97668203536037246</v>
      </c>
      <c r="J4030" s="4">
        <f t="shared" si="157"/>
        <v>1.105583195135434E-4</v>
      </c>
      <c r="K4030" s="5">
        <f t="shared" si="158"/>
        <v>0.4453289110005812</v>
      </c>
    </row>
    <row r="4031" spans="1:11" x14ac:dyDescent="0.25">
      <c r="A4031" t="s">
        <v>697</v>
      </c>
      <c r="C4031" t="s">
        <v>698</v>
      </c>
      <c r="D4031" t="s">
        <v>5</v>
      </c>
      <c r="E4031" t="s">
        <v>6</v>
      </c>
      <c r="F4031" t="s">
        <v>7</v>
      </c>
      <c r="G4031">
        <v>1</v>
      </c>
      <c r="H4031" s="2">
        <f>Tabelle13[[#This Row],[commits]]/Tabelle13[[#Totals],[commits]]</f>
        <v>4.6477904404246225E-6</v>
      </c>
      <c r="I4031" s="5">
        <f>Tabelle13[[#This Row],[%]]+I4030</f>
        <v>0.97668668315081286</v>
      </c>
      <c r="J4031" s="4">
        <f t="shared" si="157"/>
        <v>1.105583195135434E-4</v>
      </c>
      <c r="K4031" s="5">
        <f t="shared" si="158"/>
        <v>0.44543946932009476</v>
      </c>
    </row>
    <row r="4032" spans="1:11" x14ac:dyDescent="0.25">
      <c r="A4032" t="s">
        <v>699</v>
      </c>
      <c r="C4032" t="s">
        <v>700</v>
      </c>
      <c r="D4032" t="s">
        <v>5</v>
      </c>
      <c r="E4032" t="s">
        <v>6</v>
      </c>
      <c r="F4032" t="s">
        <v>7</v>
      </c>
      <c r="G4032">
        <v>1</v>
      </c>
      <c r="H4032" s="2">
        <f>Tabelle13[[#This Row],[commits]]/Tabelle13[[#Totals],[commits]]</f>
        <v>4.6477904404246225E-6</v>
      </c>
      <c r="I4032" s="5">
        <f>Tabelle13[[#This Row],[%]]+I4031</f>
        <v>0.97669133094125327</v>
      </c>
      <c r="J4032" s="4">
        <f t="shared" si="157"/>
        <v>1.105583195135434E-4</v>
      </c>
      <c r="K4032" s="5">
        <f t="shared" si="158"/>
        <v>0.44555002763960833</v>
      </c>
    </row>
    <row r="4033" spans="1:11" x14ac:dyDescent="0.25">
      <c r="A4033" t="s">
        <v>701</v>
      </c>
      <c r="C4033" t="s">
        <v>702</v>
      </c>
      <c r="D4033" t="s">
        <v>5</v>
      </c>
      <c r="E4033" t="s">
        <v>6</v>
      </c>
      <c r="F4033" t="s">
        <v>7</v>
      </c>
      <c r="G4033">
        <v>1</v>
      </c>
      <c r="H4033" s="2">
        <f>Tabelle13[[#This Row],[commits]]/Tabelle13[[#Totals],[commits]]</f>
        <v>4.6477904404246225E-6</v>
      </c>
      <c r="I4033" s="5">
        <f>Tabelle13[[#This Row],[%]]+I4032</f>
        <v>0.97669597873169367</v>
      </c>
      <c r="J4033" s="4">
        <f t="shared" si="157"/>
        <v>1.105583195135434E-4</v>
      </c>
      <c r="K4033" s="5">
        <f t="shared" si="158"/>
        <v>0.44566058595912189</v>
      </c>
    </row>
    <row r="4034" spans="1:11" x14ac:dyDescent="0.25">
      <c r="A4034" t="s">
        <v>703</v>
      </c>
      <c r="C4034" t="s">
        <v>704</v>
      </c>
      <c r="D4034" t="s">
        <v>5</v>
      </c>
      <c r="E4034" t="s">
        <v>6</v>
      </c>
      <c r="F4034" t="s">
        <v>7</v>
      </c>
      <c r="G4034">
        <v>1</v>
      </c>
      <c r="H4034" s="2">
        <f>Tabelle13[[#This Row],[commits]]/Tabelle13[[#Totals],[commits]]</f>
        <v>4.6477904404246225E-6</v>
      </c>
      <c r="I4034" s="5">
        <f>Tabelle13[[#This Row],[%]]+I4033</f>
        <v>0.97670062652213407</v>
      </c>
      <c r="J4034" s="4">
        <f t="shared" si="157"/>
        <v>1.105583195135434E-4</v>
      </c>
      <c r="K4034" s="5">
        <f t="shared" si="158"/>
        <v>0.44577114427863546</v>
      </c>
    </row>
    <row r="4035" spans="1:11" x14ac:dyDescent="0.25">
      <c r="A4035" t="s">
        <v>705</v>
      </c>
      <c r="C4035" t="s">
        <v>706</v>
      </c>
      <c r="D4035" t="s">
        <v>5</v>
      </c>
      <c r="E4035" t="s">
        <v>6</v>
      </c>
      <c r="F4035" t="s">
        <v>7</v>
      </c>
      <c r="G4035">
        <v>1</v>
      </c>
      <c r="H4035" s="2">
        <f>Tabelle13[[#This Row],[commits]]/Tabelle13[[#Totals],[commits]]</f>
        <v>4.6477904404246225E-6</v>
      </c>
      <c r="I4035" s="5">
        <f>Tabelle13[[#This Row],[%]]+I4034</f>
        <v>0.97670527431257448</v>
      </c>
      <c r="J4035" s="4">
        <f t="shared" ref="J4035:J4098" si="159">1/9045</f>
        <v>1.105583195135434E-4</v>
      </c>
      <c r="K4035" s="5">
        <f t="shared" si="158"/>
        <v>0.44588170259814902</v>
      </c>
    </row>
    <row r="4036" spans="1:11" x14ac:dyDescent="0.25">
      <c r="A4036" t="s">
        <v>707</v>
      </c>
      <c r="C4036" t="s">
        <v>708</v>
      </c>
      <c r="D4036" t="s">
        <v>5</v>
      </c>
      <c r="E4036" t="s">
        <v>6</v>
      </c>
      <c r="F4036" t="s">
        <v>7</v>
      </c>
      <c r="G4036">
        <v>1</v>
      </c>
      <c r="H4036" s="2">
        <f>Tabelle13[[#This Row],[commits]]/Tabelle13[[#Totals],[commits]]</f>
        <v>4.6477904404246225E-6</v>
      </c>
      <c r="I4036" s="5">
        <f>Tabelle13[[#This Row],[%]]+I4035</f>
        <v>0.97670992210301488</v>
      </c>
      <c r="J4036" s="4">
        <f t="shared" si="159"/>
        <v>1.105583195135434E-4</v>
      </c>
      <c r="K4036" s="5">
        <f t="shared" si="158"/>
        <v>0.44599226091766259</v>
      </c>
    </row>
    <row r="4037" spans="1:11" x14ac:dyDescent="0.25">
      <c r="A4037" t="s">
        <v>709</v>
      </c>
      <c r="C4037" t="s">
        <v>710</v>
      </c>
      <c r="D4037" t="s">
        <v>5</v>
      </c>
      <c r="E4037" t="s">
        <v>6</v>
      </c>
      <c r="F4037" t="s">
        <v>7</v>
      </c>
      <c r="G4037">
        <v>1</v>
      </c>
      <c r="H4037" s="2">
        <f>Tabelle13[[#This Row],[commits]]/Tabelle13[[#Totals],[commits]]</f>
        <v>4.6477904404246225E-6</v>
      </c>
      <c r="I4037" s="5">
        <f>Tabelle13[[#This Row],[%]]+I4036</f>
        <v>0.97671456989345529</v>
      </c>
      <c r="J4037" s="4">
        <f t="shared" si="159"/>
        <v>1.105583195135434E-4</v>
      </c>
      <c r="K4037" s="5">
        <f t="shared" si="158"/>
        <v>0.44610281923717615</v>
      </c>
    </row>
    <row r="4038" spans="1:11" x14ac:dyDescent="0.25">
      <c r="A4038" t="s">
        <v>711</v>
      </c>
      <c r="C4038" t="s">
        <v>712</v>
      </c>
      <c r="D4038" t="s">
        <v>5</v>
      </c>
      <c r="E4038" t="s">
        <v>6</v>
      </c>
      <c r="F4038" t="s">
        <v>7</v>
      </c>
      <c r="G4038">
        <v>1</v>
      </c>
      <c r="H4038" s="2">
        <f>Tabelle13[[#This Row],[commits]]/Tabelle13[[#Totals],[commits]]</f>
        <v>4.6477904404246225E-6</v>
      </c>
      <c r="I4038" s="5">
        <f>Tabelle13[[#This Row],[%]]+I4037</f>
        <v>0.97671921768389569</v>
      </c>
      <c r="J4038" s="4">
        <f t="shared" si="159"/>
        <v>1.105583195135434E-4</v>
      </c>
      <c r="K4038" s="5">
        <f t="shared" ref="K4038:K4101" si="160">J4038+K4037</f>
        <v>0.44621337755668972</v>
      </c>
    </row>
    <row r="4039" spans="1:11" x14ac:dyDescent="0.25">
      <c r="A4039" t="s">
        <v>713</v>
      </c>
      <c r="C4039" t="s">
        <v>714</v>
      </c>
      <c r="D4039" t="s">
        <v>5</v>
      </c>
      <c r="E4039" t="s">
        <v>6</v>
      </c>
      <c r="F4039" t="s">
        <v>7</v>
      </c>
      <c r="G4039">
        <v>1</v>
      </c>
      <c r="H4039" s="2">
        <f>Tabelle13[[#This Row],[commits]]/Tabelle13[[#Totals],[commits]]</f>
        <v>4.6477904404246225E-6</v>
      </c>
      <c r="I4039" s="5">
        <f>Tabelle13[[#This Row],[%]]+I4038</f>
        <v>0.97672386547433609</v>
      </c>
      <c r="J4039" s="4">
        <f t="shared" si="159"/>
        <v>1.105583195135434E-4</v>
      </c>
      <c r="K4039" s="5">
        <f t="shared" si="160"/>
        <v>0.44632393587620328</v>
      </c>
    </row>
    <row r="4040" spans="1:11" x14ac:dyDescent="0.25">
      <c r="A4040" t="s">
        <v>715</v>
      </c>
      <c r="C4040" t="s">
        <v>716</v>
      </c>
      <c r="D4040" t="s">
        <v>5</v>
      </c>
      <c r="E4040" t="s">
        <v>6</v>
      </c>
      <c r="F4040" t="s">
        <v>7</v>
      </c>
      <c r="G4040">
        <v>1</v>
      </c>
      <c r="H4040" s="2">
        <f>Tabelle13[[#This Row],[commits]]/Tabelle13[[#Totals],[commits]]</f>
        <v>4.6477904404246225E-6</v>
      </c>
      <c r="I4040" s="5">
        <f>Tabelle13[[#This Row],[%]]+I4039</f>
        <v>0.9767285132647765</v>
      </c>
      <c r="J4040" s="4">
        <f t="shared" si="159"/>
        <v>1.105583195135434E-4</v>
      </c>
      <c r="K4040" s="5">
        <f t="shared" si="160"/>
        <v>0.44643449419571685</v>
      </c>
    </row>
    <row r="4041" spans="1:11" x14ac:dyDescent="0.25">
      <c r="A4041" t="s">
        <v>717</v>
      </c>
      <c r="C4041" t="s">
        <v>718</v>
      </c>
      <c r="D4041" t="s">
        <v>5</v>
      </c>
      <c r="E4041" t="s">
        <v>6</v>
      </c>
      <c r="F4041" t="s">
        <v>7</v>
      </c>
      <c r="G4041">
        <v>1</v>
      </c>
      <c r="H4041" s="2">
        <f>Tabelle13[[#This Row],[commits]]/Tabelle13[[#Totals],[commits]]</f>
        <v>4.6477904404246225E-6</v>
      </c>
      <c r="I4041" s="5">
        <f>Tabelle13[[#This Row],[%]]+I4040</f>
        <v>0.9767331610552169</v>
      </c>
      <c r="J4041" s="4">
        <f t="shared" si="159"/>
        <v>1.105583195135434E-4</v>
      </c>
      <c r="K4041" s="5">
        <f t="shared" si="160"/>
        <v>0.44654505251523041</v>
      </c>
    </row>
    <row r="4042" spans="1:11" x14ac:dyDescent="0.25">
      <c r="A4042" t="s">
        <v>719</v>
      </c>
      <c r="C4042" t="s">
        <v>532</v>
      </c>
      <c r="D4042" t="s">
        <v>5</v>
      </c>
      <c r="E4042" t="s">
        <v>6</v>
      </c>
      <c r="F4042" t="s">
        <v>7</v>
      </c>
      <c r="G4042">
        <v>1</v>
      </c>
      <c r="H4042" s="2">
        <f>Tabelle13[[#This Row],[commits]]/Tabelle13[[#Totals],[commits]]</f>
        <v>4.6477904404246225E-6</v>
      </c>
      <c r="I4042" s="5">
        <f>Tabelle13[[#This Row],[%]]+I4041</f>
        <v>0.97673780884565731</v>
      </c>
      <c r="J4042" s="4">
        <f t="shared" si="159"/>
        <v>1.105583195135434E-4</v>
      </c>
      <c r="K4042" s="5">
        <f t="shared" si="160"/>
        <v>0.44665561083474398</v>
      </c>
    </row>
    <row r="4043" spans="1:11" x14ac:dyDescent="0.25">
      <c r="A4043" t="s">
        <v>720</v>
      </c>
      <c r="C4043" t="s">
        <v>721</v>
      </c>
      <c r="D4043" t="s">
        <v>5</v>
      </c>
      <c r="E4043" t="s">
        <v>6</v>
      </c>
      <c r="F4043" t="s">
        <v>7</v>
      </c>
      <c r="G4043">
        <v>1</v>
      </c>
      <c r="H4043" s="2">
        <f>Tabelle13[[#This Row],[commits]]/Tabelle13[[#Totals],[commits]]</f>
        <v>4.6477904404246225E-6</v>
      </c>
      <c r="I4043" s="5">
        <f>Tabelle13[[#This Row],[%]]+I4042</f>
        <v>0.97674245663609771</v>
      </c>
      <c r="J4043" s="4">
        <f t="shared" si="159"/>
        <v>1.105583195135434E-4</v>
      </c>
      <c r="K4043" s="5">
        <f t="shared" si="160"/>
        <v>0.44676616915425754</v>
      </c>
    </row>
    <row r="4044" spans="1:11" x14ac:dyDescent="0.25">
      <c r="A4044" t="s">
        <v>722</v>
      </c>
      <c r="C4044" t="s">
        <v>723</v>
      </c>
      <c r="D4044" t="s">
        <v>5</v>
      </c>
      <c r="E4044" t="s">
        <v>6</v>
      </c>
      <c r="F4044" t="s">
        <v>724</v>
      </c>
      <c r="G4044">
        <v>1</v>
      </c>
      <c r="H4044" s="2">
        <f>Tabelle13[[#This Row],[commits]]/Tabelle13[[#Totals],[commits]]</f>
        <v>4.6477904404246225E-6</v>
      </c>
      <c r="I4044" s="5">
        <f>Tabelle13[[#This Row],[%]]+I4043</f>
        <v>0.97674710442653812</v>
      </c>
      <c r="J4044" s="4">
        <f t="shared" si="159"/>
        <v>1.105583195135434E-4</v>
      </c>
      <c r="K4044" s="5">
        <f t="shared" si="160"/>
        <v>0.44687672747377111</v>
      </c>
    </row>
    <row r="4045" spans="1:11" x14ac:dyDescent="0.25">
      <c r="A4045" t="s">
        <v>725</v>
      </c>
      <c r="C4045" t="s">
        <v>726</v>
      </c>
      <c r="D4045" t="s">
        <v>5</v>
      </c>
      <c r="E4045" t="s">
        <v>6</v>
      </c>
      <c r="F4045" t="s">
        <v>7</v>
      </c>
      <c r="G4045">
        <v>1</v>
      </c>
      <c r="H4045" s="2">
        <f>Tabelle13[[#This Row],[commits]]/Tabelle13[[#Totals],[commits]]</f>
        <v>4.6477904404246225E-6</v>
      </c>
      <c r="I4045" s="5">
        <f>Tabelle13[[#This Row],[%]]+I4044</f>
        <v>0.97675175221697852</v>
      </c>
      <c r="J4045" s="4">
        <f t="shared" si="159"/>
        <v>1.105583195135434E-4</v>
      </c>
      <c r="K4045" s="5">
        <f t="shared" si="160"/>
        <v>0.44698728579328467</v>
      </c>
    </row>
    <row r="4046" spans="1:11" x14ac:dyDescent="0.25">
      <c r="A4046" t="s">
        <v>727</v>
      </c>
      <c r="C4046" t="s">
        <v>728</v>
      </c>
      <c r="D4046" t="s">
        <v>5</v>
      </c>
      <c r="E4046" t="s">
        <v>6</v>
      </c>
      <c r="F4046" t="s">
        <v>7</v>
      </c>
      <c r="G4046">
        <v>1</v>
      </c>
      <c r="H4046" s="2">
        <f>Tabelle13[[#This Row],[commits]]/Tabelle13[[#Totals],[commits]]</f>
        <v>4.6477904404246225E-6</v>
      </c>
      <c r="I4046" s="5">
        <f>Tabelle13[[#This Row],[%]]+I4045</f>
        <v>0.97675640000741892</v>
      </c>
      <c r="J4046" s="4">
        <f t="shared" si="159"/>
        <v>1.105583195135434E-4</v>
      </c>
      <c r="K4046" s="5">
        <f t="shared" si="160"/>
        <v>0.44709784411279824</v>
      </c>
    </row>
    <row r="4047" spans="1:11" x14ac:dyDescent="0.25">
      <c r="A4047" t="s">
        <v>729</v>
      </c>
      <c r="C4047" t="s">
        <v>730</v>
      </c>
      <c r="D4047" t="s">
        <v>5</v>
      </c>
      <c r="E4047" t="s">
        <v>6</v>
      </c>
      <c r="F4047" t="s">
        <v>7</v>
      </c>
      <c r="G4047">
        <v>1</v>
      </c>
      <c r="H4047" s="2">
        <f>Tabelle13[[#This Row],[commits]]/Tabelle13[[#Totals],[commits]]</f>
        <v>4.6477904404246225E-6</v>
      </c>
      <c r="I4047" s="5">
        <f>Tabelle13[[#This Row],[%]]+I4046</f>
        <v>0.97676104779785933</v>
      </c>
      <c r="J4047" s="4">
        <f t="shared" si="159"/>
        <v>1.105583195135434E-4</v>
      </c>
      <c r="K4047" s="5">
        <f t="shared" si="160"/>
        <v>0.4472084024323118</v>
      </c>
    </row>
    <row r="4048" spans="1:11" x14ac:dyDescent="0.25">
      <c r="A4048" t="s">
        <v>731</v>
      </c>
      <c r="C4048" t="s">
        <v>151</v>
      </c>
      <c r="D4048" t="s">
        <v>5</v>
      </c>
      <c r="E4048" t="s">
        <v>6</v>
      </c>
      <c r="F4048" t="s">
        <v>7</v>
      </c>
      <c r="G4048">
        <v>1</v>
      </c>
      <c r="H4048" s="2">
        <f>Tabelle13[[#This Row],[commits]]/Tabelle13[[#Totals],[commits]]</f>
        <v>4.6477904404246225E-6</v>
      </c>
      <c r="I4048" s="5">
        <f>Tabelle13[[#This Row],[%]]+I4047</f>
        <v>0.97676569558829973</v>
      </c>
      <c r="J4048" s="4">
        <f t="shared" si="159"/>
        <v>1.105583195135434E-4</v>
      </c>
      <c r="K4048" s="5">
        <f t="shared" si="160"/>
        <v>0.44731896075182537</v>
      </c>
    </row>
    <row r="4049" spans="1:11" x14ac:dyDescent="0.25">
      <c r="A4049" t="s">
        <v>732</v>
      </c>
      <c r="C4049" t="s">
        <v>88</v>
      </c>
      <c r="D4049" t="s">
        <v>5</v>
      </c>
      <c r="E4049" t="s">
        <v>6</v>
      </c>
      <c r="F4049" t="s">
        <v>7</v>
      </c>
      <c r="G4049">
        <v>1</v>
      </c>
      <c r="H4049" s="2">
        <f>Tabelle13[[#This Row],[commits]]/Tabelle13[[#Totals],[commits]]</f>
        <v>4.6477904404246225E-6</v>
      </c>
      <c r="I4049" s="5">
        <f>Tabelle13[[#This Row],[%]]+I4048</f>
        <v>0.97677034337874014</v>
      </c>
      <c r="J4049" s="4">
        <f t="shared" si="159"/>
        <v>1.105583195135434E-4</v>
      </c>
      <c r="K4049" s="5">
        <f t="shared" si="160"/>
        <v>0.44742951907133893</v>
      </c>
    </row>
    <row r="4050" spans="1:11" x14ac:dyDescent="0.25">
      <c r="A4050" t="s">
        <v>733</v>
      </c>
      <c r="C4050" t="s">
        <v>734</v>
      </c>
      <c r="D4050" t="s">
        <v>5</v>
      </c>
      <c r="E4050" t="s">
        <v>6</v>
      </c>
      <c r="F4050" t="s">
        <v>7</v>
      </c>
      <c r="G4050">
        <v>1</v>
      </c>
      <c r="H4050" s="2">
        <f>Tabelle13[[#This Row],[commits]]/Tabelle13[[#Totals],[commits]]</f>
        <v>4.6477904404246225E-6</v>
      </c>
      <c r="I4050" s="5">
        <f>Tabelle13[[#This Row],[%]]+I4049</f>
        <v>0.97677499116918054</v>
      </c>
      <c r="J4050" s="4">
        <f t="shared" si="159"/>
        <v>1.105583195135434E-4</v>
      </c>
      <c r="K4050" s="5">
        <f t="shared" si="160"/>
        <v>0.4475400773908525</v>
      </c>
    </row>
    <row r="4051" spans="1:11" x14ac:dyDescent="0.25">
      <c r="A4051" t="s">
        <v>735</v>
      </c>
      <c r="C4051" t="s">
        <v>736</v>
      </c>
      <c r="D4051" t="s">
        <v>5</v>
      </c>
      <c r="E4051" t="s">
        <v>6</v>
      </c>
      <c r="F4051" t="s">
        <v>7</v>
      </c>
      <c r="G4051">
        <v>1</v>
      </c>
      <c r="H4051" s="2">
        <f>Tabelle13[[#This Row],[commits]]/Tabelle13[[#Totals],[commits]]</f>
        <v>4.6477904404246225E-6</v>
      </c>
      <c r="I4051" s="5">
        <f>Tabelle13[[#This Row],[%]]+I4050</f>
        <v>0.97677963895962094</v>
      </c>
      <c r="J4051" s="4">
        <f t="shared" si="159"/>
        <v>1.105583195135434E-4</v>
      </c>
      <c r="K4051" s="5">
        <f t="shared" si="160"/>
        <v>0.44765063571036606</v>
      </c>
    </row>
    <row r="4052" spans="1:11" x14ac:dyDescent="0.25">
      <c r="A4052" t="s">
        <v>737</v>
      </c>
      <c r="C4052" t="s">
        <v>738</v>
      </c>
      <c r="D4052" t="s">
        <v>5</v>
      </c>
      <c r="E4052" t="s">
        <v>6</v>
      </c>
      <c r="F4052" t="s">
        <v>7</v>
      </c>
      <c r="G4052">
        <v>1</v>
      </c>
      <c r="H4052" s="2">
        <f>Tabelle13[[#This Row],[commits]]/Tabelle13[[#Totals],[commits]]</f>
        <v>4.6477904404246225E-6</v>
      </c>
      <c r="I4052" s="5">
        <f>Tabelle13[[#This Row],[%]]+I4051</f>
        <v>0.97678428675006135</v>
      </c>
      <c r="J4052" s="4">
        <f t="shared" si="159"/>
        <v>1.105583195135434E-4</v>
      </c>
      <c r="K4052" s="5">
        <f t="shared" si="160"/>
        <v>0.44776119402987963</v>
      </c>
    </row>
    <row r="4053" spans="1:11" x14ac:dyDescent="0.25">
      <c r="A4053" t="s">
        <v>739</v>
      </c>
      <c r="C4053" t="s">
        <v>740</v>
      </c>
      <c r="D4053" t="s">
        <v>5</v>
      </c>
      <c r="E4053" t="s">
        <v>6</v>
      </c>
      <c r="F4053" t="s">
        <v>7</v>
      </c>
      <c r="G4053">
        <v>1</v>
      </c>
      <c r="H4053" s="2">
        <f>Tabelle13[[#This Row],[commits]]/Tabelle13[[#Totals],[commits]]</f>
        <v>4.6477904404246225E-6</v>
      </c>
      <c r="I4053" s="5">
        <f>Tabelle13[[#This Row],[%]]+I4052</f>
        <v>0.97678893454050175</v>
      </c>
      <c r="J4053" s="4">
        <f t="shared" si="159"/>
        <v>1.105583195135434E-4</v>
      </c>
      <c r="K4053" s="5">
        <f t="shared" si="160"/>
        <v>0.44787175234939319</v>
      </c>
    </row>
    <row r="4054" spans="1:11" x14ac:dyDescent="0.25">
      <c r="A4054" t="s">
        <v>741</v>
      </c>
      <c r="C4054" t="s">
        <v>742</v>
      </c>
      <c r="D4054" t="s">
        <v>5</v>
      </c>
      <c r="E4054" t="s">
        <v>6</v>
      </c>
      <c r="F4054" t="s">
        <v>7</v>
      </c>
      <c r="G4054">
        <v>1</v>
      </c>
      <c r="H4054" s="2">
        <f>Tabelle13[[#This Row],[commits]]/Tabelle13[[#Totals],[commits]]</f>
        <v>4.6477904404246225E-6</v>
      </c>
      <c r="I4054" s="5">
        <f>Tabelle13[[#This Row],[%]]+I4053</f>
        <v>0.97679358233094216</v>
      </c>
      <c r="J4054" s="4">
        <f t="shared" si="159"/>
        <v>1.105583195135434E-4</v>
      </c>
      <c r="K4054" s="5">
        <f t="shared" si="160"/>
        <v>0.44798231066890676</v>
      </c>
    </row>
    <row r="4055" spans="1:11" x14ac:dyDescent="0.25">
      <c r="A4055" t="s">
        <v>743</v>
      </c>
      <c r="C4055" t="s">
        <v>744</v>
      </c>
      <c r="D4055" t="s">
        <v>5</v>
      </c>
      <c r="E4055" t="s">
        <v>6</v>
      </c>
      <c r="F4055" t="s">
        <v>7</v>
      </c>
      <c r="G4055">
        <v>1</v>
      </c>
      <c r="H4055" s="2">
        <f>Tabelle13[[#This Row],[commits]]/Tabelle13[[#Totals],[commits]]</f>
        <v>4.6477904404246225E-6</v>
      </c>
      <c r="I4055" s="5">
        <f>Tabelle13[[#This Row],[%]]+I4054</f>
        <v>0.97679823012138256</v>
      </c>
      <c r="J4055" s="4">
        <f t="shared" si="159"/>
        <v>1.105583195135434E-4</v>
      </c>
      <c r="K4055" s="5">
        <f t="shared" si="160"/>
        <v>0.44809286898842032</v>
      </c>
    </row>
    <row r="4056" spans="1:11" x14ac:dyDescent="0.25">
      <c r="A4056" t="s">
        <v>745</v>
      </c>
      <c r="C4056" t="s">
        <v>746</v>
      </c>
      <c r="D4056" t="s">
        <v>5</v>
      </c>
      <c r="E4056" t="s">
        <v>6</v>
      </c>
      <c r="F4056" t="s">
        <v>7</v>
      </c>
      <c r="G4056">
        <v>1</v>
      </c>
      <c r="H4056" s="2">
        <f>Tabelle13[[#This Row],[commits]]/Tabelle13[[#Totals],[commits]]</f>
        <v>4.6477904404246225E-6</v>
      </c>
      <c r="I4056" s="5">
        <f>Tabelle13[[#This Row],[%]]+I4055</f>
        <v>0.97680287791182296</v>
      </c>
      <c r="J4056" s="4">
        <f t="shared" si="159"/>
        <v>1.105583195135434E-4</v>
      </c>
      <c r="K4056" s="5">
        <f t="shared" si="160"/>
        <v>0.44820342730793389</v>
      </c>
    </row>
    <row r="4057" spans="1:11" x14ac:dyDescent="0.25">
      <c r="A4057" t="s">
        <v>747</v>
      </c>
      <c r="C4057" t="s">
        <v>748</v>
      </c>
      <c r="D4057" t="s">
        <v>5</v>
      </c>
      <c r="E4057" t="s">
        <v>6</v>
      </c>
      <c r="F4057" t="s">
        <v>7</v>
      </c>
      <c r="G4057">
        <v>1</v>
      </c>
      <c r="H4057" s="2">
        <f>Tabelle13[[#This Row],[commits]]/Tabelle13[[#Totals],[commits]]</f>
        <v>4.6477904404246225E-6</v>
      </c>
      <c r="I4057" s="5">
        <f>Tabelle13[[#This Row],[%]]+I4056</f>
        <v>0.97680752570226337</v>
      </c>
      <c r="J4057" s="4">
        <f t="shared" si="159"/>
        <v>1.105583195135434E-4</v>
      </c>
      <c r="K4057" s="5">
        <f t="shared" si="160"/>
        <v>0.44831398562744745</v>
      </c>
    </row>
    <row r="4058" spans="1:11" x14ac:dyDescent="0.25">
      <c r="A4058" t="s">
        <v>749</v>
      </c>
      <c r="C4058" t="s">
        <v>750</v>
      </c>
      <c r="D4058" t="s">
        <v>5</v>
      </c>
      <c r="E4058" t="s">
        <v>6</v>
      </c>
      <c r="F4058" t="s">
        <v>7</v>
      </c>
      <c r="G4058">
        <v>1</v>
      </c>
      <c r="H4058" s="2">
        <f>Tabelle13[[#This Row],[commits]]/Tabelle13[[#Totals],[commits]]</f>
        <v>4.6477904404246225E-6</v>
      </c>
      <c r="I4058" s="5">
        <f>Tabelle13[[#This Row],[%]]+I4057</f>
        <v>0.97681217349270377</v>
      </c>
      <c r="J4058" s="4">
        <f t="shared" si="159"/>
        <v>1.105583195135434E-4</v>
      </c>
      <c r="K4058" s="5">
        <f t="shared" si="160"/>
        <v>0.44842454394696102</v>
      </c>
    </row>
    <row r="4059" spans="1:11" x14ac:dyDescent="0.25">
      <c r="A4059" t="s">
        <v>751</v>
      </c>
      <c r="C4059" t="s">
        <v>752</v>
      </c>
      <c r="D4059" t="s">
        <v>5</v>
      </c>
      <c r="E4059" t="s">
        <v>6</v>
      </c>
      <c r="F4059" t="s">
        <v>7</v>
      </c>
      <c r="G4059">
        <v>1</v>
      </c>
      <c r="H4059" s="2">
        <f>Tabelle13[[#This Row],[commits]]/Tabelle13[[#Totals],[commits]]</f>
        <v>4.6477904404246225E-6</v>
      </c>
      <c r="I4059" s="5">
        <f>Tabelle13[[#This Row],[%]]+I4058</f>
        <v>0.97681682128314418</v>
      </c>
      <c r="J4059" s="4">
        <f t="shared" si="159"/>
        <v>1.105583195135434E-4</v>
      </c>
      <c r="K4059" s="5">
        <f t="shared" si="160"/>
        <v>0.44853510226647458</v>
      </c>
    </row>
    <row r="4060" spans="1:11" x14ac:dyDescent="0.25">
      <c r="A4060" t="s">
        <v>753</v>
      </c>
      <c r="C4060" t="s">
        <v>754</v>
      </c>
      <c r="D4060" t="s">
        <v>5</v>
      </c>
      <c r="E4060" t="s">
        <v>6</v>
      </c>
      <c r="F4060" t="s">
        <v>7</v>
      </c>
      <c r="G4060">
        <v>1</v>
      </c>
      <c r="H4060" s="2">
        <f>Tabelle13[[#This Row],[commits]]/Tabelle13[[#Totals],[commits]]</f>
        <v>4.6477904404246225E-6</v>
      </c>
      <c r="I4060" s="5">
        <f>Tabelle13[[#This Row],[%]]+I4059</f>
        <v>0.97682146907358458</v>
      </c>
      <c r="J4060" s="4">
        <f t="shared" si="159"/>
        <v>1.105583195135434E-4</v>
      </c>
      <c r="K4060" s="5">
        <f t="shared" si="160"/>
        <v>0.44864566058598815</v>
      </c>
    </row>
    <row r="4061" spans="1:11" x14ac:dyDescent="0.25">
      <c r="A4061" t="s">
        <v>755</v>
      </c>
      <c r="C4061" t="s">
        <v>756</v>
      </c>
      <c r="D4061" t="s">
        <v>5</v>
      </c>
      <c r="E4061" t="s">
        <v>6</v>
      </c>
      <c r="F4061" t="s">
        <v>7</v>
      </c>
      <c r="G4061">
        <v>1</v>
      </c>
      <c r="H4061" s="2">
        <f>Tabelle13[[#This Row],[commits]]/Tabelle13[[#Totals],[commits]]</f>
        <v>4.6477904404246225E-6</v>
      </c>
      <c r="I4061" s="5">
        <f>Tabelle13[[#This Row],[%]]+I4060</f>
        <v>0.97682611686402498</v>
      </c>
      <c r="J4061" s="4">
        <f t="shared" si="159"/>
        <v>1.105583195135434E-4</v>
      </c>
      <c r="K4061" s="5">
        <f t="shared" si="160"/>
        <v>0.44875621890550171</v>
      </c>
    </row>
    <row r="4062" spans="1:11" x14ac:dyDescent="0.25">
      <c r="A4062" t="s">
        <v>757</v>
      </c>
      <c r="C4062" t="s">
        <v>758</v>
      </c>
      <c r="D4062" t="s">
        <v>5</v>
      </c>
      <c r="E4062" t="s">
        <v>6</v>
      </c>
      <c r="F4062" t="s">
        <v>7</v>
      </c>
      <c r="G4062">
        <v>1</v>
      </c>
      <c r="H4062" s="2">
        <f>Tabelle13[[#This Row],[commits]]/Tabelle13[[#Totals],[commits]]</f>
        <v>4.6477904404246225E-6</v>
      </c>
      <c r="I4062" s="5">
        <f>Tabelle13[[#This Row],[%]]+I4061</f>
        <v>0.97683076465446539</v>
      </c>
      <c r="J4062" s="4">
        <f t="shared" si="159"/>
        <v>1.105583195135434E-4</v>
      </c>
      <c r="K4062" s="5">
        <f t="shared" si="160"/>
        <v>0.44886677722501528</v>
      </c>
    </row>
    <row r="4063" spans="1:11" x14ac:dyDescent="0.25">
      <c r="A4063" t="s">
        <v>759</v>
      </c>
      <c r="C4063" t="s">
        <v>760</v>
      </c>
      <c r="D4063" t="s">
        <v>5</v>
      </c>
      <c r="E4063" t="s">
        <v>6</v>
      </c>
      <c r="F4063" t="s">
        <v>7</v>
      </c>
      <c r="G4063">
        <v>1</v>
      </c>
      <c r="H4063" s="2">
        <f>Tabelle13[[#This Row],[commits]]/Tabelle13[[#Totals],[commits]]</f>
        <v>4.6477904404246225E-6</v>
      </c>
      <c r="I4063" s="5">
        <f>Tabelle13[[#This Row],[%]]+I4062</f>
        <v>0.97683541244490579</v>
      </c>
      <c r="J4063" s="4">
        <f t="shared" si="159"/>
        <v>1.105583195135434E-4</v>
      </c>
      <c r="K4063" s="5">
        <f t="shared" si="160"/>
        <v>0.44897733554452884</v>
      </c>
    </row>
    <row r="4064" spans="1:11" x14ac:dyDescent="0.25">
      <c r="A4064" t="s">
        <v>761</v>
      </c>
      <c r="C4064" t="s">
        <v>762</v>
      </c>
      <c r="D4064" t="s">
        <v>5</v>
      </c>
      <c r="E4064" t="s">
        <v>6</v>
      </c>
      <c r="F4064" t="s">
        <v>7</v>
      </c>
      <c r="G4064">
        <v>1</v>
      </c>
      <c r="H4064" s="2">
        <f>Tabelle13[[#This Row],[commits]]/Tabelle13[[#Totals],[commits]]</f>
        <v>4.6477904404246225E-6</v>
      </c>
      <c r="I4064" s="5">
        <f>Tabelle13[[#This Row],[%]]+I4063</f>
        <v>0.9768400602353462</v>
      </c>
      <c r="J4064" s="4">
        <f t="shared" si="159"/>
        <v>1.105583195135434E-4</v>
      </c>
      <c r="K4064" s="5">
        <f t="shared" si="160"/>
        <v>0.44908789386404241</v>
      </c>
    </row>
    <row r="4065" spans="1:11" x14ac:dyDescent="0.25">
      <c r="A4065" t="s">
        <v>763</v>
      </c>
      <c r="C4065" t="s">
        <v>764</v>
      </c>
      <c r="D4065" t="s">
        <v>5</v>
      </c>
      <c r="E4065" t="s">
        <v>6</v>
      </c>
      <c r="F4065" t="s">
        <v>7</v>
      </c>
      <c r="G4065">
        <v>1</v>
      </c>
      <c r="H4065" s="2">
        <f>Tabelle13[[#This Row],[commits]]/Tabelle13[[#Totals],[commits]]</f>
        <v>4.6477904404246225E-6</v>
      </c>
      <c r="I4065" s="5">
        <f>Tabelle13[[#This Row],[%]]+I4064</f>
        <v>0.9768447080257866</v>
      </c>
      <c r="J4065" s="4">
        <f t="shared" si="159"/>
        <v>1.105583195135434E-4</v>
      </c>
      <c r="K4065" s="5">
        <f t="shared" si="160"/>
        <v>0.44919845218355597</v>
      </c>
    </row>
    <row r="4066" spans="1:11" x14ac:dyDescent="0.25">
      <c r="A4066" t="s">
        <v>765</v>
      </c>
      <c r="C4066" t="s">
        <v>766</v>
      </c>
      <c r="D4066" t="s">
        <v>5</v>
      </c>
      <c r="E4066" t="s">
        <v>6</v>
      </c>
      <c r="F4066" t="s">
        <v>7</v>
      </c>
      <c r="G4066">
        <v>1</v>
      </c>
      <c r="H4066" s="2">
        <f>Tabelle13[[#This Row],[commits]]/Tabelle13[[#Totals],[commits]]</f>
        <v>4.6477904404246225E-6</v>
      </c>
      <c r="I4066" s="5">
        <f>Tabelle13[[#This Row],[%]]+I4065</f>
        <v>0.97684935581622701</v>
      </c>
      <c r="J4066" s="4">
        <f t="shared" si="159"/>
        <v>1.105583195135434E-4</v>
      </c>
      <c r="K4066" s="5">
        <f t="shared" si="160"/>
        <v>0.44930901050306954</v>
      </c>
    </row>
    <row r="4067" spans="1:11" x14ac:dyDescent="0.25">
      <c r="A4067" t="s">
        <v>767</v>
      </c>
      <c r="C4067" t="s">
        <v>768</v>
      </c>
      <c r="D4067" t="s">
        <v>5</v>
      </c>
      <c r="E4067" t="s">
        <v>6</v>
      </c>
      <c r="F4067" t="s">
        <v>7</v>
      </c>
      <c r="G4067">
        <v>1</v>
      </c>
      <c r="H4067" s="2">
        <f>Tabelle13[[#This Row],[commits]]/Tabelle13[[#Totals],[commits]]</f>
        <v>4.6477904404246225E-6</v>
      </c>
      <c r="I4067" s="5">
        <f>Tabelle13[[#This Row],[%]]+I4066</f>
        <v>0.97685400360666741</v>
      </c>
      <c r="J4067" s="4">
        <f t="shared" si="159"/>
        <v>1.105583195135434E-4</v>
      </c>
      <c r="K4067" s="5">
        <f t="shared" si="160"/>
        <v>0.4494195688225831</v>
      </c>
    </row>
    <row r="4068" spans="1:11" x14ac:dyDescent="0.25">
      <c r="A4068" t="s">
        <v>769</v>
      </c>
      <c r="C4068" t="s">
        <v>770</v>
      </c>
      <c r="D4068" t="s">
        <v>5</v>
      </c>
      <c r="E4068" t="s">
        <v>6</v>
      </c>
      <c r="F4068" t="s">
        <v>7</v>
      </c>
      <c r="G4068">
        <v>1</v>
      </c>
      <c r="H4068" s="2">
        <f>Tabelle13[[#This Row],[commits]]/Tabelle13[[#Totals],[commits]]</f>
        <v>4.6477904404246225E-6</v>
      </c>
      <c r="I4068" s="5">
        <f>Tabelle13[[#This Row],[%]]+I4067</f>
        <v>0.97685865139710781</v>
      </c>
      <c r="J4068" s="4">
        <f t="shared" si="159"/>
        <v>1.105583195135434E-4</v>
      </c>
      <c r="K4068" s="5">
        <f t="shared" si="160"/>
        <v>0.44953012714209667</v>
      </c>
    </row>
    <row r="4069" spans="1:11" x14ac:dyDescent="0.25">
      <c r="A4069" t="s">
        <v>773</v>
      </c>
      <c r="C4069" t="s">
        <v>774</v>
      </c>
      <c r="D4069" t="s">
        <v>5</v>
      </c>
      <c r="E4069" t="s">
        <v>6</v>
      </c>
      <c r="F4069" t="s">
        <v>7</v>
      </c>
      <c r="G4069">
        <v>1</v>
      </c>
      <c r="H4069" s="2">
        <f>Tabelle13[[#This Row],[commits]]/Tabelle13[[#Totals],[commits]]</f>
        <v>4.6477904404246225E-6</v>
      </c>
      <c r="I4069" s="5">
        <f>Tabelle13[[#This Row],[%]]+I4068</f>
        <v>0.97686329918754822</v>
      </c>
      <c r="J4069" s="4">
        <f t="shared" si="159"/>
        <v>1.105583195135434E-4</v>
      </c>
      <c r="K4069" s="5">
        <f t="shared" si="160"/>
        <v>0.44964068546161023</v>
      </c>
    </row>
    <row r="4070" spans="1:11" x14ac:dyDescent="0.25">
      <c r="A4070" t="s">
        <v>775</v>
      </c>
      <c r="C4070" t="s">
        <v>776</v>
      </c>
      <c r="D4070" t="s">
        <v>5</v>
      </c>
      <c r="E4070" t="s">
        <v>6</v>
      </c>
      <c r="F4070" t="s">
        <v>7</v>
      </c>
      <c r="G4070">
        <v>1</v>
      </c>
      <c r="H4070" s="2">
        <f>Tabelle13[[#This Row],[commits]]/Tabelle13[[#Totals],[commits]]</f>
        <v>4.6477904404246225E-6</v>
      </c>
      <c r="I4070" s="5">
        <f>Tabelle13[[#This Row],[%]]+I4069</f>
        <v>0.97686794697798862</v>
      </c>
      <c r="J4070" s="4">
        <f t="shared" si="159"/>
        <v>1.105583195135434E-4</v>
      </c>
      <c r="K4070" s="5">
        <f t="shared" si="160"/>
        <v>0.4497512437811238</v>
      </c>
    </row>
    <row r="4071" spans="1:11" x14ac:dyDescent="0.25">
      <c r="A4071" t="s">
        <v>777</v>
      </c>
      <c r="C4071" t="s">
        <v>778</v>
      </c>
      <c r="D4071" t="s">
        <v>5</v>
      </c>
      <c r="E4071" t="s">
        <v>6</v>
      </c>
      <c r="F4071" t="s">
        <v>7</v>
      </c>
      <c r="G4071">
        <v>1</v>
      </c>
      <c r="H4071" s="2">
        <f>Tabelle13[[#This Row],[commits]]/Tabelle13[[#Totals],[commits]]</f>
        <v>4.6477904404246225E-6</v>
      </c>
      <c r="I4071" s="5">
        <f>Tabelle13[[#This Row],[%]]+I4070</f>
        <v>0.97687259476842903</v>
      </c>
      <c r="J4071" s="4">
        <f t="shared" si="159"/>
        <v>1.105583195135434E-4</v>
      </c>
      <c r="K4071" s="5">
        <f t="shared" si="160"/>
        <v>0.44986180210063736</v>
      </c>
    </row>
    <row r="4072" spans="1:11" x14ac:dyDescent="0.25">
      <c r="A4072" t="s">
        <v>779</v>
      </c>
      <c r="C4072" t="s">
        <v>780</v>
      </c>
      <c r="D4072" t="s">
        <v>5</v>
      </c>
      <c r="E4072" t="s">
        <v>6</v>
      </c>
      <c r="F4072" t="s">
        <v>7</v>
      </c>
      <c r="G4072">
        <v>1</v>
      </c>
      <c r="H4072" s="2">
        <f>Tabelle13[[#This Row],[commits]]/Tabelle13[[#Totals],[commits]]</f>
        <v>4.6477904404246225E-6</v>
      </c>
      <c r="I4072" s="5">
        <f>Tabelle13[[#This Row],[%]]+I4071</f>
        <v>0.97687724255886943</v>
      </c>
      <c r="J4072" s="4">
        <f t="shared" si="159"/>
        <v>1.105583195135434E-4</v>
      </c>
      <c r="K4072" s="5">
        <f t="shared" si="160"/>
        <v>0.44997236042015093</v>
      </c>
    </row>
    <row r="4073" spans="1:11" x14ac:dyDescent="0.25">
      <c r="A4073" t="s">
        <v>781</v>
      </c>
      <c r="C4073" t="s">
        <v>782</v>
      </c>
      <c r="D4073" t="s">
        <v>5</v>
      </c>
      <c r="E4073" t="s">
        <v>6</v>
      </c>
      <c r="F4073" t="s">
        <v>7</v>
      </c>
      <c r="G4073">
        <v>1</v>
      </c>
      <c r="H4073" s="2">
        <f>Tabelle13[[#This Row],[commits]]/Tabelle13[[#Totals],[commits]]</f>
        <v>4.6477904404246225E-6</v>
      </c>
      <c r="I4073" s="5">
        <f>Tabelle13[[#This Row],[%]]+I4072</f>
        <v>0.97688189034930983</v>
      </c>
      <c r="J4073" s="4">
        <f t="shared" si="159"/>
        <v>1.105583195135434E-4</v>
      </c>
      <c r="K4073" s="5">
        <f t="shared" si="160"/>
        <v>0.45008291873966449</v>
      </c>
    </row>
    <row r="4074" spans="1:11" x14ac:dyDescent="0.25">
      <c r="A4074" t="s">
        <v>783</v>
      </c>
      <c r="C4074" t="s">
        <v>784</v>
      </c>
      <c r="D4074" t="s">
        <v>5</v>
      </c>
      <c r="E4074" t="s">
        <v>6</v>
      </c>
      <c r="F4074" t="s">
        <v>7</v>
      </c>
      <c r="G4074">
        <v>1</v>
      </c>
      <c r="H4074" s="2">
        <f>Tabelle13[[#This Row],[commits]]/Tabelle13[[#Totals],[commits]]</f>
        <v>4.6477904404246225E-6</v>
      </c>
      <c r="I4074" s="5">
        <f>Tabelle13[[#This Row],[%]]+I4073</f>
        <v>0.97688653813975024</v>
      </c>
      <c r="J4074" s="4">
        <f t="shared" si="159"/>
        <v>1.105583195135434E-4</v>
      </c>
      <c r="K4074" s="5">
        <f t="shared" si="160"/>
        <v>0.45019347705917806</v>
      </c>
    </row>
    <row r="4075" spans="1:11" x14ac:dyDescent="0.25">
      <c r="A4075" t="s">
        <v>785</v>
      </c>
      <c r="C4075" t="s">
        <v>786</v>
      </c>
      <c r="D4075" t="s">
        <v>5</v>
      </c>
      <c r="E4075" t="s">
        <v>6</v>
      </c>
      <c r="F4075" t="s">
        <v>7</v>
      </c>
      <c r="G4075">
        <v>1</v>
      </c>
      <c r="H4075" s="2">
        <f>Tabelle13[[#This Row],[commits]]/Tabelle13[[#Totals],[commits]]</f>
        <v>4.6477904404246225E-6</v>
      </c>
      <c r="I4075" s="5">
        <f>Tabelle13[[#This Row],[%]]+I4074</f>
        <v>0.97689118593019064</v>
      </c>
      <c r="J4075" s="4">
        <f t="shared" si="159"/>
        <v>1.105583195135434E-4</v>
      </c>
      <c r="K4075" s="5">
        <f t="shared" si="160"/>
        <v>0.45030403537869163</v>
      </c>
    </row>
    <row r="4076" spans="1:11" x14ac:dyDescent="0.25">
      <c r="A4076" t="s">
        <v>787</v>
      </c>
      <c r="C4076" t="s">
        <v>788</v>
      </c>
      <c r="D4076" t="s">
        <v>5</v>
      </c>
      <c r="E4076" t="s">
        <v>6</v>
      </c>
      <c r="F4076" t="s">
        <v>7</v>
      </c>
      <c r="G4076">
        <v>1</v>
      </c>
      <c r="H4076" s="2">
        <f>Tabelle13[[#This Row],[commits]]/Tabelle13[[#Totals],[commits]]</f>
        <v>4.6477904404246225E-6</v>
      </c>
      <c r="I4076" s="5">
        <f>Tabelle13[[#This Row],[%]]+I4075</f>
        <v>0.97689583372063105</v>
      </c>
      <c r="J4076" s="4">
        <f t="shared" si="159"/>
        <v>1.105583195135434E-4</v>
      </c>
      <c r="K4076" s="5">
        <f t="shared" si="160"/>
        <v>0.45041459369820519</v>
      </c>
    </row>
    <row r="4077" spans="1:11" x14ac:dyDescent="0.25">
      <c r="A4077" t="s">
        <v>789</v>
      </c>
      <c r="C4077" t="s">
        <v>790</v>
      </c>
      <c r="D4077" t="s">
        <v>5</v>
      </c>
      <c r="E4077" t="s">
        <v>6</v>
      </c>
      <c r="F4077" t="s">
        <v>7</v>
      </c>
      <c r="G4077">
        <v>1</v>
      </c>
      <c r="H4077" s="2">
        <f>Tabelle13[[#This Row],[commits]]/Tabelle13[[#Totals],[commits]]</f>
        <v>4.6477904404246225E-6</v>
      </c>
      <c r="I4077" s="5">
        <f>Tabelle13[[#This Row],[%]]+I4076</f>
        <v>0.97690048151107145</v>
      </c>
      <c r="J4077" s="4">
        <f t="shared" si="159"/>
        <v>1.105583195135434E-4</v>
      </c>
      <c r="K4077" s="5">
        <f t="shared" si="160"/>
        <v>0.45052515201771876</v>
      </c>
    </row>
    <row r="4078" spans="1:11" x14ac:dyDescent="0.25">
      <c r="A4078" t="s">
        <v>791</v>
      </c>
      <c r="C4078" t="s">
        <v>792</v>
      </c>
      <c r="D4078" t="s">
        <v>5</v>
      </c>
      <c r="E4078" t="s">
        <v>6</v>
      </c>
      <c r="F4078" t="s">
        <v>7</v>
      </c>
      <c r="G4078">
        <v>1</v>
      </c>
      <c r="H4078" s="2">
        <f>Tabelle13[[#This Row],[commits]]/Tabelle13[[#Totals],[commits]]</f>
        <v>4.6477904404246225E-6</v>
      </c>
      <c r="I4078" s="5">
        <f>Tabelle13[[#This Row],[%]]+I4077</f>
        <v>0.97690512930151185</v>
      </c>
      <c r="J4078" s="4">
        <f t="shared" si="159"/>
        <v>1.105583195135434E-4</v>
      </c>
      <c r="K4078" s="5">
        <f t="shared" si="160"/>
        <v>0.45063571033723232</v>
      </c>
    </row>
    <row r="4079" spans="1:11" x14ac:dyDescent="0.25">
      <c r="A4079" t="s">
        <v>793</v>
      </c>
      <c r="C4079" t="s">
        <v>794</v>
      </c>
      <c r="D4079" t="s">
        <v>5</v>
      </c>
      <c r="E4079" t="s">
        <v>6</v>
      </c>
      <c r="F4079" t="s">
        <v>7</v>
      </c>
      <c r="G4079">
        <v>1</v>
      </c>
      <c r="H4079" s="2">
        <f>Tabelle13[[#This Row],[commits]]/Tabelle13[[#Totals],[commits]]</f>
        <v>4.6477904404246225E-6</v>
      </c>
      <c r="I4079" s="5">
        <f>Tabelle13[[#This Row],[%]]+I4078</f>
        <v>0.97690977709195226</v>
      </c>
      <c r="J4079" s="4">
        <f t="shared" si="159"/>
        <v>1.105583195135434E-4</v>
      </c>
      <c r="K4079" s="5">
        <f t="shared" si="160"/>
        <v>0.45074626865674589</v>
      </c>
    </row>
    <row r="4080" spans="1:11" x14ac:dyDescent="0.25">
      <c r="A4080" t="s">
        <v>795</v>
      </c>
      <c r="C4080" t="s">
        <v>796</v>
      </c>
      <c r="D4080" t="s">
        <v>5</v>
      </c>
      <c r="E4080" t="s">
        <v>6</v>
      </c>
      <c r="F4080" t="s">
        <v>7</v>
      </c>
      <c r="G4080">
        <v>1</v>
      </c>
      <c r="H4080" s="2">
        <f>Tabelle13[[#This Row],[commits]]/Tabelle13[[#Totals],[commits]]</f>
        <v>4.6477904404246225E-6</v>
      </c>
      <c r="I4080" s="5">
        <f>Tabelle13[[#This Row],[%]]+I4079</f>
        <v>0.97691442488239266</v>
      </c>
      <c r="J4080" s="4">
        <f t="shared" si="159"/>
        <v>1.105583195135434E-4</v>
      </c>
      <c r="K4080" s="5">
        <f t="shared" si="160"/>
        <v>0.45085682697625945</v>
      </c>
    </row>
    <row r="4081" spans="1:11" x14ac:dyDescent="0.25">
      <c r="A4081" t="s">
        <v>797</v>
      </c>
      <c r="C4081" t="s">
        <v>211</v>
      </c>
      <c r="D4081" t="s">
        <v>5</v>
      </c>
      <c r="E4081" t="s">
        <v>6</v>
      </c>
      <c r="F4081" t="s">
        <v>7</v>
      </c>
      <c r="G4081">
        <v>1</v>
      </c>
      <c r="H4081" s="2">
        <f>Tabelle13[[#This Row],[commits]]/Tabelle13[[#Totals],[commits]]</f>
        <v>4.6477904404246225E-6</v>
      </c>
      <c r="I4081" s="5">
        <f>Tabelle13[[#This Row],[%]]+I4080</f>
        <v>0.97691907267283307</v>
      </c>
      <c r="J4081" s="4">
        <f t="shared" si="159"/>
        <v>1.105583195135434E-4</v>
      </c>
      <c r="K4081" s="5">
        <f t="shared" si="160"/>
        <v>0.45096738529577302</v>
      </c>
    </row>
    <row r="4082" spans="1:11" x14ac:dyDescent="0.25">
      <c r="A4082" t="s">
        <v>798</v>
      </c>
      <c r="C4082" t="s">
        <v>799</v>
      </c>
      <c r="D4082" t="s">
        <v>5</v>
      </c>
      <c r="E4082" t="s">
        <v>6</v>
      </c>
      <c r="F4082" t="s">
        <v>7</v>
      </c>
      <c r="G4082">
        <v>1</v>
      </c>
      <c r="H4082" s="2">
        <f>Tabelle13[[#This Row],[commits]]/Tabelle13[[#Totals],[commits]]</f>
        <v>4.6477904404246225E-6</v>
      </c>
      <c r="I4082" s="5">
        <f>Tabelle13[[#This Row],[%]]+I4081</f>
        <v>0.97692372046327347</v>
      </c>
      <c r="J4082" s="4">
        <f t="shared" si="159"/>
        <v>1.105583195135434E-4</v>
      </c>
      <c r="K4082" s="5">
        <f t="shared" si="160"/>
        <v>0.45107794361528658</v>
      </c>
    </row>
    <row r="4083" spans="1:11" x14ac:dyDescent="0.25">
      <c r="A4083" t="s">
        <v>800</v>
      </c>
      <c r="C4083" t="s">
        <v>801</v>
      </c>
      <c r="D4083" t="s">
        <v>5</v>
      </c>
      <c r="E4083" t="s">
        <v>6</v>
      </c>
      <c r="F4083" t="s">
        <v>7</v>
      </c>
      <c r="G4083">
        <v>1</v>
      </c>
      <c r="H4083" s="2">
        <f>Tabelle13[[#This Row],[commits]]/Tabelle13[[#Totals],[commits]]</f>
        <v>4.6477904404246225E-6</v>
      </c>
      <c r="I4083" s="5">
        <f>Tabelle13[[#This Row],[%]]+I4082</f>
        <v>0.97692836825371387</v>
      </c>
      <c r="J4083" s="4">
        <f t="shared" si="159"/>
        <v>1.105583195135434E-4</v>
      </c>
      <c r="K4083" s="5">
        <f t="shared" si="160"/>
        <v>0.45118850193480015</v>
      </c>
    </row>
    <row r="4084" spans="1:11" x14ac:dyDescent="0.25">
      <c r="A4084" t="s">
        <v>802</v>
      </c>
      <c r="C4084" t="s">
        <v>803</v>
      </c>
      <c r="D4084" t="s">
        <v>5</v>
      </c>
      <c r="E4084" t="s">
        <v>6</v>
      </c>
      <c r="F4084" t="s">
        <v>7</v>
      </c>
      <c r="G4084">
        <v>1</v>
      </c>
      <c r="H4084" s="2">
        <f>Tabelle13[[#This Row],[commits]]/Tabelle13[[#Totals],[commits]]</f>
        <v>4.6477904404246225E-6</v>
      </c>
      <c r="I4084" s="5">
        <f>Tabelle13[[#This Row],[%]]+I4083</f>
        <v>0.97693301604415428</v>
      </c>
      <c r="J4084" s="4">
        <f t="shared" si="159"/>
        <v>1.105583195135434E-4</v>
      </c>
      <c r="K4084" s="5">
        <f t="shared" si="160"/>
        <v>0.45129906025431371</v>
      </c>
    </row>
    <row r="4085" spans="1:11" x14ac:dyDescent="0.25">
      <c r="A4085" t="s">
        <v>804</v>
      </c>
      <c r="C4085" t="s">
        <v>805</v>
      </c>
      <c r="D4085" t="s">
        <v>5</v>
      </c>
      <c r="E4085" t="s">
        <v>6</v>
      </c>
      <c r="F4085" t="s">
        <v>7</v>
      </c>
      <c r="G4085">
        <v>1</v>
      </c>
      <c r="H4085" s="2">
        <f>Tabelle13[[#This Row],[commits]]/Tabelle13[[#Totals],[commits]]</f>
        <v>4.6477904404246225E-6</v>
      </c>
      <c r="I4085" s="5">
        <f>Tabelle13[[#This Row],[%]]+I4084</f>
        <v>0.97693766383459468</v>
      </c>
      <c r="J4085" s="4">
        <f t="shared" si="159"/>
        <v>1.105583195135434E-4</v>
      </c>
      <c r="K4085" s="5">
        <f t="shared" si="160"/>
        <v>0.45140961857382728</v>
      </c>
    </row>
    <row r="4086" spans="1:11" x14ac:dyDescent="0.25">
      <c r="A4086" t="s">
        <v>806</v>
      </c>
      <c r="C4086" t="s">
        <v>807</v>
      </c>
      <c r="D4086" t="s">
        <v>5</v>
      </c>
      <c r="E4086" t="s">
        <v>6</v>
      </c>
      <c r="F4086" t="s">
        <v>7</v>
      </c>
      <c r="G4086">
        <v>1</v>
      </c>
      <c r="H4086" s="2">
        <f>Tabelle13[[#This Row],[commits]]/Tabelle13[[#Totals],[commits]]</f>
        <v>4.6477904404246225E-6</v>
      </c>
      <c r="I4086" s="5">
        <f>Tabelle13[[#This Row],[%]]+I4085</f>
        <v>0.97694231162503509</v>
      </c>
      <c r="J4086" s="4">
        <f t="shared" si="159"/>
        <v>1.105583195135434E-4</v>
      </c>
      <c r="K4086" s="5">
        <f t="shared" si="160"/>
        <v>0.45152017689334084</v>
      </c>
    </row>
    <row r="4087" spans="1:11" x14ac:dyDescent="0.25">
      <c r="A4087" t="s">
        <v>808</v>
      </c>
      <c r="C4087" t="s">
        <v>809</v>
      </c>
      <c r="D4087" t="s">
        <v>5</v>
      </c>
      <c r="E4087" t="s">
        <v>6</v>
      </c>
      <c r="F4087" t="s">
        <v>7</v>
      </c>
      <c r="G4087">
        <v>1</v>
      </c>
      <c r="H4087" s="2">
        <f>Tabelle13[[#This Row],[commits]]/Tabelle13[[#Totals],[commits]]</f>
        <v>4.6477904404246225E-6</v>
      </c>
      <c r="I4087" s="5">
        <f>Tabelle13[[#This Row],[%]]+I4086</f>
        <v>0.97694695941547549</v>
      </c>
      <c r="J4087" s="4">
        <f t="shared" si="159"/>
        <v>1.105583195135434E-4</v>
      </c>
      <c r="K4087" s="5">
        <f t="shared" si="160"/>
        <v>0.45163073521285441</v>
      </c>
    </row>
    <row r="4088" spans="1:11" x14ac:dyDescent="0.25">
      <c r="A4088" t="s">
        <v>810</v>
      </c>
      <c r="C4088" t="s">
        <v>811</v>
      </c>
      <c r="D4088" t="s">
        <v>5</v>
      </c>
      <c r="E4088" t="s">
        <v>6</v>
      </c>
      <c r="F4088" t="s">
        <v>7</v>
      </c>
      <c r="G4088">
        <v>1</v>
      </c>
      <c r="H4088" s="2">
        <f>Tabelle13[[#This Row],[commits]]/Tabelle13[[#Totals],[commits]]</f>
        <v>4.6477904404246225E-6</v>
      </c>
      <c r="I4088" s="5">
        <f>Tabelle13[[#This Row],[%]]+I4087</f>
        <v>0.9769516072059159</v>
      </c>
      <c r="J4088" s="4">
        <f t="shared" si="159"/>
        <v>1.105583195135434E-4</v>
      </c>
      <c r="K4088" s="5">
        <f t="shared" si="160"/>
        <v>0.45174129353236797</v>
      </c>
    </row>
    <row r="4089" spans="1:11" x14ac:dyDescent="0.25">
      <c r="A4089" t="s">
        <v>812</v>
      </c>
      <c r="C4089" t="s">
        <v>813</v>
      </c>
      <c r="D4089" t="s">
        <v>5</v>
      </c>
      <c r="E4089" t="s">
        <v>6</v>
      </c>
      <c r="F4089" t="s">
        <v>7</v>
      </c>
      <c r="G4089">
        <v>1</v>
      </c>
      <c r="H4089" s="2">
        <f>Tabelle13[[#This Row],[commits]]/Tabelle13[[#Totals],[commits]]</f>
        <v>4.6477904404246225E-6</v>
      </c>
      <c r="I4089" s="5">
        <f>Tabelle13[[#This Row],[%]]+I4088</f>
        <v>0.9769562549963563</v>
      </c>
      <c r="J4089" s="4">
        <f t="shared" si="159"/>
        <v>1.105583195135434E-4</v>
      </c>
      <c r="K4089" s="5">
        <f t="shared" si="160"/>
        <v>0.45185185185188154</v>
      </c>
    </row>
    <row r="4090" spans="1:11" x14ac:dyDescent="0.25">
      <c r="A4090" t="s">
        <v>814</v>
      </c>
      <c r="C4090" t="s">
        <v>815</v>
      </c>
      <c r="D4090" t="s">
        <v>5</v>
      </c>
      <c r="E4090" t="s">
        <v>6</v>
      </c>
      <c r="F4090" t="s">
        <v>7</v>
      </c>
      <c r="G4090">
        <v>1</v>
      </c>
      <c r="H4090" s="2">
        <f>Tabelle13[[#This Row],[commits]]/Tabelle13[[#Totals],[commits]]</f>
        <v>4.6477904404246225E-6</v>
      </c>
      <c r="I4090" s="5">
        <f>Tabelle13[[#This Row],[%]]+I4089</f>
        <v>0.9769609027867967</v>
      </c>
      <c r="J4090" s="4">
        <f t="shared" si="159"/>
        <v>1.105583195135434E-4</v>
      </c>
      <c r="K4090" s="5">
        <f t="shared" si="160"/>
        <v>0.4519624101713951</v>
      </c>
    </row>
    <row r="4091" spans="1:11" x14ac:dyDescent="0.25">
      <c r="A4091" t="s">
        <v>816</v>
      </c>
      <c r="C4091" t="s">
        <v>817</v>
      </c>
      <c r="D4091" t="s">
        <v>5</v>
      </c>
      <c r="E4091" t="s">
        <v>6</v>
      </c>
      <c r="F4091" t="s">
        <v>7</v>
      </c>
      <c r="G4091">
        <v>1</v>
      </c>
      <c r="H4091" s="2">
        <f>Tabelle13[[#This Row],[commits]]/Tabelle13[[#Totals],[commits]]</f>
        <v>4.6477904404246225E-6</v>
      </c>
      <c r="I4091" s="5">
        <f>Tabelle13[[#This Row],[%]]+I4090</f>
        <v>0.97696555057723711</v>
      </c>
      <c r="J4091" s="4">
        <f t="shared" si="159"/>
        <v>1.105583195135434E-4</v>
      </c>
      <c r="K4091" s="5">
        <f t="shared" si="160"/>
        <v>0.45207296849090867</v>
      </c>
    </row>
    <row r="4092" spans="1:11" x14ac:dyDescent="0.25">
      <c r="A4092" t="s">
        <v>818</v>
      </c>
      <c r="C4092" t="s">
        <v>819</v>
      </c>
      <c r="D4092" t="s">
        <v>5</v>
      </c>
      <c r="E4092" t="s">
        <v>6</v>
      </c>
      <c r="F4092" t="s">
        <v>7</v>
      </c>
      <c r="G4092">
        <v>1</v>
      </c>
      <c r="H4092" s="2">
        <f>Tabelle13[[#This Row],[commits]]/Tabelle13[[#Totals],[commits]]</f>
        <v>4.6477904404246225E-6</v>
      </c>
      <c r="I4092" s="5">
        <f>Tabelle13[[#This Row],[%]]+I4091</f>
        <v>0.97697019836767751</v>
      </c>
      <c r="J4092" s="4">
        <f t="shared" si="159"/>
        <v>1.105583195135434E-4</v>
      </c>
      <c r="K4092" s="5">
        <f t="shared" si="160"/>
        <v>0.45218352681042223</v>
      </c>
    </row>
    <row r="4093" spans="1:11" x14ac:dyDescent="0.25">
      <c r="A4093" t="s">
        <v>820</v>
      </c>
      <c r="C4093" t="s">
        <v>821</v>
      </c>
      <c r="D4093" t="s">
        <v>5</v>
      </c>
      <c r="E4093" t="s">
        <v>6</v>
      </c>
      <c r="F4093" t="s">
        <v>7</v>
      </c>
      <c r="G4093">
        <v>1</v>
      </c>
      <c r="H4093" s="2">
        <f>Tabelle13[[#This Row],[commits]]/Tabelle13[[#Totals],[commits]]</f>
        <v>4.6477904404246225E-6</v>
      </c>
      <c r="I4093" s="5">
        <f>Tabelle13[[#This Row],[%]]+I4092</f>
        <v>0.97697484615811792</v>
      </c>
      <c r="J4093" s="4">
        <f t="shared" si="159"/>
        <v>1.105583195135434E-4</v>
      </c>
      <c r="K4093" s="5">
        <f t="shared" si="160"/>
        <v>0.4522940851299358</v>
      </c>
    </row>
    <row r="4094" spans="1:11" x14ac:dyDescent="0.25">
      <c r="A4094" t="s">
        <v>822</v>
      </c>
      <c r="C4094" t="s">
        <v>823</v>
      </c>
      <c r="D4094" t="s">
        <v>5</v>
      </c>
      <c r="E4094" t="s">
        <v>6</v>
      </c>
      <c r="F4094" t="s">
        <v>7</v>
      </c>
      <c r="G4094">
        <v>1</v>
      </c>
      <c r="H4094" s="2">
        <f>Tabelle13[[#This Row],[commits]]/Tabelle13[[#Totals],[commits]]</f>
        <v>4.6477904404246225E-6</v>
      </c>
      <c r="I4094" s="5">
        <f>Tabelle13[[#This Row],[%]]+I4093</f>
        <v>0.97697949394855832</v>
      </c>
      <c r="J4094" s="4">
        <f t="shared" si="159"/>
        <v>1.105583195135434E-4</v>
      </c>
      <c r="K4094" s="5">
        <f t="shared" si="160"/>
        <v>0.45240464344944936</v>
      </c>
    </row>
    <row r="4095" spans="1:11" x14ac:dyDescent="0.25">
      <c r="A4095" t="s">
        <v>824</v>
      </c>
      <c r="C4095" t="s">
        <v>825</v>
      </c>
      <c r="D4095" t="s">
        <v>5</v>
      </c>
      <c r="E4095" t="s">
        <v>6</v>
      </c>
      <c r="F4095" t="s">
        <v>7</v>
      </c>
      <c r="G4095">
        <v>1</v>
      </c>
      <c r="H4095" s="2">
        <f>Tabelle13[[#This Row],[commits]]/Tabelle13[[#Totals],[commits]]</f>
        <v>4.6477904404246225E-6</v>
      </c>
      <c r="I4095" s="5">
        <f>Tabelle13[[#This Row],[%]]+I4094</f>
        <v>0.97698414173899872</v>
      </c>
      <c r="J4095" s="4">
        <f t="shared" si="159"/>
        <v>1.105583195135434E-4</v>
      </c>
      <c r="K4095" s="5">
        <f t="shared" si="160"/>
        <v>0.45251520176896293</v>
      </c>
    </row>
    <row r="4096" spans="1:11" x14ac:dyDescent="0.25">
      <c r="A4096" t="s">
        <v>826</v>
      </c>
      <c r="C4096" t="s">
        <v>827</v>
      </c>
      <c r="D4096" t="s">
        <v>5</v>
      </c>
      <c r="E4096" t="s">
        <v>6</v>
      </c>
      <c r="F4096" t="s">
        <v>7</v>
      </c>
      <c r="G4096">
        <v>1</v>
      </c>
      <c r="H4096" s="2">
        <f>Tabelle13[[#This Row],[commits]]/Tabelle13[[#Totals],[commits]]</f>
        <v>4.6477904404246225E-6</v>
      </c>
      <c r="I4096" s="5">
        <f>Tabelle13[[#This Row],[%]]+I4095</f>
        <v>0.97698878952943913</v>
      </c>
      <c r="J4096" s="4">
        <f t="shared" si="159"/>
        <v>1.105583195135434E-4</v>
      </c>
      <c r="K4096" s="5">
        <f t="shared" si="160"/>
        <v>0.45262576008847649</v>
      </c>
    </row>
    <row r="4097" spans="1:11" x14ac:dyDescent="0.25">
      <c r="A4097" t="s">
        <v>828</v>
      </c>
      <c r="C4097" t="s">
        <v>829</v>
      </c>
      <c r="D4097" t="s">
        <v>5</v>
      </c>
      <c r="E4097" t="s">
        <v>6</v>
      </c>
      <c r="F4097" t="s">
        <v>7</v>
      </c>
      <c r="G4097">
        <v>1</v>
      </c>
      <c r="H4097" s="2">
        <f>Tabelle13[[#This Row],[commits]]/Tabelle13[[#Totals],[commits]]</f>
        <v>4.6477904404246225E-6</v>
      </c>
      <c r="I4097" s="5">
        <f>Tabelle13[[#This Row],[%]]+I4096</f>
        <v>0.97699343731987953</v>
      </c>
      <c r="J4097" s="4">
        <f t="shared" si="159"/>
        <v>1.105583195135434E-4</v>
      </c>
      <c r="K4097" s="5">
        <f t="shared" si="160"/>
        <v>0.45273631840799006</v>
      </c>
    </row>
    <row r="4098" spans="1:11" x14ac:dyDescent="0.25">
      <c r="A4098" t="s">
        <v>830</v>
      </c>
      <c r="C4098" t="s">
        <v>831</v>
      </c>
      <c r="D4098" t="s">
        <v>5</v>
      </c>
      <c r="E4098" t="s">
        <v>6</v>
      </c>
      <c r="F4098" t="s">
        <v>7</v>
      </c>
      <c r="G4098">
        <v>1</v>
      </c>
      <c r="H4098" s="2">
        <f>Tabelle13[[#This Row],[commits]]/Tabelle13[[#Totals],[commits]]</f>
        <v>4.6477904404246225E-6</v>
      </c>
      <c r="I4098" s="5">
        <f>Tabelle13[[#This Row],[%]]+I4097</f>
        <v>0.97699808511031994</v>
      </c>
      <c r="J4098" s="4">
        <f t="shared" si="159"/>
        <v>1.105583195135434E-4</v>
      </c>
      <c r="K4098" s="5">
        <f t="shared" si="160"/>
        <v>0.45284687672750362</v>
      </c>
    </row>
    <row r="4099" spans="1:11" x14ac:dyDescent="0.25">
      <c r="A4099" t="s">
        <v>832</v>
      </c>
      <c r="C4099" t="s">
        <v>833</v>
      </c>
      <c r="D4099" t="s">
        <v>5</v>
      </c>
      <c r="E4099" t="s">
        <v>6</v>
      </c>
      <c r="F4099" t="s">
        <v>7</v>
      </c>
      <c r="G4099">
        <v>1</v>
      </c>
      <c r="H4099" s="2">
        <f>Tabelle13[[#This Row],[commits]]/Tabelle13[[#Totals],[commits]]</f>
        <v>4.6477904404246225E-6</v>
      </c>
      <c r="I4099" s="5">
        <f>Tabelle13[[#This Row],[%]]+I4098</f>
        <v>0.97700273290076034</v>
      </c>
      <c r="J4099" s="4">
        <f t="shared" ref="J4099:J4162" si="161">1/9045</f>
        <v>1.105583195135434E-4</v>
      </c>
      <c r="K4099" s="5">
        <f t="shared" si="160"/>
        <v>0.45295743504701719</v>
      </c>
    </row>
    <row r="4100" spans="1:11" x14ac:dyDescent="0.25">
      <c r="A4100" t="s">
        <v>834</v>
      </c>
      <c r="C4100" t="s">
        <v>835</v>
      </c>
      <c r="D4100" t="s">
        <v>5</v>
      </c>
      <c r="E4100" t="s">
        <v>6</v>
      </c>
      <c r="F4100" t="s">
        <v>7</v>
      </c>
      <c r="G4100">
        <v>1</v>
      </c>
      <c r="H4100" s="2">
        <f>Tabelle13[[#This Row],[commits]]/Tabelle13[[#Totals],[commits]]</f>
        <v>4.6477904404246225E-6</v>
      </c>
      <c r="I4100" s="5">
        <f>Tabelle13[[#This Row],[%]]+I4099</f>
        <v>0.97700738069120074</v>
      </c>
      <c r="J4100" s="4">
        <f t="shared" si="161"/>
        <v>1.105583195135434E-4</v>
      </c>
      <c r="K4100" s="5">
        <f t="shared" si="160"/>
        <v>0.45306799336653075</v>
      </c>
    </row>
    <row r="4101" spans="1:11" x14ac:dyDescent="0.25">
      <c r="A4101" t="s">
        <v>836</v>
      </c>
      <c r="C4101" t="s">
        <v>837</v>
      </c>
      <c r="D4101" t="s">
        <v>5</v>
      </c>
      <c r="E4101" t="s">
        <v>6</v>
      </c>
      <c r="F4101" t="s">
        <v>7</v>
      </c>
      <c r="G4101">
        <v>1</v>
      </c>
      <c r="H4101" s="2">
        <f>Tabelle13[[#This Row],[commits]]/Tabelle13[[#Totals],[commits]]</f>
        <v>4.6477904404246225E-6</v>
      </c>
      <c r="I4101" s="5">
        <f>Tabelle13[[#This Row],[%]]+I4100</f>
        <v>0.97701202848164115</v>
      </c>
      <c r="J4101" s="4">
        <f t="shared" si="161"/>
        <v>1.105583195135434E-4</v>
      </c>
      <c r="K4101" s="5">
        <f t="shared" si="160"/>
        <v>0.45317855168604432</v>
      </c>
    </row>
    <row r="4102" spans="1:11" x14ac:dyDescent="0.25">
      <c r="A4102" t="s">
        <v>838</v>
      </c>
      <c r="C4102" t="s">
        <v>839</v>
      </c>
      <c r="D4102" t="s">
        <v>5</v>
      </c>
      <c r="E4102" t="s">
        <v>6</v>
      </c>
      <c r="F4102" t="s">
        <v>7</v>
      </c>
      <c r="G4102">
        <v>1</v>
      </c>
      <c r="H4102" s="2">
        <f>Tabelle13[[#This Row],[commits]]/Tabelle13[[#Totals],[commits]]</f>
        <v>4.6477904404246225E-6</v>
      </c>
      <c r="I4102" s="5">
        <f>Tabelle13[[#This Row],[%]]+I4101</f>
        <v>0.97701667627208155</v>
      </c>
      <c r="J4102" s="4">
        <f t="shared" si="161"/>
        <v>1.105583195135434E-4</v>
      </c>
      <c r="K4102" s="5">
        <f t="shared" ref="K4102:K4165" si="162">J4102+K4101</f>
        <v>0.45328911000555788</v>
      </c>
    </row>
    <row r="4103" spans="1:11" x14ac:dyDescent="0.25">
      <c r="A4103" t="s">
        <v>840</v>
      </c>
      <c r="C4103" t="s">
        <v>841</v>
      </c>
      <c r="D4103" t="s">
        <v>5</v>
      </c>
      <c r="E4103" t="s">
        <v>6</v>
      </c>
      <c r="F4103" t="s">
        <v>7</v>
      </c>
      <c r="G4103">
        <v>1</v>
      </c>
      <c r="H4103" s="2">
        <f>Tabelle13[[#This Row],[commits]]/Tabelle13[[#Totals],[commits]]</f>
        <v>4.6477904404246225E-6</v>
      </c>
      <c r="I4103" s="5">
        <f>Tabelle13[[#This Row],[%]]+I4102</f>
        <v>0.97702132406252196</v>
      </c>
      <c r="J4103" s="4">
        <f t="shared" si="161"/>
        <v>1.105583195135434E-4</v>
      </c>
      <c r="K4103" s="5">
        <f t="shared" si="162"/>
        <v>0.45339966832507145</v>
      </c>
    </row>
    <row r="4104" spans="1:11" x14ac:dyDescent="0.25">
      <c r="A4104" t="s">
        <v>842</v>
      </c>
      <c r="C4104" t="s">
        <v>843</v>
      </c>
      <c r="D4104" t="s">
        <v>5</v>
      </c>
      <c r="E4104" t="s">
        <v>6</v>
      </c>
      <c r="F4104" t="s">
        <v>7</v>
      </c>
      <c r="G4104">
        <v>1</v>
      </c>
      <c r="H4104" s="2">
        <f>Tabelle13[[#This Row],[commits]]/Tabelle13[[#Totals],[commits]]</f>
        <v>4.6477904404246225E-6</v>
      </c>
      <c r="I4104" s="5">
        <f>Tabelle13[[#This Row],[%]]+I4103</f>
        <v>0.97702597185296236</v>
      </c>
      <c r="J4104" s="4">
        <f t="shared" si="161"/>
        <v>1.105583195135434E-4</v>
      </c>
      <c r="K4104" s="5">
        <f t="shared" si="162"/>
        <v>0.45351022664458501</v>
      </c>
    </row>
    <row r="4105" spans="1:11" x14ac:dyDescent="0.25">
      <c r="A4105" t="s">
        <v>844</v>
      </c>
      <c r="C4105" t="s">
        <v>845</v>
      </c>
      <c r="D4105" t="s">
        <v>5</v>
      </c>
      <c r="E4105" t="s">
        <v>6</v>
      </c>
      <c r="F4105" t="s">
        <v>7</v>
      </c>
      <c r="G4105">
        <v>1</v>
      </c>
      <c r="H4105" s="2">
        <f>Tabelle13[[#This Row],[commits]]/Tabelle13[[#Totals],[commits]]</f>
        <v>4.6477904404246225E-6</v>
      </c>
      <c r="I4105" s="5">
        <f>Tabelle13[[#This Row],[%]]+I4104</f>
        <v>0.97703061964340276</v>
      </c>
      <c r="J4105" s="4">
        <f t="shared" si="161"/>
        <v>1.105583195135434E-4</v>
      </c>
      <c r="K4105" s="5">
        <f t="shared" si="162"/>
        <v>0.45362078496409858</v>
      </c>
    </row>
    <row r="4106" spans="1:11" x14ac:dyDescent="0.25">
      <c r="A4106" t="s">
        <v>846</v>
      </c>
      <c r="C4106" t="s">
        <v>847</v>
      </c>
      <c r="D4106" t="s">
        <v>5</v>
      </c>
      <c r="E4106" t="s">
        <v>6</v>
      </c>
      <c r="F4106" t="s">
        <v>7</v>
      </c>
      <c r="G4106">
        <v>1</v>
      </c>
      <c r="H4106" s="2">
        <f>Tabelle13[[#This Row],[commits]]/Tabelle13[[#Totals],[commits]]</f>
        <v>4.6477904404246225E-6</v>
      </c>
      <c r="I4106" s="5">
        <f>Tabelle13[[#This Row],[%]]+I4105</f>
        <v>0.97703526743384317</v>
      </c>
      <c r="J4106" s="4">
        <f t="shared" si="161"/>
        <v>1.105583195135434E-4</v>
      </c>
      <c r="K4106" s="5">
        <f t="shared" si="162"/>
        <v>0.45373134328361214</v>
      </c>
    </row>
    <row r="4107" spans="1:11" x14ac:dyDescent="0.25">
      <c r="A4107" t="s">
        <v>848</v>
      </c>
      <c r="C4107" t="s">
        <v>849</v>
      </c>
      <c r="D4107" t="s">
        <v>5</v>
      </c>
      <c r="E4107" t="s">
        <v>6</v>
      </c>
      <c r="F4107" t="s">
        <v>7</v>
      </c>
      <c r="G4107">
        <v>1</v>
      </c>
      <c r="H4107" s="2">
        <f>Tabelle13[[#This Row],[commits]]/Tabelle13[[#Totals],[commits]]</f>
        <v>4.6477904404246225E-6</v>
      </c>
      <c r="I4107" s="5">
        <f>Tabelle13[[#This Row],[%]]+I4106</f>
        <v>0.97703991522428357</v>
      </c>
      <c r="J4107" s="4">
        <f t="shared" si="161"/>
        <v>1.105583195135434E-4</v>
      </c>
      <c r="K4107" s="5">
        <f t="shared" si="162"/>
        <v>0.45384190160312571</v>
      </c>
    </row>
    <row r="4108" spans="1:11" x14ac:dyDescent="0.25">
      <c r="A4108" t="s">
        <v>852</v>
      </c>
      <c r="C4108" t="s">
        <v>853</v>
      </c>
      <c r="D4108" t="s">
        <v>5</v>
      </c>
      <c r="E4108" t="s">
        <v>6</v>
      </c>
      <c r="F4108" t="s">
        <v>7</v>
      </c>
      <c r="G4108">
        <v>1</v>
      </c>
      <c r="H4108" s="2">
        <f>Tabelle13[[#This Row],[commits]]/Tabelle13[[#Totals],[commits]]</f>
        <v>4.6477904404246225E-6</v>
      </c>
      <c r="I4108" s="5">
        <f>Tabelle13[[#This Row],[%]]+I4107</f>
        <v>0.97704456301472398</v>
      </c>
      <c r="J4108" s="4">
        <f t="shared" si="161"/>
        <v>1.105583195135434E-4</v>
      </c>
      <c r="K4108" s="5">
        <f t="shared" si="162"/>
        <v>0.45395245992263927</v>
      </c>
    </row>
    <row r="4109" spans="1:11" x14ac:dyDescent="0.25">
      <c r="A4109" t="s">
        <v>854</v>
      </c>
      <c r="C4109" t="s">
        <v>855</v>
      </c>
      <c r="D4109" t="s">
        <v>5</v>
      </c>
      <c r="E4109" t="s">
        <v>6</v>
      </c>
      <c r="F4109" t="s">
        <v>7</v>
      </c>
      <c r="G4109">
        <v>1</v>
      </c>
      <c r="H4109" s="2">
        <f>Tabelle13[[#This Row],[commits]]/Tabelle13[[#Totals],[commits]]</f>
        <v>4.6477904404246225E-6</v>
      </c>
      <c r="I4109" s="5">
        <f>Tabelle13[[#This Row],[%]]+I4108</f>
        <v>0.97704921080516438</v>
      </c>
      <c r="J4109" s="4">
        <f t="shared" si="161"/>
        <v>1.105583195135434E-4</v>
      </c>
      <c r="K4109" s="5">
        <f t="shared" si="162"/>
        <v>0.45406301824215284</v>
      </c>
    </row>
    <row r="4110" spans="1:11" x14ac:dyDescent="0.25">
      <c r="A4110" t="s">
        <v>856</v>
      </c>
      <c r="C4110" t="s">
        <v>857</v>
      </c>
      <c r="D4110" t="s">
        <v>5</v>
      </c>
      <c r="E4110" t="s">
        <v>6</v>
      </c>
      <c r="F4110" t="s">
        <v>7</v>
      </c>
      <c r="G4110">
        <v>1</v>
      </c>
      <c r="H4110" s="2">
        <f>Tabelle13[[#This Row],[commits]]/Tabelle13[[#Totals],[commits]]</f>
        <v>4.6477904404246225E-6</v>
      </c>
      <c r="I4110" s="5">
        <f>Tabelle13[[#This Row],[%]]+I4109</f>
        <v>0.97705385859560479</v>
      </c>
      <c r="J4110" s="4">
        <f t="shared" si="161"/>
        <v>1.105583195135434E-4</v>
      </c>
      <c r="K4110" s="5">
        <f t="shared" si="162"/>
        <v>0.4541735765616664</v>
      </c>
    </row>
    <row r="4111" spans="1:11" x14ac:dyDescent="0.25">
      <c r="A4111" t="s">
        <v>858</v>
      </c>
      <c r="C4111" t="s">
        <v>859</v>
      </c>
      <c r="D4111" t="s">
        <v>5</v>
      </c>
      <c r="E4111" t="s">
        <v>6</v>
      </c>
      <c r="F4111" t="s">
        <v>7</v>
      </c>
      <c r="G4111">
        <v>1</v>
      </c>
      <c r="H4111" s="2">
        <f>Tabelle13[[#This Row],[commits]]/Tabelle13[[#Totals],[commits]]</f>
        <v>4.6477904404246225E-6</v>
      </c>
      <c r="I4111" s="5">
        <f>Tabelle13[[#This Row],[%]]+I4110</f>
        <v>0.97705850638604519</v>
      </c>
      <c r="J4111" s="4">
        <f t="shared" si="161"/>
        <v>1.105583195135434E-4</v>
      </c>
      <c r="K4111" s="5">
        <f t="shared" si="162"/>
        <v>0.45428413488117997</v>
      </c>
    </row>
    <row r="4112" spans="1:11" x14ac:dyDescent="0.25">
      <c r="A4112" t="s">
        <v>860</v>
      </c>
      <c r="C4112" t="s">
        <v>861</v>
      </c>
      <c r="D4112" t="s">
        <v>5</v>
      </c>
      <c r="E4112" t="s">
        <v>6</v>
      </c>
      <c r="F4112" t="s">
        <v>7</v>
      </c>
      <c r="G4112">
        <v>1</v>
      </c>
      <c r="H4112" s="2">
        <f>Tabelle13[[#This Row],[commits]]/Tabelle13[[#Totals],[commits]]</f>
        <v>4.6477904404246225E-6</v>
      </c>
      <c r="I4112" s="5">
        <f>Tabelle13[[#This Row],[%]]+I4111</f>
        <v>0.97706315417648559</v>
      </c>
      <c r="J4112" s="4">
        <f t="shared" si="161"/>
        <v>1.105583195135434E-4</v>
      </c>
      <c r="K4112" s="5">
        <f t="shared" si="162"/>
        <v>0.45439469320069353</v>
      </c>
    </row>
    <row r="4113" spans="1:11" x14ac:dyDescent="0.25">
      <c r="A4113" t="s">
        <v>862</v>
      </c>
      <c r="C4113" t="s">
        <v>863</v>
      </c>
      <c r="D4113" t="s">
        <v>5</v>
      </c>
      <c r="E4113" t="s">
        <v>6</v>
      </c>
      <c r="F4113" t="s">
        <v>7</v>
      </c>
      <c r="G4113">
        <v>1</v>
      </c>
      <c r="H4113" s="2">
        <f>Tabelle13[[#This Row],[commits]]/Tabelle13[[#Totals],[commits]]</f>
        <v>4.6477904404246225E-6</v>
      </c>
      <c r="I4113" s="5">
        <f>Tabelle13[[#This Row],[%]]+I4112</f>
        <v>0.977067801966926</v>
      </c>
      <c r="J4113" s="4">
        <f t="shared" si="161"/>
        <v>1.105583195135434E-4</v>
      </c>
      <c r="K4113" s="5">
        <f t="shared" si="162"/>
        <v>0.4545052515202071</v>
      </c>
    </row>
    <row r="4114" spans="1:11" x14ac:dyDescent="0.25">
      <c r="A4114" t="s">
        <v>864</v>
      </c>
      <c r="C4114" t="s">
        <v>865</v>
      </c>
      <c r="D4114" t="s">
        <v>5</v>
      </c>
      <c r="E4114" t="s">
        <v>6</v>
      </c>
      <c r="F4114" t="s">
        <v>7</v>
      </c>
      <c r="G4114">
        <v>1</v>
      </c>
      <c r="H4114" s="2">
        <f>Tabelle13[[#This Row],[commits]]/Tabelle13[[#Totals],[commits]]</f>
        <v>4.6477904404246225E-6</v>
      </c>
      <c r="I4114" s="5">
        <f>Tabelle13[[#This Row],[%]]+I4113</f>
        <v>0.9770724497573664</v>
      </c>
      <c r="J4114" s="4">
        <f t="shared" si="161"/>
        <v>1.105583195135434E-4</v>
      </c>
      <c r="K4114" s="5">
        <f t="shared" si="162"/>
        <v>0.45461580983972066</v>
      </c>
    </row>
    <row r="4115" spans="1:11" x14ac:dyDescent="0.25">
      <c r="A4115" t="s">
        <v>866</v>
      </c>
      <c r="C4115" t="s">
        <v>867</v>
      </c>
      <c r="D4115" t="s">
        <v>5</v>
      </c>
      <c r="E4115" t="s">
        <v>6</v>
      </c>
      <c r="F4115" t="s">
        <v>7</v>
      </c>
      <c r="G4115">
        <v>1</v>
      </c>
      <c r="H4115" s="2">
        <f>Tabelle13[[#This Row],[commits]]/Tabelle13[[#Totals],[commits]]</f>
        <v>4.6477904404246225E-6</v>
      </c>
      <c r="I4115" s="5">
        <f>Tabelle13[[#This Row],[%]]+I4114</f>
        <v>0.97707709754780681</v>
      </c>
      <c r="J4115" s="4">
        <f t="shared" si="161"/>
        <v>1.105583195135434E-4</v>
      </c>
      <c r="K4115" s="5">
        <f t="shared" si="162"/>
        <v>0.45472636815923423</v>
      </c>
    </row>
    <row r="4116" spans="1:11" x14ac:dyDescent="0.25">
      <c r="A4116" t="s">
        <v>868</v>
      </c>
      <c r="C4116" t="s">
        <v>869</v>
      </c>
      <c r="D4116" t="s">
        <v>5</v>
      </c>
      <c r="E4116" t="s">
        <v>6</v>
      </c>
      <c r="F4116" t="s">
        <v>7</v>
      </c>
      <c r="G4116">
        <v>1</v>
      </c>
      <c r="H4116" s="2">
        <f>Tabelle13[[#This Row],[commits]]/Tabelle13[[#Totals],[commits]]</f>
        <v>4.6477904404246225E-6</v>
      </c>
      <c r="I4116" s="5">
        <f>Tabelle13[[#This Row],[%]]+I4115</f>
        <v>0.97708174533824721</v>
      </c>
      <c r="J4116" s="4">
        <f t="shared" si="161"/>
        <v>1.105583195135434E-4</v>
      </c>
      <c r="K4116" s="5">
        <f t="shared" si="162"/>
        <v>0.45483692647874779</v>
      </c>
    </row>
    <row r="4117" spans="1:11" x14ac:dyDescent="0.25">
      <c r="A4117" t="s">
        <v>870</v>
      </c>
      <c r="C4117" t="s">
        <v>871</v>
      </c>
      <c r="D4117" t="s">
        <v>5</v>
      </c>
      <c r="E4117" t="s">
        <v>6</v>
      </c>
      <c r="F4117" t="s">
        <v>7</v>
      </c>
      <c r="G4117">
        <v>1</v>
      </c>
      <c r="H4117" s="2">
        <f>Tabelle13[[#This Row],[commits]]/Tabelle13[[#Totals],[commits]]</f>
        <v>4.6477904404246225E-6</v>
      </c>
      <c r="I4117" s="5">
        <f>Tabelle13[[#This Row],[%]]+I4116</f>
        <v>0.97708639312868761</v>
      </c>
      <c r="J4117" s="4">
        <f t="shared" si="161"/>
        <v>1.105583195135434E-4</v>
      </c>
      <c r="K4117" s="5">
        <f t="shared" si="162"/>
        <v>0.45494748479826136</v>
      </c>
    </row>
    <row r="4118" spans="1:11" x14ac:dyDescent="0.25">
      <c r="A4118" t="s">
        <v>872</v>
      </c>
      <c r="C4118" t="s">
        <v>873</v>
      </c>
      <c r="D4118" t="s">
        <v>5</v>
      </c>
      <c r="E4118" t="s">
        <v>6</v>
      </c>
      <c r="F4118" t="s">
        <v>7</v>
      </c>
      <c r="G4118">
        <v>1</v>
      </c>
      <c r="H4118" s="2">
        <f>Tabelle13[[#This Row],[commits]]/Tabelle13[[#Totals],[commits]]</f>
        <v>4.6477904404246225E-6</v>
      </c>
      <c r="I4118" s="5">
        <f>Tabelle13[[#This Row],[%]]+I4117</f>
        <v>0.97709104091912802</v>
      </c>
      <c r="J4118" s="4">
        <f t="shared" si="161"/>
        <v>1.105583195135434E-4</v>
      </c>
      <c r="K4118" s="5">
        <f t="shared" si="162"/>
        <v>0.45505804311777492</v>
      </c>
    </row>
    <row r="4119" spans="1:11" x14ac:dyDescent="0.25">
      <c r="A4119" t="s">
        <v>874</v>
      </c>
      <c r="C4119" t="s">
        <v>875</v>
      </c>
      <c r="D4119" t="s">
        <v>5</v>
      </c>
      <c r="E4119" t="s">
        <v>6</v>
      </c>
      <c r="F4119" t="s">
        <v>7</v>
      </c>
      <c r="G4119">
        <v>1</v>
      </c>
      <c r="H4119" s="2">
        <f>Tabelle13[[#This Row],[commits]]/Tabelle13[[#Totals],[commits]]</f>
        <v>4.6477904404246225E-6</v>
      </c>
      <c r="I4119" s="5">
        <f>Tabelle13[[#This Row],[%]]+I4118</f>
        <v>0.97709568870956842</v>
      </c>
      <c r="J4119" s="4">
        <f t="shared" si="161"/>
        <v>1.105583195135434E-4</v>
      </c>
      <c r="K4119" s="5">
        <f t="shared" si="162"/>
        <v>0.45516860143728849</v>
      </c>
    </row>
    <row r="4120" spans="1:11" x14ac:dyDescent="0.25">
      <c r="A4120" t="s">
        <v>876</v>
      </c>
      <c r="C4120" t="s">
        <v>877</v>
      </c>
      <c r="D4120" t="s">
        <v>5</v>
      </c>
      <c r="E4120" t="s">
        <v>6</v>
      </c>
      <c r="F4120" t="s">
        <v>7</v>
      </c>
      <c r="G4120">
        <v>1</v>
      </c>
      <c r="H4120" s="2">
        <f>Tabelle13[[#This Row],[commits]]/Tabelle13[[#Totals],[commits]]</f>
        <v>4.6477904404246225E-6</v>
      </c>
      <c r="I4120" s="5">
        <f>Tabelle13[[#This Row],[%]]+I4119</f>
        <v>0.97710033650000883</v>
      </c>
      <c r="J4120" s="4">
        <f t="shared" si="161"/>
        <v>1.105583195135434E-4</v>
      </c>
      <c r="K4120" s="5">
        <f t="shared" si="162"/>
        <v>0.45527915975680205</v>
      </c>
    </row>
    <row r="4121" spans="1:11" x14ac:dyDescent="0.25">
      <c r="A4121" t="s">
        <v>878</v>
      </c>
      <c r="C4121" t="s">
        <v>879</v>
      </c>
      <c r="D4121" t="s">
        <v>5</v>
      </c>
      <c r="E4121" t="s">
        <v>6</v>
      </c>
      <c r="F4121" t="s">
        <v>7</v>
      </c>
      <c r="G4121">
        <v>1</v>
      </c>
      <c r="H4121" s="2">
        <f>Tabelle13[[#This Row],[commits]]/Tabelle13[[#Totals],[commits]]</f>
        <v>4.6477904404246225E-6</v>
      </c>
      <c r="I4121" s="5">
        <f>Tabelle13[[#This Row],[%]]+I4120</f>
        <v>0.97710498429044923</v>
      </c>
      <c r="J4121" s="4">
        <f t="shared" si="161"/>
        <v>1.105583195135434E-4</v>
      </c>
      <c r="K4121" s="5">
        <f t="shared" si="162"/>
        <v>0.45538971807631562</v>
      </c>
    </row>
    <row r="4122" spans="1:11" x14ac:dyDescent="0.25">
      <c r="A4122" t="s">
        <v>880</v>
      </c>
      <c r="C4122" t="s">
        <v>881</v>
      </c>
      <c r="D4122" t="s">
        <v>5</v>
      </c>
      <c r="E4122" t="s">
        <v>6</v>
      </c>
      <c r="F4122" t="s">
        <v>7</v>
      </c>
      <c r="G4122">
        <v>1</v>
      </c>
      <c r="H4122" s="2">
        <f>Tabelle13[[#This Row],[commits]]/Tabelle13[[#Totals],[commits]]</f>
        <v>4.6477904404246225E-6</v>
      </c>
      <c r="I4122" s="5">
        <f>Tabelle13[[#This Row],[%]]+I4121</f>
        <v>0.97710963208088963</v>
      </c>
      <c r="J4122" s="4">
        <f t="shared" si="161"/>
        <v>1.105583195135434E-4</v>
      </c>
      <c r="K4122" s="5">
        <f t="shared" si="162"/>
        <v>0.45550027639582918</v>
      </c>
    </row>
    <row r="4123" spans="1:11" x14ac:dyDescent="0.25">
      <c r="A4123" t="s">
        <v>882</v>
      </c>
      <c r="C4123" t="s">
        <v>883</v>
      </c>
      <c r="D4123" t="s">
        <v>5</v>
      </c>
      <c r="E4123" t="s">
        <v>6</v>
      </c>
      <c r="F4123" t="s">
        <v>7</v>
      </c>
      <c r="G4123">
        <v>1</v>
      </c>
      <c r="H4123" s="2">
        <f>Tabelle13[[#This Row],[commits]]/Tabelle13[[#Totals],[commits]]</f>
        <v>4.6477904404246225E-6</v>
      </c>
      <c r="I4123" s="5">
        <f>Tabelle13[[#This Row],[%]]+I4122</f>
        <v>0.97711427987133004</v>
      </c>
      <c r="J4123" s="4">
        <f t="shared" si="161"/>
        <v>1.105583195135434E-4</v>
      </c>
      <c r="K4123" s="5">
        <f t="shared" si="162"/>
        <v>0.45561083471534275</v>
      </c>
    </row>
    <row r="4124" spans="1:11" x14ac:dyDescent="0.25">
      <c r="A4124" t="s">
        <v>884</v>
      </c>
      <c r="C4124" t="s">
        <v>885</v>
      </c>
      <c r="D4124" t="s">
        <v>5</v>
      </c>
      <c r="E4124" t="s">
        <v>6</v>
      </c>
      <c r="F4124" t="s">
        <v>7</v>
      </c>
      <c r="G4124">
        <v>1</v>
      </c>
      <c r="H4124" s="2">
        <f>Tabelle13[[#This Row],[commits]]/Tabelle13[[#Totals],[commits]]</f>
        <v>4.6477904404246225E-6</v>
      </c>
      <c r="I4124" s="5">
        <f>Tabelle13[[#This Row],[%]]+I4123</f>
        <v>0.97711892766177044</v>
      </c>
      <c r="J4124" s="4">
        <f t="shared" si="161"/>
        <v>1.105583195135434E-4</v>
      </c>
      <c r="K4124" s="5">
        <f t="shared" si="162"/>
        <v>0.45572139303485631</v>
      </c>
    </row>
    <row r="4125" spans="1:11" x14ac:dyDescent="0.25">
      <c r="A4125" t="s">
        <v>886</v>
      </c>
      <c r="C4125" t="s">
        <v>887</v>
      </c>
      <c r="D4125" t="s">
        <v>5</v>
      </c>
      <c r="E4125" t="s">
        <v>6</v>
      </c>
      <c r="F4125" t="s">
        <v>724</v>
      </c>
      <c r="G4125">
        <v>1</v>
      </c>
      <c r="H4125" s="2">
        <f>Tabelle13[[#This Row],[commits]]/Tabelle13[[#Totals],[commits]]</f>
        <v>4.6477904404246225E-6</v>
      </c>
      <c r="I4125" s="5">
        <f>Tabelle13[[#This Row],[%]]+I4124</f>
        <v>0.97712357545221085</v>
      </c>
      <c r="J4125" s="4">
        <f t="shared" si="161"/>
        <v>1.105583195135434E-4</v>
      </c>
      <c r="K4125" s="5">
        <f t="shared" si="162"/>
        <v>0.45583195135436988</v>
      </c>
    </row>
    <row r="4126" spans="1:11" x14ac:dyDescent="0.25">
      <c r="A4126" t="s">
        <v>888</v>
      </c>
      <c r="C4126" t="s">
        <v>889</v>
      </c>
      <c r="D4126" t="s">
        <v>5</v>
      </c>
      <c r="E4126" t="s">
        <v>6</v>
      </c>
      <c r="F4126" t="s">
        <v>7</v>
      </c>
      <c r="G4126">
        <v>1</v>
      </c>
      <c r="H4126" s="2">
        <f>Tabelle13[[#This Row],[commits]]/Tabelle13[[#Totals],[commits]]</f>
        <v>4.6477904404246225E-6</v>
      </c>
      <c r="I4126" s="5">
        <f>Tabelle13[[#This Row],[%]]+I4125</f>
        <v>0.97712822324265125</v>
      </c>
      <c r="J4126" s="4">
        <f t="shared" si="161"/>
        <v>1.105583195135434E-4</v>
      </c>
      <c r="K4126" s="5">
        <f t="shared" si="162"/>
        <v>0.45594250967388344</v>
      </c>
    </row>
    <row r="4127" spans="1:11" x14ac:dyDescent="0.25">
      <c r="A4127" t="s">
        <v>890</v>
      </c>
      <c r="C4127" t="s">
        <v>891</v>
      </c>
      <c r="D4127" t="s">
        <v>5</v>
      </c>
      <c r="E4127" t="s">
        <v>6</v>
      </c>
      <c r="F4127" t="s">
        <v>7</v>
      </c>
      <c r="G4127">
        <v>1</v>
      </c>
      <c r="H4127" s="2">
        <f>Tabelle13[[#This Row],[commits]]/Tabelle13[[#Totals],[commits]]</f>
        <v>4.6477904404246225E-6</v>
      </c>
      <c r="I4127" s="5">
        <f>Tabelle13[[#This Row],[%]]+I4126</f>
        <v>0.97713287103309165</v>
      </c>
      <c r="J4127" s="4">
        <f t="shared" si="161"/>
        <v>1.105583195135434E-4</v>
      </c>
      <c r="K4127" s="5">
        <f t="shared" si="162"/>
        <v>0.45605306799339701</v>
      </c>
    </row>
    <row r="4128" spans="1:11" x14ac:dyDescent="0.25">
      <c r="A4128" t="s">
        <v>892</v>
      </c>
      <c r="C4128" t="s">
        <v>122</v>
      </c>
      <c r="D4128" t="s">
        <v>5</v>
      </c>
      <c r="E4128" t="s">
        <v>6</v>
      </c>
      <c r="F4128" t="s">
        <v>7</v>
      </c>
      <c r="G4128">
        <v>1</v>
      </c>
      <c r="H4128" s="2">
        <f>Tabelle13[[#This Row],[commits]]/Tabelle13[[#Totals],[commits]]</f>
        <v>4.6477904404246225E-6</v>
      </c>
      <c r="I4128" s="5">
        <f>Tabelle13[[#This Row],[%]]+I4127</f>
        <v>0.97713751882353206</v>
      </c>
      <c r="J4128" s="4">
        <f t="shared" si="161"/>
        <v>1.105583195135434E-4</v>
      </c>
      <c r="K4128" s="5">
        <f t="shared" si="162"/>
        <v>0.45616362631291058</v>
      </c>
    </row>
    <row r="4129" spans="1:11" x14ac:dyDescent="0.25">
      <c r="A4129" t="s">
        <v>893</v>
      </c>
      <c r="C4129" t="s">
        <v>894</v>
      </c>
      <c r="D4129" t="s">
        <v>5</v>
      </c>
      <c r="E4129" t="s">
        <v>6</v>
      </c>
      <c r="F4129" t="s">
        <v>7</v>
      </c>
      <c r="G4129">
        <v>1</v>
      </c>
      <c r="H4129" s="2">
        <f>Tabelle13[[#This Row],[commits]]/Tabelle13[[#Totals],[commits]]</f>
        <v>4.6477904404246225E-6</v>
      </c>
      <c r="I4129" s="5">
        <f>Tabelle13[[#This Row],[%]]+I4128</f>
        <v>0.97714216661397246</v>
      </c>
      <c r="J4129" s="4">
        <f t="shared" si="161"/>
        <v>1.105583195135434E-4</v>
      </c>
      <c r="K4129" s="5">
        <f t="shared" si="162"/>
        <v>0.45627418463242414</v>
      </c>
    </row>
    <row r="4130" spans="1:11" x14ac:dyDescent="0.25">
      <c r="A4130" t="s">
        <v>895</v>
      </c>
      <c r="C4130" t="s">
        <v>896</v>
      </c>
      <c r="D4130" t="s">
        <v>5</v>
      </c>
      <c r="E4130" t="s">
        <v>6</v>
      </c>
      <c r="F4130" t="s">
        <v>7</v>
      </c>
      <c r="G4130">
        <v>1</v>
      </c>
      <c r="H4130" s="2">
        <f>Tabelle13[[#This Row],[commits]]/Tabelle13[[#Totals],[commits]]</f>
        <v>4.6477904404246225E-6</v>
      </c>
      <c r="I4130" s="5">
        <f>Tabelle13[[#This Row],[%]]+I4129</f>
        <v>0.97714681440441287</v>
      </c>
      <c r="J4130" s="4">
        <f t="shared" si="161"/>
        <v>1.105583195135434E-4</v>
      </c>
      <c r="K4130" s="5">
        <f t="shared" si="162"/>
        <v>0.45638474295193771</v>
      </c>
    </row>
    <row r="4131" spans="1:11" x14ac:dyDescent="0.25">
      <c r="A4131" t="s">
        <v>897</v>
      </c>
      <c r="C4131" t="s">
        <v>898</v>
      </c>
      <c r="D4131" t="s">
        <v>5</v>
      </c>
      <c r="E4131" t="s">
        <v>6</v>
      </c>
      <c r="F4131" t="s">
        <v>7</v>
      </c>
      <c r="G4131">
        <v>1</v>
      </c>
      <c r="H4131" s="2">
        <f>Tabelle13[[#This Row],[commits]]/Tabelle13[[#Totals],[commits]]</f>
        <v>4.6477904404246225E-6</v>
      </c>
      <c r="I4131" s="5">
        <f>Tabelle13[[#This Row],[%]]+I4130</f>
        <v>0.97715146219485327</v>
      </c>
      <c r="J4131" s="4">
        <f t="shared" si="161"/>
        <v>1.105583195135434E-4</v>
      </c>
      <c r="K4131" s="5">
        <f t="shared" si="162"/>
        <v>0.45649530127145127</v>
      </c>
    </row>
    <row r="4132" spans="1:11" x14ac:dyDescent="0.25">
      <c r="A4132" t="s">
        <v>899</v>
      </c>
      <c r="C4132" t="s">
        <v>900</v>
      </c>
      <c r="D4132" t="s">
        <v>5</v>
      </c>
      <c r="E4132" t="s">
        <v>6</v>
      </c>
      <c r="F4132" t="s">
        <v>7</v>
      </c>
      <c r="G4132">
        <v>1</v>
      </c>
      <c r="H4132" s="2">
        <f>Tabelle13[[#This Row],[commits]]/Tabelle13[[#Totals],[commits]]</f>
        <v>4.6477904404246225E-6</v>
      </c>
      <c r="I4132" s="5">
        <f>Tabelle13[[#This Row],[%]]+I4131</f>
        <v>0.97715610998529367</v>
      </c>
      <c r="J4132" s="4">
        <f t="shared" si="161"/>
        <v>1.105583195135434E-4</v>
      </c>
      <c r="K4132" s="5">
        <f t="shared" si="162"/>
        <v>0.45660585959096484</v>
      </c>
    </row>
    <row r="4133" spans="1:11" x14ac:dyDescent="0.25">
      <c r="A4133" t="s">
        <v>901</v>
      </c>
      <c r="C4133" t="s">
        <v>902</v>
      </c>
      <c r="D4133" t="s">
        <v>5</v>
      </c>
      <c r="E4133" t="s">
        <v>6</v>
      </c>
      <c r="F4133" t="s">
        <v>7</v>
      </c>
      <c r="G4133">
        <v>1</v>
      </c>
      <c r="H4133" s="2">
        <f>Tabelle13[[#This Row],[commits]]/Tabelle13[[#Totals],[commits]]</f>
        <v>4.6477904404246225E-6</v>
      </c>
      <c r="I4133" s="5">
        <f>Tabelle13[[#This Row],[%]]+I4132</f>
        <v>0.97716075777573408</v>
      </c>
      <c r="J4133" s="4">
        <f t="shared" si="161"/>
        <v>1.105583195135434E-4</v>
      </c>
      <c r="K4133" s="5">
        <f t="shared" si="162"/>
        <v>0.4567164179104784</v>
      </c>
    </row>
    <row r="4134" spans="1:11" x14ac:dyDescent="0.25">
      <c r="A4134" t="s">
        <v>903</v>
      </c>
      <c r="C4134" t="s">
        <v>904</v>
      </c>
      <c r="D4134" t="s">
        <v>5</v>
      </c>
      <c r="E4134" t="s">
        <v>6</v>
      </c>
      <c r="F4134" t="s">
        <v>7</v>
      </c>
      <c r="G4134">
        <v>1</v>
      </c>
      <c r="H4134" s="2">
        <f>Tabelle13[[#This Row],[commits]]/Tabelle13[[#Totals],[commits]]</f>
        <v>4.6477904404246225E-6</v>
      </c>
      <c r="I4134" s="5">
        <f>Tabelle13[[#This Row],[%]]+I4133</f>
        <v>0.97716540556617448</v>
      </c>
      <c r="J4134" s="4">
        <f t="shared" si="161"/>
        <v>1.105583195135434E-4</v>
      </c>
      <c r="K4134" s="5">
        <f t="shared" si="162"/>
        <v>0.45682697622999197</v>
      </c>
    </row>
    <row r="4135" spans="1:11" x14ac:dyDescent="0.25">
      <c r="A4135" t="s">
        <v>905</v>
      </c>
      <c r="C4135" t="s">
        <v>906</v>
      </c>
      <c r="D4135" t="s">
        <v>5</v>
      </c>
      <c r="E4135" t="s">
        <v>6</v>
      </c>
      <c r="F4135" t="s">
        <v>7</v>
      </c>
      <c r="G4135">
        <v>1</v>
      </c>
      <c r="H4135" s="2">
        <f>Tabelle13[[#This Row],[commits]]/Tabelle13[[#Totals],[commits]]</f>
        <v>4.6477904404246225E-6</v>
      </c>
      <c r="I4135" s="5">
        <f>Tabelle13[[#This Row],[%]]+I4134</f>
        <v>0.97717005335661489</v>
      </c>
      <c r="J4135" s="4">
        <f t="shared" si="161"/>
        <v>1.105583195135434E-4</v>
      </c>
      <c r="K4135" s="5">
        <f t="shared" si="162"/>
        <v>0.45693753454950553</v>
      </c>
    </row>
    <row r="4136" spans="1:11" x14ac:dyDescent="0.25">
      <c r="A4136" t="s">
        <v>907</v>
      </c>
      <c r="C4136" t="s">
        <v>908</v>
      </c>
      <c r="D4136" t="s">
        <v>5</v>
      </c>
      <c r="E4136" t="s">
        <v>6</v>
      </c>
      <c r="F4136" t="s">
        <v>7</v>
      </c>
      <c r="G4136">
        <v>1</v>
      </c>
      <c r="H4136" s="2">
        <f>Tabelle13[[#This Row],[commits]]/Tabelle13[[#Totals],[commits]]</f>
        <v>4.6477904404246225E-6</v>
      </c>
      <c r="I4136" s="5">
        <f>Tabelle13[[#This Row],[%]]+I4135</f>
        <v>0.97717470114705529</v>
      </c>
      <c r="J4136" s="4">
        <f t="shared" si="161"/>
        <v>1.105583195135434E-4</v>
      </c>
      <c r="K4136" s="5">
        <f t="shared" si="162"/>
        <v>0.4570480928690191</v>
      </c>
    </row>
    <row r="4137" spans="1:11" x14ac:dyDescent="0.25">
      <c r="A4137" t="s">
        <v>909</v>
      </c>
      <c r="C4137" t="s">
        <v>910</v>
      </c>
      <c r="D4137" t="s">
        <v>5</v>
      </c>
      <c r="E4137" t="s">
        <v>6</v>
      </c>
      <c r="F4137" t="s">
        <v>7</v>
      </c>
      <c r="G4137">
        <v>1</v>
      </c>
      <c r="H4137" s="2">
        <f>Tabelle13[[#This Row],[commits]]/Tabelle13[[#Totals],[commits]]</f>
        <v>4.6477904404246225E-6</v>
      </c>
      <c r="I4137" s="5">
        <f>Tabelle13[[#This Row],[%]]+I4136</f>
        <v>0.9771793489374957</v>
      </c>
      <c r="J4137" s="4">
        <f t="shared" si="161"/>
        <v>1.105583195135434E-4</v>
      </c>
      <c r="K4137" s="5">
        <f t="shared" si="162"/>
        <v>0.45715865118853266</v>
      </c>
    </row>
    <row r="4138" spans="1:11" x14ac:dyDescent="0.25">
      <c r="A4138" t="s">
        <v>911</v>
      </c>
      <c r="C4138" t="s">
        <v>912</v>
      </c>
      <c r="D4138" t="s">
        <v>5</v>
      </c>
      <c r="E4138" t="s">
        <v>6</v>
      </c>
      <c r="F4138" t="s">
        <v>7</v>
      </c>
      <c r="G4138">
        <v>1</v>
      </c>
      <c r="H4138" s="2">
        <f>Tabelle13[[#This Row],[commits]]/Tabelle13[[#Totals],[commits]]</f>
        <v>4.6477904404246225E-6</v>
      </c>
      <c r="I4138" s="5">
        <f>Tabelle13[[#This Row],[%]]+I4137</f>
        <v>0.9771839967279361</v>
      </c>
      <c r="J4138" s="4">
        <f t="shared" si="161"/>
        <v>1.105583195135434E-4</v>
      </c>
      <c r="K4138" s="5">
        <f t="shared" si="162"/>
        <v>0.45726920950804623</v>
      </c>
    </row>
    <row r="4139" spans="1:11" x14ac:dyDescent="0.25">
      <c r="A4139" t="s">
        <v>913</v>
      </c>
      <c r="C4139" t="s">
        <v>914</v>
      </c>
      <c r="D4139" t="s">
        <v>5</v>
      </c>
      <c r="E4139" t="s">
        <v>6</v>
      </c>
      <c r="F4139" t="s">
        <v>7</v>
      </c>
      <c r="G4139">
        <v>1</v>
      </c>
      <c r="H4139" s="2">
        <f>Tabelle13[[#This Row],[commits]]/Tabelle13[[#Totals],[commits]]</f>
        <v>4.6477904404246225E-6</v>
      </c>
      <c r="I4139" s="5">
        <f>Tabelle13[[#This Row],[%]]+I4138</f>
        <v>0.9771886445183765</v>
      </c>
      <c r="J4139" s="4">
        <f t="shared" si="161"/>
        <v>1.105583195135434E-4</v>
      </c>
      <c r="K4139" s="5">
        <f t="shared" si="162"/>
        <v>0.45737976782755979</v>
      </c>
    </row>
    <row r="4140" spans="1:11" x14ac:dyDescent="0.25">
      <c r="A4140" t="s">
        <v>915</v>
      </c>
      <c r="C4140" t="s">
        <v>916</v>
      </c>
      <c r="D4140" t="s">
        <v>5</v>
      </c>
      <c r="E4140" t="s">
        <v>6</v>
      </c>
      <c r="F4140" t="s">
        <v>7</v>
      </c>
      <c r="G4140">
        <v>1</v>
      </c>
      <c r="H4140" s="2">
        <f>Tabelle13[[#This Row],[commits]]/Tabelle13[[#Totals],[commits]]</f>
        <v>4.6477904404246225E-6</v>
      </c>
      <c r="I4140" s="5">
        <f>Tabelle13[[#This Row],[%]]+I4139</f>
        <v>0.97719329230881691</v>
      </c>
      <c r="J4140" s="4">
        <f t="shared" si="161"/>
        <v>1.105583195135434E-4</v>
      </c>
      <c r="K4140" s="5">
        <f t="shared" si="162"/>
        <v>0.45749032614707336</v>
      </c>
    </row>
    <row r="4141" spans="1:11" x14ac:dyDescent="0.25">
      <c r="A4141" t="s">
        <v>917</v>
      </c>
      <c r="C4141" t="s">
        <v>918</v>
      </c>
      <c r="D4141" t="s">
        <v>5</v>
      </c>
      <c r="E4141" t="s">
        <v>6</v>
      </c>
      <c r="F4141" t="s">
        <v>7</v>
      </c>
      <c r="G4141">
        <v>1</v>
      </c>
      <c r="H4141" s="2">
        <f>Tabelle13[[#This Row],[commits]]/Tabelle13[[#Totals],[commits]]</f>
        <v>4.6477904404246225E-6</v>
      </c>
      <c r="I4141" s="5">
        <f>Tabelle13[[#This Row],[%]]+I4140</f>
        <v>0.97719794009925731</v>
      </c>
      <c r="J4141" s="4">
        <f t="shared" si="161"/>
        <v>1.105583195135434E-4</v>
      </c>
      <c r="K4141" s="5">
        <f t="shared" si="162"/>
        <v>0.45760088446658692</v>
      </c>
    </row>
    <row r="4142" spans="1:11" x14ac:dyDescent="0.25">
      <c r="A4142" t="s">
        <v>919</v>
      </c>
      <c r="C4142" t="s">
        <v>920</v>
      </c>
      <c r="D4142" t="s">
        <v>5</v>
      </c>
      <c r="E4142" t="s">
        <v>6</v>
      </c>
      <c r="F4142" t="s">
        <v>7</v>
      </c>
      <c r="G4142">
        <v>1</v>
      </c>
      <c r="H4142" s="2">
        <f>Tabelle13[[#This Row],[commits]]/Tabelle13[[#Totals],[commits]]</f>
        <v>4.6477904404246225E-6</v>
      </c>
      <c r="I4142" s="5">
        <f>Tabelle13[[#This Row],[%]]+I4141</f>
        <v>0.97720258788969772</v>
      </c>
      <c r="J4142" s="4">
        <f t="shared" si="161"/>
        <v>1.105583195135434E-4</v>
      </c>
      <c r="K4142" s="5">
        <f t="shared" si="162"/>
        <v>0.45771144278610049</v>
      </c>
    </row>
    <row r="4143" spans="1:11" x14ac:dyDescent="0.25">
      <c r="A4143" t="s">
        <v>921</v>
      </c>
      <c r="C4143" t="s">
        <v>922</v>
      </c>
      <c r="D4143" t="s">
        <v>5</v>
      </c>
      <c r="E4143" t="s">
        <v>6</v>
      </c>
      <c r="F4143" t="s">
        <v>7</v>
      </c>
      <c r="G4143">
        <v>1</v>
      </c>
      <c r="H4143" s="2">
        <f>Tabelle13[[#This Row],[commits]]/Tabelle13[[#Totals],[commits]]</f>
        <v>4.6477904404246225E-6</v>
      </c>
      <c r="I4143" s="5">
        <f>Tabelle13[[#This Row],[%]]+I4142</f>
        <v>0.97720723568013812</v>
      </c>
      <c r="J4143" s="4">
        <f t="shared" si="161"/>
        <v>1.105583195135434E-4</v>
      </c>
      <c r="K4143" s="5">
        <f t="shared" si="162"/>
        <v>0.45782200110561405</v>
      </c>
    </row>
    <row r="4144" spans="1:11" x14ac:dyDescent="0.25">
      <c r="A4144" t="s">
        <v>923</v>
      </c>
      <c r="C4144" t="s">
        <v>149</v>
      </c>
      <c r="D4144" t="s">
        <v>5</v>
      </c>
      <c r="E4144" t="s">
        <v>6</v>
      </c>
      <c r="F4144" t="s">
        <v>7</v>
      </c>
      <c r="G4144">
        <v>1</v>
      </c>
      <c r="H4144" s="2">
        <f>Tabelle13[[#This Row],[commits]]/Tabelle13[[#Totals],[commits]]</f>
        <v>4.6477904404246225E-6</v>
      </c>
      <c r="I4144" s="5">
        <f>Tabelle13[[#This Row],[%]]+I4143</f>
        <v>0.97721188347057852</v>
      </c>
      <c r="J4144" s="4">
        <f t="shared" si="161"/>
        <v>1.105583195135434E-4</v>
      </c>
      <c r="K4144" s="5">
        <f t="shared" si="162"/>
        <v>0.45793255942512762</v>
      </c>
    </row>
    <row r="4145" spans="1:11" x14ac:dyDescent="0.25">
      <c r="A4145" t="s">
        <v>924</v>
      </c>
      <c r="C4145" t="s">
        <v>925</v>
      </c>
      <c r="D4145" t="s">
        <v>5</v>
      </c>
      <c r="E4145" t="s">
        <v>6</v>
      </c>
      <c r="F4145" t="s">
        <v>7</v>
      </c>
      <c r="G4145">
        <v>1</v>
      </c>
      <c r="H4145" s="2">
        <f>Tabelle13[[#This Row],[commits]]/Tabelle13[[#Totals],[commits]]</f>
        <v>4.6477904404246225E-6</v>
      </c>
      <c r="I4145" s="5">
        <f>Tabelle13[[#This Row],[%]]+I4144</f>
        <v>0.97721653126101893</v>
      </c>
      <c r="J4145" s="4">
        <f t="shared" si="161"/>
        <v>1.105583195135434E-4</v>
      </c>
      <c r="K4145" s="5">
        <f t="shared" si="162"/>
        <v>0.45804311774464118</v>
      </c>
    </row>
    <row r="4146" spans="1:11" x14ac:dyDescent="0.25">
      <c r="A4146" t="s">
        <v>926</v>
      </c>
      <c r="C4146" t="s">
        <v>728</v>
      </c>
      <c r="D4146" t="s">
        <v>5</v>
      </c>
      <c r="E4146" t="s">
        <v>6</v>
      </c>
      <c r="F4146" t="s">
        <v>7</v>
      </c>
      <c r="G4146">
        <v>1</v>
      </c>
      <c r="H4146" s="2">
        <f>Tabelle13[[#This Row],[commits]]/Tabelle13[[#Totals],[commits]]</f>
        <v>4.6477904404246225E-6</v>
      </c>
      <c r="I4146" s="5">
        <f>Tabelle13[[#This Row],[%]]+I4145</f>
        <v>0.97722117905145933</v>
      </c>
      <c r="J4146" s="4">
        <f t="shared" si="161"/>
        <v>1.105583195135434E-4</v>
      </c>
      <c r="K4146" s="5">
        <f t="shared" si="162"/>
        <v>0.45815367606415475</v>
      </c>
    </row>
    <row r="4147" spans="1:11" x14ac:dyDescent="0.25">
      <c r="A4147" t="s">
        <v>927</v>
      </c>
      <c r="C4147" t="s">
        <v>928</v>
      </c>
      <c r="D4147" t="s">
        <v>5</v>
      </c>
      <c r="E4147" t="s">
        <v>6</v>
      </c>
      <c r="F4147" t="s">
        <v>7</v>
      </c>
      <c r="G4147">
        <v>1</v>
      </c>
      <c r="H4147" s="2">
        <f>Tabelle13[[#This Row],[commits]]/Tabelle13[[#Totals],[commits]]</f>
        <v>4.6477904404246225E-6</v>
      </c>
      <c r="I4147" s="5">
        <f>Tabelle13[[#This Row],[%]]+I4146</f>
        <v>0.97722582684189974</v>
      </c>
      <c r="J4147" s="4">
        <f t="shared" si="161"/>
        <v>1.105583195135434E-4</v>
      </c>
      <c r="K4147" s="5">
        <f t="shared" si="162"/>
        <v>0.45826423438366831</v>
      </c>
    </row>
    <row r="4148" spans="1:11" x14ac:dyDescent="0.25">
      <c r="A4148" t="s">
        <v>929</v>
      </c>
      <c r="C4148" t="s">
        <v>930</v>
      </c>
      <c r="D4148" t="s">
        <v>5</v>
      </c>
      <c r="E4148" t="s">
        <v>6</v>
      </c>
      <c r="F4148" t="s">
        <v>7</v>
      </c>
      <c r="G4148">
        <v>1</v>
      </c>
      <c r="H4148" s="2">
        <f>Tabelle13[[#This Row],[commits]]/Tabelle13[[#Totals],[commits]]</f>
        <v>4.6477904404246225E-6</v>
      </c>
      <c r="I4148" s="5">
        <f>Tabelle13[[#This Row],[%]]+I4147</f>
        <v>0.97723047463234014</v>
      </c>
      <c r="J4148" s="4">
        <f t="shared" si="161"/>
        <v>1.105583195135434E-4</v>
      </c>
      <c r="K4148" s="5">
        <f t="shared" si="162"/>
        <v>0.45837479270318188</v>
      </c>
    </row>
    <row r="4149" spans="1:11" x14ac:dyDescent="0.25">
      <c r="A4149" t="s">
        <v>931</v>
      </c>
      <c r="C4149" t="s">
        <v>932</v>
      </c>
      <c r="D4149" t="s">
        <v>5</v>
      </c>
      <c r="E4149" t="s">
        <v>6</v>
      </c>
      <c r="F4149" t="s">
        <v>7</v>
      </c>
      <c r="G4149">
        <v>1</v>
      </c>
      <c r="H4149" s="2">
        <f>Tabelle13[[#This Row],[commits]]/Tabelle13[[#Totals],[commits]]</f>
        <v>4.6477904404246225E-6</v>
      </c>
      <c r="I4149" s="5">
        <f>Tabelle13[[#This Row],[%]]+I4148</f>
        <v>0.97723512242278054</v>
      </c>
      <c r="J4149" s="4">
        <f t="shared" si="161"/>
        <v>1.105583195135434E-4</v>
      </c>
      <c r="K4149" s="5">
        <f t="shared" si="162"/>
        <v>0.45848535102269544</v>
      </c>
    </row>
    <row r="4150" spans="1:11" x14ac:dyDescent="0.25">
      <c r="A4150" t="s">
        <v>933</v>
      </c>
      <c r="C4150" t="s">
        <v>934</v>
      </c>
      <c r="D4150" t="s">
        <v>5</v>
      </c>
      <c r="E4150" t="s">
        <v>6</v>
      </c>
      <c r="F4150" t="s">
        <v>7</v>
      </c>
      <c r="G4150">
        <v>1</v>
      </c>
      <c r="H4150" s="2">
        <f>Tabelle13[[#This Row],[commits]]/Tabelle13[[#Totals],[commits]]</f>
        <v>4.6477904404246225E-6</v>
      </c>
      <c r="I4150" s="5">
        <f>Tabelle13[[#This Row],[%]]+I4149</f>
        <v>0.97723977021322095</v>
      </c>
      <c r="J4150" s="4">
        <f t="shared" si="161"/>
        <v>1.105583195135434E-4</v>
      </c>
      <c r="K4150" s="5">
        <f t="shared" si="162"/>
        <v>0.45859590934220901</v>
      </c>
    </row>
    <row r="4151" spans="1:11" x14ac:dyDescent="0.25">
      <c r="A4151" t="s">
        <v>935</v>
      </c>
      <c r="C4151" t="s">
        <v>936</v>
      </c>
      <c r="D4151" t="s">
        <v>5</v>
      </c>
      <c r="E4151" t="s">
        <v>6</v>
      </c>
      <c r="F4151" t="s">
        <v>7</v>
      </c>
      <c r="G4151">
        <v>1</v>
      </c>
      <c r="H4151" s="2">
        <f>Tabelle13[[#This Row],[commits]]/Tabelle13[[#Totals],[commits]]</f>
        <v>4.6477904404246225E-6</v>
      </c>
      <c r="I4151" s="5">
        <f>Tabelle13[[#This Row],[%]]+I4150</f>
        <v>0.97724441800366135</v>
      </c>
      <c r="J4151" s="4">
        <f t="shared" si="161"/>
        <v>1.105583195135434E-4</v>
      </c>
      <c r="K4151" s="5">
        <f t="shared" si="162"/>
        <v>0.45870646766172257</v>
      </c>
    </row>
    <row r="4152" spans="1:11" x14ac:dyDescent="0.25">
      <c r="A4152" t="s">
        <v>937</v>
      </c>
      <c r="C4152" t="s">
        <v>938</v>
      </c>
      <c r="D4152" t="s">
        <v>5</v>
      </c>
      <c r="E4152" t="s">
        <v>6</v>
      </c>
      <c r="F4152" t="s">
        <v>7</v>
      </c>
      <c r="G4152">
        <v>1</v>
      </c>
      <c r="H4152" s="2">
        <f>Tabelle13[[#This Row],[commits]]/Tabelle13[[#Totals],[commits]]</f>
        <v>4.6477904404246225E-6</v>
      </c>
      <c r="I4152" s="5">
        <f>Tabelle13[[#This Row],[%]]+I4151</f>
        <v>0.97724906579410176</v>
      </c>
      <c r="J4152" s="4">
        <f t="shared" si="161"/>
        <v>1.105583195135434E-4</v>
      </c>
      <c r="K4152" s="5">
        <f t="shared" si="162"/>
        <v>0.45881702598123614</v>
      </c>
    </row>
    <row r="4153" spans="1:11" x14ac:dyDescent="0.25">
      <c r="A4153" t="s">
        <v>939</v>
      </c>
      <c r="C4153" t="s">
        <v>940</v>
      </c>
      <c r="D4153" t="s">
        <v>5</v>
      </c>
      <c r="E4153" t="s">
        <v>6</v>
      </c>
      <c r="F4153" t="s">
        <v>7</v>
      </c>
      <c r="G4153">
        <v>1</v>
      </c>
      <c r="H4153" s="2">
        <f>Tabelle13[[#This Row],[commits]]/Tabelle13[[#Totals],[commits]]</f>
        <v>4.6477904404246225E-6</v>
      </c>
      <c r="I4153" s="5">
        <f>Tabelle13[[#This Row],[%]]+I4152</f>
        <v>0.97725371358454216</v>
      </c>
      <c r="J4153" s="4">
        <f t="shared" si="161"/>
        <v>1.105583195135434E-4</v>
      </c>
      <c r="K4153" s="5">
        <f t="shared" si="162"/>
        <v>0.4589275843007497</v>
      </c>
    </row>
    <row r="4154" spans="1:11" x14ac:dyDescent="0.25">
      <c r="A4154" t="s">
        <v>941</v>
      </c>
      <c r="C4154" t="s">
        <v>942</v>
      </c>
      <c r="D4154" t="s">
        <v>5</v>
      </c>
      <c r="E4154" t="s">
        <v>6</v>
      </c>
      <c r="F4154" t="s">
        <v>7</v>
      </c>
      <c r="G4154">
        <v>1</v>
      </c>
      <c r="H4154" s="2">
        <f>Tabelle13[[#This Row],[commits]]/Tabelle13[[#Totals],[commits]]</f>
        <v>4.6477904404246225E-6</v>
      </c>
      <c r="I4154" s="5">
        <f>Tabelle13[[#This Row],[%]]+I4153</f>
        <v>0.97725836137498256</v>
      </c>
      <c r="J4154" s="4">
        <f t="shared" si="161"/>
        <v>1.105583195135434E-4</v>
      </c>
      <c r="K4154" s="5">
        <f t="shared" si="162"/>
        <v>0.45903814262026327</v>
      </c>
    </row>
    <row r="4155" spans="1:11" x14ac:dyDescent="0.25">
      <c r="A4155" t="s">
        <v>943</v>
      </c>
      <c r="C4155" t="s">
        <v>944</v>
      </c>
      <c r="D4155" t="s">
        <v>5</v>
      </c>
      <c r="E4155" t="s">
        <v>6</v>
      </c>
      <c r="F4155" t="s">
        <v>7</v>
      </c>
      <c r="G4155">
        <v>1</v>
      </c>
      <c r="H4155" s="2">
        <f>Tabelle13[[#This Row],[commits]]/Tabelle13[[#Totals],[commits]]</f>
        <v>4.6477904404246225E-6</v>
      </c>
      <c r="I4155" s="5">
        <f>Tabelle13[[#This Row],[%]]+I4154</f>
        <v>0.97726300916542297</v>
      </c>
      <c r="J4155" s="4">
        <f t="shared" si="161"/>
        <v>1.105583195135434E-4</v>
      </c>
      <c r="K4155" s="5">
        <f t="shared" si="162"/>
        <v>0.45914870093977683</v>
      </c>
    </row>
    <row r="4156" spans="1:11" x14ac:dyDescent="0.25">
      <c r="A4156" t="s">
        <v>945</v>
      </c>
      <c r="C4156" t="s">
        <v>946</v>
      </c>
      <c r="D4156" t="s">
        <v>5</v>
      </c>
      <c r="E4156" t="s">
        <v>6</v>
      </c>
      <c r="F4156" t="s">
        <v>7</v>
      </c>
      <c r="G4156">
        <v>1</v>
      </c>
      <c r="H4156" s="2">
        <f>Tabelle13[[#This Row],[commits]]/Tabelle13[[#Totals],[commits]]</f>
        <v>4.6477904404246225E-6</v>
      </c>
      <c r="I4156" s="5">
        <f>Tabelle13[[#This Row],[%]]+I4155</f>
        <v>0.97726765695586337</v>
      </c>
      <c r="J4156" s="4">
        <f t="shared" si="161"/>
        <v>1.105583195135434E-4</v>
      </c>
      <c r="K4156" s="5">
        <f t="shared" si="162"/>
        <v>0.4592592592592904</v>
      </c>
    </row>
    <row r="4157" spans="1:11" x14ac:dyDescent="0.25">
      <c r="A4157" t="s">
        <v>947</v>
      </c>
      <c r="C4157" t="s">
        <v>948</v>
      </c>
      <c r="D4157" t="s">
        <v>5</v>
      </c>
      <c r="E4157" t="s">
        <v>6</v>
      </c>
      <c r="F4157" t="s">
        <v>7</v>
      </c>
      <c r="G4157">
        <v>1</v>
      </c>
      <c r="H4157" s="2">
        <f>Tabelle13[[#This Row],[commits]]/Tabelle13[[#Totals],[commits]]</f>
        <v>4.6477904404246225E-6</v>
      </c>
      <c r="I4157" s="5">
        <f>Tabelle13[[#This Row],[%]]+I4156</f>
        <v>0.97727230474630378</v>
      </c>
      <c r="J4157" s="4">
        <f t="shared" si="161"/>
        <v>1.105583195135434E-4</v>
      </c>
      <c r="K4157" s="5">
        <f t="shared" si="162"/>
        <v>0.45936981757880396</v>
      </c>
    </row>
    <row r="4158" spans="1:11" x14ac:dyDescent="0.25">
      <c r="A4158" t="s">
        <v>949</v>
      </c>
      <c r="C4158" t="s">
        <v>950</v>
      </c>
      <c r="D4158" t="s">
        <v>5</v>
      </c>
      <c r="E4158" t="s">
        <v>6</v>
      </c>
      <c r="F4158" t="s">
        <v>7</v>
      </c>
      <c r="G4158">
        <v>1</v>
      </c>
      <c r="H4158" s="2">
        <f>Tabelle13[[#This Row],[commits]]/Tabelle13[[#Totals],[commits]]</f>
        <v>4.6477904404246225E-6</v>
      </c>
      <c r="I4158" s="5">
        <f>Tabelle13[[#This Row],[%]]+I4157</f>
        <v>0.97727695253674418</v>
      </c>
      <c r="J4158" s="4">
        <f t="shared" si="161"/>
        <v>1.105583195135434E-4</v>
      </c>
      <c r="K4158" s="5">
        <f t="shared" si="162"/>
        <v>0.45948037589831753</v>
      </c>
    </row>
    <row r="4159" spans="1:11" x14ac:dyDescent="0.25">
      <c r="A4159" t="s">
        <v>951</v>
      </c>
      <c r="C4159" t="s">
        <v>952</v>
      </c>
      <c r="D4159" t="s">
        <v>5</v>
      </c>
      <c r="E4159" t="s">
        <v>6</v>
      </c>
      <c r="F4159" t="s">
        <v>7</v>
      </c>
      <c r="G4159">
        <v>1</v>
      </c>
      <c r="H4159" s="2">
        <f>Tabelle13[[#This Row],[commits]]/Tabelle13[[#Totals],[commits]]</f>
        <v>4.6477904404246225E-6</v>
      </c>
      <c r="I4159" s="5">
        <f>Tabelle13[[#This Row],[%]]+I4158</f>
        <v>0.97728160032718459</v>
      </c>
      <c r="J4159" s="4">
        <f t="shared" si="161"/>
        <v>1.105583195135434E-4</v>
      </c>
      <c r="K4159" s="5">
        <f t="shared" si="162"/>
        <v>0.45959093421783109</v>
      </c>
    </row>
    <row r="4160" spans="1:11" x14ac:dyDescent="0.25">
      <c r="A4160" t="s">
        <v>953</v>
      </c>
      <c r="C4160" t="s">
        <v>954</v>
      </c>
      <c r="D4160" t="s">
        <v>5</v>
      </c>
      <c r="E4160" t="s">
        <v>6</v>
      </c>
      <c r="F4160" t="s">
        <v>7</v>
      </c>
      <c r="G4160">
        <v>1</v>
      </c>
      <c r="H4160" s="2">
        <f>Tabelle13[[#This Row],[commits]]/Tabelle13[[#Totals],[commits]]</f>
        <v>4.6477904404246225E-6</v>
      </c>
      <c r="I4160" s="5">
        <f>Tabelle13[[#This Row],[%]]+I4159</f>
        <v>0.97728624811762499</v>
      </c>
      <c r="J4160" s="4">
        <f t="shared" si="161"/>
        <v>1.105583195135434E-4</v>
      </c>
      <c r="K4160" s="5">
        <f t="shared" si="162"/>
        <v>0.45970149253734466</v>
      </c>
    </row>
    <row r="4161" spans="1:11" x14ac:dyDescent="0.25">
      <c r="A4161" t="s">
        <v>955</v>
      </c>
      <c r="C4161" t="s">
        <v>956</v>
      </c>
      <c r="D4161" t="s">
        <v>5</v>
      </c>
      <c r="E4161" t="s">
        <v>6</v>
      </c>
      <c r="F4161" t="s">
        <v>7</v>
      </c>
      <c r="G4161">
        <v>1</v>
      </c>
      <c r="H4161" s="2">
        <f>Tabelle13[[#This Row],[commits]]/Tabelle13[[#Totals],[commits]]</f>
        <v>4.6477904404246225E-6</v>
      </c>
      <c r="I4161" s="5">
        <f>Tabelle13[[#This Row],[%]]+I4160</f>
        <v>0.97729089590806539</v>
      </c>
      <c r="J4161" s="4">
        <f t="shared" si="161"/>
        <v>1.105583195135434E-4</v>
      </c>
      <c r="K4161" s="5">
        <f t="shared" si="162"/>
        <v>0.45981205085685822</v>
      </c>
    </row>
    <row r="4162" spans="1:11" x14ac:dyDescent="0.25">
      <c r="A4162" t="s">
        <v>957</v>
      </c>
      <c r="C4162" t="s">
        <v>958</v>
      </c>
      <c r="D4162" t="s">
        <v>5</v>
      </c>
      <c r="E4162" t="s">
        <v>6</v>
      </c>
      <c r="F4162" t="s">
        <v>7</v>
      </c>
      <c r="G4162">
        <v>1</v>
      </c>
      <c r="H4162" s="2">
        <f>Tabelle13[[#This Row],[commits]]/Tabelle13[[#Totals],[commits]]</f>
        <v>4.6477904404246225E-6</v>
      </c>
      <c r="I4162" s="5">
        <f>Tabelle13[[#This Row],[%]]+I4161</f>
        <v>0.9772955436985058</v>
      </c>
      <c r="J4162" s="4">
        <f t="shared" si="161"/>
        <v>1.105583195135434E-4</v>
      </c>
      <c r="K4162" s="5">
        <f t="shared" si="162"/>
        <v>0.45992260917637179</v>
      </c>
    </row>
    <row r="4163" spans="1:11" x14ac:dyDescent="0.25">
      <c r="A4163" t="s">
        <v>959</v>
      </c>
      <c r="C4163" t="s">
        <v>960</v>
      </c>
      <c r="D4163" t="s">
        <v>5</v>
      </c>
      <c r="E4163" t="s">
        <v>6</v>
      </c>
      <c r="F4163" t="s">
        <v>7</v>
      </c>
      <c r="G4163">
        <v>1</v>
      </c>
      <c r="H4163" s="2">
        <f>Tabelle13[[#This Row],[commits]]/Tabelle13[[#Totals],[commits]]</f>
        <v>4.6477904404246225E-6</v>
      </c>
      <c r="I4163" s="5">
        <f>Tabelle13[[#This Row],[%]]+I4162</f>
        <v>0.9773001914889462</v>
      </c>
      <c r="J4163" s="4">
        <f t="shared" ref="J4163:J4226" si="163">1/9045</f>
        <v>1.105583195135434E-4</v>
      </c>
      <c r="K4163" s="5">
        <f t="shared" si="162"/>
        <v>0.46003316749588535</v>
      </c>
    </row>
    <row r="4164" spans="1:11" x14ac:dyDescent="0.25">
      <c r="A4164" t="s">
        <v>961</v>
      </c>
      <c r="C4164" t="s">
        <v>962</v>
      </c>
      <c r="D4164" t="s">
        <v>5</v>
      </c>
      <c r="E4164" t="s">
        <v>6</v>
      </c>
      <c r="F4164" t="s">
        <v>7</v>
      </c>
      <c r="G4164">
        <v>1</v>
      </c>
      <c r="H4164" s="2">
        <f>Tabelle13[[#This Row],[commits]]/Tabelle13[[#Totals],[commits]]</f>
        <v>4.6477904404246225E-6</v>
      </c>
      <c r="I4164" s="5">
        <f>Tabelle13[[#This Row],[%]]+I4163</f>
        <v>0.97730483927938661</v>
      </c>
      <c r="J4164" s="4">
        <f t="shared" si="163"/>
        <v>1.105583195135434E-4</v>
      </c>
      <c r="K4164" s="5">
        <f t="shared" si="162"/>
        <v>0.46014372581539892</v>
      </c>
    </row>
    <row r="4165" spans="1:11" x14ac:dyDescent="0.25">
      <c r="A4165" t="s">
        <v>963</v>
      </c>
      <c r="C4165" t="s">
        <v>964</v>
      </c>
      <c r="D4165" t="s">
        <v>5</v>
      </c>
      <c r="E4165" t="s">
        <v>6</v>
      </c>
      <c r="F4165" t="s">
        <v>7</v>
      </c>
      <c r="G4165">
        <v>1</v>
      </c>
      <c r="H4165" s="2">
        <f>Tabelle13[[#This Row],[commits]]/Tabelle13[[#Totals],[commits]]</f>
        <v>4.6477904404246225E-6</v>
      </c>
      <c r="I4165" s="5">
        <f>Tabelle13[[#This Row],[%]]+I4164</f>
        <v>0.97730948706982701</v>
      </c>
      <c r="J4165" s="4">
        <f t="shared" si="163"/>
        <v>1.105583195135434E-4</v>
      </c>
      <c r="K4165" s="5">
        <f t="shared" si="162"/>
        <v>0.46025428413491248</v>
      </c>
    </row>
    <row r="4166" spans="1:11" x14ac:dyDescent="0.25">
      <c r="A4166" t="s">
        <v>965</v>
      </c>
      <c r="C4166" t="s">
        <v>966</v>
      </c>
      <c r="D4166" t="s">
        <v>5</v>
      </c>
      <c r="E4166" t="s">
        <v>6</v>
      </c>
      <c r="F4166" t="s">
        <v>7</v>
      </c>
      <c r="G4166">
        <v>1</v>
      </c>
      <c r="H4166" s="2">
        <f>Tabelle13[[#This Row],[commits]]/Tabelle13[[#Totals],[commits]]</f>
        <v>4.6477904404246225E-6</v>
      </c>
      <c r="I4166" s="5">
        <f>Tabelle13[[#This Row],[%]]+I4165</f>
        <v>0.97731413486026741</v>
      </c>
      <c r="J4166" s="4">
        <f t="shared" si="163"/>
        <v>1.105583195135434E-4</v>
      </c>
      <c r="K4166" s="5">
        <f t="shared" ref="K4166:K4229" si="164">J4166+K4165</f>
        <v>0.46036484245442605</v>
      </c>
    </row>
    <row r="4167" spans="1:11" x14ac:dyDescent="0.25">
      <c r="A4167" t="s">
        <v>967</v>
      </c>
      <c r="C4167" t="s">
        <v>968</v>
      </c>
      <c r="D4167" t="s">
        <v>5</v>
      </c>
      <c r="E4167" t="s">
        <v>6</v>
      </c>
      <c r="F4167" t="s">
        <v>7</v>
      </c>
      <c r="G4167">
        <v>1</v>
      </c>
      <c r="H4167" s="2">
        <f>Tabelle13[[#This Row],[commits]]/Tabelle13[[#Totals],[commits]]</f>
        <v>4.6477904404246225E-6</v>
      </c>
      <c r="I4167" s="5">
        <f>Tabelle13[[#This Row],[%]]+I4166</f>
        <v>0.97731878265070782</v>
      </c>
      <c r="J4167" s="4">
        <f t="shared" si="163"/>
        <v>1.105583195135434E-4</v>
      </c>
      <c r="K4167" s="5">
        <f t="shared" si="164"/>
        <v>0.46047540077393961</v>
      </c>
    </row>
    <row r="4168" spans="1:11" x14ac:dyDescent="0.25">
      <c r="A4168" t="s">
        <v>969</v>
      </c>
      <c r="C4168" t="s">
        <v>970</v>
      </c>
      <c r="D4168" t="s">
        <v>5</v>
      </c>
      <c r="E4168" t="s">
        <v>6</v>
      </c>
      <c r="F4168" t="s">
        <v>7</v>
      </c>
      <c r="G4168">
        <v>1</v>
      </c>
      <c r="H4168" s="2">
        <f>Tabelle13[[#This Row],[commits]]/Tabelle13[[#Totals],[commits]]</f>
        <v>4.6477904404246225E-6</v>
      </c>
      <c r="I4168" s="5">
        <f>Tabelle13[[#This Row],[%]]+I4167</f>
        <v>0.97732343044114822</v>
      </c>
      <c r="J4168" s="4">
        <f t="shared" si="163"/>
        <v>1.105583195135434E-4</v>
      </c>
      <c r="K4168" s="5">
        <f t="shared" si="164"/>
        <v>0.46058595909345318</v>
      </c>
    </row>
    <row r="4169" spans="1:11" x14ac:dyDescent="0.25">
      <c r="A4169" t="s">
        <v>971</v>
      </c>
      <c r="C4169" t="s">
        <v>972</v>
      </c>
      <c r="D4169" t="s">
        <v>5</v>
      </c>
      <c r="E4169" t="s">
        <v>6</v>
      </c>
      <c r="F4169" t="s">
        <v>7</v>
      </c>
      <c r="G4169">
        <v>1</v>
      </c>
      <c r="H4169" s="2">
        <f>Tabelle13[[#This Row],[commits]]/Tabelle13[[#Totals],[commits]]</f>
        <v>4.6477904404246225E-6</v>
      </c>
      <c r="I4169" s="5">
        <f>Tabelle13[[#This Row],[%]]+I4168</f>
        <v>0.97732807823158863</v>
      </c>
      <c r="J4169" s="4">
        <f t="shared" si="163"/>
        <v>1.105583195135434E-4</v>
      </c>
      <c r="K4169" s="5">
        <f t="shared" si="164"/>
        <v>0.46069651741296674</v>
      </c>
    </row>
    <row r="4170" spans="1:11" x14ac:dyDescent="0.25">
      <c r="A4170" t="s">
        <v>973</v>
      </c>
      <c r="C4170" t="s">
        <v>974</v>
      </c>
      <c r="D4170" t="s">
        <v>5</v>
      </c>
      <c r="E4170" t="s">
        <v>6</v>
      </c>
      <c r="F4170" t="s">
        <v>7</v>
      </c>
      <c r="G4170">
        <v>1</v>
      </c>
      <c r="H4170" s="2">
        <f>Tabelle13[[#This Row],[commits]]/Tabelle13[[#Totals],[commits]]</f>
        <v>4.6477904404246225E-6</v>
      </c>
      <c r="I4170" s="5">
        <f>Tabelle13[[#This Row],[%]]+I4169</f>
        <v>0.97733272602202903</v>
      </c>
      <c r="J4170" s="4">
        <f t="shared" si="163"/>
        <v>1.105583195135434E-4</v>
      </c>
      <c r="K4170" s="5">
        <f t="shared" si="164"/>
        <v>0.46080707573248031</v>
      </c>
    </row>
    <row r="4171" spans="1:11" x14ac:dyDescent="0.25">
      <c r="A4171" t="s">
        <v>975</v>
      </c>
      <c r="C4171" t="s">
        <v>26</v>
      </c>
      <c r="D4171" t="s">
        <v>5</v>
      </c>
      <c r="E4171" t="s">
        <v>6</v>
      </c>
      <c r="F4171" t="s">
        <v>7</v>
      </c>
      <c r="G4171">
        <v>1</v>
      </c>
      <c r="H4171" s="2">
        <f>Tabelle13[[#This Row],[commits]]/Tabelle13[[#Totals],[commits]]</f>
        <v>4.6477904404246225E-6</v>
      </c>
      <c r="I4171" s="5">
        <f>Tabelle13[[#This Row],[%]]+I4170</f>
        <v>0.97733737381246943</v>
      </c>
      <c r="J4171" s="4">
        <f t="shared" si="163"/>
        <v>1.105583195135434E-4</v>
      </c>
      <c r="K4171" s="5">
        <f t="shared" si="164"/>
        <v>0.46091763405199387</v>
      </c>
    </row>
    <row r="4172" spans="1:11" x14ac:dyDescent="0.25">
      <c r="A4172" t="s">
        <v>976</v>
      </c>
      <c r="C4172" t="s">
        <v>977</v>
      </c>
      <c r="D4172" t="s">
        <v>5</v>
      </c>
      <c r="E4172" t="s">
        <v>6</v>
      </c>
      <c r="F4172" t="s">
        <v>7</v>
      </c>
      <c r="G4172">
        <v>1</v>
      </c>
      <c r="H4172" s="2">
        <f>Tabelle13[[#This Row],[commits]]/Tabelle13[[#Totals],[commits]]</f>
        <v>4.6477904404246225E-6</v>
      </c>
      <c r="I4172" s="5">
        <f>Tabelle13[[#This Row],[%]]+I4171</f>
        <v>0.97734202160290984</v>
      </c>
      <c r="J4172" s="4">
        <f t="shared" si="163"/>
        <v>1.105583195135434E-4</v>
      </c>
      <c r="K4172" s="5">
        <f t="shared" si="164"/>
        <v>0.46102819237150744</v>
      </c>
    </row>
    <row r="4173" spans="1:11" x14ac:dyDescent="0.25">
      <c r="A4173" t="s">
        <v>978</v>
      </c>
      <c r="C4173" t="s">
        <v>979</v>
      </c>
      <c r="D4173" t="s">
        <v>5</v>
      </c>
      <c r="E4173" t="s">
        <v>6</v>
      </c>
      <c r="F4173" t="s">
        <v>7</v>
      </c>
      <c r="G4173">
        <v>1</v>
      </c>
      <c r="H4173" s="2">
        <f>Tabelle13[[#This Row],[commits]]/Tabelle13[[#Totals],[commits]]</f>
        <v>4.6477904404246225E-6</v>
      </c>
      <c r="I4173" s="5">
        <f>Tabelle13[[#This Row],[%]]+I4172</f>
        <v>0.97734666939335024</v>
      </c>
      <c r="J4173" s="4">
        <f t="shared" si="163"/>
        <v>1.105583195135434E-4</v>
      </c>
      <c r="K4173" s="5">
        <f t="shared" si="164"/>
        <v>0.461138750691021</v>
      </c>
    </row>
    <row r="4174" spans="1:11" x14ac:dyDescent="0.25">
      <c r="A4174" t="s">
        <v>980</v>
      </c>
      <c r="C4174" t="s">
        <v>981</v>
      </c>
      <c r="D4174" t="s">
        <v>5</v>
      </c>
      <c r="E4174" t="s">
        <v>6</v>
      </c>
      <c r="F4174" t="s">
        <v>7</v>
      </c>
      <c r="G4174">
        <v>1</v>
      </c>
      <c r="H4174" s="2">
        <f>Tabelle13[[#This Row],[commits]]/Tabelle13[[#Totals],[commits]]</f>
        <v>4.6477904404246225E-6</v>
      </c>
      <c r="I4174" s="5">
        <f>Tabelle13[[#This Row],[%]]+I4173</f>
        <v>0.97735131718379065</v>
      </c>
      <c r="J4174" s="4">
        <f t="shared" si="163"/>
        <v>1.105583195135434E-4</v>
      </c>
      <c r="K4174" s="5">
        <f t="shared" si="164"/>
        <v>0.46124930901053457</v>
      </c>
    </row>
    <row r="4175" spans="1:11" x14ac:dyDescent="0.25">
      <c r="A4175" t="s">
        <v>982</v>
      </c>
      <c r="C4175" t="s">
        <v>983</v>
      </c>
      <c r="D4175" t="s">
        <v>5</v>
      </c>
      <c r="E4175" t="s">
        <v>6</v>
      </c>
      <c r="F4175" t="s">
        <v>7</v>
      </c>
      <c r="G4175">
        <v>1</v>
      </c>
      <c r="H4175" s="2">
        <f>Tabelle13[[#This Row],[commits]]/Tabelle13[[#Totals],[commits]]</f>
        <v>4.6477904404246225E-6</v>
      </c>
      <c r="I4175" s="5">
        <f>Tabelle13[[#This Row],[%]]+I4174</f>
        <v>0.97735596497423105</v>
      </c>
      <c r="J4175" s="4">
        <f t="shared" si="163"/>
        <v>1.105583195135434E-4</v>
      </c>
      <c r="K4175" s="5">
        <f t="shared" si="164"/>
        <v>0.46135986733004813</v>
      </c>
    </row>
    <row r="4176" spans="1:11" x14ac:dyDescent="0.25">
      <c r="A4176" t="s">
        <v>984</v>
      </c>
      <c r="C4176" t="s">
        <v>985</v>
      </c>
      <c r="D4176" t="s">
        <v>5</v>
      </c>
      <c r="E4176" t="s">
        <v>6</v>
      </c>
      <c r="F4176" t="s">
        <v>7</v>
      </c>
      <c r="G4176">
        <v>1</v>
      </c>
      <c r="H4176" s="2">
        <f>Tabelle13[[#This Row],[commits]]/Tabelle13[[#Totals],[commits]]</f>
        <v>4.6477904404246225E-6</v>
      </c>
      <c r="I4176" s="5">
        <f>Tabelle13[[#This Row],[%]]+I4175</f>
        <v>0.97736061276467145</v>
      </c>
      <c r="J4176" s="4">
        <f t="shared" si="163"/>
        <v>1.105583195135434E-4</v>
      </c>
      <c r="K4176" s="5">
        <f t="shared" si="164"/>
        <v>0.4614704256495617</v>
      </c>
    </row>
    <row r="4177" spans="1:11" x14ac:dyDescent="0.25">
      <c r="A4177" t="s">
        <v>986</v>
      </c>
      <c r="C4177" t="s">
        <v>987</v>
      </c>
      <c r="D4177" t="s">
        <v>5</v>
      </c>
      <c r="E4177" t="s">
        <v>6</v>
      </c>
      <c r="F4177" t="s">
        <v>7</v>
      </c>
      <c r="G4177">
        <v>1</v>
      </c>
      <c r="H4177" s="2">
        <f>Tabelle13[[#This Row],[commits]]/Tabelle13[[#Totals],[commits]]</f>
        <v>4.6477904404246225E-6</v>
      </c>
      <c r="I4177" s="5">
        <f>Tabelle13[[#This Row],[%]]+I4176</f>
        <v>0.97736526055511186</v>
      </c>
      <c r="J4177" s="4">
        <f t="shared" si="163"/>
        <v>1.105583195135434E-4</v>
      </c>
      <c r="K4177" s="5">
        <f t="shared" si="164"/>
        <v>0.46158098396907526</v>
      </c>
    </row>
    <row r="4178" spans="1:11" x14ac:dyDescent="0.25">
      <c r="A4178" t="s">
        <v>988</v>
      </c>
      <c r="C4178" t="s">
        <v>989</v>
      </c>
      <c r="D4178" t="s">
        <v>5</v>
      </c>
      <c r="E4178" t="s">
        <v>6</v>
      </c>
      <c r="F4178" t="s">
        <v>7</v>
      </c>
      <c r="G4178">
        <v>1</v>
      </c>
      <c r="H4178" s="2">
        <f>Tabelle13[[#This Row],[commits]]/Tabelle13[[#Totals],[commits]]</f>
        <v>4.6477904404246225E-6</v>
      </c>
      <c r="I4178" s="5">
        <f>Tabelle13[[#This Row],[%]]+I4177</f>
        <v>0.97736990834555226</v>
      </c>
      <c r="J4178" s="4">
        <f t="shared" si="163"/>
        <v>1.105583195135434E-4</v>
      </c>
      <c r="K4178" s="5">
        <f t="shared" si="164"/>
        <v>0.46169154228858883</v>
      </c>
    </row>
    <row r="4179" spans="1:11" x14ac:dyDescent="0.25">
      <c r="A4179" t="s">
        <v>990</v>
      </c>
      <c r="C4179" t="s">
        <v>991</v>
      </c>
      <c r="D4179" t="s">
        <v>5</v>
      </c>
      <c r="E4179" t="s">
        <v>6</v>
      </c>
      <c r="F4179" t="s">
        <v>7</v>
      </c>
      <c r="G4179">
        <v>1</v>
      </c>
      <c r="H4179" s="2">
        <f>Tabelle13[[#This Row],[commits]]/Tabelle13[[#Totals],[commits]]</f>
        <v>4.6477904404246225E-6</v>
      </c>
      <c r="I4179" s="5">
        <f>Tabelle13[[#This Row],[%]]+I4178</f>
        <v>0.97737455613599267</v>
      </c>
      <c r="J4179" s="4">
        <f t="shared" si="163"/>
        <v>1.105583195135434E-4</v>
      </c>
      <c r="K4179" s="5">
        <f t="shared" si="164"/>
        <v>0.46180210060810239</v>
      </c>
    </row>
    <row r="4180" spans="1:11" x14ac:dyDescent="0.25">
      <c r="A4180" t="s">
        <v>992</v>
      </c>
      <c r="C4180" t="s">
        <v>993</v>
      </c>
      <c r="D4180" t="s">
        <v>5</v>
      </c>
      <c r="E4180" t="s">
        <v>6</v>
      </c>
      <c r="F4180" t="s">
        <v>7</v>
      </c>
      <c r="G4180">
        <v>1</v>
      </c>
      <c r="H4180" s="2">
        <f>Tabelle13[[#This Row],[commits]]/Tabelle13[[#Totals],[commits]]</f>
        <v>4.6477904404246225E-6</v>
      </c>
      <c r="I4180" s="5">
        <f>Tabelle13[[#This Row],[%]]+I4179</f>
        <v>0.97737920392643307</v>
      </c>
      <c r="J4180" s="4">
        <f t="shared" si="163"/>
        <v>1.105583195135434E-4</v>
      </c>
      <c r="K4180" s="5">
        <f t="shared" si="164"/>
        <v>0.46191265892761596</v>
      </c>
    </row>
    <row r="4181" spans="1:11" x14ac:dyDescent="0.25">
      <c r="A4181" t="s">
        <v>994</v>
      </c>
      <c r="C4181" t="s">
        <v>995</v>
      </c>
      <c r="D4181" t="s">
        <v>5</v>
      </c>
      <c r="E4181" t="s">
        <v>6</v>
      </c>
      <c r="F4181" t="s">
        <v>7</v>
      </c>
      <c r="G4181">
        <v>1</v>
      </c>
      <c r="H4181" s="2">
        <f>Tabelle13[[#This Row],[commits]]/Tabelle13[[#Totals],[commits]]</f>
        <v>4.6477904404246225E-6</v>
      </c>
      <c r="I4181" s="5">
        <f>Tabelle13[[#This Row],[%]]+I4180</f>
        <v>0.97738385171687348</v>
      </c>
      <c r="J4181" s="4">
        <f t="shared" si="163"/>
        <v>1.105583195135434E-4</v>
      </c>
      <c r="K4181" s="5">
        <f t="shared" si="164"/>
        <v>0.46202321724712953</v>
      </c>
    </row>
    <row r="4182" spans="1:11" x14ac:dyDescent="0.25">
      <c r="A4182" t="s">
        <v>996</v>
      </c>
      <c r="C4182" t="s">
        <v>997</v>
      </c>
      <c r="D4182" t="s">
        <v>5</v>
      </c>
      <c r="E4182" t="s">
        <v>6</v>
      </c>
      <c r="F4182" t="s">
        <v>7</v>
      </c>
      <c r="G4182">
        <v>1</v>
      </c>
      <c r="H4182" s="2">
        <f>Tabelle13[[#This Row],[commits]]/Tabelle13[[#Totals],[commits]]</f>
        <v>4.6477904404246225E-6</v>
      </c>
      <c r="I4182" s="5">
        <f>Tabelle13[[#This Row],[%]]+I4181</f>
        <v>0.97738849950731388</v>
      </c>
      <c r="J4182" s="4">
        <f t="shared" si="163"/>
        <v>1.105583195135434E-4</v>
      </c>
      <c r="K4182" s="5">
        <f t="shared" si="164"/>
        <v>0.46213377556664309</v>
      </c>
    </row>
    <row r="4183" spans="1:11" x14ac:dyDescent="0.25">
      <c r="A4183" t="s">
        <v>998</v>
      </c>
      <c r="C4183" t="s">
        <v>999</v>
      </c>
      <c r="D4183" t="s">
        <v>5</v>
      </c>
      <c r="E4183" t="s">
        <v>6</v>
      </c>
      <c r="F4183" t="s">
        <v>7</v>
      </c>
      <c r="G4183">
        <v>1</v>
      </c>
      <c r="H4183" s="2">
        <f>Tabelle13[[#This Row],[commits]]/Tabelle13[[#Totals],[commits]]</f>
        <v>4.6477904404246225E-6</v>
      </c>
      <c r="I4183" s="5">
        <f>Tabelle13[[#This Row],[%]]+I4182</f>
        <v>0.97739314729775428</v>
      </c>
      <c r="J4183" s="4">
        <f t="shared" si="163"/>
        <v>1.105583195135434E-4</v>
      </c>
      <c r="K4183" s="5">
        <f t="shared" si="164"/>
        <v>0.46224433388615666</v>
      </c>
    </row>
    <row r="4184" spans="1:11" x14ac:dyDescent="0.25">
      <c r="A4184" t="s">
        <v>1000</v>
      </c>
      <c r="C4184" t="s">
        <v>1001</v>
      </c>
      <c r="D4184" t="s">
        <v>5</v>
      </c>
      <c r="E4184" t="s">
        <v>6</v>
      </c>
      <c r="F4184" t="s">
        <v>7</v>
      </c>
      <c r="G4184">
        <v>1</v>
      </c>
      <c r="H4184" s="2">
        <f>Tabelle13[[#This Row],[commits]]/Tabelle13[[#Totals],[commits]]</f>
        <v>4.6477904404246225E-6</v>
      </c>
      <c r="I4184" s="5">
        <f>Tabelle13[[#This Row],[%]]+I4183</f>
        <v>0.97739779508819469</v>
      </c>
      <c r="J4184" s="4">
        <f t="shared" si="163"/>
        <v>1.105583195135434E-4</v>
      </c>
      <c r="K4184" s="5">
        <f t="shared" si="164"/>
        <v>0.46235489220567022</v>
      </c>
    </row>
    <row r="4185" spans="1:11" x14ac:dyDescent="0.25">
      <c r="A4185" t="s">
        <v>1002</v>
      </c>
      <c r="C4185" t="s">
        <v>1003</v>
      </c>
      <c r="D4185" t="s">
        <v>5</v>
      </c>
      <c r="E4185" t="s">
        <v>6</v>
      </c>
      <c r="F4185" t="s">
        <v>7</v>
      </c>
      <c r="G4185">
        <v>1</v>
      </c>
      <c r="H4185" s="2">
        <f>Tabelle13[[#This Row],[commits]]/Tabelle13[[#Totals],[commits]]</f>
        <v>4.6477904404246225E-6</v>
      </c>
      <c r="I4185" s="5">
        <f>Tabelle13[[#This Row],[%]]+I4184</f>
        <v>0.97740244287863509</v>
      </c>
      <c r="J4185" s="4">
        <f t="shared" si="163"/>
        <v>1.105583195135434E-4</v>
      </c>
      <c r="K4185" s="5">
        <f t="shared" si="164"/>
        <v>0.46246545052518379</v>
      </c>
    </row>
    <row r="4186" spans="1:11" x14ac:dyDescent="0.25">
      <c r="A4186" t="s">
        <v>1004</v>
      </c>
      <c r="C4186" t="s">
        <v>1005</v>
      </c>
      <c r="D4186" t="s">
        <v>5</v>
      </c>
      <c r="E4186" t="s">
        <v>6</v>
      </c>
      <c r="F4186" t="s">
        <v>7</v>
      </c>
      <c r="G4186">
        <v>1</v>
      </c>
      <c r="H4186" s="2">
        <f>Tabelle13[[#This Row],[commits]]/Tabelle13[[#Totals],[commits]]</f>
        <v>4.6477904404246225E-6</v>
      </c>
      <c r="I4186" s="5">
        <f>Tabelle13[[#This Row],[%]]+I4185</f>
        <v>0.9774070906690755</v>
      </c>
      <c r="J4186" s="4">
        <f t="shared" si="163"/>
        <v>1.105583195135434E-4</v>
      </c>
      <c r="K4186" s="5">
        <f t="shared" si="164"/>
        <v>0.46257600884469735</v>
      </c>
    </row>
    <row r="4187" spans="1:11" x14ac:dyDescent="0.25">
      <c r="A4187" t="s">
        <v>1006</v>
      </c>
      <c r="C4187" t="s">
        <v>1007</v>
      </c>
      <c r="D4187" t="s">
        <v>5</v>
      </c>
      <c r="E4187" t="s">
        <v>6</v>
      </c>
      <c r="F4187" t="s">
        <v>7</v>
      </c>
      <c r="G4187">
        <v>1</v>
      </c>
      <c r="H4187" s="2">
        <f>Tabelle13[[#This Row],[commits]]/Tabelle13[[#Totals],[commits]]</f>
        <v>4.6477904404246225E-6</v>
      </c>
      <c r="I4187" s="5">
        <f>Tabelle13[[#This Row],[%]]+I4186</f>
        <v>0.9774117384595159</v>
      </c>
      <c r="J4187" s="4">
        <f t="shared" si="163"/>
        <v>1.105583195135434E-4</v>
      </c>
      <c r="K4187" s="5">
        <f t="shared" si="164"/>
        <v>0.46268656716421092</v>
      </c>
    </row>
    <row r="4188" spans="1:11" x14ac:dyDescent="0.25">
      <c r="A4188" t="s">
        <v>1008</v>
      </c>
      <c r="C4188" t="s">
        <v>1009</v>
      </c>
      <c r="D4188" t="s">
        <v>5</v>
      </c>
      <c r="E4188" t="s">
        <v>6</v>
      </c>
      <c r="F4188" t="s">
        <v>7</v>
      </c>
      <c r="G4188">
        <v>1</v>
      </c>
      <c r="H4188" s="2">
        <f>Tabelle13[[#This Row],[commits]]/Tabelle13[[#Totals],[commits]]</f>
        <v>4.6477904404246225E-6</v>
      </c>
      <c r="I4188" s="5">
        <f>Tabelle13[[#This Row],[%]]+I4187</f>
        <v>0.9774163862499563</v>
      </c>
      <c r="J4188" s="4">
        <f t="shared" si="163"/>
        <v>1.105583195135434E-4</v>
      </c>
      <c r="K4188" s="5">
        <f t="shared" si="164"/>
        <v>0.46279712548372448</v>
      </c>
    </row>
    <row r="4189" spans="1:11" x14ac:dyDescent="0.25">
      <c r="A4189" t="s">
        <v>1010</v>
      </c>
      <c r="C4189" t="s">
        <v>1011</v>
      </c>
      <c r="D4189" t="s">
        <v>5</v>
      </c>
      <c r="E4189" t="s">
        <v>6</v>
      </c>
      <c r="F4189" t="s">
        <v>7</v>
      </c>
      <c r="G4189">
        <v>1</v>
      </c>
      <c r="H4189" s="2">
        <f>Tabelle13[[#This Row],[commits]]/Tabelle13[[#Totals],[commits]]</f>
        <v>4.6477904404246225E-6</v>
      </c>
      <c r="I4189" s="5">
        <f>Tabelle13[[#This Row],[%]]+I4188</f>
        <v>0.97742103404039671</v>
      </c>
      <c r="J4189" s="4">
        <f t="shared" si="163"/>
        <v>1.105583195135434E-4</v>
      </c>
      <c r="K4189" s="5">
        <f t="shared" si="164"/>
        <v>0.46290768380323805</v>
      </c>
    </row>
    <row r="4190" spans="1:11" x14ac:dyDescent="0.25">
      <c r="A4190" t="s">
        <v>1012</v>
      </c>
      <c r="C4190" t="s">
        <v>1013</v>
      </c>
      <c r="D4190" t="s">
        <v>5</v>
      </c>
      <c r="E4190" t="s">
        <v>6</v>
      </c>
      <c r="F4190" t="s">
        <v>7</v>
      </c>
      <c r="G4190">
        <v>1</v>
      </c>
      <c r="H4190" s="2">
        <f>Tabelle13[[#This Row],[commits]]/Tabelle13[[#Totals],[commits]]</f>
        <v>4.6477904404246225E-6</v>
      </c>
      <c r="I4190" s="5">
        <f>Tabelle13[[#This Row],[%]]+I4189</f>
        <v>0.97742568183083711</v>
      </c>
      <c r="J4190" s="4">
        <f t="shared" si="163"/>
        <v>1.105583195135434E-4</v>
      </c>
      <c r="K4190" s="5">
        <f t="shared" si="164"/>
        <v>0.46301824212275161</v>
      </c>
    </row>
    <row r="4191" spans="1:11" x14ac:dyDescent="0.25">
      <c r="A4191" t="s">
        <v>1014</v>
      </c>
      <c r="C4191" t="s">
        <v>1015</v>
      </c>
      <c r="D4191" t="s">
        <v>5</v>
      </c>
      <c r="E4191" t="s">
        <v>6</v>
      </c>
      <c r="F4191" t="s">
        <v>7</v>
      </c>
      <c r="G4191">
        <v>1</v>
      </c>
      <c r="H4191" s="2">
        <f>Tabelle13[[#This Row],[commits]]/Tabelle13[[#Totals],[commits]]</f>
        <v>4.6477904404246225E-6</v>
      </c>
      <c r="I4191" s="5">
        <f>Tabelle13[[#This Row],[%]]+I4190</f>
        <v>0.97743032962127752</v>
      </c>
      <c r="J4191" s="4">
        <f t="shared" si="163"/>
        <v>1.105583195135434E-4</v>
      </c>
      <c r="K4191" s="5">
        <f t="shared" si="164"/>
        <v>0.46312880044226518</v>
      </c>
    </row>
    <row r="4192" spans="1:11" x14ac:dyDescent="0.25">
      <c r="A4192" t="s">
        <v>1016</v>
      </c>
      <c r="C4192" t="s">
        <v>1017</v>
      </c>
      <c r="D4192" t="s">
        <v>5</v>
      </c>
      <c r="E4192" t="s">
        <v>6</v>
      </c>
      <c r="F4192" t="s">
        <v>7</v>
      </c>
      <c r="G4192">
        <v>1</v>
      </c>
      <c r="H4192" s="2">
        <f>Tabelle13[[#This Row],[commits]]/Tabelle13[[#Totals],[commits]]</f>
        <v>4.6477904404246225E-6</v>
      </c>
      <c r="I4192" s="5">
        <f>Tabelle13[[#This Row],[%]]+I4191</f>
        <v>0.97743497741171792</v>
      </c>
      <c r="J4192" s="4">
        <f t="shared" si="163"/>
        <v>1.105583195135434E-4</v>
      </c>
      <c r="K4192" s="5">
        <f t="shared" si="164"/>
        <v>0.46323935876177874</v>
      </c>
    </row>
    <row r="4193" spans="1:11" x14ac:dyDescent="0.25">
      <c r="A4193" t="s">
        <v>1018</v>
      </c>
      <c r="C4193" t="s">
        <v>1019</v>
      </c>
      <c r="D4193" t="s">
        <v>5</v>
      </c>
      <c r="E4193" t="s">
        <v>6</v>
      </c>
      <c r="F4193" t="s">
        <v>7</v>
      </c>
      <c r="G4193">
        <v>1</v>
      </c>
      <c r="H4193" s="2">
        <f>Tabelle13[[#This Row],[commits]]/Tabelle13[[#Totals],[commits]]</f>
        <v>4.6477904404246225E-6</v>
      </c>
      <c r="I4193" s="5">
        <f>Tabelle13[[#This Row],[%]]+I4192</f>
        <v>0.97743962520215832</v>
      </c>
      <c r="J4193" s="4">
        <f t="shared" si="163"/>
        <v>1.105583195135434E-4</v>
      </c>
      <c r="K4193" s="5">
        <f t="shared" si="164"/>
        <v>0.46334991708129231</v>
      </c>
    </row>
    <row r="4194" spans="1:11" x14ac:dyDescent="0.25">
      <c r="A4194" t="s">
        <v>1020</v>
      </c>
      <c r="C4194" t="s">
        <v>1021</v>
      </c>
      <c r="D4194" t="s">
        <v>5</v>
      </c>
      <c r="E4194" t="s">
        <v>6</v>
      </c>
      <c r="F4194" t="s">
        <v>7</v>
      </c>
      <c r="G4194">
        <v>1</v>
      </c>
      <c r="H4194" s="2">
        <f>Tabelle13[[#This Row],[commits]]/Tabelle13[[#Totals],[commits]]</f>
        <v>4.6477904404246225E-6</v>
      </c>
      <c r="I4194" s="5">
        <f>Tabelle13[[#This Row],[%]]+I4193</f>
        <v>0.97744427299259873</v>
      </c>
      <c r="J4194" s="4">
        <f t="shared" si="163"/>
        <v>1.105583195135434E-4</v>
      </c>
      <c r="K4194" s="5">
        <f t="shared" si="164"/>
        <v>0.46346047540080587</v>
      </c>
    </row>
    <row r="4195" spans="1:11" x14ac:dyDescent="0.25">
      <c r="A4195" t="s">
        <v>1022</v>
      </c>
      <c r="C4195" t="s">
        <v>1023</v>
      </c>
      <c r="D4195" t="s">
        <v>5</v>
      </c>
      <c r="E4195" t="s">
        <v>6</v>
      </c>
      <c r="F4195" t="s">
        <v>7</v>
      </c>
      <c r="G4195">
        <v>1</v>
      </c>
      <c r="H4195" s="2">
        <f>Tabelle13[[#This Row],[commits]]/Tabelle13[[#Totals],[commits]]</f>
        <v>4.6477904404246225E-6</v>
      </c>
      <c r="I4195" s="5">
        <f>Tabelle13[[#This Row],[%]]+I4194</f>
        <v>0.97744892078303913</v>
      </c>
      <c r="J4195" s="4">
        <f t="shared" si="163"/>
        <v>1.105583195135434E-4</v>
      </c>
      <c r="K4195" s="5">
        <f t="shared" si="164"/>
        <v>0.46357103372031944</v>
      </c>
    </row>
    <row r="4196" spans="1:11" x14ac:dyDescent="0.25">
      <c r="A4196" t="s">
        <v>1024</v>
      </c>
      <c r="C4196" t="s">
        <v>1025</v>
      </c>
      <c r="D4196" t="s">
        <v>5</v>
      </c>
      <c r="E4196" t="s">
        <v>6</v>
      </c>
      <c r="F4196" t="s">
        <v>7</v>
      </c>
      <c r="G4196">
        <v>1</v>
      </c>
      <c r="H4196" s="2">
        <f>Tabelle13[[#This Row],[commits]]/Tabelle13[[#Totals],[commits]]</f>
        <v>4.6477904404246225E-6</v>
      </c>
      <c r="I4196" s="5">
        <f>Tabelle13[[#This Row],[%]]+I4195</f>
        <v>0.97745356857347954</v>
      </c>
      <c r="J4196" s="4">
        <f t="shared" si="163"/>
        <v>1.105583195135434E-4</v>
      </c>
      <c r="K4196" s="5">
        <f t="shared" si="164"/>
        <v>0.463681592039833</v>
      </c>
    </row>
    <row r="4197" spans="1:11" x14ac:dyDescent="0.25">
      <c r="A4197" t="s">
        <v>1026</v>
      </c>
      <c r="C4197" t="s">
        <v>1027</v>
      </c>
      <c r="D4197" t="s">
        <v>5</v>
      </c>
      <c r="E4197" t="s">
        <v>6</v>
      </c>
      <c r="F4197" t="s">
        <v>7</v>
      </c>
      <c r="G4197">
        <v>1</v>
      </c>
      <c r="H4197" s="2">
        <f>Tabelle13[[#This Row],[commits]]/Tabelle13[[#Totals],[commits]]</f>
        <v>4.6477904404246225E-6</v>
      </c>
      <c r="I4197" s="5">
        <f>Tabelle13[[#This Row],[%]]+I4196</f>
        <v>0.97745821636391994</v>
      </c>
      <c r="J4197" s="4">
        <f t="shared" si="163"/>
        <v>1.105583195135434E-4</v>
      </c>
      <c r="K4197" s="5">
        <f t="shared" si="164"/>
        <v>0.46379215035934657</v>
      </c>
    </row>
    <row r="4198" spans="1:11" x14ac:dyDescent="0.25">
      <c r="A4198" t="s">
        <v>1028</v>
      </c>
      <c r="C4198" t="s">
        <v>1029</v>
      </c>
      <c r="D4198" t="s">
        <v>5</v>
      </c>
      <c r="E4198" t="s">
        <v>6</v>
      </c>
      <c r="F4198" t="s">
        <v>7</v>
      </c>
      <c r="G4198">
        <v>1</v>
      </c>
      <c r="H4198" s="2">
        <f>Tabelle13[[#This Row],[commits]]/Tabelle13[[#Totals],[commits]]</f>
        <v>4.6477904404246225E-6</v>
      </c>
      <c r="I4198" s="5">
        <f>Tabelle13[[#This Row],[%]]+I4197</f>
        <v>0.97746286415436034</v>
      </c>
      <c r="J4198" s="4">
        <f t="shared" si="163"/>
        <v>1.105583195135434E-4</v>
      </c>
      <c r="K4198" s="5">
        <f t="shared" si="164"/>
        <v>0.46390270867886013</v>
      </c>
    </row>
    <row r="4199" spans="1:11" x14ac:dyDescent="0.25">
      <c r="A4199" t="s">
        <v>1030</v>
      </c>
      <c r="C4199" t="s">
        <v>1031</v>
      </c>
      <c r="D4199" t="s">
        <v>5</v>
      </c>
      <c r="E4199" t="s">
        <v>6</v>
      </c>
      <c r="F4199" t="s">
        <v>7</v>
      </c>
      <c r="G4199">
        <v>1</v>
      </c>
      <c r="H4199" s="2">
        <f>Tabelle13[[#This Row],[commits]]/Tabelle13[[#Totals],[commits]]</f>
        <v>4.6477904404246225E-6</v>
      </c>
      <c r="I4199" s="5">
        <f>Tabelle13[[#This Row],[%]]+I4198</f>
        <v>0.97746751194480075</v>
      </c>
      <c r="J4199" s="4">
        <f t="shared" si="163"/>
        <v>1.105583195135434E-4</v>
      </c>
      <c r="K4199" s="5">
        <f t="shared" si="164"/>
        <v>0.4640132669983737</v>
      </c>
    </row>
    <row r="4200" spans="1:11" x14ac:dyDescent="0.25">
      <c r="A4200" t="s">
        <v>1032</v>
      </c>
      <c r="C4200" t="s">
        <v>1033</v>
      </c>
      <c r="D4200" t="s">
        <v>5</v>
      </c>
      <c r="E4200" t="s">
        <v>6</v>
      </c>
      <c r="F4200" t="s">
        <v>7</v>
      </c>
      <c r="G4200">
        <v>1</v>
      </c>
      <c r="H4200" s="2">
        <f>Tabelle13[[#This Row],[commits]]/Tabelle13[[#Totals],[commits]]</f>
        <v>4.6477904404246225E-6</v>
      </c>
      <c r="I4200" s="5">
        <f>Tabelle13[[#This Row],[%]]+I4199</f>
        <v>0.97747215973524115</v>
      </c>
      <c r="J4200" s="4">
        <f t="shared" si="163"/>
        <v>1.105583195135434E-4</v>
      </c>
      <c r="K4200" s="5">
        <f t="shared" si="164"/>
        <v>0.46412382531788726</v>
      </c>
    </row>
    <row r="4201" spans="1:11" x14ac:dyDescent="0.25">
      <c r="A4201" t="s">
        <v>1034</v>
      </c>
      <c r="C4201" t="s">
        <v>681</v>
      </c>
      <c r="D4201" t="s">
        <v>5</v>
      </c>
      <c r="E4201" t="s">
        <v>6</v>
      </c>
      <c r="F4201" t="s">
        <v>7</v>
      </c>
      <c r="G4201">
        <v>1</v>
      </c>
      <c r="H4201" s="2">
        <f>Tabelle13[[#This Row],[commits]]/Tabelle13[[#Totals],[commits]]</f>
        <v>4.6477904404246225E-6</v>
      </c>
      <c r="I4201" s="5">
        <f>Tabelle13[[#This Row],[%]]+I4200</f>
        <v>0.97747680752568156</v>
      </c>
      <c r="J4201" s="4">
        <f t="shared" si="163"/>
        <v>1.105583195135434E-4</v>
      </c>
      <c r="K4201" s="5">
        <f t="shared" si="164"/>
        <v>0.46423438363740083</v>
      </c>
    </row>
    <row r="4202" spans="1:11" x14ac:dyDescent="0.25">
      <c r="A4202" t="s">
        <v>1035</v>
      </c>
      <c r="C4202" t="s">
        <v>197</v>
      </c>
      <c r="D4202" t="s">
        <v>5</v>
      </c>
      <c r="E4202" t="s">
        <v>6</v>
      </c>
      <c r="F4202" t="s">
        <v>7</v>
      </c>
      <c r="G4202">
        <v>1</v>
      </c>
      <c r="H4202" s="2">
        <f>Tabelle13[[#This Row],[commits]]/Tabelle13[[#Totals],[commits]]</f>
        <v>4.6477904404246225E-6</v>
      </c>
      <c r="I4202" s="5">
        <f>Tabelle13[[#This Row],[%]]+I4201</f>
        <v>0.97748145531612196</v>
      </c>
      <c r="J4202" s="4">
        <f t="shared" si="163"/>
        <v>1.105583195135434E-4</v>
      </c>
      <c r="K4202" s="5">
        <f t="shared" si="164"/>
        <v>0.46434494195691439</v>
      </c>
    </row>
    <row r="4203" spans="1:11" x14ac:dyDescent="0.25">
      <c r="A4203" t="s">
        <v>1036</v>
      </c>
      <c r="C4203" t="s">
        <v>1037</v>
      </c>
      <c r="D4203" t="s">
        <v>5</v>
      </c>
      <c r="E4203" t="s">
        <v>6</v>
      </c>
      <c r="F4203" t="s">
        <v>7</v>
      </c>
      <c r="G4203">
        <v>1</v>
      </c>
      <c r="H4203" s="2">
        <f>Tabelle13[[#This Row],[commits]]/Tabelle13[[#Totals],[commits]]</f>
        <v>4.6477904404246225E-6</v>
      </c>
      <c r="I4203" s="5">
        <f>Tabelle13[[#This Row],[%]]+I4202</f>
        <v>0.97748610310656237</v>
      </c>
      <c r="J4203" s="4">
        <f t="shared" si="163"/>
        <v>1.105583195135434E-4</v>
      </c>
      <c r="K4203" s="5">
        <f t="shared" si="164"/>
        <v>0.46445550027642796</v>
      </c>
    </row>
    <row r="4204" spans="1:11" x14ac:dyDescent="0.25">
      <c r="A4204" t="s">
        <v>1038</v>
      </c>
      <c r="C4204" t="s">
        <v>1039</v>
      </c>
      <c r="D4204" t="s">
        <v>5</v>
      </c>
      <c r="E4204" t="s">
        <v>6</v>
      </c>
      <c r="F4204" t="s">
        <v>7</v>
      </c>
      <c r="G4204">
        <v>1</v>
      </c>
      <c r="H4204" s="2">
        <f>Tabelle13[[#This Row],[commits]]/Tabelle13[[#Totals],[commits]]</f>
        <v>4.6477904404246225E-6</v>
      </c>
      <c r="I4204" s="5">
        <f>Tabelle13[[#This Row],[%]]+I4203</f>
        <v>0.97749075089700277</v>
      </c>
      <c r="J4204" s="4">
        <f t="shared" si="163"/>
        <v>1.105583195135434E-4</v>
      </c>
      <c r="K4204" s="5">
        <f t="shared" si="164"/>
        <v>0.46456605859594152</v>
      </c>
    </row>
    <row r="4205" spans="1:11" x14ac:dyDescent="0.25">
      <c r="A4205" t="s">
        <v>1040</v>
      </c>
      <c r="C4205" t="s">
        <v>197</v>
      </c>
      <c r="D4205" t="s">
        <v>5</v>
      </c>
      <c r="E4205" t="s">
        <v>6</v>
      </c>
      <c r="F4205" t="s">
        <v>7</v>
      </c>
      <c r="G4205">
        <v>1</v>
      </c>
      <c r="H4205" s="2">
        <f>Tabelle13[[#This Row],[commits]]/Tabelle13[[#Totals],[commits]]</f>
        <v>4.6477904404246225E-6</v>
      </c>
      <c r="I4205" s="5">
        <f>Tabelle13[[#This Row],[%]]+I4204</f>
        <v>0.97749539868744317</v>
      </c>
      <c r="J4205" s="4">
        <f t="shared" si="163"/>
        <v>1.105583195135434E-4</v>
      </c>
      <c r="K4205" s="5">
        <f t="shared" si="164"/>
        <v>0.46467661691545509</v>
      </c>
    </row>
    <row r="4206" spans="1:11" x14ac:dyDescent="0.25">
      <c r="A4206" t="s">
        <v>1041</v>
      </c>
      <c r="C4206" t="s">
        <v>1042</v>
      </c>
      <c r="D4206" t="s">
        <v>5</v>
      </c>
      <c r="E4206" t="s">
        <v>6</v>
      </c>
      <c r="F4206" t="s">
        <v>7</v>
      </c>
      <c r="G4206">
        <v>1</v>
      </c>
      <c r="H4206" s="2">
        <f>Tabelle13[[#This Row],[commits]]/Tabelle13[[#Totals],[commits]]</f>
        <v>4.6477904404246225E-6</v>
      </c>
      <c r="I4206" s="5">
        <f>Tabelle13[[#This Row],[%]]+I4205</f>
        <v>0.97750004647788358</v>
      </c>
      <c r="J4206" s="4">
        <f t="shared" si="163"/>
        <v>1.105583195135434E-4</v>
      </c>
      <c r="K4206" s="5">
        <f t="shared" si="164"/>
        <v>0.46478717523496865</v>
      </c>
    </row>
    <row r="4207" spans="1:11" x14ac:dyDescent="0.25">
      <c r="A4207" t="s">
        <v>1043</v>
      </c>
      <c r="C4207" t="s">
        <v>1044</v>
      </c>
      <c r="D4207" t="s">
        <v>5</v>
      </c>
      <c r="E4207" t="s">
        <v>6</v>
      </c>
      <c r="F4207" t="s">
        <v>7</v>
      </c>
      <c r="G4207">
        <v>1</v>
      </c>
      <c r="H4207" s="2">
        <f>Tabelle13[[#This Row],[commits]]/Tabelle13[[#Totals],[commits]]</f>
        <v>4.6477904404246225E-6</v>
      </c>
      <c r="I4207" s="5">
        <f>Tabelle13[[#This Row],[%]]+I4206</f>
        <v>0.97750469426832398</v>
      </c>
      <c r="J4207" s="4">
        <f t="shared" si="163"/>
        <v>1.105583195135434E-4</v>
      </c>
      <c r="K4207" s="5">
        <f t="shared" si="164"/>
        <v>0.46489773355448222</v>
      </c>
    </row>
    <row r="4208" spans="1:11" x14ac:dyDescent="0.25">
      <c r="A4208" t="s">
        <v>1045</v>
      </c>
      <c r="C4208" t="s">
        <v>1046</v>
      </c>
      <c r="D4208" t="s">
        <v>5</v>
      </c>
      <c r="E4208" t="s">
        <v>6</v>
      </c>
      <c r="F4208" t="s">
        <v>7</v>
      </c>
      <c r="G4208">
        <v>1</v>
      </c>
      <c r="H4208" s="2">
        <f>Tabelle13[[#This Row],[commits]]/Tabelle13[[#Totals],[commits]]</f>
        <v>4.6477904404246225E-6</v>
      </c>
      <c r="I4208" s="5">
        <f>Tabelle13[[#This Row],[%]]+I4207</f>
        <v>0.97750934205876439</v>
      </c>
      <c r="J4208" s="4">
        <f t="shared" si="163"/>
        <v>1.105583195135434E-4</v>
      </c>
      <c r="K4208" s="5">
        <f t="shared" si="164"/>
        <v>0.46500829187399578</v>
      </c>
    </row>
    <row r="4209" spans="1:11" x14ac:dyDescent="0.25">
      <c r="A4209" t="s">
        <v>1047</v>
      </c>
      <c r="C4209" t="s">
        <v>1048</v>
      </c>
      <c r="D4209" t="s">
        <v>5</v>
      </c>
      <c r="E4209" t="s">
        <v>6</v>
      </c>
      <c r="F4209" t="s">
        <v>7</v>
      </c>
      <c r="G4209">
        <v>1</v>
      </c>
      <c r="H4209" s="2">
        <f>Tabelle13[[#This Row],[commits]]/Tabelle13[[#Totals],[commits]]</f>
        <v>4.6477904404246225E-6</v>
      </c>
      <c r="I4209" s="5">
        <f>Tabelle13[[#This Row],[%]]+I4208</f>
        <v>0.97751398984920479</v>
      </c>
      <c r="J4209" s="4">
        <f t="shared" si="163"/>
        <v>1.105583195135434E-4</v>
      </c>
      <c r="K4209" s="5">
        <f t="shared" si="164"/>
        <v>0.46511885019350935</v>
      </c>
    </row>
    <row r="4210" spans="1:11" x14ac:dyDescent="0.25">
      <c r="A4210" t="s">
        <v>1049</v>
      </c>
      <c r="C4210" t="s">
        <v>1050</v>
      </c>
      <c r="D4210" t="s">
        <v>5</v>
      </c>
      <c r="E4210" t="s">
        <v>6</v>
      </c>
      <c r="F4210" t="s">
        <v>334</v>
      </c>
      <c r="G4210">
        <v>1</v>
      </c>
      <c r="H4210" s="2">
        <f>Tabelle13[[#This Row],[commits]]/Tabelle13[[#Totals],[commits]]</f>
        <v>4.6477904404246225E-6</v>
      </c>
      <c r="I4210" s="5">
        <f>Tabelle13[[#This Row],[%]]+I4209</f>
        <v>0.97751863763964519</v>
      </c>
      <c r="J4210" s="4">
        <f t="shared" si="163"/>
        <v>1.105583195135434E-4</v>
      </c>
      <c r="K4210" s="5">
        <f t="shared" si="164"/>
        <v>0.46522940851302291</v>
      </c>
    </row>
    <row r="4211" spans="1:11" x14ac:dyDescent="0.25">
      <c r="A4211" t="s">
        <v>1051</v>
      </c>
      <c r="C4211" t="s">
        <v>1052</v>
      </c>
      <c r="D4211" t="s">
        <v>5</v>
      </c>
      <c r="E4211" t="s">
        <v>6</v>
      </c>
      <c r="F4211" t="s">
        <v>7</v>
      </c>
      <c r="G4211">
        <v>1</v>
      </c>
      <c r="H4211" s="2">
        <f>Tabelle13[[#This Row],[commits]]/Tabelle13[[#Totals],[commits]]</f>
        <v>4.6477904404246225E-6</v>
      </c>
      <c r="I4211" s="5">
        <f>Tabelle13[[#This Row],[%]]+I4210</f>
        <v>0.9775232854300856</v>
      </c>
      <c r="J4211" s="4">
        <f t="shared" si="163"/>
        <v>1.105583195135434E-4</v>
      </c>
      <c r="K4211" s="5">
        <f t="shared" si="164"/>
        <v>0.46533996683253648</v>
      </c>
    </row>
    <row r="4212" spans="1:11" x14ac:dyDescent="0.25">
      <c r="A4212" t="s">
        <v>1053</v>
      </c>
      <c r="C4212" t="s">
        <v>1054</v>
      </c>
      <c r="D4212" t="s">
        <v>5</v>
      </c>
      <c r="E4212" t="s">
        <v>6</v>
      </c>
      <c r="F4212" t="s">
        <v>7</v>
      </c>
      <c r="G4212">
        <v>1</v>
      </c>
      <c r="H4212" s="2">
        <f>Tabelle13[[#This Row],[commits]]/Tabelle13[[#Totals],[commits]]</f>
        <v>4.6477904404246225E-6</v>
      </c>
      <c r="I4212" s="5">
        <f>Tabelle13[[#This Row],[%]]+I4211</f>
        <v>0.977527933220526</v>
      </c>
      <c r="J4212" s="4">
        <f t="shared" si="163"/>
        <v>1.105583195135434E-4</v>
      </c>
      <c r="K4212" s="5">
        <f t="shared" si="164"/>
        <v>0.46545052515205004</v>
      </c>
    </row>
    <row r="4213" spans="1:11" x14ac:dyDescent="0.25">
      <c r="A4213" t="s">
        <v>1055</v>
      </c>
      <c r="C4213" t="s">
        <v>197</v>
      </c>
      <c r="D4213" t="s">
        <v>5</v>
      </c>
      <c r="E4213" t="s">
        <v>6</v>
      </c>
      <c r="F4213" t="s">
        <v>7</v>
      </c>
      <c r="G4213">
        <v>1</v>
      </c>
      <c r="H4213" s="2">
        <f>Tabelle13[[#This Row],[commits]]/Tabelle13[[#Totals],[commits]]</f>
        <v>4.6477904404246225E-6</v>
      </c>
      <c r="I4213" s="5">
        <f>Tabelle13[[#This Row],[%]]+I4212</f>
        <v>0.97753258101096641</v>
      </c>
      <c r="J4213" s="4">
        <f t="shared" si="163"/>
        <v>1.105583195135434E-4</v>
      </c>
      <c r="K4213" s="5">
        <f t="shared" si="164"/>
        <v>0.46556108347156361</v>
      </c>
    </row>
    <row r="4214" spans="1:11" x14ac:dyDescent="0.25">
      <c r="A4214" t="s">
        <v>1056</v>
      </c>
      <c r="C4214" t="s">
        <v>1057</v>
      </c>
      <c r="D4214" t="s">
        <v>5</v>
      </c>
      <c r="E4214" t="s">
        <v>6</v>
      </c>
      <c r="F4214" t="s">
        <v>7</v>
      </c>
      <c r="G4214">
        <v>1</v>
      </c>
      <c r="H4214" s="2">
        <f>Tabelle13[[#This Row],[commits]]/Tabelle13[[#Totals],[commits]]</f>
        <v>4.6477904404246225E-6</v>
      </c>
      <c r="I4214" s="5">
        <f>Tabelle13[[#This Row],[%]]+I4213</f>
        <v>0.97753722880140681</v>
      </c>
      <c r="J4214" s="4">
        <f t="shared" si="163"/>
        <v>1.105583195135434E-4</v>
      </c>
      <c r="K4214" s="5">
        <f t="shared" si="164"/>
        <v>0.46567164179107717</v>
      </c>
    </row>
    <row r="4215" spans="1:11" x14ac:dyDescent="0.25">
      <c r="A4215" t="s">
        <v>1058</v>
      </c>
      <c r="C4215" t="s">
        <v>1059</v>
      </c>
      <c r="D4215" t="s">
        <v>5</v>
      </c>
      <c r="E4215" t="s">
        <v>6</v>
      </c>
      <c r="F4215" t="s">
        <v>7</v>
      </c>
      <c r="G4215">
        <v>1</v>
      </c>
      <c r="H4215" s="2">
        <f>Tabelle13[[#This Row],[commits]]/Tabelle13[[#Totals],[commits]]</f>
        <v>4.6477904404246225E-6</v>
      </c>
      <c r="I4215" s="5">
        <f>Tabelle13[[#This Row],[%]]+I4214</f>
        <v>0.97754187659184721</v>
      </c>
      <c r="J4215" s="4">
        <f t="shared" si="163"/>
        <v>1.105583195135434E-4</v>
      </c>
      <c r="K4215" s="5">
        <f t="shared" si="164"/>
        <v>0.46578220011059074</v>
      </c>
    </row>
    <row r="4216" spans="1:11" x14ac:dyDescent="0.25">
      <c r="A4216" t="s">
        <v>1060</v>
      </c>
      <c r="C4216" t="s">
        <v>1061</v>
      </c>
      <c r="D4216" t="s">
        <v>5</v>
      </c>
      <c r="E4216" t="s">
        <v>6</v>
      </c>
      <c r="F4216" t="s">
        <v>7</v>
      </c>
      <c r="G4216">
        <v>1</v>
      </c>
      <c r="H4216" s="2">
        <f>Tabelle13[[#This Row],[commits]]/Tabelle13[[#Totals],[commits]]</f>
        <v>4.6477904404246225E-6</v>
      </c>
      <c r="I4216" s="5">
        <f>Tabelle13[[#This Row],[%]]+I4215</f>
        <v>0.97754652438228762</v>
      </c>
      <c r="J4216" s="4">
        <f t="shared" si="163"/>
        <v>1.105583195135434E-4</v>
      </c>
      <c r="K4216" s="5">
        <f t="shared" si="164"/>
        <v>0.4658927584301043</v>
      </c>
    </row>
    <row r="4217" spans="1:11" x14ac:dyDescent="0.25">
      <c r="A4217" t="s">
        <v>1062</v>
      </c>
      <c r="C4217" t="s">
        <v>1063</v>
      </c>
      <c r="D4217" t="s">
        <v>5</v>
      </c>
      <c r="E4217" t="s">
        <v>6</v>
      </c>
      <c r="F4217" t="s">
        <v>7</v>
      </c>
      <c r="G4217">
        <v>1</v>
      </c>
      <c r="H4217" s="2">
        <f>Tabelle13[[#This Row],[commits]]/Tabelle13[[#Totals],[commits]]</f>
        <v>4.6477904404246225E-6</v>
      </c>
      <c r="I4217" s="5">
        <f>Tabelle13[[#This Row],[%]]+I4216</f>
        <v>0.97755117217272802</v>
      </c>
      <c r="J4217" s="4">
        <f t="shared" si="163"/>
        <v>1.105583195135434E-4</v>
      </c>
      <c r="K4217" s="5">
        <f t="shared" si="164"/>
        <v>0.46600331674961787</v>
      </c>
    </row>
    <row r="4218" spans="1:11" x14ac:dyDescent="0.25">
      <c r="A4218" t="s">
        <v>1064</v>
      </c>
      <c r="C4218" t="s">
        <v>1065</v>
      </c>
      <c r="D4218" t="s">
        <v>5</v>
      </c>
      <c r="E4218" t="s">
        <v>6</v>
      </c>
      <c r="F4218" t="s">
        <v>7</v>
      </c>
      <c r="G4218">
        <v>1</v>
      </c>
      <c r="H4218" s="2">
        <f>Tabelle13[[#This Row],[commits]]/Tabelle13[[#Totals],[commits]]</f>
        <v>4.6477904404246225E-6</v>
      </c>
      <c r="I4218" s="5">
        <f>Tabelle13[[#This Row],[%]]+I4217</f>
        <v>0.97755581996316843</v>
      </c>
      <c r="J4218" s="4">
        <f t="shared" si="163"/>
        <v>1.105583195135434E-4</v>
      </c>
      <c r="K4218" s="5">
        <f t="shared" si="164"/>
        <v>0.46611387506913143</v>
      </c>
    </row>
    <row r="4219" spans="1:11" x14ac:dyDescent="0.25">
      <c r="A4219" t="s">
        <v>1066</v>
      </c>
      <c r="C4219" t="s">
        <v>1067</v>
      </c>
      <c r="D4219" t="s">
        <v>5</v>
      </c>
      <c r="E4219" t="s">
        <v>6</v>
      </c>
      <c r="F4219" t="s">
        <v>7</v>
      </c>
      <c r="G4219">
        <v>1</v>
      </c>
      <c r="H4219" s="2">
        <f>Tabelle13[[#This Row],[commits]]/Tabelle13[[#Totals],[commits]]</f>
        <v>4.6477904404246225E-6</v>
      </c>
      <c r="I4219" s="5">
        <f>Tabelle13[[#This Row],[%]]+I4218</f>
        <v>0.97756046775360883</v>
      </c>
      <c r="J4219" s="4">
        <f t="shared" si="163"/>
        <v>1.105583195135434E-4</v>
      </c>
      <c r="K4219" s="5">
        <f t="shared" si="164"/>
        <v>0.466224433388645</v>
      </c>
    </row>
    <row r="4220" spans="1:11" x14ac:dyDescent="0.25">
      <c r="A4220" t="s">
        <v>1068</v>
      </c>
      <c r="C4220" t="s">
        <v>1069</v>
      </c>
      <c r="D4220" t="s">
        <v>5</v>
      </c>
      <c r="E4220" t="s">
        <v>6</v>
      </c>
      <c r="F4220" t="s">
        <v>7</v>
      </c>
      <c r="G4220">
        <v>1</v>
      </c>
      <c r="H4220" s="2">
        <f>Tabelle13[[#This Row],[commits]]/Tabelle13[[#Totals],[commits]]</f>
        <v>4.6477904404246225E-6</v>
      </c>
      <c r="I4220" s="5">
        <f>Tabelle13[[#This Row],[%]]+I4219</f>
        <v>0.97756511554404923</v>
      </c>
      <c r="J4220" s="4">
        <f t="shared" si="163"/>
        <v>1.105583195135434E-4</v>
      </c>
      <c r="K4220" s="5">
        <f t="shared" si="164"/>
        <v>0.46633499170815856</v>
      </c>
    </row>
    <row r="4221" spans="1:11" x14ac:dyDescent="0.25">
      <c r="A4221" t="s">
        <v>1070</v>
      </c>
      <c r="C4221" t="s">
        <v>1071</v>
      </c>
      <c r="D4221" t="s">
        <v>5</v>
      </c>
      <c r="E4221" t="s">
        <v>6</v>
      </c>
      <c r="F4221" t="s">
        <v>7</v>
      </c>
      <c r="G4221">
        <v>1</v>
      </c>
      <c r="H4221" s="2">
        <f>Tabelle13[[#This Row],[commits]]/Tabelle13[[#Totals],[commits]]</f>
        <v>4.6477904404246225E-6</v>
      </c>
      <c r="I4221" s="5">
        <f>Tabelle13[[#This Row],[%]]+I4220</f>
        <v>0.97756976333448964</v>
      </c>
      <c r="J4221" s="4">
        <f t="shared" si="163"/>
        <v>1.105583195135434E-4</v>
      </c>
      <c r="K4221" s="5">
        <f t="shared" si="164"/>
        <v>0.46644555002767213</v>
      </c>
    </row>
    <row r="4222" spans="1:11" x14ac:dyDescent="0.25">
      <c r="A4222" t="s">
        <v>1072</v>
      </c>
      <c r="C4222" t="s">
        <v>1073</v>
      </c>
      <c r="D4222" t="s">
        <v>5</v>
      </c>
      <c r="E4222" t="s">
        <v>6</v>
      </c>
      <c r="F4222" t="s">
        <v>7</v>
      </c>
      <c r="G4222">
        <v>1</v>
      </c>
      <c r="H4222" s="2">
        <f>Tabelle13[[#This Row],[commits]]/Tabelle13[[#Totals],[commits]]</f>
        <v>4.6477904404246225E-6</v>
      </c>
      <c r="I4222" s="5">
        <f>Tabelle13[[#This Row],[%]]+I4221</f>
        <v>0.97757441112493004</v>
      </c>
      <c r="J4222" s="4">
        <f t="shared" si="163"/>
        <v>1.105583195135434E-4</v>
      </c>
      <c r="K4222" s="5">
        <f t="shared" si="164"/>
        <v>0.46655610834718569</v>
      </c>
    </row>
    <row r="4223" spans="1:11" x14ac:dyDescent="0.25">
      <c r="A4223" t="s">
        <v>1074</v>
      </c>
      <c r="C4223" t="s">
        <v>1075</v>
      </c>
      <c r="D4223" t="s">
        <v>5</v>
      </c>
      <c r="E4223" t="s">
        <v>6</v>
      </c>
      <c r="F4223" t="s">
        <v>7</v>
      </c>
      <c r="G4223">
        <v>1</v>
      </c>
      <c r="H4223" s="2">
        <f>Tabelle13[[#This Row],[commits]]/Tabelle13[[#Totals],[commits]]</f>
        <v>4.6477904404246225E-6</v>
      </c>
      <c r="I4223" s="5">
        <f>Tabelle13[[#This Row],[%]]+I4222</f>
        <v>0.97757905891537045</v>
      </c>
      <c r="J4223" s="4">
        <f t="shared" si="163"/>
        <v>1.105583195135434E-4</v>
      </c>
      <c r="K4223" s="5">
        <f t="shared" si="164"/>
        <v>0.46666666666669926</v>
      </c>
    </row>
    <row r="4224" spans="1:11" x14ac:dyDescent="0.25">
      <c r="A4224" t="s">
        <v>1076</v>
      </c>
      <c r="C4224" t="s">
        <v>1077</v>
      </c>
      <c r="D4224" t="s">
        <v>5</v>
      </c>
      <c r="E4224" t="s">
        <v>6</v>
      </c>
      <c r="F4224" t="s">
        <v>7</v>
      </c>
      <c r="G4224">
        <v>1</v>
      </c>
      <c r="H4224" s="2">
        <f>Tabelle13[[#This Row],[commits]]/Tabelle13[[#Totals],[commits]]</f>
        <v>4.6477904404246225E-6</v>
      </c>
      <c r="I4224" s="5">
        <f>Tabelle13[[#This Row],[%]]+I4223</f>
        <v>0.97758370670581085</v>
      </c>
      <c r="J4224" s="4">
        <f t="shared" si="163"/>
        <v>1.105583195135434E-4</v>
      </c>
      <c r="K4224" s="5">
        <f t="shared" si="164"/>
        <v>0.46677722498621282</v>
      </c>
    </row>
    <row r="4225" spans="1:11" x14ac:dyDescent="0.25">
      <c r="A4225" t="s">
        <v>1078</v>
      </c>
      <c r="C4225" t="s">
        <v>1079</v>
      </c>
      <c r="D4225" t="s">
        <v>5</v>
      </c>
      <c r="E4225" t="s">
        <v>6</v>
      </c>
      <c r="F4225" t="s">
        <v>7</v>
      </c>
      <c r="G4225">
        <v>1</v>
      </c>
      <c r="H4225" s="2">
        <f>Tabelle13[[#This Row],[commits]]/Tabelle13[[#Totals],[commits]]</f>
        <v>4.6477904404246225E-6</v>
      </c>
      <c r="I4225" s="5">
        <f>Tabelle13[[#This Row],[%]]+I4224</f>
        <v>0.97758835449625126</v>
      </c>
      <c r="J4225" s="4">
        <f t="shared" si="163"/>
        <v>1.105583195135434E-4</v>
      </c>
      <c r="K4225" s="5">
        <f t="shared" si="164"/>
        <v>0.46688778330572639</v>
      </c>
    </row>
    <row r="4226" spans="1:11" x14ac:dyDescent="0.25">
      <c r="A4226" t="s">
        <v>1080</v>
      </c>
      <c r="C4226" t="s">
        <v>1081</v>
      </c>
      <c r="D4226" t="s">
        <v>5</v>
      </c>
      <c r="E4226" t="s">
        <v>6</v>
      </c>
      <c r="F4226" t="s">
        <v>7</v>
      </c>
      <c r="G4226">
        <v>1</v>
      </c>
      <c r="H4226" s="2">
        <f>Tabelle13[[#This Row],[commits]]/Tabelle13[[#Totals],[commits]]</f>
        <v>4.6477904404246225E-6</v>
      </c>
      <c r="I4226" s="5">
        <f>Tabelle13[[#This Row],[%]]+I4225</f>
        <v>0.97759300228669166</v>
      </c>
      <c r="J4226" s="4">
        <f t="shared" si="163"/>
        <v>1.105583195135434E-4</v>
      </c>
      <c r="K4226" s="5">
        <f t="shared" si="164"/>
        <v>0.46699834162523995</v>
      </c>
    </row>
    <row r="4227" spans="1:11" x14ac:dyDescent="0.25">
      <c r="A4227" t="s">
        <v>1082</v>
      </c>
      <c r="C4227" t="s">
        <v>1083</v>
      </c>
      <c r="D4227" t="s">
        <v>5</v>
      </c>
      <c r="E4227" t="s">
        <v>6</v>
      </c>
      <c r="F4227" t="s">
        <v>7</v>
      </c>
      <c r="G4227">
        <v>1</v>
      </c>
      <c r="H4227" s="2">
        <f>Tabelle13[[#This Row],[commits]]/Tabelle13[[#Totals],[commits]]</f>
        <v>4.6477904404246225E-6</v>
      </c>
      <c r="I4227" s="5">
        <f>Tabelle13[[#This Row],[%]]+I4226</f>
        <v>0.97759765007713206</v>
      </c>
      <c r="J4227" s="4">
        <f t="shared" ref="J4227:J4290" si="165">1/9045</f>
        <v>1.105583195135434E-4</v>
      </c>
      <c r="K4227" s="5">
        <f t="shared" si="164"/>
        <v>0.46710889994475352</v>
      </c>
    </row>
    <row r="4228" spans="1:11" x14ac:dyDescent="0.25">
      <c r="A4228" t="s">
        <v>1084</v>
      </c>
      <c r="C4228" t="s">
        <v>1085</v>
      </c>
      <c r="D4228" t="s">
        <v>5</v>
      </c>
      <c r="E4228" t="s">
        <v>6</v>
      </c>
      <c r="F4228" t="s">
        <v>7</v>
      </c>
      <c r="G4228">
        <v>1</v>
      </c>
      <c r="H4228" s="2">
        <f>Tabelle13[[#This Row],[commits]]/Tabelle13[[#Totals],[commits]]</f>
        <v>4.6477904404246225E-6</v>
      </c>
      <c r="I4228" s="5">
        <f>Tabelle13[[#This Row],[%]]+I4227</f>
        <v>0.97760229786757247</v>
      </c>
      <c r="J4228" s="4">
        <f t="shared" si="165"/>
        <v>1.105583195135434E-4</v>
      </c>
      <c r="K4228" s="5">
        <f t="shared" si="164"/>
        <v>0.46721945826426708</v>
      </c>
    </row>
    <row r="4229" spans="1:11" x14ac:dyDescent="0.25">
      <c r="A4229" t="s">
        <v>1086</v>
      </c>
      <c r="C4229" t="s">
        <v>1087</v>
      </c>
      <c r="D4229" t="s">
        <v>5</v>
      </c>
      <c r="E4229" t="s">
        <v>6</v>
      </c>
      <c r="F4229" t="s">
        <v>7</v>
      </c>
      <c r="G4229">
        <v>1</v>
      </c>
      <c r="H4229" s="2">
        <f>Tabelle13[[#This Row],[commits]]/Tabelle13[[#Totals],[commits]]</f>
        <v>4.6477904404246225E-6</v>
      </c>
      <c r="I4229" s="5">
        <f>Tabelle13[[#This Row],[%]]+I4228</f>
        <v>0.97760694565801287</v>
      </c>
      <c r="J4229" s="4">
        <f t="shared" si="165"/>
        <v>1.105583195135434E-4</v>
      </c>
      <c r="K4229" s="5">
        <f t="shared" si="164"/>
        <v>0.46733001658378065</v>
      </c>
    </row>
    <row r="4230" spans="1:11" x14ac:dyDescent="0.25">
      <c r="A4230" t="s">
        <v>1088</v>
      </c>
      <c r="C4230" t="s">
        <v>1089</v>
      </c>
      <c r="D4230" t="s">
        <v>5</v>
      </c>
      <c r="E4230" t="s">
        <v>6</v>
      </c>
      <c r="F4230" t="s">
        <v>7</v>
      </c>
      <c r="G4230">
        <v>1</v>
      </c>
      <c r="H4230" s="2">
        <f>Tabelle13[[#This Row],[commits]]/Tabelle13[[#Totals],[commits]]</f>
        <v>4.6477904404246225E-6</v>
      </c>
      <c r="I4230" s="5">
        <f>Tabelle13[[#This Row],[%]]+I4229</f>
        <v>0.97761159344845328</v>
      </c>
      <c r="J4230" s="4">
        <f t="shared" si="165"/>
        <v>1.105583195135434E-4</v>
      </c>
      <c r="K4230" s="5">
        <f t="shared" ref="K4230:K4293" si="166">J4230+K4229</f>
        <v>0.46744057490329421</v>
      </c>
    </row>
    <row r="4231" spans="1:11" x14ac:dyDescent="0.25">
      <c r="A4231" t="s">
        <v>1090</v>
      </c>
      <c r="C4231" t="s">
        <v>1091</v>
      </c>
      <c r="D4231" t="s">
        <v>5</v>
      </c>
      <c r="E4231" t="s">
        <v>6</v>
      </c>
      <c r="F4231" t="s">
        <v>7</v>
      </c>
      <c r="G4231">
        <v>1</v>
      </c>
      <c r="H4231" s="2">
        <f>Tabelle13[[#This Row],[commits]]/Tabelle13[[#Totals],[commits]]</f>
        <v>4.6477904404246225E-6</v>
      </c>
      <c r="I4231" s="5">
        <f>Tabelle13[[#This Row],[%]]+I4230</f>
        <v>0.97761624123889368</v>
      </c>
      <c r="J4231" s="4">
        <f t="shared" si="165"/>
        <v>1.105583195135434E-4</v>
      </c>
      <c r="K4231" s="5">
        <f t="shared" si="166"/>
        <v>0.46755113322280778</v>
      </c>
    </row>
    <row r="4232" spans="1:11" x14ac:dyDescent="0.25">
      <c r="A4232" t="s">
        <v>1092</v>
      </c>
      <c r="C4232" t="s">
        <v>1093</v>
      </c>
      <c r="D4232" t="s">
        <v>5</v>
      </c>
      <c r="E4232" t="s">
        <v>6</v>
      </c>
      <c r="F4232" t="s">
        <v>7</v>
      </c>
      <c r="G4232">
        <v>1</v>
      </c>
      <c r="H4232" s="2">
        <f>Tabelle13[[#This Row],[commits]]/Tabelle13[[#Totals],[commits]]</f>
        <v>4.6477904404246225E-6</v>
      </c>
      <c r="I4232" s="5">
        <f>Tabelle13[[#This Row],[%]]+I4231</f>
        <v>0.97762088902933408</v>
      </c>
      <c r="J4232" s="4">
        <f t="shared" si="165"/>
        <v>1.105583195135434E-4</v>
      </c>
      <c r="K4232" s="5">
        <f t="shared" si="166"/>
        <v>0.46766169154232134</v>
      </c>
    </row>
    <row r="4233" spans="1:11" x14ac:dyDescent="0.25">
      <c r="A4233" t="s">
        <v>1094</v>
      </c>
      <c r="C4233" t="s">
        <v>1095</v>
      </c>
      <c r="D4233" t="s">
        <v>5</v>
      </c>
      <c r="E4233" t="s">
        <v>6</v>
      </c>
      <c r="F4233" t="s">
        <v>7</v>
      </c>
      <c r="G4233">
        <v>1</v>
      </c>
      <c r="H4233" s="2">
        <f>Tabelle13[[#This Row],[commits]]/Tabelle13[[#Totals],[commits]]</f>
        <v>4.6477904404246225E-6</v>
      </c>
      <c r="I4233" s="5">
        <f>Tabelle13[[#This Row],[%]]+I4232</f>
        <v>0.97762553681977449</v>
      </c>
      <c r="J4233" s="4">
        <f t="shared" si="165"/>
        <v>1.105583195135434E-4</v>
      </c>
      <c r="K4233" s="5">
        <f t="shared" si="166"/>
        <v>0.46777224986183491</v>
      </c>
    </row>
    <row r="4234" spans="1:11" x14ac:dyDescent="0.25">
      <c r="A4234" t="s">
        <v>1096</v>
      </c>
      <c r="C4234" t="s">
        <v>1097</v>
      </c>
      <c r="D4234" t="s">
        <v>5</v>
      </c>
      <c r="E4234" t="s">
        <v>6</v>
      </c>
      <c r="F4234" t="s">
        <v>7</v>
      </c>
      <c r="G4234">
        <v>1</v>
      </c>
      <c r="H4234" s="2">
        <f>Tabelle13[[#This Row],[commits]]/Tabelle13[[#Totals],[commits]]</f>
        <v>4.6477904404246225E-6</v>
      </c>
      <c r="I4234" s="5">
        <f>Tabelle13[[#This Row],[%]]+I4233</f>
        <v>0.97763018461021489</v>
      </c>
      <c r="J4234" s="4">
        <f t="shared" si="165"/>
        <v>1.105583195135434E-4</v>
      </c>
      <c r="K4234" s="5">
        <f t="shared" si="166"/>
        <v>0.46788280818134848</v>
      </c>
    </row>
    <row r="4235" spans="1:11" x14ac:dyDescent="0.25">
      <c r="A4235" t="s">
        <v>1098</v>
      </c>
      <c r="C4235" t="s">
        <v>1099</v>
      </c>
      <c r="D4235" t="s">
        <v>5</v>
      </c>
      <c r="E4235" t="s">
        <v>6</v>
      </c>
      <c r="F4235" t="s">
        <v>7</v>
      </c>
      <c r="G4235">
        <v>1</v>
      </c>
      <c r="H4235" s="2">
        <f>Tabelle13[[#This Row],[commits]]/Tabelle13[[#Totals],[commits]]</f>
        <v>4.6477904404246225E-6</v>
      </c>
      <c r="I4235" s="5">
        <f>Tabelle13[[#This Row],[%]]+I4234</f>
        <v>0.9776348324006553</v>
      </c>
      <c r="J4235" s="4">
        <f t="shared" si="165"/>
        <v>1.105583195135434E-4</v>
      </c>
      <c r="K4235" s="5">
        <f t="shared" si="166"/>
        <v>0.46799336650086204</v>
      </c>
    </row>
    <row r="4236" spans="1:11" x14ac:dyDescent="0.25">
      <c r="A4236" t="s">
        <v>1100</v>
      </c>
      <c r="C4236" t="s">
        <v>1101</v>
      </c>
      <c r="D4236" t="s">
        <v>5</v>
      </c>
      <c r="E4236" t="s">
        <v>6</v>
      </c>
      <c r="F4236" t="s">
        <v>7</v>
      </c>
      <c r="G4236">
        <v>1</v>
      </c>
      <c r="H4236" s="2">
        <f>Tabelle13[[#This Row],[commits]]/Tabelle13[[#Totals],[commits]]</f>
        <v>4.6477904404246225E-6</v>
      </c>
      <c r="I4236" s="5">
        <f>Tabelle13[[#This Row],[%]]+I4235</f>
        <v>0.9776394801910957</v>
      </c>
      <c r="J4236" s="4">
        <f t="shared" si="165"/>
        <v>1.105583195135434E-4</v>
      </c>
      <c r="K4236" s="5">
        <f t="shared" si="166"/>
        <v>0.46810392482037561</v>
      </c>
    </row>
    <row r="4237" spans="1:11" x14ac:dyDescent="0.25">
      <c r="A4237" t="s">
        <v>1102</v>
      </c>
      <c r="C4237" t="s">
        <v>1103</v>
      </c>
      <c r="D4237" t="s">
        <v>5</v>
      </c>
      <c r="E4237" t="s">
        <v>6</v>
      </c>
      <c r="F4237" t="s">
        <v>7</v>
      </c>
      <c r="G4237">
        <v>1</v>
      </c>
      <c r="H4237" s="2">
        <f>Tabelle13[[#This Row],[commits]]/Tabelle13[[#Totals],[commits]]</f>
        <v>4.6477904404246225E-6</v>
      </c>
      <c r="I4237" s="5">
        <f>Tabelle13[[#This Row],[%]]+I4236</f>
        <v>0.9776441279815361</v>
      </c>
      <c r="J4237" s="4">
        <f t="shared" si="165"/>
        <v>1.105583195135434E-4</v>
      </c>
      <c r="K4237" s="5">
        <f t="shared" si="166"/>
        <v>0.46821448313988917</v>
      </c>
    </row>
    <row r="4238" spans="1:11" x14ac:dyDescent="0.25">
      <c r="A4238" t="s">
        <v>1104</v>
      </c>
      <c r="C4238" t="s">
        <v>1105</v>
      </c>
      <c r="D4238" t="s">
        <v>5</v>
      </c>
      <c r="E4238" t="s">
        <v>6</v>
      </c>
      <c r="F4238" t="s">
        <v>7</v>
      </c>
      <c r="G4238">
        <v>1</v>
      </c>
      <c r="H4238" s="2">
        <f>Tabelle13[[#This Row],[commits]]/Tabelle13[[#Totals],[commits]]</f>
        <v>4.6477904404246225E-6</v>
      </c>
      <c r="I4238" s="5">
        <f>Tabelle13[[#This Row],[%]]+I4237</f>
        <v>0.97764877577197651</v>
      </c>
      <c r="J4238" s="4">
        <f t="shared" si="165"/>
        <v>1.105583195135434E-4</v>
      </c>
      <c r="K4238" s="5">
        <f t="shared" si="166"/>
        <v>0.46832504145940274</v>
      </c>
    </row>
    <row r="4239" spans="1:11" x14ac:dyDescent="0.25">
      <c r="A4239" t="s">
        <v>1106</v>
      </c>
      <c r="C4239" t="s">
        <v>1107</v>
      </c>
      <c r="D4239" t="s">
        <v>5</v>
      </c>
      <c r="E4239" t="s">
        <v>6</v>
      </c>
      <c r="F4239" t="s">
        <v>7</v>
      </c>
      <c r="G4239">
        <v>1</v>
      </c>
      <c r="H4239" s="2">
        <f>Tabelle13[[#This Row],[commits]]/Tabelle13[[#Totals],[commits]]</f>
        <v>4.6477904404246225E-6</v>
      </c>
      <c r="I4239" s="5">
        <f>Tabelle13[[#This Row],[%]]+I4238</f>
        <v>0.97765342356241691</v>
      </c>
      <c r="J4239" s="4">
        <f t="shared" si="165"/>
        <v>1.105583195135434E-4</v>
      </c>
      <c r="K4239" s="5">
        <f t="shared" si="166"/>
        <v>0.4684355997789163</v>
      </c>
    </row>
    <row r="4240" spans="1:11" x14ac:dyDescent="0.25">
      <c r="A4240" t="s">
        <v>1108</v>
      </c>
      <c r="C4240" t="s">
        <v>26</v>
      </c>
      <c r="D4240" t="s">
        <v>5</v>
      </c>
      <c r="E4240" t="s">
        <v>6</v>
      </c>
      <c r="F4240" t="s">
        <v>7</v>
      </c>
      <c r="G4240">
        <v>1</v>
      </c>
      <c r="H4240" s="2">
        <f>Tabelle13[[#This Row],[commits]]/Tabelle13[[#Totals],[commits]]</f>
        <v>4.6477904404246225E-6</v>
      </c>
      <c r="I4240" s="5">
        <f>Tabelle13[[#This Row],[%]]+I4239</f>
        <v>0.97765807135285732</v>
      </c>
      <c r="J4240" s="4">
        <f t="shared" si="165"/>
        <v>1.105583195135434E-4</v>
      </c>
      <c r="K4240" s="5">
        <f t="shared" si="166"/>
        <v>0.46854615809842987</v>
      </c>
    </row>
    <row r="4241" spans="1:11" x14ac:dyDescent="0.25">
      <c r="A4241" t="s">
        <v>1109</v>
      </c>
      <c r="C4241" t="s">
        <v>1110</v>
      </c>
      <c r="D4241" t="s">
        <v>5</v>
      </c>
      <c r="E4241" t="s">
        <v>6</v>
      </c>
      <c r="F4241" t="s">
        <v>7</v>
      </c>
      <c r="G4241">
        <v>1</v>
      </c>
      <c r="H4241" s="2">
        <f>Tabelle13[[#This Row],[commits]]/Tabelle13[[#Totals],[commits]]</f>
        <v>4.6477904404246225E-6</v>
      </c>
      <c r="I4241" s="5">
        <f>Tabelle13[[#This Row],[%]]+I4240</f>
        <v>0.97766271914329772</v>
      </c>
      <c r="J4241" s="4">
        <f t="shared" si="165"/>
        <v>1.105583195135434E-4</v>
      </c>
      <c r="K4241" s="5">
        <f t="shared" si="166"/>
        <v>0.46865671641794343</v>
      </c>
    </row>
    <row r="4242" spans="1:11" x14ac:dyDescent="0.25">
      <c r="A4242" t="s">
        <v>1111</v>
      </c>
      <c r="C4242" t="s">
        <v>1112</v>
      </c>
      <c r="D4242" t="s">
        <v>5</v>
      </c>
      <c r="E4242" t="s">
        <v>6</v>
      </c>
      <c r="F4242" t="s">
        <v>7</v>
      </c>
      <c r="G4242">
        <v>1</v>
      </c>
      <c r="H4242" s="2">
        <f>Tabelle13[[#This Row],[commits]]/Tabelle13[[#Totals],[commits]]</f>
        <v>4.6477904404246225E-6</v>
      </c>
      <c r="I4242" s="5">
        <f>Tabelle13[[#This Row],[%]]+I4241</f>
        <v>0.97766736693373812</v>
      </c>
      <c r="J4242" s="4">
        <f t="shared" si="165"/>
        <v>1.105583195135434E-4</v>
      </c>
      <c r="K4242" s="5">
        <f t="shared" si="166"/>
        <v>0.468767274737457</v>
      </c>
    </row>
    <row r="4243" spans="1:11" x14ac:dyDescent="0.25">
      <c r="A4243" t="s">
        <v>1113</v>
      </c>
      <c r="C4243" t="s">
        <v>1114</v>
      </c>
      <c r="D4243" t="s">
        <v>5</v>
      </c>
      <c r="E4243" t="s">
        <v>6</v>
      </c>
      <c r="F4243" t="s">
        <v>7</v>
      </c>
      <c r="G4243">
        <v>1</v>
      </c>
      <c r="H4243" s="2">
        <f>Tabelle13[[#This Row],[commits]]/Tabelle13[[#Totals],[commits]]</f>
        <v>4.6477904404246225E-6</v>
      </c>
      <c r="I4243" s="5">
        <f>Tabelle13[[#This Row],[%]]+I4242</f>
        <v>0.97767201472417853</v>
      </c>
      <c r="J4243" s="4">
        <f t="shared" si="165"/>
        <v>1.105583195135434E-4</v>
      </c>
      <c r="K4243" s="5">
        <f t="shared" si="166"/>
        <v>0.46887783305697056</v>
      </c>
    </row>
    <row r="4244" spans="1:11" x14ac:dyDescent="0.25">
      <c r="A4244" t="s">
        <v>1115</v>
      </c>
      <c r="C4244" t="s">
        <v>1116</v>
      </c>
      <c r="D4244" t="s">
        <v>5</v>
      </c>
      <c r="E4244" t="s">
        <v>6</v>
      </c>
      <c r="F4244" t="s">
        <v>7</v>
      </c>
      <c r="G4244">
        <v>1</v>
      </c>
      <c r="H4244" s="2">
        <f>Tabelle13[[#This Row],[commits]]/Tabelle13[[#Totals],[commits]]</f>
        <v>4.6477904404246225E-6</v>
      </c>
      <c r="I4244" s="5">
        <f>Tabelle13[[#This Row],[%]]+I4243</f>
        <v>0.97767666251461893</v>
      </c>
      <c r="J4244" s="4">
        <f t="shared" si="165"/>
        <v>1.105583195135434E-4</v>
      </c>
      <c r="K4244" s="5">
        <f t="shared" si="166"/>
        <v>0.46898839137648413</v>
      </c>
    </row>
    <row r="4245" spans="1:11" x14ac:dyDescent="0.25">
      <c r="A4245" t="s">
        <v>1117</v>
      </c>
      <c r="C4245" t="s">
        <v>1118</v>
      </c>
      <c r="D4245" t="s">
        <v>5</v>
      </c>
      <c r="E4245" t="s">
        <v>6</v>
      </c>
      <c r="F4245" t="s">
        <v>7</v>
      </c>
      <c r="G4245">
        <v>1</v>
      </c>
      <c r="H4245" s="2">
        <f>Tabelle13[[#This Row],[commits]]/Tabelle13[[#Totals],[commits]]</f>
        <v>4.6477904404246225E-6</v>
      </c>
      <c r="I4245" s="5">
        <f>Tabelle13[[#This Row],[%]]+I4244</f>
        <v>0.97768131030505934</v>
      </c>
      <c r="J4245" s="4">
        <f t="shared" si="165"/>
        <v>1.105583195135434E-4</v>
      </c>
      <c r="K4245" s="5">
        <f t="shared" si="166"/>
        <v>0.46909894969599769</v>
      </c>
    </row>
    <row r="4246" spans="1:11" x14ac:dyDescent="0.25">
      <c r="A4246" t="s">
        <v>1119</v>
      </c>
      <c r="C4246" t="s">
        <v>1120</v>
      </c>
      <c r="D4246" t="s">
        <v>5</v>
      </c>
      <c r="E4246" t="s">
        <v>6</v>
      </c>
      <c r="F4246" t="s">
        <v>7</v>
      </c>
      <c r="G4246">
        <v>1</v>
      </c>
      <c r="H4246" s="2">
        <f>Tabelle13[[#This Row],[commits]]/Tabelle13[[#Totals],[commits]]</f>
        <v>4.6477904404246225E-6</v>
      </c>
      <c r="I4246" s="5">
        <f>Tabelle13[[#This Row],[%]]+I4245</f>
        <v>0.97768595809549974</v>
      </c>
      <c r="J4246" s="4">
        <f t="shared" si="165"/>
        <v>1.105583195135434E-4</v>
      </c>
      <c r="K4246" s="5">
        <f t="shared" si="166"/>
        <v>0.46920950801551126</v>
      </c>
    </row>
    <row r="4247" spans="1:11" x14ac:dyDescent="0.25">
      <c r="A4247" t="s">
        <v>1121</v>
      </c>
      <c r="C4247" t="s">
        <v>1122</v>
      </c>
      <c r="D4247" t="s">
        <v>5</v>
      </c>
      <c r="E4247" t="s">
        <v>6</v>
      </c>
      <c r="F4247" t="s">
        <v>7</v>
      </c>
      <c r="G4247">
        <v>1</v>
      </c>
      <c r="H4247" s="2">
        <f>Tabelle13[[#This Row],[commits]]/Tabelle13[[#Totals],[commits]]</f>
        <v>4.6477904404246225E-6</v>
      </c>
      <c r="I4247" s="5">
        <f>Tabelle13[[#This Row],[%]]+I4246</f>
        <v>0.97769060588594014</v>
      </c>
      <c r="J4247" s="4">
        <f t="shared" si="165"/>
        <v>1.105583195135434E-4</v>
      </c>
      <c r="K4247" s="5">
        <f t="shared" si="166"/>
        <v>0.46932006633502482</v>
      </c>
    </row>
    <row r="4248" spans="1:11" x14ac:dyDescent="0.25">
      <c r="A4248" t="s">
        <v>1123</v>
      </c>
      <c r="C4248" t="s">
        <v>1124</v>
      </c>
      <c r="D4248" t="s">
        <v>5</v>
      </c>
      <c r="E4248" t="s">
        <v>6</v>
      </c>
      <c r="F4248" t="s">
        <v>7</v>
      </c>
      <c r="G4248">
        <v>1</v>
      </c>
      <c r="H4248" s="2">
        <f>Tabelle13[[#This Row],[commits]]/Tabelle13[[#Totals],[commits]]</f>
        <v>4.6477904404246225E-6</v>
      </c>
      <c r="I4248" s="5">
        <f>Tabelle13[[#This Row],[%]]+I4247</f>
        <v>0.97769525367638055</v>
      </c>
      <c r="J4248" s="4">
        <f t="shared" si="165"/>
        <v>1.105583195135434E-4</v>
      </c>
      <c r="K4248" s="5">
        <f t="shared" si="166"/>
        <v>0.46943062465453839</v>
      </c>
    </row>
    <row r="4249" spans="1:11" x14ac:dyDescent="0.25">
      <c r="A4249" t="s">
        <v>1125</v>
      </c>
      <c r="C4249" t="s">
        <v>1126</v>
      </c>
      <c r="D4249" t="s">
        <v>5</v>
      </c>
      <c r="E4249" t="s">
        <v>6</v>
      </c>
      <c r="F4249" t="s">
        <v>7</v>
      </c>
      <c r="G4249">
        <v>1</v>
      </c>
      <c r="H4249" s="2">
        <f>Tabelle13[[#This Row],[commits]]/Tabelle13[[#Totals],[commits]]</f>
        <v>4.6477904404246225E-6</v>
      </c>
      <c r="I4249" s="5">
        <f>Tabelle13[[#This Row],[%]]+I4248</f>
        <v>0.97769990146682095</v>
      </c>
      <c r="J4249" s="4">
        <f t="shared" si="165"/>
        <v>1.105583195135434E-4</v>
      </c>
      <c r="K4249" s="5">
        <f t="shared" si="166"/>
        <v>0.46954118297405195</v>
      </c>
    </row>
    <row r="4250" spans="1:11" x14ac:dyDescent="0.25">
      <c r="A4250" t="s">
        <v>1129</v>
      </c>
      <c r="C4250" t="s">
        <v>1130</v>
      </c>
      <c r="D4250" t="s">
        <v>5</v>
      </c>
      <c r="E4250" t="s">
        <v>6</v>
      </c>
      <c r="F4250" t="s">
        <v>7</v>
      </c>
      <c r="G4250">
        <v>1</v>
      </c>
      <c r="H4250" s="2">
        <f>Tabelle13[[#This Row],[commits]]/Tabelle13[[#Totals],[commits]]</f>
        <v>4.6477904404246225E-6</v>
      </c>
      <c r="I4250" s="5">
        <f>Tabelle13[[#This Row],[%]]+I4249</f>
        <v>0.97770454925726136</v>
      </c>
      <c r="J4250" s="4">
        <f t="shared" si="165"/>
        <v>1.105583195135434E-4</v>
      </c>
      <c r="K4250" s="5">
        <f t="shared" si="166"/>
        <v>0.46965174129356552</v>
      </c>
    </row>
    <row r="4251" spans="1:11" x14ac:dyDescent="0.25">
      <c r="A4251" t="s">
        <v>1131</v>
      </c>
      <c r="C4251" t="s">
        <v>1132</v>
      </c>
      <c r="D4251" t="s">
        <v>5</v>
      </c>
      <c r="E4251" t="s">
        <v>6</v>
      </c>
      <c r="F4251" t="s">
        <v>7</v>
      </c>
      <c r="G4251">
        <v>1</v>
      </c>
      <c r="H4251" s="2">
        <f>Tabelle13[[#This Row],[commits]]/Tabelle13[[#Totals],[commits]]</f>
        <v>4.6477904404246225E-6</v>
      </c>
      <c r="I4251" s="5">
        <f>Tabelle13[[#This Row],[%]]+I4250</f>
        <v>0.97770919704770176</v>
      </c>
      <c r="J4251" s="4">
        <f t="shared" si="165"/>
        <v>1.105583195135434E-4</v>
      </c>
      <c r="K4251" s="5">
        <f t="shared" si="166"/>
        <v>0.46976229961307908</v>
      </c>
    </row>
    <row r="4252" spans="1:11" x14ac:dyDescent="0.25">
      <c r="A4252" t="s">
        <v>1133</v>
      </c>
      <c r="C4252" t="s">
        <v>1134</v>
      </c>
      <c r="D4252" t="s">
        <v>5</v>
      </c>
      <c r="E4252" t="s">
        <v>6</v>
      </c>
      <c r="F4252" t="s">
        <v>7</v>
      </c>
      <c r="G4252">
        <v>1</v>
      </c>
      <c r="H4252" s="2">
        <f>Tabelle13[[#This Row],[commits]]/Tabelle13[[#Totals],[commits]]</f>
        <v>4.6477904404246225E-6</v>
      </c>
      <c r="I4252" s="5">
        <f>Tabelle13[[#This Row],[%]]+I4251</f>
        <v>0.97771384483814217</v>
      </c>
      <c r="J4252" s="4">
        <f t="shared" si="165"/>
        <v>1.105583195135434E-4</v>
      </c>
      <c r="K4252" s="5">
        <f t="shared" si="166"/>
        <v>0.46987285793259265</v>
      </c>
    </row>
    <row r="4253" spans="1:11" x14ac:dyDescent="0.25">
      <c r="A4253" t="s">
        <v>1135</v>
      </c>
      <c r="C4253" t="s">
        <v>1136</v>
      </c>
      <c r="D4253" t="s">
        <v>5</v>
      </c>
      <c r="E4253" t="s">
        <v>6</v>
      </c>
      <c r="F4253" t="s">
        <v>7</v>
      </c>
      <c r="G4253">
        <v>1</v>
      </c>
      <c r="H4253" s="2">
        <f>Tabelle13[[#This Row],[commits]]/Tabelle13[[#Totals],[commits]]</f>
        <v>4.6477904404246225E-6</v>
      </c>
      <c r="I4253" s="5">
        <f>Tabelle13[[#This Row],[%]]+I4252</f>
        <v>0.97771849262858257</v>
      </c>
      <c r="J4253" s="4">
        <f t="shared" si="165"/>
        <v>1.105583195135434E-4</v>
      </c>
      <c r="K4253" s="5">
        <f t="shared" si="166"/>
        <v>0.46998341625210621</v>
      </c>
    </row>
    <row r="4254" spans="1:11" x14ac:dyDescent="0.25">
      <c r="A4254" t="s">
        <v>1137</v>
      </c>
      <c r="C4254" t="s">
        <v>1138</v>
      </c>
      <c r="D4254" t="s">
        <v>5</v>
      </c>
      <c r="E4254" t="s">
        <v>6</v>
      </c>
      <c r="F4254" t="s">
        <v>7</v>
      </c>
      <c r="G4254">
        <v>1</v>
      </c>
      <c r="H4254" s="2">
        <f>Tabelle13[[#This Row],[commits]]/Tabelle13[[#Totals],[commits]]</f>
        <v>4.6477904404246225E-6</v>
      </c>
      <c r="I4254" s="5">
        <f>Tabelle13[[#This Row],[%]]+I4253</f>
        <v>0.97772314041902297</v>
      </c>
      <c r="J4254" s="4">
        <f t="shared" si="165"/>
        <v>1.105583195135434E-4</v>
      </c>
      <c r="K4254" s="5">
        <f t="shared" si="166"/>
        <v>0.47009397457161978</v>
      </c>
    </row>
    <row r="4255" spans="1:11" x14ac:dyDescent="0.25">
      <c r="A4255" t="s">
        <v>1139</v>
      </c>
      <c r="C4255" t="s">
        <v>1140</v>
      </c>
      <c r="D4255" t="s">
        <v>5</v>
      </c>
      <c r="E4255" t="s">
        <v>6</v>
      </c>
      <c r="F4255" t="s">
        <v>7</v>
      </c>
      <c r="G4255">
        <v>1</v>
      </c>
      <c r="H4255" s="2">
        <f>Tabelle13[[#This Row],[commits]]/Tabelle13[[#Totals],[commits]]</f>
        <v>4.6477904404246225E-6</v>
      </c>
      <c r="I4255" s="5">
        <f>Tabelle13[[#This Row],[%]]+I4254</f>
        <v>0.97772778820946338</v>
      </c>
      <c r="J4255" s="4">
        <f t="shared" si="165"/>
        <v>1.105583195135434E-4</v>
      </c>
      <c r="K4255" s="5">
        <f t="shared" si="166"/>
        <v>0.47020453289113334</v>
      </c>
    </row>
    <row r="4256" spans="1:11" x14ac:dyDescent="0.25">
      <c r="A4256" t="s">
        <v>1141</v>
      </c>
      <c r="C4256" t="s">
        <v>1142</v>
      </c>
      <c r="D4256" t="s">
        <v>5</v>
      </c>
      <c r="E4256" t="s">
        <v>6</v>
      </c>
      <c r="F4256" t="s">
        <v>7</v>
      </c>
      <c r="G4256">
        <v>1</v>
      </c>
      <c r="H4256" s="2">
        <f>Tabelle13[[#This Row],[commits]]/Tabelle13[[#Totals],[commits]]</f>
        <v>4.6477904404246225E-6</v>
      </c>
      <c r="I4256" s="5">
        <f>Tabelle13[[#This Row],[%]]+I4255</f>
        <v>0.97773243599990378</v>
      </c>
      <c r="J4256" s="4">
        <f t="shared" si="165"/>
        <v>1.105583195135434E-4</v>
      </c>
      <c r="K4256" s="5">
        <f t="shared" si="166"/>
        <v>0.47031509121064691</v>
      </c>
    </row>
    <row r="4257" spans="1:11" x14ac:dyDescent="0.25">
      <c r="A4257" t="s">
        <v>1143</v>
      </c>
      <c r="C4257" t="s">
        <v>1144</v>
      </c>
      <c r="D4257" t="s">
        <v>5</v>
      </c>
      <c r="E4257" t="s">
        <v>6</v>
      </c>
      <c r="F4257" t="s">
        <v>7</v>
      </c>
      <c r="G4257">
        <v>1</v>
      </c>
      <c r="H4257" s="2">
        <f>Tabelle13[[#This Row],[commits]]/Tabelle13[[#Totals],[commits]]</f>
        <v>4.6477904404246225E-6</v>
      </c>
      <c r="I4257" s="5">
        <f>Tabelle13[[#This Row],[%]]+I4256</f>
        <v>0.97773708379034419</v>
      </c>
      <c r="J4257" s="4">
        <f t="shared" si="165"/>
        <v>1.105583195135434E-4</v>
      </c>
      <c r="K4257" s="5">
        <f t="shared" si="166"/>
        <v>0.47042564953016047</v>
      </c>
    </row>
    <row r="4258" spans="1:11" x14ac:dyDescent="0.25">
      <c r="A4258" t="s">
        <v>1145</v>
      </c>
      <c r="C4258" t="s">
        <v>1146</v>
      </c>
      <c r="D4258" t="s">
        <v>5</v>
      </c>
      <c r="E4258" t="s">
        <v>6</v>
      </c>
      <c r="F4258" t="s">
        <v>7</v>
      </c>
      <c r="G4258">
        <v>1</v>
      </c>
      <c r="H4258" s="2">
        <f>Tabelle13[[#This Row],[commits]]/Tabelle13[[#Totals],[commits]]</f>
        <v>4.6477904404246225E-6</v>
      </c>
      <c r="I4258" s="5">
        <f>Tabelle13[[#This Row],[%]]+I4257</f>
        <v>0.97774173158078459</v>
      </c>
      <c r="J4258" s="4">
        <f t="shared" si="165"/>
        <v>1.105583195135434E-4</v>
      </c>
      <c r="K4258" s="5">
        <f t="shared" si="166"/>
        <v>0.47053620784967404</v>
      </c>
    </row>
    <row r="4259" spans="1:11" x14ac:dyDescent="0.25">
      <c r="A4259" t="s">
        <v>1147</v>
      </c>
      <c r="C4259" t="s">
        <v>1148</v>
      </c>
      <c r="D4259" t="s">
        <v>5</v>
      </c>
      <c r="E4259" t="s">
        <v>6</v>
      </c>
      <c r="F4259" t="s">
        <v>7</v>
      </c>
      <c r="G4259">
        <v>1</v>
      </c>
      <c r="H4259" s="2">
        <f>Tabelle13[[#This Row],[commits]]/Tabelle13[[#Totals],[commits]]</f>
        <v>4.6477904404246225E-6</v>
      </c>
      <c r="I4259" s="5">
        <f>Tabelle13[[#This Row],[%]]+I4258</f>
        <v>0.97774637937122499</v>
      </c>
      <c r="J4259" s="4">
        <f t="shared" si="165"/>
        <v>1.105583195135434E-4</v>
      </c>
      <c r="K4259" s="5">
        <f t="shared" si="166"/>
        <v>0.4706467661691876</v>
      </c>
    </row>
    <row r="4260" spans="1:11" x14ac:dyDescent="0.25">
      <c r="A4260" t="s">
        <v>1149</v>
      </c>
      <c r="C4260" t="s">
        <v>1150</v>
      </c>
      <c r="D4260" t="s">
        <v>5</v>
      </c>
      <c r="E4260" t="s">
        <v>6</v>
      </c>
      <c r="F4260" t="s">
        <v>7</v>
      </c>
      <c r="G4260">
        <v>1</v>
      </c>
      <c r="H4260" s="2">
        <f>Tabelle13[[#This Row],[commits]]/Tabelle13[[#Totals],[commits]]</f>
        <v>4.6477904404246225E-6</v>
      </c>
      <c r="I4260" s="5">
        <f>Tabelle13[[#This Row],[%]]+I4259</f>
        <v>0.9777510271616654</v>
      </c>
      <c r="J4260" s="4">
        <f t="shared" si="165"/>
        <v>1.105583195135434E-4</v>
      </c>
      <c r="K4260" s="5">
        <f t="shared" si="166"/>
        <v>0.47075732448870117</v>
      </c>
    </row>
    <row r="4261" spans="1:11" x14ac:dyDescent="0.25">
      <c r="A4261" t="s">
        <v>1151</v>
      </c>
      <c r="C4261" t="s">
        <v>1152</v>
      </c>
      <c r="D4261" t="s">
        <v>5</v>
      </c>
      <c r="E4261" t="s">
        <v>6</v>
      </c>
      <c r="F4261" t="s">
        <v>7</v>
      </c>
      <c r="G4261">
        <v>1</v>
      </c>
      <c r="H4261" s="2">
        <f>Tabelle13[[#This Row],[commits]]/Tabelle13[[#Totals],[commits]]</f>
        <v>4.6477904404246225E-6</v>
      </c>
      <c r="I4261" s="5">
        <f>Tabelle13[[#This Row],[%]]+I4260</f>
        <v>0.9777556749521058</v>
      </c>
      <c r="J4261" s="4">
        <f t="shared" si="165"/>
        <v>1.105583195135434E-4</v>
      </c>
      <c r="K4261" s="5">
        <f t="shared" si="166"/>
        <v>0.47086788280821473</v>
      </c>
    </row>
    <row r="4262" spans="1:11" x14ac:dyDescent="0.25">
      <c r="A4262" t="s">
        <v>1153</v>
      </c>
      <c r="C4262" t="s">
        <v>1154</v>
      </c>
      <c r="D4262" t="s">
        <v>5</v>
      </c>
      <c r="E4262" t="s">
        <v>6</v>
      </c>
      <c r="F4262" t="s">
        <v>7</v>
      </c>
      <c r="G4262">
        <v>1</v>
      </c>
      <c r="H4262" s="2">
        <f>Tabelle13[[#This Row],[commits]]/Tabelle13[[#Totals],[commits]]</f>
        <v>4.6477904404246225E-6</v>
      </c>
      <c r="I4262" s="5">
        <f>Tabelle13[[#This Row],[%]]+I4261</f>
        <v>0.97776032274254621</v>
      </c>
      <c r="J4262" s="4">
        <f t="shared" si="165"/>
        <v>1.105583195135434E-4</v>
      </c>
      <c r="K4262" s="5">
        <f t="shared" si="166"/>
        <v>0.4709784411277283</v>
      </c>
    </row>
    <row r="4263" spans="1:11" x14ac:dyDescent="0.25">
      <c r="A4263" t="s">
        <v>1155</v>
      </c>
      <c r="C4263" t="s">
        <v>1156</v>
      </c>
      <c r="D4263" t="s">
        <v>5</v>
      </c>
      <c r="E4263" t="s">
        <v>6</v>
      </c>
      <c r="F4263" t="s">
        <v>7</v>
      </c>
      <c r="G4263">
        <v>1</v>
      </c>
      <c r="H4263" s="2">
        <f>Tabelle13[[#This Row],[commits]]/Tabelle13[[#Totals],[commits]]</f>
        <v>4.6477904404246225E-6</v>
      </c>
      <c r="I4263" s="5">
        <f>Tabelle13[[#This Row],[%]]+I4262</f>
        <v>0.97776497053298661</v>
      </c>
      <c r="J4263" s="4">
        <f t="shared" si="165"/>
        <v>1.105583195135434E-4</v>
      </c>
      <c r="K4263" s="5">
        <f t="shared" si="166"/>
        <v>0.47108899944724186</v>
      </c>
    </row>
    <row r="4264" spans="1:11" x14ac:dyDescent="0.25">
      <c r="A4264" t="s">
        <v>1157</v>
      </c>
      <c r="C4264" t="s">
        <v>1158</v>
      </c>
      <c r="D4264" t="s">
        <v>5</v>
      </c>
      <c r="E4264" t="s">
        <v>6</v>
      </c>
      <c r="F4264" t="s">
        <v>7</v>
      </c>
      <c r="G4264">
        <v>1</v>
      </c>
      <c r="H4264" s="2">
        <f>Tabelle13[[#This Row],[commits]]/Tabelle13[[#Totals],[commits]]</f>
        <v>4.6477904404246225E-6</v>
      </c>
      <c r="I4264" s="5">
        <f>Tabelle13[[#This Row],[%]]+I4263</f>
        <v>0.97776961832342701</v>
      </c>
      <c r="J4264" s="4">
        <f t="shared" si="165"/>
        <v>1.105583195135434E-4</v>
      </c>
      <c r="K4264" s="5">
        <f t="shared" si="166"/>
        <v>0.47119955776675543</v>
      </c>
    </row>
    <row r="4265" spans="1:11" x14ac:dyDescent="0.25">
      <c r="A4265" t="s">
        <v>1159</v>
      </c>
      <c r="C4265" t="s">
        <v>1160</v>
      </c>
      <c r="D4265" t="s">
        <v>5</v>
      </c>
      <c r="E4265" t="s">
        <v>6</v>
      </c>
      <c r="F4265" t="s">
        <v>7</v>
      </c>
      <c r="G4265">
        <v>1</v>
      </c>
      <c r="H4265" s="2">
        <f>Tabelle13[[#This Row],[commits]]/Tabelle13[[#Totals],[commits]]</f>
        <v>4.6477904404246225E-6</v>
      </c>
      <c r="I4265" s="5">
        <f>Tabelle13[[#This Row],[%]]+I4264</f>
        <v>0.97777426611386742</v>
      </c>
      <c r="J4265" s="4">
        <f t="shared" si="165"/>
        <v>1.105583195135434E-4</v>
      </c>
      <c r="K4265" s="5">
        <f t="shared" si="166"/>
        <v>0.47131011608626899</v>
      </c>
    </row>
    <row r="4266" spans="1:11" x14ac:dyDescent="0.25">
      <c r="A4266" t="s">
        <v>1161</v>
      </c>
      <c r="C4266" t="s">
        <v>1162</v>
      </c>
      <c r="D4266" t="s">
        <v>5</v>
      </c>
      <c r="E4266" t="s">
        <v>6</v>
      </c>
      <c r="F4266" t="s">
        <v>7</v>
      </c>
      <c r="G4266">
        <v>1</v>
      </c>
      <c r="H4266" s="2">
        <f>Tabelle13[[#This Row],[commits]]/Tabelle13[[#Totals],[commits]]</f>
        <v>4.6477904404246225E-6</v>
      </c>
      <c r="I4266" s="5">
        <f>Tabelle13[[#This Row],[%]]+I4265</f>
        <v>0.97777891390430782</v>
      </c>
      <c r="J4266" s="4">
        <f t="shared" si="165"/>
        <v>1.105583195135434E-4</v>
      </c>
      <c r="K4266" s="5">
        <f t="shared" si="166"/>
        <v>0.47142067440578256</v>
      </c>
    </row>
    <row r="4267" spans="1:11" x14ac:dyDescent="0.25">
      <c r="A4267" t="s">
        <v>1163</v>
      </c>
      <c r="C4267" t="s">
        <v>1164</v>
      </c>
      <c r="D4267" t="s">
        <v>5</v>
      </c>
      <c r="E4267" t="s">
        <v>6</v>
      </c>
      <c r="F4267" t="s">
        <v>7</v>
      </c>
      <c r="G4267">
        <v>1</v>
      </c>
      <c r="H4267" s="2">
        <f>Tabelle13[[#This Row],[commits]]/Tabelle13[[#Totals],[commits]]</f>
        <v>4.6477904404246225E-6</v>
      </c>
      <c r="I4267" s="5">
        <f>Tabelle13[[#This Row],[%]]+I4266</f>
        <v>0.97778356169474823</v>
      </c>
      <c r="J4267" s="4">
        <f t="shared" si="165"/>
        <v>1.105583195135434E-4</v>
      </c>
      <c r="K4267" s="5">
        <f t="shared" si="166"/>
        <v>0.47153123272529612</v>
      </c>
    </row>
    <row r="4268" spans="1:11" x14ac:dyDescent="0.25">
      <c r="A4268" t="s">
        <v>1165</v>
      </c>
      <c r="C4268" t="s">
        <v>1166</v>
      </c>
      <c r="D4268" t="s">
        <v>5</v>
      </c>
      <c r="E4268" t="s">
        <v>6</v>
      </c>
      <c r="F4268" t="s">
        <v>7</v>
      </c>
      <c r="G4268">
        <v>1</v>
      </c>
      <c r="H4268" s="2">
        <f>Tabelle13[[#This Row],[commits]]/Tabelle13[[#Totals],[commits]]</f>
        <v>4.6477904404246225E-6</v>
      </c>
      <c r="I4268" s="5">
        <f>Tabelle13[[#This Row],[%]]+I4267</f>
        <v>0.97778820948518863</v>
      </c>
      <c r="J4268" s="4">
        <f t="shared" si="165"/>
        <v>1.105583195135434E-4</v>
      </c>
      <c r="K4268" s="5">
        <f t="shared" si="166"/>
        <v>0.47164179104480969</v>
      </c>
    </row>
    <row r="4269" spans="1:11" x14ac:dyDescent="0.25">
      <c r="A4269" t="s">
        <v>1167</v>
      </c>
      <c r="C4269" t="s">
        <v>1168</v>
      </c>
      <c r="D4269" t="s">
        <v>5</v>
      </c>
      <c r="E4269" t="s">
        <v>6</v>
      </c>
      <c r="F4269" t="s">
        <v>7</v>
      </c>
      <c r="G4269">
        <v>1</v>
      </c>
      <c r="H4269" s="2">
        <f>Tabelle13[[#This Row],[commits]]/Tabelle13[[#Totals],[commits]]</f>
        <v>4.6477904404246225E-6</v>
      </c>
      <c r="I4269" s="5">
        <f>Tabelle13[[#This Row],[%]]+I4268</f>
        <v>0.97779285727562903</v>
      </c>
      <c r="J4269" s="4">
        <f t="shared" si="165"/>
        <v>1.105583195135434E-4</v>
      </c>
      <c r="K4269" s="5">
        <f t="shared" si="166"/>
        <v>0.47175234936432325</v>
      </c>
    </row>
    <row r="4270" spans="1:11" x14ac:dyDescent="0.25">
      <c r="A4270" t="s">
        <v>1169</v>
      </c>
      <c r="C4270" t="s">
        <v>1170</v>
      </c>
      <c r="D4270" t="s">
        <v>5</v>
      </c>
      <c r="E4270" t="s">
        <v>6</v>
      </c>
      <c r="F4270" t="s">
        <v>7</v>
      </c>
      <c r="G4270">
        <v>1</v>
      </c>
      <c r="H4270" s="2">
        <f>Tabelle13[[#This Row],[commits]]/Tabelle13[[#Totals],[commits]]</f>
        <v>4.6477904404246225E-6</v>
      </c>
      <c r="I4270" s="5">
        <f>Tabelle13[[#This Row],[%]]+I4269</f>
        <v>0.97779750506606944</v>
      </c>
      <c r="J4270" s="4">
        <f t="shared" si="165"/>
        <v>1.105583195135434E-4</v>
      </c>
      <c r="K4270" s="5">
        <f t="shared" si="166"/>
        <v>0.47186290768383682</v>
      </c>
    </row>
    <row r="4271" spans="1:11" x14ac:dyDescent="0.25">
      <c r="A4271" t="s">
        <v>1171</v>
      </c>
      <c r="C4271" t="s">
        <v>1172</v>
      </c>
      <c r="D4271" t="s">
        <v>5</v>
      </c>
      <c r="E4271" t="s">
        <v>6</v>
      </c>
      <c r="F4271" t="s">
        <v>7</v>
      </c>
      <c r="G4271">
        <v>1</v>
      </c>
      <c r="H4271" s="2">
        <f>Tabelle13[[#This Row],[commits]]/Tabelle13[[#Totals],[commits]]</f>
        <v>4.6477904404246225E-6</v>
      </c>
      <c r="I4271" s="5">
        <f>Tabelle13[[#This Row],[%]]+I4270</f>
        <v>0.97780215285650984</v>
      </c>
      <c r="J4271" s="4">
        <f t="shared" si="165"/>
        <v>1.105583195135434E-4</v>
      </c>
      <c r="K4271" s="5">
        <f t="shared" si="166"/>
        <v>0.47197346600335038</v>
      </c>
    </row>
    <row r="4272" spans="1:11" x14ac:dyDescent="0.25">
      <c r="A4272" t="s">
        <v>1173</v>
      </c>
      <c r="C4272" t="s">
        <v>1174</v>
      </c>
      <c r="D4272" t="s">
        <v>5</v>
      </c>
      <c r="E4272" t="s">
        <v>6</v>
      </c>
      <c r="F4272" t="s">
        <v>7</v>
      </c>
      <c r="G4272">
        <v>1</v>
      </c>
      <c r="H4272" s="2">
        <f>Tabelle13[[#This Row],[commits]]/Tabelle13[[#Totals],[commits]]</f>
        <v>4.6477904404246225E-6</v>
      </c>
      <c r="I4272" s="5">
        <f>Tabelle13[[#This Row],[%]]+I4271</f>
        <v>0.97780680064695025</v>
      </c>
      <c r="J4272" s="4">
        <f t="shared" si="165"/>
        <v>1.105583195135434E-4</v>
      </c>
      <c r="K4272" s="5">
        <f t="shared" si="166"/>
        <v>0.47208402432286395</v>
      </c>
    </row>
    <row r="4273" spans="1:11" x14ac:dyDescent="0.25">
      <c r="A4273" t="s">
        <v>1175</v>
      </c>
      <c r="C4273" t="s">
        <v>1176</v>
      </c>
      <c r="D4273" t="s">
        <v>5</v>
      </c>
      <c r="E4273" t="s">
        <v>6</v>
      </c>
      <c r="F4273" t="s">
        <v>7</v>
      </c>
      <c r="G4273">
        <v>1</v>
      </c>
      <c r="H4273" s="2">
        <f>Tabelle13[[#This Row],[commits]]/Tabelle13[[#Totals],[commits]]</f>
        <v>4.6477904404246225E-6</v>
      </c>
      <c r="I4273" s="5">
        <f>Tabelle13[[#This Row],[%]]+I4272</f>
        <v>0.97781144843739065</v>
      </c>
      <c r="J4273" s="4">
        <f t="shared" si="165"/>
        <v>1.105583195135434E-4</v>
      </c>
      <c r="K4273" s="5">
        <f t="shared" si="166"/>
        <v>0.47219458264237751</v>
      </c>
    </row>
    <row r="4274" spans="1:11" x14ac:dyDescent="0.25">
      <c r="A4274" t="s">
        <v>1177</v>
      </c>
      <c r="C4274" t="s">
        <v>1178</v>
      </c>
      <c r="D4274" t="s">
        <v>5</v>
      </c>
      <c r="E4274" t="s">
        <v>6</v>
      </c>
      <c r="F4274" t="s">
        <v>7</v>
      </c>
      <c r="G4274">
        <v>1</v>
      </c>
      <c r="H4274" s="2">
        <f>Tabelle13[[#This Row],[commits]]/Tabelle13[[#Totals],[commits]]</f>
        <v>4.6477904404246225E-6</v>
      </c>
      <c r="I4274" s="5">
        <f>Tabelle13[[#This Row],[%]]+I4273</f>
        <v>0.97781609622783106</v>
      </c>
      <c r="J4274" s="4">
        <f t="shared" si="165"/>
        <v>1.105583195135434E-4</v>
      </c>
      <c r="K4274" s="5">
        <f t="shared" si="166"/>
        <v>0.47230514096189108</v>
      </c>
    </row>
    <row r="4275" spans="1:11" x14ac:dyDescent="0.25">
      <c r="A4275" t="s">
        <v>1179</v>
      </c>
      <c r="C4275" t="s">
        <v>1180</v>
      </c>
      <c r="D4275" t="s">
        <v>5</v>
      </c>
      <c r="E4275" t="s">
        <v>6</v>
      </c>
      <c r="F4275" t="s">
        <v>7</v>
      </c>
      <c r="G4275">
        <v>1</v>
      </c>
      <c r="H4275" s="2">
        <f>Tabelle13[[#This Row],[commits]]/Tabelle13[[#Totals],[commits]]</f>
        <v>4.6477904404246225E-6</v>
      </c>
      <c r="I4275" s="5">
        <f>Tabelle13[[#This Row],[%]]+I4274</f>
        <v>0.97782074401827146</v>
      </c>
      <c r="J4275" s="4">
        <f t="shared" si="165"/>
        <v>1.105583195135434E-4</v>
      </c>
      <c r="K4275" s="5">
        <f t="shared" si="166"/>
        <v>0.47241569928140464</v>
      </c>
    </row>
    <row r="4276" spans="1:11" x14ac:dyDescent="0.25">
      <c r="A4276" t="s">
        <v>1181</v>
      </c>
      <c r="C4276" t="s">
        <v>1182</v>
      </c>
      <c r="D4276" t="s">
        <v>5</v>
      </c>
      <c r="E4276" t="s">
        <v>6</v>
      </c>
      <c r="F4276" t="s">
        <v>7</v>
      </c>
      <c r="G4276">
        <v>1</v>
      </c>
      <c r="H4276" s="2">
        <f>Tabelle13[[#This Row],[commits]]/Tabelle13[[#Totals],[commits]]</f>
        <v>4.6477904404246225E-6</v>
      </c>
      <c r="I4276" s="5">
        <f>Tabelle13[[#This Row],[%]]+I4275</f>
        <v>0.97782539180871186</v>
      </c>
      <c r="J4276" s="4">
        <f t="shared" si="165"/>
        <v>1.105583195135434E-4</v>
      </c>
      <c r="K4276" s="5">
        <f t="shared" si="166"/>
        <v>0.47252625760091821</v>
      </c>
    </row>
    <row r="4277" spans="1:11" x14ac:dyDescent="0.25">
      <c r="A4277" t="s">
        <v>1183</v>
      </c>
      <c r="C4277" t="s">
        <v>1184</v>
      </c>
      <c r="D4277" t="s">
        <v>5</v>
      </c>
      <c r="E4277" t="s">
        <v>6</v>
      </c>
      <c r="F4277" t="s">
        <v>7</v>
      </c>
      <c r="G4277">
        <v>1</v>
      </c>
      <c r="H4277" s="2">
        <f>Tabelle13[[#This Row],[commits]]/Tabelle13[[#Totals],[commits]]</f>
        <v>4.6477904404246225E-6</v>
      </c>
      <c r="I4277" s="5">
        <f>Tabelle13[[#This Row],[%]]+I4276</f>
        <v>0.97783003959915227</v>
      </c>
      <c r="J4277" s="4">
        <f t="shared" si="165"/>
        <v>1.105583195135434E-4</v>
      </c>
      <c r="K4277" s="5">
        <f t="shared" si="166"/>
        <v>0.47263681592043177</v>
      </c>
    </row>
    <row r="4278" spans="1:11" x14ac:dyDescent="0.25">
      <c r="A4278" t="s">
        <v>1185</v>
      </c>
      <c r="C4278" t="s">
        <v>1186</v>
      </c>
      <c r="D4278" t="s">
        <v>5</v>
      </c>
      <c r="E4278" t="s">
        <v>6</v>
      </c>
      <c r="F4278" t="s">
        <v>7</v>
      </c>
      <c r="G4278">
        <v>1</v>
      </c>
      <c r="H4278" s="2">
        <f>Tabelle13[[#This Row],[commits]]/Tabelle13[[#Totals],[commits]]</f>
        <v>4.6477904404246225E-6</v>
      </c>
      <c r="I4278" s="5">
        <f>Tabelle13[[#This Row],[%]]+I4277</f>
        <v>0.97783468738959267</v>
      </c>
      <c r="J4278" s="4">
        <f t="shared" si="165"/>
        <v>1.105583195135434E-4</v>
      </c>
      <c r="K4278" s="5">
        <f t="shared" si="166"/>
        <v>0.47274737423994534</v>
      </c>
    </row>
    <row r="4279" spans="1:11" x14ac:dyDescent="0.25">
      <c r="A4279" t="s">
        <v>1187</v>
      </c>
      <c r="C4279" t="s">
        <v>1188</v>
      </c>
      <c r="D4279" t="s">
        <v>5</v>
      </c>
      <c r="E4279" t="s">
        <v>6</v>
      </c>
      <c r="F4279" t="s">
        <v>7</v>
      </c>
      <c r="G4279">
        <v>1</v>
      </c>
      <c r="H4279" s="2">
        <f>Tabelle13[[#This Row],[commits]]/Tabelle13[[#Totals],[commits]]</f>
        <v>4.6477904404246225E-6</v>
      </c>
      <c r="I4279" s="5">
        <f>Tabelle13[[#This Row],[%]]+I4278</f>
        <v>0.97783933518003308</v>
      </c>
      <c r="J4279" s="4">
        <f t="shared" si="165"/>
        <v>1.105583195135434E-4</v>
      </c>
      <c r="K4279" s="5">
        <f t="shared" si="166"/>
        <v>0.4728579325594589</v>
      </c>
    </row>
    <row r="4280" spans="1:11" x14ac:dyDescent="0.25">
      <c r="A4280" t="s">
        <v>1189</v>
      </c>
      <c r="C4280" t="s">
        <v>1190</v>
      </c>
      <c r="D4280" t="s">
        <v>5</v>
      </c>
      <c r="E4280" t="s">
        <v>6</v>
      </c>
      <c r="F4280" t="s">
        <v>7</v>
      </c>
      <c r="G4280">
        <v>1</v>
      </c>
      <c r="H4280" s="2">
        <f>Tabelle13[[#This Row],[commits]]/Tabelle13[[#Totals],[commits]]</f>
        <v>4.6477904404246225E-6</v>
      </c>
      <c r="I4280" s="5">
        <f>Tabelle13[[#This Row],[%]]+I4279</f>
        <v>0.97784398297047348</v>
      </c>
      <c r="J4280" s="4">
        <f t="shared" si="165"/>
        <v>1.105583195135434E-4</v>
      </c>
      <c r="K4280" s="5">
        <f t="shared" si="166"/>
        <v>0.47296849087897247</v>
      </c>
    </row>
    <row r="4281" spans="1:11" x14ac:dyDescent="0.25">
      <c r="A4281" t="s">
        <v>1191</v>
      </c>
      <c r="C4281" t="s">
        <v>1192</v>
      </c>
      <c r="D4281" t="s">
        <v>5</v>
      </c>
      <c r="E4281" t="s">
        <v>6</v>
      </c>
      <c r="F4281" t="s">
        <v>7</v>
      </c>
      <c r="G4281">
        <v>1</v>
      </c>
      <c r="H4281" s="2">
        <f>Tabelle13[[#This Row],[commits]]/Tabelle13[[#Totals],[commits]]</f>
        <v>4.6477904404246225E-6</v>
      </c>
      <c r="I4281" s="5">
        <f>Tabelle13[[#This Row],[%]]+I4280</f>
        <v>0.97784863076091388</v>
      </c>
      <c r="J4281" s="4">
        <f t="shared" si="165"/>
        <v>1.105583195135434E-4</v>
      </c>
      <c r="K4281" s="5">
        <f t="shared" si="166"/>
        <v>0.47307904919848603</v>
      </c>
    </row>
    <row r="4282" spans="1:11" x14ac:dyDescent="0.25">
      <c r="A4282" t="s">
        <v>1193</v>
      </c>
      <c r="C4282">
        <v>3183442656</v>
      </c>
      <c r="D4282" t="s">
        <v>5</v>
      </c>
      <c r="E4282" t="s">
        <v>6</v>
      </c>
      <c r="F4282" t="s">
        <v>7</v>
      </c>
      <c r="G4282">
        <v>1</v>
      </c>
      <c r="H4282" s="2">
        <f>Tabelle13[[#This Row],[commits]]/Tabelle13[[#Totals],[commits]]</f>
        <v>4.6477904404246225E-6</v>
      </c>
      <c r="I4282" s="5">
        <f>Tabelle13[[#This Row],[%]]+I4281</f>
        <v>0.97785327855135429</v>
      </c>
      <c r="J4282" s="4">
        <f t="shared" si="165"/>
        <v>1.105583195135434E-4</v>
      </c>
      <c r="K4282" s="5">
        <f t="shared" si="166"/>
        <v>0.4731896075179996</v>
      </c>
    </row>
    <row r="4283" spans="1:11" x14ac:dyDescent="0.25">
      <c r="A4283" t="s">
        <v>1194</v>
      </c>
      <c r="C4283" t="s">
        <v>1195</v>
      </c>
      <c r="D4283" t="s">
        <v>5</v>
      </c>
      <c r="E4283" t="s">
        <v>6</v>
      </c>
      <c r="F4283" t="s">
        <v>7</v>
      </c>
      <c r="G4283">
        <v>1</v>
      </c>
      <c r="H4283" s="2">
        <f>Tabelle13[[#This Row],[commits]]/Tabelle13[[#Totals],[commits]]</f>
        <v>4.6477904404246225E-6</v>
      </c>
      <c r="I4283" s="5">
        <f>Tabelle13[[#This Row],[%]]+I4282</f>
        <v>0.97785792634179469</v>
      </c>
      <c r="J4283" s="4">
        <f t="shared" si="165"/>
        <v>1.105583195135434E-4</v>
      </c>
      <c r="K4283" s="5">
        <f t="shared" si="166"/>
        <v>0.47330016583751316</v>
      </c>
    </row>
    <row r="4284" spans="1:11" x14ac:dyDescent="0.25">
      <c r="A4284" t="s">
        <v>1196</v>
      </c>
      <c r="C4284" t="s">
        <v>1197</v>
      </c>
      <c r="D4284" t="s">
        <v>5</v>
      </c>
      <c r="E4284" t="s">
        <v>6</v>
      </c>
      <c r="F4284" t="s">
        <v>7</v>
      </c>
      <c r="G4284">
        <v>1</v>
      </c>
      <c r="H4284" s="2">
        <f>Tabelle13[[#This Row],[commits]]/Tabelle13[[#Totals],[commits]]</f>
        <v>4.6477904404246225E-6</v>
      </c>
      <c r="I4284" s="5">
        <f>Tabelle13[[#This Row],[%]]+I4283</f>
        <v>0.9778625741322351</v>
      </c>
      <c r="J4284" s="4">
        <f t="shared" si="165"/>
        <v>1.105583195135434E-4</v>
      </c>
      <c r="K4284" s="5">
        <f t="shared" si="166"/>
        <v>0.47341072415702673</v>
      </c>
    </row>
    <row r="4285" spans="1:11" x14ac:dyDescent="0.25">
      <c r="A4285" t="s">
        <v>1198</v>
      </c>
      <c r="C4285" t="s">
        <v>1199</v>
      </c>
      <c r="D4285" t="s">
        <v>5</v>
      </c>
      <c r="E4285" t="s">
        <v>6</v>
      </c>
      <c r="F4285" t="s">
        <v>7</v>
      </c>
      <c r="G4285">
        <v>1</v>
      </c>
      <c r="H4285" s="2">
        <f>Tabelle13[[#This Row],[commits]]/Tabelle13[[#Totals],[commits]]</f>
        <v>4.6477904404246225E-6</v>
      </c>
      <c r="I4285" s="5">
        <f>Tabelle13[[#This Row],[%]]+I4284</f>
        <v>0.9778672219226755</v>
      </c>
      <c r="J4285" s="4">
        <f t="shared" si="165"/>
        <v>1.105583195135434E-4</v>
      </c>
      <c r="K4285" s="5">
        <f t="shared" si="166"/>
        <v>0.4735212824765403</v>
      </c>
    </row>
    <row r="4286" spans="1:11" x14ac:dyDescent="0.25">
      <c r="A4286" t="s">
        <v>1200</v>
      </c>
      <c r="C4286" t="s">
        <v>1201</v>
      </c>
      <c r="D4286" t="s">
        <v>5</v>
      </c>
      <c r="E4286" t="s">
        <v>6</v>
      </c>
      <c r="F4286" t="s">
        <v>7</v>
      </c>
      <c r="G4286">
        <v>1</v>
      </c>
      <c r="H4286" s="2">
        <f>Tabelle13[[#This Row],[commits]]/Tabelle13[[#Totals],[commits]]</f>
        <v>4.6477904404246225E-6</v>
      </c>
      <c r="I4286" s="5">
        <f>Tabelle13[[#This Row],[%]]+I4285</f>
        <v>0.9778718697131159</v>
      </c>
      <c r="J4286" s="4">
        <f t="shared" si="165"/>
        <v>1.105583195135434E-4</v>
      </c>
      <c r="K4286" s="5">
        <f t="shared" si="166"/>
        <v>0.47363184079605386</v>
      </c>
    </row>
    <row r="4287" spans="1:11" x14ac:dyDescent="0.25">
      <c r="A4287" t="s">
        <v>1202</v>
      </c>
      <c r="C4287" t="s">
        <v>1203</v>
      </c>
      <c r="D4287" t="s">
        <v>5</v>
      </c>
      <c r="E4287" t="s">
        <v>6</v>
      </c>
      <c r="F4287" t="s">
        <v>7</v>
      </c>
      <c r="G4287">
        <v>1</v>
      </c>
      <c r="H4287" s="2">
        <f>Tabelle13[[#This Row],[commits]]/Tabelle13[[#Totals],[commits]]</f>
        <v>4.6477904404246225E-6</v>
      </c>
      <c r="I4287" s="5">
        <f>Tabelle13[[#This Row],[%]]+I4286</f>
        <v>0.97787651750355631</v>
      </c>
      <c r="J4287" s="4">
        <f t="shared" si="165"/>
        <v>1.105583195135434E-4</v>
      </c>
      <c r="K4287" s="5">
        <f t="shared" si="166"/>
        <v>0.47374239911556743</v>
      </c>
    </row>
    <row r="4288" spans="1:11" x14ac:dyDescent="0.25">
      <c r="A4288" t="s">
        <v>1204</v>
      </c>
      <c r="C4288" t="s">
        <v>1205</v>
      </c>
      <c r="D4288" t="s">
        <v>5</v>
      </c>
      <c r="E4288" t="s">
        <v>6</v>
      </c>
      <c r="F4288" t="s">
        <v>7</v>
      </c>
      <c r="G4288">
        <v>1</v>
      </c>
      <c r="H4288" s="2">
        <f>Tabelle13[[#This Row],[commits]]/Tabelle13[[#Totals],[commits]]</f>
        <v>4.6477904404246225E-6</v>
      </c>
      <c r="I4288" s="5">
        <f>Tabelle13[[#This Row],[%]]+I4287</f>
        <v>0.97788116529399671</v>
      </c>
      <c r="J4288" s="4">
        <f t="shared" si="165"/>
        <v>1.105583195135434E-4</v>
      </c>
      <c r="K4288" s="5">
        <f t="shared" si="166"/>
        <v>0.47385295743508099</v>
      </c>
    </row>
    <row r="4289" spans="1:11" x14ac:dyDescent="0.25">
      <c r="A4289" t="s">
        <v>1206</v>
      </c>
      <c r="C4289" t="s">
        <v>1207</v>
      </c>
      <c r="D4289" t="s">
        <v>5</v>
      </c>
      <c r="E4289" t="s">
        <v>6</v>
      </c>
      <c r="F4289" t="s">
        <v>7</v>
      </c>
      <c r="G4289">
        <v>1</v>
      </c>
      <c r="H4289" s="2">
        <f>Tabelle13[[#This Row],[commits]]/Tabelle13[[#Totals],[commits]]</f>
        <v>4.6477904404246225E-6</v>
      </c>
      <c r="I4289" s="5">
        <f>Tabelle13[[#This Row],[%]]+I4288</f>
        <v>0.97788581308443712</v>
      </c>
      <c r="J4289" s="4">
        <f t="shared" si="165"/>
        <v>1.105583195135434E-4</v>
      </c>
      <c r="K4289" s="5">
        <f t="shared" si="166"/>
        <v>0.47396351575459456</v>
      </c>
    </row>
    <row r="4290" spans="1:11" x14ac:dyDescent="0.25">
      <c r="A4290" t="s">
        <v>1208</v>
      </c>
      <c r="C4290" t="s">
        <v>1209</v>
      </c>
      <c r="D4290" t="s">
        <v>5</v>
      </c>
      <c r="E4290" t="s">
        <v>6</v>
      </c>
      <c r="F4290" t="s">
        <v>7</v>
      </c>
      <c r="G4290">
        <v>1</v>
      </c>
      <c r="H4290" s="2">
        <f>Tabelle13[[#This Row],[commits]]/Tabelle13[[#Totals],[commits]]</f>
        <v>4.6477904404246225E-6</v>
      </c>
      <c r="I4290" s="5">
        <f>Tabelle13[[#This Row],[%]]+I4289</f>
        <v>0.97789046087487752</v>
      </c>
      <c r="J4290" s="4">
        <f t="shared" si="165"/>
        <v>1.105583195135434E-4</v>
      </c>
      <c r="K4290" s="5">
        <f t="shared" si="166"/>
        <v>0.47407407407410812</v>
      </c>
    </row>
    <row r="4291" spans="1:11" x14ac:dyDescent="0.25">
      <c r="A4291" t="s">
        <v>1210</v>
      </c>
      <c r="C4291" t="s">
        <v>1211</v>
      </c>
      <c r="D4291" t="s">
        <v>5</v>
      </c>
      <c r="E4291" t="s">
        <v>6</v>
      </c>
      <c r="F4291" t="s">
        <v>7</v>
      </c>
      <c r="G4291">
        <v>1</v>
      </c>
      <c r="H4291" s="2">
        <f>Tabelle13[[#This Row],[commits]]/Tabelle13[[#Totals],[commits]]</f>
        <v>4.6477904404246225E-6</v>
      </c>
      <c r="I4291" s="5">
        <f>Tabelle13[[#This Row],[%]]+I4290</f>
        <v>0.97789510866531792</v>
      </c>
      <c r="J4291" s="4">
        <f t="shared" ref="J4291:J4354" si="167">1/9045</f>
        <v>1.105583195135434E-4</v>
      </c>
      <c r="K4291" s="5">
        <f t="shared" si="166"/>
        <v>0.47418463239362169</v>
      </c>
    </row>
    <row r="4292" spans="1:11" x14ac:dyDescent="0.25">
      <c r="A4292" t="s">
        <v>1212</v>
      </c>
      <c r="C4292" t="s">
        <v>1213</v>
      </c>
      <c r="D4292" t="s">
        <v>5</v>
      </c>
      <c r="E4292" t="s">
        <v>6</v>
      </c>
      <c r="F4292" t="s">
        <v>7</v>
      </c>
      <c r="G4292">
        <v>1</v>
      </c>
      <c r="H4292" s="2">
        <f>Tabelle13[[#This Row],[commits]]/Tabelle13[[#Totals],[commits]]</f>
        <v>4.6477904404246225E-6</v>
      </c>
      <c r="I4292" s="5">
        <f>Tabelle13[[#This Row],[%]]+I4291</f>
        <v>0.97789975645575833</v>
      </c>
      <c r="J4292" s="4">
        <f t="shared" si="167"/>
        <v>1.105583195135434E-4</v>
      </c>
      <c r="K4292" s="5">
        <f t="shared" si="166"/>
        <v>0.47429519071313525</v>
      </c>
    </row>
    <row r="4293" spans="1:11" x14ac:dyDescent="0.25">
      <c r="A4293" t="s">
        <v>1214</v>
      </c>
      <c r="C4293" t="s">
        <v>197</v>
      </c>
      <c r="D4293" t="s">
        <v>5</v>
      </c>
      <c r="E4293" t="s">
        <v>6</v>
      </c>
      <c r="F4293" t="s">
        <v>7</v>
      </c>
      <c r="G4293">
        <v>1</v>
      </c>
      <c r="H4293" s="2">
        <f>Tabelle13[[#This Row],[commits]]/Tabelle13[[#Totals],[commits]]</f>
        <v>4.6477904404246225E-6</v>
      </c>
      <c r="I4293" s="5">
        <f>Tabelle13[[#This Row],[%]]+I4292</f>
        <v>0.97790440424619873</v>
      </c>
      <c r="J4293" s="4">
        <f t="shared" si="167"/>
        <v>1.105583195135434E-4</v>
      </c>
      <c r="K4293" s="5">
        <f t="shared" si="166"/>
        <v>0.47440574903264882</v>
      </c>
    </row>
    <row r="4294" spans="1:11" x14ac:dyDescent="0.25">
      <c r="A4294" t="s">
        <v>1215</v>
      </c>
      <c r="C4294" t="s">
        <v>1216</v>
      </c>
      <c r="D4294" t="s">
        <v>5</v>
      </c>
      <c r="E4294" t="s">
        <v>6</v>
      </c>
      <c r="F4294" t="s">
        <v>7</v>
      </c>
      <c r="G4294">
        <v>1</v>
      </c>
      <c r="H4294" s="2">
        <f>Tabelle13[[#This Row],[commits]]/Tabelle13[[#Totals],[commits]]</f>
        <v>4.6477904404246225E-6</v>
      </c>
      <c r="I4294" s="5">
        <f>Tabelle13[[#This Row],[%]]+I4293</f>
        <v>0.97790905203663914</v>
      </c>
      <c r="J4294" s="4">
        <f t="shared" si="167"/>
        <v>1.105583195135434E-4</v>
      </c>
      <c r="K4294" s="5">
        <f t="shared" ref="K4294:K4357" si="168">J4294+K4293</f>
        <v>0.47451630735216238</v>
      </c>
    </row>
    <row r="4295" spans="1:11" x14ac:dyDescent="0.25">
      <c r="A4295" t="s">
        <v>1217</v>
      </c>
      <c r="C4295" t="s">
        <v>1218</v>
      </c>
      <c r="D4295" t="s">
        <v>5</v>
      </c>
      <c r="E4295" t="s">
        <v>6</v>
      </c>
      <c r="F4295" t="s">
        <v>7</v>
      </c>
      <c r="G4295">
        <v>1</v>
      </c>
      <c r="H4295" s="2">
        <f>Tabelle13[[#This Row],[commits]]/Tabelle13[[#Totals],[commits]]</f>
        <v>4.6477904404246225E-6</v>
      </c>
      <c r="I4295" s="5">
        <f>Tabelle13[[#This Row],[%]]+I4294</f>
        <v>0.97791369982707954</v>
      </c>
      <c r="J4295" s="4">
        <f t="shared" si="167"/>
        <v>1.105583195135434E-4</v>
      </c>
      <c r="K4295" s="5">
        <f t="shared" si="168"/>
        <v>0.47462686567167595</v>
      </c>
    </row>
    <row r="4296" spans="1:11" x14ac:dyDescent="0.25">
      <c r="A4296" t="s">
        <v>1219</v>
      </c>
      <c r="C4296" t="s">
        <v>1220</v>
      </c>
      <c r="D4296" t="s">
        <v>5</v>
      </c>
      <c r="E4296" t="s">
        <v>6</v>
      </c>
      <c r="F4296" t="s">
        <v>7</v>
      </c>
      <c r="G4296">
        <v>1</v>
      </c>
      <c r="H4296" s="2">
        <f>Tabelle13[[#This Row],[commits]]/Tabelle13[[#Totals],[commits]]</f>
        <v>4.6477904404246225E-6</v>
      </c>
      <c r="I4296" s="5">
        <f>Tabelle13[[#This Row],[%]]+I4295</f>
        <v>0.97791834761751995</v>
      </c>
      <c r="J4296" s="4">
        <f t="shared" si="167"/>
        <v>1.105583195135434E-4</v>
      </c>
      <c r="K4296" s="5">
        <f t="shared" si="168"/>
        <v>0.47473742399118951</v>
      </c>
    </row>
    <row r="4297" spans="1:11" x14ac:dyDescent="0.25">
      <c r="A4297" t="s">
        <v>1221</v>
      </c>
      <c r="C4297" t="s">
        <v>1222</v>
      </c>
      <c r="D4297" t="s">
        <v>5</v>
      </c>
      <c r="E4297" t="s">
        <v>6</v>
      </c>
      <c r="F4297" t="s">
        <v>7</v>
      </c>
      <c r="G4297">
        <v>1</v>
      </c>
      <c r="H4297" s="2">
        <f>Tabelle13[[#This Row],[commits]]/Tabelle13[[#Totals],[commits]]</f>
        <v>4.6477904404246225E-6</v>
      </c>
      <c r="I4297" s="5">
        <f>Tabelle13[[#This Row],[%]]+I4296</f>
        <v>0.97792299540796035</v>
      </c>
      <c r="J4297" s="4">
        <f t="shared" si="167"/>
        <v>1.105583195135434E-4</v>
      </c>
      <c r="K4297" s="5">
        <f t="shared" si="168"/>
        <v>0.47484798231070308</v>
      </c>
    </row>
    <row r="4298" spans="1:11" x14ac:dyDescent="0.25">
      <c r="A4298" t="s">
        <v>1223</v>
      </c>
      <c r="C4298" t="s">
        <v>1224</v>
      </c>
      <c r="D4298" t="s">
        <v>5</v>
      </c>
      <c r="E4298" t="s">
        <v>6</v>
      </c>
      <c r="F4298" t="s">
        <v>7</v>
      </c>
      <c r="G4298">
        <v>1</v>
      </c>
      <c r="H4298" s="2">
        <f>Tabelle13[[#This Row],[commits]]/Tabelle13[[#Totals],[commits]]</f>
        <v>4.6477904404246225E-6</v>
      </c>
      <c r="I4298" s="5">
        <f>Tabelle13[[#This Row],[%]]+I4297</f>
        <v>0.97792764319840075</v>
      </c>
      <c r="J4298" s="4">
        <f t="shared" si="167"/>
        <v>1.105583195135434E-4</v>
      </c>
      <c r="K4298" s="5">
        <f t="shared" si="168"/>
        <v>0.47495854063021664</v>
      </c>
    </row>
    <row r="4299" spans="1:11" x14ac:dyDescent="0.25">
      <c r="A4299" t="s">
        <v>1225</v>
      </c>
      <c r="C4299" t="s">
        <v>1226</v>
      </c>
      <c r="D4299" t="s">
        <v>5</v>
      </c>
      <c r="E4299" t="s">
        <v>6</v>
      </c>
      <c r="F4299" t="s">
        <v>7</v>
      </c>
      <c r="G4299">
        <v>1</v>
      </c>
      <c r="H4299" s="2">
        <f>Tabelle13[[#This Row],[commits]]/Tabelle13[[#Totals],[commits]]</f>
        <v>4.6477904404246225E-6</v>
      </c>
      <c r="I4299" s="5">
        <f>Tabelle13[[#This Row],[%]]+I4298</f>
        <v>0.97793229098884116</v>
      </c>
      <c r="J4299" s="4">
        <f t="shared" si="167"/>
        <v>1.105583195135434E-4</v>
      </c>
      <c r="K4299" s="5">
        <f t="shared" si="168"/>
        <v>0.47506909894973021</v>
      </c>
    </row>
    <row r="4300" spans="1:11" x14ac:dyDescent="0.25">
      <c r="A4300" t="s">
        <v>1227</v>
      </c>
      <c r="C4300" t="s">
        <v>1228</v>
      </c>
      <c r="D4300" t="s">
        <v>5</v>
      </c>
      <c r="E4300" t="s">
        <v>6</v>
      </c>
      <c r="F4300" t="s">
        <v>7</v>
      </c>
      <c r="G4300">
        <v>1</v>
      </c>
      <c r="H4300" s="2">
        <f>Tabelle13[[#This Row],[commits]]/Tabelle13[[#Totals],[commits]]</f>
        <v>4.6477904404246225E-6</v>
      </c>
      <c r="I4300" s="5">
        <f>Tabelle13[[#This Row],[%]]+I4299</f>
        <v>0.97793693877928156</v>
      </c>
      <c r="J4300" s="4">
        <f t="shared" si="167"/>
        <v>1.105583195135434E-4</v>
      </c>
      <c r="K4300" s="5">
        <f t="shared" si="168"/>
        <v>0.47517965726924377</v>
      </c>
    </row>
    <row r="4301" spans="1:11" x14ac:dyDescent="0.25">
      <c r="A4301" t="s">
        <v>1229</v>
      </c>
      <c r="C4301" t="s">
        <v>1230</v>
      </c>
      <c r="D4301" t="s">
        <v>5</v>
      </c>
      <c r="E4301" t="s">
        <v>6</v>
      </c>
      <c r="F4301" t="s">
        <v>7</v>
      </c>
      <c r="G4301">
        <v>1</v>
      </c>
      <c r="H4301" s="2">
        <f>Tabelle13[[#This Row],[commits]]/Tabelle13[[#Totals],[commits]]</f>
        <v>4.6477904404246225E-6</v>
      </c>
      <c r="I4301" s="5">
        <f>Tabelle13[[#This Row],[%]]+I4300</f>
        <v>0.97794158656972197</v>
      </c>
      <c r="J4301" s="4">
        <f t="shared" si="167"/>
        <v>1.105583195135434E-4</v>
      </c>
      <c r="K4301" s="5">
        <f t="shared" si="168"/>
        <v>0.47529021558875734</v>
      </c>
    </row>
    <row r="4302" spans="1:11" x14ac:dyDescent="0.25">
      <c r="A4302" t="s">
        <v>1231</v>
      </c>
      <c r="C4302" t="s">
        <v>1232</v>
      </c>
      <c r="D4302" t="s">
        <v>5</v>
      </c>
      <c r="E4302" t="s">
        <v>6</v>
      </c>
      <c r="F4302" t="s">
        <v>7</v>
      </c>
      <c r="G4302">
        <v>1</v>
      </c>
      <c r="H4302" s="2">
        <f>Tabelle13[[#This Row],[commits]]/Tabelle13[[#Totals],[commits]]</f>
        <v>4.6477904404246225E-6</v>
      </c>
      <c r="I4302" s="5">
        <f>Tabelle13[[#This Row],[%]]+I4301</f>
        <v>0.97794623436016237</v>
      </c>
      <c r="J4302" s="4">
        <f t="shared" si="167"/>
        <v>1.105583195135434E-4</v>
      </c>
      <c r="K4302" s="5">
        <f t="shared" si="168"/>
        <v>0.4754007739082709</v>
      </c>
    </row>
    <row r="4303" spans="1:11" x14ac:dyDescent="0.25">
      <c r="A4303" t="s">
        <v>1233</v>
      </c>
      <c r="C4303" t="s">
        <v>1234</v>
      </c>
      <c r="D4303" t="s">
        <v>5</v>
      </c>
      <c r="E4303" t="s">
        <v>6</v>
      </c>
      <c r="F4303" t="s">
        <v>7</v>
      </c>
      <c r="G4303">
        <v>1</v>
      </c>
      <c r="H4303" s="2">
        <f>Tabelle13[[#This Row],[commits]]/Tabelle13[[#Totals],[commits]]</f>
        <v>4.6477904404246225E-6</v>
      </c>
      <c r="I4303" s="5">
        <f>Tabelle13[[#This Row],[%]]+I4302</f>
        <v>0.97795088215060277</v>
      </c>
      <c r="J4303" s="4">
        <f t="shared" si="167"/>
        <v>1.105583195135434E-4</v>
      </c>
      <c r="K4303" s="5">
        <f t="shared" si="168"/>
        <v>0.47551133222778447</v>
      </c>
    </row>
    <row r="4304" spans="1:11" x14ac:dyDescent="0.25">
      <c r="A4304" t="s">
        <v>1235</v>
      </c>
      <c r="C4304" t="s">
        <v>1236</v>
      </c>
      <c r="D4304" t="s">
        <v>5</v>
      </c>
      <c r="E4304" t="s">
        <v>6</v>
      </c>
      <c r="F4304" t="s">
        <v>7</v>
      </c>
      <c r="G4304">
        <v>1</v>
      </c>
      <c r="H4304" s="2">
        <f>Tabelle13[[#This Row],[commits]]/Tabelle13[[#Totals],[commits]]</f>
        <v>4.6477904404246225E-6</v>
      </c>
      <c r="I4304" s="5">
        <f>Tabelle13[[#This Row],[%]]+I4303</f>
        <v>0.97795552994104318</v>
      </c>
      <c r="J4304" s="4">
        <f t="shared" si="167"/>
        <v>1.105583195135434E-4</v>
      </c>
      <c r="K4304" s="5">
        <f t="shared" si="168"/>
        <v>0.47562189054729803</v>
      </c>
    </row>
    <row r="4305" spans="1:11" x14ac:dyDescent="0.25">
      <c r="A4305" t="s">
        <v>1237</v>
      </c>
      <c r="C4305" t="s">
        <v>230</v>
      </c>
      <c r="D4305" t="s">
        <v>5</v>
      </c>
      <c r="E4305" t="s">
        <v>6</v>
      </c>
      <c r="F4305" t="s">
        <v>7</v>
      </c>
      <c r="G4305">
        <v>1</v>
      </c>
      <c r="H4305" s="2">
        <f>Tabelle13[[#This Row],[commits]]/Tabelle13[[#Totals],[commits]]</f>
        <v>4.6477904404246225E-6</v>
      </c>
      <c r="I4305" s="5">
        <f>Tabelle13[[#This Row],[%]]+I4304</f>
        <v>0.97796017773148358</v>
      </c>
      <c r="J4305" s="4">
        <f t="shared" si="167"/>
        <v>1.105583195135434E-4</v>
      </c>
      <c r="K4305" s="5">
        <f t="shared" si="168"/>
        <v>0.4757324488668116</v>
      </c>
    </row>
    <row r="4306" spans="1:11" x14ac:dyDescent="0.25">
      <c r="A4306" t="s">
        <v>1238</v>
      </c>
      <c r="C4306" t="s">
        <v>1239</v>
      </c>
      <c r="D4306" t="s">
        <v>5</v>
      </c>
      <c r="E4306" t="s">
        <v>6</v>
      </c>
      <c r="F4306" t="s">
        <v>7</v>
      </c>
      <c r="G4306">
        <v>1</v>
      </c>
      <c r="H4306" s="2">
        <f>Tabelle13[[#This Row],[commits]]/Tabelle13[[#Totals],[commits]]</f>
        <v>4.6477904404246225E-6</v>
      </c>
      <c r="I4306" s="5">
        <f>Tabelle13[[#This Row],[%]]+I4305</f>
        <v>0.97796482552192399</v>
      </c>
      <c r="J4306" s="4">
        <f t="shared" si="167"/>
        <v>1.105583195135434E-4</v>
      </c>
      <c r="K4306" s="5">
        <f t="shared" si="168"/>
        <v>0.47584300718632516</v>
      </c>
    </row>
    <row r="4307" spans="1:11" x14ac:dyDescent="0.25">
      <c r="A4307" t="s">
        <v>1240</v>
      </c>
      <c r="C4307" t="s">
        <v>1241</v>
      </c>
      <c r="D4307" t="s">
        <v>5</v>
      </c>
      <c r="E4307" t="s">
        <v>6</v>
      </c>
      <c r="F4307" t="s">
        <v>7</v>
      </c>
      <c r="G4307">
        <v>1</v>
      </c>
      <c r="H4307" s="2">
        <f>Tabelle13[[#This Row],[commits]]/Tabelle13[[#Totals],[commits]]</f>
        <v>4.6477904404246225E-6</v>
      </c>
      <c r="I4307" s="5">
        <f>Tabelle13[[#This Row],[%]]+I4306</f>
        <v>0.97796947331236439</v>
      </c>
      <c r="J4307" s="4">
        <f t="shared" si="167"/>
        <v>1.105583195135434E-4</v>
      </c>
      <c r="K4307" s="5">
        <f t="shared" si="168"/>
        <v>0.47595356550583873</v>
      </c>
    </row>
    <row r="4308" spans="1:11" x14ac:dyDescent="0.25">
      <c r="A4308" t="s">
        <v>1242</v>
      </c>
      <c r="C4308" t="s">
        <v>151</v>
      </c>
      <c r="D4308" t="s">
        <v>5</v>
      </c>
      <c r="E4308" t="s">
        <v>6</v>
      </c>
      <c r="F4308" t="s">
        <v>7</v>
      </c>
      <c r="G4308">
        <v>1</v>
      </c>
      <c r="H4308" s="2">
        <f>Tabelle13[[#This Row],[commits]]/Tabelle13[[#Totals],[commits]]</f>
        <v>4.6477904404246225E-6</v>
      </c>
      <c r="I4308" s="5">
        <f>Tabelle13[[#This Row],[%]]+I4307</f>
        <v>0.97797412110280479</v>
      </c>
      <c r="J4308" s="4">
        <f t="shared" si="167"/>
        <v>1.105583195135434E-4</v>
      </c>
      <c r="K4308" s="5">
        <f t="shared" si="168"/>
        <v>0.47606412382535229</v>
      </c>
    </row>
    <row r="4309" spans="1:11" x14ac:dyDescent="0.25">
      <c r="A4309" t="s">
        <v>1243</v>
      </c>
      <c r="C4309" t="s">
        <v>1244</v>
      </c>
      <c r="D4309" t="s">
        <v>5</v>
      </c>
      <c r="E4309" t="s">
        <v>6</v>
      </c>
      <c r="F4309" t="s">
        <v>7</v>
      </c>
      <c r="G4309">
        <v>1</v>
      </c>
      <c r="H4309" s="2">
        <f>Tabelle13[[#This Row],[commits]]/Tabelle13[[#Totals],[commits]]</f>
        <v>4.6477904404246225E-6</v>
      </c>
      <c r="I4309" s="5">
        <f>Tabelle13[[#This Row],[%]]+I4308</f>
        <v>0.9779787688932452</v>
      </c>
      <c r="J4309" s="4">
        <f t="shared" si="167"/>
        <v>1.105583195135434E-4</v>
      </c>
      <c r="K4309" s="5">
        <f t="shared" si="168"/>
        <v>0.47617468214486586</v>
      </c>
    </row>
    <row r="4310" spans="1:11" x14ac:dyDescent="0.25">
      <c r="A4310" t="s">
        <v>1245</v>
      </c>
      <c r="C4310" t="s">
        <v>1246</v>
      </c>
      <c r="D4310" t="s">
        <v>5</v>
      </c>
      <c r="E4310" t="s">
        <v>6</v>
      </c>
      <c r="F4310" t="s">
        <v>7</v>
      </c>
      <c r="G4310">
        <v>1</v>
      </c>
      <c r="H4310" s="2">
        <f>Tabelle13[[#This Row],[commits]]/Tabelle13[[#Totals],[commits]]</f>
        <v>4.6477904404246225E-6</v>
      </c>
      <c r="I4310" s="5">
        <f>Tabelle13[[#This Row],[%]]+I4309</f>
        <v>0.9779834166836856</v>
      </c>
      <c r="J4310" s="4">
        <f t="shared" si="167"/>
        <v>1.105583195135434E-4</v>
      </c>
      <c r="K4310" s="5">
        <f t="shared" si="168"/>
        <v>0.47628524046437942</v>
      </c>
    </row>
    <row r="4311" spans="1:11" x14ac:dyDescent="0.25">
      <c r="A4311" t="s">
        <v>1249</v>
      </c>
      <c r="C4311" t="s">
        <v>1250</v>
      </c>
      <c r="D4311" t="s">
        <v>5</v>
      </c>
      <c r="E4311" t="s">
        <v>6</v>
      </c>
      <c r="F4311" t="s">
        <v>7</v>
      </c>
      <c r="G4311">
        <v>1</v>
      </c>
      <c r="H4311" s="2">
        <f>Tabelle13[[#This Row],[commits]]/Tabelle13[[#Totals],[commits]]</f>
        <v>4.6477904404246225E-6</v>
      </c>
      <c r="I4311" s="5">
        <f>Tabelle13[[#This Row],[%]]+I4310</f>
        <v>0.97798806447412601</v>
      </c>
      <c r="J4311" s="4">
        <f t="shared" si="167"/>
        <v>1.105583195135434E-4</v>
      </c>
      <c r="K4311" s="5">
        <f t="shared" si="168"/>
        <v>0.47639579878389299</v>
      </c>
    </row>
    <row r="4312" spans="1:11" x14ac:dyDescent="0.25">
      <c r="A4312" t="s">
        <v>1251</v>
      </c>
      <c r="C4312" t="s">
        <v>1252</v>
      </c>
      <c r="D4312" t="s">
        <v>5</v>
      </c>
      <c r="E4312" t="s">
        <v>6</v>
      </c>
      <c r="F4312" t="s">
        <v>7</v>
      </c>
      <c r="G4312">
        <v>1</v>
      </c>
      <c r="H4312" s="2">
        <f>Tabelle13[[#This Row],[commits]]/Tabelle13[[#Totals],[commits]]</f>
        <v>4.6477904404246225E-6</v>
      </c>
      <c r="I4312" s="5">
        <f>Tabelle13[[#This Row],[%]]+I4311</f>
        <v>0.97799271226456641</v>
      </c>
      <c r="J4312" s="4">
        <f t="shared" si="167"/>
        <v>1.105583195135434E-4</v>
      </c>
      <c r="K4312" s="5">
        <f t="shared" si="168"/>
        <v>0.47650635710340655</v>
      </c>
    </row>
    <row r="4313" spans="1:11" x14ac:dyDescent="0.25">
      <c r="A4313" t="s">
        <v>1253</v>
      </c>
      <c r="C4313" t="s">
        <v>1254</v>
      </c>
      <c r="D4313" t="s">
        <v>5</v>
      </c>
      <c r="E4313" t="s">
        <v>6</v>
      </c>
      <c r="F4313" t="s">
        <v>7</v>
      </c>
      <c r="G4313">
        <v>1</v>
      </c>
      <c r="H4313" s="2">
        <f>Tabelle13[[#This Row],[commits]]/Tabelle13[[#Totals],[commits]]</f>
        <v>4.6477904404246225E-6</v>
      </c>
      <c r="I4313" s="5">
        <f>Tabelle13[[#This Row],[%]]+I4312</f>
        <v>0.97799736005500681</v>
      </c>
      <c r="J4313" s="4">
        <f t="shared" si="167"/>
        <v>1.105583195135434E-4</v>
      </c>
      <c r="K4313" s="5">
        <f t="shared" si="168"/>
        <v>0.47661691542292012</v>
      </c>
    </row>
    <row r="4314" spans="1:11" x14ac:dyDescent="0.25">
      <c r="A4314" t="s">
        <v>1255</v>
      </c>
      <c r="C4314" t="s">
        <v>1256</v>
      </c>
      <c r="D4314" t="s">
        <v>5</v>
      </c>
      <c r="E4314" t="s">
        <v>6</v>
      </c>
      <c r="F4314" t="s">
        <v>7</v>
      </c>
      <c r="G4314">
        <v>1</v>
      </c>
      <c r="H4314" s="2">
        <f>Tabelle13[[#This Row],[commits]]/Tabelle13[[#Totals],[commits]]</f>
        <v>4.6477904404246225E-6</v>
      </c>
      <c r="I4314" s="5">
        <f>Tabelle13[[#This Row],[%]]+I4313</f>
        <v>0.97800200784544722</v>
      </c>
      <c r="J4314" s="4">
        <f t="shared" si="167"/>
        <v>1.105583195135434E-4</v>
      </c>
      <c r="K4314" s="5">
        <f t="shared" si="168"/>
        <v>0.47672747374243368</v>
      </c>
    </row>
    <row r="4315" spans="1:11" x14ac:dyDescent="0.25">
      <c r="A4315" t="s">
        <v>1257</v>
      </c>
      <c r="C4315" t="s">
        <v>1258</v>
      </c>
      <c r="D4315" t="s">
        <v>5</v>
      </c>
      <c r="E4315" t="s">
        <v>6</v>
      </c>
      <c r="F4315" t="s">
        <v>7</v>
      </c>
      <c r="G4315">
        <v>1</v>
      </c>
      <c r="H4315" s="2">
        <f>Tabelle13[[#This Row],[commits]]/Tabelle13[[#Totals],[commits]]</f>
        <v>4.6477904404246225E-6</v>
      </c>
      <c r="I4315" s="5">
        <f>Tabelle13[[#This Row],[%]]+I4314</f>
        <v>0.97800665563588762</v>
      </c>
      <c r="J4315" s="4">
        <f t="shared" si="167"/>
        <v>1.105583195135434E-4</v>
      </c>
      <c r="K4315" s="5">
        <f t="shared" si="168"/>
        <v>0.47683803206194725</v>
      </c>
    </row>
    <row r="4316" spans="1:11" x14ac:dyDescent="0.25">
      <c r="A4316" t="s">
        <v>1259</v>
      </c>
      <c r="C4316" t="s">
        <v>1260</v>
      </c>
      <c r="D4316" t="s">
        <v>5</v>
      </c>
      <c r="E4316" t="s">
        <v>6</v>
      </c>
      <c r="F4316" t="s">
        <v>7</v>
      </c>
      <c r="G4316">
        <v>1</v>
      </c>
      <c r="H4316" s="2">
        <f>Tabelle13[[#This Row],[commits]]/Tabelle13[[#Totals],[commits]]</f>
        <v>4.6477904404246225E-6</v>
      </c>
      <c r="I4316" s="5">
        <f>Tabelle13[[#This Row],[%]]+I4315</f>
        <v>0.97801130342632803</v>
      </c>
      <c r="J4316" s="4">
        <f t="shared" si="167"/>
        <v>1.105583195135434E-4</v>
      </c>
      <c r="K4316" s="5">
        <f t="shared" si="168"/>
        <v>0.47694859038146081</v>
      </c>
    </row>
    <row r="4317" spans="1:11" x14ac:dyDescent="0.25">
      <c r="A4317" t="s">
        <v>1261</v>
      </c>
      <c r="C4317" t="s">
        <v>1262</v>
      </c>
      <c r="D4317" t="s">
        <v>5</v>
      </c>
      <c r="E4317" t="s">
        <v>6</v>
      </c>
      <c r="F4317" t="s">
        <v>7</v>
      </c>
      <c r="G4317">
        <v>1</v>
      </c>
      <c r="H4317" s="2">
        <f>Tabelle13[[#This Row],[commits]]/Tabelle13[[#Totals],[commits]]</f>
        <v>4.6477904404246225E-6</v>
      </c>
      <c r="I4317" s="5">
        <f>Tabelle13[[#This Row],[%]]+I4316</f>
        <v>0.97801595121676843</v>
      </c>
      <c r="J4317" s="4">
        <f t="shared" si="167"/>
        <v>1.105583195135434E-4</v>
      </c>
      <c r="K4317" s="5">
        <f t="shared" si="168"/>
        <v>0.47705914870097438</v>
      </c>
    </row>
    <row r="4318" spans="1:11" x14ac:dyDescent="0.25">
      <c r="A4318" t="s">
        <v>1263</v>
      </c>
      <c r="C4318" t="s">
        <v>1264</v>
      </c>
      <c r="D4318" t="s">
        <v>5</v>
      </c>
      <c r="E4318" t="s">
        <v>6</v>
      </c>
      <c r="F4318" t="s">
        <v>7</v>
      </c>
      <c r="G4318">
        <v>1</v>
      </c>
      <c r="H4318" s="2">
        <f>Tabelle13[[#This Row],[commits]]/Tabelle13[[#Totals],[commits]]</f>
        <v>4.6477904404246225E-6</v>
      </c>
      <c r="I4318" s="5">
        <f>Tabelle13[[#This Row],[%]]+I4317</f>
        <v>0.97802059900720884</v>
      </c>
      <c r="J4318" s="4">
        <f t="shared" si="167"/>
        <v>1.105583195135434E-4</v>
      </c>
      <c r="K4318" s="5">
        <f t="shared" si="168"/>
        <v>0.47716970702048794</v>
      </c>
    </row>
    <row r="4319" spans="1:11" x14ac:dyDescent="0.25">
      <c r="A4319" t="s">
        <v>1265</v>
      </c>
      <c r="C4319" t="s">
        <v>1266</v>
      </c>
      <c r="D4319" t="s">
        <v>5</v>
      </c>
      <c r="E4319" t="s">
        <v>6</v>
      </c>
      <c r="F4319" t="s">
        <v>7</v>
      </c>
      <c r="G4319">
        <v>1</v>
      </c>
      <c r="H4319" s="2">
        <f>Tabelle13[[#This Row],[commits]]/Tabelle13[[#Totals],[commits]]</f>
        <v>4.6477904404246225E-6</v>
      </c>
      <c r="I4319" s="5">
        <f>Tabelle13[[#This Row],[%]]+I4318</f>
        <v>0.97802524679764924</v>
      </c>
      <c r="J4319" s="4">
        <f t="shared" si="167"/>
        <v>1.105583195135434E-4</v>
      </c>
      <c r="K4319" s="5">
        <f t="shared" si="168"/>
        <v>0.47728026534000151</v>
      </c>
    </row>
    <row r="4320" spans="1:11" x14ac:dyDescent="0.25">
      <c r="A4320" t="s">
        <v>1267</v>
      </c>
      <c r="C4320" t="s">
        <v>1268</v>
      </c>
      <c r="D4320" t="s">
        <v>5</v>
      </c>
      <c r="E4320" t="s">
        <v>6</v>
      </c>
      <c r="F4320" t="s">
        <v>7</v>
      </c>
      <c r="G4320">
        <v>1</v>
      </c>
      <c r="H4320" s="2">
        <f>Tabelle13[[#This Row],[commits]]/Tabelle13[[#Totals],[commits]]</f>
        <v>4.6477904404246225E-6</v>
      </c>
      <c r="I4320" s="5">
        <f>Tabelle13[[#This Row],[%]]+I4319</f>
        <v>0.97802989458808964</v>
      </c>
      <c r="J4320" s="4">
        <f t="shared" si="167"/>
        <v>1.105583195135434E-4</v>
      </c>
      <c r="K4320" s="5">
        <f t="shared" si="168"/>
        <v>0.47739082365951507</v>
      </c>
    </row>
    <row r="4321" spans="1:11" x14ac:dyDescent="0.25">
      <c r="A4321" t="s">
        <v>1269</v>
      </c>
      <c r="C4321" t="s">
        <v>1270</v>
      </c>
      <c r="D4321" t="s">
        <v>5</v>
      </c>
      <c r="E4321" t="s">
        <v>6</v>
      </c>
      <c r="F4321" t="s">
        <v>7</v>
      </c>
      <c r="G4321">
        <v>1</v>
      </c>
      <c r="H4321" s="2">
        <f>Tabelle13[[#This Row],[commits]]/Tabelle13[[#Totals],[commits]]</f>
        <v>4.6477904404246225E-6</v>
      </c>
      <c r="I4321" s="5">
        <f>Tabelle13[[#This Row],[%]]+I4320</f>
        <v>0.97803454237853005</v>
      </c>
      <c r="J4321" s="4">
        <f t="shared" si="167"/>
        <v>1.105583195135434E-4</v>
      </c>
      <c r="K4321" s="5">
        <f t="shared" si="168"/>
        <v>0.47750138197902864</v>
      </c>
    </row>
    <row r="4322" spans="1:11" x14ac:dyDescent="0.25">
      <c r="A4322" t="s">
        <v>1271</v>
      </c>
      <c r="C4322" t="s">
        <v>1272</v>
      </c>
      <c r="D4322" t="s">
        <v>5</v>
      </c>
      <c r="E4322" t="s">
        <v>6</v>
      </c>
      <c r="F4322" t="s">
        <v>7</v>
      </c>
      <c r="G4322">
        <v>1</v>
      </c>
      <c r="H4322" s="2">
        <f>Tabelle13[[#This Row],[commits]]/Tabelle13[[#Totals],[commits]]</f>
        <v>4.6477904404246225E-6</v>
      </c>
      <c r="I4322" s="5">
        <f>Tabelle13[[#This Row],[%]]+I4321</f>
        <v>0.97803919016897045</v>
      </c>
      <c r="J4322" s="4">
        <f t="shared" si="167"/>
        <v>1.105583195135434E-4</v>
      </c>
      <c r="K4322" s="5">
        <f t="shared" si="168"/>
        <v>0.4776119402985422</v>
      </c>
    </row>
    <row r="4323" spans="1:11" x14ac:dyDescent="0.25">
      <c r="A4323" t="s">
        <v>1273</v>
      </c>
      <c r="C4323" t="s">
        <v>1274</v>
      </c>
      <c r="D4323" t="s">
        <v>5</v>
      </c>
      <c r="E4323" t="s">
        <v>6</v>
      </c>
      <c r="F4323" t="s">
        <v>7</v>
      </c>
      <c r="G4323">
        <v>1</v>
      </c>
      <c r="H4323" s="2">
        <f>Tabelle13[[#This Row],[commits]]/Tabelle13[[#Totals],[commits]]</f>
        <v>4.6477904404246225E-6</v>
      </c>
      <c r="I4323" s="5">
        <f>Tabelle13[[#This Row],[%]]+I4322</f>
        <v>0.97804383795941086</v>
      </c>
      <c r="J4323" s="4">
        <f t="shared" si="167"/>
        <v>1.105583195135434E-4</v>
      </c>
      <c r="K4323" s="5">
        <f t="shared" si="168"/>
        <v>0.47772249861805577</v>
      </c>
    </row>
    <row r="4324" spans="1:11" x14ac:dyDescent="0.25">
      <c r="A4324" t="s">
        <v>1275</v>
      </c>
      <c r="C4324" t="s">
        <v>1276</v>
      </c>
      <c r="D4324" t="s">
        <v>5</v>
      </c>
      <c r="E4324" t="s">
        <v>6</v>
      </c>
      <c r="F4324" t="s">
        <v>7</v>
      </c>
      <c r="G4324">
        <v>1</v>
      </c>
      <c r="H4324" s="2">
        <f>Tabelle13[[#This Row],[commits]]/Tabelle13[[#Totals],[commits]]</f>
        <v>4.6477904404246225E-6</v>
      </c>
      <c r="I4324" s="5">
        <f>Tabelle13[[#This Row],[%]]+I4323</f>
        <v>0.97804848574985126</v>
      </c>
      <c r="J4324" s="4">
        <f t="shared" si="167"/>
        <v>1.105583195135434E-4</v>
      </c>
      <c r="K4324" s="5">
        <f t="shared" si="168"/>
        <v>0.47783305693756933</v>
      </c>
    </row>
    <row r="4325" spans="1:11" x14ac:dyDescent="0.25">
      <c r="A4325" t="s">
        <v>1277</v>
      </c>
      <c r="C4325" t="s">
        <v>1278</v>
      </c>
      <c r="D4325" t="s">
        <v>5</v>
      </c>
      <c r="E4325" t="s">
        <v>6</v>
      </c>
      <c r="F4325" t="s">
        <v>7</v>
      </c>
      <c r="G4325">
        <v>1</v>
      </c>
      <c r="H4325" s="2">
        <f>Tabelle13[[#This Row],[commits]]/Tabelle13[[#Totals],[commits]]</f>
        <v>4.6477904404246225E-6</v>
      </c>
      <c r="I4325" s="5">
        <f>Tabelle13[[#This Row],[%]]+I4324</f>
        <v>0.97805313354029166</v>
      </c>
      <c r="J4325" s="4">
        <f t="shared" si="167"/>
        <v>1.105583195135434E-4</v>
      </c>
      <c r="K4325" s="5">
        <f t="shared" si="168"/>
        <v>0.4779436152570829</v>
      </c>
    </row>
    <row r="4326" spans="1:11" x14ac:dyDescent="0.25">
      <c r="A4326" t="s">
        <v>1279</v>
      </c>
      <c r="C4326" t="s">
        <v>1280</v>
      </c>
      <c r="D4326" t="s">
        <v>5</v>
      </c>
      <c r="E4326" t="s">
        <v>6</v>
      </c>
      <c r="F4326" t="s">
        <v>7</v>
      </c>
      <c r="G4326">
        <v>1</v>
      </c>
      <c r="H4326" s="2">
        <f>Tabelle13[[#This Row],[commits]]/Tabelle13[[#Totals],[commits]]</f>
        <v>4.6477904404246225E-6</v>
      </c>
      <c r="I4326" s="5">
        <f>Tabelle13[[#This Row],[%]]+I4325</f>
        <v>0.97805778133073207</v>
      </c>
      <c r="J4326" s="4">
        <f t="shared" si="167"/>
        <v>1.105583195135434E-4</v>
      </c>
      <c r="K4326" s="5">
        <f t="shared" si="168"/>
        <v>0.47805417357659646</v>
      </c>
    </row>
    <row r="4327" spans="1:11" x14ac:dyDescent="0.25">
      <c r="A4327" t="s">
        <v>1281</v>
      </c>
      <c r="C4327" t="s">
        <v>522</v>
      </c>
      <c r="D4327" t="s">
        <v>5</v>
      </c>
      <c r="E4327" t="s">
        <v>6</v>
      </c>
      <c r="F4327" t="s">
        <v>7</v>
      </c>
      <c r="G4327">
        <v>1</v>
      </c>
      <c r="H4327" s="2">
        <f>Tabelle13[[#This Row],[commits]]/Tabelle13[[#Totals],[commits]]</f>
        <v>4.6477904404246225E-6</v>
      </c>
      <c r="I4327" s="5">
        <f>Tabelle13[[#This Row],[%]]+I4326</f>
        <v>0.97806242912117247</v>
      </c>
      <c r="J4327" s="4">
        <f t="shared" si="167"/>
        <v>1.105583195135434E-4</v>
      </c>
      <c r="K4327" s="5">
        <f t="shared" si="168"/>
        <v>0.47816473189611003</v>
      </c>
    </row>
    <row r="4328" spans="1:11" x14ac:dyDescent="0.25">
      <c r="A4328" t="s">
        <v>1282</v>
      </c>
      <c r="C4328" t="s">
        <v>1283</v>
      </c>
      <c r="D4328" t="s">
        <v>5</v>
      </c>
      <c r="E4328" t="s">
        <v>6</v>
      </c>
      <c r="F4328" t="s">
        <v>7</v>
      </c>
      <c r="G4328">
        <v>1</v>
      </c>
      <c r="H4328" s="2">
        <f>Tabelle13[[#This Row],[commits]]/Tabelle13[[#Totals],[commits]]</f>
        <v>4.6477904404246225E-6</v>
      </c>
      <c r="I4328" s="5">
        <f>Tabelle13[[#This Row],[%]]+I4327</f>
        <v>0.97806707691161288</v>
      </c>
      <c r="J4328" s="4">
        <f t="shared" si="167"/>
        <v>1.105583195135434E-4</v>
      </c>
      <c r="K4328" s="5">
        <f t="shared" si="168"/>
        <v>0.47827529021562359</v>
      </c>
    </row>
    <row r="4329" spans="1:11" x14ac:dyDescent="0.25">
      <c r="A4329" t="s">
        <v>1284</v>
      </c>
      <c r="C4329" t="s">
        <v>1285</v>
      </c>
      <c r="D4329" t="s">
        <v>5</v>
      </c>
      <c r="E4329" t="s">
        <v>6</v>
      </c>
      <c r="F4329" t="s">
        <v>7</v>
      </c>
      <c r="G4329">
        <v>1</v>
      </c>
      <c r="H4329" s="2">
        <f>Tabelle13[[#This Row],[commits]]/Tabelle13[[#Totals],[commits]]</f>
        <v>4.6477904404246225E-6</v>
      </c>
      <c r="I4329" s="5">
        <f>Tabelle13[[#This Row],[%]]+I4328</f>
        <v>0.97807172470205328</v>
      </c>
      <c r="J4329" s="4">
        <f t="shared" si="167"/>
        <v>1.105583195135434E-4</v>
      </c>
      <c r="K4329" s="5">
        <f t="shared" si="168"/>
        <v>0.47838584853513716</v>
      </c>
    </row>
    <row r="4330" spans="1:11" x14ac:dyDescent="0.25">
      <c r="A4330" t="s">
        <v>1286</v>
      </c>
      <c r="C4330" t="s">
        <v>1287</v>
      </c>
      <c r="D4330" t="s">
        <v>5</v>
      </c>
      <c r="E4330" t="s">
        <v>6</v>
      </c>
      <c r="F4330" t="s">
        <v>28</v>
      </c>
      <c r="G4330">
        <v>1</v>
      </c>
      <c r="H4330" s="2">
        <f>Tabelle13[[#This Row],[commits]]/Tabelle13[[#Totals],[commits]]</f>
        <v>4.6477904404246225E-6</v>
      </c>
      <c r="I4330" s="5">
        <f>Tabelle13[[#This Row],[%]]+I4329</f>
        <v>0.97807637249249368</v>
      </c>
      <c r="J4330" s="4">
        <f t="shared" si="167"/>
        <v>1.105583195135434E-4</v>
      </c>
      <c r="K4330" s="5">
        <f t="shared" si="168"/>
        <v>0.47849640685465072</v>
      </c>
    </row>
    <row r="4331" spans="1:11" x14ac:dyDescent="0.25">
      <c r="A4331" t="s">
        <v>1288</v>
      </c>
      <c r="C4331" t="s">
        <v>1289</v>
      </c>
      <c r="D4331" t="s">
        <v>5</v>
      </c>
      <c r="E4331" t="s">
        <v>6</v>
      </c>
      <c r="F4331" t="s">
        <v>334</v>
      </c>
      <c r="G4331">
        <v>1</v>
      </c>
      <c r="H4331" s="2">
        <f>Tabelle13[[#This Row],[commits]]/Tabelle13[[#Totals],[commits]]</f>
        <v>4.6477904404246225E-6</v>
      </c>
      <c r="I4331" s="5">
        <f>Tabelle13[[#This Row],[%]]+I4330</f>
        <v>0.97808102028293409</v>
      </c>
      <c r="J4331" s="4">
        <f t="shared" si="167"/>
        <v>1.105583195135434E-4</v>
      </c>
      <c r="K4331" s="5">
        <f t="shared" si="168"/>
        <v>0.47860696517416429</v>
      </c>
    </row>
    <row r="4332" spans="1:11" x14ac:dyDescent="0.25">
      <c r="A4332" t="s">
        <v>1290</v>
      </c>
      <c r="C4332" t="s">
        <v>1291</v>
      </c>
      <c r="D4332" t="s">
        <v>5</v>
      </c>
      <c r="E4332" t="s">
        <v>6</v>
      </c>
      <c r="F4332" t="s">
        <v>7</v>
      </c>
      <c r="G4332">
        <v>1</v>
      </c>
      <c r="H4332" s="2">
        <f>Tabelle13[[#This Row],[commits]]/Tabelle13[[#Totals],[commits]]</f>
        <v>4.6477904404246225E-6</v>
      </c>
      <c r="I4332" s="5">
        <f>Tabelle13[[#This Row],[%]]+I4331</f>
        <v>0.97808566807337449</v>
      </c>
      <c r="J4332" s="4">
        <f t="shared" si="167"/>
        <v>1.105583195135434E-4</v>
      </c>
      <c r="K4332" s="5">
        <f t="shared" si="168"/>
        <v>0.47871752349367785</v>
      </c>
    </row>
    <row r="4333" spans="1:11" x14ac:dyDescent="0.25">
      <c r="A4333" t="s">
        <v>1292</v>
      </c>
      <c r="C4333" t="s">
        <v>1293</v>
      </c>
      <c r="D4333" t="s">
        <v>5</v>
      </c>
      <c r="E4333" t="s">
        <v>6</v>
      </c>
      <c r="F4333" t="s">
        <v>7</v>
      </c>
      <c r="G4333">
        <v>1</v>
      </c>
      <c r="H4333" s="2">
        <f>Tabelle13[[#This Row],[commits]]/Tabelle13[[#Totals],[commits]]</f>
        <v>4.6477904404246225E-6</v>
      </c>
      <c r="I4333" s="5">
        <f>Tabelle13[[#This Row],[%]]+I4332</f>
        <v>0.9780903158638149</v>
      </c>
      <c r="J4333" s="4">
        <f t="shared" si="167"/>
        <v>1.105583195135434E-4</v>
      </c>
      <c r="K4333" s="5">
        <f t="shared" si="168"/>
        <v>0.47882808181319142</v>
      </c>
    </row>
    <row r="4334" spans="1:11" x14ac:dyDescent="0.25">
      <c r="A4334" t="s">
        <v>1294</v>
      </c>
      <c r="C4334" t="s">
        <v>1295</v>
      </c>
      <c r="D4334" t="s">
        <v>5</v>
      </c>
      <c r="E4334" t="s">
        <v>6</v>
      </c>
      <c r="F4334" t="s">
        <v>7</v>
      </c>
      <c r="G4334">
        <v>1</v>
      </c>
      <c r="H4334" s="2">
        <f>Tabelle13[[#This Row],[commits]]/Tabelle13[[#Totals],[commits]]</f>
        <v>4.6477904404246225E-6</v>
      </c>
      <c r="I4334" s="5">
        <f>Tabelle13[[#This Row],[%]]+I4333</f>
        <v>0.9780949636542553</v>
      </c>
      <c r="J4334" s="4">
        <f t="shared" si="167"/>
        <v>1.105583195135434E-4</v>
      </c>
      <c r="K4334" s="5">
        <f t="shared" si="168"/>
        <v>0.47893864013270498</v>
      </c>
    </row>
    <row r="4335" spans="1:11" x14ac:dyDescent="0.25">
      <c r="A4335" t="s">
        <v>1296</v>
      </c>
      <c r="C4335" t="s">
        <v>1297</v>
      </c>
      <c r="D4335" t="s">
        <v>5</v>
      </c>
      <c r="E4335" t="s">
        <v>6</v>
      </c>
      <c r="F4335" t="s">
        <v>7</v>
      </c>
      <c r="G4335">
        <v>1</v>
      </c>
      <c r="H4335" s="2">
        <f>Tabelle13[[#This Row],[commits]]/Tabelle13[[#Totals],[commits]]</f>
        <v>4.6477904404246225E-6</v>
      </c>
      <c r="I4335" s="5">
        <f>Tabelle13[[#This Row],[%]]+I4334</f>
        <v>0.9780996114446957</v>
      </c>
      <c r="J4335" s="4">
        <f t="shared" si="167"/>
        <v>1.105583195135434E-4</v>
      </c>
      <c r="K4335" s="5">
        <f t="shared" si="168"/>
        <v>0.47904919845221855</v>
      </c>
    </row>
    <row r="4336" spans="1:11" x14ac:dyDescent="0.25">
      <c r="A4336" t="s">
        <v>1298</v>
      </c>
      <c r="C4336" t="s">
        <v>1299</v>
      </c>
      <c r="D4336" t="s">
        <v>5</v>
      </c>
      <c r="E4336" t="s">
        <v>6</v>
      </c>
      <c r="F4336" t="s">
        <v>7</v>
      </c>
      <c r="G4336">
        <v>1</v>
      </c>
      <c r="H4336" s="2">
        <f>Tabelle13[[#This Row],[commits]]/Tabelle13[[#Totals],[commits]]</f>
        <v>4.6477904404246225E-6</v>
      </c>
      <c r="I4336" s="5">
        <f>Tabelle13[[#This Row],[%]]+I4335</f>
        <v>0.97810425923513611</v>
      </c>
      <c r="J4336" s="4">
        <f t="shared" si="167"/>
        <v>1.105583195135434E-4</v>
      </c>
      <c r="K4336" s="5">
        <f t="shared" si="168"/>
        <v>0.47915975677173211</v>
      </c>
    </row>
    <row r="4337" spans="1:11" x14ac:dyDescent="0.25">
      <c r="A4337" t="s">
        <v>1300</v>
      </c>
      <c r="C4337" t="s">
        <v>1301</v>
      </c>
      <c r="D4337" t="s">
        <v>5</v>
      </c>
      <c r="E4337" t="s">
        <v>6</v>
      </c>
      <c r="F4337" t="s">
        <v>7</v>
      </c>
      <c r="G4337">
        <v>1</v>
      </c>
      <c r="H4337" s="2">
        <f>Tabelle13[[#This Row],[commits]]/Tabelle13[[#Totals],[commits]]</f>
        <v>4.6477904404246225E-6</v>
      </c>
      <c r="I4337" s="5">
        <f>Tabelle13[[#This Row],[%]]+I4336</f>
        <v>0.97810890702557651</v>
      </c>
      <c r="J4337" s="4">
        <f t="shared" si="167"/>
        <v>1.105583195135434E-4</v>
      </c>
      <c r="K4337" s="5">
        <f t="shared" si="168"/>
        <v>0.47927031509124568</v>
      </c>
    </row>
    <row r="4338" spans="1:11" x14ac:dyDescent="0.25">
      <c r="A4338" t="s">
        <v>1302</v>
      </c>
      <c r="C4338" t="s">
        <v>1303</v>
      </c>
      <c r="D4338" t="s">
        <v>5</v>
      </c>
      <c r="E4338" t="s">
        <v>6</v>
      </c>
      <c r="F4338" t="s">
        <v>7</v>
      </c>
      <c r="G4338">
        <v>1</v>
      </c>
      <c r="H4338" s="2">
        <f>Tabelle13[[#This Row],[commits]]/Tabelle13[[#Totals],[commits]]</f>
        <v>4.6477904404246225E-6</v>
      </c>
      <c r="I4338" s="5">
        <f>Tabelle13[[#This Row],[%]]+I4337</f>
        <v>0.97811355481601692</v>
      </c>
      <c r="J4338" s="4">
        <f t="shared" si="167"/>
        <v>1.105583195135434E-4</v>
      </c>
      <c r="K4338" s="5">
        <f t="shared" si="168"/>
        <v>0.47938087341075925</v>
      </c>
    </row>
    <row r="4339" spans="1:11" x14ac:dyDescent="0.25">
      <c r="A4339" t="s">
        <v>1304</v>
      </c>
      <c r="C4339" t="s">
        <v>1305</v>
      </c>
      <c r="D4339" t="s">
        <v>5</v>
      </c>
      <c r="E4339" t="s">
        <v>6</v>
      </c>
      <c r="F4339" t="s">
        <v>7</v>
      </c>
      <c r="G4339">
        <v>1</v>
      </c>
      <c r="H4339" s="2">
        <f>Tabelle13[[#This Row],[commits]]/Tabelle13[[#Totals],[commits]]</f>
        <v>4.6477904404246225E-6</v>
      </c>
      <c r="I4339" s="5">
        <f>Tabelle13[[#This Row],[%]]+I4338</f>
        <v>0.97811820260645732</v>
      </c>
      <c r="J4339" s="4">
        <f t="shared" si="167"/>
        <v>1.105583195135434E-4</v>
      </c>
      <c r="K4339" s="5">
        <f t="shared" si="168"/>
        <v>0.47949143173027281</v>
      </c>
    </row>
    <row r="4340" spans="1:11" x14ac:dyDescent="0.25">
      <c r="A4340" t="s">
        <v>1306</v>
      </c>
      <c r="C4340" t="s">
        <v>1307</v>
      </c>
      <c r="D4340" t="s">
        <v>5</v>
      </c>
      <c r="E4340" t="s">
        <v>6</v>
      </c>
      <c r="F4340" t="s">
        <v>7</v>
      </c>
      <c r="G4340">
        <v>1</v>
      </c>
      <c r="H4340" s="2">
        <f>Tabelle13[[#This Row],[commits]]/Tabelle13[[#Totals],[commits]]</f>
        <v>4.6477904404246225E-6</v>
      </c>
      <c r="I4340" s="5">
        <f>Tabelle13[[#This Row],[%]]+I4339</f>
        <v>0.97812285039689773</v>
      </c>
      <c r="J4340" s="4">
        <f t="shared" si="167"/>
        <v>1.105583195135434E-4</v>
      </c>
      <c r="K4340" s="5">
        <f t="shared" si="168"/>
        <v>0.47960199004978638</v>
      </c>
    </row>
    <row r="4341" spans="1:11" x14ac:dyDescent="0.25">
      <c r="A4341" t="s">
        <v>1308</v>
      </c>
      <c r="C4341" t="s">
        <v>1309</v>
      </c>
      <c r="D4341" t="s">
        <v>5</v>
      </c>
      <c r="E4341" t="s">
        <v>6</v>
      </c>
      <c r="F4341" t="s">
        <v>7</v>
      </c>
      <c r="G4341">
        <v>1</v>
      </c>
      <c r="H4341" s="2">
        <f>Tabelle13[[#This Row],[commits]]/Tabelle13[[#Totals],[commits]]</f>
        <v>4.6477904404246225E-6</v>
      </c>
      <c r="I4341" s="5">
        <f>Tabelle13[[#This Row],[%]]+I4340</f>
        <v>0.97812749818733813</v>
      </c>
      <c r="J4341" s="4">
        <f t="shared" si="167"/>
        <v>1.105583195135434E-4</v>
      </c>
      <c r="K4341" s="5">
        <f t="shared" si="168"/>
        <v>0.47971254836929994</v>
      </c>
    </row>
    <row r="4342" spans="1:11" x14ac:dyDescent="0.25">
      <c r="A4342" t="s">
        <v>1310</v>
      </c>
      <c r="C4342" t="s">
        <v>1311</v>
      </c>
      <c r="D4342" t="s">
        <v>5</v>
      </c>
      <c r="E4342" t="s">
        <v>6</v>
      </c>
      <c r="F4342" t="s">
        <v>7</v>
      </c>
      <c r="G4342">
        <v>1</v>
      </c>
      <c r="H4342" s="2">
        <f>Tabelle13[[#This Row],[commits]]/Tabelle13[[#Totals],[commits]]</f>
        <v>4.6477904404246225E-6</v>
      </c>
      <c r="I4342" s="5">
        <f>Tabelle13[[#This Row],[%]]+I4341</f>
        <v>0.97813214597777853</v>
      </c>
      <c r="J4342" s="4">
        <f t="shared" si="167"/>
        <v>1.105583195135434E-4</v>
      </c>
      <c r="K4342" s="5">
        <f t="shared" si="168"/>
        <v>0.47982310668881351</v>
      </c>
    </row>
    <row r="4343" spans="1:11" x14ac:dyDescent="0.25">
      <c r="A4343" t="s">
        <v>1312</v>
      </c>
      <c r="C4343" t="s">
        <v>1313</v>
      </c>
      <c r="D4343" t="s">
        <v>5</v>
      </c>
      <c r="E4343" t="s">
        <v>6</v>
      </c>
      <c r="F4343" t="s">
        <v>7</v>
      </c>
      <c r="G4343">
        <v>1</v>
      </c>
      <c r="H4343" s="2">
        <f>Tabelle13[[#This Row],[commits]]/Tabelle13[[#Totals],[commits]]</f>
        <v>4.6477904404246225E-6</v>
      </c>
      <c r="I4343" s="5">
        <f>Tabelle13[[#This Row],[%]]+I4342</f>
        <v>0.97813679376821894</v>
      </c>
      <c r="J4343" s="4">
        <f t="shared" si="167"/>
        <v>1.105583195135434E-4</v>
      </c>
      <c r="K4343" s="5">
        <f t="shared" si="168"/>
        <v>0.47993366500832707</v>
      </c>
    </row>
    <row r="4344" spans="1:11" x14ac:dyDescent="0.25">
      <c r="A4344" t="s">
        <v>1314</v>
      </c>
      <c r="C4344" t="s">
        <v>1315</v>
      </c>
      <c r="D4344" t="s">
        <v>5</v>
      </c>
      <c r="E4344" t="s">
        <v>6</v>
      </c>
      <c r="F4344" t="s">
        <v>7</v>
      </c>
      <c r="G4344">
        <v>1</v>
      </c>
      <c r="H4344" s="2">
        <f>Tabelle13[[#This Row],[commits]]/Tabelle13[[#Totals],[commits]]</f>
        <v>4.6477904404246225E-6</v>
      </c>
      <c r="I4344" s="5">
        <f>Tabelle13[[#This Row],[%]]+I4343</f>
        <v>0.97814144155865934</v>
      </c>
      <c r="J4344" s="4">
        <f t="shared" si="167"/>
        <v>1.105583195135434E-4</v>
      </c>
      <c r="K4344" s="5">
        <f t="shared" si="168"/>
        <v>0.48004422332784064</v>
      </c>
    </row>
    <row r="4345" spans="1:11" x14ac:dyDescent="0.25">
      <c r="A4345" t="s">
        <v>1316</v>
      </c>
      <c r="C4345" t="s">
        <v>1317</v>
      </c>
      <c r="D4345" t="s">
        <v>5</v>
      </c>
      <c r="E4345" t="s">
        <v>6</v>
      </c>
      <c r="F4345" t="s">
        <v>7</v>
      </c>
      <c r="G4345">
        <v>1</v>
      </c>
      <c r="H4345" s="2">
        <f>Tabelle13[[#This Row],[commits]]/Tabelle13[[#Totals],[commits]]</f>
        <v>4.6477904404246225E-6</v>
      </c>
      <c r="I4345" s="5">
        <f>Tabelle13[[#This Row],[%]]+I4344</f>
        <v>0.97814608934909975</v>
      </c>
      <c r="J4345" s="4">
        <f t="shared" si="167"/>
        <v>1.105583195135434E-4</v>
      </c>
      <c r="K4345" s="5">
        <f t="shared" si="168"/>
        <v>0.4801547816473542</v>
      </c>
    </row>
    <row r="4346" spans="1:11" x14ac:dyDescent="0.25">
      <c r="A4346" t="s">
        <v>1318</v>
      </c>
      <c r="C4346" t="s">
        <v>1319</v>
      </c>
      <c r="D4346" t="s">
        <v>5</v>
      </c>
      <c r="E4346" t="s">
        <v>6</v>
      </c>
      <c r="F4346" t="s">
        <v>7</v>
      </c>
      <c r="G4346">
        <v>1</v>
      </c>
      <c r="H4346" s="2">
        <f>Tabelle13[[#This Row],[commits]]/Tabelle13[[#Totals],[commits]]</f>
        <v>4.6477904404246225E-6</v>
      </c>
      <c r="I4346" s="5">
        <f>Tabelle13[[#This Row],[%]]+I4345</f>
        <v>0.97815073713954015</v>
      </c>
      <c r="J4346" s="4">
        <f t="shared" si="167"/>
        <v>1.105583195135434E-4</v>
      </c>
      <c r="K4346" s="5">
        <f t="shared" si="168"/>
        <v>0.48026533996686777</v>
      </c>
    </row>
    <row r="4347" spans="1:11" x14ac:dyDescent="0.25">
      <c r="A4347" t="s">
        <v>1320</v>
      </c>
      <c r="C4347" t="s">
        <v>1321</v>
      </c>
      <c r="D4347" t="s">
        <v>5</v>
      </c>
      <c r="E4347" t="s">
        <v>6</v>
      </c>
      <c r="F4347" t="s">
        <v>7</v>
      </c>
      <c r="G4347">
        <v>1</v>
      </c>
      <c r="H4347" s="2">
        <f>Tabelle13[[#This Row],[commits]]/Tabelle13[[#Totals],[commits]]</f>
        <v>4.6477904404246225E-6</v>
      </c>
      <c r="I4347" s="5">
        <f>Tabelle13[[#This Row],[%]]+I4346</f>
        <v>0.97815538492998055</v>
      </c>
      <c r="J4347" s="4">
        <f t="shared" si="167"/>
        <v>1.105583195135434E-4</v>
      </c>
      <c r="K4347" s="5">
        <f t="shared" si="168"/>
        <v>0.48037589828638133</v>
      </c>
    </row>
    <row r="4348" spans="1:11" x14ac:dyDescent="0.25">
      <c r="A4348" t="s">
        <v>1322</v>
      </c>
      <c r="C4348" t="s">
        <v>434</v>
      </c>
      <c r="D4348" t="s">
        <v>5</v>
      </c>
      <c r="E4348" t="s">
        <v>6</v>
      </c>
      <c r="F4348" t="s">
        <v>7</v>
      </c>
      <c r="G4348">
        <v>1</v>
      </c>
      <c r="H4348" s="2">
        <f>Tabelle13[[#This Row],[commits]]/Tabelle13[[#Totals],[commits]]</f>
        <v>4.6477904404246225E-6</v>
      </c>
      <c r="I4348" s="5">
        <f>Tabelle13[[#This Row],[%]]+I4347</f>
        <v>0.97816003272042096</v>
      </c>
      <c r="J4348" s="4">
        <f t="shared" si="167"/>
        <v>1.105583195135434E-4</v>
      </c>
      <c r="K4348" s="5">
        <f t="shared" si="168"/>
        <v>0.4804864566058949</v>
      </c>
    </row>
    <row r="4349" spans="1:11" x14ac:dyDescent="0.25">
      <c r="A4349" t="s">
        <v>1323</v>
      </c>
      <c r="C4349" t="s">
        <v>1324</v>
      </c>
      <c r="D4349" t="s">
        <v>5</v>
      </c>
      <c r="E4349" t="s">
        <v>6</v>
      </c>
      <c r="F4349" t="s">
        <v>7</v>
      </c>
      <c r="G4349">
        <v>1</v>
      </c>
      <c r="H4349" s="2">
        <f>Tabelle13[[#This Row],[commits]]/Tabelle13[[#Totals],[commits]]</f>
        <v>4.6477904404246225E-6</v>
      </c>
      <c r="I4349" s="5">
        <f>Tabelle13[[#This Row],[%]]+I4348</f>
        <v>0.97816468051086136</v>
      </c>
      <c r="J4349" s="4">
        <f t="shared" si="167"/>
        <v>1.105583195135434E-4</v>
      </c>
      <c r="K4349" s="5">
        <f t="shared" si="168"/>
        <v>0.48059701492540846</v>
      </c>
    </row>
    <row r="4350" spans="1:11" x14ac:dyDescent="0.25">
      <c r="A4350" t="s">
        <v>1325</v>
      </c>
      <c r="C4350" t="s">
        <v>1326</v>
      </c>
      <c r="D4350" t="s">
        <v>5</v>
      </c>
      <c r="E4350" t="s">
        <v>6</v>
      </c>
      <c r="F4350" t="s">
        <v>7</v>
      </c>
      <c r="G4350">
        <v>1</v>
      </c>
      <c r="H4350" s="2">
        <f>Tabelle13[[#This Row],[commits]]/Tabelle13[[#Totals],[commits]]</f>
        <v>4.6477904404246225E-6</v>
      </c>
      <c r="I4350" s="5">
        <f>Tabelle13[[#This Row],[%]]+I4349</f>
        <v>0.97816932830130177</v>
      </c>
      <c r="J4350" s="4">
        <f t="shared" si="167"/>
        <v>1.105583195135434E-4</v>
      </c>
      <c r="K4350" s="5">
        <f t="shared" si="168"/>
        <v>0.48070757324492203</v>
      </c>
    </row>
    <row r="4351" spans="1:11" x14ac:dyDescent="0.25">
      <c r="A4351" t="s">
        <v>1327</v>
      </c>
      <c r="C4351" t="s">
        <v>1328</v>
      </c>
      <c r="D4351" t="s">
        <v>5</v>
      </c>
      <c r="E4351" t="s">
        <v>6</v>
      </c>
      <c r="F4351" t="s">
        <v>7</v>
      </c>
      <c r="G4351">
        <v>1</v>
      </c>
      <c r="H4351" s="2">
        <f>Tabelle13[[#This Row],[commits]]/Tabelle13[[#Totals],[commits]]</f>
        <v>4.6477904404246225E-6</v>
      </c>
      <c r="I4351" s="5">
        <f>Tabelle13[[#This Row],[%]]+I4350</f>
        <v>0.97817397609174217</v>
      </c>
      <c r="J4351" s="4">
        <f t="shared" si="167"/>
        <v>1.105583195135434E-4</v>
      </c>
      <c r="K4351" s="5">
        <f t="shared" si="168"/>
        <v>0.48081813156443559</v>
      </c>
    </row>
    <row r="4352" spans="1:11" x14ac:dyDescent="0.25">
      <c r="A4352" t="s">
        <v>1329</v>
      </c>
      <c r="C4352" t="s">
        <v>1330</v>
      </c>
      <c r="D4352" t="s">
        <v>5</v>
      </c>
      <c r="E4352" t="s">
        <v>6</v>
      </c>
      <c r="F4352" t="s">
        <v>7</v>
      </c>
      <c r="G4352">
        <v>1</v>
      </c>
      <c r="H4352" s="2">
        <f>Tabelle13[[#This Row],[commits]]/Tabelle13[[#Totals],[commits]]</f>
        <v>4.6477904404246225E-6</v>
      </c>
      <c r="I4352" s="5">
        <f>Tabelle13[[#This Row],[%]]+I4351</f>
        <v>0.97817862388218257</v>
      </c>
      <c r="J4352" s="4">
        <f t="shared" si="167"/>
        <v>1.105583195135434E-4</v>
      </c>
      <c r="K4352" s="5">
        <f t="shared" si="168"/>
        <v>0.48092868988394916</v>
      </c>
    </row>
    <row r="4353" spans="1:11" x14ac:dyDescent="0.25">
      <c r="A4353" t="s">
        <v>1331</v>
      </c>
      <c r="C4353" t="s">
        <v>1332</v>
      </c>
      <c r="D4353" t="s">
        <v>5</v>
      </c>
      <c r="E4353" t="s">
        <v>6</v>
      </c>
      <c r="F4353" t="s">
        <v>7</v>
      </c>
      <c r="G4353">
        <v>1</v>
      </c>
      <c r="H4353" s="2">
        <f>Tabelle13[[#This Row],[commits]]/Tabelle13[[#Totals],[commits]]</f>
        <v>4.6477904404246225E-6</v>
      </c>
      <c r="I4353" s="5">
        <f>Tabelle13[[#This Row],[%]]+I4352</f>
        <v>0.97818327167262298</v>
      </c>
      <c r="J4353" s="4">
        <f t="shared" si="167"/>
        <v>1.105583195135434E-4</v>
      </c>
      <c r="K4353" s="5">
        <f t="shared" si="168"/>
        <v>0.48103924820346272</v>
      </c>
    </row>
    <row r="4354" spans="1:11" x14ac:dyDescent="0.25">
      <c r="A4354" t="s">
        <v>1333</v>
      </c>
      <c r="C4354" t="s">
        <v>1334</v>
      </c>
      <c r="D4354" t="s">
        <v>5</v>
      </c>
      <c r="E4354" t="s">
        <v>6</v>
      </c>
      <c r="F4354" t="s">
        <v>7</v>
      </c>
      <c r="G4354">
        <v>1</v>
      </c>
      <c r="H4354" s="2">
        <f>Tabelle13[[#This Row],[commits]]/Tabelle13[[#Totals],[commits]]</f>
        <v>4.6477904404246225E-6</v>
      </c>
      <c r="I4354" s="5">
        <f>Tabelle13[[#This Row],[%]]+I4353</f>
        <v>0.97818791946306338</v>
      </c>
      <c r="J4354" s="4">
        <f t="shared" si="167"/>
        <v>1.105583195135434E-4</v>
      </c>
      <c r="K4354" s="5">
        <f t="shared" si="168"/>
        <v>0.48114980652297629</v>
      </c>
    </row>
    <row r="4355" spans="1:11" x14ac:dyDescent="0.25">
      <c r="A4355" t="s">
        <v>1335</v>
      </c>
      <c r="C4355" t="s">
        <v>26</v>
      </c>
      <c r="D4355" t="s">
        <v>5</v>
      </c>
      <c r="E4355" t="s">
        <v>6</v>
      </c>
      <c r="F4355" t="s">
        <v>7</v>
      </c>
      <c r="G4355">
        <v>1</v>
      </c>
      <c r="H4355" s="2">
        <f>Tabelle13[[#This Row],[commits]]/Tabelle13[[#Totals],[commits]]</f>
        <v>4.6477904404246225E-6</v>
      </c>
      <c r="I4355" s="5">
        <f>Tabelle13[[#This Row],[%]]+I4354</f>
        <v>0.97819256725350379</v>
      </c>
      <c r="J4355" s="4">
        <f t="shared" ref="J4355:J4418" si="169">1/9045</f>
        <v>1.105583195135434E-4</v>
      </c>
      <c r="K4355" s="5">
        <f t="shared" si="168"/>
        <v>0.48126036484248985</v>
      </c>
    </row>
    <row r="4356" spans="1:11" x14ac:dyDescent="0.25">
      <c r="A4356" t="s">
        <v>1336</v>
      </c>
      <c r="C4356" t="s">
        <v>1337</v>
      </c>
      <c r="D4356" t="s">
        <v>5</v>
      </c>
      <c r="E4356" t="s">
        <v>6</v>
      </c>
      <c r="F4356" t="s">
        <v>7</v>
      </c>
      <c r="G4356">
        <v>1</v>
      </c>
      <c r="H4356" s="2">
        <f>Tabelle13[[#This Row],[commits]]/Tabelle13[[#Totals],[commits]]</f>
        <v>4.6477904404246225E-6</v>
      </c>
      <c r="I4356" s="5">
        <f>Tabelle13[[#This Row],[%]]+I4355</f>
        <v>0.97819721504394419</v>
      </c>
      <c r="J4356" s="4">
        <f t="shared" si="169"/>
        <v>1.105583195135434E-4</v>
      </c>
      <c r="K4356" s="5">
        <f t="shared" si="168"/>
        <v>0.48137092316200342</v>
      </c>
    </row>
    <row r="4357" spans="1:11" x14ac:dyDescent="0.25">
      <c r="A4357" t="s">
        <v>1338</v>
      </c>
      <c r="C4357" t="s">
        <v>1339</v>
      </c>
      <c r="D4357" t="s">
        <v>5</v>
      </c>
      <c r="E4357" t="s">
        <v>6</v>
      </c>
      <c r="F4357" t="s">
        <v>7</v>
      </c>
      <c r="G4357">
        <v>1</v>
      </c>
      <c r="H4357" s="2">
        <f>Tabelle13[[#This Row],[commits]]/Tabelle13[[#Totals],[commits]]</f>
        <v>4.6477904404246225E-6</v>
      </c>
      <c r="I4357" s="5">
        <f>Tabelle13[[#This Row],[%]]+I4356</f>
        <v>0.97820186283438459</v>
      </c>
      <c r="J4357" s="4">
        <f t="shared" si="169"/>
        <v>1.105583195135434E-4</v>
      </c>
      <c r="K4357" s="5">
        <f t="shared" si="168"/>
        <v>0.48148148148151698</v>
      </c>
    </row>
    <row r="4358" spans="1:11" x14ac:dyDescent="0.25">
      <c r="A4358" t="s">
        <v>1342</v>
      </c>
      <c r="C4358" t="s">
        <v>315</v>
      </c>
      <c r="D4358" t="s">
        <v>5</v>
      </c>
      <c r="E4358" t="s">
        <v>6</v>
      </c>
      <c r="F4358" t="s">
        <v>7</v>
      </c>
      <c r="G4358">
        <v>1</v>
      </c>
      <c r="H4358" s="2">
        <f>Tabelle13[[#This Row],[commits]]/Tabelle13[[#Totals],[commits]]</f>
        <v>4.6477904404246225E-6</v>
      </c>
      <c r="I4358" s="5">
        <f>Tabelle13[[#This Row],[%]]+I4357</f>
        <v>0.978206510624825</v>
      </c>
      <c r="J4358" s="4">
        <f t="shared" si="169"/>
        <v>1.105583195135434E-4</v>
      </c>
      <c r="K4358" s="5">
        <f t="shared" ref="K4358:K4421" si="170">J4358+K4357</f>
        <v>0.48159203980103055</v>
      </c>
    </row>
    <row r="4359" spans="1:11" x14ac:dyDescent="0.25">
      <c r="A4359" t="s">
        <v>1343</v>
      </c>
      <c r="C4359" t="s">
        <v>1344</v>
      </c>
      <c r="D4359" t="s">
        <v>5</v>
      </c>
      <c r="E4359" t="s">
        <v>6</v>
      </c>
      <c r="F4359" t="s">
        <v>7</v>
      </c>
      <c r="G4359">
        <v>1</v>
      </c>
      <c r="H4359" s="2">
        <f>Tabelle13[[#This Row],[commits]]/Tabelle13[[#Totals],[commits]]</f>
        <v>4.6477904404246225E-6</v>
      </c>
      <c r="I4359" s="5">
        <f>Tabelle13[[#This Row],[%]]+I4358</f>
        <v>0.9782111584152654</v>
      </c>
      <c r="J4359" s="4">
        <f t="shared" si="169"/>
        <v>1.105583195135434E-4</v>
      </c>
      <c r="K4359" s="5">
        <f t="shared" si="170"/>
        <v>0.48170259812054411</v>
      </c>
    </row>
    <row r="4360" spans="1:11" x14ac:dyDescent="0.25">
      <c r="A4360" t="s">
        <v>1345</v>
      </c>
      <c r="C4360" t="s">
        <v>1346</v>
      </c>
      <c r="D4360" t="s">
        <v>5</v>
      </c>
      <c r="E4360" t="s">
        <v>6</v>
      </c>
      <c r="F4360" t="s">
        <v>7</v>
      </c>
      <c r="G4360">
        <v>1</v>
      </c>
      <c r="H4360" s="2">
        <f>Tabelle13[[#This Row],[commits]]/Tabelle13[[#Totals],[commits]]</f>
        <v>4.6477904404246225E-6</v>
      </c>
      <c r="I4360" s="5">
        <f>Tabelle13[[#This Row],[%]]+I4359</f>
        <v>0.97821580620570581</v>
      </c>
      <c r="J4360" s="4">
        <f t="shared" si="169"/>
        <v>1.105583195135434E-4</v>
      </c>
      <c r="K4360" s="5">
        <f t="shared" si="170"/>
        <v>0.48181315644005768</v>
      </c>
    </row>
    <row r="4361" spans="1:11" x14ac:dyDescent="0.25">
      <c r="A4361" t="s">
        <v>1347</v>
      </c>
      <c r="C4361" t="s">
        <v>1348</v>
      </c>
      <c r="D4361" t="s">
        <v>5</v>
      </c>
      <c r="E4361" t="s">
        <v>6</v>
      </c>
      <c r="F4361" t="s">
        <v>7</v>
      </c>
      <c r="G4361">
        <v>1</v>
      </c>
      <c r="H4361" s="2">
        <f>Tabelle13[[#This Row],[commits]]/Tabelle13[[#Totals],[commits]]</f>
        <v>4.6477904404246225E-6</v>
      </c>
      <c r="I4361" s="5">
        <f>Tabelle13[[#This Row],[%]]+I4360</f>
        <v>0.97822045399614621</v>
      </c>
      <c r="J4361" s="4">
        <f t="shared" si="169"/>
        <v>1.105583195135434E-4</v>
      </c>
      <c r="K4361" s="5">
        <f t="shared" si="170"/>
        <v>0.48192371475957124</v>
      </c>
    </row>
    <row r="4362" spans="1:11" x14ac:dyDescent="0.25">
      <c r="A4362" t="s">
        <v>1349</v>
      </c>
      <c r="C4362" t="s">
        <v>1350</v>
      </c>
      <c r="D4362" t="s">
        <v>5</v>
      </c>
      <c r="E4362" t="s">
        <v>6</v>
      </c>
      <c r="F4362" t="s">
        <v>7</v>
      </c>
      <c r="G4362">
        <v>1</v>
      </c>
      <c r="H4362" s="2">
        <f>Tabelle13[[#This Row],[commits]]/Tabelle13[[#Totals],[commits]]</f>
        <v>4.6477904404246225E-6</v>
      </c>
      <c r="I4362" s="5">
        <f>Tabelle13[[#This Row],[%]]+I4361</f>
        <v>0.97822510178658661</v>
      </c>
      <c r="J4362" s="4">
        <f t="shared" si="169"/>
        <v>1.105583195135434E-4</v>
      </c>
      <c r="K4362" s="5">
        <f t="shared" si="170"/>
        <v>0.48203427307908481</v>
      </c>
    </row>
    <row r="4363" spans="1:11" x14ac:dyDescent="0.25">
      <c r="A4363" t="s">
        <v>1351</v>
      </c>
      <c r="C4363" t="s">
        <v>1352</v>
      </c>
      <c r="D4363" t="s">
        <v>5</v>
      </c>
      <c r="E4363" t="s">
        <v>6</v>
      </c>
      <c r="F4363" t="s">
        <v>7</v>
      </c>
      <c r="G4363">
        <v>1</v>
      </c>
      <c r="H4363" s="2">
        <f>Tabelle13[[#This Row],[commits]]/Tabelle13[[#Totals],[commits]]</f>
        <v>4.6477904404246225E-6</v>
      </c>
      <c r="I4363" s="5">
        <f>Tabelle13[[#This Row],[%]]+I4362</f>
        <v>0.97822974957702702</v>
      </c>
      <c r="J4363" s="4">
        <f t="shared" si="169"/>
        <v>1.105583195135434E-4</v>
      </c>
      <c r="K4363" s="5">
        <f t="shared" si="170"/>
        <v>0.48214483139859837</v>
      </c>
    </row>
    <row r="4364" spans="1:11" x14ac:dyDescent="0.25">
      <c r="A4364" t="s">
        <v>1353</v>
      </c>
      <c r="C4364" t="s">
        <v>1354</v>
      </c>
      <c r="D4364" t="s">
        <v>5</v>
      </c>
      <c r="E4364" t="s">
        <v>6</v>
      </c>
      <c r="F4364" t="s">
        <v>724</v>
      </c>
      <c r="G4364">
        <v>1</v>
      </c>
      <c r="H4364" s="2">
        <f>Tabelle13[[#This Row],[commits]]/Tabelle13[[#Totals],[commits]]</f>
        <v>4.6477904404246225E-6</v>
      </c>
      <c r="I4364" s="5">
        <f>Tabelle13[[#This Row],[%]]+I4363</f>
        <v>0.97823439736746742</v>
      </c>
      <c r="J4364" s="4">
        <f t="shared" si="169"/>
        <v>1.105583195135434E-4</v>
      </c>
      <c r="K4364" s="5">
        <f t="shared" si="170"/>
        <v>0.48225538971811194</v>
      </c>
    </row>
    <row r="4365" spans="1:11" x14ac:dyDescent="0.25">
      <c r="A4365" t="s">
        <v>1355</v>
      </c>
      <c r="C4365" t="s">
        <v>1356</v>
      </c>
      <c r="D4365" t="s">
        <v>5</v>
      </c>
      <c r="E4365" t="s">
        <v>6</v>
      </c>
      <c r="F4365" t="s">
        <v>334</v>
      </c>
      <c r="G4365">
        <v>1</v>
      </c>
      <c r="H4365" s="2">
        <f>Tabelle13[[#This Row],[commits]]/Tabelle13[[#Totals],[commits]]</f>
        <v>4.6477904404246225E-6</v>
      </c>
      <c r="I4365" s="5">
        <f>Tabelle13[[#This Row],[%]]+I4364</f>
        <v>0.97823904515790783</v>
      </c>
      <c r="J4365" s="4">
        <f t="shared" si="169"/>
        <v>1.105583195135434E-4</v>
      </c>
      <c r="K4365" s="5">
        <f t="shared" si="170"/>
        <v>0.4823659480376255</v>
      </c>
    </row>
    <row r="4366" spans="1:11" x14ac:dyDescent="0.25">
      <c r="A4366" t="s">
        <v>1357</v>
      </c>
      <c r="C4366" t="s">
        <v>1358</v>
      </c>
      <c r="D4366" t="s">
        <v>5</v>
      </c>
      <c r="E4366" t="s">
        <v>6</v>
      </c>
      <c r="F4366" t="s">
        <v>7</v>
      </c>
      <c r="G4366">
        <v>1</v>
      </c>
      <c r="H4366" s="2">
        <f>Tabelle13[[#This Row],[commits]]/Tabelle13[[#Totals],[commits]]</f>
        <v>4.6477904404246225E-6</v>
      </c>
      <c r="I4366" s="5">
        <f>Tabelle13[[#This Row],[%]]+I4365</f>
        <v>0.97824369294834823</v>
      </c>
      <c r="J4366" s="4">
        <f t="shared" si="169"/>
        <v>1.105583195135434E-4</v>
      </c>
      <c r="K4366" s="5">
        <f t="shared" si="170"/>
        <v>0.48247650635713907</v>
      </c>
    </row>
    <row r="4367" spans="1:11" x14ac:dyDescent="0.25">
      <c r="A4367" t="s">
        <v>1359</v>
      </c>
      <c r="C4367" t="s">
        <v>1360</v>
      </c>
      <c r="D4367" t="s">
        <v>5</v>
      </c>
      <c r="E4367" t="s">
        <v>6</v>
      </c>
      <c r="F4367" t="s">
        <v>7</v>
      </c>
      <c r="G4367">
        <v>1</v>
      </c>
      <c r="H4367" s="2">
        <f>Tabelle13[[#This Row],[commits]]/Tabelle13[[#Totals],[commits]]</f>
        <v>4.6477904404246225E-6</v>
      </c>
      <c r="I4367" s="5">
        <f>Tabelle13[[#This Row],[%]]+I4366</f>
        <v>0.97824834073878864</v>
      </c>
      <c r="J4367" s="4">
        <f t="shared" si="169"/>
        <v>1.105583195135434E-4</v>
      </c>
      <c r="K4367" s="5">
        <f t="shared" si="170"/>
        <v>0.48258706467665263</v>
      </c>
    </row>
    <row r="4368" spans="1:11" x14ac:dyDescent="0.25">
      <c r="A4368" t="s">
        <v>1361</v>
      </c>
      <c r="C4368" t="s">
        <v>1362</v>
      </c>
      <c r="D4368" t="s">
        <v>5</v>
      </c>
      <c r="E4368" t="s">
        <v>6</v>
      </c>
      <c r="F4368" t="s">
        <v>7</v>
      </c>
      <c r="G4368">
        <v>1</v>
      </c>
      <c r="H4368" s="2">
        <f>Tabelle13[[#This Row],[commits]]/Tabelle13[[#Totals],[commits]]</f>
        <v>4.6477904404246225E-6</v>
      </c>
      <c r="I4368" s="5">
        <f>Tabelle13[[#This Row],[%]]+I4367</f>
        <v>0.97825298852922904</v>
      </c>
      <c r="J4368" s="4">
        <f t="shared" si="169"/>
        <v>1.105583195135434E-4</v>
      </c>
      <c r="K4368" s="5">
        <f t="shared" si="170"/>
        <v>0.4826976229961662</v>
      </c>
    </row>
    <row r="4369" spans="1:11" x14ac:dyDescent="0.25">
      <c r="A4369" t="s">
        <v>1363</v>
      </c>
      <c r="C4369" t="s">
        <v>1364</v>
      </c>
      <c r="D4369" t="s">
        <v>5</v>
      </c>
      <c r="E4369" t="s">
        <v>6</v>
      </c>
      <c r="F4369" t="s">
        <v>7</v>
      </c>
      <c r="G4369">
        <v>1</v>
      </c>
      <c r="H4369" s="2">
        <f>Tabelle13[[#This Row],[commits]]/Tabelle13[[#Totals],[commits]]</f>
        <v>4.6477904404246225E-6</v>
      </c>
      <c r="I4369" s="5">
        <f>Tabelle13[[#This Row],[%]]+I4368</f>
        <v>0.97825763631966944</v>
      </c>
      <c r="J4369" s="4">
        <f t="shared" si="169"/>
        <v>1.105583195135434E-4</v>
      </c>
      <c r="K4369" s="5">
        <f t="shared" si="170"/>
        <v>0.48280818131567976</v>
      </c>
    </row>
    <row r="4370" spans="1:11" x14ac:dyDescent="0.25">
      <c r="A4370" t="s">
        <v>1365</v>
      </c>
      <c r="C4370" t="s">
        <v>1366</v>
      </c>
      <c r="D4370" t="s">
        <v>5</v>
      </c>
      <c r="E4370" t="s">
        <v>6</v>
      </c>
      <c r="F4370" t="s">
        <v>7</v>
      </c>
      <c r="G4370">
        <v>1</v>
      </c>
      <c r="H4370" s="2">
        <f>Tabelle13[[#This Row],[commits]]/Tabelle13[[#Totals],[commits]]</f>
        <v>4.6477904404246225E-6</v>
      </c>
      <c r="I4370" s="5">
        <f>Tabelle13[[#This Row],[%]]+I4369</f>
        <v>0.97826228411010985</v>
      </c>
      <c r="J4370" s="4">
        <f t="shared" si="169"/>
        <v>1.105583195135434E-4</v>
      </c>
      <c r="K4370" s="5">
        <f t="shared" si="170"/>
        <v>0.48291873963519333</v>
      </c>
    </row>
    <row r="4371" spans="1:11" x14ac:dyDescent="0.25">
      <c r="A4371" t="s">
        <v>1367</v>
      </c>
      <c r="C4371" t="s">
        <v>1368</v>
      </c>
      <c r="D4371" t="s">
        <v>5</v>
      </c>
      <c r="E4371" t="s">
        <v>6</v>
      </c>
      <c r="F4371" t="s">
        <v>7</v>
      </c>
      <c r="G4371">
        <v>1</v>
      </c>
      <c r="H4371" s="2">
        <f>Tabelle13[[#This Row],[commits]]/Tabelle13[[#Totals],[commits]]</f>
        <v>4.6477904404246225E-6</v>
      </c>
      <c r="I4371" s="5">
        <f>Tabelle13[[#This Row],[%]]+I4370</f>
        <v>0.97826693190055025</v>
      </c>
      <c r="J4371" s="4">
        <f t="shared" si="169"/>
        <v>1.105583195135434E-4</v>
      </c>
      <c r="K4371" s="5">
        <f t="shared" si="170"/>
        <v>0.48302929795470689</v>
      </c>
    </row>
    <row r="4372" spans="1:11" x14ac:dyDescent="0.25">
      <c r="A4372" t="s">
        <v>1369</v>
      </c>
      <c r="C4372" t="s">
        <v>26</v>
      </c>
      <c r="D4372" t="s">
        <v>5</v>
      </c>
      <c r="E4372" t="s">
        <v>6</v>
      </c>
      <c r="F4372" t="s">
        <v>7</v>
      </c>
      <c r="G4372">
        <v>1</v>
      </c>
      <c r="H4372" s="2">
        <f>Tabelle13[[#This Row],[commits]]/Tabelle13[[#Totals],[commits]]</f>
        <v>4.6477904404246225E-6</v>
      </c>
      <c r="I4372" s="5">
        <f>Tabelle13[[#This Row],[%]]+I4371</f>
        <v>0.97827157969099066</v>
      </c>
      <c r="J4372" s="4">
        <f t="shared" si="169"/>
        <v>1.105583195135434E-4</v>
      </c>
      <c r="K4372" s="5">
        <f t="shared" si="170"/>
        <v>0.48313985627422046</v>
      </c>
    </row>
    <row r="4373" spans="1:11" x14ac:dyDescent="0.25">
      <c r="A4373" t="s">
        <v>1370</v>
      </c>
      <c r="C4373" t="s">
        <v>1371</v>
      </c>
      <c r="D4373" t="s">
        <v>5</v>
      </c>
      <c r="E4373" t="s">
        <v>6</v>
      </c>
      <c r="F4373" t="s">
        <v>7</v>
      </c>
      <c r="G4373">
        <v>1</v>
      </c>
      <c r="H4373" s="2">
        <f>Tabelle13[[#This Row],[commits]]/Tabelle13[[#Totals],[commits]]</f>
        <v>4.6477904404246225E-6</v>
      </c>
      <c r="I4373" s="5">
        <f>Tabelle13[[#This Row],[%]]+I4372</f>
        <v>0.97827622748143106</v>
      </c>
      <c r="J4373" s="4">
        <f t="shared" si="169"/>
        <v>1.105583195135434E-4</v>
      </c>
      <c r="K4373" s="5">
        <f t="shared" si="170"/>
        <v>0.48325041459373402</v>
      </c>
    </row>
    <row r="4374" spans="1:11" x14ac:dyDescent="0.25">
      <c r="A4374" t="s">
        <v>1372</v>
      </c>
      <c r="C4374" t="s">
        <v>1373</v>
      </c>
      <c r="D4374" t="s">
        <v>5</v>
      </c>
      <c r="E4374" t="s">
        <v>6</v>
      </c>
      <c r="F4374" t="s">
        <v>7</v>
      </c>
      <c r="G4374">
        <v>1</v>
      </c>
      <c r="H4374" s="2">
        <f>Tabelle13[[#This Row],[commits]]/Tabelle13[[#Totals],[commits]]</f>
        <v>4.6477904404246225E-6</v>
      </c>
      <c r="I4374" s="5">
        <f>Tabelle13[[#This Row],[%]]+I4373</f>
        <v>0.97828087527187146</v>
      </c>
      <c r="J4374" s="4">
        <f t="shared" si="169"/>
        <v>1.105583195135434E-4</v>
      </c>
      <c r="K4374" s="5">
        <f t="shared" si="170"/>
        <v>0.48336097291324759</v>
      </c>
    </row>
    <row r="4375" spans="1:11" x14ac:dyDescent="0.25">
      <c r="A4375" t="s">
        <v>1374</v>
      </c>
      <c r="C4375" t="s">
        <v>1375</v>
      </c>
      <c r="D4375" t="s">
        <v>5</v>
      </c>
      <c r="E4375" t="s">
        <v>6</v>
      </c>
      <c r="F4375" t="s">
        <v>7</v>
      </c>
      <c r="G4375">
        <v>1</v>
      </c>
      <c r="H4375" s="2">
        <f>Tabelle13[[#This Row],[commits]]/Tabelle13[[#Totals],[commits]]</f>
        <v>4.6477904404246225E-6</v>
      </c>
      <c r="I4375" s="5">
        <f>Tabelle13[[#This Row],[%]]+I4374</f>
        <v>0.97828552306231187</v>
      </c>
      <c r="J4375" s="4">
        <f t="shared" si="169"/>
        <v>1.105583195135434E-4</v>
      </c>
      <c r="K4375" s="5">
        <f t="shared" si="170"/>
        <v>0.48347153123276115</v>
      </c>
    </row>
    <row r="4376" spans="1:11" x14ac:dyDescent="0.25">
      <c r="A4376" t="s">
        <v>1376</v>
      </c>
      <c r="C4376" t="s">
        <v>1377</v>
      </c>
      <c r="D4376" t="s">
        <v>5</v>
      </c>
      <c r="E4376" t="s">
        <v>6</v>
      </c>
      <c r="F4376" t="s">
        <v>7</v>
      </c>
      <c r="G4376">
        <v>1</v>
      </c>
      <c r="H4376" s="2">
        <f>Tabelle13[[#This Row],[commits]]/Tabelle13[[#Totals],[commits]]</f>
        <v>4.6477904404246225E-6</v>
      </c>
      <c r="I4376" s="5">
        <f>Tabelle13[[#This Row],[%]]+I4375</f>
        <v>0.97829017085275227</v>
      </c>
      <c r="J4376" s="4">
        <f t="shared" si="169"/>
        <v>1.105583195135434E-4</v>
      </c>
      <c r="K4376" s="5">
        <f t="shared" si="170"/>
        <v>0.48358208955227472</v>
      </c>
    </row>
    <row r="4377" spans="1:11" x14ac:dyDescent="0.25">
      <c r="A4377" t="s">
        <v>1378</v>
      </c>
      <c r="C4377" t="s">
        <v>122</v>
      </c>
      <c r="D4377" t="s">
        <v>5</v>
      </c>
      <c r="E4377" t="s">
        <v>6</v>
      </c>
      <c r="F4377" t="s">
        <v>7</v>
      </c>
      <c r="G4377">
        <v>1</v>
      </c>
      <c r="H4377" s="2">
        <f>Tabelle13[[#This Row],[commits]]/Tabelle13[[#Totals],[commits]]</f>
        <v>4.6477904404246225E-6</v>
      </c>
      <c r="I4377" s="5">
        <f>Tabelle13[[#This Row],[%]]+I4376</f>
        <v>0.97829481864319268</v>
      </c>
      <c r="J4377" s="4">
        <f t="shared" si="169"/>
        <v>1.105583195135434E-4</v>
      </c>
      <c r="K4377" s="5">
        <f t="shared" si="170"/>
        <v>0.48369264787178828</v>
      </c>
    </row>
    <row r="4378" spans="1:11" x14ac:dyDescent="0.25">
      <c r="A4378" t="s">
        <v>1379</v>
      </c>
      <c r="C4378" t="s">
        <v>1380</v>
      </c>
      <c r="D4378" t="s">
        <v>5</v>
      </c>
      <c r="E4378" t="s">
        <v>6</v>
      </c>
      <c r="F4378" t="s">
        <v>7</v>
      </c>
      <c r="G4378">
        <v>1</v>
      </c>
      <c r="H4378" s="2">
        <f>Tabelle13[[#This Row],[commits]]/Tabelle13[[#Totals],[commits]]</f>
        <v>4.6477904404246225E-6</v>
      </c>
      <c r="I4378" s="5">
        <f>Tabelle13[[#This Row],[%]]+I4377</f>
        <v>0.97829946643363308</v>
      </c>
      <c r="J4378" s="4">
        <f t="shared" si="169"/>
        <v>1.105583195135434E-4</v>
      </c>
      <c r="K4378" s="5">
        <f t="shared" si="170"/>
        <v>0.48380320619130185</v>
      </c>
    </row>
    <row r="4379" spans="1:11" x14ac:dyDescent="0.25">
      <c r="A4379" t="s">
        <v>1381</v>
      </c>
      <c r="C4379" t="s">
        <v>1382</v>
      </c>
      <c r="D4379" t="s">
        <v>5</v>
      </c>
      <c r="E4379" t="s">
        <v>6</v>
      </c>
      <c r="F4379" t="s">
        <v>7</v>
      </c>
      <c r="G4379">
        <v>1</v>
      </c>
      <c r="H4379" s="2">
        <f>Tabelle13[[#This Row],[commits]]/Tabelle13[[#Totals],[commits]]</f>
        <v>4.6477904404246225E-6</v>
      </c>
      <c r="I4379" s="5">
        <f>Tabelle13[[#This Row],[%]]+I4378</f>
        <v>0.97830411422407348</v>
      </c>
      <c r="J4379" s="4">
        <f t="shared" si="169"/>
        <v>1.105583195135434E-4</v>
      </c>
      <c r="K4379" s="5">
        <f t="shared" si="170"/>
        <v>0.48391376451081541</v>
      </c>
    </row>
    <row r="4380" spans="1:11" x14ac:dyDescent="0.25">
      <c r="A4380" t="s">
        <v>1383</v>
      </c>
      <c r="C4380" t="s">
        <v>1384</v>
      </c>
      <c r="D4380" t="s">
        <v>5</v>
      </c>
      <c r="E4380" t="s">
        <v>6</v>
      </c>
      <c r="F4380" t="s">
        <v>7</v>
      </c>
      <c r="G4380">
        <v>1</v>
      </c>
      <c r="H4380" s="2">
        <f>Tabelle13[[#This Row],[commits]]/Tabelle13[[#Totals],[commits]]</f>
        <v>4.6477904404246225E-6</v>
      </c>
      <c r="I4380" s="5">
        <f>Tabelle13[[#This Row],[%]]+I4379</f>
        <v>0.97830876201451389</v>
      </c>
      <c r="J4380" s="4">
        <f t="shared" si="169"/>
        <v>1.105583195135434E-4</v>
      </c>
      <c r="K4380" s="5">
        <f t="shared" si="170"/>
        <v>0.48402432283032898</v>
      </c>
    </row>
    <row r="4381" spans="1:11" x14ac:dyDescent="0.25">
      <c r="A4381" t="s">
        <v>1385</v>
      </c>
      <c r="C4381" t="s">
        <v>1386</v>
      </c>
      <c r="D4381" t="s">
        <v>5</v>
      </c>
      <c r="E4381" t="s">
        <v>6</v>
      </c>
      <c r="F4381" t="s">
        <v>7</v>
      </c>
      <c r="G4381">
        <v>1</v>
      </c>
      <c r="H4381" s="2">
        <f>Tabelle13[[#This Row],[commits]]/Tabelle13[[#Totals],[commits]]</f>
        <v>4.6477904404246225E-6</v>
      </c>
      <c r="I4381" s="5">
        <f>Tabelle13[[#This Row],[%]]+I4380</f>
        <v>0.97831340980495429</v>
      </c>
      <c r="J4381" s="4">
        <f t="shared" si="169"/>
        <v>1.105583195135434E-4</v>
      </c>
      <c r="K4381" s="5">
        <f t="shared" si="170"/>
        <v>0.48413488114984254</v>
      </c>
    </row>
    <row r="4382" spans="1:11" x14ac:dyDescent="0.25">
      <c r="A4382" t="s">
        <v>1387</v>
      </c>
      <c r="C4382" t="s">
        <v>1388</v>
      </c>
      <c r="D4382" t="s">
        <v>5</v>
      </c>
      <c r="E4382" t="s">
        <v>6</v>
      </c>
      <c r="F4382" t="s">
        <v>7</v>
      </c>
      <c r="G4382">
        <v>1</v>
      </c>
      <c r="H4382" s="2">
        <f>Tabelle13[[#This Row],[commits]]/Tabelle13[[#Totals],[commits]]</f>
        <v>4.6477904404246225E-6</v>
      </c>
      <c r="I4382" s="5">
        <f>Tabelle13[[#This Row],[%]]+I4381</f>
        <v>0.9783180575953947</v>
      </c>
      <c r="J4382" s="4">
        <f t="shared" si="169"/>
        <v>1.105583195135434E-4</v>
      </c>
      <c r="K4382" s="5">
        <f t="shared" si="170"/>
        <v>0.48424543946935611</v>
      </c>
    </row>
    <row r="4383" spans="1:11" x14ac:dyDescent="0.25">
      <c r="A4383" t="s">
        <v>1389</v>
      </c>
      <c r="C4383" t="s">
        <v>26</v>
      </c>
      <c r="D4383" t="s">
        <v>5</v>
      </c>
      <c r="E4383" t="s">
        <v>6</v>
      </c>
      <c r="F4383" t="s">
        <v>7</v>
      </c>
      <c r="G4383">
        <v>1</v>
      </c>
      <c r="H4383" s="2">
        <f>Tabelle13[[#This Row],[commits]]/Tabelle13[[#Totals],[commits]]</f>
        <v>4.6477904404246225E-6</v>
      </c>
      <c r="I4383" s="5">
        <f>Tabelle13[[#This Row],[%]]+I4382</f>
        <v>0.9783227053858351</v>
      </c>
      <c r="J4383" s="4">
        <f t="shared" si="169"/>
        <v>1.105583195135434E-4</v>
      </c>
      <c r="K4383" s="5">
        <f t="shared" si="170"/>
        <v>0.48435599778886967</v>
      </c>
    </row>
    <row r="4384" spans="1:11" x14ac:dyDescent="0.25">
      <c r="A4384" t="s">
        <v>1390</v>
      </c>
      <c r="C4384" t="s">
        <v>1391</v>
      </c>
      <c r="D4384" t="s">
        <v>5</v>
      </c>
      <c r="E4384" t="s">
        <v>6</v>
      </c>
      <c r="F4384" t="s">
        <v>7</v>
      </c>
      <c r="G4384">
        <v>1</v>
      </c>
      <c r="H4384" s="2">
        <f>Tabelle13[[#This Row],[commits]]/Tabelle13[[#Totals],[commits]]</f>
        <v>4.6477904404246225E-6</v>
      </c>
      <c r="I4384" s="5">
        <f>Tabelle13[[#This Row],[%]]+I4383</f>
        <v>0.9783273531762755</v>
      </c>
      <c r="J4384" s="4">
        <f t="shared" si="169"/>
        <v>1.105583195135434E-4</v>
      </c>
      <c r="K4384" s="5">
        <f t="shared" si="170"/>
        <v>0.48446655610838324</v>
      </c>
    </row>
    <row r="4385" spans="1:11" x14ac:dyDescent="0.25">
      <c r="A4385" t="s">
        <v>1392</v>
      </c>
      <c r="C4385" t="s">
        <v>1393</v>
      </c>
      <c r="D4385" t="s">
        <v>5</v>
      </c>
      <c r="E4385" t="s">
        <v>6</v>
      </c>
      <c r="F4385" t="s">
        <v>7</v>
      </c>
      <c r="G4385">
        <v>1</v>
      </c>
      <c r="H4385" s="2">
        <f>Tabelle13[[#This Row],[commits]]/Tabelle13[[#Totals],[commits]]</f>
        <v>4.6477904404246225E-6</v>
      </c>
      <c r="I4385" s="5">
        <f>Tabelle13[[#This Row],[%]]+I4384</f>
        <v>0.97833200096671591</v>
      </c>
      <c r="J4385" s="4">
        <f t="shared" si="169"/>
        <v>1.105583195135434E-4</v>
      </c>
      <c r="K4385" s="5">
        <f t="shared" si="170"/>
        <v>0.4845771144278968</v>
      </c>
    </row>
    <row r="4386" spans="1:11" x14ac:dyDescent="0.25">
      <c r="A4386" t="s">
        <v>1394</v>
      </c>
      <c r="C4386" t="s">
        <v>1395</v>
      </c>
      <c r="D4386" t="s">
        <v>5</v>
      </c>
      <c r="E4386" t="s">
        <v>6</v>
      </c>
      <c r="F4386" t="s">
        <v>7</v>
      </c>
      <c r="G4386">
        <v>1</v>
      </c>
      <c r="H4386" s="2">
        <f>Tabelle13[[#This Row],[commits]]/Tabelle13[[#Totals],[commits]]</f>
        <v>4.6477904404246225E-6</v>
      </c>
      <c r="I4386" s="5">
        <f>Tabelle13[[#This Row],[%]]+I4385</f>
        <v>0.97833664875715631</v>
      </c>
      <c r="J4386" s="4">
        <f t="shared" si="169"/>
        <v>1.105583195135434E-4</v>
      </c>
      <c r="K4386" s="5">
        <f t="shared" si="170"/>
        <v>0.48468767274741037</v>
      </c>
    </row>
    <row r="4387" spans="1:11" x14ac:dyDescent="0.25">
      <c r="A4387" t="s">
        <v>1396</v>
      </c>
      <c r="C4387" t="s">
        <v>1397</v>
      </c>
      <c r="D4387" t="s">
        <v>5</v>
      </c>
      <c r="E4387" t="s">
        <v>6</v>
      </c>
      <c r="F4387" t="s">
        <v>7</v>
      </c>
      <c r="G4387">
        <v>1</v>
      </c>
      <c r="H4387" s="2">
        <f>Tabelle13[[#This Row],[commits]]/Tabelle13[[#Totals],[commits]]</f>
        <v>4.6477904404246225E-6</v>
      </c>
      <c r="I4387" s="5">
        <f>Tabelle13[[#This Row],[%]]+I4386</f>
        <v>0.97834129654759672</v>
      </c>
      <c r="J4387" s="4">
        <f t="shared" si="169"/>
        <v>1.105583195135434E-4</v>
      </c>
      <c r="K4387" s="5">
        <f t="shared" si="170"/>
        <v>0.48479823106692393</v>
      </c>
    </row>
    <row r="4388" spans="1:11" x14ac:dyDescent="0.25">
      <c r="A4388" t="s">
        <v>1398</v>
      </c>
      <c r="C4388" t="s">
        <v>1399</v>
      </c>
      <c r="D4388" t="s">
        <v>5</v>
      </c>
      <c r="E4388" t="s">
        <v>6</v>
      </c>
      <c r="F4388" t="s">
        <v>7</v>
      </c>
      <c r="G4388">
        <v>1</v>
      </c>
      <c r="H4388" s="2">
        <f>Tabelle13[[#This Row],[commits]]/Tabelle13[[#Totals],[commits]]</f>
        <v>4.6477904404246225E-6</v>
      </c>
      <c r="I4388" s="5">
        <f>Tabelle13[[#This Row],[%]]+I4387</f>
        <v>0.97834594433803712</v>
      </c>
      <c r="J4388" s="4">
        <f t="shared" si="169"/>
        <v>1.105583195135434E-4</v>
      </c>
      <c r="K4388" s="5">
        <f t="shared" si="170"/>
        <v>0.4849087893864375</v>
      </c>
    </row>
    <row r="4389" spans="1:11" x14ac:dyDescent="0.25">
      <c r="A4389" t="s">
        <v>1400</v>
      </c>
      <c r="C4389" t="s">
        <v>1401</v>
      </c>
      <c r="D4389" t="s">
        <v>5</v>
      </c>
      <c r="E4389" t="s">
        <v>6</v>
      </c>
      <c r="F4389" t="s">
        <v>7</v>
      </c>
      <c r="G4389">
        <v>1</v>
      </c>
      <c r="H4389" s="2">
        <f>Tabelle13[[#This Row],[commits]]/Tabelle13[[#Totals],[commits]]</f>
        <v>4.6477904404246225E-6</v>
      </c>
      <c r="I4389" s="5">
        <f>Tabelle13[[#This Row],[%]]+I4388</f>
        <v>0.97835059212847753</v>
      </c>
      <c r="J4389" s="4">
        <f t="shared" si="169"/>
        <v>1.105583195135434E-4</v>
      </c>
      <c r="K4389" s="5">
        <f t="shared" si="170"/>
        <v>0.48501934770595106</v>
      </c>
    </row>
    <row r="4390" spans="1:11" x14ac:dyDescent="0.25">
      <c r="A4390" t="s">
        <v>1402</v>
      </c>
      <c r="C4390" t="s">
        <v>1403</v>
      </c>
      <c r="D4390" t="s">
        <v>5</v>
      </c>
      <c r="E4390" t="s">
        <v>6</v>
      </c>
      <c r="F4390" t="s">
        <v>7</v>
      </c>
      <c r="G4390">
        <v>1</v>
      </c>
      <c r="H4390" s="2">
        <f>Tabelle13[[#This Row],[commits]]/Tabelle13[[#Totals],[commits]]</f>
        <v>4.6477904404246225E-6</v>
      </c>
      <c r="I4390" s="5">
        <f>Tabelle13[[#This Row],[%]]+I4389</f>
        <v>0.97835523991891793</v>
      </c>
      <c r="J4390" s="4">
        <f t="shared" si="169"/>
        <v>1.105583195135434E-4</v>
      </c>
      <c r="K4390" s="5">
        <f t="shared" si="170"/>
        <v>0.48512990602546463</v>
      </c>
    </row>
    <row r="4391" spans="1:11" x14ac:dyDescent="0.25">
      <c r="A4391" t="s">
        <v>1404</v>
      </c>
      <c r="C4391" t="s">
        <v>1405</v>
      </c>
      <c r="D4391" t="s">
        <v>5</v>
      </c>
      <c r="E4391" t="s">
        <v>6</v>
      </c>
      <c r="F4391" t="s">
        <v>7</v>
      </c>
      <c r="G4391">
        <v>1</v>
      </c>
      <c r="H4391" s="2">
        <f>Tabelle13[[#This Row],[commits]]/Tabelle13[[#Totals],[commits]]</f>
        <v>4.6477904404246225E-6</v>
      </c>
      <c r="I4391" s="5">
        <f>Tabelle13[[#This Row],[%]]+I4390</f>
        <v>0.97835988770935833</v>
      </c>
      <c r="J4391" s="4">
        <f t="shared" si="169"/>
        <v>1.105583195135434E-4</v>
      </c>
      <c r="K4391" s="5">
        <f t="shared" si="170"/>
        <v>0.4852404643449782</v>
      </c>
    </row>
    <row r="4392" spans="1:11" x14ac:dyDescent="0.25">
      <c r="A4392" t="s">
        <v>1406</v>
      </c>
      <c r="C4392" t="s">
        <v>1407</v>
      </c>
      <c r="D4392" t="s">
        <v>5</v>
      </c>
      <c r="E4392" t="s">
        <v>6</v>
      </c>
      <c r="F4392" t="s">
        <v>7</v>
      </c>
      <c r="G4392">
        <v>1</v>
      </c>
      <c r="H4392" s="2">
        <f>Tabelle13[[#This Row],[commits]]/Tabelle13[[#Totals],[commits]]</f>
        <v>4.6477904404246225E-6</v>
      </c>
      <c r="I4392" s="5">
        <f>Tabelle13[[#This Row],[%]]+I4391</f>
        <v>0.97836453549979874</v>
      </c>
      <c r="J4392" s="4">
        <f t="shared" si="169"/>
        <v>1.105583195135434E-4</v>
      </c>
      <c r="K4392" s="5">
        <f t="shared" si="170"/>
        <v>0.48535102266449176</v>
      </c>
    </row>
    <row r="4393" spans="1:11" x14ac:dyDescent="0.25">
      <c r="A4393" t="s">
        <v>1408</v>
      </c>
      <c r="C4393" t="s">
        <v>1409</v>
      </c>
      <c r="D4393" t="s">
        <v>5</v>
      </c>
      <c r="E4393" t="s">
        <v>6</v>
      </c>
      <c r="F4393" t="s">
        <v>7</v>
      </c>
      <c r="G4393">
        <v>1</v>
      </c>
      <c r="H4393" s="2">
        <f>Tabelle13[[#This Row],[commits]]/Tabelle13[[#Totals],[commits]]</f>
        <v>4.6477904404246225E-6</v>
      </c>
      <c r="I4393" s="5">
        <f>Tabelle13[[#This Row],[%]]+I4392</f>
        <v>0.97836918329023914</v>
      </c>
      <c r="J4393" s="4">
        <f t="shared" si="169"/>
        <v>1.105583195135434E-4</v>
      </c>
      <c r="K4393" s="5">
        <f t="shared" si="170"/>
        <v>0.48546158098400533</v>
      </c>
    </row>
    <row r="4394" spans="1:11" x14ac:dyDescent="0.25">
      <c r="A4394" t="s">
        <v>1410</v>
      </c>
      <c r="C4394" t="s">
        <v>1411</v>
      </c>
      <c r="D4394" t="s">
        <v>5</v>
      </c>
      <c r="E4394" t="s">
        <v>6</v>
      </c>
      <c r="F4394" t="s">
        <v>7</v>
      </c>
      <c r="G4394">
        <v>1</v>
      </c>
      <c r="H4394" s="2">
        <f>Tabelle13[[#This Row],[commits]]/Tabelle13[[#Totals],[commits]]</f>
        <v>4.6477904404246225E-6</v>
      </c>
      <c r="I4394" s="5">
        <f>Tabelle13[[#This Row],[%]]+I4393</f>
        <v>0.97837383108067955</v>
      </c>
      <c r="J4394" s="4">
        <f t="shared" si="169"/>
        <v>1.105583195135434E-4</v>
      </c>
      <c r="K4394" s="5">
        <f t="shared" si="170"/>
        <v>0.48557213930351889</v>
      </c>
    </row>
    <row r="4395" spans="1:11" x14ac:dyDescent="0.25">
      <c r="A4395" t="s">
        <v>1412</v>
      </c>
      <c r="C4395" t="s">
        <v>1413</v>
      </c>
      <c r="D4395" t="s">
        <v>5</v>
      </c>
      <c r="E4395" t="s">
        <v>6</v>
      </c>
      <c r="F4395" t="s">
        <v>7</v>
      </c>
      <c r="G4395">
        <v>1</v>
      </c>
      <c r="H4395" s="2">
        <f>Tabelle13[[#This Row],[commits]]/Tabelle13[[#Totals],[commits]]</f>
        <v>4.6477904404246225E-6</v>
      </c>
      <c r="I4395" s="5">
        <f>Tabelle13[[#This Row],[%]]+I4394</f>
        <v>0.97837847887111995</v>
      </c>
      <c r="J4395" s="4">
        <f t="shared" si="169"/>
        <v>1.105583195135434E-4</v>
      </c>
      <c r="K4395" s="5">
        <f t="shared" si="170"/>
        <v>0.48568269762303246</v>
      </c>
    </row>
    <row r="4396" spans="1:11" x14ac:dyDescent="0.25">
      <c r="A4396" t="s">
        <v>1414</v>
      </c>
      <c r="C4396" t="s">
        <v>1415</v>
      </c>
      <c r="D4396" t="s">
        <v>5</v>
      </c>
      <c r="E4396" t="s">
        <v>6</v>
      </c>
      <c r="F4396" t="s">
        <v>7</v>
      </c>
      <c r="G4396">
        <v>1</v>
      </c>
      <c r="H4396" s="2">
        <f>Tabelle13[[#This Row],[commits]]/Tabelle13[[#Totals],[commits]]</f>
        <v>4.6477904404246225E-6</v>
      </c>
      <c r="I4396" s="5">
        <f>Tabelle13[[#This Row],[%]]+I4395</f>
        <v>0.97838312666156035</v>
      </c>
      <c r="J4396" s="4">
        <f t="shared" si="169"/>
        <v>1.105583195135434E-4</v>
      </c>
      <c r="K4396" s="5">
        <f t="shared" si="170"/>
        <v>0.48579325594254602</v>
      </c>
    </row>
    <row r="4397" spans="1:11" x14ac:dyDescent="0.25">
      <c r="A4397" t="s">
        <v>1416</v>
      </c>
      <c r="C4397" t="s">
        <v>1417</v>
      </c>
      <c r="D4397" t="s">
        <v>5</v>
      </c>
      <c r="E4397" t="s">
        <v>6</v>
      </c>
      <c r="F4397" t="s">
        <v>7</v>
      </c>
      <c r="G4397">
        <v>1</v>
      </c>
      <c r="H4397" s="2">
        <f>Tabelle13[[#This Row],[commits]]/Tabelle13[[#Totals],[commits]]</f>
        <v>4.6477904404246225E-6</v>
      </c>
      <c r="I4397" s="5">
        <f>Tabelle13[[#This Row],[%]]+I4396</f>
        <v>0.97838777445200076</v>
      </c>
      <c r="J4397" s="4">
        <f t="shared" si="169"/>
        <v>1.105583195135434E-4</v>
      </c>
      <c r="K4397" s="5">
        <f t="shared" si="170"/>
        <v>0.48590381426205959</v>
      </c>
    </row>
    <row r="4398" spans="1:11" x14ac:dyDescent="0.25">
      <c r="A4398" t="s">
        <v>1418</v>
      </c>
      <c r="C4398" t="s">
        <v>1419</v>
      </c>
      <c r="D4398" t="s">
        <v>5</v>
      </c>
      <c r="E4398" t="s">
        <v>6</v>
      </c>
      <c r="F4398" t="s">
        <v>7</v>
      </c>
      <c r="G4398">
        <v>1</v>
      </c>
      <c r="H4398" s="2">
        <f>Tabelle13[[#This Row],[commits]]/Tabelle13[[#Totals],[commits]]</f>
        <v>4.6477904404246225E-6</v>
      </c>
      <c r="I4398" s="5">
        <f>Tabelle13[[#This Row],[%]]+I4397</f>
        <v>0.97839242224244116</v>
      </c>
      <c r="J4398" s="4">
        <f t="shared" si="169"/>
        <v>1.105583195135434E-4</v>
      </c>
      <c r="K4398" s="5">
        <f t="shared" si="170"/>
        <v>0.48601437258157315</v>
      </c>
    </row>
    <row r="4399" spans="1:11" x14ac:dyDescent="0.25">
      <c r="A4399" t="s">
        <v>1420</v>
      </c>
      <c r="C4399" t="s">
        <v>1421</v>
      </c>
      <c r="D4399" t="s">
        <v>5</v>
      </c>
      <c r="E4399" t="s">
        <v>6</v>
      </c>
      <c r="F4399" t="s">
        <v>7</v>
      </c>
      <c r="G4399">
        <v>1</v>
      </c>
      <c r="H4399" s="2">
        <f>Tabelle13[[#This Row],[commits]]/Tabelle13[[#Totals],[commits]]</f>
        <v>4.6477904404246225E-6</v>
      </c>
      <c r="I4399" s="5">
        <f>Tabelle13[[#This Row],[%]]+I4398</f>
        <v>0.97839707003288157</v>
      </c>
      <c r="J4399" s="4">
        <f t="shared" si="169"/>
        <v>1.105583195135434E-4</v>
      </c>
      <c r="K4399" s="5">
        <f t="shared" si="170"/>
        <v>0.48612493090108672</v>
      </c>
    </row>
    <row r="4400" spans="1:11" x14ac:dyDescent="0.25">
      <c r="A4400" t="s">
        <v>1422</v>
      </c>
      <c r="C4400" t="s">
        <v>1423</v>
      </c>
      <c r="D4400" t="s">
        <v>5</v>
      </c>
      <c r="E4400" t="s">
        <v>6</v>
      </c>
      <c r="F4400" t="s">
        <v>7</v>
      </c>
      <c r="G4400">
        <v>1</v>
      </c>
      <c r="H4400" s="2">
        <f>Tabelle13[[#This Row],[commits]]/Tabelle13[[#Totals],[commits]]</f>
        <v>4.6477904404246225E-6</v>
      </c>
      <c r="I4400" s="5">
        <f>Tabelle13[[#This Row],[%]]+I4399</f>
        <v>0.97840171782332197</v>
      </c>
      <c r="J4400" s="4">
        <f t="shared" si="169"/>
        <v>1.105583195135434E-4</v>
      </c>
      <c r="K4400" s="5">
        <f t="shared" si="170"/>
        <v>0.48623548922060028</v>
      </c>
    </row>
    <row r="4401" spans="1:11" x14ac:dyDescent="0.25">
      <c r="A4401" t="s">
        <v>1424</v>
      </c>
      <c r="C4401" t="s">
        <v>1425</v>
      </c>
      <c r="D4401" t="s">
        <v>5</v>
      </c>
      <c r="E4401" t="s">
        <v>6</v>
      </c>
      <c r="F4401" t="s">
        <v>7</v>
      </c>
      <c r="G4401">
        <v>1</v>
      </c>
      <c r="H4401" s="2">
        <f>Tabelle13[[#This Row],[commits]]/Tabelle13[[#Totals],[commits]]</f>
        <v>4.6477904404246225E-6</v>
      </c>
      <c r="I4401" s="5">
        <f>Tabelle13[[#This Row],[%]]+I4400</f>
        <v>0.97840636561376237</v>
      </c>
      <c r="J4401" s="4">
        <f t="shared" si="169"/>
        <v>1.105583195135434E-4</v>
      </c>
      <c r="K4401" s="5">
        <f t="shared" si="170"/>
        <v>0.48634604754011385</v>
      </c>
    </row>
    <row r="4402" spans="1:11" x14ac:dyDescent="0.25">
      <c r="A4402" t="s">
        <v>1426</v>
      </c>
      <c r="C4402" t="s">
        <v>1427</v>
      </c>
      <c r="D4402" t="s">
        <v>5</v>
      </c>
      <c r="E4402" t="s">
        <v>6</v>
      </c>
      <c r="F4402" t="s">
        <v>7</v>
      </c>
      <c r="G4402">
        <v>1</v>
      </c>
      <c r="H4402" s="2">
        <f>Tabelle13[[#This Row],[commits]]/Tabelle13[[#Totals],[commits]]</f>
        <v>4.6477904404246225E-6</v>
      </c>
      <c r="I4402" s="5">
        <f>Tabelle13[[#This Row],[%]]+I4401</f>
        <v>0.97841101340420278</v>
      </c>
      <c r="J4402" s="4">
        <f t="shared" si="169"/>
        <v>1.105583195135434E-4</v>
      </c>
      <c r="K4402" s="5">
        <f t="shared" si="170"/>
        <v>0.48645660585962741</v>
      </c>
    </row>
    <row r="4403" spans="1:11" x14ac:dyDescent="0.25">
      <c r="A4403" t="s">
        <v>1428</v>
      </c>
      <c r="C4403" t="s">
        <v>1429</v>
      </c>
      <c r="D4403" t="s">
        <v>5</v>
      </c>
      <c r="E4403" t="s">
        <v>6</v>
      </c>
      <c r="F4403" t="s">
        <v>7</v>
      </c>
      <c r="G4403">
        <v>1</v>
      </c>
      <c r="H4403" s="2">
        <f>Tabelle13[[#This Row],[commits]]/Tabelle13[[#Totals],[commits]]</f>
        <v>4.6477904404246225E-6</v>
      </c>
      <c r="I4403" s="5">
        <f>Tabelle13[[#This Row],[%]]+I4402</f>
        <v>0.97841566119464318</v>
      </c>
      <c r="J4403" s="4">
        <f t="shared" si="169"/>
        <v>1.105583195135434E-4</v>
      </c>
      <c r="K4403" s="5">
        <f t="shared" si="170"/>
        <v>0.48656716417914098</v>
      </c>
    </row>
    <row r="4404" spans="1:11" x14ac:dyDescent="0.25">
      <c r="A4404" t="s">
        <v>1430</v>
      </c>
      <c r="C4404" t="s">
        <v>1431</v>
      </c>
      <c r="D4404" t="s">
        <v>5</v>
      </c>
      <c r="E4404" t="s">
        <v>6</v>
      </c>
      <c r="F4404" t="s">
        <v>7</v>
      </c>
      <c r="G4404">
        <v>1</v>
      </c>
      <c r="H4404" s="2">
        <f>Tabelle13[[#This Row],[commits]]/Tabelle13[[#Totals],[commits]]</f>
        <v>4.6477904404246225E-6</v>
      </c>
      <c r="I4404" s="5">
        <f>Tabelle13[[#This Row],[%]]+I4403</f>
        <v>0.97842030898508359</v>
      </c>
      <c r="J4404" s="4">
        <f t="shared" si="169"/>
        <v>1.105583195135434E-4</v>
      </c>
      <c r="K4404" s="5">
        <f t="shared" si="170"/>
        <v>0.48667772249865454</v>
      </c>
    </row>
    <row r="4405" spans="1:11" x14ac:dyDescent="0.25">
      <c r="A4405" t="s">
        <v>1432</v>
      </c>
      <c r="C4405" t="s">
        <v>1433</v>
      </c>
      <c r="D4405" t="s">
        <v>5</v>
      </c>
      <c r="E4405" t="s">
        <v>6</v>
      </c>
      <c r="F4405" t="s">
        <v>7</v>
      </c>
      <c r="G4405">
        <v>1</v>
      </c>
      <c r="H4405" s="2">
        <f>Tabelle13[[#This Row],[commits]]/Tabelle13[[#Totals],[commits]]</f>
        <v>4.6477904404246225E-6</v>
      </c>
      <c r="I4405" s="5">
        <f>Tabelle13[[#This Row],[%]]+I4404</f>
        <v>0.97842495677552399</v>
      </c>
      <c r="J4405" s="4">
        <f t="shared" si="169"/>
        <v>1.105583195135434E-4</v>
      </c>
      <c r="K4405" s="5">
        <f t="shared" si="170"/>
        <v>0.48678828081816811</v>
      </c>
    </row>
    <row r="4406" spans="1:11" x14ac:dyDescent="0.25">
      <c r="A4406" t="s">
        <v>1434</v>
      </c>
      <c r="C4406" t="s">
        <v>1435</v>
      </c>
      <c r="D4406" t="s">
        <v>5</v>
      </c>
      <c r="E4406" t="s">
        <v>6</v>
      </c>
      <c r="F4406" t="s">
        <v>7</v>
      </c>
      <c r="G4406">
        <v>1</v>
      </c>
      <c r="H4406" s="2">
        <f>Tabelle13[[#This Row],[commits]]/Tabelle13[[#Totals],[commits]]</f>
        <v>4.6477904404246225E-6</v>
      </c>
      <c r="I4406" s="5">
        <f>Tabelle13[[#This Row],[%]]+I4405</f>
        <v>0.97842960456596439</v>
      </c>
      <c r="J4406" s="4">
        <f t="shared" si="169"/>
        <v>1.105583195135434E-4</v>
      </c>
      <c r="K4406" s="5">
        <f t="shared" si="170"/>
        <v>0.48689883913768167</v>
      </c>
    </row>
    <row r="4407" spans="1:11" x14ac:dyDescent="0.25">
      <c r="A4407" t="s">
        <v>1436</v>
      </c>
      <c r="C4407" t="s">
        <v>1437</v>
      </c>
      <c r="D4407" t="s">
        <v>5</v>
      </c>
      <c r="E4407" t="s">
        <v>6</v>
      </c>
      <c r="F4407" t="s">
        <v>7</v>
      </c>
      <c r="G4407">
        <v>1</v>
      </c>
      <c r="H4407" s="2">
        <f>Tabelle13[[#This Row],[commits]]/Tabelle13[[#Totals],[commits]]</f>
        <v>4.6477904404246225E-6</v>
      </c>
      <c r="I4407" s="5">
        <f>Tabelle13[[#This Row],[%]]+I4406</f>
        <v>0.9784342523564048</v>
      </c>
      <c r="J4407" s="4">
        <f t="shared" si="169"/>
        <v>1.105583195135434E-4</v>
      </c>
      <c r="K4407" s="5">
        <f t="shared" si="170"/>
        <v>0.48700939745719524</v>
      </c>
    </row>
    <row r="4408" spans="1:11" x14ac:dyDescent="0.25">
      <c r="A4408" t="s">
        <v>1438</v>
      </c>
      <c r="C4408" t="s">
        <v>1439</v>
      </c>
      <c r="D4408" t="s">
        <v>5</v>
      </c>
      <c r="E4408" t="s">
        <v>6</v>
      </c>
      <c r="F4408" t="s">
        <v>7</v>
      </c>
      <c r="G4408">
        <v>1</v>
      </c>
      <c r="H4408" s="2">
        <f>Tabelle13[[#This Row],[commits]]/Tabelle13[[#Totals],[commits]]</f>
        <v>4.6477904404246225E-6</v>
      </c>
      <c r="I4408" s="5">
        <f>Tabelle13[[#This Row],[%]]+I4407</f>
        <v>0.9784389001468452</v>
      </c>
      <c r="J4408" s="4">
        <f t="shared" si="169"/>
        <v>1.105583195135434E-4</v>
      </c>
      <c r="K4408" s="5">
        <f t="shared" si="170"/>
        <v>0.4871199557767088</v>
      </c>
    </row>
    <row r="4409" spans="1:11" x14ac:dyDescent="0.25">
      <c r="A4409" t="s">
        <v>1440</v>
      </c>
      <c r="C4409" t="s">
        <v>1441</v>
      </c>
      <c r="D4409" t="s">
        <v>5</v>
      </c>
      <c r="E4409" t="s">
        <v>6</v>
      </c>
      <c r="F4409" t="s">
        <v>7</v>
      </c>
      <c r="G4409">
        <v>1</v>
      </c>
      <c r="H4409" s="2">
        <f>Tabelle13[[#This Row],[commits]]/Tabelle13[[#Totals],[commits]]</f>
        <v>4.6477904404246225E-6</v>
      </c>
      <c r="I4409" s="5">
        <f>Tabelle13[[#This Row],[%]]+I4408</f>
        <v>0.97844354793728561</v>
      </c>
      <c r="J4409" s="4">
        <f t="shared" si="169"/>
        <v>1.105583195135434E-4</v>
      </c>
      <c r="K4409" s="5">
        <f t="shared" si="170"/>
        <v>0.48723051409622237</v>
      </c>
    </row>
    <row r="4410" spans="1:11" x14ac:dyDescent="0.25">
      <c r="A4410" t="s">
        <v>1442</v>
      </c>
      <c r="C4410" t="s">
        <v>1443</v>
      </c>
      <c r="D4410" t="s">
        <v>5</v>
      </c>
      <c r="E4410" t="s">
        <v>6</v>
      </c>
      <c r="F4410" t="s">
        <v>28</v>
      </c>
      <c r="G4410">
        <v>1</v>
      </c>
      <c r="H4410" s="2">
        <f>Tabelle13[[#This Row],[commits]]/Tabelle13[[#Totals],[commits]]</f>
        <v>4.6477904404246225E-6</v>
      </c>
      <c r="I4410" s="5">
        <f>Tabelle13[[#This Row],[%]]+I4409</f>
        <v>0.97844819572772601</v>
      </c>
      <c r="J4410" s="4">
        <f t="shared" si="169"/>
        <v>1.105583195135434E-4</v>
      </c>
      <c r="K4410" s="5">
        <f t="shared" si="170"/>
        <v>0.48734107241573593</v>
      </c>
    </row>
    <row r="4411" spans="1:11" x14ac:dyDescent="0.25">
      <c r="A4411" t="s">
        <v>1444</v>
      </c>
      <c r="C4411" t="s">
        <v>1445</v>
      </c>
      <c r="D4411" t="s">
        <v>5</v>
      </c>
      <c r="E4411" t="s">
        <v>6</v>
      </c>
      <c r="F4411" t="s">
        <v>7</v>
      </c>
      <c r="G4411">
        <v>1</v>
      </c>
      <c r="H4411" s="2">
        <f>Tabelle13[[#This Row],[commits]]/Tabelle13[[#Totals],[commits]]</f>
        <v>4.6477904404246225E-6</v>
      </c>
      <c r="I4411" s="5">
        <f>Tabelle13[[#This Row],[%]]+I4410</f>
        <v>0.97845284351816642</v>
      </c>
      <c r="J4411" s="4">
        <f t="shared" si="169"/>
        <v>1.105583195135434E-4</v>
      </c>
      <c r="K4411" s="5">
        <f t="shared" si="170"/>
        <v>0.4874516307352495</v>
      </c>
    </row>
    <row r="4412" spans="1:11" x14ac:dyDescent="0.25">
      <c r="A4412" t="s">
        <v>1446</v>
      </c>
      <c r="C4412" t="s">
        <v>1447</v>
      </c>
      <c r="D4412" t="s">
        <v>5</v>
      </c>
      <c r="E4412" t="s">
        <v>6</v>
      </c>
      <c r="F4412" t="s">
        <v>7</v>
      </c>
      <c r="G4412">
        <v>1</v>
      </c>
      <c r="H4412" s="2">
        <f>Tabelle13[[#This Row],[commits]]/Tabelle13[[#Totals],[commits]]</f>
        <v>4.6477904404246225E-6</v>
      </c>
      <c r="I4412" s="5">
        <f>Tabelle13[[#This Row],[%]]+I4411</f>
        <v>0.97845749130860682</v>
      </c>
      <c r="J4412" s="4">
        <f t="shared" si="169"/>
        <v>1.105583195135434E-4</v>
      </c>
      <c r="K4412" s="5">
        <f t="shared" si="170"/>
        <v>0.48756218905476306</v>
      </c>
    </row>
    <row r="4413" spans="1:11" x14ac:dyDescent="0.25">
      <c r="A4413" t="s">
        <v>1448</v>
      </c>
      <c r="C4413" t="s">
        <v>1449</v>
      </c>
      <c r="D4413" t="s">
        <v>5</v>
      </c>
      <c r="E4413" t="s">
        <v>6</v>
      </c>
      <c r="F4413" t="s">
        <v>7</v>
      </c>
      <c r="G4413">
        <v>1</v>
      </c>
      <c r="H4413" s="2">
        <f>Tabelle13[[#This Row],[commits]]/Tabelle13[[#Totals],[commits]]</f>
        <v>4.6477904404246225E-6</v>
      </c>
      <c r="I4413" s="5">
        <f>Tabelle13[[#This Row],[%]]+I4412</f>
        <v>0.97846213909904722</v>
      </c>
      <c r="J4413" s="4">
        <f t="shared" si="169"/>
        <v>1.105583195135434E-4</v>
      </c>
      <c r="K4413" s="5">
        <f t="shared" si="170"/>
        <v>0.48767274737427663</v>
      </c>
    </row>
    <row r="4414" spans="1:11" x14ac:dyDescent="0.25">
      <c r="A4414" t="s">
        <v>1450</v>
      </c>
      <c r="C4414" t="s">
        <v>1451</v>
      </c>
      <c r="D4414" t="s">
        <v>5</v>
      </c>
      <c r="E4414" t="s">
        <v>6</v>
      </c>
      <c r="F4414" t="s">
        <v>7</v>
      </c>
      <c r="G4414">
        <v>1</v>
      </c>
      <c r="H4414" s="2">
        <f>Tabelle13[[#This Row],[commits]]/Tabelle13[[#Totals],[commits]]</f>
        <v>4.6477904404246225E-6</v>
      </c>
      <c r="I4414" s="5">
        <f>Tabelle13[[#This Row],[%]]+I4413</f>
        <v>0.97846678688948763</v>
      </c>
      <c r="J4414" s="4">
        <f t="shared" si="169"/>
        <v>1.105583195135434E-4</v>
      </c>
      <c r="K4414" s="5">
        <f t="shared" si="170"/>
        <v>0.48778330569379019</v>
      </c>
    </row>
    <row r="4415" spans="1:11" x14ac:dyDescent="0.25">
      <c r="A4415" t="s">
        <v>1452</v>
      </c>
      <c r="C4415" t="s">
        <v>1453</v>
      </c>
      <c r="D4415" t="s">
        <v>5</v>
      </c>
      <c r="E4415" t="s">
        <v>6</v>
      </c>
      <c r="F4415" t="s">
        <v>7</v>
      </c>
      <c r="G4415">
        <v>1</v>
      </c>
      <c r="H4415" s="2">
        <f>Tabelle13[[#This Row],[commits]]/Tabelle13[[#Totals],[commits]]</f>
        <v>4.6477904404246225E-6</v>
      </c>
      <c r="I4415" s="5">
        <f>Tabelle13[[#This Row],[%]]+I4414</f>
        <v>0.97847143467992803</v>
      </c>
      <c r="J4415" s="4">
        <f t="shared" si="169"/>
        <v>1.105583195135434E-4</v>
      </c>
      <c r="K4415" s="5">
        <f t="shared" si="170"/>
        <v>0.48789386401330376</v>
      </c>
    </row>
    <row r="4416" spans="1:11" x14ac:dyDescent="0.25">
      <c r="A4416" t="s">
        <v>1454</v>
      </c>
      <c r="C4416" t="s">
        <v>1455</v>
      </c>
      <c r="D4416" t="s">
        <v>5</v>
      </c>
      <c r="E4416" t="s">
        <v>6</v>
      </c>
      <c r="F4416" t="s">
        <v>7</v>
      </c>
      <c r="G4416">
        <v>1</v>
      </c>
      <c r="H4416" s="2">
        <f>Tabelle13[[#This Row],[commits]]/Tabelle13[[#Totals],[commits]]</f>
        <v>4.6477904404246225E-6</v>
      </c>
      <c r="I4416" s="5">
        <f>Tabelle13[[#This Row],[%]]+I4415</f>
        <v>0.97847608247036844</v>
      </c>
      <c r="J4416" s="4">
        <f t="shared" si="169"/>
        <v>1.105583195135434E-4</v>
      </c>
      <c r="K4416" s="5">
        <f t="shared" si="170"/>
        <v>0.48800442233281732</v>
      </c>
    </row>
    <row r="4417" spans="1:11" x14ac:dyDescent="0.25">
      <c r="A4417" t="s">
        <v>1456</v>
      </c>
      <c r="C4417" t="s">
        <v>1457</v>
      </c>
      <c r="D4417" t="s">
        <v>5</v>
      </c>
      <c r="E4417" t="s">
        <v>6</v>
      </c>
      <c r="F4417" t="s">
        <v>7</v>
      </c>
      <c r="G4417">
        <v>1</v>
      </c>
      <c r="H4417" s="2">
        <f>Tabelle13[[#This Row],[commits]]/Tabelle13[[#Totals],[commits]]</f>
        <v>4.6477904404246225E-6</v>
      </c>
      <c r="I4417" s="5">
        <f>Tabelle13[[#This Row],[%]]+I4416</f>
        <v>0.97848073026080884</v>
      </c>
      <c r="J4417" s="4">
        <f t="shared" si="169"/>
        <v>1.105583195135434E-4</v>
      </c>
      <c r="K4417" s="5">
        <f t="shared" si="170"/>
        <v>0.48811498065233089</v>
      </c>
    </row>
    <row r="4418" spans="1:11" x14ac:dyDescent="0.25">
      <c r="A4418" t="s">
        <v>1458</v>
      </c>
      <c r="C4418" t="s">
        <v>1459</v>
      </c>
      <c r="D4418" t="s">
        <v>5</v>
      </c>
      <c r="E4418" t="s">
        <v>6</v>
      </c>
      <c r="F4418" t="s">
        <v>7</v>
      </c>
      <c r="G4418">
        <v>1</v>
      </c>
      <c r="H4418" s="2">
        <f>Tabelle13[[#This Row],[commits]]/Tabelle13[[#Totals],[commits]]</f>
        <v>4.6477904404246225E-6</v>
      </c>
      <c r="I4418" s="5">
        <f>Tabelle13[[#This Row],[%]]+I4417</f>
        <v>0.97848537805124924</v>
      </c>
      <c r="J4418" s="4">
        <f t="shared" si="169"/>
        <v>1.105583195135434E-4</v>
      </c>
      <c r="K4418" s="5">
        <f t="shared" si="170"/>
        <v>0.48822553897184445</v>
      </c>
    </row>
    <row r="4419" spans="1:11" x14ac:dyDescent="0.25">
      <c r="A4419" t="s">
        <v>1460</v>
      </c>
      <c r="C4419" t="s">
        <v>1461</v>
      </c>
      <c r="D4419" t="s">
        <v>5</v>
      </c>
      <c r="E4419" t="s">
        <v>6</v>
      </c>
      <c r="F4419" t="s">
        <v>7</v>
      </c>
      <c r="G4419">
        <v>1</v>
      </c>
      <c r="H4419" s="2">
        <f>Tabelle13[[#This Row],[commits]]/Tabelle13[[#Totals],[commits]]</f>
        <v>4.6477904404246225E-6</v>
      </c>
      <c r="I4419" s="5">
        <f>Tabelle13[[#This Row],[%]]+I4418</f>
        <v>0.97849002584168965</v>
      </c>
      <c r="J4419" s="4">
        <f t="shared" ref="J4419:J4482" si="171">1/9045</f>
        <v>1.105583195135434E-4</v>
      </c>
      <c r="K4419" s="5">
        <f t="shared" si="170"/>
        <v>0.48833609729135802</v>
      </c>
    </row>
    <row r="4420" spans="1:11" x14ac:dyDescent="0.25">
      <c r="A4420" t="s">
        <v>1462</v>
      </c>
      <c r="C4420" t="s">
        <v>1463</v>
      </c>
      <c r="D4420" t="s">
        <v>5</v>
      </c>
      <c r="E4420" t="s">
        <v>6</v>
      </c>
      <c r="F4420" t="s">
        <v>7</v>
      </c>
      <c r="G4420">
        <v>1</v>
      </c>
      <c r="H4420" s="2">
        <f>Tabelle13[[#This Row],[commits]]/Tabelle13[[#Totals],[commits]]</f>
        <v>4.6477904404246225E-6</v>
      </c>
      <c r="I4420" s="5">
        <f>Tabelle13[[#This Row],[%]]+I4419</f>
        <v>0.97849467363213005</v>
      </c>
      <c r="J4420" s="4">
        <f t="shared" si="171"/>
        <v>1.105583195135434E-4</v>
      </c>
      <c r="K4420" s="5">
        <f t="shared" si="170"/>
        <v>0.48844665561087158</v>
      </c>
    </row>
    <row r="4421" spans="1:11" x14ac:dyDescent="0.25">
      <c r="A4421" t="s">
        <v>1464</v>
      </c>
      <c r="C4421" t="s">
        <v>1465</v>
      </c>
      <c r="D4421" t="s">
        <v>5</v>
      </c>
      <c r="E4421" t="s">
        <v>6</v>
      </c>
      <c r="F4421" t="s">
        <v>7</v>
      </c>
      <c r="G4421">
        <v>1</v>
      </c>
      <c r="H4421" s="2">
        <f>Tabelle13[[#This Row],[commits]]/Tabelle13[[#Totals],[commits]]</f>
        <v>4.6477904404246225E-6</v>
      </c>
      <c r="I4421" s="5">
        <f>Tabelle13[[#This Row],[%]]+I4420</f>
        <v>0.97849932142257046</v>
      </c>
      <c r="J4421" s="4">
        <f t="shared" si="171"/>
        <v>1.105583195135434E-4</v>
      </c>
      <c r="K4421" s="5">
        <f t="shared" si="170"/>
        <v>0.48855721393038515</v>
      </c>
    </row>
    <row r="4422" spans="1:11" x14ac:dyDescent="0.25">
      <c r="A4422" t="s">
        <v>1466</v>
      </c>
      <c r="C4422" t="s">
        <v>1467</v>
      </c>
      <c r="D4422" t="s">
        <v>5</v>
      </c>
      <c r="E4422" t="s">
        <v>6</v>
      </c>
      <c r="F4422" t="s">
        <v>7</v>
      </c>
      <c r="G4422">
        <v>1</v>
      </c>
      <c r="H4422" s="2">
        <f>Tabelle13[[#This Row],[commits]]/Tabelle13[[#Totals],[commits]]</f>
        <v>4.6477904404246225E-6</v>
      </c>
      <c r="I4422" s="5">
        <f>Tabelle13[[#This Row],[%]]+I4421</f>
        <v>0.97850396921301086</v>
      </c>
      <c r="J4422" s="4">
        <f t="shared" si="171"/>
        <v>1.105583195135434E-4</v>
      </c>
      <c r="K4422" s="5">
        <f t="shared" ref="K4422:K4485" si="172">J4422+K4421</f>
        <v>0.48866777224989871</v>
      </c>
    </row>
    <row r="4423" spans="1:11" x14ac:dyDescent="0.25">
      <c r="A4423" t="s">
        <v>1468</v>
      </c>
      <c r="C4423" t="s">
        <v>1469</v>
      </c>
      <c r="D4423" t="s">
        <v>5</v>
      </c>
      <c r="E4423" t="s">
        <v>6</v>
      </c>
      <c r="F4423" t="s">
        <v>7</v>
      </c>
      <c r="G4423">
        <v>1</v>
      </c>
      <c r="H4423" s="2">
        <f>Tabelle13[[#This Row],[commits]]/Tabelle13[[#Totals],[commits]]</f>
        <v>4.6477904404246225E-6</v>
      </c>
      <c r="I4423" s="5">
        <f>Tabelle13[[#This Row],[%]]+I4422</f>
        <v>0.97850861700345126</v>
      </c>
      <c r="J4423" s="4">
        <f t="shared" si="171"/>
        <v>1.105583195135434E-4</v>
      </c>
      <c r="K4423" s="5">
        <f t="shared" si="172"/>
        <v>0.48877833056941228</v>
      </c>
    </row>
    <row r="4424" spans="1:11" x14ac:dyDescent="0.25">
      <c r="A4424" t="s">
        <v>1470</v>
      </c>
      <c r="C4424" t="s">
        <v>1471</v>
      </c>
      <c r="D4424" t="s">
        <v>5</v>
      </c>
      <c r="E4424" t="s">
        <v>6</v>
      </c>
      <c r="F4424" t="s">
        <v>7</v>
      </c>
      <c r="G4424">
        <v>1</v>
      </c>
      <c r="H4424" s="2">
        <f>Tabelle13[[#This Row],[commits]]/Tabelle13[[#Totals],[commits]]</f>
        <v>4.6477904404246225E-6</v>
      </c>
      <c r="I4424" s="5">
        <f>Tabelle13[[#This Row],[%]]+I4423</f>
        <v>0.97851326479389167</v>
      </c>
      <c r="J4424" s="4">
        <f t="shared" si="171"/>
        <v>1.105583195135434E-4</v>
      </c>
      <c r="K4424" s="5">
        <f t="shared" si="172"/>
        <v>0.48888888888892584</v>
      </c>
    </row>
    <row r="4425" spans="1:11" x14ac:dyDescent="0.25">
      <c r="A4425" t="s">
        <v>1472</v>
      </c>
      <c r="C4425" t="s">
        <v>1473</v>
      </c>
      <c r="D4425" t="s">
        <v>5</v>
      </c>
      <c r="E4425" t="s">
        <v>6</v>
      </c>
      <c r="F4425" t="s">
        <v>7</v>
      </c>
      <c r="G4425">
        <v>1</v>
      </c>
      <c r="H4425" s="2">
        <f>Tabelle13[[#This Row],[commits]]/Tabelle13[[#Totals],[commits]]</f>
        <v>4.6477904404246225E-6</v>
      </c>
      <c r="I4425" s="5">
        <f>Tabelle13[[#This Row],[%]]+I4424</f>
        <v>0.97851791258433207</v>
      </c>
      <c r="J4425" s="4">
        <f t="shared" si="171"/>
        <v>1.105583195135434E-4</v>
      </c>
      <c r="K4425" s="5">
        <f t="shared" si="172"/>
        <v>0.48899944720843941</v>
      </c>
    </row>
    <row r="4426" spans="1:11" x14ac:dyDescent="0.25">
      <c r="A4426" t="s">
        <v>1474</v>
      </c>
      <c r="C4426" t="s">
        <v>1475</v>
      </c>
      <c r="D4426" t="s">
        <v>5</v>
      </c>
      <c r="E4426" t="s">
        <v>6</v>
      </c>
      <c r="F4426" t="s">
        <v>7</v>
      </c>
      <c r="G4426">
        <v>1</v>
      </c>
      <c r="H4426" s="2">
        <f>Tabelle13[[#This Row],[commits]]/Tabelle13[[#Totals],[commits]]</f>
        <v>4.6477904404246225E-6</v>
      </c>
      <c r="I4426" s="5">
        <f>Tabelle13[[#This Row],[%]]+I4425</f>
        <v>0.97852256037477248</v>
      </c>
      <c r="J4426" s="4">
        <f t="shared" si="171"/>
        <v>1.105583195135434E-4</v>
      </c>
      <c r="K4426" s="5">
        <f t="shared" si="172"/>
        <v>0.48911000552795297</v>
      </c>
    </row>
    <row r="4427" spans="1:11" x14ac:dyDescent="0.25">
      <c r="A4427" t="s">
        <v>1476</v>
      </c>
      <c r="C4427" t="s">
        <v>1477</v>
      </c>
      <c r="D4427" t="s">
        <v>5</v>
      </c>
      <c r="E4427" t="s">
        <v>6</v>
      </c>
      <c r="F4427" t="s">
        <v>7</v>
      </c>
      <c r="G4427">
        <v>1</v>
      </c>
      <c r="H4427" s="2">
        <f>Tabelle13[[#This Row],[commits]]/Tabelle13[[#Totals],[commits]]</f>
        <v>4.6477904404246225E-6</v>
      </c>
      <c r="I4427" s="5">
        <f>Tabelle13[[#This Row],[%]]+I4426</f>
        <v>0.97852720816521288</v>
      </c>
      <c r="J4427" s="4">
        <f t="shared" si="171"/>
        <v>1.105583195135434E-4</v>
      </c>
      <c r="K4427" s="5">
        <f t="shared" si="172"/>
        <v>0.48922056384746654</v>
      </c>
    </row>
    <row r="4428" spans="1:11" x14ac:dyDescent="0.25">
      <c r="A4428" t="s">
        <v>1478</v>
      </c>
      <c r="C4428" t="s">
        <v>1479</v>
      </c>
      <c r="D4428" t="s">
        <v>5</v>
      </c>
      <c r="E4428" t="s">
        <v>6</v>
      </c>
      <c r="F4428" t="s">
        <v>7</v>
      </c>
      <c r="G4428">
        <v>1</v>
      </c>
      <c r="H4428" s="2">
        <f>Tabelle13[[#This Row],[commits]]/Tabelle13[[#Totals],[commits]]</f>
        <v>4.6477904404246225E-6</v>
      </c>
      <c r="I4428" s="5">
        <f>Tabelle13[[#This Row],[%]]+I4427</f>
        <v>0.97853185595565328</v>
      </c>
      <c r="J4428" s="4">
        <f t="shared" si="171"/>
        <v>1.105583195135434E-4</v>
      </c>
      <c r="K4428" s="5">
        <f t="shared" si="172"/>
        <v>0.4893311221669801</v>
      </c>
    </row>
    <row r="4429" spans="1:11" x14ac:dyDescent="0.25">
      <c r="A4429" t="s">
        <v>1480</v>
      </c>
      <c r="C4429" t="s">
        <v>1481</v>
      </c>
      <c r="D4429" t="s">
        <v>5</v>
      </c>
      <c r="E4429" t="s">
        <v>6</v>
      </c>
      <c r="F4429" t="s">
        <v>7</v>
      </c>
      <c r="G4429">
        <v>1</v>
      </c>
      <c r="H4429" s="2">
        <f>Tabelle13[[#This Row],[commits]]/Tabelle13[[#Totals],[commits]]</f>
        <v>4.6477904404246225E-6</v>
      </c>
      <c r="I4429" s="5">
        <f>Tabelle13[[#This Row],[%]]+I4428</f>
        <v>0.97853650374609369</v>
      </c>
      <c r="J4429" s="4">
        <f t="shared" si="171"/>
        <v>1.105583195135434E-4</v>
      </c>
      <c r="K4429" s="5">
        <f t="shared" si="172"/>
        <v>0.48944168048649367</v>
      </c>
    </row>
    <row r="4430" spans="1:11" x14ac:dyDescent="0.25">
      <c r="A4430" t="s">
        <v>1482</v>
      </c>
      <c r="C4430" t="s">
        <v>266</v>
      </c>
      <c r="D4430" t="s">
        <v>5</v>
      </c>
      <c r="E4430" t="s">
        <v>6</v>
      </c>
      <c r="F4430" t="s">
        <v>7</v>
      </c>
      <c r="G4430">
        <v>1</v>
      </c>
      <c r="H4430" s="2">
        <f>Tabelle13[[#This Row],[commits]]/Tabelle13[[#Totals],[commits]]</f>
        <v>4.6477904404246225E-6</v>
      </c>
      <c r="I4430" s="5">
        <f>Tabelle13[[#This Row],[%]]+I4429</f>
        <v>0.97854115153653409</v>
      </c>
      <c r="J4430" s="4">
        <f t="shared" si="171"/>
        <v>1.105583195135434E-4</v>
      </c>
      <c r="K4430" s="5">
        <f t="shared" si="172"/>
        <v>0.48955223880600723</v>
      </c>
    </row>
    <row r="4431" spans="1:11" x14ac:dyDescent="0.25">
      <c r="A4431" t="s">
        <v>1483</v>
      </c>
      <c r="C4431" t="s">
        <v>1484</v>
      </c>
      <c r="D4431" t="s">
        <v>5</v>
      </c>
      <c r="E4431" t="s">
        <v>6</v>
      </c>
      <c r="F4431" t="s">
        <v>7</v>
      </c>
      <c r="G4431">
        <v>1</v>
      </c>
      <c r="H4431" s="2">
        <f>Tabelle13[[#This Row],[commits]]/Tabelle13[[#Totals],[commits]]</f>
        <v>4.6477904404246225E-6</v>
      </c>
      <c r="I4431" s="5">
        <f>Tabelle13[[#This Row],[%]]+I4430</f>
        <v>0.9785457993269745</v>
      </c>
      <c r="J4431" s="4">
        <f t="shared" si="171"/>
        <v>1.105583195135434E-4</v>
      </c>
      <c r="K4431" s="5">
        <f t="shared" si="172"/>
        <v>0.4896627971255208</v>
      </c>
    </row>
    <row r="4432" spans="1:11" x14ac:dyDescent="0.25">
      <c r="A4432" t="s">
        <v>1485</v>
      </c>
      <c r="C4432" t="s">
        <v>1486</v>
      </c>
      <c r="D4432" t="s">
        <v>5</v>
      </c>
      <c r="E4432" t="s">
        <v>6</v>
      </c>
      <c r="F4432" t="s">
        <v>7</v>
      </c>
      <c r="G4432">
        <v>1</v>
      </c>
      <c r="H4432" s="2">
        <f>Tabelle13[[#This Row],[commits]]/Tabelle13[[#Totals],[commits]]</f>
        <v>4.6477904404246225E-6</v>
      </c>
      <c r="I4432" s="5">
        <f>Tabelle13[[#This Row],[%]]+I4431</f>
        <v>0.9785504471174149</v>
      </c>
      <c r="J4432" s="4">
        <f t="shared" si="171"/>
        <v>1.105583195135434E-4</v>
      </c>
      <c r="K4432" s="5">
        <f t="shared" si="172"/>
        <v>0.48977335544503436</v>
      </c>
    </row>
    <row r="4433" spans="1:11" x14ac:dyDescent="0.25">
      <c r="A4433" t="s">
        <v>1487</v>
      </c>
      <c r="C4433" t="s">
        <v>1488</v>
      </c>
      <c r="D4433" t="s">
        <v>5</v>
      </c>
      <c r="E4433" t="s">
        <v>6</v>
      </c>
      <c r="F4433" t="s">
        <v>7</v>
      </c>
      <c r="G4433">
        <v>1</v>
      </c>
      <c r="H4433" s="2">
        <f>Tabelle13[[#This Row],[commits]]/Tabelle13[[#Totals],[commits]]</f>
        <v>4.6477904404246225E-6</v>
      </c>
      <c r="I4433" s="5">
        <f>Tabelle13[[#This Row],[%]]+I4432</f>
        <v>0.97855509490785531</v>
      </c>
      <c r="J4433" s="4">
        <f t="shared" si="171"/>
        <v>1.105583195135434E-4</v>
      </c>
      <c r="K4433" s="5">
        <f t="shared" si="172"/>
        <v>0.48988391376454793</v>
      </c>
    </row>
    <row r="4434" spans="1:11" x14ac:dyDescent="0.25">
      <c r="A4434" t="s">
        <v>1489</v>
      </c>
      <c r="C4434" t="s">
        <v>1490</v>
      </c>
      <c r="D4434" t="s">
        <v>5</v>
      </c>
      <c r="E4434" t="s">
        <v>6</v>
      </c>
      <c r="F4434" t="s">
        <v>7</v>
      </c>
      <c r="G4434">
        <v>1</v>
      </c>
      <c r="H4434" s="2">
        <f>Tabelle13[[#This Row],[commits]]/Tabelle13[[#Totals],[commits]]</f>
        <v>4.6477904404246225E-6</v>
      </c>
      <c r="I4434" s="5">
        <f>Tabelle13[[#This Row],[%]]+I4433</f>
        <v>0.97855974269829571</v>
      </c>
      <c r="J4434" s="4">
        <f t="shared" si="171"/>
        <v>1.105583195135434E-4</v>
      </c>
      <c r="K4434" s="5">
        <f t="shared" si="172"/>
        <v>0.48999447208406149</v>
      </c>
    </row>
    <row r="4435" spans="1:11" x14ac:dyDescent="0.25">
      <c r="A4435" t="s">
        <v>1491</v>
      </c>
      <c r="C4435" t="s">
        <v>1492</v>
      </c>
      <c r="D4435" t="s">
        <v>5</v>
      </c>
      <c r="E4435" t="s">
        <v>6</v>
      </c>
      <c r="F4435" t="s">
        <v>7</v>
      </c>
      <c r="G4435">
        <v>1</v>
      </c>
      <c r="H4435" s="2">
        <f>Tabelle13[[#This Row],[commits]]/Tabelle13[[#Totals],[commits]]</f>
        <v>4.6477904404246225E-6</v>
      </c>
      <c r="I4435" s="5">
        <f>Tabelle13[[#This Row],[%]]+I4434</f>
        <v>0.97856439048873611</v>
      </c>
      <c r="J4435" s="4">
        <f t="shared" si="171"/>
        <v>1.105583195135434E-4</v>
      </c>
      <c r="K4435" s="5">
        <f t="shared" si="172"/>
        <v>0.49010503040357506</v>
      </c>
    </row>
    <row r="4436" spans="1:11" x14ac:dyDescent="0.25">
      <c r="A4436" t="s">
        <v>1493</v>
      </c>
      <c r="C4436" t="s">
        <v>532</v>
      </c>
      <c r="D4436" t="s">
        <v>5</v>
      </c>
      <c r="E4436" t="s">
        <v>6</v>
      </c>
      <c r="F4436" t="s">
        <v>7</v>
      </c>
      <c r="G4436">
        <v>1</v>
      </c>
      <c r="H4436" s="2">
        <f>Tabelle13[[#This Row],[commits]]/Tabelle13[[#Totals],[commits]]</f>
        <v>4.6477904404246225E-6</v>
      </c>
      <c r="I4436" s="5">
        <f>Tabelle13[[#This Row],[%]]+I4435</f>
        <v>0.97856903827917652</v>
      </c>
      <c r="J4436" s="4">
        <f t="shared" si="171"/>
        <v>1.105583195135434E-4</v>
      </c>
      <c r="K4436" s="5">
        <f t="shared" si="172"/>
        <v>0.49021558872308862</v>
      </c>
    </row>
    <row r="4437" spans="1:11" x14ac:dyDescent="0.25">
      <c r="A4437" t="s">
        <v>1494</v>
      </c>
      <c r="C4437" t="s">
        <v>1495</v>
      </c>
      <c r="D4437" t="s">
        <v>5</v>
      </c>
      <c r="E4437" t="s">
        <v>6</v>
      </c>
      <c r="F4437" t="s">
        <v>7</v>
      </c>
      <c r="G4437">
        <v>1</v>
      </c>
      <c r="H4437" s="2">
        <f>Tabelle13[[#This Row],[commits]]/Tabelle13[[#Totals],[commits]]</f>
        <v>4.6477904404246225E-6</v>
      </c>
      <c r="I4437" s="5">
        <f>Tabelle13[[#This Row],[%]]+I4436</f>
        <v>0.97857368606961692</v>
      </c>
      <c r="J4437" s="4">
        <f t="shared" si="171"/>
        <v>1.105583195135434E-4</v>
      </c>
      <c r="K4437" s="5">
        <f t="shared" si="172"/>
        <v>0.49032614704260219</v>
      </c>
    </row>
    <row r="4438" spans="1:11" x14ac:dyDescent="0.25">
      <c r="A4438" t="s">
        <v>1496</v>
      </c>
      <c r="C4438" t="s">
        <v>1497</v>
      </c>
      <c r="D4438" t="s">
        <v>5</v>
      </c>
      <c r="E4438" t="s">
        <v>6</v>
      </c>
      <c r="F4438" t="s">
        <v>7</v>
      </c>
      <c r="G4438">
        <v>1</v>
      </c>
      <c r="H4438" s="2">
        <f>Tabelle13[[#This Row],[commits]]/Tabelle13[[#Totals],[commits]]</f>
        <v>4.6477904404246225E-6</v>
      </c>
      <c r="I4438" s="5">
        <f>Tabelle13[[#This Row],[%]]+I4437</f>
        <v>0.97857833386005733</v>
      </c>
      <c r="J4438" s="4">
        <f t="shared" si="171"/>
        <v>1.105583195135434E-4</v>
      </c>
      <c r="K4438" s="5">
        <f t="shared" si="172"/>
        <v>0.49043670536211575</v>
      </c>
    </row>
    <row r="4439" spans="1:11" x14ac:dyDescent="0.25">
      <c r="A4439" t="s">
        <v>1498</v>
      </c>
      <c r="C4439" t="s">
        <v>1499</v>
      </c>
      <c r="D4439" t="s">
        <v>5</v>
      </c>
      <c r="E4439" t="s">
        <v>6</v>
      </c>
      <c r="F4439" t="s">
        <v>7</v>
      </c>
      <c r="G4439">
        <v>1</v>
      </c>
      <c r="H4439" s="2">
        <f>Tabelle13[[#This Row],[commits]]/Tabelle13[[#Totals],[commits]]</f>
        <v>4.6477904404246225E-6</v>
      </c>
      <c r="I4439" s="5">
        <f>Tabelle13[[#This Row],[%]]+I4438</f>
        <v>0.97858298165049773</v>
      </c>
      <c r="J4439" s="4">
        <f t="shared" si="171"/>
        <v>1.105583195135434E-4</v>
      </c>
      <c r="K4439" s="5">
        <f t="shared" si="172"/>
        <v>0.49054726368162932</v>
      </c>
    </row>
    <row r="4440" spans="1:11" x14ac:dyDescent="0.25">
      <c r="A4440" t="s">
        <v>1500</v>
      </c>
      <c r="C4440" t="s">
        <v>1501</v>
      </c>
      <c r="D4440" t="s">
        <v>5</v>
      </c>
      <c r="E4440" t="s">
        <v>6</v>
      </c>
      <c r="F4440" t="s">
        <v>7</v>
      </c>
      <c r="G4440">
        <v>1</v>
      </c>
      <c r="H4440" s="2">
        <f>Tabelle13[[#This Row],[commits]]/Tabelle13[[#Totals],[commits]]</f>
        <v>4.6477904404246225E-6</v>
      </c>
      <c r="I4440" s="5">
        <f>Tabelle13[[#This Row],[%]]+I4439</f>
        <v>0.97858762944093813</v>
      </c>
      <c r="J4440" s="4">
        <f t="shared" si="171"/>
        <v>1.105583195135434E-4</v>
      </c>
      <c r="K4440" s="5">
        <f t="shared" si="172"/>
        <v>0.49065782200114288</v>
      </c>
    </row>
    <row r="4441" spans="1:11" x14ac:dyDescent="0.25">
      <c r="A4441" t="s">
        <v>1502</v>
      </c>
      <c r="C4441" t="s">
        <v>1503</v>
      </c>
      <c r="D4441" t="s">
        <v>5</v>
      </c>
      <c r="E4441" t="s">
        <v>6</v>
      </c>
      <c r="F4441" t="s">
        <v>7</v>
      </c>
      <c r="G4441">
        <v>1</v>
      </c>
      <c r="H4441" s="2">
        <f>Tabelle13[[#This Row],[commits]]/Tabelle13[[#Totals],[commits]]</f>
        <v>4.6477904404246225E-6</v>
      </c>
      <c r="I4441" s="5">
        <f>Tabelle13[[#This Row],[%]]+I4440</f>
        <v>0.97859227723137854</v>
      </c>
      <c r="J4441" s="4">
        <f t="shared" si="171"/>
        <v>1.105583195135434E-4</v>
      </c>
      <c r="K4441" s="5">
        <f t="shared" si="172"/>
        <v>0.49076838032065645</v>
      </c>
    </row>
    <row r="4442" spans="1:11" x14ac:dyDescent="0.25">
      <c r="A4442" t="s">
        <v>1504</v>
      </c>
      <c r="C4442" t="s">
        <v>1505</v>
      </c>
      <c r="D4442" t="s">
        <v>5</v>
      </c>
      <c r="E4442" t="s">
        <v>6</v>
      </c>
      <c r="F4442" t="s">
        <v>7</v>
      </c>
      <c r="G4442">
        <v>1</v>
      </c>
      <c r="H4442" s="2">
        <f>Tabelle13[[#This Row],[commits]]/Tabelle13[[#Totals],[commits]]</f>
        <v>4.6477904404246225E-6</v>
      </c>
      <c r="I4442" s="5">
        <f>Tabelle13[[#This Row],[%]]+I4441</f>
        <v>0.97859692502181894</v>
      </c>
      <c r="J4442" s="4">
        <f t="shared" si="171"/>
        <v>1.105583195135434E-4</v>
      </c>
      <c r="K4442" s="5">
        <f t="shared" si="172"/>
        <v>0.49087893864017001</v>
      </c>
    </row>
    <row r="4443" spans="1:11" x14ac:dyDescent="0.25">
      <c r="A4443" t="s">
        <v>1506</v>
      </c>
      <c r="C4443" t="s">
        <v>1507</v>
      </c>
      <c r="D4443" t="s">
        <v>5</v>
      </c>
      <c r="E4443" t="s">
        <v>6</v>
      </c>
      <c r="F4443" t="s">
        <v>7</v>
      </c>
      <c r="G4443">
        <v>1</v>
      </c>
      <c r="H4443" s="2">
        <f>Tabelle13[[#This Row],[commits]]/Tabelle13[[#Totals],[commits]]</f>
        <v>4.6477904404246225E-6</v>
      </c>
      <c r="I4443" s="5">
        <f>Tabelle13[[#This Row],[%]]+I4442</f>
        <v>0.97860157281225935</v>
      </c>
      <c r="J4443" s="4">
        <f t="shared" si="171"/>
        <v>1.105583195135434E-4</v>
      </c>
      <c r="K4443" s="5">
        <f t="shared" si="172"/>
        <v>0.49098949695968358</v>
      </c>
    </row>
    <row r="4444" spans="1:11" x14ac:dyDescent="0.25">
      <c r="A4444" t="s">
        <v>1508</v>
      </c>
      <c r="C4444" t="s">
        <v>1509</v>
      </c>
      <c r="D4444" t="s">
        <v>5</v>
      </c>
      <c r="E4444" t="s">
        <v>6</v>
      </c>
      <c r="F4444" t="s">
        <v>7</v>
      </c>
      <c r="G4444">
        <v>1</v>
      </c>
      <c r="H4444" s="2">
        <f>Tabelle13[[#This Row],[commits]]/Tabelle13[[#Totals],[commits]]</f>
        <v>4.6477904404246225E-6</v>
      </c>
      <c r="I4444" s="5">
        <f>Tabelle13[[#This Row],[%]]+I4443</f>
        <v>0.97860622060269975</v>
      </c>
      <c r="J4444" s="4">
        <f t="shared" si="171"/>
        <v>1.105583195135434E-4</v>
      </c>
      <c r="K4444" s="5">
        <f t="shared" si="172"/>
        <v>0.49110005527919715</v>
      </c>
    </row>
    <row r="4445" spans="1:11" x14ac:dyDescent="0.25">
      <c r="A4445" t="s">
        <v>1510</v>
      </c>
      <c r="C4445" t="s">
        <v>1511</v>
      </c>
      <c r="D4445" t="s">
        <v>5</v>
      </c>
      <c r="E4445" t="s">
        <v>6</v>
      </c>
      <c r="F4445" t="s">
        <v>7</v>
      </c>
      <c r="G4445">
        <v>1</v>
      </c>
      <c r="H4445" s="2">
        <f>Tabelle13[[#This Row],[commits]]/Tabelle13[[#Totals],[commits]]</f>
        <v>4.6477904404246225E-6</v>
      </c>
      <c r="I4445" s="5">
        <f>Tabelle13[[#This Row],[%]]+I4444</f>
        <v>0.97861086839314015</v>
      </c>
      <c r="J4445" s="4">
        <f t="shared" si="171"/>
        <v>1.105583195135434E-4</v>
      </c>
      <c r="K4445" s="5">
        <f t="shared" si="172"/>
        <v>0.49121061359871071</v>
      </c>
    </row>
    <row r="4446" spans="1:11" x14ac:dyDescent="0.25">
      <c r="A4446" t="s">
        <v>1512</v>
      </c>
      <c r="C4446" t="s">
        <v>1513</v>
      </c>
      <c r="D4446" t="s">
        <v>5</v>
      </c>
      <c r="E4446" t="s">
        <v>6</v>
      </c>
      <c r="F4446" t="s">
        <v>7</v>
      </c>
      <c r="G4446">
        <v>1</v>
      </c>
      <c r="H4446" s="2">
        <f>Tabelle13[[#This Row],[commits]]/Tabelle13[[#Totals],[commits]]</f>
        <v>4.6477904404246225E-6</v>
      </c>
      <c r="I4446" s="5">
        <f>Tabelle13[[#This Row],[%]]+I4445</f>
        <v>0.97861551618358056</v>
      </c>
      <c r="J4446" s="4">
        <f t="shared" si="171"/>
        <v>1.105583195135434E-4</v>
      </c>
      <c r="K4446" s="5">
        <f t="shared" si="172"/>
        <v>0.49132117191822428</v>
      </c>
    </row>
    <row r="4447" spans="1:11" x14ac:dyDescent="0.25">
      <c r="A4447" t="s">
        <v>1514</v>
      </c>
      <c r="C4447" t="s">
        <v>1515</v>
      </c>
      <c r="D4447" t="s">
        <v>5</v>
      </c>
      <c r="E4447" t="s">
        <v>6</v>
      </c>
      <c r="F4447" t="s">
        <v>7</v>
      </c>
      <c r="G4447">
        <v>1</v>
      </c>
      <c r="H4447" s="2">
        <f>Tabelle13[[#This Row],[commits]]/Tabelle13[[#Totals],[commits]]</f>
        <v>4.6477904404246225E-6</v>
      </c>
      <c r="I4447" s="5">
        <f>Tabelle13[[#This Row],[%]]+I4446</f>
        <v>0.97862016397402096</v>
      </c>
      <c r="J4447" s="4">
        <f t="shared" si="171"/>
        <v>1.105583195135434E-4</v>
      </c>
      <c r="K4447" s="5">
        <f t="shared" si="172"/>
        <v>0.49143173023773784</v>
      </c>
    </row>
    <row r="4448" spans="1:11" x14ac:dyDescent="0.25">
      <c r="A4448" t="s">
        <v>1516</v>
      </c>
      <c r="C4448" t="s">
        <v>1517</v>
      </c>
      <c r="D4448" t="s">
        <v>5</v>
      </c>
      <c r="E4448" t="s">
        <v>6</v>
      </c>
      <c r="F4448" t="s">
        <v>7</v>
      </c>
      <c r="G4448">
        <v>1</v>
      </c>
      <c r="H4448" s="2">
        <f>Tabelle13[[#This Row],[commits]]/Tabelle13[[#Totals],[commits]]</f>
        <v>4.6477904404246225E-6</v>
      </c>
      <c r="I4448" s="5">
        <f>Tabelle13[[#This Row],[%]]+I4447</f>
        <v>0.97862481176446137</v>
      </c>
      <c r="J4448" s="4">
        <f t="shared" si="171"/>
        <v>1.105583195135434E-4</v>
      </c>
      <c r="K4448" s="5">
        <f t="shared" si="172"/>
        <v>0.49154228855725141</v>
      </c>
    </row>
    <row r="4449" spans="1:11" x14ac:dyDescent="0.25">
      <c r="A4449" t="s">
        <v>1518</v>
      </c>
      <c r="C4449" t="s">
        <v>1519</v>
      </c>
      <c r="D4449" t="s">
        <v>5</v>
      </c>
      <c r="E4449" t="s">
        <v>6</v>
      </c>
      <c r="F4449" t="s">
        <v>7</v>
      </c>
      <c r="G4449">
        <v>1</v>
      </c>
      <c r="H4449" s="2">
        <f>Tabelle13[[#This Row],[commits]]/Tabelle13[[#Totals],[commits]]</f>
        <v>4.6477904404246225E-6</v>
      </c>
      <c r="I4449" s="5">
        <f>Tabelle13[[#This Row],[%]]+I4448</f>
        <v>0.97862945955490177</v>
      </c>
      <c r="J4449" s="4">
        <f t="shared" si="171"/>
        <v>1.105583195135434E-4</v>
      </c>
      <c r="K4449" s="5">
        <f t="shared" si="172"/>
        <v>0.49165284687676497</v>
      </c>
    </row>
    <row r="4450" spans="1:11" x14ac:dyDescent="0.25">
      <c r="A4450" t="s">
        <v>1520</v>
      </c>
      <c r="C4450" t="s">
        <v>1521</v>
      </c>
      <c r="D4450" t="s">
        <v>5</v>
      </c>
      <c r="E4450" t="s">
        <v>6</v>
      </c>
      <c r="F4450" t="s">
        <v>7</v>
      </c>
      <c r="G4450">
        <v>1</v>
      </c>
      <c r="H4450" s="2">
        <f>Tabelle13[[#This Row],[commits]]/Tabelle13[[#Totals],[commits]]</f>
        <v>4.6477904404246225E-6</v>
      </c>
      <c r="I4450" s="5">
        <f>Tabelle13[[#This Row],[%]]+I4449</f>
        <v>0.97863410734534217</v>
      </c>
      <c r="J4450" s="4">
        <f t="shared" si="171"/>
        <v>1.105583195135434E-4</v>
      </c>
      <c r="K4450" s="5">
        <f t="shared" si="172"/>
        <v>0.49176340519627854</v>
      </c>
    </row>
    <row r="4451" spans="1:11" x14ac:dyDescent="0.25">
      <c r="A4451" t="s">
        <v>1522</v>
      </c>
      <c r="C4451" t="s">
        <v>1523</v>
      </c>
      <c r="D4451" t="s">
        <v>5</v>
      </c>
      <c r="E4451" t="s">
        <v>6</v>
      </c>
      <c r="F4451" t="s">
        <v>7</v>
      </c>
      <c r="G4451">
        <v>1</v>
      </c>
      <c r="H4451" s="2">
        <f>Tabelle13[[#This Row],[commits]]/Tabelle13[[#Totals],[commits]]</f>
        <v>4.6477904404246225E-6</v>
      </c>
      <c r="I4451" s="5">
        <f>Tabelle13[[#This Row],[%]]+I4450</f>
        <v>0.97863875513578258</v>
      </c>
      <c r="J4451" s="4">
        <f t="shared" si="171"/>
        <v>1.105583195135434E-4</v>
      </c>
      <c r="K4451" s="5">
        <f t="shared" si="172"/>
        <v>0.4918739635157921</v>
      </c>
    </row>
    <row r="4452" spans="1:11" x14ac:dyDescent="0.25">
      <c r="A4452" t="s">
        <v>1524</v>
      </c>
      <c r="C4452" t="s">
        <v>1525</v>
      </c>
      <c r="D4452" t="s">
        <v>5</v>
      </c>
      <c r="E4452" t="s">
        <v>6</v>
      </c>
      <c r="F4452" t="s">
        <v>7</v>
      </c>
      <c r="G4452">
        <v>1</v>
      </c>
      <c r="H4452" s="2">
        <f>Tabelle13[[#This Row],[commits]]/Tabelle13[[#Totals],[commits]]</f>
        <v>4.6477904404246225E-6</v>
      </c>
      <c r="I4452" s="5">
        <f>Tabelle13[[#This Row],[%]]+I4451</f>
        <v>0.97864340292622298</v>
      </c>
      <c r="J4452" s="4">
        <f t="shared" si="171"/>
        <v>1.105583195135434E-4</v>
      </c>
      <c r="K4452" s="5">
        <f t="shared" si="172"/>
        <v>0.49198452183530567</v>
      </c>
    </row>
    <row r="4453" spans="1:11" x14ac:dyDescent="0.25">
      <c r="A4453" t="s">
        <v>1526</v>
      </c>
      <c r="C4453" t="s">
        <v>1527</v>
      </c>
      <c r="D4453" t="s">
        <v>5</v>
      </c>
      <c r="E4453" t="s">
        <v>6</v>
      </c>
      <c r="F4453" t="s">
        <v>334</v>
      </c>
      <c r="G4453">
        <v>1</v>
      </c>
      <c r="H4453" s="2">
        <f>Tabelle13[[#This Row],[commits]]/Tabelle13[[#Totals],[commits]]</f>
        <v>4.6477904404246225E-6</v>
      </c>
      <c r="I4453" s="5">
        <f>Tabelle13[[#This Row],[%]]+I4452</f>
        <v>0.97864805071666339</v>
      </c>
      <c r="J4453" s="4">
        <f t="shared" si="171"/>
        <v>1.105583195135434E-4</v>
      </c>
      <c r="K4453" s="5">
        <f t="shared" si="172"/>
        <v>0.49209508015481923</v>
      </c>
    </row>
    <row r="4454" spans="1:11" x14ac:dyDescent="0.25">
      <c r="A4454" t="s">
        <v>1528</v>
      </c>
      <c r="C4454" t="s">
        <v>1529</v>
      </c>
      <c r="D4454" t="s">
        <v>5</v>
      </c>
      <c r="E4454" t="s">
        <v>6</v>
      </c>
      <c r="F4454" t="s">
        <v>7</v>
      </c>
      <c r="G4454">
        <v>1</v>
      </c>
      <c r="H4454" s="2">
        <f>Tabelle13[[#This Row],[commits]]/Tabelle13[[#Totals],[commits]]</f>
        <v>4.6477904404246225E-6</v>
      </c>
      <c r="I4454" s="5">
        <f>Tabelle13[[#This Row],[%]]+I4453</f>
        <v>0.97865269850710379</v>
      </c>
      <c r="J4454" s="4">
        <f t="shared" si="171"/>
        <v>1.105583195135434E-4</v>
      </c>
      <c r="K4454" s="5">
        <f t="shared" si="172"/>
        <v>0.4922056384743328</v>
      </c>
    </row>
    <row r="4455" spans="1:11" x14ac:dyDescent="0.25">
      <c r="A4455" t="s">
        <v>1530</v>
      </c>
      <c r="C4455" t="s">
        <v>1531</v>
      </c>
      <c r="D4455" t="s">
        <v>5</v>
      </c>
      <c r="E4455" t="s">
        <v>6</v>
      </c>
      <c r="F4455" t="s">
        <v>7</v>
      </c>
      <c r="G4455">
        <v>1</v>
      </c>
      <c r="H4455" s="2">
        <f>Tabelle13[[#This Row],[commits]]/Tabelle13[[#Totals],[commits]]</f>
        <v>4.6477904404246225E-6</v>
      </c>
      <c r="I4455" s="5">
        <f>Tabelle13[[#This Row],[%]]+I4454</f>
        <v>0.9786573462975442</v>
      </c>
      <c r="J4455" s="4">
        <f t="shared" si="171"/>
        <v>1.105583195135434E-4</v>
      </c>
      <c r="K4455" s="5">
        <f t="shared" si="172"/>
        <v>0.49231619679384636</v>
      </c>
    </row>
    <row r="4456" spans="1:11" x14ac:dyDescent="0.25">
      <c r="A4456" t="s">
        <v>1532</v>
      </c>
      <c r="C4456" t="s">
        <v>1533</v>
      </c>
      <c r="D4456" t="s">
        <v>5</v>
      </c>
      <c r="E4456" t="s">
        <v>6</v>
      </c>
      <c r="F4456" t="s">
        <v>7</v>
      </c>
      <c r="G4456">
        <v>1</v>
      </c>
      <c r="H4456" s="2">
        <f>Tabelle13[[#This Row],[commits]]/Tabelle13[[#Totals],[commits]]</f>
        <v>4.6477904404246225E-6</v>
      </c>
      <c r="I4456" s="5">
        <f>Tabelle13[[#This Row],[%]]+I4455</f>
        <v>0.9786619940879846</v>
      </c>
      <c r="J4456" s="4">
        <f t="shared" si="171"/>
        <v>1.105583195135434E-4</v>
      </c>
      <c r="K4456" s="5">
        <f t="shared" si="172"/>
        <v>0.49242675511335993</v>
      </c>
    </row>
    <row r="4457" spans="1:11" x14ac:dyDescent="0.25">
      <c r="A4457" t="s">
        <v>1534</v>
      </c>
      <c r="C4457" t="s">
        <v>1535</v>
      </c>
      <c r="D4457" t="s">
        <v>5</v>
      </c>
      <c r="E4457" t="s">
        <v>6</v>
      </c>
      <c r="F4457" t="s">
        <v>7</v>
      </c>
      <c r="G4457">
        <v>1</v>
      </c>
      <c r="H4457" s="2">
        <f>Tabelle13[[#This Row],[commits]]/Tabelle13[[#Totals],[commits]]</f>
        <v>4.6477904404246225E-6</v>
      </c>
      <c r="I4457" s="5">
        <f>Tabelle13[[#This Row],[%]]+I4456</f>
        <v>0.978666641878425</v>
      </c>
      <c r="J4457" s="4">
        <f t="shared" si="171"/>
        <v>1.105583195135434E-4</v>
      </c>
      <c r="K4457" s="5">
        <f t="shared" si="172"/>
        <v>0.49253731343287349</v>
      </c>
    </row>
    <row r="4458" spans="1:11" x14ac:dyDescent="0.25">
      <c r="A4458" t="s">
        <v>1536</v>
      </c>
      <c r="C4458" t="s">
        <v>1537</v>
      </c>
      <c r="D4458" t="s">
        <v>5</v>
      </c>
      <c r="E4458" t="s">
        <v>6</v>
      </c>
      <c r="F4458" t="s">
        <v>7</v>
      </c>
      <c r="G4458">
        <v>1</v>
      </c>
      <c r="H4458" s="2">
        <f>Tabelle13[[#This Row],[commits]]/Tabelle13[[#Totals],[commits]]</f>
        <v>4.6477904404246225E-6</v>
      </c>
      <c r="I4458" s="5">
        <f>Tabelle13[[#This Row],[%]]+I4457</f>
        <v>0.97867128966886541</v>
      </c>
      <c r="J4458" s="4">
        <f t="shared" si="171"/>
        <v>1.105583195135434E-4</v>
      </c>
      <c r="K4458" s="5">
        <f t="shared" si="172"/>
        <v>0.49264787175238706</v>
      </c>
    </row>
    <row r="4459" spans="1:11" x14ac:dyDescent="0.25">
      <c r="A4459" t="s">
        <v>1538</v>
      </c>
      <c r="C4459" t="s">
        <v>1539</v>
      </c>
      <c r="D4459" t="s">
        <v>5</v>
      </c>
      <c r="E4459" t="s">
        <v>6</v>
      </c>
      <c r="F4459" t="s">
        <v>7</v>
      </c>
      <c r="G4459">
        <v>1</v>
      </c>
      <c r="H4459" s="2">
        <f>Tabelle13[[#This Row],[commits]]/Tabelle13[[#Totals],[commits]]</f>
        <v>4.6477904404246225E-6</v>
      </c>
      <c r="I4459" s="5">
        <f>Tabelle13[[#This Row],[%]]+I4458</f>
        <v>0.97867593745930581</v>
      </c>
      <c r="J4459" s="4">
        <f t="shared" si="171"/>
        <v>1.105583195135434E-4</v>
      </c>
      <c r="K4459" s="5">
        <f t="shared" si="172"/>
        <v>0.49275843007190062</v>
      </c>
    </row>
    <row r="4460" spans="1:11" x14ac:dyDescent="0.25">
      <c r="A4460" t="s">
        <v>1540</v>
      </c>
      <c r="C4460" t="s">
        <v>1541</v>
      </c>
      <c r="D4460" t="s">
        <v>5</v>
      </c>
      <c r="E4460" t="s">
        <v>6</v>
      </c>
      <c r="F4460" t="s">
        <v>7</v>
      </c>
      <c r="G4460">
        <v>1</v>
      </c>
      <c r="H4460" s="2">
        <f>Tabelle13[[#This Row],[commits]]/Tabelle13[[#Totals],[commits]]</f>
        <v>4.6477904404246225E-6</v>
      </c>
      <c r="I4460" s="5">
        <f>Tabelle13[[#This Row],[%]]+I4459</f>
        <v>0.97868058524974622</v>
      </c>
      <c r="J4460" s="4">
        <f t="shared" si="171"/>
        <v>1.105583195135434E-4</v>
      </c>
      <c r="K4460" s="5">
        <f t="shared" si="172"/>
        <v>0.49286898839141419</v>
      </c>
    </row>
    <row r="4461" spans="1:11" x14ac:dyDescent="0.25">
      <c r="A4461" t="s">
        <v>1542</v>
      </c>
      <c r="C4461" t="s">
        <v>1543</v>
      </c>
      <c r="D4461" t="s">
        <v>5</v>
      </c>
      <c r="E4461" t="s">
        <v>6</v>
      </c>
      <c r="F4461" t="s">
        <v>7</v>
      </c>
      <c r="G4461">
        <v>1</v>
      </c>
      <c r="H4461" s="2">
        <f>Tabelle13[[#This Row],[commits]]/Tabelle13[[#Totals],[commits]]</f>
        <v>4.6477904404246225E-6</v>
      </c>
      <c r="I4461" s="5">
        <f>Tabelle13[[#This Row],[%]]+I4460</f>
        <v>0.97868523304018662</v>
      </c>
      <c r="J4461" s="4">
        <f t="shared" si="171"/>
        <v>1.105583195135434E-4</v>
      </c>
      <c r="K4461" s="5">
        <f t="shared" si="172"/>
        <v>0.49297954671092775</v>
      </c>
    </row>
    <row r="4462" spans="1:11" x14ac:dyDescent="0.25">
      <c r="A4462" t="s">
        <v>1544</v>
      </c>
      <c r="C4462" t="s">
        <v>1545</v>
      </c>
      <c r="D4462" t="s">
        <v>5</v>
      </c>
      <c r="E4462" t="s">
        <v>6</v>
      </c>
      <c r="F4462" t="s">
        <v>7</v>
      </c>
      <c r="G4462">
        <v>1</v>
      </c>
      <c r="H4462" s="2">
        <f>Tabelle13[[#This Row],[commits]]/Tabelle13[[#Totals],[commits]]</f>
        <v>4.6477904404246225E-6</v>
      </c>
      <c r="I4462" s="5">
        <f>Tabelle13[[#This Row],[%]]+I4461</f>
        <v>0.97868988083062702</v>
      </c>
      <c r="J4462" s="4">
        <f t="shared" si="171"/>
        <v>1.105583195135434E-4</v>
      </c>
      <c r="K4462" s="5">
        <f t="shared" si="172"/>
        <v>0.49309010503044132</v>
      </c>
    </row>
    <row r="4463" spans="1:11" x14ac:dyDescent="0.25">
      <c r="A4463" t="s">
        <v>1546</v>
      </c>
      <c r="C4463" t="s">
        <v>1547</v>
      </c>
      <c r="D4463" t="s">
        <v>5</v>
      </c>
      <c r="E4463" t="s">
        <v>6</v>
      </c>
      <c r="F4463" t="s">
        <v>7</v>
      </c>
      <c r="G4463">
        <v>1</v>
      </c>
      <c r="H4463" s="2">
        <f>Tabelle13[[#This Row],[commits]]/Tabelle13[[#Totals],[commits]]</f>
        <v>4.6477904404246225E-6</v>
      </c>
      <c r="I4463" s="5">
        <f>Tabelle13[[#This Row],[%]]+I4462</f>
        <v>0.97869452862106743</v>
      </c>
      <c r="J4463" s="4">
        <f t="shared" si="171"/>
        <v>1.105583195135434E-4</v>
      </c>
      <c r="K4463" s="5">
        <f t="shared" si="172"/>
        <v>0.49320066334995488</v>
      </c>
    </row>
    <row r="4464" spans="1:11" x14ac:dyDescent="0.25">
      <c r="A4464" t="s">
        <v>1548</v>
      </c>
      <c r="C4464" t="s">
        <v>1549</v>
      </c>
      <c r="D4464" t="s">
        <v>5</v>
      </c>
      <c r="E4464" t="s">
        <v>6</v>
      </c>
      <c r="F4464" t="s">
        <v>7</v>
      </c>
      <c r="G4464">
        <v>1</v>
      </c>
      <c r="H4464" s="2">
        <f>Tabelle13[[#This Row],[commits]]/Tabelle13[[#Totals],[commits]]</f>
        <v>4.6477904404246225E-6</v>
      </c>
      <c r="I4464" s="5">
        <f>Tabelle13[[#This Row],[%]]+I4463</f>
        <v>0.97869917641150783</v>
      </c>
      <c r="J4464" s="4">
        <f t="shared" si="171"/>
        <v>1.105583195135434E-4</v>
      </c>
      <c r="K4464" s="5">
        <f t="shared" si="172"/>
        <v>0.49331122166946845</v>
      </c>
    </row>
    <row r="4465" spans="1:11" x14ac:dyDescent="0.25">
      <c r="A4465" t="s">
        <v>1550</v>
      </c>
      <c r="C4465" t="s">
        <v>1551</v>
      </c>
      <c r="D4465" t="s">
        <v>5</v>
      </c>
      <c r="E4465" t="s">
        <v>6</v>
      </c>
      <c r="F4465" t="s">
        <v>7</v>
      </c>
      <c r="G4465">
        <v>1</v>
      </c>
      <c r="H4465" s="2">
        <f>Tabelle13[[#This Row],[commits]]/Tabelle13[[#Totals],[commits]]</f>
        <v>4.6477904404246225E-6</v>
      </c>
      <c r="I4465" s="5">
        <f>Tabelle13[[#This Row],[%]]+I4464</f>
        <v>0.97870382420194824</v>
      </c>
      <c r="J4465" s="4">
        <f t="shared" si="171"/>
        <v>1.105583195135434E-4</v>
      </c>
      <c r="K4465" s="5">
        <f t="shared" si="172"/>
        <v>0.49342177998898201</v>
      </c>
    </row>
    <row r="4466" spans="1:11" x14ac:dyDescent="0.25">
      <c r="A4466" t="s">
        <v>1552</v>
      </c>
      <c r="C4466" t="s">
        <v>1553</v>
      </c>
      <c r="D4466" t="s">
        <v>5</v>
      </c>
      <c r="E4466" t="s">
        <v>6</v>
      </c>
      <c r="F4466" t="s">
        <v>7</v>
      </c>
      <c r="G4466">
        <v>1</v>
      </c>
      <c r="H4466" s="2">
        <f>Tabelle13[[#This Row],[commits]]/Tabelle13[[#Totals],[commits]]</f>
        <v>4.6477904404246225E-6</v>
      </c>
      <c r="I4466" s="5">
        <f>Tabelle13[[#This Row],[%]]+I4465</f>
        <v>0.97870847199238864</v>
      </c>
      <c r="J4466" s="4">
        <f t="shared" si="171"/>
        <v>1.105583195135434E-4</v>
      </c>
      <c r="K4466" s="5">
        <f t="shared" si="172"/>
        <v>0.49353233830849558</v>
      </c>
    </row>
    <row r="4467" spans="1:11" x14ac:dyDescent="0.25">
      <c r="A4467" t="s">
        <v>1554</v>
      </c>
      <c r="C4467" t="s">
        <v>1555</v>
      </c>
      <c r="D4467" t="s">
        <v>5</v>
      </c>
      <c r="E4467" t="s">
        <v>6</v>
      </c>
      <c r="F4467" t="s">
        <v>7</v>
      </c>
      <c r="G4467">
        <v>1</v>
      </c>
      <c r="H4467" s="2">
        <f>Tabelle13[[#This Row],[commits]]/Tabelle13[[#Totals],[commits]]</f>
        <v>4.6477904404246225E-6</v>
      </c>
      <c r="I4467" s="5">
        <f>Tabelle13[[#This Row],[%]]+I4466</f>
        <v>0.97871311978282904</v>
      </c>
      <c r="J4467" s="4">
        <f t="shared" si="171"/>
        <v>1.105583195135434E-4</v>
      </c>
      <c r="K4467" s="5">
        <f t="shared" si="172"/>
        <v>0.49364289662800914</v>
      </c>
    </row>
    <row r="4468" spans="1:11" x14ac:dyDescent="0.25">
      <c r="A4468" t="s">
        <v>1556</v>
      </c>
      <c r="C4468" t="s">
        <v>1557</v>
      </c>
      <c r="D4468" t="s">
        <v>5</v>
      </c>
      <c r="E4468" t="s">
        <v>6</v>
      </c>
      <c r="F4468" t="s">
        <v>7</v>
      </c>
      <c r="G4468">
        <v>1</v>
      </c>
      <c r="H4468" s="2">
        <f>Tabelle13[[#This Row],[commits]]/Tabelle13[[#Totals],[commits]]</f>
        <v>4.6477904404246225E-6</v>
      </c>
      <c r="I4468" s="5">
        <f>Tabelle13[[#This Row],[%]]+I4467</f>
        <v>0.97871776757326945</v>
      </c>
      <c r="J4468" s="4">
        <f t="shared" si="171"/>
        <v>1.105583195135434E-4</v>
      </c>
      <c r="K4468" s="5">
        <f t="shared" si="172"/>
        <v>0.49375345494752271</v>
      </c>
    </row>
    <row r="4469" spans="1:11" x14ac:dyDescent="0.25">
      <c r="A4469" t="s">
        <v>1558</v>
      </c>
      <c r="C4469" t="s">
        <v>1559</v>
      </c>
      <c r="D4469" t="s">
        <v>5</v>
      </c>
      <c r="E4469" t="s">
        <v>6</v>
      </c>
      <c r="F4469" t="s">
        <v>7</v>
      </c>
      <c r="G4469">
        <v>1</v>
      </c>
      <c r="H4469" s="2">
        <f>Tabelle13[[#This Row],[commits]]/Tabelle13[[#Totals],[commits]]</f>
        <v>4.6477904404246225E-6</v>
      </c>
      <c r="I4469" s="5">
        <f>Tabelle13[[#This Row],[%]]+I4468</f>
        <v>0.97872241536370985</v>
      </c>
      <c r="J4469" s="4">
        <f t="shared" si="171"/>
        <v>1.105583195135434E-4</v>
      </c>
      <c r="K4469" s="5">
        <f t="shared" si="172"/>
        <v>0.49386401326703627</v>
      </c>
    </row>
    <row r="4470" spans="1:11" x14ac:dyDescent="0.25">
      <c r="A4470" t="s">
        <v>1560</v>
      </c>
      <c r="C4470" t="s">
        <v>1561</v>
      </c>
      <c r="D4470" t="s">
        <v>5</v>
      </c>
      <c r="E4470" t="s">
        <v>6</v>
      </c>
      <c r="F4470" t="s">
        <v>7</v>
      </c>
      <c r="G4470">
        <v>1</v>
      </c>
      <c r="H4470" s="2">
        <f>Tabelle13[[#This Row],[commits]]/Tabelle13[[#Totals],[commits]]</f>
        <v>4.6477904404246225E-6</v>
      </c>
      <c r="I4470" s="5">
        <f>Tabelle13[[#This Row],[%]]+I4469</f>
        <v>0.97872706315415026</v>
      </c>
      <c r="J4470" s="4">
        <f t="shared" si="171"/>
        <v>1.105583195135434E-4</v>
      </c>
      <c r="K4470" s="5">
        <f t="shared" si="172"/>
        <v>0.49397457158654984</v>
      </c>
    </row>
    <row r="4471" spans="1:11" x14ac:dyDescent="0.25">
      <c r="A4471" t="s">
        <v>1562</v>
      </c>
      <c r="C4471" t="s">
        <v>1563</v>
      </c>
      <c r="D4471" t="s">
        <v>5</v>
      </c>
      <c r="E4471" t="s">
        <v>6</v>
      </c>
      <c r="F4471" t="s">
        <v>7</v>
      </c>
      <c r="G4471">
        <v>1</v>
      </c>
      <c r="H4471" s="2">
        <f>Tabelle13[[#This Row],[commits]]/Tabelle13[[#Totals],[commits]]</f>
        <v>4.6477904404246225E-6</v>
      </c>
      <c r="I4471" s="5">
        <f>Tabelle13[[#This Row],[%]]+I4470</f>
        <v>0.97873171094459066</v>
      </c>
      <c r="J4471" s="4">
        <f t="shared" si="171"/>
        <v>1.105583195135434E-4</v>
      </c>
      <c r="K4471" s="5">
        <f t="shared" si="172"/>
        <v>0.4940851299060634</v>
      </c>
    </row>
    <row r="4472" spans="1:11" x14ac:dyDescent="0.25">
      <c r="A4472" t="s">
        <v>1564</v>
      </c>
      <c r="C4472" t="s">
        <v>1565</v>
      </c>
      <c r="D4472" t="s">
        <v>5</v>
      </c>
      <c r="E4472" t="s">
        <v>6</v>
      </c>
      <c r="F4472" t="s">
        <v>7</v>
      </c>
      <c r="G4472">
        <v>1</v>
      </c>
      <c r="H4472" s="2">
        <f>Tabelle13[[#This Row],[commits]]/Tabelle13[[#Totals],[commits]]</f>
        <v>4.6477904404246225E-6</v>
      </c>
      <c r="I4472" s="5">
        <f>Tabelle13[[#This Row],[%]]+I4471</f>
        <v>0.97873635873503106</v>
      </c>
      <c r="J4472" s="4">
        <f t="shared" si="171"/>
        <v>1.105583195135434E-4</v>
      </c>
      <c r="K4472" s="5">
        <f t="shared" si="172"/>
        <v>0.49419568822557697</v>
      </c>
    </row>
    <row r="4473" spans="1:11" x14ac:dyDescent="0.25">
      <c r="A4473" t="s">
        <v>1566</v>
      </c>
      <c r="C4473" t="s">
        <v>1567</v>
      </c>
      <c r="D4473" t="s">
        <v>5</v>
      </c>
      <c r="E4473" t="s">
        <v>6</v>
      </c>
      <c r="F4473" t="s">
        <v>7</v>
      </c>
      <c r="G4473">
        <v>1</v>
      </c>
      <c r="H4473" s="2">
        <f>Tabelle13[[#This Row],[commits]]/Tabelle13[[#Totals],[commits]]</f>
        <v>4.6477904404246225E-6</v>
      </c>
      <c r="I4473" s="5">
        <f>Tabelle13[[#This Row],[%]]+I4472</f>
        <v>0.97874100652547147</v>
      </c>
      <c r="J4473" s="4">
        <f t="shared" si="171"/>
        <v>1.105583195135434E-4</v>
      </c>
      <c r="K4473" s="5">
        <f t="shared" si="172"/>
        <v>0.49430624654509053</v>
      </c>
    </row>
    <row r="4474" spans="1:11" x14ac:dyDescent="0.25">
      <c r="A4474" t="s">
        <v>1568</v>
      </c>
      <c r="C4474" t="s">
        <v>1569</v>
      </c>
      <c r="D4474" t="s">
        <v>5</v>
      </c>
      <c r="E4474" t="s">
        <v>6</v>
      </c>
      <c r="F4474" t="s">
        <v>7</v>
      </c>
      <c r="G4474">
        <v>1</v>
      </c>
      <c r="H4474" s="2">
        <f>Tabelle13[[#This Row],[commits]]/Tabelle13[[#Totals],[commits]]</f>
        <v>4.6477904404246225E-6</v>
      </c>
      <c r="I4474" s="5">
        <f>Tabelle13[[#This Row],[%]]+I4473</f>
        <v>0.97874565431591187</v>
      </c>
      <c r="J4474" s="4">
        <f t="shared" si="171"/>
        <v>1.105583195135434E-4</v>
      </c>
      <c r="K4474" s="5">
        <f t="shared" si="172"/>
        <v>0.4944168048646041</v>
      </c>
    </row>
    <row r="4475" spans="1:11" x14ac:dyDescent="0.25">
      <c r="A4475" t="s">
        <v>1570</v>
      </c>
      <c r="C4475" t="s">
        <v>315</v>
      </c>
      <c r="D4475" t="s">
        <v>5</v>
      </c>
      <c r="E4475" t="s">
        <v>6</v>
      </c>
      <c r="F4475" t="s">
        <v>7</v>
      </c>
      <c r="G4475">
        <v>1</v>
      </c>
      <c r="H4475" s="2">
        <f>Tabelle13[[#This Row],[commits]]/Tabelle13[[#Totals],[commits]]</f>
        <v>4.6477904404246225E-6</v>
      </c>
      <c r="I4475" s="5">
        <f>Tabelle13[[#This Row],[%]]+I4474</f>
        <v>0.97875030210635228</v>
      </c>
      <c r="J4475" s="4">
        <f t="shared" si="171"/>
        <v>1.105583195135434E-4</v>
      </c>
      <c r="K4475" s="5">
        <f t="shared" si="172"/>
        <v>0.49452736318411766</v>
      </c>
    </row>
    <row r="4476" spans="1:11" x14ac:dyDescent="0.25">
      <c r="A4476" t="s">
        <v>1571</v>
      </c>
      <c r="C4476" t="s">
        <v>1572</v>
      </c>
      <c r="D4476" t="s">
        <v>5</v>
      </c>
      <c r="E4476" t="s">
        <v>6</v>
      </c>
      <c r="F4476" t="s">
        <v>28</v>
      </c>
      <c r="G4476">
        <v>1</v>
      </c>
      <c r="H4476" s="2">
        <f>Tabelle13[[#This Row],[commits]]/Tabelle13[[#Totals],[commits]]</f>
        <v>4.6477904404246225E-6</v>
      </c>
      <c r="I4476" s="5">
        <f>Tabelle13[[#This Row],[%]]+I4475</f>
        <v>0.97875494989679268</v>
      </c>
      <c r="J4476" s="4">
        <f t="shared" si="171"/>
        <v>1.105583195135434E-4</v>
      </c>
      <c r="K4476" s="5">
        <f t="shared" si="172"/>
        <v>0.49463792150363123</v>
      </c>
    </row>
    <row r="4477" spans="1:11" x14ac:dyDescent="0.25">
      <c r="A4477" t="s">
        <v>1573</v>
      </c>
      <c r="C4477" t="s">
        <v>1574</v>
      </c>
      <c r="D4477" t="s">
        <v>5</v>
      </c>
      <c r="E4477" t="s">
        <v>6</v>
      </c>
      <c r="F4477" t="s">
        <v>7</v>
      </c>
      <c r="G4477">
        <v>1</v>
      </c>
      <c r="H4477" s="2">
        <f>Tabelle13[[#This Row],[commits]]/Tabelle13[[#Totals],[commits]]</f>
        <v>4.6477904404246225E-6</v>
      </c>
      <c r="I4477" s="5">
        <f>Tabelle13[[#This Row],[%]]+I4476</f>
        <v>0.97875959768723308</v>
      </c>
      <c r="J4477" s="4">
        <f t="shared" si="171"/>
        <v>1.105583195135434E-4</v>
      </c>
      <c r="K4477" s="5">
        <f t="shared" si="172"/>
        <v>0.49474847982314479</v>
      </c>
    </row>
    <row r="4478" spans="1:11" x14ac:dyDescent="0.25">
      <c r="A4478" t="s">
        <v>1575</v>
      </c>
      <c r="C4478" t="s">
        <v>1576</v>
      </c>
      <c r="D4478" t="s">
        <v>5</v>
      </c>
      <c r="E4478" t="s">
        <v>6</v>
      </c>
      <c r="F4478" t="s">
        <v>7</v>
      </c>
      <c r="G4478">
        <v>1</v>
      </c>
      <c r="H4478" s="2">
        <f>Tabelle13[[#This Row],[commits]]/Tabelle13[[#Totals],[commits]]</f>
        <v>4.6477904404246225E-6</v>
      </c>
      <c r="I4478" s="5">
        <f>Tabelle13[[#This Row],[%]]+I4477</f>
        <v>0.97876424547767349</v>
      </c>
      <c r="J4478" s="4">
        <f t="shared" si="171"/>
        <v>1.105583195135434E-4</v>
      </c>
      <c r="K4478" s="5">
        <f t="shared" si="172"/>
        <v>0.49485903814265836</v>
      </c>
    </row>
    <row r="4479" spans="1:11" x14ac:dyDescent="0.25">
      <c r="A4479" t="s">
        <v>1577</v>
      </c>
      <c r="C4479" t="s">
        <v>1578</v>
      </c>
      <c r="D4479" t="s">
        <v>5</v>
      </c>
      <c r="E4479" t="s">
        <v>6</v>
      </c>
      <c r="F4479" t="s">
        <v>7</v>
      </c>
      <c r="G4479">
        <v>1</v>
      </c>
      <c r="H4479" s="2">
        <f>Tabelle13[[#This Row],[commits]]/Tabelle13[[#Totals],[commits]]</f>
        <v>4.6477904404246225E-6</v>
      </c>
      <c r="I4479" s="5">
        <f>Tabelle13[[#This Row],[%]]+I4478</f>
        <v>0.97876889326811389</v>
      </c>
      <c r="J4479" s="4">
        <f t="shared" si="171"/>
        <v>1.105583195135434E-4</v>
      </c>
      <c r="K4479" s="5">
        <f t="shared" si="172"/>
        <v>0.49496959646217192</v>
      </c>
    </row>
    <row r="4480" spans="1:11" x14ac:dyDescent="0.25">
      <c r="A4480" t="s">
        <v>1579</v>
      </c>
      <c r="C4480" t="s">
        <v>1580</v>
      </c>
      <c r="D4480" t="s">
        <v>5</v>
      </c>
      <c r="E4480" t="s">
        <v>6</v>
      </c>
      <c r="F4480" t="s">
        <v>7</v>
      </c>
      <c r="G4480">
        <v>1</v>
      </c>
      <c r="H4480" s="2">
        <f>Tabelle13[[#This Row],[commits]]/Tabelle13[[#Totals],[commits]]</f>
        <v>4.6477904404246225E-6</v>
      </c>
      <c r="I4480" s="5">
        <f>Tabelle13[[#This Row],[%]]+I4479</f>
        <v>0.9787735410585543</v>
      </c>
      <c r="J4480" s="4">
        <f t="shared" si="171"/>
        <v>1.105583195135434E-4</v>
      </c>
      <c r="K4480" s="5">
        <f t="shared" si="172"/>
        <v>0.49508015478168549</v>
      </c>
    </row>
    <row r="4481" spans="1:11" x14ac:dyDescent="0.25">
      <c r="A4481" t="s">
        <v>1581</v>
      </c>
      <c r="C4481" t="s">
        <v>1582</v>
      </c>
      <c r="D4481" t="s">
        <v>5</v>
      </c>
      <c r="E4481" t="s">
        <v>6</v>
      </c>
      <c r="F4481" t="s">
        <v>7</v>
      </c>
      <c r="G4481">
        <v>1</v>
      </c>
      <c r="H4481" s="2">
        <f>Tabelle13[[#This Row],[commits]]/Tabelle13[[#Totals],[commits]]</f>
        <v>4.6477904404246225E-6</v>
      </c>
      <c r="I4481" s="5">
        <f>Tabelle13[[#This Row],[%]]+I4480</f>
        <v>0.9787781888489947</v>
      </c>
      <c r="J4481" s="4">
        <f t="shared" si="171"/>
        <v>1.105583195135434E-4</v>
      </c>
      <c r="K4481" s="5">
        <f t="shared" si="172"/>
        <v>0.49519071310119905</v>
      </c>
    </row>
    <row r="4482" spans="1:11" x14ac:dyDescent="0.25">
      <c r="A4482" t="s">
        <v>1583</v>
      </c>
      <c r="C4482" t="s">
        <v>1584</v>
      </c>
      <c r="D4482" t="s">
        <v>5</v>
      </c>
      <c r="E4482" t="s">
        <v>6</v>
      </c>
      <c r="F4482" t="s">
        <v>7</v>
      </c>
      <c r="G4482">
        <v>1</v>
      </c>
      <c r="H4482" s="2">
        <f>Tabelle13[[#This Row],[commits]]/Tabelle13[[#Totals],[commits]]</f>
        <v>4.6477904404246225E-6</v>
      </c>
      <c r="I4482" s="5">
        <f>Tabelle13[[#This Row],[%]]+I4481</f>
        <v>0.97878283663943511</v>
      </c>
      <c r="J4482" s="4">
        <f t="shared" si="171"/>
        <v>1.105583195135434E-4</v>
      </c>
      <c r="K4482" s="5">
        <f t="shared" si="172"/>
        <v>0.49530127142071262</v>
      </c>
    </row>
    <row r="4483" spans="1:11" x14ac:dyDescent="0.25">
      <c r="A4483" t="s">
        <v>1585</v>
      </c>
      <c r="C4483" t="s">
        <v>1586</v>
      </c>
      <c r="D4483" t="s">
        <v>5</v>
      </c>
      <c r="E4483" t="s">
        <v>6</v>
      </c>
      <c r="F4483" t="s">
        <v>7</v>
      </c>
      <c r="G4483">
        <v>1</v>
      </c>
      <c r="H4483" s="2">
        <f>Tabelle13[[#This Row],[commits]]/Tabelle13[[#Totals],[commits]]</f>
        <v>4.6477904404246225E-6</v>
      </c>
      <c r="I4483" s="5">
        <f>Tabelle13[[#This Row],[%]]+I4482</f>
        <v>0.97878748442987551</v>
      </c>
      <c r="J4483" s="4">
        <f t="shared" ref="J4483:J4546" si="173">1/9045</f>
        <v>1.105583195135434E-4</v>
      </c>
      <c r="K4483" s="5">
        <f t="shared" si="172"/>
        <v>0.49541182974022618</v>
      </c>
    </row>
    <row r="4484" spans="1:11" x14ac:dyDescent="0.25">
      <c r="A4484" t="s">
        <v>1587</v>
      </c>
      <c r="C4484" t="s">
        <v>1588</v>
      </c>
      <c r="D4484" t="s">
        <v>5</v>
      </c>
      <c r="E4484" t="s">
        <v>6</v>
      </c>
      <c r="F4484" t="s">
        <v>7</v>
      </c>
      <c r="G4484">
        <v>1</v>
      </c>
      <c r="H4484" s="2">
        <f>Tabelle13[[#This Row],[commits]]/Tabelle13[[#Totals],[commits]]</f>
        <v>4.6477904404246225E-6</v>
      </c>
      <c r="I4484" s="5">
        <f>Tabelle13[[#This Row],[%]]+I4483</f>
        <v>0.97879213222031591</v>
      </c>
      <c r="J4484" s="4">
        <f t="shared" si="173"/>
        <v>1.105583195135434E-4</v>
      </c>
      <c r="K4484" s="5">
        <f t="shared" si="172"/>
        <v>0.49552238805973975</v>
      </c>
    </row>
    <row r="4485" spans="1:11" x14ac:dyDescent="0.25">
      <c r="A4485" t="s">
        <v>1589</v>
      </c>
      <c r="C4485" t="s">
        <v>1590</v>
      </c>
      <c r="D4485" t="s">
        <v>5</v>
      </c>
      <c r="E4485" t="s">
        <v>6</v>
      </c>
      <c r="F4485" t="s">
        <v>7</v>
      </c>
      <c r="G4485">
        <v>1</v>
      </c>
      <c r="H4485" s="2">
        <f>Tabelle13[[#This Row],[commits]]/Tabelle13[[#Totals],[commits]]</f>
        <v>4.6477904404246225E-6</v>
      </c>
      <c r="I4485" s="5">
        <f>Tabelle13[[#This Row],[%]]+I4484</f>
        <v>0.97879678001075632</v>
      </c>
      <c r="J4485" s="4">
        <f t="shared" si="173"/>
        <v>1.105583195135434E-4</v>
      </c>
      <c r="K4485" s="5">
        <f t="shared" si="172"/>
        <v>0.49563294637925331</v>
      </c>
    </row>
    <row r="4486" spans="1:11" x14ac:dyDescent="0.25">
      <c r="A4486" t="s">
        <v>1591</v>
      </c>
      <c r="C4486" t="s">
        <v>1592</v>
      </c>
      <c r="D4486" t="s">
        <v>5</v>
      </c>
      <c r="E4486" t="s">
        <v>6</v>
      </c>
      <c r="F4486" t="s">
        <v>7</v>
      </c>
      <c r="G4486">
        <v>1</v>
      </c>
      <c r="H4486" s="2">
        <f>Tabelle13[[#This Row],[commits]]/Tabelle13[[#Totals],[commits]]</f>
        <v>4.6477904404246225E-6</v>
      </c>
      <c r="I4486" s="5">
        <f>Tabelle13[[#This Row],[%]]+I4485</f>
        <v>0.97880142780119672</v>
      </c>
      <c r="J4486" s="4">
        <f t="shared" si="173"/>
        <v>1.105583195135434E-4</v>
      </c>
      <c r="K4486" s="5">
        <f t="shared" ref="K4486:K4549" si="174">J4486+K4485</f>
        <v>0.49574350469876688</v>
      </c>
    </row>
    <row r="4487" spans="1:11" x14ac:dyDescent="0.25">
      <c r="A4487" t="s">
        <v>1593</v>
      </c>
      <c r="C4487" t="s">
        <v>1594</v>
      </c>
      <c r="D4487" t="s">
        <v>5</v>
      </c>
      <c r="E4487" t="s">
        <v>6</v>
      </c>
      <c r="F4487" t="s">
        <v>7</v>
      </c>
      <c r="G4487">
        <v>1</v>
      </c>
      <c r="H4487" s="2">
        <f>Tabelle13[[#This Row],[commits]]/Tabelle13[[#Totals],[commits]]</f>
        <v>4.6477904404246225E-6</v>
      </c>
      <c r="I4487" s="5">
        <f>Tabelle13[[#This Row],[%]]+I4486</f>
        <v>0.97880607559163713</v>
      </c>
      <c r="J4487" s="4">
        <f t="shared" si="173"/>
        <v>1.105583195135434E-4</v>
      </c>
      <c r="K4487" s="5">
        <f t="shared" si="174"/>
        <v>0.49585406301828044</v>
      </c>
    </row>
    <row r="4488" spans="1:11" x14ac:dyDescent="0.25">
      <c r="A4488" t="s">
        <v>1595</v>
      </c>
      <c r="C4488" t="s">
        <v>1596</v>
      </c>
      <c r="D4488" t="s">
        <v>5</v>
      </c>
      <c r="E4488" t="s">
        <v>6</v>
      </c>
      <c r="F4488" t="s">
        <v>7</v>
      </c>
      <c r="G4488">
        <v>1</v>
      </c>
      <c r="H4488" s="2">
        <f>Tabelle13[[#This Row],[commits]]/Tabelle13[[#Totals],[commits]]</f>
        <v>4.6477904404246225E-6</v>
      </c>
      <c r="I4488" s="5">
        <f>Tabelle13[[#This Row],[%]]+I4487</f>
        <v>0.97881072338207753</v>
      </c>
      <c r="J4488" s="4">
        <f t="shared" si="173"/>
        <v>1.105583195135434E-4</v>
      </c>
      <c r="K4488" s="5">
        <f t="shared" si="174"/>
        <v>0.49596462133779401</v>
      </c>
    </row>
    <row r="4489" spans="1:11" x14ac:dyDescent="0.25">
      <c r="A4489" t="s">
        <v>1597</v>
      </c>
      <c r="C4489" t="s">
        <v>1598</v>
      </c>
      <c r="D4489" t="s">
        <v>5</v>
      </c>
      <c r="E4489" t="s">
        <v>6</v>
      </c>
      <c r="F4489" t="s">
        <v>7</v>
      </c>
      <c r="G4489">
        <v>1</v>
      </c>
      <c r="H4489" s="2">
        <f>Tabelle13[[#This Row],[commits]]/Tabelle13[[#Totals],[commits]]</f>
        <v>4.6477904404246225E-6</v>
      </c>
      <c r="I4489" s="5">
        <f>Tabelle13[[#This Row],[%]]+I4488</f>
        <v>0.97881537117251793</v>
      </c>
      <c r="J4489" s="4">
        <f t="shared" si="173"/>
        <v>1.105583195135434E-4</v>
      </c>
      <c r="K4489" s="5">
        <f t="shared" si="174"/>
        <v>0.49607517965730757</v>
      </c>
    </row>
    <row r="4490" spans="1:11" x14ac:dyDescent="0.25">
      <c r="A4490" t="s">
        <v>1599</v>
      </c>
      <c r="C4490" t="s">
        <v>122</v>
      </c>
      <c r="D4490" t="s">
        <v>5</v>
      </c>
      <c r="E4490" t="s">
        <v>6</v>
      </c>
      <c r="F4490" t="s">
        <v>7</v>
      </c>
      <c r="G4490">
        <v>1</v>
      </c>
      <c r="H4490" s="2">
        <f>Tabelle13[[#This Row],[commits]]/Tabelle13[[#Totals],[commits]]</f>
        <v>4.6477904404246225E-6</v>
      </c>
      <c r="I4490" s="5">
        <f>Tabelle13[[#This Row],[%]]+I4489</f>
        <v>0.97882001896295834</v>
      </c>
      <c r="J4490" s="4">
        <f t="shared" si="173"/>
        <v>1.105583195135434E-4</v>
      </c>
      <c r="K4490" s="5">
        <f t="shared" si="174"/>
        <v>0.49618573797682114</v>
      </c>
    </row>
    <row r="4491" spans="1:11" x14ac:dyDescent="0.25">
      <c r="A4491" t="s">
        <v>1600</v>
      </c>
      <c r="C4491" t="s">
        <v>1601</v>
      </c>
      <c r="D4491" t="s">
        <v>5</v>
      </c>
      <c r="E4491" t="s">
        <v>6</v>
      </c>
      <c r="F4491" t="s">
        <v>7</v>
      </c>
      <c r="G4491">
        <v>1</v>
      </c>
      <c r="H4491" s="2">
        <f>Tabelle13[[#This Row],[commits]]/Tabelle13[[#Totals],[commits]]</f>
        <v>4.6477904404246225E-6</v>
      </c>
      <c r="I4491" s="5">
        <f>Tabelle13[[#This Row],[%]]+I4490</f>
        <v>0.97882466675339874</v>
      </c>
      <c r="J4491" s="4">
        <f t="shared" si="173"/>
        <v>1.105583195135434E-4</v>
      </c>
      <c r="K4491" s="5">
        <f t="shared" si="174"/>
        <v>0.4962962962963347</v>
      </c>
    </row>
    <row r="4492" spans="1:11" x14ac:dyDescent="0.25">
      <c r="A4492" t="s">
        <v>1602</v>
      </c>
      <c r="C4492" t="s">
        <v>26</v>
      </c>
      <c r="D4492" t="s">
        <v>5</v>
      </c>
      <c r="E4492" t="s">
        <v>6</v>
      </c>
      <c r="F4492" t="s">
        <v>7</v>
      </c>
      <c r="G4492">
        <v>1</v>
      </c>
      <c r="H4492" s="2">
        <f>Tabelle13[[#This Row],[commits]]/Tabelle13[[#Totals],[commits]]</f>
        <v>4.6477904404246225E-6</v>
      </c>
      <c r="I4492" s="5">
        <f>Tabelle13[[#This Row],[%]]+I4491</f>
        <v>0.97882931454383915</v>
      </c>
      <c r="J4492" s="4">
        <f t="shared" si="173"/>
        <v>1.105583195135434E-4</v>
      </c>
      <c r="K4492" s="5">
        <f t="shared" si="174"/>
        <v>0.49640685461584827</v>
      </c>
    </row>
    <row r="4493" spans="1:11" x14ac:dyDescent="0.25">
      <c r="A4493" t="s">
        <v>1603</v>
      </c>
      <c r="C4493" t="s">
        <v>1604</v>
      </c>
      <c r="D4493" t="s">
        <v>5</v>
      </c>
      <c r="E4493" t="s">
        <v>6</v>
      </c>
      <c r="F4493" t="s">
        <v>7</v>
      </c>
      <c r="G4493">
        <v>1</v>
      </c>
      <c r="H4493" s="2">
        <f>Tabelle13[[#This Row],[commits]]/Tabelle13[[#Totals],[commits]]</f>
        <v>4.6477904404246225E-6</v>
      </c>
      <c r="I4493" s="5">
        <f>Tabelle13[[#This Row],[%]]+I4492</f>
        <v>0.97883396233427955</v>
      </c>
      <c r="J4493" s="4">
        <f t="shared" si="173"/>
        <v>1.105583195135434E-4</v>
      </c>
      <c r="K4493" s="5">
        <f t="shared" si="174"/>
        <v>0.49651741293536183</v>
      </c>
    </row>
    <row r="4494" spans="1:11" x14ac:dyDescent="0.25">
      <c r="A4494" t="s">
        <v>1605</v>
      </c>
      <c r="C4494" t="s">
        <v>1606</v>
      </c>
      <c r="D4494" t="s">
        <v>5</v>
      </c>
      <c r="E4494" t="s">
        <v>6</v>
      </c>
      <c r="F4494" t="s">
        <v>7</v>
      </c>
      <c r="G4494">
        <v>1</v>
      </c>
      <c r="H4494" s="2">
        <f>Tabelle13[[#This Row],[commits]]/Tabelle13[[#Totals],[commits]]</f>
        <v>4.6477904404246225E-6</v>
      </c>
      <c r="I4494" s="5">
        <f>Tabelle13[[#This Row],[%]]+I4493</f>
        <v>0.97883861012471995</v>
      </c>
      <c r="J4494" s="4">
        <f t="shared" si="173"/>
        <v>1.105583195135434E-4</v>
      </c>
      <c r="K4494" s="5">
        <f t="shared" si="174"/>
        <v>0.4966279712548754</v>
      </c>
    </row>
    <row r="4495" spans="1:11" x14ac:dyDescent="0.25">
      <c r="A4495" t="s">
        <v>1607</v>
      </c>
      <c r="C4495" t="s">
        <v>1608</v>
      </c>
      <c r="D4495" t="s">
        <v>5</v>
      </c>
      <c r="E4495" t="s">
        <v>6</v>
      </c>
      <c r="F4495" t="s">
        <v>28</v>
      </c>
      <c r="G4495">
        <v>1</v>
      </c>
      <c r="H4495" s="2">
        <f>Tabelle13[[#This Row],[commits]]/Tabelle13[[#Totals],[commits]]</f>
        <v>4.6477904404246225E-6</v>
      </c>
      <c r="I4495" s="5">
        <f>Tabelle13[[#This Row],[%]]+I4494</f>
        <v>0.97884325791516036</v>
      </c>
      <c r="J4495" s="4">
        <f t="shared" si="173"/>
        <v>1.105583195135434E-4</v>
      </c>
      <c r="K4495" s="5">
        <f t="shared" si="174"/>
        <v>0.49673852957438897</v>
      </c>
    </row>
    <row r="4496" spans="1:11" x14ac:dyDescent="0.25">
      <c r="A4496" t="s">
        <v>1609</v>
      </c>
      <c r="C4496" t="s">
        <v>1610</v>
      </c>
      <c r="D4496" t="s">
        <v>5</v>
      </c>
      <c r="E4496" t="s">
        <v>6</v>
      </c>
      <c r="F4496" t="s">
        <v>7</v>
      </c>
      <c r="G4496">
        <v>1</v>
      </c>
      <c r="H4496" s="2">
        <f>Tabelle13[[#This Row],[commits]]/Tabelle13[[#Totals],[commits]]</f>
        <v>4.6477904404246225E-6</v>
      </c>
      <c r="I4496" s="5">
        <f>Tabelle13[[#This Row],[%]]+I4495</f>
        <v>0.97884790570560076</v>
      </c>
      <c r="J4496" s="4">
        <f t="shared" si="173"/>
        <v>1.105583195135434E-4</v>
      </c>
      <c r="K4496" s="5">
        <f t="shared" si="174"/>
        <v>0.49684908789390253</v>
      </c>
    </row>
    <row r="4497" spans="1:11" x14ac:dyDescent="0.25">
      <c r="A4497" t="s">
        <v>1611</v>
      </c>
      <c r="C4497" t="s">
        <v>1612</v>
      </c>
      <c r="D4497" t="s">
        <v>5</v>
      </c>
      <c r="E4497" t="s">
        <v>6</v>
      </c>
      <c r="F4497" t="s">
        <v>7</v>
      </c>
      <c r="G4497">
        <v>1</v>
      </c>
      <c r="H4497" s="2">
        <f>Tabelle13[[#This Row],[commits]]/Tabelle13[[#Totals],[commits]]</f>
        <v>4.6477904404246225E-6</v>
      </c>
      <c r="I4497" s="5">
        <f>Tabelle13[[#This Row],[%]]+I4496</f>
        <v>0.97885255349604117</v>
      </c>
      <c r="J4497" s="4">
        <f t="shared" si="173"/>
        <v>1.105583195135434E-4</v>
      </c>
      <c r="K4497" s="5">
        <f t="shared" si="174"/>
        <v>0.4969596462134161</v>
      </c>
    </row>
    <row r="4498" spans="1:11" x14ac:dyDescent="0.25">
      <c r="A4498" t="s">
        <v>1613</v>
      </c>
      <c r="C4498" t="s">
        <v>1614</v>
      </c>
      <c r="D4498" t="s">
        <v>5</v>
      </c>
      <c r="E4498" t="s">
        <v>6</v>
      </c>
      <c r="F4498" t="s">
        <v>7</v>
      </c>
      <c r="G4498">
        <v>1</v>
      </c>
      <c r="H4498" s="2">
        <f>Tabelle13[[#This Row],[commits]]/Tabelle13[[#Totals],[commits]]</f>
        <v>4.6477904404246225E-6</v>
      </c>
      <c r="I4498" s="5">
        <f>Tabelle13[[#This Row],[%]]+I4497</f>
        <v>0.97885720128648157</v>
      </c>
      <c r="J4498" s="4">
        <f t="shared" si="173"/>
        <v>1.105583195135434E-4</v>
      </c>
      <c r="K4498" s="5">
        <f t="shared" si="174"/>
        <v>0.49707020453292966</v>
      </c>
    </row>
    <row r="4499" spans="1:11" x14ac:dyDescent="0.25">
      <c r="A4499" t="s">
        <v>1615</v>
      </c>
      <c r="C4499" t="s">
        <v>151</v>
      </c>
      <c r="D4499" t="s">
        <v>5</v>
      </c>
      <c r="E4499" t="s">
        <v>6</v>
      </c>
      <c r="F4499" t="s">
        <v>7</v>
      </c>
      <c r="G4499">
        <v>1</v>
      </c>
      <c r="H4499" s="2">
        <f>Tabelle13[[#This Row],[commits]]/Tabelle13[[#Totals],[commits]]</f>
        <v>4.6477904404246225E-6</v>
      </c>
      <c r="I4499" s="5">
        <f>Tabelle13[[#This Row],[%]]+I4498</f>
        <v>0.97886184907692197</v>
      </c>
      <c r="J4499" s="4">
        <f t="shared" si="173"/>
        <v>1.105583195135434E-4</v>
      </c>
      <c r="K4499" s="5">
        <f t="shared" si="174"/>
        <v>0.49718076285244323</v>
      </c>
    </row>
    <row r="4500" spans="1:11" x14ac:dyDescent="0.25">
      <c r="A4500" t="s">
        <v>1616</v>
      </c>
      <c r="C4500" t="s">
        <v>1617</v>
      </c>
      <c r="D4500" t="s">
        <v>5</v>
      </c>
      <c r="E4500" t="s">
        <v>6</v>
      </c>
      <c r="F4500" t="s">
        <v>7</v>
      </c>
      <c r="G4500">
        <v>1</v>
      </c>
      <c r="H4500" s="2">
        <f>Tabelle13[[#This Row],[commits]]/Tabelle13[[#Totals],[commits]]</f>
        <v>4.6477904404246225E-6</v>
      </c>
      <c r="I4500" s="5">
        <f>Tabelle13[[#This Row],[%]]+I4499</f>
        <v>0.97886649686736238</v>
      </c>
      <c r="J4500" s="4">
        <f t="shared" si="173"/>
        <v>1.105583195135434E-4</v>
      </c>
      <c r="K4500" s="5">
        <f t="shared" si="174"/>
        <v>0.49729132117195679</v>
      </c>
    </row>
    <row r="4501" spans="1:11" x14ac:dyDescent="0.25">
      <c r="A4501" t="s">
        <v>1618</v>
      </c>
      <c r="C4501" t="s">
        <v>26</v>
      </c>
      <c r="D4501" t="s">
        <v>5</v>
      </c>
      <c r="E4501" t="s">
        <v>6</v>
      </c>
      <c r="F4501" t="s">
        <v>7</v>
      </c>
      <c r="G4501">
        <v>1</v>
      </c>
      <c r="H4501" s="2">
        <f>Tabelle13[[#This Row],[commits]]/Tabelle13[[#Totals],[commits]]</f>
        <v>4.6477904404246225E-6</v>
      </c>
      <c r="I4501" s="5">
        <f>Tabelle13[[#This Row],[%]]+I4500</f>
        <v>0.97887114465780278</v>
      </c>
      <c r="J4501" s="4">
        <f t="shared" si="173"/>
        <v>1.105583195135434E-4</v>
      </c>
      <c r="K4501" s="5">
        <f t="shared" si="174"/>
        <v>0.49740187949147036</v>
      </c>
    </row>
    <row r="4502" spans="1:11" x14ac:dyDescent="0.25">
      <c r="A4502" t="s">
        <v>1619</v>
      </c>
      <c r="C4502" t="s">
        <v>1620</v>
      </c>
      <c r="D4502" t="s">
        <v>5</v>
      </c>
      <c r="E4502" t="s">
        <v>6</v>
      </c>
      <c r="F4502" t="s">
        <v>7</v>
      </c>
      <c r="G4502">
        <v>1</v>
      </c>
      <c r="H4502" s="2">
        <f>Tabelle13[[#This Row],[commits]]/Tabelle13[[#Totals],[commits]]</f>
        <v>4.6477904404246225E-6</v>
      </c>
      <c r="I4502" s="5">
        <f>Tabelle13[[#This Row],[%]]+I4501</f>
        <v>0.97887579244824319</v>
      </c>
      <c r="J4502" s="4">
        <f t="shared" si="173"/>
        <v>1.105583195135434E-4</v>
      </c>
      <c r="K4502" s="5">
        <f t="shared" si="174"/>
        <v>0.49751243781098392</v>
      </c>
    </row>
    <row r="4503" spans="1:11" x14ac:dyDescent="0.25">
      <c r="A4503" t="s">
        <v>1621</v>
      </c>
      <c r="C4503" t="s">
        <v>1622</v>
      </c>
      <c r="D4503" t="s">
        <v>5</v>
      </c>
      <c r="E4503" t="s">
        <v>6</v>
      </c>
      <c r="F4503" t="s">
        <v>7</v>
      </c>
      <c r="G4503">
        <v>1</v>
      </c>
      <c r="H4503" s="2">
        <f>Tabelle13[[#This Row],[commits]]/Tabelle13[[#Totals],[commits]]</f>
        <v>4.6477904404246225E-6</v>
      </c>
      <c r="I4503" s="5">
        <f>Tabelle13[[#This Row],[%]]+I4502</f>
        <v>0.97888044023868359</v>
      </c>
      <c r="J4503" s="4">
        <f t="shared" si="173"/>
        <v>1.105583195135434E-4</v>
      </c>
      <c r="K4503" s="5">
        <f t="shared" si="174"/>
        <v>0.49762299613049749</v>
      </c>
    </row>
    <row r="4504" spans="1:11" x14ac:dyDescent="0.25">
      <c r="A4504" t="s">
        <v>1623</v>
      </c>
      <c r="C4504" t="s">
        <v>1624</v>
      </c>
      <c r="D4504" t="s">
        <v>5</v>
      </c>
      <c r="E4504" t="s">
        <v>6</v>
      </c>
      <c r="F4504" t="s">
        <v>7</v>
      </c>
      <c r="G4504">
        <v>1</v>
      </c>
      <c r="H4504" s="2">
        <f>Tabelle13[[#This Row],[commits]]/Tabelle13[[#Totals],[commits]]</f>
        <v>4.6477904404246225E-6</v>
      </c>
      <c r="I4504" s="5">
        <f>Tabelle13[[#This Row],[%]]+I4503</f>
        <v>0.978885088029124</v>
      </c>
      <c r="J4504" s="4">
        <f t="shared" si="173"/>
        <v>1.105583195135434E-4</v>
      </c>
      <c r="K4504" s="5">
        <f t="shared" si="174"/>
        <v>0.49773355445001105</v>
      </c>
    </row>
    <row r="4505" spans="1:11" x14ac:dyDescent="0.25">
      <c r="A4505" t="s">
        <v>1625</v>
      </c>
      <c r="C4505" t="s">
        <v>1626</v>
      </c>
      <c r="D4505" t="s">
        <v>5</v>
      </c>
      <c r="E4505" t="s">
        <v>6</v>
      </c>
      <c r="F4505" t="s">
        <v>7</v>
      </c>
      <c r="G4505">
        <v>1</v>
      </c>
      <c r="H4505" s="2">
        <f>Tabelle13[[#This Row],[commits]]/Tabelle13[[#Totals],[commits]]</f>
        <v>4.6477904404246225E-6</v>
      </c>
      <c r="I4505" s="5">
        <f>Tabelle13[[#This Row],[%]]+I4504</f>
        <v>0.9788897358195644</v>
      </c>
      <c r="J4505" s="4">
        <f t="shared" si="173"/>
        <v>1.105583195135434E-4</v>
      </c>
      <c r="K4505" s="5">
        <f t="shared" si="174"/>
        <v>0.49784411276952462</v>
      </c>
    </row>
    <row r="4506" spans="1:11" x14ac:dyDescent="0.25">
      <c r="A4506" t="s">
        <v>1627</v>
      </c>
      <c r="C4506" t="s">
        <v>1628</v>
      </c>
      <c r="D4506" t="s">
        <v>5</v>
      </c>
      <c r="E4506" t="s">
        <v>6</v>
      </c>
      <c r="F4506" t="s">
        <v>7</v>
      </c>
      <c r="G4506">
        <v>1</v>
      </c>
      <c r="H4506" s="2">
        <f>Tabelle13[[#This Row],[commits]]/Tabelle13[[#Totals],[commits]]</f>
        <v>4.6477904404246225E-6</v>
      </c>
      <c r="I4506" s="5">
        <f>Tabelle13[[#This Row],[%]]+I4505</f>
        <v>0.9788943836100048</v>
      </c>
      <c r="J4506" s="4">
        <f t="shared" si="173"/>
        <v>1.105583195135434E-4</v>
      </c>
      <c r="K4506" s="5">
        <f t="shared" si="174"/>
        <v>0.49795467108903818</v>
      </c>
    </row>
    <row r="4507" spans="1:11" x14ac:dyDescent="0.25">
      <c r="A4507" t="s">
        <v>1629</v>
      </c>
      <c r="C4507" t="s">
        <v>1630</v>
      </c>
      <c r="D4507" t="s">
        <v>5</v>
      </c>
      <c r="E4507" t="s">
        <v>6</v>
      </c>
      <c r="F4507" t="s">
        <v>7</v>
      </c>
      <c r="G4507">
        <v>1</v>
      </c>
      <c r="H4507" s="2">
        <f>Tabelle13[[#This Row],[commits]]/Tabelle13[[#Totals],[commits]]</f>
        <v>4.6477904404246225E-6</v>
      </c>
      <c r="I4507" s="5">
        <f>Tabelle13[[#This Row],[%]]+I4506</f>
        <v>0.97889903140044521</v>
      </c>
      <c r="J4507" s="4">
        <f t="shared" si="173"/>
        <v>1.105583195135434E-4</v>
      </c>
      <c r="K4507" s="5">
        <f t="shared" si="174"/>
        <v>0.49806522940855175</v>
      </c>
    </row>
    <row r="4508" spans="1:11" x14ac:dyDescent="0.25">
      <c r="A4508" t="s">
        <v>1631</v>
      </c>
      <c r="C4508" t="s">
        <v>1632</v>
      </c>
      <c r="D4508" t="s">
        <v>5</v>
      </c>
      <c r="E4508" t="s">
        <v>6</v>
      </c>
      <c r="F4508" t="s">
        <v>7</v>
      </c>
      <c r="G4508">
        <v>1</v>
      </c>
      <c r="H4508" s="2">
        <f>Tabelle13[[#This Row],[commits]]/Tabelle13[[#Totals],[commits]]</f>
        <v>4.6477904404246225E-6</v>
      </c>
      <c r="I4508" s="5">
        <f>Tabelle13[[#This Row],[%]]+I4507</f>
        <v>0.97890367919088561</v>
      </c>
      <c r="J4508" s="4">
        <f t="shared" si="173"/>
        <v>1.105583195135434E-4</v>
      </c>
      <c r="K4508" s="5">
        <f t="shared" si="174"/>
        <v>0.49817578772806531</v>
      </c>
    </row>
    <row r="4509" spans="1:11" x14ac:dyDescent="0.25">
      <c r="A4509" t="s">
        <v>1633</v>
      </c>
      <c r="C4509" t="s">
        <v>1634</v>
      </c>
      <c r="D4509" t="s">
        <v>5</v>
      </c>
      <c r="E4509" t="s">
        <v>6</v>
      </c>
      <c r="F4509" t="s">
        <v>7</v>
      </c>
      <c r="G4509">
        <v>1</v>
      </c>
      <c r="H4509" s="2">
        <f>Tabelle13[[#This Row],[commits]]/Tabelle13[[#Totals],[commits]]</f>
        <v>4.6477904404246225E-6</v>
      </c>
      <c r="I4509" s="5">
        <f>Tabelle13[[#This Row],[%]]+I4508</f>
        <v>0.97890832698132602</v>
      </c>
      <c r="J4509" s="4">
        <f t="shared" si="173"/>
        <v>1.105583195135434E-4</v>
      </c>
      <c r="K4509" s="5">
        <f t="shared" si="174"/>
        <v>0.49828634604757888</v>
      </c>
    </row>
    <row r="4510" spans="1:11" x14ac:dyDescent="0.25">
      <c r="A4510" t="s">
        <v>1635</v>
      </c>
      <c r="C4510" t="s">
        <v>1636</v>
      </c>
      <c r="D4510" t="s">
        <v>5</v>
      </c>
      <c r="E4510" t="s">
        <v>6</v>
      </c>
      <c r="F4510" t="s">
        <v>7</v>
      </c>
      <c r="G4510">
        <v>1</v>
      </c>
      <c r="H4510" s="2">
        <f>Tabelle13[[#This Row],[commits]]/Tabelle13[[#Totals],[commits]]</f>
        <v>4.6477904404246225E-6</v>
      </c>
      <c r="I4510" s="5">
        <f>Tabelle13[[#This Row],[%]]+I4509</f>
        <v>0.97891297477176642</v>
      </c>
      <c r="J4510" s="4">
        <f t="shared" si="173"/>
        <v>1.105583195135434E-4</v>
      </c>
      <c r="K4510" s="5">
        <f t="shared" si="174"/>
        <v>0.49839690436709244</v>
      </c>
    </row>
    <row r="4511" spans="1:11" x14ac:dyDescent="0.25">
      <c r="A4511" t="s">
        <v>1637</v>
      </c>
      <c r="C4511" t="s">
        <v>1638</v>
      </c>
      <c r="D4511" t="s">
        <v>5</v>
      </c>
      <c r="E4511" t="s">
        <v>6</v>
      </c>
      <c r="F4511" t="s">
        <v>7</v>
      </c>
      <c r="G4511">
        <v>1</v>
      </c>
      <c r="H4511" s="2">
        <f>Tabelle13[[#This Row],[commits]]/Tabelle13[[#Totals],[commits]]</f>
        <v>4.6477904404246225E-6</v>
      </c>
      <c r="I4511" s="5">
        <f>Tabelle13[[#This Row],[%]]+I4510</f>
        <v>0.97891762256220682</v>
      </c>
      <c r="J4511" s="4">
        <f t="shared" si="173"/>
        <v>1.105583195135434E-4</v>
      </c>
      <c r="K4511" s="5">
        <f t="shared" si="174"/>
        <v>0.49850746268660601</v>
      </c>
    </row>
    <row r="4512" spans="1:11" x14ac:dyDescent="0.25">
      <c r="A4512" t="s">
        <v>1639</v>
      </c>
      <c r="C4512" t="s">
        <v>1640</v>
      </c>
      <c r="D4512" t="s">
        <v>5</v>
      </c>
      <c r="E4512" t="s">
        <v>6</v>
      </c>
      <c r="F4512" t="s">
        <v>7</v>
      </c>
      <c r="G4512">
        <v>1</v>
      </c>
      <c r="H4512" s="2">
        <f>Tabelle13[[#This Row],[commits]]/Tabelle13[[#Totals],[commits]]</f>
        <v>4.6477904404246225E-6</v>
      </c>
      <c r="I4512" s="5">
        <f>Tabelle13[[#This Row],[%]]+I4511</f>
        <v>0.97892227035264723</v>
      </c>
      <c r="J4512" s="4">
        <f t="shared" si="173"/>
        <v>1.105583195135434E-4</v>
      </c>
      <c r="K4512" s="5">
        <f t="shared" si="174"/>
        <v>0.49861802100611957</v>
      </c>
    </row>
    <row r="4513" spans="1:11" x14ac:dyDescent="0.25">
      <c r="A4513" t="s">
        <v>1641</v>
      </c>
      <c r="C4513" t="s">
        <v>1642</v>
      </c>
      <c r="D4513" t="s">
        <v>5</v>
      </c>
      <c r="E4513" t="s">
        <v>6</v>
      </c>
      <c r="F4513" t="s">
        <v>7</v>
      </c>
      <c r="G4513">
        <v>1</v>
      </c>
      <c r="H4513" s="2">
        <f>Tabelle13[[#This Row],[commits]]/Tabelle13[[#Totals],[commits]]</f>
        <v>4.6477904404246225E-6</v>
      </c>
      <c r="I4513" s="5">
        <f>Tabelle13[[#This Row],[%]]+I4512</f>
        <v>0.97892691814308763</v>
      </c>
      <c r="J4513" s="4">
        <f t="shared" si="173"/>
        <v>1.105583195135434E-4</v>
      </c>
      <c r="K4513" s="5">
        <f t="shared" si="174"/>
        <v>0.49872857932563314</v>
      </c>
    </row>
    <row r="4514" spans="1:11" x14ac:dyDescent="0.25">
      <c r="A4514" t="s">
        <v>1643</v>
      </c>
      <c r="C4514" t="s">
        <v>1644</v>
      </c>
      <c r="D4514" t="s">
        <v>5</v>
      </c>
      <c r="E4514" t="s">
        <v>6</v>
      </c>
      <c r="F4514" t="s">
        <v>7</v>
      </c>
      <c r="G4514">
        <v>1</v>
      </c>
      <c r="H4514" s="2">
        <f>Tabelle13[[#This Row],[commits]]/Tabelle13[[#Totals],[commits]]</f>
        <v>4.6477904404246225E-6</v>
      </c>
      <c r="I4514" s="5">
        <f>Tabelle13[[#This Row],[%]]+I4513</f>
        <v>0.97893156593352804</v>
      </c>
      <c r="J4514" s="4">
        <f t="shared" si="173"/>
        <v>1.105583195135434E-4</v>
      </c>
      <c r="K4514" s="5">
        <f t="shared" si="174"/>
        <v>0.4988391376451467</v>
      </c>
    </row>
    <row r="4515" spans="1:11" x14ac:dyDescent="0.25">
      <c r="A4515" t="s">
        <v>1645</v>
      </c>
      <c r="C4515" t="s">
        <v>1646</v>
      </c>
      <c r="D4515" t="s">
        <v>5</v>
      </c>
      <c r="E4515" t="s">
        <v>6</v>
      </c>
      <c r="F4515" t="s">
        <v>7</v>
      </c>
      <c r="G4515">
        <v>1</v>
      </c>
      <c r="H4515" s="2">
        <f>Tabelle13[[#This Row],[commits]]/Tabelle13[[#Totals],[commits]]</f>
        <v>4.6477904404246225E-6</v>
      </c>
      <c r="I4515" s="5">
        <f>Tabelle13[[#This Row],[%]]+I4514</f>
        <v>0.97893621372396844</v>
      </c>
      <c r="J4515" s="4">
        <f t="shared" si="173"/>
        <v>1.105583195135434E-4</v>
      </c>
      <c r="K4515" s="5">
        <f t="shared" si="174"/>
        <v>0.49894969596466027</v>
      </c>
    </row>
    <row r="4516" spans="1:11" x14ac:dyDescent="0.25">
      <c r="A4516" t="s">
        <v>1647</v>
      </c>
      <c r="C4516" t="s">
        <v>1648</v>
      </c>
      <c r="D4516" t="s">
        <v>5</v>
      </c>
      <c r="E4516" t="s">
        <v>6</v>
      </c>
      <c r="F4516" t="s">
        <v>7</v>
      </c>
      <c r="G4516">
        <v>1</v>
      </c>
      <c r="H4516" s="2">
        <f>Tabelle13[[#This Row],[commits]]/Tabelle13[[#Totals],[commits]]</f>
        <v>4.6477904404246225E-6</v>
      </c>
      <c r="I4516" s="5">
        <f>Tabelle13[[#This Row],[%]]+I4515</f>
        <v>0.97894086151440884</v>
      </c>
      <c r="J4516" s="4">
        <f t="shared" si="173"/>
        <v>1.105583195135434E-4</v>
      </c>
      <c r="K4516" s="5">
        <f t="shared" si="174"/>
        <v>0.49906025428417383</v>
      </c>
    </row>
    <row r="4517" spans="1:11" x14ac:dyDescent="0.25">
      <c r="A4517" t="s">
        <v>1649</v>
      </c>
      <c r="C4517" t="s">
        <v>1650</v>
      </c>
      <c r="D4517" t="s">
        <v>5</v>
      </c>
      <c r="E4517" t="s">
        <v>6</v>
      </c>
      <c r="F4517" t="s">
        <v>334</v>
      </c>
      <c r="G4517">
        <v>1</v>
      </c>
      <c r="H4517" s="2">
        <f>Tabelle13[[#This Row],[commits]]/Tabelle13[[#Totals],[commits]]</f>
        <v>4.6477904404246225E-6</v>
      </c>
      <c r="I4517" s="5">
        <f>Tabelle13[[#This Row],[%]]+I4516</f>
        <v>0.97894550930484925</v>
      </c>
      <c r="J4517" s="4">
        <f t="shared" si="173"/>
        <v>1.105583195135434E-4</v>
      </c>
      <c r="K4517" s="5">
        <f t="shared" si="174"/>
        <v>0.4991708126036874</v>
      </c>
    </row>
    <row r="4518" spans="1:11" x14ac:dyDescent="0.25">
      <c r="A4518" t="s">
        <v>1651</v>
      </c>
      <c r="C4518" t="s">
        <v>1652</v>
      </c>
      <c r="D4518" t="s">
        <v>5</v>
      </c>
      <c r="E4518" t="s">
        <v>6</v>
      </c>
      <c r="F4518" t="s">
        <v>7</v>
      </c>
      <c r="G4518">
        <v>1</v>
      </c>
      <c r="H4518" s="2">
        <f>Tabelle13[[#This Row],[commits]]/Tabelle13[[#Totals],[commits]]</f>
        <v>4.6477904404246225E-6</v>
      </c>
      <c r="I4518" s="5">
        <f>Tabelle13[[#This Row],[%]]+I4517</f>
        <v>0.97895015709528965</v>
      </c>
      <c r="J4518" s="4">
        <f t="shared" si="173"/>
        <v>1.105583195135434E-4</v>
      </c>
      <c r="K4518" s="5">
        <f t="shared" si="174"/>
        <v>0.49928137092320096</v>
      </c>
    </row>
    <row r="4519" spans="1:11" x14ac:dyDescent="0.25">
      <c r="A4519" t="s">
        <v>1653</v>
      </c>
      <c r="C4519" t="s">
        <v>1654</v>
      </c>
      <c r="D4519" t="s">
        <v>5</v>
      </c>
      <c r="E4519" t="s">
        <v>6</v>
      </c>
      <c r="F4519" t="s">
        <v>7</v>
      </c>
      <c r="G4519">
        <v>1</v>
      </c>
      <c r="H4519" s="2">
        <f>Tabelle13[[#This Row],[commits]]/Tabelle13[[#Totals],[commits]]</f>
        <v>4.6477904404246225E-6</v>
      </c>
      <c r="I4519" s="5">
        <f>Tabelle13[[#This Row],[%]]+I4518</f>
        <v>0.97895480488573006</v>
      </c>
      <c r="J4519" s="4">
        <f t="shared" si="173"/>
        <v>1.105583195135434E-4</v>
      </c>
      <c r="K4519" s="5">
        <f t="shared" si="174"/>
        <v>0.49939192924271453</v>
      </c>
    </row>
    <row r="4520" spans="1:11" x14ac:dyDescent="0.25">
      <c r="A4520" t="s">
        <v>1655</v>
      </c>
      <c r="C4520" t="s">
        <v>1656</v>
      </c>
      <c r="D4520" t="s">
        <v>5</v>
      </c>
      <c r="E4520" t="s">
        <v>6</v>
      </c>
      <c r="F4520" t="s">
        <v>7</v>
      </c>
      <c r="G4520">
        <v>1</v>
      </c>
      <c r="H4520" s="2">
        <f>Tabelle13[[#This Row],[commits]]/Tabelle13[[#Totals],[commits]]</f>
        <v>4.6477904404246225E-6</v>
      </c>
      <c r="I4520" s="5">
        <f>Tabelle13[[#This Row],[%]]+I4519</f>
        <v>0.97895945267617046</v>
      </c>
      <c r="J4520" s="4">
        <f t="shared" si="173"/>
        <v>1.105583195135434E-4</v>
      </c>
      <c r="K4520" s="5">
        <f t="shared" si="174"/>
        <v>0.49950248756222809</v>
      </c>
    </row>
    <row r="4521" spans="1:11" x14ac:dyDescent="0.25">
      <c r="A4521" t="s">
        <v>1657</v>
      </c>
      <c r="C4521" t="s">
        <v>11</v>
      </c>
      <c r="D4521" t="s">
        <v>5</v>
      </c>
      <c r="E4521" t="s">
        <v>6</v>
      </c>
      <c r="F4521" t="s">
        <v>7</v>
      </c>
      <c r="G4521">
        <v>1</v>
      </c>
      <c r="H4521" s="2">
        <f>Tabelle13[[#This Row],[commits]]/Tabelle13[[#Totals],[commits]]</f>
        <v>4.6477904404246225E-6</v>
      </c>
      <c r="I4521" s="5">
        <f>Tabelle13[[#This Row],[%]]+I4520</f>
        <v>0.97896410046661086</v>
      </c>
      <c r="J4521" s="4">
        <f t="shared" si="173"/>
        <v>1.105583195135434E-4</v>
      </c>
      <c r="K4521" s="5">
        <f t="shared" si="174"/>
        <v>0.49961304588174166</v>
      </c>
    </row>
    <row r="4522" spans="1:11" x14ac:dyDescent="0.25">
      <c r="A4522" t="s">
        <v>1658</v>
      </c>
      <c r="C4522" t="s">
        <v>1659</v>
      </c>
      <c r="D4522" t="s">
        <v>5</v>
      </c>
      <c r="E4522" t="s">
        <v>6</v>
      </c>
      <c r="F4522" t="s">
        <v>7</v>
      </c>
      <c r="G4522">
        <v>1</v>
      </c>
      <c r="H4522" s="2">
        <f>Tabelle13[[#This Row],[commits]]/Tabelle13[[#Totals],[commits]]</f>
        <v>4.6477904404246225E-6</v>
      </c>
      <c r="I4522" s="5">
        <f>Tabelle13[[#This Row],[%]]+I4521</f>
        <v>0.97896874825705127</v>
      </c>
      <c r="J4522" s="4">
        <f t="shared" si="173"/>
        <v>1.105583195135434E-4</v>
      </c>
      <c r="K4522" s="5">
        <f t="shared" si="174"/>
        <v>0.49972360420125522</v>
      </c>
    </row>
    <row r="4523" spans="1:11" x14ac:dyDescent="0.25">
      <c r="A4523" t="s">
        <v>1660</v>
      </c>
      <c r="C4523" t="s">
        <v>1661</v>
      </c>
      <c r="D4523" t="s">
        <v>5</v>
      </c>
      <c r="E4523" t="s">
        <v>6</v>
      </c>
      <c r="F4523" t="s">
        <v>7</v>
      </c>
      <c r="G4523">
        <v>1</v>
      </c>
      <c r="H4523" s="2">
        <f>Tabelle13[[#This Row],[commits]]/Tabelle13[[#Totals],[commits]]</f>
        <v>4.6477904404246225E-6</v>
      </c>
      <c r="I4523" s="5">
        <f>Tabelle13[[#This Row],[%]]+I4522</f>
        <v>0.97897339604749167</v>
      </c>
      <c r="J4523" s="4">
        <f t="shared" si="173"/>
        <v>1.105583195135434E-4</v>
      </c>
      <c r="K4523" s="5">
        <f t="shared" si="174"/>
        <v>0.49983416252076879</v>
      </c>
    </row>
    <row r="4524" spans="1:11" x14ac:dyDescent="0.25">
      <c r="A4524" t="s">
        <v>1662</v>
      </c>
      <c r="C4524" t="s">
        <v>1663</v>
      </c>
      <c r="D4524" t="s">
        <v>5</v>
      </c>
      <c r="E4524" t="s">
        <v>6</v>
      </c>
      <c r="F4524" t="s">
        <v>7</v>
      </c>
      <c r="G4524">
        <v>1</v>
      </c>
      <c r="H4524" s="2">
        <f>Tabelle13[[#This Row],[commits]]/Tabelle13[[#Totals],[commits]]</f>
        <v>4.6477904404246225E-6</v>
      </c>
      <c r="I4524" s="5">
        <f>Tabelle13[[#This Row],[%]]+I4523</f>
        <v>0.97897804383793208</v>
      </c>
      <c r="J4524" s="4">
        <f t="shared" si="173"/>
        <v>1.105583195135434E-4</v>
      </c>
      <c r="K4524" s="5">
        <f t="shared" si="174"/>
        <v>0.49994472084028235</v>
      </c>
    </row>
    <row r="4525" spans="1:11" x14ac:dyDescent="0.25">
      <c r="A4525" t="s">
        <v>1664</v>
      </c>
      <c r="C4525" t="s">
        <v>1665</v>
      </c>
      <c r="D4525" t="s">
        <v>5</v>
      </c>
      <c r="E4525" t="s">
        <v>6</v>
      </c>
      <c r="F4525" t="s">
        <v>7</v>
      </c>
      <c r="G4525">
        <v>1</v>
      </c>
      <c r="H4525" s="2">
        <f>Tabelle13[[#This Row],[commits]]/Tabelle13[[#Totals],[commits]]</f>
        <v>4.6477904404246225E-6</v>
      </c>
      <c r="I4525" s="5">
        <f>Tabelle13[[#This Row],[%]]+I4524</f>
        <v>0.97898269162837248</v>
      </c>
      <c r="J4525" s="4">
        <f t="shared" si="173"/>
        <v>1.105583195135434E-4</v>
      </c>
      <c r="K4525" s="5">
        <f t="shared" si="174"/>
        <v>0.50005527915979586</v>
      </c>
    </row>
    <row r="4526" spans="1:11" x14ac:dyDescent="0.25">
      <c r="A4526" t="s">
        <v>1666</v>
      </c>
      <c r="C4526" t="s">
        <v>1667</v>
      </c>
      <c r="D4526" t="s">
        <v>5</v>
      </c>
      <c r="E4526" t="s">
        <v>6</v>
      </c>
      <c r="F4526" t="s">
        <v>7</v>
      </c>
      <c r="G4526">
        <v>1</v>
      </c>
      <c r="H4526" s="2">
        <f>Tabelle13[[#This Row],[commits]]/Tabelle13[[#Totals],[commits]]</f>
        <v>4.6477904404246225E-6</v>
      </c>
      <c r="I4526" s="5">
        <f>Tabelle13[[#This Row],[%]]+I4525</f>
        <v>0.97898733941881289</v>
      </c>
      <c r="J4526" s="4">
        <f t="shared" si="173"/>
        <v>1.105583195135434E-4</v>
      </c>
      <c r="K4526" s="5">
        <f t="shared" si="174"/>
        <v>0.50016583747930943</v>
      </c>
    </row>
    <row r="4527" spans="1:11" x14ac:dyDescent="0.25">
      <c r="A4527" t="s">
        <v>1668</v>
      </c>
      <c r="C4527" t="s">
        <v>1669</v>
      </c>
      <c r="D4527" t="s">
        <v>5</v>
      </c>
      <c r="E4527" t="s">
        <v>6</v>
      </c>
      <c r="F4527" t="s">
        <v>7</v>
      </c>
      <c r="G4527">
        <v>1</v>
      </c>
      <c r="H4527" s="2">
        <f>Tabelle13[[#This Row],[commits]]/Tabelle13[[#Totals],[commits]]</f>
        <v>4.6477904404246225E-6</v>
      </c>
      <c r="I4527" s="5">
        <f>Tabelle13[[#This Row],[%]]+I4526</f>
        <v>0.97899198720925329</v>
      </c>
      <c r="J4527" s="4">
        <f t="shared" si="173"/>
        <v>1.105583195135434E-4</v>
      </c>
      <c r="K4527" s="5">
        <f t="shared" si="174"/>
        <v>0.50027639579882299</v>
      </c>
    </row>
    <row r="4528" spans="1:11" x14ac:dyDescent="0.25">
      <c r="A4528" t="s">
        <v>1670</v>
      </c>
      <c r="C4528" t="s">
        <v>1671</v>
      </c>
      <c r="D4528" t="s">
        <v>5</v>
      </c>
      <c r="E4528" t="s">
        <v>6</v>
      </c>
      <c r="F4528" t="s">
        <v>7</v>
      </c>
      <c r="G4528">
        <v>1</v>
      </c>
      <c r="H4528" s="2">
        <f>Tabelle13[[#This Row],[commits]]/Tabelle13[[#Totals],[commits]]</f>
        <v>4.6477904404246225E-6</v>
      </c>
      <c r="I4528" s="5">
        <f>Tabelle13[[#This Row],[%]]+I4527</f>
        <v>0.97899663499969369</v>
      </c>
      <c r="J4528" s="4">
        <f t="shared" si="173"/>
        <v>1.105583195135434E-4</v>
      </c>
      <c r="K4528" s="5">
        <f t="shared" si="174"/>
        <v>0.50038695411833656</v>
      </c>
    </row>
    <row r="4529" spans="1:11" x14ac:dyDescent="0.25">
      <c r="A4529" t="s">
        <v>1672</v>
      </c>
      <c r="C4529" t="s">
        <v>1673</v>
      </c>
      <c r="D4529" t="s">
        <v>5</v>
      </c>
      <c r="E4529" t="s">
        <v>6</v>
      </c>
      <c r="F4529" t="s">
        <v>7</v>
      </c>
      <c r="G4529">
        <v>1</v>
      </c>
      <c r="H4529" s="2">
        <f>Tabelle13[[#This Row],[commits]]/Tabelle13[[#Totals],[commits]]</f>
        <v>4.6477904404246225E-6</v>
      </c>
      <c r="I4529" s="5">
        <f>Tabelle13[[#This Row],[%]]+I4528</f>
        <v>0.9790012827901341</v>
      </c>
      <c r="J4529" s="4">
        <f t="shared" si="173"/>
        <v>1.105583195135434E-4</v>
      </c>
      <c r="K4529" s="5">
        <f t="shared" si="174"/>
        <v>0.50049751243785012</v>
      </c>
    </row>
    <row r="4530" spans="1:11" x14ac:dyDescent="0.25">
      <c r="A4530" t="s">
        <v>1674</v>
      </c>
      <c r="C4530" t="s">
        <v>1675</v>
      </c>
      <c r="D4530" t="s">
        <v>5</v>
      </c>
      <c r="E4530" t="s">
        <v>6</v>
      </c>
      <c r="F4530" t="s">
        <v>7</v>
      </c>
      <c r="G4530">
        <v>1</v>
      </c>
      <c r="H4530" s="2">
        <f>Tabelle13[[#This Row],[commits]]/Tabelle13[[#Totals],[commits]]</f>
        <v>4.6477904404246225E-6</v>
      </c>
      <c r="I4530" s="5">
        <f>Tabelle13[[#This Row],[%]]+I4529</f>
        <v>0.9790059305805745</v>
      </c>
      <c r="J4530" s="4">
        <f t="shared" si="173"/>
        <v>1.105583195135434E-4</v>
      </c>
      <c r="K4530" s="5">
        <f t="shared" si="174"/>
        <v>0.50060807075736369</v>
      </c>
    </row>
    <row r="4531" spans="1:11" x14ac:dyDescent="0.25">
      <c r="A4531" t="s">
        <v>1676</v>
      </c>
      <c r="C4531" t="s">
        <v>1677</v>
      </c>
      <c r="D4531" t="s">
        <v>5</v>
      </c>
      <c r="E4531" t="s">
        <v>6</v>
      </c>
      <c r="F4531" t="s">
        <v>7</v>
      </c>
      <c r="G4531">
        <v>1</v>
      </c>
      <c r="H4531" s="2">
        <f>Tabelle13[[#This Row],[commits]]/Tabelle13[[#Totals],[commits]]</f>
        <v>4.6477904404246225E-6</v>
      </c>
      <c r="I4531" s="5">
        <f>Tabelle13[[#This Row],[%]]+I4530</f>
        <v>0.97901057837101491</v>
      </c>
      <c r="J4531" s="4">
        <f t="shared" si="173"/>
        <v>1.105583195135434E-4</v>
      </c>
      <c r="K4531" s="5">
        <f t="shared" si="174"/>
        <v>0.50071862907687725</v>
      </c>
    </row>
    <row r="4532" spans="1:11" x14ac:dyDescent="0.25">
      <c r="A4532" t="s">
        <v>1678</v>
      </c>
      <c r="C4532" t="s">
        <v>1679</v>
      </c>
      <c r="D4532" t="s">
        <v>5</v>
      </c>
      <c r="E4532" t="s">
        <v>6</v>
      </c>
      <c r="F4532" t="s">
        <v>7</v>
      </c>
      <c r="G4532">
        <v>1</v>
      </c>
      <c r="H4532" s="2">
        <f>Tabelle13[[#This Row],[commits]]/Tabelle13[[#Totals],[commits]]</f>
        <v>4.6477904404246225E-6</v>
      </c>
      <c r="I4532" s="5">
        <f>Tabelle13[[#This Row],[%]]+I4531</f>
        <v>0.97901522616145531</v>
      </c>
      <c r="J4532" s="4">
        <f t="shared" si="173"/>
        <v>1.105583195135434E-4</v>
      </c>
      <c r="K4532" s="5">
        <f t="shared" si="174"/>
        <v>0.50082918739639082</v>
      </c>
    </row>
    <row r="4533" spans="1:11" x14ac:dyDescent="0.25">
      <c r="A4533" t="s">
        <v>1680</v>
      </c>
      <c r="C4533" t="s">
        <v>1681</v>
      </c>
      <c r="D4533" t="s">
        <v>5</v>
      </c>
      <c r="E4533" t="s">
        <v>6</v>
      </c>
      <c r="F4533" t="s">
        <v>7</v>
      </c>
      <c r="G4533">
        <v>1</v>
      </c>
      <c r="H4533" s="2">
        <f>Tabelle13[[#This Row],[commits]]/Tabelle13[[#Totals],[commits]]</f>
        <v>4.6477904404246225E-6</v>
      </c>
      <c r="I4533" s="5">
        <f>Tabelle13[[#This Row],[%]]+I4532</f>
        <v>0.97901987395189571</v>
      </c>
      <c r="J4533" s="4">
        <f t="shared" si="173"/>
        <v>1.105583195135434E-4</v>
      </c>
      <c r="K4533" s="5">
        <f t="shared" si="174"/>
        <v>0.50093974571590438</v>
      </c>
    </row>
    <row r="4534" spans="1:11" x14ac:dyDescent="0.25">
      <c r="A4534" t="s">
        <v>1682</v>
      </c>
      <c r="C4534" t="s">
        <v>1683</v>
      </c>
      <c r="D4534" t="s">
        <v>5</v>
      </c>
      <c r="E4534" t="s">
        <v>6</v>
      </c>
      <c r="F4534" t="s">
        <v>7</v>
      </c>
      <c r="G4534">
        <v>1</v>
      </c>
      <c r="H4534" s="2">
        <f>Tabelle13[[#This Row],[commits]]/Tabelle13[[#Totals],[commits]]</f>
        <v>4.6477904404246225E-6</v>
      </c>
      <c r="I4534" s="5">
        <f>Tabelle13[[#This Row],[%]]+I4533</f>
        <v>0.97902452174233612</v>
      </c>
      <c r="J4534" s="4">
        <f t="shared" si="173"/>
        <v>1.105583195135434E-4</v>
      </c>
      <c r="K4534" s="5">
        <f t="shared" si="174"/>
        <v>0.50105030403541795</v>
      </c>
    </row>
    <row r="4535" spans="1:11" x14ac:dyDescent="0.25">
      <c r="A4535" t="s">
        <v>1684</v>
      </c>
      <c r="C4535" t="s">
        <v>1685</v>
      </c>
      <c r="D4535" t="s">
        <v>5</v>
      </c>
      <c r="E4535" t="s">
        <v>6</v>
      </c>
      <c r="F4535" t="s">
        <v>7</v>
      </c>
      <c r="G4535">
        <v>1</v>
      </c>
      <c r="H4535" s="2">
        <f>Tabelle13[[#This Row],[commits]]/Tabelle13[[#Totals],[commits]]</f>
        <v>4.6477904404246225E-6</v>
      </c>
      <c r="I4535" s="5">
        <f>Tabelle13[[#This Row],[%]]+I4534</f>
        <v>0.97902916953277652</v>
      </c>
      <c r="J4535" s="4">
        <f t="shared" si="173"/>
        <v>1.105583195135434E-4</v>
      </c>
      <c r="K4535" s="5">
        <f t="shared" si="174"/>
        <v>0.50116086235493151</v>
      </c>
    </row>
    <row r="4536" spans="1:11" x14ac:dyDescent="0.25">
      <c r="A4536" t="s">
        <v>1688</v>
      </c>
      <c r="C4536" t="s">
        <v>1689</v>
      </c>
      <c r="D4536" t="s">
        <v>5</v>
      </c>
      <c r="E4536" t="s">
        <v>6</v>
      </c>
      <c r="F4536" t="s">
        <v>7</v>
      </c>
      <c r="G4536">
        <v>1</v>
      </c>
      <c r="H4536" s="2">
        <f>Tabelle13[[#This Row],[commits]]/Tabelle13[[#Totals],[commits]]</f>
        <v>4.6477904404246225E-6</v>
      </c>
      <c r="I4536" s="5">
        <f>Tabelle13[[#This Row],[%]]+I4535</f>
        <v>0.97903381732321693</v>
      </c>
      <c r="J4536" s="4">
        <f t="shared" si="173"/>
        <v>1.105583195135434E-4</v>
      </c>
      <c r="K4536" s="5">
        <f t="shared" si="174"/>
        <v>0.50127142067444508</v>
      </c>
    </row>
    <row r="4537" spans="1:11" x14ac:dyDescent="0.25">
      <c r="A4537" t="s">
        <v>1690</v>
      </c>
      <c r="C4537" t="s">
        <v>1691</v>
      </c>
      <c r="D4537" t="s">
        <v>5</v>
      </c>
      <c r="E4537" t="s">
        <v>6</v>
      </c>
      <c r="F4537" t="s">
        <v>7</v>
      </c>
      <c r="G4537">
        <v>1</v>
      </c>
      <c r="H4537" s="2">
        <f>Tabelle13[[#This Row],[commits]]/Tabelle13[[#Totals],[commits]]</f>
        <v>4.6477904404246225E-6</v>
      </c>
      <c r="I4537" s="5">
        <f>Tabelle13[[#This Row],[%]]+I4536</f>
        <v>0.97903846511365733</v>
      </c>
      <c r="J4537" s="4">
        <f t="shared" si="173"/>
        <v>1.105583195135434E-4</v>
      </c>
      <c r="K4537" s="5">
        <f t="shared" si="174"/>
        <v>0.50138197899395864</v>
      </c>
    </row>
    <row r="4538" spans="1:11" x14ac:dyDescent="0.25">
      <c r="A4538" t="s">
        <v>1692</v>
      </c>
      <c r="C4538" t="s">
        <v>211</v>
      </c>
      <c r="D4538" t="s">
        <v>5</v>
      </c>
      <c r="E4538" t="s">
        <v>6</v>
      </c>
      <c r="F4538" t="s">
        <v>7</v>
      </c>
      <c r="G4538">
        <v>1</v>
      </c>
      <c r="H4538" s="2">
        <f>Tabelle13[[#This Row],[commits]]/Tabelle13[[#Totals],[commits]]</f>
        <v>4.6477904404246225E-6</v>
      </c>
      <c r="I4538" s="5">
        <f>Tabelle13[[#This Row],[%]]+I4537</f>
        <v>0.97904311290409773</v>
      </c>
      <c r="J4538" s="4">
        <f t="shared" si="173"/>
        <v>1.105583195135434E-4</v>
      </c>
      <c r="K4538" s="5">
        <f t="shared" si="174"/>
        <v>0.50149253731347221</v>
      </c>
    </row>
    <row r="4539" spans="1:11" x14ac:dyDescent="0.25">
      <c r="A4539" t="s">
        <v>1693</v>
      </c>
      <c r="C4539" t="s">
        <v>211</v>
      </c>
      <c r="D4539" t="s">
        <v>5</v>
      </c>
      <c r="E4539" t="s">
        <v>6</v>
      </c>
      <c r="F4539" t="s">
        <v>7</v>
      </c>
      <c r="G4539">
        <v>1</v>
      </c>
      <c r="H4539" s="2">
        <f>Tabelle13[[#This Row],[commits]]/Tabelle13[[#Totals],[commits]]</f>
        <v>4.6477904404246225E-6</v>
      </c>
      <c r="I4539" s="5">
        <f>Tabelle13[[#This Row],[%]]+I4538</f>
        <v>0.97904776069453814</v>
      </c>
      <c r="J4539" s="4">
        <f t="shared" si="173"/>
        <v>1.105583195135434E-4</v>
      </c>
      <c r="K4539" s="5">
        <f t="shared" si="174"/>
        <v>0.50160309563298577</v>
      </c>
    </row>
    <row r="4540" spans="1:11" x14ac:dyDescent="0.25">
      <c r="A4540" t="s">
        <v>1694</v>
      </c>
      <c r="C4540" t="s">
        <v>1695</v>
      </c>
      <c r="D4540" t="s">
        <v>5</v>
      </c>
      <c r="E4540" t="s">
        <v>6</v>
      </c>
      <c r="F4540" t="s">
        <v>7</v>
      </c>
      <c r="G4540">
        <v>1</v>
      </c>
      <c r="H4540" s="2">
        <f>Tabelle13[[#This Row],[commits]]/Tabelle13[[#Totals],[commits]]</f>
        <v>4.6477904404246225E-6</v>
      </c>
      <c r="I4540" s="5">
        <f>Tabelle13[[#This Row],[%]]+I4539</f>
        <v>0.97905240848497854</v>
      </c>
      <c r="J4540" s="4">
        <f t="shared" si="173"/>
        <v>1.105583195135434E-4</v>
      </c>
      <c r="K4540" s="5">
        <f t="shared" si="174"/>
        <v>0.50171365395249934</v>
      </c>
    </row>
    <row r="4541" spans="1:11" x14ac:dyDescent="0.25">
      <c r="A4541" t="s">
        <v>1696</v>
      </c>
      <c r="C4541" t="s">
        <v>114</v>
      </c>
      <c r="D4541" t="s">
        <v>5</v>
      </c>
      <c r="E4541" t="s">
        <v>6</v>
      </c>
      <c r="F4541" t="s">
        <v>7</v>
      </c>
      <c r="G4541">
        <v>1</v>
      </c>
      <c r="H4541" s="2">
        <f>Tabelle13[[#This Row],[commits]]/Tabelle13[[#Totals],[commits]]</f>
        <v>4.6477904404246225E-6</v>
      </c>
      <c r="I4541" s="5">
        <f>Tabelle13[[#This Row],[%]]+I4540</f>
        <v>0.97905705627541895</v>
      </c>
      <c r="J4541" s="4">
        <f t="shared" si="173"/>
        <v>1.105583195135434E-4</v>
      </c>
      <c r="K4541" s="5">
        <f t="shared" si="174"/>
        <v>0.5018242122720129</v>
      </c>
    </row>
    <row r="4542" spans="1:11" x14ac:dyDescent="0.25">
      <c r="A4542" t="s">
        <v>1697</v>
      </c>
      <c r="C4542" t="s">
        <v>1698</v>
      </c>
      <c r="D4542" t="s">
        <v>5</v>
      </c>
      <c r="E4542" t="s">
        <v>6</v>
      </c>
      <c r="F4542" t="s">
        <v>7</v>
      </c>
      <c r="G4542">
        <v>1</v>
      </c>
      <c r="H4542" s="2">
        <f>Tabelle13[[#This Row],[commits]]/Tabelle13[[#Totals],[commits]]</f>
        <v>4.6477904404246225E-6</v>
      </c>
      <c r="I4542" s="5">
        <f>Tabelle13[[#This Row],[%]]+I4541</f>
        <v>0.97906170406585935</v>
      </c>
      <c r="J4542" s="4">
        <f t="shared" si="173"/>
        <v>1.105583195135434E-4</v>
      </c>
      <c r="K4542" s="5">
        <f t="shared" si="174"/>
        <v>0.50193477059152647</v>
      </c>
    </row>
    <row r="4543" spans="1:11" x14ac:dyDescent="0.25">
      <c r="A4543" t="s">
        <v>1699</v>
      </c>
      <c r="C4543" t="s">
        <v>277</v>
      </c>
      <c r="D4543" t="s">
        <v>5</v>
      </c>
      <c r="E4543" t="s">
        <v>6</v>
      </c>
      <c r="F4543" t="s">
        <v>7</v>
      </c>
      <c r="G4543">
        <v>1</v>
      </c>
      <c r="H4543" s="2">
        <f>Tabelle13[[#This Row],[commits]]/Tabelle13[[#Totals],[commits]]</f>
        <v>4.6477904404246225E-6</v>
      </c>
      <c r="I4543" s="5">
        <f>Tabelle13[[#This Row],[%]]+I4542</f>
        <v>0.97906635185629975</v>
      </c>
      <c r="J4543" s="4">
        <f t="shared" si="173"/>
        <v>1.105583195135434E-4</v>
      </c>
      <c r="K4543" s="5">
        <f t="shared" si="174"/>
        <v>0.50204532891104003</v>
      </c>
    </row>
    <row r="4544" spans="1:11" x14ac:dyDescent="0.25">
      <c r="A4544" t="s">
        <v>1700</v>
      </c>
      <c r="C4544" t="s">
        <v>1701</v>
      </c>
      <c r="D4544" t="s">
        <v>5</v>
      </c>
      <c r="E4544" t="s">
        <v>6</v>
      </c>
      <c r="F4544" t="s">
        <v>7</v>
      </c>
      <c r="G4544">
        <v>1</v>
      </c>
      <c r="H4544" s="2">
        <f>Tabelle13[[#This Row],[commits]]/Tabelle13[[#Totals],[commits]]</f>
        <v>4.6477904404246225E-6</v>
      </c>
      <c r="I4544" s="5">
        <f>Tabelle13[[#This Row],[%]]+I4543</f>
        <v>0.97907099964674016</v>
      </c>
      <c r="J4544" s="4">
        <f t="shared" si="173"/>
        <v>1.105583195135434E-4</v>
      </c>
      <c r="K4544" s="5">
        <f t="shared" si="174"/>
        <v>0.5021558872305536</v>
      </c>
    </row>
    <row r="4545" spans="1:11" x14ac:dyDescent="0.25">
      <c r="A4545" t="s">
        <v>1702</v>
      </c>
      <c r="C4545" t="s">
        <v>1703</v>
      </c>
      <c r="D4545" t="s">
        <v>5</v>
      </c>
      <c r="E4545" t="s">
        <v>6</v>
      </c>
      <c r="F4545" t="s">
        <v>7</v>
      </c>
      <c r="G4545">
        <v>1</v>
      </c>
      <c r="H4545" s="2">
        <f>Tabelle13[[#This Row],[commits]]/Tabelle13[[#Totals],[commits]]</f>
        <v>4.6477904404246225E-6</v>
      </c>
      <c r="I4545" s="5">
        <f>Tabelle13[[#This Row],[%]]+I4544</f>
        <v>0.97907564743718056</v>
      </c>
      <c r="J4545" s="4">
        <f t="shared" si="173"/>
        <v>1.105583195135434E-4</v>
      </c>
      <c r="K4545" s="5">
        <f t="shared" si="174"/>
        <v>0.50226644555006716</v>
      </c>
    </row>
    <row r="4546" spans="1:11" x14ac:dyDescent="0.25">
      <c r="A4546" t="s">
        <v>1704</v>
      </c>
      <c r="C4546" t="s">
        <v>1705</v>
      </c>
      <c r="D4546" t="s">
        <v>5</v>
      </c>
      <c r="E4546" t="s">
        <v>6</v>
      </c>
      <c r="F4546" t="s">
        <v>7</v>
      </c>
      <c r="G4546">
        <v>1</v>
      </c>
      <c r="H4546" s="2">
        <f>Tabelle13[[#This Row],[commits]]/Tabelle13[[#Totals],[commits]]</f>
        <v>4.6477904404246225E-6</v>
      </c>
      <c r="I4546" s="5">
        <f>Tabelle13[[#This Row],[%]]+I4545</f>
        <v>0.97908029522762097</v>
      </c>
      <c r="J4546" s="4">
        <f t="shared" si="173"/>
        <v>1.105583195135434E-4</v>
      </c>
      <c r="K4546" s="5">
        <f t="shared" si="174"/>
        <v>0.50237700386958073</v>
      </c>
    </row>
    <row r="4547" spans="1:11" x14ac:dyDescent="0.25">
      <c r="A4547" t="s">
        <v>1706</v>
      </c>
      <c r="C4547" t="s">
        <v>1707</v>
      </c>
      <c r="D4547" t="s">
        <v>5</v>
      </c>
      <c r="E4547" t="s">
        <v>6</v>
      </c>
      <c r="F4547" t="s">
        <v>7</v>
      </c>
      <c r="G4547">
        <v>1</v>
      </c>
      <c r="H4547" s="2">
        <f>Tabelle13[[#This Row],[commits]]/Tabelle13[[#Totals],[commits]]</f>
        <v>4.6477904404246225E-6</v>
      </c>
      <c r="I4547" s="5">
        <f>Tabelle13[[#This Row],[%]]+I4546</f>
        <v>0.97908494301806137</v>
      </c>
      <c r="J4547" s="4">
        <f t="shared" ref="J4547:J4610" si="175">1/9045</f>
        <v>1.105583195135434E-4</v>
      </c>
      <c r="K4547" s="5">
        <f t="shared" si="174"/>
        <v>0.50248756218909429</v>
      </c>
    </row>
    <row r="4548" spans="1:11" x14ac:dyDescent="0.25">
      <c r="A4548" t="s">
        <v>1708</v>
      </c>
      <c r="C4548" t="s">
        <v>1709</v>
      </c>
      <c r="D4548" t="s">
        <v>5</v>
      </c>
      <c r="E4548" t="s">
        <v>6</v>
      </c>
      <c r="F4548" t="s">
        <v>7</v>
      </c>
      <c r="G4548">
        <v>1</v>
      </c>
      <c r="H4548" s="2">
        <f>Tabelle13[[#This Row],[commits]]/Tabelle13[[#Totals],[commits]]</f>
        <v>4.6477904404246225E-6</v>
      </c>
      <c r="I4548" s="5">
        <f>Tabelle13[[#This Row],[%]]+I4547</f>
        <v>0.97908959080850178</v>
      </c>
      <c r="J4548" s="4">
        <f t="shared" si="175"/>
        <v>1.105583195135434E-4</v>
      </c>
      <c r="K4548" s="5">
        <f t="shared" si="174"/>
        <v>0.50259812050860786</v>
      </c>
    </row>
    <row r="4549" spans="1:11" x14ac:dyDescent="0.25">
      <c r="A4549" t="s">
        <v>1710</v>
      </c>
      <c r="C4549" t="s">
        <v>1711</v>
      </c>
      <c r="D4549" t="s">
        <v>5</v>
      </c>
      <c r="E4549" t="s">
        <v>6</v>
      </c>
      <c r="F4549" t="s">
        <v>28</v>
      </c>
      <c r="G4549">
        <v>1</v>
      </c>
      <c r="H4549" s="2">
        <f>Tabelle13[[#This Row],[commits]]/Tabelle13[[#Totals],[commits]]</f>
        <v>4.6477904404246225E-6</v>
      </c>
      <c r="I4549" s="5">
        <f>Tabelle13[[#This Row],[%]]+I4548</f>
        <v>0.97909423859894218</v>
      </c>
      <c r="J4549" s="4">
        <f t="shared" si="175"/>
        <v>1.105583195135434E-4</v>
      </c>
      <c r="K4549" s="5">
        <f t="shared" si="174"/>
        <v>0.50270867882812142</v>
      </c>
    </row>
    <row r="4550" spans="1:11" x14ac:dyDescent="0.25">
      <c r="A4550" t="s">
        <v>1712</v>
      </c>
      <c r="C4550" t="s">
        <v>161</v>
      </c>
      <c r="D4550" t="s">
        <v>5</v>
      </c>
      <c r="E4550" t="s">
        <v>6</v>
      </c>
      <c r="F4550" t="s">
        <v>7</v>
      </c>
      <c r="G4550">
        <v>1</v>
      </c>
      <c r="H4550" s="2">
        <f>Tabelle13[[#This Row],[commits]]/Tabelle13[[#Totals],[commits]]</f>
        <v>4.6477904404246225E-6</v>
      </c>
      <c r="I4550" s="5">
        <f>Tabelle13[[#This Row],[%]]+I4549</f>
        <v>0.97909888638938258</v>
      </c>
      <c r="J4550" s="4">
        <f t="shared" si="175"/>
        <v>1.105583195135434E-4</v>
      </c>
      <c r="K4550" s="5">
        <f t="shared" ref="K4550:K4613" si="176">J4550+K4549</f>
        <v>0.50281923714763499</v>
      </c>
    </row>
    <row r="4551" spans="1:11" x14ac:dyDescent="0.25">
      <c r="A4551" t="s">
        <v>1713</v>
      </c>
      <c r="C4551" t="s">
        <v>1714</v>
      </c>
      <c r="D4551" t="s">
        <v>5</v>
      </c>
      <c r="E4551" t="s">
        <v>6</v>
      </c>
      <c r="F4551" t="s">
        <v>7</v>
      </c>
      <c r="G4551">
        <v>1</v>
      </c>
      <c r="H4551" s="2">
        <f>Tabelle13[[#This Row],[commits]]/Tabelle13[[#Totals],[commits]]</f>
        <v>4.6477904404246225E-6</v>
      </c>
      <c r="I4551" s="5">
        <f>Tabelle13[[#This Row],[%]]+I4550</f>
        <v>0.97910353417982299</v>
      </c>
      <c r="J4551" s="4">
        <f t="shared" si="175"/>
        <v>1.105583195135434E-4</v>
      </c>
      <c r="K4551" s="5">
        <f t="shared" si="176"/>
        <v>0.50292979546714855</v>
      </c>
    </row>
    <row r="4552" spans="1:11" x14ac:dyDescent="0.25">
      <c r="A4552" t="s">
        <v>1717</v>
      </c>
      <c r="C4552" t="s">
        <v>1718</v>
      </c>
      <c r="D4552" t="s">
        <v>5</v>
      </c>
      <c r="E4552" t="s">
        <v>6</v>
      </c>
      <c r="F4552" t="s">
        <v>7</v>
      </c>
      <c r="G4552">
        <v>1</v>
      </c>
      <c r="H4552" s="2">
        <f>Tabelle13[[#This Row],[commits]]/Tabelle13[[#Totals],[commits]]</f>
        <v>4.6477904404246225E-6</v>
      </c>
      <c r="I4552" s="5">
        <f>Tabelle13[[#This Row],[%]]+I4551</f>
        <v>0.97910818197026339</v>
      </c>
      <c r="J4552" s="4">
        <f t="shared" si="175"/>
        <v>1.105583195135434E-4</v>
      </c>
      <c r="K4552" s="5">
        <f t="shared" si="176"/>
        <v>0.50304035378666212</v>
      </c>
    </row>
    <row r="4553" spans="1:11" x14ac:dyDescent="0.25">
      <c r="A4553" t="s">
        <v>1719</v>
      </c>
      <c r="C4553" t="s">
        <v>1720</v>
      </c>
      <c r="D4553" t="s">
        <v>5</v>
      </c>
      <c r="E4553" t="s">
        <v>6</v>
      </c>
      <c r="F4553" t="s">
        <v>7</v>
      </c>
      <c r="G4553">
        <v>1</v>
      </c>
      <c r="H4553" s="2">
        <f>Tabelle13[[#This Row],[commits]]/Tabelle13[[#Totals],[commits]]</f>
        <v>4.6477904404246225E-6</v>
      </c>
      <c r="I4553" s="5">
        <f>Tabelle13[[#This Row],[%]]+I4552</f>
        <v>0.9791128297607038</v>
      </c>
      <c r="J4553" s="4">
        <f t="shared" si="175"/>
        <v>1.105583195135434E-4</v>
      </c>
      <c r="K4553" s="5">
        <f t="shared" si="176"/>
        <v>0.50315091210617569</v>
      </c>
    </row>
    <row r="4554" spans="1:11" x14ac:dyDescent="0.25">
      <c r="A4554" t="s">
        <v>1721</v>
      </c>
      <c r="C4554" t="s">
        <v>1722</v>
      </c>
      <c r="D4554" t="s">
        <v>5</v>
      </c>
      <c r="E4554" t="s">
        <v>6</v>
      </c>
      <c r="F4554" t="s">
        <v>7</v>
      </c>
      <c r="G4554">
        <v>1</v>
      </c>
      <c r="H4554" s="2">
        <f>Tabelle13[[#This Row],[commits]]/Tabelle13[[#Totals],[commits]]</f>
        <v>4.6477904404246225E-6</v>
      </c>
      <c r="I4554" s="5">
        <f>Tabelle13[[#This Row],[%]]+I4553</f>
        <v>0.9791174775511442</v>
      </c>
      <c r="J4554" s="4">
        <f t="shared" si="175"/>
        <v>1.105583195135434E-4</v>
      </c>
      <c r="K4554" s="5">
        <f t="shared" si="176"/>
        <v>0.50326147042568925</v>
      </c>
    </row>
    <row r="4555" spans="1:11" x14ac:dyDescent="0.25">
      <c r="A4555" t="s">
        <v>1723</v>
      </c>
      <c r="C4555" t="s">
        <v>1724</v>
      </c>
      <c r="D4555" t="s">
        <v>5</v>
      </c>
      <c r="E4555" t="s">
        <v>6</v>
      </c>
      <c r="F4555" t="s">
        <v>7</v>
      </c>
      <c r="G4555">
        <v>1</v>
      </c>
      <c r="H4555" s="2">
        <f>Tabelle13[[#This Row],[commits]]/Tabelle13[[#Totals],[commits]]</f>
        <v>4.6477904404246225E-6</v>
      </c>
      <c r="I4555" s="5">
        <f>Tabelle13[[#This Row],[%]]+I4554</f>
        <v>0.9791221253415846</v>
      </c>
      <c r="J4555" s="4">
        <f t="shared" si="175"/>
        <v>1.105583195135434E-4</v>
      </c>
      <c r="K4555" s="5">
        <f t="shared" si="176"/>
        <v>0.50337202874520282</v>
      </c>
    </row>
    <row r="4556" spans="1:11" x14ac:dyDescent="0.25">
      <c r="A4556" t="s">
        <v>1725</v>
      </c>
      <c r="C4556" t="s">
        <v>532</v>
      </c>
      <c r="D4556" t="s">
        <v>5</v>
      </c>
      <c r="E4556" t="s">
        <v>6</v>
      </c>
      <c r="F4556" t="s">
        <v>7</v>
      </c>
      <c r="G4556">
        <v>1</v>
      </c>
      <c r="H4556" s="2">
        <f>Tabelle13[[#This Row],[commits]]/Tabelle13[[#Totals],[commits]]</f>
        <v>4.6477904404246225E-6</v>
      </c>
      <c r="I4556" s="5">
        <f>Tabelle13[[#This Row],[%]]+I4555</f>
        <v>0.97912677313202501</v>
      </c>
      <c r="J4556" s="4">
        <f t="shared" si="175"/>
        <v>1.105583195135434E-4</v>
      </c>
      <c r="K4556" s="5">
        <f t="shared" si="176"/>
        <v>0.50348258706471638</v>
      </c>
    </row>
    <row r="4557" spans="1:11" x14ac:dyDescent="0.25">
      <c r="A4557" t="s">
        <v>1726</v>
      </c>
      <c r="C4557" t="s">
        <v>1727</v>
      </c>
      <c r="D4557" t="s">
        <v>5</v>
      </c>
      <c r="E4557" t="s">
        <v>6</v>
      </c>
      <c r="F4557" t="s">
        <v>7</v>
      </c>
      <c r="G4557">
        <v>1</v>
      </c>
      <c r="H4557" s="2">
        <f>Tabelle13[[#This Row],[commits]]/Tabelle13[[#Totals],[commits]]</f>
        <v>4.6477904404246225E-6</v>
      </c>
      <c r="I4557" s="5">
        <f>Tabelle13[[#This Row],[%]]+I4556</f>
        <v>0.97913142092246541</v>
      </c>
      <c r="J4557" s="4">
        <f t="shared" si="175"/>
        <v>1.105583195135434E-4</v>
      </c>
      <c r="K4557" s="5">
        <f t="shared" si="176"/>
        <v>0.50359314538422995</v>
      </c>
    </row>
    <row r="4558" spans="1:11" x14ac:dyDescent="0.25">
      <c r="A4558" t="s">
        <v>1728</v>
      </c>
      <c r="C4558" t="s">
        <v>151</v>
      </c>
      <c r="D4558" t="s">
        <v>5</v>
      </c>
      <c r="E4558" t="s">
        <v>6</v>
      </c>
      <c r="F4558" t="s">
        <v>7</v>
      </c>
      <c r="G4558">
        <v>1</v>
      </c>
      <c r="H4558" s="2">
        <f>Tabelle13[[#This Row],[commits]]/Tabelle13[[#Totals],[commits]]</f>
        <v>4.6477904404246225E-6</v>
      </c>
      <c r="I4558" s="5">
        <f>Tabelle13[[#This Row],[%]]+I4557</f>
        <v>0.97913606871290582</v>
      </c>
      <c r="J4558" s="4">
        <f t="shared" si="175"/>
        <v>1.105583195135434E-4</v>
      </c>
      <c r="K4558" s="5">
        <f t="shared" si="176"/>
        <v>0.50370370370374351</v>
      </c>
    </row>
    <row r="4559" spans="1:11" x14ac:dyDescent="0.25">
      <c r="A4559" t="s">
        <v>1729</v>
      </c>
      <c r="C4559" t="s">
        <v>1730</v>
      </c>
      <c r="D4559" t="s">
        <v>5</v>
      </c>
      <c r="E4559" t="s">
        <v>6</v>
      </c>
      <c r="F4559" t="s">
        <v>7</v>
      </c>
      <c r="G4559">
        <v>1</v>
      </c>
      <c r="H4559" s="2">
        <f>Tabelle13[[#This Row],[commits]]/Tabelle13[[#Totals],[commits]]</f>
        <v>4.6477904404246225E-6</v>
      </c>
      <c r="I4559" s="5">
        <f>Tabelle13[[#This Row],[%]]+I4558</f>
        <v>0.97914071650334622</v>
      </c>
      <c r="J4559" s="4">
        <f t="shared" si="175"/>
        <v>1.105583195135434E-4</v>
      </c>
      <c r="K4559" s="5">
        <f t="shared" si="176"/>
        <v>0.50381426202325708</v>
      </c>
    </row>
    <row r="4560" spans="1:11" x14ac:dyDescent="0.25">
      <c r="A4560" t="s">
        <v>1731</v>
      </c>
      <c r="C4560" t="s">
        <v>1732</v>
      </c>
      <c r="D4560" t="s">
        <v>5</v>
      </c>
      <c r="E4560" t="s">
        <v>6</v>
      </c>
      <c r="F4560" t="s">
        <v>7</v>
      </c>
      <c r="G4560">
        <v>1</v>
      </c>
      <c r="H4560" s="2">
        <f>Tabelle13[[#This Row],[commits]]/Tabelle13[[#Totals],[commits]]</f>
        <v>4.6477904404246225E-6</v>
      </c>
      <c r="I4560" s="5">
        <f>Tabelle13[[#This Row],[%]]+I4559</f>
        <v>0.97914536429378662</v>
      </c>
      <c r="J4560" s="4">
        <f t="shared" si="175"/>
        <v>1.105583195135434E-4</v>
      </c>
      <c r="K4560" s="5">
        <f t="shared" si="176"/>
        <v>0.50392482034277064</v>
      </c>
    </row>
    <row r="4561" spans="1:11" x14ac:dyDescent="0.25">
      <c r="A4561" t="s">
        <v>1733</v>
      </c>
      <c r="C4561" t="s">
        <v>1734</v>
      </c>
      <c r="D4561" t="s">
        <v>5</v>
      </c>
      <c r="E4561" t="s">
        <v>6</v>
      </c>
      <c r="F4561" t="s">
        <v>7</v>
      </c>
      <c r="G4561">
        <v>1</v>
      </c>
      <c r="H4561" s="2">
        <f>Tabelle13[[#This Row],[commits]]/Tabelle13[[#Totals],[commits]]</f>
        <v>4.6477904404246225E-6</v>
      </c>
      <c r="I4561" s="5">
        <f>Tabelle13[[#This Row],[%]]+I4560</f>
        <v>0.97915001208422703</v>
      </c>
      <c r="J4561" s="4">
        <f t="shared" si="175"/>
        <v>1.105583195135434E-4</v>
      </c>
      <c r="K4561" s="5">
        <f t="shared" si="176"/>
        <v>0.50403537866228421</v>
      </c>
    </row>
    <row r="4562" spans="1:11" x14ac:dyDescent="0.25">
      <c r="A4562" t="s">
        <v>1735</v>
      </c>
      <c r="C4562" t="s">
        <v>1736</v>
      </c>
      <c r="D4562" t="s">
        <v>5</v>
      </c>
      <c r="E4562" t="s">
        <v>6</v>
      </c>
      <c r="F4562" t="s">
        <v>7</v>
      </c>
      <c r="G4562">
        <v>1</v>
      </c>
      <c r="H4562" s="2">
        <f>Tabelle13[[#This Row],[commits]]/Tabelle13[[#Totals],[commits]]</f>
        <v>4.6477904404246225E-6</v>
      </c>
      <c r="I4562" s="5">
        <f>Tabelle13[[#This Row],[%]]+I4561</f>
        <v>0.97915465987466743</v>
      </c>
      <c r="J4562" s="4">
        <f t="shared" si="175"/>
        <v>1.105583195135434E-4</v>
      </c>
      <c r="K4562" s="5">
        <f t="shared" si="176"/>
        <v>0.50414593698179777</v>
      </c>
    </row>
    <row r="4563" spans="1:11" x14ac:dyDescent="0.25">
      <c r="A4563" t="s">
        <v>1737</v>
      </c>
      <c r="C4563" t="s">
        <v>1738</v>
      </c>
      <c r="D4563" t="s">
        <v>5</v>
      </c>
      <c r="E4563" t="s">
        <v>6</v>
      </c>
      <c r="F4563" t="s">
        <v>7</v>
      </c>
      <c r="G4563">
        <v>1</v>
      </c>
      <c r="H4563" s="2">
        <f>Tabelle13[[#This Row],[commits]]/Tabelle13[[#Totals],[commits]]</f>
        <v>4.6477904404246225E-6</v>
      </c>
      <c r="I4563" s="5">
        <f>Tabelle13[[#This Row],[%]]+I4562</f>
        <v>0.97915930766510784</v>
      </c>
      <c r="J4563" s="4">
        <f t="shared" si="175"/>
        <v>1.105583195135434E-4</v>
      </c>
      <c r="K4563" s="5">
        <f t="shared" si="176"/>
        <v>0.50425649530131134</v>
      </c>
    </row>
    <row r="4564" spans="1:11" x14ac:dyDescent="0.25">
      <c r="A4564" t="s">
        <v>1739</v>
      </c>
      <c r="C4564" t="s">
        <v>1740</v>
      </c>
      <c r="D4564" t="s">
        <v>5</v>
      </c>
      <c r="E4564" t="s">
        <v>6</v>
      </c>
      <c r="F4564" t="s">
        <v>7</v>
      </c>
      <c r="G4564">
        <v>1</v>
      </c>
      <c r="H4564" s="2">
        <f>Tabelle13[[#This Row],[commits]]/Tabelle13[[#Totals],[commits]]</f>
        <v>4.6477904404246225E-6</v>
      </c>
      <c r="I4564" s="5">
        <f>Tabelle13[[#This Row],[%]]+I4563</f>
        <v>0.97916395545554824</v>
      </c>
      <c r="J4564" s="4">
        <f t="shared" si="175"/>
        <v>1.105583195135434E-4</v>
      </c>
      <c r="K4564" s="5">
        <f t="shared" si="176"/>
        <v>0.5043670536208249</v>
      </c>
    </row>
    <row r="4565" spans="1:11" x14ac:dyDescent="0.25">
      <c r="A4565" t="s">
        <v>1741</v>
      </c>
      <c r="C4565" t="s">
        <v>1742</v>
      </c>
      <c r="D4565" t="s">
        <v>5</v>
      </c>
      <c r="E4565" t="s">
        <v>6</v>
      </c>
      <c r="F4565" t="s">
        <v>7</v>
      </c>
      <c r="G4565">
        <v>1</v>
      </c>
      <c r="H4565" s="2">
        <f>Tabelle13[[#This Row],[commits]]/Tabelle13[[#Totals],[commits]]</f>
        <v>4.6477904404246225E-6</v>
      </c>
      <c r="I4565" s="5">
        <f>Tabelle13[[#This Row],[%]]+I4564</f>
        <v>0.97916860324598864</v>
      </c>
      <c r="J4565" s="4">
        <f t="shared" si="175"/>
        <v>1.105583195135434E-4</v>
      </c>
      <c r="K4565" s="5">
        <f t="shared" si="176"/>
        <v>0.50447761194033847</v>
      </c>
    </row>
    <row r="4566" spans="1:11" x14ac:dyDescent="0.25">
      <c r="A4566" t="s">
        <v>1743</v>
      </c>
      <c r="C4566" t="s">
        <v>1744</v>
      </c>
      <c r="D4566" t="s">
        <v>5</v>
      </c>
      <c r="E4566" t="s">
        <v>6</v>
      </c>
      <c r="F4566" t="s">
        <v>7</v>
      </c>
      <c r="G4566">
        <v>1</v>
      </c>
      <c r="H4566" s="2">
        <f>Tabelle13[[#This Row],[commits]]/Tabelle13[[#Totals],[commits]]</f>
        <v>4.6477904404246225E-6</v>
      </c>
      <c r="I4566" s="5">
        <f>Tabelle13[[#This Row],[%]]+I4565</f>
        <v>0.97917325103642905</v>
      </c>
      <c r="J4566" s="4">
        <f t="shared" si="175"/>
        <v>1.105583195135434E-4</v>
      </c>
      <c r="K4566" s="5">
        <f t="shared" si="176"/>
        <v>0.50458817025985203</v>
      </c>
    </row>
    <row r="4567" spans="1:11" x14ac:dyDescent="0.25">
      <c r="A4567" t="s">
        <v>1745</v>
      </c>
      <c r="C4567" t="s">
        <v>1746</v>
      </c>
      <c r="D4567" t="s">
        <v>5</v>
      </c>
      <c r="E4567" t="s">
        <v>6</v>
      </c>
      <c r="F4567" t="s">
        <v>7</v>
      </c>
      <c r="G4567">
        <v>1</v>
      </c>
      <c r="H4567" s="2">
        <f>Tabelle13[[#This Row],[commits]]/Tabelle13[[#Totals],[commits]]</f>
        <v>4.6477904404246225E-6</v>
      </c>
      <c r="I4567" s="5">
        <f>Tabelle13[[#This Row],[%]]+I4566</f>
        <v>0.97917789882686945</v>
      </c>
      <c r="J4567" s="4">
        <f t="shared" si="175"/>
        <v>1.105583195135434E-4</v>
      </c>
      <c r="K4567" s="5">
        <f t="shared" si="176"/>
        <v>0.5046987285793656</v>
      </c>
    </row>
    <row r="4568" spans="1:11" x14ac:dyDescent="0.25">
      <c r="A4568" t="s">
        <v>1747</v>
      </c>
      <c r="C4568" t="s">
        <v>1748</v>
      </c>
      <c r="D4568" t="s">
        <v>5</v>
      </c>
      <c r="E4568" t="s">
        <v>6</v>
      </c>
      <c r="F4568" t="s">
        <v>7</v>
      </c>
      <c r="G4568">
        <v>1</v>
      </c>
      <c r="H4568" s="2">
        <f>Tabelle13[[#This Row],[commits]]/Tabelle13[[#Totals],[commits]]</f>
        <v>4.6477904404246225E-6</v>
      </c>
      <c r="I4568" s="5">
        <f>Tabelle13[[#This Row],[%]]+I4567</f>
        <v>0.97918254661730986</v>
      </c>
      <c r="J4568" s="4">
        <f t="shared" si="175"/>
        <v>1.105583195135434E-4</v>
      </c>
      <c r="K4568" s="5">
        <f t="shared" si="176"/>
        <v>0.50480928689887916</v>
      </c>
    </row>
    <row r="4569" spans="1:11" x14ac:dyDescent="0.25">
      <c r="A4569" t="s">
        <v>1749</v>
      </c>
      <c r="C4569" t="s">
        <v>1750</v>
      </c>
      <c r="D4569" t="s">
        <v>5</v>
      </c>
      <c r="E4569" t="s">
        <v>6</v>
      </c>
      <c r="F4569" t="s">
        <v>7</v>
      </c>
      <c r="G4569">
        <v>1</v>
      </c>
      <c r="H4569" s="2">
        <f>Tabelle13[[#This Row],[commits]]/Tabelle13[[#Totals],[commits]]</f>
        <v>4.6477904404246225E-6</v>
      </c>
      <c r="I4569" s="5">
        <f>Tabelle13[[#This Row],[%]]+I4568</f>
        <v>0.97918719440775026</v>
      </c>
      <c r="J4569" s="4">
        <f t="shared" si="175"/>
        <v>1.105583195135434E-4</v>
      </c>
      <c r="K4569" s="5">
        <f t="shared" si="176"/>
        <v>0.50491984521839273</v>
      </c>
    </row>
    <row r="4570" spans="1:11" x14ac:dyDescent="0.25">
      <c r="A4570" t="s">
        <v>1751</v>
      </c>
      <c r="C4570" t="s">
        <v>1752</v>
      </c>
      <c r="D4570" t="s">
        <v>5</v>
      </c>
      <c r="E4570" t="s">
        <v>6</v>
      </c>
      <c r="F4570" t="s">
        <v>7</v>
      </c>
      <c r="G4570">
        <v>1</v>
      </c>
      <c r="H4570" s="2">
        <f>Tabelle13[[#This Row],[commits]]/Tabelle13[[#Totals],[commits]]</f>
        <v>4.6477904404246225E-6</v>
      </c>
      <c r="I4570" s="5">
        <f>Tabelle13[[#This Row],[%]]+I4569</f>
        <v>0.97919184219819067</v>
      </c>
      <c r="J4570" s="4">
        <f t="shared" si="175"/>
        <v>1.105583195135434E-4</v>
      </c>
      <c r="K4570" s="5">
        <f t="shared" si="176"/>
        <v>0.50503040353790629</v>
      </c>
    </row>
    <row r="4571" spans="1:11" x14ac:dyDescent="0.25">
      <c r="A4571" t="s">
        <v>1753</v>
      </c>
      <c r="C4571" t="s">
        <v>221</v>
      </c>
      <c r="D4571" t="s">
        <v>5</v>
      </c>
      <c r="E4571" t="s">
        <v>6</v>
      </c>
      <c r="F4571" t="s">
        <v>7</v>
      </c>
      <c r="G4571">
        <v>1</v>
      </c>
      <c r="H4571" s="2">
        <f>Tabelle13[[#This Row],[commits]]/Tabelle13[[#Totals],[commits]]</f>
        <v>4.6477904404246225E-6</v>
      </c>
      <c r="I4571" s="5">
        <f>Tabelle13[[#This Row],[%]]+I4570</f>
        <v>0.97919648998863107</v>
      </c>
      <c r="J4571" s="4">
        <f t="shared" si="175"/>
        <v>1.105583195135434E-4</v>
      </c>
      <c r="K4571" s="5">
        <f t="shared" si="176"/>
        <v>0.50514096185741986</v>
      </c>
    </row>
    <row r="4572" spans="1:11" x14ac:dyDescent="0.25">
      <c r="A4572" t="s">
        <v>1754</v>
      </c>
      <c r="C4572" t="s">
        <v>1755</v>
      </c>
      <c r="D4572" t="s">
        <v>5</v>
      </c>
      <c r="E4572" t="s">
        <v>6</v>
      </c>
      <c r="F4572" t="s">
        <v>7</v>
      </c>
      <c r="G4572">
        <v>1</v>
      </c>
      <c r="H4572" s="2">
        <f>Tabelle13[[#This Row],[commits]]/Tabelle13[[#Totals],[commits]]</f>
        <v>4.6477904404246225E-6</v>
      </c>
      <c r="I4572" s="5">
        <f>Tabelle13[[#This Row],[%]]+I4571</f>
        <v>0.97920113777907147</v>
      </c>
      <c r="J4572" s="4">
        <f t="shared" si="175"/>
        <v>1.105583195135434E-4</v>
      </c>
      <c r="K4572" s="5">
        <f t="shared" si="176"/>
        <v>0.50525152017693342</v>
      </c>
    </row>
    <row r="4573" spans="1:11" x14ac:dyDescent="0.25">
      <c r="A4573" t="s">
        <v>1756</v>
      </c>
      <c r="C4573" t="s">
        <v>1757</v>
      </c>
      <c r="D4573" t="s">
        <v>5</v>
      </c>
      <c r="E4573" t="s">
        <v>6</v>
      </c>
      <c r="F4573" t="s">
        <v>7</v>
      </c>
      <c r="G4573">
        <v>1</v>
      </c>
      <c r="H4573" s="2">
        <f>Tabelle13[[#This Row],[commits]]/Tabelle13[[#Totals],[commits]]</f>
        <v>4.6477904404246225E-6</v>
      </c>
      <c r="I4573" s="5">
        <f>Tabelle13[[#This Row],[%]]+I4572</f>
        <v>0.97920578556951188</v>
      </c>
      <c r="J4573" s="4">
        <f t="shared" si="175"/>
        <v>1.105583195135434E-4</v>
      </c>
      <c r="K4573" s="5">
        <f t="shared" si="176"/>
        <v>0.50536207849644699</v>
      </c>
    </row>
    <row r="4574" spans="1:11" x14ac:dyDescent="0.25">
      <c r="A4574" t="s">
        <v>1758</v>
      </c>
      <c r="C4574" t="s">
        <v>1759</v>
      </c>
      <c r="D4574" t="s">
        <v>5</v>
      </c>
      <c r="E4574" t="s">
        <v>6</v>
      </c>
      <c r="F4574" t="s">
        <v>7</v>
      </c>
      <c r="G4574">
        <v>1</v>
      </c>
      <c r="H4574" s="2">
        <f>Tabelle13[[#This Row],[commits]]/Tabelle13[[#Totals],[commits]]</f>
        <v>4.6477904404246225E-6</v>
      </c>
      <c r="I4574" s="5">
        <f>Tabelle13[[#This Row],[%]]+I4573</f>
        <v>0.97921043335995228</v>
      </c>
      <c r="J4574" s="4">
        <f t="shared" si="175"/>
        <v>1.105583195135434E-4</v>
      </c>
      <c r="K4574" s="5">
        <f t="shared" si="176"/>
        <v>0.50547263681596055</v>
      </c>
    </row>
    <row r="4575" spans="1:11" x14ac:dyDescent="0.25">
      <c r="A4575" t="s">
        <v>1760</v>
      </c>
      <c r="C4575" t="s">
        <v>1761</v>
      </c>
      <c r="D4575" t="s">
        <v>5</v>
      </c>
      <c r="E4575" t="s">
        <v>6</v>
      </c>
      <c r="F4575" t="s">
        <v>7</v>
      </c>
      <c r="G4575">
        <v>1</v>
      </c>
      <c r="H4575" s="2">
        <f>Tabelle13[[#This Row],[commits]]/Tabelle13[[#Totals],[commits]]</f>
        <v>4.6477904404246225E-6</v>
      </c>
      <c r="I4575" s="5">
        <f>Tabelle13[[#This Row],[%]]+I4574</f>
        <v>0.97921508115039269</v>
      </c>
      <c r="J4575" s="4">
        <f t="shared" si="175"/>
        <v>1.105583195135434E-4</v>
      </c>
      <c r="K4575" s="5">
        <f t="shared" si="176"/>
        <v>0.50558319513547412</v>
      </c>
    </row>
    <row r="4576" spans="1:11" x14ac:dyDescent="0.25">
      <c r="A4576" t="s">
        <v>1762</v>
      </c>
      <c r="C4576" t="s">
        <v>1763</v>
      </c>
      <c r="D4576" t="s">
        <v>5</v>
      </c>
      <c r="E4576" t="s">
        <v>6</v>
      </c>
      <c r="F4576" t="s">
        <v>7</v>
      </c>
      <c r="G4576">
        <v>1</v>
      </c>
      <c r="H4576" s="2">
        <f>Tabelle13[[#This Row],[commits]]/Tabelle13[[#Totals],[commits]]</f>
        <v>4.6477904404246225E-6</v>
      </c>
      <c r="I4576" s="5">
        <f>Tabelle13[[#This Row],[%]]+I4575</f>
        <v>0.97921972894083309</v>
      </c>
      <c r="J4576" s="4">
        <f t="shared" si="175"/>
        <v>1.105583195135434E-4</v>
      </c>
      <c r="K4576" s="5">
        <f t="shared" si="176"/>
        <v>0.50569375345498768</v>
      </c>
    </row>
    <row r="4577" spans="1:11" x14ac:dyDescent="0.25">
      <c r="A4577" t="s">
        <v>1764</v>
      </c>
      <c r="C4577" t="s">
        <v>1765</v>
      </c>
      <c r="D4577" t="s">
        <v>5</v>
      </c>
      <c r="E4577" t="s">
        <v>6</v>
      </c>
      <c r="F4577" t="s">
        <v>7</v>
      </c>
      <c r="G4577">
        <v>1</v>
      </c>
      <c r="H4577" s="2">
        <f>Tabelle13[[#This Row],[commits]]/Tabelle13[[#Totals],[commits]]</f>
        <v>4.6477904404246225E-6</v>
      </c>
      <c r="I4577" s="5">
        <f>Tabelle13[[#This Row],[%]]+I4576</f>
        <v>0.97922437673127349</v>
      </c>
      <c r="J4577" s="4">
        <f t="shared" si="175"/>
        <v>1.105583195135434E-4</v>
      </c>
      <c r="K4577" s="5">
        <f t="shared" si="176"/>
        <v>0.50580431177450125</v>
      </c>
    </row>
    <row r="4578" spans="1:11" x14ac:dyDescent="0.25">
      <c r="A4578" t="s">
        <v>1766</v>
      </c>
      <c r="C4578" t="s">
        <v>1767</v>
      </c>
      <c r="D4578" t="s">
        <v>5</v>
      </c>
      <c r="E4578" t="s">
        <v>6</v>
      </c>
      <c r="F4578" t="s">
        <v>7</v>
      </c>
      <c r="G4578">
        <v>1</v>
      </c>
      <c r="H4578" s="2">
        <f>Tabelle13[[#This Row],[commits]]/Tabelle13[[#Totals],[commits]]</f>
        <v>4.6477904404246225E-6</v>
      </c>
      <c r="I4578" s="5">
        <f>Tabelle13[[#This Row],[%]]+I4577</f>
        <v>0.9792290245217139</v>
      </c>
      <c r="J4578" s="4">
        <f t="shared" si="175"/>
        <v>1.105583195135434E-4</v>
      </c>
      <c r="K4578" s="5">
        <f t="shared" si="176"/>
        <v>0.50591487009401481</v>
      </c>
    </row>
    <row r="4579" spans="1:11" x14ac:dyDescent="0.25">
      <c r="A4579" t="s">
        <v>1768</v>
      </c>
      <c r="C4579" t="s">
        <v>1769</v>
      </c>
      <c r="D4579" t="s">
        <v>5</v>
      </c>
      <c r="E4579" t="s">
        <v>6</v>
      </c>
      <c r="F4579" t="s">
        <v>7</v>
      </c>
      <c r="G4579">
        <v>1</v>
      </c>
      <c r="H4579" s="2">
        <f>Tabelle13[[#This Row],[commits]]/Tabelle13[[#Totals],[commits]]</f>
        <v>4.6477904404246225E-6</v>
      </c>
      <c r="I4579" s="5">
        <f>Tabelle13[[#This Row],[%]]+I4578</f>
        <v>0.9792336723121543</v>
      </c>
      <c r="J4579" s="4">
        <f t="shared" si="175"/>
        <v>1.105583195135434E-4</v>
      </c>
      <c r="K4579" s="5">
        <f t="shared" si="176"/>
        <v>0.50602542841352838</v>
      </c>
    </row>
    <row r="4580" spans="1:11" x14ac:dyDescent="0.25">
      <c r="A4580" t="s">
        <v>1770</v>
      </c>
      <c r="C4580" t="s">
        <v>1771</v>
      </c>
      <c r="D4580" t="s">
        <v>5</v>
      </c>
      <c r="E4580" t="s">
        <v>6</v>
      </c>
      <c r="F4580" t="s">
        <v>7</v>
      </c>
      <c r="G4580">
        <v>1</v>
      </c>
      <c r="H4580" s="2">
        <f>Tabelle13[[#This Row],[commits]]/Tabelle13[[#Totals],[commits]]</f>
        <v>4.6477904404246225E-6</v>
      </c>
      <c r="I4580" s="5">
        <f>Tabelle13[[#This Row],[%]]+I4579</f>
        <v>0.97923832010259471</v>
      </c>
      <c r="J4580" s="4">
        <f t="shared" si="175"/>
        <v>1.105583195135434E-4</v>
      </c>
      <c r="K4580" s="5">
        <f t="shared" si="176"/>
        <v>0.50613598673304194</v>
      </c>
    </row>
    <row r="4581" spans="1:11" x14ac:dyDescent="0.25">
      <c r="A4581" t="s">
        <v>1772</v>
      </c>
      <c r="C4581" t="s">
        <v>1773</v>
      </c>
      <c r="D4581" t="s">
        <v>5</v>
      </c>
      <c r="E4581" t="s">
        <v>6</v>
      </c>
      <c r="F4581" t="s">
        <v>7</v>
      </c>
      <c r="G4581">
        <v>1</v>
      </c>
      <c r="H4581" s="2">
        <f>Tabelle13[[#This Row],[commits]]/Tabelle13[[#Totals],[commits]]</f>
        <v>4.6477904404246225E-6</v>
      </c>
      <c r="I4581" s="5">
        <f>Tabelle13[[#This Row],[%]]+I4580</f>
        <v>0.97924296789303511</v>
      </c>
      <c r="J4581" s="4">
        <f t="shared" si="175"/>
        <v>1.105583195135434E-4</v>
      </c>
      <c r="K4581" s="5">
        <f t="shared" si="176"/>
        <v>0.50624654505255551</v>
      </c>
    </row>
    <row r="4582" spans="1:11" x14ac:dyDescent="0.25">
      <c r="A4582" t="s">
        <v>1774</v>
      </c>
      <c r="C4582" t="s">
        <v>151</v>
      </c>
      <c r="D4582" t="s">
        <v>5</v>
      </c>
      <c r="E4582" t="s">
        <v>6</v>
      </c>
      <c r="F4582" t="s">
        <v>7</v>
      </c>
      <c r="G4582">
        <v>1</v>
      </c>
      <c r="H4582" s="2">
        <f>Tabelle13[[#This Row],[commits]]/Tabelle13[[#Totals],[commits]]</f>
        <v>4.6477904404246225E-6</v>
      </c>
      <c r="I4582" s="5">
        <f>Tabelle13[[#This Row],[%]]+I4581</f>
        <v>0.97924761568347551</v>
      </c>
      <c r="J4582" s="4">
        <f t="shared" si="175"/>
        <v>1.105583195135434E-4</v>
      </c>
      <c r="K4582" s="5">
        <f t="shared" si="176"/>
        <v>0.50635710337206907</v>
      </c>
    </row>
    <row r="4583" spans="1:11" x14ac:dyDescent="0.25">
      <c r="A4583" t="s">
        <v>1775</v>
      </c>
      <c r="C4583" t="s">
        <v>1776</v>
      </c>
      <c r="D4583" t="s">
        <v>5</v>
      </c>
      <c r="E4583" t="s">
        <v>6</v>
      </c>
      <c r="F4583" t="s">
        <v>7</v>
      </c>
      <c r="G4583">
        <v>1</v>
      </c>
      <c r="H4583" s="2">
        <f>Tabelle13[[#This Row],[commits]]/Tabelle13[[#Totals],[commits]]</f>
        <v>4.6477904404246225E-6</v>
      </c>
      <c r="I4583" s="5">
        <f>Tabelle13[[#This Row],[%]]+I4582</f>
        <v>0.97925226347391592</v>
      </c>
      <c r="J4583" s="4">
        <f t="shared" si="175"/>
        <v>1.105583195135434E-4</v>
      </c>
      <c r="K4583" s="5">
        <f t="shared" si="176"/>
        <v>0.50646766169158264</v>
      </c>
    </row>
    <row r="4584" spans="1:11" x14ac:dyDescent="0.25">
      <c r="A4584" t="s">
        <v>1777</v>
      </c>
      <c r="C4584" t="s">
        <v>1778</v>
      </c>
      <c r="D4584" t="s">
        <v>5</v>
      </c>
      <c r="E4584" t="s">
        <v>6</v>
      </c>
      <c r="F4584" t="s">
        <v>7</v>
      </c>
      <c r="G4584">
        <v>1</v>
      </c>
      <c r="H4584" s="2">
        <f>Tabelle13[[#This Row],[commits]]/Tabelle13[[#Totals],[commits]]</f>
        <v>4.6477904404246225E-6</v>
      </c>
      <c r="I4584" s="5">
        <f>Tabelle13[[#This Row],[%]]+I4583</f>
        <v>0.97925691126435632</v>
      </c>
      <c r="J4584" s="4">
        <f t="shared" si="175"/>
        <v>1.105583195135434E-4</v>
      </c>
      <c r="K4584" s="5">
        <f t="shared" si="176"/>
        <v>0.5065782200110962</v>
      </c>
    </row>
    <row r="4585" spans="1:11" x14ac:dyDescent="0.25">
      <c r="A4585" t="s">
        <v>1779</v>
      </c>
      <c r="C4585" t="s">
        <v>1780</v>
      </c>
      <c r="D4585" t="s">
        <v>5</v>
      </c>
      <c r="E4585" t="s">
        <v>6</v>
      </c>
      <c r="F4585" t="s">
        <v>7</v>
      </c>
      <c r="G4585">
        <v>1</v>
      </c>
      <c r="H4585" s="2">
        <f>Tabelle13[[#This Row],[commits]]/Tabelle13[[#Totals],[commits]]</f>
        <v>4.6477904404246225E-6</v>
      </c>
      <c r="I4585" s="5">
        <f>Tabelle13[[#This Row],[%]]+I4584</f>
        <v>0.97926155905479673</v>
      </c>
      <c r="J4585" s="4">
        <f t="shared" si="175"/>
        <v>1.105583195135434E-4</v>
      </c>
      <c r="K4585" s="5">
        <f t="shared" si="176"/>
        <v>0.50668877833060977</v>
      </c>
    </row>
    <row r="4586" spans="1:11" x14ac:dyDescent="0.25">
      <c r="A4586" t="s">
        <v>1781</v>
      </c>
      <c r="C4586" t="s">
        <v>1782</v>
      </c>
      <c r="D4586" t="s">
        <v>5</v>
      </c>
      <c r="E4586" t="s">
        <v>6</v>
      </c>
      <c r="F4586" t="s">
        <v>7</v>
      </c>
      <c r="G4586">
        <v>1</v>
      </c>
      <c r="H4586" s="2">
        <f>Tabelle13[[#This Row],[commits]]/Tabelle13[[#Totals],[commits]]</f>
        <v>4.6477904404246225E-6</v>
      </c>
      <c r="I4586" s="5">
        <f>Tabelle13[[#This Row],[%]]+I4585</f>
        <v>0.97926620684523713</v>
      </c>
      <c r="J4586" s="4">
        <f t="shared" si="175"/>
        <v>1.105583195135434E-4</v>
      </c>
      <c r="K4586" s="5">
        <f t="shared" si="176"/>
        <v>0.50679933665012333</v>
      </c>
    </row>
    <row r="4587" spans="1:11" x14ac:dyDescent="0.25">
      <c r="A4587" t="s">
        <v>1783</v>
      </c>
      <c r="C4587" t="s">
        <v>1784</v>
      </c>
      <c r="D4587" t="s">
        <v>5</v>
      </c>
      <c r="E4587" t="s">
        <v>6</v>
      </c>
      <c r="F4587" t="s">
        <v>7</v>
      </c>
      <c r="G4587">
        <v>1</v>
      </c>
      <c r="H4587" s="2">
        <f>Tabelle13[[#This Row],[commits]]/Tabelle13[[#Totals],[commits]]</f>
        <v>4.6477904404246225E-6</v>
      </c>
      <c r="I4587" s="5">
        <f>Tabelle13[[#This Row],[%]]+I4586</f>
        <v>0.97927085463567753</v>
      </c>
      <c r="J4587" s="4">
        <f t="shared" si="175"/>
        <v>1.105583195135434E-4</v>
      </c>
      <c r="K4587" s="5">
        <f t="shared" si="176"/>
        <v>0.5069098949696369</v>
      </c>
    </row>
    <row r="4588" spans="1:11" x14ac:dyDescent="0.25">
      <c r="A4588" t="s">
        <v>1785</v>
      </c>
      <c r="C4588" t="s">
        <v>1786</v>
      </c>
      <c r="D4588" t="s">
        <v>5</v>
      </c>
      <c r="E4588" t="s">
        <v>6</v>
      </c>
      <c r="F4588" t="s">
        <v>7</v>
      </c>
      <c r="G4588">
        <v>1</v>
      </c>
      <c r="H4588" s="2">
        <f>Tabelle13[[#This Row],[commits]]/Tabelle13[[#Totals],[commits]]</f>
        <v>4.6477904404246225E-6</v>
      </c>
      <c r="I4588" s="5">
        <f>Tabelle13[[#This Row],[%]]+I4587</f>
        <v>0.97927550242611794</v>
      </c>
      <c r="J4588" s="4">
        <f t="shared" si="175"/>
        <v>1.105583195135434E-4</v>
      </c>
      <c r="K4588" s="5">
        <f t="shared" si="176"/>
        <v>0.50702045328915046</v>
      </c>
    </row>
    <row r="4589" spans="1:11" x14ac:dyDescent="0.25">
      <c r="A4589" t="s">
        <v>1787</v>
      </c>
      <c r="C4589" t="s">
        <v>1788</v>
      </c>
      <c r="D4589" t="s">
        <v>5</v>
      </c>
      <c r="E4589" t="s">
        <v>6</v>
      </c>
      <c r="F4589" t="s">
        <v>7</v>
      </c>
      <c r="G4589">
        <v>1</v>
      </c>
      <c r="H4589" s="2">
        <f>Tabelle13[[#This Row],[commits]]/Tabelle13[[#Totals],[commits]]</f>
        <v>4.6477904404246225E-6</v>
      </c>
      <c r="I4589" s="5">
        <f>Tabelle13[[#This Row],[%]]+I4588</f>
        <v>0.97928015021655834</v>
      </c>
      <c r="J4589" s="4">
        <f t="shared" si="175"/>
        <v>1.105583195135434E-4</v>
      </c>
      <c r="K4589" s="5">
        <f t="shared" si="176"/>
        <v>0.50713101160866403</v>
      </c>
    </row>
    <row r="4590" spans="1:11" x14ac:dyDescent="0.25">
      <c r="A4590" t="s">
        <v>1789</v>
      </c>
      <c r="C4590" t="s">
        <v>1790</v>
      </c>
      <c r="D4590" t="s">
        <v>5</v>
      </c>
      <c r="E4590" t="s">
        <v>6</v>
      </c>
      <c r="F4590" t="s">
        <v>7</v>
      </c>
      <c r="G4590">
        <v>1</v>
      </c>
      <c r="H4590" s="2">
        <f>Tabelle13[[#This Row],[commits]]/Tabelle13[[#Totals],[commits]]</f>
        <v>4.6477904404246225E-6</v>
      </c>
      <c r="I4590" s="5">
        <f>Tabelle13[[#This Row],[%]]+I4589</f>
        <v>0.97928479800699875</v>
      </c>
      <c r="J4590" s="4">
        <f t="shared" si="175"/>
        <v>1.105583195135434E-4</v>
      </c>
      <c r="K4590" s="5">
        <f t="shared" si="176"/>
        <v>0.50724156992817759</v>
      </c>
    </row>
    <row r="4591" spans="1:11" x14ac:dyDescent="0.25">
      <c r="A4591" t="s">
        <v>1794</v>
      </c>
      <c r="C4591" t="s">
        <v>1795</v>
      </c>
      <c r="D4591" t="s">
        <v>5</v>
      </c>
      <c r="E4591" t="s">
        <v>6</v>
      </c>
      <c r="F4591" t="s">
        <v>7</v>
      </c>
      <c r="G4591">
        <v>1</v>
      </c>
      <c r="H4591" s="2">
        <f>Tabelle13[[#This Row],[commits]]/Tabelle13[[#Totals],[commits]]</f>
        <v>4.6477904404246225E-6</v>
      </c>
      <c r="I4591" s="5">
        <f>Tabelle13[[#This Row],[%]]+I4590</f>
        <v>0.97928944579743915</v>
      </c>
      <c r="J4591" s="4">
        <f t="shared" si="175"/>
        <v>1.105583195135434E-4</v>
      </c>
      <c r="K4591" s="5">
        <f t="shared" si="176"/>
        <v>0.50735212824769116</v>
      </c>
    </row>
    <row r="4592" spans="1:11" x14ac:dyDescent="0.25">
      <c r="A4592" t="s">
        <v>1796</v>
      </c>
      <c r="C4592" t="s">
        <v>1797</v>
      </c>
      <c r="D4592" t="s">
        <v>5</v>
      </c>
      <c r="E4592" t="s">
        <v>6</v>
      </c>
      <c r="F4592" t="s">
        <v>7</v>
      </c>
      <c r="G4592">
        <v>1</v>
      </c>
      <c r="H4592" s="2">
        <f>Tabelle13[[#This Row],[commits]]/Tabelle13[[#Totals],[commits]]</f>
        <v>4.6477904404246225E-6</v>
      </c>
      <c r="I4592" s="5">
        <f>Tabelle13[[#This Row],[%]]+I4591</f>
        <v>0.97929409358787955</v>
      </c>
      <c r="J4592" s="4">
        <f t="shared" si="175"/>
        <v>1.105583195135434E-4</v>
      </c>
      <c r="K4592" s="5">
        <f t="shared" si="176"/>
        <v>0.50746268656720472</v>
      </c>
    </row>
    <row r="4593" spans="1:11" x14ac:dyDescent="0.25">
      <c r="A4593" t="s">
        <v>1798</v>
      </c>
      <c r="C4593" t="s">
        <v>1799</v>
      </c>
      <c r="D4593" t="s">
        <v>5</v>
      </c>
      <c r="E4593" t="s">
        <v>6</v>
      </c>
      <c r="F4593" t="s">
        <v>7</v>
      </c>
      <c r="G4593">
        <v>1</v>
      </c>
      <c r="H4593" s="2">
        <f>Tabelle13[[#This Row],[commits]]/Tabelle13[[#Totals],[commits]]</f>
        <v>4.6477904404246225E-6</v>
      </c>
      <c r="I4593" s="5">
        <f>Tabelle13[[#This Row],[%]]+I4592</f>
        <v>0.97929874137831996</v>
      </c>
      <c r="J4593" s="4">
        <f t="shared" si="175"/>
        <v>1.105583195135434E-4</v>
      </c>
      <c r="K4593" s="5">
        <f t="shared" si="176"/>
        <v>0.50757324488671829</v>
      </c>
    </row>
    <row r="4594" spans="1:11" x14ac:dyDescent="0.25">
      <c r="A4594" t="s">
        <v>1800</v>
      </c>
      <c r="C4594" t="s">
        <v>1801</v>
      </c>
      <c r="D4594" t="s">
        <v>5</v>
      </c>
      <c r="E4594" t="s">
        <v>6</v>
      </c>
      <c r="F4594" t="s">
        <v>7</v>
      </c>
      <c r="G4594">
        <v>1</v>
      </c>
      <c r="H4594" s="2">
        <f>Tabelle13[[#This Row],[commits]]/Tabelle13[[#Totals],[commits]]</f>
        <v>4.6477904404246225E-6</v>
      </c>
      <c r="I4594" s="5">
        <f>Tabelle13[[#This Row],[%]]+I4593</f>
        <v>0.97930338916876036</v>
      </c>
      <c r="J4594" s="4">
        <f t="shared" si="175"/>
        <v>1.105583195135434E-4</v>
      </c>
      <c r="K4594" s="5">
        <f t="shared" si="176"/>
        <v>0.50768380320623185</v>
      </c>
    </row>
    <row r="4595" spans="1:11" x14ac:dyDescent="0.25">
      <c r="A4595" t="s">
        <v>1802</v>
      </c>
      <c r="C4595" t="s">
        <v>1803</v>
      </c>
      <c r="D4595" t="s">
        <v>5</v>
      </c>
      <c r="E4595" t="s">
        <v>6</v>
      </c>
      <c r="F4595" t="s">
        <v>7</v>
      </c>
      <c r="G4595">
        <v>1</v>
      </c>
      <c r="H4595" s="2">
        <f>Tabelle13[[#This Row],[commits]]/Tabelle13[[#Totals],[commits]]</f>
        <v>4.6477904404246225E-6</v>
      </c>
      <c r="I4595" s="5">
        <f>Tabelle13[[#This Row],[%]]+I4594</f>
        <v>0.97930803695920077</v>
      </c>
      <c r="J4595" s="4">
        <f t="shared" si="175"/>
        <v>1.105583195135434E-4</v>
      </c>
      <c r="K4595" s="5">
        <f t="shared" si="176"/>
        <v>0.50779436152574542</v>
      </c>
    </row>
    <row r="4596" spans="1:11" x14ac:dyDescent="0.25">
      <c r="A4596" t="s">
        <v>1804</v>
      </c>
      <c r="C4596" t="s">
        <v>1805</v>
      </c>
      <c r="D4596" t="s">
        <v>5</v>
      </c>
      <c r="E4596" t="s">
        <v>6</v>
      </c>
      <c r="F4596" t="s">
        <v>7</v>
      </c>
      <c r="G4596">
        <v>1</v>
      </c>
      <c r="H4596" s="2">
        <f>Tabelle13[[#This Row],[commits]]/Tabelle13[[#Totals],[commits]]</f>
        <v>4.6477904404246225E-6</v>
      </c>
      <c r="I4596" s="5">
        <f>Tabelle13[[#This Row],[%]]+I4595</f>
        <v>0.97931268474964117</v>
      </c>
      <c r="J4596" s="4">
        <f t="shared" si="175"/>
        <v>1.105583195135434E-4</v>
      </c>
      <c r="K4596" s="5">
        <f t="shared" si="176"/>
        <v>0.50790491984525898</v>
      </c>
    </row>
    <row r="4597" spans="1:11" x14ac:dyDescent="0.25">
      <c r="A4597" t="s">
        <v>1806</v>
      </c>
      <c r="C4597" t="s">
        <v>1807</v>
      </c>
      <c r="D4597" t="s">
        <v>5</v>
      </c>
      <c r="E4597" t="s">
        <v>6</v>
      </c>
      <c r="F4597" t="s">
        <v>7</v>
      </c>
      <c r="G4597">
        <v>1</v>
      </c>
      <c r="H4597" s="2">
        <f>Tabelle13[[#This Row],[commits]]/Tabelle13[[#Totals],[commits]]</f>
        <v>4.6477904404246225E-6</v>
      </c>
      <c r="I4597" s="5">
        <f>Tabelle13[[#This Row],[%]]+I4596</f>
        <v>0.97931733254008158</v>
      </c>
      <c r="J4597" s="4">
        <f t="shared" si="175"/>
        <v>1.105583195135434E-4</v>
      </c>
      <c r="K4597" s="5">
        <f t="shared" si="176"/>
        <v>0.50801547816477255</v>
      </c>
    </row>
    <row r="4598" spans="1:11" x14ac:dyDescent="0.25">
      <c r="A4598" t="s">
        <v>1808</v>
      </c>
      <c r="C4598" t="s">
        <v>1809</v>
      </c>
      <c r="D4598" t="s">
        <v>5</v>
      </c>
      <c r="E4598" t="s">
        <v>6</v>
      </c>
      <c r="F4598" t="s">
        <v>7</v>
      </c>
      <c r="G4598">
        <v>1</v>
      </c>
      <c r="H4598" s="2">
        <f>Tabelle13[[#This Row],[commits]]/Tabelle13[[#Totals],[commits]]</f>
        <v>4.6477904404246225E-6</v>
      </c>
      <c r="I4598" s="5">
        <f>Tabelle13[[#This Row],[%]]+I4597</f>
        <v>0.97932198033052198</v>
      </c>
      <c r="J4598" s="4">
        <f t="shared" si="175"/>
        <v>1.105583195135434E-4</v>
      </c>
      <c r="K4598" s="5">
        <f t="shared" si="176"/>
        <v>0.50812603648428611</v>
      </c>
    </row>
    <row r="4599" spans="1:11" x14ac:dyDescent="0.25">
      <c r="A4599" t="s">
        <v>1810</v>
      </c>
      <c r="C4599" t="s">
        <v>122</v>
      </c>
      <c r="D4599" t="s">
        <v>5</v>
      </c>
      <c r="E4599" t="s">
        <v>6</v>
      </c>
      <c r="F4599" t="s">
        <v>7</v>
      </c>
      <c r="G4599">
        <v>1</v>
      </c>
      <c r="H4599" s="2">
        <f>Tabelle13[[#This Row],[commits]]/Tabelle13[[#Totals],[commits]]</f>
        <v>4.6477904404246225E-6</v>
      </c>
      <c r="I4599" s="5">
        <f>Tabelle13[[#This Row],[%]]+I4598</f>
        <v>0.97932662812096238</v>
      </c>
      <c r="J4599" s="4">
        <f t="shared" si="175"/>
        <v>1.105583195135434E-4</v>
      </c>
      <c r="K4599" s="5">
        <f t="shared" si="176"/>
        <v>0.50823659480379968</v>
      </c>
    </row>
    <row r="4600" spans="1:11" x14ac:dyDescent="0.25">
      <c r="A4600" t="s">
        <v>1811</v>
      </c>
      <c r="C4600" t="s">
        <v>1812</v>
      </c>
      <c r="D4600" t="s">
        <v>5</v>
      </c>
      <c r="E4600" t="s">
        <v>6</v>
      </c>
      <c r="F4600" t="s">
        <v>7</v>
      </c>
      <c r="G4600">
        <v>1</v>
      </c>
      <c r="H4600" s="2">
        <f>Tabelle13[[#This Row],[commits]]/Tabelle13[[#Totals],[commits]]</f>
        <v>4.6477904404246225E-6</v>
      </c>
      <c r="I4600" s="5">
        <f>Tabelle13[[#This Row],[%]]+I4599</f>
        <v>0.97933127591140279</v>
      </c>
      <c r="J4600" s="4">
        <f t="shared" si="175"/>
        <v>1.105583195135434E-4</v>
      </c>
      <c r="K4600" s="5">
        <f t="shared" si="176"/>
        <v>0.50834715312331324</v>
      </c>
    </row>
    <row r="4601" spans="1:11" x14ac:dyDescent="0.25">
      <c r="A4601" t="s">
        <v>1813</v>
      </c>
      <c r="C4601" t="s">
        <v>1814</v>
      </c>
      <c r="D4601" t="s">
        <v>5</v>
      </c>
      <c r="E4601" t="s">
        <v>6</v>
      </c>
      <c r="F4601" t="s">
        <v>7</v>
      </c>
      <c r="G4601">
        <v>1</v>
      </c>
      <c r="H4601" s="2">
        <f>Tabelle13[[#This Row],[commits]]/Tabelle13[[#Totals],[commits]]</f>
        <v>4.6477904404246225E-6</v>
      </c>
      <c r="I4601" s="5">
        <f>Tabelle13[[#This Row],[%]]+I4600</f>
        <v>0.97933592370184319</v>
      </c>
      <c r="J4601" s="4">
        <f t="shared" si="175"/>
        <v>1.105583195135434E-4</v>
      </c>
      <c r="K4601" s="5">
        <f t="shared" si="176"/>
        <v>0.50845771144282681</v>
      </c>
    </row>
    <row r="4602" spans="1:11" x14ac:dyDescent="0.25">
      <c r="A4602" t="s">
        <v>1815</v>
      </c>
      <c r="C4602" t="s">
        <v>1816</v>
      </c>
      <c r="D4602" t="s">
        <v>5</v>
      </c>
      <c r="E4602" t="s">
        <v>6</v>
      </c>
      <c r="F4602" t="s">
        <v>7</v>
      </c>
      <c r="G4602">
        <v>1</v>
      </c>
      <c r="H4602" s="2">
        <f>Tabelle13[[#This Row],[commits]]/Tabelle13[[#Totals],[commits]]</f>
        <v>4.6477904404246225E-6</v>
      </c>
      <c r="I4602" s="5">
        <f>Tabelle13[[#This Row],[%]]+I4601</f>
        <v>0.9793405714922836</v>
      </c>
      <c r="J4602" s="4">
        <f t="shared" si="175"/>
        <v>1.105583195135434E-4</v>
      </c>
      <c r="K4602" s="5">
        <f t="shared" si="176"/>
        <v>0.50856826976234037</v>
      </c>
    </row>
    <row r="4603" spans="1:11" x14ac:dyDescent="0.25">
      <c r="A4603" t="s">
        <v>1817</v>
      </c>
      <c r="C4603" t="s">
        <v>1818</v>
      </c>
      <c r="D4603" t="s">
        <v>5</v>
      </c>
      <c r="E4603" t="s">
        <v>6</v>
      </c>
      <c r="F4603" t="s">
        <v>7</v>
      </c>
      <c r="G4603">
        <v>1</v>
      </c>
      <c r="H4603" s="2">
        <f>Tabelle13[[#This Row],[commits]]/Tabelle13[[#Totals],[commits]]</f>
        <v>4.6477904404246225E-6</v>
      </c>
      <c r="I4603" s="5">
        <f>Tabelle13[[#This Row],[%]]+I4602</f>
        <v>0.979345219282724</v>
      </c>
      <c r="J4603" s="4">
        <f t="shared" si="175"/>
        <v>1.105583195135434E-4</v>
      </c>
      <c r="K4603" s="5">
        <f t="shared" si="176"/>
        <v>0.50867882808185394</v>
      </c>
    </row>
    <row r="4604" spans="1:11" x14ac:dyDescent="0.25">
      <c r="A4604" t="s">
        <v>1819</v>
      </c>
      <c r="C4604" t="s">
        <v>1820</v>
      </c>
      <c r="D4604" t="s">
        <v>5</v>
      </c>
      <c r="E4604" t="s">
        <v>6</v>
      </c>
      <c r="F4604" t="s">
        <v>7</v>
      </c>
      <c r="G4604">
        <v>1</v>
      </c>
      <c r="H4604" s="2">
        <f>Tabelle13[[#This Row],[commits]]/Tabelle13[[#Totals],[commits]]</f>
        <v>4.6477904404246225E-6</v>
      </c>
      <c r="I4604" s="5">
        <f>Tabelle13[[#This Row],[%]]+I4603</f>
        <v>0.9793498670731644</v>
      </c>
      <c r="J4604" s="4">
        <f t="shared" si="175"/>
        <v>1.105583195135434E-4</v>
      </c>
      <c r="K4604" s="5">
        <f t="shared" si="176"/>
        <v>0.5087893864013675</v>
      </c>
    </row>
    <row r="4605" spans="1:11" x14ac:dyDescent="0.25">
      <c r="A4605" t="s">
        <v>1821</v>
      </c>
      <c r="C4605" t="s">
        <v>1822</v>
      </c>
      <c r="D4605" t="s">
        <v>5</v>
      </c>
      <c r="E4605" t="s">
        <v>6</v>
      </c>
      <c r="F4605" t="s">
        <v>7</v>
      </c>
      <c r="G4605">
        <v>1</v>
      </c>
      <c r="H4605" s="2">
        <f>Tabelle13[[#This Row],[commits]]/Tabelle13[[#Totals],[commits]]</f>
        <v>4.6477904404246225E-6</v>
      </c>
      <c r="I4605" s="5">
        <f>Tabelle13[[#This Row],[%]]+I4604</f>
        <v>0.97935451486360481</v>
      </c>
      <c r="J4605" s="4">
        <f t="shared" si="175"/>
        <v>1.105583195135434E-4</v>
      </c>
      <c r="K4605" s="5">
        <f t="shared" si="176"/>
        <v>0.50889994472088107</v>
      </c>
    </row>
    <row r="4606" spans="1:11" x14ac:dyDescent="0.25">
      <c r="A4606" t="s">
        <v>1823</v>
      </c>
      <c r="C4606" t="s">
        <v>1824</v>
      </c>
      <c r="D4606" t="s">
        <v>5</v>
      </c>
      <c r="E4606" t="s">
        <v>6</v>
      </c>
      <c r="F4606" t="s">
        <v>7</v>
      </c>
      <c r="G4606">
        <v>1</v>
      </c>
      <c r="H4606" s="2">
        <f>Tabelle13[[#This Row],[commits]]/Tabelle13[[#Totals],[commits]]</f>
        <v>4.6477904404246225E-6</v>
      </c>
      <c r="I4606" s="5">
        <f>Tabelle13[[#This Row],[%]]+I4605</f>
        <v>0.97935916265404521</v>
      </c>
      <c r="J4606" s="4">
        <f t="shared" si="175"/>
        <v>1.105583195135434E-4</v>
      </c>
      <c r="K4606" s="5">
        <f t="shared" si="176"/>
        <v>0.50901050304039464</v>
      </c>
    </row>
    <row r="4607" spans="1:11" x14ac:dyDescent="0.25">
      <c r="A4607" t="s">
        <v>1827</v>
      </c>
      <c r="C4607" t="s">
        <v>1828</v>
      </c>
      <c r="D4607" t="s">
        <v>5</v>
      </c>
      <c r="E4607" t="s">
        <v>6</v>
      </c>
      <c r="F4607" t="s">
        <v>7</v>
      </c>
      <c r="G4607">
        <v>1</v>
      </c>
      <c r="H4607" s="2">
        <f>Tabelle13[[#This Row],[commits]]/Tabelle13[[#Totals],[commits]]</f>
        <v>4.6477904404246225E-6</v>
      </c>
      <c r="I4607" s="5">
        <f>Tabelle13[[#This Row],[%]]+I4606</f>
        <v>0.97936381044448562</v>
      </c>
      <c r="J4607" s="4">
        <f t="shared" si="175"/>
        <v>1.105583195135434E-4</v>
      </c>
      <c r="K4607" s="5">
        <f t="shared" si="176"/>
        <v>0.5091210613599082</v>
      </c>
    </row>
    <row r="4608" spans="1:11" x14ac:dyDescent="0.25">
      <c r="A4608" t="s">
        <v>1829</v>
      </c>
      <c r="C4608" t="s">
        <v>1830</v>
      </c>
      <c r="D4608" t="s">
        <v>5</v>
      </c>
      <c r="E4608" t="s">
        <v>6</v>
      </c>
      <c r="F4608" t="s">
        <v>7</v>
      </c>
      <c r="G4608">
        <v>1</v>
      </c>
      <c r="H4608" s="2">
        <f>Tabelle13[[#This Row],[commits]]/Tabelle13[[#Totals],[commits]]</f>
        <v>4.6477904404246225E-6</v>
      </c>
      <c r="I4608" s="5">
        <f>Tabelle13[[#This Row],[%]]+I4607</f>
        <v>0.97936845823492602</v>
      </c>
      <c r="J4608" s="4">
        <f t="shared" si="175"/>
        <v>1.105583195135434E-4</v>
      </c>
      <c r="K4608" s="5">
        <f t="shared" si="176"/>
        <v>0.50923161967942177</v>
      </c>
    </row>
    <row r="4609" spans="1:11" x14ac:dyDescent="0.25">
      <c r="A4609" t="s">
        <v>1831</v>
      </c>
      <c r="C4609" t="s">
        <v>1832</v>
      </c>
      <c r="D4609" t="s">
        <v>5</v>
      </c>
      <c r="E4609" t="s">
        <v>6</v>
      </c>
      <c r="F4609" t="s">
        <v>7</v>
      </c>
      <c r="G4609">
        <v>1</v>
      </c>
      <c r="H4609" s="2">
        <f>Tabelle13[[#This Row],[commits]]/Tabelle13[[#Totals],[commits]]</f>
        <v>4.6477904404246225E-6</v>
      </c>
      <c r="I4609" s="5">
        <f>Tabelle13[[#This Row],[%]]+I4608</f>
        <v>0.97937310602536642</v>
      </c>
      <c r="J4609" s="4">
        <f t="shared" si="175"/>
        <v>1.105583195135434E-4</v>
      </c>
      <c r="K4609" s="5">
        <f t="shared" si="176"/>
        <v>0.50934217799893533</v>
      </c>
    </row>
    <row r="4610" spans="1:11" x14ac:dyDescent="0.25">
      <c r="A4610" t="s">
        <v>1833</v>
      </c>
      <c r="C4610" t="s">
        <v>122</v>
      </c>
      <c r="D4610" t="s">
        <v>5</v>
      </c>
      <c r="E4610" t="s">
        <v>6</v>
      </c>
      <c r="F4610" t="s">
        <v>7</v>
      </c>
      <c r="G4610">
        <v>1</v>
      </c>
      <c r="H4610" s="2">
        <f>Tabelle13[[#This Row],[commits]]/Tabelle13[[#Totals],[commits]]</f>
        <v>4.6477904404246225E-6</v>
      </c>
      <c r="I4610" s="5">
        <f>Tabelle13[[#This Row],[%]]+I4609</f>
        <v>0.97937775381580683</v>
      </c>
      <c r="J4610" s="4">
        <f t="shared" si="175"/>
        <v>1.105583195135434E-4</v>
      </c>
      <c r="K4610" s="5">
        <f t="shared" si="176"/>
        <v>0.5094527363184489</v>
      </c>
    </row>
    <row r="4611" spans="1:11" x14ac:dyDescent="0.25">
      <c r="A4611" t="s">
        <v>1834</v>
      </c>
      <c r="C4611" t="s">
        <v>1835</v>
      </c>
      <c r="D4611" t="s">
        <v>5</v>
      </c>
      <c r="E4611" t="s">
        <v>6</v>
      </c>
      <c r="F4611" t="s">
        <v>7</v>
      </c>
      <c r="G4611">
        <v>1</v>
      </c>
      <c r="H4611" s="2">
        <f>Tabelle13[[#This Row],[commits]]/Tabelle13[[#Totals],[commits]]</f>
        <v>4.6477904404246225E-6</v>
      </c>
      <c r="I4611" s="5">
        <f>Tabelle13[[#This Row],[%]]+I4610</f>
        <v>0.97938240160624723</v>
      </c>
      <c r="J4611" s="4">
        <f t="shared" ref="J4611:J4674" si="177">1/9045</f>
        <v>1.105583195135434E-4</v>
      </c>
      <c r="K4611" s="5">
        <f t="shared" si="176"/>
        <v>0.50956329463796246</v>
      </c>
    </row>
    <row r="4612" spans="1:11" x14ac:dyDescent="0.25">
      <c r="A4612" t="s">
        <v>1836</v>
      </c>
      <c r="C4612" t="s">
        <v>1837</v>
      </c>
      <c r="D4612" t="s">
        <v>5</v>
      </c>
      <c r="E4612" t="s">
        <v>6</v>
      </c>
      <c r="F4612" t="s">
        <v>28</v>
      </c>
      <c r="G4612">
        <v>1</v>
      </c>
      <c r="H4612" s="2">
        <f>Tabelle13[[#This Row],[commits]]/Tabelle13[[#Totals],[commits]]</f>
        <v>4.6477904404246225E-6</v>
      </c>
      <c r="I4612" s="5">
        <f>Tabelle13[[#This Row],[%]]+I4611</f>
        <v>0.97938704939668764</v>
      </c>
      <c r="J4612" s="4">
        <f t="shared" si="177"/>
        <v>1.105583195135434E-4</v>
      </c>
      <c r="K4612" s="5">
        <f t="shared" si="176"/>
        <v>0.50967385295747603</v>
      </c>
    </row>
    <row r="4613" spans="1:11" x14ac:dyDescent="0.25">
      <c r="A4613" t="s">
        <v>1838</v>
      </c>
      <c r="C4613" t="s">
        <v>1839</v>
      </c>
      <c r="D4613" t="s">
        <v>5</v>
      </c>
      <c r="E4613" t="s">
        <v>6</v>
      </c>
      <c r="F4613" t="s">
        <v>7</v>
      </c>
      <c r="G4613">
        <v>1</v>
      </c>
      <c r="H4613" s="2">
        <f>Tabelle13[[#This Row],[commits]]/Tabelle13[[#Totals],[commits]]</f>
        <v>4.6477904404246225E-6</v>
      </c>
      <c r="I4613" s="5">
        <f>Tabelle13[[#This Row],[%]]+I4612</f>
        <v>0.97939169718712804</v>
      </c>
      <c r="J4613" s="4">
        <f t="shared" si="177"/>
        <v>1.105583195135434E-4</v>
      </c>
      <c r="K4613" s="5">
        <f t="shared" si="176"/>
        <v>0.50978441127698959</v>
      </c>
    </row>
    <row r="4614" spans="1:11" x14ac:dyDescent="0.25">
      <c r="A4614" t="s">
        <v>1840</v>
      </c>
      <c r="C4614" t="s">
        <v>1841</v>
      </c>
      <c r="D4614" t="s">
        <v>5</v>
      </c>
      <c r="E4614" t="s">
        <v>6</v>
      </c>
      <c r="F4614" t="s">
        <v>7</v>
      </c>
      <c r="G4614">
        <v>1</v>
      </c>
      <c r="H4614" s="2">
        <f>Tabelle13[[#This Row],[commits]]/Tabelle13[[#Totals],[commits]]</f>
        <v>4.6477904404246225E-6</v>
      </c>
      <c r="I4614" s="5">
        <f>Tabelle13[[#This Row],[%]]+I4613</f>
        <v>0.97939634497756844</v>
      </c>
      <c r="J4614" s="4">
        <f t="shared" si="177"/>
        <v>1.105583195135434E-4</v>
      </c>
      <c r="K4614" s="5">
        <f t="shared" ref="K4614:K4677" si="178">J4614+K4613</f>
        <v>0.50989496959650316</v>
      </c>
    </row>
    <row r="4615" spans="1:11" x14ac:dyDescent="0.25">
      <c r="A4615" t="s">
        <v>1842</v>
      </c>
      <c r="C4615" t="s">
        <v>1843</v>
      </c>
      <c r="D4615" t="s">
        <v>1844</v>
      </c>
      <c r="E4615" t="s">
        <v>6</v>
      </c>
      <c r="F4615" t="s">
        <v>7</v>
      </c>
      <c r="G4615">
        <v>1</v>
      </c>
      <c r="H4615" s="2">
        <f>Tabelle13[[#This Row],[commits]]/Tabelle13[[#Totals],[commits]]</f>
        <v>4.6477904404246225E-6</v>
      </c>
      <c r="I4615" s="5">
        <f>Tabelle13[[#This Row],[%]]+I4614</f>
        <v>0.97940099276800885</v>
      </c>
      <c r="J4615" s="4">
        <f t="shared" si="177"/>
        <v>1.105583195135434E-4</v>
      </c>
      <c r="K4615" s="5">
        <f t="shared" si="178"/>
        <v>0.51000552791601672</v>
      </c>
    </row>
    <row r="4616" spans="1:11" x14ac:dyDescent="0.25">
      <c r="A4616" t="s">
        <v>1845</v>
      </c>
      <c r="C4616" t="s">
        <v>151</v>
      </c>
      <c r="D4616" t="s">
        <v>5</v>
      </c>
      <c r="E4616" t="s">
        <v>6</v>
      </c>
      <c r="F4616" t="s">
        <v>7</v>
      </c>
      <c r="G4616">
        <v>1</v>
      </c>
      <c r="H4616" s="2">
        <f>Tabelle13[[#This Row],[commits]]/Tabelle13[[#Totals],[commits]]</f>
        <v>4.6477904404246225E-6</v>
      </c>
      <c r="I4616" s="5">
        <f>Tabelle13[[#This Row],[%]]+I4615</f>
        <v>0.97940564055844925</v>
      </c>
      <c r="J4616" s="4">
        <f t="shared" si="177"/>
        <v>1.105583195135434E-4</v>
      </c>
      <c r="K4616" s="5">
        <f t="shared" si="178"/>
        <v>0.51011608623553029</v>
      </c>
    </row>
    <row r="4617" spans="1:11" x14ac:dyDescent="0.25">
      <c r="A4617" t="s">
        <v>1846</v>
      </c>
      <c r="C4617" t="s">
        <v>26</v>
      </c>
      <c r="D4617" t="s">
        <v>5</v>
      </c>
      <c r="E4617" t="s">
        <v>6</v>
      </c>
      <c r="F4617" t="s">
        <v>7</v>
      </c>
      <c r="G4617">
        <v>1</v>
      </c>
      <c r="H4617" s="2">
        <f>Tabelle13[[#This Row],[commits]]/Tabelle13[[#Totals],[commits]]</f>
        <v>4.6477904404246225E-6</v>
      </c>
      <c r="I4617" s="5">
        <f>Tabelle13[[#This Row],[%]]+I4616</f>
        <v>0.97941028834888966</v>
      </c>
      <c r="J4617" s="4">
        <f t="shared" si="177"/>
        <v>1.105583195135434E-4</v>
      </c>
      <c r="K4617" s="5">
        <f t="shared" si="178"/>
        <v>0.51022664455504385</v>
      </c>
    </row>
    <row r="4618" spans="1:11" x14ac:dyDescent="0.25">
      <c r="A4618" t="s">
        <v>1847</v>
      </c>
      <c r="C4618" t="s">
        <v>1848</v>
      </c>
      <c r="D4618" t="s">
        <v>5</v>
      </c>
      <c r="E4618" t="s">
        <v>6</v>
      </c>
      <c r="F4618" t="s">
        <v>7</v>
      </c>
      <c r="G4618">
        <v>1</v>
      </c>
      <c r="H4618" s="2">
        <f>Tabelle13[[#This Row],[commits]]/Tabelle13[[#Totals],[commits]]</f>
        <v>4.6477904404246225E-6</v>
      </c>
      <c r="I4618" s="5">
        <f>Tabelle13[[#This Row],[%]]+I4617</f>
        <v>0.97941493613933006</v>
      </c>
      <c r="J4618" s="4">
        <f t="shared" si="177"/>
        <v>1.105583195135434E-4</v>
      </c>
      <c r="K4618" s="5">
        <f t="shared" si="178"/>
        <v>0.51033720287455742</v>
      </c>
    </row>
    <row r="4619" spans="1:11" x14ac:dyDescent="0.25">
      <c r="A4619" t="s">
        <v>1849</v>
      </c>
      <c r="C4619" t="s">
        <v>1850</v>
      </c>
      <c r="D4619" t="s">
        <v>5</v>
      </c>
      <c r="E4619" t="s">
        <v>6</v>
      </c>
      <c r="F4619" t="s">
        <v>7</v>
      </c>
      <c r="G4619">
        <v>1</v>
      </c>
      <c r="H4619" s="2">
        <f>Tabelle13[[#This Row],[commits]]/Tabelle13[[#Totals],[commits]]</f>
        <v>4.6477904404246225E-6</v>
      </c>
      <c r="I4619" s="5">
        <f>Tabelle13[[#This Row],[%]]+I4618</f>
        <v>0.97941958392977047</v>
      </c>
      <c r="J4619" s="4">
        <f t="shared" si="177"/>
        <v>1.105583195135434E-4</v>
      </c>
      <c r="K4619" s="5">
        <f t="shared" si="178"/>
        <v>0.51044776119407098</v>
      </c>
    </row>
    <row r="4620" spans="1:11" x14ac:dyDescent="0.25">
      <c r="A4620" t="s">
        <v>1851</v>
      </c>
      <c r="C4620" t="s">
        <v>1852</v>
      </c>
      <c r="D4620" t="s">
        <v>5</v>
      </c>
      <c r="E4620" t="s">
        <v>6</v>
      </c>
      <c r="F4620" t="s">
        <v>7</v>
      </c>
      <c r="G4620">
        <v>1</v>
      </c>
      <c r="H4620" s="2">
        <f>Tabelle13[[#This Row],[commits]]/Tabelle13[[#Totals],[commits]]</f>
        <v>4.6477904404246225E-6</v>
      </c>
      <c r="I4620" s="5">
        <f>Tabelle13[[#This Row],[%]]+I4619</f>
        <v>0.97942423172021087</v>
      </c>
      <c r="J4620" s="4">
        <f t="shared" si="177"/>
        <v>1.105583195135434E-4</v>
      </c>
      <c r="K4620" s="5">
        <f t="shared" si="178"/>
        <v>0.51055831951358455</v>
      </c>
    </row>
    <row r="4621" spans="1:11" x14ac:dyDescent="0.25">
      <c r="A4621" t="s">
        <v>1853</v>
      </c>
      <c r="C4621" t="s">
        <v>1854</v>
      </c>
      <c r="D4621" t="s">
        <v>5</v>
      </c>
      <c r="E4621" t="s">
        <v>6</v>
      </c>
      <c r="F4621" t="s">
        <v>7</v>
      </c>
      <c r="G4621">
        <v>1</v>
      </c>
      <c r="H4621" s="2">
        <f>Tabelle13[[#This Row],[commits]]/Tabelle13[[#Totals],[commits]]</f>
        <v>4.6477904404246225E-6</v>
      </c>
      <c r="I4621" s="5">
        <f>Tabelle13[[#This Row],[%]]+I4620</f>
        <v>0.97942887951065127</v>
      </c>
      <c r="J4621" s="4">
        <f t="shared" si="177"/>
        <v>1.105583195135434E-4</v>
      </c>
      <c r="K4621" s="5">
        <f t="shared" si="178"/>
        <v>0.51066887783309811</v>
      </c>
    </row>
    <row r="4622" spans="1:11" x14ac:dyDescent="0.25">
      <c r="A4622" t="s">
        <v>1855</v>
      </c>
      <c r="C4622" t="s">
        <v>1856</v>
      </c>
      <c r="D4622" t="s">
        <v>5</v>
      </c>
      <c r="E4622" t="s">
        <v>6</v>
      </c>
      <c r="F4622" t="s">
        <v>7</v>
      </c>
      <c r="G4622">
        <v>1</v>
      </c>
      <c r="H4622" s="2">
        <f>Tabelle13[[#This Row],[commits]]/Tabelle13[[#Totals],[commits]]</f>
        <v>4.6477904404246225E-6</v>
      </c>
      <c r="I4622" s="5">
        <f>Tabelle13[[#This Row],[%]]+I4621</f>
        <v>0.97943352730109168</v>
      </c>
      <c r="J4622" s="4">
        <f t="shared" si="177"/>
        <v>1.105583195135434E-4</v>
      </c>
      <c r="K4622" s="5">
        <f t="shared" si="178"/>
        <v>0.51077943615261168</v>
      </c>
    </row>
    <row r="4623" spans="1:11" x14ac:dyDescent="0.25">
      <c r="A4623" t="s">
        <v>1857</v>
      </c>
      <c r="C4623" t="s">
        <v>1858</v>
      </c>
      <c r="D4623" t="s">
        <v>5</v>
      </c>
      <c r="E4623" t="s">
        <v>6</v>
      </c>
      <c r="F4623" t="s">
        <v>7</v>
      </c>
      <c r="G4623">
        <v>1</v>
      </c>
      <c r="H4623" s="2">
        <f>Tabelle13[[#This Row],[commits]]/Tabelle13[[#Totals],[commits]]</f>
        <v>4.6477904404246225E-6</v>
      </c>
      <c r="I4623" s="5">
        <f>Tabelle13[[#This Row],[%]]+I4622</f>
        <v>0.97943817509153208</v>
      </c>
      <c r="J4623" s="4">
        <f t="shared" si="177"/>
        <v>1.105583195135434E-4</v>
      </c>
      <c r="K4623" s="5">
        <f t="shared" si="178"/>
        <v>0.51088999447212524</v>
      </c>
    </row>
    <row r="4624" spans="1:11" x14ac:dyDescent="0.25">
      <c r="A4624" t="s">
        <v>1859</v>
      </c>
      <c r="C4624" t="s">
        <v>1860</v>
      </c>
      <c r="D4624" t="s">
        <v>5</v>
      </c>
      <c r="E4624" t="s">
        <v>6</v>
      </c>
      <c r="F4624" t="s">
        <v>7</v>
      </c>
      <c r="G4624">
        <v>1</v>
      </c>
      <c r="H4624" s="2">
        <f>Tabelle13[[#This Row],[commits]]/Tabelle13[[#Totals],[commits]]</f>
        <v>4.6477904404246225E-6</v>
      </c>
      <c r="I4624" s="5">
        <f>Tabelle13[[#This Row],[%]]+I4623</f>
        <v>0.97944282288197249</v>
      </c>
      <c r="J4624" s="4">
        <f t="shared" si="177"/>
        <v>1.105583195135434E-4</v>
      </c>
      <c r="K4624" s="5">
        <f t="shared" si="178"/>
        <v>0.51100055279163881</v>
      </c>
    </row>
    <row r="4625" spans="1:11" x14ac:dyDescent="0.25">
      <c r="A4625" t="s">
        <v>1861</v>
      </c>
      <c r="C4625" t="s">
        <v>1862</v>
      </c>
      <c r="D4625" t="s">
        <v>5</v>
      </c>
      <c r="E4625" t="s">
        <v>6</v>
      </c>
      <c r="F4625" t="s">
        <v>7</v>
      </c>
      <c r="G4625">
        <v>1</v>
      </c>
      <c r="H4625" s="2">
        <f>Tabelle13[[#This Row],[commits]]/Tabelle13[[#Totals],[commits]]</f>
        <v>4.6477904404246225E-6</v>
      </c>
      <c r="I4625" s="5">
        <f>Tabelle13[[#This Row],[%]]+I4624</f>
        <v>0.97944747067241289</v>
      </c>
      <c r="J4625" s="4">
        <f t="shared" si="177"/>
        <v>1.105583195135434E-4</v>
      </c>
      <c r="K4625" s="5">
        <f t="shared" si="178"/>
        <v>0.51111111111115237</v>
      </c>
    </row>
    <row r="4626" spans="1:11" x14ac:dyDescent="0.25">
      <c r="A4626" t="s">
        <v>1863</v>
      </c>
      <c r="C4626" t="s">
        <v>1864</v>
      </c>
      <c r="D4626" t="s">
        <v>5</v>
      </c>
      <c r="E4626" t="s">
        <v>6</v>
      </c>
      <c r="F4626" t="s">
        <v>7</v>
      </c>
      <c r="G4626">
        <v>1</v>
      </c>
      <c r="H4626" s="2">
        <f>Tabelle13[[#This Row],[commits]]/Tabelle13[[#Totals],[commits]]</f>
        <v>4.6477904404246225E-6</v>
      </c>
      <c r="I4626" s="5">
        <f>Tabelle13[[#This Row],[%]]+I4625</f>
        <v>0.97945211846285329</v>
      </c>
      <c r="J4626" s="4">
        <f t="shared" si="177"/>
        <v>1.105583195135434E-4</v>
      </c>
      <c r="K4626" s="5">
        <f t="shared" si="178"/>
        <v>0.51122166943066594</v>
      </c>
    </row>
    <row r="4627" spans="1:11" x14ac:dyDescent="0.25">
      <c r="A4627" t="s">
        <v>1865</v>
      </c>
      <c r="C4627" t="s">
        <v>1866</v>
      </c>
      <c r="D4627" t="s">
        <v>5</v>
      </c>
      <c r="E4627" t="s">
        <v>6</v>
      </c>
      <c r="F4627" t="s">
        <v>7</v>
      </c>
      <c r="G4627">
        <v>1</v>
      </c>
      <c r="H4627" s="2">
        <f>Tabelle13[[#This Row],[commits]]/Tabelle13[[#Totals],[commits]]</f>
        <v>4.6477904404246225E-6</v>
      </c>
      <c r="I4627" s="5">
        <f>Tabelle13[[#This Row],[%]]+I4626</f>
        <v>0.9794567662532937</v>
      </c>
      <c r="J4627" s="4">
        <f t="shared" si="177"/>
        <v>1.105583195135434E-4</v>
      </c>
      <c r="K4627" s="5">
        <f t="shared" si="178"/>
        <v>0.5113322277501795</v>
      </c>
    </row>
    <row r="4628" spans="1:11" x14ac:dyDescent="0.25">
      <c r="A4628" t="s">
        <v>1867</v>
      </c>
      <c r="C4628" t="s">
        <v>1868</v>
      </c>
      <c r="D4628" t="s">
        <v>5</v>
      </c>
      <c r="E4628" t="s">
        <v>6</v>
      </c>
      <c r="F4628" t="s">
        <v>7</v>
      </c>
      <c r="G4628">
        <v>1</v>
      </c>
      <c r="H4628" s="2">
        <f>Tabelle13[[#This Row],[commits]]/Tabelle13[[#Totals],[commits]]</f>
        <v>4.6477904404246225E-6</v>
      </c>
      <c r="I4628" s="5">
        <f>Tabelle13[[#This Row],[%]]+I4627</f>
        <v>0.9794614140437341</v>
      </c>
      <c r="J4628" s="4">
        <f t="shared" si="177"/>
        <v>1.105583195135434E-4</v>
      </c>
      <c r="K4628" s="5">
        <f t="shared" si="178"/>
        <v>0.51144278606969307</v>
      </c>
    </row>
    <row r="4629" spans="1:11" x14ac:dyDescent="0.25">
      <c r="A4629" t="s">
        <v>1869</v>
      </c>
      <c r="C4629" t="s">
        <v>1870</v>
      </c>
      <c r="D4629" t="s">
        <v>1871</v>
      </c>
      <c r="E4629" t="s">
        <v>6</v>
      </c>
      <c r="F4629" t="s">
        <v>7</v>
      </c>
      <c r="G4629">
        <v>1</v>
      </c>
      <c r="H4629" s="2">
        <f>Tabelle13[[#This Row],[commits]]/Tabelle13[[#Totals],[commits]]</f>
        <v>4.6477904404246225E-6</v>
      </c>
      <c r="I4629" s="5">
        <f>Tabelle13[[#This Row],[%]]+I4628</f>
        <v>0.97946606183417451</v>
      </c>
      <c r="J4629" s="4">
        <f t="shared" si="177"/>
        <v>1.105583195135434E-4</v>
      </c>
      <c r="K4629" s="5">
        <f t="shared" si="178"/>
        <v>0.51155334438920663</v>
      </c>
    </row>
    <row r="4630" spans="1:11" x14ac:dyDescent="0.25">
      <c r="A4630" t="s">
        <v>1872</v>
      </c>
      <c r="C4630" t="s">
        <v>1873</v>
      </c>
      <c r="D4630" t="s">
        <v>5</v>
      </c>
      <c r="E4630" t="s">
        <v>6</v>
      </c>
      <c r="F4630" t="s">
        <v>7</v>
      </c>
      <c r="G4630">
        <v>1</v>
      </c>
      <c r="H4630" s="2">
        <f>Tabelle13[[#This Row],[commits]]/Tabelle13[[#Totals],[commits]]</f>
        <v>4.6477904404246225E-6</v>
      </c>
      <c r="I4630" s="5">
        <f>Tabelle13[[#This Row],[%]]+I4629</f>
        <v>0.97947070962461491</v>
      </c>
      <c r="J4630" s="4">
        <f t="shared" si="177"/>
        <v>1.105583195135434E-4</v>
      </c>
      <c r="K4630" s="5">
        <f t="shared" si="178"/>
        <v>0.5116639027087202</v>
      </c>
    </row>
    <row r="4631" spans="1:11" x14ac:dyDescent="0.25">
      <c r="A4631" t="s">
        <v>1874</v>
      </c>
      <c r="C4631" t="s">
        <v>1875</v>
      </c>
      <c r="D4631" t="s">
        <v>5</v>
      </c>
      <c r="E4631" t="s">
        <v>6</v>
      </c>
      <c r="F4631" t="s">
        <v>7</v>
      </c>
      <c r="G4631">
        <v>1</v>
      </c>
      <c r="H4631" s="2">
        <f>Tabelle13[[#This Row],[commits]]/Tabelle13[[#Totals],[commits]]</f>
        <v>4.6477904404246225E-6</v>
      </c>
      <c r="I4631" s="5">
        <f>Tabelle13[[#This Row],[%]]+I4630</f>
        <v>0.97947535741505531</v>
      </c>
      <c r="J4631" s="4">
        <f t="shared" si="177"/>
        <v>1.105583195135434E-4</v>
      </c>
      <c r="K4631" s="5">
        <f t="shared" si="178"/>
        <v>0.51177446102823376</v>
      </c>
    </row>
    <row r="4632" spans="1:11" x14ac:dyDescent="0.25">
      <c r="A4632" t="s">
        <v>1876</v>
      </c>
      <c r="C4632" t="s">
        <v>1877</v>
      </c>
      <c r="D4632" t="s">
        <v>5</v>
      </c>
      <c r="E4632" t="s">
        <v>6</v>
      </c>
      <c r="F4632" t="s">
        <v>7</v>
      </c>
      <c r="G4632">
        <v>1</v>
      </c>
      <c r="H4632" s="2">
        <f>Tabelle13[[#This Row],[commits]]/Tabelle13[[#Totals],[commits]]</f>
        <v>4.6477904404246225E-6</v>
      </c>
      <c r="I4632" s="5">
        <f>Tabelle13[[#This Row],[%]]+I4631</f>
        <v>0.97948000520549572</v>
      </c>
      <c r="J4632" s="4">
        <f t="shared" si="177"/>
        <v>1.105583195135434E-4</v>
      </c>
      <c r="K4632" s="5">
        <f t="shared" si="178"/>
        <v>0.51188501934774733</v>
      </c>
    </row>
    <row r="4633" spans="1:11" x14ac:dyDescent="0.25">
      <c r="A4633" t="s">
        <v>1878</v>
      </c>
      <c r="C4633" t="s">
        <v>1879</v>
      </c>
      <c r="D4633" t="s">
        <v>5</v>
      </c>
      <c r="E4633" t="s">
        <v>6</v>
      </c>
      <c r="F4633" t="s">
        <v>7</v>
      </c>
      <c r="G4633">
        <v>1</v>
      </c>
      <c r="H4633" s="2">
        <f>Tabelle13[[#This Row],[commits]]/Tabelle13[[#Totals],[commits]]</f>
        <v>4.6477904404246225E-6</v>
      </c>
      <c r="I4633" s="5">
        <f>Tabelle13[[#This Row],[%]]+I4632</f>
        <v>0.97948465299593612</v>
      </c>
      <c r="J4633" s="4">
        <f t="shared" si="177"/>
        <v>1.105583195135434E-4</v>
      </c>
      <c r="K4633" s="5">
        <f t="shared" si="178"/>
        <v>0.51199557766726089</v>
      </c>
    </row>
    <row r="4634" spans="1:11" x14ac:dyDescent="0.25">
      <c r="A4634" t="s">
        <v>1880</v>
      </c>
      <c r="C4634" t="s">
        <v>626</v>
      </c>
      <c r="D4634" t="s">
        <v>5</v>
      </c>
      <c r="E4634" t="s">
        <v>6</v>
      </c>
      <c r="F4634" t="s">
        <v>7</v>
      </c>
      <c r="G4634">
        <v>1</v>
      </c>
      <c r="H4634" s="2">
        <f>Tabelle13[[#This Row],[commits]]/Tabelle13[[#Totals],[commits]]</f>
        <v>4.6477904404246225E-6</v>
      </c>
      <c r="I4634" s="5">
        <f>Tabelle13[[#This Row],[%]]+I4633</f>
        <v>0.97948930078637653</v>
      </c>
      <c r="J4634" s="4">
        <f t="shared" si="177"/>
        <v>1.105583195135434E-4</v>
      </c>
      <c r="K4634" s="5">
        <f t="shared" si="178"/>
        <v>0.51210613598677446</v>
      </c>
    </row>
    <row r="4635" spans="1:11" x14ac:dyDescent="0.25">
      <c r="A4635" t="s">
        <v>1881</v>
      </c>
      <c r="C4635" t="s">
        <v>1882</v>
      </c>
      <c r="D4635" t="s">
        <v>5</v>
      </c>
      <c r="E4635" t="s">
        <v>6</v>
      </c>
      <c r="F4635" t="s">
        <v>7</v>
      </c>
      <c r="G4635">
        <v>1</v>
      </c>
      <c r="H4635" s="2">
        <f>Tabelle13[[#This Row],[commits]]/Tabelle13[[#Totals],[commits]]</f>
        <v>4.6477904404246225E-6</v>
      </c>
      <c r="I4635" s="5">
        <f>Tabelle13[[#This Row],[%]]+I4634</f>
        <v>0.97949394857681693</v>
      </c>
      <c r="J4635" s="4">
        <f t="shared" si="177"/>
        <v>1.105583195135434E-4</v>
      </c>
      <c r="K4635" s="5">
        <f t="shared" si="178"/>
        <v>0.51221669430628802</v>
      </c>
    </row>
    <row r="4636" spans="1:11" x14ac:dyDescent="0.25">
      <c r="A4636" t="s">
        <v>1883</v>
      </c>
      <c r="C4636" t="s">
        <v>1884</v>
      </c>
      <c r="D4636" t="s">
        <v>5</v>
      </c>
      <c r="E4636" t="s">
        <v>6</v>
      </c>
      <c r="F4636" t="s">
        <v>7</v>
      </c>
      <c r="G4636">
        <v>1</v>
      </c>
      <c r="H4636" s="2">
        <f>Tabelle13[[#This Row],[commits]]/Tabelle13[[#Totals],[commits]]</f>
        <v>4.6477904404246225E-6</v>
      </c>
      <c r="I4636" s="5">
        <f>Tabelle13[[#This Row],[%]]+I4635</f>
        <v>0.97949859636725733</v>
      </c>
      <c r="J4636" s="4">
        <f t="shared" si="177"/>
        <v>1.105583195135434E-4</v>
      </c>
      <c r="K4636" s="5">
        <f t="shared" si="178"/>
        <v>0.51232725262580159</v>
      </c>
    </row>
    <row r="4637" spans="1:11" x14ac:dyDescent="0.25">
      <c r="A4637" t="s">
        <v>1885</v>
      </c>
      <c r="C4637" t="s">
        <v>1886</v>
      </c>
      <c r="D4637" t="s">
        <v>5</v>
      </c>
      <c r="E4637" t="s">
        <v>6</v>
      </c>
      <c r="F4637" t="s">
        <v>7</v>
      </c>
      <c r="G4637">
        <v>1</v>
      </c>
      <c r="H4637" s="2">
        <f>Tabelle13[[#This Row],[commits]]/Tabelle13[[#Totals],[commits]]</f>
        <v>4.6477904404246225E-6</v>
      </c>
      <c r="I4637" s="5">
        <f>Tabelle13[[#This Row],[%]]+I4636</f>
        <v>0.97950324415769774</v>
      </c>
      <c r="J4637" s="4">
        <f t="shared" si="177"/>
        <v>1.105583195135434E-4</v>
      </c>
      <c r="K4637" s="5">
        <f t="shared" si="178"/>
        <v>0.51243781094531515</v>
      </c>
    </row>
    <row r="4638" spans="1:11" x14ac:dyDescent="0.25">
      <c r="A4638" t="s">
        <v>1887</v>
      </c>
      <c r="C4638" t="s">
        <v>1888</v>
      </c>
      <c r="D4638" t="s">
        <v>5</v>
      </c>
      <c r="E4638" t="s">
        <v>6</v>
      </c>
      <c r="F4638" t="s">
        <v>7</v>
      </c>
      <c r="G4638">
        <v>1</v>
      </c>
      <c r="H4638" s="2">
        <f>Tabelle13[[#This Row],[commits]]/Tabelle13[[#Totals],[commits]]</f>
        <v>4.6477904404246225E-6</v>
      </c>
      <c r="I4638" s="5">
        <f>Tabelle13[[#This Row],[%]]+I4637</f>
        <v>0.97950789194813814</v>
      </c>
      <c r="J4638" s="4">
        <f t="shared" si="177"/>
        <v>1.105583195135434E-4</v>
      </c>
      <c r="K4638" s="5">
        <f t="shared" si="178"/>
        <v>0.51254836926482872</v>
      </c>
    </row>
    <row r="4639" spans="1:11" x14ac:dyDescent="0.25">
      <c r="A4639" t="s">
        <v>1889</v>
      </c>
      <c r="C4639" t="s">
        <v>1890</v>
      </c>
      <c r="D4639" t="s">
        <v>5</v>
      </c>
      <c r="E4639" t="s">
        <v>6</v>
      </c>
      <c r="F4639" t="s">
        <v>7</v>
      </c>
      <c r="G4639">
        <v>1</v>
      </c>
      <c r="H4639" s="2">
        <f>Tabelle13[[#This Row],[commits]]/Tabelle13[[#Totals],[commits]]</f>
        <v>4.6477904404246225E-6</v>
      </c>
      <c r="I4639" s="5">
        <f>Tabelle13[[#This Row],[%]]+I4638</f>
        <v>0.97951253973857855</v>
      </c>
      <c r="J4639" s="4">
        <f t="shared" si="177"/>
        <v>1.105583195135434E-4</v>
      </c>
      <c r="K4639" s="5">
        <f t="shared" si="178"/>
        <v>0.51265892758434228</v>
      </c>
    </row>
    <row r="4640" spans="1:11" x14ac:dyDescent="0.25">
      <c r="A4640" t="s">
        <v>1891</v>
      </c>
      <c r="C4640" t="s">
        <v>297</v>
      </c>
      <c r="D4640" t="s">
        <v>5</v>
      </c>
      <c r="E4640" t="s">
        <v>6</v>
      </c>
      <c r="F4640" t="s">
        <v>7</v>
      </c>
      <c r="G4640">
        <v>1</v>
      </c>
      <c r="H4640" s="2">
        <f>Tabelle13[[#This Row],[commits]]/Tabelle13[[#Totals],[commits]]</f>
        <v>4.6477904404246225E-6</v>
      </c>
      <c r="I4640" s="5">
        <f>Tabelle13[[#This Row],[%]]+I4639</f>
        <v>0.97951718752901895</v>
      </c>
      <c r="J4640" s="4">
        <f t="shared" si="177"/>
        <v>1.105583195135434E-4</v>
      </c>
      <c r="K4640" s="5">
        <f t="shared" si="178"/>
        <v>0.51276948590385585</v>
      </c>
    </row>
    <row r="4641" spans="1:11" x14ac:dyDescent="0.25">
      <c r="A4641" t="s">
        <v>1892</v>
      </c>
      <c r="C4641" t="s">
        <v>1893</v>
      </c>
      <c r="D4641" t="s">
        <v>5</v>
      </c>
      <c r="E4641" t="s">
        <v>6</v>
      </c>
      <c r="F4641" t="s">
        <v>7</v>
      </c>
      <c r="G4641">
        <v>1</v>
      </c>
      <c r="H4641" s="2">
        <f>Tabelle13[[#This Row],[commits]]/Tabelle13[[#Totals],[commits]]</f>
        <v>4.6477904404246225E-6</v>
      </c>
      <c r="I4641" s="5">
        <f>Tabelle13[[#This Row],[%]]+I4640</f>
        <v>0.97952183531945936</v>
      </c>
      <c r="J4641" s="4">
        <f t="shared" si="177"/>
        <v>1.105583195135434E-4</v>
      </c>
      <c r="K4641" s="5">
        <f t="shared" si="178"/>
        <v>0.51288004422336941</v>
      </c>
    </row>
    <row r="4642" spans="1:11" x14ac:dyDescent="0.25">
      <c r="A4642" t="s">
        <v>1894</v>
      </c>
      <c r="C4642" t="s">
        <v>114</v>
      </c>
      <c r="D4642" t="s">
        <v>5</v>
      </c>
      <c r="E4642" t="s">
        <v>6</v>
      </c>
      <c r="F4642" t="s">
        <v>7</v>
      </c>
      <c r="G4642">
        <v>1</v>
      </c>
      <c r="H4642" s="2">
        <f>Tabelle13[[#This Row],[commits]]/Tabelle13[[#Totals],[commits]]</f>
        <v>4.6477904404246225E-6</v>
      </c>
      <c r="I4642" s="5">
        <f>Tabelle13[[#This Row],[%]]+I4641</f>
        <v>0.97952648310989976</v>
      </c>
      <c r="J4642" s="4">
        <f t="shared" si="177"/>
        <v>1.105583195135434E-4</v>
      </c>
      <c r="K4642" s="5">
        <f t="shared" si="178"/>
        <v>0.51299060254288298</v>
      </c>
    </row>
    <row r="4643" spans="1:11" x14ac:dyDescent="0.25">
      <c r="A4643" t="s">
        <v>1895</v>
      </c>
      <c r="C4643" t="s">
        <v>1896</v>
      </c>
      <c r="D4643" t="s">
        <v>5</v>
      </c>
      <c r="E4643" t="s">
        <v>6</v>
      </c>
      <c r="F4643" t="s">
        <v>7</v>
      </c>
      <c r="G4643">
        <v>1</v>
      </c>
      <c r="H4643" s="2">
        <f>Tabelle13[[#This Row],[commits]]/Tabelle13[[#Totals],[commits]]</f>
        <v>4.6477904404246225E-6</v>
      </c>
      <c r="I4643" s="5">
        <f>Tabelle13[[#This Row],[%]]+I4642</f>
        <v>0.97953113090034016</v>
      </c>
      <c r="J4643" s="4">
        <f t="shared" si="177"/>
        <v>1.105583195135434E-4</v>
      </c>
      <c r="K4643" s="5">
        <f t="shared" si="178"/>
        <v>0.51310116086239654</v>
      </c>
    </row>
    <row r="4644" spans="1:11" x14ac:dyDescent="0.25">
      <c r="A4644" t="s">
        <v>1897</v>
      </c>
      <c r="C4644" t="s">
        <v>1898</v>
      </c>
      <c r="D4644" t="s">
        <v>5</v>
      </c>
      <c r="E4644" t="s">
        <v>6</v>
      </c>
      <c r="F4644" t="s">
        <v>7</v>
      </c>
      <c r="G4644">
        <v>1</v>
      </c>
      <c r="H4644" s="2">
        <f>Tabelle13[[#This Row],[commits]]/Tabelle13[[#Totals],[commits]]</f>
        <v>4.6477904404246225E-6</v>
      </c>
      <c r="I4644" s="5">
        <f>Tabelle13[[#This Row],[%]]+I4643</f>
        <v>0.97953577869078057</v>
      </c>
      <c r="J4644" s="4">
        <f t="shared" si="177"/>
        <v>1.105583195135434E-4</v>
      </c>
      <c r="K4644" s="5">
        <f t="shared" si="178"/>
        <v>0.51321171918191011</v>
      </c>
    </row>
    <row r="4645" spans="1:11" x14ac:dyDescent="0.25">
      <c r="A4645" t="s">
        <v>1899</v>
      </c>
      <c r="C4645" t="s">
        <v>211</v>
      </c>
      <c r="D4645" t="s">
        <v>5</v>
      </c>
      <c r="E4645" t="s">
        <v>6</v>
      </c>
      <c r="F4645" t="s">
        <v>7</v>
      </c>
      <c r="G4645">
        <v>1</v>
      </c>
      <c r="H4645" s="2">
        <f>Tabelle13[[#This Row],[commits]]/Tabelle13[[#Totals],[commits]]</f>
        <v>4.6477904404246225E-6</v>
      </c>
      <c r="I4645" s="5">
        <f>Tabelle13[[#This Row],[%]]+I4644</f>
        <v>0.97954042648122097</v>
      </c>
      <c r="J4645" s="4">
        <f t="shared" si="177"/>
        <v>1.105583195135434E-4</v>
      </c>
      <c r="K4645" s="5">
        <f t="shared" si="178"/>
        <v>0.51332227750142367</v>
      </c>
    </row>
    <row r="4646" spans="1:11" x14ac:dyDescent="0.25">
      <c r="A4646" t="s">
        <v>1900</v>
      </c>
      <c r="C4646" t="s">
        <v>151</v>
      </c>
      <c r="D4646" t="s">
        <v>5</v>
      </c>
      <c r="E4646" t="s">
        <v>6</v>
      </c>
      <c r="F4646" t="s">
        <v>7</v>
      </c>
      <c r="G4646">
        <v>1</v>
      </c>
      <c r="H4646" s="2">
        <f>Tabelle13[[#This Row],[commits]]/Tabelle13[[#Totals],[commits]]</f>
        <v>4.6477904404246225E-6</v>
      </c>
      <c r="I4646" s="5">
        <f>Tabelle13[[#This Row],[%]]+I4645</f>
        <v>0.97954507427166138</v>
      </c>
      <c r="J4646" s="4">
        <f t="shared" si="177"/>
        <v>1.105583195135434E-4</v>
      </c>
      <c r="K4646" s="5">
        <f t="shared" si="178"/>
        <v>0.51343283582093724</v>
      </c>
    </row>
    <row r="4647" spans="1:11" x14ac:dyDescent="0.25">
      <c r="A4647" t="s">
        <v>1901</v>
      </c>
      <c r="C4647" t="s">
        <v>1902</v>
      </c>
      <c r="D4647" t="s">
        <v>5</v>
      </c>
      <c r="E4647" t="s">
        <v>6</v>
      </c>
      <c r="F4647" t="s">
        <v>7</v>
      </c>
      <c r="G4647">
        <v>1</v>
      </c>
      <c r="H4647" s="2">
        <f>Tabelle13[[#This Row],[commits]]/Tabelle13[[#Totals],[commits]]</f>
        <v>4.6477904404246225E-6</v>
      </c>
      <c r="I4647" s="5">
        <f>Tabelle13[[#This Row],[%]]+I4646</f>
        <v>0.97954972206210178</v>
      </c>
      <c r="J4647" s="4">
        <f t="shared" si="177"/>
        <v>1.105583195135434E-4</v>
      </c>
      <c r="K4647" s="5">
        <f t="shared" si="178"/>
        <v>0.5135433941404508</v>
      </c>
    </row>
    <row r="4648" spans="1:11" x14ac:dyDescent="0.25">
      <c r="A4648" t="s">
        <v>1903</v>
      </c>
      <c r="C4648" t="s">
        <v>1904</v>
      </c>
      <c r="D4648" t="s">
        <v>5</v>
      </c>
      <c r="E4648" t="s">
        <v>6</v>
      </c>
      <c r="F4648" t="s">
        <v>7</v>
      </c>
      <c r="G4648">
        <v>1</v>
      </c>
      <c r="H4648" s="2">
        <f>Tabelle13[[#This Row],[commits]]/Tabelle13[[#Totals],[commits]]</f>
        <v>4.6477904404246225E-6</v>
      </c>
      <c r="I4648" s="5">
        <f>Tabelle13[[#This Row],[%]]+I4647</f>
        <v>0.97955436985254218</v>
      </c>
      <c r="J4648" s="4">
        <f t="shared" si="177"/>
        <v>1.105583195135434E-4</v>
      </c>
      <c r="K4648" s="5">
        <f t="shared" si="178"/>
        <v>0.51365395245996437</v>
      </c>
    </row>
    <row r="4649" spans="1:11" x14ac:dyDescent="0.25">
      <c r="A4649" t="s">
        <v>1905</v>
      </c>
      <c r="C4649" t="s">
        <v>1906</v>
      </c>
      <c r="D4649" t="s">
        <v>5</v>
      </c>
      <c r="E4649" t="s">
        <v>6</v>
      </c>
      <c r="F4649" t="s">
        <v>7</v>
      </c>
      <c r="G4649">
        <v>1</v>
      </c>
      <c r="H4649" s="2">
        <f>Tabelle13[[#This Row],[commits]]/Tabelle13[[#Totals],[commits]]</f>
        <v>4.6477904404246225E-6</v>
      </c>
      <c r="I4649" s="5">
        <f>Tabelle13[[#This Row],[%]]+I4648</f>
        <v>0.97955901764298259</v>
      </c>
      <c r="J4649" s="4">
        <f t="shared" si="177"/>
        <v>1.105583195135434E-4</v>
      </c>
      <c r="K4649" s="5">
        <f t="shared" si="178"/>
        <v>0.51376451077947793</v>
      </c>
    </row>
    <row r="4650" spans="1:11" x14ac:dyDescent="0.25">
      <c r="A4650" t="s">
        <v>1907</v>
      </c>
      <c r="C4650" t="s">
        <v>211</v>
      </c>
      <c r="D4650" t="s">
        <v>5</v>
      </c>
      <c r="E4650" t="s">
        <v>6</v>
      </c>
      <c r="F4650" t="s">
        <v>7</v>
      </c>
      <c r="G4650">
        <v>1</v>
      </c>
      <c r="H4650" s="2">
        <f>Tabelle13[[#This Row],[commits]]/Tabelle13[[#Totals],[commits]]</f>
        <v>4.6477904404246225E-6</v>
      </c>
      <c r="I4650" s="5">
        <f>Tabelle13[[#This Row],[%]]+I4649</f>
        <v>0.97956366543342299</v>
      </c>
      <c r="J4650" s="4">
        <f t="shared" si="177"/>
        <v>1.105583195135434E-4</v>
      </c>
      <c r="K4650" s="5">
        <f t="shared" si="178"/>
        <v>0.5138750690989915</v>
      </c>
    </row>
    <row r="4651" spans="1:11" x14ac:dyDescent="0.25">
      <c r="A4651" t="s">
        <v>1908</v>
      </c>
      <c r="C4651" t="s">
        <v>1909</v>
      </c>
      <c r="D4651" t="s">
        <v>5</v>
      </c>
      <c r="E4651" t="s">
        <v>6</v>
      </c>
      <c r="F4651" t="s">
        <v>7</v>
      </c>
      <c r="G4651">
        <v>1</v>
      </c>
      <c r="H4651" s="2">
        <f>Tabelle13[[#This Row],[commits]]/Tabelle13[[#Totals],[commits]]</f>
        <v>4.6477904404246225E-6</v>
      </c>
      <c r="I4651" s="5">
        <f>Tabelle13[[#This Row],[%]]+I4650</f>
        <v>0.9795683132238634</v>
      </c>
      <c r="J4651" s="4">
        <f t="shared" si="177"/>
        <v>1.105583195135434E-4</v>
      </c>
      <c r="K4651" s="5">
        <f t="shared" si="178"/>
        <v>0.51398562741850506</v>
      </c>
    </row>
    <row r="4652" spans="1:11" x14ac:dyDescent="0.25">
      <c r="A4652" t="s">
        <v>1910</v>
      </c>
      <c r="C4652" t="s">
        <v>1911</v>
      </c>
      <c r="D4652" t="s">
        <v>5</v>
      </c>
      <c r="E4652" t="s">
        <v>6</v>
      </c>
      <c r="F4652" t="s">
        <v>7</v>
      </c>
      <c r="G4652">
        <v>1</v>
      </c>
      <c r="H4652" s="2">
        <f>Tabelle13[[#This Row],[commits]]/Tabelle13[[#Totals],[commits]]</f>
        <v>4.6477904404246225E-6</v>
      </c>
      <c r="I4652" s="5">
        <f>Tabelle13[[#This Row],[%]]+I4651</f>
        <v>0.9795729610143038</v>
      </c>
      <c r="J4652" s="4">
        <f t="shared" si="177"/>
        <v>1.105583195135434E-4</v>
      </c>
      <c r="K4652" s="5">
        <f t="shared" si="178"/>
        <v>0.51409618573801863</v>
      </c>
    </row>
    <row r="4653" spans="1:11" x14ac:dyDescent="0.25">
      <c r="A4653" t="s">
        <v>1912</v>
      </c>
      <c r="C4653" t="s">
        <v>1913</v>
      </c>
      <c r="D4653" t="s">
        <v>5</v>
      </c>
      <c r="E4653" t="s">
        <v>6</v>
      </c>
      <c r="F4653" t="s">
        <v>7</v>
      </c>
      <c r="G4653">
        <v>1</v>
      </c>
      <c r="H4653" s="2">
        <f>Tabelle13[[#This Row],[commits]]/Tabelle13[[#Totals],[commits]]</f>
        <v>4.6477904404246225E-6</v>
      </c>
      <c r="I4653" s="5">
        <f>Tabelle13[[#This Row],[%]]+I4652</f>
        <v>0.9795776088047442</v>
      </c>
      <c r="J4653" s="4">
        <f t="shared" si="177"/>
        <v>1.105583195135434E-4</v>
      </c>
      <c r="K4653" s="5">
        <f t="shared" si="178"/>
        <v>0.51420674405753219</v>
      </c>
    </row>
    <row r="4654" spans="1:11" x14ac:dyDescent="0.25">
      <c r="A4654" t="s">
        <v>1914</v>
      </c>
      <c r="C4654" t="s">
        <v>1915</v>
      </c>
      <c r="D4654" t="s">
        <v>5</v>
      </c>
      <c r="E4654" t="s">
        <v>6</v>
      </c>
      <c r="F4654" t="s">
        <v>7</v>
      </c>
      <c r="G4654">
        <v>1</v>
      </c>
      <c r="H4654" s="2">
        <f>Tabelle13[[#This Row],[commits]]/Tabelle13[[#Totals],[commits]]</f>
        <v>4.6477904404246225E-6</v>
      </c>
      <c r="I4654" s="5">
        <f>Tabelle13[[#This Row],[%]]+I4653</f>
        <v>0.97958225659518461</v>
      </c>
      <c r="J4654" s="4">
        <f t="shared" si="177"/>
        <v>1.105583195135434E-4</v>
      </c>
      <c r="K4654" s="5">
        <f t="shared" si="178"/>
        <v>0.51431730237704576</v>
      </c>
    </row>
    <row r="4655" spans="1:11" x14ac:dyDescent="0.25">
      <c r="A4655" t="s">
        <v>1916</v>
      </c>
      <c r="C4655" t="s">
        <v>1917</v>
      </c>
      <c r="D4655" t="s">
        <v>5</v>
      </c>
      <c r="E4655" t="s">
        <v>6</v>
      </c>
      <c r="F4655" t="s">
        <v>7</v>
      </c>
      <c r="G4655">
        <v>1</v>
      </c>
      <c r="H4655" s="2">
        <f>Tabelle13[[#This Row],[commits]]/Tabelle13[[#Totals],[commits]]</f>
        <v>4.6477904404246225E-6</v>
      </c>
      <c r="I4655" s="5">
        <f>Tabelle13[[#This Row],[%]]+I4654</f>
        <v>0.97958690438562501</v>
      </c>
      <c r="J4655" s="4">
        <f t="shared" si="177"/>
        <v>1.105583195135434E-4</v>
      </c>
      <c r="K4655" s="5">
        <f t="shared" si="178"/>
        <v>0.51442786069655932</v>
      </c>
    </row>
    <row r="4656" spans="1:11" x14ac:dyDescent="0.25">
      <c r="A4656" t="s">
        <v>1918</v>
      </c>
      <c r="C4656" t="s">
        <v>1919</v>
      </c>
      <c r="D4656" t="s">
        <v>5</v>
      </c>
      <c r="E4656" t="s">
        <v>6</v>
      </c>
      <c r="F4656" t="s">
        <v>7</v>
      </c>
      <c r="G4656">
        <v>1</v>
      </c>
      <c r="H4656" s="2">
        <f>Tabelle13[[#This Row],[commits]]/Tabelle13[[#Totals],[commits]]</f>
        <v>4.6477904404246225E-6</v>
      </c>
      <c r="I4656" s="5">
        <f>Tabelle13[[#This Row],[%]]+I4655</f>
        <v>0.97959155217606542</v>
      </c>
      <c r="J4656" s="4">
        <f t="shared" si="177"/>
        <v>1.105583195135434E-4</v>
      </c>
      <c r="K4656" s="5">
        <f t="shared" si="178"/>
        <v>0.51453841901607289</v>
      </c>
    </row>
    <row r="4657" spans="1:11" x14ac:dyDescent="0.25">
      <c r="A4657" t="s">
        <v>1920</v>
      </c>
      <c r="C4657" t="s">
        <v>1724</v>
      </c>
      <c r="D4657" t="s">
        <v>5</v>
      </c>
      <c r="E4657" t="s">
        <v>6</v>
      </c>
      <c r="F4657" t="s">
        <v>7</v>
      </c>
      <c r="G4657">
        <v>1</v>
      </c>
      <c r="H4657" s="2">
        <f>Tabelle13[[#This Row],[commits]]/Tabelle13[[#Totals],[commits]]</f>
        <v>4.6477904404246225E-6</v>
      </c>
      <c r="I4657" s="5">
        <f>Tabelle13[[#This Row],[%]]+I4656</f>
        <v>0.97959619996650582</v>
      </c>
      <c r="J4657" s="4">
        <f t="shared" si="177"/>
        <v>1.105583195135434E-4</v>
      </c>
      <c r="K4657" s="5">
        <f t="shared" si="178"/>
        <v>0.51464897733558645</v>
      </c>
    </row>
    <row r="4658" spans="1:11" x14ac:dyDescent="0.25">
      <c r="A4658" t="s">
        <v>1921</v>
      </c>
      <c r="C4658" t="s">
        <v>1922</v>
      </c>
      <c r="D4658" t="s">
        <v>5</v>
      </c>
      <c r="E4658" t="s">
        <v>6</v>
      </c>
      <c r="F4658" t="s">
        <v>7</v>
      </c>
      <c r="G4658">
        <v>1</v>
      </c>
      <c r="H4658" s="2">
        <f>Tabelle13[[#This Row],[commits]]/Tabelle13[[#Totals],[commits]]</f>
        <v>4.6477904404246225E-6</v>
      </c>
      <c r="I4658" s="5">
        <f>Tabelle13[[#This Row],[%]]+I4657</f>
        <v>0.97960084775694622</v>
      </c>
      <c r="J4658" s="4">
        <f t="shared" si="177"/>
        <v>1.105583195135434E-4</v>
      </c>
      <c r="K4658" s="5">
        <f t="shared" si="178"/>
        <v>0.51475953565510002</v>
      </c>
    </row>
    <row r="4659" spans="1:11" x14ac:dyDescent="0.25">
      <c r="A4659" t="s">
        <v>1923</v>
      </c>
      <c r="C4659" t="s">
        <v>1924</v>
      </c>
      <c r="D4659" t="s">
        <v>5</v>
      </c>
      <c r="E4659" t="s">
        <v>6</v>
      </c>
      <c r="F4659" t="s">
        <v>7</v>
      </c>
      <c r="G4659">
        <v>1</v>
      </c>
      <c r="H4659" s="2">
        <f>Tabelle13[[#This Row],[commits]]/Tabelle13[[#Totals],[commits]]</f>
        <v>4.6477904404246225E-6</v>
      </c>
      <c r="I4659" s="5">
        <f>Tabelle13[[#This Row],[%]]+I4658</f>
        <v>0.97960549554738663</v>
      </c>
      <c r="J4659" s="4">
        <f t="shared" si="177"/>
        <v>1.105583195135434E-4</v>
      </c>
      <c r="K4659" s="5">
        <f t="shared" si="178"/>
        <v>0.51487009397461359</v>
      </c>
    </row>
    <row r="4660" spans="1:11" x14ac:dyDescent="0.25">
      <c r="A4660" t="s">
        <v>1928</v>
      </c>
      <c r="C4660" t="s">
        <v>1929</v>
      </c>
      <c r="D4660" t="s">
        <v>5</v>
      </c>
      <c r="E4660" t="s">
        <v>6</v>
      </c>
      <c r="F4660" t="s">
        <v>7</v>
      </c>
      <c r="G4660">
        <v>1</v>
      </c>
      <c r="H4660" s="2">
        <f>Tabelle13[[#This Row],[commits]]/Tabelle13[[#Totals],[commits]]</f>
        <v>4.6477904404246225E-6</v>
      </c>
      <c r="I4660" s="5">
        <f>Tabelle13[[#This Row],[%]]+I4659</f>
        <v>0.97961014333782703</v>
      </c>
      <c r="J4660" s="4">
        <f t="shared" si="177"/>
        <v>1.105583195135434E-4</v>
      </c>
      <c r="K4660" s="5">
        <f t="shared" si="178"/>
        <v>0.51498065229412715</v>
      </c>
    </row>
    <row r="4661" spans="1:11" x14ac:dyDescent="0.25">
      <c r="A4661" t="s">
        <v>1930</v>
      </c>
      <c r="C4661" t="s">
        <v>1931</v>
      </c>
      <c r="D4661" t="s">
        <v>5</v>
      </c>
      <c r="E4661" t="s">
        <v>6</v>
      </c>
      <c r="F4661" t="s">
        <v>7</v>
      </c>
      <c r="G4661">
        <v>1</v>
      </c>
      <c r="H4661" s="2">
        <f>Tabelle13[[#This Row],[commits]]/Tabelle13[[#Totals],[commits]]</f>
        <v>4.6477904404246225E-6</v>
      </c>
      <c r="I4661" s="5">
        <f>Tabelle13[[#This Row],[%]]+I4660</f>
        <v>0.97961479112826744</v>
      </c>
      <c r="J4661" s="4">
        <f t="shared" si="177"/>
        <v>1.105583195135434E-4</v>
      </c>
      <c r="K4661" s="5">
        <f t="shared" si="178"/>
        <v>0.51509121061364072</v>
      </c>
    </row>
    <row r="4662" spans="1:11" x14ac:dyDescent="0.25">
      <c r="A4662" t="s">
        <v>1932</v>
      </c>
      <c r="C4662" t="s">
        <v>1933</v>
      </c>
      <c r="D4662" t="s">
        <v>5</v>
      </c>
      <c r="E4662" t="s">
        <v>6</v>
      </c>
      <c r="F4662" t="s">
        <v>7</v>
      </c>
      <c r="G4662">
        <v>1</v>
      </c>
      <c r="H4662" s="2">
        <f>Tabelle13[[#This Row],[commits]]/Tabelle13[[#Totals],[commits]]</f>
        <v>4.6477904404246225E-6</v>
      </c>
      <c r="I4662" s="5">
        <f>Tabelle13[[#This Row],[%]]+I4661</f>
        <v>0.97961943891870784</v>
      </c>
      <c r="J4662" s="4">
        <f t="shared" si="177"/>
        <v>1.105583195135434E-4</v>
      </c>
      <c r="K4662" s="5">
        <f t="shared" si="178"/>
        <v>0.51520176893315428</v>
      </c>
    </row>
    <row r="4663" spans="1:11" x14ac:dyDescent="0.25">
      <c r="A4663" t="s">
        <v>1934</v>
      </c>
      <c r="C4663" t="s">
        <v>1935</v>
      </c>
      <c r="D4663" t="s">
        <v>5</v>
      </c>
      <c r="E4663" t="s">
        <v>6</v>
      </c>
      <c r="F4663" t="s">
        <v>7</v>
      </c>
      <c r="G4663">
        <v>1</v>
      </c>
      <c r="H4663" s="2">
        <f>Tabelle13[[#This Row],[commits]]/Tabelle13[[#Totals],[commits]]</f>
        <v>4.6477904404246225E-6</v>
      </c>
      <c r="I4663" s="5">
        <f>Tabelle13[[#This Row],[%]]+I4662</f>
        <v>0.97962408670914825</v>
      </c>
      <c r="J4663" s="4">
        <f t="shared" si="177"/>
        <v>1.105583195135434E-4</v>
      </c>
      <c r="K4663" s="5">
        <f t="shared" si="178"/>
        <v>0.51531232725266785</v>
      </c>
    </row>
    <row r="4664" spans="1:11" x14ac:dyDescent="0.25">
      <c r="A4664" t="s">
        <v>1936</v>
      </c>
      <c r="C4664" t="s">
        <v>1937</v>
      </c>
      <c r="D4664" t="s">
        <v>5</v>
      </c>
      <c r="E4664" t="s">
        <v>6</v>
      </c>
      <c r="F4664" t="s">
        <v>7</v>
      </c>
      <c r="G4664">
        <v>1</v>
      </c>
      <c r="H4664" s="2">
        <f>Tabelle13[[#This Row],[commits]]/Tabelle13[[#Totals],[commits]]</f>
        <v>4.6477904404246225E-6</v>
      </c>
      <c r="I4664" s="5">
        <f>Tabelle13[[#This Row],[%]]+I4663</f>
        <v>0.97962873449958865</v>
      </c>
      <c r="J4664" s="4">
        <f t="shared" si="177"/>
        <v>1.105583195135434E-4</v>
      </c>
      <c r="K4664" s="5">
        <f t="shared" si="178"/>
        <v>0.51542288557218141</v>
      </c>
    </row>
    <row r="4665" spans="1:11" x14ac:dyDescent="0.25">
      <c r="A4665" t="s">
        <v>1938</v>
      </c>
      <c r="C4665" t="s">
        <v>1939</v>
      </c>
      <c r="D4665" t="s">
        <v>5</v>
      </c>
      <c r="E4665" t="s">
        <v>6</v>
      </c>
      <c r="F4665" t="s">
        <v>7</v>
      </c>
      <c r="G4665">
        <v>1</v>
      </c>
      <c r="H4665" s="2">
        <f>Tabelle13[[#This Row],[commits]]/Tabelle13[[#Totals],[commits]]</f>
        <v>4.6477904404246225E-6</v>
      </c>
      <c r="I4665" s="5">
        <f>Tabelle13[[#This Row],[%]]+I4664</f>
        <v>0.97963338229002905</v>
      </c>
      <c r="J4665" s="4">
        <f t="shared" si="177"/>
        <v>1.105583195135434E-4</v>
      </c>
      <c r="K4665" s="5">
        <f t="shared" si="178"/>
        <v>0.51553344389169498</v>
      </c>
    </row>
    <row r="4666" spans="1:11" x14ac:dyDescent="0.25">
      <c r="A4666" t="s">
        <v>1940</v>
      </c>
      <c r="C4666" t="s">
        <v>26</v>
      </c>
      <c r="D4666" t="s">
        <v>5</v>
      </c>
      <c r="E4666" t="s">
        <v>6</v>
      </c>
      <c r="F4666" t="s">
        <v>7</v>
      </c>
      <c r="G4666">
        <v>1</v>
      </c>
      <c r="H4666" s="2">
        <f>Tabelle13[[#This Row],[commits]]/Tabelle13[[#Totals],[commits]]</f>
        <v>4.6477904404246225E-6</v>
      </c>
      <c r="I4666" s="5">
        <f>Tabelle13[[#This Row],[%]]+I4665</f>
        <v>0.97963803008046946</v>
      </c>
      <c r="J4666" s="4">
        <f t="shared" si="177"/>
        <v>1.105583195135434E-4</v>
      </c>
      <c r="K4666" s="5">
        <f t="shared" si="178"/>
        <v>0.51564400221120854</v>
      </c>
    </row>
    <row r="4667" spans="1:11" x14ac:dyDescent="0.25">
      <c r="A4667" t="s">
        <v>1941</v>
      </c>
      <c r="C4667" t="s">
        <v>1942</v>
      </c>
      <c r="D4667" t="s">
        <v>5</v>
      </c>
      <c r="E4667" t="s">
        <v>6</v>
      </c>
      <c r="F4667" t="s">
        <v>7</v>
      </c>
      <c r="G4667">
        <v>1</v>
      </c>
      <c r="H4667" s="2">
        <f>Tabelle13[[#This Row],[commits]]/Tabelle13[[#Totals],[commits]]</f>
        <v>4.6477904404246225E-6</v>
      </c>
      <c r="I4667" s="5">
        <f>Tabelle13[[#This Row],[%]]+I4666</f>
        <v>0.97964267787090986</v>
      </c>
      <c r="J4667" s="4">
        <f t="shared" si="177"/>
        <v>1.105583195135434E-4</v>
      </c>
      <c r="K4667" s="5">
        <f t="shared" si="178"/>
        <v>0.51575456053072211</v>
      </c>
    </row>
    <row r="4668" spans="1:11" x14ac:dyDescent="0.25">
      <c r="A4668" t="s">
        <v>1943</v>
      </c>
      <c r="C4668" t="s">
        <v>1944</v>
      </c>
      <c r="D4668" t="s">
        <v>5</v>
      </c>
      <c r="E4668" t="s">
        <v>6</v>
      </c>
      <c r="F4668" t="s">
        <v>7</v>
      </c>
      <c r="G4668">
        <v>1</v>
      </c>
      <c r="H4668" s="2">
        <f>Tabelle13[[#This Row],[commits]]/Tabelle13[[#Totals],[commits]]</f>
        <v>4.6477904404246225E-6</v>
      </c>
      <c r="I4668" s="5">
        <f>Tabelle13[[#This Row],[%]]+I4667</f>
        <v>0.97964732566135027</v>
      </c>
      <c r="J4668" s="4">
        <f t="shared" si="177"/>
        <v>1.105583195135434E-4</v>
      </c>
      <c r="K4668" s="5">
        <f t="shared" si="178"/>
        <v>0.51586511885023567</v>
      </c>
    </row>
    <row r="4669" spans="1:11" x14ac:dyDescent="0.25">
      <c r="A4669" t="s">
        <v>1945</v>
      </c>
      <c r="C4669" t="s">
        <v>1354</v>
      </c>
      <c r="D4669" t="s">
        <v>5</v>
      </c>
      <c r="E4669" t="s">
        <v>6</v>
      </c>
      <c r="F4669" t="s">
        <v>7</v>
      </c>
      <c r="G4669">
        <v>1</v>
      </c>
      <c r="H4669" s="2">
        <f>Tabelle13[[#This Row],[commits]]/Tabelle13[[#Totals],[commits]]</f>
        <v>4.6477904404246225E-6</v>
      </c>
      <c r="I4669" s="5">
        <f>Tabelle13[[#This Row],[%]]+I4668</f>
        <v>0.97965197345179067</v>
      </c>
      <c r="J4669" s="4">
        <f t="shared" si="177"/>
        <v>1.105583195135434E-4</v>
      </c>
      <c r="K4669" s="5">
        <f t="shared" si="178"/>
        <v>0.51597567716974924</v>
      </c>
    </row>
    <row r="4670" spans="1:11" x14ac:dyDescent="0.25">
      <c r="A4670" t="s">
        <v>1946</v>
      </c>
      <c r="C4670" t="s">
        <v>1947</v>
      </c>
      <c r="D4670" t="s">
        <v>5</v>
      </c>
      <c r="E4670" t="s">
        <v>6</v>
      </c>
      <c r="F4670" t="s">
        <v>28</v>
      </c>
      <c r="G4670">
        <v>1</v>
      </c>
      <c r="H4670" s="2">
        <f>Tabelle13[[#This Row],[commits]]/Tabelle13[[#Totals],[commits]]</f>
        <v>4.6477904404246225E-6</v>
      </c>
      <c r="I4670" s="5">
        <f>Tabelle13[[#This Row],[%]]+I4669</f>
        <v>0.97965662124223107</v>
      </c>
      <c r="J4670" s="4">
        <f t="shared" si="177"/>
        <v>1.105583195135434E-4</v>
      </c>
      <c r="K4670" s="5">
        <f t="shared" si="178"/>
        <v>0.5160862354892628</v>
      </c>
    </row>
    <row r="4671" spans="1:11" x14ac:dyDescent="0.25">
      <c r="A4671" t="s">
        <v>1948</v>
      </c>
      <c r="C4671" t="s">
        <v>1949</v>
      </c>
      <c r="D4671" t="s">
        <v>5</v>
      </c>
      <c r="E4671" t="s">
        <v>6</v>
      </c>
      <c r="F4671" t="s">
        <v>7</v>
      </c>
      <c r="G4671">
        <v>1</v>
      </c>
      <c r="H4671" s="2">
        <f>Tabelle13[[#This Row],[commits]]/Tabelle13[[#Totals],[commits]]</f>
        <v>4.6477904404246225E-6</v>
      </c>
      <c r="I4671" s="5">
        <f>Tabelle13[[#This Row],[%]]+I4670</f>
        <v>0.97966126903267148</v>
      </c>
      <c r="J4671" s="4">
        <f t="shared" si="177"/>
        <v>1.105583195135434E-4</v>
      </c>
      <c r="K4671" s="5">
        <f t="shared" si="178"/>
        <v>0.51619679380877637</v>
      </c>
    </row>
    <row r="4672" spans="1:11" x14ac:dyDescent="0.25">
      <c r="A4672" t="s">
        <v>1950</v>
      </c>
      <c r="C4672" t="s">
        <v>1951</v>
      </c>
      <c r="D4672" t="s">
        <v>5</v>
      </c>
      <c r="E4672" t="s">
        <v>6</v>
      </c>
      <c r="F4672" t="s">
        <v>7</v>
      </c>
      <c r="G4672">
        <v>1</v>
      </c>
      <c r="H4672" s="2">
        <f>Tabelle13[[#This Row],[commits]]/Tabelle13[[#Totals],[commits]]</f>
        <v>4.6477904404246225E-6</v>
      </c>
      <c r="I4672" s="5">
        <f>Tabelle13[[#This Row],[%]]+I4671</f>
        <v>0.97966591682311188</v>
      </c>
      <c r="J4672" s="4">
        <f t="shared" si="177"/>
        <v>1.105583195135434E-4</v>
      </c>
      <c r="K4672" s="5">
        <f t="shared" si="178"/>
        <v>0.51630735212828993</v>
      </c>
    </row>
    <row r="4673" spans="1:11" x14ac:dyDescent="0.25">
      <c r="A4673" t="s">
        <v>1952</v>
      </c>
      <c r="C4673" t="s">
        <v>1953</v>
      </c>
      <c r="D4673" t="s">
        <v>5</v>
      </c>
      <c r="E4673" t="s">
        <v>6</v>
      </c>
      <c r="F4673" t="s">
        <v>7</v>
      </c>
      <c r="G4673">
        <v>1</v>
      </c>
      <c r="H4673" s="2">
        <f>Tabelle13[[#This Row],[commits]]/Tabelle13[[#Totals],[commits]]</f>
        <v>4.6477904404246225E-6</v>
      </c>
      <c r="I4673" s="5">
        <f>Tabelle13[[#This Row],[%]]+I4672</f>
        <v>0.97967056461355229</v>
      </c>
      <c r="J4673" s="4">
        <f t="shared" si="177"/>
        <v>1.105583195135434E-4</v>
      </c>
      <c r="K4673" s="5">
        <f t="shared" si="178"/>
        <v>0.5164179104478035</v>
      </c>
    </row>
    <row r="4674" spans="1:11" x14ac:dyDescent="0.25">
      <c r="A4674" t="s">
        <v>1954</v>
      </c>
      <c r="C4674" t="s">
        <v>1955</v>
      </c>
      <c r="D4674" t="s">
        <v>5</v>
      </c>
      <c r="E4674" t="s">
        <v>6</v>
      </c>
      <c r="F4674" t="s">
        <v>7</v>
      </c>
      <c r="G4674">
        <v>1</v>
      </c>
      <c r="H4674" s="2">
        <f>Tabelle13[[#This Row],[commits]]/Tabelle13[[#Totals],[commits]]</f>
        <v>4.6477904404246225E-6</v>
      </c>
      <c r="I4674" s="5">
        <f>Tabelle13[[#This Row],[%]]+I4673</f>
        <v>0.97967521240399269</v>
      </c>
      <c r="J4674" s="4">
        <f t="shared" si="177"/>
        <v>1.105583195135434E-4</v>
      </c>
      <c r="K4674" s="5">
        <f t="shared" si="178"/>
        <v>0.51652846876731706</v>
      </c>
    </row>
    <row r="4675" spans="1:11" x14ac:dyDescent="0.25">
      <c r="A4675" t="s">
        <v>1956</v>
      </c>
      <c r="C4675" t="s">
        <v>1427</v>
      </c>
      <c r="D4675" t="s">
        <v>5</v>
      </c>
      <c r="E4675" t="s">
        <v>6</v>
      </c>
      <c r="F4675" t="s">
        <v>7</v>
      </c>
      <c r="G4675">
        <v>1</v>
      </c>
      <c r="H4675" s="2">
        <f>Tabelle13[[#This Row],[commits]]/Tabelle13[[#Totals],[commits]]</f>
        <v>4.6477904404246225E-6</v>
      </c>
      <c r="I4675" s="5">
        <f>Tabelle13[[#This Row],[%]]+I4674</f>
        <v>0.97967986019443309</v>
      </c>
      <c r="J4675" s="4">
        <f t="shared" ref="J4675:J4738" si="179">1/9045</f>
        <v>1.105583195135434E-4</v>
      </c>
      <c r="K4675" s="5">
        <f t="shared" si="178"/>
        <v>0.51663902708683063</v>
      </c>
    </row>
    <row r="4676" spans="1:11" x14ac:dyDescent="0.25">
      <c r="A4676" t="s">
        <v>1957</v>
      </c>
      <c r="C4676" t="s">
        <v>1958</v>
      </c>
      <c r="D4676" t="s">
        <v>5</v>
      </c>
      <c r="E4676" t="s">
        <v>6</v>
      </c>
      <c r="F4676" t="s">
        <v>7</v>
      </c>
      <c r="G4676">
        <v>1</v>
      </c>
      <c r="H4676" s="2">
        <f>Tabelle13[[#This Row],[commits]]/Tabelle13[[#Totals],[commits]]</f>
        <v>4.6477904404246225E-6</v>
      </c>
      <c r="I4676" s="5">
        <f>Tabelle13[[#This Row],[%]]+I4675</f>
        <v>0.9796845079848735</v>
      </c>
      <c r="J4676" s="4">
        <f t="shared" si="179"/>
        <v>1.105583195135434E-4</v>
      </c>
      <c r="K4676" s="5">
        <f t="shared" si="178"/>
        <v>0.51674958540634419</v>
      </c>
    </row>
    <row r="4677" spans="1:11" x14ac:dyDescent="0.25">
      <c r="A4677" t="s">
        <v>1959</v>
      </c>
      <c r="C4677" t="s">
        <v>1960</v>
      </c>
      <c r="D4677" t="s">
        <v>5</v>
      </c>
      <c r="E4677" t="s">
        <v>6</v>
      </c>
      <c r="F4677" t="s">
        <v>7</v>
      </c>
      <c r="G4677">
        <v>1</v>
      </c>
      <c r="H4677" s="2">
        <f>Tabelle13[[#This Row],[commits]]/Tabelle13[[#Totals],[commits]]</f>
        <v>4.6477904404246225E-6</v>
      </c>
      <c r="I4677" s="5">
        <f>Tabelle13[[#This Row],[%]]+I4676</f>
        <v>0.9796891557753139</v>
      </c>
      <c r="J4677" s="4">
        <f t="shared" si="179"/>
        <v>1.105583195135434E-4</v>
      </c>
      <c r="K4677" s="5">
        <f t="shared" si="178"/>
        <v>0.51686014372585776</v>
      </c>
    </row>
    <row r="4678" spans="1:11" x14ac:dyDescent="0.25">
      <c r="A4678" t="s">
        <v>1961</v>
      </c>
      <c r="C4678" t="s">
        <v>685</v>
      </c>
      <c r="D4678" t="s">
        <v>5</v>
      </c>
      <c r="E4678" t="s">
        <v>6</v>
      </c>
      <c r="F4678" t="s">
        <v>7</v>
      </c>
      <c r="G4678">
        <v>1</v>
      </c>
      <c r="H4678" s="2">
        <f>Tabelle13[[#This Row],[commits]]/Tabelle13[[#Totals],[commits]]</f>
        <v>4.6477904404246225E-6</v>
      </c>
      <c r="I4678" s="5">
        <f>Tabelle13[[#This Row],[%]]+I4677</f>
        <v>0.97969380356575431</v>
      </c>
      <c r="J4678" s="4">
        <f t="shared" si="179"/>
        <v>1.105583195135434E-4</v>
      </c>
      <c r="K4678" s="5">
        <f t="shared" ref="K4678:K4741" si="180">J4678+K4677</f>
        <v>0.51697070204537132</v>
      </c>
    </row>
    <row r="4679" spans="1:11" x14ac:dyDescent="0.25">
      <c r="A4679" t="s">
        <v>1962</v>
      </c>
      <c r="C4679" t="s">
        <v>1963</v>
      </c>
      <c r="D4679" t="s">
        <v>5</v>
      </c>
      <c r="E4679" t="s">
        <v>6</v>
      </c>
      <c r="F4679" t="s">
        <v>7</v>
      </c>
      <c r="G4679">
        <v>1</v>
      </c>
      <c r="H4679" s="2">
        <f>Tabelle13[[#This Row],[commits]]/Tabelle13[[#Totals],[commits]]</f>
        <v>4.6477904404246225E-6</v>
      </c>
      <c r="I4679" s="5">
        <f>Tabelle13[[#This Row],[%]]+I4678</f>
        <v>0.97969845135619471</v>
      </c>
      <c r="J4679" s="4">
        <f t="shared" si="179"/>
        <v>1.105583195135434E-4</v>
      </c>
      <c r="K4679" s="5">
        <f t="shared" si="180"/>
        <v>0.51708126036488489</v>
      </c>
    </row>
    <row r="4680" spans="1:11" x14ac:dyDescent="0.25">
      <c r="A4680" t="s">
        <v>1964</v>
      </c>
      <c r="C4680" t="s">
        <v>1965</v>
      </c>
      <c r="D4680" t="s">
        <v>5</v>
      </c>
      <c r="E4680" t="s">
        <v>6</v>
      </c>
      <c r="F4680" t="s">
        <v>7</v>
      </c>
      <c r="G4680">
        <v>1</v>
      </c>
      <c r="H4680" s="2">
        <f>Tabelle13[[#This Row],[commits]]/Tabelle13[[#Totals],[commits]]</f>
        <v>4.6477904404246225E-6</v>
      </c>
      <c r="I4680" s="5">
        <f>Tabelle13[[#This Row],[%]]+I4679</f>
        <v>0.97970309914663511</v>
      </c>
      <c r="J4680" s="4">
        <f t="shared" si="179"/>
        <v>1.105583195135434E-4</v>
      </c>
      <c r="K4680" s="5">
        <f t="shared" si="180"/>
        <v>0.51719181868439845</v>
      </c>
    </row>
    <row r="4681" spans="1:11" x14ac:dyDescent="0.25">
      <c r="A4681" t="s">
        <v>1966</v>
      </c>
      <c r="C4681" t="s">
        <v>1967</v>
      </c>
      <c r="D4681" t="s">
        <v>5</v>
      </c>
      <c r="E4681" t="s">
        <v>6</v>
      </c>
      <c r="F4681" t="s">
        <v>7</v>
      </c>
      <c r="G4681">
        <v>1</v>
      </c>
      <c r="H4681" s="2">
        <f>Tabelle13[[#This Row],[commits]]/Tabelle13[[#Totals],[commits]]</f>
        <v>4.6477904404246225E-6</v>
      </c>
      <c r="I4681" s="5">
        <f>Tabelle13[[#This Row],[%]]+I4680</f>
        <v>0.97970774693707552</v>
      </c>
      <c r="J4681" s="4">
        <f t="shared" si="179"/>
        <v>1.105583195135434E-4</v>
      </c>
      <c r="K4681" s="5">
        <f t="shared" si="180"/>
        <v>0.51730237700391202</v>
      </c>
    </row>
    <row r="4682" spans="1:11" x14ac:dyDescent="0.25">
      <c r="A4682" t="s">
        <v>1968</v>
      </c>
      <c r="C4682" t="s">
        <v>1969</v>
      </c>
      <c r="D4682" t="s">
        <v>5</v>
      </c>
      <c r="E4682" t="s">
        <v>6</v>
      </c>
      <c r="F4682" t="s">
        <v>7</v>
      </c>
      <c r="G4682">
        <v>1</v>
      </c>
      <c r="H4682" s="2">
        <f>Tabelle13[[#This Row],[commits]]/Tabelle13[[#Totals],[commits]]</f>
        <v>4.6477904404246225E-6</v>
      </c>
      <c r="I4682" s="5">
        <f>Tabelle13[[#This Row],[%]]+I4681</f>
        <v>0.97971239472751592</v>
      </c>
      <c r="J4682" s="4">
        <f t="shared" si="179"/>
        <v>1.105583195135434E-4</v>
      </c>
      <c r="K4682" s="5">
        <f t="shared" si="180"/>
        <v>0.51741293532342558</v>
      </c>
    </row>
    <row r="4683" spans="1:11" x14ac:dyDescent="0.25">
      <c r="A4683" t="s">
        <v>1970</v>
      </c>
      <c r="C4683" t="s">
        <v>1971</v>
      </c>
      <c r="D4683" t="s">
        <v>5</v>
      </c>
      <c r="E4683" t="s">
        <v>6</v>
      </c>
      <c r="F4683" t="s">
        <v>7</v>
      </c>
      <c r="G4683">
        <v>1</v>
      </c>
      <c r="H4683" s="2">
        <f>Tabelle13[[#This Row],[commits]]/Tabelle13[[#Totals],[commits]]</f>
        <v>4.6477904404246225E-6</v>
      </c>
      <c r="I4683" s="5">
        <f>Tabelle13[[#This Row],[%]]+I4682</f>
        <v>0.97971704251795633</v>
      </c>
      <c r="J4683" s="4">
        <f t="shared" si="179"/>
        <v>1.105583195135434E-4</v>
      </c>
      <c r="K4683" s="5">
        <f t="shared" si="180"/>
        <v>0.51752349364293915</v>
      </c>
    </row>
    <row r="4684" spans="1:11" x14ac:dyDescent="0.25">
      <c r="A4684" t="s">
        <v>1972</v>
      </c>
      <c r="C4684" t="s">
        <v>1973</v>
      </c>
      <c r="D4684" t="s">
        <v>5</v>
      </c>
      <c r="E4684" t="s">
        <v>6</v>
      </c>
      <c r="F4684" t="s">
        <v>7</v>
      </c>
      <c r="G4684">
        <v>1</v>
      </c>
      <c r="H4684" s="2">
        <f>Tabelle13[[#This Row],[commits]]/Tabelle13[[#Totals],[commits]]</f>
        <v>4.6477904404246225E-6</v>
      </c>
      <c r="I4684" s="5">
        <f>Tabelle13[[#This Row],[%]]+I4683</f>
        <v>0.97972169030839673</v>
      </c>
      <c r="J4684" s="4">
        <f t="shared" si="179"/>
        <v>1.105583195135434E-4</v>
      </c>
      <c r="K4684" s="5">
        <f t="shared" si="180"/>
        <v>0.51763405196245271</v>
      </c>
    </row>
    <row r="4685" spans="1:11" x14ac:dyDescent="0.25">
      <c r="A4685" t="s">
        <v>1974</v>
      </c>
      <c r="C4685" t="s">
        <v>1975</v>
      </c>
      <c r="D4685" t="s">
        <v>5</v>
      </c>
      <c r="E4685" t="s">
        <v>6</v>
      </c>
      <c r="F4685" t="s">
        <v>7</v>
      </c>
      <c r="G4685">
        <v>1</v>
      </c>
      <c r="H4685" s="2">
        <f>Tabelle13[[#This Row],[commits]]/Tabelle13[[#Totals],[commits]]</f>
        <v>4.6477904404246225E-6</v>
      </c>
      <c r="I4685" s="5">
        <f>Tabelle13[[#This Row],[%]]+I4684</f>
        <v>0.97972633809883714</v>
      </c>
      <c r="J4685" s="4">
        <f t="shared" si="179"/>
        <v>1.105583195135434E-4</v>
      </c>
      <c r="K4685" s="5">
        <f t="shared" si="180"/>
        <v>0.51774461028196628</v>
      </c>
    </row>
    <row r="4686" spans="1:11" x14ac:dyDescent="0.25">
      <c r="A4686" t="s">
        <v>1976</v>
      </c>
      <c r="C4686" t="s">
        <v>1977</v>
      </c>
      <c r="D4686" t="s">
        <v>5</v>
      </c>
      <c r="E4686" t="s">
        <v>6</v>
      </c>
      <c r="F4686" t="s">
        <v>7</v>
      </c>
      <c r="G4686">
        <v>1</v>
      </c>
      <c r="H4686" s="2">
        <f>Tabelle13[[#This Row],[commits]]/Tabelle13[[#Totals],[commits]]</f>
        <v>4.6477904404246225E-6</v>
      </c>
      <c r="I4686" s="5">
        <f>Tabelle13[[#This Row],[%]]+I4685</f>
        <v>0.97973098588927754</v>
      </c>
      <c r="J4686" s="4">
        <f t="shared" si="179"/>
        <v>1.105583195135434E-4</v>
      </c>
      <c r="K4686" s="5">
        <f t="shared" si="180"/>
        <v>0.51785516860147984</v>
      </c>
    </row>
    <row r="4687" spans="1:11" x14ac:dyDescent="0.25">
      <c r="A4687" t="s">
        <v>1978</v>
      </c>
      <c r="C4687" t="s">
        <v>1979</v>
      </c>
      <c r="D4687" t="s">
        <v>5</v>
      </c>
      <c r="E4687" t="s">
        <v>6</v>
      </c>
      <c r="F4687" t="s">
        <v>7</v>
      </c>
      <c r="G4687">
        <v>1</v>
      </c>
      <c r="H4687" s="2">
        <f>Tabelle13[[#This Row],[commits]]/Tabelle13[[#Totals],[commits]]</f>
        <v>4.6477904404246225E-6</v>
      </c>
      <c r="I4687" s="5">
        <f>Tabelle13[[#This Row],[%]]+I4686</f>
        <v>0.97973563367971794</v>
      </c>
      <c r="J4687" s="4">
        <f t="shared" si="179"/>
        <v>1.105583195135434E-4</v>
      </c>
      <c r="K4687" s="5">
        <f t="shared" si="180"/>
        <v>0.51796572692099341</v>
      </c>
    </row>
    <row r="4688" spans="1:11" x14ac:dyDescent="0.25">
      <c r="A4688" t="s">
        <v>1980</v>
      </c>
      <c r="C4688" t="s">
        <v>1981</v>
      </c>
      <c r="D4688" t="s">
        <v>5</v>
      </c>
      <c r="E4688" t="s">
        <v>6</v>
      </c>
      <c r="F4688" t="s">
        <v>7</v>
      </c>
      <c r="G4688">
        <v>1</v>
      </c>
      <c r="H4688" s="2">
        <f>Tabelle13[[#This Row],[commits]]/Tabelle13[[#Totals],[commits]]</f>
        <v>4.6477904404246225E-6</v>
      </c>
      <c r="I4688" s="5">
        <f>Tabelle13[[#This Row],[%]]+I4687</f>
        <v>0.97974028147015835</v>
      </c>
      <c r="J4688" s="4">
        <f t="shared" si="179"/>
        <v>1.105583195135434E-4</v>
      </c>
      <c r="K4688" s="5">
        <f t="shared" si="180"/>
        <v>0.51807628524050697</v>
      </c>
    </row>
    <row r="4689" spans="1:11" x14ac:dyDescent="0.25">
      <c r="A4689" t="s">
        <v>1982</v>
      </c>
      <c r="C4689" t="s">
        <v>1983</v>
      </c>
      <c r="D4689" t="s">
        <v>5</v>
      </c>
      <c r="E4689" t="s">
        <v>6</v>
      </c>
      <c r="F4689" t="s">
        <v>7</v>
      </c>
      <c r="G4689">
        <v>1</v>
      </c>
      <c r="H4689" s="2">
        <f>Tabelle13[[#This Row],[commits]]/Tabelle13[[#Totals],[commits]]</f>
        <v>4.6477904404246225E-6</v>
      </c>
      <c r="I4689" s="5">
        <f>Tabelle13[[#This Row],[%]]+I4688</f>
        <v>0.97974492926059875</v>
      </c>
      <c r="J4689" s="4">
        <f t="shared" si="179"/>
        <v>1.105583195135434E-4</v>
      </c>
      <c r="K4689" s="5">
        <f t="shared" si="180"/>
        <v>0.51818684356002054</v>
      </c>
    </row>
    <row r="4690" spans="1:11" x14ac:dyDescent="0.25">
      <c r="A4690" t="s">
        <v>1984</v>
      </c>
      <c r="C4690" t="s">
        <v>1985</v>
      </c>
      <c r="D4690" t="s">
        <v>5</v>
      </c>
      <c r="E4690" t="s">
        <v>6</v>
      </c>
      <c r="F4690" t="s">
        <v>7</v>
      </c>
      <c r="G4690">
        <v>1</v>
      </c>
      <c r="H4690" s="2">
        <f>Tabelle13[[#This Row],[commits]]/Tabelle13[[#Totals],[commits]]</f>
        <v>4.6477904404246225E-6</v>
      </c>
      <c r="I4690" s="5">
        <f>Tabelle13[[#This Row],[%]]+I4689</f>
        <v>0.97974957705103916</v>
      </c>
      <c r="J4690" s="4">
        <f t="shared" si="179"/>
        <v>1.105583195135434E-4</v>
      </c>
      <c r="K4690" s="5">
        <f t="shared" si="180"/>
        <v>0.5182974018795341</v>
      </c>
    </row>
    <row r="4691" spans="1:11" x14ac:dyDescent="0.25">
      <c r="A4691" t="s">
        <v>1986</v>
      </c>
      <c r="C4691" t="s">
        <v>1987</v>
      </c>
      <c r="D4691" t="s">
        <v>5</v>
      </c>
      <c r="E4691" t="s">
        <v>6</v>
      </c>
      <c r="F4691" t="s">
        <v>7</v>
      </c>
      <c r="G4691">
        <v>1</v>
      </c>
      <c r="H4691" s="2">
        <f>Tabelle13[[#This Row],[commits]]/Tabelle13[[#Totals],[commits]]</f>
        <v>4.6477904404246225E-6</v>
      </c>
      <c r="I4691" s="5">
        <f>Tabelle13[[#This Row],[%]]+I4690</f>
        <v>0.97975422484147956</v>
      </c>
      <c r="J4691" s="4">
        <f t="shared" si="179"/>
        <v>1.105583195135434E-4</v>
      </c>
      <c r="K4691" s="5">
        <f t="shared" si="180"/>
        <v>0.51840796019904767</v>
      </c>
    </row>
    <row r="4692" spans="1:11" x14ac:dyDescent="0.25">
      <c r="A4692" t="s">
        <v>1988</v>
      </c>
      <c r="C4692" t="s">
        <v>1989</v>
      </c>
      <c r="D4692" t="s">
        <v>5</v>
      </c>
      <c r="E4692" t="s">
        <v>6</v>
      </c>
      <c r="F4692" t="s">
        <v>7</v>
      </c>
      <c r="G4692">
        <v>1</v>
      </c>
      <c r="H4692" s="2">
        <f>Tabelle13[[#This Row],[commits]]/Tabelle13[[#Totals],[commits]]</f>
        <v>4.6477904404246225E-6</v>
      </c>
      <c r="I4692" s="5">
        <f>Tabelle13[[#This Row],[%]]+I4691</f>
        <v>0.97975887263191996</v>
      </c>
      <c r="J4692" s="4">
        <f t="shared" si="179"/>
        <v>1.105583195135434E-4</v>
      </c>
      <c r="K4692" s="5">
        <f t="shared" si="180"/>
        <v>0.51851851851856123</v>
      </c>
    </row>
    <row r="4693" spans="1:11" x14ac:dyDescent="0.25">
      <c r="A4693" t="s">
        <v>1990</v>
      </c>
      <c r="C4693" t="s">
        <v>1991</v>
      </c>
      <c r="D4693" t="s">
        <v>5</v>
      </c>
      <c r="E4693" t="s">
        <v>6</v>
      </c>
      <c r="F4693" t="s">
        <v>7</v>
      </c>
      <c r="G4693">
        <v>1</v>
      </c>
      <c r="H4693" s="2">
        <f>Tabelle13[[#This Row],[commits]]/Tabelle13[[#Totals],[commits]]</f>
        <v>4.6477904404246225E-6</v>
      </c>
      <c r="I4693" s="5">
        <f>Tabelle13[[#This Row],[%]]+I4692</f>
        <v>0.97976352042236037</v>
      </c>
      <c r="J4693" s="4">
        <f t="shared" si="179"/>
        <v>1.105583195135434E-4</v>
      </c>
      <c r="K4693" s="5">
        <f t="shared" si="180"/>
        <v>0.5186290768380748</v>
      </c>
    </row>
    <row r="4694" spans="1:11" x14ac:dyDescent="0.25">
      <c r="A4694" t="s">
        <v>1992</v>
      </c>
      <c r="C4694" t="s">
        <v>1993</v>
      </c>
      <c r="D4694" t="s">
        <v>5</v>
      </c>
      <c r="E4694" t="s">
        <v>6</v>
      </c>
      <c r="F4694" t="s">
        <v>7</v>
      </c>
      <c r="G4694">
        <v>1</v>
      </c>
      <c r="H4694" s="2">
        <f>Tabelle13[[#This Row],[commits]]/Tabelle13[[#Totals],[commits]]</f>
        <v>4.6477904404246225E-6</v>
      </c>
      <c r="I4694" s="5">
        <f>Tabelle13[[#This Row],[%]]+I4693</f>
        <v>0.97976816821280077</v>
      </c>
      <c r="J4694" s="4">
        <f t="shared" si="179"/>
        <v>1.105583195135434E-4</v>
      </c>
      <c r="K4694" s="5">
        <f t="shared" si="180"/>
        <v>0.51873963515758836</v>
      </c>
    </row>
    <row r="4695" spans="1:11" x14ac:dyDescent="0.25">
      <c r="A4695" t="s">
        <v>1996</v>
      </c>
      <c r="C4695" t="s">
        <v>1997</v>
      </c>
      <c r="D4695" t="s">
        <v>5</v>
      </c>
      <c r="E4695" t="s">
        <v>6</v>
      </c>
      <c r="F4695" t="s">
        <v>7</v>
      </c>
      <c r="G4695">
        <v>1</v>
      </c>
      <c r="H4695" s="2">
        <f>Tabelle13[[#This Row],[commits]]/Tabelle13[[#Totals],[commits]]</f>
        <v>4.6477904404246225E-6</v>
      </c>
      <c r="I4695" s="5">
        <f>Tabelle13[[#This Row],[%]]+I4694</f>
        <v>0.97977281600324118</v>
      </c>
      <c r="J4695" s="4">
        <f t="shared" si="179"/>
        <v>1.105583195135434E-4</v>
      </c>
      <c r="K4695" s="5">
        <f t="shared" si="180"/>
        <v>0.51885019347710193</v>
      </c>
    </row>
    <row r="4696" spans="1:11" x14ac:dyDescent="0.25">
      <c r="A4696" t="s">
        <v>1998</v>
      </c>
      <c r="C4696" t="s">
        <v>1999</v>
      </c>
      <c r="D4696" t="s">
        <v>5</v>
      </c>
      <c r="E4696" t="s">
        <v>6</v>
      </c>
      <c r="F4696" t="s">
        <v>7</v>
      </c>
      <c r="G4696">
        <v>1</v>
      </c>
      <c r="H4696" s="2">
        <f>Tabelle13[[#This Row],[commits]]/Tabelle13[[#Totals],[commits]]</f>
        <v>4.6477904404246225E-6</v>
      </c>
      <c r="I4696" s="5">
        <f>Tabelle13[[#This Row],[%]]+I4695</f>
        <v>0.97977746379368158</v>
      </c>
      <c r="J4696" s="4">
        <f t="shared" si="179"/>
        <v>1.105583195135434E-4</v>
      </c>
      <c r="K4696" s="5">
        <f t="shared" si="180"/>
        <v>0.51896075179661549</v>
      </c>
    </row>
    <row r="4697" spans="1:11" x14ac:dyDescent="0.25">
      <c r="A4697" t="s">
        <v>2000</v>
      </c>
      <c r="C4697" t="s">
        <v>2001</v>
      </c>
      <c r="D4697" t="s">
        <v>5</v>
      </c>
      <c r="E4697" t="s">
        <v>6</v>
      </c>
      <c r="F4697" t="s">
        <v>7</v>
      </c>
      <c r="G4697">
        <v>1</v>
      </c>
      <c r="H4697" s="2">
        <f>Tabelle13[[#This Row],[commits]]/Tabelle13[[#Totals],[commits]]</f>
        <v>4.6477904404246225E-6</v>
      </c>
      <c r="I4697" s="5">
        <f>Tabelle13[[#This Row],[%]]+I4696</f>
        <v>0.97978211158412198</v>
      </c>
      <c r="J4697" s="4">
        <f t="shared" si="179"/>
        <v>1.105583195135434E-4</v>
      </c>
      <c r="K4697" s="5">
        <f t="shared" si="180"/>
        <v>0.51907131011612906</v>
      </c>
    </row>
    <row r="4698" spans="1:11" x14ac:dyDescent="0.25">
      <c r="A4698" t="s">
        <v>2002</v>
      </c>
      <c r="C4698" t="s">
        <v>2003</v>
      </c>
      <c r="D4698" t="s">
        <v>5</v>
      </c>
      <c r="E4698" t="s">
        <v>6</v>
      </c>
      <c r="F4698" t="s">
        <v>7</v>
      </c>
      <c r="G4698">
        <v>1</v>
      </c>
      <c r="H4698" s="2">
        <f>Tabelle13[[#This Row],[commits]]/Tabelle13[[#Totals],[commits]]</f>
        <v>4.6477904404246225E-6</v>
      </c>
      <c r="I4698" s="5">
        <f>Tabelle13[[#This Row],[%]]+I4697</f>
        <v>0.97978675937456239</v>
      </c>
      <c r="J4698" s="4">
        <f t="shared" si="179"/>
        <v>1.105583195135434E-4</v>
      </c>
      <c r="K4698" s="5">
        <f t="shared" si="180"/>
        <v>0.51918186843564262</v>
      </c>
    </row>
    <row r="4699" spans="1:11" x14ac:dyDescent="0.25">
      <c r="A4699" t="s">
        <v>2004</v>
      </c>
      <c r="C4699" t="s">
        <v>211</v>
      </c>
      <c r="D4699" t="s">
        <v>5</v>
      </c>
      <c r="E4699" t="s">
        <v>6</v>
      </c>
      <c r="F4699" t="s">
        <v>7</v>
      </c>
      <c r="G4699">
        <v>1</v>
      </c>
      <c r="H4699" s="2">
        <f>Tabelle13[[#This Row],[commits]]/Tabelle13[[#Totals],[commits]]</f>
        <v>4.6477904404246225E-6</v>
      </c>
      <c r="I4699" s="5">
        <f>Tabelle13[[#This Row],[%]]+I4698</f>
        <v>0.97979140716500279</v>
      </c>
      <c r="J4699" s="4">
        <f t="shared" si="179"/>
        <v>1.105583195135434E-4</v>
      </c>
      <c r="K4699" s="5">
        <f t="shared" si="180"/>
        <v>0.51929242675515619</v>
      </c>
    </row>
    <row r="4700" spans="1:11" x14ac:dyDescent="0.25">
      <c r="A4700" t="s">
        <v>2005</v>
      </c>
      <c r="C4700" t="s">
        <v>2006</v>
      </c>
      <c r="D4700" t="s">
        <v>5</v>
      </c>
      <c r="E4700" t="s">
        <v>6</v>
      </c>
      <c r="F4700" t="s">
        <v>7</v>
      </c>
      <c r="G4700">
        <v>1</v>
      </c>
      <c r="H4700" s="2">
        <f>Tabelle13[[#This Row],[commits]]/Tabelle13[[#Totals],[commits]]</f>
        <v>4.6477904404246225E-6</v>
      </c>
      <c r="I4700" s="5">
        <f>Tabelle13[[#This Row],[%]]+I4699</f>
        <v>0.9797960549554432</v>
      </c>
      <c r="J4700" s="4">
        <f t="shared" si="179"/>
        <v>1.105583195135434E-4</v>
      </c>
      <c r="K4700" s="5">
        <f t="shared" si="180"/>
        <v>0.51940298507466975</v>
      </c>
    </row>
    <row r="4701" spans="1:11" x14ac:dyDescent="0.25">
      <c r="A4701" t="s">
        <v>2007</v>
      </c>
      <c r="C4701" t="s">
        <v>2008</v>
      </c>
      <c r="D4701" t="s">
        <v>5</v>
      </c>
      <c r="E4701" t="s">
        <v>6</v>
      </c>
      <c r="F4701" t="s">
        <v>7</v>
      </c>
      <c r="G4701">
        <v>1</v>
      </c>
      <c r="H4701" s="2">
        <f>Tabelle13[[#This Row],[commits]]/Tabelle13[[#Totals],[commits]]</f>
        <v>4.6477904404246225E-6</v>
      </c>
      <c r="I4701" s="5">
        <f>Tabelle13[[#This Row],[%]]+I4700</f>
        <v>0.9798007027458836</v>
      </c>
      <c r="J4701" s="4">
        <f t="shared" si="179"/>
        <v>1.105583195135434E-4</v>
      </c>
      <c r="K4701" s="5">
        <f t="shared" si="180"/>
        <v>0.51951354339418332</v>
      </c>
    </row>
    <row r="4702" spans="1:11" x14ac:dyDescent="0.25">
      <c r="A4702" t="s">
        <v>2009</v>
      </c>
      <c r="C4702" t="s">
        <v>532</v>
      </c>
      <c r="D4702" t="s">
        <v>5</v>
      </c>
      <c r="E4702" t="s">
        <v>6</v>
      </c>
      <c r="F4702" t="s">
        <v>7</v>
      </c>
      <c r="G4702">
        <v>1</v>
      </c>
      <c r="H4702" s="2">
        <f>Tabelle13[[#This Row],[commits]]/Tabelle13[[#Totals],[commits]]</f>
        <v>4.6477904404246225E-6</v>
      </c>
      <c r="I4702" s="5">
        <f>Tabelle13[[#This Row],[%]]+I4701</f>
        <v>0.979805350536324</v>
      </c>
      <c r="J4702" s="4">
        <f t="shared" si="179"/>
        <v>1.105583195135434E-4</v>
      </c>
      <c r="K4702" s="5">
        <f t="shared" si="180"/>
        <v>0.51962410171369688</v>
      </c>
    </row>
    <row r="4703" spans="1:11" x14ac:dyDescent="0.25">
      <c r="A4703" t="s">
        <v>2010</v>
      </c>
      <c r="C4703" t="s">
        <v>2011</v>
      </c>
      <c r="D4703" t="s">
        <v>5</v>
      </c>
      <c r="E4703" t="s">
        <v>6</v>
      </c>
      <c r="F4703" t="s">
        <v>7</v>
      </c>
      <c r="G4703">
        <v>1</v>
      </c>
      <c r="H4703" s="2">
        <f>Tabelle13[[#This Row],[commits]]/Tabelle13[[#Totals],[commits]]</f>
        <v>4.6477904404246225E-6</v>
      </c>
      <c r="I4703" s="5">
        <f>Tabelle13[[#This Row],[%]]+I4702</f>
        <v>0.97980999832676441</v>
      </c>
      <c r="J4703" s="4">
        <f t="shared" si="179"/>
        <v>1.105583195135434E-4</v>
      </c>
      <c r="K4703" s="5">
        <f t="shared" si="180"/>
        <v>0.51973466003321045</v>
      </c>
    </row>
    <row r="4704" spans="1:11" x14ac:dyDescent="0.25">
      <c r="A4704" t="s">
        <v>2012</v>
      </c>
      <c r="C4704" t="s">
        <v>2013</v>
      </c>
      <c r="D4704" t="s">
        <v>5</v>
      </c>
      <c r="E4704" t="s">
        <v>6</v>
      </c>
      <c r="F4704" t="s">
        <v>7</v>
      </c>
      <c r="G4704">
        <v>1</v>
      </c>
      <c r="H4704" s="2">
        <f>Tabelle13[[#This Row],[commits]]/Tabelle13[[#Totals],[commits]]</f>
        <v>4.6477904404246225E-6</v>
      </c>
      <c r="I4704" s="5">
        <f>Tabelle13[[#This Row],[%]]+I4703</f>
        <v>0.97981464611720481</v>
      </c>
      <c r="J4704" s="4">
        <f t="shared" si="179"/>
        <v>1.105583195135434E-4</v>
      </c>
      <c r="K4704" s="5">
        <f t="shared" si="180"/>
        <v>0.51984521835272401</v>
      </c>
    </row>
    <row r="4705" spans="1:11" x14ac:dyDescent="0.25">
      <c r="A4705" t="s">
        <v>2014</v>
      </c>
      <c r="C4705" t="s">
        <v>2015</v>
      </c>
      <c r="D4705" t="s">
        <v>5</v>
      </c>
      <c r="E4705" t="s">
        <v>6</v>
      </c>
      <c r="F4705" t="s">
        <v>7</v>
      </c>
      <c r="G4705">
        <v>1</v>
      </c>
      <c r="H4705" s="2">
        <f>Tabelle13[[#This Row],[commits]]/Tabelle13[[#Totals],[commits]]</f>
        <v>4.6477904404246225E-6</v>
      </c>
      <c r="I4705" s="5">
        <f>Tabelle13[[#This Row],[%]]+I4704</f>
        <v>0.97981929390764522</v>
      </c>
      <c r="J4705" s="4">
        <f t="shared" si="179"/>
        <v>1.105583195135434E-4</v>
      </c>
      <c r="K4705" s="5">
        <f t="shared" si="180"/>
        <v>0.51995577667223758</v>
      </c>
    </row>
    <row r="4706" spans="1:11" x14ac:dyDescent="0.25">
      <c r="A4706" t="s">
        <v>2016</v>
      </c>
      <c r="C4706" t="s">
        <v>2017</v>
      </c>
      <c r="D4706" t="s">
        <v>5</v>
      </c>
      <c r="E4706" t="s">
        <v>6</v>
      </c>
      <c r="F4706" t="s">
        <v>7</v>
      </c>
      <c r="G4706">
        <v>1</v>
      </c>
      <c r="H4706" s="2">
        <f>Tabelle13[[#This Row],[commits]]/Tabelle13[[#Totals],[commits]]</f>
        <v>4.6477904404246225E-6</v>
      </c>
      <c r="I4706" s="5">
        <f>Tabelle13[[#This Row],[%]]+I4705</f>
        <v>0.97982394169808562</v>
      </c>
      <c r="J4706" s="4">
        <f t="shared" si="179"/>
        <v>1.105583195135434E-4</v>
      </c>
      <c r="K4706" s="5">
        <f t="shared" si="180"/>
        <v>0.52006633499175114</v>
      </c>
    </row>
    <row r="4707" spans="1:11" x14ac:dyDescent="0.25">
      <c r="A4707" t="s">
        <v>2020</v>
      </c>
      <c r="C4707" t="s">
        <v>2021</v>
      </c>
      <c r="D4707" t="s">
        <v>5</v>
      </c>
      <c r="E4707" t="s">
        <v>6</v>
      </c>
      <c r="F4707" t="s">
        <v>7</v>
      </c>
      <c r="G4707">
        <v>1</v>
      </c>
      <c r="H4707" s="2">
        <f>Tabelle13[[#This Row],[commits]]/Tabelle13[[#Totals],[commits]]</f>
        <v>4.6477904404246225E-6</v>
      </c>
      <c r="I4707" s="5">
        <f>Tabelle13[[#This Row],[%]]+I4706</f>
        <v>0.97982858948852602</v>
      </c>
      <c r="J4707" s="4">
        <f t="shared" si="179"/>
        <v>1.105583195135434E-4</v>
      </c>
      <c r="K4707" s="5">
        <f t="shared" si="180"/>
        <v>0.52017689331126471</v>
      </c>
    </row>
    <row r="4708" spans="1:11" x14ac:dyDescent="0.25">
      <c r="A4708" t="s">
        <v>2022</v>
      </c>
      <c r="C4708" t="s">
        <v>2023</v>
      </c>
      <c r="D4708" t="s">
        <v>5</v>
      </c>
      <c r="E4708" t="s">
        <v>6</v>
      </c>
      <c r="F4708" t="s">
        <v>7</v>
      </c>
      <c r="G4708">
        <v>1</v>
      </c>
      <c r="H4708" s="2">
        <f>Tabelle13[[#This Row],[commits]]/Tabelle13[[#Totals],[commits]]</f>
        <v>4.6477904404246225E-6</v>
      </c>
      <c r="I4708" s="5">
        <f>Tabelle13[[#This Row],[%]]+I4707</f>
        <v>0.97983323727896643</v>
      </c>
      <c r="J4708" s="4">
        <f t="shared" si="179"/>
        <v>1.105583195135434E-4</v>
      </c>
      <c r="K4708" s="5">
        <f t="shared" si="180"/>
        <v>0.52028745163077827</v>
      </c>
    </row>
    <row r="4709" spans="1:11" x14ac:dyDescent="0.25">
      <c r="A4709" t="s">
        <v>2024</v>
      </c>
      <c r="C4709" t="s">
        <v>2025</v>
      </c>
      <c r="D4709" t="s">
        <v>5</v>
      </c>
      <c r="E4709" t="s">
        <v>6</v>
      </c>
      <c r="F4709" t="s">
        <v>7</v>
      </c>
      <c r="G4709">
        <v>1</v>
      </c>
      <c r="H4709" s="2">
        <f>Tabelle13[[#This Row],[commits]]/Tabelle13[[#Totals],[commits]]</f>
        <v>4.6477904404246225E-6</v>
      </c>
      <c r="I4709" s="5">
        <f>Tabelle13[[#This Row],[%]]+I4708</f>
        <v>0.97983788506940683</v>
      </c>
      <c r="J4709" s="4">
        <f t="shared" si="179"/>
        <v>1.105583195135434E-4</v>
      </c>
      <c r="K4709" s="5">
        <f t="shared" si="180"/>
        <v>0.52039800995029184</v>
      </c>
    </row>
    <row r="4710" spans="1:11" x14ac:dyDescent="0.25">
      <c r="A4710" t="s">
        <v>2026</v>
      </c>
      <c r="C4710" t="s">
        <v>2027</v>
      </c>
      <c r="D4710" t="s">
        <v>5</v>
      </c>
      <c r="E4710" t="s">
        <v>6</v>
      </c>
      <c r="F4710" t="s">
        <v>7</v>
      </c>
      <c r="G4710">
        <v>1</v>
      </c>
      <c r="H4710" s="2">
        <f>Tabelle13[[#This Row],[commits]]/Tabelle13[[#Totals],[commits]]</f>
        <v>4.6477904404246225E-6</v>
      </c>
      <c r="I4710" s="5">
        <f>Tabelle13[[#This Row],[%]]+I4709</f>
        <v>0.97984253285984724</v>
      </c>
      <c r="J4710" s="4">
        <f t="shared" si="179"/>
        <v>1.105583195135434E-4</v>
      </c>
      <c r="K4710" s="5">
        <f t="shared" si="180"/>
        <v>0.52050856826980541</v>
      </c>
    </row>
    <row r="4711" spans="1:11" x14ac:dyDescent="0.25">
      <c r="A4711" t="s">
        <v>2028</v>
      </c>
      <c r="C4711" t="s">
        <v>2029</v>
      </c>
      <c r="D4711" t="s">
        <v>5</v>
      </c>
      <c r="E4711" t="s">
        <v>6</v>
      </c>
      <c r="F4711" t="s">
        <v>7</v>
      </c>
      <c r="G4711">
        <v>1</v>
      </c>
      <c r="H4711" s="2">
        <f>Tabelle13[[#This Row],[commits]]/Tabelle13[[#Totals],[commits]]</f>
        <v>4.6477904404246225E-6</v>
      </c>
      <c r="I4711" s="5">
        <f>Tabelle13[[#This Row],[%]]+I4710</f>
        <v>0.97984718065028764</v>
      </c>
      <c r="J4711" s="4">
        <f t="shared" si="179"/>
        <v>1.105583195135434E-4</v>
      </c>
      <c r="K4711" s="5">
        <f t="shared" si="180"/>
        <v>0.52061912658931897</v>
      </c>
    </row>
    <row r="4712" spans="1:11" x14ac:dyDescent="0.25">
      <c r="A4712" t="s">
        <v>2033</v>
      </c>
      <c r="C4712" t="s">
        <v>2034</v>
      </c>
      <c r="D4712" t="s">
        <v>5</v>
      </c>
      <c r="E4712" t="s">
        <v>6</v>
      </c>
      <c r="F4712" t="s">
        <v>7</v>
      </c>
      <c r="G4712">
        <v>1</v>
      </c>
      <c r="H4712" s="2">
        <f>Tabelle13[[#This Row],[commits]]/Tabelle13[[#Totals],[commits]]</f>
        <v>4.6477904404246225E-6</v>
      </c>
      <c r="I4712" s="5">
        <f>Tabelle13[[#This Row],[%]]+I4711</f>
        <v>0.97985182844072805</v>
      </c>
      <c r="J4712" s="4">
        <f t="shared" si="179"/>
        <v>1.105583195135434E-4</v>
      </c>
      <c r="K4712" s="5">
        <f t="shared" si="180"/>
        <v>0.52072968490883254</v>
      </c>
    </row>
    <row r="4713" spans="1:11" x14ac:dyDescent="0.25">
      <c r="A4713" t="s">
        <v>2035</v>
      </c>
      <c r="C4713" t="s">
        <v>2036</v>
      </c>
      <c r="D4713" t="s">
        <v>5</v>
      </c>
      <c r="E4713" t="s">
        <v>6</v>
      </c>
      <c r="F4713" t="s">
        <v>7</v>
      </c>
      <c r="G4713">
        <v>1</v>
      </c>
      <c r="H4713" s="2">
        <f>Tabelle13[[#This Row],[commits]]/Tabelle13[[#Totals],[commits]]</f>
        <v>4.6477904404246225E-6</v>
      </c>
      <c r="I4713" s="5">
        <f>Tabelle13[[#This Row],[%]]+I4712</f>
        <v>0.97985647623116845</v>
      </c>
      <c r="J4713" s="4">
        <f t="shared" si="179"/>
        <v>1.105583195135434E-4</v>
      </c>
      <c r="K4713" s="5">
        <f t="shared" si="180"/>
        <v>0.5208402432283461</v>
      </c>
    </row>
    <row r="4714" spans="1:11" x14ac:dyDescent="0.25">
      <c r="A4714" t="s">
        <v>2037</v>
      </c>
      <c r="C4714" t="s">
        <v>1873</v>
      </c>
      <c r="D4714" t="s">
        <v>5</v>
      </c>
      <c r="E4714" t="s">
        <v>6</v>
      </c>
      <c r="F4714" t="s">
        <v>7</v>
      </c>
      <c r="G4714">
        <v>1</v>
      </c>
      <c r="H4714" s="2">
        <f>Tabelle13[[#This Row],[commits]]/Tabelle13[[#Totals],[commits]]</f>
        <v>4.6477904404246225E-6</v>
      </c>
      <c r="I4714" s="5">
        <f>Tabelle13[[#This Row],[%]]+I4713</f>
        <v>0.97986112402160885</v>
      </c>
      <c r="J4714" s="4">
        <f t="shared" si="179"/>
        <v>1.105583195135434E-4</v>
      </c>
      <c r="K4714" s="5">
        <f t="shared" si="180"/>
        <v>0.52095080154785967</v>
      </c>
    </row>
    <row r="4715" spans="1:11" x14ac:dyDescent="0.25">
      <c r="A4715" t="s">
        <v>2038</v>
      </c>
      <c r="C4715" t="s">
        <v>2039</v>
      </c>
      <c r="D4715" t="s">
        <v>5</v>
      </c>
      <c r="E4715" t="s">
        <v>6</v>
      </c>
      <c r="F4715" t="s">
        <v>7</v>
      </c>
      <c r="G4715">
        <v>1</v>
      </c>
      <c r="H4715" s="2">
        <f>Tabelle13[[#This Row],[commits]]/Tabelle13[[#Totals],[commits]]</f>
        <v>4.6477904404246225E-6</v>
      </c>
      <c r="I4715" s="5">
        <f>Tabelle13[[#This Row],[%]]+I4714</f>
        <v>0.97986577181204926</v>
      </c>
      <c r="J4715" s="4">
        <f t="shared" si="179"/>
        <v>1.105583195135434E-4</v>
      </c>
      <c r="K4715" s="5">
        <f t="shared" si="180"/>
        <v>0.52106135986737323</v>
      </c>
    </row>
    <row r="4716" spans="1:11" x14ac:dyDescent="0.25">
      <c r="A4716" t="s">
        <v>2040</v>
      </c>
      <c r="C4716" t="s">
        <v>2041</v>
      </c>
      <c r="D4716" t="s">
        <v>5</v>
      </c>
      <c r="E4716" t="s">
        <v>6</v>
      </c>
      <c r="F4716" t="s">
        <v>7</v>
      </c>
      <c r="G4716">
        <v>1</v>
      </c>
      <c r="H4716" s="2">
        <f>Tabelle13[[#This Row],[commits]]/Tabelle13[[#Totals],[commits]]</f>
        <v>4.6477904404246225E-6</v>
      </c>
      <c r="I4716" s="5">
        <f>Tabelle13[[#This Row],[%]]+I4715</f>
        <v>0.97987041960248966</v>
      </c>
      <c r="J4716" s="4">
        <f t="shared" si="179"/>
        <v>1.105583195135434E-4</v>
      </c>
      <c r="K4716" s="5">
        <f t="shared" si="180"/>
        <v>0.5211719181868868</v>
      </c>
    </row>
    <row r="4717" spans="1:11" x14ac:dyDescent="0.25">
      <c r="A4717" t="s">
        <v>2042</v>
      </c>
      <c r="C4717" t="s">
        <v>2043</v>
      </c>
      <c r="D4717" t="s">
        <v>5</v>
      </c>
      <c r="E4717" t="s">
        <v>6</v>
      </c>
      <c r="F4717" t="s">
        <v>7</v>
      </c>
      <c r="G4717">
        <v>1</v>
      </c>
      <c r="H4717" s="2">
        <f>Tabelle13[[#This Row],[commits]]/Tabelle13[[#Totals],[commits]]</f>
        <v>4.6477904404246225E-6</v>
      </c>
      <c r="I4717" s="5">
        <f>Tabelle13[[#This Row],[%]]+I4716</f>
        <v>0.97987506739293007</v>
      </c>
      <c r="J4717" s="4">
        <f t="shared" si="179"/>
        <v>1.105583195135434E-4</v>
      </c>
      <c r="K4717" s="5">
        <f t="shared" si="180"/>
        <v>0.52128247650640036</v>
      </c>
    </row>
    <row r="4718" spans="1:11" x14ac:dyDescent="0.25">
      <c r="A4718" t="s">
        <v>2044</v>
      </c>
      <c r="C4718" t="s">
        <v>2045</v>
      </c>
      <c r="D4718" t="s">
        <v>5</v>
      </c>
      <c r="E4718" t="s">
        <v>6</v>
      </c>
      <c r="F4718" t="s">
        <v>7</v>
      </c>
      <c r="G4718">
        <v>1</v>
      </c>
      <c r="H4718" s="2">
        <f>Tabelle13[[#This Row],[commits]]/Tabelle13[[#Totals],[commits]]</f>
        <v>4.6477904404246225E-6</v>
      </c>
      <c r="I4718" s="5">
        <f>Tabelle13[[#This Row],[%]]+I4717</f>
        <v>0.97987971518337047</v>
      </c>
      <c r="J4718" s="4">
        <f t="shared" si="179"/>
        <v>1.105583195135434E-4</v>
      </c>
      <c r="K4718" s="5">
        <f t="shared" si="180"/>
        <v>0.52139303482591393</v>
      </c>
    </row>
    <row r="4719" spans="1:11" x14ac:dyDescent="0.25">
      <c r="A4719" t="s">
        <v>2046</v>
      </c>
      <c r="C4719" t="s">
        <v>2047</v>
      </c>
      <c r="D4719" t="s">
        <v>5</v>
      </c>
      <c r="E4719" t="s">
        <v>6</v>
      </c>
      <c r="F4719" t="s">
        <v>7</v>
      </c>
      <c r="G4719">
        <v>1</v>
      </c>
      <c r="H4719" s="2">
        <f>Tabelle13[[#This Row],[commits]]/Tabelle13[[#Totals],[commits]]</f>
        <v>4.6477904404246225E-6</v>
      </c>
      <c r="I4719" s="5">
        <f>Tabelle13[[#This Row],[%]]+I4718</f>
        <v>0.97988436297381087</v>
      </c>
      <c r="J4719" s="4">
        <f t="shared" si="179"/>
        <v>1.105583195135434E-4</v>
      </c>
      <c r="K4719" s="5">
        <f t="shared" si="180"/>
        <v>0.52150359314542749</v>
      </c>
    </row>
    <row r="4720" spans="1:11" x14ac:dyDescent="0.25">
      <c r="A4720" t="s">
        <v>2048</v>
      </c>
      <c r="C4720" t="s">
        <v>2049</v>
      </c>
      <c r="D4720" t="s">
        <v>5</v>
      </c>
      <c r="E4720" t="s">
        <v>6</v>
      </c>
      <c r="F4720" t="s">
        <v>7</v>
      </c>
      <c r="G4720">
        <v>1</v>
      </c>
      <c r="H4720" s="2">
        <f>Tabelle13[[#This Row],[commits]]/Tabelle13[[#Totals],[commits]]</f>
        <v>4.6477904404246225E-6</v>
      </c>
      <c r="I4720" s="5">
        <f>Tabelle13[[#This Row],[%]]+I4719</f>
        <v>0.97988901076425128</v>
      </c>
      <c r="J4720" s="4">
        <f t="shared" si="179"/>
        <v>1.105583195135434E-4</v>
      </c>
      <c r="K4720" s="5">
        <f t="shared" si="180"/>
        <v>0.52161415146494106</v>
      </c>
    </row>
    <row r="4721" spans="1:11" x14ac:dyDescent="0.25">
      <c r="A4721" t="s">
        <v>2050</v>
      </c>
      <c r="C4721" t="s">
        <v>2051</v>
      </c>
      <c r="D4721" t="s">
        <v>5</v>
      </c>
      <c r="E4721" t="s">
        <v>6</v>
      </c>
      <c r="F4721" t="s">
        <v>7</v>
      </c>
      <c r="G4721">
        <v>1</v>
      </c>
      <c r="H4721" s="2">
        <f>Tabelle13[[#This Row],[commits]]/Tabelle13[[#Totals],[commits]]</f>
        <v>4.6477904404246225E-6</v>
      </c>
      <c r="I4721" s="5">
        <f>Tabelle13[[#This Row],[%]]+I4720</f>
        <v>0.97989365855469168</v>
      </c>
      <c r="J4721" s="4">
        <f t="shared" si="179"/>
        <v>1.105583195135434E-4</v>
      </c>
      <c r="K4721" s="5">
        <f t="shared" si="180"/>
        <v>0.52172470978445462</v>
      </c>
    </row>
    <row r="4722" spans="1:11" x14ac:dyDescent="0.25">
      <c r="A4722" t="s">
        <v>2052</v>
      </c>
      <c r="C4722" t="s">
        <v>2053</v>
      </c>
      <c r="D4722" t="s">
        <v>5</v>
      </c>
      <c r="E4722" t="s">
        <v>6</v>
      </c>
      <c r="F4722" t="s">
        <v>7</v>
      </c>
      <c r="G4722">
        <v>1</v>
      </c>
      <c r="H4722" s="2">
        <f>Tabelle13[[#This Row],[commits]]/Tabelle13[[#Totals],[commits]]</f>
        <v>4.6477904404246225E-6</v>
      </c>
      <c r="I4722" s="5">
        <f>Tabelle13[[#This Row],[%]]+I4721</f>
        <v>0.97989830634513209</v>
      </c>
      <c r="J4722" s="4">
        <f t="shared" si="179"/>
        <v>1.105583195135434E-4</v>
      </c>
      <c r="K4722" s="5">
        <f t="shared" si="180"/>
        <v>0.52183526810396819</v>
      </c>
    </row>
    <row r="4723" spans="1:11" x14ac:dyDescent="0.25">
      <c r="A4723" t="s">
        <v>2054</v>
      </c>
      <c r="C4723" t="s">
        <v>2055</v>
      </c>
      <c r="D4723" t="s">
        <v>5</v>
      </c>
      <c r="E4723" t="s">
        <v>6</v>
      </c>
      <c r="F4723" t="s">
        <v>7</v>
      </c>
      <c r="G4723">
        <v>1</v>
      </c>
      <c r="H4723" s="2">
        <f>Tabelle13[[#This Row],[commits]]/Tabelle13[[#Totals],[commits]]</f>
        <v>4.6477904404246225E-6</v>
      </c>
      <c r="I4723" s="5">
        <f>Tabelle13[[#This Row],[%]]+I4722</f>
        <v>0.97990295413557249</v>
      </c>
      <c r="J4723" s="4">
        <f t="shared" si="179"/>
        <v>1.105583195135434E-4</v>
      </c>
      <c r="K4723" s="5">
        <f t="shared" si="180"/>
        <v>0.52194582642348175</v>
      </c>
    </row>
    <row r="4724" spans="1:11" x14ac:dyDescent="0.25">
      <c r="A4724" t="s">
        <v>2056</v>
      </c>
      <c r="C4724" t="s">
        <v>2057</v>
      </c>
      <c r="D4724" t="s">
        <v>5</v>
      </c>
      <c r="E4724" t="s">
        <v>6</v>
      </c>
      <c r="F4724" t="s">
        <v>7</v>
      </c>
      <c r="G4724">
        <v>1</v>
      </c>
      <c r="H4724" s="2">
        <f>Tabelle13[[#This Row],[commits]]/Tabelle13[[#Totals],[commits]]</f>
        <v>4.6477904404246225E-6</v>
      </c>
      <c r="I4724" s="5">
        <f>Tabelle13[[#This Row],[%]]+I4723</f>
        <v>0.97990760192601289</v>
      </c>
      <c r="J4724" s="4">
        <f t="shared" si="179"/>
        <v>1.105583195135434E-4</v>
      </c>
      <c r="K4724" s="5">
        <f t="shared" si="180"/>
        <v>0.52205638474299532</v>
      </c>
    </row>
    <row r="4725" spans="1:11" x14ac:dyDescent="0.25">
      <c r="A4725" t="s">
        <v>2058</v>
      </c>
      <c r="C4725" t="s">
        <v>2059</v>
      </c>
      <c r="D4725" t="s">
        <v>5</v>
      </c>
      <c r="E4725" t="s">
        <v>6</v>
      </c>
      <c r="F4725" t="s">
        <v>7</v>
      </c>
      <c r="G4725">
        <v>1</v>
      </c>
      <c r="H4725" s="2">
        <f>Tabelle13[[#This Row],[commits]]/Tabelle13[[#Totals],[commits]]</f>
        <v>4.6477904404246225E-6</v>
      </c>
      <c r="I4725" s="5">
        <f>Tabelle13[[#This Row],[%]]+I4724</f>
        <v>0.9799122497164533</v>
      </c>
      <c r="J4725" s="4">
        <f t="shared" si="179"/>
        <v>1.105583195135434E-4</v>
      </c>
      <c r="K4725" s="5">
        <f t="shared" si="180"/>
        <v>0.52216694306250888</v>
      </c>
    </row>
    <row r="4726" spans="1:11" x14ac:dyDescent="0.25">
      <c r="A4726" t="s">
        <v>2060</v>
      </c>
      <c r="C4726" t="s">
        <v>2061</v>
      </c>
      <c r="D4726" t="s">
        <v>5</v>
      </c>
      <c r="E4726" t="s">
        <v>6</v>
      </c>
      <c r="F4726" t="s">
        <v>7</v>
      </c>
      <c r="G4726">
        <v>1</v>
      </c>
      <c r="H4726" s="2">
        <f>Tabelle13[[#This Row],[commits]]/Tabelle13[[#Totals],[commits]]</f>
        <v>4.6477904404246225E-6</v>
      </c>
      <c r="I4726" s="5">
        <f>Tabelle13[[#This Row],[%]]+I4725</f>
        <v>0.9799168975068937</v>
      </c>
      <c r="J4726" s="4">
        <f t="shared" si="179"/>
        <v>1.105583195135434E-4</v>
      </c>
      <c r="K4726" s="5">
        <f t="shared" si="180"/>
        <v>0.52227750138202245</v>
      </c>
    </row>
    <row r="4727" spans="1:11" x14ac:dyDescent="0.25">
      <c r="A4727" t="s">
        <v>2062</v>
      </c>
      <c r="C4727" t="s">
        <v>151</v>
      </c>
      <c r="D4727" t="s">
        <v>5</v>
      </c>
      <c r="E4727" t="s">
        <v>6</v>
      </c>
      <c r="F4727" t="s">
        <v>7</v>
      </c>
      <c r="G4727">
        <v>1</v>
      </c>
      <c r="H4727" s="2">
        <f>Tabelle13[[#This Row],[commits]]/Tabelle13[[#Totals],[commits]]</f>
        <v>4.6477904404246225E-6</v>
      </c>
      <c r="I4727" s="5">
        <f>Tabelle13[[#This Row],[%]]+I4726</f>
        <v>0.97992154529733411</v>
      </c>
      <c r="J4727" s="4">
        <f t="shared" si="179"/>
        <v>1.105583195135434E-4</v>
      </c>
      <c r="K4727" s="5">
        <f t="shared" si="180"/>
        <v>0.52238805970153601</v>
      </c>
    </row>
    <row r="4728" spans="1:11" x14ac:dyDescent="0.25">
      <c r="A4728" t="s">
        <v>2063</v>
      </c>
      <c r="C4728" t="s">
        <v>2064</v>
      </c>
      <c r="D4728" t="s">
        <v>5</v>
      </c>
      <c r="E4728" t="s">
        <v>6</v>
      </c>
      <c r="F4728" t="s">
        <v>7</v>
      </c>
      <c r="G4728">
        <v>1</v>
      </c>
      <c r="H4728" s="2">
        <f>Tabelle13[[#This Row],[commits]]/Tabelle13[[#Totals],[commits]]</f>
        <v>4.6477904404246225E-6</v>
      </c>
      <c r="I4728" s="5">
        <f>Tabelle13[[#This Row],[%]]+I4727</f>
        <v>0.97992619308777451</v>
      </c>
      <c r="J4728" s="4">
        <f t="shared" si="179"/>
        <v>1.105583195135434E-4</v>
      </c>
      <c r="K4728" s="5">
        <f t="shared" si="180"/>
        <v>0.52249861802104958</v>
      </c>
    </row>
    <row r="4729" spans="1:11" x14ac:dyDescent="0.25">
      <c r="A4729" t="s">
        <v>2065</v>
      </c>
      <c r="C4729" t="s">
        <v>2066</v>
      </c>
      <c r="D4729" t="s">
        <v>5</v>
      </c>
      <c r="E4729" t="s">
        <v>6</v>
      </c>
      <c r="F4729" t="s">
        <v>7</v>
      </c>
      <c r="G4729">
        <v>1</v>
      </c>
      <c r="H4729" s="2">
        <f>Tabelle13[[#This Row],[commits]]/Tabelle13[[#Totals],[commits]]</f>
        <v>4.6477904404246225E-6</v>
      </c>
      <c r="I4729" s="5">
        <f>Tabelle13[[#This Row],[%]]+I4728</f>
        <v>0.97993084087821491</v>
      </c>
      <c r="J4729" s="4">
        <f t="shared" si="179"/>
        <v>1.105583195135434E-4</v>
      </c>
      <c r="K4729" s="5">
        <f t="shared" si="180"/>
        <v>0.52260917634056314</v>
      </c>
    </row>
    <row r="4730" spans="1:11" x14ac:dyDescent="0.25">
      <c r="A4730" t="s">
        <v>2067</v>
      </c>
      <c r="C4730" t="s">
        <v>2068</v>
      </c>
      <c r="D4730" t="s">
        <v>5</v>
      </c>
      <c r="E4730" t="s">
        <v>6</v>
      </c>
      <c r="F4730" t="s">
        <v>7</v>
      </c>
      <c r="G4730">
        <v>1</v>
      </c>
      <c r="H4730" s="2">
        <f>Tabelle13[[#This Row],[commits]]/Tabelle13[[#Totals],[commits]]</f>
        <v>4.6477904404246225E-6</v>
      </c>
      <c r="I4730" s="5">
        <f>Tabelle13[[#This Row],[%]]+I4729</f>
        <v>0.97993548866865532</v>
      </c>
      <c r="J4730" s="4">
        <f t="shared" si="179"/>
        <v>1.105583195135434E-4</v>
      </c>
      <c r="K4730" s="5">
        <f t="shared" si="180"/>
        <v>0.52271973466007671</v>
      </c>
    </row>
    <row r="4731" spans="1:11" x14ac:dyDescent="0.25">
      <c r="A4731" t="s">
        <v>2069</v>
      </c>
      <c r="C4731" t="s">
        <v>2070</v>
      </c>
      <c r="D4731" t="s">
        <v>5</v>
      </c>
      <c r="E4731" t="s">
        <v>6</v>
      </c>
      <c r="F4731" t="s">
        <v>7</v>
      </c>
      <c r="G4731">
        <v>1</v>
      </c>
      <c r="H4731" s="2">
        <f>Tabelle13[[#This Row],[commits]]/Tabelle13[[#Totals],[commits]]</f>
        <v>4.6477904404246225E-6</v>
      </c>
      <c r="I4731" s="5">
        <f>Tabelle13[[#This Row],[%]]+I4730</f>
        <v>0.97994013645909572</v>
      </c>
      <c r="J4731" s="4">
        <f t="shared" si="179"/>
        <v>1.105583195135434E-4</v>
      </c>
      <c r="K4731" s="5">
        <f t="shared" si="180"/>
        <v>0.52283029297959027</v>
      </c>
    </row>
    <row r="4732" spans="1:11" x14ac:dyDescent="0.25">
      <c r="A4732" t="s">
        <v>2071</v>
      </c>
      <c r="C4732" t="s">
        <v>1220</v>
      </c>
      <c r="D4732" t="s">
        <v>5</v>
      </c>
      <c r="E4732" t="s">
        <v>6</v>
      </c>
      <c r="F4732" t="s">
        <v>7</v>
      </c>
      <c r="G4732">
        <v>1</v>
      </c>
      <c r="H4732" s="2">
        <f>Tabelle13[[#This Row],[commits]]/Tabelle13[[#Totals],[commits]]</f>
        <v>4.6477904404246225E-6</v>
      </c>
      <c r="I4732" s="5">
        <f>Tabelle13[[#This Row],[%]]+I4731</f>
        <v>0.97994478424953613</v>
      </c>
      <c r="J4732" s="4">
        <f t="shared" si="179"/>
        <v>1.105583195135434E-4</v>
      </c>
      <c r="K4732" s="5">
        <f t="shared" si="180"/>
        <v>0.52294085129910384</v>
      </c>
    </row>
    <row r="4733" spans="1:11" x14ac:dyDescent="0.25">
      <c r="A4733" t="s">
        <v>2072</v>
      </c>
      <c r="C4733" t="s">
        <v>2073</v>
      </c>
      <c r="D4733" t="s">
        <v>5</v>
      </c>
      <c r="E4733" t="s">
        <v>6</v>
      </c>
      <c r="F4733" t="s">
        <v>7</v>
      </c>
      <c r="G4733">
        <v>1</v>
      </c>
      <c r="H4733" s="2">
        <f>Tabelle13[[#This Row],[commits]]/Tabelle13[[#Totals],[commits]]</f>
        <v>4.6477904404246225E-6</v>
      </c>
      <c r="I4733" s="5">
        <f>Tabelle13[[#This Row],[%]]+I4732</f>
        <v>0.97994943203997653</v>
      </c>
      <c r="J4733" s="4">
        <f t="shared" si="179"/>
        <v>1.105583195135434E-4</v>
      </c>
      <c r="K4733" s="5">
        <f t="shared" si="180"/>
        <v>0.5230514096186174</v>
      </c>
    </row>
    <row r="4734" spans="1:11" x14ac:dyDescent="0.25">
      <c r="A4734" t="s">
        <v>2074</v>
      </c>
      <c r="C4734" t="s">
        <v>2075</v>
      </c>
      <c r="D4734" t="s">
        <v>5</v>
      </c>
      <c r="E4734" t="s">
        <v>6</v>
      </c>
      <c r="F4734" t="s">
        <v>7</v>
      </c>
      <c r="G4734">
        <v>1</v>
      </c>
      <c r="H4734" s="2">
        <f>Tabelle13[[#This Row],[commits]]/Tabelle13[[#Totals],[commits]]</f>
        <v>4.6477904404246225E-6</v>
      </c>
      <c r="I4734" s="5">
        <f>Tabelle13[[#This Row],[%]]+I4733</f>
        <v>0.97995407983041694</v>
      </c>
      <c r="J4734" s="4">
        <f t="shared" si="179"/>
        <v>1.105583195135434E-4</v>
      </c>
      <c r="K4734" s="5">
        <f t="shared" si="180"/>
        <v>0.52316196793813097</v>
      </c>
    </row>
    <row r="4735" spans="1:11" x14ac:dyDescent="0.25">
      <c r="A4735" t="s">
        <v>2076</v>
      </c>
      <c r="C4735" t="s">
        <v>2077</v>
      </c>
      <c r="D4735" t="s">
        <v>5</v>
      </c>
      <c r="E4735" t="s">
        <v>6</v>
      </c>
      <c r="F4735" t="s">
        <v>7</v>
      </c>
      <c r="G4735">
        <v>1</v>
      </c>
      <c r="H4735" s="2">
        <f>Tabelle13[[#This Row],[commits]]/Tabelle13[[#Totals],[commits]]</f>
        <v>4.6477904404246225E-6</v>
      </c>
      <c r="I4735" s="5">
        <f>Tabelle13[[#This Row],[%]]+I4734</f>
        <v>0.97995872762085734</v>
      </c>
      <c r="J4735" s="4">
        <f t="shared" si="179"/>
        <v>1.105583195135434E-4</v>
      </c>
      <c r="K4735" s="5">
        <f t="shared" si="180"/>
        <v>0.52327252625764453</v>
      </c>
    </row>
    <row r="4736" spans="1:11" x14ac:dyDescent="0.25">
      <c r="A4736" t="s">
        <v>2078</v>
      </c>
      <c r="C4736" t="s">
        <v>2073</v>
      </c>
      <c r="D4736" t="s">
        <v>5</v>
      </c>
      <c r="E4736" t="s">
        <v>6</v>
      </c>
      <c r="F4736" t="s">
        <v>7</v>
      </c>
      <c r="G4736">
        <v>1</v>
      </c>
      <c r="H4736" s="2">
        <f>Tabelle13[[#This Row],[commits]]/Tabelle13[[#Totals],[commits]]</f>
        <v>4.6477904404246225E-6</v>
      </c>
      <c r="I4736" s="5">
        <f>Tabelle13[[#This Row],[%]]+I4735</f>
        <v>0.97996337541129774</v>
      </c>
      <c r="J4736" s="4">
        <f t="shared" si="179"/>
        <v>1.105583195135434E-4</v>
      </c>
      <c r="K4736" s="5">
        <f t="shared" si="180"/>
        <v>0.5233830845771581</v>
      </c>
    </row>
    <row r="4737" spans="1:11" x14ac:dyDescent="0.25">
      <c r="A4737" t="s">
        <v>2079</v>
      </c>
      <c r="C4737" t="s">
        <v>2080</v>
      </c>
      <c r="D4737" t="s">
        <v>5</v>
      </c>
      <c r="E4737" t="s">
        <v>6</v>
      </c>
      <c r="F4737" t="s">
        <v>7</v>
      </c>
      <c r="G4737">
        <v>1</v>
      </c>
      <c r="H4737" s="2">
        <f>Tabelle13[[#This Row],[commits]]/Tabelle13[[#Totals],[commits]]</f>
        <v>4.6477904404246225E-6</v>
      </c>
      <c r="I4737" s="5">
        <f>Tabelle13[[#This Row],[%]]+I4736</f>
        <v>0.97996802320173815</v>
      </c>
      <c r="J4737" s="4">
        <f t="shared" si="179"/>
        <v>1.105583195135434E-4</v>
      </c>
      <c r="K4737" s="5">
        <f t="shared" si="180"/>
        <v>0.52349364289667166</v>
      </c>
    </row>
    <row r="4738" spans="1:11" x14ac:dyDescent="0.25">
      <c r="A4738" t="s">
        <v>2081</v>
      </c>
      <c r="C4738" t="s">
        <v>1346</v>
      </c>
      <c r="D4738" t="s">
        <v>5</v>
      </c>
      <c r="E4738" t="s">
        <v>6</v>
      </c>
      <c r="F4738" t="s">
        <v>7</v>
      </c>
      <c r="G4738">
        <v>1</v>
      </c>
      <c r="H4738" s="2">
        <f>Tabelle13[[#This Row],[commits]]/Tabelle13[[#Totals],[commits]]</f>
        <v>4.6477904404246225E-6</v>
      </c>
      <c r="I4738" s="5">
        <f>Tabelle13[[#This Row],[%]]+I4737</f>
        <v>0.97997267099217855</v>
      </c>
      <c r="J4738" s="4">
        <f t="shared" si="179"/>
        <v>1.105583195135434E-4</v>
      </c>
      <c r="K4738" s="5">
        <f t="shared" si="180"/>
        <v>0.52360420121618523</v>
      </c>
    </row>
    <row r="4739" spans="1:11" x14ac:dyDescent="0.25">
      <c r="A4739" t="s">
        <v>2082</v>
      </c>
      <c r="C4739" t="s">
        <v>2083</v>
      </c>
      <c r="D4739" t="s">
        <v>5</v>
      </c>
      <c r="E4739" t="s">
        <v>6</v>
      </c>
      <c r="F4739" t="s">
        <v>7</v>
      </c>
      <c r="G4739">
        <v>1</v>
      </c>
      <c r="H4739" s="2">
        <f>Tabelle13[[#This Row],[commits]]/Tabelle13[[#Totals],[commits]]</f>
        <v>4.6477904404246225E-6</v>
      </c>
      <c r="I4739" s="5">
        <f>Tabelle13[[#This Row],[%]]+I4738</f>
        <v>0.97997731878261896</v>
      </c>
      <c r="J4739" s="4">
        <f t="shared" ref="J4739:J4802" si="181">1/9045</f>
        <v>1.105583195135434E-4</v>
      </c>
      <c r="K4739" s="5">
        <f t="shared" si="180"/>
        <v>0.52371475953569879</v>
      </c>
    </row>
    <row r="4740" spans="1:11" x14ac:dyDescent="0.25">
      <c r="A4740" t="s">
        <v>2084</v>
      </c>
      <c r="C4740" t="s">
        <v>2085</v>
      </c>
      <c r="D4740" t="s">
        <v>5</v>
      </c>
      <c r="E4740" t="s">
        <v>6</v>
      </c>
      <c r="F4740" t="s">
        <v>7</v>
      </c>
      <c r="G4740">
        <v>1</v>
      </c>
      <c r="H4740" s="2">
        <f>Tabelle13[[#This Row],[commits]]/Tabelle13[[#Totals],[commits]]</f>
        <v>4.6477904404246225E-6</v>
      </c>
      <c r="I4740" s="5">
        <f>Tabelle13[[#This Row],[%]]+I4739</f>
        <v>0.97998196657305936</v>
      </c>
      <c r="J4740" s="4">
        <f t="shared" si="181"/>
        <v>1.105583195135434E-4</v>
      </c>
      <c r="K4740" s="5">
        <f t="shared" si="180"/>
        <v>0.52382531785521236</v>
      </c>
    </row>
    <row r="4741" spans="1:11" x14ac:dyDescent="0.25">
      <c r="A4741" t="s">
        <v>2086</v>
      </c>
      <c r="C4741" t="s">
        <v>2087</v>
      </c>
      <c r="D4741" t="s">
        <v>5</v>
      </c>
      <c r="E4741" t="s">
        <v>6</v>
      </c>
      <c r="F4741" t="s">
        <v>7</v>
      </c>
      <c r="G4741">
        <v>1</v>
      </c>
      <c r="H4741" s="2">
        <f>Tabelle13[[#This Row],[commits]]/Tabelle13[[#Totals],[commits]]</f>
        <v>4.6477904404246225E-6</v>
      </c>
      <c r="I4741" s="5">
        <f>Tabelle13[[#This Row],[%]]+I4740</f>
        <v>0.97998661436349976</v>
      </c>
      <c r="J4741" s="4">
        <f t="shared" si="181"/>
        <v>1.105583195135434E-4</v>
      </c>
      <c r="K4741" s="5">
        <f t="shared" si="180"/>
        <v>0.52393587617472592</v>
      </c>
    </row>
    <row r="4742" spans="1:11" x14ac:dyDescent="0.25">
      <c r="A4742" t="s">
        <v>2088</v>
      </c>
      <c r="C4742" t="s">
        <v>2089</v>
      </c>
      <c r="D4742" t="s">
        <v>5</v>
      </c>
      <c r="E4742" t="s">
        <v>6</v>
      </c>
      <c r="F4742" t="s">
        <v>7</v>
      </c>
      <c r="G4742">
        <v>1</v>
      </c>
      <c r="H4742" s="2">
        <f>Tabelle13[[#This Row],[commits]]/Tabelle13[[#Totals],[commits]]</f>
        <v>4.6477904404246225E-6</v>
      </c>
      <c r="I4742" s="5">
        <f>Tabelle13[[#This Row],[%]]+I4741</f>
        <v>0.97999126215394017</v>
      </c>
      <c r="J4742" s="4">
        <f t="shared" si="181"/>
        <v>1.105583195135434E-4</v>
      </c>
      <c r="K4742" s="5">
        <f t="shared" ref="K4742:K4805" si="182">J4742+K4741</f>
        <v>0.52404643449423949</v>
      </c>
    </row>
    <row r="4743" spans="1:11" x14ac:dyDescent="0.25">
      <c r="A4743" t="s">
        <v>2090</v>
      </c>
      <c r="C4743" t="s">
        <v>2091</v>
      </c>
      <c r="D4743" t="s">
        <v>5</v>
      </c>
      <c r="E4743" t="s">
        <v>6</v>
      </c>
      <c r="F4743" t="s">
        <v>7</v>
      </c>
      <c r="G4743">
        <v>1</v>
      </c>
      <c r="H4743" s="2">
        <f>Tabelle13[[#This Row],[commits]]/Tabelle13[[#Totals],[commits]]</f>
        <v>4.6477904404246225E-6</v>
      </c>
      <c r="I4743" s="5">
        <f>Tabelle13[[#This Row],[%]]+I4742</f>
        <v>0.97999590994438057</v>
      </c>
      <c r="J4743" s="4">
        <f t="shared" si="181"/>
        <v>1.105583195135434E-4</v>
      </c>
      <c r="K4743" s="5">
        <f t="shared" si="182"/>
        <v>0.52415699281375305</v>
      </c>
    </row>
    <row r="4744" spans="1:11" x14ac:dyDescent="0.25">
      <c r="A4744" t="s">
        <v>2092</v>
      </c>
      <c r="C4744" t="s">
        <v>2093</v>
      </c>
      <c r="D4744" t="s">
        <v>5</v>
      </c>
      <c r="E4744" t="s">
        <v>6</v>
      </c>
      <c r="F4744" t="s">
        <v>7</v>
      </c>
      <c r="G4744">
        <v>1</v>
      </c>
      <c r="H4744" s="2">
        <f>Tabelle13[[#This Row],[commits]]/Tabelle13[[#Totals],[commits]]</f>
        <v>4.6477904404246225E-6</v>
      </c>
      <c r="I4744" s="5">
        <f>Tabelle13[[#This Row],[%]]+I4743</f>
        <v>0.98000055773482098</v>
      </c>
      <c r="J4744" s="4">
        <f t="shared" si="181"/>
        <v>1.105583195135434E-4</v>
      </c>
      <c r="K4744" s="5">
        <f t="shared" si="182"/>
        <v>0.52426755113326662</v>
      </c>
    </row>
    <row r="4745" spans="1:11" x14ac:dyDescent="0.25">
      <c r="A4745" t="s">
        <v>2094</v>
      </c>
      <c r="C4745" t="s">
        <v>2095</v>
      </c>
      <c r="D4745" t="s">
        <v>5</v>
      </c>
      <c r="E4745" t="s">
        <v>6</v>
      </c>
      <c r="F4745" t="s">
        <v>7</v>
      </c>
      <c r="G4745">
        <v>1</v>
      </c>
      <c r="H4745" s="2">
        <f>Tabelle13[[#This Row],[commits]]/Tabelle13[[#Totals],[commits]]</f>
        <v>4.6477904404246225E-6</v>
      </c>
      <c r="I4745" s="5">
        <f>Tabelle13[[#This Row],[%]]+I4744</f>
        <v>0.98000520552526138</v>
      </c>
      <c r="J4745" s="4">
        <f t="shared" si="181"/>
        <v>1.105583195135434E-4</v>
      </c>
      <c r="K4745" s="5">
        <f t="shared" si="182"/>
        <v>0.52437810945278018</v>
      </c>
    </row>
    <row r="4746" spans="1:11" x14ac:dyDescent="0.25">
      <c r="A4746" t="s">
        <v>2096</v>
      </c>
      <c r="C4746" t="s">
        <v>2097</v>
      </c>
      <c r="D4746" t="s">
        <v>5</v>
      </c>
      <c r="E4746" t="s">
        <v>6</v>
      </c>
      <c r="F4746" t="s">
        <v>7</v>
      </c>
      <c r="G4746">
        <v>1</v>
      </c>
      <c r="H4746" s="2">
        <f>Tabelle13[[#This Row],[commits]]/Tabelle13[[#Totals],[commits]]</f>
        <v>4.6477904404246225E-6</v>
      </c>
      <c r="I4746" s="5">
        <f>Tabelle13[[#This Row],[%]]+I4745</f>
        <v>0.98000985331570178</v>
      </c>
      <c r="J4746" s="4">
        <f t="shared" si="181"/>
        <v>1.105583195135434E-4</v>
      </c>
      <c r="K4746" s="5">
        <f t="shared" si="182"/>
        <v>0.52448866777229375</v>
      </c>
    </row>
    <row r="4747" spans="1:11" x14ac:dyDescent="0.25">
      <c r="A4747" t="s">
        <v>2098</v>
      </c>
      <c r="C4747" t="s">
        <v>2099</v>
      </c>
      <c r="D4747" t="s">
        <v>5</v>
      </c>
      <c r="E4747" t="s">
        <v>6</v>
      </c>
      <c r="F4747" t="s">
        <v>7</v>
      </c>
      <c r="G4747">
        <v>1</v>
      </c>
      <c r="H4747" s="2">
        <f>Tabelle13[[#This Row],[commits]]/Tabelle13[[#Totals],[commits]]</f>
        <v>4.6477904404246225E-6</v>
      </c>
      <c r="I4747" s="5">
        <f>Tabelle13[[#This Row],[%]]+I4746</f>
        <v>0.98001450110614219</v>
      </c>
      <c r="J4747" s="4">
        <f t="shared" si="181"/>
        <v>1.105583195135434E-4</v>
      </c>
      <c r="K4747" s="5">
        <f t="shared" si="182"/>
        <v>0.52459922609180731</v>
      </c>
    </row>
    <row r="4748" spans="1:11" x14ac:dyDescent="0.25">
      <c r="A4748" t="s">
        <v>2100</v>
      </c>
      <c r="C4748" t="s">
        <v>2101</v>
      </c>
      <c r="D4748" t="s">
        <v>5</v>
      </c>
      <c r="E4748" t="s">
        <v>6</v>
      </c>
      <c r="F4748" t="s">
        <v>7</v>
      </c>
      <c r="G4748">
        <v>1</v>
      </c>
      <c r="H4748" s="2">
        <f>Tabelle13[[#This Row],[commits]]/Tabelle13[[#Totals],[commits]]</f>
        <v>4.6477904404246225E-6</v>
      </c>
      <c r="I4748" s="5">
        <f>Tabelle13[[#This Row],[%]]+I4747</f>
        <v>0.98001914889658259</v>
      </c>
      <c r="J4748" s="4">
        <f t="shared" si="181"/>
        <v>1.105583195135434E-4</v>
      </c>
      <c r="K4748" s="5">
        <f t="shared" si="182"/>
        <v>0.52470978441132088</v>
      </c>
    </row>
    <row r="4749" spans="1:11" x14ac:dyDescent="0.25">
      <c r="A4749" t="s">
        <v>2102</v>
      </c>
      <c r="C4749" t="s">
        <v>2103</v>
      </c>
      <c r="D4749" t="s">
        <v>5</v>
      </c>
      <c r="E4749" t="s">
        <v>6</v>
      </c>
      <c r="F4749" t="s">
        <v>7</v>
      </c>
      <c r="G4749">
        <v>1</v>
      </c>
      <c r="H4749" s="2">
        <f>Tabelle13[[#This Row],[commits]]/Tabelle13[[#Totals],[commits]]</f>
        <v>4.6477904404246225E-6</v>
      </c>
      <c r="I4749" s="5">
        <f>Tabelle13[[#This Row],[%]]+I4748</f>
        <v>0.980023796687023</v>
      </c>
      <c r="J4749" s="4">
        <f t="shared" si="181"/>
        <v>1.105583195135434E-4</v>
      </c>
      <c r="K4749" s="5">
        <f t="shared" si="182"/>
        <v>0.52482034273083444</v>
      </c>
    </row>
    <row r="4750" spans="1:11" x14ac:dyDescent="0.25">
      <c r="A4750" t="s">
        <v>2104</v>
      </c>
      <c r="C4750" t="s">
        <v>2105</v>
      </c>
      <c r="D4750" t="s">
        <v>5</v>
      </c>
      <c r="E4750" t="s">
        <v>6</v>
      </c>
      <c r="F4750" t="s">
        <v>7</v>
      </c>
      <c r="G4750">
        <v>1</v>
      </c>
      <c r="H4750" s="2">
        <f>Tabelle13[[#This Row],[commits]]/Tabelle13[[#Totals],[commits]]</f>
        <v>4.6477904404246225E-6</v>
      </c>
      <c r="I4750" s="5">
        <f>Tabelle13[[#This Row],[%]]+I4749</f>
        <v>0.9800284444774634</v>
      </c>
      <c r="J4750" s="4">
        <f t="shared" si="181"/>
        <v>1.105583195135434E-4</v>
      </c>
      <c r="K4750" s="5">
        <f t="shared" si="182"/>
        <v>0.52493090105034801</v>
      </c>
    </row>
    <row r="4751" spans="1:11" x14ac:dyDescent="0.25">
      <c r="A4751" t="s">
        <v>2106</v>
      </c>
      <c r="C4751" t="s">
        <v>2107</v>
      </c>
      <c r="D4751" t="s">
        <v>5</v>
      </c>
      <c r="E4751" t="s">
        <v>6</v>
      </c>
      <c r="F4751" t="s">
        <v>7</v>
      </c>
      <c r="G4751">
        <v>1</v>
      </c>
      <c r="H4751" s="2">
        <f>Tabelle13[[#This Row],[commits]]/Tabelle13[[#Totals],[commits]]</f>
        <v>4.6477904404246225E-6</v>
      </c>
      <c r="I4751" s="5">
        <f>Tabelle13[[#This Row],[%]]+I4750</f>
        <v>0.9800330922679038</v>
      </c>
      <c r="J4751" s="4">
        <f t="shared" si="181"/>
        <v>1.105583195135434E-4</v>
      </c>
      <c r="K4751" s="5">
        <f t="shared" si="182"/>
        <v>0.52504145936986157</v>
      </c>
    </row>
    <row r="4752" spans="1:11" x14ac:dyDescent="0.25">
      <c r="A4752" t="s">
        <v>2108</v>
      </c>
      <c r="C4752" t="s">
        <v>2109</v>
      </c>
      <c r="D4752" t="s">
        <v>5</v>
      </c>
      <c r="E4752" t="s">
        <v>6</v>
      </c>
      <c r="F4752" t="s">
        <v>7</v>
      </c>
      <c r="G4752">
        <v>1</v>
      </c>
      <c r="H4752" s="2">
        <f>Tabelle13[[#This Row],[commits]]/Tabelle13[[#Totals],[commits]]</f>
        <v>4.6477904404246225E-6</v>
      </c>
      <c r="I4752" s="5">
        <f>Tabelle13[[#This Row],[%]]+I4751</f>
        <v>0.98003774005834421</v>
      </c>
      <c r="J4752" s="4">
        <f t="shared" si="181"/>
        <v>1.105583195135434E-4</v>
      </c>
      <c r="K4752" s="5">
        <f t="shared" si="182"/>
        <v>0.52515201768937514</v>
      </c>
    </row>
    <row r="4753" spans="1:11" x14ac:dyDescent="0.25">
      <c r="A4753" t="s">
        <v>2110</v>
      </c>
      <c r="C4753" t="s">
        <v>2111</v>
      </c>
      <c r="D4753" t="s">
        <v>5</v>
      </c>
      <c r="E4753" t="s">
        <v>6</v>
      </c>
      <c r="F4753" t="s">
        <v>7</v>
      </c>
      <c r="G4753">
        <v>1</v>
      </c>
      <c r="H4753" s="2">
        <f>Tabelle13[[#This Row],[commits]]/Tabelle13[[#Totals],[commits]]</f>
        <v>4.6477904404246225E-6</v>
      </c>
      <c r="I4753" s="5">
        <f>Tabelle13[[#This Row],[%]]+I4752</f>
        <v>0.98004238784878461</v>
      </c>
      <c r="J4753" s="4">
        <f t="shared" si="181"/>
        <v>1.105583195135434E-4</v>
      </c>
      <c r="K4753" s="5">
        <f t="shared" si="182"/>
        <v>0.5252625760088887</v>
      </c>
    </row>
    <row r="4754" spans="1:11" x14ac:dyDescent="0.25">
      <c r="A4754" t="s">
        <v>2112</v>
      </c>
      <c r="C4754" t="s">
        <v>2113</v>
      </c>
      <c r="D4754" t="s">
        <v>5</v>
      </c>
      <c r="E4754" t="s">
        <v>6</v>
      </c>
      <c r="F4754" t="s">
        <v>7</v>
      </c>
      <c r="G4754">
        <v>1</v>
      </c>
      <c r="H4754" s="2">
        <f>Tabelle13[[#This Row],[commits]]/Tabelle13[[#Totals],[commits]]</f>
        <v>4.6477904404246225E-6</v>
      </c>
      <c r="I4754" s="5">
        <f>Tabelle13[[#This Row],[%]]+I4753</f>
        <v>0.98004703563922502</v>
      </c>
      <c r="J4754" s="4">
        <f t="shared" si="181"/>
        <v>1.105583195135434E-4</v>
      </c>
      <c r="K4754" s="5">
        <f t="shared" si="182"/>
        <v>0.52537313432840227</v>
      </c>
    </row>
    <row r="4755" spans="1:11" x14ac:dyDescent="0.25">
      <c r="A4755" t="s">
        <v>2114</v>
      </c>
      <c r="C4755" t="s">
        <v>2115</v>
      </c>
      <c r="D4755" t="s">
        <v>5</v>
      </c>
      <c r="E4755" t="s">
        <v>6</v>
      </c>
      <c r="F4755" t="s">
        <v>7</v>
      </c>
      <c r="G4755">
        <v>1</v>
      </c>
      <c r="H4755" s="2">
        <f>Tabelle13[[#This Row],[commits]]/Tabelle13[[#Totals],[commits]]</f>
        <v>4.6477904404246225E-6</v>
      </c>
      <c r="I4755" s="5">
        <f>Tabelle13[[#This Row],[%]]+I4754</f>
        <v>0.98005168342966542</v>
      </c>
      <c r="J4755" s="4">
        <f t="shared" si="181"/>
        <v>1.105583195135434E-4</v>
      </c>
      <c r="K4755" s="5">
        <f t="shared" si="182"/>
        <v>0.52548369264791583</v>
      </c>
    </row>
    <row r="4756" spans="1:11" x14ac:dyDescent="0.25">
      <c r="A4756" t="s">
        <v>2116</v>
      </c>
      <c r="C4756" t="s">
        <v>2117</v>
      </c>
      <c r="D4756" t="s">
        <v>5</v>
      </c>
      <c r="E4756" t="s">
        <v>6</v>
      </c>
      <c r="F4756" t="s">
        <v>7</v>
      </c>
      <c r="G4756">
        <v>1</v>
      </c>
      <c r="H4756" s="2">
        <f>Tabelle13[[#This Row],[commits]]/Tabelle13[[#Totals],[commits]]</f>
        <v>4.6477904404246225E-6</v>
      </c>
      <c r="I4756" s="5">
        <f>Tabelle13[[#This Row],[%]]+I4755</f>
        <v>0.98005633122010583</v>
      </c>
      <c r="J4756" s="4">
        <f t="shared" si="181"/>
        <v>1.105583195135434E-4</v>
      </c>
      <c r="K4756" s="5">
        <f t="shared" si="182"/>
        <v>0.5255942509674294</v>
      </c>
    </row>
    <row r="4757" spans="1:11" x14ac:dyDescent="0.25">
      <c r="A4757" t="s">
        <v>2118</v>
      </c>
      <c r="C4757" t="s">
        <v>2119</v>
      </c>
      <c r="D4757" t="s">
        <v>5</v>
      </c>
      <c r="E4757" t="s">
        <v>6</v>
      </c>
      <c r="F4757" t="s">
        <v>7</v>
      </c>
      <c r="G4757">
        <v>1</v>
      </c>
      <c r="H4757" s="2">
        <f>Tabelle13[[#This Row],[commits]]/Tabelle13[[#Totals],[commits]]</f>
        <v>4.6477904404246225E-6</v>
      </c>
      <c r="I4757" s="5">
        <f>Tabelle13[[#This Row],[%]]+I4756</f>
        <v>0.98006097901054623</v>
      </c>
      <c r="J4757" s="4">
        <f t="shared" si="181"/>
        <v>1.105583195135434E-4</v>
      </c>
      <c r="K4757" s="5">
        <f t="shared" si="182"/>
        <v>0.52570480928694296</v>
      </c>
    </row>
    <row r="4758" spans="1:11" x14ac:dyDescent="0.25">
      <c r="A4758" t="s">
        <v>2120</v>
      </c>
      <c r="C4758" t="s">
        <v>2121</v>
      </c>
      <c r="D4758" t="s">
        <v>5</v>
      </c>
      <c r="E4758" t="s">
        <v>6</v>
      </c>
      <c r="F4758" t="s">
        <v>7</v>
      </c>
      <c r="G4758">
        <v>1</v>
      </c>
      <c r="H4758" s="2">
        <f>Tabelle13[[#This Row],[commits]]/Tabelle13[[#Totals],[commits]]</f>
        <v>4.6477904404246225E-6</v>
      </c>
      <c r="I4758" s="5">
        <f>Tabelle13[[#This Row],[%]]+I4757</f>
        <v>0.98006562680098663</v>
      </c>
      <c r="J4758" s="4">
        <f t="shared" si="181"/>
        <v>1.105583195135434E-4</v>
      </c>
      <c r="K4758" s="5">
        <f t="shared" si="182"/>
        <v>0.52581536760645653</v>
      </c>
    </row>
    <row r="4759" spans="1:11" x14ac:dyDescent="0.25">
      <c r="A4759" t="s">
        <v>2122</v>
      </c>
      <c r="C4759" t="s">
        <v>2123</v>
      </c>
      <c r="D4759" t="s">
        <v>5</v>
      </c>
      <c r="E4759" t="s">
        <v>6</v>
      </c>
      <c r="F4759" t="s">
        <v>7</v>
      </c>
      <c r="G4759">
        <v>1</v>
      </c>
      <c r="H4759" s="2">
        <f>Tabelle13[[#This Row],[commits]]/Tabelle13[[#Totals],[commits]]</f>
        <v>4.6477904404246225E-6</v>
      </c>
      <c r="I4759" s="5">
        <f>Tabelle13[[#This Row],[%]]+I4758</f>
        <v>0.98007027459142704</v>
      </c>
      <c r="J4759" s="4">
        <f t="shared" si="181"/>
        <v>1.105583195135434E-4</v>
      </c>
      <c r="K4759" s="5">
        <f t="shared" si="182"/>
        <v>0.52592592592597009</v>
      </c>
    </row>
    <row r="4760" spans="1:11" x14ac:dyDescent="0.25">
      <c r="A4760" t="s">
        <v>2124</v>
      </c>
      <c r="C4760" t="s">
        <v>2125</v>
      </c>
      <c r="D4760" t="s">
        <v>5</v>
      </c>
      <c r="E4760" t="s">
        <v>6</v>
      </c>
      <c r="F4760" t="s">
        <v>7</v>
      </c>
      <c r="G4760">
        <v>1</v>
      </c>
      <c r="H4760" s="2">
        <f>Tabelle13[[#This Row],[commits]]/Tabelle13[[#Totals],[commits]]</f>
        <v>4.6477904404246225E-6</v>
      </c>
      <c r="I4760" s="5">
        <f>Tabelle13[[#This Row],[%]]+I4759</f>
        <v>0.98007492238186744</v>
      </c>
      <c r="J4760" s="4">
        <f t="shared" si="181"/>
        <v>1.105583195135434E-4</v>
      </c>
      <c r="K4760" s="5">
        <f t="shared" si="182"/>
        <v>0.52603648424548366</v>
      </c>
    </row>
    <row r="4761" spans="1:11" x14ac:dyDescent="0.25">
      <c r="A4761" t="s">
        <v>2126</v>
      </c>
      <c r="C4761" t="s">
        <v>2127</v>
      </c>
      <c r="D4761" t="s">
        <v>5</v>
      </c>
      <c r="E4761" t="s">
        <v>6</v>
      </c>
      <c r="F4761" t="s">
        <v>7</v>
      </c>
      <c r="G4761">
        <v>1</v>
      </c>
      <c r="H4761" s="2">
        <f>Tabelle13[[#This Row],[commits]]/Tabelle13[[#Totals],[commits]]</f>
        <v>4.6477904404246225E-6</v>
      </c>
      <c r="I4761" s="5">
        <f>Tabelle13[[#This Row],[%]]+I4760</f>
        <v>0.98007957017230785</v>
      </c>
      <c r="J4761" s="4">
        <f t="shared" si="181"/>
        <v>1.105583195135434E-4</v>
      </c>
      <c r="K4761" s="5">
        <f t="shared" si="182"/>
        <v>0.52614704256499722</v>
      </c>
    </row>
    <row r="4762" spans="1:11" x14ac:dyDescent="0.25">
      <c r="A4762" t="s">
        <v>2128</v>
      </c>
      <c r="C4762" t="s">
        <v>2129</v>
      </c>
      <c r="D4762" t="s">
        <v>5</v>
      </c>
      <c r="E4762" t="s">
        <v>6</v>
      </c>
      <c r="F4762" t="s">
        <v>7</v>
      </c>
      <c r="G4762">
        <v>1</v>
      </c>
      <c r="H4762" s="2">
        <f>Tabelle13[[#This Row],[commits]]/Tabelle13[[#Totals],[commits]]</f>
        <v>4.6477904404246225E-6</v>
      </c>
      <c r="I4762" s="5">
        <f>Tabelle13[[#This Row],[%]]+I4761</f>
        <v>0.98008421796274825</v>
      </c>
      <c r="J4762" s="4">
        <f t="shared" si="181"/>
        <v>1.105583195135434E-4</v>
      </c>
      <c r="K4762" s="5">
        <f t="shared" si="182"/>
        <v>0.52625760088451079</v>
      </c>
    </row>
    <row r="4763" spans="1:11" x14ac:dyDescent="0.25">
      <c r="A4763" t="s">
        <v>2130</v>
      </c>
      <c r="C4763" t="s">
        <v>2131</v>
      </c>
      <c r="D4763" t="s">
        <v>5</v>
      </c>
      <c r="E4763" t="s">
        <v>6</v>
      </c>
      <c r="F4763" t="s">
        <v>7</v>
      </c>
      <c r="G4763">
        <v>1</v>
      </c>
      <c r="H4763" s="2">
        <f>Tabelle13[[#This Row],[commits]]/Tabelle13[[#Totals],[commits]]</f>
        <v>4.6477904404246225E-6</v>
      </c>
      <c r="I4763" s="5">
        <f>Tabelle13[[#This Row],[%]]+I4762</f>
        <v>0.98008886575318865</v>
      </c>
      <c r="J4763" s="4">
        <f t="shared" si="181"/>
        <v>1.105583195135434E-4</v>
      </c>
      <c r="K4763" s="5">
        <f t="shared" si="182"/>
        <v>0.52636815920402436</v>
      </c>
    </row>
    <row r="4764" spans="1:11" x14ac:dyDescent="0.25">
      <c r="A4764" t="s">
        <v>2132</v>
      </c>
      <c r="C4764" t="s">
        <v>2133</v>
      </c>
      <c r="D4764" t="s">
        <v>5</v>
      </c>
      <c r="E4764" t="s">
        <v>6</v>
      </c>
      <c r="F4764" t="s">
        <v>7</v>
      </c>
      <c r="G4764">
        <v>1</v>
      </c>
      <c r="H4764" s="2">
        <f>Tabelle13[[#This Row],[commits]]/Tabelle13[[#Totals],[commits]]</f>
        <v>4.6477904404246225E-6</v>
      </c>
      <c r="I4764" s="5">
        <f>Tabelle13[[#This Row],[%]]+I4763</f>
        <v>0.98009351354362906</v>
      </c>
      <c r="J4764" s="4">
        <f t="shared" si="181"/>
        <v>1.105583195135434E-4</v>
      </c>
      <c r="K4764" s="5">
        <f t="shared" si="182"/>
        <v>0.52647871752353792</v>
      </c>
    </row>
    <row r="4765" spans="1:11" x14ac:dyDescent="0.25">
      <c r="A4765" t="s">
        <v>2134</v>
      </c>
      <c r="C4765" t="s">
        <v>2135</v>
      </c>
      <c r="D4765" t="s">
        <v>5</v>
      </c>
      <c r="E4765" t="s">
        <v>6</v>
      </c>
      <c r="F4765" t="s">
        <v>7</v>
      </c>
      <c r="G4765">
        <v>1</v>
      </c>
      <c r="H4765" s="2">
        <f>Tabelle13[[#This Row],[commits]]/Tabelle13[[#Totals],[commits]]</f>
        <v>4.6477904404246225E-6</v>
      </c>
      <c r="I4765" s="5">
        <f>Tabelle13[[#This Row],[%]]+I4764</f>
        <v>0.98009816133406946</v>
      </c>
      <c r="J4765" s="4">
        <f t="shared" si="181"/>
        <v>1.105583195135434E-4</v>
      </c>
      <c r="K4765" s="5">
        <f t="shared" si="182"/>
        <v>0.52658927584305149</v>
      </c>
    </row>
    <row r="4766" spans="1:11" x14ac:dyDescent="0.25">
      <c r="A4766" t="s">
        <v>2136</v>
      </c>
      <c r="C4766" t="s">
        <v>2137</v>
      </c>
      <c r="D4766" t="s">
        <v>5</v>
      </c>
      <c r="E4766" t="s">
        <v>6</v>
      </c>
      <c r="F4766" t="s">
        <v>7</v>
      </c>
      <c r="G4766">
        <v>1</v>
      </c>
      <c r="H4766" s="2">
        <f>Tabelle13[[#This Row],[commits]]/Tabelle13[[#Totals],[commits]]</f>
        <v>4.6477904404246225E-6</v>
      </c>
      <c r="I4766" s="5">
        <f>Tabelle13[[#This Row],[%]]+I4765</f>
        <v>0.98010280912450987</v>
      </c>
      <c r="J4766" s="4">
        <f t="shared" si="181"/>
        <v>1.105583195135434E-4</v>
      </c>
      <c r="K4766" s="5">
        <f t="shared" si="182"/>
        <v>0.52669983416256505</v>
      </c>
    </row>
    <row r="4767" spans="1:11" x14ac:dyDescent="0.25">
      <c r="A4767" t="s">
        <v>2138</v>
      </c>
      <c r="C4767" t="s">
        <v>2139</v>
      </c>
      <c r="D4767" t="s">
        <v>5</v>
      </c>
      <c r="E4767" t="s">
        <v>6</v>
      </c>
      <c r="F4767" t="s">
        <v>7</v>
      </c>
      <c r="G4767">
        <v>1</v>
      </c>
      <c r="H4767" s="2">
        <f>Tabelle13[[#This Row],[commits]]/Tabelle13[[#Totals],[commits]]</f>
        <v>4.6477904404246225E-6</v>
      </c>
      <c r="I4767" s="5">
        <f>Tabelle13[[#This Row],[%]]+I4766</f>
        <v>0.98010745691495027</v>
      </c>
      <c r="J4767" s="4">
        <f t="shared" si="181"/>
        <v>1.105583195135434E-4</v>
      </c>
      <c r="K4767" s="5">
        <f t="shared" si="182"/>
        <v>0.52681039248207862</v>
      </c>
    </row>
    <row r="4768" spans="1:11" x14ac:dyDescent="0.25">
      <c r="A4768" t="s">
        <v>2140</v>
      </c>
      <c r="C4768" t="s">
        <v>2141</v>
      </c>
      <c r="D4768" t="s">
        <v>5</v>
      </c>
      <c r="E4768" t="s">
        <v>6</v>
      </c>
      <c r="F4768" t="s">
        <v>7</v>
      </c>
      <c r="G4768">
        <v>1</v>
      </c>
      <c r="H4768" s="2">
        <f>Tabelle13[[#This Row],[commits]]/Tabelle13[[#Totals],[commits]]</f>
        <v>4.6477904404246225E-6</v>
      </c>
      <c r="I4768" s="5">
        <f>Tabelle13[[#This Row],[%]]+I4767</f>
        <v>0.98011210470539067</v>
      </c>
      <c r="J4768" s="4">
        <f t="shared" si="181"/>
        <v>1.105583195135434E-4</v>
      </c>
      <c r="K4768" s="5">
        <f t="shared" si="182"/>
        <v>0.52692095080159218</v>
      </c>
    </row>
    <row r="4769" spans="1:11" x14ac:dyDescent="0.25">
      <c r="A4769" t="s">
        <v>2142</v>
      </c>
      <c r="C4769" t="s">
        <v>2143</v>
      </c>
      <c r="D4769" t="s">
        <v>5</v>
      </c>
      <c r="E4769" t="s">
        <v>6</v>
      </c>
      <c r="F4769" t="s">
        <v>7</v>
      </c>
      <c r="G4769">
        <v>1</v>
      </c>
      <c r="H4769" s="2">
        <f>Tabelle13[[#This Row],[commits]]/Tabelle13[[#Totals],[commits]]</f>
        <v>4.6477904404246225E-6</v>
      </c>
      <c r="I4769" s="5">
        <f>Tabelle13[[#This Row],[%]]+I4768</f>
        <v>0.98011675249583108</v>
      </c>
      <c r="J4769" s="4">
        <f t="shared" si="181"/>
        <v>1.105583195135434E-4</v>
      </c>
      <c r="K4769" s="5">
        <f t="shared" si="182"/>
        <v>0.52703150912110575</v>
      </c>
    </row>
    <row r="4770" spans="1:11" x14ac:dyDescent="0.25">
      <c r="A4770" t="s">
        <v>2144</v>
      </c>
      <c r="C4770" t="s">
        <v>2145</v>
      </c>
      <c r="D4770" t="s">
        <v>5</v>
      </c>
      <c r="E4770" t="s">
        <v>6</v>
      </c>
      <c r="F4770" t="s">
        <v>7</v>
      </c>
      <c r="G4770">
        <v>1</v>
      </c>
      <c r="H4770" s="2">
        <f>Tabelle13[[#This Row],[commits]]/Tabelle13[[#Totals],[commits]]</f>
        <v>4.6477904404246225E-6</v>
      </c>
      <c r="I4770" s="5">
        <f>Tabelle13[[#This Row],[%]]+I4769</f>
        <v>0.98012140028627148</v>
      </c>
      <c r="J4770" s="4">
        <f t="shared" si="181"/>
        <v>1.105583195135434E-4</v>
      </c>
      <c r="K4770" s="5">
        <f t="shared" si="182"/>
        <v>0.52714206744061931</v>
      </c>
    </row>
    <row r="4771" spans="1:11" x14ac:dyDescent="0.25">
      <c r="A4771" t="s">
        <v>2146</v>
      </c>
      <c r="C4771" t="s">
        <v>2147</v>
      </c>
      <c r="D4771" t="s">
        <v>5</v>
      </c>
      <c r="E4771" t="s">
        <v>6</v>
      </c>
      <c r="F4771" t="s">
        <v>7</v>
      </c>
      <c r="G4771">
        <v>1</v>
      </c>
      <c r="H4771" s="2">
        <f>Tabelle13[[#This Row],[commits]]/Tabelle13[[#Totals],[commits]]</f>
        <v>4.6477904404246225E-6</v>
      </c>
      <c r="I4771" s="5">
        <f>Tabelle13[[#This Row],[%]]+I4770</f>
        <v>0.98012604807671189</v>
      </c>
      <c r="J4771" s="4">
        <f t="shared" si="181"/>
        <v>1.105583195135434E-4</v>
      </c>
      <c r="K4771" s="5">
        <f t="shared" si="182"/>
        <v>0.52725262576013288</v>
      </c>
    </row>
    <row r="4772" spans="1:11" x14ac:dyDescent="0.25">
      <c r="A4772" t="s">
        <v>2148</v>
      </c>
      <c r="C4772" t="s">
        <v>2149</v>
      </c>
      <c r="D4772" t="s">
        <v>5</v>
      </c>
      <c r="E4772" t="s">
        <v>6</v>
      </c>
      <c r="F4772" t="s">
        <v>7</v>
      </c>
      <c r="G4772">
        <v>1</v>
      </c>
      <c r="H4772" s="2">
        <f>Tabelle13[[#This Row],[commits]]/Tabelle13[[#Totals],[commits]]</f>
        <v>4.6477904404246225E-6</v>
      </c>
      <c r="I4772" s="5">
        <f>Tabelle13[[#This Row],[%]]+I4771</f>
        <v>0.98013069586715229</v>
      </c>
      <c r="J4772" s="4">
        <f t="shared" si="181"/>
        <v>1.105583195135434E-4</v>
      </c>
      <c r="K4772" s="5">
        <f t="shared" si="182"/>
        <v>0.52736318407964644</v>
      </c>
    </row>
    <row r="4773" spans="1:11" x14ac:dyDescent="0.25">
      <c r="A4773" t="s">
        <v>2150</v>
      </c>
      <c r="C4773" t="s">
        <v>2151</v>
      </c>
      <c r="D4773" t="s">
        <v>5</v>
      </c>
      <c r="E4773" t="s">
        <v>6</v>
      </c>
      <c r="F4773" t="s">
        <v>7</v>
      </c>
      <c r="G4773">
        <v>1</v>
      </c>
      <c r="H4773" s="2">
        <f>Tabelle13[[#This Row],[commits]]/Tabelle13[[#Totals],[commits]]</f>
        <v>4.6477904404246225E-6</v>
      </c>
      <c r="I4773" s="5">
        <f>Tabelle13[[#This Row],[%]]+I4772</f>
        <v>0.98013534365759269</v>
      </c>
      <c r="J4773" s="4">
        <f t="shared" si="181"/>
        <v>1.105583195135434E-4</v>
      </c>
      <c r="K4773" s="5">
        <f t="shared" si="182"/>
        <v>0.52747374239916001</v>
      </c>
    </row>
    <row r="4774" spans="1:11" x14ac:dyDescent="0.25">
      <c r="A4774" t="s">
        <v>2152</v>
      </c>
      <c r="C4774" t="s">
        <v>2153</v>
      </c>
      <c r="D4774" t="s">
        <v>5</v>
      </c>
      <c r="E4774" t="s">
        <v>6</v>
      </c>
      <c r="F4774" t="s">
        <v>7</v>
      </c>
      <c r="G4774">
        <v>1</v>
      </c>
      <c r="H4774" s="2">
        <f>Tabelle13[[#This Row],[commits]]/Tabelle13[[#Totals],[commits]]</f>
        <v>4.6477904404246225E-6</v>
      </c>
      <c r="I4774" s="5">
        <f>Tabelle13[[#This Row],[%]]+I4773</f>
        <v>0.9801399914480331</v>
      </c>
      <c r="J4774" s="4">
        <f t="shared" si="181"/>
        <v>1.105583195135434E-4</v>
      </c>
      <c r="K4774" s="5">
        <f t="shared" si="182"/>
        <v>0.52758430071867357</v>
      </c>
    </row>
    <row r="4775" spans="1:11" x14ac:dyDescent="0.25">
      <c r="A4775" t="s">
        <v>2154</v>
      </c>
      <c r="C4775" t="s">
        <v>2155</v>
      </c>
      <c r="D4775" t="s">
        <v>5</v>
      </c>
      <c r="E4775" t="s">
        <v>6</v>
      </c>
      <c r="F4775" t="s">
        <v>7</v>
      </c>
      <c r="G4775">
        <v>1</v>
      </c>
      <c r="H4775" s="2">
        <f>Tabelle13[[#This Row],[commits]]/Tabelle13[[#Totals],[commits]]</f>
        <v>4.6477904404246225E-6</v>
      </c>
      <c r="I4775" s="5">
        <f>Tabelle13[[#This Row],[%]]+I4774</f>
        <v>0.9801446392384735</v>
      </c>
      <c r="J4775" s="4">
        <f t="shared" si="181"/>
        <v>1.105583195135434E-4</v>
      </c>
      <c r="K4775" s="5">
        <f t="shared" si="182"/>
        <v>0.52769485903818714</v>
      </c>
    </row>
    <row r="4776" spans="1:11" x14ac:dyDescent="0.25">
      <c r="A4776" t="s">
        <v>2156</v>
      </c>
      <c r="C4776" t="s">
        <v>2157</v>
      </c>
      <c r="D4776" t="s">
        <v>5</v>
      </c>
      <c r="E4776" t="s">
        <v>6</v>
      </c>
      <c r="F4776" t="s">
        <v>7</v>
      </c>
      <c r="G4776">
        <v>1</v>
      </c>
      <c r="H4776" s="2">
        <f>Tabelle13[[#This Row],[commits]]/Tabelle13[[#Totals],[commits]]</f>
        <v>4.6477904404246225E-6</v>
      </c>
      <c r="I4776" s="5">
        <f>Tabelle13[[#This Row],[%]]+I4775</f>
        <v>0.98014928702891391</v>
      </c>
      <c r="J4776" s="4">
        <f t="shared" si="181"/>
        <v>1.105583195135434E-4</v>
      </c>
      <c r="K4776" s="5">
        <f t="shared" si="182"/>
        <v>0.5278054173577007</v>
      </c>
    </row>
    <row r="4777" spans="1:11" x14ac:dyDescent="0.25">
      <c r="A4777" t="s">
        <v>2158</v>
      </c>
      <c r="C4777" t="s">
        <v>2159</v>
      </c>
      <c r="D4777" t="s">
        <v>5</v>
      </c>
      <c r="E4777" t="s">
        <v>6</v>
      </c>
      <c r="F4777" t="s">
        <v>7</v>
      </c>
      <c r="G4777">
        <v>1</v>
      </c>
      <c r="H4777" s="2">
        <f>Tabelle13[[#This Row],[commits]]/Tabelle13[[#Totals],[commits]]</f>
        <v>4.6477904404246225E-6</v>
      </c>
      <c r="I4777" s="5">
        <f>Tabelle13[[#This Row],[%]]+I4776</f>
        <v>0.98015393481935431</v>
      </c>
      <c r="J4777" s="4">
        <f t="shared" si="181"/>
        <v>1.105583195135434E-4</v>
      </c>
      <c r="K4777" s="5">
        <f t="shared" si="182"/>
        <v>0.52791597567721427</v>
      </c>
    </row>
    <row r="4778" spans="1:11" x14ac:dyDescent="0.25">
      <c r="A4778" t="s">
        <v>2160</v>
      </c>
      <c r="C4778" t="s">
        <v>2161</v>
      </c>
      <c r="D4778" t="s">
        <v>5</v>
      </c>
      <c r="E4778" t="s">
        <v>6</v>
      </c>
      <c r="F4778" t="s">
        <v>7</v>
      </c>
      <c r="G4778">
        <v>1</v>
      </c>
      <c r="H4778" s="2">
        <f>Tabelle13[[#This Row],[commits]]/Tabelle13[[#Totals],[commits]]</f>
        <v>4.6477904404246225E-6</v>
      </c>
      <c r="I4778" s="5">
        <f>Tabelle13[[#This Row],[%]]+I4777</f>
        <v>0.98015858260979472</v>
      </c>
      <c r="J4778" s="4">
        <f t="shared" si="181"/>
        <v>1.105583195135434E-4</v>
      </c>
      <c r="K4778" s="5">
        <f t="shared" si="182"/>
        <v>0.52802653399672783</v>
      </c>
    </row>
    <row r="4779" spans="1:11" x14ac:dyDescent="0.25">
      <c r="A4779" t="s">
        <v>2162</v>
      </c>
      <c r="C4779" t="s">
        <v>2163</v>
      </c>
      <c r="D4779" t="s">
        <v>5</v>
      </c>
      <c r="E4779" t="s">
        <v>6</v>
      </c>
      <c r="F4779" t="s">
        <v>7</v>
      </c>
      <c r="G4779">
        <v>1</v>
      </c>
      <c r="H4779" s="2">
        <f>Tabelle13[[#This Row],[commits]]/Tabelle13[[#Totals],[commits]]</f>
        <v>4.6477904404246225E-6</v>
      </c>
      <c r="I4779" s="5">
        <f>Tabelle13[[#This Row],[%]]+I4778</f>
        <v>0.98016323040023512</v>
      </c>
      <c r="J4779" s="4">
        <f t="shared" si="181"/>
        <v>1.105583195135434E-4</v>
      </c>
      <c r="K4779" s="5">
        <f t="shared" si="182"/>
        <v>0.5281370923162414</v>
      </c>
    </row>
    <row r="4780" spans="1:11" x14ac:dyDescent="0.25">
      <c r="A4780" t="s">
        <v>2164</v>
      </c>
      <c r="C4780" t="s">
        <v>2165</v>
      </c>
      <c r="D4780" t="s">
        <v>5</v>
      </c>
      <c r="E4780" t="s">
        <v>6</v>
      </c>
      <c r="F4780" t="s">
        <v>7</v>
      </c>
      <c r="G4780">
        <v>1</v>
      </c>
      <c r="H4780" s="2">
        <f>Tabelle13[[#This Row],[commits]]/Tabelle13[[#Totals],[commits]]</f>
        <v>4.6477904404246225E-6</v>
      </c>
      <c r="I4780" s="5">
        <f>Tabelle13[[#This Row],[%]]+I4779</f>
        <v>0.98016787819067552</v>
      </c>
      <c r="J4780" s="4">
        <f t="shared" si="181"/>
        <v>1.105583195135434E-4</v>
      </c>
      <c r="K4780" s="5">
        <f t="shared" si="182"/>
        <v>0.52824765063575496</v>
      </c>
    </row>
    <row r="4781" spans="1:11" x14ac:dyDescent="0.25">
      <c r="A4781" t="s">
        <v>2166</v>
      </c>
      <c r="C4781" t="s">
        <v>2167</v>
      </c>
      <c r="D4781" t="s">
        <v>5</v>
      </c>
      <c r="E4781" t="s">
        <v>6</v>
      </c>
      <c r="F4781" t="s">
        <v>7</v>
      </c>
      <c r="G4781">
        <v>1</v>
      </c>
      <c r="H4781" s="2">
        <f>Tabelle13[[#This Row],[commits]]/Tabelle13[[#Totals],[commits]]</f>
        <v>4.6477904404246225E-6</v>
      </c>
      <c r="I4781" s="5">
        <f>Tabelle13[[#This Row],[%]]+I4780</f>
        <v>0.98017252598111593</v>
      </c>
      <c r="J4781" s="4">
        <f t="shared" si="181"/>
        <v>1.105583195135434E-4</v>
      </c>
      <c r="K4781" s="5">
        <f t="shared" si="182"/>
        <v>0.52835820895526853</v>
      </c>
    </row>
    <row r="4782" spans="1:11" x14ac:dyDescent="0.25">
      <c r="A4782" t="s">
        <v>2168</v>
      </c>
      <c r="C4782" t="s">
        <v>2169</v>
      </c>
      <c r="D4782" t="s">
        <v>5</v>
      </c>
      <c r="E4782" t="s">
        <v>6</v>
      </c>
      <c r="F4782" t="s">
        <v>7</v>
      </c>
      <c r="G4782">
        <v>1</v>
      </c>
      <c r="H4782" s="2">
        <f>Tabelle13[[#This Row],[commits]]/Tabelle13[[#Totals],[commits]]</f>
        <v>4.6477904404246225E-6</v>
      </c>
      <c r="I4782" s="5">
        <f>Tabelle13[[#This Row],[%]]+I4781</f>
        <v>0.98017717377155633</v>
      </c>
      <c r="J4782" s="4">
        <f t="shared" si="181"/>
        <v>1.105583195135434E-4</v>
      </c>
      <c r="K4782" s="5">
        <f t="shared" si="182"/>
        <v>0.52846876727478209</v>
      </c>
    </row>
    <row r="4783" spans="1:11" x14ac:dyDescent="0.25">
      <c r="A4783" t="s">
        <v>2170</v>
      </c>
      <c r="C4783" t="s">
        <v>2171</v>
      </c>
      <c r="D4783" t="s">
        <v>5</v>
      </c>
      <c r="E4783" t="s">
        <v>6</v>
      </c>
      <c r="F4783" t="s">
        <v>7</v>
      </c>
      <c r="G4783">
        <v>1</v>
      </c>
      <c r="H4783" s="2">
        <f>Tabelle13[[#This Row],[commits]]/Tabelle13[[#Totals],[commits]]</f>
        <v>4.6477904404246225E-6</v>
      </c>
      <c r="I4783" s="5">
        <f>Tabelle13[[#This Row],[%]]+I4782</f>
        <v>0.98018182156199674</v>
      </c>
      <c r="J4783" s="4">
        <f t="shared" si="181"/>
        <v>1.105583195135434E-4</v>
      </c>
      <c r="K4783" s="5">
        <f t="shared" si="182"/>
        <v>0.52857932559429566</v>
      </c>
    </row>
    <row r="4784" spans="1:11" x14ac:dyDescent="0.25">
      <c r="A4784" t="s">
        <v>2172</v>
      </c>
      <c r="C4784" t="s">
        <v>2173</v>
      </c>
      <c r="D4784" t="s">
        <v>5</v>
      </c>
      <c r="E4784" t="s">
        <v>6</v>
      </c>
      <c r="F4784" t="s">
        <v>7</v>
      </c>
      <c r="G4784">
        <v>1</v>
      </c>
      <c r="H4784" s="2">
        <f>Tabelle13[[#This Row],[commits]]/Tabelle13[[#Totals],[commits]]</f>
        <v>4.6477904404246225E-6</v>
      </c>
      <c r="I4784" s="5">
        <f>Tabelle13[[#This Row],[%]]+I4783</f>
        <v>0.98018646935243714</v>
      </c>
      <c r="J4784" s="4">
        <f t="shared" si="181"/>
        <v>1.105583195135434E-4</v>
      </c>
      <c r="K4784" s="5">
        <f t="shared" si="182"/>
        <v>0.52868988391380922</v>
      </c>
    </row>
    <row r="4785" spans="1:11" x14ac:dyDescent="0.25">
      <c r="A4785" t="s">
        <v>2174</v>
      </c>
      <c r="C4785" t="s">
        <v>2175</v>
      </c>
      <c r="D4785" t="s">
        <v>5</v>
      </c>
      <c r="E4785" t="s">
        <v>6</v>
      </c>
      <c r="F4785" t="s">
        <v>7</v>
      </c>
      <c r="G4785">
        <v>1</v>
      </c>
      <c r="H4785" s="2">
        <f>Tabelle13[[#This Row],[commits]]/Tabelle13[[#Totals],[commits]]</f>
        <v>4.6477904404246225E-6</v>
      </c>
      <c r="I4785" s="5">
        <f>Tabelle13[[#This Row],[%]]+I4784</f>
        <v>0.98019111714287754</v>
      </c>
      <c r="J4785" s="4">
        <f t="shared" si="181"/>
        <v>1.105583195135434E-4</v>
      </c>
      <c r="K4785" s="5">
        <f t="shared" si="182"/>
        <v>0.52880044223332279</v>
      </c>
    </row>
    <row r="4786" spans="1:11" x14ac:dyDescent="0.25">
      <c r="A4786" t="s">
        <v>2176</v>
      </c>
      <c r="C4786" t="s">
        <v>2177</v>
      </c>
      <c r="D4786" t="s">
        <v>5</v>
      </c>
      <c r="E4786" t="s">
        <v>6</v>
      </c>
      <c r="F4786" t="s">
        <v>7</v>
      </c>
      <c r="G4786">
        <v>1</v>
      </c>
      <c r="H4786" s="2">
        <f>Tabelle13[[#This Row],[commits]]/Tabelle13[[#Totals],[commits]]</f>
        <v>4.6477904404246225E-6</v>
      </c>
      <c r="I4786" s="5">
        <f>Tabelle13[[#This Row],[%]]+I4785</f>
        <v>0.98019576493331795</v>
      </c>
      <c r="J4786" s="4">
        <f t="shared" si="181"/>
        <v>1.105583195135434E-4</v>
      </c>
      <c r="K4786" s="5">
        <f t="shared" si="182"/>
        <v>0.52891100055283635</v>
      </c>
    </row>
    <row r="4787" spans="1:11" x14ac:dyDescent="0.25">
      <c r="A4787" t="s">
        <v>2178</v>
      </c>
      <c r="C4787" t="s">
        <v>2179</v>
      </c>
      <c r="D4787" t="s">
        <v>5</v>
      </c>
      <c r="E4787" t="s">
        <v>6</v>
      </c>
      <c r="F4787" t="s">
        <v>7</v>
      </c>
      <c r="G4787">
        <v>1</v>
      </c>
      <c r="H4787" s="2">
        <f>Tabelle13[[#This Row],[commits]]/Tabelle13[[#Totals],[commits]]</f>
        <v>4.6477904404246225E-6</v>
      </c>
      <c r="I4787" s="5">
        <f>Tabelle13[[#This Row],[%]]+I4786</f>
        <v>0.98020041272375835</v>
      </c>
      <c r="J4787" s="4">
        <f t="shared" si="181"/>
        <v>1.105583195135434E-4</v>
      </c>
      <c r="K4787" s="5">
        <f t="shared" si="182"/>
        <v>0.52902155887234992</v>
      </c>
    </row>
    <row r="4788" spans="1:11" x14ac:dyDescent="0.25">
      <c r="A4788" t="s">
        <v>2180</v>
      </c>
      <c r="C4788" t="s">
        <v>2181</v>
      </c>
      <c r="D4788" t="s">
        <v>5</v>
      </c>
      <c r="E4788" t="s">
        <v>6</v>
      </c>
      <c r="F4788" t="s">
        <v>7</v>
      </c>
      <c r="G4788">
        <v>1</v>
      </c>
      <c r="H4788" s="2">
        <f>Tabelle13[[#This Row],[commits]]/Tabelle13[[#Totals],[commits]]</f>
        <v>4.6477904404246225E-6</v>
      </c>
      <c r="I4788" s="5">
        <f>Tabelle13[[#This Row],[%]]+I4787</f>
        <v>0.98020506051419876</v>
      </c>
      <c r="J4788" s="4">
        <f t="shared" si="181"/>
        <v>1.105583195135434E-4</v>
      </c>
      <c r="K4788" s="5">
        <f t="shared" si="182"/>
        <v>0.52913211719186348</v>
      </c>
    </row>
    <row r="4789" spans="1:11" x14ac:dyDescent="0.25">
      <c r="A4789" t="s">
        <v>2182</v>
      </c>
      <c r="C4789" t="s">
        <v>2183</v>
      </c>
      <c r="D4789" t="s">
        <v>5</v>
      </c>
      <c r="E4789" t="s">
        <v>6</v>
      </c>
      <c r="F4789" t="s">
        <v>7</v>
      </c>
      <c r="G4789">
        <v>1</v>
      </c>
      <c r="H4789" s="2">
        <f>Tabelle13[[#This Row],[commits]]/Tabelle13[[#Totals],[commits]]</f>
        <v>4.6477904404246225E-6</v>
      </c>
      <c r="I4789" s="5">
        <f>Tabelle13[[#This Row],[%]]+I4788</f>
        <v>0.98020970830463916</v>
      </c>
      <c r="J4789" s="4">
        <f t="shared" si="181"/>
        <v>1.105583195135434E-4</v>
      </c>
      <c r="K4789" s="5">
        <f t="shared" si="182"/>
        <v>0.52924267551137705</v>
      </c>
    </row>
    <row r="4790" spans="1:11" x14ac:dyDescent="0.25">
      <c r="A4790" t="s">
        <v>2184</v>
      </c>
      <c r="C4790" t="s">
        <v>2185</v>
      </c>
      <c r="D4790" t="s">
        <v>5</v>
      </c>
      <c r="E4790" t="s">
        <v>6</v>
      </c>
      <c r="F4790" t="s">
        <v>7</v>
      </c>
      <c r="G4790">
        <v>1</v>
      </c>
      <c r="H4790" s="2">
        <f>Tabelle13[[#This Row],[commits]]/Tabelle13[[#Totals],[commits]]</f>
        <v>4.6477904404246225E-6</v>
      </c>
      <c r="I4790" s="5">
        <f>Tabelle13[[#This Row],[%]]+I4789</f>
        <v>0.98021435609507956</v>
      </c>
      <c r="J4790" s="4">
        <f t="shared" si="181"/>
        <v>1.105583195135434E-4</v>
      </c>
      <c r="K4790" s="5">
        <f t="shared" si="182"/>
        <v>0.52935323383089061</v>
      </c>
    </row>
    <row r="4791" spans="1:11" x14ac:dyDescent="0.25">
      <c r="A4791" t="s">
        <v>2186</v>
      </c>
      <c r="C4791" t="s">
        <v>2187</v>
      </c>
      <c r="D4791" t="s">
        <v>5</v>
      </c>
      <c r="E4791" t="s">
        <v>6</v>
      </c>
      <c r="F4791" t="s">
        <v>7</v>
      </c>
      <c r="G4791">
        <v>1</v>
      </c>
      <c r="H4791" s="2">
        <f>Tabelle13[[#This Row],[commits]]/Tabelle13[[#Totals],[commits]]</f>
        <v>4.6477904404246225E-6</v>
      </c>
      <c r="I4791" s="5">
        <f>Tabelle13[[#This Row],[%]]+I4790</f>
        <v>0.98021900388551997</v>
      </c>
      <c r="J4791" s="4">
        <f t="shared" si="181"/>
        <v>1.105583195135434E-4</v>
      </c>
      <c r="K4791" s="5">
        <f t="shared" si="182"/>
        <v>0.52946379215040418</v>
      </c>
    </row>
    <row r="4792" spans="1:11" x14ac:dyDescent="0.25">
      <c r="A4792" t="s">
        <v>2188</v>
      </c>
      <c r="C4792" t="s">
        <v>1099</v>
      </c>
      <c r="D4792" t="s">
        <v>5</v>
      </c>
      <c r="E4792" t="s">
        <v>6</v>
      </c>
      <c r="F4792" t="s">
        <v>7</v>
      </c>
      <c r="G4792">
        <v>1</v>
      </c>
      <c r="H4792" s="2">
        <f>Tabelle13[[#This Row],[commits]]/Tabelle13[[#Totals],[commits]]</f>
        <v>4.6477904404246225E-6</v>
      </c>
      <c r="I4792" s="5">
        <f>Tabelle13[[#This Row],[%]]+I4791</f>
        <v>0.98022365167596037</v>
      </c>
      <c r="J4792" s="4">
        <f t="shared" si="181"/>
        <v>1.105583195135434E-4</v>
      </c>
      <c r="K4792" s="5">
        <f t="shared" si="182"/>
        <v>0.52957435046991774</v>
      </c>
    </row>
    <row r="4793" spans="1:11" x14ac:dyDescent="0.25">
      <c r="A4793" t="s">
        <v>2189</v>
      </c>
      <c r="C4793" t="s">
        <v>2190</v>
      </c>
      <c r="D4793" t="s">
        <v>5</v>
      </c>
      <c r="E4793" t="s">
        <v>6</v>
      </c>
      <c r="F4793" t="s">
        <v>7</v>
      </c>
      <c r="G4793">
        <v>1</v>
      </c>
      <c r="H4793" s="2">
        <f>Tabelle13[[#This Row],[commits]]/Tabelle13[[#Totals],[commits]]</f>
        <v>4.6477904404246225E-6</v>
      </c>
      <c r="I4793" s="5">
        <f>Tabelle13[[#This Row],[%]]+I4792</f>
        <v>0.98022829946640078</v>
      </c>
      <c r="J4793" s="4">
        <f t="shared" si="181"/>
        <v>1.105583195135434E-4</v>
      </c>
      <c r="K4793" s="5">
        <f t="shared" si="182"/>
        <v>0.52968490878943131</v>
      </c>
    </row>
    <row r="4794" spans="1:11" x14ac:dyDescent="0.25">
      <c r="A4794" t="s">
        <v>2191</v>
      </c>
      <c r="C4794" t="s">
        <v>2192</v>
      </c>
      <c r="D4794" t="s">
        <v>5</v>
      </c>
      <c r="E4794" t="s">
        <v>6</v>
      </c>
      <c r="F4794" t="s">
        <v>7</v>
      </c>
      <c r="G4794">
        <v>1</v>
      </c>
      <c r="H4794" s="2">
        <f>Tabelle13[[#This Row],[commits]]/Tabelle13[[#Totals],[commits]]</f>
        <v>4.6477904404246225E-6</v>
      </c>
      <c r="I4794" s="5">
        <f>Tabelle13[[#This Row],[%]]+I4793</f>
        <v>0.98023294725684118</v>
      </c>
      <c r="J4794" s="4">
        <f t="shared" si="181"/>
        <v>1.105583195135434E-4</v>
      </c>
      <c r="K4794" s="5">
        <f t="shared" si="182"/>
        <v>0.52979546710894487</v>
      </c>
    </row>
    <row r="4795" spans="1:11" x14ac:dyDescent="0.25">
      <c r="A4795" t="s">
        <v>2193</v>
      </c>
      <c r="C4795" t="s">
        <v>221</v>
      </c>
      <c r="D4795" t="s">
        <v>5</v>
      </c>
      <c r="E4795" t="s">
        <v>6</v>
      </c>
      <c r="F4795" t="s">
        <v>7</v>
      </c>
      <c r="G4795">
        <v>1</v>
      </c>
      <c r="H4795" s="2">
        <f>Tabelle13[[#This Row],[commits]]/Tabelle13[[#Totals],[commits]]</f>
        <v>4.6477904404246225E-6</v>
      </c>
      <c r="I4795" s="5">
        <f>Tabelle13[[#This Row],[%]]+I4794</f>
        <v>0.98023759504728158</v>
      </c>
      <c r="J4795" s="4">
        <f t="shared" si="181"/>
        <v>1.105583195135434E-4</v>
      </c>
      <c r="K4795" s="5">
        <f t="shared" si="182"/>
        <v>0.52990602542845844</v>
      </c>
    </row>
    <row r="4796" spans="1:11" x14ac:dyDescent="0.25">
      <c r="A4796" t="s">
        <v>2194</v>
      </c>
      <c r="C4796" t="s">
        <v>2195</v>
      </c>
      <c r="D4796" t="s">
        <v>5</v>
      </c>
      <c r="E4796" t="s">
        <v>6</v>
      </c>
      <c r="F4796" t="s">
        <v>7</v>
      </c>
      <c r="G4796">
        <v>1</v>
      </c>
      <c r="H4796" s="2">
        <f>Tabelle13[[#This Row],[commits]]/Tabelle13[[#Totals],[commits]]</f>
        <v>4.6477904404246225E-6</v>
      </c>
      <c r="I4796" s="5">
        <f>Tabelle13[[#This Row],[%]]+I4795</f>
        <v>0.98024224283772199</v>
      </c>
      <c r="J4796" s="4">
        <f t="shared" si="181"/>
        <v>1.105583195135434E-4</v>
      </c>
      <c r="K4796" s="5">
        <f t="shared" si="182"/>
        <v>0.530016583747972</v>
      </c>
    </row>
    <row r="4797" spans="1:11" x14ac:dyDescent="0.25">
      <c r="A4797" t="s">
        <v>2196</v>
      </c>
      <c r="C4797" t="s">
        <v>2197</v>
      </c>
      <c r="D4797" t="s">
        <v>5</v>
      </c>
      <c r="E4797" t="s">
        <v>6</v>
      </c>
      <c r="F4797" t="s">
        <v>7</v>
      </c>
      <c r="G4797">
        <v>1</v>
      </c>
      <c r="H4797" s="2">
        <f>Tabelle13[[#This Row],[commits]]/Tabelle13[[#Totals],[commits]]</f>
        <v>4.6477904404246225E-6</v>
      </c>
      <c r="I4797" s="5">
        <f>Tabelle13[[#This Row],[%]]+I4796</f>
        <v>0.98024689062816239</v>
      </c>
      <c r="J4797" s="4">
        <f t="shared" si="181"/>
        <v>1.105583195135434E-4</v>
      </c>
      <c r="K4797" s="5">
        <f t="shared" si="182"/>
        <v>0.53012714206748557</v>
      </c>
    </row>
    <row r="4798" spans="1:11" x14ac:dyDescent="0.25">
      <c r="A4798" t="s">
        <v>2198</v>
      </c>
      <c r="C4798" t="s">
        <v>1873</v>
      </c>
      <c r="D4798" t="s">
        <v>5</v>
      </c>
      <c r="E4798" t="s">
        <v>6</v>
      </c>
      <c r="F4798" t="s">
        <v>7</v>
      </c>
      <c r="G4798">
        <v>1</v>
      </c>
      <c r="H4798" s="2">
        <f>Tabelle13[[#This Row],[commits]]/Tabelle13[[#Totals],[commits]]</f>
        <v>4.6477904404246225E-6</v>
      </c>
      <c r="I4798" s="5">
        <f>Tabelle13[[#This Row],[%]]+I4797</f>
        <v>0.9802515384186028</v>
      </c>
      <c r="J4798" s="4">
        <f t="shared" si="181"/>
        <v>1.105583195135434E-4</v>
      </c>
      <c r="K4798" s="5">
        <f t="shared" si="182"/>
        <v>0.53023770038699913</v>
      </c>
    </row>
    <row r="4799" spans="1:11" x14ac:dyDescent="0.25">
      <c r="A4799" t="s">
        <v>2199</v>
      </c>
      <c r="C4799" t="s">
        <v>2200</v>
      </c>
      <c r="D4799" t="s">
        <v>5</v>
      </c>
      <c r="E4799" t="s">
        <v>6</v>
      </c>
      <c r="F4799" t="s">
        <v>7</v>
      </c>
      <c r="G4799">
        <v>1</v>
      </c>
      <c r="H4799" s="2">
        <f>Tabelle13[[#This Row],[commits]]/Tabelle13[[#Totals],[commits]]</f>
        <v>4.6477904404246225E-6</v>
      </c>
      <c r="I4799" s="5">
        <f>Tabelle13[[#This Row],[%]]+I4798</f>
        <v>0.9802561862090432</v>
      </c>
      <c r="J4799" s="4">
        <f t="shared" si="181"/>
        <v>1.105583195135434E-4</v>
      </c>
      <c r="K4799" s="5">
        <f t="shared" si="182"/>
        <v>0.5303482587065127</v>
      </c>
    </row>
    <row r="4800" spans="1:11" x14ac:dyDescent="0.25">
      <c r="A4800" t="s">
        <v>2201</v>
      </c>
      <c r="C4800" t="s">
        <v>2202</v>
      </c>
      <c r="D4800" t="s">
        <v>5</v>
      </c>
      <c r="E4800" t="s">
        <v>6</v>
      </c>
      <c r="F4800" t="s">
        <v>7</v>
      </c>
      <c r="G4800">
        <v>1</v>
      </c>
      <c r="H4800" s="2">
        <f>Tabelle13[[#This Row],[commits]]/Tabelle13[[#Totals],[commits]]</f>
        <v>4.6477904404246225E-6</v>
      </c>
      <c r="I4800" s="5">
        <f>Tabelle13[[#This Row],[%]]+I4799</f>
        <v>0.98026083399948361</v>
      </c>
      <c r="J4800" s="4">
        <f t="shared" si="181"/>
        <v>1.105583195135434E-4</v>
      </c>
      <c r="K4800" s="5">
        <f t="shared" si="182"/>
        <v>0.53045881702602626</v>
      </c>
    </row>
    <row r="4801" spans="1:11" x14ac:dyDescent="0.25">
      <c r="A4801" t="s">
        <v>2203</v>
      </c>
      <c r="C4801" t="s">
        <v>2204</v>
      </c>
      <c r="D4801" t="s">
        <v>5</v>
      </c>
      <c r="E4801" t="s">
        <v>6</v>
      </c>
      <c r="F4801" t="s">
        <v>7</v>
      </c>
      <c r="G4801">
        <v>1</v>
      </c>
      <c r="H4801" s="2">
        <f>Tabelle13[[#This Row],[commits]]/Tabelle13[[#Totals],[commits]]</f>
        <v>4.6477904404246225E-6</v>
      </c>
      <c r="I4801" s="5">
        <f>Tabelle13[[#This Row],[%]]+I4800</f>
        <v>0.98026548178992401</v>
      </c>
      <c r="J4801" s="4">
        <f t="shared" si="181"/>
        <v>1.105583195135434E-4</v>
      </c>
      <c r="K4801" s="5">
        <f t="shared" si="182"/>
        <v>0.53056937534553983</v>
      </c>
    </row>
    <row r="4802" spans="1:11" x14ac:dyDescent="0.25">
      <c r="A4802" t="s">
        <v>2205</v>
      </c>
      <c r="C4802" t="s">
        <v>2206</v>
      </c>
      <c r="D4802" t="s">
        <v>5</v>
      </c>
      <c r="E4802" t="s">
        <v>6</v>
      </c>
      <c r="F4802" t="s">
        <v>28</v>
      </c>
      <c r="G4802">
        <v>1</v>
      </c>
      <c r="H4802" s="2">
        <f>Tabelle13[[#This Row],[commits]]/Tabelle13[[#Totals],[commits]]</f>
        <v>4.6477904404246225E-6</v>
      </c>
      <c r="I4802" s="5">
        <f>Tabelle13[[#This Row],[%]]+I4801</f>
        <v>0.98027012958036441</v>
      </c>
      <c r="J4802" s="4">
        <f t="shared" si="181"/>
        <v>1.105583195135434E-4</v>
      </c>
      <c r="K4802" s="5">
        <f t="shared" si="182"/>
        <v>0.53067993366505339</v>
      </c>
    </row>
    <row r="4803" spans="1:11" x14ac:dyDescent="0.25">
      <c r="A4803" t="s">
        <v>2207</v>
      </c>
      <c r="C4803" t="s">
        <v>2208</v>
      </c>
      <c r="D4803" t="s">
        <v>5</v>
      </c>
      <c r="E4803" t="s">
        <v>6</v>
      </c>
      <c r="F4803" t="s">
        <v>7</v>
      </c>
      <c r="G4803">
        <v>1</v>
      </c>
      <c r="H4803" s="2">
        <f>Tabelle13[[#This Row],[commits]]/Tabelle13[[#Totals],[commits]]</f>
        <v>4.6477904404246225E-6</v>
      </c>
      <c r="I4803" s="5">
        <f>Tabelle13[[#This Row],[%]]+I4802</f>
        <v>0.98027477737080482</v>
      </c>
      <c r="J4803" s="4">
        <f t="shared" ref="J4803:J4866" si="183">1/9045</f>
        <v>1.105583195135434E-4</v>
      </c>
      <c r="K4803" s="5">
        <f t="shared" si="182"/>
        <v>0.53079049198456696</v>
      </c>
    </row>
    <row r="4804" spans="1:11" x14ac:dyDescent="0.25">
      <c r="A4804" t="s">
        <v>2209</v>
      </c>
      <c r="C4804" t="s">
        <v>2210</v>
      </c>
      <c r="D4804" t="s">
        <v>5</v>
      </c>
      <c r="E4804" t="s">
        <v>6</v>
      </c>
      <c r="F4804" t="s">
        <v>7</v>
      </c>
      <c r="G4804">
        <v>1</v>
      </c>
      <c r="H4804" s="2">
        <f>Tabelle13[[#This Row],[commits]]/Tabelle13[[#Totals],[commits]]</f>
        <v>4.6477904404246225E-6</v>
      </c>
      <c r="I4804" s="5">
        <f>Tabelle13[[#This Row],[%]]+I4803</f>
        <v>0.98027942516124522</v>
      </c>
      <c r="J4804" s="4">
        <f t="shared" si="183"/>
        <v>1.105583195135434E-4</v>
      </c>
      <c r="K4804" s="5">
        <f t="shared" si="182"/>
        <v>0.53090105030408052</v>
      </c>
    </row>
    <row r="4805" spans="1:11" x14ac:dyDescent="0.25">
      <c r="A4805" t="s">
        <v>2211</v>
      </c>
      <c r="C4805" t="s">
        <v>2212</v>
      </c>
      <c r="D4805" t="s">
        <v>5</v>
      </c>
      <c r="E4805" t="s">
        <v>6</v>
      </c>
      <c r="F4805" t="s">
        <v>7</v>
      </c>
      <c r="G4805">
        <v>1</v>
      </c>
      <c r="H4805" s="2">
        <f>Tabelle13[[#This Row],[commits]]/Tabelle13[[#Totals],[commits]]</f>
        <v>4.6477904404246225E-6</v>
      </c>
      <c r="I4805" s="5">
        <f>Tabelle13[[#This Row],[%]]+I4804</f>
        <v>0.98028407295168563</v>
      </c>
      <c r="J4805" s="4">
        <f t="shared" si="183"/>
        <v>1.105583195135434E-4</v>
      </c>
      <c r="K4805" s="5">
        <f t="shared" si="182"/>
        <v>0.53101160862359409</v>
      </c>
    </row>
    <row r="4806" spans="1:11" x14ac:dyDescent="0.25">
      <c r="A4806" t="s">
        <v>2213</v>
      </c>
      <c r="C4806" t="s">
        <v>2214</v>
      </c>
      <c r="D4806" t="s">
        <v>5</v>
      </c>
      <c r="E4806" t="s">
        <v>6</v>
      </c>
      <c r="F4806" t="s">
        <v>7</v>
      </c>
      <c r="G4806">
        <v>1</v>
      </c>
      <c r="H4806" s="2">
        <f>Tabelle13[[#This Row],[commits]]/Tabelle13[[#Totals],[commits]]</f>
        <v>4.6477904404246225E-6</v>
      </c>
      <c r="I4806" s="5">
        <f>Tabelle13[[#This Row],[%]]+I4805</f>
        <v>0.98028872074212603</v>
      </c>
      <c r="J4806" s="4">
        <f t="shared" si="183"/>
        <v>1.105583195135434E-4</v>
      </c>
      <c r="K4806" s="5">
        <f t="shared" ref="K4806:K4869" si="184">J4806+K4805</f>
        <v>0.53112216694310765</v>
      </c>
    </row>
    <row r="4807" spans="1:11" x14ac:dyDescent="0.25">
      <c r="A4807" t="s">
        <v>2817</v>
      </c>
      <c r="C4807" t="s">
        <v>2818</v>
      </c>
      <c r="D4807" t="s">
        <v>5</v>
      </c>
      <c r="E4807" t="s">
        <v>6</v>
      </c>
      <c r="F4807" t="s">
        <v>251</v>
      </c>
      <c r="G4807">
        <v>1</v>
      </c>
      <c r="H4807" s="2">
        <f>Tabelle13[[#This Row],[commits]]/Tabelle13[[#Totals],[commits]]</f>
        <v>4.6477904404246225E-6</v>
      </c>
      <c r="I4807" s="5">
        <f>Tabelle13[[#This Row],[%]]+I4806</f>
        <v>0.98029336853256643</v>
      </c>
      <c r="J4807" s="4">
        <f t="shared" si="183"/>
        <v>1.105583195135434E-4</v>
      </c>
      <c r="K4807" s="5">
        <f t="shared" si="184"/>
        <v>0.53123272526262122</v>
      </c>
    </row>
    <row r="4808" spans="1:11" x14ac:dyDescent="0.25">
      <c r="A4808" t="s">
        <v>3489</v>
      </c>
      <c r="C4808" t="s">
        <v>3490</v>
      </c>
      <c r="D4808" t="s">
        <v>5</v>
      </c>
      <c r="E4808" t="s">
        <v>6</v>
      </c>
      <c r="F4808" t="s">
        <v>724</v>
      </c>
      <c r="G4808">
        <v>1</v>
      </c>
      <c r="H4808" s="2">
        <f>Tabelle13[[#This Row],[commits]]/Tabelle13[[#Totals],[commits]]</f>
        <v>4.6477904404246225E-6</v>
      </c>
      <c r="I4808" s="5">
        <f>Tabelle13[[#This Row],[%]]+I4807</f>
        <v>0.98029801632300684</v>
      </c>
      <c r="J4808" s="4">
        <f t="shared" si="183"/>
        <v>1.105583195135434E-4</v>
      </c>
      <c r="K4808" s="5">
        <f t="shared" si="184"/>
        <v>0.53134328358213478</v>
      </c>
    </row>
    <row r="4809" spans="1:11" x14ac:dyDescent="0.25">
      <c r="A4809" t="s">
        <v>3491</v>
      </c>
      <c r="C4809" t="s">
        <v>3492</v>
      </c>
      <c r="D4809" t="s">
        <v>5</v>
      </c>
      <c r="E4809" t="s">
        <v>6</v>
      </c>
      <c r="F4809" t="s">
        <v>724</v>
      </c>
      <c r="G4809">
        <v>1</v>
      </c>
      <c r="H4809" s="2">
        <f>Tabelle13[[#This Row],[commits]]/Tabelle13[[#Totals],[commits]]</f>
        <v>4.6477904404246225E-6</v>
      </c>
      <c r="I4809" s="5">
        <f>Tabelle13[[#This Row],[%]]+I4808</f>
        <v>0.98030266411344724</v>
      </c>
      <c r="J4809" s="4">
        <f t="shared" si="183"/>
        <v>1.105583195135434E-4</v>
      </c>
      <c r="K4809" s="5">
        <f t="shared" si="184"/>
        <v>0.53145384190164835</v>
      </c>
    </row>
    <row r="4810" spans="1:11" x14ac:dyDescent="0.25">
      <c r="A4810" t="s">
        <v>3493</v>
      </c>
      <c r="C4810" t="s">
        <v>3494</v>
      </c>
      <c r="D4810" t="s">
        <v>5</v>
      </c>
      <c r="E4810" t="s">
        <v>6</v>
      </c>
      <c r="F4810" t="s">
        <v>724</v>
      </c>
      <c r="G4810">
        <v>1</v>
      </c>
      <c r="H4810" s="2">
        <f>Tabelle13[[#This Row],[commits]]/Tabelle13[[#Totals],[commits]]</f>
        <v>4.6477904404246225E-6</v>
      </c>
      <c r="I4810" s="5">
        <f>Tabelle13[[#This Row],[%]]+I4809</f>
        <v>0.98030731190388765</v>
      </c>
      <c r="J4810" s="4">
        <f t="shared" si="183"/>
        <v>1.105583195135434E-4</v>
      </c>
      <c r="K4810" s="5">
        <f t="shared" si="184"/>
        <v>0.53156440022116191</v>
      </c>
    </row>
    <row r="4811" spans="1:11" x14ac:dyDescent="0.25">
      <c r="A4811" t="s">
        <v>3495</v>
      </c>
      <c r="C4811" t="s">
        <v>3496</v>
      </c>
      <c r="D4811" t="s">
        <v>5</v>
      </c>
      <c r="E4811" t="s">
        <v>6</v>
      </c>
      <c r="F4811" t="s">
        <v>724</v>
      </c>
      <c r="G4811">
        <v>1</v>
      </c>
      <c r="H4811" s="2">
        <f>Tabelle13[[#This Row],[commits]]/Tabelle13[[#Totals],[commits]]</f>
        <v>4.6477904404246225E-6</v>
      </c>
      <c r="I4811" s="5">
        <f>Tabelle13[[#This Row],[%]]+I4810</f>
        <v>0.98031195969432805</v>
      </c>
      <c r="J4811" s="4">
        <f t="shared" si="183"/>
        <v>1.105583195135434E-4</v>
      </c>
      <c r="K4811" s="5">
        <f t="shared" si="184"/>
        <v>0.53167495854067548</v>
      </c>
    </row>
    <row r="4812" spans="1:11" x14ac:dyDescent="0.25">
      <c r="A4812" t="s">
        <v>3497</v>
      </c>
      <c r="C4812" t="s">
        <v>3498</v>
      </c>
      <c r="D4812" t="s">
        <v>5</v>
      </c>
      <c r="E4812" t="s">
        <v>6</v>
      </c>
      <c r="F4812" t="s">
        <v>724</v>
      </c>
      <c r="G4812">
        <v>1</v>
      </c>
      <c r="H4812" s="2">
        <f>Tabelle13[[#This Row],[commits]]/Tabelle13[[#Totals],[commits]]</f>
        <v>4.6477904404246225E-6</v>
      </c>
      <c r="I4812" s="5">
        <f>Tabelle13[[#This Row],[%]]+I4811</f>
        <v>0.98031660748476845</v>
      </c>
      <c r="J4812" s="4">
        <f t="shared" si="183"/>
        <v>1.105583195135434E-4</v>
      </c>
      <c r="K4812" s="5">
        <f t="shared" si="184"/>
        <v>0.53178551686018904</v>
      </c>
    </row>
    <row r="4813" spans="1:11" x14ac:dyDescent="0.25">
      <c r="A4813" t="s">
        <v>3501</v>
      </c>
      <c r="C4813" t="s">
        <v>3502</v>
      </c>
      <c r="D4813" t="s">
        <v>5</v>
      </c>
      <c r="E4813" t="s">
        <v>6</v>
      </c>
      <c r="F4813" t="s">
        <v>724</v>
      </c>
      <c r="G4813">
        <v>1</v>
      </c>
      <c r="H4813" s="2">
        <f>Tabelle13[[#This Row],[commits]]/Tabelle13[[#Totals],[commits]]</f>
        <v>4.6477904404246225E-6</v>
      </c>
      <c r="I4813" s="5">
        <f>Tabelle13[[#This Row],[%]]+I4812</f>
        <v>0.98032125527520886</v>
      </c>
      <c r="J4813" s="4">
        <f t="shared" si="183"/>
        <v>1.105583195135434E-4</v>
      </c>
      <c r="K4813" s="5">
        <f t="shared" si="184"/>
        <v>0.53189607517970261</v>
      </c>
    </row>
    <row r="4814" spans="1:11" x14ac:dyDescent="0.25">
      <c r="A4814" t="s">
        <v>3503</v>
      </c>
      <c r="C4814" t="s">
        <v>3504</v>
      </c>
      <c r="D4814" t="s">
        <v>5</v>
      </c>
      <c r="E4814" t="s">
        <v>6</v>
      </c>
      <c r="F4814" t="s">
        <v>724</v>
      </c>
      <c r="G4814">
        <v>1</v>
      </c>
      <c r="H4814" s="2">
        <f>Tabelle13[[#This Row],[commits]]/Tabelle13[[#Totals],[commits]]</f>
        <v>4.6477904404246225E-6</v>
      </c>
      <c r="I4814" s="5">
        <f>Tabelle13[[#This Row],[%]]+I4813</f>
        <v>0.98032590306564926</v>
      </c>
      <c r="J4814" s="4">
        <f t="shared" si="183"/>
        <v>1.105583195135434E-4</v>
      </c>
      <c r="K4814" s="5">
        <f t="shared" si="184"/>
        <v>0.53200663349921617</v>
      </c>
    </row>
    <row r="4815" spans="1:11" x14ac:dyDescent="0.25">
      <c r="A4815" t="s">
        <v>3505</v>
      </c>
      <c r="C4815" t="s">
        <v>3506</v>
      </c>
      <c r="D4815" t="s">
        <v>5</v>
      </c>
      <c r="E4815" t="s">
        <v>6</v>
      </c>
      <c r="F4815" t="s">
        <v>724</v>
      </c>
      <c r="G4815">
        <v>1</v>
      </c>
      <c r="H4815" s="2">
        <f>Tabelle13[[#This Row],[commits]]/Tabelle13[[#Totals],[commits]]</f>
        <v>4.6477904404246225E-6</v>
      </c>
      <c r="I4815" s="5">
        <f>Tabelle13[[#This Row],[%]]+I4814</f>
        <v>0.98033055085608967</v>
      </c>
      <c r="J4815" s="4">
        <f t="shared" si="183"/>
        <v>1.105583195135434E-4</v>
      </c>
      <c r="K4815" s="5">
        <f t="shared" si="184"/>
        <v>0.53211719181872974</v>
      </c>
    </row>
    <row r="4816" spans="1:11" x14ac:dyDescent="0.25">
      <c r="A4816" t="s">
        <v>3507</v>
      </c>
      <c r="C4816" t="s">
        <v>3508</v>
      </c>
      <c r="D4816" t="s">
        <v>5</v>
      </c>
      <c r="E4816" t="s">
        <v>6</v>
      </c>
      <c r="F4816" t="s">
        <v>724</v>
      </c>
      <c r="G4816">
        <v>1</v>
      </c>
      <c r="H4816" s="2">
        <f>Tabelle13[[#This Row],[commits]]/Tabelle13[[#Totals],[commits]]</f>
        <v>4.6477904404246225E-6</v>
      </c>
      <c r="I4816" s="5">
        <f>Tabelle13[[#This Row],[%]]+I4815</f>
        <v>0.98033519864653007</v>
      </c>
      <c r="J4816" s="4">
        <f t="shared" si="183"/>
        <v>1.105583195135434E-4</v>
      </c>
      <c r="K4816" s="5">
        <f t="shared" si="184"/>
        <v>0.53222775013824331</v>
      </c>
    </row>
    <row r="4817" spans="1:11" x14ac:dyDescent="0.25">
      <c r="A4817" t="s">
        <v>3509</v>
      </c>
      <c r="C4817" t="s">
        <v>3510</v>
      </c>
      <c r="D4817" t="s">
        <v>5</v>
      </c>
      <c r="E4817" t="s">
        <v>6</v>
      </c>
      <c r="F4817" t="s">
        <v>724</v>
      </c>
      <c r="G4817">
        <v>1</v>
      </c>
      <c r="H4817" s="2">
        <f>Tabelle13[[#This Row],[commits]]/Tabelle13[[#Totals],[commits]]</f>
        <v>4.6477904404246225E-6</v>
      </c>
      <c r="I4817" s="5">
        <f>Tabelle13[[#This Row],[%]]+I4816</f>
        <v>0.98033984643697047</v>
      </c>
      <c r="J4817" s="4">
        <f t="shared" si="183"/>
        <v>1.105583195135434E-4</v>
      </c>
      <c r="K4817" s="5">
        <f t="shared" si="184"/>
        <v>0.53233830845775687</v>
      </c>
    </row>
    <row r="4818" spans="1:11" x14ac:dyDescent="0.25">
      <c r="A4818" t="s">
        <v>3511</v>
      </c>
      <c r="C4818" t="s">
        <v>3512</v>
      </c>
      <c r="D4818" t="s">
        <v>5</v>
      </c>
      <c r="E4818" t="s">
        <v>6</v>
      </c>
      <c r="F4818" t="s">
        <v>724</v>
      </c>
      <c r="G4818">
        <v>1</v>
      </c>
      <c r="H4818" s="2">
        <f>Tabelle13[[#This Row],[commits]]/Tabelle13[[#Totals],[commits]]</f>
        <v>4.6477904404246225E-6</v>
      </c>
      <c r="I4818" s="5">
        <f>Tabelle13[[#This Row],[%]]+I4817</f>
        <v>0.98034449422741088</v>
      </c>
      <c r="J4818" s="4">
        <f t="shared" si="183"/>
        <v>1.105583195135434E-4</v>
      </c>
      <c r="K4818" s="5">
        <f t="shared" si="184"/>
        <v>0.53244886677727044</v>
      </c>
    </row>
    <row r="4819" spans="1:11" x14ac:dyDescent="0.25">
      <c r="A4819" t="s">
        <v>3513</v>
      </c>
      <c r="C4819">
        <v>450961837</v>
      </c>
      <c r="D4819" t="s">
        <v>5</v>
      </c>
      <c r="E4819" t="s">
        <v>6</v>
      </c>
      <c r="F4819" t="s">
        <v>724</v>
      </c>
      <c r="G4819">
        <v>1</v>
      </c>
      <c r="H4819" s="2">
        <f>Tabelle13[[#This Row],[commits]]/Tabelle13[[#Totals],[commits]]</f>
        <v>4.6477904404246225E-6</v>
      </c>
      <c r="I4819" s="5">
        <f>Tabelle13[[#This Row],[%]]+I4818</f>
        <v>0.98034914201785128</v>
      </c>
      <c r="J4819" s="4">
        <f t="shared" si="183"/>
        <v>1.105583195135434E-4</v>
      </c>
      <c r="K4819" s="5">
        <f t="shared" si="184"/>
        <v>0.532559425096784</v>
      </c>
    </row>
    <row r="4820" spans="1:11" x14ac:dyDescent="0.25">
      <c r="A4820" t="s">
        <v>3514</v>
      </c>
      <c r="C4820" t="s">
        <v>3515</v>
      </c>
      <c r="D4820" t="s">
        <v>5</v>
      </c>
      <c r="E4820" t="s">
        <v>6</v>
      </c>
      <c r="F4820" t="s">
        <v>724</v>
      </c>
      <c r="G4820">
        <v>1</v>
      </c>
      <c r="H4820" s="2">
        <f>Tabelle13[[#This Row],[commits]]/Tabelle13[[#Totals],[commits]]</f>
        <v>4.6477904404246225E-6</v>
      </c>
      <c r="I4820" s="5">
        <f>Tabelle13[[#This Row],[%]]+I4819</f>
        <v>0.98035378980829169</v>
      </c>
      <c r="J4820" s="4">
        <f t="shared" si="183"/>
        <v>1.105583195135434E-4</v>
      </c>
      <c r="K4820" s="5">
        <f t="shared" si="184"/>
        <v>0.53266998341629757</v>
      </c>
    </row>
    <row r="4821" spans="1:11" x14ac:dyDescent="0.25">
      <c r="A4821" t="s">
        <v>3516</v>
      </c>
      <c r="C4821" t="s">
        <v>3517</v>
      </c>
      <c r="D4821" t="s">
        <v>5</v>
      </c>
      <c r="E4821" t="s">
        <v>6</v>
      </c>
      <c r="F4821" t="s">
        <v>724</v>
      </c>
      <c r="G4821">
        <v>1</v>
      </c>
      <c r="H4821" s="2">
        <f>Tabelle13[[#This Row],[commits]]/Tabelle13[[#Totals],[commits]]</f>
        <v>4.6477904404246225E-6</v>
      </c>
      <c r="I4821" s="5">
        <f>Tabelle13[[#This Row],[%]]+I4820</f>
        <v>0.98035843759873209</v>
      </c>
      <c r="J4821" s="4">
        <f t="shared" si="183"/>
        <v>1.105583195135434E-4</v>
      </c>
      <c r="K4821" s="5">
        <f t="shared" si="184"/>
        <v>0.53278054173581113</v>
      </c>
    </row>
    <row r="4822" spans="1:11" x14ac:dyDescent="0.25">
      <c r="A4822" t="s">
        <v>3518</v>
      </c>
      <c r="C4822" t="s">
        <v>3519</v>
      </c>
      <c r="D4822" t="s">
        <v>5</v>
      </c>
      <c r="E4822" t="s">
        <v>6</v>
      </c>
      <c r="F4822" t="s">
        <v>724</v>
      </c>
      <c r="G4822">
        <v>1</v>
      </c>
      <c r="H4822" s="2">
        <f>Tabelle13[[#This Row],[commits]]/Tabelle13[[#Totals],[commits]]</f>
        <v>4.6477904404246225E-6</v>
      </c>
      <c r="I4822" s="5">
        <f>Tabelle13[[#This Row],[%]]+I4821</f>
        <v>0.98036308538917249</v>
      </c>
      <c r="J4822" s="4">
        <f t="shared" si="183"/>
        <v>1.105583195135434E-4</v>
      </c>
      <c r="K4822" s="5">
        <f t="shared" si="184"/>
        <v>0.5328911000553247</v>
      </c>
    </row>
    <row r="4823" spans="1:11" x14ac:dyDescent="0.25">
      <c r="A4823" t="s">
        <v>3520</v>
      </c>
      <c r="C4823" t="s">
        <v>3521</v>
      </c>
      <c r="D4823" t="s">
        <v>5</v>
      </c>
      <c r="E4823" t="s">
        <v>6</v>
      </c>
      <c r="F4823" t="s">
        <v>724</v>
      </c>
      <c r="G4823">
        <v>1</v>
      </c>
      <c r="H4823" s="2">
        <f>Tabelle13[[#This Row],[commits]]/Tabelle13[[#Totals],[commits]]</f>
        <v>4.6477904404246225E-6</v>
      </c>
      <c r="I4823" s="5">
        <f>Tabelle13[[#This Row],[%]]+I4822</f>
        <v>0.9803677331796129</v>
      </c>
      <c r="J4823" s="4">
        <f t="shared" si="183"/>
        <v>1.105583195135434E-4</v>
      </c>
      <c r="K4823" s="5">
        <f t="shared" si="184"/>
        <v>0.53300165837483826</v>
      </c>
    </row>
    <row r="4824" spans="1:11" x14ac:dyDescent="0.25">
      <c r="A4824" t="s">
        <v>3522</v>
      </c>
      <c r="C4824" t="s">
        <v>3523</v>
      </c>
      <c r="D4824" t="s">
        <v>5</v>
      </c>
      <c r="E4824" t="s">
        <v>6</v>
      </c>
      <c r="F4824" t="s">
        <v>724</v>
      </c>
      <c r="G4824">
        <v>1</v>
      </c>
      <c r="H4824" s="2">
        <f>Tabelle13[[#This Row],[commits]]/Tabelle13[[#Totals],[commits]]</f>
        <v>4.6477904404246225E-6</v>
      </c>
      <c r="I4824" s="5">
        <f>Tabelle13[[#This Row],[%]]+I4823</f>
        <v>0.9803723809700533</v>
      </c>
      <c r="J4824" s="4">
        <f t="shared" si="183"/>
        <v>1.105583195135434E-4</v>
      </c>
      <c r="K4824" s="5">
        <f t="shared" si="184"/>
        <v>0.53311221669435183</v>
      </c>
    </row>
    <row r="4825" spans="1:11" x14ac:dyDescent="0.25">
      <c r="A4825" t="s">
        <v>3524</v>
      </c>
      <c r="C4825" t="s">
        <v>3525</v>
      </c>
      <c r="D4825" t="s">
        <v>5</v>
      </c>
      <c r="E4825" t="s">
        <v>6</v>
      </c>
      <c r="F4825" t="s">
        <v>724</v>
      </c>
      <c r="G4825">
        <v>1</v>
      </c>
      <c r="H4825" s="2">
        <f>Tabelle13[[#This Row],[commits]]/Tabelle13[[#Totals],[commits]]</f>
        <v>4.6477904404246225E-6</v>
      </c>
      <c r="I4825" s="5">
        <f>Tabelle13[[#This Row],[%]]+I4824</f>
        <v>0.98037702876049371</v>
      </c>
      <c r="J4825" s="4">
        <f t="shared" si="183"/>
        <v>1.105583195135434E-4</v>
      </c>
      <c r="K4825" s="5">
        <f t="shared" si="184"/>
        <v>0.53322277501386539</v>
      </c>
    </row>
    <row r="4826" spans="1:11" x14ac:dyDescent="0.25">
      <c r="A4826" t="s">
        <v>3526</v>
      </c>
      <c r="C4826" t="s">
        <v>1873</v>
      </c>
      <c r="D4826" t="s">
        <v>5</v>
      </c>
      <c r="E4826" t="s">
        <v>6</v>
      </c>
      <c r="F4826" t="s">
        <v>724</v>
      </c>
      <c r="G4826">
        <v>1</v>
      </c>
      <c r="H4826" s="2">
        <f>Tabelle13[[#This Row],[commits]]/Tabelle13[[#Totals],[commits]]</f>
        <v>4.6477904404246225E-6</v>
      </c>
      <c r="I4826" s="5">
        <f>Tabelle13[[#This Row],[%]]+I4825</f>
        <v>0.98038167655093411</v>
      </c>
      <c r="J4826" s="4">
        <f t="shared" si="183"/>
        <v>1.105583195135434E-4</v>
      </c>
      <c r="K4826" s="5">
        <f t="shared" si="184"/>
        <v>0.53333333333337896</v>
      </c>
    </row>
    <row r="4827" spans="1:11" x14ac:dyDescent="0.25">
      <c r="A4827" t="s">
        <v>3527</v>
      </c>
      <c r="C4827" t="s">
        <v>3528</v>
      </c>
      <c r="D4827" t="s">
        <v>5</v>
      </c>
      <c r="E4827" t="s">
        <v>6</v>
      </c>
      <c r="F4827" t="s">
        <v>724</v>
      </c>
      <c r="G4827">
        <v>1</v>
      </c>
      <c r="H4827" s="2">
        <f>Tabelle13[[#This Row],[commits]]/Tabelle13[[#Totals],[commits]]</f>
        <v>4.6477904404246225E-6</v>
      </c>
      <c r="I4827" s="5">
        <f>Tabelle13[[#This Row],[%]]+I4826</f>
        <v>0.98038632434137452</v>
      </c>
      <c r="J4827" s="4">
        <f t="shared" si="183"/>
        <v>1.105583195135434E-4</v>
      </c>
      <c r="K4827" s="5">
        <f t="shared" si="184"/>
        <v>0.53344389165289252</v>
      </c>
    </row>
    <row r="4828" spans="1:11" x14ac:dyDescent="0.25">
      <c r="A4828" t="s">
        <v>3529</v>
      </c>
      <c r="C4828" t="s">
        <v>3530</v>
      </c>
      <c r="D4828" t="s">
        <v>5</v>
      </c>
      <c r="E4828" t="s">
        <v>6</v>
      </c>
      <c r="F4828" t="s">
        <v>724</v>
      </c>
      <c r="G4828">
        <v>1</v>
      </c>
      <c r="H4828" s="2">
        <f>Tabelle13[[#This Row],[commits]]/Tabelle13[[#Totals],[commits]]</f>
        <v>4.6477904404246225E-6</v>
      </c>
      <c r="I4828" s="5">
        <f>Tabelle13[[#This Row],[%]]+I4827</f>
        <v>0.98039097213181492</v>
      </c>
      <c r="J4828" s="4">
        <f t="shared" si="183"/>
        <v>1.105583195135434E-4</v>
      </c>
      <c r="K4828" s="5">
        <f t="shared" si="184"/>
        <v>0.53355444997240609</v>
      </c>
    </row>
    <row r="4829" spans="1:11" x14ac:dyDescent="0.25">
      <c r="A4829" t="s">
        <v>3531</v>
      </c>
      <c r="C4829" t="s">
        <v>3532</v>
      </c>
      <c r="D4829" t="s">
        <v>5</v>
      </c>
      <c r="E4829" t="s">
        <v>6</v>
      </c>
      <c r="F4829" t="s">
        <v>724</v>
      </c>
      <c r="G4829">
        <v>1</v>
      </c>
      <c r="H4829" s="2">
        <f>Tabelle13[[#This Row],[commits]]/Tabelle13[[#Totals],[commits]]</f>
        <v>4.6477904404246225E-6</v>
      </c>
      <c r="I4829" s="5">
        <f>Tabelle13[[#This Row],[%]]+I4828</f>
        <v>0.98039561992225532</v>
      </c>
      <c r="J4829" s="4">
        <f t="shared" si="183"/>
        <v>1.105583195135434E-4</v>
      </c>
      <c r="K4829" s="5">
        <f t="shared" si="184"/>
        <v>0.53366500829191965</v>
      </c>
    </row>
    <row r="4830" spans="1:11" x14ac:dyDescent="0.25">
      <c r="A4830" t="s">
        <v>3533</v>
      </c>
      <c r="C4830" t="s">
        <v>3534</v>
      </c>
      <c r="D4830" t="s">
        <v>5</v>
      </c>
      <c r="E4830" t="s">
        <v>6</v>
      </c>
      <c r="F4830" t="s">
        <v>724</v>
      </c>
      <c r="G4830">
        <v>1</v>
      </c>
      <c r="H4830" s="2">
        <f>Tabelle13[[#This Row],[commits]]/Tabelle13[[#Totals],[commits]]</f>
        <v>4.6477904404246225E-6</v>
      </c>
      <c r="I4830" s="5">
        <f>Tabelle13[[#This Row],[%]]+I4829</f>
        <v>0.98040026771269573</v>
      </c>
      <c r="J4830" s="4">
        <f t="shared" si="183"/>
        <v>1.105583195135434E-4</v>
      </c>
      <c r="K4830" s="5">
        <f t="shared" si="184"/>
        <v>0.53377556661143322</v>
      </c>
    </row>
    <row r="4831" spans="1:11" x14ac:dyDescent="0.25">
      <c r="A4831" t="s">
        <v>3535</v>
      </c>
      <c r="C4831" t="s">
        <v>26</v>
      </c>
      <c r="D4831" t="s">
        <v>5</v>
      </c>
      <c r="E4831" t="s">
        <v>6</v>
      </c>
      <c r="F4831" t="s">
        <v>724</v>
      </c>
      <c r="G4831">
        <v>1</v>
      </c>
      <c r="H4831" s="2">
        <f>Tabelle13[[#This Row],[commits]]/Tabelle13[[#Totals],[commits]]</f>
        <v>4.6477904404246225E-6</v>
      </c>
      <c r="I4831" s="5">
        <f>Tabelle13[[#This Row],[%]]+I4830</f>
        <v>0.98040491550313613</v>
      </c>
      <c r="J4831" s="4">
        <f t="shared" si="183"/>
        <v>1.105583195135434E-4</v>
      </c>
      <c r="K4831" s="5">
        <f t="shared" si="184"/>
        <v>0.53388612493094678</v>
      </c>
    </row>
    <row r="4832" spans="1:11" x14ac:dyDescent="0.25">
      <c r="A4832" t="s">
        <v>3536</v>
      </c>
      <c r="C4832" t="s">
        <v>3537</v>
      </c>
      <c r="D4832" t="s">
        <v>5</v>
      </c>
      <c r="E4832" t="s">
        <v>6</v>
      </c>
      <c r="F4832" t="s">
        <v>724</v>
      </c>
      <c r="G4832">
        <v>1</v>
      </c>
      <c r="H4832" s="2">
        <f>Tabelle13[[#This Row],[commits]]/Tabelle13[[#Totals],[commits]]</f>
        <v>4.6477904404246225E-6</v>
      </c>
      <c r="I4832" s="5">
        <f>Tabelle13[[#This Row],[%]]+I4831</f>
        <v>0.98040956329357654</v>
      </c>
      <c r="J4832" s="4">
        <f t="shared" si="183"/>
        <v>1.105583195135434E-4</v>
      </c>
      <c r="K4832" s="5">
        <f t="shared" si="184"/>
        <v>0.53399668325046035</v>
      </c>
    </row>
    <row r="4833" spans="1:11" x14ac:dyDescent="0.25">
      <c r="A4833" t="s">
        <v>3538</v>
      </c>
      <c r="C4833" t="s">
        <v>3539</v>
      </c>
      <c r="D4833" t="s">
        <v>5</v>
      </c>
      <c r="E4833" t="s">
        <v>6</v>
      </c>
      <c r="F4833" t="s">
        <v>724</v>
      </c>
      <c r="G4833">
        <v>1</v>
      </c>
      <c r="H4833" s="2">
        <f>Tabelle13[[#This Row],[commits]]/Tabelle13[[#Totals],[commits]]</f>
        <v>4.6477904404246225E-6</v>
      </c>
      <c r="I4833" s="5">
        <f>Tabelle13[[#This Row],[%]]+I4832</f>
        <v>0.98041421108401694</v>
      </c>
      <c r="J4833" s="4">
        <f t="shared" si="183"/>
        <v>1.105583195135434E-4</v>
      </c>
      <c r="K4833" s="5">
        <f t="shared" si="184"/>
        <v>0.53410724156997391</v>
      </c>
    </row>
    <row r="4834" spans="1:11" x14ac:dyDescent="0.25">
      <c r="A4834" t="s">
        <v>3540</v>
      </c>
      <c r="C4834" t="s">
        <v>3541</v>
      </c>
      <c r="D4834" t="s">
        <v>5</v>
      </c>
      <c r="E4834" t="s">
        <v>6</v>
      </c>
      <c r="F4834" t="s">
        <v>724</v>
      </c>
      <c r="G4834">
        <v>1</v>
      </c>
      <c r="H4834" s="2">
        <f>Tabelle13[[#This Row],[commits]]/Tabelle13[[#Totals],[commits]]</f>
        <v>4.6477904404246225E-6</v>
      </c>
      <c r="I4834" s="5">
        <f>Tabelle13[[#This Row],[%]]+I4833</f>
        <v>0.98041885887445734</v>
      </c>
      <c r="J4834" s="4">
        <f t="shared" si="183"/>
        <v>1.105583195135434E-4</v>
      </c>
      <c r="K4834" s="5">
        <f t="shared" si="184"/>
        <v>0.53421779988948748</v>
      </c>
    </row>
    <row r="4835" spans="1:11" x14ac:dyDescent="0.25">
      <c r="A4835" t="s">
        <v>3542</v>
      </c>
      <c r="C4835" t="s">
        <v>3543</v>
      </c>
      <c r="D4835" t="s">
        <v>5</v>
      </c>
      <c r="E4835" t="s">
        <v>6</v>
      </c>
      <c r="F4835" t="s">
        <v>724</v>
      </c>
      <c r="G4835">
        <v>1</v>
      </c>
      <c r="H4835" s="2">
        <f>Tabelle13[[#This Row],[commits]]/Tabelle13[[#Totals],[commits]]</f>
        <v>4.6477904404246225E-6</v>
      </c>
      <c r="I4835" s="5">
        <f>Tabelle13[[#This Row],[%]]+I4834</f>
        <v>0.98042350666489775</v>
      </c>
      <c r="J4835" s="4">
        <f t="shared" si="183"/>
        <v>1.105583195135434E-4</v>
      </c>
      <c r="K4835" s="5">
        <f t="shared" si="184"/>
        <v>0.53432835820900104</v>
      </c>
    </row>
    <row r="4836" spans="1:11" x14ac:dyDescent="0.25">
      <c r="A4836" t="s">
        <v>3544</v>
      </c>
      <c r="C4836" t="s">
        <v>3545</v>
      </c>
      <c r="D4836" t="s">
        <v>5</v>
      </c>
      <c r="E4836" t="s">
        <v>6</v>
      </c>
      <c r="F4836" t="s">
        <v>724</v>
      </c>
      <c r="G4836">
        <v>1</v>
      </c>
      <c r="H4836" s="2">
        <f>Tabelle13[[#This Row],[commits]]/Tabelle13[[#Totals],[commits]]</f>
        <v>4.6477904404246225E-6</v>
      </c>
      <c r="I4836" s="5">
        <f>Tabelle13[[#This Row],[%]]+I4835</f>
        <v>0.98042815445533815</v>
      </c>
      <c r="J4836" s="4">
        <f t="shared" si="183"/>
        <v>1.105583195135434E-4</v>
      </c>
      <c r="K4836" s="5">
        <f t="shared" si="184"/>
        <v>0.53443891652851461</v>
      </c>
    </row>
    <row r="4837" spans="1:11" x14ac:dyDescent="0.25">
      <c r="A4837" t="s">
        <v>3546</v>
      </c>
      <c r="C4837" t="s">
        <v>3547</v>
      </c>
      <c r="D4837" t="s">
        <v>5</v>
      </c>
      <c r="E4837" t="s">
        <v>6</v>
      </c>
      <c r="F4837" t="s">
        <v>724</v>
      </c>
      <c r="G4837">
        <v>1</v>
      </c>
      <c r="H4837" s="2">
        <f>Tabelle13[[#This Row],[commits]]/Tabelle13[[#Totals],[commits]]</f>
        <v>4.6477904404246225E-6</v>
      </c>
      <c r="I4837" s="5">
        <f>Tabelle13[[#This Row],[%]]+I4836</f>
        <v>0.98043280224577856</v>
      </c>
      <c r="J4837" s="4">
        <f t="shared" si="183"/>
        <v>1.105583195135434E-4</v>
      </c>
      <c r="K4837" s="5">
        <f t="shared" si="184"/>
        <v>0.53454947484802817</v>
      </c>
    </row>
    <row r="4838" spans="1:11" x14ac:dyDescent="0.25">
      <c r="A4838" t="s">
        <v>3548</v>
      </c>
      <c r="C4838" t="s">
        <v>3549</v>
      </c>
      <c r="D4838" t="s">
        <v>5</v>
      </c>
      <c r="E4838" t="s">
        <v>6</v>
      </c>
      <c r="F4838" t="s">
        <v>724</v>
      </c>
      <c r="G4838">
        <v>1</v>
      </c>
      <c r="H4838" s="2">
        <f>Tabelle13[[#This Row],[commits]]/Tabelle13[[#Totals],[commits]]</f>
        <v>4.6477904404246225E-6</v>
      </c>
      <c r="I4838" s="5">
        <f>Tabelle13[[#This Row],[%]]+I4837</f>
        <v>0.98043745003621896</v>
      </c>
      <c r="J4838" s="4">
        <f t="shared" si="183"/>
        <v>1.105583195135434E-4</v>
      </c>
      <c r="K4838" s="5">
        <f t="shared" si="184"/>
        <v>0.53466003316754174</v>
      </c>
    </row>
    <row r="4839" spans="1:11" x14ac:dyDescent="0.25">
      <c r="A4839" t="s">
        <v>3550</v>
      </c>
      <c r="C4839" t="s">
        <v>3551</v>
      </c>
      <c r="D4839" t="s">
        <v>5</v>
      </c>
      <c r="E4839" t="s">
        <v>6</v>
      </c>
      <c r="F4839" t="s">
        <v>724</v>
      </c>
      <c r="G4839">
        <v>1</v>
      </c>
      <c r="H4839" s="2">
        <f>Tabelle13[[#This Row],[commits]]/Tabelle13[[#Totals],[commits]]</f>
        <v>4.6477904404246225E-6</v>
      </c>
      <c r="I4839" s="5">
        <f>Tabelle13[[#This Row],[%]]+I4838</f>
        <v>0.98044209782665936</v>
      </c>
      <c r="J4839" s="4">
        <f t="shared" si="183"/>
        <v>1.105583195135434E-4</v>
      </c>
      <c r="K4839" s="5">
        <f t="shared" si="184"/>
        <v>0.5347705914870553</v>
      </c>
    </row>
    <row r="4840" spans="1:11" x14ac:dyDescent="0.25">
      <c r="A4840" t="s">
        <v>3552</v>
      </c>
      <c r="C4840" t="s">
        <v>3553</v>
      </c>
      <c r="D4840" t="s">
        <v>5</v>
      </c>
      <c r="E4840" t="s">
        <v>6</v>
      </c>
      <c r="F4840" t="s">
        <v>724</v>
      </c>
      <c r="G4840">
        <v>1</v>
      </c>
      <c r="H4840" s="2">
        <f>Tabelle13[[#This Row],[commits]]/Tabelle13[[#Totals],[commits]]</f>
        <v>4.6477904404246225E-6</v>
      </c>
      <c r="I4840" s="5">
        <f>Tabelle13[[#This Row],[%]]+I4839</f>
        <v>0.98044674561709977</v>
      </c>
      <c r="J4840" s="4">
        <f t="shared" si="183"/>
        <v>1.105583195135434E-4</v>
      </c>
      <c r="K4840" s="5">
        <f t="shared" si="184"/>
        <v>0.53488114980656887</v>
      </c>
    </row>
    <row r="4841" spans="1:11" x14ac:dyDescent="0.25">
      <c r="A4841" t="s">
        <v>3554</v>
      </c>
      <c r="C4841" t="s">
        <v>3555</v>
      </c>
      <c r="D4841" t="s">
        <v>5</v>
      </c>
      <c r="E4841" t="s">
        <v>6</v>
      </c>
      <c r="F4841" t="s">
        <v>724</v>
      </c>
      <c r="G4841">
        <v>1</v>
      </c>
      <c r="H4841" s="2">
        <f>Tabelle13[[#This Row],[commits]]/Tabelle13[[#Totals],[commits]]</f>
        <v>4.6477904404246225E-6</v>
      </c>
      <c r="I4841" s="5">
        <f>Tabelle13[[#This Row],[%]]+I4840</f>
        <v>0.98045139340754017</v>
      </c>
      <c r="J4841" s="4">
        <f t="shared" si="183"/>
        <v>1.105583195135434E-4</v>
      </c>
      <c r="K4841" s="5">
        <f t="shared" si="184"/>
        <v>0.53499170812608243</v>
      </c>
    </row>
    <row r="4842" spans="1:11" x14ac:dyDescent="0.25">
      <c r="A4842" t="s">
        <v>3556</v>
      </c>
      <c r="C4842" t="s">
        <v>3557</v>
      </c>
      <c r="D4842" t="s">
        <v>5</v>
      </c>
      <c r="E4842" t="s">
        <v>6</v>
      </c>
      <c r="F4842" t="s">
        <v>724</v>
      </c>
      <c r="G4842">
        <v>1</v>
      </c>
      <c r="H4842" s="2">
        <f>Tabelle13[[#This Row],[commits]]/Tabelle13[[#Totals],[commits]]</f>
        <v>4.6477904404246225E-6</v>
      </c>
      <c r="I4842" s="5">
        <f>Tabelle13[[#This Row],[%]]+I4841</f>
        <v>0.98045604119798058</v>
      </c>
      <c r="J4842" s="4">
        <f t="shared" si="183"/>
        <v>1.105583195135434E-4</v>
      </c>
      <c r="K4842" s="5">
        <f t="shared" si="184"/>
        <v>0.535102266445596</v>
      </c>
    </row>
    <row r="4843" spans="1:11" x14ac:dyDescent="0.25">
      <c r="A4843" t="s">
        <v>3558</v>
      </c>
      <c r="C4843" t="s">
        <v>3559</v>
      </c>
      <c r="D4843" t="s">
        <v>5</v>
      </c>
      <c r="E4843" t="s">
        <v>6</v>
      </c>
      <c r="F4843" t="s">
        <v>724</v>
      </c>
      <c r="G4843">
        <v>1</v>
      </c>
      <c r="H4843" s="2">
        <f>Tabelle13[[#This Row],[commits]]/Tabelle13[[#Totals],[commits]]</f>
        <v>4.6477904404246225E-6</v>
      </c>
      <c r="I4843" s="5">
        <f>Tabelle13[[#This Row],[%]]+I4842</f>
        <v>0.98046068898842098</v>
      </c>
      <c r="J4843" s="4">
        <f t="shared" si="183"/>
        <v>1.105583195135434E-4</v>
      </c>
      <c r="K4843" s="5">
        <f t="shared" si="184"/>
        <v>0.53521282476510956</v>
      </c>
    </row>
    <row r="4844" spans="1:11" x14ac:dyDescent="0.25">
      <c r="A4844" t="s">
        <v>3560</v>
      </c>
      <c r="C4844" t="s">
        <v>3561</v>
      </c>
      <c r="D4844" t="s">
        <v>5</v>
      </c>
      <c r="E4844" t="s">
        <v>6</v>
      </c>
      <c r="F4844" t="s">
        <v>724</v>
      </c>
      <c r="G4844">
        <v>1</v>
      </c>
      <c r="H4844" s="2">
        <f>Tabelle13[[#This Row],[commits]]/Tabelle13[[#Totals],[commits]]</f>
        <v>4.6477904404246225E-6</v>
      </c>
      <c r="I4844" s="5">
        <f>Tabelle13[[#This Row],[%]]+I4843</f>
        <v>0.98046533677886138</v>
      </c>
      <c r="J4844" s="4">
        <f t="shared" si="183"/>
        <v>1.105583195135434E-4</v>
      </c>
      <c r="K4844" s="5">
        <f t="shared" si="184"/>
        <v>0.53532338308462313</v>
      </c>
    </row>
    <row r="4845" spans="1:11" x14ac:dyDescent="0.25">
      <c r="A4845" t="s">
        <v>3562</v>
      </c>
      <c r="C4845" t="s">
        <v>3563</v>
      </c>
      <c r="D4845" t="s">
        <v>5</v>
      </c>
      <c r="E4845" t="s">
        <v>6</v>
      </c>
      <c r="F4845" t="s">
        <v>724</v>
      </c>
      <c r="G4845">
        <v>1</v>
      </c>
      <c r="H4845" s="2">
        <f>Tabelle13[[#This Row],[commits]]/Tabelle13[[#Totals],[commits]]</f>
        <v>4.6477904404246225E-6</v>
      </c>
      <c r="I4845" s="5">
        <f>Tabelle13[[#This Row],[%]]+I4844</f>
        <v>0.98046998456930179</v>
      </c>
      <c r="J4845" s="4">
        <f t="shared" si="183"/>
        <v>1.105583195135434E-4</v>
      </c>
      <c r="K4845" s="5">
        <f t="shared" si="184"/>
        <v>0.53543394140413669</v>
      </c>
    </row>
    <row r="4846" spans="1:11" x14ac:dyDescent="0.25">
      <c r="A4846" t="s">
        <v>3564</v>
      </c>
      <c r="C4846" t="s">
        <v>3565</v>
      </c>
      <c r="D4846" t="s">
        <v>5</v>
      </c>
      <c r="E4846" t="s">
        <v>6</v>
      </c>
      <c r="F4846" t="s">
        <v>724</v>
      </c>
      <c r="G4846">
        <v>1</v>
      </c>
      <c r="H4846" s="2">
        <f>Tabelle13[[#This Row],[commits]]/Tabelle13[[#Totals],[commits]]</f>
        <v>4.6477904404246225E-6</v>
      </c>
      <c r="I4846" s="5">
        <f>Tabelle13[[#This Row],[%]]+I4845</f>
        <v>0.98047463235974219</v>
      </c>
      <c r="J4846" s="4">
        <f t="shared" si="183"/>
        <v>1.105583195135434E-4</v>
      </c>
      <c r="K4846" s="5">
        <f t="shared" si="184"/>
        <v>0.53554449972365026</v>
      </c>
    </row>
    <row r="4847" spans="1:11" x14ac:dyDescent="0.25">
      <c r="A4847" t="s">
        <v>3566</v>
      </c>
      <c r="C4847" t="s">
        <v>3567</v>
      </c>
      <c r="D4847" t="s">
        <v>5</v>
      </c>
      <c r="E4847" t="s">
        <v>6</v>
      </c>
      <c r="F4847" t="s">
        <v>724</v>
      </c>
      <c r="G4847">
        <v>1</v>
      </c>
      <c r="H4847" s="2">
        <f>Tabelle13[[#This Row],[commits]]/Tabelle13[[#Totals],[commits]]</f>
        <v>4.6477904404246225E-6</v>
      </c>
      <c r="I4847" s="5">
        <f>Tabelle13[[#This Row],[%]]+I4846</f>
        <v>0.9804792801501826</v>
      </c>
      <c r="J4847" s="4">
        <f t="shared" si="183"/>
        <v>1.105583195135434E-4</v>
      </c>
      <c r="K4847" s="5">
        <f t="shared" si="184"/>
        <v>0.53565505804316382</v>
      </c>
    </row>
    <row r="4848" spans="1:11" x14ac:dyDescent="0.25">
      <c r="A4848" t="s">
        <v>3568</v>
      </c>
      <c r="C4848" t="s">
        <v>3569</v>
      </c>
      <c r="D4848" t="s">
        <v>5</v>
      </c>
      <c r="E4848" t="s">
        <v>6</v>
      </c>
      <c r="F4848" t="s">
        <v>724</v>
      </c>
      <c r="G4848">
        <v>1</v>
      </c>
      <c r="H4848" s="2">
        <f>Tabelle13[[#This Row],[commits]]/Tabelle13[[#Totals],[commits]]</f>
        <v>4.6477904404246225E-6</v>
      </c>
      <c r="I4848" s="5">
        <f>Tabelle13[[#This Row],[%]]+I4847</f>
        <v>0.980483927940623</v>
      </c>
      <c r="J4848" s="4">
        <f t="shared" si="183"/>
        <v>1.105583195135434E-4</v>
      </c>
      <c r="K4848" s="5">
        <f t="shared" si="184"/>
        <v>0.53576561636267739</v>
      </c>
    </row>
    <row r="4849" spans="1:11" x14ac:dyDescent="0.25">
      <c r="A4849" t="s">
        <v>3570</v>
      </c>
      <c r="C4849" t="s">
        <v>3571</v>
      </c>
      <c r="D4849" t="s">
        <v>5</v>
      </c>
      <c r="E4849" t="s">
        <v>6</v>
      </c>
      <c r="F4849" t="s">
        <v>724</v>
      </c>
      <c r="G4849">
        <v>1</v>
      </c>
      <c r="H4849" s="2">
        <f>Tabelle13[[#This Row],[commits]]/Tabelle13[[#Totals],[commits]]</f>
        <v>4.6477904404246225E-6</v>
      </c>
      <c r="I4849" s="5">
        <f>Tabelle13[[#This Row],[%]]+I4848</f>
        <v>0.98048857573106341</v>
      </c>
      <c r="J4849" s="4">
        <f t="shared" si="183"/>
        <v>1.105583195135434E-4</v>
      </c>
      <c r="K4849" s="5">
        <f t="shared" si="184"/>
        <v>0.53587617468219095</v>
      </c>
    </row>
    <row r="4850" spans="1:11" x14ac:dyDescent="0.25">
      <c r="A4850" t="s">
        <v>3572</v>
      </c>
      <c r="C4850" t="s">
        <v>3573</v>
      </c>
      <c r="D4850" t="s">
        <v>5</v>
      </c>
      <c r="E4850" t="s">
        <v>6</v>
      </c>
      <c r="F4850" t="s">
        <v>724</v>
      </c>
      <c r="G4850">
        <v>1</v>
      </c>
      <c r="H4850" s="2">
        <f>Tabelle13[[#This Row],[commits]]/Tabelle13[[#Totals],[commits]]</f>
        <v>4.6477904404246225E-6</v>
      </c>
      <c r="I4850" s="5">
        <f>Tabelle13[[#This Row],[%]]+I4849</f>
        <v>0.98049322352150381</v>
      </c>
      <c r="J4850" s="4">
        <f t="shared" si="183"/>
        <v>1.105583195135434E-4</v>
      </c>
      <c r="K4850" s="5">
        <f t="shared" si="184"/>
        <v>0.53598673300170452</v>
      </c>
    </row>
    <row r="4851" spans="1:11" x14ac:dyDescent="0.25">
      <c r="A4851" t="s">
        <v>3574</v>
      </c>
      <c r="C4851" t="s">
        <v>3575</v>
      </c>
      <c r="D4851" t="s">
        <v>5</v>
      </c>
      <c r="E4851" t="s">
        <v>6</v>
      </c>
      <c r="F4851" t="s">
        <v>724</v>
      </c>
      <c r="G4851">
        <v>1</v>
      </c>
      <c r="H4851" s="2">
        <f>Tabelle13[[#This Row],[commits]]/Tabelle13[[#Totals],[commits]]</f>
        <v>4.6477904404246225E-6</v>
      </c>
      <c r="I4851" s="5">
        <f>Tabelle13[[#This Row],[%]]+I4850</f>
        <v>0.98049787131194421</v>
      </c>
      <c r="J4851" s="4">
        <f t="shared" si="183"/>
        <v>1.105583195135434E-4</v>
      </c>
      <c r="K4851" s="5">
        <f t="shared" si="184"/>
        <v>0.53609729132121808</v>
      </c>
    </row>
    <row r="4852" spans="1:11" x14ac:dyDescent="0.25">
      <c r="A4852" t="s">
        <v>3576</v>
      </c>
      <c r="C4852" t="s">
        <v>3577</v>
      </c>
      <c r="D4852" t="s">
        <v>5</v>
      </c>
      <c r="E4852" t="s">
        <v>6</v>
      </c>
      <c r="F4852" t="s">
        <v>724</v>
      </c>
      <c r="G4852">
        <v>1</v>
      </c>
      <c r="H4852" s="2">
        <f>Tabelle13[[#This Row],[commits]]/Tabelle13[[#Totals],[commits]]</f>
        <v>4.6477904404246225E-6</v>
      </c>
      <c r="I4852" s="5">
        <f>Tabelle13[[#This Row],[%]]+I4851</f>
        <v>0.98050251910238462</v>
      </c>
      <c r="J4852" s="4">
        <f t="shared" si="183"/>
        <v>1.105583195135434E-4</v>
      </c>
      <c r="K4852" s="5">
        <f t="shared" si="184"/>
        <v>0.53620784964073165</v>
      </c>
    </row>
    <row r="4853" spans="1:11" x14ac:dyDescent="0.25">
      <c r="A4853" t="s">
        <v>3578</v>
      </c>
      <c r="C4853" t="s">
        <v>3579</v>
      </c>
      <c r="D4853" t="s">
        <v>5</v>
      </c>
      <c r="E4853" t="s">
        <v>6</v>
      </c>
      <c r="F4853" t="s">
        <v>724</v>
      </c>
      <c r="G4853">
        <v>1</v>
      </c>
      <c r="H4853" s="2">
        <f>Tabelle13[[#This Row],[commits]]/Tabelle13[[#Totals],[commits]]</f>
        <v>4.6477904404246225E-6</v>
      </c>
      <c r="I4853" s="5">
        <f>Tabelle13[[#This Row],[%]]+I4852</f>
        <v>0.98050716689282502</v>
      </c>
      <c r="J4853" s="4">
        <f t="shared" si="183"/>
        <v>1.105583195135434E-4</v>
      </c>
      <c r="K4853" s="5">
        <f t="shared" si="184"/>
        <v>0.53631840796024521</v>
      </c>
    </row>
    <row r="4854" spans="1:11" x14ac:dyDescent="0.25">
      <c r="A4854" t="s">
        <v>3580</v>
      </c>
      <c r="C4854" t="s">
        <v>3581</v>
      </c>
      <c r="D4854" t="s">
        <v>5</v>
      </c>
      <c r="E4854" t="s">
        <v>6</v>
      </c>
      <c r="F4854" t="s">
        <v>724</v>
      </c>
      <c r="G4854">
        <v>1</v>
      </c>
      <c r="H4854" s="2">
        <f>Tabelle13[[#This Row],[commits]]/Tabelle13[[#Totals],[commits]]</f>
        <v>4.6477904404246225E-6</v>
      </c>
      <c r="I4854" s="5">
        <f>Tabelle13[[#This Row],[%]]+I4853</f>
        <v>0.98051181468326543</v>
      </c>
      <c r="J4854" s="4">
        <f t="shared" si="183"/>
        <v>1.105583195135434E-4</v>
      </c>
      <c r="K4854" s="5">
        <f t="shared" si="184"/>
        <v>0.53642896627975878</v>
      </c>
    </row>
    <row r="4855" spans="1:11" x14ac:dyDescent="0.25">
      <c r="A4855" t="s">
        <v>3582</v>
      </c>
      <c r="C4855" t="s">
        <v>3583</v>
      </c>
      <c r="D4855" t="s">
        <v>5</v>
      </c>
      <c r="E4855" t="s">
        <v>6</v>
      </c>
      <c r="F4855" t="s">
        <v>724</v>
      </c>
      <c r="G4855">
        <v>1</v>
      </c>
      <c r="H4855" s="2">
        <f>Tabelle13[[#This Row],[commits]]/Tabelle13[[#Totals],[commits]]</f>
        <v>4.6477904404246225E-6</v>
      </c>
      <c r="I4855" s="5">
        <f>Tabelle13[[#This Row],[%]]+I4854</f>
        <v>0.98051646247370583</v>
      </c>
      <c r="J4855" s="4">
        <f t="shared" si="183"/>
        <v>1.105583195135434E-4</v>
      </c>
      <c r="K4855" s="5">
        <f t="shared" si="184"/>
        <v>0.53653952459927234</v>
      </c>
    </row>
    <row r="4856" spans="1:11" x14ac:dyDescent="0.25">
      <c r="A4856" t="s">
        <v>3584</v>
      </c>
      <c r="C4856" t="s">
        <v>3585</v>
      </c>
      <c r="D4856" t="s">
        <v>5</v>
      </c>
      <c r="E4856" t="s">
        <v>6</v>
      </c>
      <c r="F4856" t="s">
        <v>724</v>
      </c>
      <c r="G4856">
        <v>1</v>
      </c>
      <c r="H4856" s="2">
        <f>Tabelle13[[#This Row],[commits]]/Tabelle13[[#Totals],[commits]]</f>
        <v>4.6477904404246225E-6</v>
      </c>
      <c r="I4856" s="5">
        <f>Tabelle13[[#This Row],[%]]+I4855</f>
        <v>0.98052111026414623</v>
      </c>
      <c r="J4856" s="4">
        <f t="shared" si="183"/>
        <v>1.105583195135434E-4</v>
      </c>
      <c r="K4856" s="5">
        <f t="shared" si="184"/>
        <v>0.53665008291878591</v>
      </c>
    </row>
    <row r="4857" spans="1:11" x14ac:dyDescent="0.25">
      <c r="A4857" t="s">
        <v>3586</v>
      </c>
      <c r="C4857" t="s">
        <v>3587</v>
      </c>
      <c r="D4857" t="s">
        <v>5</v>
      </c>
      <c r="E4857" t="s">
        <v>6</v>
      </c>
      <c r="F4857" t="s">
        <v>724</v>
      </c>
      <c r="G4857">
        <v>1</v>
      </c>
      <c r="H4857" s="2">
        <f>Tabelle13[[#This Row],[commits]]/Tabelle13[[#Totals],[commits]]</f>
        <v>4.6477904404246225E-6</v>
      </c>
      <c r="I4857" s="5">
        <f>Tabelle13[[#This Row],[%]]+I4856</f>
        <v>0.98052575805458664</v>
      </c>
      <c r="J4857" s="4">
        <f t="shared" si="183"/>
        <v>1.105583195135434E-4</v>
      </c>
      <c r="K4857" s="5">
        <f t="shared" si="184"/>
        <v>0.53676064123829947</v>
      </c>
    </row>
    <row r="4858" spans="1:11" x14ac:dyDescent="0.25">
      <c r="A4858" t="s">
        <v>3588</v>
      </c>
      <c r="C4858" t="s">
        <v>3589</v>
      </c>
      <c r="D4858" t="s">
        <v>5</v>
      </c>
      <c r="E4858" t="s">
        <v>6</v>
      </c>
      <c r="F4858" t="s">
        <v>724</v>
      </c>
      <c r="G4858">
        <v>1</v>
      </c>
      <c r="H4858" s="2">
        <f>Tabelle13[[#This Row],[commits]]/Tabelle13[[#Totals],[commits]]</f>
        <v>4.6477904404246225E-6</v>
      </c>
      <c r="I4858" s="5">
        <f>Tabelle13[[#This Row],[%]]+I4857</f>
        <v>0.98053040584502704</v>
      </c>
      <c r="J4858" s="4">
        <f t="shared" si="183"/>
        <v>1.105583195135434E-4</v>
      </c>
      <c r="K4858" s="5">
        <f t="shared" si="184"/>
        <v>0.53687119955781304</v>
      </c>
    </row>
    <row r="4859" spans="1:11" x14ac:dyDescent="0.25">
      <c r="A4859" t="s">
        <v>3590</v>
      </c>
      <c r="C4859" t="s">
        <v>3591</v>
      </c>
      <c r="D4859" t="s">
        <v>5</v>
      </c>
      <c r="E4859" t="s">
        <v>6</v>
      </c>
      <c r="F4859" t="s">
        <v>724</v>
      </c>
      <c r="G4859">
        <v>1</v>
      </c>
      <c r="H4859" s="2">
        <f>Tabelle13[[#This Row],[commits]]/Tabelle13[[#Totals],[commits]]</f>
        <v>4.6477904404246225E-6</v>
      </c>
      <c r="I4859" s="5">
        <f>Tabelle13[[#This Row],[%]]+I4858</f>
        <v>0.98053505363546745</v>
      </c>
      <c r="J4859" s="4">
        <f t="shared" si="183"/>
        <v>1.105583195135434E-4</v>
      </c>
      <c r="K4859" s="5">
        <f t="shared" si="184"/>
        <v>0.5369817578773266</v>
      </c>
    </row>
    <row r="4860" spans="1:11" x14ac:dyDescent="0.25">
      <c r="A4860" t="s">
        <v>3592</v>
      </c>
      <c r="C4860" t="s">
        <v>3593</v>
      </c>
      <c r="D4860" t="s">
        <v>5</v>
      </c>
      <c r="E4860" t="s">
        <v>6</v>
      </c>
      <c r="F4860" t="s">
        <v>724</v>
      </c>
      <c r="G4860">
        <v>1</v>
      </c>
      <c r="H4860" s="2">
        <f>Tabelle13[[#This Row],[commits]]/Tabelle13[[#Totals],[commits]]</f>
        <v>4.6477904404246225E-6</v>
      </c>
      <c r="I4860" s="5">
        <f>Tabelle13[[#This Row],[%]]+I4859</f>
        <v>0.98053970142590785</v>
      </c>
      <c r="J4860" s="4">
        <f t="shared" si="183"/>
        <v>1.105583195135434E-4</v>
      </c>
      <c r="K4860" s="5">
        <f t="shared" si="184"/>
        <v>0.53709231619684017</v>
      </c>
    </row>
    <row r="4861" spans="1:11" x14ac:dyDescent="0.25">
      <c r="A4861" t="s">
        <v>3594</v>
      </c>
      <c r="C4861" t="s">
        <v>3595</v>
      </c>
      <c r="D4861" t="s">
        <v>5</v>
      </c>
      <c r="E4861" t="s">
        <v>6</v>
      </c>
      <c r="F4861" t="s">
        <v>724</v>
      </c>
      <c r="G4861">
        <v>1</v>
      </c>
      <c r="H4861" s="2">
        <f>Tabelle13[[#This Row],[commits]]/Tabelle13[[#Totals],[commits]]</f>
        <v>4.6477904404246225E-6</v>
      </c>
      <c r="I4861" s="5">
        <f>Tabelle13[[#This Row],[%]]+I4860</f>
        <v>0.98054434921634825</v>
      </c>
      <c r="J4861" s="4">
        <f t="shared" si="183"/>
        <v>1.105583195135434E-4</v>
      </c>
      <c r="K4861" s="5">
        <f t="shared" si="184"/>
        <v>0.53720287451635373</v>
      </c>
    </row>
    <row r="4862" spans="1:11" x14ac:dyDescent="0.25">
      <c r="A4862" t="s">
        <v>3596</v>
      </c>
      <c r="C4862" t="s">
        <v>3597</v>
      </c>
      <c r="D4862" t="s">
        <v>5</v>
      </c>
      <c r="E4862" t="s">
        <v>6</v>
      </c>
      <c r="F4862" t="s">
        <v>724</v>
      </c>
      <c r="G4862">
        <v>1</v>
      </c>
      <c r="H4862" s="2">
        <f>Tabelle13[[#This Row],[commits]]/Tabelle13[[#Totals],[commits]]</f>
        <v>4.6477904404246225E-6</v>
      </c>
      <c r="I4862" s="5">
        <f>Tabelle13[[#This Row],[%]]+I4861</f>
        <v>0.98054899700678866</v>
      </c>
      <c r="J4862" s="4">
        <f t="shared" si="183"/>
        <v>1.105583195135434E-4</v>
      </c>
      <c r="K4862" s="5">
        <f t="shared" si="184"/>
        <v>0.5373134328358673</v>
      </c>
    </row>
    <row r="4863" spans="1:11" x14ac:dyDescent="0.25">
      <c r="A4863" t="s">
        <v>3598</v>
      </c>
      <c r="C4863" t="s">
        <v>3599</v>
      </c>
      <c r="D4863" t="s">
        <v>5</v>
      </c>
      <c r="E4863" t="s">
        <v>6</v>
      </c>
      <c r="F4863" t="s">
        <v>724</v>
      </c>
      <c r="G4863">
        <v>1</v>
      </c>
      <c r="H4863" s="2">
        <f>Tabelle13[[#This Row],[commits]]/Tabelle13[[#Totals],[commits]]</f>
        <v>4.6477904404246225E-6</v>
      </c>
      <c r="I4863" s="5">
        <f>Tabelle13[[#This Row],[%]]+I4862</f>
        <v>0.98055364479722906</v>
      </c>
      <c r="J4863" s="4">
        <f t="shared" si="183"/>
        <v>1.105583195135434E-4</v>
      </c>
      <c r="K4863" s="5">
        <f t="shared" si="184"/>
        <v>0.53742399115538086</v>
      </c>
    </row>
    <row r="4864" spans="1:11" x14ac:dyDescent="0.25">
      <c r="A4864" t="s">
        <v>3600</v>
      </c>
      <c r="C4864" t="s">
        <v>3601</v>
      </c>
      <c r="D4864" t="s">
        <v>5</v>
      </c>
      <c r="E4864" t="s">
        <v>6</v>
      </c>
      <c r="F4864" t="s">
        <v>724</v>
      </c>
      <c r="G4864">
        <v>1</v>
      </c>
      <c r="H4864" s="2">
        <f>Tabelle13[[#This Row],[commits]]/Tabelle13[[#Totals],[commits]]</f>
        <v>4.6477904404246225E-6</v>
      </c>
      <c r="I4864" s="5">
        <f>Tabelle13[[#This Row],[%]]+I4863</f>
        <v>0.98055829258766947</v>
      </c>
      <c r="J4864" s="4">
        <f t="shared" si="183"/>
        <v>1.105583195135434E-4</v>
      </c>
      <c r="K4864" s="5">
        <f t="shared" si="184"/>
        <v>0.53753454947489443</v>
      </c>
    </row>
    <row r="4865" spans="1:11" x14ac:dyDescent="0.25">
      <c r="A4865" t="s">
        <v>3602</v>
      </c>
      <c r="C4865" t="s">
        <v>3603</v>
      </c>
      <c r="D4865" t="s">
        <v>5</v>
      </c>
      <c r="E4865" t="s">
        <v>6</v>
      </c>
      <c r="F4865" t="s">
        <v>724</v>
      </c>
      <c r="G4865">
        <v>1</v>
      </c>
      <c r="H4865" s="2">
        <f>Tabelle13[[#This Row],[commits]]/Tabelle13[[#Totals],[commits]]</f>
        <v>4.6477904404246225E-6</v>
      </c>
      <c r="I4865" s="5">
        <f>Tabelle13[[#This Row],[%]]+I4864</f>
        <v>0.98056294037810987</v>
      </c>
      <c r="J4865" s="4">
        <f t="shared" si="183"/>
        <v>1.105583195135434E-4</v>
      </c>
      <c r="K4865" s="5">
        <f t="shared" si="184"/>
        <v>0.53764510779440799</v>
      </c>
    </row>
    <row r="4866" spans="1:11" x14ac:dyDescent="0.25">
      <c r="A4866" t="s">
        <v>3604</v>
      </c>
      <c r="C4866" t="s">
        <v>3605</v>
      </c>
      <c r="D4866" t="s">
        <v>5</v>
      </c>
      <c r="E4866" t="s">
        <v>6</v>
      </c>
      <c r="F4866" t="s">
        <v>724</v>
      </c>
      <c r="G4866">
        <v>1</v>
      </c>
      <c r="H4866" s="2">
        <f>Tabelle13[[#This Row],[commits]]/Tabelle13[[#Totals],[commits]]</f>
        <v>4.6477904404246225E-6</v>
      </c>
      <c r="I4866" s="5">
        <f>Tabelle13[[#This Row],[%]]+I4865</f>
        <v>0.98056758816855027</v>
      </c>
      <c r="J4866" s="4">
        <f t="shared" si="183"/>
        <v>1.105583195135434E-4</v>
      </c>
      <c r="K4866" s="5">
        <f t="shared" si="184"/>
        <v>0.53775566611392156</v>
      </c>
    </row>
    <row r="4867" spans="1:11" x14ac:dyDescent="0.25">
      <c r="A4867" t="s">
        <v>3606</v>
      </c>
      <c r="C4867" t="s">
        <v>3607</v>
      </c>
      <c r="D4867" t="s">
        <v>5</v>
      </c>
      <c r="E4867" t="s">
        <v>6</v>
      </c>
      <c r="F4867" t="s">
        <v>724</v>
      </c>
      <c r="G4867">
        <v>1</v>
      </c>
      <c r="H4867" s="2">
        <f>Tabelle13[[#This Row],[commits]]/Tabelle13[[#Totals],[commits]]</f>
        <v>4.6477904404246225E-6</v>
      </c>
      <c r="I4867" s="5">
        <f>Tabelle13[[#This Row],[%]]+I4866</f>
        <v>0.98057223595899068</v>
      </c>
      <c r="J4867" s="4">
        <f t="shared" ref="J4867:J4930" si="185">1/9045</f>
        <v>1.105583195135434E-4</v>
      </c>
      <c r="K4867" s="5">
        <f t="shared" si="184"/>
        <v>0.53786622443343513</v>
      </c>
    </row>
    <row r="4868" spans="1:11" x14ac:dyDescent="0.25">
      <c r="A4868" t="s">
        <v>3608</v>
      </c>
      <c r="C4868" t="s">
        <v>3609</v>
      </c>
      <c r="D4868" t="s">
        <v>5</v>
      </c>
      <c r="E4868" t="s">
        <v>6</v>
      </c>
      <c r="F4868" t="s">
        <v>724</v>
      </c>
      <c r="G4868">
        <v>1</v>
      </c>
      <c r="H4868" s="2">
        <f>Tabelle13[[#This Row],[commits]]/Tabelle13[[#Totals],[commits]]</f>
        <v>4.6477904404246225E-6</v>
      </c>
      <c r="I4868" s="5">
        <f>Tabelle13[[#This Row],[%]]+I4867</f>
        <v>0.98057688374943108</v>
      </c>
      <c r="J4868" s="4">
        <f t="shared" si="185"/>
        <v>1.105583195135434E-4</v>
      </c>
      <c r="K4868" s="5">
        <f t="shared" si="184"/>
        <v>0.53797678275294869</v>
      </c>
    </row>
    <row r="4869" spans="1:11" x14ac:dyDescent="0.25">
      <c r="A4869" t="s">
        <v>3610</v>
      </c>
      <c r="C4869" t="s">
        <v>3611</v>
      </c>
      <c r="D4869" t="s">
        <v>5</v>
      </c>
      <c r="E4869" t="s">
        <v>6</v>
      </c>
      <c r="F4869" t="s">
        <v>724</v>
      </c>
      <c r="G4869">
        <v>1</v>
      </c>
      <c r="H4869" s="2">
        <f>Tabelle13[[#This Row],[commits]]/Tabelle13[[#Totals],[commits]]</f>
        <v>4.6477904404246225E-6</v>
      </c>
      <c r="I4869" s="5">
        <f>Tabelle13[[#This Row],[%]]+I4868</f>
        <v>0.98058153153987149</v>
      </c>
      <c r="J4869" s="4">
        <f t="shared" si="185"/>
        <v>1.105583195135434E-4</v>
      </c>
      <c r="K4869" s="5">
        <f t="shared" si="184"/>
        <v>0.53808734107246226</v>
      </c>
    </row>
    <row r="4870" spans="1:11" x14ac:dyDescent="0.25">
      <c r="A4870" t="s">
        <v>3612</v>
      </c>
      <c r="C4870" t="s">
        <v>3613</v>
      </c>
      <c r="D4870" t="s">
        <v>5</v>
      </c>
      <c r="E4870" t="s">
        <v>6</v>
      </c>
      <c r="F4870" t="s">
        <v>724</v>
      </c>
      <c r="G4870">
        <v>1</v>
      </c>
      <c r="H4870" s="2">
        <f>Tabelle13[[#This Row],[commits]]/Tabelle13[[#Totals],[commits]]</f>
        <v>4.6477904404246225E-6</v>
      </c>
      <c r="I4870" s="5">
        <f>Tabelle13[[#This Row],[%]]+I4869</f>
        <v>0.98058617933031189</v>
      </c>
      <c r="J4870" s="4">
        <f t="shared" si="185"/>
        <v>1.105583195135434E-4</v>
      </c>
      <c r="K4870" s="5">
        <f t="shared" ref="K4870:K4933" si="186">J4870+K4869</f>
        <v>0.53819789939197582</v>
      </c>
    </row>
    <row r="4871" spans="1:11" x14ac:dyDescent="0.25">
      <c r="A4871" t="s">
        <v>3614</v>
      </c>
      <c r="C4871">
        <v>838</v>
      </c>
      <c r="D4871" t="s">
        <v>5</v>
      </c>
      <c r="E4871" t="s">
        <v>6</v>
      </c>
      <c r="F4871" t="s">
        <v>724</v>
      </c>
      <c r="G4871">
        <v>1</v>
      </c>
      <c r="H4871" s="2">
        <f>Tabelle13[[#This Row],[commits]]/Tabelle13[[#Totals],[commits]]</f>
        <v>4.6477904404246225E-6</v>
      </c>
      <c r="I4871" s="5">
        <f>Tabelle13[[#This Row],[%]]+I4870</f>
        <v>0.9805908271207523</v>
      </c>
      <c r="J4871" s="4">
        <f t="shared" si="185"/>
        <v>1.105583195135434E-4</v>
      </c>
      <c r="K4871" s="5">
        <f t="shared" si="186"/>
        <v>0.53830845771148939</v>
      </c>
    </row>
    <row r="4872" spans="1:11" x14ac:dyDescent="0.25">
      <c r="A4872" t="s">
        <v>3615</v>
      </c>
      <c r="C4872" t="s">
        <v>3616</v>
      </c>
      <c r="D4872" t="s">
        <v>5</v>
      </c>
      <c r="E4872" t="s">
        <v>6</v>
      </c>
      <c r="F4872" t="s">
        <v>724</v>
      </c>
      <c r="G4872">
        <v>1</v>
      </c>
      <c r="H4872" s="2">
        <f>Tabelle13[[#This Row],[commits]]/Tabelle13[[#Totals],[commits]]</f>
        <v>4.6477904404246225E-6</v>
      </c>
      <c r="I4872" s="5">
        <f>Tabelle13[[#This Row],[%]]+I4871</f>
        <v>0.9805954749111927</v>
      </c>
      <c r="J4872" s="4">
        <f t="shared" si="185"/>
        <v>1.105583195135434E-4</v>
      </c>
      <c r="K4872" s="5">
        <f t="shared" si="186"/>
        <v>0.53841901603100295</v>
      </c>
    </row>
    <row r="4873" spans="1:11" x14ac:dyDescent="0.25">
      <c r="A4873" t="s">
        <v>3617</v>
      </c>
      <c r="C4873" t="s">
        <v>3618</v>
      </c>
      <c r="D4873" t="s">
        <v>5</v>
      </c>
      <c r="E4873" t="s">
        <v>6</v>
      </c>
      <c r="F4873" t="s">
        <v>724</v>
      </c>
      <c r="G4873">
        <v>1</v>
      </c>
      <c r="H4873" s="2">
        <f>Tabelle13[[#This Row],[commits]]/Tabelle13[[#Totals],[commits]]</f>
        <v>4.6477904404246225E-6</v>
      </c>
      <c r="I4873" s="5">
        <f>Tabelle13[[#This Row],[%]]+I4872</f>
        <v>0.9806001227016331</v>
      </c>
      <c r="J4873" s="4">
        <f t="shared" si="185"/>
        <v>1.105583195135434E-4</v>
      </c>
      <c r="K4873" s="5">
        <f t="shared" si="186"/>
        <v>0.53852957435051652</v>
      </c>
    </row>
    <row r="4874" spans="1:11" x14ac:dyDescent="0.25">
      <c r="A4874" t="s">
        <v>3619</v>
      </c>
      <c r="C4874" t="s">
        <v>26</v>
      </c>
      <c r="D4874" t="s">
        <v>5</v>
      </c>
      <c r="E4874" t="s">
        <v>6</v>
      </c>
      <c r="F4874" t="s">
        <v>724</v>
      </c>
      <c r="G4874">
        <v>1</v>
      </c>
      <c r="H4874" s="2">
        <f>Tabelle13[[#This Row],[commits]]/Tabelle13[[#Totals],[commits]]</f>
        <v>4.6477904404246225E-6</v>
      </c>
      <c r="I4874" s="5">
        <f>Tabelle13[[#This Row],[%]]+I4873</f>
        <v>0.98060477049207351</v>
      </c>
      <c r="J4874" s="4">
        <f t="shared" si="185"/>
        <v>1.105583195135434E-4</v>
      </c>
      <c r="K4874" s="5">
        <f t="shared" si="186"/>
        <v>0.53864013267003008</v>
      </c>
    </row>
    <row r="4875" spans="1:11" x14ac:dyDescent="0.25">
      <c r="A4875" t="s">
        <v>3620</v>
      </c>
      <c r="C4875" t="s">
        <v>3621</v>
      </c>
      <c r="D4875" t="s">
        <v>5</v>
      </c>
      <c r="E4875" t="s">
        <v>6</v>
      </c>
      <c r="F4875" t="s">
        <v>724</v>
      </c>
      <c r="G4875">
        <v>1</v>
      </c>
      <c r="H4875" s="2">
        <f>Tabelle13[[#This Row],[commits]]/Tabelle13[[#Totals],[commits]]</f>
        <v>4.6477904404246225E-6</v>
      </c>
      <c r="I4875" s="5">
        <f>Tabelle13[[#This Row],[%]]+I4874</f>
        <v>0.98060941828251391</v>
      </c>
      <c r="J4875" s="4">
        <f t="shared" si="185"/>
        <v>1.105583195135434E-4</v>
      </c>
      <c r="K4875" s="5">
        <f t="shared" si="186"/>
        <v>0.53875069098954365</v>
      </c>
    </row>
    <row r="4876" spans="1:11" x14ac:dyDescent="0.25">
      <c r="A4876" t="s">
        <v>3622</v>
      </c>
      <c r="C4876" t="s">
        <v>3623</v>
      </c>
      <c r="D4876" t="s">
        <v>5</v>
      </c>
      <c r="E4876" t="s">
        <v>6</v>
      </c>
      <c r="F4876" t="s">
        <v>724</v>
      </c>
      <c r="G4876">
        <v>1</v>
      </c>
      <c r="H4876" s="2">
        <f>Tabelle13[[#This Row],[commits]]/Tabelle13[[#Totals],[commits]]</f>
        <v>4.6477904404246225E-6</v>
      </c>
      <c r="I4876" s="5">
        <f>Tabelle13[[#This Row],[%]]+I4875</f>
        <v>0.98061406607295432</v>
      </c>
      <c r="J4876" s="4">
        <f t="shared" si="185"/>
        <v>1.105583195135434E-4</v>
      </c>
      <c r="K4876" s="5">
        <f t="shared" si="186"/>
        <v>0.53886124930905721</v>
      </c>
    </row>
    <row r="4877" spans="1:11" x14ac:dyDescent="0.25">
      <c r="A4877" t="s">
        <v>3624</v>
      </c>
      <c r="C4877" t="s">
        <v>3625</v>
      </c>
      <c r="D4877" t="s">
        <v>5</v>
      </c>
      <c r="E4877" t="s">
        <v>6</v>
      </c>
      <c r="F4877" t="s">
        <v>724</v>
      </c>
      <c r="G4877">
        <v>1</v>
      </c>
      <c r="H4877" s="2">
        <f>Tabelle13[[#This Row],[commits]]/Tabelle13[[#Totals],[commits]]</f>
        <v>4.6477904404246225E-6</v>
      </c>
      <c r="I4877" s="5">
        <f>Tabelle13[[#This Row],[%]]+I4876</f>
        <v>0.98061871386339472</v>
      </c>
      <c r="J4877" s="4">
        <f t="shared" si="185"/>
        <v>1.105583195135434E-4</v>
      </c>
      <c r="K4877" s="5">
        <f t="shared" si="186"/>
        <v>0.53897180762857078</v>
      </c>
    </row>
    <row r="4878" spans="1:11" x14ac:dyDescent="0.25">
      <c r="A4878" t="s">
        <v>3626</v>
      </c>
      <c r="C4878" t="s">
        <v>3627</v>
      </c>
      <c r="D4878" t="s">
        <v>5</v>
      </c>
      <c r="E4878" t="s">
        <v>6</v>
      </c>
      <c r="F4878" t="s">
        <v>724</v>
      </c>
      <c r="G4878">
        <v>1</v>
      </c>
      <c r="H4878" s="2">
        <f>Tabelle13[[#This Row],[commits]]/Tabelle13[[#Totals],[commits]]</f>
        <v>4.6477904404246225E-6</v>
      </c>
      <c r="I4878" s="5">
        <f>Tabelle13[[#This Row],[%]]+I4877</f>
        <v>0.98062336165383512</v>
      </c>
      <c r="J4878" s="4">
        <f t="shared" si="185"/>
        <v>1.105583195135434E-4</v>
      </c>
      <c r="K4878" s="5">
        <f t="shared" si="186"/>
        <v>0.53908236594808434</v>
      </c>
    </row>
    <row r="4879" spans="1:11" x14ac:dyDescent="0.25">
      <c r="A4879" t="s">
        <v>3628</v>
      </c>
      <c r="C4879" t="s">
        <v>3629</v>
      </c>
      <c r="D4879" t="s">
        <v>5</v>
      </c>
      <c r="E4879" t="s">
        <v>6</v>
      </c>
      <c r="F4879" t="s">
        <v>724</v>
      </c>
      <c r="G4879">
        <v>1</v>
      </c>
      <c r="H4879" s="2">
        <f>Tabelle13[[#This Row],[commits]]/Tabelle13[[#Totals],[commits]]</f>
        <v>4.6477904404246225E-6</v>
      </c>
      <c r="I4879" s="5">
        <f>Tabelle13[[#This Row],[%]]+I4878</f>
        <v>0.98062800944427553</v>
      </c>
      <c r="J4879" s="4">
        <f t="shared" si="185"/>
        <v>1.105583195135434E-4</v>
      </c>
      <c r="K4879" s="5">
        <f t="shared" si="186"/>
        <v>0.53919292426759791</v>
      </c>
    </row>
    <row r="4880" spans="1:11" x14ac:dyDescent="0.25">
      <c r="A4880" t="s">
        <v>3630</v>
      </c>
      <c r="C4880" t="s">
        <v>3631</v>
      </c>
      <c r="D4880" t="s">
        <v>5</v>
      </c>
      <c r="E4880" t="s">
        <v>6</v>
      </c>
      <c r="F4880" t="s">
        <v>724</v>
      </c>
      <c r="G4880">
        <v>1</v>
      </c>
      <c r="H4880" s="2">
        <f>Tabelle13[[#This Row],[commits]]/Tabelle13[[#Totals],[commits]]</f>
        <v>4.6477904404246225E-6</v>
      </c>
      <c r="I4880" s="5">
        <f>Tabelle13[[#This Row],[%]]+I4879</f>
        <v>0.98063265723471593</v>
      </c>
      <c r="J4880" s="4">
        <f t="shared" si="185"/>
        <v>1.105583195135434E-4</v>
      </c>
      <c r="K4880" s="5">
        <f t="shared" si="186"/>
        <v>0.53930348258711147</v>
      </c>
    </row>
    <row r="4881" spans="1:11" x14ac:dyDescent="0.25">
      <c r="A4881" t="s">
        <v>3632</v>
      </c>
      <c r="C4881" t="s">
        <v>3633</v>
      </c>
      <c r="D4881" t="s">
        <v>5</v>
      </c>
      <c r="E4881" t="s">
        <v>6</v>
      </c>
      <c r="F4881" t="s">
        <v>724</v>
      </c>
      <c r="G4881">
        <v>1</v>
      </c>
      <c r="H4881" s="2">
        <f>Tabelle13[[#This Row],[commits]]/Tabelle13[[#Totals],[commits]]</f>
        <v>4.6477904404246225E-6</v>
      </c>
      <c r="I4881" s="5">
        <f>Tabelle13[[#This Row],[%]]+I4880</f>
        <v>0.98063730502515634</v>
      </c>
      <c r="J4881" s="4">
        <f t="shared" si="185"/>
        <v>1.105583195135434E-4</v>
      </c>
      <c r="K4881" s="5">
        <f t="shared" si="186"/>
        <v>0.53941404090662504</v>
      </c>
    </row>
    <row r="4882" spans="1:11" x14ac:dyDescent="0.25">
      <c r="A4882" t="s">
        <v>3634</v>
      </c>
      <c r="C4882" t="s">
        <v>3635</v>
      </c>
      <c r="D4882" t="s">
        <v>5</v>
      </c>
      <c r="E4882" t="s">
        <v>6</v>
      </c>
      <c r="F4882" t="s">
        <v>724</v>
      </c>
      <c r="G4882">
        <v>1</v>
      </c>
      <c r="H4882" s="2">
        <f>Tabelle13[[#This Row],[commits]]/Tabelle13[[#Totals],[commits]]</f>
        <v>4.6477904404246225E-6</v>
      </c>
      <c r="I4882" s="5">
        <f>Tabelle13[[#This Row],[%]]+I4881</f>
        <v>0.98064195281559674</v>
      </c>
      <c r="J4882" s="4">
        <f t="shared" si="185"/>
        <v>1.105583195135434E-4</v>
      </c>
      <c r="K4882" s="5">
        <f t="shared" si="186"/>
        <v>0.5395245992261386</v>
      </c>
    </row>
    <row r="4883" spans="1:11" x14ac:dyDescent="0.25">
      <c r="A4883" t="s">
        <v>3636</v>
      </c>
      <c r="C4883" t="s">
        <v>3637</v>
      </c>
      <c r="D4883" t="s">
        <v>5</v>
      </c>
      <c r="E4883" t="s">
        <v>6</v>
      </c>
      <c r="F4883" t="s">
        <v>724</v>
      </c>
      <c r="G4883">
        <v>1</v>
      </c>
      <c r="H4883" s="2">
        <f>Tabelle13[[#This Row],[commits]]/Tabelle13[[#Totals],[commits]]</f>
        <v>4.6477904404246225E-6</v>
      </c>
      <c r="I4883" s="5">
        <f>Tabelle13[[#This Row],[%]]+I4882</f>
        <v>0.98064660060603714</v>
      </c>
      <c r="J4883" s="4">
        <f t="shared" si="185"/>
        <v>1.105583195135434E-4</v>
      </c>
      <c r="K4883" s="5">
        <f t="shared" si="186"/>
        <v>0.53963515754565217</v>
      </c>
    </row>
    <row r="4884" spans="1:11" x14ac:dyDescent="0.25">
      <c r="A4884" t="s">
        <v>3638</v>
      </c>
      <c r="C4884" t="s">
        <v>3639</v>
      </c>
      <c r="D4884" t="s">
        <v>5</v>
      </c>
      <c r="E4884" t="s">
        <v>6</v>
      </c>
      <c r="F4884" t="s">
        <v>724</v>
      </c>
      <c r="G4884">
        <v>1</v>
      </c>
      <c r="H4884" s="2">
        <f>Tabelle13[[#This Row],[commits]]/Tabelle13[[#Totals],[commits]]</f>
        <v>4.6477904404246225E-6</v>
      </c>
      <c r="I4884" s="5">
        <f>Tabelle13[[#This Row],[%]]+I4883</f>
        <v>0.98065124839647755</v>
      </c>
      <c r="J4884" s="4">
        <f t="shared" si="185"/>
        <v>1.105583195135434E-4</v>
      </c>
      <c r="K4884" s="5">
        <f t="shared" si="186"/>
        <v>0.53974571586516573</v>
      </c>
    </row>
    <row r="4885" spans="1:11" x14ac:dyDescent="0.25">
      <c r="A4885" t="s">
        <v>3640</v>
      </c>
      <c r="C4885" t="s">
        <v>3641</v>
      </c>
      <c r="D4885" t="s">
        <v>5</v>
      </c>
      <c r="E4885" t="s">
        <v>6</v>
      </c>
      <c r="F4885" t="s">
        <v>724</v>
      </c>
      <c r="G4885">
        <v>1</v>
      </c>
      <c r="H4885" s="2">
        <f>Tabelle13[[#This Row],[commits]]/Tabelle13[[#Totals],[commits]]</f>
        <v>4.6477904404246225E-6</v>
      </c>
      <c r="I4885" s="5">
        <f>Tabelle13[[#This Row],[%]]+I4884</f>
        <v>0.98065589618691795</v>
      </c>
      <c r="J4885" s="4">
        <f t="shared" si="185"/>
        <v>1.105583195135434E-4</v>
      </c>
      <c r="K4885" s="5">
        <f t="shared" si="186"/>
        <v>0.5398562741846793</v>
      </c>
    </row>
    <row r="4886" spans="1:11" x14ac:dyDescent="0.25">
      <c r="A4886" t="s">
        <v>3642</v>
      </c>
      <c r="C4886" t="s">
        <v>3643</v>
      </c>
      <c r="D4886" t="s">
        <v>5</v>
      </c>
      <c r="E4886" t="s">
        <v>6</v>
      </c>
      <c r="F4886" t="s">
        <v>724</v>
      </c>
      <c r="G4886">
        <v>1</v>
      </c>
      <c r="H4886" s="2">
        <f>Tabelle13[[#This Row],[commits]]/Tabelle13[[#Totals],[commits]]</f>
        <v>4.6477904404246225E-6</v>
      </c>
      <c r="I4886" s="5">
        <f>Tabelle13[[#This Row],[%]]+I4885</f>
        <v>0.98066054397735836</v>
      </c>
      <c r="J4886" s="4">
        <f t="shared" si="185"/>
        <v>1.105583195135434E-4</v>
      </c>
      <c r="K4886" s="5">
        <f t="shared" si="186"/>
        <v>0.53996683250419286</v>
      </c>
    </row>
    <row r="4887" spans="1:11" x14ac:dyDescent="0.25">
      <c r="A4887" t="s">
        <v>3644</v>
      </c>
      <c r="C4887" t="s">
        <v>3645</v>
      </c>
      <c r="D4887" t="s">
        <v>5</v>
      </c>
      <c r="E4887" t="s">
        <v>6</v>
      </c>
      <c r="F4887" t="s">
        <v>724</v>
      </c>
      <c r="G4887">
        <v>1</v>
      </c>
      <c r="H4887" s="2">
        <f>Tabelle13[[#This Row],[commits]]/Tabelle13[[#Totals],[commits]]</f>
        <v>4.6477904404246225E-6</v>
      </c>
      <c r="I4887" s="5">
        <f>Tabelle13[[#This Row],[%]]+I4886</f>
        <v>0.98066519176779876</v>
      </c>
      <c r="J4887" s="4">
        <f t="shared" si="185"/>
        <v>1.105583195135434E-4</v>
      </c>
      <c r="K4887" s="5">
        <f t="shared" si="186"/>
        <v>0.54007739082370643</v>
      </c>
    </row>
    <row r="4888" spans="1:11" x14ac:dyDescent="0.25">
      <c r="A4888" t="s">
        <v>3646</v>
      </c>
      <c r="C4888" t="s">
        <v>3647</v>
      </c>
      <c r="D4888" t="s">
        <v>5</v>
      </c>
      <c r="E4888" t="s">
        <v>6</v>
      </c>
      <c r="F4888" t="s">
        <v>724</v>
      </c>
      <c r="G4888">
        <v>1</v>
      </c>
      <c r="H4888" s="2">
        <f>Tabelle13[[#This Row],[commits]]/Tabelle13[[#Totals],[commits]]</f>
        <v>4.6477904404246225E-6</v>
      </c>
      <c r="I4888" s="5">
        <f>Tabelle13[[#This Row],[%]]+I4887</f>
        <v>0.98066983955823916</v>
      </c>
      <c r="J4888" s="4">
        <f t="shared" si="185"/>
        <v>1.105583195135434E-4</v>
      </c>
      <c r="K4888" s="5">
        <f t="shared" si="186"/>
        <v>0.54018794914321999</v>
      </c>
    </row>
    <row r="4889" spans="1:11" x14ac:dyDescent="0.25">
      <c r="A4889" t="s">
        <v>3648</v>
      </c>
      <c r="C4889" t="s">
        <v>3649</v>
      </c>
      <c r="D4889" t="s">
        <v>5</v>
      </c>
      <c r="E4889" t="s">
        <v>6</v>
      </c>
      <c r="F4889" t="s">
        <v>724</v>
      </c>
      <c r="G4889">
        <v>1</v>
      </c>
      <c r="H4889" s="2">
        <f>Tabelle13[[#This Row],[commits]]/Tabelle13[[#Totals],[commits]]</f>
        <v>4.6477904404246225E-6</v>
      </c>
      <c r="I4889" s="5">
        <f>Tabelle13[[#This Row],[%]]+I4888</f>
        <v>0.98067448734867957</v>
      </c>
      <c r="J4889" s="4">
        <f t="shared" si="185"/>
        <v>1.105583195135434E-4</v>
      </c>
      <c r="K4889" s="5">
        <f t="shared" si="186"/>
        <v>0.54029850746273356</v>
      </c>
    </row>
    <row r="4890" spans="1:11" x14ac:dyDescent="0.25">
      <c r="A4890" t="s">
        <v>3650</v>
      </c>
      <c r="C4890" t="s">
        <v>3651</v>
      </c>
      <c r="D4890" t="s">
        <v>5</v>
      </c>
      <c r="E4890" t="s">
        <v>6</v>
      </c>
      <c r="F4890" t="s">
        <v>724</v>
      </c>
      <c r="G4890">
        <v>1</v>
      </c>
      <c r="H4890" s="2">
        <f>Tabelle13[[#This Row],[commits]]/Tabelle13[[#Totals],[commits]]</f>
        <v>4.6477904404246225E-6</v>
      </c>
      <c r="I4890" s="5">
        <f>Tabelle13[[#This Row],[%]]+I4889</f>
        <v>0.98067913513911997</v>
      </c>
      <c r="J4890" s="4">
        <f t="shared" si="185"/>
        <v>1.105583195135434E-4</v>
      </c>
      <c r="K4890" s="5">
        <f t="shared" si="186"/>
        <v>0.54040906578224712</v>
      </c>
    </row>
    <row r="4891" spans="1:11" x14ac:dyDescent="0.25">
      <c r="A4891" t="s">
        <v>3652</v>
      </c>
      <c r="C4891" t="s">
        <v>3653</v>
      </c>
      <c r="D4891" t="s">
        <v>5</v>
      </c>
      <c r="E4891" t="s">
        <v>6</v>
      </c>
      <c r="F4891" t="s">
        <v>724</v>
      </c>
      <c r="G4891">
        <v>1</v>
      </c>
      <c r="H4891" s="2">
        <f>Tabelle13[[#This Row],[commits]]/Tabelle13[[#Totals],[commits]]</f>
        <v>4.6477904404246225E-6</v>
      </c>
      <c r="I4891" s="5">
        <f>Tabelle13[[#This Row],[%]]+I4890</f>
        <v>0.98068378292956038</v>
      </c>
      <c r="J4891" s="4">
        <f t="shared" si="185"/>
        <v>1.105583195135434E-4</v>
      </c>
      <c r="K4891" s="5">
        <f t="shared" si="186"/>
        <v>0.54051962410176069</v>
      </c>
    </row>
    <row r="4892" spans="1:11" x14ac:dyDescent="0.25">
      <c r="A4892" t="s">
        <v>3654</v>
      </c>
      <c r="C4892" t="s">
        <v>3655</v>
      </c>
      <c r="D4892" t="s">
        <v>5</v>
      </c>
      <c r="E4892" t="s">
        <v>6</v>
      </c>
      <c r="F4892" t="s">
        <v>724</v>
      </c>
      <c r="G4892">
        <v>1</v>
      </c>
      <c r="H4892" s="2">
        <f>Tabelle13[[#This Row],[commits]]/Tabelle13[[#Totals],[commits]]</f>
        <v>4.6477904404246225E-6</v>
      </c>
      <c r="I4892" s="5">
        <f>Tabelle13[[#This Row],[%]]+I4891</f>
        <v>0.98068843072000078</v>
      </c>
      <c r="J4892" s="4">
        <f t="shared" si="185"/>
        <v>1.105583195135434E-4</v>
      </c>
      <c r="K4892" s="5">
        <f t="shared" si="186"/>
        <v>0.54063018242127425</v>
      </c>
    </row>
    <row r="4893" spans="1:11" x14ac:dyDescent="0.25">
      <c r="A4893" t="s">
        <v>3656</v>
      </c>
      <c r="C4893" t="s">
        <v>3657</v>
      </c>
      <c r="D4893" t="s">
        <v>5</v>
      </c>
      <c r="E4893" t="s">
        <v>6</v>
      </c>
      <c r="F4893" t="s">
        <v>724</v>
      </c>
      <c r="G4893">
        <v>1</v>
      </c>
      <c r="H4893" s="2">
        <f>Tabelle13[[#This Row],[commits]]/Tabelle13[[#Totals],[commits]]</f>
        <v>4.6477904404246225E-6</v>
      </c>
      <c r="I4893" s="5">
        <f>Tabelle13[[#This Row],[%]]+I4892</f>
        <v>0.98069307851044119</v>
      </c>
      <c r="J4893" s="4">
        <f t="shared" si="185"/>
        <v>1.105583195135434E-4</v>
      </c>
      <c r="K4893" s="5">
        <f t="shared" si="186"/>
        <v>0.54074074074078782</v>
      </c>
    </row>
    <row r="4894" spans="1:11" x14ac:dyDescent="0.25">
      <c r="A4894" t="s">
        <v>3658</v>
      </c>
      <c r="C4894" t="s">
        <v>3659</v>
      </c>
      <c r="D4894" t="s">
        <v>5</v>
      </c>
      <c r="E4894" t="s">
        <v>6</v>
      </c>
      <c r="F4894" t="s">
        <v>724</v>
      </c>
      <c r="G4894">
        <v>1</v>
      </c>
      <c r="H4894" s="2">
        <f>Tabelle13[[#This Row],[commits]]/Tabelle13[[#Totals],[commits]]</f>
        <v>4.6477904404246225E-6</v>
      </c>
      <c r="I4894" s="5">
        <f>Tabelle13[[#This Row],[%]]+I4893</f>
        <v>0.98069772630088159</v>
      </c>
      <c r="J4894" s="4">
        <f t="shared" si="185"/>
        <v>1.105583195135434E-4</v>
      </c>
      <c r="K4894" s="5">
        <f t="shared" si="186"/>
        <v>0.54085129906030138</v>
      </c>
    </row>
    <row r="4895" spans="1:11" x14ac:dyDescent="0.25">
      <c r="A4895" t="s">
        <v>3660</v>
      </c>
      <c r="C4895" t="s">
        <v>3661</v>
      </c>
      <c r="D4895" t="s">
        <v>5</v>
      </c>
      <c r="E4895" t="s">
        <v>6</v>
      </c>
      <c r="F4895" t="s">
        <v>724</v>
      </c>
      <c r="G4895">
        <v>1</v>
      </c>
      <c r="H4895" s="2">
        <f>Tabelle13[[#This Row],[commits]]/Tabelle13[[#Totals],[commits]]</f>
        <v>4.6477904404246225E-6</v>
      </c>
      <c r="I4895" s="5">
        <f>Tabelle13[[#This Row],[%]]+I4894</f>
        <v>0.98070237409132199</v>
      </c>
      <c r="J4895" s="4">
        <f t="shared" si="185"/>
        <v>1.105583195135434E-4</v>
      </c>
      <c r="K4895" s="5">
        <f t="shared" si="186"/>
        <v>0.54096185737981495</v>
      </c>
    </row>
    <row r="4896" spans="1:11" x14ac:dyDescent="0.25">
      <c r="A4896" t="s">
        <v>3662</v>
      </c>
      <c r="C4896" t="s">
        <v>3663</v>
      </c>
      <c r="D4896" t="s">
        <v>5</v>
      </c>
      <c r="E4896" t="s">
        <v>6</v>
      </c>
      <c r="F4896" t="s">
        <v>724</v>
      </c>
      <c r="G4896">
        <v>1</v>
      </c>
      <c r="H4896" s="2">
        <f>Tabelle13[[#This Row],[commits]]/Tabelle13[[#Totals],[commits]]</f>
        <v>4.6477904404246225E-6</v>
      </c>
      <c r="I4896" s="5">
        <f>Tabelle13[[#This Row],[%]]+I4895</f>
        <v>0.9807070218817624</v>
      </c>
      <c r="J4896" s="4">
        <f t="shared" si="185"/>
        <v>1.105583195135434E-4</v>
      </c>
      <c r="K4896" s="5">
        <f t="shared" si="186"/>
        <v>0.54107241569932851</v>
      </c>
    </row>
    <row r="4897" spans="1:11" x14ac:dyDescent="0.25">
      <c r="A4897" t="s">
        <v>3664</v>
      </c>
      <c r="C4897" t="s">
        <v>3665</v>
      </c>
      <c r="D4897" t="s">
        <v>5</v>
      </c>
      <c r="E4897" t="s">
        <v>6</v>
      </c>
      <c r="F4897" t="s">
        <v>724</v>
      </c>
      <c r="G4897">
        <v>1</v>
      </c>
      <c r="H4897" s="2">
        <f>Tabelle13[[#This Row],[commits]]/Tabelle13[[#Totals],[commits]]</f>
        <v>4.6477904404246225E-6</v>
      </c>
      <c r="I4897" s="5">
        <f>Tabelle13[[#This Row],[%]]+I4896</f>
        <v>0.9807116696722028</v>
      </c>
      <c r="J4897" s="4">
        <f t="shared" si="185"/>
        <v>1.105583195135434E-4</v>
      </c>
      <c r="K4897" s="5">
        <f t="shared" si="186"/>
        <v>0.54118297401884208</v>
      </c>
    </row>
    <row r="4898" spans="1:11" x14ac:dyDescent="0.25">
      <c r="A4898" t="s">
        <v>3666</v>
      </c>
      <c r="C4898" t="s">
        <v>3667</v>
      </c>
      <c r="D4898" t="s">
        <v>5</v>
      </c>
      <c r="E4898" t="s">
        <v>6</v>
      </c>
      <c r="F4898" t="s">
        <v>724</v>
      </c>
      <c r="G4898">
        <v>1</v>
      </c>
      <c r="H4898" s="2">
        <f>Tabelle13[[#This Row],[commits]]/Tabelle13[[#Totals],[commits]]</f>
        <v>4.6477904404246225E-6</v>
      </c>
      <c r="I4898" s="5">
        <f>Tabelle13[[#This Row],[%]]+I4897</f>
        <v>0.98071631746264321</v>
      </c>
      <c r="J4898" s="4">
        <f t="shared" si="185"/>
        <v>1.105583195135434E-4</v>
      </c>
      <c r="K4898" s="5">
        <f t="shared" si="186"/>
        <v>0.54129353233835564</v>
      </c>
    </row>
    <row r="4899" spans="1:11" x14ac:dyDescent="0.25">
      <c r="A4899" t="s">
        <v>3668</v>
      </c>
      <c r="C4899" t="s">
        <v>3669</v>
      </c>
      <c r="D4899" t="s">
        <v>5</v>
      </c>
      <c r="E4899" t="s">
        <v>6</v>
      </c>
      <c r="F4899" t="s">
        <v>724</v>
      </c>
      <c r="G4899">
        <v>1</v>
      </c>
      <c r="H4899" s="2">
        <f>Tabelle13[[#This Row],[commits]]/Tabelle13[[#Totals],[commits]]</f>
        <v>4.6477904404246225E-6</v>
      </c>
      <c r="I4899" s="5">
        <f>Tabelle13[[#This Row],[%]]+I4898</f>
        <v>0.98072096525308361</v>
      </c>
      <c r="J4899" s="4">
        <f t="shared" si="185"/>
        <v>1.105583195135434E-4</v>
      </c>
      <c r="K4899" s="5">
        <f t="shared" si="186"/>
        <v>0.54140409065786921</v>
      </c>
    </row>
    <row r="4900" spans="1:11" x14ac:dyDescent="0.25">
      <c r="A4900" t="s">
        <v>3670</v>
      </c>
      <c r="C4900" t="s">
        <v>3671</v>
      </c>
      <c r="D4900" t="s">
        <v>5</v>
      </c>
      <c r="E4900" t="s">
        <v>6</v>
      </c>
      <c r="F4900" t="s">
        <v>724</v>
      </c>
      <c r="G4900">
        <v>1</v>
      </c>
      <c r="H4900" s="2">
        <f>Tabelle13[[#This Row],[commits]]/Tabelle13[[#Totals],[commits]]</f>
        <v>4.6477904404246225E-6</v>
      </c>
      <c r="I4900" s="5">
        <f>Tabelle13[[#This Row],[%]]+I4899</f>
        <v>0.98072561304352401</v>
      </c>
      <c r="J4900" s="4">
        <f t="shared" si="185"/>
        <v>1.105583195135434E-4</v>
      </c>
      <c r="K4900" s="5">
        <f t="shared" si="186"/>
        <v>0.54151464897738277</v>
      </c>
    </row>
    <row r="4901" spans="1:11" x14ac:dyDescent="0.25">
      <c r="A4901" t="s">
        <v>3672</v>
      </c>
      <c r="C4901" t="s">
        <v>3673</v>
      </c>
      <c r="D4901" t="s">
        <v>5</v>
      </c>
      <c r="E4901" t="s">
        <v>6</v>
      </c>
      <c r="F4901" t="s">
        <v>724</v>
      </c>
      <c r="G4901">
        <v>1</v>
      </c>
      <c r="H4901" s="2">
        <f>Tabelle13[[#This Row],[commits]]/Tabelle13[[#Totals],[commits]]</f>
        <v>4.6477904404246225E-6</v>
      </c>
      <c r="I4901" s="5">
        <f>Tabelle13[[#This Row],[%]]+I4900</f>
        <v>0.98073026083396442</v>
      </c>
      <c r="J4901" s="4">
        <f t="shared" si="185"/>
        <v>1.105583195135434E-4</v>
      </c>
      <c r="K4901" s="5">
        <f t="shared" si="186"/>
        <v>0.54162520729689634</v>
      </c>
    </row>
    <row r="4902" spans="1:11" x14ac:dyDescent="0.25">
      <c r="A4902" t="s">
        <v>3674</v>
      </c>
      <c r="C4902" t="s">
        <v>161</v>
      </c>
      <c r="D4902" t="s">
        <v>5</v>
      </c>
      <c r="E4902" t="s">
        <v>6</v>
      </c>
      <c r="F4902" t="s">
        <v>724</v>
      </c>
      <c r="G4902">
        <v>1</v>
      </c>
      <c r="H4902" s="2">
        <f>Tabelle13[[#This Row],[commits]]/Tabelle13[[#Totals],[commits]]</f>
        <v>4.6477904404246225E-6</v>
      </c>
      <c r="I4902" s="5">
        <f>Tabelle13[[#This Row],[%]]+I4901</f>
        <v>0.98073490862440482</v>
      </c>
      <c r="J4902" s="4">
        <f t="shared" si="185"/>
        <v>1.105583195135434E-4</v>
      </c>
      <c r="K4902" s="5">
        <f t="shared" si="186"/>
        <v>0.5417357656164099</v>
      </c>
    </row>
    <row r="4903" spans="1:11" x14ac:dyDescent="0.25">
      <c r="A4903" t="s">
        <v>3675</v>
      </c>
      <c r="C4903" t="s">
        <v>3676</v>
      </c>
      <c r="D4903" t="s">
        <v>5</v>
      </c>
      <c r="E4903" t="s">
        <v>6</v>
      </c>
      <c r="F4903" t="s">
        <v>724</v>
      </c>
      <c r="G4903">
        <v>1</v>
      </c>
      <c r="H4903" s="2">
        <f>Tabelle13[[#This Row],[commits]]/Tabelle13[[#Totals],[commits]]</f>
        <v>4.6477904404246225E-6</v>
      </c>
      <c r="I4903" s="5">
        <f>Tabelle13[[#This Row],[%]]+I4902</f>
        <v>0.98073955641484523</v>
      </c>
      <c r="J4903" s="4">
        <f t="shared" si="185"/>
        <v>1.105583195135434E-4</v>
      </c>
      <c r="K4903" s="5">
        <f t="shared" si="186"/>
        <v>0.54184632393592347</v>
      </c>
    </row>
    <row r="4904" spans="1:11" x14ac:dyDescent="0.25">
      <c r="A4904" t="s">
        <v>3677</v>
      </c>
      <c r="C4904" t="s">
        <v>3678</v>
      </c>
      <c r="D4904" t="s">
        <v>5</v>
      </c>
      <c r="E4904" t="s">
        <v>6</v>
      </c>
      <c r="F4904" t="s">
        <v>724</v>
      </c>
      <c r="G4904">
        <v>1</v>
      </c>
      <c r="H4904" s="2">
        <f>Tabelle13[[#This Row],[commits]]/Tabelle13[[#Totals],[commits]]</f>
        <v>4.6477904404246225E-6</v>
      </c>
      <c r="I4904" s="5">
        <f>Tabelle13[[#This Row],[%]]+I4903</f>
        <v>0.98074420420528563</v>
      </c>
      <c r="J4904" s="4">
        <f t="shared" si="185"/>
        <v>1.105583195135434E-4</v>
      </c>
      <c r="K4904" s="5">
        <f t="shared" si="186"/>
        <v>0.54195688225543703</v>
      </c>
    </row>
    <row r="4905" spans="1:11" x14ac:dyDescent="0.25">
      <c r="A4905" t="s">
        <v>3679</v>
      </c>
      <c r="C4905" t="s">
        <v>3680</v>
      </c>
      <c r="D4905" t="s">
        <v>5</v>
      </c>
      <c r="E4905" t="s">
        <v>6</v>
      </c>
      <c r="F4905" t="s">
        <v>724</v>
      </c>
      <c r="G4905">
        <v>1</v>
      </c>
      <c r="H4905" s="2">
        <f>Tabelle13[[#This Row],[commits]]/Tabelle13[[#Totals],[commits]]</f>
        <v>4.6477904404246225E-6</v>
      </c>
      <c r="I4905" s="5">
        <f>Tabelle13[[#This Row],[%]]+I4904</f>
        <v>0.98074885199572603</v>
      </c>
      <c r="J4905" s="4">
        <f t="shared" si="185"/>
        <v>1.105583195135434E-4</v>
      </c>
      <c r="K4905" s="5">
        <f t="shared" si="186"/>
        <v>0.5420674405749506</v>
      </c>
    </row>
    <row r="4906" spans="1:11" x14ac:dyDescent="0.25">
      <c r="A4906" t="s">
        <v>3681</v>
      </c>
      <c r="C4906" t="s">
        <v>3682</v>
      </c>
      <c r="D4906" t="s">
        <v>5</v>
      </c>
      <c r="E4906" t="s">
        <v>6</v>
      </c>
      <c r="F4906" t="s">
        <v>724</v>
      </c>
      <c r="G4906">
        <v>1</v>
      </c>
      <c r="H4906" s="2">
        <f>Tabelle13[[#This Row],[commits]]/Tabelle13[[#Totals],[commits]]</f>
        <v>4.6477904404246225E-6</v>
      </c>
      <c r="I4906" s="5">
        <f>Tabelle13[[#This Row],[%]]+I4905</f>
        <v>0.98075349978616644</v>
      </c>
      <c r="J4906" s="4">
        <f t="shared" si="185"/>
        <v>1.105583195135434E-4</v>
      </c>
      <c r="K4906" s="5">
        <f t="shared" si="186"/>
        <v>0.54217799889446416</v>
      </c>
    </row>
    <row r="4907" spans="1:11" x14ac:dyDescent="0.25">
      <c r="A4907" t="s">
        <v>3683</v>
      </c>
      <c r="C4907" t="s">
        <v>3684</v>
      </c>
      <c r="D4907" t="s">
        <v>5</v>
      </c>
      <c r="E4907" t="s">
        <v>6</v>
      </c>
      <c r="F4907" t="s">
        <v>724</v>
      </c>
      <c r="G4907">
        <v>1</v>
      </c>
      <c r="H4907" s="2">
        <f>Tabelle13[[#This Row],[commits]]/Tabelle13[[#Totals],[commits]]</f>
        <v>4.6477904404246225E-6</v>
      </c>
      <c r="I4907" s="5">
        <f>Tabelle13[[#This Row],[%]]+I4906</f>
        <v>0.98075814757660684</v>
      </c>
      <c r="J4907" s="4">
        <f t="shared" si="185"/>
        <v>1.105583195135434E-4</v>
      </c>
      <c r="K4907" s="5">
        <f t="shared" si="186"/>
        <v>0.54228855721397773</v>
      </c>
    </row>
    <row r="4908" spans="1:11" x14ac:dyDescent="0.25">
      <c r="A4908" t="s">
        <v>3685</v>
      </c>
      <c r="C4908" t="s">
        <v>3686</v>
      </c>
      <c r="D4908" t="s">
        <v>5</v>
      </c>
      <c r="E4908" t="s">
        <v>6</v>
      </c>
      <c r="F4908" t="s">
        <v>724</v>
      </c>
      <c r="G4908">
        <v>1</v>
      </c>
      <c r="H4908" s="2">
        <f>Tabelle13[[#This Row],[commits]]/Tabelle13[[#Totals],[commits]]</f>
        <v>4.6477904404246225E-6</v>
      </c>
      <c r="I4908" s="5">
        <f>Tabelle13[[#This Row],[%]]+I4907</f>
        <v>0.98076279536704725</v>
      </c>
      <c r="J4908" s="4">
        <f t="shared" si="185"/>
        <v>1.105583195135434E-4</v>
      </c>
      <c r="K4908" s="5">
        <f t="shared" si="186"/>
        <v>0.54239911553349129</v>
      </c>
    </row>
    <row r="4909" spans="1:11" x14ac:dyDescent="0.25">
      <c r="A4909" t="s">
        <v>3687</v>
      </c>
      <c r="C4909" t="s">
        <v>3688</v>
      </c>
      <c r="D4909" t="s">
        <v>5</v>
      </c>
      <c r="E4909" t="s">
        <v>6</v>
      </c>
      <c r="F4909" t="s">
        <v>724</v>
      </c>
      <c r="G4909">
        <v>1</v>
      </c>
      <c r="H4909" s="2">
        <f>Tabelle13[[#This Row],[commits]]/Tabelle13[[#Totals],[commits]]</f>
        <v>4.6477904404246225E-6</v>
      </c>
      <c r="I4909" s="5">
        <f>Tabelle13[[#This Row],[%]]+I4908</f>
        <v>0.98076744315748765</v>
      </c>
      <c r="J4909" s="4">
        <f t="shared" si="185"/>
        <v>1.105583195135434E-4</v>
      </c>
      <c r="K4909" s="5">
        <f t="shared" si="186"/>
        <v>0.54250967385300486</v>
      </c>
    </row>
    <row r="4910" spans="1:11" x14ac:dyDescent="0.25">
      <c r="A4910" t="s">
        <v>3689</v>
      </c>
      <c r="C4910" t="s">
        <v>3690</v>
      </c>
      <c r="D4910" t="s">
        <v>5</v>
      </c>
      <c r="E4910" t="s">
        <v>6</v>
      </c>
      <c r="F4910" t="s">
        <v>724</v>
      </c>
      <c r="G4910">
        <v>1</v>
      </c>
      <c r="H4910" s="2">
        <f>Tabelle13[[#This Row],[commits]]/Tabelle13[[#Totals],[commits]]</f>
        <v>4.6477904404246225E-6</v>
      </c>
      <c r="I4910" s="5">
        <f>Tabelle13[[#This Row],[%]]+I4909</f>
        <v>0.98077209094792805</v>
      </c>
      <c r="J4910" s="4">
        <f t="shared" si="185"/>
        <v>1.105583195135434E-4</v>
      </c>
      <c r="K4910" s="5">
        <f t="shared" si="186"/>
        <v>0.54262023217251842</v>
      </c>
    </row>
    <row r="4911" spans="1:11" x14ac:dyDescent="0.25">
      <c r="A4911" t="s">
        <v>3691</v>
      </c>
      <c r="C4911" t="s">
        <v>3692</v>
      </c>
      <c r="D4911" t="s">
        <v>5</v>
      </c>
      <c r="E4911" t="s">
        <v>6</v>
      </c>
      <c r="F4911" t="s">
        <v>724</v>
      </c>
      <c r="G4911">
        <v>1</v>
      </c>
      <c r="H4911" s="2">
        <f>Tabelle13[[#This Row],[commits]]/Tabelle13[[#Totals],[commits]]</f>
        <v>4.6477904404246225E-6</v>
      </c>
      <c r="I4911" s="5">
        <f>Tabelle13[[#This Row],[%]]+I4910</f>
        <v>0.98077673873836846</v>
      </c>
      <c r="J4911" s="4">
        <f t="shared" si="185"/>
        <v>1.105583195135434E-4</v>
      </c>
      <c r="K4911" s="5">
        <f t="shared" si="186"/>
        <v>0.54273079049203199</v>
      </c>
    </row>
    <row r="4912" spans="1:11" x14ac:dyDescent="0.25">
      <c r="A4912" t="s">
        <v>3693</v>
      </c>
      <c r="C4912" t="s">
        <v>3694</v>
      </c>
      <c r="D4912" t="s">
        <v>5</v>
      </c>
      <c r="E4912" t="s">
        <v>6</v>
      </c>
      <c r="F4912" t="s">
        <v>724</v>
      </c>
      <c r="G4912">
        <v>1</v>
      </c>
      <c r="H4912" s="2">
        <f>Tabelle13[[#This Row],[commits]]/Tabelle13[[#Totals],[commits]]</f>
        <v>4.6477904404246225E-6</v>
      </c>
      <c r="I4912" s="5">
        <f>Tabelle13[[#This Row],[%]]+I4911</f>
        <v>0.98078138652880886</v>
      </c>
      <c r="J4912" s="4">
        <f t="shared" si="185"/>
        <v>1.105583195135434E-4</v>
      </c>
      <c r="K4912" s="5">
        <f t="shared" si="186"/>
        <v>0.54284134881154555</v>
      </c>
    </row>
    <row r="4913" spans="1:11" x14ac:dyDescent="0.25">
      <c r="A4913" t="s">
        <v>3695</v>
      </c>
      <c r="C4913" t="s">
        <v>3696</v>
      </c>
      <c r="D4913" t="s">
        <v>5</v>
      </c>
      <c r="E4913" t="s">
        <v>6</v>
      </c>
      <c r="F4913" t="s">
        <v>724</v>
      </c>
      <c r="G4913">
        <v>1</v>
      </c>
      <c r="H4913" s="2">
        <f>Tabelle13[[#This Row],[commits]]/Tabelle13[[#Totals],[commits]]</f>
        <v>4.6477904404246225E-6</v>
      </c>
      <c r="I4913" s="5">
        <f>Tabelle13[[#This Row],[%]]+I4912</f>
        <v>0.98078603431924927</v>
      </c>
      <c r="J4913" s="4">
        <f t="shared" si="185"/>
        <v>1.105583195135434E-4</v>
      </c>
      <c r="K4913" s="5">
        <f t="shared" si="186"/>
        <v>0.54295190713105912</v>
      </c>
    </row>
    <row r="4914" spans="1:11" x14ac:dyDescent="0.25">
      <c r="A4914" t="s">
        <v>3697</v>
      </c>
      <c r="C4914" t="s">
        <v>3698</v>
      </c>
      <c r="D4914" t="s">
        <v>5</v>
      </c>
      <c r="E4914" t="s">
        <v>6</v>
      </c>
      <c r="F4914" t="s">
        <v>724</v>
      </c>
      <c r="G4914">
        <v>1</v>
      </c>
      <c r="H4914" s="2">
        <f>Tabelle13[[#This Row],[commits]]/Tabelle13[[#Totals],[commits]]</f>
        <v>4.6477904404246225E-6</v>
      </c>
      <c r="I4914" s="5">
        <f>Tabelle13[[#This Row],[%]]+I4913</f>
        <v>0.98079068210968967</v>
      </c>
      <c r="J4914" s="4">
        <f t="shared" si="185"/>
        <v>1.105583195135434E-4</v>
      </c>
      <c r="K4914" s="5">
        <f t="shared" si="186"/>
        <v>0.54306246545057268</v>
      </c>
    </row>
    <row r="4915" spans="1:11" x14ac:dyDescent="0.25">
      <c r="A4915" t="s">
        <v>3699</v>
      </c>
      <c r="C4915" t="s">
        <v>3700</v>
      </c>
      <c r="D4915" t="s">
        <v>5</v>
      </c>
      <c r="E4915" t="s">
        <v>6</v>
      </c>
      <c r="F4915" t="s">
        <v>724</v>
      </c>
      <c r="G4915">
        <v>1</v>
      </c>
      <c r="H4915" s="2">
        <f>Tabelle13[[#This Row],[commits]]/Tabelle13[[#Totals],[commits]]</f>
        <v>4.6477904404246225E-6</v>
      </c>
      <c r="I4915" s="5">
        <f>Tabelle13[[#This Row],[%]]+I4914</f>
        <v>0.98079532990013008</v>
      </c>
      <c r="J4915" s="4">
        <f t="shared" si="185"/>
        <v>1.105583195135434E-4</v>
      </c>
      <c r="K4915" s="5">
        <f t="shared" si="186"/>
        <v>0.54317302377008625</v>
      </c>
    </row>
    <row r="4916" spans="1:11" x14ac:dyDescent="0.25">
      <c r="A4916" t="s">
        <v>3701</v>
      </c>
      <c r="C4916" t="s">
        <v>3702</v>
      </c>
      <c r="D4916" t="s">
        <v>5</v>
      </c>
      <c r="E4916" t="s">
        <v>6</v>
      </c>
      <c r="F4916" t="s">
        <v>724</v>
      </c>
      <c r="G4916">
        <v>1</v>
      </c>
      <c r="H4916" s="2">
        <f>Tabelle13[[#This Row],[commits]]/Tabelle13[[#Totals],[commits]]</f>
        <v>4.6477904404246225E-6</v>
      </c>
      <c r="I4916" s="5">
        <f>Tabelle13[[#This Row],[%]]+I4915</f>
        <v>0.98079997769057048</v>
      </c>
      <c r="J4916" s="4">
        <f t="shared" si="185"/>
        <v>1.105583195135434E-4</v>
      </c>
      <c r="K4916" s="5">
        <f t="shared" si="186"/>
        <v>0.54328358208959981</v>
      </c>
    </row>
    <row r="4917" spans="1:11" x14ac:dyDescent="0.25">
      <c r="A4917" t="s">
        <v>3703</v>
      </c>
      <c r="C4917" t="s">
        <v>3704</v>
      </c>
      <c r="D4917" t="s">
        <v>5</v>
      </c>
      <c r="E4917" t="s">
        <v>6</v>
      </c>
      <c r="F4917" t="s">
        <v>724</v>
      </c>
      <c r="G4917">
        <v>1</v>
      </c>
      <c r="H4917" s="2">
        <f>Tabelle13[[#This Row],[commits]]/Tabelle13[[#Totals],[commits]]</f>
        <v>4.6477904404246225E-6</v>
      </c>
      <c r="I4917" s="5">
        <f>Tabelle13[[#This Row],[%]]+I4916</f>
        <v>0.98080462548101088</v>
      </c>
      <c r="J4917" s="4">
        <f t="shared" si="185"/>
        <v>1.105583195135434E-4</v>
      </c>
      <c r="K4917" s="5">
        <f t="shared" si="186"/>
        <v>0.54339414040911338</v>
      </c>
    </row>
    <row r="4918" spans="1:11" x14ac:dyDescent="0.25">
      <c r="A4918" t="s">
        <v>3705</v>
      </c>
      <c r="C4918" t="s">
        <v>3706</v>
      </c>
      <c r="D4918" t="s">
        <v>5</v>
      </c>
      <c r="E4918" t="s">
        <v>6</v>
      </c>
      <c r="F4918" t="s">
        <v>724</v>
      </c>
      <c r="G4918">
        <v>1</v>
      </c>
      <c r="H4918" s="2">
        <f>Tabelle13[[#This Row],[commits]]/Tabelle13[[#Totals],[commits]]</f>
        <v>4.6477904404246225E-6</v>
      </c>
      <c r="I4918" s="5">
        <f>Tabelle13[[#This Row],[%]]+I4917</f>
        <v>0.98080927327145129</v>
      </c>
      <c r="J4918" s="4">
        <f t="shared" si="185"/>
        <v>1.105583195135434E-4</v>
      </c>
      <c r="K4918" s="5">
        <f t="shared" si="186"/>
        <v>0.54350469872862694</v>
      </c>
    </row>
    <row r="4919" spans="1:11" x14ac:dyDescent="0.25">
      <c r="A4919" t="s">
        <v>3707</v>
      </c>
      <c r="C4919" t="s">
        <v>3708</v>
      </c>
      <c r="D4919" t="s">
        <v>5</v>
      </c>
      <c r="E4919" t="s">
        <v>6</v>
      </c>
      <c r="F4919" t="s">
        <v>724</v>
      </c>
      <c r="G4919">
        <v>1</v>
      </c>
      <c r="H4919" s="2">
        <f>Tabelle13[[#This Row],[commits]]/Tabelle13[[#Totals],[commits]]</f>
        <v>4.6477904404246225E-6</v>
      </c>
      <c r="I4919" s="5">
        <f>Tabelle13[[#This Row],[%]]+I4918</f>
        <v>0.98081392106189169</v>
      </c>
      <c r="J4919" s="4">
        <f t="shared" si="185"/>
        <v>1.105583195135434E-4</v>
      </c>
      <c r="K4919" s="5">
        <f t="shared" si="186"/>
        <v>0.54361525704814051</v>
      </c>
    </row>
    <row r="4920" spans="1:11" x14ac:dyDescent="0.25">
      <c r="A4920" t="s">
        <v>3709</v>
      </c>
      <c r="C4920" t="s">
        <v>3710</v>
      </c>
      <c r="D4920" t="s">
        <v>5</v>
      </c>
      <c r="E4920" t="s">
        <v>6</v>
      </c>
      <c r="F4920" t="s">
        <v>724</v>
      </c>
      <c r="G4920">
        <v>1</v>
      </c>
      <c r="H4920" s="2">
        <f>Tabelle13[[#This Row],[commits]]/Tabelle13[[#Totals],[commits]]</f>
        <v>4.6477904404246225E-6</v>
      </c>
      <c r="I4920" s="5">
        <f>Tabelle13[[#This Row],[%]]+I4919</f>
        <v>0.9808185688523321</v>
      </c>
      <c r="J4920" s="4">
        <f t="shared" si="185"/>
        <v>1.105583195135434E-4</v>
      </c>
      <c r="K4920" s="5">
        <f t="shared" si="186"/>
        <v>0.54372581536765408</v>
      </c>
    </row>
    <row r="4921" spans="1:11" x14ac:dyDescent="0.25">
      <c r="A4921" t="s">
        <v>3711</v>
      </c>
      <c r="C4921" t="s">
        <v>3712</v>
      </c>
      <c r="D4921" t="s">
        <v>5</v>
      </c>
      <c r="E4921" t="s">
        <v>6</v>
      </c>
      <c r="F4921" t="s">
        <v>724</v>
      </c>
      <c r="G4921">
        <v>1</v>
      </c>
      <c r="H4921" s="2">
        <f>Tabelle13[[#This Row],[commits]]/Tabelle13[[#Totals],[commits]]</f>
        <v>4.6477904404246225E-6</v>
      </c>
      <c r="I4921" s="5">
        <f>Tabelle13[[#This Row],[%]]+I4920</f>
        <v>0.9808232166427725</v>
      </c>
      <c r="J4921" s="4">
        <f t="shared" si="185"/>
        <v>1.105583195135434E-4</v>
      </c>
      <c r="K4921" s="5">
        <f t="shared" si="186"/>
        <v>0.54383637368716764</v>
      </c>
    </row>
    <row r="4922" spans="1:11" x14ac:dyDescent="0.25">
      <c r="A4922" t="s">
        <v>3713</v>
      </c>
      <c r="C4922" t="s">
        <v>3714</v>
      </c>
      <c r="D4922" t="s">
        <v>5</v>
      </c>
      <c r="E4922" t="s">
        <v>6</v>
      </c>
      <c r="F4922" t="s">
        <v>724</v>
      </c>
      <c r="G4922">
        <v>1</v>
      </c>
      <c r="H4922" s="2">
        <f>Tabelle13[[#This Row],[commits]]/Tabelle13[[#Totals],[commits]]</f>
        <v>4.6477904404246225E-6</v>
      </c>
      <c r="I4922" s="5">
        <f>Tabelle13[[#This Row],[%]]+I4921</f>
        <v>0.9808278644332129</v>
      </c>
      <c r="J4922" s="4">
        <f t="shared" si="185"/>
        <v>1.105583195135434E-4</v>
      </c>
      <c r="K4922" s="5">
        <f t="shared" si="186"/>
        <v>0.54394693200668121</v>
      </c>
    </row>
    <row r="4923" spans="1:11" x14ac:dyDescent="0.25">
      <c r="A4923" t="s">
        <v>3715</v>
      </c>
      <c r="C4923" t="s">
        <v>3716</v>
      </c>
      <c r="D4923" t="s">
        <v>5</v>
      </c>
      <c r="E4923" t="s">
        <v>6</v>
      </c>
      <c r="F4923" t="s">
        <v>724</v>
      </c>
      <c r="G4923">
        <v>1</v>
      </c>
      <c r="H4923" s="2">
        <f>Tabelle13[[#This Row],[commits]]/Tabelle13[[#Totals],[commits]]</f>
        <v>4.6477904404246225E-6</v>
      </c>
      <c r="I4923" s="5">
        <f>Tabelle13[[#This Row],[%]]+I4922</f>
        <v>0.98083251222365331</v>
      </c>
      <c r="J4923" s="4">
        <f t="shared" si="185"/>
        <v>1.105583195135434E-4</v>
      </c>
      <c r="K4923" s="5">
        <f t="shared" si="186"/>
        <v>0.54405749032619477</v>
      </c>
    </row>
    <row r="4924" spans="1:11" x14ac:dyDescent="0.25">
      <c r="A4924" t="s">
        <v>3717</v>
      </c>
      <c r="C4924" t="s">
        <v>3718</v>
      </c>
      <c r="D4924" t="s">
        <v>5</v>
      </c>
      <c r="E4924" t="s">
        <v>6</v>
      </c>
      <c r="F4924" t="s">
        <v>724</v>
      </c>
      <c r="G4924">
        <v>1</v>
      </c>
      <c r="H4924" s="2">
        <f>Tabelle13[[#This Row],[commits]]/Tabelle13[[#Totals],[commits]]</f>
        <v>4.6477904404246225E-6</v>
      </c>
      <c r="I4924" s="5">
        <f>Tabelle13[[#This Row],[%]]+I4923</f>
        <v>0.98083716001409371</v>
      </c>
      <c r="J4924" s="4">
        <f t="shared" si="185"/>
        <v>1.105583195135434E-4</v>
      </c>
      <c r="K4924" s="5">
        <f t="shared" si="186"/>
        <v>0.54416804864570834</v>
      </c>
    </row>
    <row r="4925" spans="1:11" x14ac:dyDescent="0.25">
      <c r="A4925" t="s">
        <v>3719</v>
      </c>
      <c r="C4925" t="s">
        <v>3720</v>
      </c>
      <c r="D4925" t="s">
        <v>5</v>
      </c>
      <c r="E4925" t="s">
        <v>6</v>
      </c>
      <c r="F4925" t="s">
        <v>724</v>
      </c>
      <c r="G4925">
        <v>1</v>
      </c>
      <c r="H4925" s="2">
        <f>Tabelle13[[#This Row],[commits]]/Tabelle13[[#Totals],[commits]]</f>
        <v>4.6477904404246225E-6</v>
      </c>
      <c r="I4925" s="5">
        <f>Tabelle13[[#This Row],[%]]+I4924</f>
        <v>0.98084180780453412</v>
      </c>
      <c r="J4925" s="4">
        <f t="shared" si="185"/>
        <v>1.105583195135434E-4</v>
      </c>
      <c r="K4925" s="5">
        <f t="shared" si="186"/>
        <v>0.5442786069652219</v>
      </c>
    </row>
    <row r="4926" spans="1:11" x14ac:dyDescent="0.25">
      <c r="A4926" t="s">
        <v>3721</v>
      </c>
      <c r="C4926" t="s">
        <v>3722</v>
      </c>
      <c r="D4926" t="s">
        <v>5</v>
      </c>
      <c r="E4926" t="s">
        <v>6</v>
      </c>
      <c r="F4926" t="s">
        <v>724</v>
      </c>
      <c r="G4926">
        <v>1</v>
      </c>
      <c r="H4926" s="2">
        <f>Tabelle13[[#This Row],[commits]]/Tabelle13[[#Totals],[commits]]</f>
        <v>4.6477904404246225E-6</v>
      </c>
      <c r="I4926" s="5">
        <f>Tabelle13[[#This Row],[%]]+I4925</f>
        <v>0.98084645559497452</v>
      </c>
      <c r="J4926" s="4">
        <f t="shared" si="185"/>
        <v>1.105583195135434E-4</v>
      </c>
      <c r="K4926" s="5">
        <f t="shared" si="186"/>
        <v>0.54438916528473547</v>
      </c>
    </row>
    <row r="4927" spans="1:11" x14ac:dyDescent="0.25">
      <c r="A4927" t="s">
        <v>3723</v>
      </c>
      <c r="C4927" t="s">
        <v>3724</v>
      </c>
      <c r="D4927" t="s">
        <v>5</v>
      </c>
      <c r="E4927" t="s">
        <v>6</v>
      </c>
      <c r="F4927" t="s">
        <v>724</v>
      </c>
      <c r="G4927">
        <v>1</v>
      </c>
      <c r="H4927" s="2">
        <f>Tabelle13[[#This Row],[commits]]/Tabelle13[[#Totals],[commits]]</f>
        <v>4.6477904404246225E-6</v>
      </c>
      <c r="I4927" s="5">
        <f>Tabelle13[[#This Row],[%]]+I4926</f>
        <v>0.98085110338541492</v>
      </c>
      <c r="J4927" s="4">
        <f t="shared" si="185"/>
        <v>1.105583195135434E-4</v>
      </c>
      <c r="K4927" s="5">
        <f t="shared" si="186"/>
        <v>0.54449972360424903</v>
      </c>
    </row>
    <row r="4928" spans="1:11" x14ac:dyDescent="0.25">
      <c r="A4928" t="s">
        <v>3725</v>
      </c>
      <c r="C4928" t="s">
        <v>3726</v>
      </c>
      <c r="D4928" t="s">
        <v>5</v>
      </c>
      <c r="E4928" t="s">
        <v>6</v>
      </c>
      <c r="F4928" t="s">
        <v>724</v>
      </c>
      <c r="G4928">
        <v>1</v>
      </c>
      <c r="H4928" s="2">
        <f>Tabelle13[[#This Row],[commits]]/Tabelle13[[#Totals],[commits]]</f>
        <v>4.6477904404246225E-6</v>
      </c>
      <c r="I4928" s="5">
        <f>Tabelle13[[#This Row],[%]]+I4927</f>
        <v>0.98085575117585533</v>
      </c>
      <c r="J4928" s="4">
        <f t="shared" si="185"/>
        <v>1.105583195135434E-4</v>
      </c>
      <c r="K4928" s="5">
        <f t="shared" si="186"/>
        <v>0.5446102819237626</v>
      </c>
    </row>
    <row r="4929" spans="1:11" x14ac:dyDescent="0.25">
      <c r="A4929" t="s">
        <v>3727</v>
      </c>
      <c r="C4929" t="s">
        <v>3728</v>
      </c>
      <c r="D4929" t="s">
        <v>5</v>
      </c>
      <c r="E4929" t="s">
        <v>6</v>
      </c>
      <c r="F4929" t="s">
        <v>724</v>
      </c>
      <c r="G4929">
        <v>1</v>
      </c>
      <c r="H4929" s="2">
        <f>Tabelle13[[#This Row],[commits]]/Tabelle13[[#Totals],[commits]]</f>
        <v>4.6477904404246225E-6</v>
      </c>
      <c r="I4929" s="5">
        <f>Tabelle13[[#This Row],[%]]+I4928</f>
        <v>0.98086039896629573</v>
      </c>
      <c r="J4929" s="4">
        <f t="shared" si="185"/>
        <v>1.105583195135434E-4</v>
      </c>
      <c r="K4929" s="5">
        <f t="shared" si="186"/>
        <v>0.54472084024327616</v>
      </c>
    </row>
    <row r="4930" spans="1:11" x14ac:dyDescent="0.25">
      <c r="A4930" t="s">
        <v>3729</v>
      </c>
      <c r="C4930" t="s">
        <v>3730</v>
      </c>
      <c r="D4930" t="s">
        <v>5</v>
      </c>
      <c r="E4930" t="s">
        <v>6</v>
      </c>
      <c r="F4930" t="s">
        <v>724</v>
      </c>
      <c r="G4930">
        <v>1</v>
      </c>
      <c r="H4930" s="2">
        <f>Tabelle13[[#This Row],[commits]]/Tabelle13[[#Totals],[commits]]</f>
        <v>4.6477904404246225E-6</v>
      </c>
      <c r="I4930" s="5">
        <f>Tabelle13[[#This Row],[%]]+I4929</f>
        <v>0.98086504675673614</v>
      </c>
      <c r="J4930" s="4">
        <f t="shared" si="185"/>
        <v>1.105583195135434E-4</v>
      </c>
      <c r="K4930" s="5">
        <f t="shared" si="186"/>
        <v>0.54483139856278973</v>
      </c>
    </row>
    <row r="4931" spans="1:11" x14ac:dyDescent="0.25">
      <c r="A4931" t="s">
        <v>3731</v>
      </c>
      <c r="C4931" t="s">
        <v>3732</v>
      </c>
      <c r="D4931" t="s">
        <v>5</v>
      </c>
      <c r="E4931" t="s">
        <v>6</v>
      </c>
      <c r="F4931" t="s">
        <v>724</v>
      </c>
      <c r="G4931">
        <v>1</v>
      </c>
      <c r="H4931" s="2">
        <f>Tabelle13[[#This Row],[commits]]/Tabelle13[[#Totals],[commits]]</f>
        <v>4.6477904404246225E-6</v>
      </c>
      <c r="I4931" s="5">
        <f>Tabelle13[[#This Row],[%]]+I4930</f>
        <v>0.98086969454717654</v>
      </c>
      <c r="J4931" s="4">
        <f t="shared" ref="J4931:J4994" si="187">1/9045</f>
        <v>1.105583195135434E-4</v>
      </c>
      <c r="K4931" s="5">
        <f t="shared" si="186"/>
        <v>0.54494195688230329</v>
      </c>
    </row>
    <row r="4932" spans="1:11" x14ac:dyDescent="0.25">
      <c r="A4932" t="s">
        <v>3733</v>
      </c>
      <c r="C4932" t="s">
        <v>3734</v>
      </c>
      <c r="D4932" t="s">
        <v>5</v>
      </c>
      <c r="E4932" t="s">
        <v>6</v>
      </c>
      <c r="F4932" t="s">
        <v>724</v>
      </c>
      <c r="G4932">
        <v>1</v>
      </c>
      <c r="H4932" s="2">
        <f>Tabelle13[[#This Row],[commits]]/Tabelle13[[#Totals],[commits]]</f>
        <v>4.6477904404246225E-6</v>
      </c>
      <c r="I4932" s="5">
        <f>Tabelle13[[#This Row],[%]]+I4931</f>
        <v>0.98087434233761694</v>
      </c>
      <c r="J4932" s="4">
        <f t="shared" si="187"/>
        <v>1.105583195135434E-4</v>
      </c>
      <c r="K4932" s="5">
        <f t="shared" si="186"/>
        <v>0.54505251520181686</v>
      </c>
    </row>
    <row r="4933" spans="1:11" x14ac:dyDescent="0.25">
      <c r="A4933" t="s">
        <v>3735</v>
      </c>
      <c r="C4933" t="s">
        <v>3736</v>
      </c>
      <c r="D4933" t="s">
        <v>5</v>
      </c>
      <c r="E4933" t="s">
        <v>6</v>
      </c>
      <c r="F4933" t="s">
        <v>724</v>
      </c>
      <c r="G4933">
        <v>1</v>
      </c>
      <c r="H4933" s="2">
        <f>Tabelle13[[#This Row],[commits]]/Tabelle13[[#Totals],[commits]]</f>
        <v>4.6477904404246225E-6</v>
      </c>
      <c r="I4933" s="5">
        <f>Tabelle13[[#This Row],[%]]+I4932</f>
        <v>0.98087899012805735</v>
      </c>
      <c r="J4933" s="4">
        <f t="shared" si="187"/>
        <v>1.105583195135434E-4</v>
      </c>
      <c r="K4933" s="5">
        <f t="shared" si="186"/>
        <v>0.54516307352133042</v>
      </c>
    </row>
    <row r="4934" spans="1:11" x14ac:dyDescent="0.25">
      <c r="A4934" t="s">
        <v>3737</v>
      </c>
      <c r="C4934" t="s">
        <v>3738</v>
      </c>
      <c r="D4934" t="s">
        <v>5</v>
      </c>
      <c r="E4934" t="s">
        <v>6</v>
      </c>
      <c r="F4934" t="s">
        <v>724</v>
      </c>
      <c r="G4934">
        <v>1</v>
      </c>
      <c r="H4934" s="2">
        <f>Tabelle13[[#This Row],[commits]]/Tabelle13[[#Totals],[commits]]</f>
        <v>4.6477904404246225E-6</v>
      </c>
      <c r="I4934" s="5">
        <f>Tabelle13[[#This Row],[%]]+I4933</f>
        <v>0.98088363791849775</v>
      </c>
      <c r="J4934" s="4">
        <f t="shared" si="187"/>
        <v>1.105583195135434E-4</v>
      </c>
      <c r="K4934" s="5">
        <f t="shared" ref="K4934:K4997" si="188">J4934+K4933</f>
        <v>0.54527363184084399</v>
      </c>
    </row>
    <row r="4935" spans="1:11" x14ac:dyDescent="0.25">
      <c r="A4935" t="s">
        <v>3739</v>
      </c>
      <c r="C4935" t="s">
        <v>3740</v>
      </c>
      <c r="D4935" t="s">
        <v>5</v>
      </c>
      <c r="E4935" t="s">
        <v>6</v>
      </c>
      <c r="F4935" t="s">
        <v>724</v>
      </c>
      <c r="G4935">
        <v>1</v>
      </c>
      <c r="H4935" s="2">
        <f>Tabelle13[[#This Row],[commits]]/Tabelle13[[#Totals],[commits]]</f>
        <v>4.6477904404246225E-6</v>
      </c>
      <c r="I4935" s="5">
        <f>Tabelle13[[#This Row],[%]]+I4934</f>
        <v>0.98088828570893816</v>
      </c>
      <c r="J4935" s="4">
        <f t="shared" si="187"/>
        <v>1.105583195135434E-4</v>
      </c>
      <c r="K4935" s="5">
        <f t="shared" si="188"/>
        <v>0.54538419016035755</v>
      </c>
    </row>
    <row r="4936" spans="1:11" x14ac:dyDescent="0.25">
      <c r="A4936" t="s">
        <v>3741</v>
      </c>
      <c r="C4936" t="s">
        <v>3742</v>
      </c>
      <c r="D4936" t="s">
        <v>5</v>
      </c>
      <c r="E4936" t="s">
        <v>6</v>
      </c>
      <c r="F4936" t="s">
        <v>724</v>
      </c>
      <c r="G4936">
        <v>1</v>
      </c>
      <c r="H4936" s="2">
        <f>Tabelle13[[#This Row],[commits]]/Tabelle13[[#Totals],[commits]]</f>
        <v>4.6477904404246225E-6</v>
      </c>
      <c r="I4936" s="5">
        <f>Tabelle13[[#This Row],[%]]+I4935</f>
        <v>0.98089293349937856</v>
      </c>
      <c r="J4936" s="4">
        <f t="shared" si="187"/>
        <v>1.105583195135434E-4</v>
      </c>
      <c r="K4936" s="5">
        <f t="shared" si="188"/>
        <v>0.54549474847987112</v>
      </c>
    </row>
    <row r="4937" spans="1:11" x14ac:dyDescent="0.25">
      <c r="A4937" t="s">
        <v>3743</v>
      </c>
      <c r="C4937" t="s">
        <v>3744</v>
      </c>
      <c r="D4937" t="s">
        <v>5</v>
      </c>
      <c r="E4937" t="s">
        <v>6</v>
      </c>
      <c r="F4937" t="s">
        <v>724</v>
      </c>
      <c r="G4937">
        <v>1</v>
      </c>
      <c r="H4937" s="2">
        <f>Tabelle13[[#This Row],[commits]]/Tabelle13[[#Totals],[commits]]</f>
        <v>4.6477904404246225E-6</v>
      </c>
      <c r="I4937" s="5">
        <f>Tabelle13[[#This Row],[%]]+I4936</f>
        <v>0.98089758128981897</v>
      </c>
      <c r="J4937" s="4">
        <f t="shared" si="187"/>
        <v>1.105583195135434E-4</v>
      </c>
      <c r="K4937" s="5">
        <f t="shared" si="188"/>
        <v>0.54560530679938468</v>
      </c>
    </row>
    <row r="4938" spans="1:11" x14ac:dyDescent="0.25">
      <c r="A4938" t="s">
        <v>3745</v>
      </c>
      <c r="C4938" t="s">
        <v>3746</v>
      </c>
      <c r="D4938" t="s">
        <v>5</v>
      </c>
      <c r="E4938" t="s">
        <v>6</v>
      </c>
      <c r="F4938" t="s">
        <v>724</v>
      </c>
      <c r="G4938">
        <v>1</v>
      </c>
      <c r="H4938" s="2">
        <f>Tabelle13[[#This Row],[commits]]/Tabelle13[[#Totals],[commits]]</f>
        <v>4.6477904404246225E-6</v>
      </c>
      <c r="I4938" s="5">
        <f>Tabelle13[[#This Row],[%]]+I4937</f>
        <v>0.98090222908025937</v>
      </c>
      <c r="J4938" s="4">
        <f t="shared" si="187"/>
        <v>1.105583195135434E-4</v>
      </c>
      <c r="K4938" s="5">
        <f t="shared" si="188"/>
        <v>0.54571586511889825</v>
      </c>
    </row>
    <row r="4939" spans="1:11" x14ac:dyDescent="0.25">
      <c r="A4939" t="s">
        <v>3747</v>
      </c>
      <c r="C4939" t="s">
        <v>3748</v>
      </c>
      <c r="D4939" t="s">
        <v>5</v>
      </c>
      <c r="E4939" t="s">
        <v>6</v>
      </c>
      <c r="F4939" t="s">
        <v>724</v>
      </c>
      <c r="G4939">
        <v>1</v>
      </c>
      <c r="H4939" s="2">
        <f>Tabelle13[[#This Row],[commits]]/Tabelle13[[#Totals],[commits]]</f>
        <v>4.6477904404246225E-6</v>
      </c>
      <c r="I4939" s="5">
        <f>Tabelle13[[#This Row],[%]]+I4938</f>
        <v>0.98090687687069977</v>
      </c>
      <c r="J4939" s="4">
        <f t="shared" si="187"/>
        <v>1.105583195135434E-4</v>
      </c>
      <c r="K4939" s="5">
        <f t="shared" si="188"/>
        <v>0.54582642343841181</v>
      </c>
    </row>
    <row r="4940" spans="1:11" x14ac:dyDescent="0.25">
      <c r="A4940" t="s">
        <v>3749</v>
      </c>
      <c r="C4940" t="s">
        <v>3750</v>
      </c>
      <c r="D4940" t="s">
        <v>5</v>
      </c>
      <c r="E4940" t="s">
        <v>6</v>
      </c>
      <c r="F4940" t="s">
        <v>724</v>
      </c>
      <c r="G4940">
        <v>1</v>
      </c>
      <c r="H4940" s="2">
        <f>Tabelle13[[#This Row],[commits]]/Tabelle13[[#Totals],[commits]]</f>
        <v>4.6477904404246225E-6</v>
      </c>
      <c r="I4940" s="5">
        <f>Tabelle13[[#This Row],[%]]+I4939</f>
        <v>0.98091152466114018</v>
      </c>
      <c r="J4940" s="4">
        <f t="shared" si="187"/>
        <v>1.105583195135434E-4</v>
      </c>
      <c r="K4940" s="5">
        <f t="shared" si="188"/>
        <v>0.54593698175792538</v>
      </c>
    </row>
    <row r="4941" spans="1:11" x14ac:dyDescent="0.25">
      <c r="A4941" t="s">
        <v>3751</v>
      </c>
      <c r="C4941" t="s">
        <v>3752</v>
      </c>
      <c r="D4941" t="s">
        <v>5</v>
      </c>
      <c r="E4941" t="s">
        <v>6</v>
      </c>
      <c r="F4941" t="s">
        <v>724</v>
      </c>
      <c r="G4941">
        <v>1</v>
      </c>
      <c r="H4941" s="2">
        <f>Tabelle13[[#This Row],[commits]]/Tabelle13[[#Totals],[commits]]</f>
        <v>4.6477904404246225E-6</v>
      </c>
      <c r="I4941" s="5">
        <f>Tabelle13[[#This Row],[%]]+I4940</f>
        <v>0.98091617245158058</v>
      </c>
      <c r="J4941" s="4">
        <f t="shared" si="187"/>
        <v>1.105583195135434E-4</v>
      </c>
      <c r="K4941" s="5">
        <f t="shared" si="188"/>
        <v>0.54604754007743894</v>
      </c>
    </row>
    <row r="4942" spans="1:11" x14ac:dyDescent="0.25">
      <c r="A4942" t="s">
        <v>3753</v>
      </c>
      <c r="C4942" t="s">
        <v>3754</v>
      </c>
      <c r="D4942" t="s">
        <v>5</v>
      </c>
      <c r="E4942" t="s">
        <v>6</v>
      </c>
      <c r="F4942" t="s">
        <v>724</v>
      </c>
      <c r="G4942">
        <v>1</v>
      </c>
      <c r="H4942" s="2">
        <f>Tabelle13[[#This Row],[commits]]/Tabelle13[[#Totals],[commits]]</f>
        <v>4.6477904404246225E-6</v>
      </c>
      <c r="I4942" s="5">
        <f>Tabelle13[[#This Row],[%]]+I4941</f>
        <v>0.98092082024202099</v>
      </c>
      <c r="J4942" s="4">
        <f t="shared" si="187"/>
        <v>1.105583195135434E-4</v>
      </c>
      <c r="K4942" s="5">
        <f t="shared" si="188"/>
        <v>0.54615809839695251</v>
      </c>
    </row>
    <row r="4943" spans="1:11" x14ac:dyDescent="0.25">
      <c r="A4943" t="s">
        <v>3755</v>
      </c>
      <c r="C4943" t="s">
        <v>3756</v>
      </c>
      <c r="D4943" t="s">
        <v>5</v>
      </c>
      <c r="E4943" t="s">
        <v>6</v>
      </c>
      <c r="F4943" t="s">
        <v>724</v>
      </c>
      <c r="G4943">
        <v>1</v>
      </c>
      <c r="H4943" s="2">
        <f>Tabelle13[[#This Row],[commits]]/Tabelle13[[#Totals],[commits]]</f>
        <v>4.6477904404246225E-6</v>
      </c>
      <c r="I4943" s="5">
        <f>Tabelle13[[#This Row],[%]]+I4942</f>
        <v>0.98092546803246139</v>
      </c>
      <c r="J4943" s="4">
        <f t="shared" si="187"/>
        <v>1.105583195135434E-4</v>
      </c>
      <c r="K4943" s="5">
        <f t="shared" si="188"/>
        <v>0.54626865671646607</v>
      </c>
    </row>
    <row r="4944" spans="1:11" x14ac:dyDescent="0.25">
      <c r="A4944" t="s">
        <v>3757</v>
      </c>
      <c r="C4944" t="s">
        <v>3758</v>
      </c>
      <c r="D4944" t="s">
        <v>5</v>
      </c>
      <c r="E4944" t="s">
        <v>6</v>
      </c>
      <c r="F4944" t="s">
        <v>724</v>
      </c>
      <c r="G4944">
        <v>1</v>
      </c>
      <c r="H4944" s="2">
        <f>Tabelle13[[#This Row],[commits]]/Tabelle13[[#Totals],[commits]]</f>
        <v>4.6477904404246225E-6</v>
      </c>
      <c r="I4944" s="5">
        <f>Tabelle13[[#This Row],[%]]+I4943</f>
        <v>0.98093011582290179</v>
      </c>
      <c r="J4944" s="4">
        <f t="shared" si="187"/>
        <v>1.105583195135434E-4</v>
      </c>
      <c r="K4944" s="5">
        <f t="shared" si="188"/>
        <v>0.54637921503597964</v>
      </c>
    </row>
    <row r="4945" spans="1:11" x14ac:dyDescent="0.25">
      <c r="A4945" t="s">
        <v>3759</v>
      </c>
      <c r="C4945" t="s">
        <v>3760</v>
      </c>
      <c r="D4945" t="s">
        <v>5</v>
      </c>
      <c r="E4945" t="s">
        <v>6</v>
      </c>
      <c r="F4945" t="s">
        <v>724</v>
      </c>
      <c r="G4945">
        <v>1</v>
      </c>
      <c r="H4945" s="2">
        <f>Tabelle13[[#This Row],[commits]]/Tabelle13[[#Totals],[commits]]</f>
        <v>4.6477904404246225E-6</v>
      </c>
      <c r="I4945" s="5">
        <f>Tabelle13[[#This Row],[%]]+I4944</f>
        <v>0.9809347636133422</v>
      </c>
      <c r="J4945" s="4">
        <f t="shared" si="187"/>
        <v>1.105583195135434E-4</v>
      </c>
      <c r="K4945" s="5">
        <f t="shared" si="188"/>
        <v>0.5464897733554932</v>
      </c>
    </row>
    <row r="4946" spans="1:11" x14ac:dyDescent="0.25">
      <c r="A4946" t="s">
        <v>3761</v>
      </c>
      <c r="C4946" t="s">
        <v>3762</v>
      </c>
      <c r="D4946" t="s">
        <v>5</v>
      </c>
      <c r="E4946" t="s">
        <v>6</v>
      </c>
      <c r="F4946" t="s">
        <v>724</v>
      </c>
      <c r="G4946">
        <v>1</v>
      </c>
      <c r="H4946" s="2">
        <f>Tabelle13[[#This Row],[commits]]/Tabelle13[[#Totals],[commits]]</f>
        <v>4.6477904404246225E-6</v>
      </c>
      <c r="I4946" s="5">
        <f>Tabelle13[[#This Row],[%]]+I4945</f>
        <v>0.9809394114037826</v>
      </c>
      <c r="J4946" s="4">
        <f t="shared" si="187"/>
        <v>1.105583195135434E-4</v>
      </c>
      <c r="K4946" s="5">
        <f t="shared" si="188"/>
        <v>0.54660033167500677</v>
      </c>
    </row>
    <row r="4947" spans="1:11" x14ac:dyDescent="0.25">
      <c r="A4947" t="s">
        <v>3763</v>
      </c>
      <c r="C4947" t="s">
        <v>3764</v>
      </c>
      <c r="D4947" t="s">
        <v>5</v>
      </c>
      <c r="E4947" t="s">
        <v>6</v>
      </c>
      <c r="F4947" t="s">
        <v>724</v>
      </c>
      <c r="G4947">
        <v>1</v>
      </c>
      <c r="H4947" s="2">
        <f>Tabelle13[[#This Row],[commits]]/Tabelle13[[#Totals],[commits]]</f>
        <v>4.6477904404246225E-6</v>
      </c>
      <c r="I4947" s="5">
        <f>Tabelle13[[#This Row],[%]]+I4946</f>
        <v>0.98094405919422301</v>
      </c>
      <c r="J4947" s="4">
        <f t="shared" si="187"/>
        <v>1.105583195135434E-4</v>
      </c>
      <c r="K4947" s="5">
        <f t="shared" si="188"/>
        <v>0.54671088999452033</v>
      </c>
    </row>
    <row r="4948" spans="1:11" x14ac:dyDescent="0.25">
      <c r="A4948" t="s">
        <v>3765</v>
      </c>
      <c r="C4948" t="s">
        <v>3766</v>
      </c>
      <c r="D4948" t="s">
        <v>5</v>
      </c>
      <c r="E4948" t="s">
        <v>6</v>
      </c>
      <c r="F4948" t="s">
        <v>724</v>
      </c>
      <c r="G4948">
        <v>1</v>
      </c>
      <c r="H4948" s="2">
        <f>Tabelle13[[#This Row],[commits]]/Tabelle13[[#Totals],[commits]]</f>
        <v>4.6477904404246225E-6</v>
      </c>
      <c r="I4948" s="5">
        <f>Tabelle13[[#This Row],[%]]+I4947</f>
        <v>0.98094870698466341</v>
      </c>
      <c r="J4948" s="4">
        <f t="shared" si="187"/>
        <v>1.105583195135434E-4</v>
      </c>
      <c r="K4948" s="5">
        <f t="shared" si="188"/>
        <v>0.5468214483140339</v>
      </c>
    </row>
    <row r="4949" spans="1:11" x14ac:dyDescent="0.25">
      <c r="A4949" t="s">
        <v>3767</v>
      </c>
      <c r="C4949" t="s">
        <v>3768</v>
      </c>
      <c r="D4949" t="s">
        <v>5</v>
      </c>
      <c r="E4949" t="s">
        <v>6</v>
      </c>
      <c r="F4949" t="s">
        <v>724</v>
      </c>
      <c r="G4949">
        <v>1</v>
      </c>
      <c r="H4949" s="2">
        <f>Tabelle13[[#This Row],[commits]]/Tabelle13[[#Totals],[commits]]</f>
        <v>4.6477904404246225E-6</v>
      </c>
      <c r="I4949" s="5">
        <f>Tabelle13[[#This Row],[%]]+I4948</f>
        <v>0.98095335477510381</v>
      </c>
      <c r="J4949" s="4">
        <f t="shared" si="187"/>
        <v>1.105583195135434E-4</v>
      </c>
      <c r="K4949" s="5">
        <f t="shared" si="188"/>
        <v>0.54693200663354746</v>
      </c>
    </row>
    <row r="4950" spans="1:11" x14ac:dyDescent="0.25">
      <c r="A4950" t="s">
        <v>3769</v>
      </c>
      <c r="C4950" t="s">
        <v>3770</v>
      </c>
      <c r="D4950" t="s">
        <v>5</v>
      </c>
      <c r="E4950" t="s">
        <v>6</v>
      </c>
      <c r="F4950" t="s">
        <v>724</v>
      </c>
      <c r="G4950">
        <v>1</v>
      </c>
      <c r="H4950" s="2">
        <f>Tabelle13[[#This Row],[commits]]/Tabelle13[[#Totals],[commits]]</f>
        <v>4.6477904404246225E-6</v>
      </c>
      <c r="I4950" s="5">
        <f>Tabelle13[[#This Row],[%]]+I4949</f>
        <v>0.98095800256554422</v>
      </c>
      <c r="J4950" s="4">
        <f t="shared" si="187"/>
        <v>1.105583195135434E-4</v>
      </c>
      <c r="K4950" s="5">
        <f t="shared" si="188"/>
        <v>0.54704256495306103</v>
      </c>
    </row>
    <row r="4951" spans="1:11" x14ac:dyDescent="0.25">
      <c r="A4951" t="s">
        <v>3771</v>
      </c>
      <c r="C4951" t="s">
        <v>3772</v>
      </c>
      <c r="D4951" t="s">
        <v>5</v>
      </c>
      <c r="E4951" t="s">
        <v>6</v>
      </c>
      <c r="F4951" t="s">
        <v>724</v>
      </c>
      <c r="G4951">
        <v>1</v>
      </c>
      <c r="H4951" s="2">
        <f>Tabelle13[[#This Row],[commits]]/Tabelle13[[#Totals],[commits]]</f>
        <v>4.6477904404246225E-6</v>
      </c>
      <c r="I4951" s="5">
        <f>Tabelle13[[#This Row],[%]]+I4950</f>
        <v>0.98096265035598462</v>
      </c>
      <c r="J4951" s="4">
        <f t="shared" si="187"/>
        <v>1.105583195135434E-4</v>
      </c>
      <c r="K4951" s="5">
        <f t="shared" si="188"/>
        <v>0.54715312327257459</v>
      </c>
    </row>
    <row r="4952" spans="1:11" x14ac:dyDescent="0.25">
      <c r="A4952" t="s">
        <v>3773</v>
      </c>
      <c r="C4952" t="s">
        <v>3774</v>
      </c>
      <c r="D4952" t="s">
        <v>5</v>
      </c>
      <c r="E4952" t="s">
        <v>6</v>
      </c>
      <c r="F4952" t="s">
        <v>724</v>
      </c>
      <c r="G4952">
        <v>1</v>
      </c>
      <c r="H4952" s="2">
        <f>Tabelle13[[#This Row],[commits]]/Tabelle13[[#Totals],[commits]]</f>
        <v>4.6477904404246225E-6</v>
      </c>
      <c r="I4952" s="5">
        <f>Tabelle13[[#This Row],[%]]+I4951</f>
        <v>0.98096729814642503</v>
      </c>
      <c r="J4952" s="4">
        <f t="shared" si="187"/>
        <v>1.105583195135434E-4</v>
      </c>
      <c r="K4952" s="5">
        <f t="shared" si="188"/>
        <v>0.54726368159208816</v>
      </c>
    </row>
    <row r="4953" spans="1:11" x14ac:dyDescent="0.25">
      <c r="A4953" t="s">
        <v>3775</v>
      </c>
      <c r="C4953" t="s">
        <v>3776</v>
      </c>
      <c r="D4953" t="s">
        <v>5</v>
      </c>
      <c r="E4953" t="s">
        <v>6</v>
      </c>
      <c r="F4953" t="s">
        <v>724</v>
      </c>
      <c r="G4953">
        <v>1</v>
      </c>
      <c r="H4953" s="2">
        <f>Tabelle13[[#This Row],[commits]]/Tabelle13[[#Totals],[commits]]</f>
        <v>4.6477904404246225E-6</v>
      </c>
      <c r="I4953" s="5">
        <f>Tabelle13[[#This Row],[%]]+I4952</f>
        <v>0.98097194593686543</v>
      </c>
      <c r="J4953" s="4">
        <f t="shared" si="187"/>
        <v>1.105583195135434E-4</v>
      </c>
      <c r="K4953" s="5">
        <f t="shared" si="188"/>
        <v>0.54737423991160172</v>
      </c>
    </row>
    <row r="4954" spans="1:11" x14ac:dyDescent="0.25">
      <c r="A4954" t="s">
        <v>3777</v>
      </c>
      <c r="C4954" t="s">
        <v>1898</v>
      </c>
      <c r="D4954" t="s">
        <v>5</v>
      </c>
      <c r="E4954" t="s">
        <v>6</v>
      </c>
      <c r="F4954" t="s">
        <v>724</v>
      </c>
      <c r="G4954">
        <v>1</v>
      </c>
      <c r="H4954" s="2">
        <f>Tabelle13[[#This Row],[commits]]/Tabelle13[[#Totals],[commits]]</f>
        <v>4.6477904404246225E-6</v>
      </c>
      <c r="I4954" s="5">
        <f>Tabelle13[[#This Row],[%]]+I4953</f>
        <v>0.98097659372730583</v>
      </c>
      <c r="J4954" s="4">
        <f t="shared" si="187"/>
        <v>1.105583195135434E-4</v>
      </c>
      <c r="K4954" s="5">
        <f t="shared" si="188"/>
        <v>0.54748479823111529</v>
      </c>
    </row>
    <row r="4955" spans="1:11" x14ac:dyDescent="0.25">
      <c r="A4955" t="s">
        <v>3778</v>
      </c>
      <c r="C4955" t="s">
        <v>3779</v>
      </c>
      <c r="D4955" t="s">
        <v>5</v>
      </c>
      <c r="E4955" t="s">
        <v>6</v>
      </c>
      <c r="F4955" t="s">
        <v>724</v>
      </c>
      <c r="G4955">
        <v>1</v>
      </c>
      <c r="H4955" s="2">
        <f>Tabelle13[[#This Row],[commits]]/Tabelle13[[#Totals],[commits]]</f>
        <v>4.6477904404246225E-6</v>
      </c>
      <c r="I4955" s="5">
        <f>Tabelle13[[#This Row],[%]]+I4954</f>
        <v>0.98098124151774624</v>
      </c>
      <c r="J4955" s="4">
        <f t="shared" si="187"/>
        <v>1.105583195135434E-4</v>
      </c>
      <c r="K4955" s="5">
        <f t="shared" si="188"/>
        <v>0.54759535655062885</v>
      </c>
    </row>
    <row r="4956" spans="1:11" x14ac:dyDescent="0.25">
      <c r="A4956" t="s">
        <v>3780</v>
      </c>
      <c r="C4956" t="s">
        <v>3781</v>
      </c>
      <c r="D4956" t="s">
        <v>5</v>
      </c>
      <c r="E4956" t="s">
        <v>6</v>
      </c>
      <c r="F4956" t="s">
        <v>724</v>
      </c>
      <c r="G4956">
        <v>1</v>
      </c>
      <c r="H4956" s="2">
        <f>Tabelle13[[#This Row],[commits]]/Tabelle13[[#Totals],[commits]]</f>
        <v>4.6477904404246225E-6</v>
      </c>
      <c r="I4956" s="5">
        <f>Tabelle13[[#This Row],[%]]+I4955</f>
        <v>0.98098588930818664</v>
      </c>
      <c r="J4956" s="4">
        <f t="shared" si="187"/>
        <v>1.105583195135434E-4</v>
      </c>
      <c r="K4956" s="5">
        <f t="shared" si="188"/>
        <v>0.54770591487014242</v>
      </c>
    </row>
    <row r="4957" spans="1:11" x14ac:dyDescent="0.25">
      <c r="A4957" t="s">
        <v>3782</v>
      </c>
      <c r="C4957">
        <v>1173285195</v>
      </c>
      <c r="D4957" t="s">
        <v>5</v>
      </c>
      <c r="E4957" t="s">
        <v>6</v>
      </c>
      <c r="F4957" t="s">
        <v>724</v>
      </c>
      <c r="G4957">
        <v>1</v>
      </c>
      <c r="H4957" s="2">
        <f>Tabelle13[[#This Row],[commits]]/Tabelle13[[#Totals],[commits]]</f>
        <v>4.6477904404246225E-6</v>
      </c>
      <c r="I4957" s="5">
        <f>Tabelle13[[#This Row],[%]]+I4956</f>
        <v>0.98099053709862705</v>
      </c>
      <c r="J4957" s="4">
        <f t="shared" si="187"/>
        <v>1.105583195135434E-4</v>
      </c>
      <c r="K4957" s="5">
        <f t="shared" si="188"/>
        <v>0.54781647318965598</v>
      </c>
    </row>
    <row r="4958" spans="1:11" x14ac:dyDescent="0.25">
      <c r="A4958" t="s">
        <v>3783</v>
      </c>
      <c r="C4958" t="s">
        <v>3784</v>
      </c>
      <c r="D4958" t="s">
        <v>5</v>
      </c>
      <c r="E4958" t="s">
        <v>6</v>
      </c>
      <c r="F4958" t="s">
        <v>724</v>
      </c>
      <c r="G4958">
        <v>1</v>
      </c>
      <c r="H4958" s="2">
        <f>Tabelle13[[#This Row],[commits]]/Tabelle13[[#Totals],[commits]]</f>
        <v>4.6477904404246225E-6</v>
      </c>
      <c r="I4958" s="5">
        <f>Tabelle13[[#This Row],[%]]+I4957</f>
        <v>0.98099518488906745</v>
      </c>
      <c r="J4958" s="4">
        <f t="shared" si="187"/>
        <v>1.105583195135434E-4</v>
      </c>
      <c r="K4958" s="5">
        <f t="shared" si="188"/>
        <v>0.54792703150916955</v>
      </c>
    </row>
    <row r="4959" spans="1:11" x14ac:dyDescent="0.25">
      <c r="A4959" t="s">
        <v>3785</v>
      </c>
      <c r="C4959" t="s">
        <v>3786</v>
      </c>
      <c r="D4959" t="s">
        <v>5</v>
      </c>
      <c r="E4959" t="s">
        <v>6</v>
      </c>
      <c r="F4959" t="s">
        <v>724</v>
      </c>
      <c r="G4959">
        <v>1</v>
      </c>
      <c r="H4959" s="2">
        <f>Tabelle13[[#This Row],[commits]]/Tabelle13[[#Totals],[commits]]</f>
        <v>4.6477904404246225E-6</v>
      </c>
      <c r="I4959" s="5">
        <f>Tabelle13[[#This Row],[%]]+I4958</f>
        <v>0.98099983267950785</v>
      </c>
      <c r="J4959" s="4">
        <f t="shared" si="187"/>
        <v>1.105583195135434E-4</v>
      </c>
      <c r="K4959" s="5">
        <f t="shared" si="188"/>
        <v>0.54803758982868311</v>
      </c>
    </row>
    <row r="4960" spans="1:11" x14ac:dyDescent="0.25">
      <c r="A4960" t="s">
        <v>3787</v>
      </c>
      <c r="C4960" t="s">
        <v>1315</v>
      </c>
      <c r="D4960" t="s">
        <v>5</v>
      </c>
      <c r="E4960" t="s">
        <v>6</v>
      </c>
      <c r="F4960" t="s">
        <v>724</v>
      </c>
      <c r="G4960">
        <v>1</v>
      </c>
      <c r="H4960" s="2">
        <f>Tabelle13[[#This Row],[commits]]/Tabelle13[[#Totals],[commits]]</f>
        <v>4.6477904404246225E-6</v>
      </c>
      <c r="I4960" s="5">
        <f>Tabelle13[[#This Row],[%]]+I4959</f>
        <v>0.98100448046994826</v>
      </c>
      <c r="J4960" s="4">
        <f t="shared" si="187"/>
        <v>1.105583195135434E-4</v>
      </c>
      <c r="K4960" s="5">
        <f t="shared" si="188"/>
        <v>0.54814814814819668</v>
      </c>
    </row>
    <row r="4961" spans="1:11" x14ac:dyDescent="0.25">
      <c r="A4961" t="s">
        <v>3788</v>
      </c>
      <c r="C4961" t="s">
        <v>3789</v>
      </c>
      <c r="D4961" t="s">
        <v>5</v>
      </c>
      <c r="E4961" t="s">
        <v>6</v>
      </c>
      <c r="F4961" t="s">
        <v>724</v>
      </c>
      <c r="G4961">
        <v>1</v>
      </c>
      <c r="H4961" s="2">
        <f>Tabelle13[[#This Row],[commits]]/Tabelle13[[#Totals],[commits]]</f>
        <v>4.6477904404246225E-6</v>
      </c>
      <c r="I4961" s="5">
        <f>Tabelle13[[#This Row],[%]]+I4960</f>
        <v>0.98100912826038866</v>
      </c>
      <c r="J4961" s="4">
        <f t="shared" si="187"/>
        <v>1.105583195135434E-4</v>
      </c>
      <c r="K4961" s="5">
        <f t="shared" si="188"/>
        <v>0.54825870646771024</v>
      </c>
    </row>
    <row r="4962" spans="1:11" x14ac:dyDescent="0.25">
      <c r="A4962" t="s">
        <v>3790</v>
      </c>
      <c r="C4962" t="s">
        <v>3791</v>
      </c>
      <c r="D4962" t="s">
        <v>5</v>
      </c>
      <c r="E4962" t="s">
        <v>6</v>
      </c>
      <c r="F4962" t="s">
        <v>724</v>
      </c>
      <c r="G4962">
        <v>1</v>
      </c>
      <c r="H4962" s="2">
        <f>Tabelle13[[#This Row],[commits]]/Tabelle13[[#Totals],[commits]]</f>
        <v>4.6477904404246225E-6</v>
      </c>
      <c r="I4962" s="5">
        <f>Tabelle13[[#This Row],[%]]+I4961</f>
        <v>0.98101377605082907</v>
      </c>
      <c r="J4962" s="4">
        <f t="shared" si="187"/>
        <v>1.105583195135434E-4</v>
      </c>
      <c r="K4962" s="5">
        <f t="shared" si="188"/>
        <v>0.54836926478722381</v>
      </c>
    </row>
    <row r="4963" spans="1:11" x14ac:dyDescent="0.25">
      <c r="A4963" t="s">
        <v>3792</v>
      </c>
      <c r="C4963" t="s">
        <v>3793</v>
      </c>
      <c r="D4963" t="s">
        <v>5</v>
      </c>
      <c r="E4963" t="s">
        <v>6</v>
      </c>
      <c r="F4963" t="s">
        <v>724</v>
      </c>
      <c r="G4963">
        <v>1</v>
      </c>
      <c r="H4963" s="2">
        <f>Tabelle13[[#This Row],[commits]]/Tabelle13[[#Totals],[commits]]</f>
        <v>4.6477904404246225E-6</v>
      </c>
      <c r="I4963" s="5">
        <f>Tabelle13[[#This Row],[%]]+I4962</f>
        <v>0.98101842384126947</v>
      </c>
      <c r="J4963" s="4">
        <f t="shared" si="187"/>
        <v>1.105583195135434E-4</v>
      </c>
      <c r="K4963" s="5">
        <f t="shared" si="188"/>
        <v>0.54847982310673737</v>
      </c>
    </row>
    <row r="4964" spans="1:11" x14ac:dyDescent="0.25">
      <c r="A4964" t="s">
        <v>3794</v>
      </c>
      <c r="C4964" t="s">
        <v>3795</v>
      </c>
      <c r="D4964" t="s">
        <v>5</v>
      </c>
      <c r="E4964" t="s">
        <v>6</v>
      </c>
      <c r="F4964" t="s">
        <v>724</v>
      </c>
      <c r="G4964">
        <v>1</v>
      </c>
      <c r="H4964" s="2">
        <f>Tabelle13[[#This Row],[commits]]/Tabelle13[[#Totals],[commits]]</f>
        <v>4.6477904404246225E-6</v>
      </c>
      <c r="I4964" s="5">
        <f>Tabelle13[[#This Row],[%]]+I4963</f>
        <v>0.98102307163170988</v>
      </c>
      <c r="J4964" s="4">
        <f t="shared" si="187"/>
        <v>1.105583195135434E-4</v>
      </c>
      <c r="K4964" s="5">
        <f t="shared" si="188"/>
        <v>0.54859038142625094</v>
      </c>
    </row>
    <row r="4965" spans="1:11" x14ac:dyDescent="0.25">
      <c r="A4965" t="s">
        <v>3796</v>
      </c>
      <c r="C4965" t="s">
        <v>3797</v>
      </c>
      <c r="D4965" t="s">
        <v>5</v>
      </c>
      <c r="E4965" t="s">
        <v>6</v>
      </c>
      <c r="F4965" t="s">
        <v>724</v>
      </c>
      <c r="G4965">
        <v>1</v>
      </c>
      <c r="H4965" s="2">
        <f>Tabelle13[[#This Row],[commits]]/Tabelle13[[#Totals],[commits]]</f>
        <v>4.6477904404246225E-6</v>
      </c>
      <c r="I4965" s="5">
        <f>Tabelle13[[#This Row],[%]]+I4964</f>
        <v>0.98102771942215028</v>
      </c>
      <c r="J4965" s="4">
        <f t="shared" si="187"/>
        <v>1.105583195135434E-4</v>
      </c>
      <c r="K4965" s="5">
        <f t="shared" si="188"/>
        <v>0.5487009397457645</v>
      </c>
    </row>
    <row r="4966" spans="1:11" x14ac:dyDescent="0.25">
      <c r="A4966" t="s">
        <v>3798</v>
      </c>
      <c r="C4966" t="s">
        <v>3799</v>
      </c>
      <c r="D4966" t="s">
        <v>5</v>
      </c>
      <c r="E4966" t="s">
        <v>6</v>
      </c>
      <c r="F4966" t="s">
        <v>724</v>
      </c>
      <c r="G4966">
        <v>1</v>
      </c>
      <c r="H4966" s="2">
        <f>Tabelle13[[#This Row],[commits]]/Tabelle13[[#Totals],[commits]]</f>
        <v>4.6477904404246225E-6</v>
      </c>
      <c r="I4966" s="5">
        <f>Tabelle13[[#This Row],[%]]+I4965</f>
        <v>0.98103236721259068</v>
      </c>
      <c r="J4966" s="4">
        <f t="shared" si="187"/>
        <v>1.105583195135434E-4</v>
      </c>
      <c r="K4966" s="5">
        <f t="shared" si="188"/>
        <v>0.54881149806527807</v>
      </c>
    </row>
    <row r="4967" spans="1:11" x14ac:dyDescent="0.25">
      <c r="A4967" t="s">
        <v>3800</v>
      </c>
      <c r="C4967" t="s">
        <v>3801</v>
      </c>
      <c r="D4967" t="s">
        <v>5</v>
      </c>
      <c r="E4967" t="s">
        <v>6</v>
      </c>
      <c r="F4967" t="s">
        <v>724</v>
      </c>
      <c r="G4967">
        <v>1</v>
      </c>
      <c r="H4967" s="2">
        <f>Tabelle13[[#This Row],[commits]]/Tabelle13[[#Totals],[commits]]</f>
        <v>4.6477904404246225E-6</v>
      </c>
      <c r="I4967" s="5">
        <f>Tabelle13[[#This Row],[%]]+I4966</f>
        <v>0.98103701500303109</v>
      </c>
      <c r="J4967" s="4">
        <f t="shared" si="187"/>
        <v>1.105583195135434E-4</v>
      </c>
      <c r="K4967" s="5">
        <f t="shared" si="188"/>
        <v>0.54892205638479163</v>
      </c>
    </row>
    <row r="4968" spans="1:11" x14ac:dyDescent="0.25">
      <c r="A4968" t="s">
        <v>3802</v>
      </c>
      <c r="C4968" t="s">
        <v>3803</v>
      </c>
      <c r="D4968" t="s">
        <v>5</v>
      </c>
      <c r="E4968" t="s">
        <v>6</v>
      </c>
      <c r="F4968" t="s">
        <v>724</v>
      </c>
      <c r="G4968">
        <v>1</v>
      </c>
      <c r="H4968" s="2">
        <f>Tabelle13[[#This Row],[commits]]/Tabelle13[[#Totals],[commits]]</f>
        <v>4.6477904404246225E-6</v>
      </c>
      <c r="I4968" s="5">
        <f>Tabelle13[[#This Row],[%]]+I4967</f>
        <v>0.98104166279347149</v>
      </c>
      <c r="J4968" s="4">
        <f t="shared" si="187"/>
        <v>1.105583195135434E-4</v>
      </c>
      <c r="K4968" s="5">
        <f t="shared" si="188"/>
        <v>0.5490326147043052</v>
      </c>
    </row>
    <row r="4969" spans="1:11" x14ac:dyDescent="0.25">
      <c r="A4969" t="s">
        <v>3804</v>
      </c>
      <c r="C4969" t="s">
        <v>3805</v>
      </c>
      <c r="D4969" t="s">
        <v>5</v>
      </c>
      <c r="E4969" t="s">
        <v>6</v>
      </c>
      <c r="F4969" t="s">
        <v>724</v>
      </c>
      <c r="G4969">
        <v>1</v>
      </c>
      <c r="H4969" s="2">
        <f>Tabelle13[[#This Row],[commits]]/Tabelle13[[#Totals],[commits]]</f>
        <v>4.6477904404246225E-6</v>
      </c>
      <c r="I4969" s="5">
        <f>Tabelle13[[#This Row],[%]]+I4968</f>
        <v>0.9810463105839119</v>
      </c>
      <c r="J4969" s="4">
        <f t="shared" si="187"/>
        <v>1.105583195135434E-4</v>
      </c>
      <c r="K4969" s="5">
        <f t="shared" si="188"/>
        <v>0.54914317302381876</v>
      </c>
    </row>
    <row r="4970" spans="1:11" x14ac:dyDescent="0.25">
      <c r="A4970" t="s">
        <v>3806</v>
      </c>
      <c r="C4970" t="s">
        <v>3807</v>
      </c>
      <c r="D4970" t="s">
        <v>5</v>
      </c>
      <c r="E4970" t="s">
        <v>6</v>
      </c>
      <c r="F4970" t="s">
        <v>724</v>
      </c>
      <c r="G4970">
        <v>1</v>
      </c>
      <c r="H4970" s="2">
        <f>Tabelle13[[#This Row],[commits]]/Tabelle13[[#Totals],[commits]]</f>
        <v>4.6477904404246225E-6</v>
      </c>
      <c r="I4970" s="5">
        <f>Tabelle13[[#This Row],[%]]+I4969</f>
        <v>0.9810509583743523</v>
      </c>
      <c r="J4970" s="4">
        <f t="shared" si="187"/>
        <v>1.105583195135434E-4</v>
      </c>
      <c r="K4970" s="5">
        <f t="shared" si="188"/>
        <v>0.54925373134333233</v>
      </c>
    </row>
    <row r="4971" spans="1:11" x14ac:dyDescent="0.25">
      <c r="A4971" t="s">
        <v>3808</v>
      </c>
      <c r="C4971" t="s">
        <v>3809</v>
      </c>
      <c r="D4971" t="s">
        <v>5</v>
      </c>
      <c r="E4971" t="s">
        <v>6</v>
      </c>
      <c r="F4971" t="s">
        <v>724</v>
      </c>
      <c r="G4971">
        <v>1</v>
      </c>
      <c r="H4971" s="2">
        <f>Tabelle13[[#This Row],[commits]]/Tabelle13[[#Totals],[commits]]</f>
        <v>4.6477904404246225E-6</v>
      </c>
      <c r="I4971" s="5">
        <f>Tabelle13[[#This Row],[%]]+I4970</f>
        <v>0.9810556061647927</v>
      </c>
      <c r="J4971" s="4">
        <f t="shared" si="187"/>
        <v>1.105583195135434E-4</v>
      </c>
      <c r="K4971" s="5">
        <f t="shared" si="188"/>
        <v>0.54936428966284589</v>
      </c>
    </row>
    <row r="4972" spans="1:11" x14ac:dyDescent="0.25">
      <c r="A4972" t="s">
        <v>3810</v>
      </c>
      <c r="C4972" t="s">
        <v>3811</v>
      </c>
      <c r="D4972" t="s">
        <v>5</v>
      </c>
      <c r="E4972" t="s">
        <v>6</v>
      </c>
      <c r="F4972" t="s">
        <v>724</v>
      </c>
      <c r="G4972">
        <v>1</v>
      </c>
      <c r="H4972" s="2">
        <f>Tabelle13[[#This Row],[commits]]/Tabelle13[[#Totals],[commits]]</f>
        <v>4.6477904404246225E-6</v>
      </c>
      <c r="I4972" s="5">
        <f>Tabelle13[[#This Row],[%]]+I4971</f>
        <v>0.98106025395523311</v>
      </c>
      <c r="J4972" s="4">
        <f t="shared" si="187"/>
        <v>1.105583195135434E-4</v>
      </c>
      <c r="K4972" s="5">
        <f t="shared" si="188"/>
        <v>0.54947484798235946</v>
      </c>
    </row>
    <row r="4973" spans="1:11" x14ac:dyDescent="0.25">
      <c r="A4973" t="s">
        <v>3812</v>
      </c>
      <c r="C4973" t="s">
        <v>2671</v>
      </c>
      <c r="D4973" t="s">
        <v>5</v>
      </c>
      <c r="E4973" t="s">
        <v>6</v>
      </c>
      <c r="F4973" t="s">
        <v>724</v>
      </c>
      <c r="G4973">
        <v>1</v>
      </c>
      <c r="H4973" s="2">
        <f>Tabelle13[[#This Row],[commits]]/Tabelle13[[#Totals],[commits]]</f>
        <v>4.6477904404246225E-6</v>
      </c>
      <c r="I4973" s="5">
        <f>Tabelle13[[#This Row],[%]]+I4972</f>
        <v>0.98106490174567351</v>
      </c>
      <c r="J4973" s="4">
        <f t="shared" si="187"/>
        <v>1.105583195135434E-4</v>
      </c>
      <c r="K4973" s="5">
        <f t="shared" si="188"/>
        <v>0.54958540630187303</v>
      </c>
    </row>
    <row r="4974" spans="1:11" x14ac:dyDescent="0.25">
      <c r="A4974" t="s">
        <v>3813</v>
      </c>
      <c r="C4974" t="s">
        <v>3814</v>
      </c>
      <c r="D4974" t="s">
        <v>5</v>
      </c>
      <c r="E4974" t="s">
        <v>6</v>
      </c>
      <c r="F4974" t="s">
        <v>724</v>
      </c>
      <c r="G4974">
        <v>1</v>
      </c>
      <c r="H4974" s="2">
        <f>Tabelle13[[#This Row],[commits]]/Tabelle13[[#Totals],[commits]]</f>
        <v>4.6477904404246225E-6</v>
      </c>
      <c r="I4974" s="5">
        <f>Tabelle13[[#This Row],[%]]+I4973</f>
        <v>0.98106954953611392</v>
      </c>
      <c r="J4974" s="4">
        <f t="shared" si="187"/>
        <v>1.105583195135434E-4</v>
      </c>
      <c r="K4974" s="5">
        <f t="shared" si="188"/>
        <v>0.54969596462138659</v>
      </c>
    </row>
    <row r="4975" spans="1:11" x14ac:dyDescent="0.25">
      <c r="A4975" t="s">
        <v>3815</v>
      </c>
      <c r="C4975" t="s">
        <v>3816</v>
      </c>
      <c r="D4975" t="s">
        <v>5</v>
      </c>
      <c r="E4975" t="s">
        <v>6</v>
      </c>
      <c r="F4975" t="s">
        <v>724</v>
      </c>
      <c r="G4975">
        <v>1</v>
      </c>
      <c r="H4975" s="2">
        <f>Tabelle13[[#This Row],[commits]]/Tabelle13[[#Totals],[commits]]</f>
        <v>4.6477904404246225E-6</v>
      </c>
      <c r="I4975" s="5">
        <f>Tabelle13[[#This Row],[%]]+I4974</f>
        <v>0.98107419732655432</v>
      </c>
      <c r="J4975" s="4">
        <f t="shared" si="187"/>
        <v>1.105583195135434E-4</v>
      </c>
      <c r="K4975" s="5">
        <f t="shared" si="188"/>
        <v>0.54980652294090016</v>
      </c>
    </row>
    <row r="4976" spans="1:11" x14ac:dyDescent="0.25">
      <c r="A4976" t="s">
        <v>3817</v>
      </c>
      <c r="C4976" t="s">
        <v>3818</v>
      </c>
      <c r="D4976" t="s">
        <v>5</v>
      </c>
      <c r="E4976" t="s">
        <v>6</v>
      </c>
      <c r="F4976" t="s">
        <v>724</v>
      </c>
      <c r="G4976">
        <v>1</v>
      </c>
      <c r="H4976" s="2">
        <f>Tabelle13[[#This Row],[commits]]/Tabelle13[[#Totals],[commits]]</f>
        <v>4.6477904404246225E-6</v>
      </c>
      <c r="I4976" s="5">
        <f>Tabelle13[[#This Row],[%]]+I4975</f>
        <v>0.98107884511699472</v>
      </c>
      <c r="J4976" s="4">
        <f t="shared" si="187"/>
        <v>1.105583195135434E-4</v>
      </c>
      <c r="K4976" s="5">
        <f t="shared" si="188"/>
        <v>0.54991708126041372</v>
      </c>
    </row>
    <row r="4977" spans="1:11" x14ac:dyDescent="0.25">
      <c r="A4977" t="s">
        <v>3819</v>
      </c>
      <c r="C4977" t="s">
        <v>3820</v>
      </c>
      <c r="D4977" t="s">
        <v>5</v>
      </c>
      <c r="E4977" t="s">
        <v>6</v>
      </c>
      <c r="F4977" t="s">
        <v>724</v>
      </c>
      <c r="G4977">
        <v>1</v>
      </c>
      <c r="H4977" s="2">
        <f>Tabelle13[[#This Row],[commits]]/Tabelle13[[#Totals],[commits]]</f>
        <v>4.6477904404246225E-6</v>
      </c>
      <c r="I4977" s="5">
        <f>Tabelle13[[#This Row],[%]]+I4976</f>
        <v>0.98108349290743513</v>
      </c>
      <c r="J4977" s="4">
        <f t="shared" si="187"/>
        <v>1.105583195135434E-4</v>
      </c>
      <c r="K4977" s="5">
        <f t="shared" si="188"/>
        <v>0.55002763957992729</v>
      </c>
    </row>
    <row r="4978" spans="1:11" x14ac:dyDescent="0.25">
      <c r="A4978" t="s">
        <v>3821</v>
      </c>
      <c r="C4978" t="s">
        <v>122</v>
      </c>
      <c r="D4978" t="s">
        <v>5</v>
      </c>
      <c r="E4978" t="s">
        <v>6</v>
      </c>
      <c r="F4978" t="s">
        <v>724</v>
      </c>
      <c r="G4978">
        <v>1</v>
      </c>
      <c r="H4978" s="2">
        <f>Tabelle13[[#This Row],[commits]]/Tabelle13[[#Totals],[commits]]</f>
        <v>4.6477904404246225E-6</v>
      </c>
      <c r="I4978" s="5">
        <f>Tabelle13[[#This Row],[%]]+I4977</f>
        <v>0.98108814069787553</v>
      </c>
      <c r="J4978" s="4">
        <f t="shared" si="187"/>
        <v>1.105583195135434E-4</v>
      </c>
      <c r="K4978" s="5">
        <f t="shared" si="188"/>
        <v>0.55013819789944085</v>
      </c>
    </row>
    <row r="4979" spans="1:11" x14ac:dyDescent="0.25">
      <c r="A4979" t="s">
        <v>3822</v>
      </c>
      <c r="C4979" t="s">
        <v>3823</v>
      </c>
      <c r="D4979" t="s">
        <v>5</v>
      </c>
      <c r="E4979" t="s">
        <v>6</v>
      </c>
      <c r="F4979" t="s">
        <v>724</v>
      </c>
      <c r="G4979">
        <v>1</v>
      </c>
      <c r="H4979" s="2">
        <f>Tabelle13[[#This Row],[commits]]/Tabelle13[[#Totals],[commits]]</f>
        <v>4.6477904404246225E-6</v>
      </c>
      <c r="I4979" s="5">
        <f>Tabelle13[[#This Row],[%]]+I4978</f>
        <v>0.98109278848831594</v>
      </c>
      <c r="J4979" s="4">
        <f t="shared" si="187"/>
        <v>1.105583195135434E-4</v>
      </c>
      <c r="K4979" s="5">
        <f t="shared" si="188"/>
        <v>0.55024875621895442</v>
      </c>
    </row>
    <row r="4980" spans="1:11" x14ac:dyDescent="0.25">
      <c r="A4980" t="s">
        <v>3824</v>
      </c>
      <c r="C4980" t="s">
        <v>3825</v>
      </c>
      <c r="D4980" t="s">
        <v>5</v>
      </c>
      <c r="E4980" t="s">
        <v>6</v>
      </c>
      <c r="F4980" t="s">
        <v>724</v>
      </c>
      <c r="G4980">
        <v>1</v>
      </c>
      <c r="H4980" s="2">
        <f>Tabelle13[[#This Row],[commits]]/Tabelle13[[#Totals],[commits]]</f>
        <v>4.6477904404246225E-6</v>
      </c>
      <c r="I4980" s="5">
        <f>Tabelle13[[#This Row],[%]]+I4979</f>
        <v>0.98109743627875634</v>
      </c>
      <c r="J4980" s="4">
        <f t="shared" si="187"/>
        <v>1.105583195135434E-4</v>
      </c>
      <c r="K4980" s="5">
        <f t="shared" si="188"/>
        <v>0.55035931453846798</v>
      </c>
    </row>
    <row r="4981" spans="1:11" x14ac:dyDescent="0.25">
      <c r="A4981" t="s">
        <v>3826</v>
      </c>
      <c r="C4981" t="s">
        <v>3827</v>
      </c>
      <c r="D4981" t="s">
        <v>5</v>
      </c>
      <c r="E4981" t="s">
        <v>6</v>
      </c>
      <c r="F4981" t="s">
        <v>724</v>
      </c>
      <c r="G4981">
        <v>1</v>
      </c>
      <c r="H4981" s="2">
        <f>Tabelle13[[#This Row],[commits]]/Tabelle13[[#Totals],[commits]]</f>
        <v>4.6477904404246225E-6</v>
      </c>
      <c r="I4981" s="5">
        <f>Tabelle13[[#This Row],[%]]+I4980</f>
        <v>0.98110208406919674</v>
      </c>
      <c r="J4981" s="4">
        <f t="shared" si="187"/>
        <v>1.105583195135434E-4</v>
      </c>
      <c r="K4981" s="5">
        <f t="shared" si="188"/>
        <v>0.55046987285798155</v>
      </c>
    </row>
    <row r="4982" spans="1:11" x14ac:dyDescent="0.25">
      <c r="A4982" t="s">
        <v>3828</v>
      </c>
      <c r="C4982" t="s">
        <v>3829</v>
      </c>
      <c r="D4982" t="s">
        <v>5</v>
      </c>
      <c r="E4982" t="s">
        <v>6</v>
      </c>
      <c r="F4982" t="s">
        <v>724</v>
      </c>
      <c r="G4982">
        <v>1</v>
      </c>
      <c r="H4982" s="2">
        <f>Tabelle13[[#This Row],[commits]]/Tabelle13[[#Totals],[commits]]</f>
        <v>4.6477904404246225E-6</v>
      </c>
      <c r="I4982" s="5">
        <f>Tabelle13[[#This Row],[%]]+I4981</f>
        <v>0.98110673185963715</v>
      </c>
      <c r="J4982" s="4">
        <f t="shared" si="187"/>
        <v>1.105583195135434E-4</v>
      </c>
      <c r="K4982" s="5">
        <f t="shared" si="188"/>
        <v>0.55058043117749511</v>
      </c>
    </row>
    <row r="4983" spans="1:11" x14ac:dyDescent="0.25">
      <c r="A4983" t="s">
        <v>3830</v>
      </c>
      <c r="C4983" t="s">
        <v>3831</v>
      </c>
      <c r="D4983" t="s">
        <v>5</v>
      </c>
      <c r="E4983" t="s">
        <v>6</v>
      </c>
      <c r="F4983" t="s">
        <v>724</v>
      </c>
      <c r="G4983">
        <v>1</v>
      </c>
      <c r="H4983" s="2">
        <f>Tabelle13[[#This Row],[commits]]/Tabelle13[[#Totals],[commits]]</f>
        <v>4.6477904404246225E-6</v>
      </c>
      <c r="I4983" s="5">
        <f>Tabelle13[[#This Row],[%]]+I4982</f>
        <v>0.98111137965007755</v>
      </c>
      <c r="J4983" s="4">
        <f t="shared" si="187"/>
        <v>1.105583195135434E-4</v>
      </c>
      <c r="K4983" s="5">
        <f t="shared" si="188"/>
        <v>0.55069098949700868</v>
      </c>
    </row>
    <row r="4984" spans="1:11" x14ac:dyDescent="0.25">
      <c r="A4984" t="s">
        <v>3832</v>
      </c>
      <c r="C4984" t="s">
        <v>3833</v>
      </c>
      <c r="D4984" t="s">
        <v>5</v>
      </c>
      <c r="E4984" t="s">
        <v>6</v>
      </c>
      <c r="F4984" t="s">
        <v>724</v>
      </c>
      <c r="G4984">
        <v>1</v>
      </c>
      <c r="H4984" s="2">
        <f>Tabelle13[[#This Row],[commits]]/Tabelle13[[#Totals],[commits]]</f>
        <v>4.6477904404246225E-6</v>
      </c>
      <c r="I4984" s="5">
        <f>Tabelle13[[#This Row],[%]]+I4983</f>
        <v>0.98111602744051796</v>
      </c>
      <c r="J4984" s="4">
        <f t="shared" si="187"/>
        <v>1.105583195135434E-4</v>
      </c>
      <c r="K4984" s="5">
        <f t="shared" si="188"/>
        <v>0.55080154781652224</v>
      </c>
    </row>
    <row r="4985" spans="1:11" x14ac:dyDescent="0.25">
      <c r="A4985" t="s">
        <v>3834</v>
      </c>
      <c r="C4985" t="s">
        <v>3835</v>
      </c>
      <c r="D4985" t="s">
        <v>5</v>
      </c>
      <c r="E4985" t="s">
        <v>6</v>
      </c>
      <c r="F4985" t="s">
        <v>724</v>
      </c>
      <c r="G4985">
        <v>1</v>
      </c>
      <c r="H4985" s="2">
        <f>Tabelle13[[#This Row],[commits]]/Tabelle13[[#Totals],[commits]]</f>
        <v>4.6477904404246225E-6</v>
      </c>
      <c r="I4985" s="5">
        <f>Tabelle13[[#This Row],[%]]+I4984</f>
        <v>0.98112067523095836</v>
      </c>
      <c r="J4985" s="4">
        <f t="shared" si="187"/>
        <v>1.105583195135434E-4</v>
      </c>
      <c r="K4985" s="5">
        <f t="shared" si="188"/>
        <v>0.55091210613603581</v>
      </c>
    </row>
    <row r="4986" spans="1:11" x14ac:dyDescent="0.25">
      <c r="A4986" t="s">
        <v>3836</v>
      </c>
      <c r="C4986" t="s">
        <v>3837</v>
      </c>
      <c r="D4986" t="s">
        <v>5</v>
      </c>
      <c r="E4986" t="s">
        <v>6</v>
      </c>
      <c r="F4986" t="s">
        <v>724</v>
      </c>
      <c r="G4986">
        <v>1</v>
      </c>
      <c r="H4986" s="2">
        <f>Tabelle13[[#This Row],[commits]]/Tabelle13[[#Totals],[commits]]</f>
        <v>4.6477904404246225E-6</v>
      </c>
      <c r="I4986" s="5">
        <f>Tabelle13[[#This Row],[%]]+I4985</f>
        <v>0.98112532302139877</v>
      </c>
      <c r="J4986" s="4">
        <f t="shared" si="187"/>
        <v>1.105583195135434E-4</v>
      </c>
      <c r="K4986" s="5">
        <f t="shared" si="188"/>
        <v>0.55102266445554937</v>
      </c>
    </row>
    <row r="4987" spans="1:11" x14ac:dyDescent="0.25">
      <c r="A4987" t="s">
        <v>3838</v>
      </c>
      <c r="C4987" t="s">
        <v>3839</v>
      </c>
      <c r="D4987" t="s">
        <v>5</v>
      </c>
      <c r="E4987" t="s">
        <v>6</v>
      </c>
      <c r="F4987" t="s">
        <v>724</v>
      </c>
      <c r="G4987">
        <v>1</v>
      </c>
      <c r="H4987" s="2">
        <f>Tabelle13[[#This Row],[commits]]/Tabelle13[[#Totals],[commits]]</f>
        <v>4.6477904404246225E-6</v>
      </c>
      <c r="I4987" s="5">
        <f>Tabelle13[[#This Row],[%]]+I4986</f>
        <v>0.98112997081183917</v>
      </c>
      <c r="J4987" s="4">
        <f t="shared" si="187"/>
        <v>1.105583195135434E-4</v>
      </c>
      <c r="K4987" s="5">
        <f t="shared" si="188"/>
        <v>0.55113322277506294</v>
      </c>
    </row>
    <row r="4988" spans="1:11" x14ac:dyDescent="0.25">
      <c r="A4988" t="s">
        <v>3840</v>
      </c>
      <c r="C4988" t="s">
        <v>3841</v>
      </c>
      <c r="D4988" t="s">
        <v>5</v>
      </c>
      <c r="E4988" t="s">
        <v>6</v>
      </c>
      <c r="F4988" t="s">
        <v>724</v>
      </c>
      <c r="G4988">
        <v>1</v>
      </c>
      <c r="H4988" s="2">
        <f>Tabelle13[[#This Row],[commits]]/Tabelle13[[#Totals],[commits]]</f>
        <v>4.6477904404246225E-6</v>
      </c>
      <c r="I4988" s="5">
        <f>Tabelle13[[#This Row],[%]]+I4987</f>
        <v>0.98113461860227957</v>
      </c>
      <c r="J4988" s="4">
        <f t="shared" si="187"/>
        <v>1.105583195135434E-4</v>
      </c>
      <c r="K4988" s="5">
        <f t="shared" si="188"/>
        <v>0.5512437810945765</v>
      </c>
    </row>
    <row r="4989" spans="1:11" x14ac:dyDescent="0.25">
      <c r="A4989" t="s">
        <v>3842</v>
      </c>
      <c r="C4989" t="s">
        <v>3843</v>
      </c>
      <c r="D4989" t="s">
        <v>5</v>
      </c>
      <c r="E4989" t="s">
        <v>6</v>
      </c>
      <c r="F4989" t="s">
        <v>724</v>
      </c>
      <c r="G4989">
        <v>1</v>
      </c>
      <c r="H4989" s="2">
        <f>Tabelle13[[#This Row],[commits]]/Tabelle13[[#Totals],[commits]]</f>
        <v>4.6477904404246225E-6</v>
      </c>
      <c r="I4989" s="5">
        <f>Tabelle13[[#This Row],[%]]+I4988</f>
        <v>0.98113926639271998</v>
      </c>
      <c r="J4989" s="4">
        <f t="shared" si="187"/>
        <v>1.105583195135434E-4</v>
      </c>
      <c r="K4989" s="5">
        <f t="shared" si="188"/>
        <v>0.55135433941409007</v>
      </c>
    </row>
    <row r="4990" spans="1:11" x14ac:dyDescent="0.25">
      <c r="A4990" t="s">
        <v>3844</v>
      </c>
      <c r="C4990" t="s">
        <v>3845</v>
      </c>
      <c r="D4990" t="s">
        <v>5</v>
      </c>
      <c r="E4990" t="s">
        <v>6</v>
      </c>
      <c r="F4990" t="s">
        <v>724</v>
      </c>
      <c r="G4990">
        <v>1</v>
      </c>
      <c r="H4990" s="2">
        <f>Tabelle13[[#This Row],[commits]]/Tabelle13[[#Totals],[commits]]</f>
        <v>4.6477904404246225E-6</v>
      </c>
      <c r="I4990" s="5">
        <f>Tabelle13[[#This Row],[%]]+I4989</f>
        <v>0.98114391418316038</v>
      </c>
      <c r="J4990" s="4">
        <f t="shared" si="187"/>
        <v>1.105583195135434E-4</v>
      </c>
      <c r="K4990" s="5">
        <f t="shared" si="188"/>
        <v>0.55146489773360363</v>
      </c>
    </row>
    <row r="4991" spans="1:11" x14ac:dyDescent="0.25">
      <c r="A4991" t="s">
        <v>3846</v>
      </c>
      <c r="C4991" t="s">
        <v>3847</v>
      </c>
      <c r="D4991" t="s">
        <v>5</v>
      </c>
      <c r="E4991" t="s">
        <v>6</v>
      </c>
      <c r="F4991" t="s">
        <v>724</v>
      </c>
      <c r="G4991">
        <v>1</v>
      </c>
      <c r="H4991" s="2">
        <f>Tabelle13[[#This Row],[commits]]/Tabelle13[[#Totals],[commits]]</f>
        <v>4.6477904404246225E-6</v>
      </c>
      <c r="I4991" s="5">
        <f>Tabelle13[[#This Row],[%]]+I4990</f>
        <v>0.98114856197360079</v>
      </c>
      <c r="J4991" s="4">
        <f t="shared" si="187"/>
        <v>1.105583195135434E-4</v>
      </c>
      <c r="K4991" s="5">
        <f t="shared" si="188"/>
        <v>0.5515754560531172</v>
      </c>
    </row>
    <row r="4992" spans="1:11" x14ac:dyDescent="0.25">
      <c r="A4992" t="s">
        <v>3848</v>
      </c>
      <c r="C4992" t="s">
        <v>3849</v>
      </c>
      <c r="D4992" t="s">
        <v>5</v>
      </c>
      <c r="E4992" t="s">
        <v>6</v>
      </c>
      <c r="F4992" t="s">
        <v>724</v>
      </c>
      <c r="G4992">
        <v>1</v>
      </c>
      <c r="H4992" s="2">
        <f>Tabelle13[[#This Row],[commits]]/Tabelle13[[#Totals],[commits]]</f>
        <v>4.6477904404246225E-6</v>
      </c>
      <c r="I4992" s="5">
        <f>Tabelle13[[#This Row],[%]]+I4991</f>
        <v>0.98115320976404119</v>
      </c>
      <c r="J4992" s="4">
        <f t="shared" si="187"/>
        <v>1.105583195135434E-4</v>
      </c>
      <c r="K4992" s="5">
        <f t="shared" si="188"/>
        <v>0.55168601437263076</v>
      </c>
    </row>
    <row r="4993" spans="1:11" x14ac:dyDescent="0.25">
      <c r="A4993" t="s">
        <v>3850</v>
      </c>
      <c r="C4993" t="s">
        <v>3851</v>
      </c>
      <c r="D4993" t="s">
        <v>5</v>
      </c>
      <c r="E4993" t="s">
        <v>6</v>
      </c>
      <c r="F4993" t="s">
        <v>724</v>
      </c>
      <c r="G4993">
        <v>1</v>
      </c>
      <c r="H4993" s="2">
        <f>Tabelle13[[#This Row],[commits]]/Tabelle13[[#Totals],[commits]]</f>
        <v>4.6477904404246225E-6</v>
      </c>
      <c r="I4993" s="5">
        <f>Tabelle13[[#This Row],[%]]+I4992</f>
        <v>0.98115785755448159</v>
      </c>
      <c r="J4993" s="4">
        <f t="shared" si="187"/>
        <v>1.105583195135434E-4</v>
      </c>
      <c r="K4993" s="5">
        <f t="shared" si="188"/>
        <v>0.55179657269214433</v>
      </c>
    </row>
    <row r="4994" spans="1:11" x14ac:dyDescent="0.25">
      <c r="A4994" t="s">
        <v>3852</v>
      </c>
      <c r="C4994" t="s">
        <v>3853</v>
      </c>
      <c r="D4994" t="s">
        <v>5</v>
      </c>
      <c r="E4994" t="s">
        <v>6</v>
      </c>
      <c r="F4994" t="s">
        <v>724</v>
      </c>
      <c r="G4994">
        <v>1</v>
      </c>
      <c r="H4994" s="2">
        <f>Tabelle13[[#This Row],[commits]]/Tabelle13[[#Totals],[commits]]</f>
        <v>4.6477904404246225E-6</v>
      </c>
      <c r="I4994" s="5">
        <f>Tabelle13[[#This Row],[%]]+I4993</f>
        <v>0.981162505344922</v>
      </c>
      <c r="J4994" s="4">
        <f t="shared" si="187"/>
        <v>1.105583195135434E-4</v>
      </c>
      <c r="K4994" s="5">
        <f t="shared" si="188"/>
        <v>0.55190713101165789</v>
      </c>
    </row>
    <row r="4995" spans="1:11" x14ac:dyDescent="0.25">
      <c r="A4995" t="s">
        <v>3854</v>
      </c>
      <c r="C4995" t="s">
        <v>3855</v>
      </c>
      <c r="D4995" t="s">
        <v>5</v>
      </c>
      <c r="E4995" t="s">
        <v>6</v>
      </c>
      <c r="F4995" t="s">
        <v>724</v>
      </c>
      <c r="G4995">
        <v>1</v>
      </c>
      <c r="H4995" s="2">
        <f>Tabelle13[[#This Row],[commits]]/Tabelle13[[#Totals],[commits]]</f>
        <v>4.6477904404246225E-6</v>
      </c>
      <c r="I4995" s="5">
        <f>Tabelle13[[#This Row],[%]]+I4994</f>
        <v>0.9811671531353624</v>
      </c>
      <c r="J4995" s="4">
        <f t="shared" ref="J4995:J5058" si="189">1/9045</f>
        <v>1.105583195135434E-4</v>
      </c>
      <c r="K4995" s="5">
        <f t="shared" si="188"/>
        <v>0.55201768933117146</v>
      </c>
    </row>
    <row r="4996" spans="1:11" x14ac:dyDescent="0.25">
      <c r="A4996" t="s">
        <v>3856</v>
      </c>
      <c r="C4996" t="s">
        <v>3857</v>
      </c>
      <c r="D4996" t="s">
        <v>5</v>
      </c>
      <c r="E4996" t="s">
        <v>6</v>
      </c>
      <c r="F4996" t="s">
        <v>724</v>
      </c>
      <c r="G4996">
        <v>1</v>
      </c>
      <c r="H4996" s="2">
        <f>Tabelle13[[#This Row],[commits]]/Tabelle13[[#Totals],[commits]]</f>
        <v>4.6477904404246225E-6</v>
      </c>
      <c r="I4996" s="5">
        <f>Tabelle13[[#This Row],[%]]+I4995</f>
        <v>0.98117180092580281</v>
      </c>
      <c r="J4996" s="4">
        <f t="shared" si="189"/>
        <v>1.105583195135434E-4</v>
      </c>
      <c r="K4996" s="5">
        <f t="shared" si="188"/>
        <v>0.55212824765068502</v>
      </c>
    </row>
    <row r="4997" spans="1:11" x14ac:dyDescent="0.25">
      <c r="A4997" t="s">
        <v>3858</v>
      </c>
      <c r="C4997" t="s">
        <v>151</v>
      </c>
      <c r="D4997" t="s">
        <v>5</v>
      </c>
      <c r="E4997" t="s">
        <v>6</v>
      </c>
      <c r="F4997" t="s">
        <v>724</v>
      </c>
      <c r="G4997">
        <v>1</v>
      </c>
      <c r="H4997" s="2">
        <f>Tabelle13[[#This Row],[commits]]/Tabelle13[[#Totals],[commits]]</f>
        <v>4.6477904404246225E-6</v>
      </c>
      <c r="I4997" s="5">
        <f>Tabelle13[[#This Row],[%]]+I4996</f>
        <v>0.98117644871624321</v>
      </c>
      <c r="J4997" s="4">
        <f t="shared" si="189"/>
        <v>1.105583195135434E-4</v>
      </c>
      <c r="K4997" s="5">
        <f t="shared" si="188"/>
        <v>0.55223880597019859</v>
      </c>
    </row>
    <row r="4998" spans="1:11" x14ac:dyDescent="0.25">
      <c r="A4998" t="s">
        <v>3859</v>
      </c>
      <c r="C4998" t="s">
        <v>3860</v>
      </c>
      <c r="D4998" t="s">
        <v>5</v>
      </c>
      <c r="E4998" t="s">
        <v>6</v>
      </c>
      <c r="F4998" t="s">
        <v>724</v>
      </c>
      <c r="G4998">
        <v>1</v>
      </c>
      <c r="H4998" s="2">
        <f>Tabelle13[[#This Row],[commits]]/Tabelle13[[#Totals],[commits]]</f>
        <v>4.6477904404246225E-6</v>
      </c>
      <c r="I4998" s="5">
        <f>Tabelle13[[#This Row],[%]]+I4997</f>
        <v>0.98118109650668361</v>
      </c>
      <c r="J4998" s="4">
        <f t="shared" si="189"/>
        <v>1.105583195135434E-4</v>
      </c>
      <c r="K4998" s="5">
        <f t="shared" ref="K4998:K5061" si="190">J4998+K4997</f>
        <v>0.55234936428971215</v>
      </c>
    </row>
    <row r="4999" spans="1:11" x14ac:dyDescent="0.25">
      <c r="A4999" t="s">
        <v>3861</v>
      </c>
      <c r="C4999" t="s">
        <v>3862</v>
      </c>
      <c r="D4999" t="s">
        <v>5</v>
      </c>
      <c r="E4999" t="s">
        <v>6</v>
      </c>
      <c r="F4999" t="s">
        <v>724</v>
      </c>
      <c r="G4999">
        <v>1</v>
      </c>
      <c r="H4999" s="2">
        <f>Tabelle13[[#This Row],[commits]]/Tabelle13[[#Totals],[commits]]</f>
        <v>4.6477904404246225E-6</v>
      </c>
      <c r="I4999" s="5">
        <f>Tabelle13[[#This Row],[%]]+I4998</f>
        <v>0.98118574429712402</v>
      </c>
      <c r="J4999" s="4">
        <f t="shared" si="189"/>
        <v>1.105583195135434E-4</v>
      </c>
      <c r="K4999" s="5">
        <f t="shared" si="190"/>
        <v>0.55245992260922572</v>
      </c>
    </row>
    <row r="5000" spans="1:11" x14ac:dyDescent="0.25">
      <c r="A5000" t="s">
        <v>3863</v>
      </c>
      <c r="C5000" t="s">
        <v>3864</v>
      </c>
      <c r="D5000" t="s">
        <v>5</v>
      </c>
      <c r="E5000" t="s">
        <v>6</v>
      </c>
      <c r="F5000" t="s">
        <v>724</v>
      </c>
      <c r="G5000">
        <v>1</v>
      </c>
      <c r="H5000" s="2">
        <f>Tabelle13[[#This Row],[commits]]/Tabelle13[[#Totals],[commits]]</f>
        <v>4.6477904404246225E-6</v>
      </c>
      <c r="I5000" s="5">
        <f>Tabelle13[[#This Row],[%]]+I4999</f>
        <v>0.98119039208756442</v>
      </c>
      <c r="J5000" s="4">
        <f t="shared" si="189"/>
        <v>1.105583195135434E-4</v>
      </c>
      <c r="K5000" s="5">
        <f t="shared" si="190"/>
        <v>0.55257048092873928</v>
      </c>
    </row>
    <row r="5001" spans="1:11" x14ac:dyDescent="0.25">
      <c r="A5001" t="s">
        <v>3865</v>
      </c>
      <c r="C5001" t="s">
        <v>3866</v>
      </c>
      <c r="D5001" t="s">
        <v>5</v>
      </c>
      <c r="E5001" t="s">
        <v>6</v>
      </c>
      <c r="F5001" t="s">
        <v>724</v>
      </c>
      <c r="G5001">
        <v>1</v>
      </c>
      <c r="H5001" s="2">
        <f>Tabelle13[[#This Row],[commits]]/Tabelle13[[#Totals],[commits]]</f>
        <v>4.6477904404246225E-6</v>
      </c>
      <c r="I5001" s="5">
        <f>Tabelle13[[#This Row],[%]]+I5000</f>
        <v>0.98119503987800483</v>
      </c>
      <c r="J5001" s="4">
        <f t="shared" si="189"/>
        <v>1.105583195135434E-4</v>
      </c>
      <c r="K5001" s="5">
        <f t="shared" si="190"/>
        <v>0.55268103924825285</v>
      </c>
    </row>
    <row r="5002" spans="1:11" x14ac:dyDescent="0.25">
      <c r="A5002" t="s">
        <v>3867</v>
      </c>
      <c r="C5002" t="s">
        <v>3868</v>
      </c>
      <c r="D5002" t="s">
        <v>5</v>
      </c>
      <c r="E5002" t="s">
        <v>6</v>
      </c>
      <c r="F5002" t="s">
        <v>724</v>
      </c>
      <c r="G5002">
        <v>1</v>
      </c>
      <c r="H5002" s="2">
        <f>Tabelle13[[#This Row],[commits]]/Tabelle13[[#Totals],[commits]]</f>
        <v>4.6477904404246225E-6</v>
      </c>
      <c r="I5002" s="5">
        <f>Tabelle13[[#This Row],[%]]+I5001</f>
        <v>0.98119968766844523</v>
      </c>
      <c r="J5002" s="4">
        <f t="shared" si="189"/>
        <v>1.105583195135434E-4</v>
      </c>
      <c r="K5002" s="5">
        <f t="shared" si="190"/>
        <v>0.55279159756776641</v>
      </c>
    </row>
    <row r="5003" spans="1:11" x14ac:dyDescent="0.25">
      <c r="A5003" t="s">
        <v>3869</v>
      </c>
      <c r="C5003" t="s">
        <v>3870</v>
      </c>
      <c r="D5003" t="s">
        <v>5</v>
      </c>
      <c r="E5003" t="s">
        <v>6</v>
      </c>
      <c r="F5003" t="s">
        <v>724</v>
      </c>
      <c r="G5003">
        <v>1</v>
      </c>
      <c r="H5003" s="2">
        <f>Tabelle13[[#This Row],[commits]]/Tabelle13[[#Totals],[commits]]</f>
        <v>4.6477904404246225E-6</v>
      </c>
      <c r="I5003" s="5">
        <f>Tabelle13[[#This Row],[%]]+I5002</f>
        <v>0.98120433545888563</v>
      </c>
      <c r="J5003" s="4">
        <f t="shared" si="189"/>
        <v>1.105583195135434E-4</v>
      </c>
      <c r="K5003" s="5">
        <f t="shared" si="190"/>
        <v>0.55290215588727998</v>
      </c>
    </row>
    <row r="5004" spans="1:11" x14ac:dyDescent="0.25">
      <c r="A5004" t="s">
        <v>3871</v>
      </c>
      <c r="C5004" t="s">
        <v>3872</v>
      </c>
      <c r="D5004" t="s">
        <v>5</v>
      </c>
      <c r="E5004" t="s">
        <v>6</v>
      </c>
      <c r="F5004" t="s">
        <v>724</v>
      </c>
      <c r="G5004">
        <v>1</v>
      </c>
      <c r="H5004" s="2">
        <f>Tabelle13[[#This Row],[commits]]/Tabelle13[[#Totals],[commits]]</f>
        <v>4.6477904404246225E-6</v>
      </c>
      <c r="I5004" s="5">
        <f>Tabelle13[[#This Row],[%]]+I5003</f>
        <v>0.98120898324932604</v>
      </c>
      <c r="J5004" s="4">
        <f t="shared" si="189"/>
        <v>1.105583195135434E-4</v>
      </c>
      <c r="K5004" s="5">
        <f t="shared" si="190"/>
        <v>0.55301271420679354</v>
      </c>
    </row>
    <row r="5005" spans="1:11" x14ac:dyDescent="0.25">
      <c r="A5005" t="s">
        <v>3873</v>
      </c>
      <c r="C5005" t="s">
        <v>3874</v>
      </c>
      <c r="D5005" t="s">
        <v>5</v>
      </c>
      <c r="E5005" t="s">
        <v>6</v>
      </c>
      <c r="F5005" t="s">
        <v>724</v>
      </c>
      <c r="G5005">
        <v>1</v>
      </c>
      <c r="H5005" s="2">
        <f>Tabelle13[[#This Row],[commits]]/Tabelle13[[#Totals],[commits]]</f>
        <v>4.6477904404246225E-6</v>
      </c>
      <c r="I5005" s="5">
        <f>Tabelle13[[#This Row],[%]]+I5004</f>
        <v>0.98121363103976644</v>
      </c>
      <c r="J5005" s="4">
        <f t="shared" si="189"/>
        <v>1.105583195135434E-4</v>
      </c>
      <c r="K5005" s="5">
        <f t="shared" si="190"/>
        <v>0.55312327252630711</v>
      </c>
    </row>
    <row r="5006" spans="1:11" x14ac:dyDescent="0.25">
      <c r="A5006" t="s">
        <v>3875</v>
      </c>
      <c r="C5006" t="s">
        <v>3876</v>
      </c>
      <c r="D5006" t="s">
        <v>5</v>
      </c>
      <c r="E5006" t="s">
        <v>6</v>
      </c>
      <c r="F5006" t="s">
        <v>724</v>
      </c>
      <c r="G5006">
        <v>1</v>
      </c>
      <c r="H5006" s="2">
        <f>Tabelle13[[#This Row],[commits]]/Tabelle13[[#Totals],[commits]]</f>
        <v>4.6477904404246225E-6</v>
      </c>
      <c r="I5006" s="5">
        <f>Tabelle13[[#This Row],[%]]+I5005</f>
        <v>0.98121827883020685</v>
      </c>
      <c r="J5006" s="4">
        <f t="shared" si="189"/>
        <v>1.105583195135434E-4</v>
      </c>
      <c r="K5006" s="5">
        <f t="shared" si="190"/>
        <v>0.55323383084582067</v>
      </c>
    </row>
    <row r="5007" spans="1:11" x14ac:dyDescent="0.25">
      <c r="A5007" t="s">
        <v>3877</v>
      </c>
      <c r="C5007" t="s">
        <v>3878</v>
      </c>
      <c r="D5007" t="s">
        <v>5</v>
      </c>
      <c r="E5007" t="s">
        <v>6</v>
      </c>
      <c r="F5007" t="s">
        <v>724</v>
      </c>
      <c r="G5007">
        <v>1</v>
      </c>
      <c r="H5007" s="2">
        <f>Tabelle13[[#This Row],[commits]]/Tabelle13[[#Totals],[commits]]</f>
        <v>4.6477904404246225E-6</v>
      </c>
      <c r="I5007" s="5">
        <f>Tabelle13[[#This Row],[%]]+I5006</f>
        <v>0.98122292662064725</v>
      </c>
      <c r="J5007" s="4">
        <f t="shared" si="189"/>
        <v>1.105583195135434E-4</v>
      </c>
      <c r="K5007" s="5">
        <f t="shared" si="190"/>
        <v>0.55334438916533424</v>
      </c>
    </row>
    <row r="5008" spans="1:11" x14ac:dyDescent="0.25">
      <c r="A5008" t="s">
        <v>3879</v>
      </c>
      <c r="C5008" t="s">
        <v>3880</v>
      </c>
      <c r="D5008" t="s">
        <v>5</v>
      </c>
      <c r="E5008" t="s">
        <v>6</v>
      </c>
      <c r="F5008" t="s">
        <v>724</v>
      </c>
      <c r="G5008">
        <v>1</v>
      </c>
      <c r="H5008" s="2">
        <f>Tabelle13[[#This Row],[commits]]/Tabelle13[[#Totals],[commits]]</f>
        <v>4.6477904404246225E-6</v>
      </c>
      <c r="I5008" s="5">
        <f>Tabelle13[[#This Row],[%]]+I5007</f>
        <v>0.98122757441108766</v>
      </c>
      <c r="J5008" s="4">
        <f t="shared" si="189"/>
        <v>1.105583195135434E-4</v>
      </c>
      <c r="K5008" s="5">
        <f t="shared" si="190"/>
        <v>0.5534549474848478</v>
      </c>
    </row>
    <row r="5009" spans="1:11" x14ac:dyDescent="0.25">
      <c r="A5009" t="s">
        <v>3881</v>
      </c>
      <c r="C5009" t="s">
        <v>3882</v>
      </c>
      <c r="D5009" t="s">
        <v>5</v>
      </c>
      <c r="E5009" t="s">
        <v>6</v>
      </c>
      <c r="F5009" t="s">
        <v>724</v>
      </c>
      <c r="G5009">
        <v>1</v>
      </c>
      <c r="H5009" s="2">
        <f>Tabelle13[[#This Row],[commits]]/Tabelle13[[#Totals],[commits]]</f>
        <v>4.6477904404246225E-6</v>
      </c>
      <c r="I5009" s="5">
        <f>Tabelle13[[#This Row],[%]]+I5008</f>
        <v>0.98123222220152806</v>
      </c>
      <c r="J5009" s="4">
        <f t="shared" si="189"/>
        <v>1.105583195135434E-4</v>
      </c>
      <c r="K5009" s="5">
        <f t="shared" si="190"/>
        <v>0.55356550580436137</v>
      </c>
    </row>
    <row r="5010" spans="1:11" x14ac:dyDescent="0.25">
      <c r="A5010" t="s">
        <v>3883</v>
      </c>
      <c r="C5010" t="s">
        <v>3884</v>
      </c>
      <c r="D5010" t="s">
        <v>5</v>
      </c>
      <c r="E5010" t="s">
        <v>6</v>
      </c>
      <c r="F5010" t="s">
        <v>724</v>
      </c>
      <c r="G5010">
        <v>1</v>
      </c>
      <c r="H5010" s="2">
        <f>Tabelle13[[#This Row],[commits]]/Tabelle13[[#Totals],[commits]]</f>
        <v>4.6477904404246225E-6</v>
      </c>
      <c r="I5010" s="5">
        <f>Tabelle13[[#This Row],[%]]+I5009</f>
        <v>0.98123686999196846</v>
      </c>
      <c r="J5010" s="4">
        <f t="shared" si="189"/>
        <v>1.105583195135434E-4</v>
      </c>
      <c r="K5010" s="5">
        <f t="shared" si="190"/>
        <v>0.55367606412387493</v>
      </c>
    </row>
    <row r="5011" spans="1:11" x14ac:dyDescent="0.25">
      <c r="A5011" t="s">
        <v>3885</v>
      </c>
      <c r="C5011" t="s">
        <v>211</v>
      </c>
      <c r="D5011" t="s">
        <v>5</v>
      </c>
      <c r="E5011" t="s">
        <v>6</v>
      </c>
      <c r="F5011" t="s">
        <v>724</v>
      </c>
      <c r="G5011">
        <v>1</v>
      </c>
      <c r="H5011" s="2">
        <f>Tabelle13[[#This Row],[commits]]/Tabelle13[[#Totals],[commits]]</f>
        <v>4.6477904404246225E-6</v>
      </c>
      <c r="I5011" s="5">
        <f>Tabelle13[[#This Row],[%]]+I5010</f>
        <v>0.98124151778240887</v>
      </c>
      <c r="J5011" s="4">
        <f t="shared" si="189"/>
        <v>1.105583195135434E-4</v>
      </c>
      <c r="K5011" s="5">
        <f t="shared" si="190"/>
        <v>0.5537866224433885</v>
      </c>
    </row>
    <row r="5012" spans="1:11" x14ac:dyDescent="0.25">
      <c r="A5012" t="s">
        <v>3886</v>
      </c>
      <c r="C5012" t="s">
        <v>3887</v>
      </c>
      <c r="D5012" t="s">
        <v>5</v>
      </c>
      <c r="E5012" t="s">
        <v>6</v>
      </c>
      <c r="F5012" t="s">
        <v>724</v>
      </c>
      <c r="G5012">
        <v>1</v>
      </c>
      <c r="H5012" s="2">
        <f>Tabelle13[[#This Row],[commits]]/Tabelle13[[#Totals],[commits]]</f>
        <v>4.6477904404246225E-6</v>
      </c>
      <c r="I5012" s="5">
        <f>Tabelle13[[#This Row],[%]]+I5011</f>
        <v>0.98124616557284927</v>
      </c>
      <c r="J5012" s="4">
        <f t="shared" si="189"/>
        <v>1.105583195135434E-4</v>
      </c>
      <c r="K5012" s="5">
        <f t="shared" si="190"/>
        <v>0.55389718076290206</v>
      </c>
    </row>
    <row r="5013" spans="1:11" x14ac:dyDescent="0.25">
      <c r="A5013" t="s">
        <v>3888</v>
      </c>
      <c r="C5013" t="s">
        <v>3889</v>
      </c>
      <c r="D5013" t="s">
        <v>5</v>
      </c>
      <c r="E5013" t="s">
        <v>6</v>
      </c>
      <c r="F5013" t="s">
        <v>724</v>
      </c>
      <c r="G5013">
        <v>1</v>
      </c>
      <c r="H5013" s="2">
        <f>Tabelle13[[#This Row],[commits]]/Tabelle13[[#Totals],[commits]]</f>
        <v>4.6477904404246225E-6</v>
      </c>
      <c r="I5013" s="5">
        <f>Tabelle13[[#This Row],[%]]+I5012</f>
        <v>0.98125081336328968</v>
      </c>
      <c r="J5013" s="4">
        <f t="shared" si="189"/>
        <v>1.105583195135434E-4</v>
      </c>
      <c r="K5013" s="5">
        <f t="shared" si="190"/>
        <v>0.55400773908241563</v>
      </c>
    </row>
    <row r="5014" spans="1:11" x14ac:dyDescent="0.25">
      <c r="A5014" t="s">
        <v>3890</v>
      </c>
      <c r="C5014" t="s">
        <v>151</v>
      </c>
      <c r="D5014" t="s">
        <v>5</v>
      </c>
      <c r="E5014" t="s">
        <v>6</v>
      </c>
      <c r="F5014" t="s">
        <v>724</v>
      </c>
      <c r="G5014">
        <v>1</v>
      </c>
      <c r="H5014" s="2">
        <f>Tabelle13[[#This Row],[commits]]/Tabelle13[[#Totals],[commits]]</f>
        <v>4.6477904404246225E-6</v>
      </c>
      <c r="I5014" s="5">
        <f>Tabelle13[[#This Row],[%]]+I5013</f>
        <v>0.98125546115373008</v>
      </c>
      <c r="J5014" s="4">
        <f t="shared" si="189"/>
        <v>1.105583195135434E-4</v>
      </c>
      <c r="K5014" s="5">
        <f t="shared" si="190"/>
        <v>0.55411829740192919</v>
      </c>
    </row>
    <row r="5015" spans="1:11" x14ac:dyDescent="0.25">
      <c r="A5015" t="s">
        <v>3891</v>
      </c>
      <c r="C5015" t="s">
        <v>3892</v>
      </c>
      <c r="D5015" t="s">
        <v>5</v>
      </c>
      <c r="E5015" t="s">
        <v>6</v>
      </c>
      <c r="F5015" t="s">
        <v>724</v>
      </c>
      <c r="G5015">
        <v>1</v>
      </c>
      <c r="H5015" s="2">
        <f>Tabelle13[[#This Row],[commits]]/Tabelle13[[#Totals],[commits]]</f>
        <v>4.6477904404246225E-6</v>
      </c>
      <c r="I5015" s="5">
        <f>Tabelle13[[#This Row],[%]]+I5014</f>
        <v>0.98126010894417048</v>
      </c>
      <c r="J5015" s="4">
        <f t="shared" si="189"/>
        <v>1.105583195135434E-4</v>
      </c>
      <c r="K5015" s="5">
        <f t="shared" si="190"/>
        <v>0.55422885572144276</v>
      </c>
    </row>
    <row r="5016" spans="1:11" x14ac:dyDescent="0.25">
      <c r="A5016" t="s">
        <v>3893</v>
      </c>
      <c r="C5016" t="s">
        <v>3894</v>
      </c>
      <c r="D5016" t="s">
        <v>5</v>
      </c>
      <c r="E5016" t="s">
        <v>6</v>
      </c>
      <c r="F5016" t="s">
        <v>724</v>
      </c>
      <c r="G5016">
        <v>1</v>
      </c>
      <c r="H5016" s="2">
        <f>Tabelle13[[#This Row],[commits]]/Tabelle13[[#Totals],[commits]]</f>
        <v>4.6477904404246225E-6</v>
      </c>
      <c r="I5016" s="5">
        <f>Tabelle13[[#This Row],[%]]+I5015</f>
        <v>0.98126475673461089</v>
      </c>
      <c r="J5016" s="4">
        <f t="shared" si="189"/>
        <v>1.105583195135434E-4</v>
      </c>
      <c r="K5016" s="5">
        <f t="shared" si="190"/>
        <v>0.55433941404095632</v>
      </c>
    </row>
    <row r="5017" spans="1:11" x14ac:dyDescent="0.25">
      <c r="A5017" t="s">
        <v>3895</v>
      </c>
      <c r="C5017" t="s">
        <v>3896</v>
      </c>
      <c r="D5017" t="s">
        <v>5</v>
      </c>
      <c r="E5017" t="s">
        <v>6</v>
      </c>
      <c r="F5017" t="s">
        <v>724</v>
      </c>
      <c r="G5017">
        <v>1</v>
      </c>
      <c r="H5017" s="2">
        <f>Tabelle13[[#This Row],[commits]]/Tabelle13[[#Totals],[commits]]</f>
        <v>4.6477904404246225E-6</v>
      </c>
      <c r="I5017" s="5">
        <f>Tabelle13[[#This Row],[%]]+I5016</f>
        <v>0.98126940452505129</v>
      </c>
      <c r="J5017" s="4">
        <f t="shared" si="189"/>
        <v>1.105583195135434E-4</v>
      </c>
      <c r="K5017" s="5">
        <f t="shared" si="190"/>
        <v>0.55444997236046989</v>
      </c>
    </row>
    <row r="5018" spans="1:11" x14ac:dyDescent="0.25">
      <c r="A5018" t="s">
        <v>3897</v>
      </c>
      <c r="C5018">
        <v>630361743</v>
      </c>
      <c r="D5018" t="s">
        <v>5</v>
      </c>
      <c r="E5018" t="s">
        <v>6</v>
      </c>
      <c r="F5018" t="s">
        <v>724</v>
      </c>
      <c r="G5018">
        <v>1</v>
      </c>
      <c r="H5018" s="2">
        <f>Tabelle13[[#This Row],[commits]]/Tabelle13[[#Totals],[commits]]</f>
        <v>4.6477904404246225E-6</v>
      </c>
      <c r="I5018" s="5">
        <f>Tabelle13[[#This Row],[%]]+I5017</f>
        <v>0.9812740523154917</v>
      </c>
      <c r="J5018" s="4">
        <f t="shared" si="189"/>
        <v>1.105583195135434E-4</v>
      </c>
      <c r="K5018" s="5">
        <f t="shared" si="190"/>
        <v>0.55456053067998345</v>
      </c>
    </row>
    <row r="5019" spans="1:11" x14ac:dyDescent="0.25">
      <c r="A5019" t="s">
        <v>3898</v>
      </c>
      <c r="C5019" t="s">
        <v>3899</v>
      </c>
      <c r="D5019" t="s">
        <v>5</v>
      </c>
      <c r="E5019" t="s">
        <v>6</v>
      </c>
      <c r="F5019" t="s">
        <v>724</v>
      </c>
      <c r="G5019">
        <v>1</v>
      </c>
      <c r="H5019" s="2">
        <f>Tabelle13[[#This Row],[commits]]/Tabelle13[[#Totals],[commits]]</f>
        <v>4.6477904404246225E-6</v>
      </c>
      <c r="I5019" s="5">
        <f>Tabelle13[[#This Row],[%]]+I5018</f>
        <v>0.9812787001059321</v>
      </c>
      <c r="J5019" s="4">
        <f t="shared" si="189"/>
        <v>1.105583195135434E-4</v>
      </c>
      <c r="K5019" s="5">
        <f t="shared" si="190"/>
        <v>0.55467108899949702</v>
      </c>
    </row>
    <row r="5020" spans="1:11" x14ac:dyDescent="0.25">
      <c r="A5020" t="s">
        <v>3900</v>
      </c>
      <c r="C5020" t="s">
        <v>3901</v>
      </c>
      <c r="D5020" t="s">
        <v>5</v>
      </c>
      <c r="E5020" t="s">
        <v>6</v>
      </c>
      <c r="F5020" t="s">
        <v>724</v>
      </c>
      <c r="G5020">
        <v>1</v>
      </c>
      <c r="H5020" s="2">
        <f>Tabelle13[[#This Row],[commits]]/Tabelle13[[#Totals],[commits]]</f>
        <v>4.6477904404246225E-6</v>
      </c>
      <c r="I5020" s="5">
        <f>Tabelle13[[#This Row],[%]]+I5019</f>
        <v>0.9812833478963725</v>
      </c>
      <c r="J5020" s="4">
        <f t="shared" si="189"/>
        <v>1.105583195135434E-4</v>
      </c>
      <c r="K5020" s="5">
        <f t="shared" si="190"/>
        <v>0.55478164731901058</v>
      </c>
    </row>
    <row r="5021" spans="1:11" x14ac:dyDescent="0.25">
      <c r="A5021" t="s">
        <v>3902</v>
      </c>
      <c r="C5021" t="s">
        <v>3903</v>
      </c>
      <c r="D5021" t="s">
        <v>5</v>
      </c>
      <c r="E5021" t="s">
        <v>6</v>
      </c>
      <c r="F5021" t="s">
        <v>724</v>
      </c>
      <c r="G5021">
        <v>1</v>
      </c>
      <c r="H5021" s="2">
        <f>Tabelle13[[#This Row],[commits]]/Tabelle13[[#Totals],[commits]]</f>
        <v>4.6477904404246225E-6</v>
      </c>
      <c r="I5021" s="5">
        <f>Tabelle13[[#This Row],[%]]+I5020</f>
        <v>0.98128799568681291</v>
      </c>
      <c r="J5021" s="4">
        <f t="shared" si="189"/>
        <v>1.105583195135434E-4</v>
      </c>
      <c r="K5021" s="5">
        <f t="shared" si="190"/>
        <v>0.55489220563852415</v>
      </c>
    </row>
    <row r="5022" spans="1:11" x14ac:dyDescent="0.25">
      <c r="A5022" t="s">
        <v>3904</v>
      </c>
      <c r="C5022" t="s">
        <v>3905</v>
      </c>
      <c r="D5022" t="s">
        <v>5</v>
      </c>
      <c r="E5022" t="s">
        <v>6</v>
      </c>
      <c r="F5022" t="s">
        <v>724</v>
      </c>
      <c r="G5022">
        <v>1</v>
      </c>
      <c r="H5022" s="2">
        <f>Tabelle13[[#This Row],[commits]]/Tabelle13[[#Totals],[commits]]</f>
        <v>4.6477904404246225E-6</v>
      </c>
      <c r="I5022" s="5">
        <f>Tabelle13[[#This Row],[%]]+I5021</f>
        <v>0.98129264347725331</v>
      </c>
      <c r="J5022" s="4">
        <f t="shared" si="189"/>
        <v>1.105583195135434E-4</v>
      </c>
      <c r="K5022" s="5">
        <f t="shared" si="190"/>
        <v>0.55500276395803771</v>
      </c>
    </row>
    <row r="5023" spans="1:11" x14ac:dyDescent="0.25">
      <c r="A5023" t="s">
        <v>3906</v>
      </c>
      <c r="C5023" t="s">
        <v>3907</v>
      </c>
      <c r="D5023" t="s">
        <v>5</v>
      </c>
      <c r="E5023" t="s">
        <v>6</v>
      </c>
      <c r="F5023" t="s">
        <v>724</v>
      </c>
      <c r="G5023">
        <v>1</v>
      </c>
      <c r="H5023" s="2">
        <f>Tabelle13[[#This Row],[commits]]/Tabelle13[[#Totals],[commits]]</f>
        <v>4.6477904404246225E-6</v>
      </c>
      <c r="I5023" s="5">
        <f>Tabelle13[[#This Row],[%]]+I5022</f>
        <v>0.98129729126769372</v>
      </c>
      <c r="J5023" s="4">
        <f t="shared" si="189"/>
        <v>1.105583195135434E-4</v>
      </c>
      <c r="K5023" s="5">
        <f t="shared" si="190"/>
        <v>0.55511332227755128</v>
      </c>
    </row>
    <row r="5024" spans="1:11" x14ac:dyDescent="0.25">
      <c r="A5024" t="s">
        <v>3908</v>
      </c>
      <c r="C5024" t="s">
        <v>3909</v>
      </c>
      <c r="D5024" t="s">
        <v>5</v>
      </c>
      <c r="E5024" t="s">
        <v>6</v>
      </c>
      <c r="F5024" t="s">
        <v>724</v>
      </c>
      <c r="G5024">
        <v>1</v>
      </c>
      <c r="H5024" s="2">
        <f>Tabelle13[[#This Row],[commits]]/Tabelle13[[#Totals],[commits]]</f>
        <v>4.6477904404246225E-6</v>
      </c>
      <c r="I5024" s="5">
        <f>Tabelle13[[#This Row],[%]]+I5023</f>
        <v>0.98130193905813412</v>
      </c>
      <c r="J5024" s="4">
        <f t="shared" si="189"/>
        <v>1.105583195135434E-4</v>
      </c>
      <c r="K5024" s="5">
        <f t="shared" si="190"/>
        <v>0.55522388059706484</v>
      </c>
    </row>
    <row r="5025" spans="1:11" x14ac:dyDescent="0.25">
      <c r="A5025" t="s">
        <v>3910</v>
      </c>
      <c r="C5025" t="s">
        <v>3911</v>
      </c>
      <c r="D5025" t="s">
        <v>5</v>
      </c>
      <c r="E5025" t="s">
        <v>6</v>
      </c>
      <c r="F5025" t="s">
        <v>724</v>
      </c>
      <c r="G5025">
        <v>1</v>
      </c>
      <c r="H5025" s="2">
        <f>Tabelle13[[#This Row],[commits]]/Tabelle13[[#Totals],[commits]]</f>
        <v>4.6477904404246225E-6</v>
      </c>
      <c r="I5025" s="5">
        <f>Tabelle13[[#This Row],[%]]+I5024</f>
        <v>0.98130658684857452</v>
      </c>
      <c r="J5025" s="4">
        <f t="shared" si="189"/>
        <v>1.105583195135434E-4</v>
      </c>
      <c r="K5025" s="5">
        <f t="shared" si="190"/>
        <v>0.55533443891657841</v>
      </c>
    </row>
    <row r="5026" spans="1:11" x14ac:dyDescent="0.25">
      <c r="A5026" t="s">
        <v>3912</v>
      </c>
      <c r="C5026" t="s">
        <v>3913</v>
      </c>
      <c r="D5026" t="s">
        <v>5</v>
      </c>
      <c r="E5026" t="s">
        <v>6</v>
      </c>
      <c r="F5026" t="s">
        <v>724</v>
      </c>
      <c r="G5026">
        <v>1</v>
      </c>
      <c r="H5026" s="2">
        <f>Tabelle13[[#This Row],[commits]]/Tabelle13[[#Totals],[commits]]</f>
        <v>4.6477904404246225E-6</v>
      </c>
      <c r="I5026" s="5">
        <f>Tabelle13[[#This Row],[%]]+I5025</f>
        <v>0.98131123463901493</v>
      </c>
      <c r="J5026" s="4">
        <f t="shared" si="189"/>
        <v>1.105583195135434E-4</v>
      </c>
      <c r="K5026" s="5">
        <f t="shared" si="190"/>
        <v>0.55544499723609198</v>
      </c>
    </row>
    <row r="5027" spans="1:11" x14ac:dyDescent="0.25">
      <c r="A5027" t="s">
        <v>3914</v>
      </c>
      <c r="C5027" t="s">
        <v>3915</v>
      </c>
      <c r="D5027" t="s">
        <v>5</v>
      </c>
      <c r="E5027" t="s">
        <v>6</v>
      </c>
      <c r="F5027" t="s">
        <v>724</v>
      </c>
      <c r="G5027">
        <v>1</v>
      </c>
      <c r="H5027" s="2">
        <f>Tabelle13[[#This Row],[commits]]/Tabelle13[[#Totals],[commits]]</f>
        <v>4.6477904404246225E-6</v>
      </c>
      <c r="I5027" s="5">
        <f>Tabelle13[[#This Row],[%]]+I5026</f>
        <v>0.98131588242945533</v>
      </c>
      <c r="J5027" s="4">
        <f t="shared" si="189"/>
        <v>1.105583195135434E-4</v>
      </c>
      <c r="K5027" s="5">
        <f t="shared" si="190"/>
        <v>0.55555555555560554</v>
      </c>
    </row>
    <row r="5028" spans="1:11" x14ac:dyDescent="0.25">
      <c r="A5028" t="s">
        <v>3916</v>
      </c>
      <c r="C5028" t="s">
        <v>3917</v>
      </c>
      <c r="D5028" t="s">
        <v>5</v>
      </c>
      <c r="E5028" t="s">
        <v>6</v>
      </c>
      <c r="F5028" t="s">
        <v>724</v>
      </c>
      <c r="G5028">
        <v>1</v>
      </c>
      <c r="H5028" s="2">
        <f>Tabelle13[[#This Row],[commits]]/Tabelle13[[#Totals],[commits]]</f>
        <v>4.6477904404246225E-6</v>
      </c>
      <c r="I5028" s="5">
        <f>Tabelle13[[#This Row],[%]]+I5027</f>
        <v>0.98132053021989574</v>
      </c>
      <c r="J5028" s="4">
        <f t="shared" si="189"/>
        <v>1.105583195135434E-4</v>
      </c>
      <c r="K5028" s="5">
        <f t="shared" si="190"/>
        <v>0.55566611387511911</v>
      </c>
    </row>
    <row r="5029" spans="1:11" x14ac:dyDescent="0.25">
      <c r="A5029" t="s">
        <v>3918</v>
      </c>
      <c r="C5029" t="s">
        <v>2036</v>
      </c>
      <c r="D5029" t="s">
        <v>5</v>
      </c>
      <c r="E5029" t="s">
        <v>6</v>
      </c>
      <c r="F5029" t="s">
        <v>724</v>
      </c>
      <c r="G5029">
        <v>1</v>
      </c>
      <c r="H5029" s="2">
        <f>Tabelle13[[#This Row],[commits]]/Tabelle13[[#Totals],[commits]]</f>
        <v>4.6477904404246225E-6</v>
      </c>
      <c r="I5029" s="5">
        <f>Tabelle13[[#This Row],[%]]+I5028</f>
        <v>0.98132517801033614</v>
      </c>
      <c r="J5029" s="4">
        <f t="shared" si="189"/>
        <v>1.105583195135434E-4</v>
      </c>
      <c r="K5029" s="5">
        <f t="shared" si="190"/>
        <v>0.55577667219463267</v>
      </c>
    </row>
    <row r="5030" spans="1:11" x14ac:dyDescent="0.25">
      <c r="A5030" t="s">
        <v>3919</v>
      </c>
      <c r="C5030" t="s">
        <v>3920</v>
      </c>
      <c r="D5030" t="s">
        <v>5</v>
      </c>
      <c r="E5030" t="s">
        <v>6</v>
      </c>
      <c r="F5030" t="s">
        <v>724</v>
      </c>
      <c r="G5030">
        <v>1</v>
      </c>
      <c r="H5030" s="2">
        <f>Tabelle13[[#This Row],[commits]]/Tabelle13[[#Totals],[commits]]</f>
        <v>4.6477904404246225E-6</v>
      </c>
      <c r="I5030" s="5">
        <f>Tabelle13[[#This Row],[%]]+I5029</f>
        <v>0.98132982580077655</v>
      </c>
      <c r="J5030" s="4">
        <f t="shared" si="189"/>
        <v>1.105583195135434E-4</v>
      </c>
      <c r="K5030" s="5">
        <f t="shared" si="190"/>
        <v>0.55588723051414624</v>
      </c>
    </row>
    <row r="5031" spans="1:11" x14ac:dyDescent="0.25">
      <c r="A5031" t="s">
        <v>3921</v>
      </c>
      <c r="C5031" t="s">
        <v>3922</v>
      </c>
      <c r="D5031" t="s">
        <v>5</v>
      </c>
      <c r="E5031" t="s">
        <v>6</v>
      </c>
      <c r="F5031" t="s">
        <v>724</v>
      </c>
      <c r="G5031">
        <v>1</v>
      </c>
      <c r="H5031" s="2">
        <f>Tabelle13[[#This Row],[commits]]/Tabelle13[[#Totals],[commits]]</f>
        <v>4.6477904404246225E-6</v>
      </c>
      <c r="I5031" s="5">
        <f>Tabelle13[[#This Row],[%]]+I5030</f>
        <v>0.98133447359121695</v>
      </c>
      <c r="J5031" s="4">
        <f t="shared" si="189"/>
        <v>1.105583195135434E-4</v>
      </c>
      <c r="K5031" s="5">
        <f t="shared" si="190"/>
        <v>0.5559977888336598</v>
      </c>
    </row>
    <row r="5032" spans="1:11" x14ac:dyDescent="0.25">
      <c r="A5032" t="s">
        <v>3923</v>
      </c>
      <c r="C5032" t="s">
        <v>3924</v>
      </c>
      <c r="D5032" t="s">
        <v>5</v>
      </c>
      <c r="E5032" t="s">
        <v>6</v>
      </c>
      <c r="F5032" t="s">
        <v>724</v>
      </c>
      <c r="G5032">
        <v>1</v>
      </c>
      <c r="H5032" s="2">
        <f>Tabelle13[[#This Row],[commits]]/Tabelle13[[#Totals],[commits]]</f>
        <v>4.6477904404246225E-6</v>
      </c>
      <c r="I5032" s="5">
        <f>Tabelle13[[#This Row],[%]]+I5031</f>
        <v>0.98133912138165735</v>
      </c>
      <c r="J5032" s="4">
        <f t="shared" si="189"/>
        <v>1.105583195135434E-4</v>
      </c>
      <c r="K5032" s="5">
        <f t="shared" si="190"/>
        <v>0.55610834715317337</v>
      </c>
    </row>
    <row r="5033" spans="1:11" x14ac:dyDescent="0.25">
      <c r="A5033" t="s">
        <v>3925</v>
      </c>
      <c r="C5033" t="s">
        <v>3926</v>
      </c>
      <c r="D5033" t="s">
        <v>5</v>
      </c>
      <c r="E5033" t="s">
        <v>6</v>
      </c>
      <c r="F5033" t="s">
        <v>724</v>
      </c>
      <c r="G5033">
        <v>1</v>
      </c>
      <c r="H5033" s="2">
        <f>Tabelle13[[#This Row],[commits]]/Tabelle13[[#Totals],[commits]]</f>
        <v>4.6477904404246225E-6</v>
      </c>
      <c r="I5033" s="5">
        <f>Tabelle13[[#This Row],[%]]+I5032</f>
        <v>0.98134376917209776</v>
      </c>
      <c r="J5033" s="4">
        <f t="shared" si="189"/>
        <v>1.105583195135434E-4</v>
      </c>
      <c r="K5033" s="5">
        <f t="shared" si="190"/>
        <v>0.55621890547268693</v>
      </c>
    </row>
    <row r="5034" spans="1:11" x14ac:dyDescent="0.25">
      <c r="A5034" t="s">
        <v>3927</v>
      </c>
      <c r="C5034" t="s">
        <v>3928</v>
      </c>
      <c r="D5034" t="s">
        <v>5</v>
      </c>
      <c r="E5034" t="s">
        <v>6</v>
      </c>
      <c r="F5034" t="s">
        <v>724</v>
      </c>
      <c r="G5034">
        <v>1</v>
      </c>
      <c r="H5034" s="2">
        <f>Tabelle13[[#This Row],[commits]]/Tabelle13[[#Totals],[commits]]</f>
        <v>4.6477904404246225E-6</v>
      </c>
      <c r="I5034" s="5">
        <f>Tabelle13[[#This Row],[%]]+I5033</f>
        <v>0.98134841696253816</v>
      </c>
      <c r="J5034" s="4">
        <f t="shared" si="189"/>
        <v>1.105583195135434E-4</v>
      </c>
      <c r="K5034" s="5">
        <f t="shared" si="190"/>
        <v>0.5563294637922005</v>
      </c>
    </row>
    <row r="5035" spans="1:11" x14ac:dyDescent="0.25">
      <c r="A5035" t="s">
        <v>3929</v>
      </c>
      <c r="C5035" t="s">
        <v>3930</v>
      </c>
      <c r="D5035" t="s">
        <v>5</v>
      </c>
      <c r="E5035" t="s">
        <v>6</v>
      </c>
      <c r="F5035" t="s">
        <v>724</v>
      </c>
      <c r="G5035">
        <v>1</v>
      </c>
      <c r="H5035" s="2">
        <f>Tabelle13[[#This Row],[commits]]/Tabelle13[[#Totals],[commits]]</f>
        <v>4.6477904404246225E-6</v>
      </c>
      <c r="I5035" s="5">
        <f>Tabelle13[[#This Row],[%]]+I5034</f>
        <v>0.98135306475297857</v>
      </c>
      <c r="J5035" s="4">
        <f t="shared" si="189"/>
        <v>1.105583195135434E-4</v>
      </c>
      <c r="K5035" s="5">
        <f t="shared" si="190"/>
        <v>0.55644002211171406</v>
      </c>
    </row>
    <row r="5036" spans="1:11" x14ac:dyDescent="0.25">
      <c r="A5036" t="s">
        <v>3931</v>
      </c>
      <c r="C5036" t="s">
        <v>3932</v>
      </c>
      <c r="D5036" t="s">
        <v>5</v>
      </c>
      <c r="E5036" t="s">
        <v>6</v>
      </c>
      <c r="F5036" t="s">
        <v>724</v>
      </c>
      <c r="G5036">
        <v>1</v>
      </c>
      <c r="H5036" s="2">
        <f>Tabelle13[[#This Row],[commits]]/Tabelle13[[#Totals],[commits]]</f>
        <v>4.6477904404246225E-6</v>
      </c>
      <c r="I5036" s="5">
        <f>Tabelle13[[#This Row],[%]]+I5035</f>
        <v>0.98135771254341897</v>
      </c>
      <c r="J5036" s="4">
        <f t="shared" si="189"/>
        <v>1.105583195135434E-4</v>
      </c>
      <c r="K5036" s="5">
        <f t="shared" si="190"/>
        <v>0.55655058043122763</v>
      </c>
    </row>
    <row r="5037" spans="1:11" x14ac:dyDescent="0.25">
      <c r="A5037" t="s">
        <v>3933</v>
      </c>
      <c r="C5037" t="s">
        <v>3934</v>
      </c>
      <c r="D5037" t="s">
        <v>5</v>
      </c>
      <c r="E5037" t="s">
        <v>6</v>
      </c>
      <c r="F5037" t="s">
        <v>724</v>
      </c>
      <c r="G5037">
        <v>1</v>
      </c>
      <c r="H5037" s="2">
        <f>Tabelle13[[#This Row],[commits]]/Tabelle13[[#Totals],[commits]]</f>
        <v>4.6477904404246225E-6</v>
      </c>
      <c r="I5037" s="5">
        <f>Tabelle13[[#This Row],[%]]+I5036</f>
        <v>0.98136236033385937</v>
      </c>
      <c r="J5037" s="4">
        <f t="shared" si="189"/>
        <v>1.105583195135434E-4</v>
      </c>
      <c r="K5037" s="5">
        <f t="shared" si="190"/>
        <v>0.55666113875074119</v>
      </c>
    </row>
    <row r="5038" spans="1:11" x14ac:dyDescent="0.25">
      <c r="A5038" t="s">
        <v>3935</v>
      </c>
      <c r="C5038" t="s">
        <v>3936</v>
      </c>
      <c r="D5038" t="s">
        <v>5</v>
      </c>
      <c r="E5038" t="s">
        <v>6</v>
      </c>
      <c r="F5038" t="s">
        <v>724</v>
      </c>
      <c r="G5038">
        <v>1</v>
      </c>
      <c r="H5038" s="2">
        <f>Tabelle13[[#This Row],[commits]]/Tabelle13[[#Totals],[commits]]</f>
        <v>4.6477904404246225E-6</v>
      </c>
      <c r="I5038" s="5">
        <f>Tabelle13[[#This Row],[%]]+I5037</f>
        <v>0.98136700812429978</v>
      </c>
      <c r="J5038" s="4">
        <f t="shared" si="189"/>
        <v>1.105583195135434E-4</v>
      </c>
      <c r="K5038" s="5">
        <f t="shared" si="190"/>
        <v>0.55677169707025476</v>
      </c>
    </row>
    <row r="5039" spans="1:11" x14ac:dyDescent="0.25">
      <c r="A5039" t="s">
        <v>3937</v>
      </c>
      <c r="C5039" t="s">
        <v>3938</v>
      </c>
      <c r="D5039" t="s">
        <v>5</v>
      </c>
      <c r="E5039" t="s">
        <v>6</v>
      </c>
      <c r="F5039" t="s">
        <v>724</v>
      </c>
      <c r="G5039">
        <v>1</v>
      </c>
      <c r="H5039" s="2">
        <f>Tabelle13[[#This Row],[commits]]/Tabelle13[[#Totals],[commits]]</f>
        <v>4.6477904404246225E-6</v>
      </c>
      <c r="I5039" s="5">
        <f>Tabelle13[[#This Row],[%]]+I5038</f>
        <v>0.98137165591474018</v>
      </c>
      <c r="J5039" s="4">
        <f t="shared" si="189"/>
        <v>1.105583195135434E-4</v>
      </c>
      <c r="K5039" s="5">
        <f t="shared" si="190"/>
        <v>0.55688225538976832</v>
      </c>
    </row>
    <row r="5040" spans="1:11" x14ac:dyDescent="0.25">
      <c r="A5040" t="s">
        <v>3939</v>
      </c>
      <c r="C5040" t="s">
        <v>3940</v>
      </c>
      <c r="D5040" t="s">
        <v>5</v>
      </c>
      <c r="E5040" t="s">
        <v>6</v>
      </c>
      <c r="F5040" t="s">
        <v>724</v>
      </c>
      <c r="G5040">
        <v>1</v>
      </c>
      <c r="H5040" s="2">
        <f>Tabelle13[[#This Row],[commits]]/Tabelle13[[#Totals],[commits]]</f>
        <v>4.6477904404246225E-6</v>
      </c>
      <c r="I5040" s="5">
        <f>Tabelle13[[#This Row],[%]]+I5039</f>
        <v>0.98137630370518059</v>
      </c>
      <c r="J5040" s="4">
        <f t="shared" si="189"/>
        <v>1.105583195135434E-4</v>
      </c>
      <c r="K5040" s="5">
        <f t="shared" si="190"/>
        <v>0.55699281370928189</v>
      </c>
    </row>
    <row r="5041" spans="1:11" x14ac:dyDescent="0.25">
      <c r="A5041" t="s">
        <v>3941</v>
      </c>
      <c r="C5041" t="s">
        <v>151</v>
      </c>
      <c r="D5041" t="s">
        <v>5</v>
      </c>
      <c r="E5041" t="s">
        <v>6</v>
      </c>
      <c r="F5041" t="s">
        <v>724</v>
      </c>
      <c r="G5041">
        <v>1</v>
      </c>
      <c r="H5041" s="2">
        <f>Tabelle13[[#This Row],[commits]]/Tabelle13[[#Totals],[commits]]</f>
        <v>4.6477904404246225E-6</v>
      </c>
      <c r="I5041" s="5">
        <f>Tabelle13[[#This Row],[%]]+I5040</f>
        <v>0.98138095149562099</v>
      </c>
      <c r="J5041" s="4">
        <f t="shared" si="189"/>
        <v>1.105583195135434E-4</v>
      </c>
      <c r="K5041" s="5">
        <f t="shared" si="190"/>
        <v>0.55710337202879545</v>
      </c>
    </row>
    <row r="5042" spans="1:11" x14ac:dyDescent="0.25">
      <c r="A5042" t="s">
        <v>3942</v>
      </c>
      <c r="C5042" t="s">
        <v>3943</v>
      </c>
      <c r="D5042" t="s">
        <v>5</v>
      </c>
      <c r="E5042" t="s">
        <v>6</v>
      </c>
      <c r="F5042" t="s">
        <v>724</v>
      </c>
      <c r="G5042">
        <v>1</v>
      </c>
      <c r="H5042" s="2">
        <f>Tabelle13[[#This Row],[commits]]/Tabelle13[[#Totals],[commits]]</f>
        <v>4.6477904404246225E-6</v>
      </c>
      <c r="I5042" s="5">
        <f>Tabelle13[[#This Row],[%]]+I5041</f>
        <v>0.98138559928606139</v>
      </c>
      <c r="J5042" s="4">
        <f t="shared" si="189"/>
        <v>1.105583195135434E-4</v>
      </c>
      <c r="K5042" s="5">
        <f t="shared" si="190"/>
        <v>0.55721393034830902</v>
      </c>
    </row>
    <row r="5043" spans="1:11" x14ac:dyDescent="0.25">
      <c r="A5043" t="s">
        <v>3944</v>
      </c>
      <c r="C5043" t="s">
        <v>3945</v>
      </c>
      <c r="D5043" t="s">
        <v>5</v>
      </c>
      <c r="E5043" t="s">
        <v>6</v>
      </c>
      <c r="F5043" t="s">
        <v>724</v>
      </c>
      <c r="G5043">
        <v>1</v>
      </c>
      <c r="H5043" s="2">
        <f>Tabelle13[[#This Row],[commits]]/Tabelle13[[#Totals],[commits]]</f>
        <v>4.6477904404246225E-6</v>
      </c>
      <c r="I5043" s="5">
        <f>Tabelle13[[#This Row],[%]]+I5042</f>
        <v>0.9813902470765018</v>
      </c>
      <c r="J5043" s="4">
        <f t="shared" si="189"/>
        <v>1.105583195135434E-4</v>
      </c>
      <c r="K5043" s="5">
        <f t="shared" si="190"/>
        <v>0.55732448866782258</v>
      </c>
    </row>
    <row r="5044" spans="1:11" x14ac:dyDescent="0.25">
      <c r="A5044" t="s">
        <v>3946</v>
      </c>
      <c r="C5044" t="s">
        <v>3947</v>
      </c>
      <c r="D5044" t="s">
        <v>5</v>
      </c>
      <c r="E5044" t="s">
        <v>6</v>
      </c>
      <c r="F5044" t="s">
        <v>724</v>
      </c>
      <c r="G5044">
        <v>1</v>
      </c>
      <c r="H5044" s="2">
        <f>Tabelle13[[#This Row],[commits]]/Tabelle13[[#Totals],[commits]]</f>
        <v>4.6477904404246225E-6</v>
      </c>
      <c r="I5044" s="5">
        <f>Tabelle13[[#This Row],[%]]+I5043</f>
        <v>0.9813948948669422</v>
      </c>
      <c r="J5044" s="4">
        <f t="shared" si="189"/>
        <v>1.105583195135434E-4</v>
      </c>
      <c r="K5044" s="5">
        <f t="shared" si="190"/>
        <v>0.55743504698733615</v>
      </c>
    </row>
    <row r="5045" spans="1:11" x14ac:dyDescent="0.25">
      <c r="A5045" t="s">
        <v>3948</v>
      </c>
      <c r="C5045" t="s">
        <v>3949</v>
      </c>
      <c r="D5045" t="s">
        <v>5</v>
      </c>
      <c r="E5045" t="s">
        <v>6</v>
      </c>
      <c r="F5045" t="s">
        <v>724</v>
      </c>
      <c r="G5045">
        <v>1</v>
      </c>
      <c r="H5045" s="2">
        <f>Tabelle13[[#This Row],[commits]]/Tabelle13[[#Totals],[commits]]</f>
        <v>4.6477904404246225E-6</v>
      </c>
      <c r="I5045" s="5">
        <f>Tabelle13[[#This Row],[%]]+I5044</f>
        <v>0.98139954265738261</v>
      </c>
      <c r="J5045" s="4">
        <f t="shared" si="189"/>
        <v>1.105583195135434E-4</v>
      </c>
      <c r="K5045" s="5">
        <f t="shared" si="190"/>
        <v>0.55754560530684971</v>
      </c>
    </row>
    <row r="5046" spans="1:11" x14ac:dyDescent="0.25">
      <c r="A5046" t="s">
        <v>3950</v>
      </c>
      <c r="C5046" t="s">
        <v>3951</v>
      </c>
      <c r="D5046" t="s">
        <v>5</v>
      </c>
      <c r="E5046" t="s">
        <v>6</v>
      </c>
      <c r="F5046" t="s">
        <v>724</v>
      </c>
      <c r="G5046">
        <v>1</v>
      </c>
      <c r="H5046" s="2">
        <f>Tabelle13[[#This Row],[commits]]/Tabelle13[[#Totals],[commits]]</f>
        <v>4.6477904404246225E-6</v>
      </c>
      <c r="I5046" s="5">
        <f>Tabelle13[[#This Row],[%]]+I5045</f>
        <v>0.98140419044782301</v>
      </c>
      <c r="J5046" s="4">
        <f t="shared" si="189"/>
        <v>1.105583195135434E-4</v>
      </c>
      <c r="K5046" s="5">
        <f t="shared" si="190"/>
        <v>0.55765616362636328</v>
      </c>
    </row>
    <row r="5047" spans="1:11" x14ac:dyDescent="0.25">
      <c r="A5047" t="s">
        <v>3952</v>
      </c>
      <c r="C5047" t="s">
        <v>3953</v>
      </c>
      <c r="D5047" t="s">
        <v>5</v>
      </c>
      <c r="E5047" t="s">
        <v>6</v>
      </c>
      <c r="F5047" t="s">
        <v>724</v>
      </c>
      <c r="G5047">
        <v>1</v>
      </c>
      <c r="H5047" s="2">
        <f>Tabelle13[[#This Row],[commits]]/Tabelle13[[#Totals],[commits]]</f>
        <v>4.6477904404246225E-6</v>
      </c>
      <c r="I5047" s="5">
        <f>Tabelle13[[#This Row],[%]]+I5046</f>
        <v>0.98140883823826341</v>
      </c>
      <c r="J5047" s="4">
        <f t="shared" si="189"/>
        <v>1.105583195135434E-4</v>
      </c>
      <c r="K5047" s="5">
        <f t="shared" si="190"/>
        <v>0.55776672194587684</v>
      </c>
    </row>
    <row r="5048" spans="1:11" x14ac:dyDescent="0.25">
      <c r="A5048" t="s">
        <v>3954</v>
      </c>
      <c r="C5048" t="s">
        <v>3955</v>
      </c>
      <c r="D5048" t="s">
        <v>5</v>
      </c>
      <c r="E5048" t="s">
        <v>6</v>
      </c>
      <c r="F5048" t="s">
        <v>724</v>
      </c>
      <c r="G5048">
        <v>1</v>
      </c>
      <c r="H5048" s="2">
        <f>Tabelle13[[#This Row],[commits]]/Tabelle13[[#Totals],[commits]]</f>
        <v>4.6477904404246225E-6</v>
      </c>
      <c r="I5048" s="5">
        <f>Tabelle13[[#This Row],[%]]+I5047</f>
        <v>0.98141348602870382</v>
      </c>
      <c r="J5048" s="4">
        <f t="shared" si="189"/>
        <v>1.105583195135434E-4</v>
      </c>
      <c r="K5048" s="5">
        <f t="shared" si="190"/>
        <v>0.55787728026539041</v>
      </c>
    </row>
    <row r="5049" spans="1:11" x14ac:dyDescent="0.25">
      <c r="A5049" t="s">
        <v>3956</v>
      </c>
      <c r="C5049" t="s">
        <v>3957</v>
      </c>
      <c r="D5049" t="s">
        <v>5</v>
      </c>
      <c r="E5049" t="s">
        <v>6</v>
      </c>
      <c r="F5049" t="s">
        <v>724</v>
      </c>
      <c r="G5049">
        <v>1</v>
      </c>
      <c r="H5049" s="2">
        <f>Tabelle13[[#This Row],[commits]]/Tabelle13[[#Totals],[commits]]</f>
        <v>4.6477904404246225E-6</v>
      </c>
      <c r="I5049" s="5">
        <f>Tabelle13[[#This Row],[%]]+I5048</f>
        <v>0.98141813381914422</v>
      </c>
      <c r="J5049" s="4">
        <f t="shared" si="189"/>
        <v>1.105583195135434E-4</v>
      </c>
      <c r="K5049" s="5">
        <f t="shared" si="190"/>
        <v>0.55798783858490397</v>
      </c>
    </row>
    <row r="5050" spans="1:11" x14ac:dyDescent="0.25">
      <c r="A5050" t="s">
        <v>3958</v>
      </c>
      <c r="C5050" t="s">
        <v>3959</v>
      </c>
      <c r="D5050" t="s">
        <v>5</v>
      </c>
      <c r="E5050" t="s">
        <v>6</v>
      </c>
      <c r="F5050" t="s">
        <v>724</v>
      </c>
      <c r="G5050">
        <v>1</v>
      </c>
      <c r="H5050" s="2">
        <f>Tabelle13[[#This Row],[commits]]/Tabelle13[[#Totals],[commits]]</f>
        <v>4.6477904404246225E-6</v>
      </c>
      <c r="I5050" s="5">
        <f>Tabelle13[[#This Row],[%]]+I5049</f>
        <v>0.98142278160958463</v>
      </c>
      <c r="J5050" s="4">
        <f t="shared" si="189"/>
        <v>1.105583195135434E-4</v>
      </c>
      <c r="K5050" s="5">
        <f t="shared" si="190"/>
        <v>0.55809839690441754</v>
      </c>
    </row>
    <row r="5051" spans="1:11" x14ac:dyDescent="0.25">
      <c r="A5051" t="s">
        <v>3960</v>
      </c>
      <c r="C5051" t="s">
        <v>3961</v>
      </c>
      <c r="D5051" t="s">
        <v>5</v>
      </c>
      <c r="E5051" t="s">
        <v>6</v>
      </c>
      <c r="F5051" t="s">
        <v>724</v>
      </c>
      <c r="G5051">
        <v>1</v>
      </c>
      <c r="H5051" s="2">
        <f>Tabelle13[[#This Row],[commits]]/Tabelle13[[#Totals],[commits]]</f>
        <v>4.6477904404246225E-6</v>
      </c>
      <c r="I5051" s="5">
        <f>Tabelle13[[#This Row],[%]]+I5050</f>
        <v>0.98142742940002503</v>
      </c>
      <c r="J5051" s="4">
        <f t="shared" si="189"/>
        <v>1.105583195135434E-4</v>
      </c>
      <c r="K5051" s="5">
        <f t="shared" si="190"/>
        <v>0.5582089552239311</v>
      </c>
    </row>
    <row r="5052" spans="1:11" x14ac:dyDescent="0.25">
      <c r="A5052" t="s">
        <v>3962</v>
      </c>
      <c r="C5052" t="s">
        <v>3963</v>
      </c>
      <c r="D5052" t="s">
        <v>5</v>
      </c>
      <c r="E5052" t="s">
        <v>6</v>
      </c>
      <c r="F5052" t="s">
        <v>724</v>
      </c>
      <c r="G5052">
        <v>1</v>
      </c>
      <c r="H5052" s="2">
        <f>Tabelle13[[#This Row],[commits]]/Tabelle13[[#Totals],[commits]]</f>
        <v>4.6477904404246225E-6</v>
      </c>
      <c r="I5052" s="5">
        <f>Tabelle13[[#This Row],[%]]+I5051</f>
        <v>0.98143207719046544</v>
      </c>
      <c r="J5052" s="4">
        <f t="shared" si="189"/>
        <v>1.105583195135434E-4</v>
      </c>
      <c r="K5052" s="5">
        <f t="shared" si="190"/>
        <v>0.55831951354344467</v>
      </c>
    </row>
    <row r="5053" spans="1:11" x14ac:dyDescent="0.25">
      <c r="A5053" t="s">
        <v>3964</v>
      </c>
      <c r="C5053" t="s">
        <v>3965</v>
      </c>
      <c r="D5053" t="s">
        <v>5</v>
      </c>
      <c r="E5053" t="s">
        <v>6</v>
      </c>
      <c r="F5053" t="s">
        <v>724</v>
      </c>
      <c r="G5053">
        <v>1</v>
      </c>
      <c r="H5053" s="2">
        <f>Tabelle13[[#This Row],[commits]]/Tabelle13[[#Totals],[commits]]</f>
        <v>4.6477904404246225E-6</v>
      </c>
      <c r="I5053" s="5">
        <f>Tabelle13[[#This Row],[%]]+I5052</f>
        <v>0.98143672498090584</v>
      </c>
      <c r="J5053" s="4">
        <f t="shared" si="189"/>
        <v>1.105583195135434E-4</v>
      </c>
      <c r="K5053" s="5">
        <f t="shared" si="190"/>
        <v>0.55843007186295823</v>
      </c>
    </row>
    <row r="5054" spans="1:11" x14ac:dyDescent="0.25">
      <c r="A5054" t="s">
        <v>3966</v>
      </c>
      <c r="C5054" t="s">
        <v>3967</v>
      </c>
      <c r="D5054" t="s">
        <v>5</v>
      </c>
      <c r="E5054" t="s">
        <v>6</v>
      </c>
      <c r="F5054" t="s">
        <v>724</v>
      </c>
      <c r="G5054">
        <v>1</v>
      </c>
      <c r="H5054" s="2">
        <f>Tabelle13[[#This Row],[commits]]/Tabelle13[[#Totals],[commits]]</f>
        <v>4.6477904404246225E-6</v>
      </c>
      <c r="I5054" s="5">
        <f>Tabelle13[[#This Row],[%]]+I5053</f>
        <v>0.98144137277134624</v>
      </c>
      <c r="J5054" s="4">
        <f t="shared" si="189"/>
        <v>1.105583195135434E-4</v>
      </c>
      <c r="K5054" s="5">
        <f t="shared" si="190"/>
        <v>0.5585406301824718</v>
      </c>
    </row>
    <row r="5055" spans="1:11" x14ac:dyDescent="0.25">
      <c r="A5055" t="s">
        <v>3968</v>
      </c>
      <c r="C5055" t="s">
        <v>2975</v>
      </c>
      <c r="D5055" t="s">
        <v>5</v>
      </c>
      <c r="E5055" t="s">
        <v>6</v>
      </c>
      <c r="F5055" t="s">
        <v>724</v>
      </c>
      <c r="G5055">
        <v>1</v>
      </c>
      <c r="H5055" s="2">
        <f>Tabelle13[[#This Row],[commits]]/Tabelle13[[#Totals],[commits]]</f>
        <v>4.6477904404246225E-6</v>
      </c>
      <c r="I5055" s="5">
        <f>Tabelle13[[#This Row],[%]]+I5054</f>
        <v>0.98144602056178665</v>
      </c>
      <c r="J5055" s="4">
        <f t="shared" si="189"/>
        <v>1.105583195135434E-4</v>
      </c>
      <c r="K5055" s="5">
        <f t="shared" si="190"/>
        <v>0.55865118850198536</v>
      </c>
    </row>
    <row r="5056" spans="1:11" x14ac:dyDescent="0.25">
      <c r="A5056" t="s">
        <v>3969</v>
      </c>
      <c r="C5056" t="s">
        <v>3970</v>
      </c>
      <c r="D5056" t="s">
        <v>5</v>
      </c>
      <c r="E5056" t="s">
        <v>6</v>
      </c>
      <c r="F5056" t="s">
        <v>724</v>
      </c>
      <c r="G5056">
        <v>1</v>
      </c>
      <c r="H5056" s="2">
        <f>Tabelle13[[#This Row],[commits]]/Tabelle13[[#Totals],[commits]]</f>
        <v>4.6477904404246225E-6</v>
      </c>
      <c r="I5056" s="5">
        <f>Tabelle13[[#This Row],[%]]+I5055</f>
        <v>0.98145066835222705</v>
      </c>
      <c r="J5056" s="4">
        <f t="shared" si="189"/>
        <v>1.105583195135434E-4</v>
      </c>
      <c r="K5056" s="5">
        <f t="shared" si="190"/>
        <v>0.55876174682149893</v>
      </c>
    </row>
    <row r="5057" spans="1:11" x14ac:dyDescent="0.25">
      <c r="A5057" t="s">
        <v>3971</v>
      </c>
      <c r="C5057" t="s">
        <v>197</v>
      </c>
      <c r="D5057" t="s">
        <v>5</v>
      </c>
      <c r="E5057" t="s">
        <v>6</v>
      </c>
      <c r="F5057" t="s">
        <v>724</v>
      </c>
      <c r="G5057">
        <v>1</v>
      </c>
      <c r="H5057" s="2">
        <f>Tabelle13[[#This Row],[commits]]/Tabelle13[[#Totals],[commits]]</f>
        <v>4.6477904404246225E-6</v>
      </c>
      <c r="I5057" s="5">
        <f>Tabelle13[[#This Row],[%]]+I5056</f>
        <v>0.98145531614266746</v>
      </c>
      <c r="J5057" s="4">
        <f t="shared" si="189"/>
        <v>1.105583195135434E-4</v>
      </c>
      <c r="K5057" s="5">
        <f t="shared" si="190"/>
        <v>0.55887230514101249</v>
      </c>
    </row>
    <row r="5058" spans="1:11" x14ac:dyDescent="0.25">
      <c r="A5058" t="s">
        <v>3972</v>
      </c>
      <c r="C5058" t="s">
        <v>3973</v>
      </c>
      <c r="D5058" t="s">
        <v>5</v>
      </c>
      <c r="E5058" t="s">
        <v>6</v>
      </c>
      <c r="F5058" t="s">
        <v>724</v>
      </c>
      <c r="G5058">
        <v>1</v>
      </c>
      <c r="H5058" s="2">
        <f>Tabelle13[[#This Row],[commits]]/Tabelle13[[#Totals],[commits]]</f>
        <v>4.6477904404246225E-6</v>
      </c>
      <c r="I5058" s="5">
        <f>Tabelle13[[#This Row],[%]]+I5057</f>
        <v>0.98145996393310786</v>
      </c>
      <c r="J5058" s="4">
        <f t="shared" si="189"/>
        <v>1.105583195135434E-4</v>
      </c>
      <c r="K5058" s="5">
        <f t="shared" si="190"/>
        <v>0.55898286346052606</v>
      </c>
    </row>
    <row r="5059" spans="1:11" x14ac:dyDescent="0.25">
      <c r="A5059" t="s">
        <v>3974</v>
      </c>
      <c r="C5059" t="s">
        <v>3975</v>
      </c>
      <c r="D5059" t="s">
        <v>5</v>
      </c>
      <c r="E5059" t="s">
        <v>6</v>
      </c>
      <c r="F5059" t="s">
        <v>724</v>
      </c>
      <c r="G5059">
        <v>1</v>
      </c>
      <c r="H5059" s="2">
        <f>Tabelle13[[#This Row],[commits]]/Tabelle13[[#Totals],[commits]]</f>
        <v>4.6477904404246225E-6</v>
      </c>
      <c r="I5059" s="5">
        <f>Tabelle13[[#This Row],[%]]+I5058</f>
        <v>0.98146461172354826</v>
      </c>
      <c r="J5059" s="4">
        <f t="shared" ref="J5059:J5122" si="191">1/9045</f>
        <v>1.105583195135434E-4</v>
      </c>
      <c r="K5059" s="5">
        <f t="shared" si="190"/>
        <v>0.55909342178003962</v>
      </c>
    </row>
    <row r="5060" spans="1:11" x14ac:dyDescent="0.25">
      <c r="A5060" t="s">
        <v>3976</v>
      </c>
      <c r="C5060" t="s">
        <v>3977</v>
      </c>
      <c r="D5060" t="s">
        <v>5</v>
      </c>
      <c r="E5060" t="s">
        <v>6</v>
      </c>
      <c r="F5060" t="s">
        <v>724</v>
      </c>
      <c r="G5060">
        <v>1</v>
      </c>
      <c r="H5060" s="2">
        <f>Tabelle13[[#This Row],[commits]]/Tabelle13[[#Totals],[commits]]</f>
        <v>4.6477904404246225E-6</v>
      </c>
      <c r="I5060" s="5">
        <f>Tabelle13[[#This Row],[%]]+I5059</f>
        <v>0.98146925951398867</v>
      </c>
      <c r="J5060" s="4">
        <f t="shared" si="191"/>
        <v>1.105583195135434E-4</v>
      </c>
      <c r="K5060" s="5">
        <f t="shared" si="190"/>
        <v>0.55920398009955319</v>
      </c>
    </row>
    <row r="5061" spans="1:11" x14ac:dyDescent="0.25">
      <c r="A5061" t="s">
        <v>3978</v>
      </c>
      <c r="C5061" t="s">
        <v>3979</v>
      </c>
      <c r="D5061" t="s">
        <v>5</v>
      </c>
      <c r="E5061" t="s">
        <v>6</v>
      </c>
      <c r="F5061" t="s">
        <v>724</v>
      </c>
      <c r="G5061">
        <v>1</v>
      </c>
      <c r="H5061" s="2">
        <f>Tabelle13[[#This Row],[commits]]/Tabelle13[[#Totals],[commits]]</f>
        <v>4.6477904404246225E-6</v>
      </c>
      <c r="I5061" s="5">
        <f>Tabelle13[[#This Row],[%]]+I5060</f>
        <v>0.98147390730442907</v>
      </c>
      <c r="J5061" s="4">
        <f t="shared" si="191"/>
        <v>1.105583195135434E-4</v>
      </c>
      <c r="K5061" s="5">
        <f t="shared" si="190"/>
        <v>0.55931453841906675</v>
      </c>
    </row>
    <row r="5062" spans="1:11" x14ac:dyDescent="0.25">
      <c r="A5062" t="s">
        <v>3980</v>
      </c>
      <c r="C5062" t="s">
        <v>3981</v>
      </c>
      <c r="D5062" t="s">
        <v>5</v>
      </c>
      <c r="E5062" t="s">
        <v>6</v>
      </c>
      <c r="F5062" t="s">
        <v>724</v>
      </c>
      <c r="G5062">
        <v>1</v>
      </c>
      <c r="H5062" s="2">
        <f>Tabelle13[[#This Row],[commits]]/Tabelle13[[#Totals],[commits]]</f>
        <v>4.6477904404246225E-6</v>
      </c>
      <c r="I5062" s="5">
        <f>Tabelle13[[#This Row],[%]]+I5061</f>
        <v>0.98147855509486948</v>
      </c>
      <c r="J5062" s="4">
        <f t="shared" si="191"/>
        <v>1.105583195135434E-4</v>
      </c>
      <c r="K5062" s="5">
        <f t="shared" ref="K5062:K5125" si="192">J5062+K5061</f>
        <v>0.55942509673858032</v>
      </c>
    </row>
    <row r="5063" spans="1:11" x14ac:dyDescent="0.25">
      <c r="A5063" t="s">
        <v>3982</v>
      </c>
      <c r="C5063" t="s">
        <v>3983</v>
      </c>
      <c r="D5063" t="s">
        <v>5</v>
      </c>
      <c r="E5063" t="s">
        <v>6</v>
      </c>
      <c r="F5063" t="s">
        <v>724</v>
      </c>
      <c r="G5063">
        <v>1</v>
      </c>
      <c r="H5063" s="2">
        <f>Tabelle13[[#This Row],[commits]]/Tabelle13[[#Totals],[commits]]</f>
        <v>4.6477904404246225E-6</v>
      </c>
      <c r="I5063" s="5">
        <f>Tabelle13[[#This Row],[%]]+I5062</f>
        <v>0.98148320288530988</v>
      </c>
      <c r="J5063" s="4">
        <f t="shared" si="191"/>
        <v>1.105583195135434E-4</v>
      </c>
      <c r="K5063" s="5">
        <f t="shared" si="192"/>
        <v>0.55953565505809388</v>
      </c>
    </row>
    <row r="5064" spans="1:11" x14ac:dyDescent="0.25">
      <c r="A5064" t="s">
        <v>3984</v>
      </c>
      <c r="C5064" t="s">
        <v>3985</v>
      </c>
      <c r="D5064" t="s">
        <v>5</v>
      </c>
      <c r="E5064" t="s">
        <v>6</v>
      </c>
      <c r="F5064" t="s">
        <v>724</v>
      </c>
      <c r="G5064">
        <v>1</v>
      </c>
      <c r="H5064" s="2">
        <f>Tabelle13[[#This Row],[commits]]/Tabelle13[[#Totals],[commits]]</f>
        <v>4.6477904404246225E-6</v>
      </c>
      <c r="I5064" s="5">
        <f>Tabelle13[[#This Row],[%]]+I5063</f>
        <v>0.98148785067575028</v>
      </c>
      <c r="J5064" s="4">
        <f t="shared" si="191"/>
        <v>1.105583195135434E-4</v>
      </c>
      <c r="K5064" s="5">
        <f t="shared" si="192"/>
        <v>0.55964621337760745</v>
      </c>
    </row>
    <row r="5065" spans="1:11" x14ac:dyDescent="0.25">
      <c r="A5065" t="s">
        <v>3986</v>
      </c>
      <c r="C5065" t="s">
        <v>3987</v>
      </c>
      <c r="D5065" t="s">
        <v>5</v>
      </c>
      <c r="E5065" t="s">
        <v>6</v>
      </c>
      <c r="F5065" t="s">
        <v>724</v>
      </c>
      <c r="G5065">
        <v>1</v>
      </c>
      <c r="H5065" s="2">
        <f>Tabelle13[[#This Row],[commits]]/Tabelle13[[#Totals],[commits]]</f>
        <v>4.6477904404246225E-6</v>
      </c>
      <c r="I5065" s="5">
        <f>Tabelle13[[#This Row],[%]]+I5064</f>
        <v>0.98149249846619069</v>
      </c>
      <c r="J5065" s="4">
        <f t="shared" si="191"/>
        <v>1.105583195135434E-4</v>
      </c>
      <c r="K5065" s="5">
        <f t="shared" si="192"/>
        <v>0.55975677169712101</v>
      </c>
    </row>
    <row r="5066" spans="1:11" x14ac:dyDescent="0.25">
      <c r="A5066" t="s">
        <v>3988</v>
      </c>
      <c r="C5066" t="s">
        <v>3989</v>
      </c>
      <c r="D5066" t="s">
        <v>5</v>
      </c>
      <c r="E5066" t="s">
        <v>6</v>
      </c>
      <c r="F5066" t="s">
        <v>724</v>
      </c>
      <c r="G5066">
        <v>1</v>
      </c>
      <c r="H5066" s="2">
        <f>Tabelle13[[#This Row],[commits]]/Tabelle13[[#Totals],[commits]]</f>
        <v>4.6477904404246225E-6</v>
      </c>
      <c r="I5066" s="5">
        <f>Tabelle13[[#This Row],[%]]+I5065</f>
        <v>0.98149714625663109</v>
      </c>
      <c r="J5066" s="4">
        <f t="shared" si="191"/>
        <v>1.105583195135434E-4</v>
      </c>
      <c r="K5066" s="5">
        <f t="shared" si="192"/>
        <v>0.55986733001663458</v>
      </c>
    </row>
    <row r="5067" spans="1:11" x14ac:dyDescent="0.25">
      <c r="A5067" t="s">
        <v>3990</v>
      </c>
      <c r="C5067" t="s">
        <v>3991</v>
      </c>
      <c r="D5067" t="s">
        <v>5</v>
      </c>
      <c r="E5067" t="s">
        <v>6</v>
      </c>
      <c r="F5067" t="s">
        <v>724</v>
      </c>
      <c r="G5067">
        <v>1</v>
      </c>
      <c r="H5067" s="2">
        <f>Tabelle13[[#This Row],[commits]]/Tabelle13[[#Totals],[commits]]</f>
        <v>4.6477904404246225E-6</v>
      </c>
      <c r="I5067" s="5">
        <f>Tabelle13[[#This Row],[%]]+I5066</f>
        <v>0.9815017940470715</v>
      </c>
      <c r="J5067" s="4">
        <f t="shared" si="191"/>
        <v>1.105583195135434E-4</v>
      </c>
      <c r="K5067" s="5">
        <f t="shared" si="192"/>
        <v>0.55997788833614814</v>
      </c>
    </row>
    <row r="5068" spans="1:11" x14ac:dyDescent="0.25">
      <c r="A5068" t="s">
        <v>3992</v>
      </c>
      <c r="C5068" t="s">
        <v>3993</v>
      </c>
      <c r="D5068" t="s">
        <v>5</v>
      </c>
      <c r="E5068" t="s">
        <v>6</v>
      </c>
      <c r="F5068" t="s">
        <v>724</v>
      </c>
      <c r="G5068">
        <v>1</v>
      </c>
      <c r="H5068" s="2">
        <f>Tabelle13[[#This Row],[commits]]/Tabelle13[[#Totals],[commits]]</f>
        <v>4.6477904404246225E-6</v>
      </c>
      <c r="I5068" s="5">
        <f>Tabelle13[[#This Row],[%]]+I5067</f>
        <v>0.9815064418375119</v>
      </c>
      <c r="J5068" s="4">
        <f t="shared" si="191"/>
        <v>1.105583195135434E-4</v>
      </c>
      <c r="K5068" s="5">
        <f t="shared" si="192"/>
        <v>0.56008844665566171</v>
      </c>
    </row>
    <row r="5069" spans="1:11" x14ac:dyDescent="0.25">
      <c r="A5069" t="s">
        <v>3994</v>
      </c>
      <c r="C5069" t="s">
        <v>3995</v>
      </c>
      <c r="D5069" t="s">
        <v>5</v>
      </c>
      <c r="E5069" t="s">
        <v>6</v>
      </c>
      <c r="F5069" t="s">
        <v>724</v>
      </c>
      <c r="G5069">
        <v>1</v>
      </c>
      <c r="H5069" s="2">
        <f>Tabelle13[[#This Row],[commits]]/Tabelle13[[#Totals],[commits]]</f>
        <v>4.6477904404246225E-6</v>
      </c>
      <c r="I5069" s="5">
        <f>Tabelle13[[#This Row],[%]]+I5068</f>
        <v>0.9815110896279523</v>
      </c>
      <c r="J5069" s="4">
        <f t="shared" si="191"/>
        <v>1.105583195135434E-4</v>
      </c>
      <c r="K5069" s="5">
        <f t="shared" si="192"/>
        <v>0.56019900497517527</v>
      </c>
    </row>
    <row r="5070" spans="1:11" x14ac:dyDescent="0.25">
      <c r="A5070" t="s">
        <v>3996</v>
      </c>
      <c r="C5070" t="s">
        <v>3997</v>
      </c>
      <c r="D5070" t="s">
        <v>5</v>
      </c>
      <c r="E5070" t="s">
        <v>6</v>
      </c>
      <c r="F5070" t="s">
        <v>724</v>
      </c>
      <c r="G5070">
        <v>1</v>
      </c>
      <c r="H5070" s="2">
        <f>Tabelle13[[#This Row],[commits]]/Tabelle13[[#Totals],[commits]]</f>
        <v>4.6477904404246225E-6</v>
      </c>
      <c r="I5070" s="5">
        <f>Tabelle13[[#This Row],[%]]+I5069</f>
        <v>0.98151573741839271</v>
      </c>
      <c r="J5070" s="4">
        <f t="shared" si="191"/>
        <v>1.105583195135434E-4</v>
      </c>
      <c r="K5070" s="5">
        <f t="shared" si="192"/>
        <v>0.56030956329468884</v>
      </c>
    </row>
    <row r="5071" spans="1:11" x14ac:dyDescent="0.25">
      <c r="A5071" t="s">
        <v>3998</v>
      </c>
      <c r="C5071" t="s">
        <v>3999</v>
      </c>
      <c r="D5071" t="s">
        <v>5</v>
      </c>
      <c r="E5071" t="s">
        <v>6</v>
      </c>
      <c r="F5071" t="s">
        <v>724</v>
      </c>
      <c r="G5071">
        <v>1</v>
      </c>
      <c r="H5071" s="2">
        <f>Tabelle13[[#This Row],[commits]]/Tabelle13[[#Totals],[commits]]</f>
        <v>4.6477904404246225E-6</v>
      </c>
      <c r="I5071" s="5">
        <f>Tabelle13[[#This Row],[%]]+I5070</f>
        <v>0.98152038520883311</v>
      </c>
      <c r="J5071" s="4">
        <f t="shared" si="191"/>
        <v>1.105583195135434E-4</v>
      </c>
      <c r="K5071" s="5">
        <f t="shared" si="192"/>
        <v>0.5604201216142024</v>
      </c>
    </row>
    <row r="5072" spans="1:11" x14ac:dyDescent="0.25">
      <c r="A5072" t="s">
        <v>4000</v>
      </c>
      <c r="C5072" t="s">
        <v>4001</v>
      </c>
      <c r="D5072" t="s">
        <v>5</v>
      </c>
      <c r="E5072" t="s">
        <v>6</v>
      </c>
      <c r="F5072" t="s">
        <v>724</v>
      </c>
      <c r="G5072">
        <v>1</v>
      </c>
      <c r="H5072" s="2">
        <f>Tabelle13[[#This Row],[commits]]/Tabelle13[[#Totals],[commits]]</f>
        <v>4.6477904404246225E-6</v>
      </c>
      <c r="I5072" s="5">
        <f>Tabelle13[[#This Row],[%]]+I5071</f>
        <v>0.98152503299927352</v>
      </c>
      <c r="J5072" s="4">
        <f t="shared" si="191"/>
        <v>1.105583195135434E-4</v>
      </c>
      <c r="K5072" s="5">
        <f t="shared" si="192"/>
        <v>0.56053067993371597</v>
      </c>
    </row>
    <row r="5073" spans="1:11" x14ac:dyDescent="0.25">
      <c r="A5073" t="s">
        <v>4002</v>
      </c>
      <c r="C5073" t="s">
        <v>4003</v>
      </c>
      <c r="D5073" t="s">
        <v>5</v>
      </c>
      <c r="E5073" t="s">
        <v>6</v>
      </c>
      <c r="F5073" t="s">
        <v>724</v>
      </c>
      <c r="G5073">
        <v>1</v>
      </c>
      <c r="H5073" s="2">
        <f>Tabelle13[[#This Row],[commits]]/Tabelle13[[#Totals],[commits]]</f>
        <v>4.6477904404246225E-6</v>
      </c>
      <c r="I5073" s="5">
        <f>Tabelle13[[#This Row],[%]]+I5072</f>
        <v>0.98152968078971392</v>
      </c>
      <c r="J5073" s="4">
        <f t="shared" si="191"/>
        <v>1.105583195135434E-4</v>
      </c>
      <c r="K5073" s="5">
        <f t="shared" si="192"/>
        <v>0.56064123825322953</v>
      </c>
    </row>
    <row r="5074" spans="1:11" x14ac:dyDescent="0.25">
      <c r="A5074" t="s">
        <v>4004</v>
      </c>
      <c r="C5074" t="s">
        <v>4005</v>
      </c>
      <c r="D5074" t="s">
        <v>5</v>
      </c>
      <c r="E5074" t="s">
        <v>6</v>
      </c>
      <c r="F5074" t="s">
        <v>724</v>
      </c>
      <c r="G5074">
        <v>1</v>
      </c>
      <c r="H5074" s="2">
        <f>Tabelle13[[#This Row],[commits]]/Tabelle13[[#Totals],[commits]]</f>
        <v>4.6477904404246225E-6</v>
      </c>
      <c r="I5074" s="5">
        <f>Tabelle13[[#This Row],[%]]+I5073</f>
        <v>0.98153432858015432</v>
      </c>
      <c r="J5074" s="4">
        <f t="shared" si="191"/>
        <v>1.105583195135434E-4</v>
      </c>
      <c r="K5074" s="5">
        <f t="shared" si="192"/>
        <v>0.5607517965727431</v>
      </c>
    </row>
    <row r="5075" spans="1:11" x14ac:dyDescent="0.25">
      <c r="A5075" t="s">
        <v>4006</v>
      </c>
      <c r="C5075" t="s">
        <v>4007</v>
      </c>
      <c r="D5075" t="s">
        <v>5</v>
      </c>
      <c r="E5075" t="s">
        <v>6</v>
      </c>
      <c r="F5075" t="s">
        <v>724</v>
      </c>
      <c r="G5075">
        <v>1</v>
      </c>
      <c r="H5075" s="2">
        <f>Tabelle13[[#This Row],[commits]]/Tabelle13[[#Totals],[commits]]</f>
        <v>4.6477904404246225E-6</v>
      </c>
      <c r="I5075" s="5">
        <f>Tabelle13[[#This Row],[%]]+I5074</f>
        <v>0.98153897637059473</v>
      </c>
      <c r="J5075" s="4">
        <f t="shared" si="191"/>
        <v>1.105583195135434E-4</v>
      </c>
      <c r="K5075" s="5">
        <f t="shared" si="192"/>
        <v>0.56086235489225666</v>
      </c>
    </row>
    <row r="5076" spans="1:11" x14ac:dyDescent="0.25">
      <c r="A5076" t="s">
        <v>4008</v>
      </c>
      <c r="C5076" t="s">
        <v>4009</v>
      </c>
      <c r="D5076" t="s">
        <v>5</v>
      </c>
      <c r="E5076" t="s">
        <v>6</v>
      </c>
      <c r="F5076" t="s">
        <v>724</v>
      </c>
      <c r="G5076">
        <v>1</v>
      </c>
      <c r="H5076" s="2">
        <f>Tabelle13[[#This Row],[commits]]/Tabelle13[[#Totals],[commits]]</f>
        <v>4.6477904404246225E-6</v>
      </c>
      <c r="I5076" s="5">
        <f>Tabelle13[[#This Row],[%]]+I5075</f>
        <v>0.98154362416103513</v>
      </c>
      <c r="J5076" s="4">
        <f t="shared" si="191"/>
        <v>1.105583195135434E-4</v>
      </c>
      <c r="K5076" s="5">
        <f t="shared" si="192"/>
        <v>0.56097291321177023</v>
      </c>
    </row>
    <row r="5077" spans="1:11" x14ac:dyDescent="0.25">
      <c r="A5077" t="s">
        <v>4010</v>
      </c>
      <c r="C5077" t="s">
        <v>4011</v>
      </c>
      <c r="D5077" t="s">
        <v>5</v>
      </c>
      <c r="E5077" t="s">
        <v>6</v>
      </c>
      <c r="F5077" t="s">
        <v>724</v>
      </c>
      <c r="G5077">
        <v>1</v>
      </c>
      <c r="H5077" s="2">
        <f>Tabelle13[[#This Row],[commits]]/Tabelle13[[#Totals],[commits]]</f>
        <v>4.6477904404246225E-6</v>
      </c>
      <c r="I5077" s="5">
        <f>Tabelle13[[#This Row],[%]]+I5076</f>
        <v>0.98154827195147554</v>
      </c>
      <c r="J5077" s="4">
        <f t="shared" si="191"/>
        <v>1.105583195135434E-4</v>
      </c>
      <c r="K5077" s="5">
        <f t="shared" si="192"/>
        <v>0.5610834715312838</v>
      </c>
    </row>
    <row r="5078" spans="1:11" x14ac:dyDescent="0.25">
      <c r="A5078" t="s">
        <v>4012</v>
      </c>
      <c r="C5078" t="s">
        <v>4013</v>
      </c>
      <c r="D5078" t="s">
        <v>5</v>
      </c>
      <c r="E5078" t="s">
        <v>6</v>
      </c>
      <c r="F5078" t="s">
        <v>724</v>
      </c>
      <c r="G5078">
        <v>1</v>
      </c>
      <c r="H5078" s="2">
        <f>Tabelle13[[#This Row],[commits]]/Tabelle13[[#Totals],[commits]]</f>
        <v>4.6477904404246225E-6</v>
      </c>
      <c r="I5078" s="5">
        <f>Tabelle13[[#This Row],[%]]+I5077</f>
        <v>0.98155291974191594</v>
      </c>
      <c r="J5078" s="4">
        <f t="shared" si="191"/>
        <v>1.105583195135434E-4</v>
      </c>
      <c r="K5078" s="5">
        <f t="shared" si="192"/>
        <v>0.56119402985079736</v>
      </c>
    </row>
    <row r="5079" spans="1:11" x14ac:dyDescent="0.25">
      <c r="A5079" t="s">
        <v>4014</v>
      </c>
      <c r="C5079" t="s">
        <v>4015</v>
      </c>
      <c r="D5079" t="s">
        <v>5</v>
      </c>
      <c r="E5079" t="s">
        <v>6</v>
      </c>
      <c r="F5079" t="s">
        <v>724</v>
      </c>
      <c r="G5079">
        <v>1</v>
      </c>
      <c r="H5079" s="2">
        <f>Tabelle13[[#This Row],[commits]]/Tabelle13[[#Totals],[commits]]</f>
        <v>4.6477904404246225E-6</v>
      </c>
      <c r="I5079" s="5">
        <f>Tabelle13[[#This Row],[%]]+I5078</f>
        <v>0.98155756753235635</v>
      </c>
      <c r="J5079" s="4">
        <f t="shared" si="191"/>
        <v>1.105583195135434E-4</v>
      </c>
      <c r="K5079" s="5">
        <f t="shared" si="192"/>
        <v>0.56130458817031093</v>
      </c>
    </row>
    <row r="5080" spans="1:11" x14ac:dyDescent="0.25">
      <c r="A5080" t="s">
        <v>4016</v>
      </c>
      <c r="C5080" t="s">
        <v>4017</v>
      </c>
      <c r="D5080" t="s">
        <v>5</v>
      </c>
      <c r="E5080" t="s">
        <v>6</v>
      </c>
      <c r="F5080" t="s">
        <v>724</v>
      </c>
      <c r="G5080">
        <v>1</v>
      </c>
      <c r="H5080" s="2">
        <f>Tabelle13[[#This Row],[commits]]/Tabelle13[[#Totals],[commits]]</f>
        <v>4.6477904404246225E-6</v>
      </c>
      <c r="I5080" s="5">
        <f>Tabelle13[[#This Row],[%]]+I5079</f>
        <v>0.98156221532279675</v>
      </c>
      <c r="J5080" s="4">
        <f t="shared" si="191"/>
        <v>1.105583195135434E-4</v>
      </c>
      <c r="K5080" s="5">
        <f t="shared" si="192"/>
        <v>0.56141514648982449</v>
      </c>
    </row>
    <row r="5081" spans="1:11" x14ac:dyDescent="0.25">
      <c r="A5081" t="s">
        <v>4018</v>
      </c>
      <c r="C5081" t="s">
        <v>2546</v>
      </c>
      <c r="D5081" t="s">
        <v>5</v>
      </c>
      <c r="E5081" t="s">
        <v>6</v>
      </c>
      <c r="F5081" t="s">
        <v>724</v>
      </c>
      <c r="G5081">
        <v>1</v>
      </c>
      <c r="H5081" s="2">
        <f>Tabelle13[[#This Row],[commits]]/Tabelle13[[#Totals],[commits]]</f>
        <v>4.6477904404246225E-6</v>
      </c>
      <c r="I5081" s="5">
        <f>Tabelle13[[#This Row],[%]]+I5080</f>
        <v>0.98156686311323715</v>
      </c>
      <c r="J5081" s="4">
        <f t="shared" si="191"/>
        <v>1.105583195135434E-4</v>
      </c>
      <c r="K5081" s="5">
        <f t="shared" si="192"/>
        <v>0.56152570480933806</v>
      </c>
    </row>
    <row r="5082" spans="1:11" x14ac:dyDescent="0.25">
      <c r="A5082" t="s">
        <v>4019</v>
      </c>
      <c r="C5082" t="s">
        <v>4020</v>
      </c>
      <c r="D5082" t="s">
        <v>5</v>
      </c>
      <c r="E5082" t="s">
        <v>6</v>
      </c>
      <c r="F5082" t="s">
        <v>724</v>
      </c>
      <c r="G5082">
        <v>1</v>
      </c>
      <c r="H5082" s="2">
        <f>Tabelle13[[#This Row],[commits]]/Tabelle13[[#Totals],[commits]]</f>
        <v>4.6477904404246225E-6</v>
      </c>
      <c r="I5082" s="5">
        <f>Tabelle13[[#This Row],[%]]+I5081</f>
        <v>0.98157151090367756</v>
      </c>
      <c r="J5082" s="4">
        <f t="shared" si="191"/>
        <v>1.105583195135434E-4</v>
      </c>
      <c r="K5082" s="5">
        <f t="shared" si="192"/>
        <v>0.56163626312885162</v>
      </c>
    </row>
    <row r="5083" spans="1:11" x14ac:dyDescent="0.25">
      <c r="A5083" t="s">
        <v>4021</v>
      </c>
      <c r="C5083" t="s">
        <v>4022</v>
      </c>
      <c r="D5083" t="s">
        <v>5</v>
      </c>
      <c r="E5083" t="s">
        <v>6</v>
      </c>
      <c r="F5083" t="s">
        <v>724</v>
      </c>
      <c r="G5083">
        <v>1</v>
      </c>
      <c r="H5083" s="2">
        <f>Tabelle13[[#This Row],[commits]]/Tabelle13[[#Totals],[commits]]</f>
        <v>4.6477904404246225E-6</v>
      </c>
      <c r="I5083" s="5">
        <f>Tabelle13[[#This Row],[%]]+I5082</f>
        <v>0.98157615869411796</v>
      </c>
      <c r="J5083" s="4">
        <f t="shared" si="191"/>
        <v>1.105583195135434E-4</v>
      </c>
      <c r="K5083" s="5">
        <f t="shared" si="192"/>
        <v>0.56174682144836519</v>
      </c>
    </row>
    <row r="5084" spans="1:11" x14ac:dyDescent="0.25">
      <c r="A5084" t="s">
        <v>4023</v>
      </c>
      <c r="C5084" t="s">
        <v>4024</v>
      </c>
      <c r="D5084" t="s">
        <v>5</v>
      </c>
      <c r="E5084" t="s">
        <v>6</v>
      </c>
      <c r="F5084" t="s">
        <v>724</v>
      </c>
      <c r="G5084">
        <v>1</v>
      </c>
      <c r="H5084" s="2">
        <f>Tabelle13[[#This Row],[commits]]/Tabelle13[[#Totals],[commits]]</f>
        <v>4.6477904404246225E-6</v>
      </c>
      <c r="I5084" s="5">
        <f>Tabelle13[[#This Row],[%]]+I5083</f>
        <v>0.98158080648455837</v>
      </c>
      <c r="J5084" s="4">
        <f t="shared" si="191"/>
        <v>1.105583195135434E-4</v>
      </c>
      <c r="K5084" s="5">
        <f t="shared" si="192"/>
        <v>0.56185737976787875</v>
      </c>
    </row>
    <row r="5085" spans="1:11" x14ac:dyDescent="0.25">
      <c r="A5085" t="s">
        <v>4025</v>
      </c>
      <c r="C5085" t="s">
        <v>4026</v>
      </c>
      <c r="D5085" t="s">
        <v>5</v>
      </c>
      <c r="E5085" t="s">
        <v>6</v>
      </c>
      <c r="F5085" t="s">
        <v>724</v>
      </c>
      <c r="G5085">
        <v>1</v>
      </c>
      <c r="H5085" s="2">
        <f>Tabelle13[[#This Row],[commits]]/Tabelle13[[#Totals],[commits]]</f>
        <v>4.6477904404246225E-6</v>
      </c>
      <c r="I5085" s="5">
        <f>Tabelle13[[#This Row],[%]]+I5084</f>
        <v>0.98158545427499877</v>
      </c>
      <c r="J5085" s="4">
        <f t="shared" si="191"/>
        <v>1.105583195135434E-4</v>
      </c>
      <c r="K5085" s="5">
        <f t="shared" si="192"/>
        <v>0.56196793808739232</v>
      </c>
    </row>
    <row r="5086" spans="1:11" x14ac:dyDescent="0.25">
      <c r="A5086" t="s">
        <v>4027</v>
      </c>
      <c r="C5086" t="s">
        <v>4028</v>
      </c>
      <c r="D5086" t="s">
        <v>5</v>
      </c>
      <c r="E5086" t="s">
        <v>6</v>
      </c>
      <c r="F5086" t="s">
        <v>724</v>
      </c>
      <c r="G5086">
        <v>1</v>
      </c>
      <c r="H5086" s="2">
        <f>Tabelle13[[#This Row],[commits]]/Tabelle13[[#Totals],[commits]]</f>
        <v>4.6477904404246225E-6</v>
      </c>
      <c r="I5086" s="5">
        <f>Tabelle13[[#This Row],[%]]+I5085</f>
        <v>0.98159010206543917</v>
      </c>
      <c r="J5086" s="4">
        <f t="shared" si="191"/>
        <v>1.105583195135434E-4</v>
      </c>
      <c r="K5086" s="5">
        <f t="shared" si="192"/>
        <v>0.56207849640690588</v>
      </c>
    </row>
    <row r="5087" spans="1:11" x14ac:dyDescent="0.25">
      <c r="A5087" t="s">
        <v>4029</v>
      </c>
      <c r="C5087" t="s">
        <v>3451</v>
      </c>
      <c r="D5087" t="s">
        <v>5</v>
      </c>
      <c r="E5087" t="s">
        <v>6</v>
      </c>
      <c r="F5087" t="s">
        <v>724</v>
      </c>
      <c r="G5087">
        <v>1</v>
      </c>
      <c r="H5087" s="2">
        <f>Tabelle13[[#This Row],[commits]]/Tabelle13[[#Totals],[commits]]</f>
        <v>4.6477904404246225E-6</v>
      </c>
      <c r="I5087" s="5">
        <f>Tabelle13[[#This Row],[%]]+I5086</f>
        <v>0.98159474985587958</v>
      </c>
      <c r="J5087" s="4">
        <f t="shared" si="191"/>
        <v>1.105583195135434E-4</v>
      </c>
      <c r="K5087" s="5">
        <f t="shared" si="192"/>
        <v>0.56218905472641945</v>
      </c>
    </row>
    <row r="5088" spans="1:11" x14ac:dyDescent="0.25">
      <c r="A5088" t="s">
        <v>4030</v>
      </c>
      <c r="C5088" t="s">
        <v>4031</v>
      </c>
      <c r="D5088" t="s">
        <v>5</v>
      </c>
      <c r="E5088" t="s">
        <v>6</v>
      </c>
      <c r="F5088" t="s">
        <v>724</v>
      </c>
      <c r="G5088">
        <v>1</v>
      </c>
      <c r="H5088" s="2">
        <f>Tabelle13[[#This Row],[commits]]/Tabelle13[[#Totals],[commits]]</f>
        <v>4.6477904404246225E-6</v>
      </c>
      <c r="I5088" s="5">
        <f>Tabelle13[[#This Row],[%]]+I5087</f>
        <v>0.98159939764631998</v>
      </c>
      <c r="J5088" s="4">
        <f t="shared" si="191"/>
        <v>1.105583195135434E-4</v>
      </c>
      <c r="K5088" s="5">
        <f t="shared" si="192"/>
        <v>0.56229961304593301</v>
      </c>
    </row>
    <row r="5089" spans="1:11" x14ac:dyDescent="0.25">
      <c r="A5089" t="s">
        <v>4032</v>
      </c>
      <c r="C5089" t="s">
        <v>4033</v>
      </c>
      <c r="D5089" t="s">
        <v>5</v>
      </c>
      <c r="E5089" t="s">
        <v>6</v>
      </c>
      <c r="F5089" t="s">
        <v>724</v>
      </c>
      <c r="G5089">
        <v>1</v>
      </c>
      <c r="H5089" s="2">
        <f>Tabelle13[[#This Row],[commits]]/Tabelle13[[#Totals],[commits]]</f>
        <v>4.6477904404246225E-6</v>
      </c>
      <c r="I5089" s="5">
        <f>Tabelle13[[#This Row],[%]]+I5088</f>
        <v>0.98160404543676039</v>
      </c>
      <c r="J5089" s="4">
        <f t="shared" si="191"/>
        <v>1.105583195135434E-4</v>
      </c>
      <c r="K5089" s="5">
        <f t="shared" si="192"/>
        <v>0.56241017136544658</v>
      </c>
    </row>
    <row r="5090" spans="1:11" x14ac:dyDescent="0.25">
      <c r="A5090" t="s">
        <v>4034</v>
      </c>
      <c r="C5090" t="s">
        <v>4035</v>
      </c>
      <c r="D5090" t="s">
        <v>5</v>
      </c>
      <c r="E5090" t="s">
        <v>6</v>
      </c>
      <c r="F5090" t="s">
        <v>724</v>
      </c>
      <c r="G5090">
        <v>1</v>
      </c>
      <c r="H5090" s="2">
        <f>Tabelle13[[#This Row],[commits]]/Tabelle13[[#Totals],[commits]]</f>
        <v>4.6477904404246225E-6</v>
      </c>
      <c r="I5090" s="5">
        <f>Tabelle13[[#This Row],[%]]+I5089</f>
        <v>0.98160869322720079</v>
      </c>
      <c r="J5090" s="4">
        <f t="shared" si="191"/>
        <v>1.105583195135434E-4</v>
      </c>
      <c r="K5090" s="5">
        <f t="shared" si="192"/>
        <v>0.56252072968496014</v>
      </c>
    </row>
    <row r="5091" spans="1:11" x14ac:dyDescent="0.25">
      <c r="A5091" t="s">
        <v>4036</v>
      </c>
      <c r="C5091" t="s">
        <v>161</v>
      </c>
      <c r="D5091" t="s">
        <v>5</v>
      </c>
      <c r="E5091" t="s">
        <v>6</v>
      </c>
      <c r="F5091" t="s">
        <v>724</v>
      </c>
      <c r="G5091">
        <v>1</v>
      </c>
      <c r="H5091" s="2">
        <f>Tabelle13[[#This Row],[commits]]/Tabelle13[[#Totals],[commits]]</f>
        <v>4.6477904404246225E-6</v>
      </c>
      <c r="I5091" s="5">
        <f>Tabelle13[[#This Row],[%]]+I5090</f>
        <v>0.98161334101764119</v>
      </c>
      <c r="J5091" s="4">
        <f t="shared" si="191"/>
        <v>1.105583195135434E-4</v>
      </c>
      <c r="K5091" s="5">
        <f t="shared" si="192"/>
        <v>0.56263128800447371</v>
      </c>
    </row>
    <row r="5092" spans="1:11" x14ac:dyDescent="0.25">
      <c r="A5092" t="s">
        <v>4037</v>
      </c>
      <c r="C5092" t="s">
        <v>4038</v>
      </c>
      <c r="D5092" t="s">
        <v>5</v>
      </c>
      <c r="E5092" t="s">
        <v>6</v>
      </c>
      <c r="F5092" t="s">
        <v>724</v>
      </c>
      <c r="G5092">
        <v>1</v>
      </c>
      <c r="H5092" s="2">
        <f>Tabelle13[[#This Row],[commits]]/Tabelle13[[#Totals],[commits]]</f>
        <v>4.6477904404246225E-6</v>
      </c>
      <c r="I5092" s="5">
        <f>Tabelle13[[#This Row],[%]]+I5091</f>
        <v>0.9816179888080816</v>
      </c>
      <c r="J5092" s="4">
        <f t="shared" si="191"/>
        <v>1.105583195135434E-4</v>
      </c>
      <c r="K5092" s="5">
        <f t="shared" si="192"/>
        <v>0.56274184632398727</v>
      </c>
    </row>
    <row r="5093" spans="1:11" x14ac:dyDescent="0.25">
      <c r="A5093" t="s">
        <v>4039</v>
      </c>
      <c r="C5093" t="s">
        <v>4040</v>
      </c>
      <c r="D5093" t="s">
        <v>5</v>
      </c>
      <c r="E5093" t="s">
        <v>6</v>
      </c>
      <c r="F5093" t="s">
        <v>724</v>
      </c>
      <c r="G5093">
        <v>1</v>
      </c>
      <c r="H5093" s="2">
        <f>Tabelle13[[#This Row],[commits]]/Tabelle13[[#Totals],[commits]]</f>
        <v>4.6477904404246225E-6</v>
      </c>
      <c r="I5093" s="5">
        <f>Tabelle13[[#This Row],[%]]+I5092</f>
        <v>0.981622636598522</v>
      </c>
      <c r="J5093" s="4">
        <f t="shared" si="191"/>
        <v>1.105583195135434E-4</v>
      </c>
      <c r="K5093" s="5">
        <f t="shared" si="192"/>
        <v>0.56285240464350084</v>
      </c>
    </row>
    <row r="5094" spans="1:11" x14ac:dyDescent="0.25">
      <c r="A5094" t="s">
        <v>4041</v>
      </c>
      <c r="C5094" t="s">
        <v>4042</v>
      </c>
      <c r="D5094" t="s">
        <v>5</v>
      </c>
      <c r="E5094" t="s">
        <v>6</v>
      </c>
      <c r="F5094" t="s">
        <v>724</v>
      </c>
      <c r="G5094">
        <v>1</v>
      </c>
      <c r="H5094" s="2">
        <f>Tabelle13[[#This Row],[commits]]/Tabelle13[[#Totals],[commits]]</f>
        <v>4.6477904404246225E-6</v>
      </c>
      <c r="I5094" s="5">
        <f>Tabelle13[[#This Row],[%]]+I5093</f>
        <v>0.98162728438896241</v>
      </c>
      <c r="J5094" s="4">
        <f t="shared" si="191"/>
        <v>1.105583195135434E-4</v>
      </c>
      <c r="K5094" s="5">
        <f t="shared" si="192"/>
        <v>0.5629629629630144</v>
      </c>
    </row>
    <row r="5095" spans="1:11" x14ac:dyDescent="0.25">
      <c r="A5095" t="s">
        <v>4043</v>
      </c>
      <c r="C5095" t="s">
        <v>4044</v>
      </c>
      <c r="D5095" t="s">
        <v>5</v>
      </c>
      <c r="E5095" t="s">
        <v>6</v>
      </c>
      <c r="F5095" t="s">
        <v>724</v>
      </c>
      <c r="G5095">
        <v>1</v>
      </c>
      <c r="H5095" s="2">
        <f>Tabelle13[[#This Row],[commits]]/Tabelle13[[#Totals],[commits]]</f>
        <v>4.6477904404246225E-6</v>
      </c>
      <c r="I5095" s="5">
        <f>Tabelle13[[#This Row],[%]]+I5094</f>
        <v>0.98163193217940281</v>
      </c>
      <c r="J5095" s="4">
        <f t="shared" si="191"/>
        <v>1.105583195135434E-4</v>
      </c>
      <c r="K5095" s="5">
        <f t="shared" si="192"/>
        <v>0.56307352128252797</v>
      </c>
    </row>
    <row r="5096" spans="1:11" x14ac:dyDescent="0.25">
      <c r="A5096" t="s">
        <v>4045</v>
      </c>
      <c r="C5096" t="s">
        <v>4046</v>
      </c>
      <c r="D5096" t="s">
        <v>5</v>
      </c>
      <c r="E5096" t="s">
        <v>6</v>
      </c>
      <c r="F5096" t="s">
        <v>724</v>
      </c>
      <c r="G5096">
        <v>1</v>
      </c>
      <c r="H5096" s="2">
        <f>Tabelle13[[#This Row],[commits]]/Tabelle13[[#Totals],[commits]]</f>
        <v>4.6477904404246225E-6</v>
      </c>
      <c r="I5096" s="5">
        <f>Tabelle13[[#This Row],[%]]+I5095</f>
        <v>0.98163657996984321</v>
      </c>
      <c r="J5096" s="4">
        <f t="shared" si="191"/>
        <v>1.105583195135434E-4</v>
      </c>
      <c r="K5096" s="5">
        <f t="shared" si="192"/>
        <v>0.56318407960204153</v>
      </c>
    </row>
    <row r="5097" spans="1:11" x14ac:dyDescent="0.25">
      <c r="A5097" t="s">
        <v>4047</v>
      </c>
      <c r="C5097" t="s">
        <v>4048</v>
      </c>
      <c r="D5097" t="s">
        <v>5</v>
      </c>
      <c r="E5097" t="s">
        <v>6</v>
      </c>
      <c r="F5097" t="s">
        <v>724</v>
      </c>
      <c r="G5097">
        <v>1</v>
      </c>
      <c r="H5097" s="2">
        <f>Tabelle13[[#This Row],[commits]]/Tabelle13[[#Totals],[commits]]</f>
        <v>4.6477904404246225E-6</v>
      </c>
      <c r="I5097" s="5">
        <f>Tabelle13[[#This Row],[%]]+I5096</f>
        <v>0.98164122776028362</v>
      </c>
      <c r="J5097" s="4">
        <f t="shared" si="191"/>
        <v>1.105583195135434E-4</v>
      </c>
      <c r="K5097" s="5">
        <f t="shared" si="192"/>
        <v>0.5632946379215551</v>
      </c>
    </row>
    <row r="5098" spans="1:11" x14ac:dyDescent="0.25">
      <c r="A5098" t="s">
        <v>4049</v>
      </c>
      <c r="C5098" t="s">
        <v>211</v>
      </c>
      <c r="D5098" t="s">
        <v>5</v>
      </c>
      <c r="E5098" t="s">
        <v>6</v>
      </c>
      <c r="F5098" t="s">
        <v>724</v>
      </c>
      <c r="G5098">
        <v>1</v>
      </c>
      <c r="H5098" s="2">
        <f>Tabelle13[[#This Row],[commits]]/Tabelle13[[#Totals],[commits]]</f>
        <v>4.6477904404246225E-6</v>
      </c>
      <c r="I5098" s="5">
        <f>Tabelle13[[#This Row],[%]]+I5097</f>
        <v>0.98164587555072402</v>
      </c>
      <c r="J5098" s="4">
        <f t="shared" si="191"/>
        <v>1.105583195135434E-4</v>
      </c>
      <c r="K5098" s="5">
        <f t="shared" si="192"/>
        <v>0.56340519624106866</v>
      </c>
    </row>
    <row r="5099" spans="1:11" x14ac:dyDescent="0.25">
      <c r="A5099" t="s">
        <v>4050</v>
      </c>
      <c r="C5099" t="s">
        <v>4051</v>
      </c>
      <c r="D5099" t="s">
        <v>5</v>
      </c>
      <c r="E5099" t="s">
        <v>6</v>
      </c>
      <c r="F5099" t="s">
        <v>724</v>
      </c>
      <c r="G5099">
        <v>1</v>
      </c>
      <c r="H5099" s="2">
        <f>Tabelle13[[#This Row],[commits]]/Tabelle13[[#Totals],[commits]]</f>
        <v>4.6477904404246225E-6</v>
      </c>
      <c r="I5099" s="5">
        <f>Tabelle13[[#This Row],[%]]+I5098</f>
        <v>0.98165052334116443</v>
      </c>
      <c r="J5099" s="4">
        <f t="shared" si="191"/>
        <v>1.105583195135434E-4</v>
      </c>
      <c r="K5099" s="5">
        <f t="shared" si="192"/>
        <v>0.56351575456058223</v>
      </c>
    </row>
    <row r="5100" spans="1:11" x14ac:dyDescent="0.25">
      <c r="A5100" t="s">
        <v>4052</v>
      </c>
      <c r="C5100" t="s">
        <v>4053</v>
      </c>
      <c r="D5100" t="s">
        <v>5</v>
      </c>
      <c r="E5100" t="s">
        <v>6</v>
      </c>
      <c r="F5100" t="s">
        <v>724</v>
      </c>
      <c r="G5100">
        <v>1</v>
      </c>
      <c r="H5100" s="2">
        <f>Tabelle13[[#This Row],[commits]]/Tabelle13[[#Totals],[commits]]</f>
        <v>4.6477904404246225E-6</v>
      </c>
      <c r="I5100" s="5">
        <f>Tabelle13[[#This Row],[%]]+I5099</f>
        <v>0.98165517113160483</v>
      </c>
      <c r="J5100" s="4">
        <f t="shared" si="191"/>
        <v>1.105583195135434E-4</v>
      </c>
      <c r="K5100" s="5">
        <f t="shared" si="192"/>
        <v>0.56362631288009579</v>
      </c>
    </row>
    <row r="5101" spans="1:11" x14ac:dyDescent="0.25">
      <c r="A5101" t="s">
        <v>4054</v>
      </c>
      <c r="C5101" t="s">
        <v>4055</v>
      </c>
      <c r="D5101" t="s">
        <v>5</v>
      </c>
      <c r="E5101" t="s">
        <v>6</v>
      </c>
      <c r="F5101" t="s">
        <v>724</v>
      </c>
      <c r="G5101">
        <v>1</v>
      </c>
      <c r="H5101" s="2">
        <f>Tabelle13[[#This Row],[commits]]/Tabelle13[[#Totals],[commits]]</f>
        <v>4.6477904404246225E-6</v>
      </c>
      <c r="I5101" s="5">
        <f>Tabelle13[[#This Row],[%]]+I5100</f>
        <v>0.98165981892204524</v>
      </c>
      <c r="J5101" s="4">
        <f t="shared" si="191"/>
        <v>1.105583195135434E-4</v>
      </c>
      <c r="K5101" s="5">
        <f t="shared" si="192"/>
        <v>0.56373687119960936</v>
      </c>
    </row>
    <row r="5102" spans="1:11" x14ac:dyDescent="0.25">
      <c r="A5102" t="s">
        <v>4056</v>
      </c>
      <c r="C5102" t="s">
        <v>4057</v>
      </c>
      <c r="D5102" t="s">
        <v>5</v>
      </c>
      <c r="E5102" t="s">
        <v>6</v>
      </c>
      <c r="F5102" t="s">
        <v>724</v>
      </c>
      <c r="G5102">
        <v>1</v>
      </c>
      <c r="H5102" s="2">
        <f>Tabelle13[[#This Row],[commits]]/Tabelle13[[#Totals],[commits]]</f>
        <v>4.6477904404246225E-6</v>
      </c>
      <c r="I5102" s="5">
        <f>Tabelle13[[#This Row],[%]]+I5101</f>
        <v>0.98166446671248564</v>
      </c>
      <c r="J5102" s="4">
        <f t="shared" si="191"/>
        <v>1.105583195135434E-4</v>
      </c>
      <c r="K5102" s="5">
        <f t="shared" si="192"/>
        <v>0.56384742951912292</v>
      </c>
    </row>
    <row r="5103" spans="1:11" x14ac:dyDescent="0.25">
      <c r="A5103" t="s">
        <v>4058</v>
      </c>
      <c r="C5103" t="s">
        <v>4059</v>
      </c>
      <c r="D5103" t="s">
        <v>5</v>
      </c>
      <c r="E5103" t="s">
        <v>6</v>
      </c>
      <c r="F5103" t="s">
        <v>724</v>
      </c>
      <c r="G5103">
        <v>1</v>
      </c>
      <c r="H5103" s="2">
        <f>Tabelle13[[#This Row],[commits]]/Tabelle13[[#Totals],[commits]]</f>
        <v>4.6477904404246225E-6</v>
      </c>
      <c r="I5103" s="5">
        <f>Tabelle13[[#This Row],[%]]+I5102</f>
        <v>0.98166911450292604</v>
      </c>
      <c r="J5103" s="4">
        <f t="shared" si="191"/>
        <v>1.105583195135434E-4</v>
      </c>
      <c r="K5103" s="5">
        <f t="shared" si="192"/>
        <v>0.56395798783863649</v>
      </c>
    </row>
    <row r="5104" spans="1:11" x14ac:dyDescent="0.25">
      <c r="A5104" t="s">
        <v>4060</v>
      </c>
      <c r="C5104" t="s">
        <v>4061</v>
      </c>
      <c r="D5104" t="s">
        <v>5</v>
      </c>
      <c r="E5104" t="s">
        <v>6</v>
      </c>
      <c r="F5104" t="s">
        <v>724</v>
      </c>
      <c r="G5104">
        <v>1</v>
      </c>
      <c r="H5104" s="2">
        <f>Tabelle13[[#This Row],[commits]]/Tabelle13[[#Totals],[commits]]</f>
        <v>4.6477904404246225E-6</v>
      </c>
      <c r="I5104" s="5">
        <f>Tabelle13[[#This Row],[%]]+I5103</f>
        <v>0.98167376229336645</v>
      </c>
      <c r="J5104" s="4">
        <f t="shared" si="191"/>
        <v>1.105583195135434E-4</v>
      </c>
      <c r="K5104" s="5">
        <f t="shared" si="192"/>
        <v>0.56406854615815005</v>
      </c>
    </row>
    <row r="5105" spans="1:11" x14ac:dyDescent="0.25">
      <c r="A5105" t="s">
        <v>4062</v>
      </c>
      <c r="C5105" t="s">
        <v>4063</v>
      </c>
      <c r="D5105" t="s">
        <v>5</v>
      </c>
      <c r="E5105" t="s">
        <v>6</v>
      </c>
      <c r="F5105" t="s">
        <v>724</v>
      </c>
      <c r="G5105">
        <v>1</v>
      </c>
      <c r="H5105" s="2">
        <f>Tabelle13[[#This Row],[commits]]/Tabelle13[[#Totals],[commits]]</f>
        <v>4.6477904404246225E-6</v>
      </c>
      <c r="I5105" s="5">
        <f>Tabelle13[[#This Row],[%]]+I5104</f>
        <v>0.98167841008380685</v>
      </c>
      <c r="J5105" s="4">
        <f t="shared" si="191"/>
        <v>1.105583195135434E-4</v>
      </c>
      <c r="K5105" s="5">
        <f t="shared" si="192"/>
        <v>0.56417910447766362</v>
      </c>
    </row>
    <row r="5106" spans="1:11" x14ac:dyDescent="0.25">
      <c r="A5106" t="s">
        <v>4064</v>
      </c>
      <c r="C5106" t="s">
        <v>4065</v>
      </c>
      <c r="D5106" t="s">
        <v>5</v>
      </c>
      <c r="E5106" t="s">
        <v>6</v>
      </c>
      <c r="F5106" t="s">
        <v>724</v>
      </c>
      <c r="G5106">
        <v>1</v>
      </c>
      <c r="H5106" s="2">
        <f>Tabelle13[[#This Row],[commits]]/Tabelle13[[#Totals],[commits]]</f>
        <v>4.6477904404246225E-6</v>
      </c>
      <c r="I5106" s="5">
        <f>Tabelle13[[#This Row],[%]]+I5105</f>
        <v>0.98168305787424726</v>
      </c>
      <c r="J5106" s="4">
        <f t="shared" si="191"/>
        <v>1.105583195135434E-4</v>
      </c>
      <c r="K5106" s="5">
        <f t="shared" si="192"/>
        <v>0.56428966279717718</v>
      </c>
    </row>
    <row r="5107" spans="1:11" x14ac:dyDescent="0.25">
      <c r="A5107" t="s">
        <v>4066</v>
      </c>
      <c r="C5107" t="s">
        <v>4067</v>
      </c>
      <c r="D5107" t="s">
        <v>5</v>
      </c>
      <c r="E5107" t="s">
        <v>6</v>
      </c>
      <c r="F5107" t="s">
        <v>724</v>
      </c>
      <c r="G5107">
        <v>1</v>
      </c>
      <c r="H5107" s="2">
        <f>Tabelle13[[#This Row],[commits]]/Tabelle13[[#Totals],[commits]]</f>
        <v>4.6477904404246225E-6</v>
      </c>
      <c r="I5107" s="5">
        <f>Tabelle13[[#This Row],[%]]+I5106</f>
        <v>0.98168770566468766</v>
      </c>
      <c r="J5107" s="4">
        <f t="shared" si="191"/>
        <v>1.105583195135434E-4</v>
      </c>
      <c r="K5107" s="5">
        <f t="shared" si="192"/>
        <v>0.56440022111669075</v>
      </c>
    </row>
    <row r="5108" spans="1:11" x14ac:dyDescent="0.25">
      <c r="A5108" t="s">
        <v>4068</v>
      </c>
      <c r="C5108" t="s">
        <v>4069</v>
      </c>
      <c r="D5108" t="s">
        <v>5</v>
      </c>
      <c r="E5108" t="s">
        <v>6</v>
      </c>
      <c r="F5108" t="s">
        <v>724</v>
      </c>
      <c r="G5108">
        <v>1</v>
      </c>
      <c r="H5108" s="2">
        <f>Tabelle13[[#This Row],[commits]]/Tabelle13[[#Totals],[commits]]</f>
        <v>4.6477904404246225E-6</v>
      </c>
      <c r="I5108" s="5">
        <f>Tabelle13[[#This Row],[%]]+I5107</f>
        <v>0.98169235345512806</v>
      </c>
      <c r="J5108" s="4">
        <f t="shared" si="191"/>
        <v>1.105583195135434E-4</v>
      </c>
      <c r="K5108" s="5">
        <f t="shared" si="192"/>
        <v>0.56451077943620431</v>
      </c>
    </row>
    <row r="5109" spans="1:11" x14ac:dyDescent="0.25">
      <c r="A5109" t="s">
        <v>4070</v>
      </c>
      <c r="C5109" t="s">
        <v>4071</v>
      </c>
      <c r="D5109" t="s">
        <v>5</v>
      </c>
      <c r="E5109" t="s">
        <v>6</v>
      </c>
      <c r="F5109" t="s">
        <v>724</v>
      </c>
      <c r="G5109">
        <v>1</v>
      </c>
      <c r="H5109" s="2">
        <f>Tabelle13[[#This Row],[commits]]/Tabelle13[[#Totals],[commits]]</f>
        <v>4.6477904404246225E-6</v>
      </c>
      <c r="I5109" s="5">
        <f>Tabelle13[[#This Row],[%]]+I5108</f>
        <v>0.98169700124556847</v>
      </c>
      <c r="J5109" s="4">
        <f t="shared" si="191"/>
        <v>1.105583195135434E-4</v>
      </c>
      <c r="K5109" s="5">
        <f t="shared" si="192"/>
        <v>0.56462133775571788</v>
      </c>
    </row>
    <row r="5110" spans="1:11" x14ac:dyDescent="0.25">
      <c r="A5110" t="s">
        <v>4072</v>
      </c>
      <c r="C5110" t="s">
        <v>4073</v>
      </c>
      <c r="D5110" t="s">
        <v>5</v>
      </c>
      <c r="E5110" t="s">
        <v>6</v>
      </c>
      <c r="F5110" t="s">
        <v>724</v>
      </c>
      <c r="G5110">
        <v>1</v>
      </c>
      <c r="H5110" s="2">
        <f>Tabelle13[[#This Row],[commits]]/Tabelle13[[#Totals],[commits]]</f>
        <v>4.6477904404246225E-6</v>
      </c>
      <c r="I5110" s="5">
        <f>Tabelle13[[#This Row],[%]]+I5109</f>
        <v>0.98170164903600887</v>
      </c>
      <c r="J5110" s="4">
        <f t="shared" si="191"/>
        <v>1.105583195135434E-4</v>
      </c>
      <c r="K5110" s="5">
        <f t="shared" si="192"/>
        <v>0.56473189607523144</v>
      </c>
    </row>
    <row r="5111" spans="1:11" x14ac:dyDescent="0.25">
      <c r="A5111" t="s">
        <v>4074</v>
      </c>
      <c r="C5111" t="s">
        <v>4075</v>
      </c>
      <c r="D5111" t="s">
        <v>5</v>
      </c>
      <c r="E5111" t="s">
        <v>6</v>
      </c>
      <c r="F5111" t="s">
        <v>724</v>
      </c>
      <c r="G5111">
        <v>1</v>
      </c>
      <c r="H5111" s="2">
        <f>Tabelle13[[#This Row],[commits]]/Tabelle13[[#Totals],[commits]]</f>
        <v>4.6477904404246225E-6</v>
      </c>
      <c r="I5111" s="5">
        <f>Tabelle13[[#This Row],[%]]+I5110</f>
        <v>0.98170629682644928</v>
      </c>
      <c r="J5111" s="4">
        <f t="shared" si="191"/>
        <v>1.105583195135434E-4</v>
      </c>
      <c r="K5111" s="5">
        <f t="shared" si="192"/>
        <v>0.56484245439474501</v>
      </c>
    </row>
    <row r="5112" spans="1:11" x14ac:dyDescent="0.25">
      <c r="A5112" t="s">
        <v>4076</v>
      </c>
      <c r="C5112" t="s">
        <v>4077</v>
      </c>
      <c r="D5112" t="s">
        <v>5</v>
      </c>
      <c r="E5112" t="s">
        <v>6</v>
      </c>
      <c r="F5112" t="s">
        <v>724</v>
      </c>
      <c r="G5112">
        <v>1</v>
      </c>
      <c r="H5112" s="2">
        <f>Tabelle13[[#This Row],[commits]]/Tabelle13[[#Totals],[commits]]</f>
        <v>4.6477904404246225E-6</v>
      </c>
      <c r="I5112" s="5">
        <f>Tabelle13[[#This Row],[%]]+I5111</f>
        <v>0.98171094461688968</v>
      </c>
      <c r="J5112" s="4">
        <f t="shared" si="191"/>
        <v>1.105583195135434E-4</v>
      </c>
      <c r="K5112" s="5">
        <f t="shared" si="192"/>
        <v>0.56495301271425857</v>
      </c>
    </row>
    <row r="5113" spans="1:11" x14ac:dyDescent="0.25">
      <c r="A5113" t="s">
        <v>4078</v>
      </c>
      <c r="C5113" t="s">
        <v>4079</v>
      </c>
      <c r="D5113" t="s">
        <v>5</v>
      </c>
      <c r="E5113" t="s">
        <v>6</v>
      </c>
      <c r="F5113" t="s">
        <v>724</v>
      </c>
      <c r="G5113">
        <v>1</v>
      </c>
      <c r="H5113" s="2">
        <f>Tabelle13[[#This Row],[commits]]/Tabelle13[[#Totals],[commits]]</f>
        <v>4.6477904404246225E-6</v>
      </c>
      <c r="I5113" s="5">
        <f>Tabelle13[[#This Row],[%]]+I5112</f>
        <v>0.98171559240733008</v>
      </c>
      <c r="J5113" s="4">
        <f t="shared" si="191"/>
        <v>1.105583195135434E-4</v>
      </c>
      <c r="K5113" s="5">
        <f t="shared" si="192"/>
        <v>0.56506357103377214</v>
      </c>
    </row>
    <row r="5114" spans="1:11" x14ac:dyDescent="0.25">
      <c r="A5114" t="s">
        <v>4080</v>
      </c>
      <c r="C5114" t="s">
        <v>4081</v>
      </c>
      <c r="D5114" t="s">
        <v>5</v>
      </c>
      <c r="E5114" t="s">
        <v>6</v>
      </c>
      <c r="F5114" t="s">
        <v>724</v>
      </c>
      <c r="G5114">
        <v>1</v>
      </c>
      <c r="H5114" s="2">
        <f>Tabelle13[[#This Row],[commits]]/Tabelle13[[#Totals],[commits]]</f>
        <v>4.6477904404246225E-6</v>
      </c>
      <c r="I5114" s="5">
        <f>Tabelle13[[#This Row],[%]]+I5113</f>
        <v>0.98172024019777049</v>
      </c>
      <c r="J5114" s="4">
        <f t="shared" si="191"/>
        <v>1.105583195135434E-4</v>
      </c>
      <c r="K5114" s="5">
        <f t="shared" si="192"/>
        <v>0.5651741293532857</v>
      </c>
    </row>
    <row r="5115" spans="1:11" x14ac:dyDescent="0.25">
      <c r="A5115" t="s">
        <v>4082</v>
      </c>
      <c r="C5115" t="s">
        <v>4083</v>
      </c>
      <c r="D5115" t="s">
        <v>5</v>
      </c>
      <c r="E5115" t="s">
        <v>6</v>
      </c>
      <c r="F5115" t="s">
        <v>724</v>
      </c>
      <c r="G5115">
        <v>1</v>
      </c>
      <c r="H5115" s="2">
        <f>Tabelle13[[#This Row],[commits]]/Tabelle13[[#Totals],[commits]]</f>
        <v>4.6477904404246225E-6</v>
      </c>
      <c r="I5115" s="5">
        <f>Tabelle13[[#This Row],[%]]+I5114</f>
        <v>0.98172488798821089</v>
      </c>
      <c r="J5115" s="4">
        <f t="shared" si="191"/>
        <v>1.105583195135434E-4</v>
      </c>
      <c r="K5115" s="5">
        <f t="shared" si="192"/>
        <v>0.56528468767279927</v>
      </c>
    </row>
    <row r="5116" spans="1:11" x14ac:dyDescent="0.25">
      <c r="A5116" t="s">
        <v>4084</v>
      </c>
      <c r="C5116" t="s">
        <v>4085</v>
      </c>
      <c r="D5116" t="s">
        <v>5</v>
      </c>
      <c r="E5116" t="s">
        <v>6</v>
      </c>
      <c r="F5116" t="s">
        <v>724</v>
      </c>
      <c r="G5116">
        <v>1</v>
      </c>
      <c r="H5116" s="2">
        <f>Tabelle13[[#This Row],[commits]]/Tabelle13[[#Totals],[commits]]</f>
        <v>4.6477904404246225E-6</v>
      </c>
      <c r="I5116" s="5">
        <f>Tabelle13[[#This Row],[%]]+I5115</f>
        <v>0.9817295357786513</v>
      </c>
      <c r="J5116" s="4">
        <f t="shared" si="191"/>
        <v>1.105583195135434E-4</v>
      </c>
      <c r="K5116" s="5">
        <f t="shared" si="192"/>
        <v>0.56539524599231283</v>
      </c>
    </row>
    <row r="5117" spans="1:11" x14ac:dyDescent="0.25">
      <c r="A5117" t="s">
        <v>4086</v>
      </c>
      <c r="C5117" t="s">
        <v>4087</v>
      </c>
      <c r="D5117" t="s">
        <v>5</v>
      </c>
      <c r="E5117" t="s">
        <v>6</v>
      </c>
      <c r="F5117" t="s">
        <v>724</v>
      </c>
      <c r="G5117">
        <v>1</v>
      </c>
      <c r="H5117" s="2">
        <f>Tabelle13[[#This Row],[commits]]/Tabelle13[[#Totals],[commits]]</f>
        <v>4.6477904404246225E-6</v>
      </c>
      <c r="I5117" s="5">
        <f>Tabelle13[[#This Row],[%]]+I5116</f>
        <v>0.9817341835690917</v>
      </c>
      <c r="J5117" s="4">
        <f t="shared" si="191"/>
        <v>1.105583195135434E-4</v>
      </c>
      <c r="K5117" s="5">
        <f t="shared" si="192"/>
        <v>0.5655058043118264</v>
      </c>
    </row>
    <row r="5118" spans="1:11" x14ac:dyDescent="0.25">
      <c r="A5118" t="s">
        <v>4088</v>
      </c>
      <c r="C5118" t="s">
        <v>4089</v>
      </c>
      <c r="D5118" t="s">
        <v>5</v>
      </c>
      <c r="E5118" t="s">
        <v>6</v>
      </c>
      <c r="F5118" t="s">
        <v>724</v>
      </c>
      <c r="G5118">
        <v>1</v>
      </c>
      <c r="H5118" s="2">
        <f>Tabelle13[[#This Row],[commits]]/Tabelle13[[#Totals],[commits]]</f>
        <v>4.6477904404246225E-6</v>
      </c>
      <c r="I5118" s="5">
        <f>Tabelle13[[#This Row],[%]]+I5117</f>
        <v>0.9817388313595321</v>
      </c>
      <c r="J5118" s="4">
        <f t="shared" si="191"/>
        <v>1.105583195135434E-4</v>
      </c>
      <c r="K5118" s="5">
        <f t="shared" si="192"/>
        <v>0.56561636263133996</v>
      </c>
    </row>
    <row r="5119" spans="1:11" x14ac:dyDescent="0.25">
      <c r="A5119" t="s">
        <v>4090</v>
      </c>
      <c r="C5119" t="s">
        <v>4091</v>
      </c>
      <c r="D5119" t="s">
        <v>5</v>
      </c>
      <c r="E5119" t="s">
        <v>6</v>
      </c>
      <c r="F5119" t="s">
        <v>724</v>
      </c>
      <c r="G5119">
        <v>1</v>
      </c>
      <c r="H5119" s="2">
        <f>Tabelle13[[#This Row],[commits]]/Tabelle13[[#Totals],[commits]]</f>
        <v>4.6477904404246225E-6</v>
      </c>
      <c r="I5119" s="5">
        <f>Tabelle13[[#This Row],[%]]+I5118</f>
        <v>0.98174347914997251</v>
      </c>
      <c r="J5119" s="4">
        <f t="shared" si="191"/>
        <v>1.105583195135434E-4</v>
      </c>
      <c r="K5119" s="5">
        <f t="shared" si="192"/>
        <v>0.56572692095085353</v>
      </c>
    </row>
    <row r="5120" spans="1:11" x14ac:dyDescent="0.25">
      <c r="A5120" t="s">
        <v>4092</v>
      </c>
      <c r="C5120" t="s">
        <v>1773</v>
      </c>
      <c r="D5120" t="s">
        <v>5</v>
      </c>
      <c r="E5120" t="s">
        <v>6</v>
      </c>
      <c r="F5120" t="s">
        <v>724</v>
      </c>
      <c r="G5120">
        <v>1</v>
      </c>
      <c r="H5120" s="2">
        <f>Tabelle13[[#This Row],[commits]]/Tabelle13[[#Totals],[commits]]</f>
        <v>4.6477904404246225E-6</v>
      </c>
      <c r="I5120" s="5">
        <f>Tabelle13[[#This Row],[%]]+I5119</f>
        <v>0.98174812694041291</v>
      </c>
      <c r="J5120" s="4">
        <f t="shared" si="191"/>
        <v>1.105583195135434E-4</v>
      </c>
      <c r="K5120" s="5">
        <f t="shared" si="192"/>
        <v>0.56583747927036709</v>
      </c>
    </row>
    <row r="5121" spans="1:11" x14ac:dyDescent="0.25">
      <c r="A5121" t="s">
        <v>4093</v>
      </c>
      <c r="C5121" t="s">
        <v>4094</v>
      </c>
      <c r="D5121" t="s">
        <v>5</v>
      </c>
      <c r="E5121" t="s">
        <v>6</v>
      </c>
      <c r="F5121" t="s">
        <v>724</v>
      </c>
      <c r="G5121">
        <v>1</v>
      </c>
      <c r="H5121" s="2">
        <f>Tabelle13[[#This Row],[commits]]/Tabelle13[[#Totals],[commits]]</f>
        <v>4.6477904404246225E-6</v>
      </c>
      <c r="I5121" s="5">
        <f>Tabelle13[[#This Row],[%]]+I5120</f>
        <v>0.98175277473085332</v>
      </c>
      <c r="J5121" s="4">
        <f t="shared" si="191"/>
        <v>1.105583195135434E-4</v>
      </c>
      <c r="K5121" s="5">
        <f t="shared" si="192"/>
        <v>0.56594803758988066</v>
      </c>
    </row>
    <row r="5122" spans="1:11" x14ac:dyDescent="0.25">
      <c r="A5122" t="s">
        <v>4095</v>
      </c>
      <c r="C5122" t="s">
        <v>4096</v>
      </c>
      <c r="D5122" t="s">
        <v>5</v>
      </c>
      <c r="E5122" t="s">
        <v>6</v>
      </c>
      <c r="F5122" t="s">
        <v>724</v>
      </c>
      <c r="G5122">
        <v>1</v>
      </c>
      <c r="H5122" s="2">
        <f>Tabelle13[[#This Row],[commits]]/Tabelle13[[#Totals],[commits]]</f>
        <v>4.6477904404246225E-6</v>
      </c>
      <c r="I5122" s="5">
        <f>Tabelle13[[#This Row],[%]]+I5121</f>
        <v>0.98175742252129372</v>
      </c>
      <c r="J5122" s="4">
        <f t="shared" si="191"/>
        <v>1.105583195135434E-4</v>
      </c>
      <c r="K5122" s="5">
        <f t="shared" si="192"/>
        <v>0.56605859590939422</v>
      </c>
    </row>
    <row r="5123" spans="1:11" x14ac:dyDescent="0.25">
      <c r="A5123" t="s">
        <v>4097</v>
      </c>
      <c r="C5123" t="s">
        <v>4098</v>
      </c>
      <c r="D5123" t="s">
        <v>5</v>
      </c>
      <c r="E5123" t="s">
        <v>6</v>
      </c>
      <c r="F5123" t="s">
        <v>724</v>
      </c>
      <c r="G5123">
        <v>1</v>
      </c>
      <c r="H5123" s="2">
        <f>Tabelle13[[#This Row],[commits]]/Tabelle13[[#Totals],[commits]]</f>
        <v>4.6477904404246225E-6</v>
      </c>
      <c r="I5123" s="5">
        <f>Tabelle13[[#This Row],[%]]+I5122</f>
        <v>0.98176207031173413</v>
      </c>
      <c r="J5123" s="4">
        <f t="shared" ref="J5123:J5186" si="193">1/9045</f>
        <v>1.105583195135434E-4</v>
      </c>
      <c r="K5123" s="5">
        <f t="shared" si="192"/>
        <v>0.56616915422890779</v>
      </c>
    </row>
    <row r="5124" spans="1:11" x14ac:dyDescent="0.25">
      <c r="A5124" t="s">
        <v>4099</v>
      </c>
      <c r="C5124" t="s">
        <v>4100</v>
      </c>
      <c r="D5124" t="s">
        <v>5</v>
      </c>
      <c r="E5124" t="s">
        <v>6</v>
      </c>
      <c r="F5124" t="s">
        <v>724</v>
      </c>
      <c r="G5124">
        <v>1</v>
      </c>
      <c r="H5124" s="2">
        <f>Tabelle13[[#This Row],[commits]]/Tabelle13[[#Totals],[commits]]</f>
        <v>4.6477904404246225E-6</v>
      </c>
      <c r="I5124" s="5">
        <f>Tabelle13[[#This Row],[%]]+I5123</f>
        <v>0.98176671810217453</v>
      </c>
      <c r="J5124" s="4">
        <f t="shared" si="193"/>
        <v>1.105583195135434E-4</v>
      </c>
      <c r="K5124" s="5">
        <f t="shared" si="192"/>
        <v>0.56627971254842135</v>
      </c>
    </row>
    <row r="5125" spans="1:11" x14ac:dyDescent="0.25">
      <c r="A5125" t="s">
        <v>4101</v>
      </c>
      <c r="C5125" t="s">
        <v>4102</v>
      </c>
      <c r="D5125" t="s">
        <v>5</v>
      </c>
      <c r="E5125" t="s">
        <v>6</v>
      </c>
      <c r="F5125" t="s">
        <v>724</v>
      </c>
      <c r="G5125">
        <v>1</v>
      </c>
      <c r="H5125" s="2">
        <f>Tabelle13[[#This Row],[commits]]/Tabelle13[[#Totals],[commits]]</f>
        <v>4.6477904404246225E-6</v>
      </c>
      <c r="I5125" s="5">
        <f>Tabelle13[[#This Row],[%]]+I5124</f>
        <v>0.98177136589261493</v>
      </c>
      <c r="J5125" s="4">
        <f t="shared" si="193"/>
        <v>1.105583195135434E-4</v>
      </c>
      <c r="K5125" s="5">
        <f t="shared" si="192"/>
        <v>0.56639027086793492</v>
      </c>
    </row>
    <row r="5126" spans="1:11" x14ac:dyDescent="0.25">
      <c r="A5126" t="s">
        <v>4103</v>
      </c>
      <c r="C5126" t="s">
        <v>4104</v>
      </c>
      <c r="D5126" t="s">
        <v>5</v>
      </c>
      <c r="E5126" t="s">
        <v>6</v>
      </c>
      <c r="F5126" t="s">
        <v>724</v>
      </c>
      <c r="G5126">
        <v>1</v>
      </c>
      <c r="H5126" s="2">
        <f>Tabelle13[[#This Row],[commits]]/Tabelle13[[#Totals],[commits]]</f>
        <v>4.6477904404246225E-6</v>
      </c>
      <c r="I5126" s="5">
        <f>Tabelle13[[#This Row],[%]]+I5125</f>
        <v>0.98177601368305534</v>
      </c>
      <c r="J5126" s="4">
        <f t="shared" si="193"/>
        <v>1.105583195135434E-4</v>
      </c>
      <c r="K5126" s="5">
        <f t="shared" ref="K5126:K5189" si="194">J5126+K5125</f>
        <v>0.56650082918744848</v>
      </c>
    </row>
    <row r="5127" spans="1:11" x14ac:dyDescent="0.25">
      <c r="A5127" t="s">
        <v>4105</v>
      </c>
      <c r="C5127" t="s">
        <v>4106</v>
      </c>
      <c r="D5127" t="s">
        <v>5</v>
      </c>
      <c r="E5127" t="s">
        <v>6</v>
      </c>
      <c r="F5127" t="s">
        <v>724</v>
      </c>
      <c r="G5127">
        <v>1</v>
      </c>
      <c r="H5127" s="2">
        <f>Tabelle13[[#This Row],[commits]]/Tabelle13[[#Totals],[commits]]</f>
        <v>4.6477904404246225E-6</v>
      </c>
      <c r="I5127" s="5">
        <f>Tabelle13[[#This Row],[%]]+I5126</f>
        <v>0.98178066147349574</v>
      </c>
      <c r="J5127" s="4">
        <f t="shared" si="193"/>
        <v>1.105583195135434E-4</v>
      </c>
      <c r="K5127" s="5">
        <f t="shared" si="194"/>
        <v>0.56661138750696205</v>
      </c>
    </row>
    <row r="5128" spans="1:11" x14ac:dyDescent="0.25">
      <c r="A5128" t="s">
        <v>4107</v>
      </c>
      <c r="C5128" t="s">
        <v>4108</v>
      </c>
      <c r="D5128" t="s">
        <v>5</v>
      </c>
      <c r="E5128" t="s">
        <v>6</v>
      </c>
      <c r="F5128" t="s">
        <v>724</v>
      </c>
      <c r="G5128">
        <v>1</v>
      </c>
      <c r="H5128" s="2">
        <f>Tabelle13[[#This Row],[commits]]/Tabelle13[[#Totals],[commits]]</f>
        <v>4.6477904404246225E-6</v>
      </c>
      <c r="I5128" s="5">
        <f>Tabelle13[[#This Row],[%]]+I5127</f>
        <v>0.98178530926393615</v>
      </c>
      <c r="J5128" s="4">
        <f t="shared" si="193"/>
        <v>1.105583195135434E-4</v>
      </c>
      <c r="K5128" s="5">
        <f t="shared" si="194"/>
        <v>0.56672194582647561</v>
      </c>
    </row>
    <row r="5129" spans="1:11" x14ac:dyDescent="0.25">
      <c r="A5129" t="s">
        <v>4109</v>
      </c>
      <c r="C5129" t="s">
        <v>4110</v>
      </c>
      <c r="D5129" t="s">
        <v>5</v>
      </c>
      <c r="E5129" t="s">
        <v>6</v>
      </c>
      <c r="F5129" t="s">
        <v>724</v>
      </c>
      <c r="G5129">
        <v>1</v>
      </c>
      <c r="H5129" s="2">
        <f>Tabelle13[[#This Row],[commits]]/Tabelle13[[#Totals],[commits]]</f>
        <v>4.6477904404246225E-6</v>
      </c>
      <c r="I5129" s="5">
        <f>Tabelle13[[#This Row],[%]]+I5128</f>
        <v>0.98178995705437655</v>
      </c>
      <c r="J5129" s="4">
        <f t="shared" si="193"/>
        <v>1.105583195135434E-4</v>
      </c>
      <c r="K5129" s="5">
        <f t="shared" si="194"/>
        <v>0.56683250414598918</v>
      </c>
    </row>
    <row r="5130" spans="1:11" x14ac:dyDescent="0.25">
      <c r="A5130" t="s">
        <v>4111</v>
      </c>
      <c r="C5130" t="s">
        <v>4112</v>
      </c>
      <c r="D5130" t="s">
        <v>5</v>
      </c>
      <c r="E5130" t="s">
        <v>6</v>
      </c>
      <c r="F5130" t="s">
        <v>724</v>
      </c>
      <c r="G5130">
        <v>1</v>
      </c>
      <c r="H5130" s="2">
        <f>Tabelle13[[#This Row],[commits]]/Tabelle13[[#Totals],[commits]]</f>
        <v>4.6477904404246225E-6</v>
      </c>
      <c r="I5130" s="5">
        <f>Tabelle13[[#This Row],[%]]+I5129</f>
        <v>0.98179460484481695</v>
      </c>
      <c r="J5130" s="4">
        <f t="shared" si="193"/>
        <v>1.105583195135434E-4</v>
      </c>
      <c r="K5130" s="5">
        <f t="shared" si="194"/>
        <v>0.56694306246550275</v>
      </c>
    </row>
    <row r="5131" spans="1:11" x14ac:dyDescent="0.25">
      <c r="A5131" t="s">
        <v>4113</v>
      </c>
      <c r="C5131" t="s">
        <v>4114</v>
      </c>
      <c r="D5131" t="s">
        <v>5</v>
      </c>
      <c r="E5131" t="s">
        <v>6</v>
      </c>
      <c r="F5131" t="s">
        <v>724</v>
      </c>
      <c r="G5131">
        <v>1</v>
      </c>
      <c r="H5131" s="2">
        <f>Tabelle13[[#This Row],[commits]]/Tabelle13[[#Totals],[commits]]</f>
        <v>4.6477904404246225E-6</v>
      </c>
      <c r="I5131" s="5">
        <f>Tabelle13[[#This Row],[%]]+I5130</f>
        <v>0.98179925263525736</v>
      </c>
      <c r="J5131" s="4">
        <f t="shared" si="193"/>
        <v>1.105583195135434E-4</v>
      </c>
      <c r="K5131" s="5">
        <f t="shared" si="194"/>
        <v>0.56705362078501631</v>
      </c>
    </row>
    <row r="5132" spans="1:11" x14ac:dyDescent="0.25">
      <c r="A5132" t="s">
        <v>4115</v>
      </c>
      <c r="C5132" t="s">
        <v>4116</v>
      </c>
      <c r="D5132" t="s">
        <v>5</v>
      </c>
      <c r="E5132" t="s">
        <v>6</v>
      </c>
      <c r="F5132" t="s">
        <v>724</v>
      </c>
      <c r="G5132">
        <v>1</v>
      </c>
      <c r="H5132" s="2">
        <f>Tabelle13[[#This Row],[commits]]/Tabelle13[[#Totals],[commits]]</f>
        <v>4.6477904404246225E-6</v>
      </c>
      <c r="I5132" s="5">
        <f>Tabelle13[[#This Row],[%]]+I5131</f>
        <v>0.98180390042569776</v>
      </c>
      <c r="J5132" s="4">
        <f t="shared" si="193"/>
        <v>1.105583195135434E-4</v>
      </c>
      <c r="K5132" s="5">
        <f t="shared" si="194"/>
        <v>0.56716417910452988</v>
      </c>
    </row>
    <row r="5133" spans="1:11" x14ac:dyDescent="0.25">
      <c r="A5133" t="s">
        <v>4117</v>
      </c>
      <c r="C5133" t="s">
        <v>4118</v>
      </c>
      <c r="D5133" t="s">
        <v>309</v>
      </c>
      <c r="E5133" t="s">
        <v>6</v>
      </c>
      <c r="F5133" t="s">
        <v>724</v>
      </c>
      <c r="G5133">
        <v>1</v>
      </c>
      <c r="H5133" s="2">
        <f>Tabelle13[[#This Row],[commits]]/Tabelle13[[#Totals],[commits]]</f>
        <v>4.6477904404246225E-6</v>
      </c>
      <c r="I5133" s="5">
        <f>Tabelle13[[#This Row],[%]]+I5132</f>
        <v>0.98180854821613817</v>
      </c>
      <c r="J5133" s="4">
        <f t="shared" si="193"/>
        <v>1.105583195135434E-4</v>
      </c>
      <c r="K5133" s="5">
        <f t="shared" si="194"/>
        <v>0.56727473742404344</v>
      </c>
    </row>
    <row r="5134" spans="1:11" x14ac:dyDescent="0.25">
      <c r="A5134" t="s">
        <v>4119</v>
      </c>
      <c r="C5134" t="s">
        <v>4120</v>
      </c>
      <c r="D5134" t="s">
        <v>5</v>
      </c>
      <c r="E5134" t="s">
        <v>6</v>
      </c>
      <c r="F5134" t="s">
        <v>724</v>
      </c>
      <c r="G5134">
        <v>1</v>
      </c>
      <c r="H5134" s="2">
        <f>Tabelle13[[#This Row],[commits]]/Tabelle13[[#Totals],[commits]]</f>
        <v>4.6477904404246225E-6</v>
      </c>
      <c r="I5134" s="5">
        <f>Tabelle13[[#This Row],[%]]+I5133</f>
        <v>0.98181319600657857</v>
      </c>
      <c r="J5134" s="4">
        <f t="shared" si="193"/>
        <v>1.105583195135434E-4</v>
      </c>
      <c r="K5134" s="5">
        <f t="shared" si="194"/>
        <v>0.56738529574355701</v>
      </c>
    </row>
    <row r="5135" spans="1:11" x14ac:dyDescent="0.25">
      <c r="A5135" t="s">
        <v>4121</v>
      </c>
      <c r="C5135" t="s">
        <v>4122</v>
      </c>
      <c r="D5135" t="s">
        <v>5</v>
      </c>
      <c r="E5135" t="s">
        <v>6</v>
      </c>
      <c r="F5135" t="s">
        <v>724</v>
      </c>
      <c r="G5135">
        <v>1</v>
      </c>
      <c r="H5135" s="2">
        <f>Tabelle13[[#This Row],[commits]]/Tabelle13[[#Totals],[commits]]</f>
        <v>4.6477904404246225E-6</v>
      </c>
      <c r="I5135" s="5">
        <f>Tabelle13[[#This Row],[%]]+I5134</f>
        <v>0.98181784379701897</v>
      </c>
      <c r="J5135" s="4">
        <f t="shared" si="193"/>
        <v>1.105583195135434E-4</v>
      </c>
      <c r="K5135" s="5">
        <f t="shared" si="194"/>
        <v>0.56749585406307057</v>
      </c>
    </row>
    <row r="5136" spans="1:11" x14ac:dyDescent="0.25">
      <c r="A5136" t="s">
        <v>4123</v>
      </c>
      <c r="C5136" t="s">
        <v>4124</v>
      </c>
      <c r="D5136" t="s">
        <v>5</v>
      </c>
      <c r="E5136" t="s">
        <v>6</v>
      </c>
      <c r="F5136" t="s">
        <v>724</v>
      </c>
      <c r="G5136">
        <v>1</v>
      </c>
      <c r="H5136" s="2">
        <f>Tabelle13[[#This Row],[commits]]/Tabelle13[[#Totals],[commits]]</f>
        <v>4.6477904404246225E-6</v>
      </c>
      <c r="I5136" s="5">
        <f>Tabelle13[[#This Row],[%]]+I5135</f>
        <v>0.98182249158745938</v>
      </c>
      <c r="J5136" s="4">
        <f t="shared" si="193"/>
        <v>1.105583195135434E-4</v>
      </c>
      <c r="K5136" s="5">
        <f t="shared" si="194"/>
        <v>0.56760641238258414</v>
      </c>
    </row>
    <row r="5137" spans="1:11" x14ac:dyDescent="0.25">
      <c r="A5137" t="s">
        <v>4125</v>
      </c>
      <c r="C5137" t="s">
        <v>4126</v>
      </c>
      <c r="D5137" t="s">
        <v>5</v>
      </c>
      <c r="E5137" t="s">
        <v>6</v>
      </c>
      <c r="F5137" t="s">
        <v>724</v>
      </c>
      <c r="G5137">
        <v>1</v>
      </c>
      <c r="H5137" s="2">
        <f>Tabelle13[[#This Row],[commits]]/Tabelle13[[#Totals],[commits]]</f>
        <v>4.6477904404246225E-6</v>
      </c>
      <c r="I5137" s="5">
        <f>Tabelle13[[#This Row],[%]]+I5136</f>
        <v>0.98182713937789978</v>
      </c>
      <c r="J5137" s="4">
        <f t="shared" si="193"/>
        <v>1.105583195135434E-4</v>
      </c>
      <c r="K5137" s="5">
        <f t="shared" si="194"/>
        <v>0.5677169707020977</v>
      </c>
    </row>
    <row r="5138" spans="1:11" x14ac:dyDescent="0.25">
      <c r="A5138" t="s">
        <v>4127</v>
      </c>
      <c r="C5138" t="s">
        <v>4128</v>
      </c>
      <c r="D5138" t="s">
        <v>5</v>
      </c>
      <c r="E5138" t="s">
        <v>6</v>
      </c>
      <c r="F5138" t="s">
        <v>724</v>
      </c>
      <c r="G5138">
        <v>1</v>
      </c>
      <c r="H5138" s="2">
        <f>Tabelle13[[#This Row],[commits]]/Tabelle13[[#Totals],[commits]]</f>
        <v>4.6477904404246225E-6</v>
      </c>
      <c r="I5138" s="5">
        <f>Tabelle13[[#This Row],[%]]+I5137</f>
        <v>0.98183178716834019</v>
      </c>
      <c r="J5138" s="4">
        <f t="shared" si="193"/>
        <v>1.105583195135434E-4</v>
      </c>
      <c r="K5138" s="5">
        <f t="shared" si="194"/>
        <v>0.56782752902161127</v>
      </c>
    </row>
    <row r="5139" spans="1:11" x14ac:dyDescent="0.25">
      <c r="A5139" t="s">
        <v>4129</v>
      </c>
      <c r="C5139" t="s">
        <v>4130</v>
      </c>
      <c r="D5139" t="s">
        <v>5</v>
      </c>
      <c r="E5139" t="s">
        <v>6</v>
      </c>
      <c r="F5139" t="s">
        <v>724</v>
      </c>
      <c r="G5139">
        <v>1</v>
      </c>
      <c r="H5139" s="2">
        <f>Tabelle13[[#This Row],[commits]]/Tabelle13[[#Totals],[commits]]</f>
        <v>4.6477904404246225E-6</v>
      </c>
      <c r="I5139" s="5">
        <f>Tabelle13[[#This Row],[%]]+I5138</f>
        <v>0.98183643495878059</v>
      </c>
      <c r="J5139" s="4">
        <f t="shared" si="193"/>
        <v>1.105583195135434E-4</v>
      </c>
      <c r="K5139" s="5">
        <f t="shared" si="194"/>
        <v>0.56793808734112483</v>
      </c>
    </row>
    <row r="5140" spans="1:11" x14ac:dyDescent="0.25">
      <c r="A5140" t="s">
        <v>4131</v>
      </c>
      <c r="C5140" t="s">
        <v>4132</v>
      </c>
      <c r="D5140" t="s">
        <v>5</v>
      </c>
      <c r="E5140" t="s">
        <v>6</v>
      </c>
      <c r="F5140" t="s">
        <v>724</v>
      </c>
      <c r="G5140">
        <v>1</v>
      </c>
      <c r="H5140" s="2">
        <f>Tabelle13[[#This Row],[commits]]/Tabelle13[[#Totals],[commits]]</f>
        <v>4.6477904404246225E-6</v>
      </c>
      <c r="I5140" s="5">
        <f>Tabelle13[[#This Row],[%]]+I5139</f>
        <v>0.98184108274922099</v>
      </c>
      <c r="J5140" s="4">
        <f t="shared" si="193"/>
        <v>1.105583195135434E-4</v>
      </c>
      <c r="K5140" s="5">
        <f t="shared" si="194"/>
        <v>0.5680486456606384</v>
      </c>
    </row>
    <row r="5141" spans="1:11" x14ac:dyDescent="0.25">
      <c r="A5141" t="s">
        <v>4133</v>
      </c>
      <c r="C5141" t="s">
        <v>4134</v>
      </c>
      <c r="D5141" t="s">
        <v>5</v>
      </c>
      <c r="E5141" t="s">
        <v>6</v>
      </c>
      <c r="F5141" t="s">
        <v>724</v>
      </c>
      <c r="G5141">
        <v>1</v>
      </c>
      <c r="H5141" s="2">
        <f>Tabelle13[[#This Row],[commits]]/Tabelle13[[#Totals],[commits]]</f>
        <v>4.6477904404246225E-6</v>
      </c>
      <c r="I5141" s="5">
        <f>Tabelle13[[#This Row],[%]]+I5140</f>
        <v>0.9818457305396614</v>
      </c>
      <c r="J5141" s="4">
        <f t="shared" si="193"/>
        <v>1.105583195135434E-4</v>
      </c>
      <c r="K5141" s="5">
        <f t="shared" si="194"/>
        <v>0.56815920398015196</v>
      </c>
    </row>
    <row r="5142" spans="1:11" x14ac:dyDescent="0.25">
      <c r="A5142" t="s">
        <v>4135</v>
      </c>
      <c r="C5142" t="s">
        <v>4136</v>
      </c>
      <c r="D5142" t="s">
        <v>5</v>
      </c>
      <c r="E5142" t="s">
        <v>6</v>
      </c>
      <c r="F5142" t="s">
        <v>724</v>
      </c>
      <c r="G5142">
        <v>1</v>
      </c>
      <c r="H5142" s="2">
        <f>Tabelle13[[#This Row],[commits]]/Tabelle13[[#Totals],[commits]]</f>
        <v>4.6477904404246225E-6</v>
      </c>
      <c r="I5142" s="5">
        <f>Tabelle13[[#This Row],[%]]+I5141</f>
        <v>0.9818503783301018</v>
      </c>
      <c r="J5142" s="4">
        <f t="shared" si="193"/>
        <v>1.105583195135434E-4</v>
      </c>
      <c r="K5142" s="5">
        <f t="shared" si="194"/>
        <v>0.56826976229966553</v>
      </c>
    </row>
    <row r="5143" spans="1:11" x14ac:dyDescent="0.25">
      <c r="A5143" t="s">
        <v>4137</v>
      </c>
      <c r="C5143" t="s">
        <v>4138</v>
      </c>
      <c r="D5143" t="s">
        <v>5</v>
      </c>
      <c r="E5143" t="s">
        <v>6</v>
      </c>
      <c r="F5143" t="s">
        <v>724</v>
      </c>
      <c r="G5143">
        <v>1</v>
      </c>
      <c r="H5143" s="2">
        <f>Tabelle13[[#This Row],[commits]]/Tabelle13[[#Totals],[commits]]</f>
        <v>4.6477904404246225E-6</v>
      </c>
      <c r="I5143" s="5">
        <f>Tabelle13[[#This Row],[%]]+I5142</f>
        <v>0.98185502612054221</v>
      </c>
      <c r="J5143" s="4">
        <f t="shared" si="193"/>
        <v>1.105583195135434E-4</v>
      </c>
      <c r="K5143" s="5">
        <f t="shared" si="194"/>
        <v>0.56838032061917909</v>
      </c>
    </row>
    <row r="5144" spans="1:11" x14ac:dyDescent="0.25">
      <c r="A5144" t="s">
        <v>4139</v>
      </c>
      <c r="C5144" t="s">
        <v>4140</v>
      </c>
      <c r="D5144" t="s">
        <v>5</v>
      </c>
      <c r="E5144" t="s">
        <v>6</v>
      </c>
      <c r="F5144" t="s">
        <v>724</v>
      </c>
      <c r="G5144">
        <v>1</v>
      </c>
      <c r="H5144" s="2">
        <f>Tabelle13[[#This Row],[commits]]/Tabelle13[[#Totals],[commits]]</f>
        <v>4.6477904404246225E-6</v>
      </c>
      <c r="I5144" s="5">
        <f>Tabelle13[[#This Row],[%]]+I5143</f>
        <v>0.98185967391098261</v>
      </c>
      <c r="J5144" s="4">
        <f t="shared" si="193"/>
        <v>1.105583195135434E-4</v>
      </c>
      <c r="K5144" s="5">
        <f t="shared" si="194"/>
        <v>0.56849087893869266</v>
      </c>
    </row>
    <row r="5145" spans="1:11" x14ac:dyDescent="0.25">
      <c r="A5145" t="s">
        <v>4141</v>
      </c>
      <c r="C5145" t="s">
        <v>4142</v>
      </c>
      <c r="D5145" t="s">
        <v>5</v>
      </c>
      <c r="E5145" t="s">
        <v>6</v>
      </c>
      <c r="F5145" t="s">
        <v>724</v>
      </c>
      <c r="G5145">
        <v>1</v>
      </c>
      <c r="H5145" s="2">
        <f>Tabelle13[[#This Row],[commits]]/Tabelle13[[#Totals],[commits]]</f>
        <v>4.6477904404246225E-6</v>
      </c>
      <c r="I5145" s="5">
        <f>Tabelle13[[#This Row],[%]]+I5144</f>
        <v>0.98186432170142302</v>
      </c>
      <c r="J5145" s="4">
        <f t="shared" si="193"/>
        <v>1.105583195135434E-4</v>
      </c>
      <c r="K5145" s="5">
        <f t="shared" si="194"/>
        <v>0.56860143725820622</v>
      </c>
    </row>
    <row r="5146" spans="1:11" x14ac:dyDescent="0.25">
      <c r="A5146" t="s">
        <v>4143</v>
      </c>
      <c r="C5146" t="s">
        <v>4144</v>
      </c>
      <c r="D5146" t="s">
        <v>5</v>
      </c>
      <c r="E5146" t="s">
        <v>6</v>
      </c>
      <c r="F5146" t="s">
        <v>251</v>
      </c>
      <c r="G5146">
        <v>1</v>
      </c>
      <c r="H5146" s="2">
        <f>Tabelle13[[#This Row],[commits]]/Tabelle13[[#Totals],[commits]]</f>
        <v>4.6477904404246225E-6</v>
      </c>
      <c r="I5146" s="5">
        <f>Tabelle13[[#This Row],[%]]+I5145</f>
        <v>0.98186896949186342</v>
      </c>
      <c r="J5146" s="4">
        <f t="shared" si="193"/>
        <v>1.105583195135434E-4</v>
      </c>
      <c r="K5146" s="5">
        <f t="shared" si="194"/>
        <v>0.56871199557771979</v>
      </c>
    </row>
    <row r="5147" spans="1:11" x14ac:dyDescent="0.25">
      <c r="A5147" t="s">
        <v>4145</v>
      </c>
      <c r="C5147" t="s">
        <v>4146</v>
      </c>
      <c r="D5147" t="s">
        <v>5</v>
      </c>
      <c r="E5147" t="s">
        <v>6</v>
      </c>
      <c r="F5147" t="s">
        <v>724</v>
      </c>
      <c r="G5147">
        <v>1</v>
      </c>
      <c r="H5147" s="2">
        <f>Tabelle13[[#This Row],[commits]]/Tabelle13[[#Totals],[commits]]</f>
        <v>4.6477904404246225E-6</v>
      </c>
      <c r="I5147" s="5">
        <f>Tabelle13[[#This Row],[%]]+I5146</f>
        <v>0.98187361728230382</v>
      </c>
      <c r="J5147" s="4">
        <f t="shared" si="193"/>
        <v>1.105583195135434E-4</v>
      </c>
      <c r="K5147" s="5">
        <f t="shared" si="194"/>
        <v>0.56882255389723335</v>
      </c>
    </row>
    <row r="5148" spans="1:11" x14ac:dyDescent="0.25">
      <c r="A5148" t="s">
        <v>4147</v>
      </c>
      <c r="C5148" t="s">
        <v>4148</v>
      </c>
      <c r="D5148" t="s">
        <v>5</v>
      </c>
      <c r="E5148" t="s">
        <v>6</v>
      </c>
      <c r="F5148" t="s">
        <v>724</v>
      </c>
      <c r="G5148">
        <v>1</v>
      </c>
      <c r="H5148" s="2">
        <f>Tabelle13[[#This Row],[commits]]/Tabelle13[[#Totals],[commits]]</f>
        <v>4.6477904404246225E-6</v>
      </c>
      <c r="I5148" s="5">
        <f>Tabelle13[[#This Row],[%]]+I5147</f>
        <v>0.98187826507274423</v>
      </c>
      <c r="J5148" s="4">
        <f t="shared" si="193"/>
        <v>1.105583195135434E-4</v>
      </c>
      <c r="K5148" s="5">
        <f t="shared" si="194"/>
        <v>0.56893311221674692</v>
      </c>
    </row>
    <row r="5149" spans="1:11" x14ac:dyDescent="0.25">
      <c r="A5149" t="s">
        <v>4149</v>
      </c>
      <c r="C5149" t="s">
        <v>4150</v>
      </c>
      <c r="D5149" t="s">
        <v>5</v>
      </c>
      <c r="E5149" t="s">
        <v>6</v>
      </c>
      <c r="F5149" t="s">
        <v>724</v>
      </c>
      <c r="G5149">
        <v>1</v>
      </c>
      <c r="H5149" s="2">
        <f>Tabelle13[[#This Row],[commits]]/Tabelle13[[#Totals],[commits]]</f>
        <v>4.6477904404246225E-6</v>
      </c>
      <c r="I5149" s="5">
        <f>Tabelle13[[#This Row],[%]]+I5148</f>
        <v>0.98188291286318463</v>
      </c>
      <c r="J5149" s="4">
        <f t="shared" si="193"/>
        <v>1.105583195135434E-4</v>
      </c>
      <c r="K5149" s="5">
        <f t="shared" si="194"/>
        <v>0.56904367053626048</v>
      </c>
    </row>
    <row r="5150" spans="1:11" x14ac:dyDescent="0.25">
      <c r="A5150" t="s">
        <v>4151</v>
      </c>
      <c r="C5150" t="s">
        <v>4152</v>
      </c>
      <c r="D5150" t="s">
        <v>5</v>
      </c>
      <c r="E5150" t="s">
        <v>6</v>
      </c>
      <c r="F5150" t="s">
        <v>724</v>
      </c>
      <c r="G5150">
        <v>1</v>
      </c>
      <c r="H5150" s="2">
        <f>Tabelle13[[#This Row],[commits]]/Tabelle13[[#Totals],[commits]]</f>
        <v>4.6477904404246225E-6</v>
      </c>
      <c r="I5150" s="5">
        <f>Tabelle13[[#This Row],[%]]+I5149</f>
        <v>0.98188756065362504</v>
      </c>
      <c r="J5150" s="4">
        <f t="shared" si="193"/>
        <v>1.105583195135434E-4</v>
      </c>
      <c r="K5150" s="5">
        <f t="shared" si="194"/>
        <v>0.56915422885577405</v>
      </c>
    </row>
    <row r="5151" spans="1:11" x14ac:dyDescent="0.25">
      <c r="A5151" t="s">
        <v>4153</v>
      </c>
      <c r="C5151" t="s">
        <v>4154</v>
      </c>
      <c r="D5151" t="s">
        <v>5</v>
      </c>
      <c r="E5151" t="s">
        <v>6</v>
      </c>
      <c r="F5151" t="s">
        <v>724</v>
      </c>
      <c r="G5151">
        <v>1</v>
      </c>
      <c r="H5151" s="2">
        <f>Tabelle13[[#This Row],[commits]]/Tabelle13[[#Totals],[commits]]</f>
        <v>4.6477904404246225E-6</v>
      </c>
      <c r="I5151" s="5">
        <f>Tabelle13[[#This Row],[%]]+I5150</f>
        <v>0.98189220844406544</v>
      </c>
      <c r="J5151" s="4">
        <f t="shared" si="193"/>
        <v>1.105583195135434E-4</v>
      </c>
      <c r="K5151" s="5">
        <f t="shared" si="194"/>
        <v>0.56926478717528761</v>
      </c>
    </row>
    <row r="5152" spans="1:11" x14ac:dyDescent="0.25">
      <c r="A5152" t="s">
        <v>4155</v>
      </c>
      <c r="C5152" t="s">
        <v>4156</v>
      </c>
      <c r="D5152" t="s">
        <v>5</v>
      </c>
      <c r="E5152" t="s">
        <v>6</v>
      </c>
      <c r="F5152" t="s">
        <v>724</v>
      </c>
      <c r="G5152">
        <v>1</v>
      </c>
      <c r="H5152" s="2">
        <f>Tabelle13[[#This Row],[commits]]/Tabelle13[[#Totals],[commits]]</f>
        <v>4.6477904404246225E-6</v>
      </c>
      <c r="I5152" s="5">
        <f>Tabelle13[[#This Row],[%]]+I5151</f>
        <v>0.98189685623450584</v>
      </c>
      <c r="J5152" s="4">
        <f t="shared" si="193"/>
        <v>1.105583195135434E-4</v>
      </c>
      <c r="K5152" s="5">
        <f t="shared" si="194"/>
        <v>0.56937534549480118</v>
      </c>
    </row>
    <row r="5153" spans="1:11" x14ac:dyDescent="0.25">
      <c r="A5153" t="s">
        <v>4157</v>
      </c>
      <c r="C5153" t="s">
        <v>4158</v>
      </c>
      <c r="D5153" t="s">
        <v>5</v>
      </c>
      <c r="E5153" t="s">
        <v>6</v>
      </c>
      <c r="F5153" t="s">
        <v>724</v>
      </c>
      <c r="G5153">
        <v>1</v>
      </c>
      <c r="H5153" s="2">
        <f>Tabelle13[[#This Row],[commits]]/Tabelle13[[#Totals],[commits]]</f>
        <v>4.6477904404246225E-6</v>
      </c>
      <c r="I5153" s="5">
        <f>Tabelle13[[#This Row],[%]]+I5152</f>
        <v>0.98190150402494625</v>
      </c>
      <c r="J5153" s="4">
        <f t="shared" si="193"/>
        <v>1.105583195135434E-4</v>
      </c>
      <c r="K5153" s="5">
        <f t="shared" si="194"/>
        <v>0.56948590381431474</v>
      </c>
    </row>
    <row r="5154" spans="1:11" x14ac:dyDescent="0.25">
      <c r="A5154" t="s">
        <v>4159</v>
      </c>
      <c r="C5154" t="s">
        <v>4160</v>
      </c>
      <c r="D5154" t="s">
        <v>5</v>
      </c>
      <c r="E5154" t="s">
        <v>6</v>
      </c>
      <c r="F5154" t="s">
        <v>724</v>
      </c>
      <c r="G5154">
        <v>1</v>
      </c>
      <c r="H5154" s="2">
        <f>Tabelle13[[#This Row],[commits]]/Tabelle13[[#Totals],[commits]]</f>
        <v>4.6477904404246225E-6</v>
      </c>
      <c r="I5154" s="5">
        <f>Tabelle13[[#This Row],[%]]+I5153</f>
        <v>0.98190615181538665</v>
      </c>
      <c r="J5154" s="4">
        <f t="shared" si="193"/>
        <v>1.105583195135434E-4</v>
      </c>
      <c r="K5154" s="5">
        <f t="shared" si="194"/>
        <v>0.56959646213382831</v>
      </c>
    </row>
    <row r="5155" spans="1:11" x14ac:dyDescent="0.25">
      <c r="A5155" t="s">
        <v>4161</v>
      </c>
      <c r="C5155" t="s">
        <v>4162</v>
      </c>
      <c r="D5155" t="s">
        <v>5</v>
      </c>
      <c r="E5155" t="s">
        <v>6</v>
      </c>
      <c r="F5155" t="s">
        <v>724</v>
      </c>
      <c r="G5155">
        <v>1</v>
      </c>
      <c r="H5155" s="2">
        <f>Tabelle13[[#This Row],[commits]]/Tabelle13[[#Totals],[commits]]</f>
        <v>4.6477904404246225E-6</v>
      </c>
      <c r="I5155" s="5">
        <f>Tabelle13[[#This Row],[%]]+I5154</f>
        <v>0.98191079960582706</v>
      </c>
      <c r="J5155" s="4">
        <f t="shared" si="193"/>
        <v>1.105583195135434E-4</v>
      </c>
      <c r="K5155" s="5">
        <f t="shared" si="194"/>
        <v>0.56970702045334187</v>
      </c>
    </row>
    <row r="5156" spans="1:11" x14ac:dyDescent="0.25">
      <c r="A5156" t="s">
        <v>4163</v>
      </c>
      <c r="C5156" t="s">
        <v>4164</v>
      </c>
      <c r="D5156" t="s">
        <v>5</v>
      </c>
      <c r="E5156" t="s">
        <v>6</v>
      </c>
      <c r="F5156" t="s">
        <v>724</v>
      </c>
      <c r="G5156">
        <v>1</v>
      </c>
      <c r="H5156" s="2">
        <f>Tabelle13[[#This Row],[commits]]/Tabelle13[[#Totals],[commits]]</f>
        <v>4.6477904404246225E-6</v>
      </c>
      <c r="I5156" s="5">
        <f>Tabelle13[[#This Row],[%]]+I5155</f>
        <v>0.98191544739626746</v>
      </c>
      <c r="J5156" s="4">
        <f t="shared" si="193"/>
        <v>1.105583195135434E-4</v>
      </c>
      <c r="K5156" s="5">
        <f t="shared" si="194"/>
        <v>0.56981757877285544</v>
      </c>
    </row>
    <row r="5157" spans="1:11" x14ac:dyDescent="0.25">
      <c r="A5157" t="s">
        <v>4165</v>
      </c>
      <c r="C5157">
        <v>15215604969</v>
      </c>
      <c r="D5157" t="s">
        <v>5</v>
      </c>
      <c r="E5157" t="s">
        <v>6</v>
      </c>
      <c r="F5157" t="s">
        <v>724</v>
      </c>
      <c r="G5157">
        <v>1</v>
      </c>
      <c r="H5157" s="2">
        <f>Tabelle13[[#This Row],[commits]]/Tabelle13[[#Totals],[commits]]</f>
        <v>4.6477904404246225E-6</v>
      </c>
      <c r="I5157" s="5">
        <f>Tabelle13[[#This Row],[%]]+I5156</f>
        <v>0.98192009518670786</v>
      </c>
      <c r="J5157" s="4">
        <f t="shared" si="193"/>
        <v>1.105583195135434E-4</v>
      </c>
      <c r="K5157" s="5">
        <f t="shared" si="194"/>
        <v>0.569928137092369</v>
      </c>
    </row>
    <row r="5158" spans="1:11" x14ac:dyDescent="0.25">
      <c r="A5158" t="s">
        <v>4166</v>
      </c>
      <c r="C5158" t="s">
        <v>4167</v>
      </c>
      <c r="D5158" t="s">
        <v>5</v>
      </c>
      <c r="E5158" t="s">
        <v>6</v>
      </c>
      <c r="F5158" t="s">
        <v>724</v>
      </c>
      <c r="G5158">
        <v>1</v>
      </c>
      <c r="H5158" s="2">
        <f>Tabelle13[[#This Row],[commits]]/Tabelle13[[#Totals],[commits]]</f>
        <v>4.6477904404246225E-6</v>
      </c>
      <c r="I5158" s="5">
        <f>Tabelle13[[#This Row],[%]]+I5157</f>
        <v>0.98192474297714827</v>
      </c>
      <c r="J5158" s="4">
        <f t="shared" si="193"/>
        <v>1.105583195135434E-4</v>
      </c>
      <c r="K5158" s="5">
        <f t="shared" si="194"/>
        <v>0.57003869541188257</v>
      </c>
    </row>
    <row r="5159" spans="1:11" x14ac:dyDescent="0.25">
      <c r="A5159" t="s">
        <v>4168</v>
      </c>
      <c r="C5159" t="s">
        <v>4169</v>
      </c>
      <c r="D5159" t="s">
        <v>5</v>
      </c>
      <c r="E5159" t="s">
        <v>6</v>
      </c>
      <c r="F5159" t="s">
        <v>724</v>
      </c>
      <c r="G5159">
        <v>1</v>
      </c>
      <c r="H5159" s="2">
        <f>Tabelle13[[#This Row],[commits]]/Tabelle13[[#Totals],[commits]]</f>
        <v>4.6477904404246225E-6</v>
      </c>
      <c r="I5159" s="5">
        <f>Tabelle13[[#This Row],[%]]+I5158</f>
        <v>0.98192939076758867</v>
      </c>
      <c r="J5159" s="4">
        <f t="shared" si="193"/>
        <v>1.105583195135434E-4</v>
      </c>
      <c r="K5159" s="5">
        <f t="shared" si="194"/>
        <v>0.57014925373139613</v>
      </c>
    </row>
    <row r="5160" spans="1:11" x14ac:dyDescent="0.25">
      <c r="A5160" t="s">
        <v>4170</v>
      </c>
      <c r="C5160" t="s">
        <v>4171</v>
      </c>
      <c r="D5160" t="s">
        <v>5</v>
      </c>
      <c r="E5160" t="s">
        <v>6</v>
      </c>
      <c r="F5160" t="s">
        <v>724</v>
      </c>
      <c r="G5160">
        <v>1</v>
      </c>
      <c r="H5160" s="2">
        <f>Tabelle13[[#This Row],[commits]]/Tabelle13[[#Totals],[commits]]</f>
        <v>4.6477904404246225E-6</v>
      </c>
      <c r="I5160" s="5">
        <f>Tabelle13[[#This Row],[%]]+I5159</f>
        <v>0.98193403855802908</v>
      </c>
      <c r="J5160" s="4">
        <f t="shared" si="193"/>
        <v>1.105583195135434E-4</v>
      </c>
      <c r="K5160" s="5">
        <f t="shared" si="194"/>
        <v>0.5702598120509097</v>
      </c>
    </row>
    <row r="5161" spans="1:11" x14ac:dyDescent="0.25">
      <c r="A5161" t="s">
        <v>4172</v>
      </c>
      <c r="C5161" t="s">
        <v>4173</v>
      </c>
      <c r="D5161" t="s">
        <v>5</v>
      </c>
      <c r="E5161" t="s">
        <v>6</v>
      </c>
      <c r="F5161" t="s">
        <v>724</v>
      </c>
      <c r="G5161">
        <v>1</v>
      </c>
      <c r="H5161" s="2">
        <f>Tabelle13[[#This Row],[commits]]/Tabelle13[[#Totals],[commits]]</f>
        <v>4.6477904404246225E-6</v>
      </c>
      <c r="I5161" s="5">
        <f>Tabelle13[[#This Row],[%]]+I5160</f>
        <v>0.98193868634846948</v>
      </c>
      <c r="J5161" s="4">
        <f t="shared" si="193"/>
        <v>1.105583195135434E-4</v>
      </c>
      <c r="K5161" s="5">
        <f t="shared" si="194"/>
        <v>0.57037037037042326</v>
      </c>
    </row>
    <row r="5162" spans="1:11" x14ac:dyDescent="0.25">
      <c r="A5162" t="s">
        <v>4174</v>
      </c>
      <c r="C5162" t="s">
        <v>4175</v>
      </c>
      <c r="D5162" t="s">
        <v>5</v>
      </c>
      <c r="E5162" t="s">
        <v>6</v>
      </c>
      <c r="F5162" t="s">
        <v>724</v>
      </c>
      <c r="G5162">
        <v>1</v>
      </c>
      <c r="H5162" s="2">
        <f>Tabelle13[[#This Row],[commits]]/Tabelle13[[#Totals],[commits]]</f>
        <v>4.6477904404246225E-6</v>
      </c>
      <c r="I5162" s="5">
        <f>Tabelle13[[#This Row],[%]]+I5161</f>
        <v>0.98194333413890988</v>
      </c>
      <c r="J5162" s="4">
        <f t="shared" si="193"/>
        <v>1.105583195135434E-4</v>
      </c>
      <c r="K5162" s="5">
        <f t="shared" si="194"/>
        <v>0.57048092868993683</v>
      </c>
    </row>
    <row r="5163" spans="1:11" x14ac:dyDescent="0.25">
      <c r="A5163" t="s">
        <v>4176</v>
      </c>
      <c r="C5163" t="s">
        <v>4177</v>
      </c>
      <c r="D5163" t="s">
        <v>5</v>
      </c>
      <c r="E5163" t="s">
        <v>6</v>
      </c>
      <c r="F5163" t="s">
        <v>724</v>
      </c>
      <c r="G5163">
        <v>1</v>
      </c>
      <c r="H5163" s="2">
        <f>Tabelle13[[#This Row],[commits]]/Tabelle13[[#Totals],[commits]]</f>
        <v>4.6477904404246225E-6</v>
      </c>
      <c r="I5163" s="5">
        <f>Tabelle13[[#This Row],[%]]+I5162</f>
        <v>0.98194798192935029</v>
      </c>
      <c r="J5163" s="4">
        <f t="shared" si="193"/>
        <v>1.105583195135434E-4</v>
      </c>
      <c r="K5163" s="5">
        <f t="shared" si="194"/>
        <v>0.57059148700945039</v>
      </c>
    </row>
    <row r="5164" spans="1:11" x14ac:dyDescent="0.25">
      <c r="A5164" t="s">
        <v>4178</v>
      </c>
      <c r="C5164" t="s">
        <v>4179</v>
      </c>
      <c r="D5164" t="s">
        <v>5</v>
      </c>
      <c r="E5164" t="s">
        <v>6</v>
      </c>
      <c r="F5164" t="s">
        <v>724</v>
      </c>
      <c r="G5164">
        <v>1</v>
      </c>
      <c r="H5164" s="2">
        <f>Tabelle13[[#This Row],[commits]]/Tabelle13[[#Totals],[commits]]</f>
        <v>4.6477904404246225E-6</v>
      </c>
      <c r="I5164" s="5">
        <f>Tabelle13[[#This Row],[%]]+I5163</f>
        <v>0.98195262971979069</v>
      </c>
      <c r="J5164" s="4">
        <f t="shared" si="193"/>
        <v>1.105583195135434E-4</v>
      </c>
      <c r="K5164" s="5">
        <f t="shared" si="194"/>
        <v>0.57070204532896396</v>
      </c>
    </row>
    <row r="5165" spans="1:11" x14ac:dyDescent="0.25">
      <c r="A5165" t="s">
        <v>4180</v>
      </c>
      <c r="C5165" t="s">
        <v>4181</v>
      </c>
      <c r="D5165" t="s">
        <v>5</v>
      </c>
      <c r="E5165" t="s">
        <v>6</v>
      </c>
      <c r="F5165" t="s">
        <v>724</v>
      </c>
      <c r="G5165">
        <v>1</v>
      </c>
      <c r="H5165" s="2">
        <f>Tabelle13[[#This Row],[commits]]/Tabelle13[[#Totals],[commits]]</f>
        <v>4.6477904404246225E-6</v>
      </c>
      <c r="I5165" s="5">
        <f>Tabelle13[[#This Row],[%]]+I5164</f>
        <v>0.9819572775102311</v>
      </c>
      <c r="J5165" s="4">
        <f t="shared" si="193"/>
        <v>1.105583195135434E-4</v>
      </c>
      <c r="K5165" s="5">
        <f t="shared" si="194"/>
        <v>0.57081260364847752</v>
      </c>
    </row>
    <row r="5166" spans="1:11" x14ac:dyDescent="0.25">
      <c r="A5166" t="s">
        <v>4182</v>
      </c>
      <c r="C5166" t="s">
        <v>2581</v>
      </c>
      <c r="D5166" t="s">
        <v>5</v>
      </c>
      <c r="E5166" t="s">
        <v>6</v>
      </c>
      <c r="F5166" t="s">
        <v>724</v>
      </c>
      <c r="G5166">
        <v>1</v>
      </c>
      <c r="H5166" s="2">
        <f>Tabelle13[[#This Row],[commits]]/Tabelle13[[#Totals],[commits]]</f>
        <v>4.6477904404246225E-6</v>
      </c>
      <c r="I5166" s="5">
        <f>Tabelle13[[#This Row],[%]]+I5165</f>
        <v>0.9819619253006715</v>
      </c>
      <c r="J5166" s="4">
        <f t="shared" si="193"/>
        <v>1.105583195135434E-4</v>
      </c>
      <c r="K5166" s="5">
        <f t="shared" si="194"/>
        <v>0.57092316196799109</v>
      </c>
    </row>
    <row r="5167" spans="1:11" x14ac:dyDescent="0.25">
      <c r="A5167" t="s">
        <v>4183</v>
      </c>
      <c r="C5167" t="s">
        <v>532</v>
      </c>
      <c r="D5167" t="s">
        <v>5</v>
      </c>
      <c r="E5167" t="s">
        <v>6</v>
      </c>
      <c r="F5167" t="s">
        <v>724</v>
      </c>
      <c r="G5167">
        <v>1</v>
      </c>
      <c r="H5167" s="2">
        <f>Tabelle13[[#This Row],[commits]]/Tabelle13[[#Totals],[commits]]</f>
        <v>4.6477904404246225E-6</v>
      </c>
      <c r="I5167" s="5">
        <f>Tabelle13[[#This Row],[%]]+I5166</f>
        <v>0.98196657309111191</v>
      </c>
      <c r="J5167" s="4">
        <f t="shared" si="193"/>
        <v>1.105583195135434E-4</v>
      </c>
      <c r="K5167" s="5">
        <f t="shared" si="194"/>
        <v>0.57103372028750465</v>
      </c>
    </row>
    <row r="5168" spans="1:11" x14ac:dyDescent="0.25">
      <c r="A5168" t="s">
        <v>4184</v>
      </c>
      <c r="C5168" t="s">
        <v>4185</v>
      </c>
      <c r="D5168" t="s">
        <v>5</v>
      </c>
      <c r="E5168" t="s">
        <v>6</v>
      </c>
      <c r="F5168" t="s">
        <v>724</v>
      </c>
      <c r="G5168">
        <v>1</v>
      </c>
      <c r="H5168" s="2">
        <f>Tabelle13[[#This Row],[commits]]/Tabelle13[[#Totals],[commits]]</f>
        <v>4.6477904404246225E-6</v>
      </c>
      <c r="I5168" s="5">
        <f>Tabelle13[[#This Row],[%]]+I5167</f>
        <v>0.98197122088155231</v>
      </c>
      <c r="J5168" s="4">
        <f t="shared" si="193"/>
        <v>1.105583195135434E-4</v>
      </c>
      <c r="K5168" s="5">
        <f t="shared" si="194"/>
        <v>0.57114427860701822</v>
      </c>
    </row>
    <row r="5169" spans="1:11" x14ac:dyDescent="0.25">
      <c r="A5169" t="s">
        <v>4186</v>
      </c>
      <c r="C5169" t="s">
        <v>4187</v>
      </c>
      <c r="D5169" t="s">
        <v>5</v>
      </c>
      <c r="E5169" t="s">
        <v>6</v>
      </c>
      <c r="F5169" t="s">
        <v>724</v>
      </c>
      <c r="G5169">
        <v>1</v>
      </c>
      <c r="H5169" s="2">
        <f>Tabelle13[[#This Row],[commits]]/Tabelle13[[#Totals],[commits]]</f>
        <v>4.6477904404246225E-6</v>
      </c>
      <c r="I5169" s="5">
        <f>Tabelle13[[#This Row],[%]]+I5168</f>
        <v>0.98197586867199271</v>
      </c>
      <c r="J5169" s="4">
        <f t="shared" si="193"/>
        <v>1.105583195135434E-4</v>
      </c>
      <c r="K5169" s="5">
        <f t="shared" si="194"/>
        <v>0.57125483692653178</v>
      </c>
    </row>
    <row r="5170" spans="1:11" x14ac:dyDescent="0.25">
      <c r="A5170" t="s">
        <v>4188</v>
      </c>
      <c r="C5170" t="s">
        <v>4189</v>
      </c>
      <c r="D5170" t="s">
        <v>5</v>
      </c>
      <c r="E5170" t="s">
        <v>6</v>
      </c>
      <c r="F5170" t="s">
        <v>724</v>
      </c>
      <c r="G5170">
        <v>1</v>
      </c>
      <c r="H5170" s="2">
        <f>Tabelle13[[#This Row],[commits]]/Tabelle13[[#Totals],[commits]]</f>
        <v>4.6477904404246225E-6</v>
      </c>
      <c r="I5170" s="5">
        <f>Tabelle13[[#This Row],[%]]+I5169</f>
        <v>0.98198051646243312</v>
      </c>
      <c r="J5170" s="4">
        <f t="shared" si="193"/>
        <v>1.105583195135434E-4</v>
      </c>
      <c r="K5170" s="5">
        <f t="shared" si="194"/>
        <v>0.57136539524604535</v>
      </c>
    </row>
    <row r="5171" spans="1:11" x14ac:dyDescent="0.25">
      <c r="A5171" t="s">
        <v>4190</v>
      </c>
      <c r="C5171" t="s">
        <v>4191</v>
      </c>
      <c r="D5171" t="s">
        <v>5</v>
      </c>
      <c r="E5171" t="s">
        <v>6</v>
      </c>
      <c r="F5171" t="s">
        <v>724</v>
      </c>
      <c r="G5171">
        <v>1</v>
      </c>
      <c r="H5171" s="2">
        <f>Tabelle13[[#This Row],[commits]]/Tabelle13[[#Totals],[commits]]</f>
        <v>4.6477904404246225E-6</v>
      </c>
      <c r="I5171" s="5">
        <f>Tabelle13[[#This Row],[%]]+I5170</f>
        <v>0.98198516425287352</v>
      </c>
      <c r="J5171" s="4">
        <f t="shared" si="193"/>
        <v>1.105583195135434E-4</v>
      </c>
      <c r="K5171" s="5">
        <f t="shared" si="194"/>
        <v>0.57147595356555891</v>
      </c>
    </row>
    <row r="5172" spans="1:11" x14ac:dyDescent="0.25">
      <c r="A5172" t="s">
        <v>4192</v>
      </c>
      <c r="C5172" t="s">
        <v>4193</v>
      </c>
      <c r="D5172" t="s">
        <v>5</v>
      </c>
      <c r="E5172" t="s">
        <v>6</v>
      </c>
      <c r="F5172" t="s">
        <v>724</v>
      </c>
      <c r="G5172">
        <v>1</v>
      </c>
      <c r="H5172" s="2">
        <f>Tabelle13[[#This Row],[commits]]/Tabelle13[[#Totals],[commits]]</f>
        <v>4.6477904404246225E-6</v>
      </c>
      <c r="I5172" s="5">
        <f>Tabelle13[[#This Row],[%]]+I5171</f>
        <v>0.98198981204331393</v>
      </c>
      <c r="J5172" s="4">
        <f t="shared" si="193"/>
        <v>1.105583195135434E-4</v>
      </c>
      <c r="K5172" s="5">
        <f t="shared" si="194"/>
        <v>0.57158651188507248</v>
      </c>
    </row>
    <row r="5173" spans="1:11" x14ac:dyDescent="0.25">
      <c r="A5173" t="s">
        <v>4194</v>
      </c>
      <c r="C5173" t="s">
        <v>4195</v>
      </c>
      <c r="D5173" t="s">
        <v>5</v>
      </c>
      <c r="E5173" t="s">
        <v>6</v>
      </c>
      <c r="F5173" t="s">
        <v>724</v>
      </c>
      <c r="G5173">
        <v>1</v>
      </c>
      <c r="H5173" s="2">
        <f>Tabelle13[[#This Row],[commits]]/Tabelle13[[#Totals],[commits]]</f>
        <v>4.6477904404246225E-6</v>
      </c>
      <c r="I5173" s="5">
        <f>Tabelle13[[#This Row],[%]]+I5172</f>
        <v>0.98199445983375433</v>
      </c>
      <c r="J5173" s="4">
        <f t="shared" si="193"/>
        <v>1.105583195135434E-4</v>
      </c>
      <c r="K5173" s="5">
        <f t="shared" si="194"/>
        <v>0.57169707020458604</v>
      </c>
    </row>
    <row r="5174" spans="1:11" x14ac:dyDescent="0.25">
      <c r="A5174" t="s">
        <v>4196</v>
      </c>
      <c r="C5174" t="s">
        <v>4197</v>
      </c>
      <c r="D5174" t="s">
        <v>309</v>
      </c>
      <c r="E5174" t="s">
        <v>6</v>
      </c>
      <c r="F5174" t="s">
        <v>724</v>
      </c>
      <c r="G5174">
        <v>1</v>
      </c>
      <c r="H5174" s="2">
        <f>Tabelle13[[#This Row],[commits]]/Tabelle13[[#Totals],[commits]]</f>
        <v>4.6477904404246225E-6</v>
      </c>
      <c r="I5174" s="5">
        <f>Tabelle13[[#This Row],[%]]+I5173</f>
        <v>0.98199910762419473</v>
      </c>
      <c r="J5174" s="4">
        <f t="shared" si="193"/>
        <v>1.105583195135434E-4</v>
      </c>
      <c r="K5174" s="5">
        <f t="shared" si="194"/>
        <v>0.57180762852409961</v>
      </c>
    </row>
    <row r="5175" spans="1:11" x14ac:dyDescent="0.25">
      <c r="A5175" t="s">
        <v>4198</v>
      </c>
      <c r="C5175" t="s">
        <v>4199</v>
      </c>
      <c r="D5175" t="s">
        <v>5</v>
      </c>
      <c r="E5175" t="s">
        <v>6</v>
      </c>
      <c r="F5175" t="s">
        <v>724</v>
      </c>
      <c r="G5175">
        <v>1</v>
      </c>
      <c r="H5175" s="2">
        <f>Tabelle13[[#This Row],[commits]]/Tabelle13[[#Totals],[commits]]</f>
        <v>4.6477904404246225E-6</v>
      </c>
      <c r="I5175" s="5">
        <f>Tabelle13[[#This Row],[%]]+I5174</f>
        <v>0.98200375541463514</v>
      </c>
      <c r="J5175" s="4">
        <f t="shared" si="193"/>
        <v>1.105583195135434E-4</v>
      </c>
      <c r="K5175" s="5">
        <f t="shared" si="194"/>
        <v>0.57191818684361317</v>
      </c>
    </row>
    <row r="5176" spans="1:11" x14ac:dyDescent="0.25">
      <c r="A5176" t="s">
        <v>4200</v>
      </c>
      <c r="C5176" t="s">
        <v>4201</v>
      </c>
      <c r="D5176" t="s">
        <v>5</v>
      </c>
      <c r="E5176" t="s">
        <v>6</v>
      </c>
      <c r="F5176" t="s">
        <v>724</v>
      </c>
      <c r="G5176">
        <v>1</v>
      </c>
      <c r="H5176" s="2">
        <f>Tabelle13[[#This Row],[commits]]/Tabelle13[[#Totals],[commits]]</f>
        <v>4.6477904404246225E-6</v>
      </c>
      <c r="I5176" s="5">
        <f>Tabelle13[[#This Row],[%]]+I5175</f>
        <v>0.98200840320507554</v>
      </c>
      <c r="J5176" s="4">
        <f t="shared" si="193"/>
        <v>1.105583195135434E-4</v>
      </c>
      <c r="K5176" s="5">
        <f t="shared" si="194"/>
        <v>0.57202874516312674</v>
      </c>
    </row>
    <row r="5177" spans="1:11" x14ac:dyDescent="0.25">
      <c r="A5177" t="s">
        <v>4202</v>
      </c>
      <c r="C5177" t="s">
        <v>4203</v>
      </c>
      <c r="D5177" t="s">
        <v>5</v>
      </c>
      <c r="E5177" t="s">
        <v>6</v>
      </c>
      <c r="F5177" t="s">
        <v>724</v>
      </c>
      <c r="G5177">
        <v>1</v>
      </c>
      <c r="H5177" s="2">
        <f>Tabelle13[[#This Row],[commits]]/Tabelle13[[#Totals],[commits]]</f>
        <v>4.6477904404246225E-6</v>
      </c>
      <c r="I5177" s="5">
        <f>Tabelle13[[#This Row],[%]]+I5176</f>
        <v>0.98201305099551595</v>
      </c>
      <c r="J5177" s="4">
        <f t="shared" si="193"/>
        <v>1.105583195135434E-4</v>
      </c>
      <c r="K5177" s="5">
        <f t="shared" si="194"/>
        <v>0.5721393034826403</v>
      </c>
    </row>
    <row r="5178" spans="1:11" x14ac:dyDescent="0.25">
      <c r="A5178" t="s">
        <v>4204</v>
      </c>
      <c r="C5178" t="s">
        <v>4205</v>
      </c>
      <c r="D5178" t="s">
        <v>5</v>
      </c>
      <c r="E5178" t="s">
        <v>6</v>
      </c>
      <c r="F5178" t="s">
        <v>724</v>
      </c>
      <c r="G5178">
        <v>1</v>
      </c>
      <c r="H5178" s="2">
        <f>Tabelle13[[#This Row],[commits]]/Tabelle13[[#Totals],[commits]]</f>
        <v>4.6477904404246225E-6</v>
      </c>
      <c r="I5178" s="5">
        <f>Tabelle13[[#This Row],[%]]+I5177</f>
        <v>0.98201769878595635</v>
      </c>
      <c r="J5178" s="4">
        <f t="shared" si="193"/>
        <v>1.105583195135434E-4</v>
      </c>
      <c r="K5178" s="5">
        <f t="shared" si="194"/>
        <v>0.57224986180215387</v>
      </c>
    </row>
    <row r="5179" spans="1:11" x14ac:dyDescent="0.25">
      <c r="A5179" t="s">
        <v>4206</v>
      </c>
      <c r="C5179" t="s">
        <v>4207</v>
      </c>
      <c r="D5179" t="s">
        <v>5</v>
      </c>
      <c r="E5179" t="s">
        <v>6</v>
      </c>
      <c r="F5179" t="s">
        <v>724</v>
      </c>
      <c r="G5179">
        <v>1</v>
      </c>
      <c r="H5179" s="2">
        <f>Tabelle13[[#This Row],[commits]]/Tabelle13[[#Totals],[commits]]</f>
        <v>4.6477904404246225E-6</v>
      </c>
      <c r="I5179" s="5">
        <f>Tabelle13[[#This Row],[%]]+I5178</f>
        <v>0.98202234657639675</v>
      </c>
      <c r="J5179" s="4">
        <f t="shared" si="193"/>
        <v>1.105583195135434E-4</v>
      </c>
      <c r="K5179" s="5">
        <f t="shared" si="194"/>
        <v>0.57236042012166743</v>
      </c>
    </row>
    <row r="5180" spans="1:11" x14ac:dyDescent="0.25">
      <c r="A5180" t="s">
        <v>4208</v>
      </c>
      <c r="C5180">
        <v>19424024</v>
      </c>
      <c r="D5180" t="s">
        <v>5</v>
      </c>
      <c r="E5180" t="s">
        <v>6</v>
      </c>
      <c r="F5180" t="s">
        <v>724</v>
      </c>
      <c r="G5180">
        <v>1</v>
      </c>
      <c r="H5180" s="2">
        <f>Tabelle13[[#This Row],[commits]]/Tabelle13[[#Totals],[commits]]</f>
        <v>4.6477904404246225E-6</v>
      </c>
      <c r="I5180" s="5">
        <f>Tabelle13[[#This Row],[%]]+I5179</f>
        <v>0.98202699436683716</v>
      </c>
      <c r="J5180" s="4">
        <f t="shared" si="193"/>
        <v>1.105583195135434E-4</v>
      </c>
      <c r="K5180" s="5">
        <f t="shared" si="194"/>
        <v>0.572470978441181</v>
      </c>
    </row>
    <row r="5181" spans="1:11" x14ac:dyDescent="0.25">
      <c r="A5181" t="s">
        <v>4209</v>
      </c>
      <c r="C5181" t="s">
        <v>4210</v>
      </c>
      <c r="D5181" t="s">
        <v>5</v>
      </c>
      <c r="E5181" t="s">
        <v>6</v>
      </c>
      <c r="F5181" t="s">
        <v>724</v>
      </c>
      <c r="G5181">
        <v>1</v>
      </c>
      <c r="H5181" s="2">
        <f>Tabelle13[[#This Row],[commits]]/Tabelle13[[#Totals],[commits]]</f>
        <v>4.6477904404246225E-6</v>
      </c>
      <c r="I5181" s="5">
        <f>Tabelle13[[#This Row],[%]]+I5180</f>
        <v>0.98203164215727756</v>
      </c>
      <c r="J5181" s="4">
        <f t="shared" si="193"/>
        <v>1.105583195135434E-4</v>
      </c>
      <c r="K5181" s="5">
        <f t="shared" si="194"/>
        <v>0.57258153676069456</v>
      </c>
    </row>
    <row r="5182" spans="1:11" x14ac:dyDescent="0.25">
      <c r="A5182" t="s">
        <v>4211</v>
      </c>
      <c r="C5182" t="s">
        <v>4212</v>
      </c>
      <c r="D5182" t="s">
        <v>5</v>
      </c>
      <c r="E5182" t="s">
        <v>6</v>
      </c>
      <c r="F5182" t="s">
        <v>724</v>
      </c>
      <c r="G5182">
        <v>1</v>
      </c>
      <c r="H5182" s="2">
        <f>Tabelle13[[#This Row],[commits]]/Tabelle13[[#Totals],[commits]]</f>
        <v>4.6477904404246225E-6</v>
      </c>
      <c r="I5182" s="5">
        <f>Tabelle13[[#This Row],[%]]+I5181</f>
        <v>0.98203628994771797</v>
      </c>
      <c r="J5182" s="4">
        <f t="shared" si="193"/>
        <v>1.105583195135434E-4</v>
      </c>
      <c r="K5182" s="5">
        <f t="shared" si="194"/>
        <v>0.57269209508020813</v>
      </c>
    </row>
    <row r="5183" spans="1:11" x14ac:dyDescent="0.25">
      <c r="A5183" t="s">
        <v>4213</v>
      </c>
      <c r="C5183" t="s">
        <v>4214</v>
      </c>
      <c r="D5183" t="s">
        <v>5</v>
      </c>
      <c r="E5183" t="s">
        <v>6</v>
      </c>
      <c r="F5183" t="s">
        <v>724</v>
      </c>
      <c r="G5183">
        <v>1</v>
      </c>
      <c r="H5183" s="2">
        <f>Tabelle13[[#This Row],[commits]]/Tabelle13[[#Totals],[commits]]</f>
        <v>4.6477904404246225E-6</v>
      </c>
      <c r="I5183" s="5">
        <f>Tabelle13[[#This Row],[%]]+I5182</f>
        <v>0.98204093773815837</v>
      </c>
      <c r="J5183" s="4">
        <f t="shared" si="193"/>
        <v>1.105583195135434E-4</v>
      </c>
      <c r="K5183" s="5">
        <f t="shared" si="194"/>
        <v>0.5728026533997217</v>
      </c>
    </row>
    <row r="5184" spans="1:11" x14ac:dyDescent="0.25">
      <c r="A5184" t="s">
        <v>4215</v>
      </c>
      <c r="C5184" t="s">
        <v>4216</v>
      </c>
      <c r="D5184" t="s">
        <v>5</v>
      </c>
      <c r="E5184" t="s">
        <v>6</v>
      </c>
      <c r="F5184" t="s">
        <v>724</v>
      </c>
      <c r="G5184">
        <v>1</v>
      </c>
      <c r="H5184" s="2">
        <f>Tabelle13[[#This Row],[commits]]/Tabelle13[[#Totals],[commits]]</f>
        <v>4.6477904404246225E-6</v>
      </c>
      <c r="I5184" s="5">
        <f>Tabelle13[[#This Row],[%]]+I5183</f>
        <v>0.98204558552859877</v>
      </c>
      <c r="J5184" s="4">
        <f t="shared" si="193"/>
        <v>1.105583195135434E-4</v>
      </c>
      <c r="K5184" s="5">
        <f t="shared" si="194"/>
        <v>0.57291321171923526</v>
      </c>
    </row>
    <row r="5185" spans="1:11" x14ac:dyDescent="0.25">
      <c r="A5185" t="s">
        <v>4217</v>
      </c>
      <c r="C5185" t="s">
        <v>4218</v>
      </c>
      <c r="D5185" t="s">
        <v>5</v>
      </c>
      <c r="E5185" t="s">
        <v>6</v>
      </c>
      <c r="F5185" t="s">
        <v>724</v>
      </c>
      <c r="G5185">
        <v>1</v>
      </c>
      <c r="H5185" s="2">
        <f>Tabelle13[[#This Row],[commits]]/Tabelle13[[#Totals],[commits]]</f>
        <v>4.6477904404246225E-6</v>
      </c>
      <c r="I5185" s="5">
        <f>Tabelle13[[#This Row],[%]]+I5184</f>
        <v>0.98205023331903918</v>
      </c>
      <c r="J5185" s="4">
        <f t="shared" si="193"/>
        <v>1.105583195135434E-4</v>
      </c>
      <c r="K5185" s="5">
        <f t="shared" si="194"/>
        <v>0.57302377003874883</v>
      </c>
    </row>
    <row r="5186" spans="1:11" x14ac:dyDescent="0.25">
      <c r="A5186" t="s">
        <v>4219</v>
      </c>
      <c r="C5186" t="s">
        <v>4220</v>
      </c>
      <c r="D5186" t="s">
        <v>5</v>
      </c>
      <c r="E5186" t="s">
        <v>6</v>
      </c>
      <c r="F5186" t="s">
        <v>724</v>
      </c>
      <c r="G5186">
        <v>1</v>
      </c>
      <c r="H5186" s="2">
        <f>Tabelle13[[#This Row],[commits]]/Tabelle13[[#Totals],[commits]]</f>
        <v>4.6477904404246225E-6</v>
      </c>
      <c r="I5186" s="5">
        <f>Tabelle13[[#This Row],[%]]+I5185</f>
        <v>0.98205488110947958</v>
      </c>
      <c r="J5186" s="4">
        <f t="shared" si="193"/>
        <v>1.105583195135434E-4</v>
      </c>
      <c r="K5186" s="5">
        <f t="shared" si="194"/>
        <v>0.57313432835826239</v>
      </c>
    </row>
    <row r="5187" spans="1:11" x14ac:dyDescent="0.25">
      <c r="A5187" t="s">
        <v>4221</v>
      </c>
      <c r="C5187">
        <v>1054346243</v>
      </c>
      <c r="D5187" t="s">
        <v>5</v>
      </c>
      <c r="E5187" t="s">
        <v>6</v>
      </c>
      <c r="F5187" t="s">
        <v>724</v>
      </c>
      <c r="G5187">
        <v>1</v>
      </c>
      <c r="H5187" s="2">
        <f>Tabelle13[[#This Row],[commits]]/Tabelle13[[#Totals],[commits]]</f>
        <v>4.6477904404246225E-6</v>
      </c>
      <c r="I5187" s="5">
        <f>Tabelle13[[#This Row],[%]]+I5186</f>
        <v>0.98205952889991999</v>
      </c>
      <c r="J5187" s="4">
        <f t="shared" ref="J5187:J5250" si="195">1/9045</f>
        <v>1.105583195135434E-4</v>
      </c>
      <c r="K5187" s="5">
        <f t="shared" si="194"/>
        <v>0.57324488667777596</v>
      </c>
    </row>
    <row r="5188" spans="1:11" x14ac:dyDescent="0.25">
      <c r="A5188" t="s">
        <v>4222</v>
      </c>
      <c r="C5188" t="s">
        <v>4223</v>
      </c>
      <c r="D5188" t="s">
        <v>5</v>
      </c>
      <c r="E5188" t="s">
        <v>6</v>
      </c>
      <c r="F5188" t="s">
        <v>724</v>
      </c>
      <c r="G5188">
        <v>1</v>
      </c>
      <c r="H5188" s="2">
        <f>Tabelle13[[#This Row],[commits]]/Tabelle13[[#Totals],[commits]]</f>
        <v>4.6477904404246225E-6</v>
      </c>
      <c r="I5188" s="5">
        <f>Tabelle13[[#This Row],[%]]+I5187</f>
        <v>0.98206417669036039</v>
      </c>
      <c r="J5188" s="4">
        <f t="shared" si="195"/>
        <v>1.105583195135434E-4</v>
      </c>
      <c r="K5188" s="5">
        <f t="shared" si="194"/>
        <v>0.57335544499728952</v>
      </c>
    </row>
    <row r="5189" spans="1:11" x14ac:dyDescent="0.25">
      <c r="A5189" t="s">
        <v>4224</v>
      </c>
      <c r="C5189" t="s">
        <v>4225</v>
      </c>
      <c r="D5189" t="s">
        <v>5</v>
      </c>
      <c r="E5189" t="s">
        <v>6</v>
      </c>
      <c r="F5189" t="s">
        <v>724</v>
      </c>
      <c r="G5189">
        <v>1</v>
      </c>
      <c r="H5189" s="2">
        <f>Tabelle13[[#This Row],[commits]]/Tabelle13[[#Totals],[commits]]</f>
        <v>4.6477904404246225E-6</v>
      </c>
      <c r="I5189" s="5">
        <f>Tabelle13[[#This Row],[%]]+I5188</f>
        <v>0.98206882448080079</v>
      </c>
      <c r="J5189" s="4">
        <f t="shared" si="195"/>
        <v>1.105583195135434E-4</v>
      </c>
      <c r="K5189" s="5">
        <f t="shared" si="194"/>
        <v>0.57346600331680309</v>
      </c>
    </row>
    <row r="5190" spans="1:11" x14ac:dyDescent="0.25">
      <c r="A5190" t="s">
        <v>4226</v>
      </c>
      <c r="C5190" t="s">
        <v>4227</v>
      </c>
      <c r="D5190" t="s">
        <v>5</v>
      </c>
      <c r="E5190" t="s">
        <v>6</v>
      </c>
      <c r="F5190" t="s">
        <v>724</v>
      </c>
      <c r="G5190">
        <v>1</v>
      </c>
      <c r="H5190" s="2">
        <f>Tabelle13[[#This Row],[commits]]/Tabelle13[[#Totals],[commits]]</f>
        <v>4.6477904404246225E-6</v>
      </c>
      <c r="I5190" s="5">
        <f>Tabelle13[[#This Row],[%]]+I5189</f>
        <v>0.9820734722712412</v>
      </c>
      <c r="J5190" s="4">
        <f t="shared" si="195"/>
        <v>1.105583195135434E-4</v>
      </c>
      <c r="K5190" s="5">
        <f t="shared" ref="K5190:K5253" si="196">J5190+K5189</f>
        <v>0.57357656163631665</v>
      </c>
    </row>
    <row r="5191" spans="1:11" x14ac:dyDescent="0.25">
      <c r="A5191" t="s">
        <v>4228</v>
      </c>
      <c r="C5191" t="s">
        <v>4229</v>
      </c>
      <c r="D5191" t="s">
        <v>5</v>
      </c>
      <c r="E5191" t="s">
        <v>6</v>
      </c>
      <c r="F5191" t="s">
        <v>724</v>
      </c>
      <c r="G5191">
        <v>1</v>
      </c>
      <c r="H5191" s="2">
        <f>Tabelle13[[#This Row],[commits]]/Tabelle13[[#Totals],[commits]]</f>
        <v>4.6477904404246225E-6</v>
      </c>
      <c r="I5191" s="5">
        <f>Tabelle13[[#This Row],[%]]+I5190</f>
        <v>0.9820781200616816</v>
      </c>
      <c r="J5191" s="4">
        <f t="shared" si="195"/>
        <v>1.105583195135434E-4</v>
      </c>
      <c r="K5191" s="5">
        <f t="shared" si="196"/>
        <v>0.57368711995583022</v>
      </c>
    </row>
    <row r="5192" spans="1:11" x14ac:dyDescent="0.25">
      <c r="A5192" t="s">
        <v>4230</v>
      </c>
      <c r="C5192" t="s">
        <v>4231</v>
      </c>
      <c r="D5192" t="s">
        <v>5</v>
      </c>
      <c r="E5192" t="s">
        <v>6</v>
      </c>
      <c r="F5192" t="s">
        <v>724</v>
      </c>
      <c r="G5192">
        <v>1</v>
      </c>
      <c r="H5192" s="2">
        <f>Tabelle13[[#This Row],[commits]]/Tabelle13[[#Totals],[commits]]</f>
        <v>4.6477904404246225E-6</v>
      </c>
      <c r="I5192" s="5">
        <f>Tabelle13[[#This Row],[%]]+I5191</f>
        <v>0.98208276785212201</v>
      </c>
      <c r="J5192" s="4">
        <f t="shared" si="195"/>
        <v>1.105583195135434E-4</v>
      </c>
      <c r="K5192" s="5">
        <f t="shared" si="196"/>
        <v>0.57379767827534378</v>
      </c>
    </row>
    <row r="5193" spans="1:11" x14ac:dyDescent="0.25">
      <c r="A5193" t="s">
        <v>4232</v>
      </c>
      <c r="C5193" t="s">
        <v>4233</v>
      </c>
      <c r="D5193" t="s">
        <v>5</v>
      </c>
      <c r="E5193" t="s">
        <v>6</v>
      </c>
      <c r="F5193" t="s">
        <v>724</v>
      </c>
      <c r="G5193">
        <v>1</v>
      </c>
      <c r="H5193" s="2">
        <f>Tabelle13[[#This Row],[commits]]/Tabelle13[[#Totals],[commits]]</f>
        <v>4.6477904404246225E-6</v>
      </c>
      <c r="I5193" s="5">
        <f>Tabelle13[[#This Row],[%]]+I5192</f>
        <v>0.98208741564256241</v>
      </c>
      <c r="J5193" s="4">
        <f t="shared" si="195"/>
        <v>1.105583195135434E-4</v>
      </c>
      <c r="K5193" s="5">
        <f t="shared" si="196"/>
        <v>0.57390823659485735</v>
      </c>
    </row>
    <row r="5194" spans="1:11" x14ac:dyDescent="0.25">
      <c r="A5194" t="s">
        <v>4234</v>
      </c>
      <c r="C5194" t="s">
        <v>4235</v>
      </c>
      <c r="D5194" t="s">
        <v>5</v>
      </c>
      <c r="E5194" t="s">
        <v>6</v>
      </c>
      <c r="F5194" t="s">
        <v>724</v>
      </c>
      <c r="G5194">
        <v>1</v>
      </c>
      <c r="H5194" s="2">
        <f>Tabelle13[[#This Row],[commits]]/Tabelle13[[#Totals],[commits]]</f>
        <v>4.6477904404246225E-6</v>
      </c>
      <c r="I5194" s="5">
        <f>Tabelle13[[#This Row],[%]]+I5193</f>
        <v>0.98209206343300282</v>
      </c>
      <c r="J5194" s="4">
        <f t="shared" si="195"/>
        <v>1.105583195135434E-4</v>
      </c>
      <c r="K5194" s="5">
        <f t="shared" si="196"/>
        <v>0.57401879491437091</v>
      </c>
    </row>
    <row r="5195" spans="1:11" x14ac:dyDescent="0.25">
      <c r="A5195" t="s">
        <v>4236</v>
      </c>
      <c r="C5195" t="s">
        <v>4237</v>
      </c>
      <c r="D5195" t="s">
        <v>5</v>
      </c>
      <c r="E5195" t="s">
        <v>6</v>
      </c>
      <c r="F5195" t="s">
        <v>724</v>
      </c>
      <c r="G5195">
        <v>1</v>
      </c>
      <c r="H5195" s="2">
        <f>Tabelle13[[#This Row],[commits]]/Tabelle13[[#Totals],[commits]]</f>
        <v>4.6477904404246225E-6</v>
      </c>
      <c r="I5195" s="5">
        <f>Tabelle13[[#This Row],[%]]+I5194</f>
        <v>0.98209671122344322</v>
      </c>
      <c r="J5195" s="4">
        <f t="shared" si="195"/>
        <v>1.105583195135434E-4</v>
      </c>
      <c r="K5195" s="5">
        <f t="shared" si="196"/>
        <v>0.57412935323388448</v>
      </c>
    </row>
    <row r="5196" spans="1:11" x14ac:dyDescent="0.25">
      <c r="A5196" t="s">
        <v>4238</v>
      </c>
      <c r="C5196" t="s">
        <v>4239</v>
      </c>
      <c r="D5196" t="s">
        <v>5</v>
      </c>
      <c r="E5196" t="s">
        <v>6</v>
      </c>
      <c r="F5196" t="s">
        <v>724</v>
      </c>
      <c r="G5196">
        <v>1</v>
      </c>
      <c r="H5196" s="2">
        <f>Tabelle13[[#This Row],[commits]]/Tabelle13[[#Totals],[commits]]</f>
        <v>4.6477904404246225E-6</v>
      </c>
      <c r="I5196" s="5">
        <f>Tabelle13[[#This Row],[%]]+I5195</f>
        <v>0.98210135901388362</v>
      </c>
      <c r="J5196" s="4">
        <f t="shared" si="195"/>
        <v>1.105583195135434E-4</v>
      </c>
      <c r="K5196" s="5">
        <f t="shared" si="196"/>
        <v>0.57423991155339804</v>
      </c>
    </row>
    <row r="5197" spans="1:11" x14ac:dyDescent="0.25">
      <c r="A5197" t="s">
        <v>4240</v>
      </c>
      <c r="C5197" t="s">
        <v>4241</v>
      </c>
      <c r="D5197" t="s">
        <v>5</v>
      </c>
      <c r="E5197" t="s">
        <v>6</v>
      </c>
      <c r="F5197" t="s">
        <v>724</v>
      </c>
      <c r="G5197">
        <v>1</v>
      </c>
      <c r="H5197" s="2">
        <f>Tabelle13[[#This Row],[commits]]/Tabelle13[[#Totals],[commits]]</f>
        <v>4.6477904404246225E-6</v>
      </c>
      <c r="I5197" s="5">
        <f>Tabelle13[[#This Row],[%]]+I5196</f>
        <v>0.98210600680432403</v>
      </c>
      <c r="J5197" s="4">
        <f t="shared" si="195"/>
        <v>1.105583195135434E-4</v>
      </c>
      <c r="K5197" s="5">
        <f t="shared" si="196"/>
        <v>0.57435046987291161</v>
      </c>
    </row>
    <row r="5198" spans="1:11" x14ac:dyDescent="0.25">
      <c r="A5198" t="s">
        <v>4242</v>
      </c>
      <c r="C5198" t="s">
        <v>4243</v>
      </c>
      <c r="D5198" t="s">
        <v>5</v>
      </c>
      <c r="E5198" t="s">
        <v>6</v>
      </c>
      <c r="F5198" t="s">
        <v>724</v>
      </c>
      <c r="G5198">
        <v>1</v>
      </c>
      <c r="H5198" s="2">
        <f>Tabelle13[[#This Row],[commits]]/Tabelle13[[#Totals],[commits]]</f>
        <v>4.6477904404246225E-6</v>
      </c>
      <c r="I5198" s="5">
        <f>Tabelle13[[#This Row],[%]]+I5197</f>
        <v>0.98211065459476443</v>
      </c>
      <c r="J5198" s="4">
        <f t="shared" si="195"/>
        <v>1.105583195135434E-4</v>
      </c>
      <c r="K5198" s="5">
        <f t="shared" si="196"/>
        <v>0.57446102819242517</v>
      </c>
    </row>
    <row r="5199" spans="1:11" x14ac:dyDescent="0.25">
      <c r="A5199" t="s">
        <v>4244</v>
      </c>
      <c r="C5199" t="s">
        <v>4245</v>
      </c>
      <c r="D5199" t="s">
        <v>5</v>
      </c>
      <c r="E5199" t="s">
        <v>6</v>
      </c>
      <c r="F5199" t="s">
        <v>724</v>
      </c>
      <c r="G5199">
        <v>1</v>
      </c>
      <c r="H5199" s="2">
        <f>Tabelle13[[#This Row],[commits]]/Tabelle13[[#Totals],[commits]]</f>
        <v>4.6477904404246225E-6</v>
      </c>
      <c r="I5199" s="5">
        <f>Tabelle13[[#This Row],[%]]+I5198</f>
        <v>0.98211530238520484</v>
      </c>
      <c r="J5199" s="4">
        <f t="shared" si="195"/>
        <v>1.105583195135434E-4</v>
      </c>
      <c r="K5199" s="5">
        <f t="shared" si="196"/>
        <v>0.57457158651193874</v>
      </c>
    </row>
    <row r="5200" spans="1:11" x14ac:dyDescent="0.25">
      <c r="A5200" t="s">
        <v>4246</v>
      </c>
      <c r="C5200" t="s">
        <v>4247</v>
      </c>
      <c r="D5200" t="s">
        <v>5</v>
      </c>
      <c r="E5200" t="s">
        <v>6</v>
      </c>
      <c r="F5200" t="s">
        <v>724</v>
      </c>
      <c r="G5200">
        <v>1</v>
      </c>
      <c r="H5200" s="2">
        <f>Tabelle13[[#This Row],[commits]]/Tabelle13[[#Totals],[commits]]</f>
        <v>4.6477904404246225E-6</v>
      </c>
      <c r="I5200" s="5">
        <f>Tabelle13[[#This Row],[%]]+I5199</f>
        <v>0.98211995017564524</v>
      </c>
      <c r="J5200" s="4">
        <f t="shared" si="195"/>
        <v>1.105583195135434E-4</v>
      </c>
      <c r="K5200" s="5">
        <f t="shared" si="196"/>
        <v>0.5746821448314523</v>
      </c>
    </row>
    <row r="5201" spans="1:11" x14ac:dyDescent="0.25">
      <c r="A5201" t="s">
        <v>4248</v>
      </c>
      <c r="C5201" t="s">
        <v>4249</v>
      </c>
      <c r="D5201" t="s">
        <v>5</v>
      </c>
      <c r="E5201" t="s">
        <v>6</v>
      </c>
      <c r="F5201" t="s">
        <v>724</v>
      </c>
      <c r="G5201">
        <v>1</v>
      </c>
      <c r="H5201" s="2">
        <f>Tabelle13[[#This Row],[commits]]/Tabelle13[[#Totals],[commits]]</f>
        <v>4.6477904404246225E-6</v>
      </c>
      <c r="I5201" s="5">
        <f>Tabelle13[[#This Row],[%]]+I5200</f>
        <v>0.98212459796608564</v>
      </c>
      <c r="J5201" s="4">
        <f t="shared" si="195"/>
        <v>1.105583195135434E-4</v>
      </c>
      <c r="K5201" s="5">
        <f t="shared" si="196"/>
        <v>0.57479270315096587</v>
      </c>
    </row>
    <row r="5202" spans="1:11" x14ac:dyDescent="0.25">
      <c r="A5202" t="s">
        <v>4250</v>
      </c>
      <c r="C5202" t="s">
        <v>4251</v>
      </c>
      <c r="D5202" t="s">
        <v>5</v>
      </c>
      <c r="E5202" t="s">
        <v>6</v>
      </c>
      <c r="F5202" t="s">
        <v>724</v>
      </c>
      <c r="G5202">
        <v>1</v>
      </c>
      <c r="H5202" s="2">
        <f>Tabelle13[[#This Row],[commits]]/Tabelle13[[#Totals],[commits]]</f>
        <v>4.6477904404246225E-6</v>
      </c>
      <c r="I5202" s="5">
        <f>Tabelle13[[#This Row],[%]]+I5201</f>
        <v>0.98212924575652605</v>
      </c>
      <c r="J5202" s="4">
        <f t="shared" si="195"/>
        <v>1.105583195135434E-4</v>
      </c>
      <c r="K5202" s="5">
        <f t="shared" si="196"/>
        <v>0.57490326147047943</v>
      </c>
    </row>
    <row r="5203" spans="1:11" x14ac:dyDescent="0.25">
      <c r="A5203" t="s">
        <v>4252</v>
      </c>
      <c r="C5203" t="s">
        <v>4253</v>
      </c>
      <c r="D5203" t="s">
        <v>5</v>
      </c>
      <c r="E5203" t="s">
        <v>6</v>
      </c>
      <c r="F5203" t="s">
        <v>724</v>
      </c>
      <c r="G5203">
        <v>1</v>
      </c>
      <c r="H5203" s="2">
        <f>Tabelle13[[#This Row],[commits]]/Tabelle13[[#Totals],[commits]]</f>
        <v>4.6477904404246225E-6</v>
      </c>
      <c r="I5203" s="5">
        <f>Tabelle13[[#This Row],[%]]+I5202</f>
        <v>0.98213389354696645</v>
      </c>
      <c r="J5203" s="4">
        <f t="shared" si="195"/>
        <v>1.105583195135434E-4</v>
      </c>
      <c r="K5203" s="5">
        <f t="shared" si="196"/>
        <v>0.575013819789993</v>
      </c>
    </row>
    <row r="5204" spans="1:11" x14ac:dyDescent="0.25">
      <c r="A5204" t="s">
        <v>4254</v>
      </c>
      <c r="C5204" t="s">
        <v>151</v>
      </c>
      <c r="D5204" t="s">
        <v>5</v>
      </c>
      <c r="E5204" t="s">
        <v>6</v>
      </c>
      <c r="F5204" t="s">
        <v>724</v>
      </c>
      <c r="G5204">
        <v>1</v>
      </c>
      <c r="H5204" s="2">
        <f>Tabelle13[[#This Row],[commits]]/Tabelle13[[#Totals],[commits]]</f>
        <v>4.6477904404246225E-6</v>
      </c>
      <c r="I5204" s="5">
        <f>Tabelle13[[#This Row],[%]]+I5203</f>
        <v>0.98213854133740686</v>
      </c>
      <c r="J5204" s="4">
        <f t="shared" si="195"/>
        <v>1.105583195135434E-4</v>
      </c>
      <c r="K5204" s="5">
        <f t="shared" si="196"/>
        <v>0.57512437810950656</v>
      </c>
    </row>
    <row r="5205" spans="1:11" x14ac:dyDescent="0.25">
      <c r="A5205" t="s">
        <v>4255</v>
      </c>
      <c r="C5205" t="s">
        <v>4256</v>
      </c>
      <c r="D5205" t="s">
        <v>5</v>
      </c>
      <c r="E5205" t="s">
        <v>6</v>
      </c>
      <c r="F5205" t="s">
        <v>724</v>
      </c>
      <c r="G5205">
        <v>1</v>
      </c>
      <c r="H5205" s="2">
        <f>Tabelle13[[#This Row],[commits]]/Tabelle13[[#Totals],[commits]]</f>
        <v>4.6477904404246225E-6</v>
      </c>
      <c r="I5205" s="5">
        <f>Tabelle13[[#This Row],[%]]+I5204</f>
        <v>0.98214318912784726</v>
      </c>
      <c r="J5205" s="4">
        <f t="shared" si="195"/>
        <v>1.105583195135434E-4</v>
      </c>
      <c r="K5205" s="5">
        <f t="shared" si="196"/>
        <v>0.57523493642902013</v>
      </c>
    </row>
    <row r="5206" spans="1:11" x14ac:dyDescent="0.25">
      <c r="A5206" t="s">
        <v>4257</v>
      </c>
      <c r="C5206" t="s">
        <v>4258</v>
      </c>
      <c r="D5206" t="s">
        <v>5</v>
      </c>
      <c r="E5206" t="s">
        <v>6</v>
      </c>
      <c r="F5206" t="s">
        <v>724</v>
      </c>
      <c r="G5206">
        <v>1</v>
      </c>
      <c r="H5206" s="2">
        <f>Tabelle13[[#This Row],[commits]]/Tabelle13[[#Totals],[commits]]</f>
        <v>4.6477904404246225E-6</v>
      </c>
      <c r="I5206" s="5">
        <f>Tabelle13[[#This Row],[%]]+I5205</f>
        <v>0.98214783691828766</v>
      </c>
      <c r="J5206" s="4">
        <f t="shared" si="195"/>
        <v>1.105583195135434E-4</v>
      </c>
      <c r="K5206" s="5">
        <f t="shared" si="196"/>
        <v>0.57534549474853369</v>
      </c>
    </row>
    <row r="5207" spans="1:11" x14ac:dyDescent="0.25">
      <c r="A5207" t="s">
        <v>4259</v>
      </c>
      <c r="C5207" t="s">
        <v>4260</v>
      </c>
      <c r="D5207" t="s">
        <v>5</v>
      </c>
      <c r="E5207" t="s">
        <v>6</v>
      </c>
      <c r="F5207" t="s">
        <v>724</v>
      </c>
      <c r="G5207">
        <v>1</v>
      </c>
      <c r="H5207" s="2">
        <f>Tabelle13[[#This Row],[commits]]/Tabelle13[[#Totals],[commits]]</f>
        <v>4.6477904404246225E-6</v>
      </c>
      <c r="I5207" s="5">
        <f>Tabelle13[[#This Row],[%]]+I5206</f>
        <v>0.98215248470872807</v>
      </c>
      <c r="J5207" s="4">
        <f t="shared" si="195"/>
        <v>1.105583195135434E-4</v>
      </c>
      <c r="K5207" s="5">
        <f t="shared" si="196"/>
        <v>0.57545605306804726</v>
      </c>
    </row>
    <row r="5208" spans="1:11" x14ac:dyDescent="0.25">
      <c r="A5208" t="s">
        <v>4261</v>
      </c>
      <c r="C5208" t="s">
        <v>4262</v>
      </c>
      <c r="D5208" t="s">
        <v>5</v>
      </c>
      <c r="E5208" t="s">
        <v>6</v>
      </c>
      <c r="F5208" t="s">
        <v>724</v>
      </c>
      <c r="G5208">
        <v>1</v>
      </c>
      <c r="H5208" s="2">
        <f>Tabelle13[[#This Row],[commits]]/Tabelle13[[#Totals],[commits]]</f>
        <v>4.6477904404246225E-6</v>
      </c>
      <c r="I5208" s="5">
        <f>Tabelle13[[#This Row],[%]]+I5207</f>
        <v>0.98215713249916847</v>
      </c>
      <c r="J5208" s="4">
        <f t="shared" si="195"/>
        <v>1.105583195135434E-4</v>
      </c>
      <c r="K5208" s="5">
        <f t="shared" si="196"/>
        <v>0.57556661138756082</v>
      </c>
    </row>
    <row r="5209" spans="1:11" x14ac:dyDescent="0.25">
      <c r="A5209" t="s">
        <v>4263</v>
      </c>
      <c r="C5209" t="s">
        <v>4264</v>
      </c>
      <c r="D5209" t="s">
        <v>5</v>
      </c>
      <c r="E5209" t="s">
        <v>6</v>
      </c>
      <c r="F5209" t="s">
        <v>724</v>
      </c>
      <c r="G5209">
        <v>1</v>
      </c>
      <c r="H5209" s="2">
        <f>Tabelle13[[#This Row],[commits]]/Tabelle13[[#Totals],[commits]]</f>
        <v>4.6477904404246225E-6</v>
      </c>
      <c r="I5209" s="5">
        <f>Tabelle13[[#This Row],[%]]+I5208</f>
        <v>0.98216178028960888</v>
      </c>
      <c r="J5209" s="4">
        <f t="shared" si="195"/>
        <v>1.105583195135434E-4</v>
      </c>
      <c r="K5209" s="5">
        <f t="shared" si="196"/>
        <v>0.57567716970707439</v>
      </c>
    </row>
    <row r="5210" spans="1:11" x14ac:dyDescent="0.25">
      <c r="A5210" t="s">
        <v>4265</v>
      </c>
      <c r="C5210" t="s">
        <v>4266</v>
      </c>
      <c r="D5210" t="s">
        <v>5</v>
      </c>
      <c r="E5210" t="s">
        <v>6</v>
      </c>
      <c r="F5210" t="s">
        <v>724</v>
      </c>
      <c r="G5210">
        <v>1</v>
      </c>
      <c r="H5210" s="2">
        <f>Tabelle13[[#This Row],[commits]]/Tabelle13[[#Totals],[commits]]</f>
        <v>4.6477904404246225E-6</v>
      </c>
      <c r="I5210" s="5">
        <f>Tabelle13[[#This Row],[%]]+I5209</f>
        <v>0.98216642808004928</v>
      </c>
      <c r="J5210" s="4">
        <f t="shared" si="195"/>
        <v>1.105583195135434E-4</v>
      </c>
      <c r="K5210" s="5">
        <f t="shared" si="196"/>
        <v>0.57578772802658795</v>
      </c>
    </row>
    <row r="5211" spans="1:11" x14ac:dyDescent="0.25">
      <c r="A5211" t="s">
        <v>4267</v>
      </c>
      <c r="C5211" t="s">
        <v>4268</v>
      </c>
      <c r="D5211" t="s">
        <v>5</v>
      </c>
      <c r="E5211" t="s">
        <v>6</v>
      </c>
      <c r="F5211" t="s">
        <v>724</v>
      </c>
      <c r="G5211">
        <v>1</v>
      </c>
      <c r="H5211" s="2">
        <f>Tabelle13[[#This Row],[commits]]/Tabelle13[[#Totals],[commits]]</f>
        <v>4.6477904404246225E-6</v>
      </c>
      <c r="I5211" s="5">
        <f>Tabelle13[[#This Row],[%]]+I5210</f>
        <v>0.98217107587048968</v>
      </c>
      <c r="J5211" s="4">
        <f t="shared" si="195"/>
        <v>1.105583195135434E-4</v>
      </c>
      <c r="K5211" s="5">
        <f t="shared" si="196"/>
        <v>0.57589828634610152</v>
      </c>
    </row>
    <row r="5212" spans="1:11" x14ac:dyDescent="0.25">
      <c r="A5212" t="s">
        <v>4269</v>
      </c>
      <c r="C5212" t="s">
        <v>4270</v>
      </c>
      <c r="D5212" t="s">
        <v>5</v>
      </c>
      <c r="E5212" t="s">
        <v>6</v>
      </c>
      <c r="F5212" t="s">
        <v>724</v>
      </c>
      <c r="G5212">
        <v>1</v>
      </c>
      <c r="H5212" s="2">
        <f>Tabelle13[[#This Row],[commits]]/Tabelle13[[#Totals],[commits]]</f>
        <v>4.6477904404246225E-6</v>
      </c>
      <c r="I5212" s="5">
        <f>Tabelle13[[#This Row],[%]]+I5211</f>
        <v>0.98217572366093009</v>
      </c>
      <c r="J5212" s="4">
        <f t="shared" si="195"/>
        <v>1.105583195135434E-4</v>
      </c>
      <c r="K5212" s="5">
        <f t="shared" si="196"/>
        <v>0.57600884466561508</v>
      </c>
    </row>
    <row r="5213" spans="1:11" x14ac:dyDescent="0.25">
      <c r="A5213" t="s">
        <v>4271</v>
      </c>
      <c r="C5213" t="s">
        <v>4272</v>
      </c>
      <c r="D5213" t="s">
        <v>5</v>
      </c>
      <c r="E5213" t="s">
        <v>6</v>
      </c>
      <c r="F5213" t="s">
        <v>724</v>
      </c>
      <c r="G5213">
        <v>1</v>
      </c>
      <c r="H5213" s="2">
        <f>Tabelle13[[#This Row],[commits]]/Tabelle13[[#Totals],[commits]]</f>
        <v>4.6477904404246225E-6</v>
      </c>
      <c r="I5213" s="5">
        <f>Tabelle13[[#This Row],[%]]+I5212</f>
        <v>0.98218037145137049</v>
      </c>
      <c r="J5213" s="4">
        <f t="shared" si="195"/>
        <v>1.105583195135434E-4</v>
      </c>
      <c r="K5213" s="5">
        <f t="shared" si="196"/>
        <v>0.57611940298512865</v>
      </c>
    </row>
    <row r="5214" spans="1:11" x14ac:dyDescent="0.25">
      <c r="A5214" t="s">
        <v>4273</v>
      </c>
      <c r="C5214" t="s">
        <v>4274</v>
      </c>
      <c r="D5214" t="s">
        <v>5</v>
      </c>
      <c r="E5214" t="s">
        <v>6</v>
      </c>
      <c r="F5214" t="s">
        <v>724</v>
      </c>
      <c r="G5214">
        <v>1</v>
      </c>
      <c r="H5214" s="2">
        <f>Tabelle13[[#This Row],[commits]]/Tabelle13[[#Totals],[commits]]</f>
        <v>4.6477904404246225E-6</v>
      </c>
      <c r="I5214" s="5">
        <f>Tabelle13[[#This Row],[%]]+I5213</f>
        <v>0.9821850192418109</v>
      </c>
      <c r="J5214" s="4">
        <f t="shared" si="195"/>
        <v>1.105583195135434E-4</v>
      </c>
      <c r="K5214" s="5">
        <f t="shared" si="196"/>
        <v>0.57622996130464221</v>
      </c>
    </row>
    <row r="5215" spans="1:11" x14ac:dyDescent="0.25">
      <c r="A5215" t="s">
        <v>4275</v>
      </c>
      <c r="C5215" t="s">
        <v>4276</v>
      </c>
      <c r="D5215" t="s">
        <v>5</v>
      </c>
      <c r="E5215" t="s">
        <v>6</v>
      </c>
      <c r="F5215" t="s">
        <v>724</v>
      </c>
      <c r="G5215">
        <v>1</v>
      </c>
      <c r="H5215" s="2">
        <f>Tabelle13[[#This Row],[commits]]/Tabelle13[[#Totals],[commits]]</f>
        <v>4.6477904404246225E-6</v>
      </c>
      <c r="I5215" s="5">
        <f>Tabelle13[[#This Row],[%]]+I5214</f>
        <v>0.9821896670322513</v>
      </c>
      <c r="J5215" s="4">
        <f t="shared" si="195"/>
        <v>1.105583195135434E-4</v>
      </c>
      <c r="K5215" s="5">
        <f t="shared" si="196"/>
        <v>0.57634051962415578</v>
      </c>
    </row>
    <row r="5216" spans="1:11" x14ac:dyDescent="0.25">
      <c r="A5216" t="s">
        <v>4277</v>
      </c>
      <c r="C5216" t="s">
        <v>4278</v>
      </c>
      <c r="D5216" t="s">
        <v>5</v>
      </c>
      <c r="E5216" t="s">
        <v>6</v>
      </c>
      <c r="F5216" t="s">
        <v>724</v>
      </c>
      <c r="G5216">
        <v>1</v>
      </c>
      <c r="H5216" s="2">
        <f>Tabelle13[[#This Row],[commits]]/Tabelle13[[#Totals],[commits]]</f>
        <v>4.6477904404246225E-6</v>
      </c>
      <c r="I5216" s="5">
        <f>Tabelle13[[#This Row],[%]]+I5215</f>
        <v>0.98219431482269171</v>
      </c>
      <c r="J5216" s="4">
        <f t="shared" si="195"/>
        <v>1.105583195135434E-4</v>
      </c>
      <c r="K5216" s="5">
        <f t="shared" si="196"/>
        <v>0.57645107794366934</v>
      </c>
    </row>
    <row r="5217" spans="1:11" x14ac:dyDescent="0.25">
      <c r="A5217" t="s">
        <v>4279</v>
      </c>
      <c r="C5217">
        <v>117010016</v>
      </c>
      <c r="D5217" t="s">
        <v>5</v>
      </c>
      <c r="E5217" t="s">
        <v>6</v>
      </c>
      <c r="F5217" t="s">
        <v>724</v>
      </c>
      <c r="G5217">
        <v>1</v>
      </c>
      <c r="H5217" s="2">
        <f>Tabelle13[[#This Row],[commits]]/Tabelle13[[#Totals],[commits]]</f>
        <v>4.6477904404246225E-6</v>
      </c>
      <c r="I5217" s="5">
        <f>Tabelle13[[#This Row],[%]]+I5216</f>
        <v>0.98219896261313211</v>
      </c>
      <c r="J5217" s="4">
        <f t="shared" si="195"/>
        <v>1.105583195135434E-4</v>
      </c>
      <c r="K5217" s="5">
        <f t="shared" si="196"/>
        <v>0.57656163626318291</v>
      </c>
    </row>
    <row r="5218" spans="1:11" x14ac:dyDescent="0.25">
      <c r="A5218" t="s">
        <v>4280</v>
      </c>
      <c r="C5218" t="s">
        <v>4281</v>
      </c>
      <c r="D5218" t="s">
        <v>5</v>
      </c>
      <c r="E5218" t="s">
        <v>6</v>
      </c>
      <c r="F5218" t="s">
        <v>724</v>
      </c>
      <c r="G5218">
        <v>1</v>
      </c>
      <c r="H5218" s="2">
        <f>Tabelle13[[#This Row],[commits]]/Tabelle13[[#Totals],[commits]]</f>
        <v>4.6477904404246225E-6</v>
      </c>
      <c r="I5218" s="5">
        <f>Tabelle13[[#This Row],[%]]+I5217</f>
        <v>0.98220361040357251</v>
      </c>
      <c r="J5218" s="4">
        <f t="shared" si="195"/>
        <v>1.105583195135434E-4</v>
      </c>
      <c r="K5218" s="5">
        <f t="shared" si="196"/>
        <v>0.57667219458269647</v>
      </c>
    </row>
    <row r="5219" spans="1:11" x14ac:dyDescent="0.25">
      <c r="A5219" t="s">
        <v>4282</v>
      </c>
      <c r="C5219" t="s">
        <v>4283</v>
      </c>
      <c r="D5219" t="s">
        <v>5</v>
      </c>
      <c r="E5219" t="s">
        <v>6</v>
      </c>
      <c r="F5219" t="s">
        <v>724</v>
      </c>
      <c r="G5219">
        <v>1</v>
      </c>
      <c r="H5219" s="2">
        <f>Tabelle13[[#This Row],[commits]]/Tabelle13[[#Totals],[commits]]</f>
        <v>4.6477904404246225E-6</v>
      </c>
      <c r="I5219" s="5">
        <f>Tabelle13[[#This Row],[%]]+I5218</f>
        <v>0.98220825819401292</v>
      </c>
      <c r="J5219" s="4">
        <f t="shared" si="195"/>
        <v>1.105583195135434E-4</v>
      </c>
      <c r="K5219" s="5">
        <f t="shared" si="196"/>
        <v>0.57678275290221004</v>
      </c>
    </row>
    <row r="5220" spans="1:11" x14ac:dyDescent="0.25">
      <c r="A5220" t="s">
        <v>4284</v>
      </c>
      <c r="C5220" t="s">
        <v>4285</v>
      </c>
      <c r="D5220" t="s">
        <v>5</v>
      </c>
      <c r="E5220" t="s">
        <v>6</v>
      </c>
      <c r="F5220" t="s">
        <v>724</v>
      </c>
      <c r="G5220">
        <v>1</v>
      </c>
      <c r="H5220" s="2">
        <f>Tabelle13[[#This Row],[commits]]/Tabelle13[[#Totals],[commits]]</f>
        <v>4.6477904404246225E-6</v>
      </c>
      <c r="I5220" s="5">
        <f>Tabelle13[[#This Row],[%]]+I5219</f>
        <v>0.98221290598445332</v>
      </c>
      <c r="J5220" s="4">
        <f t="shared" si="195"/>
        <v>1.105583195135434E-4</v>
      </c>
      <c r="K5220" s="5">
        <f t="shared" si="196"/>
        <v>0.5768933112217236</v>
      </c>
    </row>
    <row r="5221" spans="1:11" x14ac:dyDescent="0.25">
      <c r="A5221" t="s">
        <v>4286</v>
      </c>
      <c r="C5221" t="s">
        <v>4287</v>
      </c>
      <c r="D5221" t="s">
        <v>5</v>
      </c>
      <c r="E5221" t="s">
        <v>6</v>
      </c>
      <c r="F5221" t="s">
        <v>724</v>
      </c>
      <c r="G5221">
        <v>1</v>
      </c>
      <c r="H5221" s="2">
        <f>Tabelle13[[#This Row],[commits]]/Tabelle13[[#Totals],[commits]]</f>
        <v>4.6477904404246225E-6</v>
      </c>
      <c r="I5221" s="5">
        <f>Tabelle13[[#This Row],[%]]+I5220</f>
        <v>0.98221755377489373</v>
      </c>
      <c r="J5221" s="4">
        <f t="shared" si="195"/>
        <v>1.105583195135434E-4</v>
      </c>
      <c r="K5221" s="5">
        <f t="shared" si="196"/>
        <v>0.57700386954123717</v>
      </c>
    </row>
    <row r="5222" spans="1:11" x14ac:dyDescent="0.25">
      <c r="A5222" t="s">
        <v>4288</v>
      </c>
      <c r="C5222" t="s">
        <v>4289</v>
      </c>
      <c r="D5222" t="s">
        <v>5</v>
      </c>
      <c r="E5222" t="s">
        <v>6</v>
      </c>
      <c r="F5222" t="s">
        <v>724</v>
      </c>
      <c r="G5222">
        <v>1</v>
      </c>
      <c r="H5222" s="2">
        <f>Tabelle13[[#This Row],[commits]]/Tabelle13[[#Totals],[commits]]</f>
        <v>4.6477904404246225E-6</v>
      </c>
      <c r="I5222" s="5">
        <f>Tabelle13[[#This Row],[%]]+I5221</f>
        <v>0.98222220156533413</v>
      </c>
      <c r="J5222" s="4">
        <f t="shared" si="195"/>
        <v>1.105583195135434E-4</v>
      </c>
      <c r="K5222" s="5">
        <f t="shared" si="196"/>
        <v>0.57711442786075073</v>
      </c>
    </row>
    <row r="5223" spans="1:11" x14ac:dyDescent="0.25">
      <c r="A5223" t="s">
        <v>4290</v>
      </c>
      <c r="C5223" t="s">
        <v>4291</v>
      </c>
      <c r="D5223" t="s">
        <v>5</v>
      </c>
      <c r="E5223" t="s">
        <v>6</v>
      </c>
      <c r="F5223" t="s">
        <v>724</v>
      </c>
      <c r="G5223">
        <v>1</v>
      </c>
      <c r="H5223" s="2">
        <f>Tabelle13[[#This Row],[commits]]/Tabelle13[[#Totals],[commits]]</f>
        <v>4.6477904404246225E-6</v>
      </c>
      <c r="I5223" s="5">
        <f>Tabelle13[[#This Row],[%]]+I5222</f>
        <v>0.98222684935577453</v>
      </c>
      <c r="J5223" s="4">
        <f t="shared" si="195"/>
        <v>1.105583195135434E-4</v>
      </c>
      <c r="K5223" s="5">
        <f t="shared" si="196"/>
        <v>0.5772249861802643</v>
      </c>
    </row>
    <row r="5224" spans="1:11" x14ac:dyDescent="0.25">
      <c r="A5224" t="s">
        <v>4292</v>
      </c>
      <c r="C5224" t="s">
        <v>4293</v>
      </c>
      <c r="D5224" t="s">
        <v>5</v>
      </c>
      <c r="E5224" t="s">
        <v>6</v>
      </c>
      <c r="F5224" t="s">
        <v>724</v>
      </c>
      <c r="G5224">
        <v>1</v>
      </c>
      <c r="H5224" s="2">
        <f>Tabelle13[[#This Row],[commits]]/Tabelle13[[#Totals],[commits]]</f>
        <v>4.6477904404246225E-6</v>
      </c>
      <c r="I5224" s="5">
        <f>Tabelle13[[#This Row],[%]]+I5223</f>
        <v>0.98223149714621494</v>
      </c>
      <c r="J5224" s="4">
        <f t="shared" si="195"/>
        <v>1.105583195135434E-4</v>
      </c>
      <c r="K5224" s="5">
        <f t="shared" si="196"/>
        <v>0.57733554449977786</v>
      </c>
    </row>
    <row r="5225" spans="1:11" x14ac:dyDescent="0.25">
      <c r="A5225" t="s">
        <v>4294</v>
      </c>
      <c r="C5225" t="s">
        <v>1898</v>
      </c>
      <c r="D5225" t="s">
        <v>5</v>
      </c>
      <c r="E5225" t="s">
        <v>6</v>
      </c>
      <c r="F5225" t="s">
        <v>724</v>
      </c>
      <c r="G5225">
        <v>1</v>
      </c>
      <c r="H5225" s="2">
        <f>Tabelle13[[#This Row],[commits]]/Tabelle13[[#Totals],[commits]]</f>
        <v>4.6477904404246225E-6</v>
      </c>
      <c r="I5225" s="5">
        <f>Tabelle13[[#This Row],[%]]+I5224</f>
        <v>0.98223614493665534</v>
      </c>
      <c r="J5225" s="4">
        <f t="shared" si="195"/>
        <v>1.105583195135434E-4</v>
      </c>
      <c r="K5225" s="5">
        <f t="shared" si="196"/>
        <v>0.57744610281929143</v>
      </c>
    </row>
    <row r="5226" spans="1:11" x14ac:dyDescent="0.25">
      <c r="A5226" t="s">
        <v>4295</v>
      </c>
      <c r="C5226" t="s">
        <v>4296</v>
      </c>
      <c r="D5226" t="s">
        <v>5</v>
      </c>
      <c r="E5226" t="s">
        <v>6</v>
      </c>
      <c r="F5226" t="s">
        <v>724</v>
      </c>
      <c r="G5226">
        <v>1</v>
      </c>
      <c r="H5226" s="2">
        <f>Tabelle13[[#This Row],[commits]]/Tabelle13[[#Totals],[commits]]</f>
        <v>4.6477904404246225E-6</v>
      </c>
      <c r="I5226" s="5">
        <f>Tabelle13[[#This Row],[%]]+I5225</f>
        <v>0.98224079272709575</v>
      </c>
      <c r="J5226" s="4">
        <f t="shared" si="195"/>
        <v>1.105583195135434E-4</v>
      </c>
      <c r="K5226" s="5">
        <f t="shared" si="196"/>
        <v>0.57755666113880499</v>
      </c>
    </row>
    <row r="5227" spans="1:11" x14ac:dyDescent="0.25">
      <c r="A5227" t="s">
        <v>4297</v>
      </c>
      <c r="C5227" t="s">
        <v>187</v>
      </c>
      <c r="D5227" t="s">
        <v>5</v>
      </c>
      <c r="E5227" t="s">
        <v>6</v>
      </c>
      <c r="F5227" t="s">
        <v>724</v>
      </c>
      <c r="G5227">
        <v>1</v>
      </c>
      <c r="H5227" s="2">
        <f>Tabelle13[[#This Row],[commits]]/Tabelle13[[#Totals],[commits]]</f>
        <v>4.6477904404246225E-6</v>
      </c>
      <c r="I5227" s="5">
        <f>Tabelle13[[#This Row],[%]]+I5226</f>
        <v>0.98224544051753615</v>
      </c>
      <c r="J5227" s="4">
        <f t="shared" si="195"/>
        <v>1.105583195135434E-4</v>
      </c>
      <c r="K5227" s="5">
        <f t="shared" si="196"/>
        <v>0.57766721945831856</v>
      </c>
    </row>
    <row r="5228" spans="1:11" x14ac:dyDescent="0.25">
      <c r="A5228" t="s">
        <v>4298</v>
      </c>
      <c r="C5228" t="s">
        <v>4299</v>
      </c>
      <c r="D5228" t="s">
        <v>5</v>
      </c>
      <c r="E5228" t="s">
        <v>6</v>
      </c>
      <c r="F5228" t="s">
        <v>724</v>
      </c>
      <c r="G5228">
        <v>1</v>
      </c>
      <c r="H5228" s="2">
        <f>Tabelle13[[#This Row],[commits]]/Tabelle13[[#Totals],[commits]]</f>
        <v>4.6477904404246225E-6</v>
      </c>
      <c r="I5228" s="5">
        <f>Tabelle13[[#This Row],[%]]+I5227</f>
        <v>0.98225008830797655</v>
      </c>
      <c r="J5228" s="4">
        <f t="shared" si="195"/>
        <v>1.105583195135434E-4</v>
      </c>
      <c r="K5228" s="5">
        <f t="shared" si="196"/>
        <v>0.57777777777783212</v>
      </c>
    </row>
    <row r="5229" spans="1:11" x14ac:dyDescent="0.25">
      <c r="A5229" t="s">
        <v>4300</v>
      </c>
      <c r="C5229" t="s">
        <v>4301</v>
      </c>
      <c r="D5229" t="s">
        <v>5</v>
      </c>
      <c r="E5229" t="s">
        <v>6</v>
      </c>
      <c r="F5229" t="s">
        <v>724</v>
      </c>
      <c r="G5229">
        <v>1</v>
      </c>
      <c r="H5229" s="2">
        <f>Tabelle13[[#This Row],[commits]]/Tabelle13[[#Totals],[commits]]</f>
        <v>4.6477904404246225E-6</v>
      </c>
      <c r="I5229" s="5">
        <f>Tabelle13[[#This Row],[%]]+I5228</f>
        <v>0.98225473609841696</v>
      </c>
      <c r="J5229" s="4">
        <f t="shared" si="195"/>
        <v>1.105583195135434E-4</v>
      </c>
      <c r="K5229" s="5">
        <f t="shared" si="196"/>
        <v>0.57788833609734569</v>
      </c>
    </row>
    <row r="5230" spans="1:11" x14ac:dyDescent="0.25">
      <c r="A5230" t="s">
        <v>4302</v>
      </c>
      <c r="C5230" t="s">
        <v>4303</v>
      </c>
      <c r="D5230" t="s">
        <v>5</v>
      </c>
      <c r="E5230" t="s">
        <v>6</v>
      </c>
      <c r="F5230" t="s">
        <v>724</v>
      </c>
      <c r="G5230">
        <v>1</v>
      </c>
      <c r="H5230" s="2">
        <f>Tabelle13[[#This Row],[commits]]/Tabelle13[[#Totals],[commits]]</f>
        <v>4.6477904404246225E-6</v>
      </c>
      <c r="I5230" s="5">
        <f>Tabelle13[[#This Row],[%]]+I5229</f>
        <v>0.98225938388885736</v>
      </c>
      <c r="J5230" s="4">
        <f t="shared" si="195"/>
        <v>1.105583195135434E-4</v>
      </c>
      <c r="K5230" s="5">
        <f t="shared" si="196"/>
        <v>0.57799889441685925</v>
      </c>
    </row>
    <row r="5231" spans="1:11" x14ac:dyDescent="0.25">
      <c r="A5231" t="s">
        <v>4304</v>
      </c>
      <c r="C5231" t="s">
        <v>4305</v>
      </c>
      <c r="D5231" t="s">
        <v>5</v>
      </c>
      <c r="E5231" t="s">
        <v>6</v>
      </c>
      <c r="F5231" t="s">
        <v>724</v>
      </c>
      <c r="G5231">
        <v>1</v>
      </c>
      <c r="H5231" s="2">
        <f>Tabelle13[[#This Row],[commits]]/Tabelle13[[#Totals],[commits]]</f>
        <v>4.6477904404246225E-6</v>
      </c>
      <c r="I5231" s="5">
        <f>Tabelle13[[#This Row],[%]]+I5230</f>
        <v>0.98226403167929777</v>
      </c>
      <c r="J5231" s="4">
        <f t="shared" si="195"/>
        <v>1.105583195135434E-4</v>
      </c>
      <c r="K5231" s="5">
        <f t="shared" si="196"/>
        <v>0.57810945273637282</v>
      </c>
    </row>
    <row r="5232" spans="1:11" x14ac:dyDescent="0.25">
      <c r="A5232" t="s">
        <v>4306</v>
      </c>
      <c r="C5232" t="s">
        <v>4307</v>
      </c>
      <c r="D5232" t="s">
        <v>5</v>
      </c>
      <c r="E5232" t="s">
        <v>6</v>
      </c>
      <c r="F5232" t="s">
        <v>724</v>
      </c>
      <c r="G5232">
        <v>1</v>
      </c>
      <c r="H5232" s="2">
        <f>Tabelle13[[#This Row],[commits]]/Tabelle13[[#Totals],[commits]]</f>
        <v>4.6477904404246225E-6</v>
      </c>
      <c r="I5232" s="5">
        <f>Tabelle13[[#This Row],[%]]+I5231</f>
        <v>0.98226867946973817</v>
      </c>
      <c r="J5232" s="4">
        <f t="shared" si="195"/>
        <v>1.105583195135434E-4</v>
      </c>
      <c r="K5232" s="5">
        <f t="shared" si="196"/>
        <v>0.57822001105588638</v>
      </c>
    </row>
    <row r="5233" spans="1:11" x14ac:dyDescent="0.25">
      <c r="A5233" t="s">
        <v>4308</v>
      </c>
      <c r="C5233" t="s">
        <v>4309</v>
      </c>
      <c r="D5233" t="s">
        <v>5</v>
      </c>
      <c r="E5233" t="s">
        <v>6</v>
      </c>
      <c r="F5233" t="s">
        <v>724</v>
      </c>
      <c r="G5233">
        <v>1</v>
      </c>
      <c r="H5233" s="2">
        <f>Tabelle13[[#This Row],[commits]]/Tabelle13[[#Totals],[commits]]</f>
        <v>4.6477904404246225E-6</v>
      </c>
      <c r="I5233" s="5">
        <f>Tabelle13[[#This Row],[%]]+I5232</f>
        <v>0.98227332726017857</v>
      </c>
      <c r="J5233" s="4">
        <f t="shared" si="195"/>
        <v>1.105583195135434E-4</v>
      </c>
      <c r="K5233" s="5">
        <f t="shared" si="196"/>
        <v>0.57833056937539995</v>
      </c>
    </row>
    <row r="5234" spans="1:11" x14ac:dyDescent="0.25">
      <c r="A5234" t="s">
        <v>4310</v>
      </c>
      <c r="C5234" t="s">
        <v>4311</v>
      </c>
      <c r="D5234" t="s">
        <v>5</v>
      </c>
      <c r="E5234" t="s">
        <v>6</v>
      </c>
      <c r="F5234" t="s">
        <v>724</v>
      </c>
      <c r="G5234">
        <v>1</v>
      </c>
      <c r="H5234" s="2">
        <f>Tabelle13[[#This Row],[commits]]/Tabelle13[[#Totals],[commits]]</f>
        <v>4.6477904404246225E-6</v>
      </c>
      <c r="I5234" s="5">
        <f>Tabelle13[[#This Row],[%]]+I5233</f>
        <v>0.98227797505061898</v>
      </c>
      <c r="J5234" s="4">
        <f t="shared" si="195"/>
        <v>1.105583195135434E-4</v>
      </c>
      <c r="K5234" s="5">
        <f t="shared" si="196"/>
        <v>0.57844112769491352</v>
      </c>
    </row>
    <row r="5235" spans="1:11" x14ac:dyDescent="0.25">
      <c r="A5235" t="s">
        <v>4312</v>
      </c>
      <c r="C5235" t="s">
        <v>211</v>
      </c>
      <c r="D5235" t="s">
        <v>5</v>
      </c>
      <c r="E5235" t="s">
        <v>6</v>
      </c>
      <c r="F5235" t="s">
        <v>724</v>
      </c>
      <c r="G5235">
        <v>1</v>
      </c>
      <c r="H5235" s="2">
        <f>Tabelle13[[#This Row],[commits]]/Tabelle13[[#Totals],[commits]]</f>
        <v>4.6477904404246225E-6</v>
      </c>
      <c r="I5235" s="5">
        <f>Tabelle13[[#This Row],[%]]+I5234</f>
        <v>0.98228262284105938</v>
      </c>
      <c r="J5235" s="4">
        <f t="shared" si="195"/>
        <v>1.105583195135434E-4</v>
      </c>
      <c r="K5235" s="5">
        <f t="shared" si="196"/>
        <v>0.57855168601442708</v>
      </c>
    </row>
    <row r="5236" spans="1:11" x14ac:dyDescent="0.25">
      <c r="A5236" t="s">
        <v>4313</v>
      </c>
      <c r="C5236" t="s">
        <v>4314</v>
      </c>
      <c r="D5236" t="s">
        <v>5</v>
      </c>
      <c r="E5236" t="s">
        <v>6</v>
      </c>
      <c r="F5236" t="s">
        <v>724</v>
      </c>
      <c r="G5236">
        <v>1</v>
      </c>
      <c r="H5236" s="2">
        <f>Tabelle13[[#This Row],[commits]]/Tabelle13[[#Totals],[commits]]</f>
        <v>4.6477904404246225E-6</v>
      </c>
      <c r="I5236" s="5">
        <f>Tabelle13[[#This Row],[%]]+I5235</f>
        <v>0.98228727063149979</v>
      </c>
      <c r="J5236" s="4">
        <f t="shared" si="195"/>
        <v>1.105583195135434E-4</v>
      </c>
      <c r="K5236" s="5">
        <f t="shared" si="196"/>
        <v>0.57866224433394065</v>
      </c>
    </row>
    <row r="5237" spans="1:11" x14ac:dyDescent="0.25">
      <c r="A5237" t="s">
        <v>4315</v>
      </c>
      <c r="C5237" t="s">
        <v>4316</v>
      </c>
      <c r="D5237" t="s">
        <v>5</v>
      </c>
      <c r="E5237" t="s">
        <v>6</v>
      </c>
      <c r="F5237" t="s">
        <v>724</v>
      </c>
      <c r="G5237">
        <v>1</v>
      </c>
      <c r="H5237" s="2">
        <f>Tabelle13[[#This Row],[commits]]/Tabelle13[[#Totals],[commits]]</f>
        <v>4.6477904404246225E-6</v>
      </c>
      <c r="I5237" s="5">
        <f>Tabelle13[[#This Row],[%]]+I5236</f>
        <v>0.98229191842194019</v>
      </c>
      <c r="J5237" s="4">
        <f t="shared" si="195"/>
        <v>1.105583195135434E-4</v>
      </c>
      <c r="K5237" s="5">
        <f t="shared" si="196"/>
        <v>0.57877280265345421</v>
      </c>
    </row>
    <row r="5238" spans="1:11" x14ac:dyDescent="0.25">
      <c r="A5238" t="s">
        <v>4317</v>
      </c>
      <c r="C5238" t="s">
        <v>4318</v>
      </c>
      <c r="D5238" t="s">
        <v>5</v>
      </c>
      <c r="E5238" t="s">
        <v>6</v>
      </c>
      <c r="F5238" t="s">
        <v>724</v>
      </c>
      <c r="G5238">
        <v>1</v>
      </c>
      <c r="H5238" s="2">
        <f>Tabelle13[[#This Row],[commits]]/Tabelle13[[#Totals],[commits]]</f>
        <v>4.6477904404246225E-6</v>
      </c>
      <c r="I5238" s="5">
        <f>Tabelle13[[#This Row],[%]]+I5237</f>
        <v>0.9822965662123806</v>
      </c>
      <c r="J5238" s="4">
        <f t="shared" si="195"/>
        <v>1.105583195135434E-4</v>
      </c>
      <c r="K5238" s="5">
        <f t="shared" si="196"/>
        <v>0.57888336097296778</v>
      </c>
    </row>
    <row r="5239" spans="1:11" x14ac:dyDescent="0.25">
      <c r="A5239" t="s">
        <v>4319</v>
      </c>
      <c r="C5239" t="s">
        <v>4320</v>
      </c>
      <c r="D5239" t="s">
        <v>5</v>
      </c>
      <c r="E5239" t="s">
        <v>6</v>
      </c>
      <c r="F5239" t="s">
        <v>724</v>
      </c>
      <c r="G5239">
        <v>1</v>
      </c>
      <c r="H5239" s="2">
        <f>Tabelle13[[#This Row],[commits]]/Tabelle13[[#Totals],[commits]]</f>
        <v>4.6477904404246225E-6</v>
      </c>
      <c r="I5239" s="5">
        <f>Tabelle13[[#This Row],[%]]+I5238</f>
        <v>0.982301214002821</v>
      </c>
      <c r="J5239" s="4">
        <f t="shared" si="195"/>
        <v>1.105583195135434E-4</v>
      </c>
      <c r="K5239" s="5">
        <f t="shared" si="196"/>
        <v>0.57899391929248134</v>
      </c>
    </row>
    <row r="5240" spans="1:11" x14ac:dyDescent="0.25">
      <c r="A5240" t="s">
        <v>4321</v>
      </c>
      <c r="C5240" t="s">
        <v>4322</v>
      </c>
      <c r="D5240" t="s">
        <v>5</v>
      </c>
      <c r="E5240" t="s">
        <v>6</v>
      </c>
      <c r="F5240" t="s">
        <v>724</v>
      </c>
      <c r="G5240">
        <v>1</v>
      </c>
      <c r="H5240" s="2">
        <f>Tabelle13[[#This Row],[commits]]/Tabelle13[[#Totals],[commits]]</f>
        <v>4.6477904404246225E-6</v>
      </c>
      <c r="I5240" s="5">
        <f>Tabelle13[[#This Row],[%]]+I5239</f>
        <v>0.9823058617932614</v>
      </c>
      <c r="J5240" s="4">
        <f t="shared" si="195"/>
        <v>1.105583195135434E-4</v>
      </c>
      <c r="K5240" s="5">
        <f t="shared" si="196"/>
        <v>0.57910447761199491</v>
      </c>
    </row>
    <row r="5241" spans="1:11" x14ac:dyDescent="0.25">
      <c r="A5241" t="s">
        <v>4323</v>
      </c>
      <c r="C5241" t="s">
        <v>4324</v>
      </c>
      <c r="D5241" t="s">
        <v>5</v>
      </c>
      <c r="E5241" t="s">
        <v>6</v>
      </c>
      <c r="F5241" t="s">
        <v>724</v>
      </c>
      <c r="G5241">
        <v>1</v>
      </c>
      <c r="H5241" s="2">
        <f>Tabelle13[[#This Row],[commits]]/Tabelle13[[#Totals],[commits]]</f>
        <v>4.6477904404246225E-6</v>
      </c>
      <c r="I5241" s="5">
        <f>Tabelle13[[#This Row],[%]]+I5240</f>
        <v>0.98231050958370181</v>
      </c>
      <c r="J5241" s="4">
        <f t="shared" si="195"/>
        <v>1.105583195135434E-4</v>
      </c>
      <c r="K5241" s="5">
        <f t="shared" si="196"/>
        <v>0.57921503593150847</v>
      </c>
    </row>
    <row r="5242" spans="1:11" x14ac:dyDescent="0.25">
      <c r="A5242" t="s">
        <v>4325</v>
      </c>
      <c r="C5242" t="s">
        <v>4326</v>
      </c>
      <c r="D5242" t="s">
        <v>5</v>
      </c>
      <c r="E5242" t="s">
        <v>6</v>
      </c>
      <c r="F5242" t="s">
        <v>724</v>
      </c>
      <c r="G5242">
        <v>1</v>
      </c>
      <c r="H5242" s="2">
        <f>Tabelle13[[#This Row],[commits]]/Tabelle13[[#Totals],[commits]]</f>
        <v>4.6477904404246225E-6</v>
      </c>
      <c r="I5242" s="5">
        <f>Tabelle13[[#This Row],[%]]+I5241</f>
        <v>0.98231515737414221</v>
      </c>
      <c r="J5242" s="4">
        <f t="shared" si="195"/>
        <v>1.105583195135434E-4</v>
      </c>
      <c r="K5242" s="5">
        <f t="shared" si="196"/>
        <v>0.57932559425102204</v>
      </c>
    </row>
    <row r="5243" spans="1:11" x14ac:dyDescent="0.25">
      <c r="A5243" t="s">
        <v>4327</v>
      </c>
      <c r="C5243" t="s">
        <v>4328</v>
      </c>
      <c r="D5243" t="s">
        <v>5</v>
      </c>
      <c r="E5243" t="s">
        <v>6</v>
      </c>
      <c r="F5243" t="s">
        <v>724</v>
      </c>
      <c r="G5243">
        <v>1</v>
      </c>
      <c r="H5243" s="2">
        <f>Tabelle13[[#This Row],[commits]]/Tabelle13[[#Totals],[commits]]</f>
        <v>4.6477904404246225E-6</v>
      </c>
      <c r="I5243" s="5">
        <f>Tabelle13[[#This Row],[%]]+I5242</f>
        <v>0.98231980516458262</v>
      </c>
      <c r="J5243" s="4">
        <f t="shared" si="195"/>
        <v>1.105583195135434E-4</v>
      </c>
      <c r="K5243" s="5">
        <f t="shared" si="196"/>
        <v>0.5794361525705356</v>
      </c>
    </row>
    <row r="5244" spans="1:11" x14ac:dyDescent="0.25">
      <c r="A5244" t="s">
        <v>4329</v>
      </c>
      <c r="C5244" t="s">
        <v>4330</v>
      </c>
      <c r="D5244" t="s">
        <v>5</v>
      </c>
      <c r="E5244" t="s">
        <v>6</v>
      </c>
      <c r="F5244" t="s">
        <v>724</v>
      </c>
      <c r="G5244">
        <v>1</v>
      </c>
      <c r="H5244" s="2">
        <f>Tabelle13[[#This Row],[commits]]/Tabelle13[[#Totals],[commits]]</f>
        <v>4.6477904404246225E-6</v>
      </c>
      <c r="I5244" s="5">
        <f>Tabelle13[[#This Row],[%]]+I5243</f>
        <v>0.98232445295502302</v>
      </c>
      <c r="J5244" s="4">
        <f t="shared" si="195"/>
        <v>1.105583195135434E-4</v>
      </c>
      <c r="K5244" s="5">
        <f t="shared" si="196"/>
        <v>0.57954671089004917</v>
      </c>
    </row>
    <row r="5245" spans="1:11" x14ac:dyDescent="0.25">
      <c r="A5245" t="s">
        <v>4331</v>
      </c>
      <c r="C5245" t="s">
        <v>4332</v>
      </c>
      <c r="D5245" t="s">
        <v>5</v>
      </c>
      <c r="E5245" t="s">
        <v>6</v>
      </c>
      <c r="F5245" t="s">
        <v>724</v>
      </c>
      <c r="G5245">
        <v>1</v>
      </c>
      <c r="H5245" s="2">
        <f>Tabelle13[[#This Row],[commits]]/Tabelle13[[#Totals],[commits]]</f>
        <v>4.6477904404246225E-6</v>
      </c>
      <c r="I5245" s="5">
        <f>Tabelle13[[#This Row],[%]]+I5244</f>
        <v>0.98232910074546342</v>
      </c>
      <c r="J5245" s="4">
        <f t="shared" si="195"/>
        <v>1.105583195135434E-4</v>
      </c>
      <c r="K5245" s="5">
        <f t="shared" si="196"/>
        <v>0.57965726920956273</v>
      </c>
    </row>
    <row r="5246" spans="1:11" x14ac:dyDescent="0.25">
      <c r="A5246" t="s">
        <v>4333</v>
      </c>
      <c r="C5246" t="s">
        <v>4334</v>
      </c>
      <c r="D5246" t="s">
        <v>5</v>
      </c>
      <c r="E5246" t="s">
        <v>6</v>
      </c>
      <c r="F5246" t="s">
        <v>724</v>
      </c>
      <c r="G5246">
        <v>1</v>
      </c>
      <c r="H5246" s="2">
        <f>Tabelle13[[#This Row],[commits]]/Tabelle13[[#Totals],[commits]]</f>
        <v>4.6477904404246225E-6</v>
      </c>
      <c r="I5246" s="5">
        <f>Tabelle13[[#This Row],[%]]+I5245</f>
        <v>0.98233374853590383</v>
      </c>
      <c r="J5246" s="4">
        <f t="shared" si="195"/>
        <v>1.105583195135434E-4</v>
      </c>
      <c r="K5246" s="5">
        <f t="shared" si="196"/>
        <v>0.5797678275290763</v>
      </c>
    </row>
    <row r="5247" spans="1:11" x14ac:dyDescent="0.25">
      <c r="A5247" t="s">
        <v>4335</v>
      </c>
      <c r="C5247" t="s">
        <v>4336</v>
      </c>
      <c r="D5247" t="s">
        <v>5</v>
      </c>
      <c r="E5247" t="s">
        <v>6</v>
      </c>
      <c r="F5247" t="s">
        <v>724</v>
      </c>
      <c r="G5247">
        <v>1</v>
      </c>
      <c r="H5247" s="2">
        <f>Tabelle13[[#This Row],[commits]]/Tabelle13[[#Totals],[commits]]</f>
        <v>4.6477904404246225E-6</v>
      </c>
      <c r="I5247" s="5">
        <f>Tabelle13[[#This Row],[%]]+I5246</f>
        <v>0.98233839632634423</v>
      </c>
      <c r="J5247" s="4">
        <f t="shared" si="195"/>
        <v>1.105583195135434E-4</v>
      </c>
      <c r="K5247" s="5">
        <f t="shared" si="196"/>
        <v>0.57987838584858986</v>
      </c>
    </row>
    <row r="5248" spans="1:11" x14ac:dyDescent="0.25">
      <c r="A5248" t="s">
        <v>4337</v>
      </c>
      <c r="C5248" t="s">
        <v>4338</v>
      </c>
      <c r="D5248" t="s">
        <v>5</v>
      </c>
      <c r="E5248" t="s">
        <v>6</v>
      </c>
      <c r="F5248" t="s">
        <v>724</v>
      </c>
      <c r="G5248">
        <v>1</v>
      </c>
      <c r="H5248" s="2">
        <f>Tabelle13[[#This Row],[commits]]/Tabelle13[[#Totals],[commits]]</f>
        <v>4.6477904404246225E-6</v>
      </c>
      <c r="I5248" s="5">
        <f>Tabelle13[[#This Row],[%]]+I5247</f>
        <v>0.98234304411678464</v>
      </c>
      <c r="J5248" s="4">
        <f t="shared" si="195"/>
        <v>1.105583195135434E-4</v>
      </c>
      <c r="K5248" s="5">
        <f t="shared" si="196"/>
        <v>0.57998894416810343</v>
      </c>
    </row>
    <row r="5249" spans="1:11" x14ac:dyDescent="0.25">
      <c r="A5249" t="s">
        <v>4339</v>
      </c>
      <c r="C5249" t="s">
        <v>4340</v>
      </c>
      <c r="D5249" t="s">
        <v>5</v>
      </c>
      <c r="E5249" t="s">
        <v>6</v>
      </c>
      <c r="F5249" t="s">
        <v>724</v>
      </c>
      <c r="G5249">
        <v>1</v>
      </c>
      <c r="H5249" s="2">
        <f>Tabelle13[[#This Row],[commits]]/Tabelle13[[#Totals],[commits]]</f>
        <v>4.6477904404246225E-6</v>
      </c>
      <c r="I5249" s="5">
        <f>Tabelle13[[#This Row],[%]]+I5248</f>
        <v>0.98234769190722504</v>
      </c>
      <c r="J5249" s="4">
        <f t="shared" si="195"/>
        <v>1.105583195135434E-4</v>
      </c>
      <c r="K5249" s="5">
        <f t="shared" si="196"/>
        <v>0.58009950248761699</v>
      </c>
    </row>
    <row r="5250" spans="1:11" x14ac:dyDescent="0.25">
      <c r="A5250" t="s">
        <v>4341</v>
      </c>
      <c r="C5250" t="s">
        <v>4342</v>
      </c>
      <c r="D5250" t="s">
        <v>5</v>
      </c>
      <c r="E5250" t="s">
        <v>6</v>
      </c>
      <c r="F5250" t="s">
        <v>724</v>
      </c>
      <c r="G5250">
        <v>1</v>
      </c>
      <c r="H5250" s="2">
        <f>Tabelle13[[#This Row],[commits]]/Tabelle13[[#Totals],[commits]]</f>
        <v>4.6477904404246225E-6</v>
      </c>
      <c r="I5250" s="5">
        <f>Tabelle13[[#This Row],[%]]+I5249</f>
        <v>0.98235233969766544</v>
      </c>
      <c r="J5250" s="4">
        <f t="shared" si="195"/>
        <v>1.105583195135434E-4</v>
      </c>
      <c r="K5250" s="5">
        <f t="shared" si="196"/>
        <v>0.58021006080713056</v>
      </c>
    </row>
    <row r="5251" spans="1:11" x14ac:dyDescent="0.25">
      <c r="A5251" t="s">
        <v>4343</v>
      </c>
      <c r="C5251" t="s">
        <v>4344</v>
      </c>
      <c r="D5251" t="s">
        <v>5</v>
      </c>
      <c r="E5251" t="s">
        <v>6</v>
      </c>
      <c r="F5251" t="s">
        <v>724</v>
      </c>
      <c r="G5251">
        <v>1</v>
      </c>
      <c r="H5251" s="2">
        <f>Tabelle13[[#This Row],[commits]]/Tabelle13[[#Totals],[commits]]</f>
        <v>4.6477904404246225E-6</v>
      </c>
      <c r="I5251" s="5">
        <f>Tabelle13[[#This Row],[%]]+I5250</f>
        <v>0.98235698748810585</v>
      </c>
      <c r="J5251" s="4">
        <f t="shared" ref="J5251:J5314" si="197">1/9045</f>
        <v>1.105583195135434E-4</v>
      </c>
      <c r="K5251" s="5">
        <f t="shared" si="196"/>
        <v>0.58032061912664412</v>
      </c>
    </row>
    <row r="5252" spans="1:11" x14ac:dyDescent="0.25">
      <c r="A5252" t="s">
        <v>4345</v>
      </c>
      <c r="C5252" t="s">
        <v>211</v>
      </c>
      <c r="D5252" t="s">
        <v>5</v>
      </c>
      <c r="E5252" t="s">
        <v>6</v>
      </c>
      <c r="F5252" t="s">
        <v>724</v>
      </c>
      <c r="G5252">
        <v>1</v>
      </c>
      <c r="H5252" s="2">
        <f>Tabelle13[[#This Row],[commits]]/Tabelle13[[#Totals],[commits]]</f>
        <v>4.6477904404246225E-6</v>
      </c>
      <c r="I5252" s="5">
        <f>Tabelle13[[#This Row],[%]]+I5251</f>
        <v>0.98236163527854625</v>
      </c>
      <c r="J5252" s="4">
        <f t="shared" si="197"/>
        <v>1.105583195135434E-4</v>
      </c>
      <c r="K5252" s="5">
        <f t="shared" si="196"/>
        <v>0.58043117744615769</v>
      </c>
    </row>
    <row r="5253" spans="1:11" x14ac:dyDescent="0.25">
      <c r="A5253" t="s">
        <v>4346</v>
      </c>
      <c r="C5253" t="s">
        <v>4347</v>
      </c>
      <c r="D5253" t="s">
        <v>5</v>
      </c>
      <c r="E5253" t="s">
        <v>6</v>
      </c>
      <c r="F5253" t="s">
        <v>724</v>
      </c>
      <c r="G5253">
        <v>1</v>
      </c>
      <c r="H5253" s="2">
        <f>Tabelle13[[#This Row],[commits]]/Tabelle13[[#Totals],[commits]]</f>
        <v>4.6477904404246225E-6</v>
      </c>
      <c r="I5253" s="5">
        <f>Tabelle13[[#This Row],[%]]+I5252</f>
        <v>0.98236628306898666</v>
      </c>
      <c r="J5253" s="4">
        <f t="shared" si="197"/>
        <v>1.105583195135434E-4</v>
      </c>
      <c r="K5253" s="5">
        <f t="shared" si="196"/>
        <v>0.58054173576567125</v>
      </c>
    </row>
    <row r="5254" spans="1:11" x14ac:dyDescent="0.25">
      <c r="A5254" t="s">
        <v>4348</v>
      </c>
      <c r="C5254" t="s">
        <v>4349</v>
      </c>
      <c r="D5254" t="s">
        <v>5</v>
      </c>
      <c r="E5254" t="s">
        <v>6</v>
      </c>
      <c r="F5254" t="s">
        <v>724</v>
      </c>
      <c r="G5254">
        <v>1</v>
      </c>
      <c r="H5254" s="2">
        <f>Tabelle13[[#This Row],[commits]]/Tabelle13[[#Totals],[commits]]</f>
        <v>4.6477904404246225E-6</v>
      </c>
      <c r="I5254" s="5">
        <f>Tabelle13[[#This Row],[%]]+I5253</f>
        <v>0.98237093085942706</v>
      </c>
      <c r="J5254" s="4">
        <f t="shared" si="197"/>
        <v>1.105583195135434E-4</v>
      </c>
      <c r="K5254" s="5">
        <f t="shared" ref="K5254:K5317" si="198">J5254+K5253</f>
        <v>0.58065229408518482</v>
      </c>
    </row>
    <row r="5255" spans="1:11" x14ac:dyDescent="0.25">
      <c r="A5255" t="s">
        <v>4350</v>
      </c>
      <c r="C5255" t="s">
        <v>4351</v>
      </c>
      <c r="D5255" t="s">
        <v>5</v>
      </c>
      <c r="E5255" t="s">
        <v>6</v>
      </c>
      <c r="F5255" t="s">
        <v>724</v>
      </c>
      <c r="G5255">
        <v>1</v>
      </c>
      <c r="H5255" s="2">
        <f>Tabelle13[[#This Row],[commits]]/Tabelle13[[#Totals],[commits]]</f>
        <v>4.6477904404246225E-6</v>
      </c>
      <c r="I5255" s="5">
        <f>Tabelle13[[#This Row],[%]]+I5254</f>
        <v>0.98237557864986746</v>
      </c>
      <c r="J5255" s="4">
        <f t="shared" si="197"/>
        <v>1.105583195135434E-4</v>
      </c>
      <c r="K5255" s="5">
        <f t="shared" si="198"/>
        <v>0.58076285240469838</v>
      </c>
    </row>
    <row r="5256" spans="1:11" x14ac:dyDescent="0.25">
      <c r="A5256" t="s">
        <v>4352</v>
      </c>
      <c r="C5256" t="s">
        <v>161</v>
      </c>
      <c r="D5256" t="s">
        <v>5</v>
      </c>
      <c r="E5256" t="s">
        <v>6</v>
      </c>
      <c r="F5256" t="s">
        <v>724</v>
      </c>
      <c r="G5256">
        <v>1</v>
      </c>
      <c r="H5256" s="2">
        <f>Tabelle13[[#This Row],[commits]]/Tabelle13[[#Totals],[commits]]</f>
        <v>4.6477904404246225E-6</v>
      </c>
      <c r="I5256" s="5">
        <f>Tabelle13[[#This Row],[%]]+I5255</f>
        <v>0.98238022644030787</v>
      </c>
      <c r="J5256" s="4">
        <f t="shared" si="197"/>
        <v>1.105583195135434E-4</v>
      </c>
      <c r="K5256" s="5">
        <f t="shared" si="198"/>
        <v>0.58087341072421195</v>
      </c>
    </row>
    <row r="5257" spans="1:11" x14ac:dyDescent="0.25">
      <c r="A5257" t="s">
        <v>4353</v>
      </c>
      <c r="C5257" t="s">
        <v>4354</v>
      </c>
      <c r="D5257" t="s">
        <v>5</v>
      </c>
      <c r="E5257" t="s">
        <v>6</v>
      </c>
      <c r="F5257" t="s">
        <v>724</v>
      </c>
      <c r="G5257">
        <v>1</v>
      </c>
      <c r="H5257" s="2">
        <f>Tabelle13[[#This Row],[commits]]/Tabelle13[[#Totals],[commits]]</f>
        <v>4.6477904404246225E-6</v>
      </c>
      <c r="I5257" s="5">
        <f>Tabelle13[[#This Row],[%]]+I5256</f>
        <v>0.98238487423074827</v>
      </c>
      <c r="J5257" s="4">
        <f t="shared" si="197"/>
        <v>1.105583195135434E-4</v>
      </c>
      <c r="K5257" s="5">
        <f t="shared" si="198"/>
        <v>0.58098396904372551</v>
      </c>
    </row>
    <row r="5258" spans="1:11" x14ac:dyDescent="0.25">
      <c r="A5258" t="s">
        <v>4355</v>
      </c>
      <c r="C5258" t="s">
        <v>4356</v>
      </c>
      <c r="D5258" t="s">
        <v>5</v>
      </c>
      <c r="E5258" t="s">
        <v>6</v>
      </c>
      <c r="F5258" t="s">
        <v>724</v>
      </c>
      <c r="G5258">
        <v>1</v>
      </c>
      <c r="H5258" s="2">
        <f>Tabelle13[[#This Row],[commits]]/Tabelle13[[#Totals],[commits]]</f>
        <v>4.6477904404246225E-6</v>
      </c>
      <c r="I5258" s="5">
        <f>Tabelle13[[#This Row],[%]]+I5257</f>
        <v>0.98238952202118868</v>
      </c>
      <c r="J5258" s="4">
        <f t="shared" si="197"/>
        <v>1.105583195135434E-4</v>
      </c>
      <c r="K5258" s="5">
        <f t="shared" si="198"/>
        <v>0.58109452736323908</v>
      </c>
    </row>
    <row r="5259" spans="1:11" x14ac:dyDescent="0.25">
      <c r="A5259" t="s">
        <v>4357</v>
      </c>
      <c r="C5259" t="s">
        <v>4358</v>
      </c>
      <c r="D5259" t="s">
        <v>5</v>
      </c>
      <c r="E5259" t="s">
        <v>6</v>
      </c>
      <c r="F5259" t="s">
        <v>724</v>
      </c>
      <c r="G5259">
        <v>1</v>
      </c>
      <c r="H5259" s="2">
        <f>Tabelle13[[#This Row],[commits]]/Tabelle13[[#Totals],[commits]]</f>
        <v>4.6477904404246225E-6</v>
      </c>
      <c r="I5259" s="5">
        <f>Tabelle13[[#This Row],[%]]+I5258</f>
        <v>0.98239416981162908</v>
      </c>
      <c r="J5259" s="4">
        <f t="shared" si="197"/>
        <v>1.105583195135434E-4</v>
      </c>
      <c r="K5259" s="5">
        <f t="shared" si="198"/>
        <v>0.58120508568275264</v>
      </c>
    </row>
    <row r="5260" spans="1:11" x14ac:dyDescent="0.25">
      <c r="A5260" t="s">
        <v>4359</v>
      </c>
      <c r="C5260" t="s">
        <v>4360</v>
      </c>
      <c r="D5260" t="s">
        <v>5</v>
      </c>
      <c r="E5260" t="s">
        <v>6</v>
      </c>
      <c r="F5260" t="s">
        <v>724</v>
      </c>
      <c r="G5260">
        <v>1</v>
      </c>
      <c r="H5260" s="2">
        <f>Tabelle13[[#This Row],[commits]]/Tabelle13[[#Totals],[commits]]</f>
        <v>4.6477904404246225E-6</v>
      </c>
      <c r="I5260" s="5">
        <f>Tabelle13[[#This Row],[%]]+I5259</f>
        <v>0.98239881760206949</v>
      </c>
      <c r="J5260" s="4">
        <f t="shared" si="197"/>
        <v>1.105583195135434E-4</v>
      </c>
      <c r="K5260" s="5">
        <f t="shared" si="198"/>
        <v>0.58131564400226621</v>
      </c>
    </row>
    <row r="5261" spans="1:11" x14ac:dyDescent="0.25">
      <c r="A5261" t="s">
        <v>4361</v>
      </c>
      <c r="C5261" t="s">
        <v>4362</v>
      </c>
      <c r="D5261" t="s">
        <v>5</v>
      </c>
      <c r="E5261" t="s">
        <v>6</v>
      </c>
      <c r="F5261" t="s">
        <v>724</v>
      </c>
      <c r="G5261">
        <v>1</v>
      </c>
      <c r="H5261" s="2">
        <f>Tabelle13[[#This Row],[commits]]/Tabelle13[[#Totals],[commits]]</f>
        <v>4.6477904404246225E-6</v>
      </c>
      <c r="I5261" s="5">
        <f>Tabelle13[[#This Row],[%]]+I5260</f>
        <v>0.98240346539250989</v>
      </c>
      <c r="J5261" s="4">
        <f t="shared" si="197"/>
        <v>1.105583195135434E-4</v>
      </c>
      <c r="K5261" s="5">
        <f t="shared" si="198"/>
        <v>0.58142620232177977</v>
      </c>
    </row>
    <row r="5262" spans="1:11" x14ac:dyDescent="0.25">
      <c r="A5262" t="s">
        <v>4363</v>
      </c>
      <c r="C5262" t="s">
        <v>4364</v>
      </c>
      <c r="D5262" t="s">
        <v>5</v>
      </c>
      <c r="E5262" t="s">
        <v>6</v>
      </c>
      <c r="F5262" t="s">
        <v>724</v>
      </c>
      <c r="G5262">
        <v>1</v>
      </c>
      <c r="H5262" s="2">
        <f>Tabelle13[[#This Row],[commits]]/Tabelle13[[#Totals],[commits]]</f>
        <v>4.6477904404246225E-6</v>
      </c>
      <c r="I5262" s="5">
        <f>Tabelle13[[#This Row],[%]]+I5261</f>
        <v>0.98240811318295029</v>
      </c>
      <c r="J5262" s="4">
        <f t="shared" si="197"/>
        <v>1.105583195135434E-4</v>
      </c>
      <c r="K5262" s="5">
        <f t="shared" si="198"/>
        <v>0.58153676064129334</v>
      </c>
    </row>
    <row r="5263" spans="1:11" x14ac:dyDescent="0.25">
      <c r="A5263" t="s">
        <v>4365</v>
      </c>
      <c r="C5263" t="s">
        <v>4366</v>
      </c>
      <c r="D5263" t="s">
        <v>5</v>
      </c>
      <c r="E5263" t="s">
        <v>6</v>
      </c>
      <c r="F5263" t="s">
        <v>724</v>
      </c>
      <c r="G5263">
        <v>1</v>
      </c>
      <c r="H5263" s="2">
        <f>Tabelle13[[#This Row],[commits]]/Tabelle13[[#Totals],[commits]]</f>
        <v>4.6477904404246225E-6</v>
      </c>
      <c r="I5263" s="5">
        <f>Tabelle13[[#This Row],[%]]+I5262</f>
        <v>0.9824127609733907</v>
      </c>
      <c r="J5263" s="4">
        <f t="shared" si="197"/>
        <v>1.105583195135434E-4</v>
      </c>
      <c r="K5263" s="5">
        <f t="shared" si="198"/>
        <v>0.5816473189608069</v>
      </c>
    </row>
    <row r="5264" spans="1:11" x14ac:dyDescent="0.25">
      <c r="A5264" t="s">
        <v>4367</v>
      </c>
      <c r="C5264" t="s">
        <v>4368</v>
      </c>
      <c r="D5264" t="s">
        <v>5</v>
      </c>
      <c r="E5264" t="s">
        <v>6</v>
      </c>
      <c r="F5264" t="s">
        <v>724</v>
      </c>
      <c r="G5264">
        <v>1</v>
      </c>
      <c r="H5264" s="2">
        <f>Tabelle13[[#This Row],[commits]]/Tabelle13[[#Totals],[commits]]</f>
        <v>4.6477904404246225E-6</v>
      </c>
      <c r="I5264" s="5">
        <f>Tabelle13[[#This Row],[%]]+I5263</f>
        <v>0.9824174087638311</v>
      </c>
      <c r="J5264" s="4">
        <f t="shared" si="197"/>
        <v>1.105583195135434E-4</v>
      </c>
      <c r="K5264" s="5">
        <f t="shared" si="198"/>
        <v>0.58175787728032047</v>
      </c>
    </row>
    <row r="5265" spans="1:11" x14ac:dyDescent="0.25">
      <c r="A5265" t="s">
        <v>4369</v>
      </c>
      <c r="C5265" t="s">
        <v>4370</v>
      </c>
      <c r="D5265" t="s">
        <v>5</v>
      </c>
      <c r="E5265" t="s">
        <v>6</v>
      </c>
      <c r="F5265" t="s">
        <v>724</v>
      </c>
      <c r="G5265">
        <v>1</v>
      </c>
      <c r="H5265" s="2">
        <f>Tabelle13[[#This Row],[commits]]/Tabelle13[[#Totals],[commits]]</f>
        <v>4.6477904404246225E-6</v>
      </c>
      <c r="I5265" s="5">
        <f>Tabelle13[[#This Row],[%]]+I5264</f>
        <v>0.98242205655427151</v>
      </c>
      <c r="J5265" s="4">
        <f t="shared" si="197"/>
        <v>1.105583195135434E-4</v>
      </c>
      <c r="K5265" s="5">
        <f t="shared" si="198"/>
        <v>0.58186843559983403</v>
      </c>
    </row>
    <row r="5266" spans="1:11" x14ac:dyDescent="0.25">
      <c r="A5266" t="s">
        <v>4371</v>
      </c>
      <c r="C5266" t="s">
        <v>4372</v>
      </c>
      <c r="D5266" t="s">
        <v>5</v>
      </c>
      <c r="E5266" t="s">
        <v>6</v>
      </c>
      <c r="F5266" t="s">
        <v>724</v>
      </c>
      <c r="G5266">
        <v>1</v>
      </c>
      <c r="H5266" s="2">
        <f>Tabelle13[[#This Row],[commits]]/Tabelle13[[#Totals],[commits]]</f>
        <v>4.6477904404246225E-6</v>
      </c>
      <c r="I5266" s="5">
        <f>Tabelle13[[#This Row],[%]]+I5265</f>
        <v>0.98242670434471191</v>
      </c>
      <c r="J5266" s="4">
        <f t="shared" si="197"/>
        <v>1.105583195135434E-4</v>
      </c>
      <c r="K5266" s="5">
        <f t="shared" si="198"/>
        <v>0.5819789939193476</v>
      </c>
    </row>
    <row r="5267" spans="1:11" x14ac:dyDescent="0.25">
      <c r="A5267" t="s">
        <v>4373</v>
      </c>
      <c r="C5267" t="s">
        <v>4374</v>
      </c>
      <c r="D5267" t="s">
        <v>5</v>
      </c>
      <c r="E5267" t="s">
        <v>6</v>
      </c>
      <c r="F5267" t="s">
        <v>724</v>
      </c>
      <c r="G5267">
        <v>1</v>
      </c>
      <c r="H5267" s="2">
        <f>Tabelle13[[#This Row],[commits]]/Tabelle13[[#Totals],[commits]]</f>
        <v>4.6477904404246225E-6</v>
      </c>
      <c r="I5267" s="5">
        <f>Tabelle13[[#This Row],[%]]+I5266</f>
        <v>0.98243135213515231</v>
      </c>
      <c r="J5267" s="4">
        <f t="shared" si="197"/>
        <v>1.105583195135434E-4</v>
      </c>
      <c r="K5267" s="5">
        <f t="shared" si="198"/>
        <v>0.58208955223886116</v>
      </c>
    </row>
    <row r="5268" spans="1:11" x14ac:dyDescent="0.25">
      <c r="A5268" t="s">
        <v>4375</v>
      </c>
      <c r="C5268" t="s">
        <v>4376</v>
      </c>
      <c r="D5268" t="s">
        <v>5</v>
      </c>
      <c r="E5268" t="s">
        <v>6</v>
      </c>
      <c r="F5268" t="s">
        <v>724</v>
      </c>
      <c r="G5268">
        <v>1</v>
      </c>
      <c r="H5268" s="2">
        <f>Tabelle13[[#This Row],[commits]]/Tabelle13[[#Totals],[commits]]</f>
        <v>4.6477904404246225E-6</v>
      </c>
      <c r="I5268" s="5">
        <f>Tabelle13[[#This Row],[%]]+I5267</f>
        <v>0.98243599992559272</v>
      </c>
      <c r="J5268" s="4">
        <f t="shared" si="197"/>
        <v>1.105583195135434E-4</v>
      </c>
      <c r="K5268" s="5">
        <f t="shared" si="198"/>
        <v>0.58220011055837473</v>
      </c>
    </row>
    <row r="5269" spans="1:11" x14ac:dyDescent="0.25">
      <c r="A5269" t="s">
        <v>4377</v>
      </c>
      <c r="C5269" t="s">
        <v>4378</v>
      </c>
      <c r="D5269" t="s">
        <v>5</v>
      </c>
      <c r="E5269" t="s">
        <v>6</v>
      </c>
      <c r="F5269" t="s">
        <v>724</v>
      </c>
      <c r="G5269">
        <v>1</v>
      </c>
      <c r="H5269" s="2">
        <f>Tabelle13[[#This Row],[commits]]/Tabelle13[[#Totals],[commits]]</f>
        <v>4.6477904404246225E-6</v>
      </c>
      <c r="I5269" s="5">
        <f>Tabelle13[[#This Row],[%]]+I5268</f>
        <v>0.98244064771603312</v>
      </c>
      <c r="J5269" s="4">
        <f t="shared" si="197"/>
        <v>1.105583195135434E-4</v>
      </c>
      <c r="K5269" s="5">
        <f t="shared" si="198"/>
        <v>0.58231066887788829</v>
      </c>
    </row>
    <row r="5270" spans="1:11" x14ac:dyDescent="0.25">
      <c r="A5270" t="s">
        <v>4379</v>
      </c>
      <c r="C5270" t="s">
        <v>4380</v>
      </c>
      <c r="D5270" t="s">
        <v>5</v>
      </c>
      <c r="E5270" t="s">
        <v>6</v>
      </c>
      <c r="F5270" t="s">
        <v>724</v>
      </c>
      <c r="G5270">
        <v>1</v>
      </c>
      <c r="H5270" s="2">
        <f>Tabelle13[[#This Row],[commits]]/Tabelle13[[#Totals],[commits]]</f>
        <v>4.6477904404246225E-6</v>
      </c>
      <c r="I5270" s="5">
        <f>Tabelle13[[#This Row],[%]]+I5269</f>
        <v>0.98244529550647353</v>
      </c>
      <c r="J5270" s="4">
        <f t="shared" si="197"/>
        <v>1.105583195135434E-4</v>
      </c>
      <c r="K5270" s="5">
        <f t="shared" si="198"/>
        <v>0.58242122719740186</v>
      </c>
    </row>
    <row r="5271" spans="1:11" x14ac:dyDescent="0.25">
      <c r="A5271" t="s">
        <v>4381</v>
      </c>
      <c r="C5271" t="s">
        <v>4382</v>
      </c>
      <c r="D5271" t="s">
        <v>5</v>
      </c>
      <c r="E5271" t="s">
        <v>6</v>
      </c>
      <c r="F5271" t="s">
        <v>724</v>
      </c>
      <c r="G5271">
        <v>1</v>
      </c>
      <c r="H5271" s="2">
        <f>Tabelle13[[#This Row],[commits]]/Tabelle13[[#Totals],[commits]]</f>
        <v>4.6477904404246225E-6</v>
      </c>
      <c r="I5271" s="5">
        <f>Tabelle13[[#This Row],[%]]+I5270</f>
        <v>0.98244994329691393</v>
      </c>
      <c r="J5271" s="4">
        <f t="shared" si="197"/>
        <v>1.105583195135434E-4</v>
      </c>
      <c r="K5271" s="5">
        <f t="shared" si="198"/>
        <v>0.58253178551691542</v>
      </c>
    </row>
    <row r="5272" spans="1:11" x14ac:dyDescent="0.25">
      <c r="A5272" t="s">
        <v>4383</v>
      </c>
      <c r="C5272" t="s">
        <v>4384</v>
      </c>
      <c r="D5272" t="s">
        <v>5</v>
      </c>
      <c r="E5272" t="s">
        <v>6</v>
      </c>
      <c r="F5272" t="s">
        <v>724</v>
      </c>
      <c r="G5272">
        <v>1</v>
      </c>
      <c r="H5272" s="2">
        <f>Tabelle13[[#This Row],[commits]]/Tabelle13[[#Totals],[commits]]</f>
        <v>4.6477904404246225E-6</v>
      </c>
      <c r="I5272" s="5">
        <f>Tabelle13[[#This Row],[%]]+I5271</f>
        <v>0.98245459108735433</v>
      </c>
      <c r="J5272" s="4">
        <f t="shared" si="197"/>
        <v>1.105583195135434E-4</v>
      </c>
      <c r="K5272" s="5">
        <f t="shared" si="198"/>
        <v>0.58264234383642899</v>
      </c>
    </row>
    <row r="5273" spans="1:11" x14ac:dyDescent="0.25">
      <c r="A5273" t="s">
        <v>4385</v>
      </c>
      <c r="C5273" t="s">
        <v>4386</v>
      </c>
      <c r="D5273" t="s">
        <v>5</v>
      </c>
      <c r="E5273" t="s">
        <v>6</v>
      </c>
      <c r="F5273" t="s">
        <v>724</v>
      </c>
      <c r="G5273">
        <v>1</v>
      </c>
      <c r="H5273" s="2">
        <f>Tabelle13[[#This Row],[commits]]/Tabelle13[[#Totals],[commits]]</f>
        <v>4.6477904404246225E-6</v>
      </c>
      <c r="I5273" s="5">
        <f>Tabelle13[[#This Row],[%]]+I5272</f>
        <v>0.98245923887779474</v>
      </c>
      <c r="J5273" s="4">
        <f t="shared" si="197"/>
        <v>1.105583195135434E-4</v>
      </c>
      <c r="K5273" s="5">
        <f t="shared" si="198"/>
        <v>0.58275290215594255</v>
      </c>
    </row>
    <row r="5274" spans="1:11" x14ac:dyDescent="0.25">
      <c r="A5274" t="s">
        <v>4387</v>
      </c>
      <c r="C5274" t="s">
        <v>4388</v>
      </c>
      <c r="D5274" t="s">
        <v>5</v>
      </c>
      <c r="E5274" t="s">
        <v>6</v>
      </c>
      <c r="F5274" t="s">
        <v>724</v>
      </c>
      <c r="G5274">
        <v>1</v>
      </c>
      <c r="H5274" s="2">
        <f>Tabelle13[[#This Row],[commits]]/Tabelle13[[#Totals],[commits]]</f>
        <v>4.6477904404246225E-6</v>
      </c>
      <c r="I5274" s="5">
        <f>Tabelle13[[#This Row],[%]]+I5273</f>
        <v>0.98246388666823514</v>
      </c>
      <c r="J5274" s="4">
        <f t="shared" si="197"/>
        <v>1.105583195135434E-4</v>
      </c>
      <c r="K5274" s="5">
        <f t="shared" si="198"/>
        <v>0.58286346047545612</v>
      </c>
    </row>
    <row r="5275" spans="1:11" x14ac:dyDescent="0.25">
      <c r="A5275" t="s">
        <v>4389</v>
      </c>
      <c r="C5275" t="s">
        <v>4390</v>
      </c>
      <c r="D5275" t="s">
        <v>5</v>
      </c>
      <c r="E5275" t="s">
        <v>6</v>
      </c>
      <c r="F5275" t="s">
        <v>724</v>
      </c>
      <c r="G5275">
        <v>1</v>
      </c>
      <c r="H5275" s="2">
        <f>Tabelle13[[#This Row],[commits]]/Tabelle13[[#Totals],[commits]]</f>
        <v>4.6477904404246225E-6</v>
      </c>
      <c r="I5275" s="5">
        <f>Tabelle13[[#This Row],[%]]+I5274</f>
        <v>0.98246853445867555</v>
      </c>
      <c r="J5275" s="4">
        <f t="shared" si="197"/>
        <v>1.105583195135434E-4</v>
      </c>
      <c r="K5275" s="5">
        <f t="shared" si="198"/>
        <v>0.58297401879496968</v>
      </c>
    </row>
    <row r="5276" spans="1:11" x14ac:dyDescent="0.25">
      <c r="A5276" t="s">
        <v>4391</v>
      </c>
      <c r="C5276" t="s">
        <v>187</v>
      </c>
      <c r="D5276" t="s">
        <v>5</v>
      </c>
      <c r="E5276" t="s">
        <v>6</v>
      </c>
      <c r="F5276" t="s">
        <v>724</v>
      </c>
      <c r="G5276">
        <v>1</v>
      </c>
      <c r="H5276" s="2">
        <f>Tabelle13[[#This Row],[commits]]/Tabelle13[[#Totals],[commits]]</f>
        <v>4.6477904404246225E-6</v>
      </c>
      <c r="I5276" s="5">
        <f>Tabelle13[[#This Row],[%]]+I5275</f>
        <v>0.98247318224911595</v>
      </c>
      <c r="J5276" s="4">
        <f t="shared" si="197"/>
        <v>1.105583195135434E-4</v>
      </c>
      <c r="K5276" s="5">
        <f t="shared" si="198"/>
        <v>0.58308457711448325</v>
      </c>
    </row>
    <row r="5277" spans="1:11" x14ac:dyDescent="0.25">
      <c r="A5277" t="s">
        <v>4392</v>
      </c>
      <c r="C5277" t="s">
        <v>4393</v>
      </c>
      <c r="D5277" t="s">
        <v>5</v>
      </c>
      <c r="E5277" t="s">
        <v>6</v>
      </c>
      <c r="F5277" t="s">
        <v>724</v>
      </c>
      <c r="G5277">
        <v>1</v>
      </c>
      <c r="H5277" s="2">
        <f>Tabelle13[[#This Row],[commits]]/Tabelle13[[#Totals],[commits]]</f>
        <v>4.6477904404246225E-6</v>
      </c>
      <c r="I5277" s="5">
        <f>Tabelle13[[#This Row],[%]]+I5276</f>
        <v>0.98247783003955635</v>
      </c>
      <c r="J5277" s="4">
        <f t="shared" si="197"/>
        <v>1.105583195135434E-4</v>
      </c>
      <c r="K5277" s="5">
        <f t="shared" si="198"/>
        <v>0.58319513543399681</v>
      </c>
    </row>
    <row r="5278" spans="1:11" x14ac:dyDescent="0.25">
      <c r="A5278" t="s">
        <v>4394</v>
      </c>
      <c r="C5278" t="s">
        <v>4395</v>
      </c>
      <c r="D5278" t="s">
        <v>5</v>
      </c>
      <c r="E5278" t="s">
        <v>6</v>
      </c>
      <c r="F5278" t="s">
        <v>724</v>
      </c>
      <c r="G5278">
        <v>1</v>
      </c>
      <c r="H5278" s="2">
        <f>Tabelle13[[#This Row],[commits]]/Tabelle13[[#Totals],[commits]]</f>
        <v>4.6477904404246225E-6</v>
      </c>
      <c r="I5278" s="5">
        <f>Tabelle13[[#This Row],[%]]+I5277</f>
        <v>0.98248247782999676</v>
      </c>
      <c r="J5278" s="4">
        <f t="shared" si="197"/>
        <v>1.105583195135434E-4</v>
      </c>
      <c r="K5278" s="5">
        <f t="shared" si="198"/>
        <v>0.58330569375351038</v>
      </c>
    </row>
    <row r="5279" spans="1:11" x14ac:dyDescent="0.25">
      <c r="A5279" t="s">
        <v>4396</v>
      </c>
      <c r="C5279" t="s">
        <v>4397</v>
      </c>
      <c r="D5279" t="s">
        <v>5</v>
      </c>
      <c r="E5279" t="s">
        <v>6</v>
      </c>
      <c r="F5279" t="s">
        <v>724</v>
      </c>
      <c r="G5279">
        <v>1</v>
      </c>
      <c r="H5279" s="2">
        <f>Tabelle13[[#This Row],[commits]]/Tabelle13[[#Totals],[commits]]</f>
        <v>4.6477904404246225E-6</v>
      </c>
      <c r="I5279" s="5">
        <f>Tabelle13[[#This Row],[%]]+I5278</f>
        <v>0.98248712562043716</v>
      </c>
      <c r="J5279" s="4">
        <f t="shared" si="197"/>
        <v>1.105583195135434E-4</v>
      </c>
      <c r="K5279" s="5">
        <f t="shared" si="198"/>
        <v>0.58341625207302394</v>
      </c>
    </row>
    <row r="5280" spans="1:11" x14ac:dyDescent="0.25">
      <c r="A5280" t="s">
        <v>4398</v>
      </c>
      <c r="C5280" t="s">
        <v>4399</v>
      </c>
      <c r="D5280" t="s">
        <v>5</v>
      </c>
      <c r="E5280" t="s">
        <v>6</v>
      </c>
      <c r="F5280" t="s">
        <v>724</v>
      </c>
      <c r="G5280">
        <v>1</v>
      </c>
      <c r="H5280" s="2">
        <f>Tabelle13[[#This Row],[commits]]/Tabelle13[[#Totals],[commits]]</f>
        <v>4.6477904404246225E-6</v>
      </c>
      <c r="I5280" s="5">
        <f>Tabelle13[[#This Row],[%]]+I5279</f>
        <v>0.98249177341087757</v>
      </c>
      <c r="J5280" s="4">
        <f t="shared" si="197"/>
        <v>1.105583195135434E-4</v>
      </c>
      <c r="K5280" s="5">
        <f t="shared" si="198"/>
        <v>0.58352681039253751</v>
      </c>
    </row>
    <row r="5281" spans="1:11" x14ac:dyDescent="0.25">
      <c r="A5281" t="s">
        <v>4400</v>
      </c>
      <c r="C5281" t="s">
        <v>26</v>
      </c>
      <c r="D5281" t="s">
        <v>5</v>
      </c>
      <c r="E5281" t="s">
        <v>6</v>
      </c>
      <c r="F5281" t="s">
        <v>724</v>
      </c>
      <c r="G5281">
        <v>1</v>
      </c>
      <c r="H5281" s="2">
        <f>Tabelle13[[#This Row],[commits]]/Tabelle13[[#Totals],[commits]]</f>
        <v>4.6477904404246225E-6</v>
      </c>
      <c r="I5281" s="5">
        <f>Tabelle13[[#This Row],[%]]+I5280</f>
        <v>0.98249642120131797</v>
      </c>
      <c r="J5281" s="4">
        <f t="shared" si="197"/>
        <v>1.105583195135434E-4</v>
      </c>
      <c r="K5281" s="5">
        <f t="shared" si="198"/>
        <v>0.58363736871205107</v>
      </c>
    </row>
    <row r="5282" spans="1:11" x14ac:dyDescent="0.25">
      <c r="A5282" t="s">
        <v>4401</v>
      </c>
      <c r="C5282" t="s">
        <v>4402</v>
      </c>
      <c r="D5282" t="s">
        <v>5</v>
      </c>
      <c r="E5282" t="s">
        <v>6</v>
      </c>
      <c r="F5282" t="s">
        <v>724</v>
      </c>
      <c r="G5282">
        <v>1</v>
      </c>
      <c r="H5282" s="2">
        <f>Tabelle13[[#This Row],[commits]]/Tabelle13[[#Totals],[commits]]</f>
        <v>4.6477904404246225E-6</v>
      </c>
      <c r="I5282" s="5">
        <f>Tabelle13[[#This Row],[%]]+I5281</f>
        <v>0.98250106899175838</v>
      </c>
      <c r="J5282" s="4">
        <f t="shared" si="197"/>
        <v>1.105583195135434E-4</v>
      </c>
      <c r="K5282" s="5">
        <f t="shared" si="198"/>
        <v>0.58374792703156464</v>
      </c>
    </row>
    <row r="5283" spans="1:11" x14ac:dyDescent="0.25">
      <c r="A5283" t="s">
        <v>4403</v>
      </c>
      <c r="C5283" t="s">
        <v>4404</v>
      </c>
      <c r="D5283" t="s">
        <v>5</v>
      </c>
      <c r="E5283" t="s">
        <v>6</v>
      </c>
      <c r="F5283" t="s">
        <v>724</v>
      </c>
      <c r="G5283">
        <v>1</v>
      </c>
      <c r="H5283" s="2">
        <f>Tabelle13[[#This Row],[commits]]/Tabelle13[[#Totals],[commits]]</f>
        <v>4.6477904404246225E-6</v>
      </c>
      <c r="I5283" s="5">
        <f>Tabelle13[[#This Row],[%]]+I5282</f>
        <v>0.98250571678219878</v>
      </c>
      <c r="J5283" s="4">
        <f t="shared" si="197"/>
        <v>1.105583195135434E-4</v>
      </c>
      <c r="K5283" s="5">
        <f t="shared" si="198"/>
        <v>0.5838584853510782</v>
      </c>
    </row>
    <row r="5284" spans="1:11" x14ac:dyDescent="0.25">
      <c r="A5284" t="s">
        <v>4405</v>
      </c>
      <c r="C5284" t="s">
        <v>4406</v>
      </c>
      <c r="D5284" t="s">
        <v>5</v>
      </c>
      <c r="E5284" t="s">
        <v>6</v>
      </c>
      <c r="F5284" t="s">
        <v>724</v>
      </c>
      <c r="G5284">
        <v>1</v>
      </c>
      <c r="H5284" s="2">
        <f>Tabelle13[[#This Row],[commits]]/Tabelle13[[#Totals],[commits]]</f>
        <v>4.6477904404246225E-6</v>
      </c>
      <c r="I5284" s="5">
        <f>Tabelle13[[#This Row],[%]]+I5283</f>
        <v>0.98251036457263918</v>
      </c>
      <c r="J5284" s="4">
        <f t="shared" si="197"/>
        <v>1.105583195135434E-4</v>
      </c>
      <c r="K5284" s="5">
        <f t="shared" si="198"/>
        <v>0.58396904367059177</v>
      </c>
    </row>
    <row r="5285" spans="1:11" x14ac:dyDescent="0.25">
      <c r="A5285" t="s">
        <v>4407</v>
      </c>
      <c r="C5285" t="s">
        <v>4408</v>
      </c>
      <c r="D5285" t="s">
        <v>5</v>
      </c>
      <c r="E5285" t="s">
        <v>6</v>
      </c>
      <c r="F5285" t="s">
        <v>724</v>
      </c>
      <c r="G5285">
        <v>1</v>
      </c>
      <c r="H5285" s="2">
        <f>Tabelle13[[#This Row],[commits]]/Tabelle13[[#Totals],[commits]]</f>
        <v>4.6477904404246225E-6</v>
      </c>
      <c r="I5285" s="5">
        <f>Tabelle13[[#This Row],[%]]+I5284</f>
        <v>0.98251501236307959</v>
      </c>
      <c r="J5285" s="4">
        <f t="shared" si="197"/>
        <v>1.105583195135434E-4</v>
      </c>
      <c r="K5285" s="5">
        <f t="shared" si="198"/>
        <v>0.58407960199010533</v>
      </c>
    </row>
    <row r="5286" spans="1:11" x14ac:dyDescent="0.25">
      <c r="A5286" t="s">
        <v>4409</v>
      </c>
      <c r="C5286" t="s">
        <v>4410</v>
      </c>
      <c r="D5286" t="s">
        <v>5</v>
      </c>
      <c r="E5286" t="s">
        <v>6</v>
      </c>
      <c r="F5286" t="s">
        <v>724</v>
      </c>
      <c r="G5286">
        <v>1</v>
      </c>
      <c r="H5286" s="2">
        <f>Tabelle13[[#This Row],[commits]]/Tabelle13[[#Totals],[commits]]</f>
        <v>4.6477904404246225E-6</v>
      </c>
      <c r="I5286" s="5">
        <f>Tabelle13[[#This Row],[%]]+I5285</f>
        <v>0.98251966015351999</v>
      </c>
      <c r="J5286" s="4">
        <f t="shared" si="197"/>
        <v>1.105583195135434E-4</v>
      </c>
      <c r="K5286" s="5">
        <f t="shared" si="198"/>
        <v>0.5841901603096189</v>
      </c>
    </row>
    <row r="5287" spans="1:11" x14ac:dyDescent="0.25">
      <c r="A5287" t="s">
        <v>4411</v>
      </c>
      <c r="C5287" t="s">
        <v>4412</v>
      </c>
      <c r="D5287" t="s">
        <v>309</v>
      </c>
      <c r="E5287" t="s">
        <v>6</v>
      </c>
      <c r="F5287" t="s">
        <v>724</v>
      </c>
      <c r="G5287">
        <v>1</v>
      </c>
      <c r="H5287" s="2">
        <f>Tabelle13[[#This Row],[commits]]/Tabelle13[[#Totals],[commits]]</f>
        <v>4.6477904404246225E-6</v>
      </c>
      <c r="I5287" s="5">
        <f>Tabelle13[[#This Row],[%]]+I5286</f>
        <v>0.9825243079439604</v>
      </c>
      <c r="J5287" s="4">
        <f t="shared" si="197"/>
        <v>1.105583195135434E-4</v>
      </c>
      <c r="K5287" s="5">
        <f t="shared" si="198"/>
        <v>0.58430071862913247</v>
      </c>
    </row>
    <row r="5288" spans="1:11" x14ac:dyDescent="0.25">
      <c r="A5288" t="s">
        <v>4413</v>
      </c>
      <c r="C5288" t="s">
        <v>4414</v>
      </c>
      <c r="D5288" t="s">
        <v>5</v>
      </c>
      <c r="E5288" t="s">
        <v>6</v>
      </c>
      <c r="F5288" t="s">
        <v>724</v>
      </c>
      <c r="G5288">
        <v>1</v>
      </c>
      <c r="H5288" s="2">
        <f>Tabelle13[[#This Row],[commits]]/Tabelle13[[#Totals],[commits]]</f>
        <v>4.6477904404246225E-6</v>
      </c>
      <c r="I5288" s="5">
        <f>Tabelle13[[#This Row],[%]]+I5287</f>
        <v>0.9825289557344008</v>
      </c>
      <c r="J5288" s="4">
        <f t="shared" si="197"/>
        <v>1.105583195135434E-4</v>
      </c>
      <c r="K5288" s="5">
        <f t="shared" si="198"/>
        <v>0.58441127694864603</v>
      </c>
    </row>
    <row r="5289" spans="1:11" x14ac:dyDescent="0.25">
      <c r="A5289" t="s">
        <v>4415</v>
      </c>
      <c r="C5289" t="s">
        <v>4416</v>
      </c>
      <c r="D5289" t="s">
        <v>5</v>
      </c>
      <c r="E5289" t="s">
        <v>6</v>
      </c>
      <c r="F5289" t="s">
        <v>724</v>
      </c>
      <c r="G5289">
        <v>1</v>
      </c>
      <c r="H5289" s="2">
        <f>Tabelle13[[#This Row],[commits]]/Tabelle13[[#Totals],[commits]]</f>
        <v>4.6477904404246225E-6</v>
      </c>
      <c r="I5289" s="5">
        <f>Tabelle13[[#This Row],[%]]+I5288</f>
        <v>0.9825336035248412</v>
      </c>
      <c r="J5289" s="4">
        <f t="shared" si="197"/>
        <v>1.105583195135434E-4</v>
      </c>
      <c r="K5289" s="5">
        <f t="shared" si="198"/>
        <v>0.5845218352681596</v>
      </c>
    </row>
    <row r="5290" spans="1:11" x14ac:dyDescent="0.25">
      <c r="A5290" t="s">
        <v>4417</v>
      </c>
      <c r="C5290" t="s">
        <v>4418</v>
      </c>
      <c r="D5290" t="s">
        <v>5</v>
      </c>
      <c r="E5290" t="s">
        <v>6</v>
      </c>
      <c r="F5290" t="s">
        <v>724</v>
      </c>
      <c r="G5290">
        <v>1</v>
      </c>
      <c r="H5290" s="2">
        <f>Tabelle13[[#This Row],[commits]]/Tabelle13[[#Totals],[commits]]</f>
        <v>4.6477904404246225E-6</v>
      </c>
      <c r="I5290" s="5">
        <f>Tabelle13[[#This Row],[%]]+I5289</f>
        <v>0.98253825131528161</v>
      </c>
      <c r="J5290" s="4">
        <f t="shared" si="197"/>
        <v>1.105583195135434E-4</v>
      </c>
      <c r="K5290" s="5">
        <f t="shared" si="198"/>
        <v>0.58463239358767316</v>
      </c>
    </row>
    <row r="5291" spans="1:11" x14ac:dyDescent="0.25">
      <c r="A5291" t="s">
        <v>4419</v>
      </c>
      <c r="C5291" t="s">
        <v>4420</v>
      </c>
      <c r="D5291" t="s">
        <v>5</v>
      </c>
      <c r="E5291" t="s">
        <v>6</v>
      </c>
      <c r="F5291" t="s">
        <v>724</v>
      </c>
      <c r="G5291">
        <v>1</v>
      </c>
      <c r="H5291" s="2">
        <f>Tabelle13[[#This Row],[commits]]/Tabelle13[[#Totals],[commits]]</f>
        <v>4.6477904404246225E-6</v>
      </c>
      <c r="I5291" s="5">
        <f>Tabelle13[[#This Row],[%]]+I5290</f>
        <v>0.98254289910572201</v>
      </c>
      <c r="J5291" s="4">
        <f t="shared" si="197"/>
        <v>1.105583195135434E-4</v>
      </c>
      <c r="K5291" s="5">
        <f t="shared" si="198"/>
        <v>0.58474295190718673</v>
      </c>
    </row>
    <row r="5292" spans="1:11" x14ac:dyDescent="0.25">
      <c r="A5292" t="s">
        <v>4421</v>
      </c>
      <c r="C5292" t="s">
        <v>4422</v>
      </c>
      <c r="D5292" t="s">
        <v>5</v>
      </c>
      <c r="E5292" t="s">
        <v>6</v>
      </c>
      <c r="F5292" t="s">
        <v>724</v>
      </c>
      <c r="G5292">
        <v>1</v>
      </c>
      <c r="H5292" s="2">
        <f>Tabelle13[[#This Row],[commits]]/Tabelle13[[#Totals],[commits]]</f>
        <v>4.6477904404246225E-6</v>
      </c>
      <c r="I5292" s="5">
        <f>Tabelle13[[#This Row],[%]]+I5291</f>
        <v>0.98254754689616242</v>
      </c>
      <c r="J5292" s="4">
        <f t="shared" si="197"/>
        <v>1.105583195135434E-4</v>
      </c>
      <c r="K5292" s="5">
        <f t="shared" si="198"/>
        <v>0.58485351022670029</v>
      </c>
    </row>
    <row r="5293" spans="1:11" x14ac:dyDescent="0.25">
      <c r="A5293" t="s">
        <v>4423</v>
      </c>
      <c r="C5293" t="s">
        <v>3086</v>
      </c>
      <c r="D5293" t="s">
        <v>5</v>
      </c>
      <c r="E5293" t="s">
        <v>6</v>
      </c>
      <c r="F5293" t="s">
        <v>724</v>
      </c>
      <c r="G5293">
        <v>1</v>
      </c>
      <c r="H5293" s="2">
        <f>Tabelle13[[#This Row],[commits]]/Tabelle13[[#Totals],[commits]]</f>
        <v>4.6477904404246225E-6</v>
      </c>
      <c r="I5293" s="5">
        <f>Tabelle13[[#This Row],[%]]+I5292</f>
        <v>0.98255219468660282</v>
      </c>
      <c r="J5293" s="4">
        <f t="shared" si="197"/>
        <v>1.105583195135434E-4</v>
      </c>
      <c r="K5293" s="5">
        <f t="shared" si="198"/>
        <v>0.58496406854621386</v>
      </c>
    </row>
    <row r="5294" spans="1:11" x14ac:dyDescent="0.25">
      <c r="A5294" t="s">
        <v>4424</v>
      </c>
      <c r="C5294" t="s">
        <v>4425</v>
      </c>
      <c r="D5294" t="s">
        <v>309</v>
      </c>
      <c r="E5294" t="s">
        <v>6</v>
      </c>
      <c r="F5294" t="s">
        <v>724</v>
      </c>
      <c r="G5294">
        <v>1</v>
      </c>
      <c r="H5294" s="2">
        <f>Tabelle13[[#This Row],[commits]]/Tabelle13[[#Totals],[commits]]</f>
        <v>4.6477904404246225E-6</v>
      </c>
      <c r="I5294" s="5">
        <f>Tabelle13[[#This Row],[%]]+I5293</f>
        <v>0.98255684247704322</v>
      </c>
      <c r="J5294" s="4">
        <f t="shared" si="197"/>
        <v>1.105583195135434E-4</v>
      </c>
      <c r="K5294" s="5">
        <f t="shared" si="198"/>
        <v>0.58507462686572742</v>
      </c>
    </row>
    <row r="5295" spans="1:11" x14ac:dyDescent="0.25">
      <c r="A5295" t="s">
        <v>4426</v>
      </c>
      <c r="C5295" t="s">
        <v>4427</v>
      </c>
      <c r="D5295" t="s">
        <v>5</v>
      </c>
      <c r="E5295" t="s">
        <v>6</v>
      </c>
      <c r="F5295" t="s">
        <v>724</v>
      </c>
      <c r="G5295">
        <v>1</v>
      </c>
      <c r="H5295" s="2">
        <f>Tabelle13[[#This Row],[commits]]/Tabelle13[[#Totals],[commits]]</f>
        <v>4.6477904404246225E-6</v>
      </c>
      <c r="I5295" s="5">
        <f>Tabelle13[[#This Row],[%]]+I5294</f>
        <v>0.98256149026748363</v>
      </c>
      <c r="J5295" s="4">
        <f t="shared" si="197"/>
        <v>1.105583195135434E-4</v>
      </c>
      <c r="K5295" s="5">
        <f t="shared" si="198"/>
        <v>0.58518518518524099</v>
      </c>
    </row>
    <row r="5296" spans="1:11" x14ac:dyDescent="0.25">
      <c r="A5296" t="s">
        <v>4428</v>
      </c>
      <c r="C5296" t="s">
        <v>4429</v>
      </c>
      <c r="D5296" t="s">
        <v>5</v>
      </c>
      <c r="E5296" t="s">
        <v>6</v>
      </c>
      <c r="F5296" t="s">
        <v>724</v>
      </c>
      <c r="G5296">
        <v>1</v>
      </c>
      <c r="H5296" s="2">
        <f>Tabelle13[[#This Row],[commits]]/Tabelle13[[#Totals],[commits]]</f>
        <v>4.6477904404246225E-6</v>
      </c>
      <c r="I5296" s="5">
        <f>Tabelle13[[#This Row],[%]]+I5295</f>
        <v>0.98256613805792403</v>
      </c>
      <c r="J5296" s="4">
        <f t="shared" si="197"/>
        <v>1.105583195135434E-4</v>
      </c>
      <c r="K5296" s="5">
        <f t="shared" si="198"/>
        <v>0.58529574350475455</v>
      </c>
    </row>
    <row r="5297" spans="1:11" x14ac:dyDescent="0.25">
      <c r="A5297" t="s">
        <v>4430</v>
      </c>
      <c r="C5297" t="s">
        <v>4431</v>
      </c>
      <c r="D5297" t="s">
        <v>5</v>
      </c>
      <c r="E5297" t="s">
        <v>6</v>
      </c>
      <c r="F5297" t="s">
        <v>724</v>
      </c>
      <c r="G5297">
        <v>1</v>
      </c>
      <c r="H5297" s="2">
        <f>Tabelle13[[#This Row],[commits]]/Tabelle13[[#Totals],[commits]]</f>
        <v>4.6477904404246225E-6</v>
      </c>
      <c r="I5297" s="5">
        <f>Tabelle13[[#This Row],[%]]+I5296</f>
        <v>0.98257078584836444</v>
      </c>
      <c r="J5297" s="4">
        <f t="shared" si="197"/>
        <v>1.105583195135434E-4</v>
      </c>
      <c r="K5297" s="5">
        <f t="shared" si="198"/>
        <v>0.58540630182426812</v>
      </c>
    </row>
    <row r="5298" spans="1:11" x14ac:dyDescent="0.25">
      <c r="A5298" t="s">
        <v>4432</v>
      </c>
      <c r="C5298" t="s">
        <v>4433</v>
      </c>
      <c r="D5298" t="s">
        <v>5</v>
      </c>
      <c r="E5298" t="s">
        <v>6</v>
      </c>
      <c r="F5298" t="s">
        <v>724</v>
      </c>
      <c r="G5298">
        <v>1</v>
      </c>
      <c r="H5298" s="2">
        <f>Tabelle13[[#This Row],[commits]]/Tabelle13[[#Totals],[commits]]</f>
        <v>4.6477904404246225E-6</v>
      </c>
      <c r="I5298" s="5">
        <f>Tabelle13[[#This Row],[%]]+I5297</f>
        <v>0.98257543363880484</v>
      </c>
      <c r="J5298" s="4">
        <f t="shared" si="197"/>
        <v>1.105583195135434E-4</v>
      </c>
      <c r="K5298" s="5">
        <f t="shared" si="198"/>
        <v>0.58551686014378168</v>
      </c>
    </row>
    <row r="5299" spans="1:11" x14ac:dyDescent="0.25">
      <c r="A5299" t="s">
        <v>4434</v>
      </c>
      <c r="C5299" t="s">
        <v>4435</v>
      </c>
      <c r="D5299" t="s">
        <v>5</v>
      </c>
      <c r="E5299" t="s">
        <v>6</v>
      </c>
      <c r="F5299" t="s">
        <v>724</v>
      </c>
      <c r="G5299">
        <v>1</v>
      </c>
      <c r="H5299" s="2">
        <f>Tabelle13[[#This Row],[commits]]/Tabelle13[[#Totals],[commits]]</f>
        <v>4.6477904404246225E-6</v>
      </c>
      <c r="I5299" s="5">
        <f>Tabelle13[[#This Row],[%]]+I5298</f>
        <v>0.98258008142924524</v>
      </c>
      <c r="J5299" s="4">
        <f t="shared" si="197"/>
        <v>1.105583195135434E-4</v>
      </c>
      <c r="K5299" s="5">
        <f t="shared" si="198"/>
        <v>0.58562741846329525</v>
      </c>
    </row>
    <row r="5300" spans="1:11" x14ac:dyDescent="0.25">
      <c r="A5300" t="s">
        <v>4436</v>
      </c>
      <c r="C5300">
        <v>365649304</v>
      </c>
      <c r="D5300" t="s">
        <v>5</v>
      </c>
      <c r="E5300" t="s">
        <v>6</v>
      </c>
      <c r="F5300" t="s">
        <v>724</v>
      </c>
      <c r="G5300">
        <v>1</v>
      </c>
      <c r="H5300" s="2">
        <f>Tabelle13[[#This Row],[commits]]/Tabelle13[[#Totals],[commits]]</f>
        <v>4.6477904404246225E-6</v>
      </c>
      <c r="I5300" s="5">
        <f>Tabelle13[[#This Row],[%]]+I5299</f>
        <v>0.98258472921968565</v>
      </c>
      <c r="J5300" s="4">
        <f t="shared" si="197"/>
        <v>1.105583195135434E-4</v>
      </c>
      <c r="K5300" s="5">
        <f t="shared" si="198"/>
        <v>0.58573797678280881</v>
      </c>
    </row>
    <row r="5301" spans="1:11" x14ac:dyDescent="0.25">
      <c r="A5301" t="s">
        <v>4437</v>
      </c>
      <c r="C5301" t="s">
        <v>4438</v>
      </c>
      <c r="D5301" t="s">
        <v>5</v>
      </c>
      <c r="E5301" t="s">
        <v>6</v>
      </c>
      <c r="F5301" t="s">
        <v>724</v>
      </c>
      <c r="G5301">
        <v>1</v>
      </c>
      <c r="H5301" s="2">
        <f>Tabelle13[[#This Row],[commits]]/Tabelle13[[#Totals],[commits]]</f>
        <v>4.6477904404246225E-6</v>
      </c>
      <c r="I5301" s="5">
        <f>Tabelle13[[#This Row],[%]]+I5300</f>
        <v>0.98258937701012605</v>
      </c>
      <c r="J5301" s="4">
        <f t="shared" si="197"/>
        <v>1.105583195135434E-4</v>
      </c>
      <c r="K5301" s="5">
        <f t="shared" si="198"/>
        <v>0.58584853510232238</v>
      </c>
    </row>
    <row r="5302" spans="1:11" x14ac:dyDescent="0.25">
      <c r="A5302" t="s">
        <v>4439</v>
      </c>
      <c r="C5302" t="s">
        <v>4440</v>
      </c>
      <c r="D5302" t="s">
        <v>5</v>
      </c>
      <c r="E5302" t="s">
        <v>6</v>
      </c>
      <c r="F5302" t="s">
        <v>724</v>
      </c>
      <c r="G5302">
        <v>1</v>
      </c>
      <c r="H5302" s="2">
        <f>Tabelle13[[#This Row],[commits]]/Tabelle13[[#Totals],[commits]]</f>
        <v>4.6477904404246225E-6</v>
      </c>
      <c r="I5302" s="5">
        <f>Tabelle13[[#This Row],[%]]+I5301</f>
        <v>0.98259402480056646</v>
      </c>
      <c r="J5302" s="4">
        <f t="shared" si="197"/>
        <v>1.105583195135434E-4</v>
      </c>
      <c r="K5302" s="5">
        <f t="shared" si="198"/>
        <v>0.58595909342183594</v>
      </c>
    </row>
    <row r="5303" spans="1:11" x14ac:dyDescent="0.25">
      <c r="A5303" t="s">
        <v>4441</v>
      </c>
      <c r="C5303" t="s">
        <v>4442</v>
      </c>
      <c r="D5303" t="s">
        <v>5</v>
      </c>
      <c r="E5303" t="s">
        <v>6</v>
      </c>
      <c r="F5303" t="s">
        <v>724</v>
      </c>
      <c r="G5303">
        <v>1</v>
      </c>
      <c r="H5303" s="2">
        <f>Tabelle13[[#This Row],[commits]]/Tabelle13[[#Totals],[commits]]</f>
        <v>4.6477904404246225E-6</v>
      </c>
      <c r="I5303" s="5">
        <f>Tabelle13[[#This Row],[%]]+I5302</f>
        <v>0.98259867259100686</v>
      </c>
      <c r="J5303" s="4">
        <f t="shared" si="197"/>
        <v>1.105583195135434E-4</v>
      </c>
      <c r="K5303" s="5">
        <f t="shared" si="198"/>
        <v>0.58606965174134951</v>
      </c>
    </row>
    <row r="5304" spans="1:11" x14ac:dyDescent="0.25">
      <c r="A5304" t="s">
        <v>4443</v>
      </c>
      <c r="C5304" t="s">
        <v>4444</v>
      </c>
      <c r="D5304" t="s">
        <v>5</v>
      </c>
      <c r="E5304" t="s">
        <v>6</v>
      </c>
      <c r="F5304" t="s">
        <v>724</v>
      </c>
      <c r="G5304">
        <v>1</v>
      </c>
      <c r="H5304" s="2">
        <f>Tabelle13[[#This Row],[commits]]/Tabelle13[[#Totals],[commits]]</f>
        <v>4.6477904404246225E-6</v>
      </c>
      <c r="I5304" s="5">
        <f>Tabelle13[[#This Row],[%]]+I5303</f>
        <v>0.98260332038144726</v>
      </c>
      <c r="J5304" s="4">
        <f t="shared" si="197"/>
        <v>1.105583195135434E-4</v>
      </c>
      <c r="K5304" s="5">
        <f t="shared" si="198"/>
        <v>0.58618021006086307</v>
      </c>
    </row>
    <row r="5305" spans="1:11" x14ac:dyDescent="0.25">
      <c r="A5305" t="s">
        <v>4445</v>
      </c>
      <c r="C5305" t="s">
        <v>4446</v>
      </c>
      <c r="D5305" t="s">
        <v>5</v>
      </c>
      <c r="E5305" t="s">
        <v>6</v>
      </c>
      <c r="F5305" t="s">
        <v>724</v>
      </c>
      <c r="G5305">
        <v>1</v>
      </c>
      <c r="H5305" s="2">
        <f>Tabelle13[[#This Row],[commits]]/Tabelle13[[#Totals],[commits]]</f>
        <v>4.6477904404246225E-6</v>
      </c>
      <c r="I5305" s="5">
        <f>Tabelle13[[#This Row],[%]]+I5304</f>
        <v>0.98260796817188767</v>
      </c>
      <c r="J5305" s="4">
        <f t="shared" si="197"/>
        <v>1.105583195135434E-4</v>
      </c>
      <c r="K5305" s="5">
        <f t="shared" si="198"/>
        <v>0.58629076838037664</v>
      </c>
    </row>
    <row r="5306" spans="1:11" x14ac:dyDescent="0.25">
      <c r="A5306" t="s">
        <v>4447</v>
      </c>
      <c r="C5306" t="s">
        <v>4448</v>
      </c>
      <c r="D5306" t="s">
        <v>5</v>
      </c>
      <c r="E5306" t="s">
        <v>6</v>
      </c>
      <c r="F5306" t="s">
        <v>724</v>
      </c>
      <c r="G5306">
        <v>1</v>
      </c>
      <c r="H5306" s="2">
        <f>Tabelle13[[#This Row],[commits]]/Tabelle13[[#Totals],[commits]]</f>
        <v>4.6477904404246225E-6</v>
      </c>
      <c r="I5306" s="5">
        <f>Tabelle13[[#This Row],[%]]+I5305</f>
        <v>0.98261261596232807</v>
      </c>
      <c r="J5306" s="4">
        <f t="shared" si="197"/>
        <v>1.105583195135434E-4</v>
      </c>
      <c r="K5306" s="5">
        <f t="shared" si="198"/>
        <v>0.5864013266998902</v>
      </c>
    </row>
    <row r="5307" spans="1:11" x14ac:dyDescent="0.25">
      <c r="A5307" t="s">
        <v>4449</v>
      </c>
      <c r="C5307" t="s">
        <v>4450</v>
      </c>
      <c r="D5307" t="s">
        <v>5</v>
      </c>
      <c r="E5307" t="s">
        <v>6</v>
      </c>
      <c r="F5307" t="s">
        <v>724</v>
      </c>
      <c r="G5307">
        <v>1</v>
      </c>
      <c r="H5307" s="2">
        <f>Tabelle13[[#This Row],[commits]]/Tabelle13[[#Totals],[commits]]</f>
        <v>4.6477904404246225E-6</v>
      </c>
      <c r="I5307" s="5">
        <f>Tabelle13[[#This Row],[%]]+I5306</f>
        <v>0.98261726375276848</v>
      </c>
      <c r="J5307" s="4">
        <f t="shared" si="197"/>
        <v>1.105583195135434E-4</v>
      </c>
      <c r="K5307" s="5">
        <f t="shared" si="198"/>
        <v>0.58651188501940377</v>
      </c>
    </row>
    <row r="5308" spans="1:11" x14ac:dyDescent="0.25">
      <c r="A5308" t="s">
        <v>4451</v>
      </c>
      <c r="C5308" t="s">
        <v>4452</v>
      </c>
      <c r="D5308" t="s">
        <v>5</v>
      </c>
      <c r="E5308" t="s">
        <v>6</v>
      </c>
      <c r="F5308" t="s">
        <v>724</v>
      </c>
      <c r="G5308">
        <v>1</v>
      </c>
      <c r="H5308" s="2">
        <f>Tabelle13[[#This Row],[commits]]/Tabelle13[[#Totals],[commits]]</f>
        <v>4.6477904404246225E-6</v>
      </c>
      <c r="I5308" s="5">
        <f>Tabelle13[[#This Row],[%]]+I5307</f>
        <v>0.98262191154320888</v>
      </c>
      <c r="J5308" s="4">
        <f t="shared" si="197"/>
        <v>1.105583195135434E-4</v>
      </c>
      <c r="K5308" s="5">
        <f t="shared" si="198"/>
        <v>0.58662244333891733</v>
      </c>
    </row>
    <row r="5309" spans="1:11" x14ac:dyDescent="0.25">
      <c r="A5309" t="s">
        <v>4453</v>
      </c>
      <c r="C5309" t="s">
        <v>4454</v>
      </c>
      <c r="D5309" t="s">
        <v>5</v>
      </c>
      <c r="E5309" t="s">
        <v>6</v>
      </c>
      <c r="F5309" t="s">
        <v>724</v>
      </c>
      <c r="G5309">
        <v>1</v>
      </c>
      <c r="H5309" s="2">
        <f>Tabelle13[[#This Row],[commits]]/Tabelle13[[#Totals],[commits]]</f>
        <v>4.6477904404246225E-6</v>
      </c>
      <c r="I5309" s="5">
        <f>Tabelle13[[#This Row],[%]]+I5308</f>
        <v>0.98262655933364929</v>
      </c>
      <c r="J5309" s="4">
        <f t="shared" si="197"/>
        <v>1.105583195135434E-4</v>
      </c>
      <c r="K5309" s="5">
        <f t="shared" si="198"/>
        <v>0.5867330016584309</v>
      </c>
    </row>
    <row r="5310" spans="1:11" x14ac:dyDescent="0.25">
      <c r="A5310" t="s">
        <v>4455</v>
      </c>
      <c r="C5310" t="s">
        <v>4456</v>
      </c>
      <c r="D5310" t="s">
        <v>5</v>
      </c>
      <c r="E5310" t="s">
        <v>6</v>
      </c>
      <c r="F5310" t="s">
        <v>724</v>
      </c>
      <c r="G5310">
        <v>1</v>
      </c>
      <c r="H5310" s="2">
        <f>Tabelle13[[#This Row],[commits]]/Tabelle13[[#Totals],[commits]]</f>
        <v>4.6477904404246225E-6</v>
      </c>
      <c r="I5310" s="5">
        <f>Tabelle13[[#This Row],[%]]+I5309</f>
        <v>0.98263120712408969</v>
      </c>
      <c r="J5310" s="4">
        <f t="shared" si="197"/>
        <v>1.105583195135434E-4</v>
      </c>
      <c r="K5310" s="5">
        <f t="shared" si="198"/>
        <v>0.58684355997794446</v>
      </c>
    </row>
    <row r="5311" spans="1:11" x14ac:dyDescent="0.25">
      <c r="A5311" t="s">
        <v>4457</v>
      </c>
      <c r="C5311" t="s">
        <v>4458</v>
      </c>
      <c r="D5311" t="s">
        <v>5</v>
      </c>
      <c r="E5311" t="s">
        <v>6</v>
      </c>
      <c r="F5311" t="s">
        <v>724</v>
      </c>
      <c r="G5311">
        <v>1</v>
      </c>
      <c r="H5311" s="2">
        <f>Tabelle13[[#This Row],[commits]]/Tabelle13[[#Totals],[commits]]</f>
        <v>4.6477904404246225E-6</v>
      </c>
      <c r="I5311" s="5">
        <f>Tabelle13[[#This Row],[%]]+I5310</f>
        <v>0.98263585491453009</v>
      </c>
      <c r="J5311" s="4">
        <f t="shared" si="197"/>
        <v>1.105583195135434E-4</v>
      </c>
      <c r="K5311" s="5">
        <f t="shared" si="198"/>
        <v>0.58695411829745803</v>
      </c>
    </row>
    <row r="5312" spans="1:11" x14ac:dyDescent="0.25">
      <c r="A5312" t="s">
        <v>4459</v>
      </c>
      <c r="C5312" t="s">
        <v>4460</v>
      </c>
      <c r="D5312" t="s">
        <v>4461</v>
      </c>
      <c r="E5312" t="s">
        <v>6</v>
      </c>
      <c r="F5312" t="s">
        <v>724</v>
      </c>
      <c r="G5312">
        <v>1</v>
      </c>
      <c r="H5312" s="2">
        <f>Tabelle13[[#This Row],[commits]]/Tabelle13[[#Totals],[commits]]</f>
        <v>4.6477904404246225E-6</v>
      </c>
      <c r="I5312" s="5">
        <f>Tabelle13[[#This Row],[%]]+I5311</f>
        <v>0.9826405027049705</v>
      </c>
      <c r="J5312" s="4">
        <f t="shared" si="197"/>
        <v>1.105583195135434E-4</v>
      </c>
      <c r="K5312" s="5">
        <f t="shared" si="198"/>
        <v>0.58706467661697159</v>
      </c>
    </row>
    <row r="5313" spans="1:11" x14ac:dyDescent="0.25">
      <c r="A5313" t="s">
        <v>4462</v>
      </c>
      <c r="C5313" t="s">
        <v>4463</v>
      </c>
      <c r="D5313" t="s">
        <v>5</v>
      </c>
      <c r="E5313" t="s">
        <v>6</v>
      </c>
      <c r="F5313" t="s">
        <v>724</v>
      </c>
      <c r="G5313">
        <v>1</v>
      </c>
      <c r="H5313" s="2">
        <f>Tabelle13[[#This Row],[commits]]/Tabelle13[[#Totals],[commits]]</f>
        <v>4.6477904404246225E-6</v>
      </c>
      <c r="I5313" s="5">
        <f>Tabelle13[[#This Row],[%]]+I5312</f>
        <v>0.9826451504954109</v>
      </c>
      <c r="J5313" s="4">
        <f t="shared" si="197"/>
        <v>1.105583195135434E-4</v>
      </c>
      <c r="K5313" s="5">
        <f t="shared" si="198"/>
        <v>0.58717523493648516</v>
      </c>
    </row>
    <row r="5314" spans="1:11" x14ac:dyDescent="0.25">
      <c r="A5314" t="s">
        <v>4464</v>
      </c>
      <c r="C5314" t="s">
        <v>4465</v>
      </c>
      <c r="D5314" t="s">
        <v>5</v>
      </c>
      <c r="E5314" t="s">
        <v>6</v>
      </c>
      <c r="F5314" t="s">
        <v>724</v>
      </c>
      <c r="G5314">
        <v>1</v>
      </c>
      <c r="H5314" s="2">
        <f>Tabelle13[[#This Row],[commits]]/Tabelle13[[#Totals],[commits]]</f>
        <v>4.6477904404246225E-6</v>
      </c>
      <c r="I5314" s="5">
        <f>Tabelle13[[#This Row],[%]]+I5313</f>
        <v>0.98264979828585131</v>
      </c>
      <c r="J5314" s="4">
        <f t="shared" si="197"/>
        <v>1.105583195135434E-4</v>
      </c>
      <c r="K5314" s="5">
        <f t="shared" si="198"/>
        <v>0.58728579325599872</v>
      </c>
    </row>
    <row r="5315" spans="1:11" x14ac:dyDescent="0.25">
      <c r="A5315" t="s">
        <v>4466</v>
      </c>
      <c r="C5315" t="s">
        <v>3082</v>
      </c>
      <c r="D5315" t="s">
        <v>5</v>
      </c>
      <c r="E5315" t="s">
        <v>6</v>
      </c>
      <c r="F5315" t="s">
        <v>724</v>
      </c>
      <c r="G5315">
        <v>1</v>
      </c>
      <c r="H5315" s="2">
        <f>Tabelle13[[#This Row],[commits]]/Tabelle13[[#Totals],[commits]]</f>
        <v>4.6477904404246225E-6</v>
      </c>
      <c r="I5315" s="5">
        <f>Tabelle13[[#This Row],[%]]+I5314</f>
        <v>0.98265444607629171</v>
      </c>
      <c r="J5315" s="4">
        <f t="shared" ref="J5315:J5378" si="199">1/9045</f>
        <v>1.105583195135434E-4</v>
      </c>
      <c r="K5315" s="5">
        <f t="shared" si="198"/>
        <v>0.58739635157551229</v>
      </c>
    </row>
    <row r="5316" spans="1:11" x14ac:dyDescent="0.25">
      <c r="A5316" t="s">
        <v>4467</v>
      </c>
      <c r="C5316" t="s">
        <v>4468</v>
      </c>
      <c r="D5316" t="s">
        <v>5</v>
      </c>
      <c r="E5316" t="s">
        <v>6</v>
      </c>
      <c r="F5316" t="s">
        <v>724</v>
      </c>
      <c r="G5316">
        <v>1</v>
      </c>
      <c r="H5316" s="2">
        <f>Tabelle13[[#This Row],[commits]]/Tabelle13[[#Totals],[commits]]</f>
        <v>4.6477904404246225E-6</v>
      </c>
      <c r="I5316" s="5">
        <f>Tabelle13[[#This Row],[%]]+I5315</f>
        <v>0.98265909386673211</v>
      </c>
      <c r="J5316" s="4">
        <f t="shared" si="199"/>
        <v>1.105583195135434E-4</v>
      </c>
      <c r="K5316" s="5">
        <f t="shared" si="198"/>
        <v>0.58750690989502585</v>
      </c>
    </row>
    <row r="5317" spans="1:11" x14ac:dyDescent="0.25">
      <c r="A5317" t="s">
        <v>4469</v>
      </c>
      <c r="C5317" t="s">
        <v>4470</v>
      </c>
      <c r="D5317" t="s">
        <v>5</v>
      </c>
      <c r="E5317" t="s">
        <v>6</v>
      </c>
      <c r="F5317" t="s">
        <v>724</v>
      </c>
      <c r="G5317">
        <v>1</v>
      </c>
      <c r="H5317" s="2">
        <f>Tabelle13[[#This Row],[commits]]/Tabelle13[[#Totals],[commits]]</f>
        <v>4.6477904404246225E-6</v>
      </c>
      <c r="I5317" s="5">
        <f>Tabelle13[[#This Row],[%]]+I5316</f>
        <v>0.98266374165717252</v>
      </c>
      <c r="J5317" s="4">
        <f t="shared" si="199"/>
        <v>1.105583195135434E-4</v>
      </c>
      <c r="K5317" s="5">
        <f t="shared" si="198"/>
        <v>0.58761746821453942</v>
      </c>
    </row>
    <row r="5318" spans="1:11" x14ac:dyDescent="0.25">
      <c r="A5318" t="s">
        <v>4471</v>
      </c>
      <c r="C5318" t="s">
        <v>4472</v>
      </c>
      <c r="D5318" t="s">
        <v>5</v>
      </c>
      <c r="E5318" t="s">
        <v>6</v>
      </c>
      <c r="F5318" t="s">
        <v>724</v>
      </c>
      <c r="G5318">
        <v>1</v>
      </c>
      <c r="H5318" s="2">
        <f>Tabelle13[[#This Row],[commits]]/Tabelle13[[#Totals],[commits]]</f>
        <v>4.6477904404246225E-6</v>
      </c>
      <c r="I5318" s="5">
        <f>Tabelle13[[#This Row],[%]]+I5317</f>
        <v>0.98266838944761292</v>
      </c>
      <c r="J5318" s="4">
        <f t="shared" si="199"/>
        <v>1.105583195135434E-4</v>
      </c>
      <c r="K5318" s="5">
        <f t="shared" ref="K5318:K5381" si="200">J5318+K5317</f>
        <v>0.58772802653405298</v>
      </c>
    </row>
    <row r="5319" spans="1:11" x14ac:dyDescent="0.25">
      <c r="A5319" t="s">
        <v>4473</v>
      </c>
      <c r="C5319" t="s">
        <v>4474</v>
      </c>
      <c r="D5319" t="s">
        <v>5</v>
      </c>
      <c r="E5319" t="s">
        <v>6</v>
      </c>
      <c r="F5319" t="s">
        <v>724</v>
      </c>
      <c r="G5319">
        <v>1</v>
      </c>
      <c r="H5319" s="2">
        <f>Tabelle13[[#This Row],[commits]]/Tabelle13[[#Totals],[commits]]</f>
        <v>4.6477904404246225E-6</v>
      </c>
      <c r="I5319" s="5">
        <f>Tabelle13[[#This Row],[%]]+I5318</f>
        <v>0.98267303723805333</v>
      </c>
      <c r="J5319" s="4">
        <f t="shared" si="199"/>
        <v>1.105583195135434E-4</v>
      </c>
      <c r="K5319" s="5">
        <f t="shared" si="200"/>
        <v>0.58783858485356655</v>
      </c>
    </row>
    <row r="5320" spans="1:11" x14ac:dyDescent="0.25">
      <c r="A5320" t="s">
        <v>4475</v>
      </c>
      <c r="C5320" t="s">
        <v>4476</v>
      </c>
      <c r="D5320" t="s">
        <v>5</v>
      </c>
      <c r="E5320" t="s">
        <v>6</v>
      </c>
      <c r="F5320" t="s">
        <v>724</v>
      </c>
      <c r="G5320">
        <v>1</v>
      </c>
      <c r="H5320" s="2">
        <f>Tabelle13[[#This Row],[commits]]/Tabelle13[[#Totals],[commits]]</f>
        <v>4.6477904404246225E-6</v>
      </c>
      <c r="I5320" s="5">
        <f>Tabelle13[[#This Row],[%]]+I5319</f>
        <v>0.98267768502849373</v>
      </c>
      <c r="J5320" s="4">
        <f t="shared" si="199"/>
        <v>1.105583195135434E-4</v>
      </c>
      <c r="K5320" s="5">
        <f t="shared" si="200"/>
        <v>0.58794914317308011</v>
      </c>
    </row>
    <row r="5321" spans="1:11" x14ac:dyDescent="0.25">
      <c r="A5321" t="s">
        <v>4477</v>
      </c>
      <c r="C5321" t="s">
        <v>4478</v>
      </c>
      <c r="D5321" t="s">
        <v>5</v>
      </c>
      <c r="E5321" t="s">
        <v>6</v>
      </c>
      <c r="F5321" t="s">
        <v>724</v>
      </c>
      <c r="G5321">
        <v>1</v>
      </c>
      <c r="H5321" s="2">
        <f>Tabelle13[[#This Row],[commits]]/Tabelle13[[#Totals],[commits]]</f>
        <v>4.6477904404246225E-6</v>
      </c>
      <c r="I5321" s="5">
        <f>Tabelle13[[#This Row],[%]]+I5320</f>
        <v>0.98268233281893413</v>
      </c>
      <c r="J5321" s="4">
        <f t="shared" si="199"/>
        <v>1.105583195135434E-4</v>
      </c>
      <c r="K5321" s="5">
        <f t="shared" si="200"/>
        <v>0.58805970149259368</v>
      </c>
    </row>
    <row r="5322" spans="1:11" x14ac:dyDescent="0.25">
      <c r="A5322" t="s">
        <v>4479</v>
      </c>
      <c r="C5322" t="s">
        <v>4480</v>
      </c>
      <c r="D5322" t="s">
        <v>5</v>
      </c>
      <c r="E5322" t="s">
        <v>6</v>
      </c>
      <c r="F5322" t="s">
        <v>724</v>
      </c>
      <c r="G5322">
        <v>1</v>
      </c>
      <c r="H5322" s="2">
        <f>Tabelle13[[#This Row],[commits]]/Tabelle13[[#Totals],[commits]]</f>
        <v>4.6477904404246225E-6</v>
      </c>
      <c r="I5322" s="5">
        <f>Tabelle13[[#This Row],[%]]+I5321</f>
        <v>0.98268698060937454</v>
      </c>
      <c r="J5322" s="4">
        <f t="shared" si="199"/>
        <v>1.105583195135434E-4</v>
      </c>
      <c r="K5322" s="5">
        <f t="shared" si="200"/>
        <v>0.58817025981210724</v>
      </c>
    </row>
    <row r="5323" spans="1:11" x14ac:dyDescent="0.25">
      <c r="A5323" t="s">
        <v>4481</v>
      </c>
      <c r="C5323" t="s">
        <v>4482</v>
      </c>
      <c r="D5323" t="s">
        <v>5</v>
      </c>
      <c r="E5323" t="s">
        <v>6</v>
      </c>
      <c r="F5323" t="s">
        <v>724</v>
      </c>
      <c r="G5323">
        <v>1</v>
      </c>
      <c r="H5323" s="2">
        <f>Tabelle13[[#This Row],[commits]]/Tabelle13[[#Totals],[commits]]</f>
        <v>4.6477904404246225E-6</v>
      </c>
      <c r="I5323" s="5">
        <f>Tabelle13[[#This Row],[%]]+I5322</f>
        <v>0.98269162839981494</v>
      </c>
      <c r="J5323" s="4">
        <f t="shared" si="199"/>
        <v>1.105583195135434E-4</v>
      </c>
      <c r="K5323" s="5">
        <f t="shared" si="200"/>
        <v>0.58828081813162081</v>
      </c>
    </row>
    <row r="5324" spans="1:11" x14ac:dyDescent="0.25">
      <c r="A5324" t="s">
        <v>4483</v>
      </c>
      <c r="C5324" t="s">
        <v>4484</v>
      </c>
      <c r="D5324" t="s">
        <v>5</v>
      </c>
      <c r="E5324" t="s">
        <v>6</v>
      </c>
      <c r="F5324" t="s">
        <v>724</v>
      </c>
      <c r="G5324">
        <v>1</v>
      </c>
      <c r="H5324" s="2">
        <f>Tabelle13[[#This Row],[commits]]/Tabelle13[[#Totals],[commits]]</f>
        <v>4.6477904404246225E-6</v>
      </c>
      <c r="I5324" s="5">
        <f>Tabelle13[[#This Row],[%]]+I5323</f>
        <v>0.98269627619025535</v>
      </c>
      <c r="J5324" s="4">
        <f t="shared" si="199"/>
        <v>1.105583195135434E-4</v>
      </c>
      <c r="K5324" s="5">
        <f t="shared" si="200"/>
        <v>0.58839137645113437</v>
      </c>
    </row>
    <row r="5325" spans="1:11" x14ac:dyDescent="0.25">
      <c r="A5325" t="s">
        <v>4485</v>
      </c>
      <c r="C5325" t="s">
        <v>4486</v>
      </c>
      <c r="D5325" t="s">
        <v>5</v>
      </c>
      <c r="E5325" t="s">
        <v>6</v>
      </c>
      <c r="F5325" t="s">
        <v>724</v>
      </c>
      <c r="G5325">
        <v>1</v>
      </c>
      <c r="H5325" s="2">
        <f>Tabelle13[[#This Row],[commits]]/Tabelle13[[#Totals],[commits]]</f>
        <v>4.6477904404246225E-6</v>
      </c>
      <c r="I5325" s="5">
        <f>Tabelle13[[#This Row],[%]]+I5324</f>
        <v>0.98270092398069575</v>
      </c>
      <c r="J5325" s="4">
        <f t="shared" si="199"/>
        <v>1.105583195135434E-4</v>
      </c>
      <c r="K5325" s="5">
        <f t="shared" si="200"/>
        <v>0.58850193477064794</v>
      </c>
    </row>
    <row r="5326" spans="1:11" x14ac:dyDescent="0.25">
      <c r="A5326" t="s">
        <v>4487</v>
      </c>
      <c r="C5326">
        <v>15081137778</v>
      </c>
      <c r="D5326" t="s">
        <v>5</v>
      </c>
      <c r="E5326" t="s">
        <v>6</v>
      </c>
      <c r="F5326" t="s">
        <v>724</v>
      </c>
      <c r="G5326">
        <v>1</v>
      </c>
      <c r="H5326" s="2">
        <f>Tabelle13[[#This Row],[commits]]/Tabelle13[[#Totals],[commits]]</f>
        <v>4.6477904404246225E-6</v>
      </c>
      <c r="I5326" s="5">
        <f>Tabelle13[[#This Row],[%]]+I5325</f>
        <v>0.98270557177113615</v>
      </c>
      <c r="J5326" s="4">
        <f t="shared" si="199"/>
        <v>1.105583195135434E-4</v>
      </c>
      <c r="K5326" s="5">
        <f t="shared" si="200"/>
        <v>0.5886124930901615</v>
      </c>
    </row>
    <row r="5327" spans="1:11" x14ac:dyDescent="0.25">
      <c r="A5327" t="s">
        <v>4488</v>
      </c>
      <c r="C5327" t="s">
        <v>4055</v>
      </c>
      <c r="D5327" t="s">
        <v>5</v>
      </c>
      <c r="E5327" t="s">
        <v>6</v>
      </c>
      <c r="F5327" t="s">
        <v>724</v>
      </c>
      <c r="G5327">
        <v>1</v>
      </c>
      <c r="H5327" s="2">
        <f>Tabelle13[[#This Row],[commits]]/Tabelle13[[#Totals],[commits]]</f>
        <v>4.6477904404246225E-6</v>
      </c>
      <c r="I5327" s="5">
        <f>Tabelle13[[#This Row],[%]]+I5326</f>
        <v>0.98271021956157656</v>
      </c>
      <c r="J5327" s="4">
        <f t="shared" si="199"/>
        <v>1.105583195135434E-4</v>
      </c>
      <c r="K5327" s="5">
        <f t="shared" si="200"/>
        <v>0.58872305140967507</v>
      </c>
    </row>
    <row r="5328" spans="1:11" x14ac:dyDescent="0.25">
      <c r="A5328" t="s">
        <v>4489</v>
      </c>
      <c r="C5328" t="s">
        <v>4490</v>
      </c>
      <c r="D5328" t="s">
        <v>5</v>
      </c>
      <c r="E5328" t="s">
        <v>6</v>
      </c>
      <c r="F5328" t="s">
        <v>724</v>
      </c>
      <c r="G5328">
        <v>1</v>
      </c>
      <c r="H5328" s="2">
        <f>Tabelle13[[#This Row],[commits]]/Tabelle13[[#Totals],[commits]]</f>
        <v>4.6477904404246225E-6</v>
      </c>
      <c r="I5328" s="5">
        <f>Tabelle13[[#This Row],[%]]+I5327</f>
        <v>0.98271486735201696</v>
      </c>
      <c r="J5328" s="4">
        <f t="shared" si="199"/>
        <v>1.105583195135434E-4</v>
      </c>
      <c r="K5328" s="5">
        <f t="shared" si="200"/>
        <v>0.58883360972918863</v>
      </c>
    </row>
    <row r="5329" spans="1:11" x14ac:dyDescent="0.25">
      <c r="A5329" t="s">
        <v>4491</v>
      </c>
      <c r="C5329" t="s">
        <v>4492</v>
      </c>
      <c r="D5329" t="s">
        <v>5</v>
      </c>
      <c r="E5329" t="s">
        <v>6</v>
      </c>
      <c r="F5329" t="s">
        <v>724</v>
      </c>
      <c r="G5329">
        <v>1</v>
      </c>
      <c r="H5329" s="2">
        <f>Tabelle13[[#This Row],[commits]]/Tabelle13[[#Totals],[commits]]</f>
        <v>4.6477904404246225E-6</v>
      </c>
      <c r="I5329" s="5">
        <f>Tabelle13[[#This Row],[%]]+I5328</f>
        <v>0.98271951514245737</v>
      </c>
      <c r="J5329" s="4">
        <f t="shared" si="199"/>
        <v>1.105583195135434E-4</v>
      </c>
      <c r="K5329" s="5">
        <f t="shared" si="200"/>
        <v>0.5889441680487022</v>
      </c>
    </row>
    <row r="5330" spans="1:11" x14ac:dyDescent="0.25">
      <c r="A5330" t="s">
        <v>4493</v>
      </c>
      <c r="C5330" t="s">
        <v>4494</v>
      </c>
      <c r="D5330" t="s">
        <v>5</v>
      </c>
      <c r="E5330" t="s">
        <v>6</v>
      </c>
      <c r="F5330" t="s">
        <v>724</v>
      </c>
      <c r="G5330">
        <v>1</v>
      </c>
      <c r="H5330" s="2">
        <f>Tabelle13[[#This Row],[commits]]/Tabelle13[[#Totals],[commits]]</f>
        <v>4.6477904404246225E-6</v>
      </c>
      <c r="I5330" s="5">
        <f>Tabelle13[[#This Row],[%]]+I5329</f>
        <v>0.98272416293289777</v>
      </c>
      <c r="J5330" s="4">
        <f t="shared" si="199"/>
        <v>1.105583195135434E-4</v>
      </c>
      <c r="K5330" s="5">
        <f t="shared" si="200"/>
        <v>0.58905472636821576</v>
      </c>
    </row>
    <row r="5331" spans="1:11" x14ac:dyDescent="0.25">
      <c r="A5331" t="s">
        <v>4495</v>
      </c>
      <c r="C5331" t="s">
        <v>4496</v>
      </c>
      <c r="D5331" t="s">
        <v>5</v>
      </c>
      <c r="E5331" t="s">
        <v>6</v>
      </c>
      <c r="F5331" t="s">
        <v>724</v>
      </c>
      <c r="G5331">
        <v>1</v>
      </c>
      <c r="H5331" s="2">
        <f>Tabelle13[[#This Row],[commits]]/Tabelle13[[#Totals],[commits]]</f>
        <v>4.6477904404246225E-6</v>
      </c>
      <c r="I5331" s="5">
        <f>Tabelle13[[#This Row],[%]]+I5330</f>
        <v>0.98272881072333818</v>
      </c>
      <c r="J5331" s="4">
        <f t="shared" si="199"/>
        <v>1.105583195135434E-4</v>
      </c>
      <c r="K5331" s="5">
        <f t="shared" si="200"/>
        <v>0.58916528468772933</v>
      </c>
    </row>
    <row r="5332" spans="1:11" x14ac:dyDescent="0.25">
      <c r="A5332" t="s">
        <v>4497</v>
      </c>
      <c r="C5332" t="s">
        <v>4498</v>
      </c>
      <c r="D5332" t="s">
        <v>5</v>
      </c>
      <c r="E5332" t="s">
        <v>6</v>
      </c>
      <c r="F5332" t="s">
        <v>724</v>
      </c>
      <c r="G5332">
        <v>1</v>
      </c>
      <c r="H5332" s="2">
        <f>Tabelle13[[#This Row],[commits]]/Tabelle13[[#Totals],[commits]]</f>
        <v>4.6477904404246225E-6</v>
      </c>
      <c r="I5332" s="5">
        <f>Tabelle13[[#This Row],[%]]+I5331</f>
        <v>0.98273345851377858</v>
      </c>
      <c r="J5332" s="4">
        <f t="shared" si="199"/>
        <v>1.105583195135434E-4</v>
      </c>
      <c r="K5332" s="5">
        <f t="shared" si="200"/>
        <v>0.58927584300724289</v>
      </c>
    </row>
    <row r="5333" spans="1:11" x14ac:dyDescent="0.25">
      <c r="A5333" t="s">
        <v>4499</v>
      </c>
      <c r="C5333" t="s">
        <v>4500</v>
      </c>
      <c r="D5333" t="s">
        <v>5</v>
      </c>
      <c r="E5333" t="s">
        <v>6</v>
      </c>
      <c r="F5333" t="s">
        <v>724</v>
      </c>
      <c r="G5333">
        <v>1</v>
      </c>
      <c r="H5333" s="2">
        <f>Tabelle13[[#This Row],[commits]]/Tabelle13[[#Totals],[commits]]</f>
        <v>4.6477904404246225E-6</v>
      </c>
      <c r="I5333" s="5">
        <f>Tabelle13[[#This Row],[%]]+I5332</f>
        <v>0.98273810630421898</v>
      </c>
      <c r="J5333" s="4">
        <f t="shared" si="199"/>
        <v>1.105583195135434E-4</v>
      </c>
      <c r="K5333" s="5">
        <f t="shared" si="200"/>
        <v>0.58938640132675646</v>
      </c>
    </row>
    <row r="5334" spans="1:11" x14ac:dyDescent="0.25">
      <c r="A5334" t="s">
        <v>4501</v>
      </c>
      <c r="C5334" t="s">
        <v>4502</v>
      </c>
      <c r="D5334" t="s">
        <v>4461</v>
      </c>
      <c r="E5334" t="s">
        <v>6</v>
      </c>
      <c r="F5334" t="s">
        <v>724</v>
      </c>
      <c r="G5334">
        <v>1</v>
      </c>
      <c r="H5334" s="2">
        <f>Tabelle13[[#This Row],[commits]]/Tabelle13[[#Totals],[commits]]</f>
        <v>4.6477904404246225E-6</v>
      </c>
      <c r="I5334" s="5">
        <f>Tabelle13[[#This Row],[%]]+I5333</f>
        <v>0.98274275409465939</v>
      </c>
      <c r="J5334" s="4">
        <f t="shared" si="199"/>
        <v>1.105583195135434E-4</v>
      </c>
      <c r="K5334" s="5">
        <f t="shared" si="200"/>
        <v>0.58949695964627002</v>
      </c>
    </row>
    <row r="5335" spans="1:11" x14ac:dyDescent="0.25">
      <c r="A5335" t="s">
        <v>4503</v>
      </c>
      <c r="C5335" t="s">
        <v>4504</v>
      </c>
      <c r="D5335" t="s">
        <v>5</v>
      </c>
      <c r="E5335" t="s">
        <v>6</v>
      </c>
      <c r="F5335" t="s">
        <v>724</v>
      </c>
      <c r="G5335">
        <v>1</v>
      </c>
      <c r="H5335" s="2">
        <f>Tabelle13[[#This Row],[commits]]/Tabelle13[[#Totals],[commits]]</f>
        <v>4.6477904404246225E-6</v>
      </c>
      <c r="I5335" s="5">
        <f>Tabelle13[[#This Row],[%]]+I5334</f>
        <v>0.98274740188509979</v>
      </c>
      <c r="J5335" s="4">
        <f t="shared" si="199"/>
        <v>1.105583195135434E-4</v>
      </c>
      <c r="K5335" s="5">
        <f t="shared" si="200"/>
        <v>0.58960751796578359</v>
      </c>
    </row>
    <row r="5336" spans="1:11" x14ac:dyDescent="0.25">
      <c r="A5336" t="s">
        <v>4505</v>
      </c>
      <c r="C5336" t="s">
        <v>4506</v>
      </c>
      <c r="D5336" t="s">
        <v>5</v>
      </c>
      <c r="E5336" t="s">
        <v>6</v>
      </c>
      <c r="F5336" t="s">
        <v>724</v>
      </c>
      <c r="G5336">
        <v>1</v>
      </c>
      <c r="H5336" s="2">
        <f>Tabelle13[[#This Row],[commits]]/Tabelle13[[#Totals],[commits]]</f>
        <v>4.6477904404246225E-6</v>
      </c>
      <c r="I5336" s="5">
        <f>Tabelle13[[#This Row],[%]]+I5335</f>
        <v>0.9827520496755402</v>
      </c>
      <c r="J5336" s="4">
        <f t="shared" si="199"/>
        <v>1.105583195135434E-4</v>
      </c>
      <c r="K5336" s="5">
        <f t="shared" si="200"/>
        <v>0.58971807628529715</v>
      </c>
    </row>
    <row r="5337" spans="1:11" x14ac:dyDescent="0.25">
      <c r="A5337" t="s">
        <v>4507</v>
      </c>
      <c r="C5337" t="s">
        <v>4508</v>
      </c>
      <c r="D5337" t="s">
        <v>5</v>
      </c>
      <c r="E5337" t="s">
        <v>6</v>
      </c>
      <c r="F5337" t="s">
        <v>724</v>
      </c>
      <c r="G5337">
        <v>1</v>
      </c>
      <c r="H5337" s="2">
        <f>Tabelle13[[#This Row],[commits]]/Tabelle13[[#Totals],[commits]]</f>
        <v>4.6477904404246225E-6</v>
      </c>
      <c r="I5337" s="5">
        <f>Tabelle13[[#This Row],[%]]+I5336</f>
        <v>0.9827566974659806</v>
      </c>
      <c r="J5337" s="4">
        <f t="shared" si="199"/>
        <v>1.105583195135434E-4</v>
      </c>
      <c r="K5337" s="5">
        <f t="shared" si="200"/>
        <v>0.58982863460481072</v>
      </c>
    </row>
    <row r="5338" spans="1:11" x14ac:dyDescent="0.25">
      <c r="A5338" t="s">
        <v>4509</v>
      </c>
      <c r="C5338" t="s">
        <v>4510</v>
      </c>
      <c r="D5338" t="s">
        <v>5</v>
      </c>
      <c r="E5338" t="s">
        <v>6</v>
      </c>
      <c r="F5338" t="s">
        <v>724</v>
      </c>
      <c r="G5338">
        <v>1</v>
      </c>
      <c r="H5338" s="2">
        <f>Tabelle13[[#This Row],[commits]]/Tabelle13[[#Totals],[commits]]</f>
        <v>4.6477904404246225E-6</v>
      </c>
      <c r="I5338" s="5">
        <f>Tabelle13[[#This Row],[%]]+I5337</f>
        <v>0.982761345256421</v>
      </c>
      <c r="J5338" s="4">
        <f t="shared" si="199"/>
        <v>1.105583195135434E-4</v>
      </c>
      <c r="K5338" s="5">
        <f t="shared" si="200"/>
        <v>0.58993919292432428</v>
      </c>
    </row>
    <row r="5339" spans="1:11" x14ac:dyDescent="0.25">
      <c r="A5339" t="s">
        <v>4511</v>
      </c>
      <c r="C5339" t="s">
        <v>4512</v>
      </c>
      <c r="D5339" t="s">
        <v>309</v>
      </c>
      <c r="E5339" t="s">
        <v>6</v>
      </c>
      <c r="F5339" t="s">
        <v>724</v>
      </c>
      <c r="G5339">
        <v>1</v>
      </c>
      <c r="H5339" s="2">
        <f>Tabelle13[[#This Row],[commits]]/Tabelle13[[#Totals],[commits]]</f>
        <v>4.6477904404246225E-6</v>
      </c>
      <c r="I5339" s="5">
        <f>Tabelle13[[#This Row],[%]]+I5338</f>
        <v>0.98276599304686141</v>
      </c>
      <c r="J5339" s="4">
        <f t="shared" si="199"/>
        <v>1.105583195135434E-4</v>
      </c>
      <c r="K5339" s="5">
        <f t="shared" si="200"/>
        <v>0.59004975124383785</v>
      </c>
    </row>
    <row r="5340" spans="1:11" x14ac:dyDescent="0.25">
      <c r="A5340" t="s">
        <v>4513</v>
      </c>
      <c r="C5340" t="s">
        <v>4514</v>
      </c>
      <c r="D5340" t="s">
        <v>5</v>
      </c>
      <c r="E5340" t="s">
        <v>6</v>
      </c>
      <c r="F5340" t="s">
        <v>724</v>
      </c>
      <c r="G5340">
        <v>1</v>
      </c>
      <c r="H5340" s="2">
        <f>Tabelle13[[#This Row],[commits]]/Tabelle13[[#Totals],[commits]]</f>
        <v>4.6477904404246225E-6</v>
      </c>
      <c r="I5340" s="5">
        <f>Tabelle13[[#This Row],[%]]+I5339</f>
        <v>0.98277064083730181</v>
      </c>
      <c r="J5340" s="4">
        <f t="shared" si="199"/>
        <v>1.105583195135434E-4</v>
      </c>
      <c r="K5340" s="5">
        <f t="shared" si="200"/>
        <v>0.59016030956335142</v>
      </c>
    </row>
    <row r="5341" spans="1:11" x14ac:dyDescent="0.25">
      <c r="A5341" t="s">
        <v>4515</v>
      </c>
      <c r="C5341" t="s">
        <v>4516</v>
      </c>
      <c r="D5341" t="s">
        <v>5</v>
      </c>
      <c r="E5341" t="s">
        <v>6</v>
      </c>
      <c r="F5341" t="s">
        <v>724</v>
      </c>
      <c r="G5341">
        <v>1</v>
      </c>
      <c r="H5341" s="2">
        <f>Tabelle13[[#This Row],[commits]]/Tabelle13[[#Totals],[commits]]</f>
        <v>4.6477904404246225E-6</v>
      </c>
      <c r="I5341" s="5">
        <f>Tabelle13[[#This Row],[%]]+I5340</f>
        <v>0.98277528862774222</v>
      </c>
      <c r="J5341" s="4">
        <f t="shared" si="199"/>
        <v>1.105583195135434E-4</v>
      </c>
      <c r="K5341" s="5">
        <f t="shared" si="200"/>
        <v>0.59027086788286498</v>
      </c>
    </row>
    <row r="5342" spans="1:11" x14ac:dyDescent="0.25">
      <c r="A5342" t="s">
        <v>4517</v>
      </c>
      <c r="C5342" t="s">
        <v>4518</v>
      </c>
      <c r="D5342" t="s">
        <v>5</v>
      </c>
      <c r="E5342" t="s">
        <v>6</v>
      </c>
      <c r="F5342" t="s">
        <v>724</v>
      </c>
      <c r="G5342">
        <v>1</v>
      </c>
      <c r="H5342" s="2">
        <f>Tabelle13[[#This Row],[commits]]/Tabelle13[[#Totals],[commits]]</f>
        <v>4.6477904404246225E-6</v>
      </c>
      <c r="I5342" s="5">
        <f>Tabelle13[[#This Row],[%]]+I5341</f>
        <v>0.98277993641818262</v>
      </c>
      <c r="J5342" s="4">
        <f t="shared" si="199"/>
        <v>1.105583195135434E-4</v>
      </c>
      <c r="K5342" s="5">
        <f t="shared" si="200"/>
        <v>0.59038142620237855</v>
      </c>
    </row>
    <row r="5343" spans="1:11" x14ac:dyDescent="0.25">
      <c r="A5343" t="s">
        <v>4519</v>
      </c>
      <c r="C5343" t="s">
        <v>4520</v>
      </c>
      <c r="D5343" t="s">
        <v>5</v>
      </c>
      <c r="E5343" t="s">
        <v>6</v>
      </c>
      <c r="F5343" t="s">
        <v>724</v>
      </c>
      <c r="G5343">
        <v>1</v>
      </c>
      <c r="H5343" s="2">
        <f>Tabelle13[[#This Row],[commits]]/Tabelle13[[#Totals],[commits]]</f>
        <v>4.6477904404246225E-6</v>
      </c>
      <c r="I5343" s="5">
        <f>Tabelle13[[#This Row],[%]]+I5342</f>
        <v>0.98278458420862302</v>
      </c>
      <c r="J5343" s="4">
        <f t="shared" si="199"/>
        <v>1.105583195135434E-4</v>
      </c>
      <c r="K5343" s="5">
        <f t="shared" si="200"/>
        <v>0.59049198452189211</v>
      </c>
    </row>
    <row r="5344" spans="1:11" x14ac:dyDescent="0.25">
      <c r="A5344" t="s">
        <v>4521</v>
      </c>
      <c r="C5344" t="s">
        <v>4522</v>
      </c>
      <c r="D5344" t="s">
        <v>5</v>
      </c>
      <c r="E5344" t="s">
        <v>6</v>
      </c>
      <c r="F5344" t="s">
        <v>724</v>
      </c>
      <c r="G5344">
        <v>1</v>
      </c>
      <c r="H5344" s="2">
        <f>Tabelle13[[#This Row],[commits]]/Tabelle13[[#Totals],[commits]]</f>
        <v>4.6477904404246225E-6</v>
      </c>
      <c r="I5344" s="5">
        <f>Tabelle13[[#This Row],[%]]+I5343</f>
        <v>0.98278923199906343</v>
      </c>
      <c r="J5344" s="4">
        <f t="shared" si="199"/>
        <v>1.105583195135434E-4</v>
      </c>
      <c r="K5344" s="5">
        <f t="shared" si="200"/>
        <v>0.59060254284140568</v>
      </c>
    </row>
    <row r="5345" spans="1:11" x14ac:dyDescent="0.25">
      <c r="A5345" t="s">
        <v>4523</v>
      </c>
      <c r="C5345" t="s">
        <v>4524</v>
      </c>
      <c r="D5345" t="s">
        <v>5</v>
      </c>
      <c r="E5345" t="s">
        <v>6</v>
      </c>
      <c r="F5345" t="s">
        <v>724</v>
      </c>
      <c r="G5345">
        <v>1</v>
      </c>
      <c r="H5345" s="2">
        <f>Tabelle13[[#This Row],[commits]]/Tabelle13[[#Totals],[commits]]</f>
        <v>4.6477904404246225E-6</v>
      </c>
      <c r="I5345" s="5">
        <f>Tabelle13[[#This Row],[%]]+I5344</f>
        <v>0.98279387978950383</v>
      </c>
      <c r="J5345" s="4">
        <f t="shared" si="199"/>
        <v>1.105583195135434E-4</v>
      </c>
      <c r="K5345" s="5">
        <f t="shared" si="200"/>
        <v>0.59071310116091924</v>
      </c>
    </row>
    <row r="5346" spans="1:11" x14ac:dyDescent="0.25">
      <c r="A5346" t="s">
        <v>4525</v>
      </c>
      <c r="C5346" t="s">
        <v>4526</v>
      </c>
      <c r="D5346" t="s">
        <v>5</v>
      </c>
      <c r="E5346" t="s">
        <v>6</v>
      </c>
      <c r="F5346" t="s">
        <v>724</v>
      </c>
      <c r="G5346">
        <v>1</v>
      </c>
      <c r="H5346" s="2">
        <f>Tabelle13[[#This Row],[commits]]/Tabelle13[[#Totals],[commits]]</f>
        <v>4.6477904404246225E-6</v>
      </c>
      <c r="I5346" s="5">
        <f>Tabelle13[[#This Row],[%]]+I5345</f>
        <v>0.98279852757994424</v>
      </c>
      <c r="J5346" s="4">
        <f t="shared" si="199"/>
        <v>1.105583195135434E-4</v>
      </c>
      <c r="K5346" s="5">
        <f t="shared" si="200"/>
        <v>0.59082365948043281</v>
      </c>
    </row>
    <row r="5347" spans="1:11" x14ac:dyDescent="0.25">
      <c r="A5347" t="s">
        <v>4527</v>
      </c>
      <c r="C5347" t="s">
        <v>4528</v>
      </c>
      <c r="D5347" t="s">
        <v>5</v>
      </c>
      <c r="E5347" t="s">
        <v>6</v>
      </c>
      <c r="F5347" t="s">
        <v>724</v>
      </c>
      <c r="G5347">
        <v>1</v>
      </c>
      <c r="H5347" s="2">
        <f>Tabelle13[[#This Row],[commits]]/Tabelle13[[#Totals],[commits]]</f>
        <v>4.6477904404246225E-6</v>
      </c>
      <c r="I5347" s="5">
        <f>Tabelle13[[#This Row],[%]]+I5346</f>
        <v>0.98280317537038464</v>
      </c>
      <c r="J5347" s="4">
        <f t="shared" si="199"/>
        <v>1.105583195135434E-4</v>
      </c>
      <c r="K5347" s="5">
        <f t="shared" si="200"/>
        <v>0.59093421779994637</v>
      </c>
    </row>
    <row r="5348" spans="1:11" x14ac:dyDescent="0.25">
      <c r="A5348" t="s">
        <v>4529</v>
      </c>
      <c r="C5348" t="s">
        <v>4530</v>
      </c>
      <c r="D5348" t="s">
        <v>5</v>
      </c>
      <c r="E5348" t="s">
        <v>6</v>
      </c>
      <c r="F5348" t="s">
        <v>724</v>
      </c>
      <c r="G5348">
        <v>1</v>
      </c>
      <c r="H5348" s="2">
        <f>Tabelle13[[#This Row],[commits]]/Tabelle13[[#Totals],[commits]]</f>
        <v>4.6477904404246225E-6</v>
      </c>
      <c r="I5348" s="5">
        <f>Tabelle13[[#This Row],[%]]+I5347</f>
        <v>0.98280782316082504</v>
      </c>
      <c r="J5348" s="4">
        <f t="shared" si="199"/>
        <v>1.105583195135434E-4</v>
      </c>
      <c r="K5348" s="5">
        <f t="shared" si="200"/>
        <v>0.59104477611945994</v>
      </c>
    </row>
    <row r="5349" spans="1:11" x14ac:dyDescent="0.25">
      <c r="A5349" t="s">
        <v>4531</v>
      </c>
      <c r="C5349" t="s">
        <v>4532</v>
      </c>
      <c r="D5349" t="s">
        <v>4533</v>
      </c>
      <c r="E5349" t="s">
        <v>6</v>
      </c>
      <c r="F5349" t="s">
        <v>724</v>
      </c>
      <c r="G5349">
        <v>1</v>
      </c>
      <c r="H5349" s="2">
        <f>Tabelle13[[#This Row],[commits]]/Tabelle13[[#Totals],[commits]]</f>
        <v>4.6477904404246225E-6</v>
      </c>
      <c r="I5349" s="5">
        <f>Tabelle13[[#This Row],[%]]+I5348</f>
        <v>0.98281247095126545</v>
      </c>
      <c r="J5349" s="4">
        <f t="shared" si="199"/>
        <v>1.105583195135434E-4</v>
      </c>
      <c r="K5349" s="5">
        <f t="shared" si="200"/>
        <v>0.5911553344389735</v>
      </c>
    </row>
    <row r="5350" spans="1:11" x14ac:dyDescent="0.25">
      <c r="A5350" t="s">
        <v>4534</v>
      </c>
      <c r="C5350" t="s">
        <v>4535</v>
      </c>
      <c r="D5350" t="s">
        <v>3240</v>
      </c>
      <c r="E5350" t="s">
        <v>6</v>
      </c>
      <c r="F5350" t="s">
        <v>724</v>
      </c>
      <c r="G5350">
        <v>1</v>
      </c>
      <c r="H5350" s="2">
        <f>Tabelle13[[#This Row],[commits]]/Tabelle13[[#Totals],[commits]]</f>
        <v>4.6477904404246225E-6</v>
      </c>
      <c r="I5350" s="5">
        <f>Tabelle13[[#This Row],[%]]+I5349</f>
        <v>0.98281711874170585</v>
      </c>
      <c r="J5350" s="4">
        <f t="shared" si="199"/>
        <v>1.105583195135434E-4</v>
      </c>
      <c r="K5350" s="5">
        <f t="shared" si="200"/>
        <v>0.59126589275848707</v>
      </c>
    </row>
    <row r="5351" spans="1:11" x14ac:dyDescent="0.25">
      <c r="A5351" t="s">
        <v>4536</v>
      </c>
      <c r="C5351" t="s">
        <v>4537</v>
      </c>
      <c r="D5351" t="s">
        <v>5</v>
      </c>
      <c r="E5351" t="s">
        <v>6</v>
      </c>
      <c r="F5351" t="s">
        <v>724</v>
      </c>
      <c r="G5351">
        <v>1</v>
      </c>
      <c r="H5351" s="2">
        <f>Tabelle13[[#This Row],[commits]]/Tabelle13[[#Totals],[commits]]</f>
        <v>4.6477904404246225E-6</v>
      </c>
      <c r="I5351" s="5">
        <f>Tabelle13[[#This Row],[%]]+I5350</f>
        <v>0.98282176653214626</v>
      </c>
      <c r="J5351" s="4">
        <f t="shared" si="199"/>
        <v>1.105583195135434E-4</v>
      </c>
      <c r="K5351" s="5">
        <f t="shared" si="200"/>
        <v>0.59137645107800063</v>
      </c>
    </row>
    <row r="5352" spans="1:11" x14ac:dyDescent="0.25">
      <c r="A5352" t="s">
        <v>4538</v>
      </c>
      <c r="C5352" t="s">
        <v>4539</v>
      </c>
      <c r="D5352" t="s">
        <v>5</v>
      </c>
      <c r="E5352" t="s">
        <v>6</v>
      </c>
      <c r="F5352" t="s">
        <v>724</v>
      </c>
      <c r="G5352">
        <v>1</v>
      </c>
      <c r="H5352" s="2">
        <f>Tabelle13[[#This Row],[commits]]/Tabelle13[[#Totals],[commits]]</f>
        <v>4.6477904404246225E-6</v>
      </c>
      <c r="I5352" s="5">
        <f>Tabelle13[[#This Row],[%]]+I5351</f>
        <v>0.98282641432258666</v>
      </c>
      <c r="J5352" s="4">
        <f t="shared" si="199"/>
        <v>1.105583195135434E-4</v>
      </c>
      <c r="K5352" s="5">
        <f t="shared" si="200"/>
        <v>0.5914870093975142</v>
      </c>
    </row>
    <row r="5353" spans="1:11" x14ac:dyDescent="0.25">
      <c r="A5353" t="s">
        <v>4540</v>
      </c>
      <c r="C5353" t="s">
        <v>4541</v>
      </c>
      <c r="D5353" t="s">
        <v>5</v>
      </c>
      <c r="E5353" t="s">
        <v>6</v>
      </c>
      <c r="F5353" t="s">
        <v>724</v>
      </c>
      <c r="G5353">
        <v>1</v>
      </c>
      <c r="H5353" s="2">
        <f>Tabelle13[[#This Row],[commits]]/Tabelle13[[#Totals],[commits]]</f>
        <v>4.6477904404246225E-6</v>
      </c>
      <c r="I5353" s="5">
        <f>Tabelle13[[#This Row],[%]]+I5352</f>
        <v>0.98283106211302707</v>
      </c>
      <c r="J5353" s="4">
        <f t="shared" si="199"/>
        <v>1.105583195135434E-4</v>
      </c>
      <c r="K5353" s="5">
        <f t="shared" si="200"/>
        <v>0.59159756771702776</v>
      </c>
    </row>
    <row r="5354" spans="1:11" x14ac:dyDescent="0.25">
      <c r="A5354" t="s">
        <v>4542</v>
      </c>
      <c r="C5354" t="s">
        <v>4543</v>
      </c>
      <c r="D5354" t="s">
        <v>5</v>
      </c>
      <c r="E5354" t="s">
        <v>6</v>
      </c>
      <c r="F5354" t="s">
        <v>724</v>
      </c>
      <c r="G5354">
        <v>1</v>
      </c>
      <c r="H5354" s="2">
        <f>Tabelle13[[#This Row],[commits]]/Tabelle13[[#Totals],[commits]]</f>
        <v>4.6477904404246225E-6</v>
      </c>
      <c r="I5354" s="5">
        <f>Tabelle13[[#This Row],[%]]+I5353</f>
        <v>0.98283570990346747</v>
      </c>
      <c r="J5354" s="4">
        <f t="shared" si="199"/>
        <v>1.105583195135434E-4</v>
      </c>
      <c r="K5354" s="5">
        <f t="shared" si="200"/>
        <v>0.59170812603654133</v>
      </c>
    </row>
    <row r="5355" spans="1:11" x14ac:dyDescent="0.25">
      <c r="A5355" t="s">
        <v>4544</v>
      </c>
      <c r="C5355" t="s">
        <v>4545</v>
      </c>
      <c r="D5355" t="s">
        <v>5</v>
      </c>
      <c r="E5355" t="s">
        <v>6</v>
      </c>
      <c r="F5355" t="s">
        <v>724</v>
      </c>
      <c r="G5355">
        <v>1</v>
      </c>
      <c r="H5355" s="2">
        <f>Tabelle13[[#This Row],[commits]]/Tabelle13[[#Totals],[commits]]</f>
        <v>4.6477904404246225E-6</v>
      </c>
      <c r="I5355" s="5">
        <f>Tabelle13[[#This Row],[%]]+I5354</f>
        <v>0.98284035769390787</v>
      </c>
      <c r="J5355" s="4">
        <f t="shared" si="199"/>
        <v>1.105583195135434E-4</v>
      </c>
      <c r="K5355" s="5">
        <f t="shared" si="200"/>
        <v>0.59181868435605489</v>
      </c>
    </row>
    <row r="5356" spans="1:11" x14ac:dyDescent="0.25">
      <c r="A5356" t="s">
        <v>4546</v>
      </c>
      <c r="C5356" t="s">
        <v>4547</v>
      </c>
      <c r="D5356" t="s">
        <v>5</v>
      </c>
      <c r="E5356" t="s">
        <v>6</v>
      </c>
      <c r="F5356" t="s">
        <v>724</v>
      </c>
      <c r="G5356">
        <v>1</v>
      </c>
      <c r="H5356" s="2">
        <f>Tabelle13[[#This Row],[commits]]/Tabelle13[[#Totals],[commits]]</f>
        <v>4.6477904404246225E-6</v>
      </c>
      <c r="I5356" s="5">
        <f>Tabelle13[[#This Row],[%]]+I5355</f>
        <v>0.98284500548434828</v>
      </c>
      <c r="J5356" s="4">
        <f t="shared" si="199"/>
        <v>1.105583195135434E-4</v>
      </c>
      <c r="K5356" s="5">
        <f t="shared" si="200"/>
        <v>0.59192924267556846</v>
      </c>
    </row>
    <row r="5357" spans="1:11" x14ac:dyDescent="0.25">
      <c r="A5357" t="s">
        <v>4548</v>
      </c>
      <c r="C5357" t="s">
        <v>1679</v>
      </c>
      <c r="D5357" t="s">
        <v>5</v>
      </c>
      <c r="E5357" t="s">
        <v>6</v>
      </c>
      <c r="F5357" t="s">
        <v>724</v>
      </c>
      <c r="G5357">
        <v>1</v>
      </c>
      <c r="H5357" s="2">
        <f>Tabelle13[[#This Row],[commits]]/Tabelle13[[#Totals],[commits]]</f>
        <v>4.6477904404246225E-6</v>
      </c>
      <c r="I5357" s="5">
        <f>Tabelle13[[#This Row],[%]]+I5356</f>
        <v>0.98284965327478868</v>
      </c>
      <c r="J5357" s="4">
        <f t="shared" si="199"/>
        <v>1.105583195135434E-4</v>
      </c>
      <c r="K5357" s="5">
        <f t="shared" si="200"/>
        <v>0.59203980099508202</v>
      </c>
    </row>
    <row r="5358" spans="1:11" x14ac:dyDescent="0.25">
      <c r="A5358" t="s">
        <v>4549</v>
      </c>
      <c r="C5358">
        <v>596017443</v>
      </c>
      <c r="D5358" t="s">
        <v>5</v>
      </c>
      <c r="E5358" t="s">
        <v>6</v>
      </c>
      <c r="F5358" t="s">
        <v>724</v>
      </c>
      <c r="G5358">
        <v>1</v>
      </c>
      <c r="H5358" s="2">
        <f>Tabelle13[[#This Row],[commits]]/Tabelle13[[#Totals],[commits]]</f>
        <v>4.6477904404246225E-6</v>
      </c>
      <c r="I5358" s="5">
        <f>Tabelle13[[#This Row],[%]]+I5357</f>
        <v>0.98285430106522909</v>
      </c>
      <c r="J5358" s="4">
        <f t="shared" si="199"/>
        <v>1.105583195135434E-4</v>
      </c>
      <c r="K5358" s="5">
        <f t="shared" si="200"/>
        <v>0.59215035931459559</v>
      </c>
    </row>
    <row r="5359" spans="1:11" x14ac:dyDescent="0.25">
      <c r="A5359" t="s">
        <v>4550</v>
      </c>
      <c r="C5359" t="s">
        <v>4551</v>
      </c>
      <c r="D5359" t="s">
        <v>5</v>
      </c>
      <c r="E5359" t="s">
        <v>6</v>
      </c>
      <c r="F5359" t="s">
        <v>724</v>
      </c>
      <c r="G5359">
        <v>1</v>
      </c>
      <c r="H5359" s="2">
        <f>Tabelle13[[#This Row],[commits]]/Tabelle13[[#Totals],[commits]]</f>
        <v>4.6477904404246225E-6</v>
      </c>
      <c r="I5359" s="5">
        <f>Tabelle13[[#This Row],[%]]+I5358</f>
        <v>0.98285894885566949</v>
      </c>
      <c r="J5359" s="4">
        <f t="shared" si="199"/>
        <v>1.105583195135434E-4</v>
      </c>
      <c r="K5359" s="5">
        <f t="shared" si="200"/>
        <v>0.59226091763410915</v>
      </c>
    </row>
    <row r="5360" spans="1:11" x14ac:dyDescent="0.25">
      <c r="A5360" t="s">
        <v>4552</v>
      </c>
      <c r="C5360" t="s">
        <v>1348</v>
      </c>
      <c r="D5360" t="s">
        <v>5</v>
      </c>
      <c r="E5360" t="s">
        <v>6</v>
      </c>
      <c r="F5360" t="s">
        <v>724</v>
      </c>
      <c r="G5360">
        <v>1</v>
      </c>
      <c r="H5360" s="2">
        <f>Tabelle13[[#This Row],[commits]]/Tabelle13[[#Totals],[commits]]</f>
        <v>4.6477904404246225E-6</v>
      </c>
      <c r="I5360" s="5">
        <f>Tabelle13[[#This Row],[%]]+I5359</f>
        <v>0.98286359664610989</v>
      </c>
      <c r="J5360" s="4">
        <f t="shared" si="199"/>
        <v>1.105583195135434E-4</v>
      </c>
      <c r="K5360" s="5">
        <f t="shared" si="200"/>
        <v>0.59237147595362272</v>
      </c>
    </row>
    <row r="5361" spans="1:11" x14ac:dyDescent="0.25">
      <c r="A5361" t="s">
        <v>4553</v>
      </c>
      <c r="C5361" t="s">
        <v>4554</v>
      </c>
      <c r="D5361" t="s">
        <v>5</v>
      </c>
      <c r="E5361" t="s">
        <v>6</v>
      </c>
      <c r="F5361" t="s">
        <v>724</v>
      </c>
      <c r="G5361">
        <v>1</v>
      </c>
      <c r="H5361" s="2">
        <f>Tabelle13[[#This Row],[commits]]/Tabelle13[[#Totals],[commits]]</f>
        <v>4.6477904404246225E-6</v>
      </c>
      <c r="I5361" s="5">
        <f>Tabelle13[[#This Row],[%]]+I5360</f>
        <v>0.9828682444365503</v>
      </c>
      <c r="J5361" s="4">
        <f t="shared" si="199"/>
        <v>1.105583195135434E-4</v>
      </c>
      <c r="K5361" s="5">
        <f t="shared" si="200"/>
        <v>0.59248203427313628</v>
      </c>
    </row>
    <row r="5362" spans="1:11" x14ac:dyDescent="0.25">
      <c r="A5362" t="s">
        <v>4555</v>
      </c>
      <c r="C5362" t="s">
        <v>4556</v>
      </c>
      <c r="D5362" t="s">
        <v>5</v>
      </c>
      <c r="E5362" t="s">
        <v>6</v>
      </c>
      <c r="F5362" t="s">
        <v>724</v>
      </c>
      <c r="G5362">
        <v>1</v>
      </c>
      <c r="H5362" s="2">
        <f>Tabelle13[[#This Row],[commits]]/Tabelle13[[#Totals],[commits]]</f>
        <v>4.6477904404246225E-6</v>
      </c>
      <c r="I5362" s="5">
        <f>Tabelle13[[#This Row],[%]]+I5361</f>
        <v>0.9828728922269907</v>
      </c>
      <c r="J5362" s="4">
        <f t="shared" si="199"/>
        <v>1.105583195135434E-4</v>
      </c>
      <c r="K5362" s="5">
        <f t="shared" si="200"/>
        <v>0.59259259259264985</v>
      </c>
    </row>
    <row r="5363" spans="1:11" x14ac:dyDescent="0.25">
      <c r="A5363" t="s">
        <v>4557</v>
      </c>
      <c r="C5363" t="s">
        <v>4558</v>
      </c>
      <c r="D5363" t="s">
        <v>5</v>
      </c>
      <c r="E5363" t="s">
        <v>6</v>
      </c>
      <c r="F5363" t="s">
        <v>724</v>
      </c>
      <c r="G5363">
        <v>1</v>
      </c>
      <c r="H5363" s="2">
        <f>Tabelle13[[#This Row],[commits]]/Tabelle13[[#Totals],[commits]]</f>
        <v>4.6477904404246225E-6</v>
      </c>
      <c r="I5363" s="5">
        <f>Tabelle13[[#This Row],[%]]+I5362</f>
        <v>0.98287754001743111</v>
      </c>
      <c r="J5363" s="4">
        <f t="shared" si="199"/>
        <v>1.105583195135434E-4</v>
      </c>
      <c r="K5363" s="5">
        <f t="shared" si="200"/>
        <v>0.59270315091216341</v>
      </c>
    </row>
    <row r="5364" spans="1:11" x14ac:dyDescent="0.25">
      <c r="A5364" t="s">
        <v>4559</v>
      </c>
      <c r="C5364" t="s">
        <v>4560</v>
      </c>
      <c r="D5364" t="s">
        <v>5</v>
      </c>
      <c r="E5364" t="s">
        <v>6</v>
      </c>
      <c r="F5364" t="s">
        <v>724</v>
      </c>
      <c r="G5364">
        <v>1</v>
      </c>
      <c r="H5364" s="2">
        <f>Tabelle13[[#This Row],[commits]]/Tabelle13[[#Totals],[commits]]</f>
        <v>4.6477904404246225E-6</v>
      </c>
      <c r="I5364" s="5">
        <f>Tabelle13[[#This Row],[%]]+I5363</f>
        <v>0.98288218780787151</v>
      </c>
      <c r="J5364" s="4">
        <f t="shared" si="199"/>
        <v>1.105583195135434E-4</v>
      </c>
      <c r="K5364" s="5">
        <f t="shared" si="200"/>
        <v>0.59281370923167698</v>
      </c>
    </row>
    <row r="5365" spans="1:11" x14ac:dyDescent="0.25">
      <c r="A5365" t="s">
        <v>4561</v>
      </c>
      <c r="C5365" t="s">
        <v>2559</v>
      </c>
      <c r="D5365" t="s">
        <v>5</v>
      </c>
      <c r="E5365" t="s">
        <v>6</v>
      </c>
      <c r="F5365" t="s">
        <v>724</v>
      </c>
      <c r="G5365">
        <v>1</v>
      </c>
      <c r="H5365" s="2">
        <f>Tabelle13[[#This Row],[commits]]/Tabelle13[[#Totals],[commits]]</f>
        <v>4.6477904404246225E-6</v>
      </c>
      <c r="I5365" s="5">
        <f>Tabelle13[[#This Row],[%]]+I5364</f>
        <v>0.98288683559831191</v>
      </c>
      <c r="J5365" s="4">
        <f t="shared" si="199"/>
        <v>1.105583195135434E-4</v>
      </c>
      <c r="K5365" s="5">
        <f t="shared" si="200"/>
        <v>0.59292426755119054</v>
      </c>
    </row>
    <row r="5366" spans="1:11" x14ac:dyDescent="0.25">
      <c r="A5366" t="s">
        <v>4562</v>
      </c>
      <c r="C5366" t="s">
        <v>4563</v>
      </c>
      <c r="D5366" t="s">
        <v>5</v>
      </c>
      <c r="E5366" t="s">
        <v>6</v>
      </c>
      <c r="F5366" t="s">
        <v>724</v>
      </c>
      <c r="G5366">
        <v>1</v>
      </c>
      <c r="H5366" s="2">
        <f>Tabelle13[[#This Row],[commits]]/Tabelle13[[#Totals],[commits]]</f>
        <v>4.6477904404246225E-6</v>
      </c>
      <c r="I5366" s="5">
        <f>Tabelle13[[#This Row],[%]]+I5365</f>
        <v>0.98289148338875232</v>
      </c>
      <c r="J5366" s="4">
        <f t="shared" si="199"/>
        <v>1.105583195135434E-4</v>
      </c>
      <c r="K5366" s="5">
        <f t="shared" si="200"/>
        <v>0.59303482587070411</v>
      </c>
    </row>
    <row r="5367" spans="1:11" x14ac:dyDescent="0.25">
      <c r="A5367" t="s">
        <v>4564</v>
      </c>
      <c r="C5367" t="s">
        <v>4565</v>
      </c>
      <c r="D5367" t="s">
        <v>5</v>
      </c>
      <c r="E5367" t="s">
        <v>6</v>
      </c>
      <c r="F5367" t="s">
        <v>724</v>
      </c>
      <c r="G5367">
        <v>1</v>
      </c>
      <c r="H5367" s="2">
        <f>Tabelle13[[#This Row],[commits]]/Tabelle13[[#Totals],[commits]]</f>
        <v>4.6477904404246225E-6</v>
      </c>
      <c r="I5367" s="5">
        <f>Tabelle13[[#This Row],[%]]+I5366</f>
        <v>0.98289613117919272</v>
      </c>
      <c r="J5367" s="4">
        <f t="shared" si="199"/>
        <v>1.105583195135434E-4</v>
      </c>
      <c r="K5367" s="5">
        <f t="shared" si="200"/>
        <v>0.59314538419021767</v>
      </c>
    </row>
    <row r="5368" spans="1:11" x14ac:dyDescent="0.25">
      <c r="A5368" t="s">
        <v>4566</v>
      </c>
      <c r="C5368" t="s">
        <v>4567</v>
      </c>
      <c r="D5368" t="s">
        <v>5</v>
      </c>
      <c r="E5368" t="s">
        <v>6</v>
      </c>
      <c r="F5368" t="s">
        <v>724</v>
      </c>
      <c r="G5368">
        <v>1</v>
      </c>
      <c r="H5368" s="2">
        <f>Tabelle13[[#This Row],[commits]]/Tabelle13[[#Totals],[commits]]</f>
        <v>4.6477904404246225E-6</v>
      </c>
      <c r="I5368" s="5">
        <f>Tabelle13[[#This Row],[%]]+I5367</f>
        <v>0.98290077896963313</v>
      </c>
      <c r="J5368" s="4">
        <f t="shared" si="199"/>
        <v>1.105583195135434E-4</v>
      </c>
      <c r="K5368" s="5">
        <f t="shared" si="200"/>
        <v>0.59325594250973124</v>
      </c>
    </row>
    <row r="5369" spans="1:11" x14ac:dyDescent="0.25">
      <c r="A5369" t="s">
        <v>4568</v>
      </c>
      <c r="C5369" t="s">
        <v>4569</v>
      </c>
      <c r="D5369" t="s">
        <v>5</v>
      </c>
      <c r="E5369" t="s">
        <v>6</v>
      </c>
      <c r="F5369" t="s">
        <v>724</v>
      </c>
      <c r="G5369">
        <v>1</v>
      </c>
      <c r="H5369" s="2">
        <f>Tabelle13[[#This Row],[commits]]/Tabelle13[[#Totals],[commits]]</f>
        <v>4.6477904404246225E-6</v>
      </c>
      <c r="I5369" s="5">
        <f>Tabelle13[[#This Row],[%]]+I5368</f>
        <v>0.98290542676007353</v>
      </c>
      <c r="J5369" s="4">
        <f t="shared" si="199"/>
        <v>1.105583195135434E-4</v>
      </c>
      <c r="K5369" s="5">
        <f t="shared" si="200"/>
        <v>0.5933665008292448</v>
      </c>
    </row>
    <row r="5370" spans="1:11" x14ac:dyDescent="0.25">
      <c r="A5370" t="s">
        <v>4570</v>
      </c>
      <c r="C5370" t="s">
        <v>4571</v>
      </c>
      <c r="D5370" t="s">
        <v>309</v>
      </c>
      <c r="E5370" t="s">
        <v>6</v>
      </c>
      <c r="F5370" t="s">
        <v>724</v>
      </c>
      <c r="G5370">
        <v>1</v>
      </c>
      <c r="H5370" s="2">
        <f>Tabelle13[[#This Row],[commits]]/Tabelle13[[#Totals],[commits]]</f>
        <v>4.6477904404246225E-6</v>
      </c>
      <c r="I5370" s="5">
        <f>Tabelle13[[#This Row],[%]]+I5369</f>
        <v>0.98291007455051393</v>
      </c>
      <c r="J5370" s="4">
        <f t="shared" si="199"/>
        <v>1.105583195135434E-4</v>
      </c>
      <c r="K5370" s="5">
        <f t="shared" si="200"/>
        <v>0.59347705914875837</v>
      </c>
    </row>
    <row r="5371" spans="1:11" x14ac:dyDescent="0.25">
      <c r="A5371" t="s">
        <v>4572</v>
      </c>
      <c r="C5371" t="s">
        <v>4573</v>
      </c>
      <c r="D5371" t="s">
        <v>5</v>
      </c>
      <c r="E5371" t="s">
        <v>6</v>
      </c>
      <c r="F5371" t="s">
        <v>724</v>
      </c>
      <c r="G5371">
        <v>1</v>
      </c>
      <c r="H5371" s="2">
        <f>Tabelle13[[#This Row],[commits]]/Tabelle13[[#Totals],[commits]]</f>
        <v>4.6477904404246225E-6</v>
      </c>
      <c r="I5371" s="5">
        <f>Tabelle13[[#This Row],[%]]+I5370</f>
        <v>0.98291472234095434</v>
      </c>
      <c r="J5371" s="4">
        <f t="shared" si="199"/>
        <v>1.105583195135434E-4</v>
      </c>
      <c r="K5371" s="5">
        <f t="shared" si="200"/>
        <v>0.59358761746827193</v>
      </c>
    </row>
    <row r="5372" spans="1:11" x14ac:dyDescent="0.25">
      <c r="A5372" t="s">
        <v>4574</v>
      </c>
      <c r="C5372" t="s">
        <v>4575</v>
      </c>
      <c r="D5372" t="s">
        <v>5</v>
      </c>
      <c r="E5372" t="s">
        <v>6</v>
      </c>
      <c r="F5372" t="s">
        <v>724</v>
      </c>
      <c r="G5372">
        <v>1</v>
      </c>
      <c r="H5372" s="2">
        <f>Tabelle13[[#This Row],[commits]]/Tabelle13[[#Totals],[commits]]</f>
        <v>4.6477904404246225E-6</v>
      </c>
      <c r="I5372" s="5">
        <f>Tabelle13[[#This Row],[%]]+I5371</f>
        <v>0.98291937013139474</v>
      </c>
      <c r="J5372" s="4">
        <f t="shared" si="199"/>
        <v>1.105583195135434E-4</v>
      </c>
      <c r="K5372" s="5">
        <f t="shared" si="200"/>
        <v>0.5936981757877855</v>
      </c>
    </row>
    <row r="5373" spans="1:11" x14ac:dyDescent="0.25">
      <c r="A5373" t="s">
        <v>4576</v>
      </c>
      <c r="C5373" t="s">
        <v>4577</v>
      </c>
      <c r="D5373" t="s">
        <v>5</v>
      </c>
      <c r="E5373" t="s">
        <v>6</v>
      </c>
      <c r="F5373" t="s">
        <v>724</v>
      </c>
      <c r="G5373">
        <v>1</v>
      </c>
      <c r="H5373" s="2">
        <f>Tabelle13[[#This Row],[commits]]/Tabelle13[[#Totals],[commits]]</f>
        <v>4.6477904404246225E-6</v>
      </c>
      <c r="I5373" s="5">
        <f>Tabelle13[[#This Row],[%]]+I5372</f>
        <v>0.98292401792183515</v>
      </c>
      <c r="J5373" s="4">
        <f t="shared" si="199"/>
        <v>1.105583195135434E-4</v>
      </c>
      <c r="K5373" s="5">
        <f t="shared" si="200"/>
        <v>0.59380873410729906</v>
      </c>
    </row>
    <row r="5374" spans="1:11" x14ac:dyDescent="0.25">
      <c r="A5374" t="s">
        <v>4578</v>
      </c>
      <c r="C5374" t="s">
        <v>4579</v>
      </c>
      <c r="D5374" t="s">
        <v>309</v>
      </c>
      <c r="E5374" t="s">
        <v>6</v>
      </c>
      <c r="F5374" t="s">
        <v>724</v>
      </c>
      <c r="G5374">
        <v>1</v>
      </c>
      <c r="H5374" s="2">
        <f>Tabelle13[[#This Row],[commits]]/Tabelle13[[#Totals],[commits]]</f>
        <v>4.6477904404246225E-6</v>
      </c>
      <c r="I5374" s="5">
        <f>Tabelle13[[#This Row],[%]]+I5373</f>
        <v>0.98292866571227555</v>
      </c>
      <c r="J5374" s="4">
        <f t="shared" si="199"/>
        <v>1.105583195135434E-4</v>
      </c>
      <c r="K5374" s="5">
        <f t="shared" si="200"/>
        <v>0.59391929242681263</v>
      </c>
    </row>
    <row r="5375" spans="1:11" x14ac:dyDescent="0.25">
      <c r="A5375" t="s">
        <v>4580</v>
      </c>
      <c r="C5375" t="s">
        <v>4581</v>
      </c>
      <c r="D5375" t="s">
        <v>5</v>
      </c>
      <c r="E5375" t="s">
        <v>6</v>
      </c>
      <c r="F5375" t="s">
        <v>724</v>
      </c>
      <c r="G5375">
        <v>1</v>
      </c>
      <c r="H5375" s="2">
        <f>Tabelle13[[#This Row],[commits]]/Tabelle13[[#Totals],[commits]]</f>
        <v>4.6477904404246225E-6</v>
      </c>
      <c r="I5375" s="5">
        <f>Tabelle13[[#This Row],[%]]+I5374</f>
        <v>0.98293331350271596</v>
      </c>
      <c r="J5375" s="4">
        <f t="shared" si="199"/>
        <v>1.105583195135434E-4</v>
      </c>
      <c r="K5375" s="5">
        <f t="shared" si="200"/>
        <v>0.59402985074632619</v>
      </c>
    </row>
    <row r="5376" spans="1:11" x14ac:dyDescent="0.25">
      <c r="A5376" t="s">
        <v>4582</v>
      </c>
      <c r="C5376" t="s">
        <v>4583</v>
      </c>
      <c r="D5376" t="s">
        <v>5</v>
      </c>
      <c r="E5376" t="s">
        <v>6</v>
      </c>
      <c r="F5376" t="s">
        <v>724</v>
      </c>
      <c r="G5376">
        <v>1</v>
      </c>
      <c r="H5376" s="2">
        <f>Tabelle13[[#This Row],[commits]]/Tabelle13[[#Totals],[commits]]</f>
        <v>4.6477904404246225E-6</v>
      </c>
      <c r="I5376" s="5">
        <f>Tabelle13[[#This Row],[%]]+I5375</f>
        <v>0.98293796129315636</v>
      </c>
      <c r="J5376" s="4">
        <f t="shared" si="199"/>
        <v>1.105583195135434E-4</v>
      </c>
      <c r="K5376" s="5">
        <f t="shared" si="200"/>
        <v>0.59414040906583976</v>
      </c>
    </row>
    <row r="5377" spans="1:11" x14ac:dyDescent="0.25">
      <c r="A5377" t="s">
        <v>4584</v>
      </c>
      <c r="C5377" t="s">
        <v>4585</v>
      </c>
      <c r="D5377" t="s">
        <v>5</v>
      </c>
      <c r="E5377" t="s">
        <v>6</v>
      </c>
      <c r="F5377" t="s">
        <v>724</v>
      </c>
      <c r="G5377">
        <v>1</v>
      </c>
      <c r="H5377" s="2">
        <f>Tabelle13[[#This Row],[commits]]/Tabelle13[[#Totals],[commits]]</f>
        <v>4.6477904404246225E-6</v>
      </c>
      <c r="I5377" s="5">
        <f>Tabelle13[[#This Row],[%]]+I5376</f>
        <v>0.98294260908359676</v>
      </c>
      <c r="J5377" s="4">
        <f t="shared" si="199"/>
        <v>1.105583195135434E-4</v>
      </c>
      <c r="K5377" s="5">
        <f t="shared" si="200"/>
        <v>0.59425096738535332</v>
      </c>
    </row>
    <row r="5378" spans="1:11" x14ac:dyDescent="0.25">
      <c r="A5378" t="s">
        <v>4586</v>
      </c>
      <c r="C5378" t="s">
        <v>4587</v>
      </c>
      <c r="D5378" t="s">
        <v>5</v>
      </c>
      <c r="E5378" t="s">
        <v>6</v>
      </c>
      <c r="F5378" t="s">
        <v>724</v>
      </c>
      <c r="G5378">
        <v>1</v>
      </c>
      <c r="H5378" s="2">
        <f>Tabelle13[[#This Row],[commits]]/Tabelle13[[#Totals],[commits]]</f>
        <v>4.6477904404246225E-6</v>
      </c>
      <c r="I5378" s="5">
        <f>Tabelle13[[#This Row],[%]]+I5377</f>
        <v>0.98294725687403717</v>
      </c>
      <c r="J5378" s="4">
        <f t="shared" si="199"/>
        <v>1.105583195135434E-4</v>
      </c>
      <c r="K5378" s="5">
        <f t="shared" si="200"/>
        <v>0.59436152570486689</v>
      </c>
    </row>
    <row r="5379" spans="1:11" x14ac:dyDescent="0.25">
      <c r="A5379" t="s">
        <v>4588</v>
      </c>
      <c r="C5379" t="s">
        <v>4589</v>
      </c>
      <c r="D5379" t="s">
        <v>5</v>
      </c>
      <c r="E5379" t="s">
        <v>6</v>
      </c>
      <c r="F5379" t="s">
        <v>724</v>
      </c>
      <c r="G5379">
        <v>1</v>
      </c>
      <c r="H5379" s="2">
        <f>Tabelle13[[#This Row],[commits]]/Tabelle13[[#Totals],[commits]]</f>
        <v>4.6477904404246225E-6</v>
      </c>
      <c r="I5379" s="5">
        <f>Tabelle13[[#This Row],[%]]+I5378</f>
        <v>0.98295190466447757</v>
      </c>
      <c r="J5379" s="4">
        <f t="shared" ref="J5379:J5442" si="201">1/9045</f>
        <v>1.105583195135434E-4</v>
      </c>
      <c r="K5379" s="5">
        <f t="shared" si="200"/>
        <v>0.59447208402438045</v>
      </c>
    </row>
    <row r="5380" spans="1:11" x14ac:dyDescent="0.25">
      <c r="A5380" t="s">
        <v>4590</v>
      </c>
      <c r="C5380" t="s">
        <v>4591</v>
      </c>
      <c r="D5380" t="s">
        <v>5</v>
      </c>
      <c r="E5380" t="s">
        <v>6</v>
      </c>
      <c r="F5380" t="s">
        <v>724</v>
      </c>
      <c r="G5380">
        <v>1</v>
      </c>
      <c r="H5380" s="2">
        <f>Tabelle13[[#This Row],[commits]]/Tabelle13[[#Totals],[commits]]</f>
        <v>4.6477904404246225E-6</v>
      </c>
      <c r="I5380" s="5">
        <f>Tabelle13[[#This Row],[%]]+I5379</f>
        <v>0.98295655245491798</v>
      </c>
      <c r="J5380" s="4">
        <f t="shared" si="201"/>
        <v>1.105583195135434E-4</v>
      </c>
      <c r="K5380" s="5">
        <f t="shared" si="200"/>
        <v>0.59458264234389402</v>
      </c>
    </row>
    <row r="5381" spans="1:11" x14ac:dyDescent="0.25">
      <c r="A5381" t="s">
        <v>4592</v>
      </c>
      <c r="C5381" t="s">
        <v>4593</v>
      </c>
      <c r="D5381" t="s">
        <v>5</v>
      </c>
      <c r="E5381" t="s">
        <v>6</v>
      </c>
      <c r="F5381" t="s">
        <v>724</v>
      </c>
      <c r="G5381">
        <v>1</v>
      </c>
      <c r="H5381" s="2">
        <f>Tabelle13[[#This Row],[commits]]/Tabelle13[[#Totals],[commits]]</f>
        <v>4.6477904404246225E-6</v>
      </c>
      <c r="I5381" s="5">
        <f>Tabelle13[[#This Row],[%]]+I5380</f>
        <v>0.98296120024535838</v>
      </c>
      <c r="J5381" s="4">
        <f t="shared" si="201"/>
        <v>1.105583195135434E-4</v>
      </c>
      <c r="K5381" s="5">
        <f t="shared" si="200"/>
        <v>0.59469320066340758</v>
      </c>
    </row>
    <row r="5382" spans="1:11" x14ac:dyDescent="0.25">
      <c r="A5382" t="s">
        <v>4594</v>
      </c>
      <c r="C5382" t="s">
        <v>4595</v>
      </c>
      <c r="D5382" t="s">
        <v>5</v>
      </c>
      <c r="E5382" t="s">
        <v>6</v>
      </c>
      <c r="F5382" t="s">
        <v>724</v>
      </c>
      <c r="G5382">
        <v>1</v>
      </c>
      <c r="H5382" s="2">
        <f>Tabelle13[[#This Row],[commits]]/Tabelle13[[#Totals],[commits]]</f>
        <v>4.6477904404246225E-6</v>
      </c>
      <c r="I5382" s="5">
        <f>Tabelle13[[#This Row],[%]]+I5381</f>
        <v>0.98296584803579878</v>
      </c>
      <c r="J5382" s="4">
        <f t="shared" si="201"/>
        <v>1.105583195135434E-4</v>
      </c>
      <c r="K5382" s="5">
        <f t="shared" ref="K5382:K5445" si="202">J5382+K5381</f>
        <v>0.59480375898292115</v>
      </c>
    </row>
    <row r="5383" spans="1:11" x14ac:dyDescent="0.25">
      <c r="A5383" t="s">
        <v>4596</v>
      </c>
      <c r="C5383" t="s">
        <v>4597</v>
      </c>
      <c r="D5383" t="s">
        <v>5</v>
      </c>
      <c r="E5383" t="s">
        <v>6</v>
      </c>
      <c r="F5383" t="s">
        <v>724</v>
      </c>
      <c r="G5383">
        <v>1</v>
      </c>
      <c r="H5383" s="2">
        <f>Tabelle13[[#This Row],[commits]]/Tabelle13[[#Totals],[commits]]</f>
        <v>4.6477904404246225E-6</v>
      </c>
      <c r="I5383" s="5">
        <f>Tabelle13[[#This Row],[%]]+I5382</f>
        <v>0.98297049582623919</v>
      </c>
      <c r="J5383" s="4">
        <f t="shared" si="201"/>
        <v>1.105583195135434E-4</v>
      </c>
      <c r="K5383" s="5">
        <f t="shared" si="202"/>
        <v>0.59491431730243471</v>
      </c>
    </row>
    <row r="5384" spans="1:11" x14ac:dyDescent="0.25">
      <c r="A5384" t="s">
        <v>4598</v>
      </c>
      <c r="C5384" t="s">
        <v>4599</v>
      </c>
      <c r="D5384" t="s">
        <v>5</v>
      </c>
      <c r="E5384" t="s">
        <v>6</v>
      </c>
      <c r="F5384" t="s">
        <v>724</v>
      </c>
      <c r="G5384">
        <v>1</v>
      </c>
      <c r="H5384" s="2">
        <f>Tabelle13[[#This Row],[commits]]/Tabelle13[[#Totals],[commits]]</f>
        <v>4.6477904404246225E-6</v>
      </c>
      <c r="I5384" s="5">
        <f>Tabelle13[[#This Row],[%]]+I5383</f>
        <v>0.98297514361667959</v>
      </c>
      <c r="J5384" s="4">
        <f t="shared" si="201"/>
        <v>1.105583195135434E-4</v>
      </c>
      <c r="K5384" s="5">
        <f t="shared" si="202"/>
        <v>0.59502487562194828</v>
      </c>
    </row>
    <row r="5385" spans="1:11" x14ac:dyDescent="0.25">
      <c r="A5385" t="s">
        <v>4600</v>
      </c>
      <c r="C5385" t="s">
        <v>4601</v>
      </c>
      <c r="D5385" t="s">
        <v>5</v>
      </c>
      <c r="E5385" t="s">
        <v>6</v>
      </c>
      <c r="F5385" t="s">
        <v>724</v>
      </c>
      <c r="G5385">
        <v>1</v>
      </c>
      <c r="H5385" s="2">
        <f>Tabelle13[[#This Row],[commits]]/Tabelle13[[#Totals],[commits]]</f>
        <v>4.6477904404246225E-6</v>
      </c>
      <c r="I5385" s="5">
        <f>Tabelle13[[#This Row],[%]]+I5384</f>
        <v>0.98297979140712</v>
      </c>
      <c r="J5385" s="4">
        <f t="shared" si="201"/>
        <v>1.105583195135434E-4</v>
      </c>
      <c r="K5385" s="5">
        <f t="shared" si="202"/>
        <v>0.59513543394146184</v>
      </c>
    </row>
    <row r="5386" spans="1:11" x14ac:dyDescent="0.25">
      <c r="A5386" t="s">
        <v>4602</v>
      </c>
      <c r="C5386" t="s">
        <v>4603</v>
      </c>
      <c r="D5386" t="s">
        <v>5</v>
      </c>
      <c r="E5386" t="s">
        <v>6</v>
      </c>
      <c r="F5386" t="s">
        <v>724</v>
      </c>
      <c r="G5386">
        <v>1</v>
      </c>
      <c r="H5386" s="2">
        <f>Tabelle13[[#This Row],[commits]]/Tabelle13[[#Totals],[commits]]</f>
        <v>4.6477904404246225E-6</v>
      </c>
      <c r="I5386" s="5">
        <f>Tabelle13[[#This Row],[%]]+I5385</f>
        <v>0.9829844391975604</v>
      </c>
      <c r="J5386" s="4">
        <f t="shared" si="201"/>
        <v>1.105583195135434E-4</v>
      </c>
      <c r="K5386" s="5">
        <f t="shared" si="202"/>
        <v>0.59524599226097541</v>
      </c>
    </row>
    <row r="5387" spans="1:11" x14ac:dyDescent="0.25">
      <c r="A5387" t="s">
        <v>4604</v>
      </c>
      <c r="C5387" t="s">
        <v>4605</v>
      </c>
      <c r="D5387" t="s">
        <v>5</v>
      </c>
      <c r="E5387" t="s">
        <v>6</v>
      </c>
      <c r="F5387" t="s">
        <v>724</v>
      </c>
      <c r="G5387">
        <v>1</v>
      </c>
      <c r="H5387" s="2">
        <f>Tabelle13[[#This Row],[commits]]/Tabelle13[[#Totals],[commits]]</f>
        <v>4.6477904404246225E-6</v>
      </c>
      <c r="I5387" s="5">
        <f>Tabelle13[[#This Row],[%]]+I5386</f>
        <v>0.9829890869880008</v>
      </c>
      <c r="J5387" s="4">
        <f t="shared" si="201"/>
        <v>1.105583195135434E-4</v>
      </c>
      <c r="K5387" s="5">
        <f t="shared" si="202"/>
        <v>0.59535655058048897</v>
      </c>
    </row>
    <row r="5388" spans="1:11" x14ac:dyDescent="0.25">
      <c r="A5388" t="s">
        <v>4606</v>
      </c>
      <c r="C5388" t="s">
        <v>4607</v>
      </c>
      <c r="D5388" t="s">
        <v>5</v>
      </c>
      <c r="E5388" t="s">
        <v>6</v>
      </c>
      <c r="F5388" t="s">
        <v>724</v>
      </c>
      <c r="G5388">
        <v>1</v>
      </c>
      <c r="H5388" s="2">
        <f>Tabelle13[[#This Row],[commits]]/Tabelle13[[#Totals],[commits]]</f>
        <v>4.6477904404246225E-6</v>
      </c>
      <c r="I5388" s="5">
        <f>Tabelle13[[#This Row],[%]]+I5387</f>
        <v>0.98299373477844121</v>
      </c>
      <c r="J5388" s="4">
        <f t="shared" si="201"/>
        <v>1.105583195135434E-4</v>
      </c>
      <c r="K5388" s="5">
        <f t="shared" si="202"/>
        <v>0.59546710890000254</v>
      </c>
    </row>
    <row r="5389" spans="1:11" x14ac:dyDescent="0.25">
      <c r="A5389" t="s">
        <v>4608</v>
      </c>
      <c r="C5389" t="s">
        <v>4609</v>
      </c>
      <c r="D5389" t="s">
        <v>5</v>
      </c>
      <c r="E5389" t="s">
        <v>6</v>
      </c>
      <c r="F5389" t="s">
        <v>724</v>
      </c>
      <c r="G5389">
        <v>1</v>
      </c>
      <c r="H5389" s="2">
        <f>Tabelle13[[#This Row],[commits]]/Tabelle13[[#Totals],[commits]]</f>
        <v>4.6477904404246225E-6</v>
      </c>
      <c r="I5389" s="5">
        <f>Tabelle13[[#This Row],[%]]+I5388</f>
        <v>0.98299838256888161</v>
      </c>
      <c r="J5389" s="4">
        <f t="shared" si="201"/>
        <v>1.105583195135434E-4</v>
      </c>
      <c r="K5389" s="5">
        <f t="shared" si="202"/>
        <v>0.5955776672195161</v>
      </c>
    </row>
    <row r="5390" spans="1:11" x14ac:dyDescent="0.25">
      <c r="A5390" t="s">
        <v>4610</v>
      </c>
      <c r="C5390" t="s">
        <v>4611</v>
      </c>
      <c r="D5390" t="s">
        <v>5</v>
      </c>
      <c r="E5390" t="s">
        <v>6</v>
      </c>
      <c r="F5390" t="s">
        <v>724</v>
      </c>
      <c r="G5390">
        <v>1</v>
      </c>
      <c r="H5390" s="2">
        <f>Tabelle13[[#This Row],[commits]]/Tabelle13[[#Totals],[commits]]</f>
        <v>4.6477904404246225E-6</v>
      </c>
      <c r="I5390" s="5">
        <f>Tabelle13[[#This Row],[%]]+I5389</f>
        <v>0.98300303035932202</v>
      </c>
      <c r="J5390" s="4">
        <f t="shared" si="201"/>
        <v>1.105583195135434E-4</v>
      </c>
      <c r="K5390" s="5">
        <f t="shared" si="202"/>
        <v>0.59568822553902967</v>
      </c>
    </row>
    <row r="5391" spans="1:11" x14ac:dyDescent="0.25">
      <c r="A5391" t="s">
        <v>4612</v>
      </c>
      <c r="C5391" t="s">
        <v>4613</v>
      </c>
      <c r="D5391" t="s">
        <v>309</v>
      </c>
      <c r="E5391" t="s">
        <v>6</v>
      </c>
      <c r="F5391" t="s">
        <v>724</v>
      </c>
      <c r="G5391">
        <v>1</v>
      </c>
      <c r="H5391" s="2">
        <f>Tabelle13[[#This Row],[commits]]/Tabelle13[[#Totals],[commits]]</f>
        <v>4.6477904404246225E-6</v>
      </c>
      <c r="I5391" s="5">
        <f>Tabelle13[[#This Row],[%]]+I5390</f>
        <v>0.98300767814976242</v>
      </c>
      <c r="J5391" s="4">
        <f t="shared" si="201"/>
        <v>1.105583195135434E-4</v>
      </c>
      <c r="K5391" s="5">
        <f t="shared" si="202"/>
        <v>0.59579878385854323</v>
      </c>
    </row>
    <row r="5392" spans="1:11" x14ac:dyDescent="0.25">
      <c r="A5392" t="s">
        <v>4614</v>
      </c>
      <c r="C5392" t="s">
        <v>4615</v>
      </c>
      <c r="D5392" t="s">
        <v>5</v>
      </c>
      <c r="E5392" t="s">
        <v>6</v>
      </c>
      <c r="F5392" t="s">
        <v>724</v>
      </c>
      <c r="G5392">
        <v>1</v>
      </c>
      <c r="H5392" s="2">
        <f>Tabelle13[[#This Row],[commits]]/Tabelle13[[#Totals],[commits]]</f>
        <v>4.6477904404246225E-6</v>
      </c>
      <c r="I5392" s="5">
        <f>Tabelle13[[#This Row],[%]]+I5391</f>
        <v>0.98301232594020282</v>
      </c>
      <c r="J5392" s="4">
        <f t="shared" si="201"/>
        <v>1.105583195135434E-4</v>
      </c>
      <c r="K5392" s="5">
        <f t="shared" si="202"/>
        <v>0.5959093421780568</v>
      </c>
    </row>
    <row r="5393" spans="1:11" x14ac:dyDescent="0.25">
      <c r="A5393" t="s">
        <v>4616</v>
      </c>
      <c r="C5393" t="s">
        <v>4617</v>
      </c>
      <c r="D5393" t="s">
        <v>5</v>
      </c>
      <c r="E5393" t="s">
        <v>6</v>
      </c>
      <c r="F5393" t="s">
        <v>724</v>
      </c>
      <c r="G5393">
        <v>1</v>
      </c>
      <c r="H5393" s="2">
        <f>Tabelle13[[#This Row],[commits]]/Tabelle13[[#Totals],[commits]]</f>
        <v>4.6477904404246225E-6</v>
      </c>
      <c r="I5393" s="5">
        <f>Tabelle13[[#This Row],[%]]+I5392</f>
        <v>0.98301697373064323</v>
      </c>
      <c r="J5393" s="4">
        <f t="shared" si="201"/>
        <v>1.105583195135434E-4</v>
      </c>
      <c r="K5393" s="5">
        <f t="shared" si="202"/>
        <v>0.59601990049757037</v>
      </c>
    </row>
    <row r="5394" spans="1:11" x14ac:dyDescent="0.25">
      <c r="A5394" t="s">
        <v>4618</v>
      </c>
      <c r="C5394" t="s">
        <v>4619</v>
      </c>
      <c r="D5394" t="s">
        <v>5</v>
      </c>
      <c r="E5394" t="s">
        <v>6</v>
      </c>
      <c r="F5394" t="s">
        <v>724</v>
      </c>
      <c r="G5394">
        <v>1</v>
      </c>
      <c r="H5394" s="2">
        <f>Tabelle13[[#This Row],[commits]]/Tabelle13[[#Totals],[commits]]</f>
        <v>4.6477904404246225E-6</v>
      </c>
      <c r="I5394" s="5">
        <f>Tabelle13[[#This Row],[%]]+I5393</f>
        <v>0.98302162152108363</v>
      </c>
      <c r="J5394" s="4">
        <f t="shared" si="201"/>
        <v>1.105583195135434E-4</v>
      </c>
      <c r="K5394" s="5">
        <f t="shared" si="202"/>
        <v>0.59613045881708393</v>
      </c>
    </row>
    <row r="5395" spans="1:11" x14ac:dyDescent="0.25">
      <c r="A5395" t="s">
        <v>4620</v>
      </c>
      <c r="C5395" t="s">
        <v>4621</v>
      </c>
      <c r="D5395" t="s">
        <v>5</v>
      </c>
      <c r="E5395" t="s">
        <v>6</v>
      </c>
      <c r="F5395" t="s">
        <v>724</v>
      </c>
      <c r="G5395">
        <v>1</v>
      </c>
      <c r="H5395" s="2">
        <f>Tabelle13[[#This Row],[commits]]/Tabelle13[[#Totals],[commits]]</f>
        <v>4.6477904404246225E-6</v>
      </c>
      <c r="I5395" s="5">
        <f>Tabelle13[[#This Row],[%]]+I5394</f>
        <v>0.98302626931152404</v>
      </c>
      <c r="J5395" s="4">
        <f t="shared" si="201"/>
        <v>1.105583195135434E-4</v>
      </c>
      <c r="K5395" s="5">
        <f t="shared" si="202"/>
        <v>0.5962410171365975</v>
      </c>
    </row>
    <row r="5396" spans="1:11" x14ac:dyDescent="0.25">
      <c r="A5396" t="s">
        <v>4622</v>
      </c>
      <c r="C5396" t="s">
        <v>4623</v>
      </c>
      <c r="D5396" t="s">
        <v>5</v>
      </c>
      <c r="E5396" t="s">
        <v>6</v>
      </c>
      <c r="F5396" t="s">
        <v>724</v>
      </c>
      <c r="G5396">
        <v>1</v>
      </c>
      <c r="H5396" s="2">
        <f>Tabelle13[[#This Row],[commits]]/Tabelle13[[#Totals],[commits]]</f>
        <v>4.6477904404246225E-6</v>
      </c>
      <c r="I5396" s="5">
        <f>Tabelle13[[#This Row],[%]]+I5395</f>
        <v>0.98303091710196444</v>
      </c>
      <c r="J5396" s="4">
        <f t="shared" si="201"/>
        <v>1.105583195135434E-4</v>
      </c>
      <c r="K5396" s="5">
        <f t="shared" si="202"/>
        <v>0.59635157545611106</v>
      </c>
    </row>
    <row r="5397" spans="1:11" x14ac:dyDescent="0.25">
      <c r="A5397" t="s">
        <v>4624</v>
      </c>
      <c r="C5397">
        <v>1065239881</v>
      </c>
      <c r="D5397" t="s">
        <v>5</v>
      </c>
      <c r="E5397" t="s">
        <v>6</v>
      </c>
      <c r="F5397" t="s">
        <v>724</v>
      </c>
      <c r="G5397">
        <v>1</v>
      </c>
      <c r="H5397" s="2">
        <f>Tabelle13[[#This Row],[commits]]/Tabelle13[[#Totals],[commits]]</f>
        <v>4.6477904404246225E-6</v>
      </c>
      <c r="I5397" s="5">
        <f>Tabelle13[[#This Row],[%]]+I5396</f>
        <v>0.98303556489240485</v>
      </c>
      <c r="J5397" s="4">
        <f t="shared" si="201"/>
        <v>1.105583195135434E-4</v>
      </c>
      <c r="K5397" s="5">
        <f t="shared" si="202"/>
        <v>0.59646213377562463</v>
      </c>
    </row>
    <row r="5398" spans="1:11" x14ac:dyDescent="0.25">
      <c r="A5398" t="s">
        <v>4625</v>
      </c>
      <c r="C5398" t="s">
        <v>4626</v>
      </c>
      <c r="D5398" t="s">
        <v>5</v>
      </c>
      <c r="E5398" t="s">
        <v>6</v>
      </c>
      <c r="F5398" t="s">
        <v>724</v>
      </c>
      <c r="G5398">
        <v>1</v>
      </c>
      <c r="H5398" s="2">
        <f>Tabelle13[[#This Row],[commits]]/Tabelle13[[#Totals],[commits]]</f>
        <v>4.6477904404246225E-6</v>
      </c>
      <c r="I5398" s="5">
        <f>Tabelle13[[#This Row],[%]]+I5397</f>
        <v>0.98304021268284525</v>
      </c>
      <c r="J5398" s="4">
        <f t="shared" si="201"/>
        <v>1.105583195135434E-4</v>
      </c>
      <c r="K5398" s="5">
        <f t="shared" si="202"/>
        <v>0.59657269209513819</v>
      </c>
    </row>
    <row r="5399" spans="1:11" x14ac:dyDescent="0.25">
      <c r="A5399" t="s">
        <v>4627</v>
      </c>
      <c r="C5399" t="s">
        <v>4628</v>
      </c>
      <c r="D5399" t="s">
        <v>5</v>
      </c>
      <c r="E5399" t="s">
        <v>6</v>
      </c>
      <c r="F5399" t="s">
        <v>724</v>
      </c>
      <c r="G5399">
        <v>1</v>
      </c>
      <c r="H5399" s="2">
        <f>Tabelle13[[#This Row],[commits]]/Tabelle13[[#Totals],[commits]]</f>
        <v>4.6477904404246225E-6</v>
      </c>
      <c r="I5399" s="5">
        <f>Tabelle13[[#This Row],[%]]+I5398</f>
        <v>0.98304486047328565</v>
      </c>
      <c r="J5399" s="4">
        <f t="shared" si="201"/>
        <v>1.105583195135434E-4</v>
      </c>
      <c r="K5399" s="5">
        <f t="shared" si="202"/>
        <v>0.59668325041465176</v>
      </c>
    </row>
    <row r="5400" spans="1:11" x14ac:dyDescent="0.25">
      <c r="A5400" t="s">
        <v>4629</v>
      </c>
      <c r="C5400" t="s">
        <v>4630</v>
      </c>
      <c r="D5400" t="s">
        <v>5</v>
      </c>
      <c r="E5400" t="s">
        <v>6</v>
      </c>
      <c r="F5400" t="s">
        <v>724</v>
      </c>
      <c r="G5400">
        <v>1</v>
      </c>
      <c r="H5400" s="2">
        <f>Tabelle13[[#This Row],[commits]]/Tabelle13[[#Totals],[commits]]</f>
        <v>4.6477904404246225E-6</v>
      </c>
      <c r="I5400" s="5">
        <f>Tabelle13[[#This Row],[%]]+I5399</f>
        <v>0.98304950826372606</v>
      </c>
      <c r="J5400" s="4">
        <f t="shared" si="201"/>
        <v>1.105583195135434E-4</v>
      </c>
      <c r="K5400" s="5">
        <f t="shared" si="202"/>
        <v>0.59679380873416532</v>
      </c>
    </row>
    <row r="5401" spans="1:11" x14ac:dyDescent="0.25">
      <c r="A5401" t="s">
        <v>4631</v>
      </c>
      <c r="C5401" t="s">
        <v>4632</v>
      </c>
      <c r="D5401" t="s">
        <v>5</v>
      </c>
      <c r="E5401" t="s">
        <v>6</v>
      </c>
      <c r="F5401" t="s">
        <v>724</v>
      </c>
      <c r="G5401">
        <v>1</v>
      </c>
      <c r="H5401" s="2">
        <f>Tabelle13[[#This Row],[commits]]/Tabelle13[[#Totals],[commits]]</f>
        <v>4.6477904404246225E-6</v>
      </c>
      <c r="I5401" s="5">
        <f>Tabelle13[[#This Row],[%]]+I5400</f>
        <v>0.98305415605416646</v>
      </c>
      <c r="J5401" s="4">
        <f t="shared" si="201"/>
        <v>1.105583195135434E-4</v>
      </c>
      <c r="K5401" s="5">
        <f t="shared" si="202"/>
        <v>0.59690436705367889</v>
      </c>
    </row>
    <row r="5402" spans="1:11" x14ac:dyDescent="0.25">
      <c r="A5402" t="s">
        <v>4633</v>
      </c>
      <c r="C5402" t="s">
        <v>4634</v>
      </c>
      <c r="D5402" t="s">
        <v>5</v>
      </c>
      <c r="E5402" t="s">
        <v>6</v>
      </c>
      <c r="F5402" t="s">
        <v>724</v>
      </c>
      <c r="G5402">
        <v>1</v>
      </c>
      <c r="H5402" s="2">
        <f>Tabelle13[[#This Row],[commits]]/Tabelle13[[#Totals],[commits]]</f>
        <v>4.6477904404246225E-6</v>
      </c>
      <c r="I5402" s="5">
        <f>Tabelle13[[#This Row],[%]]+I5401</f>
        <v>0.98305880384460687</v>
      </c>
      <c r="J5402" s="4">
        <f t="shared" si="201"/>
        <v>1.105583195135434E-4</v>
      </c>
      <c r="K5402" s="5">
        <f t="shared" si="202"/>
        <v>0.59701492537319245</v>
      </c>
    </row>
    <row r="5403" spans="1:11" x14ac:dyDescent="0.25">
      <c r="A5403" t="s">
        <v>4635</v>
      </c>
      <c r="C5403" t="s">
        <v>4636</v>
      </c>
      <c r="D5403" t="s">
        <v>5</v>
      </c>
      <c r="E5403" t="s">
        <v>6</v>
      </c>
      <c r="F5403" t="s">
        <v>724</v>
      </c>
      <c r="G5403">
        <v>1</v>
      </c>
      <c r="H5403" s="2">
        <f>Tabelle13[[#This Row],[commits]]/Tabelle13[[#Totals],[commits]]</f>
        <v>4.6477904404246225E-6</v>
      </c>
      <c r="I5403" s="5">
        <f>Tabelle13[[#This Row],[%]]+I5402</f>
        <v>0.98306345163504727</v>
      </c>
      <c r="J5403" s="4">
        <f t="shared" si="201"/>
        <v>1.105583195135434E-4</v>
      </c>
      <c r="K5403" s="5">
        <f t="shared" si="202"/>
        <v>0.59712548369270602</v>
      </c>
    </row>
    <row r="5404" spans="1:11" x14ac:dyDescent="0.25">
      <c r="A5404" t="s">
        <v>4637</v>
      </c>
      <c r="C5404" t="s">
        <v>4638</v>
      </c>
      <c r="D5404" t="s">
        <v>5</v>
      </c>
      <c r="E5404" t="s">
        <v>6</v>
      </c>
      <c r="F5404" t="s">
        <v>724</v>
      </c>
      <c r="G5404">
        <v>1</v>
      </c>
      <c r="H5404" s="2">
        <f>Tabelle13[[#This Row],[commits]]/Tabelle13[[#Totals],[commits]]</f>
        <v>4.6477904404246225E-6</v>
      </c>
      <c r="I5404" s="5">
        <f>Tabelle13[[#This Row],[%]]+I5403</f>
        <v>0.98306809942548767</v>
      </c>
      <c r="J5404" s="4">
        <f t="shared" si="201"/>
        <v>1.105583195135434E-4</v>
      </c>
      <c r="K5404" s="5">
        <f t="shared" si="202"/>
        <v>0.59723604201221958</v>
      </c>
    </row>
    <row r="5405" spans="1:11" x14ac:dyDescent="0.25">
      <c r="A5405" t="s">
        <v>4639</v>
      </c>
      <c r="C5405" t="s">
        <v>4640</v>
      </c>
      <c r="D5405" t="s">
        <v>5</v>
      </c>
      <c r="E5405" t="s">
        <v>6</v>
      </c>
      <c r="F5405" t="s">
        <v>724</v>
      </c>
      <c r="G5405">
        <v>1</v>
      </c>
      <c r="H5405" s="2">
        <f>Tabelle13[[#This Row],[commits]]/Tabelle13[[#Totals],[commits]]</f>
        <v>4.6477904404246225E-6</v>
      </c>
      <c r="I5405" s="5">
        <f>Tabelle13[[#This Row],[%]]+I5404</f>
        <v>0.98307274721592808</v>
      </c>
      <c r="J5405" s="4">
        <f t="shared" si="201"/>
        <v>1.105583195135434E-4</v>
      </c>
      <c r="K5405" s="5">
        <f t="shared" si="202"/>
        <v>0.59734660033173315</v>
      </c>
    </row>
    <row r="5406" spans="1:11" x14ac:dyDescent="0.25">
      <c r="A5406" t="s">
        <v>4641</v>
      </c>
      <c r="C5406" t="s">
        <v>4642</v>
      </c>
      <c r="D5406" t="s">
        <v>5</v>
      </c>
      <c r="E5406" t="s">
        <v>6</v>
      </c>
      <c r="F5406" t="s">
        <v>724</v>
      </c>
      <c r="G5406">
        <v>1</v>
      </c>
      <c r="H5406" s="2">
        <f>Tabelle13[[#This Row],[commits]]/Tabelle13[[#Totals],[commits]]</f>
        <v>4.6477904404246225E-6</v>
      </c>
      <c r="I5406" s="5">
        <f>Tabelle13[[#This Row],[%]]+I5405</f>
        <v>0.98307739500636848</v>
      </c>
      <c r="J5406" s="4">
        <f t="shared" si="201"/>
        <v>1.105583195135434E-4</v>
      </c>
      <c r="K5406" s="5">
        <f t="shared" si="202"/>
        <v>0.59745715865124671</v>
      </c>
    </row>
    <row r="5407" spans="1:11" x14ac:dyDescent="0.25">
      <c r="A5407" t="s">
        <v>4643</v>
      </c>
      <c r="C5407" t="s">
        <v>4644</v>
      </c>
      <c r="D5407" t="s">
        <v>5</v>
      </c>
      <c r="E5407" t="s">
        <v>6</v>
      </c>
      <c r="F5407" t="s">
        <v>724</v>
      </c>
      <c r="G5407">
        <v>1</v>
      </c>
      <c r="H5407" s="2">
        <f>Tabelle13[[#This Row],[commits]]/Tabelle13[[#Totals],[commits]]</f>
        <v>4.6477904404246225E-6</v>
      </c>
      <c r="I5407" s="5">
        <f>Tabelle13[[#This Row],[%]]+I5406</f>
        <v>0.98308204279680889</v>
      </c>
      <c r="J5407" s="4">
        <f t="shared" si="201"/>
        <v>1.105583195135434E-4</v>
      </c>
      <c r="K5407" s="5">
        <f t="shared" si="202"/>
        <v>0.59756771697076028</v>
      </c>
    </row>
    <row r="5408" spans="1:11" x14ac:dyDescent="0.25">
      <c r="A5408" t="s">
        <v>4645</v>
      </c>
      <c r="C5408" t="s">
        <v>4646</v>
      </c>
      <c r="D5408" t="s">
        <v>5</v>
      </c>
      <c r="E5408" t="s">
        <v>6</v>
      </c>
      <c r="F5408" t="s">
        <v>724</v>
      </c>
      <c r="G5408">
        <v>1</v>
      </c>
      <c r="H5408" s="2">
        <f>Tabelle13[[#This Row],[commits]]/Tabelle13[[#Totals],[commits]]</f>
        <v>4.6477904404246225E-6</v>
      </c>
      <c r="I5408" s="5">
        <f>Tabelle13[[#This Row],[%]]+I5407</f>
        <v>0.98308669058724929</v>
      </c>
      <c r="J5408" s="4">
        <f t="shared" si="201"/>
        <v>1.105583195135434E-4</v>
      </c>
      <c r="K5408" s="5">
        <f t="shared" si="202"/>
        <v>0.59767827529027384</v>
      </c>
    </row>
    <row r="5409" spans="1:11" x14ac:dyDescent="0.25">
      <c r="A5409" t="s">
        <v>4647</v>
      </c>
      <c r="C5409" t="s">
        <v>4648</v>
      </c>
      <c r="D5409" t="s">
        <v>5</v>
      </c>
      <c r="E5409" t="s">
        <v>6</v>
      </c>
      <c r="F5409" t="s">
        <v>724</v>
      </c>
      <c r="G5409">
        <v>1</v>
      </c>
      <c r="H5409" s="2">
        <f>Tabelle13[[#This Row],[commits]]/Tabelle13[[#Totals],[commits]]</f>
        <v>4.6477904404246225E-6</v>
      </c>
      <c r="I5409" s="5">
        <f>Tabelle13[[#This Row],[%]]+I5408</f>
        <v>0.98309133837768969</v>
      </c>
      <c r="J5409" s="4">
        <f t="shared" si="201"/>
        <v>1.105583195135434E-4</v>
      </c>
      <c r="K5409" s="5">
        <f t="shared" si="202"/>
        <v>0.59778883360978741</v>
      </c>
    </row>
    <row r="5410" spans="1:11" x14ac:dyDescent="0.25">
      <c r="A5410" t="s">
        <v>4649</v>
      </c>
      <c r="C5410" t="s">
        <v>4650</v>
      </c>
      <c r="D5410" t="s">
        <v>5</v>
      </c>
      <c r="E5410" t="s">
        <v>6</v>
      </c>
      <c r="F5410" t="s">
        <v>724</v>
      </c>
      <c r="G5410">
        <v>1</v>
      </c>
      <c r="H5410" s="2">
        <f>Tabelle13[[#This Row],[commits]]/Tabelle13[[#Totals],[commits]]</f>
        <v>4.6477904404246225E-6</v>
      </c>
      <c r="I5410" s="5">
        <f>Tabelle13[[#This Row],[%]]+I5409</f>
        <v>0.9830959861681301</v>
      </c>
      <c r="J5410" s="4">
        <f t="shared" si="201"/>
        <v>1.105583195135434E-4</v>
      </c>
      <c r="K5410" s="5">
        <f t="shared" si="202"/>
        <v>0.59789939192930097</v>
      </c>
    </row>
    <row r="5411" spans="1:11" x14ac:dyDescent="0.25">
      <c r="A5411" t="s">
        <v>4651</v>
      </c>
      <c r="C5411" t="s">
        <v>4652</v>
      </c>
      <c r="D5411" t="s">
        <v>5</v>
      </c>
      <c r="E5411" t="s">
        <v>6</v>
      </c>
      <c r="F5411" t="s">
        <v>724</v>
      </c>
      <c r="G5411">
        <v>1</v>
      </c>
      <c r="H5411" s="2">
        <f>Tabelle13[[#This Row],[commits]]/Tabelle13[[#Totals],[commits]]</f>
        <v>4.6477904404246225E-6</v>
      </c>
      <c r="I5411" s="5">
        <f>Tabelle13[[#This Row],[%]]+I5410</f>
        <v>0.9831006339585705</v>
      </c>
      <c r="J5411" s="4">
        <f t="shared" si="201"/>
        <v>1.105583195135434E-4</v>
      </c>
      <c r="K5411" s="5">
        <f t="shared" si="202"/>
        <v>0.59800995024881454</v>
      </c>
    </row>
    <row r="5412" spans="1:11" x14ac:dyDescent="0.25">
      <c r="A5412" t="s">
        <v>4653</v>
      </c>
      <c r="C5412" t="s">
        <v>4654</v>
      </c>
      <c r="D5412" t="s">
        <v>5</v>
      </c>
      <c r="E5412" t="s">
        <v>6</v>
      </c>
      <c r="F5412" t="s">
        <v>724</v>
      </c>
      <c r="G5412">
        <v>1</v>
      </c>
      <c r="H5412" s="2">
        <f>Tabelle13[[#This Row],[commits]]/Tabelle13[[#Totals],[commits]]</f>
        <v>4.6477904404246225E-6</v>
      </c>
      <c r="I5412" s="5">
        <f>Tabelle13[[#This Row],[%]]+I5411</f>
        <v>0.98310528174901091</v>
      </c>
      <c r="J5412" s="4">
        <f t="shared" si="201"/>
        <v>1.105583195135434E-4</v>
      </c>
      <c r="K5412" s="5">
        <f t="shared" si="202"/>
        <v>0.5981205085683281</v>
      </c>
    </row>
    <row r="5413" spans="1:11" x14ac:dyDescent="0.25">
      <c r="A5413" t="s">
        <v>4655</v>
      </c>
      <c r="C5413" t="s">
        <v>4656</v>
      </c>
      <c r="D5413" t="s">
        <v>5</v>
      </c>
      <c r="E5413" t="s">
        <v>6</v>
      </c>
      <c r="F5413" t="s">
        <v>724</v>
      </c>
      <c r="G5413">
        <v>1</v>
      </c>
      <c r="H5413" s="2">
        <f>Tabelle13[[#This Row],[commits]]/Tabelle13[[#Totals],[commits]]</f>
        <v>4.6477904404246225E-6</v>
      </c>
      <c r="I5413" s="5">
        <f>Tabelle13[[#This Row],[%]]+I5412</f>
        <v>0.98310992953945131</v>
      </c>
      <c r="J5413" s="4">
        <f t="shared" si="201"/>
        <v>1.105583195135434E-4</v>
      </c>
      <c r="K5413" s="5">
        <f t="shared" si="202"/>
        <v>0.59823106688784167</v>
      </c>
    </row>
    <row r="5414" spans="1:11" x14ac:dyDescent="0.25">
      <c r="A5414" t="s">
        <v>4657</v>
      </c>
      <c r="C5414" t="s">
        <v>4658</v>
      </c>
      <c r="D5414" t="s">
        <v>5</v>
      </c>
      <c r="E5414" t="s">
        <v>6</v>
      </c>
      <c r="F5414" t="s">
        <v>724</v>
      </c>
      <c r="G5414">
        <v>1</v>
      </c>
      <c r="H5414" s="2">
        <f>Tabelle13[[#This Row],[commits]]/Tabelle13[[#Totals],[commits]]</f>
        <v>4.6477904404246225E-6</v>
      </c>
      <c r="I5414" s="5">
        <f>Tabelle13[[#This Row],[%]]+I5413</f>
        <v>0.98311457732989171</v>
      </c>
      <c r="J5414" s="4">
        <f t="shared" si="201"/>
        <v>1.105583195135434E-4</v>
      </c>
      <c r="K5414" s="5">
        <f t="shared" si="202"/>
        <v>0.59834162520735523</v>
      </c>
    </row>
    <row r="5415" spans="1:11" x14ac:dyDescent="0.25">
      <c r="A5415" t="s">
        <v>4659</v>
      </c>
      <c r="C5415" t="s">
        <v>4660</v>
      </c>
      <c r="D5415" t="s">
        <v>5</v>
      </c>
      <c r="E5415" t="s">
        <v>6</v>
      </c>
      <c r="F5415" t="s">
        <v>724</v>
      </c>
      <c r="G5415">
        <v>1</v>
      </c>
      <c r="H5415" s="2">
        <f>Tabelle13[[#This Row],[commits]]/Tabelle13[[#Totals],[commits]]</f>
        <v>4.6477904404246225E-6</v>
      </c>
      <c r="I5415" s="5">
        <f>Tabelle13[[#This Row],[%]]+I5414</f>
        <v>0.98311922512033212</v>
      </c>
      <c r="J5415" s="4">
        <f t="shared" si="201"/>
        <v>1.105583195135434E-4</v>
      </c>
      <c r="K5415" s="5">
        <f t="shared" si="202"/>
        <v>0.5984521835268688</v>
      </c>
    </row>
    <row r="5416" spans="1:11" x14ac:dyDescent="0.25">
      <c r="A5416" t="s">
        <v>4661</v>
      </c>
      <c r="C5416" t="s">
        <v>4662</v>
      </c>
      <c r="D5416" t="s">
        <v>5</v>
      </c>
      <c r="E5416" t="s">
        <v>6</v>
      </c>
      <c r="F5416" t="s">
        <v>724</v>
      </c>
      <c r="G5416">
        <v>1</v>
      </c>
      <c r="H5416" s="2">
        <f>Tabelle13[[#This Row],[commits]]/Tabelle13[[#Totals],[commits]]</f>
        <v>4.6477904404246225E-6</v>
      </c>
      <c r="I5416" s="5">
        <f>Tabelle13[[#This Row],[%]]+I5415</f>
        <v>0.98312387291077252</v>
      </c>
      <c r="J5416" s="4">
        <f t="shared" si="201"/>
        <v>1.105583195135434E-4</v>
      </c>
      <c r="K5416" s="5">
        <f t="shared" si="202"/>
        <v>0.59856274184638236</v>
      </c>
    </row>
    <row r="5417" spans="1:11" x14ac:dyDescent="0.25">
      <c r="A5417" t="s">
        <v>4663</v>
      </c>
      <c r="C5417" t="s">
        <v>4664</v>
      </c>
      <c r="D5417" t="s">
        <v>5</v>
      </c>
      <c r="E5417" t="s">
        <v>6</v>
      </c>
      <c r="F5417" t="s">
        <v>724</v>
      </c>
      <c r="G5417">
        <v>1</v>
      </c>
      <c r="H5417" s="2">
        <f>Tabelle13[[#This Row],[commits]]/Tabelle13[[#Totals],[commits]]</f>
        <v>4.6477904404246225E-6</v>
      </c>
      <c r="I5417" s="5">
        <f>Tabelle13[[#This Row],[%]]+I5416</f>
        <v>0.98312852070121293</v>
      </c>
      <c r="J5417" s="4">
        <f t="shared" si="201"/>
        <v>1.105583195135434E-4</v>
      </c>
      <c r="K5417" s="5">
        <f t="shared" si="202"/>
        <v>0.59867330016589593</v>
      </c>
    </row>
    <row r="5418" spans="1:11" x14ac:dyDescent="0.25">
      <c r="A5418" t="s">
        <v>4665</v>
      </c>
      <c r="C5418" t="s">
        <v>161</v>
      </c>
      <c r="D5418" t="s">
        <v>5</v>
      </c>
      <c r="E5418" t="s">
        <v>6</v>
      </c>
      <c r="F5418" t="s">
        <v>724</v>
      </c>
      <c r="G5418">
        <v>1</v>
      </c>
      <c r="H5418" s="2">
        <f>Tabelle13[[#This Row],[commits]]/Tabelle13[[#Totals],[commits]]</f>
        <v>4.6477904404246225E-6</v>
      </c>
      <c r="I5418" s="5">
        <f>Tabelle13[[#This Row],[%]]+I5417</f>
        <v>0.98313316849165333</v>
      </c>
      <c r="J5418" s="4">
        <f t="shared" si="201"/>
        <v>1.105583195135434E-4</v>
      </c>
      <c r="K5418" s="5">
        <f t="shared" si="202"/>
        <v>0.59878385848540949</v>
      </c>
    </row>
    <row r="5419" spans="1:11" x14ac:dyDescent="0.25">
      <c r="A5419" t="s">
        <v>4666</v>
      </c>
      <c r="C5419" t="s">
        <v>4667</v>
      </c>
      <c r="D5419" t="s">
        <v>5</v>
      </c>
      <c r="E5419" t="s">
        <v>6</v>
      </c>
      <c r="F5419" t="s">
        <v>724</v>
      </c>
      <c r="G5419">
        <v>1</v>
      </c>
      <c r="H5419" s="2">
        <f>Tabelle13[[#This Row],[commits]]/Tabelle13[[#Totals],[commits]]</f>
        <v>4.6477904404246225E-6</v>
      </c>
      <c r="I5419" s="5">
        <f>Tabelle13[[#This Row],[%]]+I5418</f>
        <v>0.98313781628209373</v>
      </c>
      <c r="J5419" s="4">
        <f t="shared" si="201"/>
        <v>1.105583195135434E-4</v>
      </c>
      <c r="K5419" s="5">
        <f t="shared" si="202"/>
        <v>0.59889441680492306</v>
      </c>
    </row>
    <row r="5420" spans="1:11" x14ac:dyDescent="0.25">
      <c r="A5420" t="s">
        <v>4668</v>
      </c>
      <c r="C5420" t="s">
        <v>4646</v>
      </c>
      <c r="D5420" t="s">
        <v>5</v>
      </c>
      <c r="E5420" t="s">
        <v>6</v>
      </c>
      <c r="F5420" t="s">
        <v>724</v>
      </c>
      <c r="G5420">
        <v>1</v>
      </c>
      <c r="H5420" s="2">
        <f>Tabelle13[[#This Row],[commits]]/Tabelle13[[#Totals],[commits]]</f>
        <v>4.6477904404246225E-6</v>
      </c>
      <c r="I5420" s="5">
        <f>Tabelle13[[#This Row],[%]]+I5419</f>
        <v>0.98314246407253414</v>
      </c>
      <c r="J5420" s="4">
        <f t="shared" si="201"/>
        <v>1.105583195135434E-4</v>
      </c>
      <c r="K5420" s="5">
        <f t="shared" si="202"/>
        <v>0.59900497512443662</v>
      </c>
    </row>
    <row r="5421" spans="1:11" x14ac:dyDescent="0.25">
      <c r="A5421" t="s">
        <v>4669</v>
      </c>
      <c r="C5421" t="s">
        <v>4670</v>
      </c>
      <c r="D5421" t="s">
        <v>5</v>
      </c>
      <c r="E5421" t="s">
        <v>6</v>
      </c>
      <c r="F5421" t="s">
        <v>724</v>
      </c>
      <c r="G5421">
        <v>1</v>
      </c>
      <c r="H5421" s="2">
        <f>Tabelle13[[#This Row],[commits]]/Tabelle13[[#Totals],[commits]]</f>
        <v>4.6477904404246225E-6</v>
      </c>
      <c r="I5421" s="5">
        <f>Tabelle13[[#This Row],[%]]+I5420</f>
        <v>0.98314711186297454</v>
      </c>
      <c r="J5421" s="4">
        <f t="shared" si="201"/>
        <v>1.105583195135434E-4</v>
      </c>
      <c r="K5421" s="5">
        <f t="shared" si="202"/>
        <v>0.59911553344395019</v>
      </c>
    </row>
    <row r="5422" spans="1:11" x14ac:dyDescent="0.25">
      <c r="A5422" t="s">
        <v>4671</v>
      </c>
      <c r="C5422" t="s">
        <v>532</v>
      </c>
      <c r="D5422" t="s">
        <v>5</v>
      </c>
      <c r="E5422" t="s">
        <v>6</v>
      </c>
      <c r="F5422" t="s">
        <v>724</v>
      </c>
      <c r="G5422">
        <v>1</v>
      </c>
      <c r="H5422" s="2">
        <f>Tabelle13[[#This Row],[commits]]/Tabelle13[[#Totals],[commits]]</f>
        <v>4.6477904404246225E-6</v>
      </c>
      <c r="I5422" s="5">
        <f>Tabelle13[[#This Row],[%]]+I5421</f>
        <v>0.98315175965341495</v>
      </c>
      <c r="J5422" s="4">
        <f t="shared" si="201"/>
        <v>1.105583195135434E-4</v>
      </c>
      <c r="K5422" s="5">
        <f t="shared" si="202"/>
        <v>0.59922609176346375</v>
      </c>
    </row>
    <row r="5423" spans="1:11" x14ac:dyDescent="0.25">
      <c r="A5423" t="s">
        <v>4672</v>
      </c>
      <c r="C5423" t="s">
        <v>4673</v>
      </c>
      <c r="D5423" t="s">
        <v>5</v>
      </c>
      <c r="E5423" t="s">
        <v>6</v>
      </c>
      <c r="F5423" t="s">
        <v>724</v>
      </c>
      <c r="G5423">
        <v>1</v>
      </c>
      <c r="H5423" s="2">
        <f>Tabelle13[[#This Row],[commits]]/Tabelle13[[#Totals],[commits]]</f>
        <v>4.6477904404246225E-6</v>
      </c>
      <c r="I5423" s="5">
        <f>Tabelle13[[#This Row],[%]]+I5422</f>
        <v>0.98315640744385535</v>
      </c>
      <c r="J5423" s="4">
        <f t="shared" si="201"/>
        <v>1.105583195135434E-4</v>
      </c>
      <c r="K5423" s="5">
        <f t="shared" si="202"/>
        <v>0.59933665008297732</v>
      </c>
    </row>
    <row r="5424" spans="1:11" x14ac:dyDescent="0.25">
      <c r="A5424" t="s">
        <v>4674</v>
      </c>
      <c r="C5424" t="s">
        <v>4675</v>
      </c>
      <c r="D5424" t="s">
        <v>5</v>
      </c>
      <c r="E5424" t="s">
        <v>6</v>
      </c>
      <c r="F5424" t="s">
        <v>724</v>
      </c>
      <c r="G5424">
        <v>1</v>
      </c>
      <c r="H5424" s="2">
        <f>Tabelle13[[#This Row],[commits]]/Tabelle13[[#Totals],[commits]]</f>
        <v>4.6477904404246225E-6</v>
      </c>
      <c r="I5424" s="5">
        <f>Tabelle13[[#This Row],[%]]+I5423</f>
        <v>0.98316105523429576</v>
      </c>
      <c r="J5424" s="4">
        <f t="shared" si="201"/>
        <v>1.105583195135434E-4</v>
      </c>
      <c r="K5424" s="5">
        <f t="shared" si="202"/>
        <v>0.59944720840249088</v>
      </c>
    </row>
    <row r="5425" spans="1:11" x14ac:dyDescent="0.25">
      <c r="A5425" t="s">
        <v>4676</v>
      </c>
      <c r="C5425" t="s">
        <v>4677</v>
      </c>
      <c r="D5425" t="s">
        <v>5</v>
      </c>
      <c r="E5425" t="s">
        <v>6</v>
      </c>
      <c r="F5425" t="s">
        <v>724</v>
      </c>
      <c r="G5425">
        <v>1</v>
      </c>
      <c r="H5425" s="2">
        <f>Tabelle13[[#This Row],[commits]]/Tabelle13[[#Totals],[commits]]</f>
        <v>4.6477904404246225E-6</v>
      </c>
      <c r="I5425" s="5">
        <f>Tabelle13[[#This Row],[%]]+I5424</f>
        <v>0.98316570302473616</v>
      </c>
      <c r="J5425" s="4">
        <f t="shared" si="201"/>
        <v>1.105583195135434E-4</v>
      </c>
      <c r="K5425" s="5">
        <f t="shared" si="202"/>
        <v>0.59955776672200445</v>
      </c>
    </row>
    <row r="5426" spans="1:11" x14ac:dyDescent="0.25">
      <c r="A5426" t="s">
        <v>4680</v>
      </c>
      <c r="C5426" t="s">
        <v>4681</v>
      </c>
      <c r="D5426" t="s">
        <v>5</v>
      </c>
      <c r="E5426" t="s">
        <v>6</v>
      </c>
      <c r="F5426" t="s">
        <v>724</v>
      </c>
      <c r="G5426">
        <v>1</v>
      </c>
      <c r="H5426" s="2">
        <f>Tabelle13[[#This Row],[commits]]/Tabelle13[[#Totals],[commits]]</f>
        <v>4.6477904404246225E-6</v>
      </c>
      <c r="I5426" s="5">
        <f>Tabelle13[[#This Row],[%]]+I5425</f>
        <v>0.98317035081517656</v>
      </c>
      <c r="J5426" s="4">
        <f t="shared" si="201"/>
        <v>1.105583195135434E-4</v>
      </c>
      <c r="K5426" s="5">
        <f t="shared" si="202"/>
        <v>0.59966832504151801</v>
      </c>
    </row>
    <row r="5427" spans="1:11" x14ac:dyDescent="0.25">
      <c r="A5427" t="s">
        <v>4682</v>
      </c>
      <c r="C5427" t="s">
        <v>4683</v>
      </c>
      <c r="D5427" t="s">
        <v>5</v>
      </c>
      <c r="E5427" t="s">
        <v>6</v>
      </c>
      <c r="F5427" t="s">
        <v>724</v>
      </c>
      <c r="G5427">
        <v>1</v>
      </c>
      <c r="H5427" s="2">
        <f>Tabelle13[[#This Row],[commits]]/Tabelle13[[#Totals],[commits]]</f>
        <v>4.6477904404246225E-6</v>
      </c>
      <c r="I5427" s="5">
        <f>Tabelle13[[#This Row],[%]]+I5426</f>
        <v>0.98317499860561697</v>
      </c>
      <c r="J5427" s="4">
        <f t="shared" si="201"/>
        <v>1.105583195135434E-4</v>
      </c>
      <c r="K5427" s="5">
        <f t="shared" si="202"/>
        <v>0.59977888336103158</v>
      </c>
    </row>
    <row r="5428" spans="1:11" x14ac:dyDescent="0.25">
      <c r="A5428" t="s">
        <v>4684</v>
      </c>
      <c r="C5428" t="s">
        <v>4685</v>
      </c>
      <c r="D5428" t="s">
        <v>5</v>
      </c>
      <c r="E5428" t="s">
        <v>6</v>
      </c>
      <c r="F5428" t="s">
        <v>724</v>
      </c>
      <c r="G5428">
        <v>1</v>
      </c>
      <c r="H5428" s="2">
        <f>Tabelle13[[#This Row],[commits]]/Tabelle13[[#Totals],[commits]]</f>
        <v>4.6477904404246225E-6</v>
      </c>
      <c r="I5428" s="5">
        <f>Tabelle13[[#This Row],[%]]+I5427</f>
        <v>0.98317964639605737</v>
      </c>
      <c r="J5428" s="4">
        <f t="shared" si="201"/>
        <v>1.105583195135434E-4</v>
      </c>
      <c r="K5428" s="5">
        <f t="shared" si="202"/>
        <v>0.59988944168054514</v>
      </c>
    </row>
    <row r="5429" spans="1:11" x14ac:dyDescent="0.25">
      <c r="A5429" t="s">
        <v>4686</v>
      </c>
      <c r="C5429" t="s">
        <v>4687</v>
      </c>
      <c r="D5429" t="s">
        <v>5</v>
      </c>
      <c r="E5429" t="s">
        <v>6</v>
      </c>
      <c r="F5429" t="s">
        <v>334</v>
      </c>
      <c r="G5429">
        <v>1</v>
      </c>
      <c r="H5429" s="2">
        <f>Tabelle13[[#This Row],[commits]]/Tabelle13[[#Totals],[commits]]</f>
        <v>4.6477904404246225E-6</v>
      </c>
      <c r="I5429" s="5">
        <f>Tabelle13[[#This Row],[%]]+I5428</f>
        <v>0.98318429418649778</v>
      </c>
      <c r="J5429" s="4">
        <f t="shared" si="201"/>
        <v>1.105583195135434E-4</v>
      </c>
      <c r="K5429" s="5">
        <f t="shared" si="202"/>
        <v>0.60000000000005871</v>
      </c>
    </row>
    <row r="5430" spans="1:11" x14ac:dyDescent="0.25">
      <c r="A5430" t="s">
        <v>4688</v>
      </c>
      <c r="C5430" t="s">
        <v>4689</v>
      </c>
      <c r="D5430" t="s">
        <v>5</v>
      </c>
      <c r="E5430" t="s">
        <v>6</v>
      </c>
      <c r="F5430" t="s">
        <v>724</v>
      </c>
      <c r="G5430">
        <v>1</v>
      </c>
      <c r="H5430" s="2">
        <f>Tabelle13[[#This Row],[commits]]/Tabelle13[[#Totals],[commits]]</f>
        <v>4.6477904404246225E-6</v>
      </c>
      <c r="I5430" s="5">
        <f>Tabelle13[[#This Row],[%]]+I5429</f>
        <v>0.98318894197693818</v>
      </c>
      <c r="J5430" s="4">
        <f t="shared" si="201"/>
        <v>1.105583195135434E-4</v>
      </c>
      <c r="K5430" s="5">
        <f t="shared" si="202"/>
        <v>0.60011055831957227</v>
      </c>
    </row>
    <row r="5431" spans="1:11" x14ac:dyDescent="0.25">
      <c r="A5431" t="s">
        <v>4690</v>
      </c>
      <c r="C5431" t="s">
        <v>4691</v>
      </c>
      <c r="D5431" t="s">
        <v>5</v>
      </c>
      <c r="E5431" t="s">
        <v>6</v>
      </c>
      <c r="F5431" t="s">
        <v>724</v>
      </c>
      <c r="G5431">
        <v>1</v>
      </c>
      <c r="H5431" s="2">
        <f>Tabelle13[[#This Row],[commits]]/Tabelle13[[#Totals],[commits]]</f>
        <v>4.6477904404246225E-6</v>
      </c>
      <c r="I5431" s="5">
        <f>Tabelle13[[#This Row],[%]]+I5430</f>
        <v>0.98319358976737858</v>
      </c>
      <c r="J5431" s="4">
        <f t="shared" si="201"/>
        <v>1.105583195135434E-4</v>
      </c>
      <c r="K5431" s="5">
        <f t="shared" si="202"/>
        <v>0.60022111663908584</v>
      </c>
    </row>
    <row r="5432" spans="1:11" x14ac:dyDescent="0.25">
      <c r="A5432" t="s">
        <v>4692</v>
      </c>
      <c r="C5432" t="s">
        <v>4693</v>
      </c>
      <c r="D5432" t="s">
        <v>5</v>
      </c>
      <c r="E5432" t="s">
        <v>6</v>
      </c>
      <c r="F5432" t="s">
        <v>724</v>
      </c>
      <c r="G5432">
        <v>1</v>
      </c>
      <c r="H5432" s="2">
        <f>Tabelle13[[#This Row],[commits]]/Tabelle13[[#Totals],[commits]]</f>
        <v>4.6477904404246225E-6</v>
      </c>
      <c r="I5432" s="5">
        <f>Tabelle13[[#This Row],[%]]+I5431</f>
        <v>0.98319823755781899</v>
      </c>
      <c r="J5432" s="4">
        <f t="shared" si="201"/>
        <v>1.105583195135434E-4</v>
      </c>
      <c r="K5432" s="5">
        <f t="shared" si="202"/>
        <v>0.6003316749585994</v>
      </c>
    </row>
    <row r="5433" spans="1:11" x14ac:dyDescent="0.25">
      <c r="A5433" t="s">
        <v>4694</v>
      </c>
      <c r="C5433" t="s">
        <v>4695</v>
      </c>
      <c r="D5433" t="s">
        <v>5</v>
      </c>
      <c r="E5433" t="s">
        <v>6</v>
      </c>
      <c r="F5433" t="s">
        <v>724</v>
      </c>
      <c r="G5433">
        <v>1</v>
      </c>
      <c r="H5433" s="2">
        <f>Tabelle13[[#This Row],[commits]]/Tabelle13[[#Totals],[commits]]</f>
        <v>4.6477904404246225E-6</v>
      </c>
      <c r="I5433" s="5">
        <f>Tabelle13[[#This Row],[%]]+I5432</f>
        <v>0.98320288534825939</v>
      </c>
      <c r="J5433" s="4">
        <f t="shared" si="201"/>
        <v>1.105583195135434E-4</v>
      </c>
      <c r="K5433" s="5">
        <f t="shared" si="202"/>
        <v>0.60044223327811297</v>
      </c>
    </row>
    <row r="5434" spans="1:11" x14ac:dyDescent="0.25">
      <c r="A5434" t="s">
        <v>4696</v>
      </c>
      <c r="C5434" t="s">
        <v>4697</v>
      </c>
      <c r="D5434" t="s">
        <v>5</v>
      </c>
      <c r="E5434" t="s">
        <v>6</v>
      </c>
      <c r="F5434" t="s">
        <v>724</v>
      </c>
      <c r="G5434">
        <v>1</v>
      </c>
      <c r="H5434" s="2">
        <f>Tabelle13[[#This Row],[commits]]/Tabelle13[[#Totals],[commits]]</f>
        <v>4.6477904404246225E-6</v>
      </c>
      <c r="I5434" s="5">
        <f>Tabelle13[[#This Row],[%]]+I5433</f>
        <v>0.9832075331386998</v>
      </c>
      <c r="J5434" s="4">
        <f t="shared" si="201"/>
        <v>1.105583195135434E-4</v>
      </c>
      <c r="K5434" s="5">
        <f t="shared" si="202"/>
        <v>0.60055279159762653</v>
      </c>
    </row>
    <row r="5435" spans="1:11" x14ac:dyDescent="0.25">
      <c r="A5435" t="s">
        <v>4698</v>
      </c>
      <c r="C5435" t="s">
        <v>4699</v>
      </c>
      <c r="D5435" t="s">
        <v>5</v>
      </c>
      <c r="E5435" t="s">
        <v>6</v>
      </c>
      <c r="F5435" t="s">
        <v>724</v>
      </c>
      <c r="G5435">
        <v>1</v>
      </c>
      <c r="H5435" s="2">
        <f>Tabelle13[[#This Row],[commits]]/Tabelle13[[#Totals],[commits]]</f>
        <v>4.6477904404246225E-6</v>
      </c>
      <c r="I5435" s="5">
        <f>Tabelle13[[#This Row],[%]]+I5434</f>
        <v>0.9832121809291402</v>
      </c>
      <c r="J5435" s="4">
        <f t="shared" si="201"/>
        <v>1.105583195135434E-4</v>
      </c>
      <c r="K5435" s="5">
        <f t="shared" si="202"/>
        <v>0.6006633499171401</v>
      </c>
    </row>
    <row r="5436" spans="1:11" x14ac:dyDescent="0.25">
      <c r="A5436" t="s">
        <v>4700</v>
      </c>
      <c r="C5436" t="s">
        <v>4701</v>
      </c>
      <c r="D5436" t="s">
        <v>5</v>
      </c>
      <c r="E5436" t="s">
        <v>6</v>
      </c>
      <c r="F5436" t="s">
        <v>724</v>
      </c>
      <c r="G5436">
        <v>1</v>
      </c>
      <c r="H5436" s="2">
        <f>Tabelle13[[#This Row],[commits]]/Tabelle13[[#Totals],[commits]]</f>
        <v>4.6477904404246225E-6</v>
      </c>
      <c r="I5436" s="5">
        <f>Tabelle13[[#This Row],[%]]+I5435</f>
        <v>0.9832168287195806</v>
      </c>
      <c r="J5436" s="4">
        <f t="shared" si="201"/>
        <v>1.105583195135434E-4</v>
      </c>
      <c r="K5436" s="5">
        <f t="shared" si="202"/>
        <v>0.60077390823665366</v>
      </c>
    </row>
    <row r="5437" spans="1:11" x14ac:dyDescent="0.25">
      <c r="A5437" t="s">
        <v>4702</v>
      </c>
      <c r="C5437" t="s">
        <v>4703</v>
      </c>
      <c r="D5437" t="s">
        <v>5</v>
      </c>
      <c r="E5437" t="s">
        <v>6</v>
      </c>
      <c r="F5437" t="s">
        <v>724</v>
      </c>
      <c r="G5437">
        <v>1</v>
      </c>
      <c r="H5437" s="2">
        <f>Tabelle13[[#This Row],[commits]]/Tabelle13[[#Totals],[commits]]</f>
        <v>4.6477904404246225E-6</v>
      </c>
      <c r="I5437" s="5">
        <f>Tabelle13[[#This Row],[%]]+I5436</f>
        <v>0.98322147651002101</v>
      </c>
      <c r="J5437" s="4">
        <f t="shared" si="201"/>
        <v>1.105583195135434E-4</v>
      </c>
      <c r="K5437" s="5">
        <f t="shared" si="202"/>
        <v>0.60088446655616723</v>
      </c>
    </row>
    <row r="5438" spans="1:11" x14ac:dyDescent="0.25">
      <c r="A5438" t="s">
        <v>4704</v>
      </c>
      <c r="C5438" t="s">
        <v>4705</v>
      </c>
      <c r="D5438" t="s">
        <v>5</v>
      </c>
      <c r="E5438" t="s">
        <v>6</v>
      </c>
      <c r="F5438" t="s">
        <v>724</v>
      </c>
      <c r="G5438">
        <v>1</v>
      </c>
      <c r="H5438" s="2">
        <f>Tabelle13[[#This Row],[commits]]/Tabelle13[[#Totals],[commits]]</f>
        <v>4.6477904404246225E-6</v>
      </c>
      <c r="I5438" s="5">
        <f>Tabelle13[[#This Row],[%]]+I5437</f>
        <v>0.98322612430046141</v>
      </c>
      <c r="J5438" s="4">
        <f t="shared" si="201"/>
        <v>1.105583195135434E-4</v>
      </c>
      <c r="K5438" s="5">
        <f t="shared" si="202"/>
        <v>0.60099502487568079</v>
      </c>
    </row>
    <row r="5439" spans="1:11" x14ac:dyDescent="0.25">
      <c r="A5439" t="s">
        <v>4706</v>
      </c>
      <c r="C5439" t="s">
        <v>4707</v>
      </c>
      <c r="D5439" t="s">
        <v>5</v>
      </c>
      <c r="E5439" t="s">
        <v>6</v>
      </c>
      <c r="F5439" t="s">
        <v>724</v>
      </c>
      <c r="G5439">
        <v>1</v>
      </c>
      <c r="H5439" s="2">
        <f>Tabelle13[[#This Row],[commits]]/Tabelle13[[#Totals],[commits]]</f>
        <v>4.6477904404246225E-6</v>
      </c>
      <c r="I5439" s="5">
        <f>Tabelle13[[#This Row],[%]]+I5438</f>
        <v>0.98323077209090182</v>
      </c>
      <c r="J5439" s="4">
        <f t="shared" si="201"/>
        <v>1.105583195135434E-4</v>
      </c>
      <c r="K5439" s="5">
        <f t="shared" si="202"/>
        <v>0.60110558319519436</v>
      </c>
    </row>
    <row r="5440" spans="1:11" x14ac:dyDescent="0.25">
      <c r="A5440" t="s">
        <v>4708</v>
      </c>
      <c r="C5440" t="s">
        <v>4709</v>
      </c>
      <c r="D5440" t="s">
        <v>5</v>
      </c>
      <c r="E5440" t="s">
        <v>6</v>
      </c>
      <c r="F5440" t="s">
        <v>724</v>
      </c>
      <c r="G5440">
        <v>1</v>
      </c>
      <c r="H5440" s="2">
        <f>Tabelle13[[#This Row],[commits]]/Tabelle13[[#Totals],[commits]]</f>
        <v>4.6477904404246225E-6</v>
      </c>
      <c r="I5440" s="5">
        <f>Tabelle13[[#This Row],[%]]+I5439</f>
        <v>0.98323541988134222</v>
      </c>
      <c r="J5440" s="4">
        <f t="shared" si="201"/>
        <v>1.105583195135434E-4</v>
      </c>
      <c r="K5440" s="5">
        <f t="shared" si="202"/>
        <v>0.60121614151470792</v>
      </c>
    </row>
    <row r="5441" spans="1:11" x14ac:dyDescent="0.25">
      <c r="A5441" t="s">
        <v>4710</v>
      </c>
      <c r="C5441" t="s">
        <v>4711</v>
      </c>
      <c r="D5441" t="s">
        <v>5</v>
      </c>
      <c r="E5441" t="s">
        <v>6</v>
      </c>
      <c r="F5441" t="s">
        <v>724</v>
      </c>
      <c r="G5441">
        <v>1</v>
      </c>
      <c r="H5441" s="2">
        <f>Tabelle13[[#This Row],[commits]]/Tabelle13[[#Totals],[commits]]</f>
        <v>4.6477904404246225E-6</v>
      </c>
      <c r="I5441" s="5">
        <f>Tabelle13[[#This Row],[%]]+I5440</f>
        <v>0.98324006767178262</v>
      </c>
      <c r="J5441" s="4">
        <f t="shared" si="201"/>
        <v>1.105583195135434E-4</v>
      </c>
      <c r="K5441" s="5">
        <f t="shared" si="202"/>
        <v>0.60132669983422149</v>
      </c>
    </row>
    <row r="5442" spans="1:11" x14ac:dyDescent="0.25">
      <c r="A5442" t="s">
        <v>4712</v>
      </c>
      <c r="C5442" t="s">
        <v>4713</v>
      </c>
      <c r="D5442" t="s">
        <v>5</v>
      </c>
      <c r="E5442" t="s">
        <v>6</v>
      </c>
      <c r="F5442" t="s">
        <v>724</v>
      </c>
      <c r="G5442">
        <v>1</v>
      </c>
      <c r="H5442" s="2">
        <f>Tabelle13[[#This Row],[commits]]/Tabelle13[[#Totals],[commits]]</f>
        <v>4.6477904404246225E-6</v>
      </c>
      <c r="I5442" s="5">
        <f>Tabelle13[[#This Row],[%]]+I5441</f>
        <v>0.98324471546222303</v>
      </c>
      <c r="J5442" s="4">
        <f t="shared" si="201"/>
        <v>1.105583195135434E-4</v>
      </c>
      <c r="K5442" s="5">
        <f t="shared" si="202"/>
        <v>0.60143725815373505</v>
      </c>
    </row>
    <row r="5443" spans="1:11" x14ac:dyDescent="0.25">
      <c r="A5443" t="s">
        <v>4714</v>
      </c>
      <c r="C5443" t="s">
        <v>4715</v>
      </c>
      <c r="D5443" t="s">
        <v>5</v>
      </c>
      <c r="E5443" t="s">
        <v>6</v>
      </c>
      <c r="F5443" t="s">
        <v>724</v>
      </c>
      <c r="G5443">
        <v>1</v>
      </c>
      <c r="H5443" s="2">
        <f>Tabelle13[[#This Row],[commits]]/Tabelle13[[#Totals],[commits]]</f>
        <v>4.6477904404246225E-6</v>
      </c>
      <c r="I5443" s="5">
        <f>Tabelle13[[#This Row],[%]]+I5442</f>
        <v>0.98324936325266343</v>
      </c>
      <c r="J5443" s="4">
        <f t="shared" ref="J5443:J5506" si="203">1/9045</f>
        <v>1.105583195135434E-4</v>
      </c>
      <c r="K5443" s="5">
        <f t="shared" si="202"/>
        <v>0.60154781647324862</v>
      </c>
    </row>
    <row r="5444" spans="1:11" x14ac:dyDescent="0.25">
      <c r="A5444" t="s">
        <v>4716</v>
      </c>
      <c r="C5444" t="s">
        <v>4717</v>
      </c>
      <c r="D5444" t="s">
        <v>5</v>
      </c>
      <c r="E5444" t="s">
        <v>6</v>
      </c>
      <c r="F5444" t="s">
        <v>724</v>
      </c>
      <c r="G5444">
        <v>1</v>
      </c>
      <c r="H5444" s="2">
        <f>Tabelle13[[#This Row],[commits]]/Tabelle13[[#Totals],[commits]]</f>
        <v>4.6477904404246225E-6</v>
      </c>
      <c r="I5444" s="5">
        <f>Tabelle13[[#This Row],[%]]+I5443</f>
        <v>0.98325401104310384</v>
      </c>
      <c r="J5444" s="4">
        <f t="shared" si="203"/>
        <v>1.105583195135434E-4</v>
      </c>
      <c r="K5444" s="5">
        <f t="shared" si="202"/>
        <v>0.60165837479276219</v>
      </c>
    </row>
    <row r="5445" spans="1:11" x14ac:dyDescent="0.25">
      <c r="A5445" t="s">
        <v>4718</v>
      </c>
      <c r="C5445" t="s">
        <v>4719</v>
      </c>
      <c r="D5445" t="s">
        <v>5</v>
      </c>
      <c r="E5445" t="s">
        <v>6</v>
      </c>
      <c r="F5445" t="s">
        <v>724</v>
      </c>
      <c r="G5445">
        <v>1</v>
      </c>
      <c r="H5445" s="2">
        <f>Tabelle13[[#This Row],[commits]]/Tabelle13[[#Totals],[commits]]</f>
        <v>4.6477904404246225E-6</v>
      </c>
      <c r="I5445" s="5">
        <f>Tabelle13[[#This Row],[%]]+I5444</f>
        <v>0.98325865883354424</v>
      </c>
      <c r="J5445" s="4">
        <f t="shared" si="203"/>
        <v>1.105583195135434E-4</v>
      </c>
      <c r="K5445" s="5">
        <f t="shared" si="202"/>
        <v>0.60176893311227575</v>
      </c>
    </row>
    <row r="5446" spans="1:11" x14ac:dyDescent="0.25">
      <c r="A5446" t="s">
        <v>4720</v>
      </c>
      <c r="C5446" t="s">
        <v>4721</v>
      </c>
      <c r="D5446" t="s">
        <v>5</v>
      </c>
      <c r="E5446" t="s">
        <v>6</v>
      </c>
      <c r="F5446" t="s">
        <v>724</v>
      </c>
      <c r="G5446">
        <v>1</v>
      </c>
      <c r="H5446" s="2">
        <f>Tabelle13[[#This Row],[commits]]/Tabelle13[[#Totals],[commits]]</f>
        <v>4.6477904404246225E-6</v>
      </c>
      <c r="I5446" s="5">
        <f>Tabelle13[[#This Row],[%]]+I5445</f>
        <v>0.98326330662398465</v>
      </c>
      <c r="J5446" s="4">
        <f t="shared" si="203"/>
        <v>1.105583195135434E-4</v>
      </c>
      <c r="K5446" s="5">
        <f t="shared" ref="K5446:K5509" si="204">J5446+K5445</f>
        <v>0.60187949143178932</v>
      </c>
    </row>
    <row r="5447" spans="1:11" x14ac:dyDescent="0.25">
      <c r="A5447" t="s">
        <v>4722</v>
      </c>
      <c r="C5447" t="s">
        <v>4723</v>
      </c>
      <c r="D5447" t="s">
        <v>5</v>
      </c>
      <c r="E5447" t="s">
        <v>6</v>
      </c>
      <c r="F5447" t="s">
        <v>724</v>
      </c>
      <c r="G5447">
        <v>1</v>
      </c>
      <c r="H5447" s="2">
        <f>Tabelle13[[#This Row],[commits]]/Tabelle13[[#Totals],[commits]]</f>
        <v>4.6477904404246225E-6</v>
      </c>
      <c r="I5447" s="5">
        <f>Tabelle13[[#This Row],[%]]+I5446</f>
        <v>0.98326795441442505</v>
      </c>
      <c r="J5447" s="4">
        <f t="shared" si="203"/>
        <v>1.105583195135434E-4</v>
      </c>
      <c r="K5447" s="5">
        <f t="shared" si="204"/>
        <v>0.60199004975130288</v>
      </c>
    </row>
    <row r="5448" spans="1:11" x14ac:dyDescent="0.25">
      <c r="A5448" t="s">
        <v>4724</v>
      </c>
      <c r="C5448" t="s">
        <v>4725</v>
      </c>
      <c r="D5448" t="s">
        <v>5</v>
      </c>
      <c r="E5448" t="s">
        <v>6</v>
      </c>
      <c r="F5448" t="s">
        <v>724</v>
      </c>
      <c r="G5448">
        <v>1</v>
      </c>
      <c r="H5448" s="2">
        <f>Tabelle13[[#This Row],[commits]]/Tabelle13[[#Totals],[commits]]</f>
        <v>4.6477904404246225E-6</v>
      </c>
      <c r="I5448" s="5">
        <f>Tabelle13[[#This Row],[%]]+I5447</f>
        <v>0.98327260220486545</v>
      </c>
      <c r="J5448" s="4">
        <f t="shared" si="203"/>
        <v>1.105583195135434E-4</v>
      </c>
      <c r="K5448" s="5">
        <f t="shared" si="204"/>
        <v>0.60210060807081645</v>
      </c>
    </row>
    <row r="5449" spans="1:11" x14ac:dyDescent="0.25">
      <c r="A5449" t="s">
        <v>4726</v>
      </c>
      <c r="C5449" t="s">
        <v>4727</v>
      </c>
      <c r="D5449" t="s">
        <v>5</v>
      </c>
      <c r="E5449" t="s">
        <v>6</v>
      </c>
      <c r="F5449" t="s">
        <v>724</v>
      </c>
      <c r="G5449">
        <v>1</v>
      </c>
      <c r="H5449" s="2">
        <f>Tabelle13[[#This Row],[commits]]/Tabelle13[[#Totals],[commits]]</f>
        <v>4.6477904404246225E-6</v>
      </c>
      <c r="I5449" s="5">
        <f>Tabelle13[[#This Row],[%]]+I5448</f>
        <v>0.98327724999530586</v>
      </c>
      <c r="J5449" s="4">
        <f t="shared" si="203"/>
        <v>1.105583195135434E-4</v>
      </c>
      <c r="K5449" s="5">
        <f t="shared" si="204"/>
        <v>0.60221116639033001</v>
      </c>
    </row>
    <row r="5450" spans="1:11" x14ac:dyDescent="0.25">
      <c r="A5450" t="s">
        <v>4728</v>
      </c>
      <c r="C5450" t="s">
        <v>4729</v>
      </c>
      <c r="D5450" t="s">
        <v>5</v>
      </c>
      <c r="E5450" t="s">
        <v>6</v>
      </c>
      <c r="F5450" t="s">
        <v>724</v>
      </c>
      <c r="G5450">
        <v>1</v>
      </c>
      <c r="H5450" s="2">
        <f>Tabelle13[[#This Row],[commits]]/Tabelle13[[#Totals],[commits]]</f>
        <v>4.6477904404246225E-6</v>
      </c>
      <c r="I5450" s="5">
        <f>Tabelle13[[#This Row],[%]]+I5449</f>
        <v>0.98328189778574626</v>
      </c>
      <c r="J5450" s="4">
        <f t="shared" si="203"/>
        <v>1.105583195135434E-4</v>
      </c>
      <c r="K5450" s="5">
        <f t="shared" si="204"/>
        <v>0.60232172470984358</v>
      </c>
    </row>
    <row r="5451" spans="1:11" x14ac:dyDescent="0.25">
      <c r="A5451" t="s">
        <v>4730</v>
      </c>
      <c r="C5451" t="s">
        <v>4731</v>
      </c>
      <c r="D5451" t="s">
        <v>5</v>
      </c>
      <c r="E5451" t="s">
        <v>6</v>
      </c>
      <c r="F5451" t="s">
        <v>724</v>
      </c>
      <c r="G5451">
        <v>1</v>
      </c>
      <c r="H5451" s="2">
        <f>Tabelle13[[#This Row],[commits]]/Tabelle13[[#Totals],[commits]]</f>
        <v>4.6477904404246225E-6</v>
      </c>
      <c r="I5451" s="5">
        <f>Tabelle13[[#This Row],[%]]+I5450</f>
        <v>0.98328654557618667</v>
      </c>
      <c r="J5451" s="4">
        <f t="shared" si="203"/>
        <v>1.105583195135434E-4</v>
      </c>
      <c r="K5451" s="5">
        <f t="shared" si="204"/>
        <v>0.60243228302935714</v>
      </c>
    </row>
    <row r="5452" spans="1:11" x14ac:dyDescent="0.25">
      <c r="A5452" t="s">
        <v>4732</v>
      </c>
      <c r="C5452" t="s">
        <v>26</v>
      </c>
      <c r="D5452" t="s">
        <v>5</v>
      </c>
      <c r="E5452" t="s">
        <v>6</v>
      </c>
      <c r="F5452" t="s">
        <v>724</v>
      </c>
      <c r="G5452">
        <v>1</v>
      </c>
      <c r="H5452" s="2">
        <f>Tabelle13[[#This Row],[commits]]/Tabelle13[[#Totals],[commits]]</f>
        <v>4.6477904404246225E-6</v>
      </c>
      <c r="I5452" s="5">
        <f>Tabelle13[[#This Row],[%]]+I5451</f>
        <v>0.98329119336662707</v>
      </c>
      <c r="J5452" s="4">
        <f t="shared" si="203"/>
        <v>1.105583195135434E-4</v>
      </c>
      <c r="K5452" s="5">
        <f t="shared" si="204"/>
        <v>0.60254284134887071</v>
      </c>
    </row>
    <row r="5453" spans="1:11" x14ac:dyDescent="0.25">
      <c r="A5453" t="s">
        <v>4733</v>
      </c>
      <c r="C5453" t="s">
        <v>4734</v>
      </c>
      <c r="D5453" t="s">
        <v>5</v>
      </c>
      <c r="E5453" t="s">
        <v>6</v>
      </c>
      <c r="F5453" t="s">
        <v>724</v>
      </c>
      <c r="G5453">
        <v>1</v>
      </c>
      <c r="H5453" s="2">
        <f>Tabelle13[[#This Row],[commits]]/Tabelle13[[#Totals],[commits]]</f>
        <v>4.6477904404246225E-6</v>
      </c>
      <c r="I5453" s="5">
        <f>Tabelle13[[#This Row],[%]]+I5452</f>
        <v>0.98329584115706747</v>
      </c>
      <c r="J5453" s="4">
        <f t="shared" si="203"/>
        <v>1.105583195135434E-4</v>
      </c>
      <c r="K5453" s="5">
        <f t="shared" si="204"/>
        <v>0.60265339966838427</v>
      </c>
    </row>
    <row r="5454" spans="1:11" x14ac:dyDescent="0.25">
      <c r="A5454" t="s">
        <v>4735</v>
      </c>
      <c r="C5454" t="s">
        <v>4736</v>
      </c>
      <c r="D5454" t="s">
        <v>5</v>
      </c>
      <c r="E5454" t="s">
        <v>6</v>
      </c>
      <c r="F5454" t="s">
        <v>724</v>
      </c>
      <c r="G5454">
        <v>1</v>
      </c>
      <c r="H5454" s="2">
        <f>Tabelle13[[#This Row],[commits]]/Tabelle13[[#Totals],[commits]]</f>
        <v>4.6477904404246225E-6</v>
      </c>
      <c r="I5454" s="5">
        <f>Tabelle13[[#This Row],[%]]+I5453</f>
        <v>0.98330048894750788</v>
      </c>
      <c r="J5454" s="4">
        <f t="shared" si="203"/>
        <v>1.105583195135434E-4</v>
      </c>
      <c r="K5454" s="5">
        <f t="shared" si="204"/>
        <v>0.60276395798789784</v>
      </c>
    </row>
    <row r="5455" spans="1:11" x14ac:dyDescent="0.25">
      <c r="A5455" t="s">
        <v>4737</v>
      </c>
      <c r="C5455" t="s">
        <v>4738</v>
      </c>
      <c r="D5455" t="s">
        <v>5</v>
      </c>
      <c r="E5455" t="s">
        <v>6</v>
      </c>
      <c r="F5455" t="s">
        <v>724</v>
      </c>
      <c r="G5455">
        <v>1</v>
      </c>
      <c r="H5455" s="2">
        <f>Tabelle13[[#This Row],[commits]]/Tabelle13[[#Totals],[commits]]</f>
        <v>4.6477904404246225E-6</v>
      </c>
      <c r="I5455" s="5">
        <f>Tabelle13[[#This Row],[%]]+I5454</f>
        <v>0.98330513673794828</v>
      </c>
      <c r="J5455" s="4">
        <f t="shared" si="203"/>
        <v>1.105583195135434E-4</v>
      </c>
      <c r="K5455" s="5">
        <f t="shared" si="204"/>
        <v>0.6028745163074114</v>
      </c>
    </row>
    <row r="5456" spans="1:11" x14ac:dyDescent="0.25">
      <c r="A5456" t="s">
        <v>4739</v>
      </c>
      <c r="C5456" t="s">
        <v>4740</v>
      </c>
      <c r="D5456" t="s">
        <v>5</v>
      </c>
      <c r="E5456" t="s">
        <v>6</v>
      </c>
      <c r="F5456" t="s">
        <v>724</v>
      </c>
      <c r="G5456">
        <v>1</v>
      </c>
      <c r="H5456" s="2">
        <f>Tabelle13[[#This Row],[commits]]/Tabelle13[[#Totals],[commits]]</f>
        <v>4.6477904404246225E-6</v>
      </c>
      <c r="I5456" s="5">
        <f>Tabelle13[[#This Row],[%]]+I5455</f>
        <v>0.98330978452838869</v>
      </c>
      <c r="J5456" s="4">
        <f t="shared" si="203"/>
        <v>1.105583195135434E-4</v>
      </c>
      <c r="K5456" s="5">
        <f t="shared" si="204"/>
        <v>0.60298507462692497</v>
      </c>
    </row>
    <row r="5457" spans="1:11" x14ac:dyDescent="0.25">
      <c r="A5457" t="s">
        <v>4741</v>
      </c>
      <c r="C5457" t="s">
        <v>4742</v>
      </c>
      <c r="D5457" t="s">
        <v>5</v>
      </c>
      <c r="E5457" t="s">
        <v>6</v>
      </c>
      <c r="F5457" t="s">
        <v>724</v>
      </c>
      <c r="G5457">
        <v>1</v>
      </c>
      <c r="H5457" s="2">
        <f>Tabelle13[[#This Row],[commits]]/Tabelle13[[#Totals],[commits]]</f>
        <v>4.6477904404246225E-6</v>
      </c>
      <c r="I5457" s="5">
        <f>Tabelle13[[#This Row],[%]]+I5456</f>
        <v>0.98331443231882909</v>
      </c>
      <c r="J5457" s="4">
        <f t="shared" si="203"/>
        <v>1.105583195135434E-4</v>
      </c>
      <c r="K5457" s="5">
        <f t="shared" si="204"/>
        <v>0.60309563294643853</v>
      </c>
    </row>
    <row r="5458" spans="1:11" x14ac:dyDescent="0.25">
      <c r="A5458" t="s">
        <v>4743</v>
      </c>
      <c r="C5458" t="s">
        <v>4744</v>
      </c>
      <c r="D5458" t="s">
        <v>5</v>
      </c>
      <c r="E5458" t="s">
        <v>6</v>
      </c>
      <c r="F5458" t="s">
        <v>724</v>
      </c>
      <c r="G5458">
        <v>1</v>
      </c>
      <c r="H5458" s="2">
        <f>Tabelle13[[#This Row],[commits]]/Tabelle13[[#Totals],[commits]]</f>
        <v>4.6477904404246225E-6</v>
      </c>
      <c r="I5458" s="5">
        <f>Tabelle13[[#This Row],[%]]+I5457</f>
        <v>0.98331908010926949</v>
      </c>
      <c r="J5458" s="4">
        <f t="shared" si="203"/>
        <v>1.105583195135434E-4</v>
      </c>
      <c r="K5458" s="5">
        <f t="shared" si="204"/>
        <v>0.6032061912659521</v>
      </c>
    </row>
    <row r="5459" spans="1:11" x14ac:dyDescent="0.25">
      <c r="A5459" t="s">
        <v>4745</v>
      </c>
      <c r="C5459" t="s">
        <v>4746</v>
      </c>
      <c r="D5459" t="s">
        <v>5</v>
      </c>
      <c r="E5459" t="s">
        <v>6</v>
      </c>
      <c r="F5459" t="s">
        <v>724</v>
      </c>
      <c r="G5459">
        <v>1</v>
      </c>
      <c r="H5459" s="2">
        <f>Tabelle13[[#This Row],[commits]]/Tabelle13[[#Totals],[commits]]</f>
        <v>4.6477904404246225E-6</v>
      </c>
      <c r="I5459" s="5">
        <f>Tabelle13[[#This Row],[%]]+I5458</f>
        <v>0.9833237278997099</v>
      </c>
      <c r="J5459" s="4">
        <f t="shared" si="203"/>
        <v>1.105583195135434E-4</v>
      </c>
      <c r="K5459" s="5">
        <f t="shared" si="204"/>
        <v>0.60331674958546566</v>
      </c>
    </row>
    <row r="5460" spans="1:11" x14ac:dyDescent="0.25">
      <c r="A5460" t="s">
        <v>4747</v>
      </c>
      <c r="C5460" t="s">
        <v>4748</v>
      </c>
      <c r="D5460" t="s">
        <v>5</v>
      </c>
      <c r="E5460" t="s">
        <v>6</v>
      </c>
      <c r="F5460" t="s">
        <v>724</v>
      </c>
      <c r="G5460">
        <v>1</v>
      </c>
      <c r="H5460" s="2">
        <f>Tabelle13[[#This Row],[commits]]/Tabelle13[[#Totals],[commits]]</f>
        <v>4.6477904404246225E-6</v>
      </c>
      <c r="I5460" s="5">
        <f>Tabelle13[[#This Row],[%]]+I5459</f>
        <v>0.9833283756901503</v>
      </c>
      <c r="J5460" s="4">
        <f t="shared" si="203"/>
        <v>1.105583195135434E-4</v>
      </c>
      <c r="K5460" s="5">
        <f t="shared" si="204"/>
        <v>0.60342730790497923</v>
      </c>
    </row>
    <row r="5461" spans="1:11" x14ac:dyDescent="0.25">
      <c r="A5461" t="s">
        <v>4749</v>
      </c>
      <c r="C5461" t="s">
        <v>4750</v>
      </c>
      <c r="D5461" t="s">
        <v>5</v>
      </c>
      <c r="E5461" t="s">
        <v>6</v>
      </c>
      <c r="F5461" t="s">
        <v>724</v>
      </c>
      <c r="G5461">
        <v>1</v>
      </c>
      <c r="H5461" s="2">
        <f>Tabelle13[[#This Row],[commits]]/Tabelle13[[#Totals],[commits]]</f>
        <v>4.6477904404246225E-6</v>
      </c>
      <c r="I5461" s="5">
        <f>Tabelle13[[#This Row],[%]]+I5460</f>
        <v>0.98333302348059071</v>
      </c>
      <c r="J5461" s="4">
        <f t="shared" si="203"/>
        <v>1.105583195135434E-4</v>
      </c>
      <c r="K5461" s="5">
        <f t="shared" si="204"/>
        <v>0.60353786622449279</v>
      </c>
    </row>
    <row r="5462" spans="1:11" x14ac:dyDescent="0.25">
      <c r="A5462" t="s">
        <v>4751</v>
      </c>
      <c r="C5462" t="s">
        <v>4752</v>
      </c>
      <c r="D5462" t="s">
        <v>5</v>
      </c>
      <c r="E5462" t="s">
        <v>6</v>
      </c>
      <c r="F5462" t="s">
        <v>724</v>
      </c>
      <c r="G5462">
        <v>1</v>
      </c>
      <c r="H5462" s="2">
        <f>Tabelle13[[#This Row],[commits]]/Tabelle13[[#Totals],[commits]]</f>
        <v>4.6477904404246225E-6</v>
      </c>
      <c r="I5462" s="5">
        <f>Tabelle13[[#This Row],[%]]+I5461</f>
        <v>0.98333767127103111</v>
      </c>
      <c r="J5462" s="4">
        <f t="shared" si="203"/>
        <v>1.105583195135434E-4</v>
      </c>
      <c r="K5462" s="5">
        <f t="shared" si="204"/>
        <v>0.60364842454400636</v>
      </c>
    </row>
    <row r="5463" spans="1:11" x14ac:dyDescent="0.25">
      <c r="A5463" t="s">
        <v>4753</v>
      </c>
      <c r="C5463" t="s">
        <v>4754</v>
      </c>
      <c r="D5463" t="s">
        <v>5</v>
      </c>
      <c r="E5463" t="s">
        <v>6</v>
      </c>
      <c r="F5463" t="s">
        <v>724</v>
      </c>
      <c r="G5463">
        <v>1</v>
      </c>
      <c r="H5463" s="2">
        <f>Tabelle13[[#This Row],[commits]]/Tabelle13[[#Totals],[commits]]</f>
        <v>4.6477904404246225E-6</v>
      </c>
      <c r="I5463" s="5">
        <f>Tabelle13[[#This Row],[%]]+I5462</f>
        <v>0.98334231906147151</v>
      </c>
      <c r="J5463" s="4">
        <f t="shared" si="203"/>
        <v>1.105583195135434E-4</v>
      </c>
      <c r="K5463" s="5">
        <f t="shared" si="204"/>
        <v>0.60375898286351992</v>
      </c>
    </row>
    <row r="5464" spans="1:11" x14ac:dyDescent="0.25">
      <c r="A5464" t="s">
        <v>4755</v>
      </c>
      <c r="C5464" t="s">
        <v>4756</v>
      </c>
      <c r="D5464" t="s">
        <v>5</v>
      </c>
      <c r="E5464" t="s">
        <v>6</v>
      </c>
      <c r="F5464" t="s">
        <v>724</v>
      </c>
      <c r="G5464">
        <v>1</v>
      </c>
      <c r="H5464" s="2">
        <f>Tabelle13[[#This Row],[commits]]/Tabelle13[[#Totals],[commits]]</f>
        <v>4.6477904404246225E-6</v>
      </c>
      <c r="I5464" s="5">
        <f>Tabelle13[[#This Row],[%]]+I5463</f>
        <v>0.98334696685191192</v>
      </c>
      <c r="J5464" s="4">
        <f t="shared" si="203"/>
        <v>1.105583195135434E-4</v>
      </c>
      <c r="K5464" s="5">
        <f t="shared" si="204"/>
        <v>0.60386954118303349</v>
      </c>
    </row>
    <row r="5465" spans="1:11" x14ac:dyDescent="0.25">
      <c r="A5465" t="s">
        <v>4757</v>
      </c>
      <c r="C5465" t="s">
        <v>4758</v>
      </c>
      <c r="D5465" t="s">
        <v>5</v>
      </c>
      <c r="E5465" t="s">
        <v>6</v>
      </c>
      <c r="F5465" t="s">
        <v>724</v>
      </c>
      <c r="G5465">
        <v>1</v>
      </c>
      <c r="H5465" s="2">
        <f>Tabelle13[[#This Row],[commits]]/Tabelle13[[#Totals],[commits]]</f>
        <v>4.6477904404246225E-6</v>
      </c>
      <c r="I5465" s="5">
        <f>Tabelle13[[#This Row],[%]]+I5464</f>
        <v>0.98335161464235232</v>
      </c>
      <c r="J5465" s="4">
        <f t="shared" si="203"/>
        <v>1.105583195135434E-4</v>
      </c>
      <c r="K5465" s="5">
        <f t="shared" si="204"/>
        <v>0.60398009950254705</v>
      </c>
    </row>
    <row r="5466" spans="1:11" x14ac:dyDescent="0.25">
      <c r="A5466" t="s">
        <v>4759</v>
      </c>
      <c r="C5466" t="s">
        <v>4760</v>
      </c>
      <c r="D5466" t="s">
        <v>5</v>
      </c>
      <c r="E5466" t="s">
        <v>6</v>
      </c>
      <c r="F5466" t="s">
        <v>724</v>
      </c>
      <c r="G5466">
        <v>1</v>
      </c>
      <c r="H5466" s="2">
        <f>Tabelle13[[#This Row],[commits]]/Tabelle13[[#Totals],[commits]]</f>
        <v>4.6477904404246225E-6</v>
      </c>
      <c r="I5466" s="5">
        <f>Tabelle13[[#This Row],[%]]+I5465</f>
        <v>0.98335626243279273</v>
      </c>
      <c r="J5466" s="4">
        <f t="shared" si="203"/>
        <v>1.105583195135434E-4</v>
      </c>
      <c r="K5466" s="5">
        <f t="shared" si="204"/>
        <v>0.60409065782206062</v>
      </c>
    </row>
    <row r="5467" spans="1:11" x14ac:dyDescent="0.25">
      <c r="A5467" t="s">
        <v>4761</v>
      </c>
      <c r="C5467" t="s">
        <v>4762</v>
      </c>
      <c r="D5467" t="s">
        <v>5</v>
      </c>
      <c r="E5467" t="s">
        <v>6</v>
      </c>
      <c r="F5467" t="s">
        <v>724</v>
      </c>
      <c r="G5467">
        <v>1</v>
      </c>
      <c r="H5467" s="2">
        <f>Tabelle13[[#This Row],[commits]]/Tabelle13[[#Totals],[commits]]</f>
        <v>4.6477904404246225E-6</v>
      </c>
      <c r="I5467" s="5">
        <f>Tabelle13[[#This Row],[%]]+I5466</f>
        <v>0.98336091022323313</v>
      </c>
      <c r="J5467" s="4">
        <f t="shared" si="203"/>
        <v>1.105583195135434E-4</v>
      </c>
      <c r="K5467" s="5">
        <f t="shared" si="204"/>
        <v>0.60420121614157418</v>
      </c>
    </row>
    <row r="5468" spans="1:11" x14ac:dyDescent="0.25">
      <c r="A5468" t="s">
        <v>4763</v>
      </c>
      <c r="C5468" t="s">
        <v>4764</v>
      </c>
      <c r="D5468" t="s">
        <v>5</v>
      </c>
      <c r="E5468" t="s">
        <v>6</v>
      </c>
      <c r="F5468" t="s">
        <v>724</v>
      </c>
      <c r="G5468">
        <v>1</v>
      </c>
      <c r="H5468" s="2">
        <f>Tabelle13[[#This Row],[commits]]/Tabelle13[[#Totals],[commits]]</f>
        <v>4.6477904404246225E-6</v>
      </c>
      <c r="I5468" s="5">
        <f>Tabelle13[[#This Row],[%]]+I5467</f>
        <v>0.98336555801367354</v>
      </c>
      <c r="J5468" s="4">
        <f t="shared" si="203"/>
        <v>1.105583195135434E-4</v>
      </c>
      <c r="K5468" s="5">
        <f t="shared" si="204"/>
        <v>0.60431177446108775</v>
      </c>
    </row>
    <row r="5469" spans="1:11" x14ac:dyDescent="0.25">
      <c r="A5469" t="s">
        <v>4765</v>
      </c>
      <c r="C5469" t="s">
        <v>4766</v>
      </c>
      <c r="D5469" t="s">
        <v>5</v>
      </c>
      <c r="E5469" t="s">
        <v>6</v>
      </c>
      <c r="F5469" t="s">
        <v>724</v>
      </c>
      <c r="G5469">
        <v>1</v>
      </c>
      <c r="H5469" s="2">
        <f>Tabelle13[[#This Row],[commits]]/Tabelle13[[#Totals],[commits]]</f>
        <v>4.6477904404246225E-6</v>
      </c>
      <c r="I5469" s="5">
        <f>Tabelle13[[#This Row],[%]]+I5468</f>
        <v>0.98337020580411394</v>
      </c>
      <c r="J5469" s="4">
        <f t="shared" si="203"/>
        <v>1.105583195135434E-4</v>
      </c>
      <c r="K5469" s="5">
        <f t="shared" si="204"/>
        <v>0.60442233278060131</v>
      </c>
    </row>
    <row r="5470" spans="1:11" x14ac:dyDescent="0.25">
      <c r="A5470" t="s">
        <v>4767</v>
      </c>
      <c r="C5470" t="s">
        <v>4768</v>
      </c>
      <c r="D5470" t="s">
        <v>5</v>
      </c>
      <c r="E5470" t="s">
        <v>6</v>
      </c>
      <c r="F5470" t="s">
        <v>724</v>
      </c>
      <c r="G5470">
        <v>1</v>
      </c>
      <c r="H5470" s="2">
        <f>Tabelle13[[#This Row],[commits]]/Tabelle13[[#Totals],[commits]]</f>
        <v>4.6477904404246225E-6</v>
      </c>
      <c r="I5470" s="5">
        <f>Tabelle13[[#This Row],[%]]+I5469</f>
        <v>0.98337485359455434</v>
      </c>
      <c r="J5470" s="4">
        <f t="shared" si="203"/>
        <v>1.105583195135434E-4</v>
      </c>
      <c r="K5470" s="5">
        <f t="shared" si="204"/>
        <v>0.60453289110011488</v>
      </c>
    </row>
    <row r="5471" spans="1:11" x14ac:dyDescent="0.25">
      <c r="A5471" t="s">
        <v>4769</v>
      </c>
      <c r="C5471" t="s">
        <v>4770</v>
      </c>
      <c r="D5471" t="s">
        <v>5</v>
      </c>
      <c r="E5471" t="s">
        <v>6</v>
      </c>
      <c r="F5471" t="s">
        <v>724</v>
      </c>
      <c r="G5471">
        <v>1</v>
      </c>
      <c r="H5471" s="2">
        <f>Tabelle13[[#This Row],[commits]]/Tabelle13[[#Totals],[commits]]</f>
        <v>4.6477904404246225E-6</v>
      </c>
      <c r="I5471" s="5">
        <f>Tabelle13[[#This Row],[%]]+I5470</f>
        <v>0.98337950138499475</v>
      </c>
      <c r="J5471" s="4">
        <f t="shared" si="203"/>
        <v>1.105583195135434E-4</v>
      </c>
      <c r="K5471" s="5">
        <f t="shared" si="204"/>
        <v>0.60464344941962844</v>
      </c>
    </row>
    <row r="5472" spans="1:11" x14ac:dyDescent="0.25">
      <c r="A5472" t="s">
        <v>4771</v>
      </c>
      <c r="C5472" t="s">
        <v>4772</v>
      </c>
      <c r="D5472" t="s">
        <v>5</v>
      </c>
      <c r="E5472" t="s">
        <v>6</v>
      </c>
      <c r="F5472" t="s">
        <v>724</v>
      </c>
      <c r="G5472">
        <v>1</v>
      </c>
      <c r="H5472" s="2">
        <f>Tabelle13[[#This Row],[commits]]/Tabelle13[[#Totals],[commits]]</f>
        <v>4.6477904404246225E-6</v>
      </c>
      <c r="I5472" s="5">
        <f>Tabelle13[[#This Row],[%]]+I5471</f>
        <v>0.98338414917543515</v>
      </c>
      <c r="J5472" s="4">
        <f t="shared" si="203"/>
        <v>1.105583195135434E-4</v>
      </c>
      <c r="K5472" s="5">
        <f t="shared" si="204"/>
        <v>0.60475400773914201</v>
      </c>
    </row>
    <row r="5473" spans="1:11" x14ac:dyDescent="0.25">
      <c r="A5473" t="s">
        <v>4773</v>
      </c>
      <c r="C5473" t="s">
        <v>4774</v>
      </c>
      <c r="D5473" t="s">
        <v>5</v>
      </c>
      <c r="E5473" t="s">
        <v>6</v>
      </c>
      <c r="F5473" t="s">
        <v>724</v>
      </c>
      <c r="G5473">
        <v>1</v>
      </c>
      <c r="H5473" s="2">
        <f>Tabelle13[[#This Row],[commits]]/Tabelle13[[#Totals],[commits]]</f>
        <v>4.6477904404246225E-6</v>
      </c>
      <c r="I5473" s="5">
        <f>Tabelle13[[#This Row],[%]]+I5472</f>
        <v>0.98338879696587556</v>
      </c>
      <c r="J5473" s="4">
        <f t="shared" si="203"/>
        <v>1.105583195135434E-4</v>
      </c>
      <c r="K5473" s="5">
        <f t="shared" si="204"/>
        <v>0.60486456605865557</v>
      </c>
    </row>
    <row r="5474" spans="1:11" x14ac:dyDescent="0.25">
      <c r="A5474" t="s">
        <v>4775</v>
      </c>
      <c r="C5474" t="s">
        <v>4776</v>
      </c>
      <c r="D5474" t="s">
        <v>5</v>
      </c>
      <c r="E5474" t="s">
        <v>6</v>
      </c>
      <c r="F5474" t="s">
        <v>724</v>
      </c>
      <c r="G5474">
        <v>1</v>
      </c>
      <c r="H5474" s="2">
        <f>Tabelle13[[#This Row],[commits]]/Tabelle13[[#Totals],[commits]]</f>
        <v>4.6477904404246225E-6</v>
      </c>
      <c r="I5474" s="5">
        <f>Tabelle13[[#This Row],[%]]+I5473</f>
        <v>0.98339344475631596</v>
      </c>
      <c r="J5474" s="4">
        <f t="shared" si="203"/>
        <v>1.105583195135434E-4</v>
      </c>
      <c r="K5474" s="5">
        <f t="shared" si="204"/>
        <v>0.60497512437816914</v>
      </c>
    </row>
    <row r="5475" spans="1:11" x14ac:dyDescent="0.25">
      <c r="A5475" t="s">
        <v>4777</v>
      </c>
      <c r="C5475" t="s">
        <v>4778</v>
      </c>
      <c r="D5475" t="s">
        <v>5</v>
      </c>
      <c r="E5475" t="s">
        <v>6</v>
      </c>
      <c r="F5475" t="s">
        <v>724</v>
      </c>
      <c r="G5475">
        <v>1</v>
      </c>
      <c r="H5475" s="2">
        <f>Tabelle13[[#This Row],[commits]]/Tabelle13[[#Totals],[commits]]</f>
        <v>4.6477904404246225E-6</v>
      </c>
      <c r="I5475" s="5">
        <f>Tabelle13[[#This Row],[%]]+I5474</f>
        <v>0.98339809254675636</v>
      </c>
      <c r="J5475" s="4">
        <f t="shared" si="203"/>
        <v>1.105583195135434E-4</v>
      </c>
      <c r="K5475" s="5">
        <f t="shared" si="204"/>
        <v>0.6050856826976827</v>
      </c>
    </row>
    <row r="5476" spans="1:11" x14ac:dyDescent="0.25">
      <c r="A5476" t="s">
        <v>4779</v>
      </c>
      <c r="C5476" t="s">
        <v>4780</v>
      </c>
      <c r="D5476" t="s">
        <v>5</v>
      </c>
      <c r="E5476" t="s">
        <v>6</v>
      </c>
      <c r="F5476" t="s">
        <v>724</v>
      </c>
      <c r="G5476">
        <v>1</v>
      </c>
      <c r="H5476" s="2">
        <f>Tabelle13[[#This Row],[commits]]/Tabelle13[[#Totals],[commits]]</f>
        <v>4.6477904404246225E-6</v>
      </c>
      <c r="I5476" s="5">
        <f>Tabelle13[[#This Row],[%]]+I5475</f>
        <v>0.98340274033719677</v>
      </c>
      <c r="J5476" s="4">
        <f t="shared" si="203"/>
        <v>1.105583195135434E-4</v>
      </c>
      <c r="K5476" s="5">
        <f t="shared" si="204"/>
        <v>0.60519624101719627</v>
      </c>
    </row>
    <row r="5477" spans="1:11" x14ac:dyDescent="0.25">
      <c r="A5477" t="s">
        <v>4781</v>
      </c>
      <c r="C5477" t="s">
        <v>4782</v>
      </c>
      <c r="D5477" t="s">
        <v>5</v>
      </c>
      <c r="E5477" t="s">
        <v>6</v>
      </c>
      <c r="F5477" t="s">
        <v>724</v>
      </c>
      <c r="G5477">
        <v>1</v>
      </c>
      <c r="H5477" s="2">
        <f>Tabelle13[[#This Row],[commits]]/Tabelle13[[#Totals],[commits]]</f>
        <v>4.6477904404246225E-6</v>
      </c>
      <c r="I5477" s="5">
        <f>Tabelle13[[#This Row],[%]]+I5476</f>
        <v>0.98340738812763717</v>
      </c>
      <c r="J5477" s="4">
        <f t="shared" si="203"/>
        <v>1.105583195135434E-4</v>
      </c>
      <c r="K5477" s="5">
        <f t="shared" si="204"/>
        <v>0.60530679933670983</v>
      </c>
    </row>
    <row r="5478" spans="1:11" x14ac:dyDescent="0.25">
      <c r="A5478" t="s">
        <v>4783</v>
      </c>
      <c r="C5478" t="s">
        <v>4784</v>
      </c>
      <c r="D5478" t="s">
        <v>5</v>
      </c>
      <c r="E5478" t="s">
        <v>6</v>
      </c>
      <c r="F5478" t="s">
        <v>724</v>
      </c>
      <c r="G5478">
        <v>1</v>
      </c>
      <c r="H5478" s="2">
        <f>Tabelle13[[#This Row],[commits]]/Tabelle13[[#Totals],[commits]]</f>
        <v>4.6477904404246225E-6</v>
      </c>
      <c r="I5478" s="5">
        <f>Tabelle13[[#This Row],[%]]+I5477</f>
        <v>0.98341203591807758</v>
      </c>
      <c r="J5478" s="4">
        <f t="shared" si="203"/>
        <v>1.105583195135434E-4</v>
      </c>
      <c r="K5478" s="5">
        <f t="shared" si="204"/>
        <v>0.6054173576562234</v>
      </c>
    </row>
    <row r="5479" spans="1:11" x14ac:dyDescent="0.25">
      <c r="A5479" t="s">
        <v>4785</v>
      </c>
      <c r="C5479" t="s">
        <v>4786</v>
      </c>
      <c r="D5479" t="s">
        <v>5</v>
      </c>
      <c r="E5479" t="s">
        <v>6</v>
      </c>
      <c r="F5479" t="s">
        <v>724</v>
      </c>
      <c r="G5479">
        <v>1</v>
      </c>
      <c r="H5479" s="2">
        <f>Tabelle13[[#This Row],[commits]]/Tabelle13[[#Totals],[commits]]</f>
        <v>4.6477904404246225E-6</v>
      </c>
      <c r="I5479" s="5">
        <f>Tabelle13[[#This Row],[%]]+I5478</f>
        <v>0.98341668370851798</v>
      </c>
      <c r="J5479" s="4">
        <f t="shared" si="203"/>
        <v>1.105583195135434E-4</v>
      </c>
      <c r="K5479" s="5">
        <f t="shared" si="204"/>
        <v>0.60552791597573696</v>
      </c>
    </row>
    <row r="5480" spans="1:11" x14ac:dyDescent="0.25">
      <c r="A5480" t="s">
        <v>4787</v>
      </c>
      <c r="C5480" t="s">
        <v>4788</v>
      </c>
      <c r="D5480" t="s">
        <v>5</v>
      </c>
      <c r="E5480" t="s">
        <v>6</v>
      </c>
      <c r="F5480" t="s">
        <v>724</v>
      </c>
      <c r="G5480">
        <v>1</v>
      </c>
      <c r="H5480" s="2">
        <f>Tabelle13[[#This Row],[commits]]/Tabelle13[[#Totals],[commits]]</f>
        <v>4.6477904404246225E-6</v>
      </c>
      <c r="I5480" s="5">
        <f>Tabelle13[[#This Row],[%]]+I5479</f>
        <v>0.98342133149895838</v>
      </c>
      <c r="J5480" s="4">
        <f t="shared" si="203"/>
        <v>1.105583195135434E-4</v>
      </c>
      <c r="K5480" s="5">
        <f t="shared" si="204"/>
        <v>0.60563847429525053</v>
      </c>
    </row>
    <row r="5481" spans="1:11" x14ac:dyDescent="0.25">
      <c r="A5481" t="s">
        <v>4789</v>
      </c>
      <c r="C5481" t="s">
        <v>4790</v>
      </c>
      <c r="D5481" t="s">
        <v>5</v>
      </c>
      <c r="E5481" t="s">
        <v>6</v>
      </c>
      <c r="F5481" t="s">
        <v>724</v>
      </c>
      <c r="G5481">
        <v>1</v>
      </c>
      <c r="H5481" s="2">
        <f>Tabelle13[[#This Row],[commits]]/Tabelle13[[#Totals],[commits]]</f>
        <v>4.6477904404246225E-6</v>
      </c>
      <c r="I5481" s="5">
        <f>Tabelle13[[#This Row],[%]]+I5480</f>
        <v>0.98342597928939879</v>
      </c>
      <c r="J5481" s="4">
        <f t="shared" si="203"/>
        <v>1.105583195135434E-4</v>
      </c>
      <c r="K5481" s="5">
        <f t="shared" si="204"/>
        <v>0.60574903261476409</v>
      </c>
    </row>
    <row r="5482" spans="1:11" x14ac:dyDescent="0.25">
      <c r="A5482" t="s">
        <v>4791</v>
      </c>
      <c r="C5482" t="s">
        <v>4792</v>
      </c>
      <c r="D5482" t="s">
        <v>5</v>
      </c>
      <c r="E5482" t="s">
        <v>6</v>
      </c>
      <c r="F5482" t="s">
        <v>724</v>
      </c>
      <c r="G5482">
        <v>1</v>
      </c>
      <c r="H5482" s="2">
        <f>Tabelle13[[#This Row],[commits]]/Tabelle13[[#Totals],[commits]]</f>
        <v>4.6477904404246225E-6</v>
      </c>
      <c r="I5482" s="5">
        <f>Tabelle13[[#This Row],[%]]+I5481</f>
        <v>0.98343062707983919</v>
      </c>
      <c r="J5482" s="4">
        <f t="shared" si="203"/>
        <v>1.105583195135434E-4</v>
      </c>
      <c r="K5482" s="5">
        <f t="shared" si="204"/>
        <v>0.60585959093427766</v>
      </c>
    </row>
    <row r="5483" spans="1:11" x14ac:dyDescent="0.25">
      <c r="A5483" t="s">
        <v>4793</v>
      </c>
      <c r="C5483" t="s">
        <v>4794</v>
      </c>
      <c r="D5483" t="s">
        <v>5</v>
      </c>
      <c r="E5483" t="s">
        <v>6</v>
      </c>
      <c r="F5483" t="s">
        <v>724</v>
      </c>
      <c r="G5483">
        <v>1</v>
      </c>
      <c r="H5483" s="2">
        <f>Tabelle13[[#This Row],[commits]]/Tabelle13[[#Totals],[commits]]</f>
        <v>4.6477904404246225E-6</v>
      </c>
      <c r="I5483" s="5">
        <f>Tabelle13[[#This Row],[%]]+I5482</f>
        <v>0.9834352748702796</v>
      </c>
      <c r="J5483" s="4">
        <f t="shared" si="203"/>
        <v>1.105583195135434E-4</v>
      </c>
      <c r="K5483" s="5">
        <f t="shared" si="204"/>
        <v>0.60597014925379122</v>
      </c>
    </row>
    <row r="5484" spans="1:11" x14ac:dyDescent="0.25">
      <c r="A5484" t="s">
        <v>4795</v>
      </c>
      <c r="C5484" t="s">
        <v>26</v>
      </c>
      <c r="D5484" t="s">
        <v>5</v>
      </c>
      <c r="E5484" t="s">
        <v>6</v>
      </c>
      <c r="F5484" t="s">
        <v>724</v>
      </c>
      <c r="G5484">
        <v>1</v>
      </c>
      <c r="H5484" s="2">
        <f>Tabelle13[[#This Row],[commits]]/Tabelle13[[#Totals],[commits]]</f>
        <v>4.6477904404246225E-6</v>
      </c>
      <c r="I5484" s="5">
        <f>Tabelle13[[#This Row],[%]]+I5483</f>
        <v>0.98343992266072</v>
      </c>
      <c r="J5484" s="4">
        <f t="shared" si="203"/>
        <v>1.105583195135434E-4</v>
      </c>
      <c r="K5484" s="5">
        <f t="shared" si="204"/>
        <v>0.60608070757330479</v>
      </c>
    </row>
    <row r="5485" spans="1:11" x14ac:dyDescent="0.25">
      <c r="A5485" t="s">
        <v>4796</v>
      </c>
      <c r="C5485" t="s">
        <v>4797</v>
      </c>
      <c r="D5485" t="s">
        <v>5</v>
      </c>
      <c r="E5485" t="s">
        <v>6</v>
      </c>
      <c r="F5485" t="s">
        <v>724</v>
      </c>
      <c r="G5485">
        <v>1</v>
      </c>
      <c r="H5485" s="2">
        <f>Tabelle13[[#This Row],[commits]]/Tabelle13[[#Totals],[commits]]</f>
        <v>4.6477904404246225E-6</v>
      </c>
      <c r="I5485" s="5">
        <f>Tabelle13[[#This Row],[%]]+I5484</f>
        <v>0.9834445704511604</v>
      </c>
      <c r="J5485" s="4">
        <f t="shared" si="203"/>
        <v>1.105583195135434E-4</v>
      </c>
      <c r="K5485" s="5">
        <f t="shared" si="204"/>
        <v>0.60619126589281835</v>
      </c>
    </row>
    <row r="5486" spans="1:11" x14ac:dyDescent="0.25">
      <c r="A5486" t="s">
        <v>4798</v>
      </c>
      <c r="C5486" t="s">
        <v>4799</v>
      </c>
      <c r="D5486" t="s">
        <v>5</v>
      </c>
      <c r="E5486" t="s">
        <v>6</v>
      </c>
      <c r="F5486" t="s">
        <v>724</v>
      </c>
      <c r="G5486">
        <v>1</v>
      </c>
      <c r="H5486" s="2">
        <f>Tabelle13[[#This Row],[commits]]/Tabelle13[[#Totals],[commits]]</f>
        <v>4.6477904404246225E-6</v>
      </c>
      <c r="I5486" s="5">
        <f>Tabelle13[[#This Row],[%]]+I5485</f>
        <v>0.98344921824160081</v>
      </c>
      <c r="J5486" s="4">
        <f t="shared" si="203"/>
        <v>1.105583195135434E-4</v>
      </c>
      <c r="K5486" s="5">
        <f t="shared" si="204"/>
        <v>0.60630182421233192</v>
      </c>
    </row>
    <row r="5487" spans="1:11" x14ac:dyDescent="0.25">
      <c r="A5487" t="s">
        <v>4800</v>
      </c>
      <c r="C5487" t="s">
        <v>4801</v>
      </c>
      <c r="D5487" t="s">
        <v>5</v>
      </c>
      <c r="E5487" t="s">
        <v>6</v>
      </c>
      <c r="F5487" t="s">
        <v>724</v>
      </c>
      <c r="G5487">
        <v>1</v>
      </c>
      <c r="H5487" s="2">
        <f>Tabelle13[[#This Row],[commits]]/Tabelle13[[#Totals],[commits]]</f>
        <v>4.6477904404246225E-6</v>
      </c>
      <c r="I5487" s="5">
        <f>Tabelle13[[#This Row],[%]]+I5486</f>
        <v>0.98345386603204121</v>
      </c>
      <c r="J5487" s="4">
        <f t="shared" si="203"/>
        <v>1.105583195135434E-4</v>
      </c>
      <c r="K5487" s="5">
        <f t="shared" si="204"/>
        <v>0.60641238253184548</v>
      </c>
    </row>
    <row r="5488" spans="1:11" x14ac:dyDescent="0.25">
      <c r="A5488" t="s">
        <v>4802</v>
      </c>
      <c r="C5488" t="s">
        <v>4803</v>
      </c>
      <c r="D5488" t="s">
        <v>5</v>
      </c>
      <c r="E5488" t="s">
        <v>6</v>
      </c>
      <c r="F5488" t="s">
        <v>724</v>
      </c>
      <c r="G5488">
        <v>1</v>
      </c>
      <c r="H5488" s="2">
        <f>Tabelle13[[#This Row],[commits]]/Tabelle13[[#Totals],[commits]]</f>
        <v>4.6477904404246225E-6</v>
      </c>
      <c r="I5488" s="5">
        <f>Tabelle13[[#This Row],[%]]+I5487</f>
        <v>0.98345851382248162</v>
      </c>
      <c r="J5488" s="4">
        <f t="shared" si="203"/>
        <v>1.105583195135434E-4</v>
      </c>
      <c r="K5488" s="5">
        <f t="shared" si="204"/>
        <v>0.60652294085135905</v>
      </c>
    </row>
    <row r="5489" spans="1:11" x14ac:dyDescent="0.25">
      <c r="A5489" t="s">
        <v>4804</v>
      </c>
      <c r="C5489" t="s">
        <v>4805</v>
      </c>
      <c r="D5489" t="s">
        <v>5</v>
      </c>
      <c r="E5489" t="s">
        <v>6</v>
      </c>
      <c r="F5489" t="s">
        <v>724</v>
      </c>
      <c r="G5489">
        <v>1</v>
      </c>
      <c r="H5489" s="2">
        <f>Tabelle13[[#This Row],[commits]]/Tabelle13[[#Totals],[commits]]</f>
        <v>4.6477904404246225E-6</v>
      </c>
      <c r="I5489" s="5">
        <f>Tabelle13[[#This Row],[%]]+I5488</f>
        <v>0.98346316161292202</v>
      </c>
      <c r="J5489" s="4">
        <f t="shared" si="203"/>
        <v>1.105583195135434E-4</v>
      </c>
      <c r="K5489" s="5">
        <f t="shared" si="204"/>
        <v>0.60663349917087261</v>
      </c>
    </row>
    <row r="5490" spans="1:11" x14ac:dyDescent="0.25">
      <c r="A5490" t="s">
        <v>4806</v>
      </c>
      <c r="C5490" t="s">
        <v>4807</v>
      </c>
      <c r="D5490" t="s">
        <v>5</v>
      </c>
      <c r="E5490" t="s">
        <v>6</v>
      </c>
      <c r="F5490" t="s">
        <v>724</v>
      </c>
      <c r="G5490">
        <v>1</v>
      </c>
      <c r="H5490" s="2">
        <f>Tabelle13[[#This Row],[commits]]/Tabelle13[[#Totals],[commits]]</f>
        <v>4.6477904404246225E-6</v>
      </c>
      <c r="I5490" s="5">
        <f>Tabelle13[[#This Row],[%]]+I5489</f>
        <v>0.98346780940336243</v>
      </c>
      <c r="J5490" s="4">
        <f t="shared" si="203"/>
        <v>1.105583195135434E-4</v>
      </c>
      <c r="K5490" s="5">
        <f t="shared" si="204"/>
        <v>0.60674405749038618</v>
      </c>
    </row>
    <row r="5491" spans="1:11" x14ac:dyDescent="0.25">
      <c r="A5491" t="s">
        <v>4808</v>
      </c>
      <c r="C5491" t="s">
        <v>4809</v>
      </c>
      <c r="D5491" t="s">
        <v>5</v>
      </c>
      <c r="E5491" t="s">
        <v>6</v>
      </c>
      <c r="F5491" t="s">
        <v>724</v>
      </c>
      <c r="G5491">
        <v>1</v>
      </c>
      <c r="H5491" s="2">
        <f>Tabelle13[[#This Row],[commits]]/Tabelle13[[#Totals],[commits]]</f>
        <v>4.6477904404246225E-6</v>
      </c>
      <c r="I5491" s="5">
        <f>Tabelle13[[#This Row],[%]]+I5490</f>
        <v>0.98347245719380283</v>
      </c>
      <c r="J5491" s="4">
        <f t="shared" si="203"/>
        <v>1.105583195135434E-4</v>
      </c>
      <c r="K5491" s="5">
        <f t="shared" si="204"/>
        <v>0.60685461580989974</v>
      </c>
    </row>
    <row r="5492" spans="1:11" x14ac:dyDescent="0.25">
      <c r="A5492" t="s">
        <v>4810</v>
      </c>
      <c r="C5492" t="s">
        <v>4811</v>
      </c>
      <c r="D5492" t="s">
        <v>5</v>
      </c>
      <c r="E5492" t="s">
        <v>6</v>
      </c>
      <c r="F5492" t="s">
        <v>724</v>
      </c>
      <c r="G5492">
        <v>1</v>
      </c>
      <c r="H5492" s="2">
        <f>Tabelle13[[#This Row],[commits]]/Tabelle13[[#Totals],[commits]]</f>
        <v>4.6477904404246225E-6</v>
      </c>
      <c r="I5492" s="5">
        <f>Tabelle13[[#This Row],[%]]+I5491</f>
        <v>0.98347710498424323</v>
      </c>
      <c r="J5492" s="4">
        <f t="shared" si="203"/>
        <v>1.105583195135434E-4</v>
      </c>
      <c r="K5492" s="5">
        <f t="shared" si="204"/>
        <v>0.60696517412941331</v>
      </c>
    </row>
    <row r="5493" spans="1:11" x14ac:dyDescent="0.25">
      <c r="A5493" t="s">
        <v>4812</v>
      </c>
      <c r="C5493" t="s">
        <v>4813</v>
      </c>
      <c r="D5493" t="s">
        <v>5</v>
      </c>
      <c r="E5493" t="s">
        <v>6</v>
      </c>
      <c r="F5493" t="s">
        <v>724</v>
      </c>
      <c r="G5493">
        <v>1</v>
      </c>
      <c r="H5493" s="2">
        <f>Tabelle13[[#This Row],[commits]]/Tabelle13[[#Totals],[commits]]</f>
        <v>4.6477904404246225E-6</v>
      </c>
      <c r="I5493" s="5">
        <f>Tabelle13[[#This Row],[%]]+I5492</f>
        <v>0.98348175277468364</v>
      </c>
      <c r="J5493" s="4">
        <f t="shared" si="203"/>
        <v>1.105583195135434E-4</v>
      </c>
      <c r="K5493" s="5">
        <f t="shared" si="204"/>
        <v>0.60707573244892687</v>
      </c>
    </row>
    <row r="5494" spans="1:11" x14ac:dyDescent="0.25">
      <c r="A5494" t="s">
        <v>4814</v>
      </c>
      <c r="C5494" t="s">
        <v>4815</v>
      </c>
      <c r="D5494" t="s">
        <v>5</v>
      </c>
      <c r="E5494" t="s">
        <v>6</v>
      </c>
      <c r="F5494" t="s">
        <v>724</v>
      </c>
      <c r="G5494">
        <v>1</v>
      </c>
      <c r="H5494" s="2">
        <f>Tabelle13[[#This Row],[commits]]/Tabelle13[[#Totals],[commits]]</f>
        <v>4.6477904404246225E-6</v>
      </c>
      <c r="I5494" s="5">
        <f>Tabelle13[[#This Row],[%]]+I5493</f>
        <v>0.98348640056512404</v>
      </c>
      <c r="J5494" s="4">
        <f t="shared" si="203"/>
        <v>1.105583195135434E-4</v>
      </c>
      <c r="K5494" s="5">
        <f t="shared" si="204"/>
        <v>0.60718629076844044</v>
      </c>
    </row>
    <row r="5495" spans="1:11" x14ac:dyDescent="0.25">
      <c r="A5495" t="s">
        <v>4816</v>
      </c>
      <c r="C5495" t="s">
        <v>4817</v>
      </c>
      <c r="D5495" t="s">
        <v>5</v>
      </c>
      <c r="E5495" t="s">
        <v>6</v>
      </c>
      <c r="F5495" t="s">
        <v>724</v>
      </c>
      <c r="G5495">
        <v>1</v>
      </c>
      <c r="H5495" s="2">
        <f>Tabelle13[[#This Row],[commits]]/Tabelle13[[#Totals],[commits]]</f>
        <v>4.6477904404246225E-6</v>
      </c>
      <c r="I5495" s="5">
        <f>Tabelle13[[#This Row],[%]]+I5494</f>
        <v>0.98349104835556445</v>
      </c>
      <c r="J5495" s="4">
        <f t="shared" si="203"/>
        <v>1.105583195135434E-4</v>
      </c>
      <c r="K5495" s="5">
        <f t="shared" si="204"/>
        <v>0.607296849087954</v>
      </c>
    </row>
    <row r="5496" spans="1:11" x14ac:dyDescent="0.25">
      <c r="A5496" t="s">
        <v>4818</v>
      </c>
      <c r="C5496" t="s">
        <v>4819</v>
      </c>
      <c r="D5496" t="s">
        <v>5</v>
      </c>
      <c r="E5496" t="s">
        <v>6</v>
      </c>
      <c r="F5496" t="s">
        <v>724</v>
      </c>
      <c r="G5496">
        <v>1</v>
      </c>
      <c r="H5496" s="2">
        <f>Tabelle13[[#This Row],[commits]]/Tabelle13[[#Totals],[commits]]</f>
        <v>4.6477904404246225E-6</v>
      </c>
      <c r="I5496" s="5">
        <f>Tabelle13[[#This Row],[%]]+I5495</f>
        <v>0.98349569614600485</v>
      </c>
      <c r="J5496" s="4">
        <f t="shared" si="203"/>
        <v>1.105583195135434E-4</v>
      </c>
      <c r="K5496" s="5">
        <f t="shared" si="204"/>
        <v>0.60740740740746757</v>
      </c>
    </row>
    <row r="5497" spans="1:11" x14ac:dyDescent="0.25">
      <c r="A5497" t="s">
        <v>4820</v>
      </c>
      <c r="C5497" t="s">
        <v>4821</v>
      </c>
      <c r="D5497" t="s">
        <v>5</v>
      </c>
      <c r="E5497" t="s">
        <v>6</v>
      </c>
      <c r="F5497" t="s">
        <v>724</v>
      </c>
      <c r="G5497">
        <v>1</v>
      </c>
      <c r="H5497" s="2">
        <f>Tabelle13[[#This Row],[commits]]/Tabelle13[[#Totals],[commits]]</f>
        <v>4.6477904404246225E-6</v>
      </c>
      <c r="I5497" s="5">
        <f>Tabelle13[[#This Row],[%]]+I5496</f>
        <v>0.98350034393644525</v>
      </c>
      <c r="J5497" s="4">
        <f t="shared" si="203"/>
        <v>1.105583195135434E-4</v>
      </c>
      <c r="K5497" s="5">
        <f t="shared" si="204"/>
        <v>0.60751796572698114</v>
      </c>
    </row>
    <row r="5498" spans="1:11" x14ac:dyDescent="0.25">
      <c r="A5498" t="s">
        <v>4822</v>
      </c>
      <c r="C5498" t="s">
        <v>4823</v>
      </c>
      <c r="D5498" t="s">
        <v>5</v>
      </c>
      <c r="E5498" t="s">
        <v>6</v>
      </c>
      <c r="F5498" t="s">
        <v>724</v>
      </c>
      <c r="G5498">
        <v>1</v>
      </c>
      <c r="H5498" s="2">
        <f>Tabelle13[[#This Row],[commits]]/Tabelle13[[#Totals],[commits]]</f>
        <v>4.6477904404246225E-6</v>
      </c>
      <c r="I5498" s="5">
        <f>Tabelle13[[#This Row],[%]]+I5497</f>
        <v>0.98350499172688566</v>
      </c>
      <c r="J5498" s="4">
        <f t="shared" si="203"/>
        <v>1.105583195135434E-4</v>
      </c>
      <c r="K5498" s="5">
        <f t="shared" si="204"/>
        <v>0.6076285240464947</v>
      </c>
    </row>
    <row r="5499" spans="1:11" x14ac:dyDescent="0.25">
      <c r="A5499" t="s">
        <v>4824</v>
      </c>
      <c r="C5499" t="s">
        <v>4825</v>
      </c>
      <c r="D5499" t="s">
        <v>5</v>
      </c>
      <c r="E5499" t="s">
        <v>6</v>
      </c>
      <c r="F5499" t="s">
        <v>251</v>
      </c>
      <c r="G5499">
        <v>1</v>
      </c>
      <c r="H5499" s="2">
        <f>Tabelle13[[#This Row],[commits]]/Tabelle13[[#Totals],[commits]]</f>
        <v>4.6477904404246225E-6</v>
      </c>
      <c r="I5499" s="5">
        <f>Tabelle13[[#This Row],[%]]+I5498</f>
        <v>0.98350963951732606</v>
      </c>
      <c r="J5499" s="4">
        <f t="shared" si="203"/>
        <v>1.105583195135434E-4</v>
      </c>
      <c r="K5499" s="5">
        <f t="shared" si="204"/>
        <v>0.60773908236600827</v>
      </c>
    </row>
    <row r="5500" spans="1:11" x14ac:dyDescent="0.25">
      <c r="A5500" t="s">
        <v>4826</v>
      </c>
      <c r="C5500" t="s">
        <v>4827</v>
      </c>
      <c r="D5500" t="s">
        <v>5</v>
      </c>
      <c r="E5500" t="s">
        <v>6</v>
      </c>
      <c r="F5500" t="s">
        <v>724</v>
      </c>
      <c r="G5500">
        <v>1</v>
      </c>
      <c r="H5500" s="2">
        <f>Tabelle13[[#This Row],[commits]]/Tabelle13[[#Totals],[commits]]</f>
        <v>4.6477904404246225E-6</v>
      </c>
      <c r="I5500" s="5">
        <f>Tabelle13[[#This Row],[%]]+I5499</f>
        <v>0.98351428730776647</v>
      </c>
      <c r="J5500" s="4">
        <f t="shared" si="203"/>
        <v>1.105583195135434E-4</v>
      </c>
      <c r="K5500" s="5">
        <f t="shared" si="204"/>
        <v>0.60784964068552183</v>
      </c>
    </row>
    <row r="5501" spans="1:11" x14ac:dyDescent="0.25">
      <c r="A5501" t="s">
        <v>4828</v>
      </c>
      <c r="C5501" t="s">
        <v>4829</v>
      </c>
      <c r="D5501" t="s">
        <v>5</v>
      </c>
      <c r="E5501" t="s">
        <v>6</v>
      </c>
      <c r="F5501" t="s">
        <v>724</v>
      </c>
      <c r="G5501">
        <v>1</v>
      </c>
      <c r="H5501" s="2">
        <f>Tabelle13[[#This Row],[commits]]/Tabelle13[[#Totals],[commits]]</f>
        <v>4.6477904404246225E-6</v>
      </c>
      <c r="I5501" s="5">
        <f>Tabelle13[[#This Row],[%]]+I5500</f>
        <v>0.98351893509820687</v>
      </c>
      <c r="J5501" s="4">
        <f t="shared" si="203"/>
        <v>1.105583195135434E-4</v>
      </c>
      <c r="K5501" s="5">
        <f t="shared" si="204"/>
        <v>0.6079601990050354</v>
      </c>
    </row>
    <row r="5502" spans="1:11" x14ac:dyDescent="0.25">
      <c r="A5502" t="s">
        <v>4830</v>
      </c>
      <c r="C5502" t="s">
        <v>4831</v>
      </c>
      <c r="D5502" t="s">
        <v>5</v>
      </c>
      <c r="E5502" t="s">
        <v>6</v>
      </c>
      <c r="F5502" t="s">
        <v>724</v>
      </c>
      <c r="G5502">
        <v>1</v>
      </c>
      <c r="H5502" s="2">
        <f>Tabelle13[[#This Row],[commits]]/Tabelle13[[#Totals],[commits]]</f>
        <v>4.6477904404246225E-6</v>
      </c>
      <c r="I5502" s="5">
        <f>Tabelle13[[#This Row],[%]]+I5501</f>
        <v>0.98352358288864727</v>
      </c>
      <c r="J5502" s="4">
        <f t="shared" si="203"/>
        <v>1.105583195135434E-4</v>
      </c>
      <c r="K5502" s="5">
        <f t="shared" si="204"/>
        <v>0.60807075732454896</v>
      </c>
    </row>
    <row r="5503" spans="1:11" x14ac:dyDescent="0.25">
      <c r="A5503" t="s">
        <v>4832</v>
      </c>
      <c r="C5503" t="s">
        <v>4833</v>
      </c>
      <c r="D5503" t="s">
        <v>5</v>
      </c>
      <c r="E5503" t="s">
        <v>6</v>
      </c>
      <c r="F5503" t="s">
        <v>724</v>
      </c>
      <c r="G5503">
        <v>1</v>
      </c>
      <c r="H5503" s="2">
        <f>Tabelle13[[#This Row],[commits]]/Tabelle13[[#Totals],[commits]]</f>
        <v>4.6477904404246225E-6</v>
      </c>
      <c r="I5503" s="5">
        <f>Tabelle13[[#This Row],[%]]+I5502</f>
        <v>0.98352823067908768</v>
      </c>
      <c r="J5503" s="4">
        <f t="shared" si="203"/>
        <v>1.105583195135434E-4</v>
      </c>
      <c r="K5503" s="5">
        <f t="shared" si="204"/>
        <v>0.60818131564406253</v>
      </c>
    </row>
    <row r="5504" spans="1:11" x14ac:dyDescent="0.25">
      <c r="A5504" t="s">
        <v>4834</v>
      </c>
      <c r="C5504" t="s">
        <v>4835</v>
      </c>
      <c r="D5504" t="s">
        <v>5</v>
      </c>
      <c r="E5504" t="s">
        <v>6</v>
      </c>
      <c r="F5504" t="s">
        <v>724</v>
      </c>
      <c r="G5504">
        <v>1</v>
      </c>
      <c r="H5504" s="2">
        <f>Tabelle13[[#This Row],[commits]]/Tabelle13[[#Totals],[commits]]</f>
        <v>4.6477904404246225E-6</v>
      </c>
      <c r="I5504" s="5">
        <f>Tabelle13[[#This Row],[%]]+I5503</f>
        <v>0.98353287846952808</v>
      </c>
      <c r="J5504" s="4">
        <f t="shared" si="203"/>
        <v>1.105583195135434E-4</v>
      </c>
      <c r="K5504" s="5">
        <f t="shared" si="204"/>
        <v>0.60829187396357609</v>
      </c>
    </row>
    <row r="5505" spans="1:11" x14ac:dyDescent="0.25">
      <c r="A5505" t="s">
        <v>4836</v>
      </c>
      <c r="C5505" t="s">
        <v>4837</v>
      </c>
      <c r="D5505" t="s">
        <v>5</v>
      </c>
      <c r="E5505" t="s">
        <v>6</v>
      </c>
      <c r="F5505" t="s">
        <v>724</v>
      </c>
      <c r="G5505">
        <v>1</v>
      </c>
      <c r="H5505" s="2">
        <f>Tabelle13[[#This Row],[commits]]/Tabelle13[[#Totals],[commits]]</f>
        <v>4.6477904404246225E-6</v>
      </c>
      <c r="I5505" s="5">
        <f>Tabelle13[[#This Row],[%]]+I5504</f>
        <v>0.98353752625996849</v>
      </c>
      <c r="J5505" s="4">
        <f t="shared" si="203"/>
        <v>1.105583195135434E-4</v>
      </c>
      <c r="K5505" s="5">
        <f t="shared" si="204"/>
        <v>0.60840243228308966</v>
      </c>
    </row>
    <row r="5506" spans="1:11" x14ac:dyDescent="0.25">
      <c r="A5506" t="s">
        <v>4838</v>
      </c>
      <c r="C5506" t="s">
        <v>4839</v>
      </c>
      <c r="D5506" t="s">
        <v>5</v>
      </c>
      <c r="E5506" t="s">
        <v>6</v>
      </c>
      <c r="F5506" t="s">
        <v>724</v>
      </c>
      <c r="G5506">
        <v>1</v>
      </c>
      <c r="H5506" s="2">
        <f>Tabelle13[[#This Row],[commits]]/Tabelle13[[#Totals],[commits]]</f>
        <v>4.6477904404246225E-6</v>
      </c>
      <c r="I5506" s="5">
        <f>Tabelle13[[#This Row],[%]]+I5505</f>
        <v>0.98354217405040889</v>
      </c>
      <c r="J5506" s="4">
        <f t="shared" si="203"/>
        <v>1.105583195135434E-4</v>
      </c>
      <c r="K5506" s="5">
        <f t="shared" si="204"/>
        <v>0.60851299060260322</v>
      </c>
    </row>
    <row r="5507" spans="1:11" x14ac:dyDescent="0.25">
      <c r="A5507" t="s">
        <v>4840</v>
      </c>
      <c r="C5507" t="s">
        <v>4841</v>
      </c>
      <c r="D5507" t="s">
        <v>5</v>
      </c>
      <c r="E5507" t="s">
        <v>6</v>
      </c>
      <c r="F5507" t="s">
        <v>724</v>
      </c>
      <c r="G5507">
        <v>1</v>
      </c>
      <c r="H5507" s="2">
        <f>Tabelle13[[#This Row],[commits]]/Tabelle13[[#Totals],[commits]]</f>
        <v>4.6477904404246225E-6</v>
      </c>
      <c r="I5507" s="5">
        <f>Tabelle13[[#This Row],[%]]+I5506</f>
        <v>0.98354682184084929</v>
      </c>
      <c r="J5507" s="4">
        <f t="shared" ref="J5507:J5570" si="205">1/9045</f>
        <v>1.105583195135434E-4</v>
      </c>
      <c r="K5507" s="5">
        <f t="shared" si="204"/>
        <v>0.60862354892211679</v>
      </c>
    </row>
    <row r="5508" spans="1:11" x14ac:dyDescent="0.25">
      <c r="A5508" t="s">
        <v>4842</v>
      </c>
      <c r="C5508" t="s">
        <v>4843</v>
      </c>
      <c r="D5508" t="s">
        <v>5</v>
      </c>
      <c r="E5508" t="s">
        <v>6</v>
      </c>
      <c r="F5508" t="s">
        <v>724</v>
      </c>
      <c r="G5508">
        <v>1</v>
      </c>
      <c r="H5508" s="2">
        <f>Tabelle13[[#This Row],[commits]]/Tabelle13[[#Totals],[commits]]</f>
        <v>4.6477904404246225E-6</v>
      </c>
      <c r="I5508" s="5">
        <f>Tabelle13[[#This Row],[%]]+I5507</f>
        <v>0.9835514696312897</v>
      </c>
      <c r="J5508" s="4">
        <f t="shared" si="205"/>
        <v>1.105583195135434E-4</v>
      </c>
      <c r="K5508" s="5">
        <f t="shared" si="204"/>
        <v>0.60873410724163035</v>
      </c>
    </row>
    <row r="5509" spans="1:11" x14ac:dyDescent="0.25">
      <c r="A5509" t="s">
        <v>4844</v>
      </c>
      <c r="C5509" t="s">
        <v>4845</v>
      </c>
      <c r="D5509" t="s">
        <v>5</v>
      </c>
      <c r="E5509" t="s">
        <v>6</v>
      </c>
      <c r="F5509" t="s">
        <v>724</v>
      </c>
      <c r="G5509">
        <v>1</v>
      </c>
      <c r="H5509" s="2">
        <f>Tabelle13[[#This Row],[commits]]/Tabelle13[[#Totals],[commits]]</f>
        <v>4.6477904404246225E-6</v>
      </c>
      <c r="I5509" s="5">
        <f>Tabelle13[[#This Row],[%]]+I5508</f>
        <v>0.9835561174217301</v>
      </c>
      <c r="J5509" s="4">
        <f t="shared" si="205"/>
        <v>1.105583195135434E-4</v>
      </c>
      <c r="K5509" s="5">
        <f t="shared" si="204"/>
        <v>0.60884466556114392</v>
      </c>
    </row>
    <row r="5510" spans="1:11" x14ac:dyDescent="0.25">
      <c r="A5510" t="s">
        <v>4846</v>
      </c>
      <c r="C5510" t="s">
        <v>4847</v>
      </c>
      <c r="D5510" t="s">
        <v>5</v>
      </c>
      <c r="E5510" t="s">
        <v>6</v>
      </c>
      <c r="F5510" t="s">
        <v>724</v>
      </c>
      <c r="G5510">
        <v>1</v>
      </c>
      <c r="H5510" s="2">
        <f>Tabelle13[[#This Row],[commits]]/Tabelle13[[#Totals],[commits]]</f>
        <v>4.6477904404246225E-6</v>
      </c>
      <c r="I5510" s="5">
        <f>Tabelle13[[#This Row],[%]]+I5509</f>
        <v>0.98356076521217051</v>
      </c>
      <c r="J5510" s="4">
        <f t="shared" si="205"/>
        <v>1.105583195135434E-4</v>
      </c>
      <c r="K5510" s="5">
        <f t="shared" ref="K5510:K5573" si="206">J5510+K5509</f>
        <v>0.60895522388065748</v>
      </c>
    </row>
    <row r="5511" spans="1:11" x14ac:dyDescent="0.25">
      <c r="A5511" t="s">
        <v>4848</v>
      </c>
      <c r="C5511" t="s">
        <v>4849</v>
      </c>
      <c r="D5511" t="s">
        <v>5</v>
      </c>
      <c r="E5511" t="s">
        <v>6</v>
      </c>
      <c r="F5511" t="s">
        <v>724</v>
      </c>
      <c r="G5511">
        <v>1</v>
      </c>
      <c r="H5511" s="2">
        <f>Tabelle13[[#This Row],[commits]]/Tabelle13[[#Totals],[commits]]</f>
        <v>4.6477904404246225E-6</v>
      </c>
      <c r="I5511" s="5">
        <f>Tabelle13[[#This Row],[%]]+I5510</f>
        <v>0.98356541300261091</v>
      </c>
      <c r="J5511" s="4">
        <f t="shared" si="205"/>
        <v>1.105583195135434E-4</v>
      </c>
      <c r="K5511" s="5">
        <f t="shared" si="206"/>
        <v>0.60906578220017105</v>
      </c>
    </row>
    <row r="5512" spans="1:11" x14ac:dyDescent="0.25">
      <c r="A5512" t="s">
        <v>4850</v>
      </c>
      <c r="C5512" t="s">
        <v>1346</v>
      </c>
      <c r="D5512" t="s">
        <v>5</v>
      </c>
      <c r="E5512" t="s">
        <v>6</v>
      </c>
      <c r="F5512" t="s">
        <v>724</v>
      </c>
      <c r="G5512">
        <v>1</v>
      </c>
      <c r="H5512" s="2">
        <f>Tabelle13[[#This Row],[commits]]/Tabelle13[[#Totals],[commits]]</f>
        <v>4.6477904404246225E-6</v>
      </c>
      <c r="I5512" s="5">
        <f>Tabelle13[[#This Row],[%]]+I5511</f>
        <v>0.98357006079305132</v>
      </c>
      <c r="J5512" s="4">
        <f t="shared" si="205"/>
        <v>1.105583195135434E-4</v>
      </c>
      <c r="K5512" s="5">
        <f t="shared" si="206"/>
        <v>0.60917634051968461</v>
      </c>
    </row>
    <row r="5513" spans="1:11" x14ac:dyDescent="0.25">
      <c r="A5513" t="s">
        <v>4851</v>
      </c>
      <c r="C5513" t="s">
        <v>4852</v>
      </c>
      <c r="D5513" t="s">
        <v>5</v>
      </c>
      <c r="E5513" t="s">
        <v>6</v>
      </c>
      <c r="F5513" t="s">
        <v>724</v>
      </c>
      <c r="G5513">
        <v>1</v>
      </c>
      <c r="H5513" s="2">
        <f>Tabelle13[[#This Row],[commits]]/Tabelle13[[#Totals],[commits]]</f>
        <v>4.6477904404246225E-6</v>
      </c>
      <c r="I5513" s="5">
        <f>Tabelle13[[#This Row],[%]]+I5512</f>
        <v>0.98357470858349172</v>
      </c>
      <c r="J5513" s="4">
        <f t="shared" si="205"/>
        <v>1.105583195135434E-4</v>
      </c>
      <c r="K5513" s="5">
        <f t="shared" si="206"/>
        <v>0.60928689883919818</v>
      </c>
    </row>
    <row r="5514" spans="1:11" x14ac:dyDescent="0.25">
      <c r="A5514" t="s">
        <v>4853</v>
      </c>
      <c r="C5514" t="s">
        <v>4854</v>
      </c>
      <c r="D5514" t="s">
        <v>5</v>
      </c>
      <c r="E5514" t="s">
        <v>6</v>
      </c>
      <c r="F5514" t="s">
        <v>724</v>
      </c>
      <c r="G5514">
        <v>1</v>
      </c>
      <c r="H5514" s="2">
        <f>Tabelle13[[#This Row],[commits]]/Tabelle13[[#Totals],[commits]]</f>
        <v>4.6477904404246225E-6</v>
      </c>
      <c r="I5514" s="5">
        <f>Tabelle13[[#This Row],[%]]+I5513</f>
        <v>0.98357935637393212</v>
      </c>
      <c r="J5514" s="4">
        <f t="shared" si="205"/>
        <v>1.105583195135434E-4</v>
      </c>
      <c r="K5514" s="5">
        <f t="shared" si="206"/>
        <v>0.60939745715871174</v>
      </c>
    </row>
    <row r="5515" spans="1:11" x14ac:dyDescent="0.25">
      <c r="A5515" t="s">
        <v>4855</v>
      </c>
      <c r="C5515" t="s">
        <v>4856</v>
      </c>
      <c r="D5515" t="s">
        <v>5</v>
      </c>
      <c r="E5515" t="s">
        <v>6</v>
      </c>
      <c r="F5515" t="s">
        <v>724</v>
      </c>
      <c r="G5515">
        <v>1</v>
      </c>
      <c r="H5515" s="2">
        <f>Tabelle13[[#This Row],[commits]]/Tabelle13[[#Totals],[commits]]</f>
        <v>4.6477904404246225E-6</v>
      </c>
      <c r="I5515" s="5">
        <f>Tabelle13[[#This Row],[%]]+I5514</f>
        <v>0.98358400416437253</v>
      </c>
      <c r="J5515" s="4">
        <f t="shared" si="205"/>
        <v>1.105583195135434E-4</v>
      </c>
      <c r="K5515" s="5">
        <f t="shared" si="206"/>
        <v>0.60950801547822531</v>
      </c>
    </row>
    <row r="5516" spans="1:11" x14ac:dyDescent="0.25">
      <c r="A5516" t="s">
        <v>4857</v>
      </c>
      <c r="C5516" t="s">
        <v>4858</v>
      </c>
      <c r="D5516" t="s">
        <v>5</v>
      </c>
      <c r="E5516" t="s">
        <v>6</v>
      </c>
      <c r="F5516" t="s">
        <v>724</v>
      </c>
      <c r="G5516">
        <v>1</v>
      </c>
      <c r="H5516" s="2">
        <f>Tabelle13[[#This Row],[commits]]/Tabelle13[[#Totals],[commits]]</f>
        <v>4.6477904404246225E-6</v>
      </c>
      <c r="I5516" s="5">
        <f>Tabelle13[[#This Row],[%]]+I5515</f>
        <v>0.98358865195481293</v>
      </c>
      <c r="J5516" s="4">
        <f t="shared" si="205"/>
        <v>1.105583195135434E-4</v>
      </c>
      <c r="K5516" s="5">
        <f t="shared" si="206"/>
        <v>0.60961857379773887</v>
      </c>
    </row>
    <row r="5517" spans="1:11" x14ac:dyDescent="0.25">
      <c r="A5517" t="s">
        <v>4859</v>
      </c>
      <c r="C5517" t="s">
        <v>4860</v>
      </c>
      <c r="D5517" t="s">
        <v>5</v>
      </c>
      <c r="E5517" t="s">
        <v>6</v>
      </c>
      <c r="F5517" t="s">
        <v>724</v>
      </c>
      <c r="G5517">
        <v>1</v>
      </c>
      <c r="H5517" s="2">
        <f>Tabelle13[[#This Row],[commits]]/Tabelle13[[#Totals],[commits]]</f>
        <v>4.6477904404246225E-6</v>
      </c>
      <c r="I5517" s="5">
        <f>Tabelle13[[#This Row],[%]]+I5516</f>
        <v>0.98359329974525334</v>
      </c>
      <c r="J5517" s="4">
        <f t="shared" si="205"/>
        <v>1.105583195135434E-4</v>
      </c>
      <c r="K5517" s="5">
        <f t="shared" si="206"/>
        <v>0.60972913211725244</v>
      </c>
    </row>
    <row r="5518" spans="1:11" x14ac:dyDescent="0.25">
      <c r="A5518" t="s">
        <v>4861</v>
      </c>
      <c r="C5518" t="s">
        <v>4862</v>
      </c>
      <c r="D5518" t="s">
        <v>5</v>
      </c>
      <c r="E5518" t="s">
        <v>6</v>
      </c>
      <c r="F5518" t="s">
        <v>724</v>
      </c>
      <c r="G5518">
        <v>1</v>
      </c>
      <c r="H5518" s="2">
        <f>Tabelle13[[#This Row],[commits]]/Tabelle13[[#Totals],[commits]]</f>
        <v>4.6477904404246225E-6</v>
      </c>
      <c r="I5518" s="5">
        <f>Tabelle13[[#This Row],[%]]+I5517</f>
        <v>0.98359794753569374</v>
      </c>
      <c r="J5518" s="4">
        <f t="shared" si="205"/>
        <v>1.105583195135434E-4</v>
      </c>
      <c r="K5518" s="5">
        <f t="shared" si="206"/>
        <v>0.609839690436766</v>
      </c>
    </row>
    <row r="5519" spans="1:11" x14ac:dyDescent="0.25">
      <c r="A5519" t="s">
        <v>4863</v>
      </c>
      <c r="C5519" t="s">
        <v>4864</v>
      </c>
      <c r="D5519" t="s">
        <v>5</v>
      </c>
      <c r="E5519" t="s">
        <v>6</v>
      </c>
      <c r="F5519" t="s">
        <v>724</v>
      </c>
      <c r="G5519">
        <v>1</v>
      </c>
      <c r="H5519" s="2">
        <f>Tabelle13[[#This Row],[commits]]/Tabelle13[[#Totals],[commits]]</f>
        <v>4.6477904404246225E-6</v>
      </c>
      <c r="I5519" s="5">
        <f>Tabelle13[[#This Row],[%]]+I5518</f>
        <v>0.98360259532613414</v>
      </c>
      <c r="J5519" s="4">
        <f t="shared" si="205"/>
        <v>1.105583195135434E-4</v>
      </c>
      <c r="K5519" s="5">
        <f t="shared" si="206"/>
        <v>0.60995024875627957</v>
      </c>
    </row>
    <row r="5520" spans="1:11" x14ac:dyDescent="0.25">
      <c r="A5520" t="s">
        <v>4865</v>
      </c>
      <c r="C5520" t="s">
        <v>4866</v>
      </c>
      <c r="D5520" t="s">
        <v>5</v>
      </c>
      <c r="E5520" t="s">
        <v>6</v>
      </c>
      <c r="F5520" t="s">
        <v>724</v>
      </c>
      <c r="G5520">
        <v>1</v>
      </c>
      <c r="H5520" s="2">
        <f>Tabelle13[[#This Row],[commits]]/Tabelle13[[#Totals],[commits]]</f>
        <v>4.6477904404246225E-6</v>
      </c>
      <c r="I5520" s="5">
        <f>Tabelle13[[#This Row],[%]]+I5519</f>
        <v>0.98360724311657455</v>
      </c>
      <c r="J5520" s="4">
        <f t="shared" si="205"/>
        <v>1.105583195135434E-4</v>
      </c>
      <c r="K5520" s="5">
        <f t="shared" si="206"/>
        <v>0.61006080707579313</v>
      </c>
    </row>
    <row r="5521" spans="1:11" x14ac:dyDescent="0.25">
      <c r="A5521" t="s">
        <v>4867</v>
      </c>
      <c r="C5521" t="s">
        <v>4868</v>
      </c>
      <c r="D5521" t="s">
        <v>5</v>
      </c>
      <c r="E5521" t="s">
        <v>6</v>
      </c>
      <c r="F5521" t="s">
        <v>724</v>
      </c>
      <c r="G5521">
        <v>1</v>
      </c>
      <c r="H5521" s="2">
        <f>Tabelle13[[#This Row],[commits]]/Tabelle13[[#Totals],[commits]]</f>
        <v>4.6477904404246225E-6</v>
      </c>
      <c r="I5521" s="5">
        <f>Tabelle13[[#This Row],[%]]+I5520</f>
        <v>0.98361189090701495</v>
      </c>
      <c r="J5521" s="4">
        <f t="shared" si="205"/>
        <v>1.105583195135434E-4</v>
      </c>
      <c r="K5521" s="5">
        <f t="shared" si="206"/>
        <v>0.6101713653953067</v>
      </c>
    </row>
    <row r="5522" spans="1:11" x14ac:dyDescent="0.25">
      <c r="A5522" t="s">
        <v>4869</v>
      </c>
      <c r="C5522" t="s">
        <v>4870</v>
      </c>
      <c r="D5522" t="s">
        <v>5</v>
      </c>
      <c r="E5522" t="s">
        <v>6</v>
      </c>
      <c r="F5522" t="s">
        <v>724</v>
      </c>
      <c r="G5522">
        <v>1</v>
      </c>
      <c r="H5522" s="2">
        <f>Tabelle13[[#This Row],[commits]]/Tabelle13[[#Totals],[commits]]</f>
        <v>4.6477904404246225E-6</v>
      </c>
      <c r="I5522" s="5">
        <f>Tabelle13[[#This Row],[%]]+I5521</f>
        <v>0.98361653869745536</v>
      </c>
      <c r="J5522" s="4">
        <f t="shared" si="205"/>
        <v>1.105583195135434E-4</v>
      </c>
      <c r="K5522" s="5">
        <f t="shared" si="206"/>
        <v>0.61028192371482026</v>
      </c>
    </row>
    <row r="5523" spans="1:11" x14ac:dyDescent="0.25">
      <c r="A5523" t="s">
        <v>4871</v>
      </c>
      <c r="C5523" t="s">
        <v>4872</v>
      </c>
      <c r="D5523" t="s">
        <v>5</v>
      </c>
      <c r="E5523" t="s">
        <v>6</v>
      </c>
      <c r="F5523" t="s">
        <v>724</v>
      </c>
      <c r="G5523">
        <v>1</v>
      </c>
      <c r="H5523" s="2">
        <f>Tabelle13[[#This Row],[commits]]/Tabelle13[[#Totals],[commits]]</f>
        <v>4.6477904404246225E-6</v>
      </c>
      <c r="I5523" s="5">
        <f>Tabelle13[[#This Row],[%]]+I5522</f>
        <v>0.98362118648789576</v>
      </c>
      <c r="J5523" s="4">
        <f t="shared" si="205"/>
        <v>1.105583195135434E-4</v>
      </c>
      <c r="K5523" s="5">
        <f t="shared" si="206"/>
        <v>0.61039248203433383</v>
      </c>
    </row>
    <row r="5524" spans="1:11" x14ac:dyDescent="0.25">
      <c r="A5524" t="s">
        <v>4873</v>
      </c>
      <c r="C5524" t="s">
        <v>4874</v>
      </c>
      <c r="D5524" t="s">
        <v>5</v>
      </c>
      <c r="E5524" t="s">
        <v>6</v>
      </c>
      <c r="F5524" t="s">
        <v>724</v>
      </c>
      <c r="G5524">
        <v>1</v>
      </c>
      <c r="H5524" s="2">
        <f>Tabelle13[[#This Row],[commits]]/Tabelle13[[#Totals],[commits]]</f>
        <v>4.6477904404246225E-6</v>
      </c>
      <c r="I5524" s="5">
        <f>Tabelle13[[#This Row],[%]]+I5523</f>
        <v>0.98362583427833616</v>
      </c>
      <c r="J5524" s="4">
        <f t="shared" si="205"/>
        <v>1.105583195135434E-4</v>
      </c>
      <c r="K5524" s="5">
        <f t="shared" si="206"/>
        <v>0.61050304035384739</v>
      </c>
    </row>
    <row r="5525" spans="1:11" x14ac:dyDescent="0.25">
      <c r="A5525" t="s">
        <v>4875</v>
      </c>
      <c r="C5525" t="s">
        <v>4876</v>
      </c>
      <c r="D5525" t="s">
        <v>5</v>
      </c>
      <c r="E5525" t="s">
        <v>6</v>
      </c>
      <c r="F5525" t="s">
        <v>724</v>
      </c>
      <c r="G5525">
        <v>1</v>
      </c>
      <c r="H5525" s="2">
        <f>Tabelle13[[#This Row],[commits]]/Tabelle13[[#Totals],[commits]]</f>
        <v>4.6477904404246225E-6</v>
      </c>
      <c r="I5525" s="5">
        <f>Tabelle13[[#This Row],[%]]+I5524</f>
        <v>0.98363048206877657</v>
      </c>
      <c r="J5525" s="4">
        <f t="shared" si="205"/>
        <v>1.105583195135434E-4</v>
      </c>
      <c r="K5525" s="5">
        <f t="shared" si="206"/>
        <v>0.61061359867336096</v>
      </c>
    </row>
    <row r="5526" spans="1:11" x14ac:dyDescent="0.25">
      <c r="A5526" t="s">
        <v>4877</v>
      </c>
      <c r="C5526" t="s">
        <v>4878</v>
      </c>
      <c r="D5526" t="s">
        <v>5</v>
      </c>
      <c r="E5526" t="s">
        <v>6</v>
      </c>
      <c r="F5526" t="s">
        <v>724</v>
      </c>
      <c r="G5526">
        <v>1</v>
      </c>
      <c r="H5526" s="2">
        <f>Tabelle13[[#This Row],[commits]]/Tabelle13[[#Totals],[commits]]</f>
        <v>4.6477904404246225E-6</v>
      </c>
      <c r="I5526" s="5">
        <f>Tabelle13[[#This Row],[%]]+I5525</f>
        <v>0.98363512985921697</v>
      </c>
      <c r="J5526" s="4">
        <f t="shared" si="205"/>
        <v>1.105583195135434E-4</v>
      </c>
      <c r="K5526" s="5">
        <f t="shared" si="206"/>
        <v>0.61072415699287452</v>
      </c>
    </row>
    <row r="5527" spans="1:11" x14ac:dyDescent="0.25">
      <c r="A5527" t="s">
        <v>4879</v>
      </c>
      <c r="C5527" t="s">
        <v>4880</v>
      </c>
      <c r="D5527" t="s">
        <v>5</v>
      </c>
      <c r="E5527" t="s">
        <v>6</v>
      </c>
      <c r="F5527" t="s">
        <v>724</v>
      </c>
      <c r="G5527">
        <v>1</v>
      </c>
      <c r="H5527" s="2">
        <f>Tabelle13[[#This Row],[commits]]/Tabelle13[[#Totals],[commits]]</f>
        <v>4.6477904404246225E-6</v>
      </c>
      <c r="I5527" s="5">
        <f>Tabelle13[[#This Row],[%]]+I5526</f>
        <v>0.98363977764965738</v>
      </c>
      <c r="J5527" s="4">
        <f t="shared" si="205"/>
        <v>1.105583195135434E-4</v>
      </c>
      <c r="K5527" s="5">
        <f t="shared" si="206"/>
        <v>0.61083471531238809</v>
      </c>
    </row>
    <row r="5528" spans="1:11" x14ac:dyDescent="0.25">
      <c r="A5528" t="s">
        <v>4881</v>
      </c>
      <c r="C5528" t="s">
        <v>4882</v>
      </c>
      <c r="D5528" t="s">
        <v>5</v>
      </c>
      <c r="E5528" t="s">
        <v>6</v>
      </c>
      <c r="F5528" t="s">
        <v>724</v>
      </c>
      <c r="G5528">
        <v>1</v>
      </c>
      <c r="H5528" s="2">
        <f>Tabelle13[[#This Row],[commits]]/Tabelle13[[#Totals],[commits]]</f>
        <v>4.6477904404246225E-6</v>
      </c>
      <c r="I5528" s="5">
        <f>Tabelle13[[#This Row],[%]]+I5527</f>
        <v>0.98364442544009778</v>
      </c>
      <c r="J5528" s="4">
        <f t="shared" si="205"/>
        <v>1.105583195135434E-4</v>
      </c>
      <c r="K5528" s="5">
        <f t="shared" si="206"/>
        <v>0.61094527363190165</v>
      </c>
    </row>
    <row r="5529" spans="1:11" x14ac:dyDescent="0.25">
      <c r="A5529" t="s">
        <v>4883</v>
      </c>
      <c r="C5529" t="s">
        <v>4884</v>
      </c>
      <c r="D5529" t="s">
        <v>5</v>
      </c>
      <c r="E5529" t="s">
        <v>6</v>
      </c>
      <c r="F5529" t="s">
        <v>724</v>
      </c>
      <c r="G5529">
        <v>1</v>
      </c>
      <c r="H5529" s="2">
        <f>Tabelle13[[#This Row],[commits]]/Tabelle13[[#Totals],[commits]]</f>
        <v>4.6477904404246225E-6</v>
      </c>
      <c r="I5529" s="5">
        <f>Tabelle13[[#This Row],[%]]+I5528</f>
        <v>0.98364907323053818</v>
      </c>
      <c r="J5529" s="4">
        <f t="shared" si="205"/>
        <v>1.105583195135434E-4</v>
      </c>
      <c r="K5529" s="5">
        <f t="shared" si="206"/>
        <v>0.61105583195141522</v>
      </c>
    </row>
    <row r="5530" spans="1:11" x14ac:dyDescent="0.25">
      <c r="A5530" t="s">
        <v>4885</v>
      </c>
      <c r="C5530" t="s">
        <v>4886</v>
      </c>
      <c r="D5530" t="s">
        <v>5</v>
      </c>
      <c r="E5530" t="s">
        <v>6</v>
      </c>
      <c r="F5530" t="s">
        <v>724</v>
      </c>
      <c r="G5530">
        <v>1</v>
      </c>
      <c r="H5530" s="2">
        <f>Tabelle13[[#This Row],[commits]]/Tabelle13[[#Totals],[commits]]</f>
        <v>4.6477904404246225E-6</v>
      </c>
      <c r="I5530" s="5">
        <f>Tabelle13[[#This Row],[%]]+I5529</f>
        <v>0.98365372102097859</v>
      </c>
      <c r="J5530" s="4">
        <f t="shared" si="205"/>
        <v>1.105583195135434E-4</v>
      </c>
      <c r="K5530" s="5">
        <f t="shared" si="206"/>
        <v>0.61116639027092878</v>
      </c>
    </row>
    <row r="5531" spans="1:11" x14ac:dyDescent="0.25">
      <c r="A5531" t="s">
        <v>4887</v>
      </c>
      <c r="C5531" t="s">
        <v>4888</v>
      </c>
      <c r="D5531" t="s">
        <v>5</v>
      </c>
      <c r="E5531" t="s">
        <v>6</v>
      </c>
      <c r="F5531" t="s">
        <v>724</v>
      </c>
      <c r="G5531">
        <v>1</v>
      </c>
      <c r="H5531" s="2">
        <f>Tabelle13[[#This Row],[commits]]/Tabelle13[[#Totals],[commits]]</f>
        <v>4.6477904404246225E-6</v>
      </c>
      <c r="I5531" s="5">
        <f>Tabelle13[[#This Row],[%]]+I5530</f>
        <v>0.98365836881141899</v>
      </c>
      <c r="J5531" s="4">
        <f t="shared" si="205"/>
        <v>1.105583195135434E-4</v>
      </c>
      <c r="K5531" s="5">
        <f t="shared" si="206"/>
        <v>0.61127694859044235</v>
      </c>
    </row>
    <row r="5532" spans="1:11" x14ac:dyDescent="0.25">
      <c r="A5532" t="s">
        <v>4889</v>
      </c>
      <c r="C5532" t="s">
        <v>4890</v>
      </c>
      <c r="D5532" t="s">
        <v>5</v>
      </c>
      <c r="E5532" t="s">
        <v>6</v>
      </c>
      <c r="F5532" t="s">
        <v>724</v>
      </c>
      <c r="G5532">
        <v>1</v>
      </c>
      <c r="H5532" s="2">
        <f>Tabelle13[[#This Row],[commits]]/Tabelle13[[#Totals],[commits]]</f>
        <v>4.6477904404246225E-6</v>
      </c>
      <c r="I5532" s="5">
        <f>Tabelle13[[#This Row],[%]]+I5531</f>
        <v>0.9836630166018594</v>
      </c>
      <c r="J5532" s="4">
        <f t="shared" si="205"/>
        <v>1.105583195135434E-4</v>
      </c>
      <c r="K5532" s="5">
        <f t="shared" si="206"/>
        <v>0.61138750690995591</v>
      </c>
    </row>
    <row r="5533" spans="1:11" x14ac:dyDescent="0.25">
      <c r="A5533" t="s">
        <v>4891</v>
      </c>
      <c r="C5533" t="s">
        <v>4892</v>
      </c>
      <c r="D5533" t="s">
        <v>5</v>
      </c>
      <c r="E5533" t="s">
        <v>6</v>
      </c>
      <c r="F5533" t="s">
        <v>724</v>
      </c>
      <c r="G5533">
        <v>1</v>
      </c>
      <c r="H5533" s="2">
        <f>Tabelle13[[#This Row],[commits]]/Tabelle13[[#Totals],[commits]]</f>
        <v>4.6477904404246225E-6</v>
      </c>
      <c r="I5533" s="5">
        <f>Tabelle13[[#This Row],[%]]+I5532</f>
        <v>0.9836676643922998</v>
      </c>
      <c r="J5533" s="4">
        <f t="shared" si="205"/>
        <v>1.105583195135434E-4</v>
      </c>
      <c r="K5533" s="5">
        <f t="shared" si="206"/>
        <v>0.61149806522946948</v>
      </c>
    </row>
    <row r="5534" spans="1:11" x14ac:dyDescent="0.25">
      <c r="A5534" t="s">
        <v>4893</v>
      </c>
      <c r="C5534" t="s">
        <v>4894</v>
      </c>
      <c r="D5534" t="s">
        <v>5</v>
      </c>
      <c r="E5534" t="s">
        <v>6</v>
      </c>
      <c r="F5534" t="s">
        <v>724</v>
      </c>
      <c r="G5534">
        <v>1</v>
      </c>
      <c r="H5534" s="2">
        <f>Tabelle13[[#This Row],[commits]]/Tabelle13[[#Totals],[commits]]</f>
        <v>4.6477904404246225E-6</v>
      </c>
      <c r="I5534" s="5">
        <f>Tabelle13[[#This Row],[%]]+I5533</f>
        <v>0.9836723121827402</v>
      </c>
      <c r="J5534" s="4">
        <f t="shared" si="205"/>
        <v>1.105583195135434E-4</v>
      </c>
      <c r="K5534" s="5">
        <f t="shared" si="206"/>
        <v>0.61160862354898304</v>
      </c>
    </row>
    <row r="5535" spans="1:11" x14ac:dyDescent="0.25">
      <c r="A5535" t="s">
        <v>4895</v>
      </c>
      <c r="C5535" t="s">
        <v>4896</v>
      </c>
      <c r="D5535" t="s">
        <v>5</v>
      </c>
      <c r="E5535" t="s">
        <v>6</v>
      </c>
      <c r="F5535" t="s">
        <v>724</v>
      </c>
      <c r="G5535">
        <v>1</v>
      </c>
      <c r="H5535" s="2">
        <f>Tabelle13[[#This Row],[commits]]/Tabelle13[[#Totals],[commits]]</f>
        <v>4.6477904404246225E-6</v>
      </c>
      <c r="I5535" s="5">
        <f>Tabelle13[[#This Row],[%]]+I5534</f>
        <v>0.98367695997318061</v>
      </c>
      <c r="J5535" s="4">
        <f t="shared" si="205"/>
        <v>1.105583195135434E-4</v>
      </c>
      <c r="K5535" s="5">
        <f t="shared" si="206"/>
        <v>0.61171918186849661</v>
      </c>
    </row>
    <row r="5536" spans="1:11" x14ac:dyDescent="0.25">
      <c r="A5536" t="s">
        <v>4897</v>
      </c>
      <c r="C5536" t="s">
        <v>4898</v>
      </c>
      <c r="D5536" t="s">
        <v>5</v>
      </c>
      <c r="E5536" t="s">
        <v>6</v>
      </c>
      <c r="F5536" t="s">
        <v>724</v>
      </c>
      <c r="G5536">
        <v>1</v>
      </c>
      <c r="H5536" s="2">
        <f>Tabelle13[[#This Row],[commits]]/Tabelle13[[#Totals],[commits]]</f>
        <v>4.6477904404246225E-6</v>
      </c>
      <c r="I5536" s="5">
        <f>Tabelle13[[#This Row],[%]]+I5535</f>
        <v>0.98368160776362101</v>
      </c>
      <c r="J5536" s="4">
        <f t="shared" si="205"/>
        <v>1.105583195135434E-4</v>
      </c>
      <c r="K5536" s="5">
        <f t="shared" si="206"/>
        <v>0.61182974018801017</v>
      </c>
    </row>
    <row r="5537" spans="1:11" x14ac:dyDescent="0.25">
      <c r="A5537" t="s">
        <v>4899</v>
      </c>
      <c r="C5537" t="s">
        <v>4900</v>
      </c>
      <c r="D5537" t="s">
        <v>5</v>
      </c>
      <c r="E5537" t="s">
        <v>6</v>
      </c>
      <c r="F5537" t="s">
        <v>724</v>
      </c>
      <c r="G5537">
        <v>1</v>
      </c>
      <c r="H5537" s="2">
        <f>Tabelle13[[#This Row],[commits]]/Tabelle13[[#Totals],[commits]]</f>
        <v>4.6477904404246225E-6</v>
      </c>
      <c r="I5537" s="5">
        <f>Tabelle13[[#This Row],[%]]+I5536</f>
        <v>0.98368625555406142</v>
      </c>
      <c r="J5537" s="4">
        <f t="shared" si="205"/>
        <v>1.105583195135434E-4</v>
      </c>
      <c r="K5537" s="5">
        <f t="shared" si="206"/>
        <v>0.61194029850752374</v>
      </c>
    </row>
    <row r="5538" spans="1:11" x14ac:dyDescent="0.25">
      <c r="A5538" t="s">
        <v>4901</v>
      </c>
      <c r="C5538" t="s">
        <v>211</v>
      </c>
      <c r="D5538" t="s">
        <v>5</v>
      </c>
      <c r="E5538" t="s">
        <v>6</v>
      </c>
      <c r="F5538" t="s">
        <v>724</v>
      </c>
      <c r="G5538">
        <v>1</v>
      </c>
      <c r="H5538" s="2">
        <f>Tabelle13[[#This Row],[commits]]/Tabelle13[[#Totals],[commits]]</f>
        <v>4.6477904404246225E-6</v>
      </c>
      <c r="I5538" s="5">
        <f>Tabelle13[[#This Row],[%]]+I5537</f>
        <v>0.98369090334450182</v>
      </c>
      <c r="J5538" s="4">
        <f t="shared" si="205"/>
        <v>1.105583195135434E-4</v>
      </c>
      <c r="K5538" s="5">
        <f t="shared" si="206"/>
        <v>0.6120508568270373</v>
      </c>
    </row>
    <row r="5539" spans="1:11" x14ac:dyDescent="0.25">
      <c r="A5539" t="s">
        <v>4904</v>
      </c>
      <c r="C5539" t="s">
        <v>4905</v>
      </c>
      <c r="D5539" t="s">
        <v>5</v>
      </c>
      <c r="E5539" t="s">
        <v>6</v>
      </c>
      <c r="F5539" t="s">
        <v>724</v>
      </c>
      <c r="G5539">
        <v>1</v>
      </c>
      <c r="H5539" s="2">
        <f>Tabelle13[[#This Row],[commits]]/Tabelle13[[#Totals],[commits]]</f>
        <v>4.6477904404246225E-6</v>
      </c>
      <c r="I5539" s="5">
        <f>Tabelle13[[#This Row],[%]]+I5538</f>
        <v>0.98369555113494223</v>
      </c>
      <c r="J5539" s="4">
        <f t="shared" si="205"/>
        <v>1.105583195135434E-4</v>
      </c>
      <c r="K5539" s="5">
        <f t="shared" si="206"/>
        <v>0.61216141514655087</v>
      </c>
    </row>
    <row r="5540" spans="1:11" x14ac:dyDescent="0.25">
      <c r="A5540" t="s">
        <v>4906</v>
      </c>
      <c r="C5540" t="s">
        <v>4907</v>
      </c>
      <c r="D5540" t="s">
        <v>5</v>
      </c>
      <c r="E5540" t="s">
        <v>6</v>
      </c>
      <c r="F5540" t="s">
        <v>724</v>
      </c>
      <c r="G5540">
        <v>1</v>
      </c>
      <c r="H5540" s="2">
        <f>Tabelle13[[#This Row],[commits]]/Tabelle13[[#Totals],[commits]]</f>
        <v>4.6477904404246225E-6</v>
      </c>
      <c r="I5540" s="5">
        <f>Tabelle13[[#This Row],[%]]+I5539</f>
        <v>0.98370019892538263</v>
      </c>
      <c r="J5540" s="4">
        <f t="shared" si="205"/>
        <v>1.105583195135434E-4</v>
      </c>
      <c r="K5540" s="5">
        <f t="shared" si="206"/>
        <v>0.61227197346606443</v>
      </c>
    </row>
    <row r="5541" spans="1:11" x14ac:dyDescent="0.25">
      <c r="A5541" t="s">
        <v>4908</v>
      </c>
      <c r="C5541" t="s">
        <v>4909</v>
      </c>
      <c r="D5541" t="s">
        <v>5</v>
      </c>
      <c r="E5541" t="s">
        <v>6</v>
      </c>
      <c r="F5541" t="s">
        <v>724</v>
      </c>
      <c r="G5541">
        <v>1</v>
      </c>
      <c r="H5541" s="2">
        <f>Tabelle13[[#This Row],[commits]]/Tabelle13[[#Totals],[commits]]</f>
        <v>4.6477904404246225E-6</v>
      </c>
      <c r="I5541" s="5">
        <f>Tabelle13[[#This Row],[%]]+I5540</f>
        <v>0.98370484671582303</v>
      </c>
      <c r="J5541" s="4">
        <f t="shared" si="205"/>
        <v>1.105583195135434E-4</v>
      </c>
      <c r="K5541" s="5">
        <f t="shared" si="206"/>
        <v>0.612382531785578</v>
      </c>
    </row>
    <row r="5542" spans="1:11" x14ac:dyDescent="0.25">
      <c r="A5542" t="s">
        <v>4910</v>
      </c>
      <c r="C5542" t="s">
        <v>4911</v>
      </c>
      <c r="D5542" t="s">
        <v>5</v>
      </c>
      <c r="E5542" t="s">
        <v>6</v>
      </c>
      <c r="F5542" t="s">
        <v>724</v>
      </c>
      <c r="G5542">
        <v>1</v>
      </c>
      <c r="H5542" s="2">
        <f>Tabelle13[[#This Row],[commits]]/Tabelle13[[#Totals],[commits]]</f>
        <v>4.6477904404246225E-6</v>
      </c>
      <c r="I5542" s="5">
        <f>Tabelle13[[#This Row],[%]]+I5541</f>
        <v>0.98370949450626344</v>
      </c>
      <c r="J5542" s="4">
        <f t="shared" si="205"/>
        <v>1.105583195135434E-4</v>
      </c>
      <c r="K5542" s="5">
        <f t="shared" si="206"/>
        <v>0.61249309010509156</v>
      </c>
    </row>
    <row r="5543" spans="1:11" x14ac:dyDescent="0.25">
      <c r="A5543" t="s">
        <v>4912</v>
      </c>
      <c r="C5543" t="s">
        <v>4913</v>
      </c>
      <c r="D5543" t="s">
        <v>5</v>
      </c>
      <c r="E5543" t="s">
        <v>6</v>
      </c>
      <c r="F5543" t="s">
        <v>724</v>
      </c>
      <c r="G5543">
        <v>1</v>
      </c>
      <c r="H5543" s="2">
        <f>Tabelle13[[#This Row],[commits]]/Tabelle13[[#Totals],[commits]]</f>
        <v>4.6477904404246225E-6</v>
      </c>
      <c r="I5543" s="5">
        <f>Tabelle13[[#This Row],[%]]+I5542</f>
        <v>0.98371414229670384</v>
      </c>
      <c r="J5543" s="4">
        <f t="shared" si="205"/>
        <v>1.105583195135434E-4</v>
      </c>
      <c r="K5543" s="5">
        <f t="shared" si="206"/>
        <v>0.61260364842460513</v>
      </c>
    </row>
    <row r="5544" spans="1:11" x14ac:dyDescent="0.25">
      <c r="A5544" t="s">
        <v>4914</v>
      </c>
      <c r="C5544" t="s">
        <v>4915</v>
      </c>
      <c r="D5544" t="s">
        <v>5</v>
      </c>
      <c r="E5544" t="s">
        <v>6</v>
      </c>
      <c r="F5544" t="s">
        <v>724</v>
      </c>
      <c r="G5544">
        <v>1</v>
      </c>
      <c r="H5544" s="2">
        <f>Tabelle13[[#This Row],[commits]]/Tabelle13[[#Totals],[commits]]</f>
        <v>4.6477904404246225E-6</v>
      </c>
      <c r="I5544" s="5">
        <f>Tabelle13[[#This Row],[%]]+I5543</f>
        <v>0.98371879008714425</v>
      </c>
      <c r="J5544" s="4">
        <f t="shared" si="205"/>
        <v>1.105583195135434E-4</v>
      </c>
      <c r="K5544" s="5">
        <f t="shared" si="206"/>
        <v>0.61271420674411869</v>
      </c>
    </row>
    <row r="5545" spans="1:11" x14ac:dyDescent="0.25">
      <c r="A5545" t="s">
        <v>4916</v>
      </c>
      <c r="C5545" t="s">
        <v>1138</v>
      </c>
      <c r="D5545" t="s">
        <v>5</v>
      </c>
      <c r="E5545" t="s">
        <v>6</v>
      </c>
      <c r="F5545" t="s">
        <v>724</v>
      </c>
      <c r="G5545">
        <v>1</v>
      </c>
      <c r="H5545" s="2">
        <f>Tabelle13[[#This Row],[commits]]/Tabelle13[[#Totals],[commits]]</f>
        <v>4.6477904404246225E-6</v>
      </c>
      <c r="I5545" s="5">
        <f>Tabelle13[[#This Row],[%]]+I5544</f>
        <v>0.98372343787758465</v>
      </c>
      <c r="J5545" s="4">
        <f t="shared" si="205"/>
        <v>1.105583195135434E-4</v>
      </c>
      <c r="K5545" s="5">
        <f t="shared" si="206"/>
        <v>0.61282476506363226</v>
      </c>
    </row>
    <row r="5546" spans="1:11" x14ac:dyDescent="0.25">
      <c r="A5546" t="s">
        <v>4917</v>
      </c>
      <c r="C5546" t="s">
        <v>4918</v>
      </c>
      <c r="D5546" t="s">
        <v>5</v>
      </c>
      <c r="E5546" t="s">
        <v>6</v>
      </c>
      <c r="F5546" t="s">
        <v>724</v>
      </c>
      <c r="G5546">
        <v>1</v>
      </c>
      <c r="H5546" s="2">
        <f>Tabelle13[[#This Row],[commits]]/Tabelle13[[#Totals],[commits]]</f>
        <v>4.6477904404246225E-6</v>
      </c>
      <c r="I5546" s="5">
        <f>Tabelle13[[#This Row],[%]]+I5545</f>
        <v>0.98372808566802505</v>
      </c>
      <c r="J5546" s="4">
        <f t="shared" si="205"/>
        <v>1.105583195135434E-4</v>
      </c>
      <c r="K5546" s="5">
        <f t="shared" si="206"/>
        <v>0.61293532338314582</v>
      </c>
    </row>
    <row r="5547" spans="1:11" x14ac:dyDescent="0.25">
      <c r="A5547" t="s">
        <v>4919</v>
      </c>
      <c r="C5547" t="s">
        <v>4920</v>
      </c>
      <c r="D5547" t="s">
        <v>5</v>
      </c>
      <c r="E5547" t="s">
        <v>6</v>
      </c>
      <c r="F5547" t="s">
        <v>724</v>
      </c>
      <c r="G5547">
        <v>1</v>
      </c>
      <c r="H5547" s="2">
        <f>Tabelle13[[#This Row],[commits]]/Tabelle13[[#Totals],[commits]]</f>
        <v>4.6477904404246225E-6</v>
      </c>
      <c r="I5547" s="5">
        <f>Tabelle13[[#This Row],[%]]+I5546</f>
        <v>0.98373273345846546</v>
      </c>
      <c r="J5547" s="4">
        <f t="shared" si="205"/>
        <v>1.105583195135434E-4</v>
      </c>
      <c r="K5547" s="5">
        <f t="shared" si="206"/>
        <v>0.61304588170265939</v>
      </c>
    </row>
    <row r="5548" spans="1:11" x14ac:dyDescent="0.25">
      <c r="A5548" t="s">
        <v>4921</v>
      </c>
      <c r="C5548" t="s">
        <v>4922</v>
      </c>
      <c r="D5548" t="s">
        <v>5</v>
      </c>
      <c r="E5548" t="s">
        <v>6</v>
      </c>
      <c r="F5548" t="s">
        <v>724</v>
      </c>
      <c r="G5548">
        <v>1</v>
      </c>
      <c r="H5548" s="2">
        <f>Tabelle13[[#This Row],[commits]]/Tabelle13[[#Totals],[commits]]</f>
        <v>4.6477904404246225E-6</v>
      </c>
      <c r="I5548" s="5">
        <f>Tabelle13[[#This Row],[%]]+I5547</f>
        <v>0.98373738124890586</v>
      </c>
      <c r="J5548" s="4">
        <f t="shared" si="205"/>
        <v>1.105583195135434E-4</v>
      </c>
      <c r="K5548" s="5">
        <f t="shared" si="206"/>
        <v>0.61315644002217295</v>
      </c>
    </row>
    <row r="5549" spans="1:11" x14ac:dyDescent="0.25">
      <c r="A5549" t="s">
        <v>4923</v>
      </c>
      <c r="C5549" t="s">
        <v>4924</v>
      </c>
      <c r="D5549" t="s">
        <v>5</v>
      </c>
      <c r="E5549" t="s">
        <v>6</v>
      </c>
      <c r="F5549" t="s">
        <v>724</v>
      </c>
      <c r="G5549">
        <v>1</v>
      </c>
      <c r="H5549" s="2">
        <f>Tabelle13[[#This Row],[commits]]/Tabelle13[[#Totals],[commits]]</f>
        <v>4.6477904404246225E-6</v>
      </c>
      <c r="I5549" s="5">
        <f>Tabelle13[[#This Row],[%]]+I5548</f>
        <v>0.98374202903934627</v>
      </c>
      <c r="J5549" s="4">
        <f t="shared" si="205"/>
        <v>1.105583195135434E-4</v>
      </c>
      <c r="K5549" s="5">
        <f t="shared" si="206"/>
        <v>0.61326699834168652</v>
      </c>
    </row>
    <row r="5550" spans="1:11" x14ac:dyDescent="0.25">
      <c r="A5550" t="s">
        <v>4925</v>
      </c>
      <c r="C5550" t="s">
        <v>4926</v>
      </c>
      <c r="D5550" t="s">
        <v>5</v>
      </c>
      <c r="E5550" t="s">
        <v>6</v>
      </c>
      <c r="F5550" t="s">
        <v>724</v>
      </c>
      <c r="G5550">
        <v>1</v>
      </c>
      <c r="H5550" s="2">
        <f>Tabelle13[[#This Row],[commits]]/Tabelle13[[#Totals],[commits]]</f>
        <v>4.6477904404246225E-6</v>
      </c>
      <c r="I5550" s="5">
        <f>Tabelle13[[#This Row],[%]]+I5549</f>
        <v>0.98374667682978667</v>
      </c>
      <c r="J5550" s="4">
        <f t="shared" si="205"/>
        <v>1.105583195135434E-4</v>
      </c>
      <c r="K5550" s="5">
        <f t="shared" si="206"/>
        <v>0.61337755666120009</v>
      </c>
    </row>
    <row r="5551" spans="1:11" x14ac:dyDescent="0.25">
      <c r="A5551" t="s">
        <v>4927</v>
      </c>
      <c r="C5551" t="s">
        <v>4928</v>
      </c>
      <c r="D5551" t="s">
        <v>5</v>
      </c>
      <c r="E5551" t="s">
        <v>6</v>
      </c>
      <c r="F5551" t="s">
        <v>724</v>
      </c>
      <c r="G5551">
        <v>1</v>
      </c>
      <c r="H5551" s="2">
        <f>Tabelle13[[#This Row],[commits]]/Tabelle13[[#Totals],[commits]]</f>
        <v>4.6477904404246225E-6</v>
      </c>
      <c r="I5551" s="5">
        <f>Tabelle13[[#This Row],[%]]+I5550</f>
        <v>0.98375132462022707</v>
      </c>
      <c r="J5551" s="4">
        <f t="shared" si="205"/>
        <v>1.105583195135434E-4</v>
      </c>
      <c r="K5551" s="5">
        <f t="shared" si="206"/>
        <v>0.61348811498071365</v>
      </c>
    </row>
    <row r="5552" spans="1:11" x14ac:dyDescent="0.25">
      <c r="A5552" t="s">
        <v>4929</v>
      </c>
      <c r="C5552" t="s">
        <v>4930</v>
      </c>
      <c r="D5552" t="s">
        <v>5</v>
      </c>
      <c r="E5552" t="s">
        <v>6</v>
      </c>
      <c r="F5552" t="s">
        <v>724</v>
      </c>
      <c r="G5552">
        <v>1</v>
      </c>
      <c r="H5552" s="2">
        <f>Tabelle13[[#This Row],[commits]]/Tabelle13[[#Totals],[commits]]</f>
        <v>4.6477904404246225E-6</v>
      </c>
      <c r="I5552" s="5">
        <f>Tabelle13[[#This Row],[%]]+I5551</f>
        <v>0.98375597241066748</v>
      </c>
      <c r="J5552" s="4">
        <f t="shared" si="205"/>
        <v>1.105583195135434E-4</v>
      </c>
      <c r="K5552" s="5">
        <f t="shared" si="206"/>
        <v>0.61359867330022722</v>
      </c>
    </row>
    <row r="5553" spans="1:11" x14ac:dyDescent="0.25">
      <c r="A5553" t="s">
        <v>4931</v>
      </c>
      <c r="C5553" t="s">
        <v>4932</v>
      </c>
      <c r="D5553" t="s">
        <v>5</v>
      </c>
      <c r="E5553" t="s">
        <v>6</v>
      </c>
      <c r="F5553" t="s">
        <v>724</v>
      </c>
      <c r="G5553">
        <v>1</v>
      </c>
      <c r="H5553" s="2">
        <f>Tabelle13[[#This Row],[commits]]/Tabelle13[[#Totals],[commits]]</f>
        <v>4.6477904404246225E-6</v>
      </c>
      <c r="I5553" s="5">
        <f>Tabelle13[[#This Row],[%]]+I5552</f>
        <v>0.98376062020110788</v>
      </c>
      <c r="J5553" s="4">
        <f t="shared" si="205"/>
        <v>1.105583195135434E-4</v>
      </c>
      <c r="K5553" s="5">
        <f t="shared" si="206"/>
        <v>0.61370923161974078</v>
      </c>
    </row>
    <row r="5554" spans="1:11" x14ac:dyDescent="0.25">
      <c r="A5554" t="s">
        <v>4933</v>
      </c>
      <c r="C5554" t="s">
        <v>4934</v>
      </c>
      <c r="D5554" t="s">
        <v>5</v>
      </c>
      <c r="E5554" t="s">
        <v>6</v>
      </c>
      <c r="F5554" t="s">
        <v>724</v>
      </c>
      <c r="G5554">
        <v>1</v>
      </c>
      <c r="H5554" s="2">
        <f>Tabelle13[[#This Row],[commits]]/Tabelle13[[#Totals],[commits]]</f>
        <v>4.6477904404246225E-6</v>
      </c>
      <c r="I5554" s="5">
        <f>Tabelle13[[#This Row],[%]]+I5553</f>
        <v>0.98376526799154829</v>
      </c>
      <c r="J5554" s="4">
        <f t="shared" si="205"/>
        <v>1.105583195135434E-4</v>
      </c>
      <c r="K5554" s="5">
        <f t="shared" si="206"/>
        <v>0.61381978993925435</v>
      </c>
    </row>
    <row r="5555" spans="1:11" x14ac:dyDescent="0.25">
      <c r="A5555" t="s">
        <v>4935</v>
      </c>
      <c r="C5555" t="s">
        <v>4241</v>
      </c>
      <c r="D5555" t="s">
        <v>5</v>
      </c>
      <c r="E5555" t="s">
        <v>6</v>
      </c>
      <c r="F5555" t="s">
        <v>724</v>
      </c>
      <c r="G5555">
        <v>1</v>
      </c>
      <c r="H5555" s="2">
        <f>Tabelle13[[#This Row],[commits]]/Tabelle13[[#Totals],[commits]]</f>
        <v>4.6477904404246225E-6</v>
      </c>
      <c r="I5555" s="5">
        <f>Tabelle13[[#This Row],[%]]+I5554</f>
        <v>0.98376991578198869</v>
      </c>
      <c r="J5555" s="4">
        <f t="shared" si="205"/>
        <v>1.105583195135434E-4</v>
      </c>
      <c r="K5555" s="5">
        <f t="shared" si="206"/>
        <v>0.61393034825876791</v>
      </c>
    </row>
    <row r="5556" spans="1:11" x14ac:dyDescent="0.25">
      <c r="A5556" t="s">
        <v>4936</v>
      </c>
      <c r="C5556" t="s">
        <v>4937</v>
      </c>
      <c r="D5556" t="s">
        <v>5</v>
      </c>
      <c r="E5556" t="s">
        <v>6</v>
      </c>
      <c r="F5556" t="s">
        <v>724</v>
      </c>
      <c r="G5556">
        <v>1</v>
      </c>
      <c r="H5556" s="2">
        <f>Tabelle13[[#This Row],[commits]]/Tabelle13[[#Totals],[commits]]</f>
        <v>4.6477904404246225E-6</v>
      </c>
      <c r="I5556" s="5">
        <f>Tabelle13[[#This Row],[%]]+I5555</f>
        <v>0.98377456357242909</v>
      </c>
      <c r="J5556" s="4">
        <f t="shared" si="205"/>
        <v>1.105583195135434E-4</v>
      </c>
      <c r="K5556" s="5">
        <f t="shared" si="206"/>
        <v>0.61404090657828148</v>
      </c>
    </row>
    <row r="5557" spans="1:11" x14ac:dyDescent="0.25">
      <c r="A5557" t="s">
        <v>4938</v>
      </c>
      <c r="C5557" t="s">
        <v>4939</v>
      </c>
      <c r="D5557" t="s">
        <v>5</v>
      </c>
      <c r="E5557" t="s">
        <v>6</v>
      </c>
      <c r="F5557" t="s">
        <v>724</v>
      </c>
      <c r="G5557">
        <v>1</v>
      </c>
      <c r="H5557" s="2">
        <f>Tabelle13[[#This Row],[commits]]/Tabelle13[[#Totals],[commits]]</f>
        <v>4.6477904404246225E-6</v>
      </c>
      <c r="I5557" s="5">
        <f>Tabelle13[[#This Row],[%]]+I5556</f>
        <v>0.9837792113628695</v>
      </c>
      <c r="J5557" s="4">
        <f t="shared" si="205"/>
        <v>1.105583195135434E-4</v>
      </c>
      <c r="K5557" s="5">
        <f t="shared" si="206"/>
        <v>0.61415146489779504</v>
      </c>
    </row>
    <row r="5558" spans="1:11" x14ac:dyDescent="0.25">
      <c r="A5558" t="s">
        <v>4940</v>
      </c>
      <c r="C5558" t="s">
        <v>4941</v>
      </c>
      <c r="D5558" t="s">
        <v>5</v>
      </c>
      <c r="E5558" t="s">
        <v>6</v>
      </c>
      <c r="F5558" t="s">
        <v>724</v>
      </c>
      <c r="G5558">
        <v>1</v>
      </c>
      <c r="H5558" s="2">
        <f>Tabelle13[[#This Row],[commits]]/Tabelle13[[#Totals],[commits]]</f>
        <v>4.6477904404246225E-6</v>
      </c>
      <c r="I5558" s="5">
        <f>Tabelle13[[#This Row],[%]]+I5557</f>
        <v>0.9837838591533099</v>
      </c>
      <c r="J5558" s="4">
        <f t="shared" si="205"/>
        <v>1.105583195135434E-4</v>
      </c>
      <c r="K5558" s="5">
        <f t="shared" si="206"/>
        <v>0.61426202321730861</v>
      </c>
    </row>
    <row r="5559" spans="1:11" x14ac:dyDescent="0.25">
      <c r="A5559" t="s">
        <v>4942</v>
      </c>
      <c r="C5559" t="s">
        <v>4943</v>
      </c>
      <c r="D5559" t="s">
        <v>5</v>
      </c>
      <c r="E5559" t="s">
        <v>6</v>
      </c>
      <c r="F5559" t="s">
        <v>724</v>
      </c>
      <c r="G5559">
        <v>1</v>
      </c>
      <c r="H5559" s="2">
        <f>Tabelle13[[#This Row],[commits]]/Tabelle13[[#Totals],[commits]]</f>
        <v>4.6477904404246225E-6</v>
      </c>
      <c r="I5559" s="5">
        <f>Tabelle13[[#This Row],[%]]+I5558</f>
        <v>0.98378850694375031</v>
      </c>
      <c r="J5559" s="4">
        <f t="shared" si="205"/>
        <v>1.105583195135434E-4</v>
      </c>
      <c r="K5559" s="5">
        <f t="shared" si="206"/>
        <v>0.61437258153682217</v>
      </c>
    </row>
    <row r="5560" spans="1:11" x14ac:dyDescent="0.25">
      <c r="A5560" t="s">
        <v>4944</v>
      </c>
      <c r="C5560" t="s">
        <v>4945</v>
      </c>
      <c r="D5560" t="s">
        <v>5</v>
      </c>
      <c r="E5560" t="s">
        <v>6</v>
      </c>
      <c r="F5560" t="s">
        <v>724</v>
      </c>
      <c r="G5560">
        <v>1</v>
      </c>
      <c r="H5560" s="2">
        <f>Tabelle13[[#This Row],[commits]]/Tabelle13[[#Totals],[commits]]</f>
        <v>4.6477904404246225E-6</v>
      </c>
      <c r="I5560" s="5">
        <f>Tabelle13[[#This Row],[%]]+I5559</f>
        <v>0.98379315473419071</v>
      </c>
      <c r="J5560" s="4">
        <f t="shared" si="205"/>
        <v>1.105583195135434E-4</v>
      </c>
      <c r="K5560" s="5">
        <f t="shared" si="206"/>
        <v>0.61448313985633574</v>
      </c>
    </row>
    <row r="5561" spans="1:11" x14ac:dyDescent="0.25">
      <c r="A5561" t="s">
        <v>4946</v>
      </c>
      <c r="C5561" t="s">
        <v>4947</v>
      </c>
      <c r="D5561" t="s">
        <v>5</v>
      </c>
      <c r="E5561" t="s">
        <v>6</v>
      </c>
      <c r="F5561" t="s">
        <v>724</v>
      </c>
      <c r="G5561">
        <v>1</v>
      </c>
      <c r="H5561" s="2">
        <f>Tabelle13[[#This Row],[commits]]/Tabelle13[[#Totals],[commits]]</f>
        <v>4.6477904404246225E-6</v>
      </c>
      <c r="I5561" s="5">
        <f>Tabelle13[[#This Row],[%]]+I5560</f>
        <v>0.98379780252463112</v>
      </c>
      <c r="J5561" s="4">
        <f t="shared" si="205"/>
        <v>1.105583195135434E-4</v>
      </c>
      <c r="K5561" s="5">
        <f t="shared" si="206"/>
        <v>0.6145936981758493</v>
      </c>
    </row>
    <row r="5562" spans="1:11" x14ac:dyDescent="0.25">
      <c r="A5562" t="s">
        <v>4948</v>
      </c>
      <c r="C5562" t="s">
        <v>4949</v>
      </c>
      <c r="D5562" t="s">
        <v>5</v>
      </c>
      <c r="E5562" t="s">
        <v>6</v>
      </c>
      <c r="F5562" t="s">
        <v>724</v>
      </c>
      <c r="G5562">
        <v>1</v>
      </c>
      <c r="H5562" s="2">
        <f>Tabelle13[[#This Row],[commits]]/Tabelle13[[#Totals],[commits]]</f>
        <v>4.6477904404246225E-6</v>
      </c>
      <c r="I5562" s="5">
        <f>Tabelle13[[#This Row],[%]]+I5561</f>
        <v>0.98380245031507152</v>
      </c>
      <c r="J5562" s="4">
        <f t="shared" si="205"/>
        <v>1.105583195135434E-4</v>
      </c>
      <c r="K5562" s="5">
        <f t="shared" si="206"/>
        <v>0.61470425649536287</v>
      </c>
    </row>
    <row r="5563" spans="1:11" x14ac:dyDescent="0.25">
      <c r="A5563" t="s">
        <v>4950</v>
      </c>
      <c r="C5563" t="s">
        <v>4951</v>
      </c>
      <c r="D5563" t="s">
        <v>5</v>
      </c>
      <c r="E5563" t="s">
        <v>6</v>
      </c>
      <c r="F5563" t="s">
        <v>724</v>
      </c>
      <c r="G5563">
        <v>1</v>
      </c>
      <c r="H5563" s="2">
        <f>Tabelle13[[#This Row],[commits]]/Tabelle13[[#Totals],[commits]]</f>
        <v>4.6477904404246225E-6</v>
      </c>
      <c r="I5563" s="5">
        <f>Tabelle13[[#This Row],[%]]+I5562</f>
        <v>0.98380709810551192</v>
      </c>
      <c r="J5563" s="4">
        <f t="shared" si="205"/>
        <v>1.105583195135434E-4</v>
      </c>
      <c r="K5563" s="5">
        <f t="shared" si="206"/>
        <v>0.61481481481487643</v>
      </c>
    </row>
    <row r="5564" spans="1:11" x14ac:dyDescent="0.25">
      <c r="A5564" t="s">
        <v>4952</v>
      </c>
      <c r="C5564" t="s">
        <v>2036</v>
      </c>
      <c r="D5564" t="s">
        <v>5</v>
      </c>
      <c r="E5564" t="s">
        <v>6</v>
      </c>
      <c r="F5564" t="s">
        <v>724</v>
      </c>
      <c r="G5564">
        <v>1</v>
      </c>
      <c r="H5564" s="2">
        <f>Tabelle13[[#This Row],[commits]]/Tabelle13[[#Totals],[commits]]</f>
        <v>4.6477904404246225E-6</v>
      </c>
      <c r="I5564" s="5">
        <f>Tabelle13[[#This Row],[%]]+I5563</f>
        <v>0.98381174589595233</v>
      </c>
      <c r="J5564" s="4">
        <f t="shared" si="205"/>
        <v>1.105583195135434E-4</v>
      </c>
      <c r="K5564" s="5">
        <f t="shared" si="206"/>
        <v>0.61492537313439</v>
      </c>
    </row>
    <row r="5565" spans="1:11" x14ac:dyDescent="0.25">
      <c r="A5565" t="s">
        <v>4953</v>
      </c>
      <c r="C5565" t="s">
        <v>4954</v>
      </c>
      <c r="D5565" t="s">
        <v>5</v>
      </c>
      <c r="E5565" t="s">
        <v>6</v>
      </c>
      <c r="F5565" t="s">
        <v>724</v>
      </c>
      <c r="G5565">
        <v>1</v>
      </c>
      <c r="H5565" s="2">
        <f>Tabelle13[[#This Row],[commits]]/Tabelle13[[#Totals],[commits]]</f>
        <v>4.6477904404246225E-6</v>
      </c>
      <c r="I5565" s="5">
        <f>Tabelle13[[#This Row],[%]]+I5564</f>
        <v>0.98381639368639273</v>
      </c>
      <c r="J5565" s="4">
        <f t="shared" si="205"/>
        <v>1.105583195135434E-4</v>
      </c>
      <c r="K5565" s="5">
        <f t="shared" si="206"/>
        <v>0.61503593145390356</v>
      </c>
    </row>
    <row r="5566" spans="1:11" x14ac:dyDescent="0.25">
      <c r="A5566" t="s">
        <v>4955</v>
      </c>
      <c r="C5566" t="s">
        <v>4956</v>
      </c>
      <c r="D5566" t="s">
        <v>5</v>
      </c>
      <c r="E5566" t="s">
        <v>6</v>
      </c>
      <c r="F5566" t="s">
        <v>724</v>
      </c>
      <c r="G5566">
        <v>1</v>
      </c>
      <c r="H5566" s="2">
        <f>Tabelle13[[#This Row],[commits]]/Tabelle13[[#Totals],[commits]]</f>
        <v>4.6477904404246225E-6</v>
      </c>
      <c r="I5566" s="5">
        <f>Tabelle13[[#This Row],[%]]+I5565</f>
        <v>0.98382104147683314</v>
      </c>
      <c r="J5566" s="4">
        <f t="shared" si="205"/>
        <v>1.105583195135434E-4</v>
      </c>
      <c r="K5566" s="5">
        <f t="shared" si="206"/>
        <v>0.61514648977341713</v>
      </c>
    </row>
    <row r="5567" spans="1:11" x14ac:dyDescent="0.25">
      <c r="A5567" t="s">
        <v>4957</v>
      </c>
      <c r="C5567" t="s">
        <v>4958</v>
      </c>
      <c r="D5567" t="s">
        <v>5</v>
      </c>
      <c r="E5567" t="s">
        <v>6</v>
      </c>
      <c r="F5567" t="s">
        <v>724</v>
      </c>
      <c r="G5567">
        <v>1</v>
      </c>
      <c r="H5567" s="2">
        <f>Tabelle13[[#This Row],[commits]]/Tabelle13[[#Totals],[commits]]</f>
        <v>4.6477904404246225E-6</v>
      </c>
      <c r="I5567" s="5">
        <f>Tabelle13[[#This Row],[%]]+I5566</f>
        <v>0.98382568926727354</v>
      </c>
      <c r="J5567" s="4">
        <f t="shared" si="205"/>
        <v>1.105583195135434E-4</v>
      </c>
      <c r="K5567" s="5">
        <f t="shared" si="206"/>
        <v>0.61525704809293069</v>
      </c>
    </row>
    <row r="5568" spans="1:11" x14ac:dyDescent="0.25">
      <c r="A5568" t="s">
        <v>4959</v>
      </c>
      <c r="C5568" t="s">
        <v>4960</v>
      </c>
      <c r="D5568" t="s">
        <v>5</v>
      </c>
      <c r="E5568" t="s">
        <v>6</v>
      </c>
      <c r="F5568" t="s">
        <v>724</v>
      </c>
      <c r="G5568">
        <v>1</v>
      </c>
      <c r="H5568" s="2">
        <f>Tabelle13[[#This Row],[commits]]/Tabelle13[[#Totals],[commits]]</f>
        <v>4.6477904404246225E-6</v>
      </c>
      <c r="I5568" s="5">
        <f>Tabelle13[[#This Row],[%]]+I5567</f>
        <v>0.98383033705771394</v>
      </c>
      <c r="J5568" s="4">
        <f t="shared" si="205"/>
        <v>1.105583195135434E-4</v>
      </c>
      <c r="K5568" s="5">
        <f t="shared" si="206"/>
        <v>0.61536760641244426</v>
      </c>
    </row>
    <row r="5569" spans="1:11" x14ac:dyDescent="0.25">
      <c r="A5569" t="s">
        <v>4961</v>
      </c>
      <c r="C5569" t="s">
        <v>4962</v>
      </c>
      <c r="D5569" t="s">
        <v>5</v>
      </c>
      <c r="E5569" t="s">
        <v>6</v>
      </c>
      <c r="F5569" t="s">
        <v>724</v>
      </c>
      <c r="G5569">
        <v>1</v>
      </c>
      <c r="H5569" s="2">
        <f>Tabelle13[[#This Row],[commits]]/Tabelle13[[#Totals],[commits]]</f>
        <v>4.6477904404246225E-6</v>
      </c>
      <c r="I5569" s="5">
        <f>Tabelle13[[#This Row],[%]]+I5568</f>
        <v>0.98383498484815435</v>
      </c>
      <c r="J5569" s="4">
        <f t="shared" si="205"/>
        <v>1.105583195135434E-4</v>
      </c>
      <c r="K5569" s="5">
        <f t="shared" si="206"/>
        <v>0.61547816473195782</v>
      </c>
    </row>
    <row r="5570" spans="1:11" x14ac:dyDescent="0.25">
      <c r="A5570" t="s">
        <v>4963</v>
      </c>
      <c r="C5570" t="s">
        <v>4964</v>
      </c>
      <c r="D5570" t="s">
        <v>5</v>
      </c>
      <c r="E5570" t="s">
        <v>6</v>
      </c>
      <c r="F5570" t="s">
        <v>724</v>
      </c>
      <c r="G5570">
        <v>1</v>
      </c>
      <c r="H5570" s="2">
        <f>Tabelle13[[#This Row],[commits]]/Tabelle13[[#Totals],[commits]]</f>
        <v>4.6477904404246225E-6</v>
      </c>
      <c r="I5570" s="5">
        <f>Tabelle13[[#This Row],[%]]+I5569</f>
        <v>0.98383963263859475</v>
      </c>
      <c r="J5570" s="4">
        <f t="shared" si="205"/>
        <v>1.105583195135434E-4</v>
      </c>
      <c r="K5570" s="5">
        <f t="shared" si="206"/>
        <v>0.61558872305147139</v>
      </c>
    </row>
    <row r="5571" spans="1:11" x14ac:dyDescent="0.25">
      <c r="A5571" t="s">
        <v>4965</v>
      </c>
      <c r="C5571" t="s">
        <v>4966</v>
      </c>
      <c r="D5571" t="s">
        <v>5</v>
      </c>
      <c r="E5571" t="s">
        <v>6</v>
      </c>
      <c r="F5571" t="s">
        <v>724</v>
      </c>
      <c r="G5571">
        <v>1</v>
      </c>
      <c r="H5571" s="2">
        <f>Tabelle13[[#This Row],[commits]]/Tabelle13[[#Totals],[commits]]</f>
        <v>4.6477904404246225E-6</v>
      </c>
      <c r="I5571" s="5">
        <f>Tabelle13[[#This Row],[%]]+I5570</f>
        <v>0.98384428042903516</v>
      </c>
      <c r="J5571" s="4">
        <f t="shared" ref="J5571:J5634" si="207">1/9045</f>
        <v>1.105583195135434E-4</v>
      </c>
      <c r="K5571" s="5">
        <f t="shared" si="206"/>
        <v>0.61569928137098495</v>
      </c>
    </row>
    <row r="5572" spans="1:11" x14ac:dyDescent="0.25">
      <c r="A5572" t="s">
        <v>4967</v>
      </c>
      <c r="C5572" t="s">
        <v>4968</v>
      </c>
      <c r="D5572" t="s">
        <v>5</v>
      </c>
      <c r="E5572" t="s">
        <v>6</v>
      </c>
      <c r="F5572" t="s">
        <v>724</v>
      </c>
      <c r="G5572">
        <v>1</v>
      </c>
      <c r="H5572" s="2">
        <f>Tabelle13[[#This Row],[commits]]/Tabelle13[[#Totals],[commits]]</f>
        <v>4.6477904404246225E-6</v>
      </c>
      <c r="I5572" s="5">
        <f>Tabelle13[[#This Row],[%]]+I5571</f>
        <v>0.98384892821947556</v>
      </c>
      <c r="J5572" s="4">
        <f t="shared" si="207"/>
        <v>1.105583195135434E-4</v>
      </c>
      <c r="K5572" s="5">
        <f t="shared" si="206"/>
        <v>0.61580983969049852</v>
      </c>
    </row>
    <row r="5573" spans="1:11" x14ac:dyDescent="0.25">
      <c r="A5573" t="s">
        <v>4969</v>
      </c>
      <c r="C5573" t="s">
        <v>4970</v>
      </c>
      <c r="D5573" t="s">
        <v>5</v>
      </c>
      <c r="E5573" t="s">
        <v>6</v>
      </c>
      <c r="F5573" t="s">
        <v>724</v>
      </c>
      <c r="G5573">
        <v>1</v>
      </c>
      <c r="H5573" s="2">
        <f>Tabelle13[[#This Row],[commits]]/Tabelle13[[#Totals],[commits]]</f>
        <v>4.6477904404246225E-6</v>
      </c>
      <c r="I5573" s="5">
        <f>Tabelle13[[#This Row],[%]]+I5572</f>
        <v>0.98385357600991596</v>
      </c>
      <c r="J5573" s="4">
        <f t="shared" si="207"/>
        <v>1.105583195135434E-4</v>
      </c>
      <c r="K5573" s="5">
        <f t="shared" si="206"/>
        <v>0.61592039801001208</v>
      </c>
    </row>
    <row r="5574" spans="1:11" x14ac:dyDescent="0.25">
      <c r="A5574" t="s">
        <v>4971</v>
      </c>
      <c r="C5574" t="s">
        <v>4972</v>
      </c>
      <c r="D5574" t="s">
        <v>5</v>
      </c>
      <c r="E5574" t="s">
        <v>6</v>
      </c>
      <c r="F5574" t="s">
        <v>724</v>
      </c>
      <c r="G5574">
        <v>1</v>
      </c>
      <c r="H5574" s="2">
        <f>Tabelle13[[#This Row],[commits]]/Tabelle13[[#Totals],[commits]]</f>
        <v>4.6477904404246225E-6</v>
      </c>
      <c r="I5574" s="5">
        <f>Tabelle13[[#This Row],[%]]+I5573</f>
        <v>0.98385822380035637</v>
      </c>
      <c r="J5574" s="4">
        <f t="shared" si="207"/>
        <v>1.105583195135434E-4</v>
      </c>
      <c r="K5574" s="5">
        <f t="shared" ref="K5574:K5637" si="208">J5574+K5573</f>
        <v>0.61603095632952565</v>
      </c>
    </row>
    <row r="5575" spans="1:11" x14ac:dyDescent="0.25">
      <c r="A5575" t="s">
        <v>4973</v>
      </c>
      <c r="C5575" t="s">
        <v>4974</v>
      </c>
      <c r="D5575" t="s">
        <v>5</v>
      </c>
      <c r="E5575" t="s">
        <v>6</v>
      </c>
      <c r="F5575" t="s">
        <v>724</v>
      </c>
      <c r="G5575">
        <v>1</v>
      </c>
      <c r="H5575" s="2">
        <f>Tabelle13[[#This Row],[commits]]/Tabelle13[[#Totals],[commits]]</f>
        <v>4.6477904404246225E-6</v>
      </c>
      <c r="I5575" s="5">
        <f>Tabelle13[[#This Row],[%]]+I5574</f>
        <v>0.98386287159079677</v>
      </c>
      <c r="J5575" s="4">
        <f t="shared" si="207"/>
        <v>1.105583195135434E-4</v>
      </c>
      <c r="K5575" s="5">
        <f t="shared" si="208"/>
        <v>0.61614151464903921</v>
      </c>
    </row>
    <row r="5576" spans="1:11" x14ac:dyDescent="0.25">
      <c r="A5576" t="s">
        <v>4975</v>
      </c>
      <c r="C5576" t="s">
        <v>4976</v>
      </c>
      <c r="D5576" t="s">
        <v>5</v>
      </c>
      <c r="E5576" t="s">
        <v>6</v>
      </c>
      <c r="F5576" t="s">
        <v>724</v>
      </c>
      <c r="G5576">
        <v>1</v>
      </c>
      <c r="H5576" s="2">
        <f>Tabelle13[[#This Row],[commits]]/Tabelle13[[#Totals],[commits]]</f>
        <v>4.6477904404246225E-6</v>
      </c>
      <c r="I5576" s="5">
        <f>Tabelle13[[#This Row],[%]]+I5575</f>
        <v>0.98386751938123718</v>
      </c>
      <c r="J5576" s="4">
        <f t="shared" si="207"/>
        <v>1.105583195135434E-4</v>
      </c>
      <c r="K5576" s="5">
        <f t="shared" si="208"/>
        <v>0.61625207296855278</v>
      </c>
    </row>
    <row r="5577" spans="1:11" x14ac:dyDescent="0.25">
      <c r="A5577" t="s">
        <v>4977</v>
      </c>
      <c r="C5577" t="s">
        <v>4978</v>
      </c>
      <c r="D5577" t="s">
        <v>5</v>
      </c>
      <c r="E5577" t="s">
        <v>6</v>
      </c>
      <c r="F5577" t="s">
        <v>724</v>
      </c>
      <c r="G5577">
        <v>1</v>
      </c>
      <c r="H5577" s="2">
        <f>Tabelle13[[#This Row],[commits]]/Tabelle13[[#Totals],[commits]]</f>
        <v>4.6477904404246225E-6</v>
      </c>
      <c r="I5577" s="5">
        <f>Tabelle13[[#This Row],[%]]+I5576</f>
        <v>0.98387216717167758</v>
      </c>
      <c r="J5577" s="4">
        <f t="shared" si="207"/>
        <v>1.105583195135434E-4</v>
      </c>
      <c r="K5577" s="5">
        <f t="shared" si="208"/>
        <v>0.61636263128806634</v>
      </c>
    </row>
    <row r="5578" spans="1:11" x14ac:dyDescent="0.25">
      <c r="A5578" t="s">
        <v>4979</v>
      </c>
      <c r="C5578" t="s">
        <v>4980</v>
      </c>
      <c r="D5578" t="s">
        <v>5</v>
      </c>
      <c r="E5578" t="s">
        <v>6</v>
      </c>
      <c r="F5578" t="s">
        <v>724</v>
      </c>
      <c r="G5578">
        <v>1</v>
      </c>
      <c r="H5578" s="2">
        <f>Tabelle13[[#This Row],[commits]]/Tabelle13[[#Totals],[commits]]</f>
        <v>4.6477904404246225E-6</v>
      </c>
      <c r="I5578" s="5">
        <f>Tabelle13[[#This Row],[%]]+I5577</f>
        <v>0.98387681496211798</v>
      </c>
      <c r="J5578" s="4">
        <f t="shared" si="207"/>
        <v>1.105583195135434E-4</v>
      </c>
      <c r="K5578" s="5">
        <f t="shared" si="208"/>
        <v>0.61647318960757991</v>
      </c>
    </row>
    <row r="5579" spans="1:11" x14ac:dyDescent="0.25">
      <c r="A5579" t="s">
        <v>4981</v>
      </c>
      <c r="C5579" t="s">
        <v>4982</v>
      </c>
      <c r="D5579" t="s">
        <v>5</v>
      </c>
      <c r="E5579" t="s">
        <v>6</v>
      </c>
      <c r="F5579" t="s">
        <v>724</v>
      </c>
      <c r="G5579">
        <v>1</v>
      </c>
      <c r="H5579" s="2">
        <f>Tabelle13[[#This Row],[commits]]/Tabelle13[[#Totals],[commits]]</f>
        <v>4.6477904404246225E-6</v>
      </c>
      <c r="I5579" s="5">
        <f>Tabelle13[[#This Row],[%]]+I5578</f>
        <v>0.98388146275255839</v>
      </c>
      <c r="J5579" s="4">
        <f t="shared" si="207"/>
        <v>1.105583195135434E-4</v>
      </c>
      <c r="K5579" s="5">
        <f t="shared" si="208"/>
        <v>0.61658374792709347</v>
      </c>
    </row>
    <row r="5580" spans="1:11" x14ac:dyDescent="0.25">
      <c r="A5580" t="s">
        <v>4983</v>
      </c>
      <c r="C5580" t="s">
        <v>4984</v>
      </c>
      <c r="D5580" t="s">
        <v>309</v>
      </c>
      <c r="E5580" t="s">
        <v>6</v>
      </c>
      <c r="F5580" t="s">
        <v>724</v>
      </c>
      <c r="G5580">
        <v>1</v>
      </c>
      <c r="H5580" s="2">
        <f>Tabelle13[[#This Row],[commits]]/Tabelle13[[#Totals],[commits]]</f>
        <v>4.6477904404246225E-6</v>
      </c>
      <c r="I5580" s="5">
        <f>Tabelle13[[#This Row],[%]]+I5579</f>
        <v>0.98388611054299879</v>
      </c>
      <c r="J5580" s="4">
        <f t="shared" si="207"/>
        <v>1.105583195135434E-4</v>
      </c>
      <c r="K5580" s="5">
        <f t="shared" si="208"/>
        <v>0.61669430624660704</v>
      </c>
    </row>
    <row r="5581" spans="1:11" x14ac:dyDescent="0.25">
      <c r="A5581" t="s">
        <v>4985</v>
      </c>
      <c r="C5581" t="s">
        <v>4986</v>
      </c>
      <c r="D5581" t="s">
        <v>5</v>
      </c>
      <c r="E5581" t="s">
        <v>6</v>
      </c>
      <c r="F5581" t="s">
        <v>724</v>
      </c>
      <c r="G5581">
        <v>1</v>
      </c>
      <c r="H5581" s="2">
        <f>Tabelle13[[#This Row],[commits]]/Tabelle13[[#Totals],[commits]]</f>
        <v>4.6477904404246225E-6</v>
      </c>
      <c r="I5581" s="5">
        <f>Tabelle13[[#This Row],[%]]+I5580</f>
        <v>0.9838907583334392</v>
      </c>
      <c r="J5581" s="4">
        <f t="shared" si="207"/>
        <v>1.105583195135434E-4</v>
      </c>
      <c r="K5581" s="5">
        <f t="shared" si="208"/>
        <v>0.6168048645661206</v>
      </c>
    </row>
    <row r="5582" spans="1:11" x14ac:dyDescent="0.25">
      <c r="A5582" t="s">
        <v>4987</v>
      </c>
      <c r="C5582" t="s">
        <v>4988</v>
      </c>
      <c r="D5582" t="s">
        <v>5</v>
      </c>
      <c r="E5582" t="s">
        <v>6</v>
      </c>
      <c r="F5582" t="s">
        <v>724</v>
      </c>
      <c r="G5582">
        <v>1</v>
      </c>
      <c r="H5582" s="2">
        <f>Tabelle13[[#This Row],[commits]]/Tabelle13[[#Totals],[commits]]</f>
        <v>4.6477904404246225E-6</v>
      </c>
      <c r="I5582" s="5">
        <f>Tabelle13[[#This Row],[%]]+I5581</f>
        <v>0.9838954061238796</v>
      </c>
      <c r="J5582" s="4">
        <f t="shared" si="207"/>
        <v>1.105583195135434E-4</v>
      </c>
      <c r="K5582" s="5">
        <f t="shared" si="208"/>
        <v>0.61691542288563417</v>
      </c>
    </row>
    <row r="5583" spans="1:11" x14ac:dyDescent="0.25">
      <c r="A5583" t="s">
        <v>4989</v>
      </c>
      <c r="C5583" t="s">
        <v>4990</v>
      </c>
      <c r="D5583" t="s">
        <v>5</v>
      </c>
      <c r="E5583" t="s">
        <v>6</v>
      </c>
      <c r="F5583" t="s">
        <v>724</v>
      </c>
      <c r="G5583">
        <v>1</v>
      </c>
      <c r="H5583" s="2">
        <f>Tabelle13[[#This Row],[commits]]/Tabelle13[[#Totals],[commits]]</f>
        <v>4.6477904404246225E-6</v>
      </c>
      <c r="I5583" s="5">
        <f>Tabelle13[[#This Row],[%]]+I5582</f>
        <v>0.98390005391432001</v>
      </c>
      <c r="J5583" s="4">
        <f t="shared" si="207"/>
        <v>1.105583195135434E-4</v>
      </c>
      <c r="K5583" s="5">
        <f t="shared" si="208"/>
        <v>0.61702598120514773</v>
      </c>
    </row>
    <row r="5584" spans="1:11" x14ac:dyDescent="0.25">
      <c r="A5584" t="s">
        <v>4991</v>
      </c>
      <c r="C5584" t="s">
        <v>4992</v>
      </c>
      <c r="D5584" t="s">
        <v>5</v>
      </c>
      <c r="E5584" t="s">
        <v>6</v>
      </c>
      <c r="F5584" t="s">
        <v>724</v>
      </c>
      <c r="G5584">
        <v>1</v>
      </c>
      <c r="H5584" s="2">
        <f>Tabelle13[[#This Row],[commits]]/Tabelle13[[#Totals],[commits]]</f>
        <v>4.6477904404246225E-6</v>
      </c>
      <c r="I5584" s="5">
        <f>Tabelle13[[#This Row],[%]]+I5583</f>
        <v>0.98390470170476041</v>
      </c>
      <c r="J5584" s="4">
        <f t="shared" si="207"/>
        <v>1.105583195135434E-4</v>
      </c>
      <c r="K5584" s="5">
        <f t="shared" si="208"/>
        <v>0.6171365395246613</v>
      </c>
    </row>
    <row r="5585" spans="1:11" x14ac:dyDescent="0.25">
      <c r="A5585" t="s">
        <v>4993</v>
      </c>
      <c r="C5585" t="s">
        <v>4994</v>
      </c>
      <c r="D5585" t="s">
        <v>5</v>
      </c>
      <c r="E5585" t="s">
        <v>6</v>
      </c>
      <c r="F5585" t="s">
        <v>724</v>
      </c>
      <c r="G5585">
        <v>1</v>
      </c>
      <c r="H5585" s="2">
        <f>Tabelle13[[#This Row],[commits]]/Tabelle13[[#Totals],[commits]]</f>
        <v>4.6477904404246225E-6</v>
      </c>
      <c r="I5585" s="5">
        <f>Tabelle13[[#This Row],[%]]+I5584</f>
        <v>0.98390934949520081</v>
      </c>
      <c r="J5585" s="4">
        <f t="shared" si="207"/>
        <v>1.105583195135434E-4</v>
      </c>
      <c r="K5585" s="5">
        <f t="shared" si="208"/>
        <v>0.61724709784417486</v>
      </c>
    </row>
    <row r="5586" spans="1:11" x14ac:dyDescent="0.25">
      <c r="A5586" t="s">
        <v>4995</v>
      </c>
      <c r="C5586" t="s">
        <v>3374</v>
      </c>
      <c r="D5586" t="s">
        <v>5</v>
      </c>
      <c r="E5586" t="s">
        <v>6</v>
      </c>
      <c r="F5586" t="s">
        <v>724</v>
      </c>
      <c r="G5586">
        <v>1</v>
      </c>
      <c r="H5586" s="2">
        <f>Tabelle13[[#This Row],[commits]]/Tabelle13[[#Totals],[commits]]</f>
        <v>4.6477904404246225E-6</v>
      </c>
      <c r="I5586" s="5">
        <f>Tabelle13[[#This Row],[%]]+I5585</f>
        <v>0.98391399728564122</v>
      </c>
      <c r="J5586" s="4">
        <f t="shared" si="207"/>
        <v>1.105583195135434E-4</v>
      </c>
      <c r="K5586" s="5">
        <f t="shared" si="208"/>
        <v>0.61735765616368843</v>
      </c>
    </row>
    <row r="5587" spans="1:11" x14ac:dyDescent="0.25">
      <c r="A5587" t="s">
        <v>4996</v>
      </c>
      <c r="C5587" t="s">
        <v>4997</v>
      </c>
      <c r="D5587" t="s">
        <v>309</v>
      </c>
      <c r="E5587" t="s">
        <v>6</v>
      </c>
      <c r="F5587" t="s">
        <v>724</v>
      </c>
      <c r="G5587">
        <v>1</v>
      </c>
      <c r="H5587" s="2">
        <f>Tabelle13[[#This Row],[commits]]/Tabelle13[[#Totals],[commits]]</f>
        <v>4.6477904404246225E-6</v>
      </c>
      <c r="I5587" s="5">
        <f>Tabelle13[[#This Row],[%]]+I5586</f>
        <v>0.98391864507608162</v>
      </c>
      <c r="J5587" s="4">
        <f t="shared" si="207"/>
        <v>1.105583195135434E-4</v>
      </c>
      <c r="K5587" s="5">
        <f t="shared" si="208"/>
        <v>0.61746821448320199</v>
      </c>
    </row>
    <row r="5588" spans="1:11" x14ac:dyDescent="0.25">
      <c r="A5588" t="s">
        <v>4998</v>
      </c>
      <c r="C5588" t="s">
        <v>4999</v>
      </c>
      <c r="D5588" t="s">
        <v>5</v>
      </c>
      <c r="E5588" t="s">
        <v>6</v>
      </c>
      <c r="F5588" t="s">
        <v>724</v>
      </c>
      <c r="G5588">
        <v>1</v>
      </c>
      <c r="H5588" s="2">
        <f>Tabelle13[[#This Row],[commits]]/Tabelle13[[#Totals],[commits]]</f>
        <v>4.6477904404246225E-6</v>
      </c>
      <c r="I5588" s="5">
        <f>Tabelle13[[#This Row],[%]]+I5587</f>
        <v>0.98392329286652203</v>
      </c>
      <c r="J5588" s="4">
        <f t="shared" si="207"/>
        <v>1.105583195135434E-4</v>
      </c>
      <c r="K5588" s="5">
        <f t="shared" si="208"/>
        <v>0.61757877280271556</v>
      </c>
    </row>
    <row r="5589" spans="1:11" x14ac:dyDescent="0.25">
      <c r="A5589" t="s">
        <v>5000</v>
      </c>
      <c r="C5589" t="s">
        <v>5001</v>
      </c>
      <c r="D5589" t="s">
        <v>5</v>
      </c>
      <c r="E5589" t="s">
        <v>6</v>
      </c>
      <c r="F5589" t="s">
        <v>724</v>
      </c>
      <c r="G5589">
        <v>1</v>
      </c>
      <c r="H5589" s="2">
        <f>Tabelle13[[#This Row],[commits]]/Tabelle13[[#Totals],[commits]]</f>
        <v>4.6477904404246225E-6</v>
      </c>
      <c r="I5589" s="5">
        <f>Tabelle13[[#This Row],[%]]+I5588</f>
        <v>0.98392794065696243</v>
      </c>
      <c r="J5589" s="4">
        <f t="shared" si="207"/>
        <v>1.105583195135434E-4</v>
      </c>
      <c r="K5589" s="5">
        <f t="shared" si="208"/>
        <v>0.61768933112222912</v>
      </c>
    </row>
    <row r="5590" spans="1:11" x14ac:dyDescent="0.25">
      <c r="A5590" t="s">
        <v>5002</v>
      </c>
      <c r="C5590" t="s">
        <v>5003</v>
      </c>
      <c r="D5590" t="s">
        <v>5</v>
      </c>
      <c r="E5590" t="s">
        <v>6</v>
      </c>
      <c r="F5590" t="s">
        <v>724</v>
      </c>
      <c r="G5590">
        <v>1</v>
      </c>
      <c r="H5590" s="2">
        <f>Tabelle13[[#This Row],[commits]]/Tabelle13[[#Totals],[commits]]</f>
        <v>4.6477904404246225E-6</v>
      </c>
      <c r="I5590" s="5">
        <f>Tabelle13[[#This Row],[%]]+I5589</f>
        <v>0.98393258844740283</v>
      </c>
      <c r="J5590" s="4">
        <f t="shared" si="207"/>
        <v>1.105583195135434E-4</v>
      </c>
      <c r="K5590" s="5">
        <f t="shared" si="208"/>
        <v>0.61779988944174269</v>
      </c>
    </row>
    <row r="5591" spans="1:11" x14ac:dyDescent="0.25">
      <c r="A5591" t="s">
        <v>5004</v>
      </c>
      <c r="C5591" t="s">
        <v>5005</v>
      </c>
      <c r="D5591" t="s">
        <v>5</v>
      </c>
      <c r="E5591" t="s">
        <v>6</v>
      </c>
      <c r="F5591" t="s">
        <v>724</v>
      </c>
      <c r="G5591">
        <v>1</v>
      </c>
      <c r="H5591" s="2">
        <f>Tabelle13[[#This Row],[commits]]/Tabelle13[[#Totals],[commits]]</f>
        <v>4.6477904404246225E-6</v>
      </c>
      <c r="I5591" s="5">
        <f>Tabelle13[[#This Row],[%]]+I5590</f>
        <v>0.98393723623784324</v>
      </c>
      <c r="J5591" s="4">
        <f t="shared" si="207"/>
        <v>1.105583195135434E-4</v>
      </c>
      <c r="K5591" s="5">
        <f t="shared" si="208"/>
        <v>0.61791044776125625</v>
      </c>
    </row>
    <row r="5592" spans="1:11" x14ac:dyDescent="0.25">
      <c r="A5592" t="s">
        <v>5006</v>
      </c>
      <c r="C5592" t="s">
        <v>5007</v>
      </c>
      <c r="D5592" t="s">
        <v>5</v>
      </c>
      <c r="E5592" t="s">
        <v>6</v>
      </c>
      <c r="F5592" t="s">
        <v>724</v>
      </c>
      <c r="G5592">
        <v>1</v>
      </c>
      <c r="H5592" s="2">
        <f>Tabelle13[[#This Row],[commits]]/Tabelle13[[#Totals],[commits]]</f>
        <v>4.6477904404246225E-6</v>
      </c>
      <c r="I5592" s="5">
        <f>Tabelle13[[#This Row],[%]]+I5591</f>
        <v>0.98394188402828364</v>
      </c>
      <c r="J5592" s="4">
        <f t="shared" si="207"/>
        <v>1.105583195135434E-4</v>
      </c>
      <c r="K5592" s="5">
        <f t="shared" si="208"/>
        <v>0.61802100608076982</v>
      </c>
    </row>
    <row r="5593" spans="1:11" x14ac:dyDescent="0.25">
      <c r="A5593" t="s">
        <v>5008</v>
      </c>
      <c r="C5593" t="s">
        <v>5009</v>
      </c>
      <c r="D5593" t="s">
        <v>5</v>
      </c>
      <c r="E5593" t="s">
        <v>6</v>
      </c>
      <c r="F5593" t="s">
        <v>724</v>
      </c>
      <c r="G5593">
        <v>1</v>
      </c>
      <c r="H5593" s="2">
        <f>Tabelle13[[#This Row],[commits]]/Tabelle13[[#Totals],[commits]]</f>
        <v>4.6477904404246225E-6</v>
      </c>
      <c r="I5593" s="5">
        <f>Tabelle13[[#This Row],[%]]+I5592</f>
        <v>0.98394653181872405</v>
      </c>
      <c r="J5593" s="4">
        <f t="shared" si="207"/>
        <v>1.105583195135434E-4</v>
      </c>
      <c r="K5593" s="5">
        <f t="shared" si="208"/>
        <v>0.61813156440028338</v>
      </c>
    </row>
    <row r="5594" spans="1:11" x14ac:dyDescent="0.25">
      <c r="A5594" t="s">
        <v>5010</v>
      </c>
      <c r="C5594" t="s">
        <v>1073</v>
      </c>
      <c r="D5594" t="s">
        <v>5</v>
      </c>
      <c r="E5594" t="s">
        <v>6</v>
      </c>
      <c r="F5594" t="s">
        <v>724</v>
      </c>
      <c r="G5594">
        <v>1</v>
      </c>
      <c r="H5594" s="2">
        <f>Tabelle13[[#This Row],[commits]]/Tabelle13[[#Totals],[commits]]</f>
        <v>4.6477904404246225E-6</v>
      </c>
      <c r="I5594" s="5">
        <f>Tabelle13[[#This Row],[%]]+I5593</f>
        <v>0.98395117960916445</v>
      </c>
      <c r="J5594" s="4">
        <f t="shared" si="207"/>
        <v>1.105583195135434E-4</v>
      </c>
      <c r="K5594" s="5">
        <f t="shared" si="208"/>
        <v>0.61824212271979695</v>
      </c>
    </row>
    <row r="5595" spans="1:11" x14ac:dyDescent="0.25">
      <c r="A5595" t="s">
        <v>5011</v>
      </c>
      <c r="C5595" t="s">
        <v>5012</v>
      </c>
      <c r="D5595" t="s">
        <v>5</v>
      </c>
      <c r="E5595" t="s">
        <v>6</v>
      </c>
      <c r="F5595" t="s">
        <v>724</v>
      </c>
      <c r="G5595">
        <v>1</v>
      </c>
      <c r="H5595" s="2">
        <f>Tabelle13[[#This Row],[commits]]/Tabelle13[[#Totals],[commits]]</f>
        <v>4.6477904404246225E-6</v>
      </c>
      <c r="I5595" s="5">
        <f>Tabelle13[[#This Row],[%]]+I5594</f>
        <v>0.98395582739960485</v>
      </c>
      <c r="J5595" s="4">
        <f t="shared" si="207"/>
        <v>1.105583195135434E-4</v>
      </c>
      <c r="K5595" s="5">
        <f t="shared" si="208"/>
        <v>0.61835268103931051</v>
      </c>
    </row>
    <row r="5596" spans="1:11" x14ac:dyDescent="0.25">
      <c r="A5596" t="s">
        <v>5013</v>
      </c>
      <c r="C5596" t="s">
        <v>5014</v>
      </c>
      <c r="D5596" t="s">
        <v>5</v>
      </c>
      <c r="E5596" t="s">
        <v>6</v>
      </c>
      <c r="F5596" t="s">
        <v>724</v>
      </c>
      <c r="G5596">
        <v>1</v>
      </c>
      <c r="H5596" s="2">
        <f>Tabelle13[[#This Row],[commits]]/Tabelle13[[#Totals],[commits]]</f>
        <v>4.6477904404246225E-6</v>
      </c>
      <c r="I5596" s="5">
        <f>Tabelle13[[#This Row],[%]]+I5595</f>
        <v>0.98396047519004526</v>
      </c>
      <c r="J5596" s="4">
        <f t="shared" si="207"/>
        <v>1.105583195135434E-4</v>
      </c>
      <c r="K5596" s="5">
        <f t="shared" si="208"/>
        <v>0.61846323935882408</v>
      </c>
    </row>
    <row r="5597" spans="1:11" x14ac:dyDescent="0.25">
      <c r="A5597" t="s">
        <v>5015</v>
      </c>
      <c r="C5597" t="s">
        <v>5016</v>
      </c>
      <c r="D5597" t="s">
        <v>5</v>
      </c>
      <c r="E5597" t="s">
        <v>6</v>
      </c>
      <c r="F5597" t="s">
        <v>724</v>
      </c>
      <c r="G5597">
        <v>1</v>
      </c>
      <c r="H5597" s="2">
        <f>Tabelle13[[#This Row],[commits]]/Tabelle13[[#Totals],[commits]]</f>
        <v>4.6477904404246225E-6</v>
      </c>
      <c r="I5597" s="5">
        <f>Tabelle13[[#This Row],[%]]+I5596</f>
        <v>0.98396512298048566</v>
      </c>
      <c r="J5597" s="4">
        <f t="shared" si="207"/>
        <v>1.105583195135434E-4</v>
      </c>
      <c r="K5597" s="5">
        <f t="shared" si="208"/>
        <v>0.61857379767833764</v>
      </c>
    </row>
    <row r="5598" spans="1:11" x14ac:dyDescent="0.25">
      <c r="A5598" t="s">
        <v>5017</v>
      </c>
      <c r="C5598" t="s">
        <v>5018</v>
      </c>
      <c r="D5598" t="s">
        <v>5</v>
      </c>
      <c r="E5598" t="s">
        <v>6</v>
      </c>
      <c r="F5598" t="s">
        <v>724</v>
      </c>
      <c r="G5598">
        <v>1</v>
      </c>
      <c r="H5598" s="2">
        <f>Tabelle13[[#This Row],[commits]]/Tabelle13[[#Totals],[commits]]</f>
        <v>4.6477904404246225E-6</v>
      </c>
      <c r="I5598" s="5">
        <f>Tabelle13[[#This Row],[%]]+I5597</f>
        <v>0.98396977077092607</v>
      </c>
      <c r="J5598" s="4">
        <f t="shared" si="207"/>
        <v>1.105583195135434E-4</v>
      </c>
      <c r="K5598" s="5">
        <f t="shared" si="208"/>
        <v>0.61868435599785121</v>
      </c>
    </row>
    <row r="5599" spans="1:11" x14ac:dyDescent="0.25">
      <c r="A5599" t="s">
        <v>5019</v>
      </c>
      <c r="C5599" t="s">
        <v>5020</v>
      </c>
      <c r="D5599" t="s">
        <v>5</v>
      </c>
      <c r="E5599" t="s">
        <v>6</v>
      </c>
      <c r="F5599" t="s">
        <v>724</v>
      </c>
      <c r="G5599">
        <v>1</v>
      </c>
      <c r="H5599" s="2">
        <f>Tabelle13[[#This Row],[commits]]/Tabelle13[[#Totals],[commits]]</f>
        <v>4.6477904404246225E-6</v>
      </c>
      <c r="I5599" s="5">
        <f>Tabelle13[[#This Row],[%]]+I5598</f>
        <v>0.98397441856136647</v>
      </c>
      <c r="J5599" s="4">
        <f t="shared" si="207"/>
        <v>1.105583195135434E-4</v>
      </c>
      <c r="K5599" s="5">
        <f t="shared" si="208"/>
        <v>0.61879491431736477</v>
      </c>
    </row>
    <row r="5600" spans="1:11" x14ac:dyDescent="0.25">
      <c r="A5600" t="s">
        <v>5021</v>
      </c>
      <c r="C5600" t="s">
        <v>211</v>
      </c>
      <c r="D5600" t="s">
        <v>5</v>
      </c>
      <c r="E5600" t="s">
        <v>6</v>
      </c>
      <c r="F5600" t="s">
        <v>724</v>
      </c>
      <c r="G5600">
        <v>1</v>
      </c>
      <c r="H5600" s="2">
        <f>Tabelle13[[#This Row],[commits]]/Tabelle13[[#Totals],[commits]]</f>
        <v>4.6477904404246225E-6</v>
      </c>
      <c r="I5600" s="5">
        <f>Tabelle13[[#This Row],[%]]+I5599</f>
        <v>0.98397906635180687</v>
      </c>
      <c r="J5600" s="4">
        <f t="shared" si="207"/>
        <v>1.105583195135434E-4</v>
      </c>
      <c r="K5600" s="5">
        <f t="shared" si="208"/>
        <v>0.61890547263687834</v>
      </c>
    </row>
    <row r="5601" spans="1:11" x14ac:dyDescent="0.25">
      <c r="A5601" t="s">
        <v>5022</v>
      </c>
      <c r="C5601" t="s">
        <v>5023</v>
      </c>
      <c r="D5601" t="s">
        <v>5</v>
      </c>
      <c r="E5601" t="s">
        <v>6</v>
      </c>
      <c r="F5601" t="s">
        <v>724</v>
      </c>
      <c r="G5601">
        <v>1</v>
      </c>
      <c r="H5601" s="2">
        <f>Tabelle13[[#This Row],[commits]]/Tabelle13[[#Totals],[commits]]</f>
        <v>4.6477904404246225E-6</v>
      </c>
      <c r="I5601" s="5">
        <f>Tabelle13[[#This Row],[%]]+I5600</f>
        <v>0.98398371414224728</v>
      </c>
      <c r="J5601" s="4">
        <f t="shared" si="207"/>
        <v>1.105583195135434E-4</v>
      </c>
      <c r="K5601" s="5">
        <f t="shared" si="208"/>
        <v>0.6190160309563919</v>
      </c>
    </row>
    <row r="5602" spans="1:11" x14ac:dyDescent="0.25">
      <c r="A5602" t="s">
        <v>5024</v>
      </c>
      <c r="C5602" t="s">
        <v>5025</v>
      </c>
      <c r="D5602" t="s">
        <v>5</v>
      </c>
      <c r="E5602" t="s">
        <v>6</v>
      </c>
      <c r="F5602" t="s">
        <v>724</v>
      </c>
      <c r="G5602">
        <v>1</v>
      </c>
      <c r="H5602" s="2">
        <f>Tabelle13[[#This Row],[commits]]/Tabelle13[[#Totals],[commits]]</f>
        <v>4.6477904404246225E-6</v>
      </c>
      <c r="I5602" s="5">
        <f>Tabelle13[[#This Row],[%]]+I5601</f>
        <v>0.98398836193268768</v>
      </c>
      <c r="J5602" s="4">
        <f t="shared" si="207"/>
        <v>1.105583195135434E-4</v>
      </c>
      <c r="K5602" s="5">
        <f t="shared" si="208"/>
        <v>0.61912658927590547</v>
      </c>
    </row>
    <row r="5603" spans="1:11" x14ac:dyDescent="0.25">
      <c r="A5603" t="s">
        <v>5026</v>
      </c>
      <c r="C5603" t="s">
        <v>5027</v>
      </c>
      <c r="D5603" t="s">
        <v>5</v>
      </c>
      <c r="E5603" t="s">
        <v>6</v>
      </c>
      <c r="F5603" t="s">
        <v>724</v>
      </c>
      <c r="G5603">
        <v>1</v>
      </c>
      <c r="H5603" s="2">
        <f>Tabelle13[[#This Row],[commits]]/Tabelle13[[#Totals],[commits]]</f>
        <v>4.6477904404246225E-6</v>
      </c>
      <c r="I5603" s="5">
        <f>Tabelle13[[#This Row],[%]]+I5602</f>
        <v>0.98399300972312809</v>
      </c>
      <c r="J5603" s="4">
        <f t="shared" si="207"/>
        <v>1.105583195135434E-4</v>
      </c>
      <c r="K5603" s="5">
        <f t="shared" si="208"/>
        <v>0.61923714759541904</v>
      </c>
    </row>
    <row r="5604" spans="1:11" x14ac:dyDescent="0.25">
      <c r="A5604" t="s">
        <v>5028</v>
      </c>
      <c r="C5604" t="s">
        <v>5029</v>
      </c>
      <c r="D5604" t="s">
        <v>309</v>
      </c>
      <c r="E5604" t="s">
        <v>6</v>
      </c>
      <c r="F5604" t="s">
        <v>724</v>
      </c>
      <c r="G5604">
        <v>1</v>
      </c>
      <c r="H5604" s="2">
        <f>Tabelle13[[#This Row],[commits]]/Tabelle13[[#Totals],[commits]]</f>
        <v>4.6477904404246225E-6</v>
      </c>
      <c r="I5604" s="5">
        <f>Tabelle13[[#This Row],[%]]+I5603</f>
        <v>0.98399765751356849</v>
      </c>
      <c r="J5604" s="4">
        <f t="shared" si="207"/>
        <v>1.105583195135434E-4</v>
      </c>
      <c r="K5604" s="5">
        <f t="shared" si="208"/>
        <v>0.6193477059149326</v>
      </c>
    </row>
    <row r="5605" spans="1:11" x14ac:dyDescent="0.25">
      <c r="A5605" t="s">
        <v>5030</v>
      </c>
      <c r="C5605" t="s">
        <v>5031</v>
      </c>
      <c r="D5605" t="s">
        <v>5</v>
      </c>
      <c r="E5605" t="s">
        <v>6</v>
      </c>
      <c r="F5605" t="s">
        <v>724</v>
      </c>
      <c r="G5605">
        <v>1</v>
      </c>
      <c r="H5605" s="2">
        <f>Tabelle13[[#This Row],[commits]]/Tabelle13[[#Totals],[commits]]</f>
        <v>4.6477904404246225E-6</v>
      </c>
      <c r="I5605" s="5">
        <f>Tabelle13[[#This Row],[%]]+I5604</f>
        <v>0.9840023053040089</v>
      </c>
      <c r="J5605" s="4">
        <f t="shared" si="207"/>
        <v>1.105583195135434E-4</v>
      </c>
      <c r="K5605" s="5">
        <f t="shared" si="208"/>
        <v>0.61945826423444617</v>
      </c>
    </row>
    <row r="5606" spans="1:11" x14ac:dyDescent="0.25">
      <c r="A5606" t="s">
        <v>5032</v>
      </c>
      <c r="C5606" t="s">
        <v>5033</v>
      </c>
      <c r="D5606" t="s">
        <v>5</v>
      </c>
      <c r="E5606" t="s">
        <v>6</v>
      </c>
      <c r="F5606" t="s">
        <v>724</v>
      </c>
      <c r="G5606">
        <v>1</v>
      </c>
      <c r="H5606" s="2">
        <f>Tabelle13[[#This Row],[commits]]/Tabelle13[[#Totals],[commits]]</f>
        <v>4.6477904404246225E-6</v>
      </c>
      <c r="I5606" s="5">
        <f>Tabelle13[[#This Row],[%]]+I5605</f>
        <v>0.9840069530944493</v>
      </c>
      <c r="J5606" s="4">
        <f t="shared" si="207"/>
        <v>1.105583195135434E-4</v>
      </c>
      <c r="K5606" s="5">
        <f t="shared" si="208"/>
        <v>0.61956882255395973</v>
      </c>
    </row>
    <row r="5607" spans="1:11" x14ac:dyDescent="0.25">
      <c r="A5607" t="s">
        <v>5034</v>
      </c>
      <c r="C5607" t="s">
        <v>5035</v>
      </c>
      <c r="D5607" t="s">
        <v>5</v>
      </c>
      <c r="E5607" t="s">
        <v>6</v>
      </c>
      <c r="F5607" t="s">
        <v>724</v>
      </c>
      <c r="G5607">
        <v>1</v>
      </c>
      <c r="H5607" s="2">
        <f>Tabelle13[[#This Row],[commits]]/Tabelle13[[#Totals],[commits]]</f>
        <v>4.6477904404246225E-6</v>
      </c>
      <c r="I5607" s="5">
        <f>Tabelle13[[#This Row],[%]]+I5606</f>
        <v>0.9840116008848897</v>
      </c>
      <c r="J5607" s="4">
        <f t="shared" si="207"/>
        <v>1.105583195135434E-4</v>
      </c>
      <c r="K5607" s="5">
        <f t="shared" si="208"/>
        <v>0.6196793808734733</v>
      </c>
    </row>
    <row r="5608" spans="1:11" x14ac:dyDescent="0.25">
      <c r="A5608" t="s">
        <v>5036</v>
      </c>
      <c r="C5608" t="s">
        <v>5037</v>
      </c>
      <c r="D5608" t="s">
        <v>5</v>
      </c>
      <c r="E5608" t="s">
        <v>6</v>
      </c>
      <c r="F5608" t="s">
        <v>724</v>
      </c>
      <c r="G5608">
        <v>1</v>
      </c>
      <c r="H5608" s="2">
        <f>Tabelle13[[#This Row],[commits]]/Tabelle13[[#Totals],[commits]]</f>
        <v>4.6477904404246225E-6</v>
      </c>
      <c r="I5608" s="5">
        <f>Tabelle13[[#This Row],[%]]+I5607</f>
        <v>0.98401624867533011</v>
      </c>
      <c r="J5608" s="4">
        <f t="shared" si="207"/>
        <v>1.105583195135434E-4</v>
      </c>
      <c r="K5608" s="5">
        <f t="shared" si="208"/>
        <v>0.61978993919298686</v>
      </c>
    </row>
    <row r="5609" spans="1:11" x14ac:dyDescent="0.25">
      <c r="A5609" t="s">
        <v>5038</v>
      </c>
      <c r="C5609" t="s">
        <v>5039</v>
      </c>
      <c r="D5609" t="s">
        <v>5</v>
      </c>
      <c r="E5609" t="s">
        <v>6</v>
      </c>
      <c r="F5609" t="s">
        <v>724</v>
      </c>
      <c r="G5609">
        <v>1</v>
      </c>
      <c r="H5609" s="2">
        <f>Tabelle13[[#This Row],[commits]]/Tabelle13[[#Totals],[commits]]</f>
        <v>4.6477904404246225E-6</v>
      </c>
      <c r="I5609" s="5">
        <f>Tabelle13[[#This Row],[%]]+I5608</f>
        <v>0.98402089646577051</v>
      </c>
      <c r="J5609" s="4">
        <f t="shared" si="207"/>
        <v>1.105583195135434E-4</v>
      </c>
      <c r="K5609" s="5">
        <f t="shared" si="208"/>
        <v>0.61990049751250043</v>
      </c>
    </row>
    <row r="5610" spans="1:11" x14ac:dyDescent="0.25">
      <c r="A5610" t="s">
        <v>5040</v>
      </c>
      <c r="C5610" t="s">
        <v>5041</v>
      </c>
      <c r="D5610" t="s">
        <v>5</v>
      </c>
      <c r="E5610" t="s">
        <v>6</v>
      </c>
      <c r="F5610" t="s">
        <v>724</v>
      </c>
      <c r="G5610">
        <v>1</v>
      </c>
      <c r="H5610" s="2">
        <f>Tabelle13[[#This Row],[commits]]/Tabelle13[[#Totals],[commits]]</f>
        <v>4.6477904404246225E-6</v>
      </c>
      <c r="I5610" s="5">
        <f>Tabelle13[[#This Row],[%]]+I5609</f>
        <v>0.98402554425621092</v>
      </c>
      <c r="J5610" s="4">
        <f t="shared" si="207"/>
        <v>1.105583195135434E-4</v>
      </c>
      <c r="K5610" s="5">
        <f t="shared" si="208"/>
        <v>0.62001105583201399</v>
      </c>
    </row>
    <row r="5611" spans="1:11" x14ac:dyDescent="0.25">
      <c r="A5611" t="s">
        <v>5042</v>
      </c>
      <c r="C5611" t="s">
        <v>5043</v>
      </c>
      <c r="D5611" t="s">
        <v>5</v>
      </c>
      <c r="E5611" t="s">
        <v>6</v>
      </c>
      <c r="F5611" t="s">
        <v>724</v>
      </c>
      <c r="G5611">
        <v>1</v>
      </c>
      <c r="H5611" s="2">
        <f>Tabelle13[[#This Row],[commits]]/Tabelle13[[#Totals],[commits]]</f>
        <v>4.6477904404246225E-6</v>
      </c>
      <c r="I5611" s="5">
        <f>Tabelle13[[#This Row],[%]]+I5610</f>
        <v>0.98403019204665132</v>
      </c>
      <c r="J5611" s="4">
        <f t="shared" si="207"/>
        <v>1.105583195135434E-4</v>
      </c>
      <c r="K5611" s="5">
        <f t="shared" si="208"/>
        <v>0.62012161415152756</v>
      </c>
    </row>
    <row r="5612" spans="1:11" x14ac:dyDescent="0.25">
      <c r="A5612" t="s">
        <v>5044</v>
      </c>
      <c r="C5612" t="s">
        <v>5045</v>
      </c>
      <c r="D5612" t="s">
        <v>5</v>
      </c>
      <c r="E5612" t="s">
        <v>6</v>
      </c>
      <c r="F5612" t="s">
        <v>724</v>
      </c>
      <c r="G5612">
        <v>1</v>
      </c>
      <c r="H5612" s="2">
        <f>Tabelle13[[#This Row],[commits]]/Tabelle13[[#Totals],[commits]]</f>
        <v>4.6477904404246225E-6</v>
      </c>
      <c r="I5612" s="5">
        <f>Tabelle13[[#This Row],[%]]+I5611</f>
        <v>0.98403483983709172</v>
      </c>
      <c r="J5612" s="4">
        <f t="shared" si="207"/>
        <v>1.105583195135434E-4</v>
      </c>
      <c r="K5612" s="5">
        <f t="shared" si="208"/>
        <v>0.62023217247104112</v>
      </c>
    </row>
    <row r="5613" spans="1:11" x14ac:dyDescent="0.25">
      <c r="A5613" t="s">
        <v>5046</v>
      </c>
      <c r="C5613" t="s">
        <v>5047</v>
      </c>
      <c r="D5613" t="s">
        <v>5</v>
      </c>
      <c r="E5613" t="s">
        <v>6</v>
      </c>
      <c r="F5613" t="s">
        <v>724</v>
      </c>
      <c r="G5613">
        <v>1</v>
      </c>
      <c r="H5613" s="2">
        <f>Tabelle13[[#This Row],[commits]]/Tabelle13[[#Totals],[commits]]</f>
        <v>4.6477904404246225E-6</v>
      </c>
      <c r="I5613" s="5">
        <f>Tabelle13[[#This Row],[%]]+I5612</f>
        <v>0.98403948762753213</v>
      </c>
      <c r="J5613" s="4">
        <f t="shared" si="207"/>
        <v>1.105583195135434E-4</v>
      </c>
      <c r="K5613" s="5">
        <f t="shared" si="208"/>
        <v>0.62034273079055469</v>
      </c>
    </row>
    <row r="5614" spans="1:11" x14ac:dyDescent="0.25">
      <c r="A5614" t="s">
        <v>5048</v>
      </c>
      <c r="C5614" t="s">
        <v>5049</v>
      </c>
      <c r="D5614" t="s">
        <v>5</v>
      </c>
      <c r="E5614" t="s">
        <v>6</v>
      </c>
      <c r="F5614" t="s">
        <v>724</v>
      </c>
      <c r="G5614">
        <v>1</v>
      </c>
      <c r="H5614" s="2">
        <f>Tabelle13[[#This Row],[commits]]/Tabelle13[[#Totals],[commits]]</f>
        <v>4.6477904404246225E-6</v>
      </c>
      <c r="I5614" s="5">
        <f>Tabelle13[[#This Row],[%]]+I5613</f>
        <v>0.98404413541797253</v>
      </c>
      <c r="J5614" s="4">
        <f t="shared" si="207"/>
        <v>1.105583195135434E-4</v>
      </c>
      <c r="K5614" s="5">
        <f t="shared" si="208"/>
        <v>0.62045328911006825</v>
      </c>
    </row>
    <row r="5615" spans="1:11" x14ac:dyDescent="0.25">
      <c r="A5615" t="s">
        <v>5050</v>
      </c>
      <c r="C5615" t="s">
        <v>5051</v>
      </c>
      <c r="D5615" t="s">
        <v>5</v>
      </c>
      <c r="E5615" t="s">
        <v>6</v>
      </c>
      <c r="F5615" t="s">
        <v>724</v>
      </c>
      <c r="G5615">
        <v>1</v>
      </c>
      <c r="H5615" s="2">
        <f>Tabelle13[[#This Row],[commits]]/Tabelle13[[#Totals],[commits]]</f>
        <v>4.6477904404246225E-6</v>
      </c>
      <c r="I5615" s="5">
        <f>Tabelle13[[#This Row],[%]]+I5614</f>
        <v>0.98404878320841294</v>
      </c>
      <c r="J5615" s="4">
        <f t="shared" si="207"/>
        <v>1.105583195135434E-4</v>
      </c>
      <c r="K5615" s="5">
        <f t="shared" si="208"/>
        <v>0.62056384742958182</v>
      </c>
    </row>
    <row r="5616" spans="1:11" x14ac:dyDescent="0.25">
      <c r="A5616" t="s">
        <v>5052</v>
      </c>
      <c r="C5616" t="s">
        <v>5053</v>
      </c>
      <c r="D5616" t="s">
        <v>5</v>
      </c>
      <c r="E5616" t="s">
        <v>6</v>
      </c>
      <c r="F5616" t="s">
        <v>724</v>
      </c>
      <c r="G5616">
        <v>1</v>
      </c>
      <c r="H5616" s="2">
        <f>Tabelle13[[#This Row],[commits]]/Tabelle13[[#Totals],[commits]]</f>
        <v>4.6477904404246225E-6</v>
      </c>
      <c r="I5616" s="5">
        <f>Tabelle13[[#This Row],[%]]+I5615</f>
        <v>0.98405343099885334</v>
      </c>
      <c r="J5616" s="4">
        <f t="shared" si="207"/>
        <v>1.105583195135434E-4</v>
      </c>
      <c r="K5616" s="5">
        <f t="shared" si="208"/>
        <v>0.62067440574909538</v>
      </c>
    </row>
    <row r="5617" spans="1:11" x14ac:dyDescent="0.25">
      <c r="A5617" t="s">
        <v>5054</v>
      </c>
      <c r="C5617" t="s">
        <v>5055</v>
      </c>
      <c r="D5617" t="s">
        <v>5</v>
      </c>
      <c r="E5617" t="s">
        <v>6</v>
      </c>
      <c r="F5617" t="s">
        <v>724</v>
      </c>
      <c r="G5617">
        <v>1</v>
      </c>
      <c r="H5617" s="2">
        <f>Tabelle13[[#This Row],[commits]]/Tabelle13[[#Totals],[commits]]</f>
        <v>4.6477904404246225E-6</v>
      </c>
      <c r="I5617" s="5">
        <f>Tabelle13[[#This Row],[%]]+I5616</f>
        <v>0.98405807878929374</v>
      </c>
      <c r="J5617" s="4">
        <f t="shared" si="207"/>
        <v>1.105583195135434E-4</v>
      </c>
      <c r="K5617" s="5">
        <f t="shared" si="208"/>
        <v>0.62078496406860895</v>
      </c>
    </row>
    <row r="5618" spans="1:11" x14ac:dyDescent="0.25">
      <c r="A5618" t="s">
        <v>5056</v>
      </c>
      <c r="C5618" t="s">
        <v>5057</v>
      </c>
      <c r="D5618" t="s">
        <v>5</v>
      </c>
      <c r="E5618" t="s">
        <v>6</v>
      </c>
      <c r="F5618" t="s">
        <v>724</v>
      </c>
      <c r="G5618">
        <v>1</v>
      </c>
      <c r="H5618" s="2">
        <f>Tabelle13[[#This Row],[commits]]/Tabelle13[[#Totals],[commits]]</f>
        <v>4.6477904404246225E-6</v>
      </c>
      <c r="I5618" s="5">
        <f>Tabelle13[[#This Row],[%]]+I5617</f>
        <v>0.98406272657973415</v>
      </c>
      <c r="J5618" s="4">
        <f t="shared" si="207"/>
        <v>1.105583195135434E-4</v>
      </c>
      <c r="K5618" s="5">
        <f t="shared" si="208"/>
        <v>0.62089552238812251</v>
      </c>
    </row>
    <row r="5619" spans="1:11" x14ac:dyDescent="0.25">
      <c r="A5619" t="s">
        <v>5058</v>
      </c>
      <c r="C5619" t="s">
        <v>5059</v>
      </c>
      <c r="D5619" t="s">
        <v>5</v>
      </c>
      <c r="E5619" t="s">
        <v>6</v>
      </c>
      <c r="F5619" t="s">
        <v>334</v>
      </c>
      <c r="G5619">
        <v>1</v>
      </c>
      <c r="H5619" s="2">
        <f>Tabelle13[[#This Row],[commits]]/Tabelle13[[#Totals],[commits]]</f>
        <v>4.6477904404246225E-6</v>
      </c>
      <c r="I5619" s="5">
        <f>Tabelle13[[#This Row],[%]]+I5618</f>
        <v>0.98406737437017455</v>
      </c>
      <c r="J5619" s="4">
        <f t="shared" si="207"/>
        <v>1.105583195135434E-4</v>
      </c>
      <c r="K5619" s="5">
        <f t="shared" si="208"/>
        <v>0.62100608070763608</v>
      </c>
    </row>
    <row r="5620" spans="1:11" x14ac:dyDescent="0.25">
      <c r="A5620" t="s">
        <v>5060</v>
      </c>
      <c r="C5620" t="s">
        <v>5061</v>
      </c>
      <c r="D5620" t="s">
        <v>5</v>
      </c>
      <c r="E5620" t="s">
        <v>6</v>
      </c>
      <c r="F5620" t="s">
        <v>724</v>
      </c>
      <c r="G5620">
        <v>1</v>
      </c>
      <c r="H5620" s="2">
        <f>Tabelle13[[#This Row],[commits]]/Tabelle13[[#Totals],[commits]]</f>
        <v>4.6477904404246225E-6</v>
      </c>
      <c r="I5620" s="5">
        <f>Tabelle13[[#This Row],[%]]+I5619</f>
        <v>0.98407202216061496</v>
      </c>
      <c r="J5620" s="4">
        <f t="shared" si="207"/>
        <v>1.105583195135434E-4</v>
      </c>
      <c r="K5620" s="5">
        <f t="shared" si="208"/>
        <v>0.62111663902714964</v>
      </c>
    </row>
    <row r="5621" spans="1:11" x14ac:dyDescent="0.25">
      <c r="A5621" t="s">
        <v>5062</v>
      </c>
      <c r="C5621" t="s">
        <v>5063</v>
      </c>
      <c r="D5621" t="s">
        <v>5</v>
      </c>
      <c r="E5621" t="s">
        <v>6</v>
      </c>
      <c r="F5621" t="s">
        <v>724</v>
      </c>
      <c r="G5621">
        <v>1</v>
      </c>
      <c r="H5621" s="2">
        <f>Tabelle13[[#This Row],[commits]]/Tabelle13[[#Totals],[commits]]</f>
        <v>4.6477904404246225E-6</v>
      </c>
      <c r="I5621" s="5">
        <f>Tabelle13[[#This Row],[%]]+I5620</f>
        <v>0.98407666995105536</v>
      </c>
      <c r="J5621" s="4">
        <f t="shared" si="207"/>
        <v>1.105583195135434E-4</v>
      </c>
      <c r="K5621" s="5">
        <f t="shared" si="208"/>
        <v>0.62122719734666321</v>
      </c>
    </row>
    <row r="5622" spans="1:11" x14ac:dyDescent="0.25">
      <c r="A5622" t="s">
        <v>5064</v>
      </c>
      <c r="C5622" t="s">
        <v>5065</v>
      </c>
      <c r="D5622" t="s">
        <v>5</v>
      </c>
      <c r="E5622" t="s">
        <v>6</v>
      </c>
      <c r="F5622" t="s">
        <v>724</v>
      </c>
      <c r="G5622">
        <v>1</v>
      </c>
      <c r="H5622" s="2">
        <f>Tabelle13[[#This Row],[commits]]/Tabelle13[[#Totals],[commits]]</f>
        <v>4.6477904404246225E-6</v>
      </c>
      <c r="I5622" s="5">
        <f>Tabelle13[[#This Row],[%]]+I5621</f>
        <v>0.98408131774149576</v>
      </c>
      <c r="J5622" s="4">
        <f t="shared" si="207"/>
        <v>1.105583195135434E-4</v>
      </c>
      <c r="K5622" s="5">
        <f t="shared" si="208"/>
        <v>0.62133775566617677</v>
      </c>
    </row>
    <row r="5623" spans="1:11" x14ac:dyDescent="0.25">
      <c r="A5623" t="s">
        <v>5066</v>
      </c>
      <c r="C5623" t="s">
        <v>5067</v>
      </c>
      <c r="D5623" t="s">
        <v>5</v>
      </c>
      <c r="E5623" t="s">
        <v>6</v>
      </c>
      <c r="F5623" t="s">
        <v>724</v>
      </c>
      <c r="G5623">
        <v>1</v>
      </c>
      <c r="H5623" s="2">
        <f>Tabelle13[[#This Row],[commits]]/Tabelle13[[#Totals],[commits]]</f>
        <v>4.6477904404246225E-6</v>
      </c>
      <c r="I5623" s="5">
        <f>Tabelle13[[#This Row],[%]]+I5622</f>
        <v>0.98408596553193617</v>
      </c>
      <c r="J5623" s="4">
        <f t="shared" si="207"/>
        <v>1.105583195135434E-4</v>
      </c>
      <c r="K5623" s="5">
        <f t="shared" si="208"/>
        <v>0.62144831398569034</v>
      </c>
    </row>
    <row r="5624" spans="1:11" x14ac:dyDescent="0.25">
      <c r="A5624" t="s">
        <v>5068</v>
      </c>
      <c r="C5624" t="s">
        <v>5069</v>
      </c>
      <c r="D5624" t="s">
        <v>5</v>
      </c>
      <c r="E5624" t="s">
        <v>6</v>
      </c>
      <c r="F5624" t="s">
        <v>724</v>
      </c>
      <c r="G5624">
        <v>1</v>
      </c>
      <c r="H5624" s="2">
        <f>Tabelle13[[#This Row],[commits]]/Tabelle13[[#Totals],[commits]]</f>
        <v>4.6477904404246225E-6</v>
      </c>
      <c r="I5624" s="5">
        <f>Tabelle13[[#This Row],[%]]+I5623</f>
        <v>0.98409061332237657</v>
      </c>
      <c r="J5624" s="4">
        <f t="shared" si="207"/>
        <v>1.105583195135434E-4</v>
      </c>
      <c r="K5624" s="5">
        <f t="shared" si="208"/>
        <v>0.6215588723052039</v>
      </c>
    </row>
    <row r="5625" spans="1:11" x14ac:dyDescent="0.25">
      <c r="A5625" t="s">
        <v>5070</v>
      </c>
      <c r="C5625" t="s">
        <v>5071</v>
      </c>
      <c r="D5625" t="s">
        <v>5</v>
      </c>
      <c r="E5625" t="s">
        <v>6</v>
      </c>
      <c r="F5625" t="s">
        <v>724</v>
      </c>
      <c r="G5625">
        <v>1</v>
      </c>
      <c r="H5625" s="2">
        <f>Tabelle13[[#This Row],[commits]]/Tabelle13[[#Totals],[commits]]</f>
        <v>4.6477904404246225E-6</v>
      </c>
      <c r="I5625" s="5">
        <f>Tabelle13[[#This Row],[%]]+I5624</f>
        <v>0.98409526111281698</v>
      </c>
      <c r="J5625" s="4">
        <f t="shared" si="207"/>
        <v>1.105583195135434E-4</v>
      </c>
      <c r="K5625" s="5">
        <f t="shared" si="208"/>
        <v>0.62166943062471747</v>
      </c>
    </row>
    <row r="5626" spans="1:11" x14ac:dyDescent="0.25">
      <c r="A5626" t="s">
        <v>5072</v>
      </c>
      <c r="C5626" t="s">
        <v>5073</v>
      </c>
      <c r="D5626" t="s">
        <v>5</v>
      </c>
      <c r="E5626" t="s">
        <v>6</v>
      </c>
      <c r="F5626" t="s">
        <v>724</v>
      </c>
      <c r="G5626">
        <v>1</v>
      </c>
      <c r="H5626" s="2">
        <f>Tabelle13[[#This Row],[commits]]/Tabelle13[[#Totals],[commits]]</f>
        <v>4.6477904404246225E-6</v>
      </c>
      <c r="I5626" s="5">
        <f>Tabelle13[[#This Row],[%]]+I5625</f>
        <v>0.98409990890325738</v>
      </c>
      <c r="J5626" s="4">
        <f t="shared" si="207"/>
        <v>1.105583195135434E-4</v>
      </c>
      <c r="K5626" s="5">
        <f t="shared" si="208"/>
        <v>0.62177998894423103</v>
      </c>
    </row>
    <row r="5627" spans="1:11" x14ac:dyDescent="0.25">
      <c r="A5627" t="s">
        <v>5074</v>
      </c>
      <c r="C5627" t="s">
        <v>5075</v>
      </c>
      <c r="D5627" t="s">
        <v>5</v>
      </c>
      <c r="E5627" t="s">
        <v>6</v>
      </c>
      <c r="F5627" t="s">
        <v>724</v>
      </c>
      <c r="G5627">
        <v>1</v>
      </c>
      <c r="H5627" s="2">
        <f>Tabelle13[[#This Row],[commits]]/Tabelle13[[#Totals],[commits]]</f>
        <v>4.6477904404246225E-6</v>
      </c>
      <c r="I5627" s="5">
        <f>Tabelle13[[#This Row],[%]]+I5626</f>
        <v>0.98410455669369779</v>
      </c>
      <c r="J5627" s="4">
        <f t="shared" si="207"/>
        <v>1.105583195135434E-4</v>
      </c>
      <c r="K5627" s="5">
        <f t="shared" si="208"/>
        <v>0.6218905472637446</v>
      </c>
    </row>
    <row r="5628" spans="1:11" x14ac:dyDescent="0.25">
      <c r="A5628" t="s">
        <v>5076</v>
      </c>
      <c r="C5628" t="s">
        <v>2319</v>
      </c>
      <c r="D5628" t="s">
        <v>5</v>
      </c>
      <c r="E5628" t="s">
        <v>6</v>
      </c>
      <c r="F5628" t="s">
        <v>724</v>
      </c>
      <c r="G5628">
        <v>1</v>
      </c>
      <c r="H5628" s="2">
        <f>Tabelle13[[#This Row],[commits]]/Tabelle13[[#Totals],[commits]]</f>
        <v>4.6477904404246225E-6</v>
      </c>
      <c r="I5628" s="5">
        <f>Tabelle13[[#This Row],[%]]+I5627</f>
        <v>0.98410920448413819</v>
      </c>
      <c r="J5628" s="4">
        <f t="shared" si="207"/>
        <v>1.105583195135434E-4</v>
      </c>
      <c r="K5628" s="5">
        <f t="shared" si="208"/>
        <v>0.62200110558325816</v>
      </c>
    </row>
    <row r="5629" spans="1:11" x14ac:dyDescent="0.25">
      <c r="A5629" t="s">
        <v>5077</v>
      </c>
      <c r="C5629" t="s">
        <v>5078</v>
      </c>
      <c r="D5629" t="s">
        <v>5</v>
      </c>
      <c r="E5629" t="s">
        <v>6</v>
      </c>
      <c r="F5629" t="s">
        <v>724</v>
      </c>
      <c r="G5629">
        <v>1</v>
      </c>
      <c r="H5629" s="2">
        <f>Tabelle13[[#This Row],[commits]]/Tabelle13[[#Totals],[commits]]</f>
        <v>4.6477904404246225E-6</v>
      </c>
      <c r="I5629" s="5">
        <f>Tabelle13[[#This Row],[%]]+I5628</f>
        <v>0.98411385227457859</v>
      </c>
      <c r="J5629" s="4">
        <f t="shared" si="207"/>
        <v>1.105583195135434E-4</v>
      </c>
      <c r="K5629" s="5">
        <f t="shared" si="208"/>
        <v>0.62211166390277173</v>
      </c>
    </row>
    <row r="5630" spans="1:11" x14ac:dyDescent="0.25">
      <c r="A5630" t="s">
        <v>5079</v>
      </c>
      <c r="C5630" t="s">
        <v>151</v>
      </c>
      <c r="D5630" t="s">
        <v>5</v>
      </c>
      <c r="E5630" t="s">
        <v>6</v>
      </c>
      <c r="F5630" t="s">
        <v>724</v>
      </c>
      <c r="G5630">
        <v>1</v>
      </c>
      <c r="H5630" s="2">
        <f>Tabelle13[[#This Row],[commits]]/Tabelle13[[#Totals],[commits]]</f>
        <v>4.6477904404246225E-6</v>
      </c>
      <c r="I5630" s="5">
        <f>Tabelle13[[#This Row],[%]]+I5629</f>
        <v>0.984118500065019</v>
      </c>
      <c r="J5630" s="4">
        <f t="shared" si="207"/>
        <v>1.105583195135434E-4</v>
      </c>
      <c r="K5630" s="5">
        <f t="shared" si="208"/>
        <v>0.62222222222228529</v>
      </c>
    </row>
    <row r="5631" spans="1:11" x14ac:dyDescent="0.25">
      <c r="A5631" t="s">
        <v>5080</v>
      </c>
      <c r="C5631" t="s">
        <v>5081</v>
      </c>
      <c r="D5631" t="s">
        <v>5</v>
      </c>
      <c r="E5631" t="s">
        <v>6</v>
      </c>
      <c r="F5631" t="s">
        <v>724</v>
      </c>
      <c r="G5631">
        <v>1</v>
      </c>
      <c r="H5631" s="2">
        <f>Tabelle13[[#This Row],[commits]]/Tabelle13[[#Totals],[commits]]</f>
        <v>4.6477904404246225E-6</v>
      </c>
      <c r="I5631" s="5">
        <f>Tabelle13[[#This Row],[%]]+I5630</f>
        <v>0.9841231478554594</v>
      </c>
      <c r="J5631" s="4">
        <f t="shared" si="207"/>
        <v>1.105583195135434E-4</v>
      </c>
      <c r="K5631" s="5">
        <f t="shared" si="208"/>
        <v>0.62233278054179886</v>
      </c>
    </row>
    <row r="5632" spans="1:11" x14ac:dyDescent="0.25">
      <c r="A5632" t="s">
        <v>5082</v>
      </c>
      <c r="C5632" t="s">
        <v>5083</v>
      </c>
      <c r="D5632" t="s">
        <v>5</v>
      </c>
      <c r="E5632" t="s">
        <v>6</v>
      </c>
      <c r="F5632" t="s">
        <v>724</v>
      </c>
      <c r="G5632">
        <v>1</v>
      </c>
      <c r="H5632" s="2">
        <f>Tabelle13[[#This Row],[commits]]/Tabelle13[[#Totals],[commits]]</f>
        <v>4.6477904404246225E-6</v>
      </c>
      <c r="I5632" s="5">
        <f>Tabelle13[[#This Row],[%]]+I5631</f>
        <v>0.98412779564589981</v>
      </c>
      <c r="J5632" s="4">
        <f t="shared" si="207"/>
        <v>1.105583195135434E-4</v>
      </c>
      <c r="K5632" s="5">
        <f t="shared" si="208"/>
        <v>0.62244333886131242</v>
      </c>
    </row>
    <row r="5633" spans="1:11" x14ac:dyDescent="0.25">
      <c r="A5633" t="s">
        <v>5084</v>
      </c>
      <c r="C5633" t="s">
        <v>5085</v>
      </c>
      <c r="D5633" t="s">
        <v>5</v>
      </c>
      <c r="E5633" t="s">
        <v>6</v>
      </c>
      <c r="F5633" t="s">
        <v>724</v>
      </c>
      <c r="G5633">
        <v>1</v>
      </c>
      <c r="H5633" s="2">
        <f>Tabelle13[[#This Row],[commits]]/Tabelle13[[#Totals],[commits]]</f>
        <v>4.6477904404246225E-6</v>
      </c>
      <c r="I5633" s="5">
        <f>Tabelle13[[#This Row],[%]]+I5632</f>
        <v>0.98413244343634021</v>
      </c>
      <c r="J5633" s="4">
        <f t="shared" si="207"/>
        <v>1.105583195135434E-4</v>
      </c>
      <c r="K5633" s="5">
        <f t="shared" si="208"/>
        <v>0.62255389718082599</v>
      </c>
    </row>
    <row r="5634" spans="1:11" x14ac:dyDescent="0.25">
      <c r="A5634" t="s">
        <v>5086</v>
      </c>
      <c r="C5634" t="s">
        <v>5087</v>
      </c>
      <c r="D5634" t="s">
        <v>5</v>
      </c>
      <c r="E5634" t="s">
        <v>6</v>
      </c>
      <c r="F5634" t="s">
        <v>724</v>
      </c>
      <c r="G5634">
        <v>1</v>
      </c>
      <c r="H5634" s="2">
        <f>Tabelle13[[#This Row],[commits]]/Tabelle13[[#Totals],[commits]]</f>
        <v>4.6477904404246225E-6</v>
      </c>
      <c r="I5634" s="5">
        <f>Tabelle13[[#This Row],[%]]+I5633</f>
        <v>0.98413709122678061</v>
      </c>
      <c r="J5634" s="4">
        <f t="shared" si="207"/>
        <v>1.105583195135434E-4</v>
      </c>
      <c r="K5634" s="5">
        <f t="shared" si="208"/>
        <v>0.62266445550033955</v>
      </c>
    </row>
    <row r="5635" spans="1:11" x14ac:dyDescent="0.25">
      <c r="A5635" t="s">
        <v>5088</v>
      </c>
      <c r="C5635" t="s">
        <v>5089</v>
      </c>
      <c r="D5635" t="s">
        <v>5</v>
      </c>
      <c r="E5635" t="s">
        <v>6</v>
      </c>
      <c r="F5635" t="s">
        <v>724</v>
      </c>
      <c r="G5635">
        <v>1</v>
      </c>
      <c r="H5635" s="2">
        <f>Tabelle13[[#This Row],[commits]]/Tabelle13[[#Totals],[commits]]</f>
        <v>4.6477904404246225E-6</v>
      </c>
      <c r="I5635" s="5">
        <f>Tabelle13[[#This Row],[%]]+I5634</f>
        <v>0.98414173901722102</v>
      </c>
      <c r="J5635" s="4">
        <f t="shared" ref="J5635:J5698" si="209">1/9045</f>
        <v>1.105583195135434E-4</v>
      </c>
      <c r="K5635" s="5">
        <f t="shared" si="208"/>
        <v>0.62277501381985312</v>
      </c>
    </row>
    <row r="5636" spans="1:11" x14ac:dyDescent="0.25">
      <c r="A5636" t="s">
        <v>5090</v>
      </c>
      <c r="C5636" t="s">
        <v>5091</v>
      </c>
      <c r="D5636" t="s">
        <v>309</v>
      </c>
      <c r="E5636" t="s">
        <v>6</v>
      </c>
      <c r="F5636" t="s">
        <v>724</v>
      </c>
      <c r="G5636">
        <v>1</v>
      </c>
      <c r="H5636" s="2">
        <f>Tabelle13[[#This Row],[commits]]/Tabelle13[[#Totals],[commits]]</f>
        <v>4.6477904404246225E-6</v>
      </c>
      <c r="I5636" s="5">
        <f>Tabelle13[[#This Row],[%]]+I5635</f>
        <v>0.98414638680766142</v>
      </c>
      <c r="J5636" s="4">
        <f t="shared" si="209"/>
        <v>1.105583195135434E-4</v>
      </c>
      <c r="K5636" s="5">
        <f t="shared" si="208"/>
        <v>0.62288557213936668</v>
      </c>
    </row>
    <row r="5637" spans="1:11" x14ac:dyDescent="0.25">
      <c r="A5637" t="s">
        <v>5092</v>
      </c>
      <c r="C5637" t="s">
        <v>5093</v>
      </c>
      <c r="D5637" t="s">
        <v>5</v>
      </c>
      <c r="E5637" t="s">
        <v>6</v>
      </c>
      <c r="F5637" t="s">
        <v>724</v>
      </c>
      <c r="G5637">
        <v>1</v>
      </c>
      <c r="H5637" s="2">
        <f>Tabelle13[[#This Row],[commits]]/Tabelle13[[#Totals],[commits]]</f>
        <v>4.6477904404246225E-6</v>
      </c>
      <c r="I5637" s="5">
        <f>Tabelle13[[#This Row],[%]]+I5636</f>
        <v>0.98415103459810183</v>
      </c>
      <c r="J5637" s="4">
        <f t="shared" si="209"/>
        <v>1.105583195135434E-4</v>
      </c>
      <c r="K5637" s="5">
        <f t="shared" si="208"/>
        <v>0.62299613045888025</v>
      </c>
    </row>
    <row r="5638" spans="1:11" x14ac:dyDescent="0.25">
      <c r="A5638" t="s">
        <v>5094</v>
      </c>
      <c r="C5638" t="s">
        <v>5095</v>
      </c>
      <c r="D5638" t="s">
        <v>5</v>
      </c>
      <c r="E5638" t="s">
        <v>6</v>
      </c>
      <c r="F5638" t="s">
        <v>724</v>
      </c>
      <c r="G5638">
        <v>1</v>
      </c>
      <c r="H5638" s="2">
        <f>Tabelle13[[#This Row],[commits]]/Tabelle13[[#Totals],[commits]]</f>
        <v>4.6477904404246225E-6</v>
      </c>
      <c r="I5638" s="5">
        <f>Tabelle13[[#This Row],[%]]+I5637</f>
        <v>0.98415568238854223</v>
      </c>
      <c r="J5638" s="4">
        <f t="shared" si="209"/>
        <v>1.105583195135434E-4</v>
      </c>
      <c r="K5638" s="5">
        <f t="shared" ref="K5638:K5701" si="210">J5638+K5637</f>
        <v>0.62310668877839381</v>
      </c>
    </row>
    <row r="5639" spans="1:11" x14ac:dyDescent="0.25">
      <c r="A5639" t="s">
        <v>5096</v>
      </c>
      <c r="C5639" t="s">
        <v>5097</v>
      </c>
      <c r="D5639" t="s">
        <v>5</v>
      </c>
      <c r="E5639" t="s">
        <v>6</v>
      </c>
      <c r="F5639" t="s">
        <v>724</v>
      </c>
      <c r="G5639">
        <v>1</v>
      </c>
      <c r="H5639" s="2">
        <f>Tabelle13[[#This Row],[commits]]/Tabelle13[[#Totals],[commits]]</f>
        <v>4.6477904404246225E-6</v>
      </c>
      <c r="I5639" s="5">
        <f>Tabelle13[[#This Row],[%]]+I5638</f>
        <v>0.98416033017898263</v>
      </c>
      <c r="J5639" s="4">
        <f t="shared" si="209"/>
        <v>1.105583195135434E-4</v>
      </c>
      <c r="K5639" s="5">
        <f t="shared" si="210"/>
        <v>0.62321724709790738</v>
      </c>
    </row>
    <row r="5640" spans="1:11" x14ac:dyDescent="0.25">
      <c r="A5640" t="s">
        <v>5098</v>
      </c>
      <c r="C5640" t="s">
        <v>5099</v>
      </c>
      <c r="D5640" t="s">
        <v>309</v>
      </c>
      <c r="E5640" t="s">
        <v>6</v>
      </c>
      <c r="F5640" t="s">
        <v>724</v>
      </c>
      <c r="G5640">
        <v>1</v>
      </c>
      <c r="H5640" s="2">
        <f>Tabelle13[[#This Row],[commits]]/Tabelle13[[#Totals],[commits]]</f>
        <v>4.6477904404246225E-6</v>
      </c>
      <c r="I5640" s="5">
        <f>Tabelle13[[#This Row],[%]]+I5639</f>
        <v>0.98416497796942304</v>
      </c>
      <c r="J5640" s="4">
        <f t="shared" si="209"/>
        <v>1.105583195135434E-4</v>
      </c>
      <c r="K5640" s="5">
        <f t="shared" si="210"/>
        <v>0.62332780541742094</v>
      </c>
    </row>
    <row r="5641" spans="1:11" x14ac:dyDescent="0.25">
      <c r="A5641" t="s">
        <v>5100</v>
      </c>
      <c r="C5641" t="s">
        <v>5101</v>
      </c>
      <c r="D5641" t="s">
        <v>309</v>
      </c>
      <c r="E5641" t="s">
        <v>6</v>
      </c>
      <c r="F5641" t="s">
        <v>724</v>
      </c>
      <c r="G5641">
        <v>1</v>
      </c>
      <c r="H5641" s="2">
        <f>Tabelle13[[#This Row],[commits]]/Tabelle13[[#Totals],[commits]]</f>
        <v>4.6477904404246225E-6</v>
      </c>
      <c r="I5641" s="5">
        <f>Tabelle13[[#This Row],[%]]+I5640</f>
        <v>0.98416962575986344</v>
      </c>
      <c r="J5641" s="4">
        <f t="shared" si="209"/>
        <v>1.105583195135434E-4</v>
      </c>
      <c r="K5641" s="5">
        <f t="shared" si="210"/>
        <v>0.62343836373693451</v>
      </c>
    </row>
    <row r="5642" spans="1:11" x14ac:dyDescent="0.25">
      <c r="A5642" t="s">
        <v>5102</v>
      </c>
      <c r="C5642" t="s">
        <v>5103</v>
      </c>
      <c r="D5642" t="s">
        <v>5</v>
      </c>
      <c r="E5642" t="s">
        <v>6</v>
      </c>
      <c r="F5642" t="s">
        <v>28</v>
      </c>
      <c r="G5642">
        <v>1</v>
      </c>
      <c r="H5642" s="2">
        <f>Tabelle13[[#This Row],[commits]]/Tabelle13[[#Totals],[commits]]</f>
        <v>4.6477904404246225E-6</v>
      </c>
      <c r="I5642" s="5">
        <f>Tabelle13[[#This Row],[%]]+I5641</f>
        <v>0.98417427355030385</v>
      </c>
      <c r="J5642" s="4">
        <f t="shared" si="209"/>
        <v>1.105583195135434E-4</v>
      </c>
      <c r="K5642" s="5">
        <f t="shared" si="210"/>
        <v>0.62354892205644807</v>
      </c>
    </row>
    <row r="5643" spans="1:11" x14ac:dyDescent="0.25">
      <c r="A5643" t="s">
        <v>5104</v>
      </c>
      <c r="C5643" t="s">
        <v>2962</v>
      </c>
      <c r="D5643" t="s">
        <v>5</v>
      </c>
      <c r="E5643" t="s">
        <v>6</v>
      </c>
      <c r="F5643" t="s">
        <v>724</v>
      </c>
      <c r="G5643">
        <v>1</v>
      </c>
      <c r="H5643" s="2">
        <f>Tabelle13[[#This Row],[commits]]/Tabelle13[[#Totals],[commits]]</f>
        <v>4.6477904404246225E-6</v>
      </c>
      <c r="I5643" s="5">
        <f>Tabelle13[[#This Row],[%]]+I5642</f>
        <v>0.98417892134074425</v>
      </c>
      <c r="J5643" s="4">
        <f t="shared" si="209"/>
        <v>1.105583195135434E-4</v>
      </c>
      <c r="K5643" s="5">
        <f t="shared" si="210"/>
        <v>0.62365948037596164</v>
      </c>
    </row>
    <row r="5644" spans="1:11" x14ac:dyDescent="0.25">
      <c r="A5644" t="s">
        <v>5105</v>
      </c>
      <c r="C5644" t="s">
        <v>151</v>
      </c>
      <c r="D5644" t="s">
        <v>5</v>
      </c>
      <c r="E5644" t="s">
        <v>6</v>
      </c>
      <c r="F5644" t="s">
        <v>724</v>
      </c>
      <c r="G5644">
        <v>1</v>
      </c>
      <c r="H5644" s="2">
        <f>Tabelle13[[#This Row],[commits]]/Tabelle13[[#Totals],[commits]]</f>
        <v>4.6477904404246225E-6</v>
      </c>
      <c r="I5644" s="5">
        <f>Tabelle13[[#This Row],[%]]+I5643</f>
        <v>0.98418356913118465</v>
      </c>
      <c r="J5644" s="4">
        <f t="shared" si="209"/>
        <v>1.105583195135434E-4</v>
      </c>
      <c r="K5644" s="5">
        <f t="shared" si="210"/>
        <v>0.6237700386954752</v>
      </c>
    </row>
    <row r="5645" spans="1:11" x14ac:dyDescent="0.25">
      <c r="A5645" t="s">
        <v>5106</v>
      </c>
      <c r="C5645" t="s">
        <v>5107</v>
      </c>
      <c r="D5645" t="s">
        <v>5</v>
      </c>
      <c r="E5645" t="s">
        <v>6</v>
      </c>
      <c r="F5645" t="s">
        <v>724</v>
      </c>
      <c r="G5645">
        <v>1</v>
      </c>
      <c r="H5645" s="2">
        <f>Tabelle13[[#This Row],[commits]]/Tabelle13[[#Totals],[commits]]</f>
        <v>4.6477904404246225E-6</v>
      </c>
      <c r="I5645" s="5">
        <f>Tabelle13[[#This Row],[%]]+I5644</f>
        <v>0.98418821692162506</v>
      </c>
      <c r="J5645" s="4">
        <f t="shared" si="209"/>
        <v>1.105583195135434E-4</v>
      </c>
      <c r="K5645" s="5">
        <f t="shared" si="210"/>
        <v>0.62388059701498877</v>
      </c>
    </row>
    <row r="5646" spans="1:11" x14ac:dyDescent="0.25">
      <c r="A5646" t="s">
        <v>5108</v>
      </c>
      <c r="C5646" t="s">
        <v>5109</v>
      </c>
      <c r="D5646" t="s">
        <v>5</v>
      </c>
      <c r="E5646" t="s">
        <v>6</v>
      </c>
      <c r="F5646" t="s">
        <v>724</v>
      </c>
      <c r="G5646">
        <v>1</v>
      </c>
      <c r="H5646" s="2">
        <f>Tabelle13[[#This Row],[commits]]/Tabelle13[[#Totals],[commits]]</f>
        <v>4.6477904404246225E-6</v>
      </c>
      <c r="I5646" s="5">
        <f>Tabelle13[[#This Row],[%]]+I5645</f>
        <v>0.98419286471206546</v>
      </c>
      <c r="J5646" s="4">
        <f t="shared" si="209"/>
        <v>1.105583195135434E-4</v>
      </c>
      <c r="K5646" s="5">
        <f t="shared" si="210"/>
        <v>0.62399115533450233</v>
      </c>
    </row>
    <row r="5647" spans="1:11" x14ac:dyDescent="0.25">
      <c r="A5647" t="s">
        <v>5110</v>
      </c>
      <c r="C5647" t="s">
        <v>5111</v>
      </c>
      <c r="D5647" t="s">
        <v>5</v>
      </c>
      <c r="E5647" t="s">
        <v>6</v>
      </c>
      <c r="F5647" t="s">
        <v>724</v>
      </c>
      <c r="G5647">
        <v>1</v>
      </c>
      <c r="H5647" s="2">
        <f>Tabelle13[[#This Row],[commits]]/Tabelle13[[#Totals],[commits]]</f>
        <v>4.6477904404246225E-6</v>
      </c>
      <c r="I5647" s="5">
        <f>Tabelle13[[#This Row],[%]]+I5646</f>
        <v>0.98419751250250587</v>
      </c>
      <c r="J5647" s="4">
        <f t="shared" si="209"/>
        <v>1.105583195135434E-4</v>
      </c>
      <c r="K5647" s="5">
        <f t="shared" si="210"/>
        <v>0.6241017136540159</v>
      </c>
    </row>
    <row r="5648" spans="1:11" x14ac:dyDescent="0.25">
      <c r="A5648" t="s">
        <v>5112</v>
      </c>
      <c r="C5648" t="s">
        <v>5113</v>
      </c>
      <c r="D5648" t="s">
        <v>309</v>
      </c>
      <c r="E5648" t="s">
        <v>6</v>
      </c>
      <c r="F5648" t="s">
        <v>724</v>
      </c>
      <c r="G5648">
        <v>1</v>
      </c>
      <c r="H5648" s="2">
        <f>Tabelle13[[#This Row],[commits]]/Tabelle13[[#Totals],[commits]]</f>
        <v>4.6477904404246225E-6</v>
      </c>
      <c r="I5648" s="5">
        <f>Tabelle13[[#This Row],[%]]+I5647</f>
        <v>0.98420216029294627</v>
      </c>
      <c r="J5648" s="4">
        <f t="shared" si="209"/>
        <v>1.105583195135434E-4</v>
      </c>
      <c r="K5648" s="5">
        <f t="shared" si="210"/>
        <v>0.62421227197352946</v>
      </c>
    </row>
    <row r="5649" spans="1:11" x14ac:dyDescent="0.25">
      <c r="A5649" t="s">
        <v>5114</v>
      </c>
      <c r="C5649" t="s">
        <v>5115</v>
      </c>
      <c r="D5649" t="s">
        <v>5</v>
      </c>
      <c r="E5649" t="s">
        <v>6</v>
      </c>
      <c r="F5649" t="s">
        <v>724</v>
      </c>
      <c r="G5649">
        <v>1</v>
      </c>
      <c r="H5649" s="2">
        <f>Tabelle13[[#This Row],[commits]]/Tabelle13[[#Totals],[commits]]</f>
        <v>4.6477904404246225E-6</v>
      </c>
      <c r="I5649" s="5">
        <f>Tabelle13[[#This Row],[%]]+I5648</f>
        <v>0.98420680808338668</v>
      </c>
      <c r="J5649" s="4">
        <f t="shared" si="209"/>
        <v>1.105583195135434E-4</v>
      </c>
      <c r="K5649" s="5">
        <f t="shared" si="210"/>
        <v>0.62432283029304303</v>
      </c>
    </row>
    <row r="5650" spans="1:11" x14ac:dyDescent="0.25">
      <c r="A5650" t="s">
        <v>5116</v>
      </c>
      <c r="C5650" t="s">
        <v>5117</v>
      </c>
      <c r="D5650" t="s">
        <v>309</v>
      </c>
      <c r="E5650" t="s">
        <v>6</v>
      </c>
      <c r="F5650" t="s">
        <v>724</v>
      </c>
      <c r="G5650">
        <v>1</v>
      </c>
      <c r="H5650" s="2">
        <f>Tabelle13[[#This Row],[commits]]/Tabelle13[[#Totals],[commits]]</f>
        <v>4.6477904404246225E-6</v>
      </c>
      <c r="I5650" s="5">
        <f>Tabelle13[[#This Row],[%]]+I5649</f>
        <v>0.98421145587382708</v>
      </c>
      <c r="J5650" s="4">
        <f t="shared" si="209"/>
        <v>1.105583195135434E-4</v>
      </c>
      <c r="K5650" s="5">
        <f t="shared" si="210"/>
        <v>0.62443338861255659</v>
      </c>
    </row>
    <row r="5651" spans="1:11" x14ac:dyDescent="0.25">
      <c r="A5651" t="s">
        <v>5118</v>
      </c>
      <c r="C5651" t="s">
        <v>5119</v>
      </c>
      <c r="D5651" t="s">
        <v>309</v>
      </c>
      <c r="E5651" t="s">
        <v>6</v>
      </c>
      <c r="F5651" t="s">
        <v>724</v>
      </c>
      <c r="G5651">
        <v>1</v>
      </c>
      <c r="H5651" s="2">
        <f>Tabelle13[[#This Row],[commits]]/Tabelle13[[#Totals],[commits]]</f>
        <v>4.6477904404246225E-6</v>
      </c>
      <c r="I5651" s="5">
        <f>Tabelle13[[#This Row],[%]]+I5650</f>
        <v>0.98421610366426748</v>
      </c>
      <c r="J5651" s="4">
        <f t="shared" si="209"/>
        <v>1.105583195135434E-4</v>
      </c>
      <c r="K5651" s="5">
        <f t="shared" si="210"/>
        <v>0.62454394693207016</v>
      </c>
    </row>
    <row r="5652" spans="1:11" x14ac:dyDescent="0.25">
      <c r="A5652" t="s">
        <v>5120</v>
      </c>
      <c r="C5652" t="s">
        <v>5121</v>
      </c>
      <c r="D5652" t="s">
        <v>5</v>
      </c>
      <c r="E5652" t="s">
        <v>6</v>
      </c>
      <c r="F5652" t="s">
        <v>724</v>
      </c>
      <c r="G5652">
        <v>1</v>
      </c>
      <c r="H5652" s="2">
        <f>Tabelle13[[#This Row],[commits]]/Tabelle13[[#Totals],[commits]]</f>
        <v>4.6477904404246225E-6</v>
      </c>
      <c r="I5652" s="5">
        <f>Tabelle13[[#This Row],[%]]+I5651</f>
        <v>0.98422075145470789</v>
      </c>
      <c r="J5652" s="4">
        <f t="shared" si="209"/>
        <v>1.105583195135434E-4</v>
      </c>
      <c r="K5652" s="5">
        <f t="shared" si="210"/>
        <v>0.62465450525158372</v>
      </c>
    </row>
    <row r="5653" spans="1:11" x14ac:dyDescent="0.25">
      <c r="A5653" t="s">
        <v>5122</v>
      </c>
      <c r="C5653" t="s">
        <v>5123</v>
      </c>
      <c r="D5653" t="s">
        <v>5</v>
      </c>
      <c r="E5653" t="s">
        <v>6</v>
      </c>
      <c r="F5653" t="s">
        <v>724</v>
      </c>
      <c r="G5653">
        <v>1</v>
      </c>
      <c r="H5653" s="2">
        <f>Tabelle13[[#This Row],[commits]]/Tabelle13[[#Totals],[commits]]</f>
        <v>4.6477904404246225E-6</v>
      </c>
      <c r="I5653" s="5">
        <f>Tabelle13[[#This Row],[%]]+I5652</f>
        <v>0.98422539924514829</v>
      </c>
      <c r="J5653" s="4">
        <f t="shared" si="209"/>
        <v>1.105583195135434E-4</v>
      </c>
      <c r="K5653" s="5">
        <f t="shared" si="210"/>
        <v>0.62476506357109729</v>
      </c>
    </row>
    <row r="5654" spans="1:11" x14ac:dyDescent="0.25">
      <c r="A5654" t="s">
        <v>5124</v>
      </c>
      <c r="C5654" t="s">
        <v>230</v>
      </c>
      <c r="D5654" t="s">
        <v>5</v>
      </c>
      <c r="E5654" t="s">
        <v>6</v>
      </c>
      <c r="F5654" t="s">
        <v>724</v>
      </c>
      <c r="G5654">
        <v>1</v>
      </c>
      <c r="H5654" s="2">
        <f>Tabelle13[[#This Row],[commits]]/Tabelle13[[#Totals],[commits]]</f>
        <v>4.6477904404246225E-6</v>
      </c>
      <c r="I5654" s="5">
        <f>Tabelle13[[#This Row],[%]]+I5653</f>
        <v>0.9842300470355887</v>
      </c>
      <c r="J5654" s="4">
        <f t="shared" si="209"/>
        <v>1.105583195135434E-4</v>
      </c>
      <c r="K5654" s="5">
        <f t="shared" si="210"/>
        <v>0.62487562189061086</v>
      </c>
    </row>
    <row r="5655" spans="1:11" x14ac:dyDescent="0.25">
      <c r="A5655" t="s">
        <v>5125</v>
      </c>
      <c r="C5655" t="s">
        <v>5126</v>
      </c>
      <c r="D5655" t="s">
        <v>309</v>
      </c>
      <c r="E5655" t="s">
        <v>6</v>
      </c>
      <c r="F5655" t="s">
        <v>724</v>
      </c>
      <c r="G5655">
        <v>1</v>
      </c>
      <c r="H5655" s="2">
        <f>Tabelle13[[#This Row],[commits]]/Tabelle13[[#Totals],[commits]]</f>
        <v>4.6477904404246225E-6</v>
      </c>
      <c r="I5655" s="5">
        <f>Tabelle13[[#This Row],[%]]+I5654</f>
        <v>0.9842346948260291</v>
      </c>
      <c r="J5655" s="4">
        <f t="shared" si="209"/>
        <v>1.105583195135434E-4</v>
      </c>
      <c r="K5655" s="5">
        <f t="shared" si="210"/>
        <v>0.62498618021012442</v>
      </c>
    </row>
    <row r="5656" spans="1:11" x14ac:dyDescent="0.25">
      <c r="A5656" t="s">
        <v>5127</v>
      </c>
      <c r="C5656" t="s">
        <v>5128</v>
      </c>
      <c r="D5656" t="s">
        <v>5</v>
      </c>
      <c r="E5656" t="s">
        <v>6</v>
      </c>
      <c r="F5656" t="s">
        <v>724</v>
      </c>
      <c r="G5656">
        <v>1</v>
      </c>
      <c r="H5656" s="2">
        <f>Tabelle13[[#This Row],[commits]]/Tabelle13[[#Totals],[commits]]</f>
        <v>4.6477904404246225E-6</v>
      </c>
      <c r="I5656" s="5">
        <f>Tabelle13[[#This Row],[%]]+I5655</f>
        <v>0.9842393426164695</v>
      </c>
      <c r="J5656" s="4">
        <f t="shared" si="209"/>
        <v>1.105583195135434E-4</v>
      </c>
      <c r="K5656" s="5">
        <f t="shared" si="210"/>
        <v>0.62509673852963799</v>
      </c>
    </row>
    <row r="5657" spans="1:11" x14ac:dyDescent="0.25">
      <c r="A5657" t="s">
        <v>5129</v>
      </c>
      <c r="C5657" t="s">
        <v>5130</v>
      </c>
      <c r="D5657" t="s">
        <v>5</v>
      </c>
      <c r="E5657" t="s">
        <v>6</v>
      </c>
      <c r="F5657" t="s">
        <v>724</v>
      </c>
      <c r="G5657">
        <v>1</v>
      </c>
      <c r="H5657" s="2">
        <f>Tabelle13[[#This Row],[commits]]/Tabelle13[[#Totals],[commits]]</f>
        <v>4.6477904404246225E-6</v>
      </c>
      <c r="I5657" s="5">
        <f>Tabelle13[[#This Row],[%]]+I5656</f>
        <v>0.98424399040690991</v>
      </c>
      <c r="J5657" s="4">
        <f t="shared" si="209"/>
        <v>1.105583195135434E-4</v>
      </c>
      <c r="K5657" s="5">
        <f t="shared" si="210"/>
        <v>0.62520729684915155</v>
      </c>
    </row>
    <row r="5658" spans="1:11" x14ac:dyDescent="0.25">
      <c r="A5658" t="s">
        <v>5131</v>
      </c>
      <c r="C5658" t="s">
        <v>5132</v>
      </c>
      <c r="D5658" t="s">
        <v>5</v>
      </c>
      <c r="E5658" t="s">
        <v>6</v>
      </c>
      <c r="F5658" t="s">
        <v>724</v>
      </c>
      <c r="G5658">
        <v>1</v>
      </c>
      <c r="H5658" s="2">
        <f>Tabelle13[[#This Row],[commits]]/Tabelle13[[#Totals],[commits]]</f>
        <v>4.6477904404246225E-6</v>
      </c>
      <c r="I5658" s="5">
        <f>Tabelle13[[#This Row],[%]]+I5657</f>
        <v>0.98424863819735031</v>
      </c>
      <c r="J5658" s="4">
        <f t="shared" si="209"/>
        <v>1.105583195135434E-4</v>
      </c>
      <c r="K5658" s="5">
        <f t="shared" si="210"/>
        <v>0.62531785516866512</v>
      </c>
    </row>
    <row r="5659" spans="1:11" x14ac:dyDescent="0.25">
      <c r="A5659" t="s">
        <v>5135</v>
      </c>
      <c r="C5659" t="s">
        <v>5136</v>
      </c>
      <c r="D5659" t="s">
        <v>5</v>
      </c>
      <c r="E5659" t="s">
        <v>6</v>
      </c>
      <c r="F5659" t="s">
        <v>724</v>
      </c>
      <c r="G5659">
        <v>1</v>
      </c>
      <c r="H5659" s="2">
        <f>Tabelle13[[#This Row],[commits]]/Tabelle13[[#Totals],[commits]]</f>
        <v>4.6477904404246225E-6</v>
      </c>
      <c r="I5659" s="5">
        <f>Tabelle13[[#This Row],[%]]+I5658</f>
        <v>0.98425328598779072</v>
      </c>
      <c r="J5659" s="4">
        <f t="shared" si="209"/>
        <v>1.105583195135434E-4</v>
      </c>
      <c r="K5659" s="5">
        <f t="shared" si="210"/>
        <v>0.62542841348817868</v>
      </c>
    </row>
    <row r="5660" spans="1:11" x14ac:dyDescent="0.25">
      <c r="A5660" t="s">
        <v>5137</v>
      </c>
      <c r="C5660" t="s">
        <v>5138</v>
      </c>
      <c r="D5660" t="s">
        <v>5</v>
      </c>
      <c r="E5660" t="s">
        <v>6</v>
      </c>
      <c r="F5660" t="s">
        <v>724</v>
      </c>
      <c r="G5660">
        <v>1</v>
      </c>
      <c r="H5660" s="2">
        <f>Tabelle13[[#This Row],[commits]]/Tabelle13[[#Totals],[commits]]</f>
        <v>4.6477904404246225E-6</v>
      </c>
      <c r="I5660" s="5">
        <f>Tabelle13[[#This Row],[%]]+I5659</f>
        <v>0.98425793377823112</v>
      </c>
      <c r="J5660" s="4">
        <f t="shared" si="209"/>
        <v>1.105583195135434E-4</v>
      </c>
      <c r="K5660" s="5">
        <f t="shared" si="210"/>
        <v>0.62553897180769225</v>
      </c>
    </row>
    <row r="5661" spans="1:11" x14ac:dyDescent="0.25">
      <c r="A5661" t="s">
        <v>5139</v>
      </c>
      <c r="C5661" t="s">
        <v>5140</v>
      </c>
      <c r="D5661" t="s">
        <v>5</v>
      </c>
      <c r="E5661" t="s">
        <v>6</v>
      </c>
      <c r="F5661" t="s">
        <v>724</v>
      </c>
      <c r="G5661">
        <v>1</v>
      </c>
      <c r="H5661" s="2">
        <f>Tabelle13[[#This Row],[commits]]/Tabelle13[[#Totals],[commits]]</f>
        <v>4.6477904404246225E-6</v>
      </c>
      <c r="I5661" s="5">
        <f>Tabelle13[[#This Row],[%]]+I5660</f>
        <v>0.98426258156867152</v>
      </c>
      <c r="J5661" s="4">
        <f t="shared" si="209"/>
        <v>1.105583195135434E-4</v>
      </c>
      <c r="K5661" s="5">
        <f t="shared" si="210"/>
        <v>0.62564953012720581</v>
      </c>
    </row>
    <row r="5662" spans="1:11" x14ac:dyDescent="0.25">
      <c r="A5662" t="s">
        <v>5141</v>
      </c>
      <c r="C5662" t="s">
        <v>5142</v>
      </c>
      <c r="D5662" t="s">
        <v>5</v>
      </c>
      <c r="E5662" t="s">
        <v>6</v>
      </c>
      <c r="F5662" t="s">
        <v>724</v>
      </c>
      <c r="G5662">
        <v>1</v>
      </c>
      <c r="H5662" s="2">
        <f>Tabelle13[[#This Row],[commits]]/Tabelle13[[#Totals],[commits]]</f>
        <v>4.6477904404246225E-6</v>
      </c>
      <c r="I5662" s="5">
        <f>Tabelle13[[#This Row],[%]]+I5661</f>
        <v>0.98426722935911193</v>
      </c>
      <c r="J5662" s="4">
        <f t="shared" si="209"/>
        <v>1.105583195135434E-4</v>
      </c>
      <c r="K5662" s="5">
        <f t="shared" si="210"/>
        <v>0.62576008844671938</v>
      </c>
    </row>
    <row r="5663" spans="1:11" x14ac:dyDescent="0.25">
      <c r="A5663" t="s">
        <v>5143</v>
      </c>
      <c r="C5663" t="s">
        <v>5144</v>
      </c>
      <c r="D5663" t="s">
        <v>5</v>
      </c>
      <c r="E5663" t="s">
        <v>6</v>
      </c>
      <c r="F5663" t="s">
        <v>724</v>
      </c>
      <c r="G5663">
        <v>1</v>
      </c>
      <c r="H5663" s="2">
        <f>Tabelle13[[#This Row],[commits]]/Tabelle13[[#Totals],[commits]]</f>
        <v>4.6477904404246225E-6</v>
      </c>
      <c r="I5663" s="5">
        <f>Tabelle13[[#This Row],[%]]+I5662</f>
        <v>0.98427187714955233</v>
      </c>
      <c r="J5663" s="4">
        <f t="shared" si="209"/>
        <v>1.105583195135434E-4</v>
      </c>
      <c r="K5663" s="5">
        <f t="shared" si="210"/>
        <v>0.62587064676623294</v>
      </c>
    </row>
    <row r="5664" spans="1:11" x14ac:dyDescent="0.25">
      <c r="A5664" t="s">
        <v>5145</v>
      </c>
      <c r="C5664" t="s">
        <v>5146</v>
      </c>
      <c r="D5664" t="s">
        <v>5</v>
      </c>
      <c r="E5664" t="s">
        <v>6</v>
      </c>
      <c r="F5664" t="s">
        <v>724</v>
      </c>
      <c r="G5664">
        <v>1</v>
      </c>
      <c r="H5664" s="2">
        <f>Tabelle13[[#This Row],[commits]]/Tabelle13[[#Totals],[commits]]</f>
        <v>4.6477904404246225E-6</v>
      </c>
      <c r="I5664" s="5">
        <f>Tabelle13[[#This Row],[%]]+I5663</f>
        <v>0.98427652493999274</v>
      </c>
      <c r="J5664" s="4">
        <f t="shared" si="209"/>
        <v>1.105583195135434E-4</v>
      </c>
      <c r="K5664" s="5">
        <f t="shared" si="210"/>
        <v>0.62598120508574651</v>
      </c>
    </row>
    <row r="5665" spans="1:11" x14ac:dyDescent="0.25">
      <c r="A5665" t="s">
        <v>5147</v>
      </c>
      <c r="C5665" t="s">
        <v>5148</v>
      </c>
      <c r="D5665" t="s">
        <v>5</v>
      </c>
      <c r="E5665" t="s">
        <v>6</v>
      </c>
      <c r="F5665" t="s">
        <v>724</v>
      </c>
      <c r="G5665">
        <v>1</v>
      </c>
      <c r="H5665" s="2">
        <f>Tabelle13[[#This Row],[commits]]/Tabelle13[[#Totals],[commits]]</f>
        <v>4.6477904404246225E-6</v>
      </c>
      <c r="I5665" s="5">
        <f>Tabelle13[[#This Row],[%]]+I5664</f>
        <v>0.98428117273043314</v>
      </c>
      <c r="J5665" s="4">
        <f t="shared" si="209"/>
        <v>1.105583195135434E-4</v>
      </c>
      <c r="K5665" s="5">
        <f t="shared" si="210"/>
        <v>0.62609176340526007</v>
      </c>
    </row>
    <row r="5666" spans="1:11" x14ac:dyDescent="0.25">
      <c r="A5666" t="s">
        <v>5149</v>
      </c>
      <c r="C5666" t="s">
        <v>5150</v>
      </c>
      <c r="D5666" t="s">
        <v>5</v>
      </c>
      <c r="E5666" t="s">
        <v>6</v>
      </c>
      <c r="F5666" t="s">
        <v>724</v>
      </c>
      <c r="G5666">
        <v>1</v>
      </c>
      <c r="H5666" s="2">
        <f>Tabelle13[[#This Row],[commits]]/Tabelle13[[#Totals],[commits]]</f>
        <v>4.6477904404246225E-6</v>
      </c>
      <c r="I5666" s="5">
        <f>Tabelle13[[#This Row],[%]]+I5665</f>
        <v>0.98428582052087354</v>
      </c>
      <c r="J5666" s="4">
        <f t="shared" si="209"/>
        <v>1.105583195135434E-4</v>
      </c>
      <c r="K5666" s="5">
        <f t="shared" si="210"/>
        <v>0.62620232172477364</v>
      </c>
    </row>
    <row r="5667" spans="1:11" x14ac:dyDescent="0.25">
      <c r="A5667" t="s">
        <v>5151</v>
      </c>
      <c r="C5667" t="s">
        <v>5152</v>
      </c>
      <c r="D5667" t="s">
        <v>5</v>
      </c>
      <c r="E5667" t="s">
        <v>6</v>
      </c>
      <c r="F5667" t="s">
        <v>724</v>
      </c>
      <c r="G5667">
        <v>1</v>
      </c>
      <c r="H5667" s="2">
        <f>Tabelle13[[#This Row],[commits]]/Tabelle13[[#Totals],[commits]]</f>
        <v>4.6477904404246225E-6</v>
      </c>
      <c r="I5667" s="5">
        <f>Tabelle13[[#This Row],[%]]+I5666</f>
        <v>0.98429046831131395</v>
      </c>
      <c r="J5667" s="4">
        <f t="shared" si="209"/>
        <v>1.105583195135434E-4</v>
      </c>
      <c r="K5667" s="5">
        <f t="shared" si="210"/>
        <v>0.6263128800442872</v>
      </c>
    </row>
    <row r="5668" spans="1:11" x14ac:dyDescent="0.25">
      <c r="A5668" t="s">
        <v>5153</v>
      </c>
      <c r="C5668" t="s">
        <v>5154</v>
      </c>
      <c r="D5668" t="s">
        <v>309</v>
      </c>
      <c r="E5668" t="s">
        <v>6</v>
      </c>
      <c r="F5668" t="s">
        <v>724</v>
      </c>
      <c r="G5668">
        <v>1</v>
      </c>
      <c r="H5668" s="2">
        <f>Tabelle13[[#This Row],[commits]]/Tabelle13[[#Totals],[commits]]</f>
        <v>4.6477904404246225E-6</v>
      </c>
      <c r="I5668" s="5">
        <f>Tabelle13[[#This Row],[%]]+I5667</f>
        <v>0.98429511610175435</v>
      </c>
      <c r="J5668" s="4">
        <f t="shared" si="209"/>
        <v>1.105583195135434E-4</v>
      </c>
      <c r="K5668" s="5">
        <f t="shared" si="210"/>
        <v>0.62642343836380077</v>
      </c>
    </row>
    <row r="5669" spans="1:11" x14ac:dyDescent="0.25">
      <c r="A5669" t="s">
        <v>5155</v>
      </c>
      <c r="C5669" t="s">
        <v>5156</v>
      </c>
      <c r="D5669" t="s">
        <v>5</v>
      </c>
      <c r="E5669" t="s">
        <v>6</v>
      </c>
      <c r="F5669" t="s">
        <v>724</v>
      </c>
      <c r="G5669">
        <v>1</v>
      </c>
      <c r="H5669" s="2">
        <f>Tabelle13[[#This Row],[commits]]/Tabelle13[[#Totals],[commits]]</f>
        <v>4.6477904404246225E-6</v>
      </c>
      <c r="I5669" s="5">
        <f>Tabelle13[[#This Row],[%]]+I5668</f>
        <v>0.98429976389219476</v>
      </c>
      <c r="J5669" s="4">
        <f t="shared" si="209"/>
        <v>1.105583195135434E-4</v>
      </c>
      <c r="K5669" s="5">
        <f t="shared" si="210"/>
        <v>0.62653399668331433</v>
      </c>
    </row>
    <row r="5670" spans="1:11" x14ac:dyDescent="0.25">
      <c r="A5670" t="s">
        <v>5157</v>
      </c>
      <c r="C5670" t="s">
        <v>5158</v>
      </c>
      <c r="D5670" t="s">
        <v>5</v>
      </c>
      <c r="E5670" t="s">
        <v>6</v>
      </c>
      <c r="F5670" t="s">
        <v>724</v>
      </c>
      <c r="G5670">
        <v>1</v>
      </c>
      <c r="H5670" s="2">
        <f>Tabelle13[[#This Row],[commits]]/Tabelle13[[#Totals],[commits]]</f>
        <v>4.6477904404246225E-6</v>
      </c>
      <c r="I5670" s="5">
        <f>Tabelle13[[#This Row],[%]]+I5669</f>
        <v>0.98430441168263516</v>
      </c>
      <c r="J5670" s="4">
        <f t="shared" si="209"/>
        <v>1.105583195135434E-4</v>
      </c>
      <c r="K5670" s="5">
        <f t="shared" si="210"/>
        <v>0.6266445550028279</v>
      </c>
    </row>
    <row r="5671" spans="1:11" x14ac:dyDescent="0.25">
      <c r="A5671" t="s">
        <v>5159</v>
      </c>
      <c r="C5671" t="s">
        <v>5160</v>
      </c>
      <c r="D5671" t="s">
        <v>5</v>
      </c>
      <c r="E5671" t="s">
        <v>6</v>
      </c>
      <c r="F5671" t="s">
        <v>724</v>
      </c>
      <c r="G5671">
        <v>1</v>
      </c>
      <c r="H5671" s="2">
        <f>Tabelle13[[#This Row],[commits]]/Tabelle13[[#Totals],[commits]]</f>
        <v>4.6477904404246225E-6</v>
      </c>
      <c r="I5671" s="5">
        <f>Tabelle13[[#This Row],[%]]+I5670</f>
        <v>0.98430905947307556</v>
      </c>
      <c r="J5671" s="4">
        <f t="shared" si="209"/>
        <v>1.105583195135434E-4</v>
      </c>
      <c r="K5671" s="5">
        <f t="shared" si="210"/>
        <v>0.62675511332234146</v>
      </c>
    </row>
    <row r="5672" spans="1:11" x14ac:dyDescent="0.25">
      <c r="A5672" t="s">
        <v>5161</v>
      </c>
      <c r="C5672" t="s">
        <v>5162</v>
      </c>
      <c r="D5672" t="s">
        <v>5</v>
      </c>
      <c r="E5672" t="s">
        <v>6</v>
      </c>
      <c r="F5672" t="s">
        <v>724</v>
      </c>
      <c r="G5672">
        <v>1</v>
      </c>
      <c r="H5672" s="2">
        <f>Tabelle13[[#This Row],[commits]]/Tabelle13[[#Totals],[commits]]</f>
        <v>4.6477904404246225E-6</v>
      </c>
      <c r="I5672" s="5">
        <f>Tabelle13[[#This Row],[%]]+I5671</f>
        <v>0.98431370726351597</v>
      </c>
      <c r="J5672" s="4">
        <f t="shared" si="209"/>
        <v>1.105583195135434E-4</v>
      </c>
      <c r="K5672" s="5">
        <f t="shared" si="210"/>
        <v>0.62686567164185503</v>
      </c>
    </row>
    <row r="5673" spans="1:11" x14ac:dyDescent="0.25">
      <c r="A5673" t="s">
        <v>5163</v>
      </c>
      <c r="C5673" t="s">
        <v>5164</v>
      </c>
      <c r="D5673" t="s">
        <v>309</v>
      </c>
      <c r="E5673" t="s">
        <v>6</v>
      </c>
      <c r="F5673" t="s">
        <v>724</v>
      </c>
      <c r="G5673">
        <v>1</v>
      </c>
      <c r="H5673" s="2">
        <f>Tabelle13[[#This Row],[commits]]/Tabelle13[[#Totals],[commits]]</f>
        <v>4.6477904404246225E-6</v>
      </c>
      <c r="I5673" s="5">
        <f>Tabelle13[[#This Row],[%]]+I5672</f>
        <v>0.98431835505395637</v>
      </c>
      <c r="J5673" s="4">
        <f t="shared" si="209"/>
        <v>1.105583195135434E-4</v>
      </c>
      <c r="K5673" s="5">
        <f t="shared" si="210"/>
        <v>0.62697622996136859</v>
      </c>
    </row>
    <row r="5674" spans="1:11" x14ac:dyDescent="0.25">
      <c r="A5674" t="s">
        <v>5165</v>
      </c>
      <c r="C5674" t="s">
        <v>11</v>
      </c>
      <c r="D5674" t="s">
        <v>5</v>
      </c>
      <c r="E5674" t="s">
        <v>6</v>
      </c>
      <c r="F5674" t="s">
        <v>724</v>
      </c>
      <c r="G5674">
        <v>1</v>
      </c>
      <c r="H5674" s="2">
        <f>Tabelle13[[#This Row],[commits]]/Tabelle13[[#Totals],[commits]]</f>
        <v>4.6477904404246225E-6</v>
      </c>
      <c r="I5674" s="5">
        <f>Tabelle13[[#This Row],[%]]+I5673</f>
        <v>0.98432300284439678</v>
      </c>
      <c r="J5674" s="4">
        <f t="shared" si="209"/>
        <v>1.105583195135434E-4</v>
      </c>
      <c r="K5674" s="5">
        <f t="shared" si="210"/>
        <v>0.62708678828088216</v>
      </c>
    </row>
    <row r="5675" spans="1:11" x14ac:dyDescent="0.25">
      <c r="A5675" t="s">
        <v>5166</v>
      </c>
      <c r="C5675" t="s">
        <v>5167</v>
      </c>
      <c r="D5675" t="s">
        <v>5</v>
      </c>
      <c r="E5675" t="s">
        <v>6</v>
      </c>
      <c r="F5675" t="s">
        <v>724</v>
      </c>
      <c r="G5675">
        <v>1</v>
      </c>
      <c r="H5675" s="2">
        <f>Tabelle13[[#This Row],[commits]]/Tabelle13[[#Totals],[commits]]</f>
        <v>4.6477904404246225E-6</v>
      </c>
      <c r="I5675" s="5">
        <f>Tabelle13[[#This Row],[%]]+I5674</f>
        <v>0.98432765063483718</v>
      </c>
      <c r="J5675" s="4">
        <f t="shared" si="209"/>
        <v>1.105583195135434E-4</v>
      </c>
      <c r="K5675" s="5">
        <f t="shared" si="210"/>
        <v>0.62719734660039572</v>
      </c>
    </row>
    <row r="5676" spans="1:11" x14ac:dyDescent="0.25">
      <c r="A5676" t="s">
        <v>5168</v>
      </c>
      <c r="C5676" t="s">
        <v>2285</v>
      </c>
      <c r="D5676" t="s">
        <v>309</v>
      </c>
      <c r="E5676" t="s">
        <v>6</v>
      </c>
      <c r="F5676" t="s">
        <v>724</v>
      </c>
      <c r="G5676">
        <v>1</v>
      </c>
      <c r="H5676" s="2">
        <f>Tabelle13[[#This Row],[commits]]/Tabelle13[[#Totals],[commits]]</f>
        <v>4.6477904404246225E-6</v>
      </c>
      <c r="I5676" s="5">
        <f>Tabelle13[[#This Row],[%]]+I5675</f>
        <v>0.98433229842527759</v>
      </c>
      <c r="J5676" s="4">
        <f t="shared" si="209"/>
        <v>1.105583195135434E-4</v>
      </c>
      <c r="K5676" s="5">
        <f t="shared" si="210"/>
        <v>0.62730790491990929</v>
      </c>
    </row>
    <row r="5677" spans="1:11" x14ac:dyDescent="0.25">
      <c r="A5677" t="s">
        <v>5169</v>
      </c>
      <c r="C5677" t="s">
        <v>5170</v>
      </c>
      <c r="D5677" t="s">
        <v>5</v>
      </c>
      <c r="E5677" t="s">
        <v>6</v>
      </c>
      <c r="F5677" t="s">
        <v>724</v>
      </c>
      <c r="G5677">
        <v>1</v>
      </c>
      <c r="H5677" s="2">
        <f>Tabelle13[[#This Row],[commits]]/Tabelle13[[#Totals],[commits]]</f>
        <v>4.6477904404246225E-6</v>
      </c>
      <c r="I5677" s="5">
        <f>Tabelle13[[#This Row],[%]]+I5676</f>
        <v>0.98433694621571799</v>
      </c>
      <c r="J5677" s="4">
        <f t="shared" si="209"/>
        <v>1.105583195135434E-4</v>
      </c>
      <c r="K5677" s="5">
        <f t="shared" si="210"/>
        <v>0.62741846323942285</v>
      </c>
    </row>
    <row r="5678" spans="1:11" x14ac:dyDescent="0.25">
      <c r="A5678" t="s">
        <v>5171</v>
      </c>
      <c r="C5678" t="s">
        <v>5172</v>
      </c>
      <c r="D5678" t="s">
        <v>5</v>
      </c>
      <c r="E5678" t="s">
        <v>6</v>
      </c>
      <c r="F5678" t="s">
        <v>724</v>
      </c>
      <c r="G5678">
        <v>1</v>
      </c>
      <c r="H5678" s="2">
        <f>Tabelle13[[#This Row],[commits]]/Tabelle13[[#Totals],[commits]]</f>
        <v>4.6477904404246225E-6</v>
      </c>
      <c r="I5678" s="5">
        <f>Tabelle13[[#This Row],[%]]+I5677</f>
        <v>0.98434159400615839</v>
      </c>
      <c r="J5678" s="4">
        <f t="shared" si="209"/>
        <v>1.105583195135434E-4</v>
      </c>
      <c r="K5678" s="5">
        <f t="shared" si="210"/>
        <v>0.62752902155893642</v>
      </c>
    </row>
    <row r="5679" spans="1:11" x14ac:dyDescent="0.25">
      <c r="A5679" t="s">
        <v>5345</v>
      </c>
      <c r="C5679">
        <v>740531372</v>
      </c>
      <c r="D5679" t="s">
        <v>5</v>
      </c>
      <c r="E5679" t="s">
        <v>6</v>
      </c>
      <c r="F5679" t="s">
        <v>334</v>
      </c>
      <c r="G5679">
        <v>1</v>
      </c>
      <c r="H5679" s="2">
        <f>Tabelle13[[#This Row],[commits]]/Tabelle13[[#Totals],[commits]]</f>
        <v>4.6477904404246225E-6</v>
      </c>
      <c r="I5679" s="5">
        <f>Tabelle13[[#This Row],[%]]+I5678</f>
        <v>0.9843462417965988</v>
      </c>
      <c r="J5679" s="4">
        <f t="shared" si="209"/>
        <v>1.105583195135434E-4</v>
      </c>
      <c r="K5679" s="5">
        <f t="shared" si="210"/>
        <v>0.62763957987844998</v>
      </c>
    </row>
    <row r="5680" spans="1:11" x14ac:dyDescent="0.25">
      <c r="A5680" t="s">
        <v>5561</v>
      </c>
      <c r="C5680" t="s">
        <v>5562</v>
      </c>
      <c r="D5680" t="s">
        <v>5</v>
      </c>
      <c r="E5680" t="s">
        <v>6</v>
      </c>
      <c r="F5680" t="s">
        <v>334</v>
      </c>
      <c r="G5680">
        <v>1</v>
      </c>
      <c r="H5680" s="2">
        <f>Tabelle13[[#This Row],[commits]]/Tabelle13[[#Totals],[commits]]</f>
        <v>4.6477904404246225E-6</v>
      </c>
      <c r="I5680" s="5">
        <f>Tabelle13[[#This Row],[%]]+I5679</f>
        <v>0.9843508895870392</v>
      </c>
      <c r="J5680" s="4">
        <f t="shared" si="209"/>
        <v>1.105583195135434E-4</v>
      </c>
      <c r="K5680" s="5">
        <f t="shared" si="210"/>
        <v>0.62775013819796355</v>
      </c>
    </row>
    <row r="5681" spans="1:11" x14ac:dyDescent="0.25">
      <c r="A5681" t="s">
        <v>5634</v>
      </c>
      <c r="C5681" t="s">
        <v>5635</v>
      </c>
      <c r="D5681" t="s">
        <v>5</v>
      </c>
      <c r="E5681" t="s">
        <v>6</v>
      </c>
      <c r="F5681" t="s">
        <v>251</v>
      </c>
      <c r="G5681">
        <v>1</v>
      </c>
      <c r="H5681" s="2">
        <f>Tabelle13[[#This Row],[commits]]/Tabelle13[[#Totals],[commits]]</f>
        <v>4.6477904404246225E-6</v>
      </c>
      <c r="I5681" s="5">
        <f>Tabelle13[[#This Row],[%]]+I5680</f>
        <v>0.98435553737747961</v>
      </c>
      <c r="J5681" s="4">
        <f t="shared" si="209"/>
        <v>1.105583195135434E-4</v>
      </c>
      <c r="K5681" s="5">
        <f t="shared" si="210"/>
        <v>0.62786069651747711</v>
      </c>
    </row>
    <row r="5682" spans="1:11" x14ac:dyDescent="0.25">
      <c r="A5682" t="s">
        <v>5771</v>
      </c>
      <c r="C5682" t="s">
        <v>5772</v>
      </c>
      <c r="D5682" t="s">
        <v>5</v>
      </c>
      <c r="E5682" t="s">
        <v>6</v>
      </c>
      <c r="F5682" t="s">
        <v>251</v>
      </c>
      <c r="G5682">
        <v>1</v>
      </c>
      <c r="H5682" s="2">
        <f>Tabelle13[[#This Row],[commits]]/Tabelle13[[#Totals],[commits]]</f>
        <v>4.6477904404246225E-6</v>
      </c>
      <c r="I5682" s="5">
        <f>Tabelle13[[#This Row],[%]]+I5681</f>
        <v>0.98436018516792001</v>
      </c>
      <c r="J5682" s="4">
        <f t="shared" si="209"/>
        <v>1.105583195135434E-4</v>
      </c>
      <c r="K5682" s="5">
        <f t="shared" si="210"/>
        <v>0.62797125483699068</v>
      </c>
    </row>
    <row r="5683" spans="1:11" x14ac:dyDescent="0.25">
      <c r="A5683" t="s">
        <v>6074</v>
      </c>
      <c r="C5683" t="s">
        <v>6075</v>
      </c>
      <c r="D5683" t="s">
        <v>5</v>
      </c>
      <c r="E5683" t="s">
        <v>6</v>
      </c>
      <c r="F5683" t="s">
        <v>251</v>
      </c>
      <c r="G5683">
        <v>1</v>
      </c>
      <c r="H5683" s="2">
        <f>Tabelle13[[#This Row],[commits]]/Tabelle13[[#Totals],[commits]]</f>
        <v>4.6477904404246225E-6</v>
      </c>
      <c r="I5683" s="5">
        <f>Tabelle13[[#This Row],[%]]+I5682</f>
        <v>0.98436483295836041</v>
      </c>
      <c r="J5683" s="4">
        <f t="shared" si="209"/>
        <v>1.105583195135434E-4</v>
      </c>
      <c r="K5683" s="5">
        <f t="shared" si="210"/>
        <v>0.62808181315650424</v>
      </c>
    </row>
    <row r="5684" spans="1:11" x14ac:dyDescent="0.25">
      <c r="A5684" t="s">
        <v>6108</v>
      </c>
      <c r="C5684" t="s">
        <v>6109</v>
      </c>
      <c r="D5684" t="s">
        <v>5</v>
      </c>
      <c r="E5684" t="s">
        <v>6</v>
      </c>
      <c r="F5684" t="s">
        <v>334</v>
      </c>
      <c r="G5684">
        <v>1</v>
      </c>
      <c r="H5684" s="2">
        <f>Tabelle13[[#This Row],[commits]]/Tabelle13[[#Totals],[commits]]</f>
        <v>4.6477904404246225E-6</v>
      </c>
      <c r="I5684" s="5">
        <f>Tabelle13[[#This Row],[%]]+I5683</f>
        <v>0.98436948074880082</v>
      </c>
      <c r="J5684" s="4">
        <f t="shared" si="209"/>
        <v>1.105583195135434E-4</v>
      </c>
      <c r="K5684" s="5">
        <f t="shared" si="210"/>
        <v>0.62819237147601781</v>
      </c>
    </row>
    <row r="5685" spans="1:11" x14ac:dyDescent="0.25">
      <c r="A5685" t="s">
        <v>6190</v>
      </c>
      <c r="C5685">
        <v>1</v>
      </c>
      <c r="D5685" t="s">
        <v>5</v>
      </c>
      <c r="E5685" t="s">
        <v>6</v>
      </c>
      <c r="F5685" t="s">
        <v>28</v>
      </c>
      <c r="G5685">
        <v>1</v>
      </c>
      <c r="H5685" s="2">
        <f>Tabelle13[[#This Row],[commits]]/Tabelle13[[#Totals],[commits]]</f>
        <v>4.6477904404246225E-6</v>
      </c>
      <c r="I5685" s="5">
        <f>Tabelle13[[#This Row],[%]]+I5684</f>
        <v>0.98437412853924122</v>
      </c>
      <c r="J5685" s="4">
        <f t="shared" si="209"/>
        <v>1.105583195135434E-4</v>
      </c>
      <c r="K5685" s="5">
        <f t="shared" si="210"/>
        <v>0.62830292979553137</v>
      </c>
    </row>
    <row r="5686" spans="1:11" x14ac:dyDescent="0.25">
      <c r="A5686" t="s">
        <v>6191</v>
      </c>
      <c r="C5686">
        <v>282126346</v>
      </c>
      <c r="D5686" t="s">
        <v>5</v>
      </c>
      <c r="E5686" t="s">
        <v>6</v>
      </c>
      <c r="F5686" t="s">
        <v>28</v>
      </c>
      <c r="G5686">
        <v>1</v>
      </c>
      <c r="H5686" s="2">
        <f>Tabelle13[[#This Row],[commits]]/Tabelle13[[#Totals],[commits]]</f>
        <v>4.6477904404246225E-6</v>
      </c>
      <c r="I5686" s="5">
        <f>Tabelle13[[#This Row],[%]]+I5685</f>
        <v>0.98437877632968163</v>
      </c>
      <c r="J5686" s="4">
        <f t="shared" si="209"/>
        <v>1.105583195135434E-4</v>
      </c>
      <c r="K5686" s="5">
        <f t="shared" si="210"/>
        <v>0.62841348811504494</v>
      </c>
    </row>
    <row r="5687" spans="1:11" x14ac:dyDescent="0.25">
      <c r="A5687" t="s">
        <v>6192</v>
      </c>
      <c r="C5687">
        <v>313439271</v>
      </c>
      <c r="D5687" t="s">
        <v>5</v>
      </c>
      <c r="E5687" t="s">
        <v>6</v>
      </c>
      <c r="F5687" t="s">
        <v>28</v>
      </c>
      <c r="G5687">
        <v>1</v>
      </c>
      <c r="H5687" s="2">
        <f>Tabelle13[[#This Row],[commits]]/Tabelle13[[#Totals],[commits]]</f>
        <v>4.6477904404246225E-6</v>
      </c>
      <c r="I5687" s="5">
        <f>Tabelle13[[#This Row],[%]]+I5686</f>
        <v>0.98438342412012203</v>
      </c>
      <c r="J5687" s="4">
        <f t="shared" si="209"/>
        <v>1.105583195135434E-4</v>
      </c>
      <c r="K5687" s="5">
        <f t="shared" si="210"/>
        <v>0.6285240464345585</v>
      </c>
    </row>
    <row r="5688" spans="1:11" x14ac:dyDescent="0.25">
      <c r="A5688" t="s">
        <v>6193</v>
      </c>
      <c r="C5688">
        <v>513802516</v>
      </c>
      <c r="D5688" t="s">
        <v>5</v>
      </c>
      <c r="E5688" t="s">
        <v>6</v>
      </c>
      <c r="F5688" t="s">
        <v>28</v>
      </c>
      <c r="G5688">
        <v>1</v>
      </c>
      <c r="H5688" s="2">
        <f>Tabelle13[[#This Row],[commits]]/Tabelle13[[#Totals],[commits]]</f>
        <v>4.6477904404246225E-6</v>
      </c>
      <c r="I5688" s="5">
        <f>Tabelle13[[#This Row],[%]]+I5687</f>
        <v>0.98438807191056243</v>
      </c>
      <c r="J5688" s="4">
        <f t="shared" si="209"/>
        <v>1.105583195135434E-4</v>
      </c>
      <c r="K5688" s="5">
        <f t="shared" si="210"/>
        <v>0.62863460475407207</v>
      </c>
    </row>
    <row r="5689" spans="1:11" x14ac:dyDescent="0.25">
      <c r="A5689" t="s">
        <v>6194</v>
      </c>
      <c r="C5689">
        <v>535802703</v>
      </c>
      <c r="D5689" t="s">
        <v>5</v>
      </c>
      <c r="E5689" t="s">
        <v>6</v>
      </c>
      <c r="F5689" t="s">
        <v>334</v>
      </c>
      <c r="G5689">
        <v>1</v>
      </c>
      <c r="H5689" s="2">
        <f>Tabelle13[[#This Row],[commits]]/Tabelle13[[#Totals],[commits]]</f>
        <v>4.6477904404246225E-6</v>
      </c>
      <c r="I5689" s="5">
        <f>Tabelle13[[#This Row],[%]]+I5688</f>
        <v>0.98439271970100284</v>
      </c>
      <c r="J5689" s="4">
        <f t="shared" si="209"/>
        <v>1.105583195135434E-4</v>
      </c>
      <c r="K5689" s="5">
        <f t="shared" si="210"/>
        <v>0.62874516307358563</v>
      </c>
    </row>
    <row r="5690" spans="1:11" x14ac:dyDescent="0.25">
      <c r="A5690" t="s">
        <v>6195</v>
      </c>
      <c r="C5690">
        <v>576679268</v>
      </c>
      <c r="D5690" t="s">
        <v>5</v>
      </c>
      <c r="E5690" t="s">
        <v>6</v>
      </c>
      <c r="F5690" t="s">
        <v>28</v>
      </c>
      <c r="G5690">
        <v>1</v>
      </c>
      <c r="H5690" s="2">
        <f>Tabelle13[[#This Row],[commits]]/Tabelle13[[#Totals],[commits]]</f>
        <v>4.6477904404246225E-6</v>
      </c>
      <c r="I5690" s="5">
        <f>Tabelle13[[#This Row],[%]]+I5689</f>
        <v>0.98439736749144324</v>
      </c>
      <c r="J5690" s="4">
        <f t="shared" si="209"/>
        <v>1.105583195135434E-4</v>
      </c>
      <c r="K5690" s="5">
        <f t="shared" si="210"/>
        <v>0.6288557213930992</v>
      </c>
    </row>
    <row r="5691" spans="1:11" x14ac:dyDescent="0.25">
      <c r="A5691" t="s">
        <v>6196</v>
      </c>
      <c r="C5691">
        <v>724159997</v>
      </c>
      <c r="D5691" t="s">
        <v>5</v>
      </c>
      <c r="E5691" t="s">
        <v>6</v>
      </c>
      <c r="F5691" t="s">
        <v>334</v>
      </c>
      <c r="G5691">
        <v>1</v>
      </c>
      <c r="H5691" s="2">
        <f>Tabelle13[[#This Row],[commits]]/Tabelle13[[#Totals],[commits]]</f>
        <v>4.6477904404246225E-6</v>
      </c>
      <c r="I5691" s="5">
        <f>Tabelle13[[#This Row],[%]]+I5690</f>
        <v>0.98440201528188365</v>
      </c>
      <c r="J5691" s="4">
        <f t="shared" si="209"/>
        <v>1.105583195135434E-4</v>
      </c>
      <c r="K5691" s="5">
        <f t="shared" si="210"/>
        <v>0.62896627971261276</v>
      </c>
    </row>
    <row r="5692" spans="1:11" x14ac:dyDescent="0.25">
      <c r="A5692" t="s">
        <v>6197</v>
      </c>
      <c r="C5692">
        <v>843968788</v>
      </c>
      <c r="D5692" t="s">
        <v>5</v>
      </c>
      <c r="E5692" t="s">
        <v>6</v>
      </c>
      <c r="F5692" t="s">
        <v>28</v>
      </c>
      <c r="G5692">
        <v>1</v>
      </c>
      <c r="H5692" s="2">
        <f>Tabelle13[[#This Row],[commits]]/Tabelle13[[#Totals],[commits]]</f>
        <v>4.6477904404246225E-6</v>
      </c>
      <c r="I5692" s="5">
        <f>Tabelle13[[#This Row],[%]]+I5691</f>
        <v>0.98440666307232405</v>
      </c>
      <c r="J5692" s="4">
        <f t="shared" si="209"/>
        <v>1.105583195135434E-4</v>
      </c>
      <c r="K5692" s="5">
        <f t="shared" si="210"/>
        <v>0.62907683803212633</v>
      </c>
    </row>
    <row r="5693" spans="1:11" x14ac:dyDescent="0.25">
      <c r="A5693" t="s">
        <v>6198</v>
      </c>
      <c r="C5693">
        <v>850127508</v>
      </c>
      <c r="D5693" t="s">
        <v>5</v>
      </c>
      <c r="E5693" t="s">
        <v>6</v>
      </c>
      <c r="F5693" t="s">
        <v>28</v>
      </c>
      <c r="G5693">
        <v>1</v>
      </c>
      <c r="H5693" s="2">
        <f>Tabelle13[[#This Row],[commits]]/Tabelle13[[#Totals],[commits]]</f>
        <v>4.6477904404246225E-6</v>
      </c>
      <c r="I5693" s="5">
        <f>Tabelle13[[#This Row],[%]]+I5692</f>
        <v>0.98441131086276445</v>
      </c>
      <c r="J5693" s="4">
        <f t="shared" si="209"/>
        <v>1.105583195135434E-4</v>
      </c>
      <c r="K5693" s="5">
        <f t="shared" si="210"/>
        <v>0.62918739635163989</v>
      </c>
    </row>
    <row r="5694" spans="1:11" x14ac:dyDescent="0.25">
      <c r="A5694" t="s">
        <v>6199</v>
      </c>
      <c r="C5694">
        <v>944316342</v>
      </c>
      <c r="D5694" t="s">
        <v>5</v>
      </c>
      <c r="E5694" t="s">
        <v>6</v>
      </c>
      <c r="F5694" t="s">
        <v>28</v>
      </c>
      <c r="G5694">
        <v>1</v>
      </c>
      <c r="H5694" s="2">
        <f>Tabelle13[[#This Row],[commits]]/Tabelle13[[#Totals],[commits]]</f>
        <v>4.6477904404246225E-6</v>
      </c>
      <c r="I5694" s="5">
        <f>Tabelle13[[#This Row],[%]]+I5693</f>
        <v>0.98441595865320486</v>
      </c>
      <c r="J5694" s="4">
        <f t="shared" si="209"/>
        <v>1.105583195135434E-4</v>
      </c>
      <c r="K5694" s="5">
        <f t="shared" si="210"/>
        <v>0.62929795467115346</v>
      </c>
    </row>
    <row r="5695" spans="1:11" x14ac:dyDescent="0.25">
      <c r="A5695" t="s">
        <v>6200</v>
      </c>
      <c r="C5695">
        <v>1250766229</v>
      </c>
      <c r="D5695" t="s">
        <v>5</v>
      </c>
      <c r="E5695" t="s">
        <v>6</v>
      </c>
      <c r="F5695" t="s">
        <v>28</v>
      </c>
      <c r="G5695">
        <v>1</v>
      </c>
      <c r="H5695" s="2">
        <f>Tabelle13[[#This Row],[commits]]/Tabelle13[[#Totals],[commits]]</f>
        <v>4.6477904404246225E-6</v>
      </c>
      <c r="I5695" s="5">
        <f>Tabelle13[[#This Row],[%]]+I5694</f>
        <v>0.98442060644364526</v>
      </c>
      <c r="J5695" s="4">
        <f t="shared" si="209"/>
        <v>1.105583195135434E-4</v>
      </c>
      <c r="K5695" s="5">
        <f t="shared" si="210"/>
        <v>0.62940851299066702</v>
      </c>
    </row>
    <row r="5696" spans="1:11" x14ac:dyDescent="0.25">
      <c r="A5696" t="s">
        <v>6201</v>
      </c>
      <c r="C5696">
        <v>1533540012</v>
      </c>
      <c r="D5696" t="s">
        <v>5</v>
      </c>
      <c r="E5696" t="s">
        <v>6</v>
      </c>
      <c r="F5696" t="s">
        <v>28</v>
      </c>
      <c r="G5696">
        <v>1</v>
      </c>
      <c r="H5696" s="2">
        <f>Tabelle13[[#This Row],[commits]]/Tabelle13[[#Totals],[commits]]</f>
        <v>4.6477904404246225E-6</v>
      </c>
      <c r="I5696" s="5">
        <f>Tabelle13[[#This Row],[%]]+I5695</f>
        <v>0.98442525423408567</v>
      </c>
      <c r="J5696" s="4">
        <f t="shared" si="209"/>
        <v>1.105583195135434E-4</v>
      </c>
      <c r="K5696" s="5">
        <f t="shared" si="210"/>
        <v>0.62951907131018059</v>
      </c>
    </row>
    <row r="5697" spans="1:11" x14ac:dyDescent="0.25">
      <c r="A5697" t="s">
        <v>6202</v>
      </c>
      <c r="C5697">
        <v>1879633916</v>
      </c>
      <c r="D5697" t="s">
        <v>5</v>
      </c>
      <c r="E5697" t="s">
        <v>6</v>
      </c>
      <c r="F5697" t="s">
        <v>28</v>
      </c>
      <c r="G5697">
        <v>1</v>
      </c>
      <c r="H5697" s="2">
        <f>Tabelle13[[#This Row],[commits]]/Tabelle13[[#Totals],[commits]]</f>
        <v>4.6477904404246225E-6</v>
      </c>
      <c r="I5697" s="5">
        <f>Tabelle13[[#This Row],[%]]+I5696</f>
        <v>0.98442990202452607</v>
      </c>
      <c r="J5697" s="4">
        <f t="shared" si="209"/>
        <v>1.105583195135434E-4</v>
      </c>
      <c r="K5697" s="5">
        <f t="shared" si="210"/>
        <v>0.62962962962969415</v>
      </c>
    </row>
    <row r="5698" spans="1:11" x14ac:dyDescent="0.25">
      <c r="A5698" t="s">
        <v>6203</v>
      </c>
      <c r="C5698">
        <v>2470828450</v>
      </c>
      <c r="D5698" t="s">
        <v>5</v>
      </c>
      <c r="E5698" t="s">
        <v>6</v>
      </c>
      <c r="F5698" t="s">
        <v>28</v>
      </c>
      <c r="G5698">
        <v>1</v>
      </c>
      <c r="H5698" s="2">
        <f>Tabelle13[[#This Row],[commits]]/Tabelle13[[#Totals],[commits]]</f>
        <v>4.6477904404246225E-6</v>
      </c>
      <c r="I5698" s="5">
        <f>Tabelle13[[#This Row],[%]]+I5697</f>
        <v>0.98443454981496648</v>
      </c>
      <c r="J5698" s="4">
        <f t="shared" si="209"/>
        <v>1.105583195135434E-4</v>
      </c>
      <c r="K5698" s="5">
        <f t="shared" si="210"/>
        <v>0.62974018794920772</v>
      </c>
    </row>
    <row r="5699" spans="1:11" x14ac:dyDescent="0.25">
      <c r="A5699" t="s">
        <v>6204</v>
      </c>
      <c r="C5699">
        <v>15101126742</v>
      </c>
      <c r="D5699" t="s">
        <v>5</v>
      </c>
      <c r="E5699" t="s">
        <v>6</v>
      </c>
      <c r="F5699" t="s">
        <v>28</v>
      </c>
      <c r="G5699">
        <v>1</v>
      </c>
      <c r="H5699" s="2">
        <f>Tabelle13[[#This Row],[commits]]/Tabelle13[[#Totals],[commits]]</f>
        <v>4.6477904404246225E-6</v>
      </c>
      <c r="I5699" s="5">
        <f>Tabelle13[[#This Row],[%]]+I5698</f>
        <v>0.98443919760540688</v>
      </c>
      <c r="J5699" s="4">
        <f t="shared" ref="J5699:J5762" si="211">1/9045</f>
        <v>1.105583195135434E-4</v>
      </c>
      <c r="K5699" s="5">
        <f t="shared" si="210"/>
        <v>0.62985074626872128</v>
      </c>
    </row>
    <row r="5700" spans="1:11" x14ac:dyDescent="0.25">
      <c r="A5700" t="s">
        <v>6205</v>
      </c>
      <c r="C5700" t="s">
        <v>6206</v>
      </c>
      <c r="D5700" t="s">
        <v>5</v>
      </c>
      <c r="E5700" t="s">
        <v>6</v>
      </c>
      <c r="F5700" t="s">
        <v>28</v>
      </c>
      <c r="G5700">
        <v>1</v>
      </c>
      <c r="H5700" s="2">
        <f>Tabelle13[[#This Row],[commits]]/Tabelle13[[#Totals],[commits]]</f>
        <v>4.6477904404246225E-6</v>
      </c>
      <c r="I5700" s="5">
        <f>Tabelle13[[#This Row],[%]]+I5699</f>
        <v>0.98444384539584728</v>
      </c>
      <c r="J5700" s="4">
        <f t="shared" si="211"/>
        <v>1.105583195135434E-4</v>
      </c>
      <c r="K5700" s="5">
        <f t="shared" si="210"/>
        <v>0.62996130458823485</v>
      </c>
    </row>
    <row r="5701" spans="1:11" x14ac:dyDescent="0.25">
      <c r="A5701" t="s">
        <v>6207</v>
      </c>
      <c r="C5701" t="s">
        <v>6208</v>
      </c>
      <c r="D5701" t="s">
        <v>5</v>
      </c>
      <c r="E5701" t="s">
        <v>6</v>
      </c>
      <c r="F5701" t="s">
        <v>28</v>
      </c>
      <c r="G5701">
        <v>1</v>
      </c>
      <c r="H5701" s="2">
        <f>Tabelle13[[#This Row],[commits]]/Tabelle13[[#Totals],[commits]]</f>
        <v>4.6477904404246225E-6</v>
      </c>
      <c r="I5701" s="5">
        <f>Tabelle13[[#This Row],[%]]+I5700</f>
        <v>0.98444849318628769</v>
      </c>
      <c r="J5701" s="4">
        <f t="shared" si="211"/>
        <v>1.105583195135434E-4</v>
      </c>
      <c r="K5701" s="5">
        <f t="shared" si="210"/>
        <v>0.63007186290774841</v>
      </c>
    </row>
    <row r="5702" spans="1:11" x14ac:dyDescent="0.25">
      <c r="A5702" t="s">
        <v>6209</v>
      </c>
      <c r="C5702" t="s">
        <v>6210</v>
      </c>
      <c r="D5702" t="s">
        <v>5</v>
      </c>
      <c r="E5702" t="s">
        <v>6</v>
      </c>
      <c r="F5702" t="s">
        <v>334</v>
      </c>
      <c r="G5702">
        <v>1</v>
      </c>
      <c r="H5702" s="2">
        <f>Tabelle13[[#This Row],[commits]]/Tabelle13[[#Totals],[commits]]</f>
        <v>4.6477904404246225E-6</v>
      </c>
      <c r="I5702" s="5">
        <f>Tabelle13[[#This Row],[%]]+I5701</f>
        <v>0.98445314097672809</v>
      </c>
      <c r="J5702" s="4">
        <f t="shared" si="211"/>
        <v>1.105583195135434E-4</v>
      </c>
      <c r="K5702" s="5">
        <f t="shared" ref="K5702:K5765" si="212">J5702+K5701</f>
        <v>0.63018242122726198</v>
      </c>
    </row>
    <row r="5703" spans="1:11" x14ac:dyDescent="0.25">
      <c r="A5703" t="s">
        <v>6211</v>
      </c>
      <c r="C5703" t="s">
        <v>6212</v>
      </c>
      <c r="D5703" t="s">
        <v>5</v>
      </c>
      <c r="E5703" t="s">
        <v>6</v>
      </c>
      <c r="F5703" t="s">
        <v>28</v>
      </c>
      <c r="G5703">
        <v>1</v>
      </c>
      <c r="H5703" s="2">
        <f>Tabelle13[[#This Row],[commits]]/Tabelle13[[#Totals],[commits]]</f>
        <v>4.6477904404246225E-6</v>
      </c>
      <c r="I5703" s="5">
        <f>Tabelle13[[#This Row],[%]]+I5702</f>
        <v>0.9844577887671685</v>
      </c>
      <c r="J5703" s="4">
        <f t="shared" si="211"/>
        <v>1.105583195135434E-4</v>
      </c>
      <c r="K5703" s="5">
        <f t="shared" si="212"/>
        <v>0.63029297954677554</v>
      </c>
    </row>
    <row r="5704" spans="1:11" x14ac:dyDescent="0.25">
      <c r="A5704" t="s">
        <v>6213</v>
      </c>
      <c r="C5704" t="s">
        <v>6214</v>
      </c>
      <c r="D5704" t="s">
        <v>5</v>
      </c>
      <c r="E5704" t="s">
        <v>6</v>
      </c>
      <c r="F5704" t="s">
        <v>28</v>
      </c>
      <c r="G5704">
        <v>1</v>
      </c>
      <c r="H5704" s="2">
        <f>Tabelle13[[#This Row],[commits]]/Tabelle13[[#Totals],[commits]]</f>
        <v>4.6477904404246225E-6</v>
      </c>
      <c r="I5704" s="5">
        <f>Tabelle13[[#This Row],[%]]+I5703</f>
        <v>0.9844624365576089</v>
      </c>
      <c r="J5704" s="4">
        <f t="shared" si="211"/>
        <v>1.105583195135434E-4</v>
      </c>
      <c r="K5704" s="5">
        <f t="shared" si="212"/>
        <v>0.63040353786628911</v>
      </c>
    </row>
    <row r="5705" spans="1:11" x14ac:dyDescent="0.25">
      <c r="A5705" t="s">
        <v>6215</v>
      </c>
      <c r="C5705" t="s">
        <v>6216</v>
      </c>
      <c r="D5705" t="s">
        <v>5</v>
      </c>
      <c r="E5705" t="s">
        <v>6</v>
      </c>
      <c r="F5705" t="s">
        <v>28</v>
      </c>
      <c r="G5705">
        <v>1</v>
      </c>
      <c r="H5705" s="2">
        <f>Tabelle13[[#This Row],[commits]]/Tabelle13[[#Totals],[commits]]</f>
        <v>4.6477904404246225E-6</v>
      </c>
      <c r="I5705" s="5">
        <f>Tabelle13[[#This Row],[%]]+I5704</f>
        <v>0.9844670843480493</v>
      </c>
      <c r="J5705" s="4">
        <f t="shared" si="211"/>
        <v>1.105583195135434E-4</v>
      </c>
      <c r="K5705" s="5">
        <f t="shared" si="212"/>
        <v>0.63051409618580267</v>
      </c>
    </row>
    <row r="5706" spans="1:11" x14ac:dyDescent="0.25">
      <c r="A5706" t="s">
        <v>6217</v>
      </c>
      <c r="C5706" t="s">
        <v>6218</v>
      </c>
      <c r="D5706" t="s">
        <v>5</v>
      </c>
      <c r="E5706" t="s">
        <v>6</v>
      </c>
      <c r="F5706" t="s">
        <v>28</v>
      </c>
      <c r="G5706">
        <v>1</v>
      </c>
      <c r="H5706" s="2">
        <f>Tabelle13[[#This Row],[commits]]/Tabelle13[[#Totals],[commits]]</f>
        <v>4.6477904404246225E-6</v>
      </c>
      <c r="I5706" s="5">
        <f>Tabelle13[[#This Row],[%]]+I5705</f>
        <v>0.98447173213848971</v>
      </c>
      <c r="J5706" s="4">
        <f t="shared" si="211"/>
        <v>1.105583195135434E-4</v>
      </c>
      <c r="K5706" s="5">
        <f t="shared" si="212"/>
        <v>0.63062465450531624</v>
      </c>
    </row>
    <row r="5707" spans="1:11" x14ac:dyDescent="0.25">
      <c r="A5707" t="s">
        <v>6219</v>
      </c>
      <c r="C5707" t="s">
        <v>6220</v>
      </c>
      <c r="D5707" t="s">
        <v>5</v>
      </c>
      <c r="E5707" t="s">
        <v>6</v>
      </c>
      <c r="F5707" t="s">
        <v>28</v>
      </c>
      <c r="G5707">
        <v>1</v>
      </c>
      <c r="H5707" s="2">
        <f>Tabelle13[[#This Row],[commits]]/Tabelle13[[#Totals],[commits]]</f>
        <v>4.6477904404246225E-6</v>
      </c>
      <c r="I5707" s="5">
        <f>Tabelle13[[#This Row],[%]]+I5706</f>
        <v>0.98447637992893011</v>
      </c>
      <c r="J5707" s="4">
        <f t="shared" si="211"/>
        <v>1.105583195135434E-4</v>
      </c>
      <c r="K5707" s="5">
        <f t="shared" si="212"/>
        <v>0.63073521282482981</v>
      </c>
    </row>
    <row r="5708" spans="1:11" x14ac:dyDescent="0.25">
      <c r="A5708" t="s">
        <v>6221</v>
      </c>
      <c r="C5708" t="s">
        <v>6222</v>
      </c>
      <c r="D5708" t="s">
        <v>5</v>
      </c>
      <c r="E5708" t="s">
        <v>6</v>
      </c>
      <c r="F5708" t="s">
        <v>28</v>
      </c>
      <c r="G5708">
        <v>1</v>
      </c>
      <c r="H5708" s="2">
        <f>Tabelle13[[#This Row],[commits]]/Tabelle13[[#Totals],[commits]]</f>
        <v>4.6477904404246225E-6</v>
      </c>
      <c r="I5708" s="5">
        <f>Tabelle13[[#This Row],[%]]+I5707</f>
        <v>0.98448102771937052</v>
      </c>
      <c r="J5708" s="4">
        <f t="shared" si="211"/>
        <v>1.105583195135434E-4</v>
      </c>
      <c r="K5708" s="5">
        <f t="shared" si="212"/>
        <v>0.63084577114434337</v>
      </c>
    </row>
    <row r="5709" spans="1:11" x14ac:dyDescent="0.25">
      <c r="A5709" t="s">
        <v>6223</v>
      </c>
      <c r="C5709" t="s">
        <v>6224</v>
      </c>
      <c r="D5709" t="s">
        <v>5</v>
      </c>
      <c r="E5709" t="s">
        <v>6</v>
      </c>
      <c r="F5709" t="s">
        <v>28</v>
      </c>
      <c r="G5709">
        <v>1</v>
      </c>
      <c r="H5709" s="2">
        <f>Tabelle13[[#This Row],[commits]]/Tabelle13[[#Totals],[commits]]</f>
        <v>4.6477904404246225E-6</v>
      </c>
      <c r="I5709" s="5">
        <f>Tabelle13[[#This Row],[%]]+I5708</f>
        <v>0.98448567550981092</v>
      </c>
      <c r="J5709" s="4">
        <f t="shared" si="211"/>
        <v>1.105583195135434E-4</v>
      </c>
      <c r="K5709" s="5">
        <f t="shared" si="212"/>
        <v>0.63095632946385694</v>
      </c>
    </row>
    <row r="5710" spans="1:11" x14ac:dyDescent="0.25">
      <c r="A5710" t="s">
        <v>6225</v>
      </c>
      <c r="C5710" t="s">
        <v>6226</v>
      </c>
      <c r="D5710" t="s">
        <v>5</v>
      </c>
      <c r="E5710" t="s">
        <v>6</v>
      </c>
      <c r="F5710" t="s">
        <v>28</v>
      </c>
      <c r="G5710">
        <v>1</v>
      </c>
      <c r="H5710" s="2">
        <f>Tabelle13[[#This Row],[commits]]/Tabelle13[[#Totals],[commits]]</f>
        <v>4.6477904404246225E-6</v>
      </c>
      <c r="I5710" s="5">
        <f>Tabelle13[[#This Row],[%]]+I5709</f>
        <v>0.98449032330025132</v>
      </c>
      <c r="J5710" s="4">
        <f t="shared" si="211"/>
        <v>1.105583195135434E-4</v>
      </c>
      <c r="K5710" s="5">
        <f t="shared" si="212"/>
        <v>0.6310668877833705</v>
      </c>
    </row>
    <row r="5711" spans="1:11" x14ac:dyDescent="0.25">
      <c r="A5711" t="s">
        <v>6227</v>
      </c>
      <c r="C5711" t="s">
        <v>6228</v>
      </c>
      <c r="D5711" t="s">
        <v>5</v>
      </c>
      <c r="E5711" t="s">
        <v>6</v>
      </c>
      <c r="F5711" t="s">
        <v>28</v>
      </c>
      <c r="G5711">
        <v>1</v>
      </c>
      <c r="H5711" s="2">
        <f>Tabelle13[[#This Row],[commits]]/Tabelle13[[#Totals],[commits]]</f>
        <v>4.6477904404246225E-6</v>
      </c>
      <c r="I5711" s="5">
        <f>Tabelle13[[#This Row],[%]]+I5710</f>
        <v>0.98449497109069173</v>
      </c>
      <c r="J5711" s="4">
        <f t="shared" si="211"/>
        <v>1.105583195135434E-4</v>
      </c>
      <c r="K5711" s="5">
        <f t="shared" si="212"/>
        <v>0.63117744610288407</v>
      </c>
    </row>
    <row r="5712" spans="1:11" x14ac:dyDescent="0.25">
      <c r="A5712" t="s">
        <v>6229</v>
      </c>
      <c r="C5712" t="s">
        <v>6230</v>
      </c>
      <c r="D5712" t="s">
        <v>5</v>
      </c>
      <c r="E5712" t="s">
        <v>6</v>
      </c>
      <c r="F5712" t="s">
        <v>28</v>
      </c>
      <c r="G5712">
        <v>1</v>
      </c>
      <c r="H5712" s="2">
        <f>Tabelle13[[#This Row],[commits]]/Tabelle13[[#Totals],[commits]]</f>
        <v>4.6477904404246225E-6</v>
      </c>
      <c r="I5712" s="5">
        <f>Tabelle13[[#This Row],[%]]+I5711</f>
        <v>0.98449961888113213</v>
      </c>
      <c r="J5712" s="4">
        <f t="shared" si="211"/>
        <v>1.105583195135434E-4</v>
      </c>
      <c r="K5712" s="5">
        <f t="shared" si="212"/>
        <v>0.63128800442239763</v>
      </c>
    </row>
    <row r="5713" spans="1:11" x14ac:dyDescent="0.25">
      <c r="A5713" t="s">
        <v>6231</v>
      </c>
      <c r="C5713" t="s">
        <v>6232</v>
      </c>
      <c r="D5713" t="s">
        <v>5</v>
      </c>
      <c r="E5713" t="s">
        <v>6</v>
      </c>
      <c r="F5713" t="s">
        <v>28</v>
      </c>
      <c r="G5713">
        <v>1</v>
      </c>
      <c r="H5713" s="2">
        <f>Tabelle13[[#This Row],[commits]]/Tabelle13[[#Totals],[commits]]</f>
        <v>4.6477904404246225E-6</v>
      </c>
      <c r="I5713" s="5">
        <f>Tabelle13[[#This Row],[%]]+I5712</f>
        <v>0.98450426667157254</v>
      </c>
      <c r="J5713" s="4">
        <f t="shared" si="211"/>
        <v>1.105583195135434E-4</v>
      </c>
      <c r="K5713" s="5">
        <f t="shared" si="212"/>
        <v>0.6313985627419112</v>
      </c>
    </row>
    <row r="5714" spans="1:11" x14ac:dyDescent="0.25">
      <c r="A5714" t="s">
        <v>6233</v>
      </c>
      <c r="C5714" t="s">
        <v>6234</v>
      </c>
      <c r="D5714" t="s">
        <v>5</v>
      </c>
      <c r="E5714" t="s">
        <v>6</v>
      </c>
      <c r="F5714" t="s">
        <v>28</v>
      </c>
      <c r="G5714">
        <v>1</v>
      </c>
      <c r="H5714" s="2">
        <f>Tabelle13[[#This Row],[commits]]/Tabelle13[[#Totals],[commits]]</f>
        <v>4.6477904404246225E-6</v>
      </c>
      <c r="I5714" s="5">
        <f>Tabelle13[[#This Row],[%]]+I5713</f>
        <v>0.98450891446201294</v>
      </c>
      <c r="J5714" s="4">
        <f t="shared" si="211"/>
        <v>1.105583195135434E-4</v>
      </c>
      <c r="K5714" s="5">
        <f t="shared" si="212"/>
        <v>0.63150912106142476</v>
      </c>
    </row>
    <row r="5715" spans="1:11" x14ac:dyDescent="0.25">
      <c r="A5715" t="s">
        <v>6235</v>
      </c>
      <c r="C5715" t="s">
        <v>6236</v>
      </c>
      <c r="D5715" t="s">
        <v>5</v>
      </c>
      <c r="E5715" t="s">
        <v>6</v>
      </c>
      <c r="F5715" t="s">
        <v>28</v>
      </c>
      <c r="G5715">
        <v>1</v>
      </c>
      <c r="H5715" s="2">
        <f>Tabelle13[[#This Row],[commits]]/Tabelle13[[#Totals],[commits]]</f>
        <v>4.6477904404246225E-6</v>
      </c>
      <c r="I5715" s="5">
        <f>Tabelle13[[#This Row],[%]]+I5714</f>
        <v>0.98451356225245334</v>
      </c>
      <c r="J5715" s="4">
        <f t="shared" si="211"/>
        <v>1.105583195135434E-4</v>
      </c>
      <c r="K5715" s="5">
        <f t="shared" si="212"/>
        <v>0.63161967938093833</v>
      </c>
    </row>
    <row r="5716" spans="1:11" x14ac:dyDescent="0.25">
      <c r="A5716" t="s">
        <v>6237</v>
      </c>
      <c r="C5716" t="s">
        <v>6238</v>
      </c>
      <c r="D5716" t="s">
        <v>5</v>
      </c>
      <c r="E5716" t="s">
        <v>6</v>
      </c>
      <c r="F5716" t="s">
        <v>28</v>
      </c>
      <c r="G5716">
        <v>1</v>
      </c>
      <c r="H5716" s="2">
        <f>Tabelle13[[#This Row],[commits]]/Tabelle13[[#Totals],[commits]]</f>
        <v>4.6477904404246225E-6</v>
      </c>
      <c r="I5716" s="5">
        <f>Tabelle13[[#This Row],[%]]+I5715</f>
        <v>0.98451821004289375</v>
      </c>
      <c r="J5716" s="4">
        <f t="shared" si="211"/>
        <v>1.105583195135434E-4</v>
      </c>
      <c r="K5716" s="5">
        <f t="shared" si="212"/>
        <v>0.63173023770045189</v>
      </c>
    </row>
    <row r="5717" spans="1:11" x14ac:dyDescent="0.25">
      <c r="A5717" t="s">
        <v>6239</v>
      </c>
      <c r="C5717" t="s">
        <v>6240</v>
      </c>
      <c r="D5717" t="s">
        <v>5</v>
      </c>
      <c r="E5717" t="s">
        <v>6</v>
      </c>
      <c r="F5717" t="s">
        <v>28</v>
      </c>
      <c r="G5717">
        <v>1</v>
      </c>
      <c r="H5717" s="2">
        <f>Tabelle13[[#This Row],[commits]]/Tabelle13[[#Totals],[commits]]</f>
        <v>4.6477904404246225E-6</v>
      </c>
      <c r="I5717" s="5">
        <f>Tabelle13[[#This Row],[%]]+I5716</f>
        <v>0.98452285783333415</v>
      </c>
      <c r="J5717" s="4">
        <f t="shared" si="211"/>
        <v>1.105583195135434E-4</v>
      </c>
      <c r="K5717" s="5">
        <f t="shared" si="212"/>
        <v>0.63184079601996546</v>
      </c>
    </row>
    <row r="5718" spans="1:11" x14ac:dyDescent="0.25">
      <c r="A5718" t="s">
        <v>6241</v>
      </c>
      <c r="C5718" t="s">
        <v>6242</v>
      </c>
      <c r="D5718" t="s">
        <v>5</v>
      </c>
      <c r="E5718" t="s">
        <v>6</v>
      </c>
      <c r="F5718" t="s">
        <v>28</v>
      </c>
      <c r="G5718">
        <v>1</v>
      </c>
      <c r="H5718" s="2">
        <f>Tabelle13[[#This Row],[commits]]/Tabelle13[[#Totals],[commits]]</f>
        <v>4.6477904404246225E-6</v>
      </c>
      <c r="I5718" s="5">
        <f>Tabelle13[[#This Row],[%]]+I5717</f>
        <v>0.98452750562377456</v>
      </c>
      <c r="J5718" s="4">
        <f t="shared" si="211"/>
        <v>1.105583195135434E-4</v>
      </c>
      <c r="K5718" s="5">
        <f t="shared" si="212"/>
        <v>0.63195135433947902</v>
      </c>
    </row>
    <row r="5719" spans="1:11" x14ac:dyDescent="0.25">
      <c r="A5719" t="s">
        <v>6243</v>
      </c>
      <c r="C5719" t="s">
        <v>6244</v>
      </c>
      <c r="D5719" t="s">
        <v>5</v>
      </c>
      <c r="E5719" t="s">
        <v>6</v>
      </c>
      <c r="F5719" t="s">
        <v>28</v>
      </c>
      <c r="G5719">
        <v>1</v>
      </c>
      <c r="H5719" s="2">
        <f>Tabelle13[[#This Row],[commits]]/Tabelle13[[#Totals],[commits]]</f>
        <v>4.6477904404246225E-6</v>
      </c>
      <c r="I5719" s="5">
        <f>Tabelle13[[#This Row],[%]]+I5718</f>
        <v>0.98453215341421496</v>
      </c>
      <c r="J5719" s="4">
        <f t="shared" si="211"/>
        <v>1.105583195135434E-4</v>
      </c>
      <c r="K5719" s="5">
        <f t="shared" si="212"/>
        <v>0.63206191265899259</v>
      </c>
    </row>
    <row r="5720" spans="1:11" x14ac:dyDescent="0.25">
      <c r="A5720" t="s">
        <v>6245</v>
      </c>
      <c r="C5720" t="s">
        <v>6246</v>
      </c>
      <c r="D5720" t="s">
        <v>5</v>
      </c>
      <c r="E5720" t="s">
        <v>6</v>
      </c>
      <c r="F5720" t="s">
        <v>28</v>
      </c>
      <c r="G5720">
        <v>1</v>
      </c>
      <c r="H5720" s="2">
        <f>Tabelle13[[#This Row],[commits]]/Tabelle13[[#Totals],[commits]]</f>
        <v>4.6477904404246225E-6</v>
      </c>
      <c r="I5720" s="5">
        <f>Tabelle13[[#This Row],[%]]+I5719</f>
        <v>0.98453680120465537</v>
      </c>
      <c r="J5720" s="4">
        <f t="shared" si="211"/>
        <v>1.105583195135434E-4</v>
      </c>
      <c r="K5720" s="5">
        <f t="shared" si="212"/>
        <v>0.63217247097850615</v>
      </c>
    </row>
    <row r="5721" spans="1:11" x14ac:dyDescent="0.25">
      <c r="A5721" t="s">
        <v>6247</v>
      </c>
      <c r="C5721" t="s">
        <v>6248</v>
      </c>
      <c r="D5721" t="s">
        <v>5</v>
      </c>
      <c r="E5721" t="s">
        <v>6</v>
      </c>
      <c r="F5721" t="s">
        <v>28</v>
      </c>
      <c r="G5721">
        <v>1</v>
      </c>
      <c r="H5721" s="2">
        <f>Tabelle13[[#This Row],[commits]]/Tabelle13[[#Totals],[commits]]</f>
        <v>4.6477904404246225E-6</v>
      </c>
      <c r="I5721" s="5">
        <f>Tabelle13[[#This Row],[%]]+I5720</f>
        <v>0.98454144899509577</v>
      </c>
      <c r="J5721" s="4">
        <f t="shared" si="211"/>
        <v>1.105583195135434E-4</v>
      </c>
      <c r="K5721" s="5">
        <f t="shared" si="212"/>
        <v>0.63228302929801972</v>
      </c>
    </row>
    <row r="5722" spans="1:11" x14ac:dyDescent="0.25">
      <c r="A5722" t="s">
        <v>6249</v>
      </c>
      <c r="C5722" t="s">
        <v>6250</v>
      </c>
      <c r="D5722" t="s">
        <v>5</v>
      </c>
      <c r="E5722" t="s">
        <v>6</v>
      </c>
      <c r="F5722" t="s">
        <v>28</v>
      </c>
      <c r="G5722">
        <v>1</v>
      </c>
      <c r="H5722" s="2">
        <f>Tabelle13[[#This Row],[commits]]/Tabelle13[[#Totals],[commits]]</f>
        <v>4.6477904404246225E-6</v>
      </c>
      <c r="I5722" s="5">
        <f>Tabelle13[[#This Row],[%]]+I5721</f>
        <v>0.98454609678553617</v>
      </c>
      <c r="J5722" s="4">
        <f t="shared" si="211"/>
        <v>1.105583195135434E-4</v>
      </c>
      <c r="K5722" s="5">
        <f t="shared" si="212"/>
        <v>0.63239358761753328</v>
      </c>
    </row>
    <row r="5723" spans="1:11" x14ac:dyDescent="0.25">
      <c r="A5723" t="s">
        <v>6251</v>
      </c>
      <c r="C5723" t="s">
        <v>6252</v>
      </c>
      <c r="D5723" t="s">
        <v>5</v>
      </c>
      <c r="E5723" t="s">
        <v>6</v>
      </c>
      <c r="F5723" t="s">
        <v>28</v>
      </c>
      <c r="G5723">
        <v>1</v>
      </c>
      <c r="H5723" s="2">
        <f>Tabelle13[[#This Row],[commits]]/Tabelle13[[#Totals],[commits]]</f>
        <v>4.6477904404246225E-6</v>
      </c>
      <c r="I5723" s="5">
        <f>Tabelle13[[#This Row],[%]]+I5722</f>
        <v>0.98455074457597658</v>
      </c>
      <c r="J5723" s="4">
        <f t="shared" si="211"/>
        <v>1.105583195135434E-4</v>
      </c>
      <c r="K5723" s="5">
        <f t="shared" si="212"/>
        <v>0.63250414593704685</v>
      </c>
    </row>
    <row r="5724" spans="1:11" x14ac:dyDescent="0.25">
      <c r="A5724" t="s">
        <v>6253</v>
      </c>
      <c r="C5724" t="s">
        <v>6254</v>
      </c>
      <c r="D5724" t="s">
        <v>5</v>
      </c>
      <c r="E5724" t="s">
        <v>6</v>
      </c>
      <c r="F5724" t="s">
        <v>28</v>
      </c>
      <c r="G5724">
        <v>1</v>
      </c>
      <c r="H5724" s="2">
        <f>Tabelle13[[#This Row],[commits]]/Tabelle13[[#Totals],[commits]]</f>
        <v>4.6477904404246225E-6</v>
      </c>
      <c r="I5724" s="5">
        <f>Tabelle13[[#This Row],[%]]+I5723</f>
        <v>0.98455539236641698</v>
      </c>
      <c r="J5724" s="4">
        <f t="shared" si="211"/>
        <v>1.105583195135434E-4</v>
      </c>
      <c r="K5724" s="5">
        <f t="shared" si="212"/>
        <v>0.63261470425656041</v>
      </c>
    </row>
    <row r="5725" spans="1:11" x14ac:dyDescent="0.25">
      <c r="A5725" t="s">
        <v>6255</v>
      </c>
      <c r="C5725" t="s">
        <v>6256</v>
      </c>
      <c r="D5725" t="s">
        <v>5</v>
      </c>
      <c r="E5725" t="s">
        <v>6</v>
      </c>
      <c r="F5725" t="s">
        <v>28</v>
      </c>
      <c r="G5725">
        <v>1</v>
      </c>
      <c r="H5725" s="2">
        <f>Tabelle13[[#This Row],[commits]]/Tabelle13[[#Totals],[commits]]</f>
        <v>4.6477904404246225E-6</v>
      </c>
      <c r="I5725" s="5">
        <f>Tabelle13[[#This Row],[%]]+I5724</f>
        <v>0.98456004015685739</v>
      </c>
      <c r="J5725" s="4">
        <f t="shared" si="211"/>
        <v>1.105583195135434E-4</v>
      </c>
      <c r="K5725" s="5">
        <f t="shared" si="212"/>
        <v>0.63272526257607398</v>
      </c>
    </row>
    <row r="5726" spans="1:11" x14ac:dyDescent="0.25">
      <c r="A5726" t="s">
        <v>6257</v>
      </c>
      <c r="C5726" t="s">
        <v>6258</v>
      </c>
      <c r="D5726" t="s">
        <v>5</v>
      </c>
      <c r="E5726" t="s">
        <v>6</v>
      </c>
      <c r="F5726" t="s">
        <v>28</v>
      </c>
      <c r="G5726">
        <v>1</v>
      </c>
      <c r="H5726" s="2">
        <f>Tabelle13[[#This Row],[commits]]/Tabelle13[[#Totals],[commits]]</f>
        <v>4.6477904404246225E-6</v>
      </c>
      <c r="I5726" s="5">
        <f>Tabelle13[[#This Row],[%]]+I5725</f>
        <v>0.98456468794729779</v>
      </c>
      <c r="J5726" s="4">
        <f t="shared" si="211"/>
        <v>1.105583195135434E-4</v>
      </c>
      <c r="K5726" s="5">
        <f t="shared" si="212"/>
        <v>0.63283582089558754</v>
      </c>
    </row>
    <row r="5727" spans="1:11" x14ac:dyDescent="0.25">
      <c r="A5727" t="s">
        <v>6259</v>
      </c>
      <c r="C5727" t="s">
        <v>6260</v>
      </c>
      <c r="D5727" t="s">
        <v>5</v>
      </c>
      <c r="E5727" t="s">
        <v>6</v>
      </c>
      <c r="F5727" t="s">
        <v>28</v>
      </c>
      <c r="G5727">
        <v>1</v>
      </c>
      <c r="H5727" s="2">
        <f>Tabelle13[[#This Row],[commits]]/Tabelle13[[#Totals],[commits]]</f>
        <v>4.6477904404246225E-6</v>
      </c>
      <c r="I5727" s="5">
        <f>Tabelle13[[#This Row],[%]]+I5726</f>
        <v>0.98456933573773819</v>
      </c>
      <c r="J5727" s="4">
        <f t="shared" si="211"/>
        <v>1.105583195135434E-4</v>
      </c>
      <c r="K5727" s="5">
        <f t="shared" si="212"/>
        <v>0.63294637921510111</v>
      </c>
    </row>
    <row r="5728" spans="1:11" x14ac:dyDescent="0.25">
      <c r="A5728" t="s">
        <v>6261</v>
      </c>
      <c r="C5728" t="s">
        <v>6262</v>
      </c>
      <c r="D5728" t="s">
        <v>5</v>
      </c>
      <c r="E5728" t="s">
        <v>6</v>
      </c>
      <c r="F5728" t="s">
        <v>28</v>
      </c>
      <c r="G5728">
        <v>1</v>
      </c>
      <c r="H5728" s="2">
        <f>Tabelle13[[#This Row],[commits]]/Tabelle13[[#Totals],[commits]]</f>
        <v>4.6477904404246225E-6</v>
      </c>
      <c r="I5728" s="5">
        <f>Tabelle13[[#This Row],[%]]+I5727</f>
        <v>0.9845739835281786</v>
      </c>
      <c r="J5728" s="4">
        <f t="shared" si="211"/>
        <v>1.105583195135434E-4</v>
      </c>
      <c r="K5728" s="5">
        <f t="shared" si="212"/>
        <v>0.63305693753461467</v>
      </c>
    </row>
    <row r="5729" spans="1:11" x14ac:dyDescent="0.25">
      <c r="A5729" t="s">
        <v>6263</v>
      </c>
      <c r="C5729" t="s">
        <v>6264</v>
      </c>
      <c r="D5729" t="s">
        <v>5</v>
      </c>
      <c r="E5729" t="s">
        <v>6</v>
      </c>
      <c r="F5729" t="s">
        <v>28</v>
      </c>
      <c r="G5729">
        <v>1</v>
      </c>
      <c r="H5729" s="2">
        <f>Tabelle13[[#This Row],[commits]]/Tabelle13[[#Totals],[commits]]</f>
        <v>4.6477904404246225E-6</v>
      </c>
      <c r="I5729" s="5">
        <f>Tabelle13[[#This Row],[%]]+I5728</f>
        <v>0.984578631318619</v>
      </c>
      <c r="J5729" s="4">
        <f t="shared" si="211"/>
        <v>1.105583195135434E-4</v>
      </c>
      <c r="K5729" s="5">
        <f t="shared" si="212"/>
        <v>0.63316749585412824</v>
      </c>
    </row>
    <row r="5730" spans="1:11" x14ac:dyDescent="0.25">
      <c r="A5730" t="s">
        <v>6265</v>
      </c>
      <c r="C5730" t="s">
        <v>6266</v>
      </c>
      <c r="D5730" t="s">
        <v>5</v>
      </c>
      <c r="E5730" t="s">
        <v>6</v>
      </c>
      <c r="F5730" t="s">
        <v>28</v>
      </c>
      <c r="G5730">
        <v>1</v>
      </c>
      <c r="H5730" s="2">
        <f>Tabelle13[[#This Row],[commits]]/Tabelle13[[#Totals],[commits]]</f>
        <v>4.6477904404246225E-6</v>
      </c>
      <c r="I5730" s="5">
        <f>Tabelle13[[#This Row],[%]]+I5729</f>
        <v>0.98458327910905941</v>
      </c>
      <c r="J5730" s="4">
        <f t="shared" si="211"/>
        <v>1.105583195135434E-4</v>
      </c>
      <c r="K5730" s="5">
        <f t="shared" si="212"/>
        <v>0.6332780541736418</v>
      </c>
    </row>
    <row r="5731" spans="1:11" x14ac:dyDescent="0.25">
      <c r="A5731" t="s">
        <v>6267</v>
      </c>
      <c r="C5731" t="s">
        <v>6268</v>
      </c>
      <c r="D5731" t="s">
        <v>5</v>
      </c>
      <c r="E5731" t="s">
        <v>6</v>
      </c>
      <c r="F5731" t="s">
        <v>28</v>
      </c>
      <c r="G5731">
        <v>1</v>
      </c>
      <c r="H5731" s="2">
        <f>Tabelle13[[#This Row],[commits]]/Tabelle13[[#Totals],[commits]]</f>
        <v>4.6477904404246225E-6</v>
      </c>
      <c r="I5731" s="5">
        <f>Tabelle13[[#This Row],[%]]+I5730</f>
        <v>0.98458792689949981</v>
      </c>
      <c r="J5731" s="4">
        <f t="shared" si="211"/>
        <v>1.105583195135434E-4</v>
      </c>
      <c r="K5731" s="5">
        <f t="shared" si="212"/>
        <v>0.63338861249315537</v>
      </c>
    </row>
    <row r="5732" spans="1:11" x14ac:dyDescent="0.25">
      <c r="A5732" t="s">
        <v>6269</v>
      </c>
      <c r="C5732" t="s">
        <v>6270</v>
      </c>
      <c r="D5732" t="s">
        <v>5</v>
      </c>
      <c r="E5732" t="s">
        <v>6</v>
      </c>
      <c r="F5732" t="s">
        <v>28</v>
      </c>
      <c r="G5732">
        <v>1</v>
      </c>
      <c r="H5732" s="2">
        <f>Tabelle13[[#This Row],[commits]]/Tabelle13[[#Totals],[commits]]</f>
        <v>4.6477904404246225E-6</v>
      </c>
      <c r="I5732" s="5">
        <f>Tabelle13[[#This Row],[%]]+I5731</f>
        <v>0.98459257468994021</v>
      </c>
      <c r="J5732" s="4">
        <f t="shared" si="211"/>
        <v>1.105583195135434E-4</v>
      </c>
      <c r="K5732" s="5">
        <f t="shared" si="212"/>
        <v>0.63349917081266893</v>
      </c>
    </row>
    <row r="5733" spans="1:11" x14ac:dyDescent="0.25">
      <c r="A5733" t="s">
        <v>6271</v>
      </c>
      <c r="C5733" t="s">
        <v>6272</v>
      </c>
      <c r="D5733" t="s">
        <v>5</v>
      </c>
      <c r="E5733" t="s">
        <v>6</v>
      </c>
      <c r="F5733" t="s">
        <v>28</v>
      </c>
      <c r="G5733">
        <v>1</v>
      </c>
      <c r="H5733" s="2">
        <f>Tabelle13[[#This Row],[commits]]/Tabelle13[[#Totals],[commits]]</f>
        <v>4.6477904404246225E-6</v>
      </c>
      <c r="I5733" s="5">
        <f>Tabelle13[[#This Row],[%]]+I5732</f>
        <v>0.98459722248038062</v>
      </c>
      <c r="J5733" s="4">
        <f t="shared" si="211"/>
        <v>1.105583195135434E-4</v>
      </c>
      <c r="K5733" s="5">
        <f t="shared" si="212"/>
        <v>0.6336097291321825</v>
      </c>
    </row>
    <row r="5734" spans="1:11" x14ac:dyDescent="0.25">
      <c r="A5734" t="s">
        <v>6273</v>
      </c>
      <c r="C5734" t="s">
        <v>6274</v>
      </c>
      <c r="D5734" t="s">
        <v>5</v>
      </c>
      <c r="E5734" t="s">
        <v>6</v>
      </c>
      <c r="F5734" t="s">
        <v>28</v>
      </c>
      <c r="G5734">
        <v>1</v>
      </c>
      <c r="H5734" s="2">
        <f>Tabelle13[[#This Row],[commits]]/Tabelle13[[#Totals],[commits]]</f>
        <v>4.6477904404246225E-6</v>
      </c>
      <c r="I5734" s="5">
        <f>Tabelle13[[#This Row],[%]]+I5733</f>
        <v>0.98460187027082102</v>
      </c>
      <c r="J5734" s="4">
        <f t="shared" si="211"/>
        <v>1.105583195135434E-4</v>
      </c>
      <c r="K5734" s="5">
        <f t="shared" si="212"/>
        <v>0.63372028745169606</v>
      </c>
    </row>
    <row r="5735" spans="1:11" x14ac:dyDescent="0.25">
      <c r="A5735" t="s">
        <v>6275</v>
      </c>
      <c r="C5735" t="s">
        <v>6276</v>
      </c>
      <c r="D5735" t="s">
        <v>5</v>
      </c>
      <c r="E5735" t="s">
        <v>6</v>
      </c>
      <c r="F5735" t="s">
        <v>28</v>
      </c>
      <c r="G5735">
        <v>1</v>
      </c>
      <c r="H5735" s="2">
        <f>Tabelle13[[#This Row],[commits]]/Tabelle13[[#Totals],[commits]]</f>
        <v>4.6477904404246225E-6</v>
      </c>
      <c r="I5735" s="5">
        <f>Tabelle13[[#This Row],[%]]+I5734</f>
        <v>0.98460651806126143</v>
      </c>
      <c r="J5735" s="4">
        <f t="shared" si="211"/>
        <v>1.105583195135434E-4</v>
      </c>
      <c r="K5735" s="5">
        <f t="shared" si="212"/>
        <v>0.63383084577120963</v>
      </c>
    </row>
    <row r="5736" spans="1:11" x14ac:dyDescent="0.25">
      <c r="A5736" t="s">
        <v>6277</v>
      </c>
      <c r="C5736" t="s">
        <v>6278</v>
      </c>
      <c r="D5736" t="s">
        <v>5</v>
      </c>
      <c r="E5736" t="s">
        <v>6</v>
      </c>
      <c r="F5736" t="s">
        <v>28</v>
      </c>
      <c r="G5736">
        <v>1</v>
      </c>
      <c r="H5736" s="2">
        <f>Tabelle13[[#This Row],[commits]]/Tabelle13[[#Totals],[commits]]</f>
        <v>4.6477904404246225E-6</v>
      </c>
      <c r="I5736" s="5">
        <f>Tabelle13[[#This Row],[%]]+I5735</f>
        <v>0.98461116585170183</v>
      </c>
      <c r="J5736" s="4">
        <f t="shared" si="211"/>
        <v>1.105583195135434E-4</v>
      </c>
      <c r="K5736" s="5">
        <f t="shared" si="212"/>
        <v>0.63394140409072319</v>
      </c>
    </row>
    <row r="5737" spans="1:11" x14ac:dyDescent="0.25">
      <c r="A5737" t="s">
        <v>6279</v>
      </c>
      <c r="C5737" t="s">
        <v>6280</v>
      </c>
      <c r="D5737" t="s">
        <v>5</v>
      </c>
      <c r="E5737" t="s">
        <v>6</v>
      </c>
      <c r="F5737" t="s">
        <v>28</v>
      </c>
      <c r="G5737">
        <v>1</v>
      </c>
      <c r="H5737" s="2">
        <f>Tabelle13[[#This Row],[commits]]/Tabelle13[[#Totals],[commits]]</f>
        <v>4.6477904404246225E-6</v>
      </c>
      <c r="I5737" s="5">
        <f>Tabelle13[[#This Row],[%]]+I5736</f>
        <v>0.98461581364214223</v>
      </c>
      <c r="J5737" s="4">
        <f t="shared" si="211"/>
        <v>1.105583195135434E-4</v>
      </c>
      <c r="K5737" s="5">
        <f t="shared" si="212"/>
        <v>0.63405196241023676</v>
      </c>
    </row>
    <row r="5738" spans="1:11" x14ac:dyDescent="0.25">
      <c r="A5738" t="s">
        <v>6281</v>
      </c>
      <c r="C5738" t="s">
        <v>6282</v>
      </c>
      <c r="D5738" t="s">
        <v>5</v>
      </c>
      <c r="E5738" t="s">
        <v>6</v>
      </c>
      <c r="F5738" t="s">
        <v>28</v>
      </c>
      <c r="G5738">
        <v>1</v>
      </c>
      <c r="H5738" s="2">
        <f>Tabelle13[[#This Row],[commits]]/Tabelle13[[#Totals],[commits]]</f>
        <v>4.6477904404246225E-6</v>
      </c>
      <c r="I5738" s="5">
        <f>Tabelle13[[#This Row],[%]]+I5737</f>
        <v>0.98462046143258264</v>
      </c>
      <c r="J5738" s="4">
        <f t="shared" si="211"/>
        <v>1.105583195135434E-4</v>
      </c>
      <c r="K5738" s="5">
        <f t="shared" si="212"/>
        <v>0.63416252072975032</v>
      </c>
    </row>
    <row r="5739" spans="1:11" x14ac:dyDescent="0.25">
      <c r="A5739" t="s">
        <v>6283</v>
      </c>
      <c r="C5739" t="s">
        <v>6284</v>
      </c>
      <c r="D5739" t="s">
        <v>5</v>
      </c>
      <c r="E5739" t="s">
        <v>6</v>
      </c>
      <c r="F5739" t="s">
        <v>28</v>
      </c>
      <c r="G5739">
        <v>1</v>
      </c>
      <c r="H5739" s="2">
        <f>Tabelle13[[#This Row],[commits]]/Tabelle13[[#Totals],[commits]]</f>
        <v>4.6477904404246225E-6</v>
      </c>
      <c r="I5739" s="5">
        <f>Tabelle13[[#This Row],[%]]+I5738</f>
        <v>0.98462510922302304</v>
      </c>
      <c r="J5739" s="4">
        <f t="shared" si="211"/>
        <v>1.105583195135434E-4</v>
      </c>
      <c r="K5739" s="5">
        <f t="shared" si="212"/>
        <v>0.63427307904926389</v>
      </c>
    </row>
    <row r="5740" spans="1:11" x14ac:dyDescent="0.25">
      <c r="A5740" t="s">
        <v>6285</v>
      </c>
      <c r="C5740" t="s">
        <v>6286</v>
      </c>
      <c r="D5740" t="s">
        <v>5</v>
      </c>
      <c r="E5740" t="s">
        <v>6</v>
      </c>
      <c r="F5740" t="s">
        <v>28</v>
      </c>
      <c r="G5740">
        <v>1</v>
      </c>
      <c r="H5740" s="2">
        <f>Tabelle13[[#This Row],[commits]]/Tabelle13[[#Totals],[commits]]</f>
        <v>4.6477904404246225E-6</v>
      </c>
      <c r="I5740" s="5">
        <f>Tabelle13[[#This Row],[%]]+I5739</f>
        <v>0.98462975701346345</v>
      </c>
      <c r="J5740" s="4">
        <f t="shared" si="211"/>
        <v>1.105583195135434E-4</v>
      </c>
      <c r="K5740" s="5">
        <f t="shared" si="212"/>
        <v>0.63438363736877745</v>
      </c>
    </row>
    <row r="5741" spans="1:11" x14ac:dyDescent="0.25">
      <c r="A5741" t="s">
        <v>6287</v>
      </c>
      <c r="C5741" t="s">
        <v>6288</v>
      </c>
      <c r="D5741" t="s">
        <v>5</v>
      </c>
      <c r="E5741" t="s">
        <v>6</v>
      </c>
      <c r="F5741" t="s">
        <v>28</v>
      </c>
      <c r="G5741">
        <v>1</v>
      </c>
      <c r="H5741" s="2">
        <f>Tabelle13[[#This Row],[commits]]/Tabelle13[[#Totals],[commits]]</f>
        <v>4.6477904404246225E-6</v>
      </c>
      <c r="I5741" s="5">
        <f>Tabelle13[[#This Row],[%]]+I5740</f>
        <v>0.98463440480390385</v>
      </c>
      <c r="J5741" s="4">
        <f t="shared" si="211"/>
        <v>1.105583195135434E-4</v>
      </c>
      <c r="K5741" s="5">
        <f t="shared" si="212"/>
        <v>0.63449419568829102</v>
      </c>
    </row>
    <row r="5742" spans="1:11" x14ac:dyDescent="0.25">
      <c r="A5742" t="s">
        <v>6289</v>
      </c>
      <c r="C5742" t="s">
        <v>6290</v>
      </c>
      <c r="D5742" t="s">
        <v>5</v>
      </c>
      <c r="E5742" t="s">
        <v>6</v>
      </c>
      <c r="F5742" t="s">
        <v>28</v>
      </c>
      <c r="G5742">
        <v>1</v>
      </c>
      <c r="H5742" s="2">
        <f>Tabelle13[[#This Row],[commits]]/Tabelle13[[#Totals],[commits]]</f>
        <v>4.6477904404246225E-6</v>
      </c>
      <c r="I5742" s="5">
        <f>Tabelle13[[#This Row],[%]]+I5741</f>
        <v>0.98463905259434426</v>
      </c>
      <c r="J5742" s="4">
        <f t="shared" si="211"/>
        <v>1.105583195135434E-4</v>
      </c>
      <c r="K5742" s="5">
        <f t="shared" si="212"/>
        <v>0.63460475400780458</v>
      </c>
    </row>
    <row r="5743" spans="1:11" x14ac:dyDescent="0.25">
      <c r="A5743" t="s">
        <v>6291</v>
      </c>
      <c r="C5743" t="s">
        <v>6292</v>
      </c>
      <c r="D5743" t="s">
        <v>5</v>
      </c>
      <c r="E5743" t="s">
        <v>6</v>
      </c>
      <c r="F5743" t="s">
        <v>28</v>
      </c>
      <c r="G5743">
        <v>1</v>
      </c>
      <c r="H5743" s="2">
        <f>Tabelle13[[#This Row],[commits]]/Tabelle13[[#Totals],[commits]]</f>
        <v>4.6477904404246225E-6</v>
      </c>
      <c r="I5743" s="5">
        <f>Tabelle13[[#This Row],[%]]+I5742</f>
        <v>0.98464370038478466</v>
      </c>
      <c r="J5743" s="4">
        <f t="shared" si="211"/>
        <v>1.105583195135434E-4</v>
      </c>
      <c r="K5743" s="5">
        <f t="shared" si="212"/>
        <v>0.63471531232731815</v>
      </c>
    </row>
    <row r="5744" spans="1:11" x14ac:dyDescent="0.25">
      <c r="A5744" t="s">
        <v>6293</v>
      </c>
      <c r="C5744" t="s">
        <v>6294</v>
      </c>
      <c r="D5744" t="s">
        <v>5</v>
      </c>
      <c r="E5744" t="s">
        <v>6</v>
      </c>
      <c r="F5744" t="s">
        <v>28</v>
      </c>
      <c r="G5744">
        <v>1</v>
      </c>
      <c r="H5744" s="2">
        <f>Tabelle13[[#This Row],[commits]]/Tabelle13[[#Totals],[commits]]</f>
        <v>4.6477904404246225E-6</v>
      </c>
      <c r="I5744" s="5">
        <f>Tabelle13[[#This Row],[%]]+I5743</f>
        <v>0.98464834817522506</v>
      </c>
      <c r="J5744" s="4">
        <f t="shared" si="211"/>
        <v>1.105583195135434E-4</v>
      </c>
      <c r="K5744" s="5">
        <f t="shared" si="212"/>
        <v>0.63482587064683171</v>
      </c>
    </row>
    <row r="5745" spans="1:11" x14ac:dyDescent="0.25">
      <c r="A5745" t="s">
        <v>6295</v>
      </c>
      <c r="C5745" t="s">
        <v>6296</v>
      </c>
      <c r="D5745" t="s">
        <v>5</v>
      </c>
      <c r="E5745" t="s">
        <v>6</v>
      </c>
      <c r="F5745" t="s">
        <v>28</v>
      </c>
      <c r="G5745">
        <v>1</v>
      </c>
      <c r="H5745" s="2">
        <f>Tabelle13[[#This Row],[commits]]/Tabelle13[[#Totals],[commits]]</f>
        <v>4.6477904404246225E-6</v>
      </c>
      <c r="I5745" s="5">
        <f>Tabelle13[[#This Row],[%]]+I5744</f>
        <v>0.98465299596566547</v>
      </c>
      <c r="J5745" s="4">
        <f t="shared" si="211"/>
        <v>1.105583195135434E-4</v>
      </c>
      <c r="K5745" s="5">
        <f t="shared" si="212"/>
        <v>0.63493642896634528</v>
      </c>
    </row>
    <row r="5746" spans="1:11" x14ac:dyDescent="0.25">
      <c r="A5746" t="s">
        <v>6297</v>
      </c>
      <c r="C5746" t="s">
        <v>6298</v>
      </c>
      <c r="D5746" t="s">
        <v>5</v>
      </c>
      <c r="E5746" t="s">
        <v>6</v>
      </c>
      <c r="F5746" t="s">
        <v>28</v>
      </c>
      <c r="G5746">
        <v>1</v>
      </c>
      <c r="H5746" s="2">
        <f>Tabelle13[[#This Row],[commits]]/Tabelle13[[#Totals],[commits]]</f>
        <v>4.6477904404246225E-6</v>
      </c>
      <c r="I5746" s="5">
        <f>Tabelle13[[#This Row],[%]]+I5745</f>
        <v>0.98465764375610587</v>
      </c>
      <c r="J5746" s="4">
        <f t="shared" si="211"/>
        <v>1.105583195135434E-4</v>
      </c>
      <c r="K5746" s="5">
        <f t="shared" si="212"/>
        <v>0.63504698728585884</v>
      </c>
    </row>
    <row r="5747" spans="1:11" x14ac:dyDescent="0.25">
      <c r="A5747" t="s">
        <v>6299</v>
      </c>
      <c r="C5747" t="s">
        <v>6300</v>
      </c>
      <c r="D5747" t="s">
        <v>5</v>
      </c>
      <c r="E5747" t="s">
        <v>6</v>
      </c>
      <c r="F5747" t="s">
        <v>28</v>
      </c>
      <c r="G5747">
        <v>1</v>
      </c>
      <c r="H5747" s="2">
        <f>Tabelle13[[#This Row],[commits]]/Tabelle13[[#Totals],[commits]]</f>
        <v>4.6477904404246225E-6</v>
      </c>
      <c r="I5747" s="5">
        <f>Tabelle13[[#This Row],[%]]+I5746</f>
        <v>0.98466229154654628</v>
      </c>
      <c r="J5747" s="4">
        <f t="shared" si="211"/>
        <v>1.105583195135434E-4</v>
      </c>
      <c r="K5747" s="5">
        <f t="shared" si="212"/>
        <v>0.63515754560537241</v>
      </c>
    </row>
    <row r="5748" spans="1:11" x14ac:dyDescent="0.25">
      <c r="A5748" t="s">
        <v>6301</v>
      </c>
      <c r="C5748" t="s">
        <v>6302</v>
      </c>
      <c r="D5748" t="s">
        <v>5</v>
      </c>
      <c r="E5748" t="s">
        <v>6</v>
      </c>
      <c r="F5748" t="s">
        <v>28</v>
      </c>
      <c r="G5748">
        <v>1</v>
      </c>
      <c r="H5748" s="2">
        <f>Tabelle13[[#This Row],[commits]]/Tabelle13[[#Totals],[commits]]</f>
        <v>4.6477904404246225E-6</v>
      </c>
      <c r="I5748" s="5">
        <f>Tabelle13[[#This Row],[%]]+I5747</f>
        <v>0.98466693933698668</v>
      </c>
      <c r="J5748" s="4">
        <f t="shared" si="211"/>
        <v>1.105583195135434E-4</v>
      </c>
      <c r="K5748" s="5">
        <f t="shared" si="212"/>
        <v>0.63526810392488597</v>
      </c>
    </row>
    <row r="5749" spans="1:11" x14ac:dyDescent="0.25">
      <c r="A5749" t="s">
        <v>6303</v>
      </c>
      <c r="C5749" t="s">
        <v>6304</v>
      </c>
      <c r="D5749" t="s">
        <v>5</v>
      </c>
      <c r="E5749" t="s">
        <v>6</v>
      </c>
      <c r="F5749" t="s">
        <v>28</v>
      </c>
      <c r="G5749">
        <v>1</v>
      </c>
      <c r="H5749" s="2">
        <f>Tabelle13[[#This Row],[commits]]/Tabelle13[[#Totals],[commits]]</f>
        <v>4.6477904404246225E-6</v>
      </c>
      <c r="I5749" s="5">
        <f>Tabelle13[[#This Row],[%]]+I5748</f>
        <v>0.98467158712742708</v>
      </c>
      <c r="J5749" s="4">
        <f t="shared" si="211"/>
        <v>1.105583195135434E-4</v>
      </c>
      <c r="K5749" s="5">
        <f t="shared" si="212"/>
        <v>0.63537866224439954</v>
      </c>
    </row>
    <row r="5750" spans="1:11" x14ac:dyDescent="0.25">
      <c r="A5750" t="s">
        <v>6305</v>
      </c>
      <c r="C5750" t="s">
        <v>6306</v>
      </c>
      <c r="D5750" t="s">
        <v>5</v>
      </c>
      <c r="E5750" t="s">
        <v>6</v>
      </c>
      <c r="F5750" t="s">
        <v>28</v>
      </c>
      <c r="G5750">
        <v>1</v>
      </c>
      <c r="H5750" s="2">
        <f>Tabelle13[[#This Row],[commits]]/Tabelle13[[#Totals],[commits]]</f>
        <v>4.6477904404246225E-6</v>
      </c>
      <c r="I5750" s="5">
        <f>Tabelle13[[#This Row],[%]]+I5749</f>
        <v>0.98467623491786749</v>
      </c>
      <c r="J5750" s="4">
        <f t="shared" si="211"/>
        <v>1.105583195135434E-4</v>
      </c>
      <c r="K5750" s="5">
        <f t="shared" si="212"/>
        <v>0.6354892205639131</v>
      </c>
    </row>
    <row r="5751" spans="1:11" x14ac:dyDescent="0.25">
      <c r="A5751" t="s">
        <v>6307</v>
      </c>
      <c r="C5751" t="s">
        <v>6308</v>
      </c>
      <c r="D5751" t="s">
        <v>5</v>
      </c>
      <c r="E5751" t="s">
        <v>6</v>
      </c>
      <c r="F5751" t="s">
        <v>28</v>
      </c>
      <c r="G5751">
        <v>1</v>
      </c>
      <c r="H5751" s="2">
        <f>Tabelle13[[#This Row],[commits]]/Tabelle13[[#Totals],[commits]]</f>
        <v>4.6477904404246225E-6</v>
      </c>
      <c r="I5751" s="5">
        <f>Tabelle13[[#This Row],[%]]+I5750</f>
        <v>0.98468088270830789</v>
      </c>
      <c r="J5751" s="4">
        <f t="shared" si="211"/>
        <v>1.105583195135434E-4</v>
      </c>
      <c r="K5751" s="5">
        <f t="shared" si="212"/>
        <v>0.63559977888342667</v>
      </c>
    </row>
    <row r="5752" spans="1:11" x14ac:dyDescent="0.25">
      <c r="A5752" t="s">
        <v>6309</v>
      </c>
      <c r="C5752" t="s">
        <v>6310</v>
      </c>
      <c r="D5752" t="s">
        <v>5</v>
      </c>
      <c r="E5752" t="s">
        <v>6</v>
      </c>
      <c r="F5752" t="s">
        <v>28</v>
      </c>
      <c r="G5752">
        <v>1</v>
      </c>
      <c r="H5752" s="2">
        <f>Tabelle13[[#This Row],[commits]]/Tabelle13[[#Totals],[commits]]</f>
        <v>4.6477904404246225E-6</v>
      </c>
      <c r="I5752" s="5">
        <f>Tabelle13[[#This Row],[%]]+I5751</f>
        <v>0.9846855304987483</v>
      </c>
      <c r="J5752" s="4">
        <f t="shared" si="211"/>
        <v>1.105583195135434E-4</v>
      </c>
      <c r="K5752" s="5">
        <f t="shared" si="212"/>
        <v>0.63571033720294023</v>
      </c>
    </row>
    <row r="5753" spans="1:11" x14ac:dyDescent="0.25">
      <c r="A5753" t="s">
        <v>6311</v>
      </c>
      <c r="C5753" t="s">
        <v>6312</v>
      </c>
      <c r="D5753" t="s">
        <v>5</v>
      </c>
      <c r="E5753" t="s">
        <v>6</v>
      </c>
      <c r="F5753" t="s">
        <v>28</v>
      </c>
      <c r="G5753">
        <v>1</v>
      </c>
      <c r="H5753" s="2">
        <f>Tabelle13[[#This Row],[commits]]/Tabelle13[[#Totals],[commits]]</f>
        <v>4.6477904404246225E-6</v>
      </c>
      <c r="I5753" s="5">
        <f>Tabelle13[[#This Row],[%]]+I5752</f>
        <v>0.9846901782891887</v>
      </c>
      <c r="J5753" s="4">
        <f t="shared" si="211"/>
        <v>1.105583195135434E-4</v>
      </c>
      <c r="K5753" s="5">
        <f t="shared" si="212"/>
        <v>0.6358208955224538</v>
      </c>
    </row>
    <row r="5754" spans="1:11" x14ac:dyDescent="0.25">
      <c r="A5754" t="s">
        <v>6313</v>
      </c>
      <c r="C5754" t="s">
        <v>6314</v>
      </c>
      <c r="D5754" t="s">
        <v>5</v>
      </c>
      <c r="E5754" t="s">
        <v>6</v>
      </c>
      <c r="F5754" t="s">
        <v>28</v>
      </c>
      <c r="G5754">
        <v>1</v>
      </c>
      <c r="H5754" s="2">
        <f>Tabelle13[[#This Row],[commits]]/Tabelle13[[#Totals],[commits]]</f>
        <v>4.6477904404246225E-6</v>
      </c>
      <c r="I5754" s="5">
        <f>Tabelle13[[#This Row],[%]]+I5753</f>
        <v>0.9846948260796291</v>
      </c>
      <c r="J5754" s="4">
        <f t="shared" si="211"/>
        <v>1.105583195135434E-4</v>
      </c>
      <c r="K5754" s="5">
        <f t="shared" si="212"/>
        <v>0.63593145384196736</v>
      </c>
    </row>
    <row r="5755" spans="1:11" x14ac:dyDescent="0.25">
      <c r="A5755" t="s">
        <v>6315</v>
      </c>
      <c r="C5755" t="s">
        <v>6316</v>
      </c>
      <c r="D5755" t="s">
        <v>5</v>
      </c>
      <c r="E5755" t="s">
        <v>6</v>
      </c>
      <c r="F5755" t="s">
        <v>28</v>
      </c>
      <c r="G5755">
        <v>1</v>
      </c>
      <c r="H5755" s="2">
        <f>Tabelle13[[#This Row],[commits]]/Tabelle13[[#Totals],[commits]]</f>
        <v>4.6477904404246225E-6</v>
      </c>
      <c r="I5755" s="5">
        <f>Tabelle13[[#This Row],[%]]+I5754</f>
        <v>0.98469947387006951</v>
      </c>
      <c r="J5755" s="4">
        <f t="shared" si="211"/>
        <v>1.105583195135434E-4</v>
      </c>
      <c r="K5755" s="5">
        <f t="shared" si="212"/>
        <v>0.63604201216148093</v>
      </c>
    </row>
    <row r="5756" spans="1:11" x14ac:dyDescent="0.25">
      <c r="A5756" t="s">
        <v>6317</v>
      </c>
      <c r="C5756" t="s">
        <v>6318</v>
      </c>
      <c r="D5756" t="s">
        <v>5</v>
      </c>
      <c r="E5756" t="s">
        <v>6</v>
      </c>
      <c r="F5756" t="s">
        <v>28</v>
      </c>
      <c r="G5756">
        <v>1</v>
      </c>
      <c r="H5756" s="2">
        <f>Tabelle13[[#This Row],[commits]]/Tabelle13[[#Totals],[commits]]</f>
        <v>4.6477904404246225E-6</v>
      </c>
      <c r="I5756" s="5">
        <f>Tabelle13[[#This Row],[%]]+I5755</f>
        <v>0.98470412166050991</v>
      </c>
      <c r="J5756" s="4">
        <f t="shared" si="211"/>
        <v>1.105583195135434E-4</v>
      </c>
      <c r="K5756" s="5">
        <f t="shared" si="212"/>
        <v>0.63615257048099449</v>
      </c>
    </row>
    <row r="5757" spans="1:11" x14ac:dyDescent="0.25">
      <c r="A5757" t="s">
        <v>6319</v>
      </c>
      <c r="C5757" t="s">
        <v>6320</v>
      </c>
      <c r="D5757" t="s">
        <v>5</v>
      </c>
      <c r="E5757" t="s">
        <v>6</v>
      </c>
      <c r="F5757" t="s">
        <v>28</v>
      </c>
      <c r="G5757">
        <v>1</v>
      </c>
      <c r="H5757" s="2">
        <f>Tabelle13[[#This Row],[commits]]/Tabelle13[[#Totals],[commits]]</f>
        <v>4.6477904404246225E-6</v>
      </c>
      <c r="I5757" s="5">
        <f>Tabelle13[[#This Row],[%]]+I5756</f>
        <v>0.98470876945095032</v>
      </c>
      <c r="J5757" s="4">
        <f t="shared" si="211"/>
        <v>1.105583195135434E-4</v>
      </c>
      <c r="K5757" s="5">
        <f t="shared" si="212"/>
        <v>0.63626312880050806</v>
      </c>
    </row>
    <row r="5758" spans="1:11" x14ac:dyDescent="0.25">
      <c r="A5758" t="s">
        <v>6321</v>
      </c>
      <c r="C5758" t="s">
        <v>6322</v>
      </c>
      <c r="D5758" t="s">
        <v>5</v>
      </c>
      <c r="E5758" t="s">
        <v>6</v>
      </c>
      <c r="F5758" t="s">
        <v>28</v>
      </c>
      <c r="G5758">
        <v>1</v>
      </c>
      <c r="H5758" s="2">
        <f>Tabelle13[[#This Row],[commits]]/Tabelle13[[#Totals],[commits]]</f>
        <v>4.6477904404246225E-6</v>
      </c>
      <c r="I5758" s="5">
        <f>Tabelle13[[#This Row],[%]]+I5757</f>
        <v>0.98471341724139072</v>
      </c>
      <c r="J5758" s="4">
        <f t="shared" si="211"/>
        <v>1.105583195135434E-4</v>
      </c>
      <c r="K5758" s="5">
        <f t="shared" si="212"/>
        <v>0.63637368712002162</v>
      </c>
    </row>
    <row r="5759" spans="1:11" x14ac:dyDescent="0.25">
      <c r="A5759" t="s">
        <v>6323</v>
      </c>
      <c r="C5759" t="s">
        <v>6324</v>
      </c>
      <c r="D5759" t="s">
        <v>5</v>
      </c>
      <c r="E5759" t="s">
        <v>6</v>
      </c>
      <c r="F5759" t="s">
        <v>28</v>
      </c>
      <c r="G5759">
        <v>1</v>
      </c>
      <c r="H5759" s="2">
        <f>Tabelle13[[#This Row],[commits]]/Tabelle13[[#Totals],[commits]]</f>
        <v>4.6477904404246225E-6</v>
      </c>
      <c r="I5759" s="5">
        <f>Tabelle13[[#This Row],[%]]+I5758</f>
        <v>0.98471806503183112</v>
      </c>
      <c r="J5759" s="4">
        <f t="shared" si="211"/>
        <v>1.105583195135434E-4</v>
      </c>
      <c r="K5759" s="5">
        <f t="shared" si="212"/>
        <v>0.63648424543953519</v>
      </c>
    </row>
    <row r="5760" spans="1:11" x14ac:dyDescent="0.25">
      <c r="A5760" t="s">
        <v>6325</v>
      </c>
      <c r="C5760" t="s">
        <v>6326</v>
      </c>
      <c r="D5760" t="s">
        <v>5</v>
      </c>
      <c r="E5760" t="s">
        <v>6</v>
      </c>
      <c r="F5760" t="s">
        <v>28</v>
      </c>
      <c r="G5760">
        <v>1</v>
      </c>
      <c r="H5760" s="2">
        <f>Tabelle13[[#This Row],[commits]]/Tabelle13[[#Totals],[commits]]</f>
        <v>4.6477904404246225E-6</v>
      </c>
      <c r="I5760" s="5">
        <f>Tabelle13[[#This Row],[%]]+I5759</f>
        <v>0.98472271282227153</v>
      </c>
      <c r="J5760" s="4">
        <f t="shared" si="211"/>
        <v>1.105583195135434E-4</v>
      </c>
      <c r="K5760" s="5">
        <f t="shared" si="212"/>
        <v>0.63659480375904876</v>
      </c>
    </row>
    <row r="5761" spans="1:11" x14ac:dyDescent="0.25">
      <c r="A5761" t="s">
        <v>6327</v>
      </c>
      <c r="C5761" t="s">
        <v>6328</v>
      </c>
      <c r="D5761" t="s">
        <v>5</v>
      </c>
      <c r="E5761" t="s">
        <v>6</v>
      </c>
      <c r="F5761" t="s">
        <v>28</v>
      </c>
      <c r="G5761">
        <v>1</v>
      </c>
      <c r="H5761" s="2">
        <f>Tabelle13[[#This Row],[commits]]/Tabelle13[[#Totals],[commits]]</f>
        <v>4.6477904404246225E-6</v>
      </c>
      <c r="I5761" s="5">
        <f>Tabelle13[[#This Row],[%]]+I5760</f>
        <v>0.98472736061271193</v>
      </c>
      <c r="J5761" s="4">
        <f t="shared" si="211"/>
        <v>1.105583195135434E-4</v>
      </c>
      <c r="K5761" s="5">
        <f t="shared" si="212"/>
        <v>0.63670536207856232</v>
      </c>
    </row>
    <row r="5762" spans="1:11" x14ac:dyDescent="0.25">
      <c r="A5762" t="s">
        <v>6329</v>
      </c>
      <c r="C5762" t="s">
        <v>6330</v>
      </c>
      <c r="D5762" t="s">
        <v>5</v>
      </c>
      <c r="E5762" t="s">
        <v>6</v>
      </c>
      <c r="F5762" t="s">
        <v>28</v>
      </c>
      <c r="G5762">
        <v>1</v>
      </c>
      <c r="H5762" s="2">
        <f>Tabelle13[[#This Row],[commits]]/Tabelle13[[#Totals],[commits]]</f>
        <v>4.6477904404246225E-6</v>
      </c>
      <c r="I5762" s="5">
        <f>Tabelle13[[#This Row],[%]]+I5761</f>
        <v>0.98473200840315234</v>
      </c>
      <c r="J5762" s="4">
        <f t="shared" si="211"/>
        <v>1.105583195135434E-4</v>
      </c>
      <c r="K5762" s="5">
        <f t="shared" si="212"/>
        <v>0.63681592039807589</v>
      </c>
    </row>
    <row r="5763" spans="1:11" x14ac:dyDescent="0.25">
      <c r="A5763" t="s">
        <v>6331</v>
      </c>
      <c r="C5763" t="s">
        <v>6332</v>
      </c>
      <c r="D5763" t="s">
        <v>5</v>
      </c>
      <c r="E5763" t="s">
        <v>6</v>
      </c>
      <c r="F5763" t="s">
        <v>28</v>
      </c>
      <c r="G5763">
        <v>1</v>
      </c>
      <c r="H5763" s="2">
        <f>Tabelle13[[#This Row],[commits]]/Tabelle13[[#Totals],[commits]]</f>
        <v>4.6477904404246225E-6</v>
      </c>
      <c r="I5763" s="5">
        <f>Tabelle13[[#This Row],[%]]+I5762</f>
        <v>0.98473665619359274</v>
      </c>
      <c r="J5763" s="4">
        <f t="shared" ref="J5763:J5826" si="213">1/9045</f>
        <v>1.105583195135434E-4</v>
      </c>
      <c r="K5763" s="5">
        <f t="shared" si="212"/>
        <v>0.63692647871758945</v>
      </c>
    </row>
    <row r="5764" spans="1:11" x14ac:dyDescent="0.25">
      <c r="A5764" t="s">
        <v>6333</v>
      </c>
      <c r="C5764" t="s">
        <v>6334</v>
      </c>
      <c r="D5764" t="s">
        <v>5</v>
      </c>
      <c r="E5764" t="s">
        <v>6</v>
      </c>
      <c r="F5764" t="s">
        <v>28</v>
      </c>
      <c r="G5764">
        <v>1</v>
      </c>
      <c r="H5764" s="2">
        <f>Tabelle13[[#This Row],[commits]]/Tabelle13[[#Totals],[commits]]</f>
        <v>4.6477904404246225E-6</v>
      </c>
      <c r="I5764" s="5">
        <f>Tabelle13[[#This Row],[%]]+I5763</f>
        <v>0.98474130398403315</v>
      </c>
      <c r="J5764" s="4">
        <f t="shared" si="213"/>
        <v>1.105583195135434E-4</v>
      </c>
      <c r="K5764" s="5">
        <f t="shared" si="212"/>
        <v>0.63703703703710302</v>
      </c>
    </row>
    <row r="5765" spans="1:11" x14ac:dyDescent="0.25">
      <c r="A5765" t="s">
        <v>6335</v>
      </c>
      <c r="C5765" t="s">
        <v>6336</v>
      </c>
      <c r="D5765" t="s">
        <v>5</v>
      </c>
      <c r="E5765" t="s">
        <v>6</v>
      </c>
      <c r="F5765" t="s">
        <v>28</v>
      </c>
      <c r="G5765">
        <v>1</v>
      </c>
      <c r="H5765" s="2">
        <f>Tabelle13[[#This Row],[commits]]/Tabelle13[[#Totals],[commits]]</f>
        <v>4.6477904404246225E-6</v>
      </c>
      <c r="I5765" s="5">
        <f>Tabelle13[[#This Row],[%]]+I5764</f>
        <v>0.98474595177447355</v>
      </c>
      <c r="J5765" s="4">
        <f t="shared" si="213"/>
        <v>1.105583195135434E-4</v>
      </c>
      <c r="K5765" s="5">
        <f t="shared" si="212"/>
        <v>0.63714759535661658</v>
      </c>
    </row>
    <row r="5766" spans="1:11" x14ac:dyDescent="0.25">
      <c r="A5766" t="s">
        <v>6337</v>
      </c>
      <c r="C5766" t="s">
        <v>6338</v>
      </c>
      <c r="D5766" t="s">
        <v>5</v>
      </c>
      <c r="E5766" t="s">
        <v>6</v>
      </c>
      <c r="F5766" t="s">
        <v>28</v>
      </c>
      <c r="G5766">
        <v>1</v>
      </c>
      <c r="H5766" s="2">
        <f>Tabelle13[[#This Row],[commits]]/Tabelle13[[#Totals],[commits]]</f>
        <v>4.6477904404246225E-6</v>
      </c>
      <c r="I5766" s="5">
        <f>Tabelle13[[#This Row],[%]]+I5765</f>
        <v>0.98475059956491395</v>
      </c>
      <c r="J5766" s="4">
        <f t="shared" si="213"/>
        <v>1.105583195135434E-4</v>
      </c>
      <c r="K5766" s="5">
        <f t="shared" ref="K5766:K5829" si="214">J5766+K5765</f>
        <v>0.63725815367613015</v>
      </c>
    </row>
    <row r="5767" spans="1:11" x14ac:dyDescent="0.25">
      <c r="A5767" t="s">
        <v>6339</v>
      </c>
      <c r="C5767" t="s">
        <v>6340</v>
      </c>
      <c r="D5767" t="s">
        <v>5</v>
      </c>
      <c r="E5767" t="s">
        <v>6</v>
      </c>
      <c r="F5767" t="s">
        <v>28</v>
      </c>
      <c r="G5767">
        <v>1</v>
      </c>
      <c r="H5767" s="2">
        <f>Tabelle13[[#This Row],[commits]]/Tabelle13[[#Totals],[commits]]</f>
        <v>4.6477904404246225E-6</v>
      </c>
      <c r="I5767" s="5">
        <f>Tabelle13[[#This Row],[%]]+I5766</f>
        <v>0.98475524735535436</v>
      </c>
      <c r="J5767" s="4">
        <f t="shared" si="213"/>
        <v>1.105583195135434E-4</v>
      </c>
      <c r="K5767" s="5">
        <f t="shared" si="214"/>
        <v>0.63736871199564371</v>
      </c>
    </row>
    <row r="5768" spans="1:11" x14ac:dyDescent="0.25">
      <c r="A5768" t="s">
        <v>6341</v>
      </c>
      <c r="C5768" t="s">
        <v>6342</v>
      </c>
      <c r="D5768" t="s">
        <v>5</v>
      </c>
      <c r="E5768" t="s">
        <v>6</v>
      </c>
      <c r="F5768" t="s">
        <v>28</v>
      </c>
      <c r="G5768">
        <v>1</v>
      </c>
      <c r="H5768" s="2">
        <f>Tabelle13[[#This Row],[commits]]/Tabelle13[[#Totals],[commits]]</f>
        <v>4.6477904404246225E-6</v>
      </c>
      <c r="I5768" s="5">
        <f>Tabelle13[[#This Row],[%]]+I5767</f>
        <v>0.98475989514579476</v>
      </c>
      <c r="J5768" s="4">
        <f t="shared" si="213"/>
        <v>1.105583195135434E-4</v>
      </c>
      <c r="K5768" s="5">
        <f t="shared" si="214"/>
        <v>0.63747927031515728</v>
      </c>
    </row>
    <row r="5769" spans="1:11" x14ac:dyDescent="0.25">
      <c r="A5769" t="s">
        <v>6343</v>
      </c>
      <c r="C5769" t="s">
        <v>6344</v>
      </c>
      <c r="D5769" t="s">
        <v>5</v>
      </c>
      <c r="E5769" t="s">
        <v>6</v>
      </c>
      <c r="F5769" t="s">
        <v>28</v>
      </c>
      <c r="G5769">
        <v>1</v>
      </c>
      <c r="H5769" s="2">
        <f>Tabelle13[[#This Row],[commits]]/Tabelle13[[#Totals],[commits]]</f>
        <v>4.6477904404246225E-6</v>
      </c>
      <c r="I5769" s="5">
        <f>Tabelle13[[#This Row],[%]]+I5768</f>
        <v>0.98476454293623517</v>
      </c>
      <c r="J5769" s="4">
        <f t="shared" si="213"/>
        <v>1.105583195135434E-4</v>
      </c>
      <c r="K5769" s="5">
        <f t="shared" si="214"/>
        <v>0.63758982863467084</v>
      </c>
    </row>
    <row r="5770" spans="1:11" x14ac:dyDescent="0.25">
      <c r="A5770" t="s">
        <v>6345</v>
      </c>
      <c r="C5770" t="s">
        <v>6346</v>
      </c>
      <c r="D5770" t="s">
        <v>5</v>
      </c>
      <c r="E5770" t="s">
        <v>6</v>
      </c>
      <c r="F5770" t="s">
        <v>28</v>
      </c>
      <c r="G5770">
        <v>1</v>
      </c>
      <c r="H5770" s="2">
        <f>Tabelle13[[#This Row],[commits]]/Tabelle13[[#Totals],[commits]]</f>
        <v>4.6477904404246225E-6</v>
      </c>
      <c r="I5770" s="5">
        <f>Tabelle13[[#This Row],[%]]+I5769</f>
        <v>0.98476919072667557</v>
      </c>
      <c r="J5770" s="4">
        <f t="shared" si="213"/>
        <v>1.105583195135434E-4</v>
      </c>
      <c r="K5770" s="5">
        <f t="shared" si="214"/>
        <v>0.63770038695418441</v>
      </c>
    </row>
    <row r="5771" spans="1:11" x14ac:dyDescent="0.25">
      <c r="A5771" t="s">
        <v>6347</v>
      </c>
      <c r="C5771" t="s">
        <v>6348</v>
      </c>
      <c r="D5771" t="s">
        <v>5</v>
      </c>
      <c r="E5771" t="s">
        <v>6</v>
      </c>
      <c r="F5771" t="s">
        <v>28</v>
      </c>
      <c r="G5771">
        <v>1</v>
      </c>
      <c r="H5771" s="2">
        <f>Tabelle13[[#This Row],[commits]]/Tabelle13[[#Totals],[commits]]</f>
        <v>4.6477904404246225E-6</v>
      </c>
      <c r="I5771" s="5">
        <f>Tabelle13[[#This Row],[%]]+I5770</f>
        <v>0.98477383851711597</v>
      </c>
      <c r="J5771" s="4">
        <f t="shared" si="213"/>
        <v>1.105583195135434E-4</v>
      </c>
      <c r="K5771" s="5">
        <f t="shared" si="214"/>
        <v>0.63781094527369797</v>
      </c>
    </row>
    <row r="5772" spans="1:11" x14ac:dyDescent="0.25">
      <c r="A5772" t="s">
        <v>6349</v>
      </c>
      <c r="C5772" t="s">
        <v>6350</v>
      </c>
      <c r="D5772" t="s">
        <v>5</v>
      </c>
      <c r="E5772" t="s">
        <v>6</v>
      </c>
      <c r="F5772" t="s">
        <v>28</v>
      </c>
      <c r="G5772">
        <v>1</v>
      </c>
      <c r="H5772" s="2">
        <f>Tabelle13[[#This Row],[commits]]/Tabelle13[[#Totals],[commits]]</f>
        <v>4.6477904404246225E-6</v>
      </c>
      <c r="I5772" s="5">
        <f>Tabelle13[[#This Row],[%]]+I5771</f>
        <v>0.98477848630755638</v>
      </c>
      <c r="J5772" s="4">
        <f t="shared" si="213"/>
        <v>1.105583195135434E-4</v>
      </c>
      <c r="K5772" s="5">
        <f t="shared" si="214"/>
        <v>0.63792150359321154</v>
      </c>
    </row>
    <row r="5773" spans="1:11" x14ac:dyDescent="0.25">
      <c r="A5773" t="s">
        <v>6351</v>
      </c>
      <c r="C5773" t="s">
        <v>6352</v>
      </c>
      <c r="D5773" t="s">
        <v>5</v>
      </c>
      <c r="E5773" t="s">
        <v>6</v>
      </c>
      <c r="F5773" t="s">
        <v>334</v>
      </c>
      <c r="G5773">
        <v>1</v>
      </c>
      <c r="H5773" s="2">
        <f>Tabelle13[[#This Row],[commits]]/Tabelle13[[#Totals],[commits]]</f>
        <v>4.6477904404246225E-6</v>
      </c>
      <c r="I5773" s="5">
        <f>Tabelle13[[#This Row],[%]]+I5772</f>
        <v>0.98478313409799678</v>
      </c>
      <c r="J5773" s="4">
        <f t="shared" si="213"/>
        <v>1.105583195135434E-4</v>
      </c>
      <c r="K5773" s="5">
        <f t="shared" si="214"/>
        <v>0.6380320619127251</v>
      </c>
    </row>
    <row r="5774" spans="1:11" x14ac:dyDescent="0.25">
      <c r="A5774" t="s">
        <v>6353</v>
      </c>
      <c r="C5774" t="s">
        <v>6354</v>
      </c>
      <c r="D5774" t="s">
        <v>5</v>
      </c>
      <c r="E5774" t="s">
        <v>6</v>
      </c>
      <c r="F5774" t="s">
        <v>28</v>
      </c>
      <c r="G5774">
        <v>1</v>
      </c>
      <c r="H5774" s="2">
        <f>Tabelle13[[#This Row],[commits]]/Tabelle13[[#Totals],[commits]]</f>
        <v>4.6477904404246225E-6</v>
      </c>
      <c r="I5774" s="5">
        <f>Tabelle13[[#This Row],[%]]+I5773</f>
        <v>0.98478778188843719</v>
      </c>
      <c r="J5774" s="4">
        <f t="shared" si="213"/>
        <v>1.105583195135434E-4</v>
      </c>
      <c r="K5774" s="5">
        <f t="shared" si="214"/>
        <v>0.63814262023223867</v>
      </c>
    </row>
    <row r="5775" spans="1:11" x14ac:dyDescent="0.25">
      <c r="A5775" t="s">
        <v>6355</v>
      </c>
      <c r="C5775" t="s">
        <v>6356</v>
      </c>
      <c r="D5775" t="s">
        <v>5</v>
      </c>
      <c r="E5775" t="s">
        <v>6</v>
      </c>
      <c r="F5775" t="s">
        <v>28</v>
      </c>
      <c r="G5775">
        <v>1</v>
      </c>
      <c r="H5775" s="2">
        <f>Tabelle13[[#This Row],[commits]]/Tabelle13[[#Totals],[commits]]</f>
        <v>4.6477904404246225E-6</v>
      </c>
      <c r="I5775" s="5">
        <f>Tabelle13[[#This Row],[%]]+I5774</f>
        <v>0.98479242967887759</v>
      </c>
      <c r="J5775" s="4">
        <f t="shared" si="213"/>
        <v>1.105583195135434E-4</v>
      </c>
      <c r="K5775" s="5">
        <f t="shared" si="214"/>
        <v>0.63825317855175223</v>
      </c>
    </row>
    <row r="5776" spans="1:11" x14ac:dyDescent="0.25">
      <c r="A5776" t="s">
        <v>6357</v>
      </c>
      <c r="C5776" t="s">
        <v>6358</v>
      </c>
      <c r="D5776" t="s">
        <v>5</v>
      </c>
      <c r="E5776" t="s">
        <v>6</v>
      </c>
      <c r="F5776" t="s">
        <v>28</v>
      </c>
      <c r="G5776">
        <v>1</v>
      </c>
      <c r="H5776" s="2">
        <f>Tabelle13[[#This Row],[commits]]/Tabelle13[[#Totals],[commits]]</f>
        <v>4.6477904404246225E-6</v>
      </c>
      <c r="I5776" s="5">
        <f>Tabelle13[[#This Row],[%]]+I5775</f>
        <v>0.98479707746931799</v>
      </c>
      <c r="J5776" s="4">
        <f t="shared" si="213"/>
        <v>1.105583195135434E-4</v>
      </c>
      <c r="K5776" s="5">
        <f t="shared" si="214"/>
        <v>0.6383637368712658</v>
      </c>
    </row>
    <row r="5777" spans="1:11" x14ac:dyDescent="0.25">
      <c r="A5777" t="s">
        <v>6359</v>
      </c>
      <c r="C5777" t="s">
        <v>6360</v>
      </c>
      <c r="D5777" t="s">
        <v>5</v>
      </c>
      <c r="E5777" t="s">
        <v>6</v>
      </c>
      <c r="F5777" t="s">
        <v>28</v>
      </c>
      <c r="G5777">
        <v>1</v>
      </c>
      <c r="H5777" s="2">
        <f>Tabelle13[[#This Row],[commits]]/Tabelle13[[#Totals],[commits]]</f>
        <v>4.6477904404246225E-6</v>
      </c>
      <c r="I5777" s="5">
        <f>Tabelle13[[#This Row],[%]]+I5776</f>
        <v>0.9848017252597584</v>
      </c>
      <c r="J5777" s="4">
        <f t="shared" si="213"/>
        <v>1.105583195135434E-4</v>
      </c>
      <c r="K5777" s="5">
        <f t="shared" si="214"/>
        <v>0.63847429519077936</v>
      </c>
    </row>
    <row r="5778" spans="1:11" x14ac:dyDescent="0.25">
      <c r="A5778" t="s">
        <v>6361</v>
      </c>
      <c r="C5778" t="s">
        <v>6362</v>
      </c>
      <c r="D5778" t="s">
        <v>5</v>
      </c>
      <c r="E5778" t="s">
        <v>6</v>
      </c>
      <c r="F5778" t="s">
        <v>28</v>
      </c>
      <c r="G5778">
        <v>1</v>
      </c>
      <c r="H5778" s="2">
        <f>Tabelle13[[#This Row],[commits]]/Tabelle13[[#Totals],[commits]]</f>
        <v>4.6477904404246225E-6</v>
      </c>
      <c r="I5778" s="5">
        <f>Tabelle13[[#This Row],[%]]+I5777</f>
        <v>0.9848063730501988</v>
      </c>
      <c r="J5778" s="4">
        <f t="shared" si="213"/>
        <v>1.105583195135434E-4</v>
      </c>
      <c r="K5778" s="5">
        <f t="shared" si="214"/>
        <v>0.63858485351029293</v>
      </c>
    </row>
    <row r="5779" spans="1:11" x14ac:dyDescent="0.25">
      <c r="A5779" t="s">
        <v>6363</v>
      </c>
      <c r="C5779" t="s">
        <v>6364</v>
      </c>
      <c r="D5779" t="s">
        <v>5</v>
      </c>
      <c r="E5779" t="s">
        <v>6</v>
      </c>
      <c r="F5779" t="s">
        <v>28</v>
      </c>
      <c r="G5779">
        <v>1</v>
      </c>
      <c r="H5779" s="2">
        <f>Tabelle13[[#This Row],[commits]]/Tabelle13[[#Totals],[commits]]</f>
        <v>4.6477904404246225E-6</v>
      </c>
      <c r="I5779" s="5">
        <f>Tabelle13[[#This Row],[%]]+I5778</f>
        <v>0.98481102084063921</v>
      </c>
      <c r="J5779" s="4">
        <f t="shared" si="213"/>
        <v>1.105583195135434E-4</v>
      </c>
      <c r="K5779" s="5">
        <f t="shared" si="214"/>
        <v>0.63869541182980649</v>
      </c>
    </row>
    <row r="5780" spans="1:11" x14ac:dyDescent="0.25">
      <c r="A5780" t="s">
        <v>6365</v>
      </c>
      <c r="C5780" t="s">
        <v>6366</v>
      </c>
      <c r="D5780" t="s">
        <v>5</v>
      </c>
      <c r="E5780" t="s">
        <v>6</v>
      </c>
      <c r="F5780" t="s">
        <v>28</v>
      </c>
      <c r="G5780">
        <v>1</v>
      </c>
      <c r="H5780" s="2">
        <f>Tabelle13[[#This Row],[commits]]/Tabelle13[[#Totals],[commits]]</f>
        <v>4.6477904404246225E-6</v>
      </c>
      <c r="I5780" s="5">
        <f>Tabelle13[[#This Row],[%]]+I5779</f>
        <v>0.98481566863107961</v>
      </c>
      <c r="J5780" s="4">
        <f t="shared" si="213"/>
        <v>1.105583195135434E-4</v>
      </c>
      <c r="K5780" s="5">
        <f t="shared" si="214"/>
        <v>0.63880597014932006</v>
      </c>
    </row>
    <row r="5781" spans="1:11" x14ac:dyDescent="0.25">
      <c r="A5781" t="s">
        <v>6367</v>
      </c>
      <c r="C5781" t="s">
        <v>6368</v>
      </c>
      <c r="D5781" t="s">
        <v>5</v>
      </c>
      <c r="E5781" t="s">
        <v>6</v>
      </c>
      <c r="F5781" t="s">
        <v>28</v>
      </c>
      <c r="G5781">
        <v>1</v>
      </c>
      <c r="H5781" s="2">
        <f>Tabelle13[[#This Row],[commits]]/Tabelle13[[#Totals],[commits]]</f>
        <v>4.6477904404246225E-6</v>
      </c>
      <c r="I5781" s="5">
        <f>Tabelle13[[#This Row],[%]]+I5780</f>
        <v>0.98482031642152001</v>
      </c>
      <c r="J5781" s="4">
        <f t="shared" si="213"/>
        <v>1.105583195135434E-4</v>
      </c>
      <c r="K5781" s="5">
        <f t="shared" si="214"/>
        <v>0.63891652846883362</v>
      </c>
    </row>
    <row r="5782" spans="1:11" x14ac:dyDescent="0.25">
      <c r="A5782" t="s">
        <v>6369</v>
      </c>
      <c r="C5782" t="s">
        <v>2001</v>
      </c>
      <c r="D5782" t="s">
        <v>5</v>
      </c>
      <c r="E5782" t="s">
        <v>6</v>
      </c>
      <c r="F5782" t="s">
        <v>28</v>
      </c>
      <c r="G5782">
        <v>1</v>
      </c>
      <c r="H5782" s="2">
        <f>Tabelle13[[#This Row],[commits]]/Tabelle13[[#Totals],[commits]]</f>
        <v>4.6477904404246225E-6</v>
      </c>
      <c r="I5782" s="5">
        <f>Tabelle13[[#This Row],[%]]+I5781</f>
        <v>0.98482496421196042</v>
      </c>
      <c r="J5782" s="4">
        <f t="shared" si="213"/>
        <v>1.105583195135434E-4</v>
      </c>
      <c r="K5782" s="5">
        <f t="shared" si="214"/>
        <v>0.63902708678834719</v>
      </c>
    </row>
    <row r="5783" spans="1:11" x14ac:dyDescent="0.25">
      <c r="A5783" t="s">
        <v>6370</v>
      </c>
      <c r="C5783" t="s">
        <v>6371</v>
      </c>
      <c r="D5783" t="s">
        <v>5</v>
      </c>
      <c r="E5783" t="s">
        <v>6</v>
      </c>
      <c r="F5783" t="s">
        <v>28</v>
      </c>
      <c r="G5783">
        <v>1</v>
      </c>
      <c r="H5783" s="2">
        <f>Tabelle13[[#This Row],[commits]]/Tabelle13[[#Totals],[commits]]</f>
        <v>4.6477904404246225E-6</v>
      </c>
      <c r="I5783" s="5">
        <f>Tabelle13[[#This Row],[%]]+I5782</f>
        <v>0.98482961200240082</v>
      </c>
      <c r="J5783" s="4">
        <f t="shared" si="213"/>
        <v>1.105583195135434E-4</v>
      </c>
      <c r="K5783" s="5">
        <f t="shared" si="214"/>
        <v>0.63913764510786075</v>
      </c>
    </row>
    <row r="5784" spans="1:11" x14ac:dyDescent="0.25">
      <c r="A5784" t="s">
        <v>6372</v>
      </c>
      <c r="C5784" t="s">
        <v>6373</v>
      </c>
      <c r="D5784" t="s">
        <v>5</v>
      </c>
      <c r="E5784" t="s">
        <v>6</v>
      </c>
      <c r="F5784" t="s">
        <v>28</v>
      </c>
      <c r="G5784">
        <v>1</v>
      </c>
      <c r="H5784" s="2">
        <f>Tabelle13[[#This Row],[commits]]/Tabelle13[[#Totals],[commits]]</f>
        <v>4.6477904404246225E-6</v>
      </c>
      <c r="I5784" s="5">
        <f>Tabelle13[[#This Row],[%]]+I5783</f>
        <v>0.98483425979284123</v>
      </c>
      <c r="J5784" s="4">
        <f t="shared" si="213"/>
        <v>1.105583195135434E-4</v>
      </c>
      <c r="K5784" s="5">
        <f t="shared" si="214"/>
        <v>0.63924820342737432</v>
      </c>
    </row>
    <row r="5785" spans="1:11" x14ac:dyDescent="0.25">
      <c r="A5785" t="s">
        <v>6374</v>
      </c>
      <c r="C5785" t="s">
        <v>6375</v>
      </c>
      <c r="D5785" t="s">
        <v>5</v>
      </c>
      <c r="E5785" t="s">
        <v>6</v>
      </c>
      <c r="F5785" t="s">
        <v>28</v>
      </c>
      <c r="G5785">
        <v>1</v>
      </c>
      <c r="H5785" s="2">
        <f>Tabelle13[[#This Row],[commits]]/Tabelle13[[#Totals],[commits]]</f>
        <v>4.6477904404246225E-6</v>
      </c>
      <c r="I5785" s="5">
        <f>Tabelle13[[#This Row],[%]]+I5784</f>
        <v>0.98483890758328163</v>
      </c>
      <c r="J5785" s="4">
        <f t="shared" si="213"/>
        <v>1.105583195135434E-4</v>
      </c>
      <c r="K5785" s="5">
        <f t="shared" si="214"/>
        <v>0.63935876174688788</v>
      </c>
    </row>
    <row r="5786" spans="1:11" x14ac:dyDescent="0.25">
      <c r="A5786" t="s">
        <v>6376</v>
      </c>
      <c r="C5786" t="s">
        <v>6377</v>
      </c>
      <c r="D5786" t="s">
        <v>5</v>
      </c>
      <c r="E5786" t="s">
        <v>6</v>
      </c>
      <c r="F5786" t="s">
        <v>28</v>
      </c>
      <c r="G5786">
        <v>1</v>
      </c>
      <c r="H5786" s="2">
        <f>Tabelle13[[#This Row],[commits]]/Tabelle13[[#Totals],[commits]]</f>
        <v>4.6477904404246225E-6</v>
      </c>
      <c r="I5786" s="5">
        <f>Tabelle13[[#This Row],[%]]+I5785</f>
        <v>0.98484355537372203</v>
      </c>
      <c r="J5786" s="4">
        <f t="shared" si="213"/>
        <v>1.105583195135434E-4</v>
      </c>
      <c r="K5786" s="5">
        <f t="shared" si="214"/>
        <v>0.63946932006640145</v>
      </c>
    </row>
    <row r="5787" spans="1:11" x14ac:dyDescent="0.25">
      <c r="A5787" t="s">
        <v>6378</v>
      </c>
      <c r="C5787" t="s">
        <v>6379</v>
      </c>
      <c r="D5787" t="s">
        <v>5</v>
      </c>
      <c r="E5787" t="s">
        <v>6</v>
      </c>
      <c r="F5787" t="s">
        <v>28</v>
      </c>
      <c r="G5787">
        <v>1</v>
      </c>
      <c r="H5787" s="2">
        <f>Tabelle13[[#This Row],[commits]]/Tabelle13[[#Totals],[commits]]</f>
        <v>4.6477904404246225E-6</v>
      </c>
      <c r="I5787" s="5">
        <f>Tabelle13[[#This Row],[%]]+I5786</f>
        <v>0.98484820316416244</v>
      </c>
      <c r="J5787" s="4">
        <f t="shared" si="213"/>
        <v>1.105583195135434E-4</v>
      </c>
      <c r="K5787" s="5">
        <f t="shared" si="214"/>
        <v>0.63957987838591501</v>
      </c>
    </row>
    <row r="5788" spans="1:11" x14ac:dyDescent="0.25">
      <c r="A5788" t="s">
        <v>6380</v>
      </c>
      <c r="C5788" t="s">
        <v>6381</v>
      </c>
      <c r="D5788" t="s">
        <v>5</v>
      </c>
      <c r="E5788" t="s">
        <v>6</v>
      </c>
      <c r="F5788" t="s">
        <v>28</v>
      </c>
      <c r="G5788">
        <v>1</v>
      </c>
      <c r="H5788" s="2">
        <f>Tabelle13[[#This Row],[commits]]/Tabelle13[[#Totals],[commits]]</f>
        <v>4.6477904404246225E-6</v>
      </c>
      <c r="I5788" s="5">
        <f>Tabelle13[[#This Row],[%]]+I5787</f>
        <v>0.98485285095460284</v>
      </c>
      <c r="J5788" s="4">
        <f t="shared" si="213"/>
        <v>1.105583195135434E-4</v>
      </c>
      <c r="K5788" s="5">
        <f t="shared" si="214"/>
        <v>0.63969043670542858</v>
      </c>
    </row>
    <row r="5789" spans="1:11" x14ac:dyDescent="0.25">
      <c r="A5789" t="s">
        <v>6382</v>
      </c>
      <c r="C5789" t="s">
        <v>6383</v>
      </c>
      <c r="D5789" t="s">
        <v>5</v>
      </c>
      <c r="E5789" t="s">
        <v>6</v>
      </c>
      <c r="F5789" t="s">
        <v>28</v>
      </c>
      <c r="G5789">
        <v>1</v>
      </c>
      <c r="H5789" s="2">
        <f>Tabelle13[[#This Row],[commits]]/Tabelle13[[#Totals],[commits]]</f>
        <v>4.6477904404246225E-6</v>
      </c>
      <c r="I5789" s="5">
        <f>Tabelle13[[#This Row],[%]]+I5788</f>
        <v>0.98485749874504325</v>
      </c>
      <c r="J5789" s="4">
        <f t="shared" si="213"/>
        <v>1.105583195135434E-4</v>
      </c>
      <c r="K5789" s="5">
        <f t="shared" si="214"/>
        <v>0.63980099502494214</v>
      </c>
    </row>
    <row r="5790" spans="1:11" x14ac:dyDescent="0.25">
      <c r="A5790" t="s">
        <v>6384</v>
      </c>
      <c r="C5790" t="s">
        <v>6385</v>
      </c>
      <c r="D5790" t="s">
        <v>5</v>
      </c>
      <c r="E5790" t="s">
        <v>6</v>
      </c>
      <c r="F5790" t="s">
        <v>28</v>
      </c>
      <c r="G5790">
        <v>1</v>
      </c>
      <c r="H5790" s="2">
        <f>Tabelle13[[#This Row],[commits]]/Tabelle13[[#Totals],[commits]]</f>
        <v>4.6477904404246225E-6</v>
      </c>
      <c r="I5790" s="5">
        <f>Tabelle13[[#This Row],[%]]+I5789</f>
        <v>0.98486214653548365</v>
      </c>
      <c r="J5790" s="4">
        <f t="shared" si="213"/>
        <v>1.105583195135434E-4</v>
      </c>
      <c r="K5790" s="5">
        <f t="shared" si="214"/>
        <v>0.63991155334445571</v>
      </c>
    </row>
    <row r="5791" spans="1:11" x14ac:dyDescent="0.25">
      <c r="A5791" t="s">
        <v>6386</v>
      </c>
      <c r="C5791" t="s">
        <v>6387</v>
      </c>
      <c r="D5791" t="s">
        <v>5</v>
      </c>
      <c r="E5791" t="s">
        <v>6</v>
      </c>
      <c r="F5791" t="s">
        <v>28</v>
      </c>
      <c r="G5791">
        <v>1</v>
      </c>
      <c r="H5791" s="2">
        <f>Tabelle13[[#This Row],[commits]]/Tabelle13[[#Totals],[commits]]</f>
        <v>4.6477904404246225E-6</v>
      </c>
      <c r="I5791" s="5">
        <f>Tabelle13[[#This Row],[%]]+I5790</f>
        <v>0.98486679432592406</v>
      </c>
      <c r="J5791" s="4">
        <f t="shared" si="213"/>
        <v>1.105583195135434E-4</v>
      </c>
      <c r="K5791" s="5">
        <f t="shared" si="214"/>
        <v>0.64002211166396927</v>
      </c>
    </row>
    <row r="5792" spans="1:11" x14ac:dyDescent="0.25">
      <c r="A5792" t="s">
        <v>6388</v>
      </c>
      <c r="C5792" t="s">
        <v>6389</v>
      </c>
      <c r="D5792" t="s">
        <v>5</v>
      </c>
      <c r="E5792" t="s">
        <v>6</v>
      </c>
      <c r="F5792" t="s">
        <v>28</v>
      </c>
      <c r="G5792">
        <v>1</v>
      </c>
      <c r="H5792" s="2">
        <f>Tabelle13[[#This Row],[commits]]/Tabelle13[[#Totals],[commits]]</f>
        <v>4.6477904404246225E-6</v>
      </c>
      <c r="I5792" s="5">
        <f>Tabelle13[[#This Row],[%]]+I5791</f>
        <v>0.98487144211636446</v>
      </c>
      <c r="J5792" s="4">
        <f t="shared" si="213"/>
        <v>1.105583195135434E-4</v>
      </c>
      <c r="K5792" s="5">
        <f t="shared" si="214"/>
        <v>0.64013266998348284</v>
      </c>
    </row>
    <row r="5793" spans="1:11" x14ac:dyDescent="0.25">
      <c r="A5793" t="s">
        <v>6390</v>
      </c>
      <c r="C5793" t="s">
        <v>6391</v>
      </c>
      <c r="D5793" t="s">
        <v>5</v>
      </c>
      <c r="E5793" t="s">
        <v>6</v>
      </c>
      <c r="F5793" t="s">
        <v>28</v>
      </c>
      <c r="G5793">
        <v>1</v>
      </c>
      <c r="H5793" s="2">
        <f>Tabelle13[[#This Row],[commits]]/Tabelle13[[#Totals],[commits]]</f>
        <v>4.6477904404246225E-6</v>
      </c>
      <c r="I5793" s="5">
        <f>Tabelle13[[#This Row],[%]]+I5792</f>
        <v>0.98487608990680486</v>
      </c>
      <c r="J5793" s="4">
        <f t="shared" si="213"/>
        <v>1.105583195135434E-4</v>
      </c>
      <c r="K5793" s="5">
        <f t="shared" si="214"/>
        <v>0.6402432283029964</v>
      </c>
    </row>
    <row r="5794" spans="1:11" x14ac:dyDescent="0.25">
      <c r="A5794" t="s">
        <v>6392</v>
      </c>
      <c r="C5794" t="s">
        <v>6393</v>
      </c>
      <c r="D5794" t="s">
        <v>5</v>
      </c>
      <c r="E5794" t="s">
        <v>6</v>
      </c>
      <c r="F5794" t="s">
        <v>28</v>
      </c>
      <c r="G5794">
        <v>1</v>
      </c>
      <c r="H5794" s="2">
        <f>Tabelle13[[#This Row],[commits]]/Tabelle13[[#Totals],[commits]]</f>
        <v>4.6477904404246225E-6</v>
      </c>
      <c r="I5794" s="5">
        <f>Tabelle13[[#This Row],[%]]+I5793</f>
        <v>0.98488073769724527</v>
      </c>
      <c r="J5794" s="4">
        <f t="shared" si="213"/>
        <v>1.105583195135434E-4</v>
      </c>
      <c r="K5794" s="5">
        <f t="shared" si="214"/>
        <v>0.64035378662250997</v>
      </c>
    </row>
    <row r="5795" spans="1:11" x14ac:dyDescent="0.25">
      <c r="A5795" t="s">
        <v>6394</v>
      </c>
      <c r="C5795" t="s">
        <v>6395</v>
      </c>
      <c r="D5795" t="s">
        <v>5</v>
      </c>
      <c r="E5795" t="s">
        <v>6</v>
      </c>
      <c r="F5795" t="s">
        <v>28</v>
      </c>
      <c r="G5795">
        <v>1</v>
      </c>
      <c r="H5795" s="2">
        <f>Tabelle13[[#This Row],[commits]]/Tabelle13[[#Totals],[commits]]</f>
        <v>4.6477904404246225E-6</v>
      </c>
      <c r="I5795" s="5">
        <f>Tabelle13[[#This Row],[%]]+I5794</f>
        <v>0.98488538548768567</v>
      </c>
      <c r="J5795" s="4">
        <f t="shared" si="213"/>
        <v>1.105583195135434E-4</v>
      </c>
      <c r="K5795" s="5">
        <f t="shared" si="214"/>
        <v>0.64046434494202353</v>
      </c>
    </row>
    <row r="5796" spans="1:11" x14ac:dyDescent="0.25">
      <c r="A5796" t="s">
        <v>6396</v>
      </c>
      <c r="C5796" t="s">
        <v>6397</v>
      </c>
      <c r="D5796" t="s">
        <v>5</v>
      </c>
      <c r="E5796" t="s">
        <v>6</v>
      </c>
      <c r="F5796" t="s">
        <v>28</v>
      </c>
      <c r="G5796">
        <v>1</v>
      </c>
      <c r="H5796" s="2">
        <f>Tabelle13[[#This Row],[commits]]/Tabelle13[[#Totals],[commits]]</f>
        <v>4.6477904404246225E-6</v>
      </c>
      <c r="I5796" s="5">
        <f>Tabelle13[[#This Row],[%]]+I5795</f>
        <v>0.98489003327812608</v>
      </c>
      <c r="J5796" s="4">
        <f t="shared" si="213"/>
        <v>1.105583195135434E-4</v>
      </c>
      <c r="K5796" s="5">
        <f t="shared" si="214"/>
        <v>0.6405749032615371</v>
      </c>
    </row>
    <row r="5797" spans="1:11" x14ac:dyDescent="0.25">
      <c r="A5797" t="s">
        <v>6398</v>
      </c>
      <c r="C5797" t="s">
        <v>6399</v>
      </c>
      <c r="D5797" t="s">
        <v>5</v>
      </c>
      <c r="E5797" t="s">
        <v>6</v>
      </c>
      <c r="F5797" t="s">
        <v>28</v>
      </c>
      <c r="G5797">
        <v>1</v>
      </c>
      <c r="H5797" s="2">
        <f>Tabelle13[[#This Row],[commits]]/Tabelle13[[#Totals],[commits]]</f>
        <v>4.6477904404246225E-6</v>
      </c>
      <c r="I5797" s="5">
        <f>Tabelle13[[#This Row],[%]]+I5796</f>
        <v>0.98489468106856648</v>
      </c>
      <c r="J5797" s="4">
        <f t="shared" si="213"/>
        <v>1.105583195135434E-4</v>
      </c>
      <c r="K5797" s="5">
        <f t="shared" si="214"/>
        <v>0.64068546158105066</v>
      </c>
    </row>
    <row r="5798" spans="1:11" x14ac:dyDescent="0.25">
      <c r="A5798" t="s">
        <v>6400</v>
      </c>
      <c r="C5798" t="s">
        <v>6401</v>
      </c>
      <c r="D5798" t="s">
        <v>5</v>
      </c>
      <c r="E5798" t="s">
        <v>6</v>
      </c>
      <c r="F5798" t="s">
        <v>28</v>
      </c>
      <c r="G5798">
        <v>1</v>
      </c>
      <c r="H5798" s="2">
        <f>Tabelle13[[#This Row],[commits]]/Tabelle13[[#Totals],[commits]]</f>
        <v>4.6477904404246225E-6</v>
      </c>
      <c r="I5798" s="5">
        <f>Tabelle13[[#This Row],[%]]+I5797</f>
        <v>0.98489932885900688</v>
      </c>
      <c r="J5798" s="4">
        <f t="shared" si="213"/>
        <v>1.105583195135434E-4</v>
      </c>
      <c r="K5798" s="5">
        <f t="shared" si="214"/>
        <v>0.64079601990056423</v>
      </c>
    </row>
    <row r="5799" spans="1:11" x14ac:dyDescent="0.25">
      <c r="A5799" t="s">
        <v>6402</v>
      </c>
      <c r="C5799" t="s">
        <v>6403</v>
      </c>
      <c r="D5799" t="s">
        <v>5</v>
      </c>
      <c r="E5799" t="s">
        <v>6</v>
      </c>
      <c r="F5799" t="s">
        <v>28</v>
      </c>
      <c r="G5799">
        <v>1</v>
      </c>
      <c r="H5799" s="2">
        <f>Tabelle13[[#This Row],[commits]]/Tabelle13[[#Totals],[commits]]</f>
        <v>4.6477904404246225E-6</v>
      </c>
      <c r="I5799" s="5">
        <f>Tabelle13[[#This Row],[%]]+I5798</f>
        <v>0.98490397664944729</v>
      </c>
      <c r="J5799" s="4">
        <f t="shared" si="213"/>
        <v>1.105583195135434E-4</v>
      </c>
      <c r="K5799" s="5">
        <f t="shared" si="214"/>
        <v>0.64090657822007779</v>
      </c>
    </row>
    <row r="5800" spans="1:11" x14ac:dyDescent="0.25">
      <c r="A5800" t="s">
        <v>6404</v>
      </c>
      <c r="C5800" t="s">
        <v>6405</v>
      </c>
      <c r="D5800" t="s">
        <v>5</v>
      </c>
      <c r="E5800" t="s">
        <v>6</v>
      </c>
      <c r="F5800" t="s">
        <v>28</v>
      </c>
      <c r="G5800">
        <v>1</v>
      </c>
      <c r="H5800" s="2">
        <f>Tabelle13[[#This Row],[commits]]/Tabelle13[[#Totals],[commits]]</f>
        <v>4.6477904404246225E-6</v>
      </c>
      <c r="I5800" s="5">
        <f>Tabelle13[[#This Row],[%]]+I5799</f>
        <v>0.98490862443988769</v>
      </c>
      <c r="J5800" s="4">
        <f t="shared" si="213"/>
        <v>1.105583195135434E-4</v>
      </c>
      <c r="K5800" s="5">
        <f t="shared" si="214"/>
        <v>0.64101713653959136</v>
      </c>
    </row>
    <row r="5801" spans="1:11" x14ac:dyDescent="0.25">
      <c r="A5801" t="s">
        <v>6406</v>
      </c>
      <c r="C5801" t="s">
        <v>6407</v>
      </c>
      <c r="D5801" t="s">
        <v>5</v>
      </c>
      <c r="E5801" t="s">
        <v>6</v>
      </c>
      <c r="F5801" t="s">
        <v>28</v>
      </c>
      <c r="G5801">
        <v>1</v>
      </c>
      <c r="H5801" s="2">
        <f>Tabelle13[[#This Row],[commits]]/Tabelle13[[#Totals],[commits]]</f>
        <v>4.6477904404246225E-6</v>
      </c>
      <c r="I5801" s="5">
        <f>Tabelle13[[#This Row],[%]]+I5800</f>
        <v>0.9849132722303281</v>
      </c>
      <c r="J5801" s="4">
        <f t="shared" si="213"/>
        <v>1.105583195135434E-4</v>
      </c>
      <c r="K5801" s="5">
        <f t="shared" si="214"/>
        <v>0.64112769485910492</v>
      </c>
    </row>
    <row r="5802" spans="1:11" x14ac:dyDescent="0.25">
      <c r="A5802" t="s">
        <v>6408</v>
      </c>
      <c r="C5802" t="s">
        <v>6407</v>
      </c>
      <c r="D5802" t="s">
        <v>5</v>
      </c>
      <c r="E5802" t="s">
        <v>6</v>
      </c>
      <c r="F5802" t="s">
        <v>28</v>
      </c>
      <c r="G5802">
        <v>1</v>
      </c>
      <c r="H5802" s="2">
        <f>Tabelle13[[#This Row],[commits]]/Tabelle13[[#Totals],[commits]]</f>
        <v>4.6477904404246225E-6</v>
      </c>
      <c r="I5802" s="5">
        <f>Tabelle13[[#This Row],[%]]+I5801</f>
        <v>0.9849179200207685</v>
      </c>
      <c r="J5802" s="4">
        <f t="shared" si="213"/>
        <v>1.105583195135434E-4</v>
      </c>
      <c r="K5802" s="5">
        <f t="shared" si="214"/>
        <v>0.64123825317861849</v>
      </c>
    </row>
    <row r="5803" spans="1:11" x14ac:dyDescent="0.25">
      <c r="A5803" t="s">
        <v>6409</v>
      </c>
      <c r="C5803" t="s">
        <v>6407</v>
      </c>
      <c r="D5803" t="s">
        <v>5</v>
      </c>
      <c r="E5803" t="s">
        <v>6</v>
      </c>
      <c r="F5803" t="s">
        <v>28</v>
      </c>
      <c r="G5803">
        <v>1</v>
      </c>
      <c r="H5803" s="2">
        <f>Tabelle13[[#This Row],[commits]]/Tabelle13[[#Totals],[commits]]</f>
        <v>4.6477904404246225E-6</v>
      </c>
      <c r="I5803" s="5">
        <f>Tabelle13[[#This Row],[%]]+I5802</f>
        <v>0.9849225678112089</v>
      </c>
      <c r="J5803" s="4">
        <f t="shared" si="213"/>
        <v>1.105583195135434E-4</v>
      </c>
      <c r="K5803" s="5">
        <f t="shared" si="214"/>
        <v>0.64134881149813205</v>
      </c>
    </row>
    <row r="5804" spans="1:11" x14ac:dyDescent="0.25">
      <c r="A5804" t="s">
        <v>6410</v>
      </c>
      <c r="C5804" t="s">
        <v>6411</v>
      </c>
      <c r="D5804" t="s">
        <v>5</v>
      </c>
      <c r="E5804" t="s">
        <v>6</v>
      </c>
      <c r="F5804" t="s">
        <v>28</v>
      </c>
      <c r="G5804">
        <v>1</v>
      </c>
      <c r="H5804" s="2">
        <f>Tabelle13[[#This Row],[commits]]/Tabelle13[[#Totals],[commits]]</f>
        <v>4.6477904404246225E-6</v>
      </c>
      <c r="I5804" s="5">
        <f>Tabelle13[[#This Row],[%]]+I5803</f>
        <v>0.98492721560164931</v>
      </c>
      <c r="J5804" s="4">
        <f t="shared" si="213"/>
        <v>1.105583195135434E-4</v>
      </c>
      <c r="K5804" s="5">
        <f t="shared" si="214"/>
        <v>0.64145936981764562</v>
      </c>
    </row>
    <row r="5805" spans="1:11" x14ac:dyDescent="0.25">
      <c r="A5805" t="s">
        <v>6412</v>
      </c>
      <c r="C5805" t="s">
        <v>6413</v>
      </c>
      <c r="D5805" t="s">
        <v>5</v>
      </c>
      <c r="E5805" t="s">
        <v>6</v>
      </c>
      <c r="F5805" t="s">
        <v>28</v>
      </c>
      <c r="G5805">
        <v>1</v>
      </c>
      <c r="H5805" s="2">
        <f>Tabelle13[[#This Row],[commits]]/Tabelle13[[#Totals],[commits]]</f>
        <v>4.6477904404246225E-6</v>
      </c>
      <c r="I5805" s="5">
        <f>Tabelle13[[#This Row],[%]]+I5804</f>
        <v>0.98493186339208971</v>
      </c>
      <c r="J5805" s="4">
        <f t="shared" si="213"/>
        <v>1.105583195135434E-4</v>
      </c>
      <c r="K5805" s="5">
        <f t="shared" si="214"/>
        <v>0.64156992813715918</v>
      </c>
    </row>
    <row r="5806" spans="1:11" x14ac:dyDescent="0.25">
      <c r="A5806" t="s">
        <v>6414</v>
      </c>
      <c r="C5806" t="s">
        <v>6415</v>
      </c>
      <c r="D5806" t="s">
        <v>5</v>
      </c>
      <c r="E5806" t="s">
        <v>6</v>
      </c>
      <c r="F5806" t="s">
        <v>28</v>
      </c>
      <c r="G5806">
        <v>1</v>
      </c>
      <c r="H5806" s="2">
        <f>Tabelle13[[#This Row],[commits]]/Tabelle13[[#Totals],[commits]]</f>
        <v>4.6477904404246225E-6</v>
      </c>
      <c r="I5806" s="5">
        <f>Tabelle13[[#This Row],[%]]+I5805</f>
        <v>0.98493651118253012</v>
      </c>
      <c r="J5806" s="4">
        <f t="shared" si="213"/>
        <v>1.105583195135434E-4</v>
      </c>
      <c r="K5806" s="5">
        <f t="shared" si="214"/>
        <v>0.64168048645667275</v>
      </c>
    </row>
    <row r="5807" spans="1:11" x14ac:dyDescent="0.25">
      <c r="A5807" t="s">
        <v>6416</v>
      </c>
      <c r="C5807" t="s">
        <v>6417</v>
      </c>
      <c r="D5807" t="s">
        <v>5</v>
      </c>
      <c r="E5807" t="s">
        <v>6</v>
      </c>
      <c r="F5807" t="s">
        <v>28</v>
      </c>
      <c r="G5807">
        <v>1</v>
      </c>
      <c r="H5807" s="2">
        <f>Tabelle13[[#This Row],[commits]]/Tabelle13[[#Totals],[commits]]</f>
        <v>4.6477904404246225E-6</v>
      </c>
      <c r="I5807" s="5">
        <f>Tabelle13[[#This Row],[%]]+I5806</f>
        <v>0.98494115897297052</v>
      </c>
      <c r="J5807" s="4">
        <f t="shared" si="213"/>
        <v>1.105583195135434E-4</v>
      </c>
      <c r="K5807" s="5">
        <f t="shared" si="214"/>
        <v>0.64179104477618631</v>
      </c>
    </row>
    <row r="5808" spans="1:11" x14ac:dyDescent="0.25">
      <c r="A5808" t="s">
        <v>6418</v>
      </c>
      <c r="C5808" t="s">
        <v>6419</v>
      </c>
      <c r="D5808" t="s">
        <v>5</v>
      </c>
      <c r="E5808" t="s">
        <v>6</v>
      </c>
      <c r="F5808" t="s">
        <v>28</v>
      </c>
      <c r="G5808">
        <v>1</v>
      </c>
      <c r="H5808" s="2">
        <f>Tabelle13[[#This Row],[commits]]/Tabelle13[[#Totals],[commits]]</f>
        <v>4.6477904404246225E-6</v>
      </c>
      <c r="I5808" s="5">
        <f>Tabelle13[[#This Row],[%]]+I5807</f>
        <v>0.98494580676341092</v>
      </c>
      <c r="J5808" s="4">
        <f t="shared" si="213"/>
        <v>1.105583195135434E-4</v>
      </c>
      <c r="K5808" s="5">
        <f t="shared" si="214"/>
        <v>0.64190160309569988</v>
      </c>
    </row>
    <row r="5809" spans="1:11" x14ac:dyDescent="0.25">
      <c r="A5809" t="s">
        <v>6420</v>
      </c>
      <c r="C5809" t="s">
        <v>6421</v>
      </c>
      <c r="D5809" t="s">
        <v>5</v>
      </c>
      <c r="E5809" t="s">
        <v>6</v>
      </c>
      <c r="F5809" t="s">
        <v>28</v>
      </c>
      <c r="G5809">
        <v>1</v>
      </c>
      <c r="H5809" s="2">
        <f>Tabelle13[[#This Row],[commits]]/Tabelle13[[#Totals],[commits]]</f>
        <v>4.6477904404246225E-6</v>
      </c>
      <c r="I5809" s="5">
        <f>Tabelle13[[#This Row],[%]]+I5808</f>
        <v>0.98495045455385133</v>
      </c>
      <c r="J5809" s="4">
        <f t="shared" si="213"/>
        <v>1.105583195135434E-4</v>
      </c>
      <c r="K5809" s="5">
        <f t="shared" si="214"/>
        <v>0.64201216141521344</v>
      </c>
    </row>
    <row r="5810" spans="1:11" x14ac:dyDescent="0.25">
      <c r="A5810" t="s">
        <v>6422</v>
      </c>
      <c r="C5810" t="s">
        <v>6423</v>
      </c>
      <c r="D5810" t="s">
        <v>5</v>
      </c>
      <c r="E5810" t="s">
        <v>6</v>
      </c>
      <c r="F5810" t="s">
        <v>28</v>
      </c>
      <c r="G5810">
        <v>1</v>
      </c>
      <c r="H5810" s="2">
        <f>Tabelle13[[#This Row],[commits]]/Tabelle13[[#Totals],[commits]]</f>
        <v>4.6477904404246225E-6</v>
      </c>
      <c r="I5810" s="5">
        <f>Tabelle13[[#This Row],[%]]+I5809</f>
        <v>0.98495510234429173</v>
      </c>
      <c r="J5810" s="4">
        <f t="shared" si="213"/>
        <v>1.105583195135434E-4</v>
      </c>
      <c r="K5810" s="5">
        <f t="shared" si="214"/>
        <v>0.64212271973472701</v>
      </c>
    </row>
    <row r="5811" spans="1:11" x14ac:dyDescent="0.25">
      <c r="A5811" t="s">
        <v>6424</v>
      </c>
      <c r="C5811" t="s">
        <v>6425</v>
      </c>
      <c r="D5811" t="s">
        <v>5</v>
      </c>
      <c r="E5811" t="s">
        <v>6</v>
      </c>
      <c r="F5811" t="s">
        <v>28</v>
      </c>
      <c r="G5811">
        <v>1</v>
      </c>
      <c r="H5811" s="2">
        <f>Tabelle13[[#This Row],[commits]]/Tabelle13[[#Totals],[commits]]</f>
        <v>4.6477904404246225E-6</v>
      </c>
      <c r="I5811" s="5">
        <f>Tabelle13[[#This Row],[%]]+I5810</f>
        <v>0.98495975013473214</v>
      </c>
      <c r="J5811" s="4">
        <f t="shared" si="213"/>
        <v>1.105583195135434E-4</v>
      </c>
      <c r="K5811" s="5">
        <f t="shared" si="214"/>
        <v>0.64223327805424058</v>
      </c>
    </row>
    <row r="5812" spans="1:11" x14ac:dyDescent="0.25">
      <c r="A5812" t="s">
        <v>6426</v>
      </c>
      <c r="C5812" t="s">
        <v>6427</v>
      </c>
      <c r="D5812" t="s">
        <v>5</v>
      </c>
      <c r="E5812" t="s">
        <v>6</v>
      </c>
      <c r="F5812" t="s">
        <v>28</v>
      </c>
      <c r="G5812">
        <v>1</v>
      </c>
      <c r="H5812" s="2">
        <f>Tabelle13[[#This Row],[commits]]/Tabelle13[[#Totals],[commits]]</f>
        <v>4.6477904404246225E-6</v>
      </c>
      <c r="I5812" s="5">
        <f>Tabelle13[[#This Row],[%]]+I5811</f>
        <v>0.98496439792517254</v>
      </c>
      <c r="J5812" s="4">
        <f t="shared" si="213"/>
        <v>1.105583195135434E-4</v>
      </c>
      <c r="K5812" s="5">
        <f t="shared" si="214"/>
        <v>0.64234383637375414</v>
      </c>
    </row>
    <row r="5813" spans="1:11" x14ac:dyDescent="0.25">
      <c r="A5813" t="s">
        <v>6428</v>
      </c>
      <c r="C5813" t="s">
        <v>6429</v>
      </c>
      <c r="D5813" t="s">
        <v>5</v>
      </c>
      <c r="E5813" t="s">
        <v>6</v>
      </c>
      <c r="F5813" t="s">
        <v>28</v>
      </c>
      <c r="G5813">
        <v>1</v>
      </c>
      <c r="H5813" s="2">
        <f>Tabelle13[[#This Row],[commits]]/Tabelle13[[#Totals],[commits]]</f>
        <v>4.6477904404246225E-6</v>
      </c>
      <c r="I5813" s="5">
        <f>Tabelle13[[#This Row],[%]]+I5812</f>
        <v>0.98496904571561295</v>
      </c>
      <c r="J5813" s="4">
        <f t="shared" si="213"/>
        <v>1.105583195135434E-4</v>
      </c>
      <c r="K5813" s="5">
        <f t="shared" si="214"/>
        <v>0.64245439469326771</v>
      </c>
    </row>
    <row r="5814" spans="1:11" x14ac:dyDescent="0.25">
      <c r="A5814" t="s">
        <v>6430</v>
      </c>
      <c r="C5814" t="s">
        <v>6431</v>
      </c>
      <c r="D5814" t="s">
        <v>5</v>
      </c>
      <c r="E5814" t="s">
        <v>6</v>
      </c>
      <c r="F5814" t="s">
        <v>28</v>
      </c>
      <c r="G5814">
        <v>1</v>
      </c>
      <c r="H5814" s="2">
        <f>Tabelle13[[#This Row],[commits]]/Tabelle13[[#Totals],[commits]]</f>
        <v>4.6477904404246225E-6</v>
      </c>
      <c r="I5814" s="5">
        <f>Tabelle13[[#This Row],[%]]+I5813</f>
        <v>0.98497369350605335</v>
      </c>
      <c r="J5814" s="4">
        <f t="shared" si="213"/>
        <v>1.105583195135434E-4</v>
      </c>
      <c r="K5814" s="5">
        <f t="shared" si="214"/>
        <v>0.64256495301278127</v>
      </c>
    </row>
    <row r="5815" spans="1:11" x14ac:dyDescent="0.25">
      <c r="A5815" t="s">
        <v>6432</v>
      </c>
      <c r="C5815" t="s">
        <v>6433</v>
      </c>
      <c r="D5815" t="s">
        <v>5</v>
      </c>
      <c r="E5815" t="s">
        <v>6</v>
      </c>
      <c r="F5815" t="s">
        <v>28</v>
      </c>
      <c r="G5815">
        <v>1</v>
      </c>
      <c r="H5815" s="2">
        <f>Tabelle13[[#This Row],[commits]]/Tabelle13[[#Totals],[commits]]</f>
        <v>4.6477904404246225E-6</v>
      </c>
      <c r="I5815" s="5">
        <f>Tabelle13[[#This Row],[%]]+I5814</f>
        <v>0.98497834129649375</v>
      </c>
      <c r="J5815" s="4">
        <f t="shared" si="213"/>
        <v>1.105583195135434E-4</v>
      </c>
      <c r="K5815" s="5">
        <f t="shared" si="214"/>
        <v>0.64267551133229484</v>
      </c>
    </row>
    <row r="5816" spans="1:11" x14ac:dyDescent="0.25">
      <c r="A5816" t="s">
        <v>6434</v>
      </c>
      <c r="C5816" t="s">
        <v>6435</v>
      </c>
      <c r="D5816" t="s">
        <v>5</v>
      </c>
      <c r="E5816" t="s">
        <v>6</v>
      </c>
      <c r="F5816" t="s">
        <v>28</v>
      </c>
      <c r="G5816">
        <v>1</v>
      </c>
      <c r="H5816" s="2">
        <f>Tabelle13[[#This Row],[commits]]/Tabelle13[[#Totals],[commits]]</f>
        <v>4.6477904404246225E-6</v>
      </c>
      <c r="I5816" s="5">
        <f>Tabelle13[[#This Row],[%]]+I5815</f>
        <v>0.98498298908693416</v>
      </c>
      <c r="J5816" s="4">
        <f t="shared" si="213"/>
        <v>1.105583195135434E-4</v>
      </c>
      <c r="K5816" s="5">
        <f t="shared" si="214"/>
        <v>0.6427860696518084</v>
      </c>
    </row>
    <row r="5817" spans="1:11" x14ac:dyDescent="0.25">
      <c r="A5817" t="s">
        <v>6436</v>
      </c>
      <c r="C5817" t="s">
        <v>6437</v>
      </c>
      <c r="D5817" t="s">
        <v>5</v>
      </c>
      <c r="E5817" t="s">
        <v>6</v>
      </c>
      <c r="F5817" t="s">
        <v>28</v>
      </c>
      <c r="G5817">
        <v>1</v>
      </c>
      <c r="H5817" s="2">
        <f>Tabelle13[[#This Row],[commits]]/Tabelle13[[#Totals],[commits]]</f>
        <v>4.6477904404246225E-6</v>
      </c>
      <c r="I5817" s="5">
        <f>Tabelle13[[#This Row],[%]]+I5816</f>
        <v>0.98498763687737456</v>
      </c>
      <c r="J5817" s="4">
        <f t="shared" si="213"/>
        <v>1.105583195135434E-4</v>
      </c>
      <c r="K5817" s="5">
        <f t="shared" si="214"/>
        <v>0.64289662797132197</v>
      </c>
    </row>
    <row r="5818" spans="1:11" x14ac:dyDescent="0.25">
      <c r="A5818" t="s">
        <v>6438</v>
      </c>
      <c r="C5818" t="s">
        <v>6439</v>
      </c>
      <c r="D5818" t="s">
        <v>5</v>
      </c>
      <c r="E5818" t="s">
        <v>6</v>
      </c>
      <c r="F5818" t="s">
        <v>28</v>
      </c>
      <c r="G5818">
        <v>1</v>
      </c>
      <c r="H5818" s="2">
        <f>Tabelle13[[#This Row],[commits]]/Tabelle13[[#Totals],[commits]]</f>
        <v>4.6477904404246225E-6</v>
      </c>
      <c r="I5818" s="5">
        <f>Tabelle13[[#This Row],[%]]+I5817</f>
        <v>0.98499228466781497</v>
      </c>
      <c r="J5818" s="4">
        <f t="shared" si="213"/>
        <v>1.105583195135434E-4</v>
      </c>
      <c r="K5818" s="5">
        <f t="shared" si="214"/>
        <v>0.64300718629083553</v>
      </c>
    </row>
    <row r="5819" spans="1:11" x14ac:dyDescent="0.25">
      <c r="A5819" t="s">
        <v>6440</v>
      </c>
      <c r="C5819" t="s">
        <v>6441</v>
      </c>
      <c r="D5819" t="s">
        <v>5</v>
      </c>
      <c r="E5819" t="s">
        <v>6</v>
      </c>
      <c r="F5819" t="s">
        <v>28</v>
      </c>
      <c r="G5819">
        <v>1</v>
      </c>
      <c r="H5819" s="2">
        <f>Tabelle13[[#This Row],[commits]]/Tabelle13[[#Totals],[commits]]</f>
        <v>4.6477904404246225E-6</v>
      </c>
      <c r="I5819" s="5">
        <f>Tabelle13[[#This Row],[%]]+I5818</f>
        <v>0.98499693245825537</v>
      </c>
      <c r="J5819" s="4">
        <f t="shared" si="213"/>
        <v>1.105583195135434E-4</v>
      </c>
      <c r="K5819" s="5">
        <f t="shared" si="214"/>
        <v>0.6431177446103491</v>
      </c>
    </row>
    <row r="5820" spans="1:11" x14ac:dyDescent="0.25">
      <c r="A5820" t="s">
        <v>6442</v>
      </c>
      <c r="C5820" t="s">
        <v>6443</v>
      </c>
      <c r="D5820" t="s">
        <v>5175</v>
      </c>
      <c r="E5820" t="s">
        <v>6</v>
      </c>
      <c r="F5820" t="s">
        <v>28</v>
      </c>
      <c r="G5820">
        <v>1</v>
      </c>
      <c r="H5820" s="2">
        <f>Tabelle13[[#This Row],[commits]]/Tabelle13[[#Totals],[commits]]</f>
        <v>4.6477904404246225E-6</v>
      </c>
      <c r="I5820" s="5">
        <f>Tabelle13[[#This Row],[%]]+I5819</f>
        <v>0.98500158024869577</v>
      </c>
      <c r="J5820" s="4">
        <f t="shared" si="213"/>
        <v>1.105583195135434E-4</v>
      </c>
      <c r="K5820" s="5">
        <f t="shared" si="214"/>
        <v>0.64322830292986266</v>
      </c>
    </row>
    <row r="5821" spans="1:11" x14ac:dyDescent="0.25">
      <c r="A5821" t="s">
        <v>6444</v>
      </c>
      <c r="C5821" t="s">
        <v>6445</v>
      </c>
      <c r="D5821" t="s">
        <v>5</v>
      </c>
      <c r="E5821" t="s">
        <v>6</v>
      </c>
      <c r="F5821" t="s">
        <v>28</v>
      </c>
      <c r="G5821">
        <v>1</v>
      </c>
      <c r="H5821" s="2">
        <f>Tabelle13[[#This Row],[commits]]/Tabelle13[[#Totals],[commits]]</f>
        <v>4.6477904404246225E-6</v>
      </c>
      <c r="I5821" s="5">
        <f>Tabelle13[[#This Row],[%]]+I5820</f>
        <v>0.98500622803913618</v>
      </c>
      <c r="J5821" s="4">
        <f t="shared" si="213"/>
        <v>1.105583195135434E-4</v>
      </c>
      <c r="K5821" s="5">
        <f t="shared" si="214"/>
        <v>0.64333886124937623</v>
      </c>
    </row>
    <row r="5822" spans="1:11" x14ac:dyDescent="0.25">
      <c r="A5822" t="s">
        <v>6446</v>
      </c>
      <c r="C5822" t="s">
        <v>6447</v>
      </c>
      <c r="D5822" t="s">
        <v>5</v>
      </c>
      <c r="E5822" t="s">
        <v>6</v>
      </c>
      <c r="F5822" t="s">
        <v>28</v>
      </c>
      <c r="G5822">
        <v>1</v>
      </c>
      <c r="H5822" s="2">
        <f>Tabelle13[[#This Row],[commits]]/Tabelle13[[#Totals],[commits]]</f>
        <v>4.6477904404246225E-6</v>
      </c>
      <c r="I5822" s="5">
        <f>Tabelle13[[#This Row],[%]]+I5821</f>
        <v>0.98501087582957658</v>
      </c>
      <c r="J5822" s="4">
        <f t="shared" si="213"/>
        <v>1.105583195135434E-4</v>
      </c>
      <c r="K5822" s="5">
        <f t="shared" si="214"/>
        <v>0.64344941956888979</v>
      </c>
    </row>
    <row r="5823" spans="1:11" x14ac:dyDescent="0.25">
      <c r="A5823" t="s">
        <v>6448</v>
      </c>
      <c r="C5823" t="s">
        <v>6449</v>
      </c>
      <c r="D5823" t="s">
        <v>5</v>
      </c>
      <c r="E5823" t="s">
        <v>6</v>
      </c>
      <c r="F5823" t="s">
        <v>28</v>
      </c>
      <c r="G5823">
        <v>1</v>
      </c>
      <c r="H5823" s="2">
        <f>Tabelle13[[#This Row],[commits]]/Tabelle13[[#Totals],[commits]]</f>
        <v>4.6477904404246225E-6</v>
      </c>
      <c r="I5823" s="5">
        <f>Tabelle13[[#This Row],[%]]+I5822</f>
        <v>0.98501552362001699</v>
      </c>
      <c r="J5823" s="4">
        <f t="shared" si="213"/>
        <v>1.105583195135434E-4</v>
      </c>
      <c r="K5823" s="5">
        <f t="shared" si="214"/>
        <v>0.64355997788840336</v>
      </c>
    </row>
    <row r="5824" spans="1:11" x14ac:dyDescent="0.25">
      <c r="A5824" t="s">
        <v>6450</v>
      </c>
      <c r="C5824" t="s">
        <v>6451</v>
      </c>
      <c r="D5824" t="s">
        <v>5</v>
      </c>
      <c r="E5824" t="s">
        <v>6</v>
      </c>
      <c r="F5824" t="s">
        <v>28</v>
      </c>
      <c r="G5824">
        <v>1</v>
      </c>
      <c r="H5824" s="2">
        <f>Tabelle13[[#This Row],[commits]]/Tabelle13[[#Totals],[commits]]</f>
        <v>4.6477904404246225E-6</v>
      </c>
      <c r="I5824" s="5">
        <f>Tabelle13[[#This Row],[%]]+I5823</f>
        <v>0.98502017141045739</v>
      </c>
      <c r="J5824" s="4">
        <f t="shared" si="213"/>
        <v>1.105583195135434E-4</v>
      </c>
      <c r="K5824" s="5">
        <f t="shared" si="214"/>
        <v>0.64367053620791692</v>
      </c>
    </row>
    <row r="5825" spans="1:11" x14ac:dyDescent="0.25">
      <c r="A5825" t="s">
        <v>6452</v>
      </c>
      <c r="C5825" t="s">
        <v>6453</v>
      </c>
      <c r="D5825" t="s">
        <v>5</v>
      </c>
      <c r="E5825" t="s">
        <v>6</v>
      </c>
      <c r="F5825" t="s">
        <v>28</v>
      </c>
      <c r="G5825">
        <v>1</v>
      </c>
      <c r="H5825" s="2">
        <f>Tabelle13[[#This Row],[commits]]/Tabelle13[[#Totals],[commits]]</f>
        <v>4.6477904404246225E-6</v>
      </c>
      <c r="I5825" s="5">
        <f>Tabelle13[[#This Row],[%]]+I5824</f>
        <v>0.98502481920089779</v>
      </c>
      <c r="J5825" s="4">
        <f t="shared" si="213"/>
        <v>1.105583195135434E-4</v>
      </c>
      <c r="K5825" s="5">
        <f t="shared" si="214"/>
        <v>0.64378109452743049</v>
      </c>
    </row>
    <row r="5826" spans="1:11" x14ac:dyDescent="0.25">
      <c r="A5826" t="s">
        <v>6454</v>
      </c>
      <c r="C5826" t="s">
        <v>6455</v>
      </c>
      <c r="D5826" t="s">
        <v>5</v>
      </c>
      <c r="E5826" t="s">
        <v>6</v>
      </c>
      <c r="F5826" t="s">
        <v>28</v>
      </c>
      <c r="G5826">
        <v>1</v>
      </c>
      <c r="H5826" s="2">
        <f>Tabelle13[[#This Row],[commits]]/Tabelle13[[#Totals],[commits]]</f>
        <v>4.6477904404246225E-6</v>
      </c>
      <c r="I5826" s="5">
        <f>Tabelle13[[#This Row],[%]]+I5825</f>
        <v>0.9850294669913382</v>
      </c>
      <c r="J5826" s="4">
        <f t="shared" si="213"/>
        <v>1.105583195135434E-4</v>
      </c>
      <c r="K5826" s="5">
        <f t="shared" si="214"/>
        <v>0.64389165284694405</v>
      </c>
    </row>
    <row r="5827" spans="1:11" x14ac:dyDescent="0.25">
      <c r="A5827" t="s">
        <v>6456</v>
      </c>
      <c r="C5827" t="s">
        <v>6457</v>
      </c>
      <c r="D5827" t="s">
        <v>5</v>
      </c>
      <c r="E5827" t="s">
        <v>6</v>
      </c>
      <c r="F5827" t="s">
        <v>28</v>
      </c>
      <c r="G5827">
        <v>1</v>
      </c>
      <c r="H5827" s="2">
        <f>Tabelle13[[#This Row],[commits]]/Tabelle13[[#Totals],[commits]]</f>
        <v>4.6477904404246225E-6</v>
      </c>
      <c r="I5827" s="5">
        <f>Tabelle13[[#This Row],[%]]+I5826</f>
        <v>0.9850341147817786</v>
      </c>
      <c r="J5827" s="4">
        <f t="shared" ref="J5827:J5890" si="215">1/9045</f>
        <v>1.105583195135434E-4</v>
      </c>
      <c r="K5827" s="5">
        <f t="shared" si="214"/>
        <v>0.64400221116645762</v>
      </c>
    </row>
    <row r="5828" spans="1:11" x14ac:dyDescent="0.25">
      <c r="A5828" t="s">
        <v>6458</v>
      </c>
      <c r="C5828" t="s">
        <v>6459</v>
      </c>
      <c r="D5828" t="s">
        <v>5175</v>
      </c>
      <c r="E5828" t="s">
        <v>6</v>
      </c>
      <c r="F5828" t="s">
        <v>28</v>
      </c>
      <c r="G5828">
        <v>1</v>
      </c>
      <c r="H5828" s="2">
        <f>Tabelle13[[#This Row],[commits]]/Tabelle13[[#Totals],[commits]]</f>
        <v>4.6477904404246225E-6</v>
      </c>
      <c r="I5828" s="5">
        <f>Tabelle13[[#This Row],[%]]+I5827</f>
        <v>0.98503876257221901</v>
      </c>
      <c r="J5828" s="4">
        <f t="shared" si="215"/>
        <v>1.105583195135434E-4</v>
      </c>
      <c r="K5828" s="5">
        <f t="shared" si="214"/>
        <v>0.64411276948597118</v>
      </c>
    </row>
    <row r="5829" spans="1:11" x14ac:dyDescent="0.25">
      <c r="A5829" t="s">
        <v>6460</v>
      </c>
      <c r="C5829" t="s">
        <v>6461</v>
      </c>
      <c r="D5829" t="s">
        <v>5</v>
      </c>
      <c r="E5829" t="s">
        <v>6</v>
      </c>
      <c r="F5829" t="s">
        <v>28</v>
      </c>
      <c r="G5829">
        <v>1</v>
      </c>
      <c r="H5829" s="2">
        <f>Tabelle13[[#This Row],[commits]]/Tabelle13[[#Totals],[commits]]</f>
        <v>4.6477904404246225E-6</v>
      </c>
      <c r="I5829" s="5">
        <f>Tabelle13[[#This Row],[%]]+I5828</f>
        <v>0.98504341036265941</v>
      </c>
      <c r="J5829" s="4">
        <f t="shared" si="215"/>
        <v>1.105583195135434E-4</v>
      </c>
      <c r="K5829" s="5">
        <f t="shared" si="214"/>
        <v>0.64422332780548475</v>
      </c>
    </row>
    <row r="5830" spans="1:11" x14ac:dyDescent="0.25">
      <c r="A5830" t="s">
        <v>6462</v>
      </c>
      <c r="C5830" t="s">
        <v>1152</v>
      </c>
      <c r="D5830" t="s">
        <v>5</v>
      </c>
      <c r="E5830" t="s">
        <v>6</v>
      </c>
      <c r="F5830" t="s">
        <v>28</v>
      </c>
      <c r="G5830">
        <v>1</v>
      </c>
      <c r="H5830" s="2">
        <f>Tabelle13[[#This Row],[commits]]/Tabelle13[[#Totals],[commits]]</f>
        <v>4.6477904404246225E-6</v>
      </c>
      <c r="I5830" s="5">
        <f>Tabelle13[[#This Row],[%]]+I5829</f>
        <v>0.98504805815309981</v>
      </c>
      <c r="J5830" s="4">
        <f t="shared" si="215"/>
        <v>1.105583195135434E-4</v>
      </c>
      <c r="K5830" s="5">
        <f t="shared" ref="K5830:K5893" si="216">J5830+K5829</f>
        <v>0.64433388612499831</v>
      </c>
    </row>
    <row r="5831" spans="1:11" x14ac:dyDescent="0.25">
      <c r="A5831" t="s">
        <v>6463</v>
      </c>
      <c r="C5831" t="s">
        <v>6464</v>
      </c>
      <c r="D5831" t="s">
        <v>5</v>
      </c>
      <c r="E5831" t="s">
        <v>6</v>
      </c>
      <c r="F5831" t="s">
        <v>28</v>
      </c>
      <c r="G5831">
        <v>1</v>
      </c>
      <c r="H5831" s="2">
        <f>Tabelle13[[#This Row],[commits]]/Tabelle13[[#Totals],[commits]]</f>
        <v>4.6477904404246225E-6</v>
      </c>
      <c r="I5831" s="5">
        <f>Tabelle13[[#This Row],[%]]+I5830</f>
        <v>0.98505270594354022</v>
      </c>
      <c r="J5831" s="4">
        <f t="shared" si="215"/>
        <v>1.105583195135434E-4</v>
      </c>
      <c r="K5831" s="5">
        <f t="shared" si="216"/>
        <v>0.64444444444451188</v>
      </c>
    </row>
    <row r="5832" spans="1:11" x14ac:dyDescent="0.25">
      <c r="A5832" t="s">
        <v>6465</v>
      </c>
      <c r="C5832" t="s">
        <v>6466</v>
      </c>
      <c r="D5832" t="s">
        <v>5</v>
      </c>
      <c r="E5832" t="s">
        <v>6</v>
      </c>
      <c r="F5832" t="s">
        <v>28</v>
      </c>
      <c r="G5832">
        <v>1</v>
      </c>
      <c r="H5832" s="2">
        <f>Tabelle13[[#This Row],[commits]]/Tabelle13[[#Totals],[commits]]</f>
        <v>4.6477904404246225E-6</v>
      </c>
      <c r="I5832" s="5">
        <f>Tabelle13[[#This Row],[%]]+I5831</f>
        <v>0.98505735373398062</v>
      </c>
      <c r="J5832" s="4">
        <f t="shared" si="215"/>
        <v>1.105583195135434E-4</v>
      </c>
      <c r="K5832" s="5">
        <f t="shared" si="216"/>
        <v>0.64455500276402544</v>
      </c>
    </row>
    <row r="5833" spans="1:11" x14ac:dyDescent="0.25">
      <c r="A5833" t="s">
        <v>6467</v>
      </c>
      <c r="C5833" t="s">
        <v>1873</v>
      </c>
      <c r="D5833" t="s">
        <v>5</v>
      </c>
      <c r="E5833" t="s">
        <v>6</v>
      </c>
      <c r="F5833" t="s">
        <v>28</v>
      </c>
      <c r="G5833">
        <v>1</v>
      </c>
      <c r="H5833" s="2">
        <f>Tabelle13[[#This Row],[commits]]/Tabelle13[[#Totals],[commits]]</f>
        <v>4.6477904404246225E-6</v>
      </c>
      <c r="I5833" s="5">
        <f>Tabelle13[[#This Row],[%]]+I5832</f>
        <v>0.98506200152442103</v>
      </c>
      <c r="J5833" s="4">
        <f t="shared" si="215"/>
        <v>1.105583195135434E-4</v>
      </c>
      <c r="K5833" s="5">
        <f t="shared" si="216"/>
        <v>0.64466556108353901</v>
      </c>
    </row>
    <row r="5834" spans="1:11" x14ac:dyDescent="0.25">
      <c r="A5834" t="s">
        <v>6468</v>
      </c>
      <c r="C5834" t="s">
        <v>6469</v>
      </c>
      <c r="D5834" t="s">
        <v>5</v>
      </c>
      <c r="E5834" t="s">
        <v>6</v>
      </c>
      <c r="F5834" t="s">
        <v>28</v>
      </c>
      <c r="G5834">
        <v>1</v>
      </c>
      <c r="H5834" s="2">
        <f>Tabelle13[[#This Row],[commits]]/Tabelle13[[#Totals],[commits]]</f>
        <v>4.6477904404246225E-6</v>
      </c>
      <c r="I5834" s="5">
        <f>Tabelle13[[#This Row],[%]]+I5833</f>
        <v>0.98506664931486143</v>
      </c>
      <c r="J5834" s="4">
        <f t="shared" si="215"/>
        <v>1.105583195135434E-4</v>
      </c>
      <c r="K5834" s="5">
        <f t="shared" si="216"/>
        <v>0.64477611940305257</v>
      </c>
    </row>
    <row r="5835" spans="1:11" x14ac:dyDescent="0.25">
      <c r="A5835" t="s">
        <v>6470</v>
      </c>
      <c r="C5835" t="s">
        <v>6471</v>
      </c>
      <c r="D5835" t="s">
        <v>5</v>
      </c>
      <c r="E5835" t="s">
        <v>6</v>
      </c>
      <c r="F5835" t="s">
        <v>28</v>
      </c>
      <c r="G5835">
        <v>1</v>
      </c>
      <c r="H5835" s="2">
        <f>Tabelle13[[#This Row],[commits]]/Tabelle13[[#Totals],[commits]]</f>
        <v>4.6477904404246225E-6</v>
      </c>
      <c r="I5835" s="5">
        <f>Tabelle13[[#This Row],[%]]+I5834</f>
        <v>0.98507129710530184</v>
      </c>
      <c r="J5835" s="4">
        <f t="shared" si="215"/>
        <v>1.105583195135434E-4</v>
      </c>
      <c r="K5835" s="5">
        <f t="shared" si="216"/>
        <v>0.64488667772256614</v>
      </c>
    </row>
    <row r="5836" spans="1:11" x14ac:dyDescent="0.25">
      <c r="A5836" t="s">
        <v>6472</v>
      </c>
      <c r="C5836" t="s">
        <v>6473</v>
      </c>
      <c r="D5836" t="s">
        <v>5</v>
      </c>
      <c r="E5836" t="s">
        <v>6</v>
      </c>
      <c r="F5836" t="s">
        <v>28</v>
      </c>
      <c r="G5836">
        <v>1</v>
      </c>
      <c r="H5836" s="2">
        <f>Tabelle13[[#This Row],[commits]]/Tabelle13[[#Totals],[commits]]</f>
        <v>4.6477904404246225E-6</v>
      </c>
      <c r="I5836" s="5">
        <f>Tabelle13[[#This Row],[%]]+I5835</f>
        <v>0.98507594489574224</v>
      </c>
      <c r="J5836" s="4">
        <f t="shared" si="215"/>
        <v>1.105583195135434E-4</v>
      </c>
      <c r="K5836" s="5">
        <f t="shared" si="216"/>
        <v>0.6449972360420797</v>
      </c>
    </row>
    <row r="5837" spans="1:11" x14ac:dyDescent="0.25">
      <c r="A5837" t="s">
        <v>6474</v>
      </c>
      <c r="C5837" t="s">
        <v>6475</v>
      </c>
      <c r="D5837" t="s">
        <v>5</v>
      </c>
      <c r="E5837" t="s">
        <v>6</v>
      </c>
      <c r="F5837" t="s">
        <v>28</v>
      </c>
      <c r="G5837">
        <v>1</v>
      </c>
      <c r="H5837" s="2">
        <f>Tabelle13[[#This Row],[commits]]/Tabelle13[[#Totals],[commits]]</f>
        <v>4.6477904404246225E-6</v>
      </c>
      <c r="I5837" s="5">
        <f>Tabelle13[[#This Row],[%]]+I5836</f>
        <v>0.98508059268618264</v>
      </c>
      <c r="J5837" s="4">
        <f t="shared" si="215"/>
        <v>1.105583195135434E-4</v>
      </c>
      <c r="K5837" s="5">
        <f t="shared" si="216"/>
        <v>0.64510779436159327</v>
      </c>
    </row>
    <row r="5838" spans="1:11" x14ac:dyDescent="0.25">
      <c r="A5838" t="s">
        <v>6476</v>
      </c>
      <c r="C5838" t="s">
        <v>6477</v>
      </c>
      <c r="D5838" t="s">
        <v>5</v>
      </c>
      <c r="E5838" t="s">
        <v>6</v>
      </c>
      <c r="F5838" t="s">
        <v>28</v>
      </c>
      <c r="G5838">
        <v>1</v>
      </c>
      <c r="H5838" s="2">
        <f>Tabelle13[[#This Row],[commits]]/Tabelle13[[#Totals],[commits]]</f>
        <v>4.6477904404246225E-6</v>
      </c>
      <c r="I5838" s="5">
        <f>Tabelle13[[#This Row],[%]]+I5837</f>
        <v>0.98508524047662305</v>
      </c>
      <c r="J5838" s="4">
        <f t="shared" si="215"/>
        <v>1.105583195135434E-4</v>
      </c>
      <c r="K5838" s="5">
        <f t="shared" si="216"/>
        <v>0.64521835268110683</v>
      </c>
    </row>
    <row r="5839" spans="1:11" x14ac:dyDescent="0.25">
      <c r="A5839" t="s">
        <v>6478</v>
      </c>
      <c r="C5839" t="s">
        <v>6479</v>
      </c>
      <c r="D5839" t="s">
        <v>5</v>
      </c>
      <c r="E5839" t="s">
        <v>6</v>
      </c>
      <c r="F5839" t="s">
        <v>28</v>
      </c>
      <c r="G5839">
        <v>1</v>
      </c>
      <c r="H5839" s="2">
        <f>Tabelle13[[#This Row],[commits]]/Tabelle13[[#Totals],[commits]]</f>
        <v>4.6477904404246225E-6</v>
      </c>
      <c r="I5839" s="5">
        <f>Tabelle13[[#This Row],[%]]+I5838</f>
        <v>0.98508988826706345</v>
      </c>
      <c r="J5839" s="4">
        <f t="shared" si="215"/>
        <v>1.105583195135434E-4</v>
      </c>
      <c r="K5839" s="5">
        <f t="shared" si="216"/>
        <v>0.6453289110006204</v>
      </c>
    </row>
    <row r="5840" spans="1:11" x14ac:dyDescent="0.25">
      <c r="A5840" t="s">
        <v>6480</v>
      </c>
      <c r="C5840" t="s">
        <v>6481</v>
      </c>
      <c r="D5840" t="s">
        <v>5</v>
      </c>
      <c r="E5840" t="s">
        <v>6</v>
      </c>
      <c r="F5840" t="s">
        <v>28</v>
      </c>
      <c r="G5840">
        <v>1</v>
      </c>
      <c r="H5840" s="2">
        <f>Tabelle13[[#This Row],[commits]]/Tabelle13[[#Totals],[commits]]</f>
        <v>4.6477904404246225E-6</v>
      </c>
      <c r="I5840" s="5">
        <f>Tabelle13[[#This Row],[%]]+I5839</f>
        <v>0.98509453605750386</v>
      </c>
      <c r="J5840" s="4">
        <f t="shared" si="215"/>
        <v>1.105583195135434E-4</v>
      </c>
      <c r="K5840" s="5">
        <f t="shared" si="216"/>
        <v>0.64543946932013396</v>
      </c>
    </row>
    <row r="5841" spans="1:11" x14ac:dyDescent="0.25">
      <c r="A5841" t="s">
        <v>6482</v>
      </c>
      <c r="C5841" t="s">
        <v>6483</v>
      </c>
      <c r="D5841" t="s">
        <v>5</v>
      </c>
      <c r="E5841" t="s">
        <v>6</v>
      </c>
      <c r="F5841" t="s">
        <v>28</v>
      </c>
      <c r="G5841">
        <v>1</v>
      </c>
      <c r="H5841" s="2">
        <f>Tabelle13[[#This Row],[commits]]/Tabelle13[[#Totals],[commits]]</f>
        <v>4.6477904404246225E-6</v>
      </c>
      <c r="I5841" s="5">
        <f>Tabelle13[[#This Row],[%]]+I5840</f>
        <v>0.98509918384794426</v>
      </c>
      <c r="J5841" s="4">
        <f t="shared" si="215"/>
        <v>1.105583195135434E-4</v>
      </c>
      <c r="K5841" s="5">
        <f t="shared" si="216"/>
        <v>0.64555002763964753</v>
      </c>
    </row>
    <row r="5842" spans="1:11" x14ac:dyDescent="0.25">
      <c r="A5842" t="s">
        <v>6484</v>
      </c>
      <c r="C5842" t="s">
        <v>6485</v>
      </c>
      <c r="D5842" t="s">
        <v>5</v>
      </c>
      <c r="E5842" t="s">
        <v>6</v>
      </c>
      <c r="F5842" t="s">
        <v>28</v>
      </c>
      <c r="G5842">
        <v>1</v>
      </c>
      <c r="H5842" s="2">
        <f>Tabelle13[[#This Row],[commits]]/Tabelle13[[#Totals],[commits]]</f>
        <v>4.6477904404246225E-6</v>
      </c>
      <c r="I5842" s="5">
        <f>Tabelle13[[#This Row],[%]]+I5841</f>
        <v>0.98510383163838466</v>
      </c>
      <c r="J5842" s="4">
        <f t="shared" si="215"/>
        <v>1.105583195135434E-4</v>
      </c>
      <c r="K5842" s="5">
        <f t="shared" si="216"/>
        <v>0.64566058595916109</v>
      </c>
    </row>
    <row r="5843" spans="1:11" x14ac:dyDescent="0.25">
      <c r="A5843" t="s">
        <v>6486</v>
      </c>
      <c r="C5843" t="s">
        <v>6487</v>
      </c>
      <c r="D5843" t="s">
        <v>5</v>
      </c>
      <c r="E5843" t="s">
        <v>6</v>
      </c>
      <c r="F5843" t="s">
        <v>28</v>
      </c>
      <c r="G5843">
        <v>1</v>
      </c>
      <c r="H5843" s="2">
        <f>Tabelle13[[#This Row],[commits]]/Tabelle13[[#Totals],[commits]]</f>
        <v>4.6477904404246225E-6</v>
      </c>
      <c r="I5843" s="5">
        <f>Tabelle13[[#This Row],[%]]+I5842</f>
        <v>0.98510847942882507</v>
      </c>
      <c r="J5843" s="4">
        <f t="shared" si="215"/>
        <v>1.105583195135434E-4</v>
      </c>
      <c r="K5843" s="5">
        <f t="shared" si="216"/>
        <v>0.64577114427867466</v>
      </c>
    </row>
    <row r="5844" spans="1:11" x14ac:dyDescent="0.25">
      <c r="A5844" t="s">
        <v>6488</v>
      </c>
      <c r="C5844" t="s">
        <v>6489</v>
      </c>
      <c r="D5844" t="s">
        <v>5</v>
      </c>
      <c r="E5844" t="s">
        <v>6</v>
      </c>
      <c r="F5844" t="s">
        <v>28</v>
      </c>
      <c r="G5844">
        <v>1</v>
      </c>
      <c r="H5844" s="2">
        <f>Tabelle13[[#This Row],[commits]]/Tabelle13[[#Totals],[commits]]</f>
        <v>4.6477904404246225E-6</v>
      </c>
      <c r="I5844" s="5">
        <f>Tabelle13[[#This Row],[%]]+I5843</f>
        <v>0.98511312721926547</v>
      </c>
      <c r="J5844" s="4">
        <f t="shared" si="215"/>
        <v>1.105583195135434E-4</v>
      </c>
      <c r="K5844" s="5">
        <f t="shared" si="216"/>
        <v>0.64588170259818822</v>
      </c>
    </row>
    <row r="5845" spans="1:11" x14ac:dyDescent="0.25">
      <c r="A5845" t="s">
        <v>6490</v>
      </c>
      <c r="C5845" t="s">
        <v>6491</v>
      </c>
      <c r="D5845" t="s">
        <v>5</v>
      </c>
      <c r="E5845" t="s">
        <v>6</v>
      </c>
      <c r="F5845" t="s">
        <v>28</v>
      </c>
      <c r="G5845">
        <v>1</v>
      </c>
      <c r="H5845" s="2">
        <f>Tabelle13[[#This Row],[commits]]/Tabelle13[[#Totals],[commits]]</f>
        <v>4.6477904404246225E-6</v>
      </c>
      <c r="I5845" s="5">
        <f>Tabelle13[[#This Row],[%]]+I5844</f>
        <v>0.98511777500970588</v>
      </c>
      <c r="J5845" s="4">
        <f t="shared" si="215"/>
        <v>1.105583195135434E-4</v>
      </c>
      <c r="K5845" s="5">
        <f t="shared" si="216"/>
        <v>0.64599226091770179</v>
      </c>
    </row>
    <row r="5846" spans="1:11" x14ac:dyDescent="0.25">
      <c r="A5846" t="s">
        <v>6492</v>
      </c>
      <c r="C5846" t="s">
        <v>6493</v>
      </c>
      <c r="D5846" t="s">
        <v>5</v>
      </c>
      <c r="E5846" t="s">
        <v>6</v>
      </c>
      <c r="F5846" t="s">
        <v>28</v>
      </c>
      <c r="G5846">
        <v>1</v>
      </c>
      <c r="H5846" s="2">
        <f>Tabelle13[[#This Row],[commits]]/Tabelle13[[#Totals],[commits]]</f>
        <v>4.6477904404246225E-6</v>
      </c>
      <c r="I5846" s="5">
        <f>Tabelle13[[#This Row],[%]]+I5845</f>
        <v>0.98512242280014628</v>
      </c>
      <c r="J5846" s="4">
        <f t="shared" si="215"/>
        <v>1.105583195135434E-4</v>
      </c>
      <c r="K5846" s="5">
        <f t="shared" si="216"/>
        <v>0.64610281923721535</v>
      </c>
    </row>
    <row r="5847" spans="1:11" x14ac:dyDescent="0.25">
      <c r="A5847" t="s">
        <v>6494</v>
      </c>
      <c r="C5847" t="s">
        <v>6495</v>
      </c>
      <c r="D5847" t="s">
        <v>5</v>
      </c>
      <c r="E5847" t="s">
        <v>6</v>
      </c>
      <c r="F5847" t="s">
        <v>28</v>
      </c>
      <c r="G5847">
        <v>1</v>
      </c>
      <c r="H5847" s="2">
        <f>Tabelle13[[#This Row],[commits]]/Tabelle13[[#Totals],[commits]]</f>
        <v>4.6477904404246225E-6</v>
      </c>
      <c r="I5847" s="5">
        <f>Tabelle13[[#This Row],[%]]+I5846</f>
        <v>0.98512707059058668</v>
      </c>
      <c r="J5847" s="4">
        <f t="shared" si="215"/>
        <v>1.105583195135434E-4</v>
      </c>
      <c r="K5847" s="5">
        <f t="shared" si="216"/>
        <v>0.64621337755672892</v>
      </c>
    </row>
    <row r="5848" spans="1:11" x14ac:dyDescent="0.25">
      <c r="A5848" t="s">
        <v>6496</v>
      </c>
      <c r="C5848" t="s">
        <v>6497</v>
      </c>
      <c r="D5848" t="s">
        <v>5</v>
      </c>
      <c r="E5848" t="s">
        <v>6</v>
      </c>
      <c r="F5848" t="s">
        <v>28</v>
      </c>
      <c r="G5848">
        <v>1</v>
      </c>
      <c r="H5848" s="2">
        <f>Tabelle13[[#This Row],[commits]]/Tabelle13[[#Totals],[commits]]</f>
        <v>4.6477904404246225E-6</v>
      </c>
      <c r="I5848" s="5">
        <f>Tabelle13[[#This Row],[%]]+I5847</f>
        <v>0.98513171838102709</v>
      </c>
      <c r="J5848" s="4">
        <f t="shared" si="215"/>
        <v>1.105583195135434E-4</v>
      </c>
      <c r="K5848" s="5">
        <f t="shared" si="216"/>
        <v>0.64632393587624248</v>
      </c>
    </row>
    <row r="5849" spans="1:11" x14ac:dyDescent="0.25">
      <c r="A5849" t="s">
        <v>6498</v>
      </c>
      <c r="C5849" t="s">
        <v>6499</v>
      </c>
      <c r="D5849" t="s">
        <v>5</v>
      </c>
      <c r="E5849" t="s">
        <v>6</v>
      </c>
      <c r="F5849" t="s">
        <v>28</v>
      </c>
      <c r="G5849">
        <v>1</v>
      </c>
      <c r="H5849" s="2">
        <f>Tabelle13[[#This Row],[commits]]/Tabelle13[[#Totals],[commits]]</f>
        <v>4.6477904404246225E-6</v>
      </c>
      <c r="I5849" s="5">
        <f>Tabelle13[[#This Row],[%]]+I5848</f>
        <v>0.98513636617146749</v>
      </c>
      <c r="J5849" s="4">
        <f t="shared" si="215"/>
        <v>1.105583195135434E-4</v>
      </c>
      <c r="K5849" s="5">
        <f t="shared" si="216"/>
        <v>0.64643449419575605</v>
      </c>
    </row>
    <row r="5850" spans="1:11" x14ac:dyDescent="0.25">
      <c r="A5850" t="s">
        <v>6500</v>
      </c>
      <c r="C5850" t="s">
        <v>6501</v>
      </c>
      <c r="D5850" t="s">
        <v>5</v>
      </c>
      <c r="E5850" t="s">
        <v>6</v>
      </c>
      <c r="F5850" t="s">
        <v>28</v>
      </c>
      <c r="G5850">
        <v>1</v>
      </c>
      <c r="H5850" s="2">
        <f>Tabelle13[[#This Row],[commits]]/Tabelle13[[#Totals],[commits]]</f>
        <v>4.6477904404246225E-6</v>
      </c>
      <c r="I5850" s="5">
        <f>Tabelle13[[#This Row],[%]]+I5849</f>
        <v>0.9851410139619079</v>
      </c>
      <c r="J5850" s="4">
        <f t="shared" si="215"/>
        <v>1.105583195135434E-4</v>
      </c>
      <c r="K5850" s="5">
        <f t="shared" si="216"/>
        <v>0.64654505251526961</v>
      </c>
    </row>
    <row r="5851" spans="1:11" x14ac:dyDescent="0.25">
      <c r="A5851" t="s">
        <v>6502</v>
      </c>
      <c r="C5851" t="s">
        <v>6503</v>
      </c>
      <c r="D5851" t="s">
        <v>5</v>
      </c>
      <c r="E5851" t="s">
        <v>6</v>
      </c>
      <c r="F5851" t="s">
        <v>28</v>
      </c>
      <c r="G5851">
        <v>1</v>
      </c>
      <c r="H5851" s="2">
        <f>Tabelle13[[#This Row],[commits]]/Tabelle13[[#Totals],[commits]]</f>
        <v>4.6477904404246225E-6</v>
      </c>
      <c r="I5851" s="5">
        <f>Tabelle13[[#This Row],[%]]+I5850</f>
        <v>0.9851456617523483</v>
      </c>
      <c r="J5851" s="4">
        <f t="shared" si="215"/>
        <v>1.105583195135434E-4</v>
      </c>
      <c r="K5851" s="5">
        <f t="shared" si="216"/>
        <v>0.64665561083478318</v>
      </c>
    </row>
    <row r="5852" spans="1:11" x14ac:dyDescent="0.25">
      <c r="A5852" t="s">
        <v>6504</v>
      </c>
      <c r="C5852" t="s">
        <v>6505</v>
      </c>
      <c r="D5852" t="s">
        <v>5</v>
      </c>
      <c r="E5852" t="s">
        <v>6</v>
      </c>
      <c r="F5852" t="s">
        <v>28</v>
      </c>
      <c r="G5852">
        <v>1</v>
      </c>
      <c r="H5852" s="2">
        <f>Tabelle13[[#This Row],[commits]]/Tabelle13[[#Totals],[commits]]</f>
        <v>4.6477904404246225E-6</v>
      </c>
      <c r="I5852" s="5">
        <f>Tabelle13[[#This Row],[%]]+I5851</f>
        <v>0.9851503095427887</v>
      </c>
      <c r="J5852" s="4">
        <f t="shared" si="215"/>
        <v>1.105583195135434E-4</v>
      </c>
      <c r="K5852" s="5">
        <f t="shared" si="216"/>
        <v>0.64676616915429674</v>
      </c>
    </row>
    <row r="5853" spans="1:11" x14ac:dyDescent="0.25">
      <c r="A5853" t="s">
        <v>6506</v>
      </c>
      <c r="C5853" t="s">
        <v>6507</v>
      </c>
      <c r="D5853" t="s">
        <v>5</v>
      </c>
      <c r="E5853" t="s">
        <v>6</v>
      </c>
      <c r="F5853" t="s">
        <v>28</v>
      </c>
      <c r="G5853">
        <v>1</v>
      </c>
      <c r="H5853" s="2">
        <f>Tabelle13[[#This Row],[commits]]/Tabelle13[[#Totals],[commits]]</f>
        <v>4.6477904404246225E-6</v>
      </c>
      <c r="I5853" s="5">
        <f>Tabelle13[[#This Row],[%]]+I5852</f>
        <v>0.98515495733322911</v>
      </c>
      <c r="J5853" s="4">
        <f t="shared" si="215"/>
        <v>1.105583195135434E-4</v>
      </c>
      <c r="K5853" s="5">
        <f t="shared" si="216"/>
        <v>0.64687672747381031</v>
      </c>
    </row>
    <row r="5854" spans="1:11" x14ac:dyDescent="0.25">
      <c r="A5854" t="s">
        <v>6508</v>
      </c>
      <c r="C5854" t="s">
        <v>6509</v>
      </c>
      <c r="D5854" t="s">
        <v>5</v>
      </c>
      <c r="E5854" t="s">
        <v>6</v>
      </c>
      <c r="F5854" t="s">
        <v>28</v>
      </c>
      <c r="G5854">
        <v>1</v>
      </c>
      <c r="H5854" s="2">
        <f>Tabelle13[[#This Row],[commits]]/Tabelle13[[#Totals],[commits]]</f>
        <v>4.6477904404246225E-6</v>
      </c>
      <c r="I5854" s="5">
        <f>Tabelle13[[#This Row],[%]]+I5853</f>
        <v>0.98515960512366951</v>
      </c>
      <c r="J5854" s="4">
        <f t="shared" si="215"/>
        <v>1.105583195135434E-4</v>
      </c>
      <c r="K5854" s="5">
        <f t="shared" si="216"/>
        <v>0.64698728579332387</v>
      </c>
    </row>
    <row r="5855" spans="1:11" x14ac:dyDescent="0.25">
      <c r="A5855" t="s">
        <v>6510</v>
      </c>
      <c r="C5855" t="s">
        <v>6511</v>
      </c>
      <c r="D5855" t="s">
        <v>5</v>
      </c>
      <c r="E5855" t="s">
        <v>6</v>
      </c>
      <c r="F5855" t="s">
        <v>28</v>
      </c>
      <c r="G5855">
        <v>1</v>
      </c>
      <c r="H5855" s="2">
        <f>Tabelle13[[#This Row],[commits]]/Tabelle13[[#Totals],[commits]]</f>
        <v>4.6477904404246225E-6</v>
      </c>
      <c r="I5855" s="5">
        <f>Tabelle13[[#This Row],[%]]+I5854</f>
        <v>0.98516425291410992</v>
      </c>
      <c r="J5855" s="4">
        <f t="shared" si="215"/>
        <v>1.105583195135434E-4</v>
      </c>
      <c r="K5855" s="5">
        <f t="shared" si="216"/>
        <v>0.64709784411283744</v>
      </c>
    </row>
    <row r="5856" spans="1:11" x14ac:dyDescent="0.25">
      <c r="A5856" t="s">
        <v>6512</v>
      </c>
      <c r="C5856" t="s">
        <v>6513</v>
      </c>
      <c r="D5856" t="s">
        <v>5</v>
      </c>
      <c r="E5856" t="s">
        <v>6</v>
      </c>
      <c r="F5856" t="s">
        <v>28</v>
      </c>
      <c r="G5856">
        <v>1</v>
      </c>
      <c r="H5856" s="2">
        <f>Tabelle13[[#This Row],[commits]]/Tabelle13[[#Totals],[commits]]</f>
        <v>4.6477904404246225E-6</v>
      </c>
      <c r="I5856" s="5">
        <f>Tabelle13[[#This Row],[%]]+I5855</f>
        <v>0.98516890070455032</v>
      </c>
      <c r="J5856" s="4">
        <f t="shared" si="215"/>
        <v>1.105583195135434E-4</v>
      </c>
      <c r="K5856" s="5">
        <f t="shared" si="216"/>
        <v>0.647208402432351</v>
      </c>
    </row>
    <row r="5857" spans="1:11" x14ac:dyDescent="0.25">
      <c r="A5857" t="s">
        <v>6514</v>
      </c>
      <c r="C5857" t="s">
        <v>6515</v>
      </c>
      <c r="D5857" t="s">
        <v>5</v>
      </c>
      <c r="E5857" t="s">
        <v>6</v>
      </c>
      <c r="F5857" t="s">
        <v>28</v>
      </c>
      <c r="G5857">
        <v>1</v>
      </c>
      <c r="H5857" s="2">
        <f>Tabelle13[[#This Row],[commits]]/Tabelle13[[#Totals],[commits]]</f>
        <v>4.6477904404246225E-6</v>
      </c>
      <c r="I5857" s="5">
        <f>Tabelle13[[#This Row],[%]]+I5856</f>
        <v>0.98517354849499073</v>
      </c>
      <c r="J5857" s="4">
        <f t="shared" si="215"/>
        <v>1.105583195135434E-4</v>
      </c>
      <c r="K5857" s="5">
        <f t="shared" si="216"/>
        <v>0.64731896075186457</v>
      </c>
    </row>
    <row r="5858" spans="1:11" x14ac:dyDescent="0.25">
      <c r="A5858" t="s">
        <v>6516</v>
      </c>
      <c r="C5858" t="s">
        <v>6517</v>
      </c>
      <c r="D5858" t="s">
        <v>6518</v>
      </c>
      <c r="E5858" t="s">
        <v>6</v>
      </c>
      <c r="F5858" t="s">
        <v>28</v>
      </c>
      <c r="G5858">
        <v>1</v>
      </c>
      <c r="H5858" s="2">
        <f>Tabelle13[[#This Row],[commits]]/Tabelle13[[#Totals],[commits]]</f>
        <v>4.6477904404246225E-6</v>
      </c>
      <c r="I5858" s="5">
        <f>Tabelle13[[#This Row],[%]]+I5857</f>
        <v>0.98517819628543113</v>
      </c>
      <c r="J5858" s="4">
        <f t="shared" si="215"/>
        <v>1.105583195135434E-4</v>
      </c>
      <c r="K5858" s="5">
        <f t="shared" si="216"/>
        <v>0.64742951907137813</v>
      </c>
    </row>
    <row r="5859" spans="1:11" x14ac:dyDescent="0.25">
      <c r="A5859" t="s">
        <v>6519</v>
      </c>
      <c r="C5859" t="s">
        <v>6520</v>
      </c>
      <c r="D5859" t="s">
        <v>5</v>
      </c>
      <c r="E5859" t="s">
        <v>6</v>
      </c>
      <c r="F5859" t="s">
        <v>28</v>
      </c>
      <c r="G5859">
        <v>1</v>
      </c>
      <c r="H5859" s="2">
        <f>Tabelle13[[#This Row],[commits]]/Tabelle13[[#Totals],[commits]]</f>
        <v>4.6477904404246225E-6</v>
      </c>
      <c r="I5859" s="5">
        <f>Tabelle13[[#This Row],[%]]+I5858</f>
        <v>0.98518284407587153</v>
      </c>
      <c r="J5859" s="4">
        <f t="shared" si="215"/>
        <v>1.105583195135434E-4</v>
      </c>
      <c r="K5859" s="5">
        <f t="shared" si="216"/>
        <v>0.6475400773908917</v>
      </c>
    </row>
    <row r="5860" spans="1:11" x14ac:dyDescent="0.25">
      <c r="A5860" t="s">
        <v>6521</v>
      </c>
      <c r="C5860" t="s">
        <v>6522</v>
      </c>
      <c r="D5860" t="s">
        <v>5</v>
      </c>
      <c r="E5860" t="s">
        <v>6</v>
      </c>
      <c r="F5860" t="s">
        <v>28</v>
      </c>
      <c r="G5860">
        <v>1</v>
      </c>
      <c r="H5860" s="2">
        <f>Tabelle13[[#This Row],[commits]]/Tabelle13[[#Totals],[commits]]</f>
        <v>4.6477904404246225E-6</v>
      </c>
      <c r="I5860" s="5">
        <f>Tabelle13[[#This Row],[%]]+I5859</f>
        <v>0.98518749186631194</v>
      </c>
      <c r="J5860" s="4">
        <f t="shared" si="215"/>
        <v>1.105583195135434E-4</v>
      </c>
      <c r="K5860" s="5">
        <f t="shared" si="216"/>
        <v>0.64765063571040526</v>
      </c>
    </row>
    <row r="5861" spans="1:11" x14ac:dyDescent="0.25">
      <c r="A5861" t="s">
        <v>6523</v>
      </c>
      <c r="C5861" t="s">
        <v>6524</v>
      </c>
      <c r="D5861" t="s">
        <v>5</v>
      </c>
      <c r="E5861" t="s">
        <v>6</v>
      </c>
      <c r="F5861" t="s">
        <v>28</v>
      </c>
      <c r="G5861">
        <v>1</v>
      </c>
      <c r="H5861" s="2">
        <f>Tabelle13[[#This Row],[commits]]/Tabelle13[[#Totals],[commits]]</f>
        <v>4.6477904404246225E-6</v>
      </c>
      <c r="I5861" s="5">
        <f>Tabelle13[[#This Row],[%]]+I5860</f>
        <v>0.98519213965675234</v>
      </c>
      <c r="J5861" s="4">
        <f t="shared" si="215"/>
        <v>1.105583195135434E-4</v>
      </c>
      <c r="K5861" s="5">
        <f t="shared" si="216"/>
        <v>0.64776119402991883</v>
      </c>
    </row>
    <row r="5862" spans="1:11" x14ac:dyDescent="0.25">
      <c r="A5862" t="s">
        <v>6525</v>
      </c>
      <c r="C5862" t="s">
        <v>6526</v>
      </c>
      <c r="D5862" t="s">
        <v>5</v>
      </c>
      <c r="E5862" t="s">
        <v>6</v>
      </c>
      <c r="F5862" t="s">
        <v>28</v>
      </c>
      <c r="G5862">
        <v>1</v>
      </c>
      <c r="H5862" s="2">
        <f>Tabelle13[[#This Row],[commits]]/Tabelle13[[#Totals],[commits]]</f>
        <v>4.6477904404246225E-6</v>
      </c>
      <c r="I5862" s="5">
        <f>Tabelle13[[#This Row],[%]]+I5861</f>
        <v>0.98519678744719275</v>
      </c>
      <c r="J5862" s="4">
        <f t="shared" si="215"/>
        <v>1.105583195135434E-4</v>
      </c>
      <c r="K5862" s="5">
        <f t="shared" si="216"/>
        <v>0.64787175234943239</v>
      </c>
    </row>
    <row r="5863" spans="1:11" x14ac:dyDescent="0.25">
      <c r="A5863" t="s">
        <v>6527</v>
      </c>
      <c r="C5863" t="s">
        <v>6528</v>
      </c>
      <c r="D5863" t="s">
        <v>5</v>
      </c>
      <c r="E5863" t="s">
        <v>6</v>
      </c>
      <c r="F5863" t="s">
        <v>28</v>
      </c>
      <c r="G5863">
        <v>1</v>
      </c>
      <c r="H5863" s="2">
        <f>Tabelle13[[#This Row],[commits]]/Tabelle13[[#Totals],[commits]]</f>
        <v>4.6477904404246225E-6</v>
      </c>
      <c r="I5863" s="5">
        <f>Tabelle13[[#This Row],[%]]+I5862</f>
        <v>0.98520143523763315</v>
      </c>
      <c r="J5863" s="4">
        <f t="shared" si="215"/>
        <v>1.105583195135434E-4</v>
      </c>
      <c r="K5863" s="5">
        <f t="shared" si="216"/>
        <v>0.64798231066894596</v>
      </c>
    </row>
    <row r="5864" spans="1:11" x14ac:dyDescent="0.25">
      <c r="A5864" t="s">
        <v>6529</v>
      </c>
      <c r="C5864" t="s">
        <v>6530</v>
      </c>
      <c r="D5864" t="s">
        <v>5</v>
      </c>
      <c r="E5864" t="s">
        <v>6</v>
      </c>
      <c r="F5864" t="s">
        <v>28</v>
      </c>
      <c r="G5864">
        <v>1</v>
      </c>
      <c r="H5864" s="2">
        <f>Tabelle13[[#This Row],[commits]]/Tabelle13[[#Totals],[commits]]</f>
        <v>4.6477904404246225E-6</v>
      </c>
      <c r="I5864" s="5">
        <f>Tabelle13[[#This Row],[%]]+I5863</f>
        <v>0.98520608302807355</v>
      </c>
      <c r="J5864" s="4">
        <f t="shared" si="215"/>
        <v>1.105583195135434E-4</v>
      </c>
      <c r="K5864" s="5">
        <f t="shared" si="216"/>
        <v>0.64809286898845953</v>
      </c>
    </row>
    <row r="5865" spans="1:11" x14ac:dyDescent="0.25">
      <c r="A5865" t="s">
        <v>6531</v>
      </c>
      <c r="C5865" t="s">
        <v>6532</v>
      </c>
      <c r="D5865" t="s">
        <v>5175</v>
      </c>
      <c r="E5865" t="s">
        <v>6</v>
      </c>
      <c r="F5865" t="s">
        <v>28</v>
      </c>
      <c r="G5865">
        <v>1</v>
      </c>
      <c r="H5865" s="2">
        <f>Tabelle13[[#This Row],[commits]]/Tabelle13[[#Totals],[commits]]</f>
        <v>4.6477904404246225E-6</v>
      </c>
      <c r="I5865" s="5">
        <f>Tabelle13[[#This Row],[%]]+I5864</f>
        <v>0.98521073081851396</v>
      </c>
      <c r="J5865" s="4">
        <f t="shared" si="215"/>
        <v>1.105583195135434E-4</v>
      </c>
      <c r="K5865" s="5">
        <f t="shared" si="216"/>
        <v>0.64820342730797309</v>
      </c>
    </row>
    <row r="5866" spans="1:11" x14ac:dyDescent="0.25">
      <c r="A5866" t="s">
        <v>6533</v>
      </c>
      <c r="C5866" t="s">
        <v>6534</v>
      </c>
      <c r="D5866" t="s">
        <v>5</v>
      </c>
      <c r="E5866" t="s">
        <v>6</v>
      </c>
      <c r="F5866" t="s">
        <v>28</v>
      </c>
      <c r="G5866">
        <v>1</v>
      </c>
      <c r="H5866" s="2">
        <f>Tabelle13[[#This Row],[commits]]/Tabelle13[[#Totals],[commits]]</f>
        <v>4.6477904404246225E-6</v>
      </c>
      <c r="I5866" s="5">
        <f>Tabelle13[[#This Row],[%]]+I5865</f>
        <v>0.98521537860895436</v>
      </c>
      <c r="J5866" s="4">
        <f t="shared" si="215"/>
        <v>1.105583195135434E-4</v>
      </c>
      <c r="K5866" s="5">
        <f t="shared" si="216"/>
        <v>0.64831398562748666</v>
      </c>
    </row>
    <row r="5867" spans="1:11" x14ac:dyDescent="0.25">
      <c r="A5867" t="s">
        <v>6535</v>
      </c>
      <c r="C5867" t="s">
        <v>6536</v>
      </c>
      <c r="D5867" t="s">
        <v>5</v>
      </c>
      <c r="E5867" t="s">
        <v>6</v>
      </c>
      <c r="F5867" t="s">
        <v>28</v>
      </c>
      <c r="G5867">
        <v>1</v>
      </c>
      <c r="H5867" s="2">
        <f>Tabelle13[[#This Row],[commits]]/Tabelle13[[#Totals],[commits]]</f>
        <v>4.6477904404246225E-6</v>
      </c>
      <c r="I5867" s="5">
        <f>Tabelle13[[#This Row],[%]]+I5866</f>
        <v>0.98522002639939477</v>
      </c>
      <c r="J5867" s="4">
        <f t="shared" si="215"/>
        <v>1.105583195135434E-4</v>
      </c>
      <c r="K5867" s="5">
        <f t="shared" si="216"/>
        <v>0.64842454394700022</v>
      </c>
    </row>
    <row r="5868" spans="1:11" x14ac:dyDescent="0.25">
      <c r="A5868" t="s">
        <v>6537</v>
      </c>
      <c r="C5868" t="s">
        <v>6538</v>
      </c>
      <c r="D5868" t="s">
        <v>5</v>
      </c>
      <c r="E5868" t="s">
        <v>6</v>
      </c>
      <c r="F5868" t="s">
        <v>28</v>
      </c>
      <c r="G5868">
        <v>1</v>
      </c>
      <c r="H5868" s="2">
        <f>Tabelle13[[#This Row],[commits]]/Tabelle13[[#Totals],[commits]]</f>
        <v>4.6477904404246225E-6</v>
      </c>
      <c r="I5868" s="5">
        <f>Tabelle13[[#This Row],[%]]+I5867</f>
        <v>0.98522467418983517</v>
      </c>
      <c r="J5868" s="4">
        <f t="shared" si="215"/>
        <v>1.105583195135434E-4</v>
      </c>
      <c r="K5868" s="5">
        <f t="shared" si="216"/>
        <v>0.64853510226651379</v>
      </c>
    </row>
    <row r="5869" spans="1:11" x14ac:dyDescent="0.25">
      <c r="A5869" t="s">
        <v>6539</v>
      </c>
      <c r="C5869" t="s">
        <v>6540</v>
      </c>
      <c r="D5869" t="s">
        <v>5</v>
      </c>
      <c r="E5869" t="s">
        <v>6</v>
      </c>
      <c r="F5869" t="s">
        <v>28</v>
      </c>
      <c r="G5869">
        <v>1</v>
      </c>
      <c r="H5869" s="2">
        <f>Tabelle13[[#This Row],[commits]]/Tabelle13[[#Totals],[commits]]</f>
        <v>4.6477904404246225E-6</v>
      </c>
      <c r="I5869" s="5">
        <f>Tabelle13[[#This Row],[%]]+I5868</f>
        <v>0.98522932198027557</v>
      </c>
      <c r="J5869" s="4">
        <f t="shared" si="215"/>
        <v>1.105583195135434E-4</v>
      </c>
      <c r="K5869" s="5">
        <f t="shared" si="216"/>
        <v>0.64864566058602735</v>
      </c>
    </row>
    <row r="5870" spans="1:11" x14ac:dyDescent="0.25">
      <c r="A5870" t="s">
        <v>6541</v>
      </c>
      <c r="C5870" t="s">
        <v>6542</v>
      </c>
      <c r="D5870" t="s">
        <v>5</v>
      </c>
      <c r="E5870" t="s">
        <v>6</v>
      </c>
      <c r="F5870" t="s">
        <v>28</v>
      </c>
      <c r="G5870">
        <v>1</v>
      </c>
      <c r="H5870" s="2">
        <f>Tabelle13[[#This Row],[commits]]/Tabelle13[[#Totals],[commits]]</f>
        <v>4.6477904404246225E-6</v>
      </c>
      <c r="I5870" s="5">
        <f>Tabelle13[[#This Row],[%]]+I5869</f>
        <v>0.98523396977071598</v>
      </c>
      <c r="J5870" s="4">
        <f t="shared" si="215"/>
        <v>1.105583195135434E-4</v>
      </c>
      <c r="K5870" s="5">
        <f t="shared" si="216"/>
        <v>0.64875621890554092</v>
      </c>
    </row>
    <row r="5871" spans="1:11" x14ac:dyDescent="0.25">
      <c r="A5871" t="s">
        <v>6543</v>
      </c>
      <c r="C5871" t="s">
        <v>6544</v>
      </c>
      <c r="D5871" t="s">
        <v>5</v>
      </c>
      <c r="E5871" t="s">
        <v>6</v>
      </c>
      <c r="F5871" t="s">
        <v>28</v>
      </c>
      <c r="G5871">
        <v>1</v>
      </c>
      <c r="H5871" s="2">
        <f>Tabelle13[[#This Row],[commits]]/Tabelle13[[#Totals],[commits]]</f>
        <v>4.6477904404246225E-6</v>
      </c>
      <c r="I5871" s="5">
        <f>Tabelle13[[#This Row],[%]]+I5870</f>
        <v>0.98523861756115638</v>
      </c>
      <c r="J5871" s="4">
        <f t="shared" si="215"/>
        <v>1.105583195135434E-4</v>
      </c>
      <c r="K5871" s="5">
        <f t="shared" si="216"/>
        <v>0.64886677722505448</v>
      </c>
    </row>
    <row r="5872" spans="1:11" x14ac:dyDescent="0.25">
      <c r="A5872" t="s">
        <v>6545</v>
      </c>
      <c r="C5872" t="s">
        <v>6546</v>
      </c>
      <c r="D5872" t="s">
        <v>5</v>
      </c>
      <c r="E5872" t="s">
        <v>6</v>
      </c>
      <c r="F5872" t="s">
        <v>28</v>
      </c>
      <c r="G5872">
        <v>1</v>
      </c>
      <c r="H5872" s="2">
        <f>Tabelle13[[#This Row],[commits]]/Tabelle13[[#Totals],[commits]]</f>
        <v>4.6477904404246225E-6</v>
      </c>
      <c r="I5872" s="5">
        <f>Tabelle13[[#This Row],[%]]+I5871</f>
        <v>0.98524326535159679</v>
      </c>
      <c r="J5872" s="4">
        <f t="shared" si="215"/>
        <v>1.105583195135434E-4</v>
      </c>
      <c r="K5872" s="5">
        <f t="shared" si="216"/>
        <v>0.64897733554456805</v>
      </c>
    </row>
    <row r="5873" spans="1:11" x14ac:dyDescent="0.25">
      <c r="A5873" t="s">
        <v>6547</v>
      </c>
      <c r="C5873" t="s">
        <v>6548</v>
      </c>
      <c r="D5873" t="s">
        <v>5</v>
      </c>
      <c r="E5873" t="s">
        <v>6</v>
      </c>
      <c r="F5873" t="s">
        <v>28</v>
      </c>
      <c r="G5873">
        <v>1</v>
      </c>
      <c r="H5873" s="2">
        <f>Tabelle13[[#This Row],[commits]]/Tabelle13[[#Totals],[commits]]</f>
        <v>4.6477904404246225E-6</v>
      </c>
      <c r="I5873" s="5">
        <f>Tabelle13[[#This Row],[%]]+I5872</f>
        <v>0.98524791314203719</v>
      </c>
      <c r="J5873" s="4">
        <f t="shared" si="215"/>
        <v>1.105583195135434E-4</v>
      </c>
      <c r="K5873" s="5">
        <f t="shared" si="216"/>
        <v>0.64908789386408161</v>
      </c>
    </row>
    <row r="5874" spans="1:11" x14ac:dyDescent="0.25">
      <c r="A5874" t="s">
        <v>6549</v>
      </c>
      <c r="C5874" t="s">
        <v>6550</v>
      </c>
      <c r="D5874" t="s">
        <v>5</v>
      </c>
      <c r="E5874" t="s">
        <v>6</v>
      </c>
      <c r="F5874" t="s">
        <v>28</v>
      </c>
      <c r="G5874">
        <v>1</v>
      </c>
      <c r="H5874" s="2">
        <f>Tabelle13[[#This Row],[commits]]/Tabelle13[[#Totals],[commits]]</f>
        <v>4.6477904404246225E-6</v>
      </c>
      <c r="I5874" s="5">
        <f>Tabelle13[[#This Row],[%]]+I5873</f>
        <v>0.98525256093247759</v>
      </c>
      <c r="J5874" s="4">
        <f t="shared" si="215"/>
        <v>1.105583195135434E-4</v>
      </c>
      <c r="K5874" s="5">
        <f t="shared" si="216"/>
        <v>0.64919845218359518</v>
      </c>
    </row>
    <row r="5875" spans="1:11" x14ac:dyDescent="0.25">
      <c r="A5875" t="s">
        <v>6551</v>
      </c>
      <c r="C5875" t="s">
        <v>6552</v>
      </c>
      <c r="D5875" t="s">
        <v>5</v>
      </c>
      <c r="E5875" t="s">
        <v>6</v>
      </c>
      <c r="F5875" t="s">
        <v>28</v>
      </c>
      <c r="G5875">
        <v>1</v>
      </c>
      <c r="H5875" s="2">
        <f>Tabelle13[[#This Row],[commits]]/Tabelle13[[#Totals],[commits]]</f>
        <v>4.6477904404246225E-6</v>
      </c>
      <c r="I5875" s="5">
        <f>Tabelle13[[#This Row],[%]]+I5874</f>
        <v>0.985257208722918</v>
      </c>
      <c r="J5875" s="4">
        <f t="shared" si="215"/>
        <v>1.105583195135434E-4</v>
      </c>
      <c r="K5875" s="5">
        <f t="shared" si="216"/>
        <v>0.64930901050310874</v>
      </c>
    </row>
    <row r="5876" spans="1:11" x14ac:dyDescent="0.25">
      <c r="A5876" t="s">
        <v>6553</v>
      </c>
      <c r="C5876" t="s">
        <v>6554</v>
      </c>
      <c r="D5876" t="s">
        <v>5</v>
      </c>
      <c r="E5876" t="s">
        <v>6</v>
      </c>
      <c r="F5876" t="s">
        <v>28</v>
      </c>
      <c r="G5876">
        <v>1</v>
      </c>
      <c r="H5876" s="2">
        <f>Tabelle13[[#This Row],[commits]]/Tabelle13[[#Totals],[commits]]</f>
        <v>4.6477904404246225E-6</v>
      </c>
      <c r="I5876" s="5">
        <f>Tabelle13[[#This Row],[%]]+I5875</f>
        <v>0.9852618565133584</v>
      </c>
      <c r="J5876" s="4">
        <f t="shared" si="215"/>
        <v>1.105583195135434E-4</v>
      </c>
      <c r="K5876" s="5">
        <f t="shared" si="216"/>
        <v>0.64941956882262231</v>
      </c>
    </row>
    <row r="5877" spans="1:11" x14ac:dyDescent="0.25">
      <c r="A5877" t="s">
        <v>6555</v>
      </c>
      <c r="C5877" t="s">
        <v>6556</v>
      </c>
      <c r="D5877" t="s">
        <v>5</v>
      </c>
      <c r="E5877" t="s">
        <v>6</v>
      </c>
      <c r="F5877" t="s">
        <v>28</v>
      </c>
      <c r="G5877">
        <v>1</v>
      </c>
      <c r="H5877" s="2">
        <f>Tabelle13[[#This Row],[commits]]/Tabelle13[[#Totals],[commits]]</f>
        <v>4.6477904404246225E-6</v>
      </c>
      <c r="I5877" s="5">
        <f>Tabelle13[[#This Row],[%]]+I5876</f>
        <v>0.98526650430379881</v>
      </c>
      <c r="J5877" s="4">
        <f t="shared" si="215"/>
        <v>1.105583195135434E-4</v>
      </c>
      <c r="K5877" s="5">
        <f t="shared" si="216"/>
        <v>0.64953012714213587</v>
      </c>
    </row>
    <row r="5878" spans="1:11" x14ac:dyDescent="0.25">
      <c r="A5878" t="s">
        <v>6557</v>
      </c>
      <c r="C5878" t="s">
        <v>6558</v>
      </c>
      <c r="D5878" t="s">
        <v>5</v>
      </c>
      <c r="E5878" t="s">
        <v>6</v>
      </c>
      <c r="F5878" t="s">
        <v>28</v>
      </c>
      <c r="G5878">
        <v>1</v>
      </c>
      <c r="H5878" s="2">
        <f>Tabelle13[[#This Row],[commits]]/Tabelle13[[#Totals],[commits]]</f>
        <v>4.6477904404246225E-6</v>
      </c>
      <c r="I5878" s="5">
        <f>Tabelle13[[#This Row],[%]]+I5877</f>
        <v>0.98527115209423921</v>
      </c>
      <c r="J5878" s="4">
        <f t="shared" si="215"/>
        <v>1.105583195135434E-4</v>
      </c>
      <c r="K5878" s="5">
        <f t="shared" si="216"/>
        <v>0.64964068546164944</v>
      </c>
    </row>
    <row r="5879" spans="1:11" x14ac:dyDescent="0.25">
      <c r="A5879" t="s">
        <v>6559</v>
      </c>
      <c r="C5879" t="s">
        <v>6560</v>
      </c>
      <c r="D5879" t="s">
        <v>5</v>
      </c>
      <c r="E5879" t="s">
        <v>6</v>
      </c>
      <c r="F5879" t="s">
        <v>28</v>
      </c>
      <c r="G5879">
        <v>1</v>
      </c>
      <c r="H5879" s="2">
        <f>Tabelle13[[#This Row],[commits]]/Tabelle13[[#Totals],[commits]]</f>
        <v>4.6477904404246225E-6</v>
      </c>
      <c r="I5879" s="5">
        <f>Tabelle13[[#This Row],[%]]+I5878</f>
        <v>0.98527579988467962</v>
      </c>
      <c r="J5879" s="4">
        <f t="shared" si="215"/>
        <v>1.105583195135434E-4</v>
      </c>
      <c r="K5879" s="5">
        <f t="shared" si="216"/>
        <v>0.649751243781163</v>
      </c>
    </row>
    <row r="5880" spans="1:11" x14ac:dyDescent="0.25">
      <c r="A5880" t="s">
        <v>6561</v>
      </c>
      <c r="C5880" t="s">
        <v>6562</v>
      </c>
      <c r="D5880" t="s">
        <v>5</v>
      </c>
      <c r="E5880" t="s">
        <v>6</v>
      </c>
      <c r="F5880" t="s">
        <v>28</v>
      </c>
      <c r="G5880">
        <v>1</v>
      </c>
      <c r="H5880" s="2">
        <f>Tabelle13[[#This Row],[commits]]/Tabelle13[[#Totals],[commits]]</f>
        <v>4.6477904404246225E-6</v>
      </c>
      <c r="I5880" s="5">
        <f>Tabelle13[[#This Row],[%]]+I5879</f>
        <v>0.98528044767512002</v>
      </c>
      <c r="J5880" s="4">
        <f t="shared" si="215"/>
        <v>1.105583195135434E-4</v>
      </c>
      <c r="K5880" s="5">
        <f t="shared" si="216"/>
        <v>0.64986180210067657</v>
      </c>
    </row>
    <row r="5881" spans="1:11" x14ac:dyDescent="0.25">
      <c r="A5881" t="s">
        <v>6563</v>
      </c>
      <c r="C5881" t="s">
        <v>6564</v>
      </c>
      <c r="D5881" t="s">
        <v>5</v>
      </c>
      <c r="E5881" t="s">
        <v>6</v>
      </c>
      <c r="F5881" t="s">
        <v>28</v>
      </c>
      <c r="G5881">
        <v>1</v>
      </c>
      <c r="H5881" s="2">
        <f>Tabelle13[[#This Row],[commits]]/Tabelle13[[#Totals],[commits]]</f>
        <v>4.6477904404246225E-6</v>
      </c>
      <c r="I5881" s="5">
        <f>Tabelle13[[#This Row],[%]]+I5880</f>
        <v>0.98528509546556042</v>
      </c>
      <c r="J5881" s="4">
        <f t="shared" si="215"/>
        <v>1.105583195135434E-4</v>
      </c>
      <c r="K5881" s="5">
        <f t="shared" si="216"/>
        <v>0.64997236042019013</v>
      </c>
    </row>
    <row r="5882" spans="1:11" x14ac:dyDescent="0.25">
      <c r="A5882" t="s">
        <v>6565</v>
      </c>
      <c r="C5882" t="s">
        <v>266</v>
      </c>
      <c r="D5882" t="s">
        <v>5</v>
      </c>
      <c r="E5882" t="s">
        <v>6</v>
      </c>
      <c r="F5882" t="s">
        <v>28</v>
      </c>
      <c r="G5882">
        <v>1</v>
      </c>
      <c r="H5882" s="2">
        <f>Tabelle13[[#This Row],[commits]]/Tabelle13[[#Totals],[commits]]</f>
        <v>4.6477904404246225E-6</v>
      </c>
      <c r="I5882" s="5">
        <f>Tabelle13[[#This Row],[%]]+I5881</f>
        <v>0.98528974325600083</v>
      </c>
      <c r="J5882" s="4">
        <f t="shared" si="215"/>
        <v>1.105583195135434E-4</v>
      </c>
      <c r="K5882" s="5">
        <f t="shared" si="216"/>
        <v>0.6500829187397037</v>
      </c>
    </row>
    <row r="5883" spans="1:11" x14ac:dyDescent="0.25">
      <c r="A5883" t="s">
        <v>6566</v>
      </c>
      <c r="C5883" t="s">
        <v>6567</v>
      </c>
      <c r="D5883" t="s">
        <v>5</v>
      </c>
      <c r="E5883" t="s">
        <v>6</v>
      </c>
      <c r="F5883" t="s">
        <v>28</v>
      </c>
      <c r="G5883">
        <v>1</v>
      </c>
      <c r="H5883" s="2">
        <f>Tabelle13[[#This Row],[commits]]/Tabelle13[[#Totals],[commits]]</f>
        <v>4.6477904404246225E-6</v>
      </c>
      <c r="I5883" s="5">
        <f>Tabelle13[[#This Row],[%]]+I5882</f>
        <v>0.98529439104644123</v>
      </c>
      <c r="J5883" s="4">
        <f t="shared" si="215"/>
        <v>1.105583195135434E-4</v>
      </c>
      <c r="K5883" s="5">
        <f t="shared" si="216"/>
        <v>0.65019347705921726</v>
      </c>
    </row>
    <row r="5884" spans="1:11" x14ac:dyDescent="0.25">
      <c r="A5884" t="s">
        <v>6568</v>
      </c>
      <c r="C5884" t="s">
        <v>6569</v>
      </c>
      <c r="D5884" t="s">
        <v>5</v>
      </c>
      <c r="E5884" t="s">
        <v>6</v>
      </c>
      <c r="F5884" t="s">
        <v>28</v>
      </c>
      <c r="G5884">
        <v>1</v>
      </c>
      <c r="H5884" s="2">
        <f>Tabelle13[[#This Row],[commits]]/Tabelle13[[#Totals],[commits]]</f>
        <v>4.6477904404246225E-6</v>
      </c>
      <c r="I5884" s="5">
        <f>Tabelle13[[#This Row],[%]]+I5883</f>
        <v>0.98529903883688164</v>
      </c>
      <c r="J5884" s="4">
        <f t="shared" si="215"/>
        <v>1.105583195135434E-4</v>
      </c>
      <c r="K5884" s="5">
        <f t="shared" si="216"/>
        <v>0.65030403537873083</v>
      </c>
    </row>
    <row r="5885" spans="1:11" x14ac:dyDescent="0.25">
      <c r="A5885" t="s">
        <v>6570</v>
      </c>
      <c r="C5885" t="s">
        <v>6571</v>
      </c>
      <c r="D5885" t="s">
        <v>5</v>
      </c>
      <c r="E5885" t="s">
        <v>6</v>
      </c>
      <c r="F5885" t="s">
        <v>28</v>
      </c>
      <c r="G5885">
        <v>1</v>
      </c>
      <c r="H5885" s="2">
        <f>Tabelle13[[#This Row],[commits]]/Tabelle13[[#Totals],[commits]]</f>
        <v>4.6477904404246225E-6</v>
      </c>
      <c r="I5885" s="5">
        <f>Tabelle13[[#This Row],[%]]+I5884</f>
        <v>0.98530368662732204</v>
      </c>
      <c r="J5885" s="4">
        <f t="shared" si="215"/>
        <v>1.105583195135434E-4</v>
      </c>
      <c r="K5885" s="5">
        <f t="shared" si="216"/>
        <v>0.65041459369824439</v>
      </c>
    </row>
    <row r="5886" spans="1:11" x14ac:dyDescent="0.25">
      <c r="A5886" t="s">
        <v>6572</v>
      </c>
      <c r="C5886" t="s">
        <v>6573</v>
      </c>
      <c r="D5886" t="s">
        <v>5</v>
      </c>
      <c r="E5886" t="s">
        <v>6</v>
      </c>
      <c r="F5886" t="s">
        <v>28</v>
      </c>
      <c r="G5886">
        <v>1</v>
      </c>
      <c r="H5886" s="2">
        <f>Tabelle13[[#This Row],[commits]]/Tabelle13[[#Totals],[commits]]</f>
        <v>4.6477904404246225E-6</v>
      </c>
      <c r="I5886" s="5">
        <f>Tabelle13[[#This Row],[%]]+I5885</f>
        <v>0.98530833441776244</v>
      </c>
      <c r="J5886" s="4">
        <f t="shared" si="215"/>
        <v>1.105583195135434E-4</v>
      </c>
      <c r="K5886" s="5">
        <f t="shared" si="216"/>
        <v>0.65052515201775796</v>
      </c>
    </row>
    <row r="5887" spans="1:11" x14ac:dyDescent="0.25">
      <c r="A5887" t="s">
        <v>6574</v>
      </c>
      <c r="C5887" t="s">
        <v>6575</v>
      </c>
      <c r="D5887" t="s">
        <v>5</v>
      </c>
      <c r="E5887" t="s">
        <v>6</v>
      </c>
      <c r="F5887" t="s">
        <v>28</v>
      </c>
      <c r="G5887">
        <v>1</v>
      </c>
      <c r="H5887" s="2">
        <f>Tabelle13[[#This Row],[commits]]/Tabelle13[[#Totals],[commits]]</f>
        <v>4.6477904404246225E-6</v>
      </c>
      <c r="I5887" s="5">
        <f>Tabelle13[[#This Row],[%]]+I5886</f>
        <v>0.98531298220820285</v>
      </c>
      <c r="J5887" s="4">
        <f t="shared" si="215"/>
        <v>1.105583195135434E-4</v>
      </c>
      <c r="K5887" s="5">
        <f t="shared" si="216"/>
        <v>0.65063571033727152</v>
      </c>
    </row>
    <row r="5888" spans="1:11" x14ac:dyDescent="0.25">
      <c r="A5888" t="s">
        <v>6576</v>
      </c>
      <c r="C5888" t="s">
        <v>6577</v>
      </c>
      <c r="D5888" t="s">
        <v>5</v>
      </c>
      <c r="E5888" t="s">
        <v>6</v>
      </c>
      <c r="F5888" t="s">
        <v>28</v>
      </c>
      <c r="G5888">
        <v>1</v>
      </c>
      <c r="H5888" s="2">
        <f>Tabelle13[[#This Row],[commits]]/Tabelle13[[#Totals],[commits]]</f>
        <v>4.6477904404246225E-6</v>
      </c>
      <c r="I5888" s="5">
        <f>Tabelle13[[#This Row],[%]]+I5887</f>
        <v>0.98531762999864325</v>
      </c>
      <c r="J5888" s="4">
        <f t="shared" si="215"/>
        <v>1.105583195135434E-4</v>
      </c>
      <c r="K5888" s="5">
        <f t="shared" si="216"/>
        <v>0.65074626865678509</v>
      </c>
    </row>
    <row r="5889" spans="1:11" x14ac:dyDescent="0.25">
      <c r="A5889" t="s">
        <v>6578</v>
      </c>
      <c r="C5889" t="s">
        <v>6579</v>
      </c>
      <c r="D5889" t="s">
        <v>5</v>
      </c>
      <c r="E5889" t="s">
        <v>6</v>
      </c>
      <c r="F5889" t="s">
        <v>28</v>
      </c>
      <c r="G5889">
        <v>1</v>
      </c>
      <c r="H5889" s="2">
        <f>Tabelle13[[#This Row],[commits]]/Tabelle13[[#Totals],[commits]]</f>
        <v>4.6477904404246225E-6</v>
      </c>
      <c r="I5889" s="5">
        <f>Tabelle13[[#This Row],[%]]+I5888</f>
        <v>0.98532227778908366</v>
      </c>
      <c r="J5889" s="4">
        <f t="shared" si="215"/>
        <v>1.105583195135434E-4</v>
      </c>
      <c r="K5889" s="5">
        <f t="shared" si="216"/>
        <v>0.65085682697629865</v>
      </c>
    </row>
    <row r="5890" spans="1:11" x14ac:dyDescent="0.25">
      <c r="A5890" t="s">
        <v>6580</v>
      </c>
      <c r="C5890" t="s">
        <v>6581</v>
      </c>
      <c r="D5890" t="s">
        <v>5</v>
      </c>
      <c r="E5890" t="s">
        <v>6</v>
      </c>
      <c r="F5890" t="s">
        <v>28</v>
      </c>
      <c r="G5890">
        <v>1</v>
      </c>
      <c r="H5890" s="2">
        <f>Tabelle13[[#This Row],[commits]]/Tabelle13[[#Totals],[commits]]</f>
        <v>4.6477904404246225E-6</v>
      </c>
      <c r="I5890" s="5">
        <f>Tabelle13[[#This Row],[%]]+I5889</f>
        <v>0.98532692557952406</v>
      </c>
      <c r="J5890" s="4">
        <f t="shared" si="215"/>
        <v>1.105583195135434E-4</v>
      </c>
      <c r="K5890" s="5">
        <f t="shared" si="216"/>
        <v>0.65096738529581222</v>
      </c>
    </row>
    <row r="5891" spans="1:11" x14ac:dyDescent="0.25">
      <c r="A5891" t="s">
        <v>6582</v>
      </c>
      <c r="C5891" t="s">
        <v>6583</v>
      </c>
      <c r="D5891" t="s">
        <v>5</v>
      </c>
      <c r="E5891" t="s">
        <v>6</v>
      </c>
      <c r="F5891" t="s">
        <v>28</v>
      </c>
      <c r="G5891">
        <v>1</v>
      </c>
      <c r="H5891" s="2">
        <f>Tabelle13[[#This Row],[commits]]/Tabelle13[[#Totals],[commits]]</f>
        <v>4.6477904404246225E-6</v>
      </c>
      <c r="I5891" s="5">
        <f>Tabelle13[[#This Row],[%]]+I5890</f>
        <v>0.98533157336996446</v>
      </c>
      <c r="J5891" s="4">
        <f t="shared" ref="J5891:J5954" si="217">1/9045</f>
        <v>1.105583195135434E-4</v>
      </c>
      <c r="K5891" s="5">
        <f t="shared" si="216"/>
        <v>0.65107794361532578</v>
      </c>
    </row>
    <row r="5892" spans="1:11" x14ac:dyDescent="0.25">
      <c r="A5892" t="s">
        <v>6584</v>
      </c>
      <c r="C5892" t="s">
        <v>6585</v>
      </c>
      <c r="D5892" t="s">
        <v>5</v>
      </c>
      <c r="E5892" t="s">
        <v>6</v>
      </c>
      <c r="F5892" t="s">
        <v>28</v>
      </c>
      <c r="G5892">
        <v>1</v>
      </c>
      <c r="H5892" s="2">
        <f>Tabelle13[[#This Row],[commits]]/Tabelle13[[#Totals],[commits]]</f>
        <v>4.6477904404246225E-6</v>
      </c>
      <c r="I5892" s="5">
        <f>Tabelle13[[#This Row],[%]]+I5891</f>
        <v>0.98533622116040487</v>
      </c>
      <c r="J5892" s="4">
        <f t="shared" si="217"/>
        <v>1.105583195135434E-4</v>
      </c>
      <c r="K5892" s="5">
        <f t="shared" si="216"/>
        <v>0.65118850193483935</v>
      </c>
    </row>
    <row r="5893" spans="1:11" x14ac:dyDescent="0.25">
      <c r="A5893" t="s">
        <v>6586</v>
      </c>
      <c r="C5893" t="s">
        <v>6587</v>
      </c>
      <c r="D5893" t="s">
        <v>5</v>
      </c>
      <c r="E5893" t="s">
        <v>6</v>
      </c>
      <c r="F5893" t="s">
        <v>28</v>
      </c>
      <c r="G5893">
        <v>1</v>
      </c>
      <c r="H5893" s="2">
        <f>Tabelle13[[#This Row],[commits]]/Tabelle13[[#Totals],[commits]]</f>
        <v>4.6477904404246225E-6</v>
      </c>
      <c r="I5893" s="5">
        <f>Tabelle13[[#This Row],[%]]+I5892</f>
        <v>0.98534086895084527</v>
      </c>
      <c r="J5893" s="4">
        <f t="shared" si="217"/>
        <v>1.105583195135434E-4</v>
      </c>
      <c r="K5893" s="5">
        <f t="shared" si="216"/>
        <v>0.65129906025435291</v>
      </c>
    </row>
    <row r="5894" spans="1:11" x14ac:dyDescent="0.25">
      <c r="A5894" t="s">
        <v>6588</v>
      </c>
      <c r="C5894" t="s">
        <v>6589</v>
      </c>
      <c r="D5894" t="s">
        <v>5</v>
      </c>
      <c r="E5894" t="s">
        <v>6</v>
      </c>
      <c r="F5894" t="s">
        <v>28</v>
      </c>
      <c r="G5894">
        <v>1</v>
      </c>
      <c r="H5894" s="2">
        <f>Tabelle13[[#This Row],[commits]]/Tabelle13[[#Totals],[commits]]</f>
        <v>4.6477904404246225E-6</v>
      </c>
      <c r="I5894" s="5">
        <f>Tabelle13[[#This Row],[%]]+I5893</f>
        <v>0.98534551674128568</v>
      </c>
      <c r="J5894" s="4">
        <f t="shared" si="217"/>
        <v>1.105583195135434E-4</v>
      </c>
      <c r="K5894" s="5">
        <f t="shared" ref="K5894:K5957" si="218">J5894+K5893</f>
        <v>0.65140961857386648</v>
      </c>
    </row>
    <row r="5895" spans="1:11" x14ac:dyDescent="0.25">
      <c r="A5895" t="s">
        <v>6590</v>
      </c>
      <c r="C5895" t="s">
        <v>6591</v>
      </c>
      <c r="D5895" t="s">
        <v>5</v>
      </c>
      <c r="E5895" t="s">
        <v>6</v>
      </c>
      <c r="F5895" t="s">
        <v>28</v>
      </c>
      <c r="G5895">
        <v>1</v>
      </c>
      <c r="H5895" s="2">
        <f>Tabelle13[[#This Row],[commits]]/Tabelle13[[#Totals],[commits]]</f>
        <v>4.6477904404246225E-6</v>
      </c>
      <c r="I5895" s="5">
        <f>Tabelle13[[#This Row],[%]]+I5894</f>
        <v>0.98535016453172608</v>
      </c>
      <c r="J5895" s="4">
        <f t="shared" si="217"/>
        <v>1.105583195135434E-4</v>
      </c>
      <c r="K5895" s="5">
        <f t="shared" si="218"/>
        <v>0.65152017689338004</v>
      </c>
    </row>
    <row r="5896" spans="1:11" x14ac:dyDescent="0.25">
      <c r="A5896" t="s">
        <v>6592</v>
      </c>
      <c r="C5896" t="s">
        <v>6593</v>
      </c>
      <c r="D5896" t="s">
        <v>5</v>
      </c>
      <c r="E5896" t="s">
        <v>6</v>
      </c>
      <c r="F5896" t="s">
        <v>28</v>
      </c>
      <c r="G5896">
        <v>1</v>
      </c>
      <c r="H5896" s="2">
        <f>Tabelle13[[#This Row],[commits]]/Tabelle13[[#Totals],[commits]]</f>
        <v>4.6477904404246225E-6</v>
      </c>
      <c r="I5896" s="5">
        <f>Tabelle13[[#This Row],[%]]+I5895</f>
        <v>0.98535481232216648</v>
      </c>
      <c r="J5896" s="4">
        <f t="shared" si="217"/>
        <v>1.105583195135434E-4</v>
      </c>
      <c r="K5896" s="5">
        <f t="shared" si="218"/>
        <v>0.65163073521289361</v>
      </c>
    </row>
    <row r="5897" spans="1:11" x14ac:dyDescent="0.25">
      <c r="A5897" t="s">
        <v>6594</v>
      </c>
      <c r="C5897" t="s">
        <v>6595</v>
      </c>
      <c r="D5897" t="s">
        <v>5</v>
      </c>
      <c r="E5897" t="s">
        <v>6</v>
      </c>
      <c r="F5897" t="s">
        <v>28</v>
      </c>
      <c r="G5897">
        <v>1</v>
      </c>
      <c r="H5897" s="2">
        <f>Tabelle13[[#This Row],[commits]]/Tabelle13[[#Totals],[commits]]</f>
        <v>4.6477904404246225E-6</v>
      </c>
      <c r="I5897" s="5">
        <f>Tabelle13[[#This Row],[%]]+I5896</f>
        <v>0.98535946011260689</v>
      </c>
      <c r="J5897" s="4">
        <f t="shared" si="217"/>
        <v>1.105583195135434E-4</v>
      </c>
      <c r="K5897" s="5">
        <f t="shared" si="218"/>
        <v>0.65174129353240717</v>
      </c>
    </row>
    <row r="5898" spans="1:11" x14ac:dyDescent="0.25">
      <c r="A5898" t="s">
        <v>6596</v>
      </c>
      <c r="C5898" t="s">
        <v>6597</v>
      </c>
      <c r="D5898" t="s">
        <v>5</v>
      </c>
      <c r="E5898" t="s">
        <v>6</v>
      </c>
      <c r="F5898" t="s">
        <v>28</v>
      </c>
      <c r="G5898">
        <v>1</v>
      </c>
      <c r="H5898" s="2">
        <f>Tabelle13[[#This Row],[commits]]/Tabelle13[[#Totals],[commits]]</f>
        <v>4.6477904404246225E-6</v>
      </c>
      <c r="I5898" s="5">
        <f>Tabelle13[[#This Row],[%]]+I5897</f>
        <v>0.98536410790304729</v>
      </c>
      <c r="J5898" s="4">
        <f t="shared" si="217"/>
        <v>1.105583195135434E-4</v>
      </c>
      <c r="K5898" s="5">
        <f t="shared" si="218"/>
        <v>0.65185185185192074</v>
      </c>
    </row>
    <row r="5899" spans="1:11" x14ac:dyDescent="0.25">
      <c r="A5899" t="s">
        <v>6598</v>
      </c>
      <c r="C5899" t="s">
        <v>6599</v>
      </c>
      <c r="D5899" t="s">
        <v>5</v>
      </c>
      <c r="E5899" t="s">
        <v>6</v>
      </c>
      <c r="F5899" t="s">
        <v>28</v>
      </c>
      <c r="G5899">
        <v>1</v>
      </c>
      <c r="H5899" s="2">
        <f>Tabelle13[[#This Row],[commits]]/Tabelle13[[#Totals],[commits]]</f>
        <v>4.6477904404246225E-6</v>
      </c>
      <c r="I5899" s="5">
        <f>Tabelle13[[#This Row],[%]]+I5898</f>
        <v>0.9853687556934877</v>
      </c>
      <c r="J5899" s="4">
        <f t="shared" si="217"/>
        <v>1.105583195135434E-4</v>
      </c>
      <c r="K5899" s="5">
        <f t="shared" si="218"/>
        <v>0.6519624101714343</v>
      </c>
    </row>
    <row r="5900" spans="1:11" x14ac:dyDescent="0.25">
      <c r="A5900" t="s">
        <v>6600</v>
      </c>
      <c r="C5900" t="s">
        <v>6601</v>
      </c>
      <c r="D5900" t="s">
        <v>5</v>
      </c>
      <c r="E5900" t="s">
        <v>6</v>
      </c>
      <c r="F5900" t="s">
        <v>28</v>
      </c>
      <c r="G5900">
        <v>1</v>
      </c>
      <c r="H5900" s="2">
        <f>Tabelle13[[#This Row],[commits]]/Tabelle13[[#Totals],[commits]]</f>
        <v>4.6477904404246225E-6</v>
      </c>
      <c r="I5900" s="5">
        <f>Tabelle13[[#This Row],[%]]+I5899</f>
        <v>0.9853734034839281</v>
      </c>
      <c r="J5900" s="4">
        <f t="shared" si="217"/>
        <v>1.105583195135434E-4</v>
      </c>
      <c r="K5900" s="5">
        <f t="shared" si="218"/>
        <v>0.65207296849094787</v>
      </c>
    </row>
    <row r="5901" spans="1:11" x14ac:dyDescent="0.25">
      <c r="A5901" t="s">
        <v>6602</v>
      </c>
      <c r="C5901" t="s">
        <v>6603</v>
      </c>
      <c r="D5901" t="s">
        <v>5</v>
      </c>
      <c r="E5901" t="s">
        <v>6</v>
      </c>
      <c r="F5901" t="s">
        <v>28</v>
      </c>
      <c r="G5901">
        <v>1</v>
      </c>
      <c r="H5901" s="2">
        <f>Tabelle13[[#This Row],[commits]]/Tabelle13[[#Totals],[commits]]</f>
        <v>4.6477904404246225E-6</v>
      </c>
      <c r="I5901" s="5">
        <f>Tabelle13[[#This Row],[%]]+I5900</f>
        <v>0.9853780512743685</v>
      </c>
      <c r="J5901" s="4">
        <f t="shared" si="217"/>
        <v>1.105583195135434E-4</v>
      </c>
      <c r="K5901" s="5">
        <f t="shared" si="218"/>
        <v>0.65218352681046143</v>
      </c>
    </row>
    <row r="5902" spans="1:11" x14ac:dyDescent="0.25">
      <c r="A5902" t="s">
        <v>6604</v>
      </c>
      <c r="C5902" t="s">
        <v>6605</v>
      </c>
      <c r="D5902" t="s">
        <v>5</v>
      </c>
      <c r="E5902" t="s">
        <v>6</v>
      </c>
      <c r="F5902" t="s">
        <v>28</v>
      </c>
      <c r="G5902">
        <v>1</v>
      </c>
      <c r="H5902" s="2">
        <f>Tabelle13[[#This Row],[commits]]/Tabelle13[[#Totals],[commits]]</f>
        <v>4.6477904404246225E-6</v>
      </c>
      <c r="I5902" s="5">
        <f>Tabelle13[[#This Row],[%]]+I5901</f>
        <v>0.98538269906480891</v>
      </c>
      <c r="J5902" s="4">
        <f t="shared" si="217"/>
        <v>1.105583195135434E-4</v>
      </c>
      <c r="K5902" s="5">
        <f t="shared" si="218"/>
        <v>0.652294085129975</v>
      </c>
    </row>
    <row r="5903" spans="1:11" x14ac:dyDescent="0.25">
      <c r="A5903" t="s">
        <v>6606</v>
      </c>
      <c r="C5903" t="s">
        <v>6607</v>
      </c>
      <c r="D5903" t="s">
        <v>5175</v>
      </c>
      <c r="E5903" t="s">
        <v>6</v>
      </c>
      <c r="F5903" t="s">
        <v>28</v>
      </c>
      <c r="G5903">
        <v>1</v>
      </c>
      <c r="H5903" s="2">
        <f>Tabelle13[[#This Row],[commits]]/Tabelle13[[#Totals],[commits]]</f>
        <v>4.6477904404246225E-6</v>
      </c>
      <c r="I5903" s="5">
        <f>Tabelle13[[#This Row],[%]]+I5902</f>
        <v>0.98538734685524931</v>
      </c>
      <c r="J5903" s="4">
        <f t="shared" si="217"/>
        <v>1.105583195135434E-4</v>
      </c>
      <c r="K5903" s="5">
        <f t="shared" si="218"/>
        <v>0.65240464344948856</v>
      </c>
    </row>
    <row r="5904" spans="1:11" x14ac:dyDescent="0.25">
      <c r="A5904" t="s">
        <v>6608</v>
      </c>
      <c r="C5904" t="s">
        <v>6609</v>
      </c>
      <c r="D5904" t="s">
        <v>5</v>
      </c>
      <c r="E5904" t="s">
        <v>6</v>
      </c>
      <c r="F5904" t="s">
        <v>28</v>
      </c>
      <c r="G5904">
        <v>1</v>
      </c>
      <c r="H5904" s="2">
        <f>Tabelle13[[#This Row],[commits]]/Tabelle13[[#Totals],[commits]]</f>
        <v>4.6477904404246225E-6</v>
      </c>
      <c r="I5904" s="5">
        <f>Tabelle13[[#This Row],[%]]+I5903</f>
        <v>0.98539199464568972</v>
      </c>
      <c r="J5904" s="4">
        <f t="shared" si="217"/>
        <v>1.105583195135434E-4</v>
      </c>
      <c r="K5904" s="5">
        <f t="shared" si="218"/>
        <v>0.65251520176900213</v>
      </c>
    </row>
    <row r="5905" spans="1:11" x14ac:dyDescent="0.25">
      <c r="A5905" t="s">
        <v>6610</v>
      </c>
      <c r="C5905" t="s">
        <v>6611</v>
      </c>
      <c r="D5905" t="s">
        <v>5</v>
      </c>
      <c r="E5905" t="s">
        <v>6</v>
      </c>
      <c r="F5905" t="s">
        <v>28</v>
      </c>
      <c r="G5905">
        <v>1</v>
      </c>
      <c r="H5905" s="2">
        <f>Tabelle13[[#This Row],[commits]]/Tabelle13[[#Totals],[commits]]</f>
        <v>4.6477904404246225E-6</v>
      </c>
      <c r="I5905" s="5">
        <f>Tabelle13[[#This Row],[%]]+I5904</f>
        <v>0.98539664243613012</v>
      </c>
      <c r="J5905" s="4">
        <f t="shared" si="217"/>
        <v>1.105583195135434E-4</v>
      </c>
      <c r="K5905" s="5">
        <f t="shared" si="218"/>
        <v>0.65262576008851569</v>
      </c>
    </row>
    <row r="5906" spans="1:11" x14ac:dyDescent="0.25">
      <c r="A5906" t="s">
        <v>6612</v>
      </c>
      <c r="C5906" t="s">
        <v>6613</v>
      </c>
      <c r="D5906" t="s">
        <v>5</v>
      </c>
      <c r="E5906" t="s">
        <v>6</v>
      </c>
      <c r="F5906" t="s">
        <v>28</v>
      </c>
      <c r="G5906">
        <v>1</v>
      </c>
      <c r="H5906" s="2">
        <f>Tabelle13[[#This Row],[commits]]/Tabelle13[[#Totals],[commits]]</f>
        <v>4.6477904404246225E-6</v>
      </c>
      <c r="I5906" s="5">
        <f>Tabelle13[[#This Row],[%]]+I5905</f>
        <v>0.98540129022657053</v>
      </c>
      <c r="J5906" s="4">
        <f t="shared" si="217"/>
        <v>1.105583195135434E-4</v>
      </c>
      <c r="K5906" s="5">
        <f t="shared" si="218"/>
        <v>0.65273631840802926</v>
      </c>
    </row>
    <row r="5907" spans="1:11" x14ac:dyDescent="0.25">
      <c r="A5907" t="s">
        <v>6614</v>
      </c>
      <c r="C5907" t="s">
        <v>6615</v>
      </c>
      <c r="D5907" t="s">
        <v>5</v>
      </c>
      <c r="E5907" t="s">
        <v>6</v>
      </c>
      <c r="F5907" t="s">
        <v>28</v>
      </c>
      <c r="G5907">
        <v>1</v>
      </c>
      <c r="H5907" s="2">
        <f>Tabelle13[[#This Row],[commits]]/Tabelle13[[#Totals],[commits]]</f>
        <v>4.6477904404246225E-6</v>
      </c>
      <c r="I5907" s="5">
        <f>Tabelle13[[#This Row],[%]]+I5906</f>
        <v>0.98540593801701093</v>
      </c>
      <c r="J5907" s="4">
        <f t="shared" si="217"/>
        <v>1.105583195135434E-4</v>
      </c>
      <c r="K5907" s="5">
        <f t="shared" si="218"/>
        <v>0.65284687672754282</v>
      </c>
    </row>
    <row r="5908" spans="1:11" x14ac:dyDescent="0.25">
      <c r="A5908" t="s">
        <v>6616</v>
      </c>
      <c r="C5908" t="s">
        <v>6617</v>
      </c>
      <c r="D5908" t="s">
        <v>5</v>
      </c>
      <c r="E5908" t="s">
        <v>6</v>
      </c>
      <c r="F5908" t="s">
        <v>28</v>
      </c>
      <c r="G5908">
        <v>1</v>
      </c>
      <c r="H5908" s="2">
        <f>Tabelle13[[#This Row],[commits]]/Tabelle13[[#Totals],[commits]]</f>
        <v>4.6477904404246225E-6</v>
      </c>
      <c r="I5908" s="5">
        <f>Tabelle13[[#This Row],[%]]+I5907</f>
        <v>0.98541058580745133</v>
      </c>
      <c r="J5908" s="4">
        <f t="shared" si="217"/>
        <v>1.105583195135434E-4</v>
      </c>
      <c r="K5908" s="5">
        <f t="shared" si="218"/>
        <v>0.65295743504705639</v>
      </c>
    </row>
    <row r="5909" spans="1:11" x14ac:dyDescent="0.25">
      <c r="A5909" t="s">
        <v>6618</v>
      </c>
      <c r="C5909" t="s">
        <v>6619</v>
      </c>
      <c r="D5909" t="s">
        <v>5</v>
      </c>
      <c r="E5909" t="s">
        <v>6</v>
      </c>
      <c r="F5909" t="s">
        <v>28</v>
      </c>
      <c r="G5909">
        <v>1</v>
      </c>
      <c r="H5909" s="2">
        <f>Tabelle13[[#This Row],[commits]]/Tabelle13[[#Totals],[commits]]</f>
        <v>4.6477904404246225E-6</v>
      </c>
      <c r="I5909" s="5">
        <f>Tabelle13[[#This Row],[%]]+I5908</f>
        <v>0.98541523359789174</v>
      </c>
      <c r="J5909" s="4">
        <f t="shared" si="217"/>
        <v>1.105583195135434E-4</v>
      </c>
      <c r="K5909" s="5">
        <f t="shared" si="218"/>
        <v>0.65306799336656995</v>
      </c>
    </row>
    <row r="5910" spans="1:11" x14ac:dyDescent="0.25">
      <c r="A5910" t="s">
        <v>6620</v>
      </c>
      <c r="C5910" t="s">
        <v>6621</v>
      </c>
      <c r="D5910" t="s">
        <v>5</v>
      </c>
      <c r="E5910" t="s">
        <v>6</v>
      </c>
      <c r="F5910" t="s">
        <v>28</v>
      </c>
      <c r="G5910">
        <v>1</v>
      </c>
      <c r="H5910" s="2">
        <f>Tabelle13[[#This Row],[commits]]/Tabelle13[[#Totals],[commits]]</f>
        <v>4.6477904404246225E-6</v>
      </c>
      <c r="I5910" s="5">
        <f>Tabelle13[[#This Row],[%]]+I5909</f>
        <v>0.98541988138833214</v>
      </c>
      <c r="J5910" s="4">
        <f t="shared" si="217"/>
        <v>1.105583195135434E-4</v>
      </c>
      <c r="K5910" s="5">
        <f t="shared" si="218"/>
        <v>0.65317855168608352</v>
      </c>
    </row>
    <row r="5911" spans="1:11" x14ac:dyDescent="0.25">
      <c r="A5911" t="s">
        <v>6622</v>
      </c>
      <c r="C5911" t="s">
        <v>6623</v>
      </c>
      <c r="D5911" t="s">
        <v>5</v>
      </c>
      <c r="E5911" t="s">
        <v>6</v>
      </c>
      <c r="F5911" t="s">
        <v>28</v>
      </c>
      <c r="G5911">
        <v>1</v>
      </c>
      <c r="H5911" s="2">
        <f>Tabelle13[[#This Row],[commits]]/Tabelle13[[#Totals],[commits]]</f>
        <v>4.6477904404246225E-6</v>
      </c>
      <c r="I5911" s="5">
        <f>Tabelle13[[#This Row],[%]]+I5910</f>
        <v>0.98542452917877255</v>
      </c>
      <c r="J5911" s="4">
        <f t="shared" si="217"/>
        <v>1.105583195135434E-4</v>
      </c>
      <c r="K5911" s="5">
        <f t="shared" si="218"/>
        <v>0.65328911000559708</v>
      </c>
    </row>
    <row r="5912" spans="1:11" x14ac:dyDescent="0.25">
      <c r="A5912" t="s">
        <v>6624</v>
      </c>
      <c r="C5912" t="s">
        <v>6625</v>
      </c>
      <c r="D5912" t="s">
        <v>5</v>
      </c>
      <c r="E5912" t="s">
        <v>6</v>
      </c>
      <c r="F5912" t="s">
        <v>28</v>
      </c>
      <c r="G5912">
        <v>1</v>
      </c>
      <c r="H5912" s="2">
        <f>Tabelle13[[#This Row],[commits]]/Tabelle13[[#Totals],[commits]]</f>
        <v>4.6477904404246225E-6</v>
      </c>
      <c r="I5912" s="5">
        <f>Tabelle13[[#This Row],[%]]+I5911</f>
        <v>0.98542917696921295</v>
      </c>
      <c r="J5912" s="4">
        <f t="shared" si="217"/>
        <v>1.105583195135434E-4</v>
      </c>
      <c r="K5912" s="5">
        <f t="shared" si="218"/>
        <v>0.65339966832511065</v>
      </c>
    </row>
    <row r="5913" spans="1:11" x14ac:dyDescent="0.25">
      <c r="A5913" t="s">
        <v>6626</v>
      </c>
      <c r="C5913" t="s">
        <v>6627</v>
      </c>
      <c r="D5913" t="s">
        <v>5</v>
      </c>
      <c r="E5913" t="s">
        <v>6</v>
      </c>
      <c r="F5913" t="s">
        <v>28</v>
      </c>
      <c r="G5913">
        <v>1</v>
      </c>
      <c r="H5913" s="2">
        <f>Tabelle13[[#This Row],[commits]]/Tabelle13[[#Totals],[commits]]</f>
        <v>4.6477904404246225E-6</v>
      </c>
      <c r="I5913" s="5">
        <f>Tabelle13[[#This Row],[%]]+I5912</f>
        <v>0.98543382475965335</v>
      </c>
      <c r="J5913" s="4">
        <f t="shared" si="217"/>
        <v>1.105583195135434E-4</v>
      </c>
      <c r="K5913" s="5">
        <f t="shared" si="218"/>
        <v>0.65351022664462421</v>
      </c>
    </row>
    <row r="5914" spans="1:11" x14ac:dyDescent="0.25">
      <c r="A5914" t="s">
        <v>6628</v>
      </c>
      <c r="C5914" t="s">
        <v>6629</v>
      </c>
      <c r="D5914" t="s">
        <v>5</v>
      </c>
      <c r="E5914" t="s">
        <v>6</v>
      </c>
      <c r="F5914" t="s">
        <v>28</v>
      </c>
      <c r="G5914">
        <v>1</v>
      </c>
      <c r="H5914" s="2">
        <f>Tabelle13[[#This Row],[commits]]/Tabelle13[[#Totals],[commits]]</f>
        <v>4.6477904404246225E-6</v>
      </c>
      <c r="I5914" s="5">
        <f>Tabelle13[[#This Row],[%]]+I5913</f>
        <v>0.98543847255009376</v>
      </c>
      <c r="J5914" s="4">
        <f t="shared" si="217"/>
        <v>1.105583195135434E-4</v>
      </c>
      <c r="K5914" s="5">
        <f t="shared" si="218"/>
        <v>0.65362078496413778</v>
      </c>
    </row>
    <row r="5915" spans="1:11" x14ac:dyDescent="0.25">
      <c r="A5915" t="s">
        <v>6630</v>
      </c>
      <c r="C5915" t="s">
        <v>6631</v>
      </c>
      <c r="D5915" t="s">
        <v>5</v>
      </c>
      <c r="E5915" t="s">
        <v>6</v>
      </c>
      <c r="F5915" t="s">
        <v>28</v>
      </c>
      <c r="G5915">
        <v>1</v>
      </c>
      <c r="H5915" s="2">
        <f>Tabelle13[[#This Row],[commits]]/Tabelle13[[#Totals],[commits]]</f>
        <v>4.6477904404246225E-6</v>
      </c>
      <c r="I5915" s="5">
        <f>Tabelle13[[#This Row],[%]]+I5914</f>
        <v>0.98544312034053416</v>
      </c>
      <c r="J5915" s="4">
        <f t="shared" si="217"/>
        <v>1.105583195135434E-4</v>
      </c>
      <c r="K5915" s="5">
        <f t="shared" si="218"/>
        <v>0.65373134328365134</v>
      </c>
    </row>
    <row r="5916" spans="1:11" x14ac:dyDescent="0.25">
      <c r="A5916" t="s">
        <v>6632</v>
      </c>
      <c r="C5916" t="s">
        <v>6633</v>
      </c>
      <c r="D5916" t="s">
        <v>5</v>
      </c>
      <c r="E5916" t="s">
        <v>6</v>
      </c>
      <c r="F5916" t="s">
        <v>28</v>
      </c>
      <c r="G5916">
        <v>1</v>
      </c>
      <c r="H5916" s="2">
        <f>Tabelle13[[#This Row],[commits]]/Tabelle13[[#Totals],[commits]]</f>
        <v>4.6477904404246225E-6</v>
      </c>
      <c r="I5916" s="5">
        <f>Tabelle13[[#This Row],[%]]+I5915</f>
        <v>0.98544776813097457</v>
      </c>
      <c r="J5916" s="4">
        <f t="shared" si="217"/>
        <v>1.105583195135434E-4</v>
      </c>
      <c r="K5916" s="5">
        <f t="shared" si="218"/>
        <v>0.65384190160316491</v>
      </c>
    </row>
    <row r="5917" spans="1:11" x14ac:dyDescent="0.25">
      <c r="A5917" t="s">
        <v>6634</v>
      </c>
      <c r="C5917" t="s">
        <v>6635</v>
      </c>
      <c r="D5917" t="s">
        <v>5</v>
      </c>
      <c r="E5917" t="s">
        <v>6</v>
      </c>
      <c r="F5917" t="s">
        <v>28</v>
      </c>
      <c r="G5917">
        <v>1</v>
      </c>
      <c r="H5917" s="2">
        <f>Tabelle13[[#This Row],[commits]]/Tabelle13[[#Totals],[commits]]</f>
        <v>4.6477904404246225E-6</v>
      </c>
      <c r="I5917" s="5">
        <f>Tabelle13[[#This Row],[%]]+I5916</f>
        <v>0.98545241592141497</v>
      </c>
      <c r="J5917" s="4">
        <f t="shared" si="217"/>
        <v>1.105583195135434E-4</v>
      </c>
      <c r="K5917" s="5">
        <f t="shared" si="218"/>
        <v>0.65395245992267848</v>
      </c>
    </row>
    <row r="5918" spans="1:11" x14ac:dyDescent="0.25">
      <c r="A5918" t="s">
        <v>6636</v>
      </c>
      <c r="C5918" t="s">
        <v>6637</v>
      </c>
      <c r="D5918" t="s">
        <v>5</v>
      </c>
      <c r="E5918" t="s">
        <v>6</v>
      </c>
      <c r="F5918" t="s">
        <v>28</v>
      </c>
      <c r="G5918">
        <v>1</v>
      </c>
      <c r="H5918" s="2">
        <f>Tabelle13[[#This Row],[commits]]/Tabelle13[[#Totals],[commits]]</f>
        <v>4.6477904404246225E-6</v>
      </c>
      <c r="I5918" s="5">
        <f>Tabelle13[[#This Row],[%]]+I5917</f>
        <v>0.98545706371185537</v>
      </c>
      <c r="J5918" s="4">
        <f t="shared" si="217"/>
        <v>1.105583195135434E-4</v>
      </c>
      <c r="K5918" s="5">
        <f t="shared" si="218"/>
        <v>0.65406301824219204</v>
      </c>
    </row>
    <row r="5919" spans="1:11" x14ac:dyDescent="0.25">
      <c r="A5919" t="s">
        <v>6638</v>
      </c>
      <c r="C5919" t="s">
        <v>6639</v>
      </c>
      <c r="D5919" t="s">
        <v>5</v>
      </c>
      <c r="E5919" t="s">
        <v>6</v>
      </c>
      <c r="F5919" t="s">
        <v>28</v>
      </c>
      <c r="G5919">
        <v>1</v>
      </c>
      <c r="H5919" s="2">
        <f>Tabelle13[[#This Row],[commits]]/Tabelle13[[#Totals],[commits]]</f>
        <v>4.6477904404246225E-6</v>
      </c>
      <c r="I5919" s="5">
        <f>Tabelle13[[#This Row],[%]]+I5918</f>
        <v>0.98546171150229578</v>
      </c>
      <c r="J5919" s="4">
        <f t="shared" si="217"/>
        <v>1.105583195135434E-4</v>
      </c>
      <c r="K5919" s="5">
        <f t="shared" si="218"/>
        <v>0.65417357656170561</v>
      </c>
    </row>
    <row r="5920" spans="1:11" x14ac:dyDescent="0.25">
      <c r="A5920" t="s">
        <v>6640</v>
      </c>
      <c r="C5920" t="s">
        <v>6641</v>
      </c>
      <c r="D5920" t="s">
        <v>5</v>
      </c>
      <c r="E5920" t="s">
        <v>6</v>
      </c>
      <c r="F5920" t="s">
        <v>28</v>
      </c>
      <c r="G5920">
        <v>1</v>
      </c>
      <c r="H5920" s="2">
        <f>Tabelle13[[#This Row],[commits]]/Tabelle13[[#Totals],[commits]]</f>
        <v>4.6477904404246225E-6</v>
      </c>
      <c r="I5920" s="5">
        <f>Tabelle13[[#This Row],[%]]+I5919</f>
        <v>0.98546635929273618</v>
      </c>
      <c r="J5920" s="4">
        <f t="shared" si="217"/>
        <v>1.105583195135434E-4</v>
      </c>
      <c r="K5920" s="5">
        <f t="shared" si="218"/>
        <v>0.65428413488121917</v>
      </c>
    </row>
    <row r="5921" spans="1:11" x14ac:dyDescent="0.25">
      <c r="A5921" t="s">
        <v>6642</v>
      </c>
      <c r="C5921" t="s">
        <v>6643</v>
      </c>
      <c r="D5921" t="s">
        <v>5</v>
      </c>
      <c r="E5921" t="s">
        <v>6</v>
      </c>
      <c r="F5921" t="s">
        <v>28</v>
      </c>
      <c r="G5921">
        <v>1</v>
      </c>
      <c r="H5921" s="2">
        <f>Tabelle13[[#This Row],[commits]]/Tabelle13[[#Totals],[commits]]</f>
        <v>4.6477904404246225E-6</v>
      </c>
      <c r="I5921" s="5">
        <f>Tabelle13[[#This Row],[%]]+I5920</f>
        <v>0.98547100708317659</v>
      </c>
      <c r="J5921" s="4">
        <f t="shared" si="217"/>
        <v>1.105583195135434E-4</v>
      </c>
      <c r="K5921" s="5">
        <f t="shared" si="218"/>
        <v>0.65439469320073274</v>
      </c>
    </row>
    <row r="5922" spans="1:11" x14ac:dyDescent="0.25">
      <c r="A5922" t="s">
        <v>6644</v>
      </c>
      <c r="C5922" t="s">
        <v>6645</v>
      </c>
      <c r="D5922" t="s">
        <v>5</v>
      </c>
      <c r="E5922" t="s">
        <v>6</v>
      </c>
      <c r="F5922" t="s">
        <v>28</v>
      </c>
      <c r="G5922">
        <v>1</v>
      </c>
      <c r="H5922" s="2">
        <f>Tabelle13[[#This Row],[commits]]/Tabelle13[[#Totals],[commits]]</f>
        <v>4.6477904404246225E-6</v>
      </c>
      <c r="I5922" s="5">
        <f>Tabelle13[[#This Row],[%]]+I5921</f>
        <v>0.98547565487361699</v>
      </c>
      <c r="J5922" s="4">
        <f t="shared" si="217"/>
        <v>1.105583195135434E-4</v>
      </c>
      <c r="K5922" s="5">
        <f t="shared" si="218"/>
        <v>0.6545052515202463</v>
      </c>
    </row>
    <row r="5923" spans="1:11" x14ac:dyDescent="0.25">
      <c r="A5923" t="s">
        <v>6646</v>
      </c>
      <c r="C5923" t="s">
        <v>6647</v>
      </c>
      <c r="D5923" t="s">
        <v>5</v>
      </c>
      <c r="E5923" t="s">
        <v>6</v>
      </c>
      <c r="F5923" t="s">
        <v>28</v>
      </c>
      <c r="G5923">
        <v>1</v>
      </c>
      <c r="H5923" s="2">
        <f>Tabelle13[[#This Row],[commits]]/Tabelle13[[#Totals],[commits]]</f>
        <v>4.6477904404246225E-6</v>
      </c>
      <c r="I5923" s="5">
        <f>Tabelle13[[#This Row],[%]]+I5922</f>
        <v>0.98548030266405739</v>
      </c>
      <c r="J5923" s="4">
        <f t="shared" si="217"/>
        <v>1.105583195135434E-4</v>
      </c>
      <c r="K5923" s="5">
        <f t="shared" si="218"/>
        <v>0.65461580983975987</v>
      </c>
    </row>
    <row r="5924" spans="1:11" x14ac:dyDescent="0.25">
      <c r="A5924" t="s">
        <v>6648</v>
      </c>
      <c r="C5924" t="s">
        <v>6649</v>
      </c>
      <c r="D5924" t="s">
        <v>5</v>
      </c>
      <c r="E5924" t="s">
        <v>6</v>
      </c>
      <c r="F5924" t="s">
        <v>28</v>
      </c>
      <c r="G5924">
        <v>1</v>
      </c>
      <c r="H5924" s="2">
        <f>Tabelle13[[#This Row],[commits]]/Tabelle13[[#Totals],[commits]]</f>
        <v>4.6477904404246225E-6</v>
      </c>
      <c r="I5924" s="5">
        <f>Tabelle13[[#This Row],[%]]+I5923</f>
        <v>0.9854849504544978</v>
      </c>
      <c r="J5924" s="4">
        <f t="shared" si="217"/>
        <v>1.105583195135434E-4</v>
      </c>
      <c r="K5924" s="5">
        <f t="shared" si="218"/>
        <v>0.65472636815927343</v>
      </c>
    </row>
    <row r="5925" spans="1:11" x14ac:dyDescent="0.25">
      <c r="A5925" t="s">
        <v>6650</v>
      </c>
      <c r="C5925" t="s">
        <v>6651</v>
      </c>
      <c r="D5925" t="s">
        <v>5</v>
      </c>
      <c r="E5925" t="s">
        <v>6</v>
      </c>
      <c r="F5925" t="s">
        <v>28</v>
      </c>
      <c r="G5925">
        <v>1</v>
      </c>
      <c r="H5925" s="2">
        <f>Tabelle13[[#This Row],[commits]]/Tabelle13[[#Totals],[commits]]</f>
        <v>4.6477904404246225E-6</v>
      </c>
      <c r="I5925" s="5">
        <f>Tabelle13[[#This Row],[%]]+I5924</f>
        <v>0.9854895982449382</v>
      </c>
      <c r="J5925" s="4">
        <f t="shared" si="217"/>
        <v>1.105583195135434E-4</v>
      </c>
      <c r="K5925" s="5">
        <f t="shared" si="218"/>
        <v>0.654836926478787</v>
      </c>
    </row>
    <row r="5926" spans="1:11" x14ac:dyDescent="0.25">
      <c r="A5926" t="s">
        <v>6652</v>
      </c>
      <c r="C5926" t="s">
        <v>6653</v>
      </c>
      <c r="D5926" t="s">
        <v>5</v>
      </c>
      <c r="E5926" t="s">
        <v>6</v>
      </c>
      <c r="F5926" t="s">
        <v>28</v>
      </c>
      <c r="G5926">
        <v>1</v>
      </c>
      <c r="H5926" s="2">
        <f>Tabelle13[[#This Row],[commits]]/Tabelle13[[#Totals],[commits]]</f>
        <v>4.6477904404246225E-6</v>
      </c>
      <c r="I5926" s="5">
        <f>Tabelle13[[#This Row],[%]]+I5925</f>
        <v>0.98549424603537861</v>
      </c>
      <c r="J5926" s="4">
        <f t="shared" si="217"/>
        <v>1.105583195135434E-4</v>
      </c>
      <c r="K5926" s="5">
        <f t="shared" si="218"/>
        <v>0.65494748479830056</v>
      </c>
    </row>
    <row r="5927" spans="1:11" x14ac:dyDescent="0.25">
      <c r="A5927" t="s">
        <v>6654</v>
      </c>
      <c r="C5927" t="s">
        <v>2041</v>
      </c>
      <c r="D5927" t="s">
        <v>5</v>
      </c>
      <c r="E5927" t="s">
        <v>6</v>
      </c>
      <c r="F5927" t="s">
        <v>28</v>
      </c>
      <c r="G5927">
        <v>1</v>
      </c>
      <c r="H5927" s="2">
        <f>Tabelle13[[#This Row],[commits]]/Tabelle13[[#Totals],[commits]]</f>
        <v>4.6477904404246225E-6</v>
      </c>
      <c r="I5927" s="5">
        <f>Tabelle13[[#This Row],[%]]+I5926</f>
        <v>0.98549889382581901</v>
      </c>
      <c r="J5927" s="4">
        <f t="shared" si="217"/>
        <v>1.105583195135434E-4</v>
      </c>
      <c r="K5927" s="5">
        <f t="shared" si="218"/>
        <v>0.65505804311781413</v>
      </c>
    </row>
    <row r="5928" spans="1:11" x14ac:dyDescent="0.25">
      <c r="A5928" t="s">
        <v>6655</v>
      </c>
      <c r="C5928" t="s">
        <v>6656</v>
      </c>
      <c r="D5928" t="s">
        <v>5</v>
      </c>
      <c r="E5928" t="s">
        <v>6</v>
      </c>
      <c r="F5928" t="s">
        <v>28</v>
      </c>
      <c r="G5928">
        <v>1</v>
      </c>
      <c r="H5928" s="2">
        <f>Tabelle13[[#This Row],[commits]]/Tabelle13[[#Totals],[commits]]</f>
        <v>4.6477904404246225E-6</v>
      </c>
      <c r="I5928" s="5">
        <f>Tabelle13[[#This Row],[%]]+I5927</f>
        <v>0.98550354161625942</v>
      </c>
      <c r="J5928" s="4">
        <f t="shared" si="217"/>
        <v>1.105583195135434E-4</v>
      </c>
      <c r="K5928" s="5">
        <f t="shared" si="218"/>
        <v>0.65516860143732769</v>
      </c>
    </row>
    <row r="5929" spans="1:11" x14ac:dyDescent="0.25">
      <c r="A5929" t="s">
        <v>6657</v>
      </c>
      <c r="C5929" t="s">
        <v>6658</v>
      </c>
      <c r="D5929" t="s">
        <v>5</v>
      </c>
      <c r="E5929" t="s">
        <v>6</v>
      </c>
      <c r="F5929" t="s">
        <v>28</v>
      </c>
      <c r="G5929">
        <v>1</v>
      </c>
      <c r="H5929" s="2">
        <f>Tabelle13[[#This Row],[commits]]/Tabelle13[[#Totals],[commits]]</f>
        <v>4.6477904404246225E-6</v>
      </c>
      <c r="I5929" s="5">
        <f>Tabelle13[[#This Row],[%]]+I5928</f>
        <v>0.98550818940669982</v>
      </c>
      <c r="J5929" s="4">
        <f t="shared" si="217"/>
        <v>1.105583195135434E-4</v>
      </c>
      <c r="K5929" s="5">
        <f t="shared" si="218"/>
        <v>0.65527915975684126</v>
      </c>
    </row>
    <row r="5930" spans="1:11" x14ac:dyDescent="0.25">
      <c r="A5930" t="s">
        <v>6659</v>
      </c>
      <c r="C5930" t="s">
        <v>6660</v>
      </c>
      <c r="D5930" t="s">
        <v>5</v>
      </c>
      <c r="E5930" t="s">
        <v>6</v>
      </c>
      <c r="F5930" t="s">
        <v>28</v>
      </c>
      <c r="G5930">
        <v>1</v>
      </c>
      <c r="H5930" s="2">
        <f>Tabelle13[[#This Row],[commits]]/Tabelle13[[#Totals],[commits]]</f>
        <v>4.6477904404246225E-6</v>
      </c>
      <c r="I5930" s="5">
        <f>Tabelle13[[#This Row],[%]]+I5929</f>
        <v>0.98551283719714022</v>
      </c>
      <c r="J5930" s="4">
        <f t="shared" si="217"/>
        <v>1.105583195135434E-4</v>
      </c>
      <c r="K5930" s="5">
        <f t="shared" si="218"/>
        <v>0.65538971807635482</v>
      </c>
    </row>
    <row r="5931" spans="1:11" x14ac:dyDescent="0.25">
      <c r="A5931" t="s">
        <v>6661</v>
      </c>
      <c r="C5931" t="s">
        <v>6662</v>
      </c>
      <c r="D5931" t="s">
        <v>5</v>
      </c>
      <c r="E5931" t="s">
        <v>6</v>
      </c>
      <c r="F5931" t="s">
        <v>28</v>
      </c>
      <c r="G5931">
        <v>1</v>
      </c>
      <c r="H5931" s="2">
        <f>Tabelle13[[#This Row],[commits]]/Tabelle13[[#Totals],[commits]]</f>
        <v>4.6477904404246225E-6</v>
      </c>
      <c r="I5931" s="5">
        <f>Tabelle13[[#This Row],[%]]+I5930</f>
        <v>0.98551748498758063</v>
      </c>
      <c r="J5931" s="4">
        <f t="shared" si="217"/>
        <v>1.105583195135434E-4</v>
      </c>
      <c r="K5931" s="5">
        <f t="shared" si="218"/>
        <v>0.65550027639586839</v>
      </c>
    </row>
    <row r="5932" spans="1:11" x14ac:dyDescent="0.25">
      <c r="A5932" t="s">
        <v>6663</v>
      </c>
      <c r="C5932" t="s">
        <v>6664</v>
      </c>
      <c r="D5932" t="s">
        <v>5</v>
      </c>
      <c r="E5932" t="s">
        <v>6</v>
      </c>
      <c r="F5932" t="s">
        <v>28</v>
      </c>
      <c r="G5932">
        <v>1</v>
      </c>
      <c r="H5932" s="2">
        <f>Tabelle13[[#This Row],[commits]]/Tabelle13[[#Totals],[commits]]</f>
        <v>4.6477904404246225E-6</v>
      </c>
      <c r="I5932" s="5">
        <f>Tabelle13[[#This Row],[%]]+I5931</f>
        <v>0.98552213277802103</v>
      </c>
      <c r="J5932" s="4">
        <f t="shared" si="217"/>
        <v>1.105583195135434E-4</v>
      </c>
      <c r="K5932" s="5">
        <f t="shared" si="218"/>
        <v>0.65561083471538195</v>
      </c>
    </row>
    <row r="5933" spans="1:11" x14ac:dyDescent="0.25">
      <c r="A5933" t="s">
        <v>6665</v>
      </c>
      <c r="C5933" t="s">
        <v>6666</v>
      </c>
      <c r="D5933" t="s">
        <v>5</v>
      </c>
      <c r="E5933" t="s">
        <v>6</v>
      </c>
      <c r="F5933" t="s">
        <v>28</v>
      </c>
      <c r="G5933">
        <v>1</v>
      </c>
      <c r="H5933" s="2">
        <f>Tabelle13[[#This Row],[commits]]/Tabelle13[[#Totals],[commits]]</f>
        <v>4.6477904404246225E-6</v>
      </c>
      <c r="I5933" s="5">
        <f>Tabelle13[[#This Row],[%]]+I5932</f>
        <v>0.98552678056846144</v>
      </c>
      <c r="J5933" s="4">
        <f t="shared" si="217"/>
        <v>1.105583195135434E-4</v>
      </c>
      <c r="K5933" s="5">
        <f t="shared" si="218"/>
        <v>0.65572139303489552</v>
      </c>
    </row>
    <row r="5934" spans="1:11" x14ac:dyDescent="0.25">
      <c r="A5934" t="s">
        <v>6667</v>
      </c>
      <c r="C5934" t="s">
        <v>6668</v>
      </c>
      <c r="D5934" t="s">
        <v>5</v>
      </c>
      <c r="E5934" t="s">
        <v>6</v>
      </c>
      <c r="F5934" t="s">
        <v>28</v>
      </c>
      <c r="G5934">
        <v>1</v>
      </c>
      <c r="H5934" s="2">
        <f>Tabelle13[[#This Row],[commits]]/Tabelle13[[#Totals],[commits]]</f>
        <v>4.6477904404246225E-6</v>
      </c>
      <c r="I5934" s="5">
        <f>Tabelle13[[#This Row],[%]]+I5933</f>
        <v>0.98553142835890184</v>
      </c>
      <c r="J5934" s="4">
        <f t="shared" si="217"/>
        <v>1.105583195135434E-4</v>
      </c>
      <c r="K5934" s="5">
        <f t="shared" si="218"/>
        <v>0.65583195135440908</v>
      </c>
    </row>
    <row r="5935" spans="1:11" x14ac:dyDescent="0.25">
      <c r="A5935" t="s">
        <v>6669</v>
      </c>
      <c r="C5935" t="s">
        <v>6670</v>
      </c>
      <c r="D5935" t="s">
        <v>5</v>
      </c>
      <c r="E5935" t="s">
        <v>6</v>
      </c>
      <c r="F5935" t="s">
        <v>28</v>
      </c>
      <c r="G5935">
        <v>1</v>
      </c>
      <c r="H5935" s="2">
        <f>Tabelle13[[#This Row],[commits]]/Tabelle13[[#Totals],[commits]]</f>
        <v>4.6477904404246225E-6</v>
      </c>
      <c r="I5935" s="5">
        <f>Tabelle13[[#This Row],[%]]+I5934</f>
        <v>0.98553607614934224</v>
      </c>
      <c r="J5935" s="4">
        <f t="shared" si="217"/>
        <v>1.105583195135434E-4</v>
      </c>
      <c r="K5935" s="5">
        <f t="shared" si="218"/>
        <v>0.65594250967392265</v>
      </c>
    </row>
    <row r="5936" spans="1:11" x14ac:dyDescent="0.25">
      <c r="A5936" t="s">
        <v>6671</v>
      </c>
      <c r="C5936" t="s">
        <v>6672</v>
      </c>
      <c r="D5936" t="s">
        <v>5</v>
      </c>
      <c r="E5936" t="s">
        <v>6</v>
      </c>
      <c r="F5936" t="s">
        <v>28</v>
      </c>
      <c r="G5936">
        <v>1</v>
      </c>
      <c r="H5936" s="2">
        <f>Tabelle13[[#This Row],[commits]]/Tabelle13[[#Totals],[commits]]</f>
        <v>4.6477904404246225E-6</v>
      </c>
      <c r="I5936" s="5">
        <f>Tabelle13[[#This Row],[%]]+I5935</f>
        <v>0.98554072393978265</v>
      </c>
      <c r="J5936" s="4">
        <f t="shared" si="217"/>
        <v>1.105583195135434E-4</v>
      </c>
      <c r="K5936" s="5">
        <f t="shared" si="218"/>
        <v>0.65605306799343621</v>
      </c>
    </row>
    <row r="5937" spans="1:11" x14ac:dyDescent="0.25">
      <c r="A5937" t="s">
        <v>6673</v>
      </c>
      <c r="C5937" t="s">
        <v>6674</v>
      </c>
      <c r="D5937" t="s">
        <v>5</v>
      </c>
      <c r="E5937" t="s">
        <v>6</v>
      </c>
      <c r="F5937" t="s">
        <v>28</v>
      </c>
      <c r="G5937">
        <v>1</v>
      </c>
      <c r="H5937" s="2">
        <f>Tabelle13[[#This Row],[commits]]/Tabelle13[[#Totals],[commits]]</f>
        <v>4.6477904404246225E-6</v>
      </c>
      <c r="I5937" s="5">
        <f>Tabelle13[[#This Row],[%]]+I5936</f>
        <v>0.98554537173022305</v>
      </c>
      <c r="J5937" s="4">
        <f t="shared" si="217"/>
        <v>1.105583195135434E-4</v>
      </c>
      <c r="K5937" s="5">
        <f t="shared" si="218"/>
        <v>0.65616362631294978</v>
      </c>
    </row>
    <row r="5938" spans="1:11" x14ac:dyDescent="0.25">
      <c r="A5938" t="s">
        <v>6675</v>
      </c>
      <c r="C5938" t="s">
        <v>6676</v>
      </c>
      <c r="D5938" t="s">
        <v>5</v>
      </c>
      <c r="E5938" t="s">
        <v>6</v>
      </c>
      <c r="F5938" t="s">
        <v>28</v>
      </c>
      <c r="G5938">
        <v>1</v>
      </c>
      <c r="H5938" s="2">
        <f>Tabelle13[[#This Row],[commits]]/Tabelle13[[#Totals],[commits]]</f>
        <v>4.6477904404246225E-6</v>
      </c>
      <c r="I5938" s="5">
        <f>Tabelle13[[#This Row],[%]]+I5937</f>
        <v>0.98555001952066346</v>
      </c>
      <c r="J5938" s="4">
        <f t="shared" si="217"/>
        <v>1.105583195135434E-4</v>
      </c>
      <c r="K5938" s="5">
        <f t="shared" si="218"/>
        <v>0.65627418463246334</v>
      </c>
    </row>
    <row r="5939" spans="1:11" x14ac:dyDescent="0.25">
      <c r="A5939" t="s">
        <v>6677</v>
      </c>
      <c r="C5939" t="s">
        <v>6678</v>
      </c>
      <c r="D5939" t="s">
        <v>5</v>
      </c>
      <c r="E5939" t="s">
        <v>6</v>
      </c>
      <c r="F5939" t="s">
        <v>28</v>
      </c>
      <c r="G5939">
        <v>1</v>
      </c>
      <c r="H5939" s="2">
        <f>Tabelle13[[#This Row],[commits]]/Tabelle13[[#Totals],[commits]]</f>
        <v>4.6477904404246225E-6</v>
      </c>
      <c r="I5939" s="5">
        <f>Tabelle13[[#This Row],[%]]+I5938</f>
        <v>0.98555466731110386</v>
      </c>
      <c r="J5939" s="4">
        <f t="shared" si="217"/>
        <v>1.105583195135434E-4</v>
      </c>
      <c r="K5939" s="5">
        <f t="shared" si="218"/>
        <v>0.65638474295197691</v>
      </c>
    </row>
    <row r="5940" spans="1:11" x14ac:dyDescent="0.25">
      <c r="A5940" t="s">
        <v>6679</v>
      </c>
      <c r="C5940" t="s">
        <v>6680</v>
      </c>
      <c r="D5940" t="s">
        <v>5</v>
      </c>
      <c r="E5940" t="s">
        <v>6</v>
      </c>
      <c r="F5940" t="s">
        <v>28</v>
      </c>
      <c r="G5940">
        <v>1</v>
      </c>
      <c r="H5940" s="2">
        <f>Tabelle13[[#This Row],[commits]]/Tabelle13[[#Totals],[commits]]</f>
        <v>4.6477904404246225E-6</v>
      </c>
      <c r="I5940" s="5">
        <f>Tabelle13[[#This Row],[%]]+I5939</f>
        <v>0.98555931510154426</v>
      </c>
      <c r="J5940" s="4">
        <f t="shared" si="217"/>
        <v>1.105583195135434E-4</v>
      </c>
      <c r="K5940" s="5">
        <f t="shared" si="218"/>
        <v>0.65649530127149047</v>
      </c>
    </row>
    <row r="5941" spans="1:11" x14ac:dyDescent="0.25">
      <c r="A5941" t="s">
        <v>6681</v>
      </c>
      <c r="C5941" t="s">
        <v>6682</v>
      </c>
      <c r="D5941" t="s">
        <v>5</v>
      </c>
      <c r="E5941" t="s">
        <v>6</v>
      </c>
      <c r="F5941" t="s">
        <v>28</v>
      </c>
      <c r="G5941">
        <v>1</v>
      </c>
      <c r="H5941" s="2">
        <f>Tabelle13[[#This Row],[commits]]/Tabelle13[[#Totals],[commits]]</f>
        <v>4.6477904404246225E-6</v>
      </c>
      <c r="I5941" s="5">
        <f>Tabelle13[[#This Row],[%]]+I5940</f>
        <v>0.98556396289198467</v>
      </c>
      <c r="J5941" s="4">
        <f t="shared" si="217"/>
        <v>1.105583195135434E-4</v>
      </c>
      <c r="K5941" s="5">
        <f t="shared" si="218"/>
        <v>0.65660585959100404</v>
      </c>
    </row>
    <row r="5942" spans="1:11" x14ac:dyDescent="0.25">
      <c r="A5942" t="s">
        <v>6683</v>
      </c>
      <c r="C5942" t="s">
        <v>6684</v>
      </c>
      <c r="D5942" t="s">
        <v>5</v>
      </c>
      <c r="E5942" t="s">
        <v>6</v>
      </c>
      <c r="F5942" t="s">
        <v>28</v>
      </c>
      <c r="G5942">
        <v>1</v>
      </c>
      <c r="H5942" s="2">
        <f>Tabelle13[[#This Row],[commits]]/Tabelle13[[#Totals],[commits]]</f>
        <v>4.6477904404246225E-6</v>
      </c>
      <c r="I5942" s="5">
        <f>Tabelle13[[#This Row],[%]]+I5941</f>
        <v>0.98556861068242507</v>
      </c>
      <c r="J5942" s="4">
        <f t="shared" si="217"/>
        <v>1.105583195135434E-4</v>
      </c>
      <c r="K5942" s="5">
        <f t="shared" si="218"/>
        <v>0.6567164179105176</v>
      </c>
    </row>
    <row r="5943" spans="1:11" x14ac:dyDescent="0.25">
      <c r="A5943" t="s">
        <v>6685</v>
      </c>
      <c r="C5943" t="s">
        <v>6686</v>
      </c>
      <c r="D5943" t="s">
        <v>5</v>
      </c>
      <c r="E5943" t="s">
        <v>6</v>
      </c>
      <c r="F5943" t="s">
        <v>28</v>
      </c>
      <c r="G5943">
        <v>1</v>
      </c>
      <c r="H5943" s="2">
        <f>Tabelle13[[#This Row],[commits]]/Tabelle13[[#Totals],[commits]]</f>
        <v>4.6477904404246225E-6</v>
      </c>
      <c r="I5943" s="5">
        <f>Tabelle13[[#This Row],[%]]+I5942</f>
        <v>0.98557325847286548</v>
      </c>
      <c r="J5943" s="4">
        <f t="shared" si="217"/>
        <v>1.105583195135434E-4</v>
      </c>
      <c r="K5943" s="5">
        <f t="shared" si="218"/>
        <v>0.65682697623003117</v>
      </c>
    </row>
    <row r="5944" spans="1:11" x14ac:dyDescent="0.25">
      <c r="A5944" t="s">
        <v>6687</v>
      </c>
      <c r="C5944" t="s">
        <v>6688</v>
      </c>
      <c r="D5944" t="s">
        <v>5</v>
      </c>
      <c r="E5944" t="s">
        <v>6</v>
      </c>
      <c r="F5944" t="s">
        <v>28</v>
      </c>
      <c r="G5944">
        <v>1</v>
      </c>
      <c r="H5944" s="2">
        <f>Tabelle13[[#This Row],[commits]]/Tabelle13[[#Totals],[commits]]</f>
        <v>4.6477904404246225E-6</v>
      </c>
      <c r="I5944" s="5">
        <f>Tabelle13[[#This Row],[%]]+I5943</f>
        <v>0.98557790626330588</v>
      </c>
      <c r="J5944" s="4">
        <f t="shared" si="217"/>
        <v>1.105583195135434E-4</v>
      </c>
      <c r="K5944" s="5">
        <f t="shared" si="218"/>
        <v>0.65693753454954473</v>
      </c>
    </row>
    <row r="5945" spans="1:11" x14ac:dyDescent="0.25">
      <c r="A5945" t="s">
        <v>6689</v>
      </c>
      <c r="C5945" t="s">
        <v>6690</v>
      </c>
      <c r="D5945" t="s">
        <v>5</v>
      </c>
      <c r="E5945" t="s">
        <v>6</v>
      </c>
      <c r="F5945" t="s">
        <v>28</v>
      </c>
      <c r="G5945">
        <v>1</v>
      </c>
      <c r="H5945" s="2">
        <f>Tabelle13[[#This Row],[commits]]/Tabelle13[[#Totals],[commits]]</f>
        <v>4.6477904404246225E-6</v>
      </c>
      <c r="I5945" s="5">
        <f>Tabelle13[[#This Row],[%]]+I5944</f>
        <v>0.98558255405374628</v>
      </c>
      <c r="J5945" s="4">
        <f t="shared" si="217"/>
        <v>1.105583195135434E-4</v>
      </c>
      <c r="K5945" s="5">
        <f t="shared" si="218"/>
        <v>0.6570480928690583</v>
      </c>
    </row>
    <row r="5946" spans="1:11" x14ac:dyDescent="0.25">
      <c r="A5946" t="s">
        <v>6691</v>
      </c>
      <c r="C5946" t="s">
        <v>4849</v>
      </c>
      <c r="D5946" t="s">
        <v>5</v>
      </c>
      <c r="E5946" t="s">
        <v>6</v>
      </c>
      <c r="F5946" t="s">
        <v>28</v>
      </c>
      <c r="G5946">
        <v>1</v>
      </c>
      <c r="H5946" s="2">
        <f>Tabelle13[[#This Row],[commits]]/Tabelle13[[#Totals],[commits]]</f>
        <v>4.6477904404246225E-6</v>
      </c>
      <c r="I5946" s="5">
        <f>Tabelle13[[#This Row],[%]]+I5945</f>
        <v>0.98558720184418669</v>
      </c>
      <c r="J5946" s="4">
        <f t="shared" si="217"/>
        <v>1.105583195135434E-4</v>
      </c>
      <c r="K5946" s="5">
        <f t="shared" si="218"/>
        <v>0.65715865118857186</v>
      </c>
    </row>
    <row r="5947" spans="1:11" x14ac:dyDescent="0.25">
      <c r="A5947" t="s">
        <v>6692</v>
      </c>
      <c r="C5947" t="s">
        <v>6693</v>
      </c>
      <c r="D5947" t="s">
        <v>5</v>
      </c>
      <c r="E5947" t="s">
        <v>6</v>
      </c>
      <c r="F5947" t="s">
        <v>28</v>
      </c>
      <c r="G5947">
        <v>1</v>
      </c>
      <c r="H5947" s="2">
        <f>Tabelle13[[#This Row],[commits]]/Tabelle13[[#Totals],[commits]]</f>
        <v>4.6477904404246225E-6</v>
      </c>
      <c r="I5947" s="5">
        <f>Tabelle13[[#This Row],[%]]+I5946</f>
        <v>0.98559184963462709</v>
      </c>
      <c r="J5947" s="4">
        <f t="shared" si="217"/>
        <v>1.105583195135434E-4</v>
      </c>
      <c r="K5947" s="5">
        <f t="shared" si="218"/>
        <v>0.65726920950808543</v>
      </c>
    </row>
    <row r="5948" spans="1:11" x14ac:dyDescent="0.25">
      <c r="A5948" t="s">
        <v>6694</v>
      </c>
      <c r="C5948" t="s">
        <v>6695</v>
      </c>
      <c r="D5948" t="s">
        <v>5</v>
      </c>
      <c r="E5948" t="s">
        <v>6</v>
      </c>
      <c r="F5948" t="s">
        <v>28</v>
      </c>
      <c r="G5948">
        <v>1</v>
      </c>
      <c r="H5948" s="2">
        <f>Tabelle13[[#This Row],[commits]]/Tabelle13[[#Totals],[commits]]</f>
        <v>4.6477904404246225E-6</v>
      </c>
      <c r="I5948" s="5">
        <f>Tabelle13[[#This Row],[%]]+I5947</f>
        <v>0.9855964974250675</v>
      </c>
      <c r="J5948" s="4">
        <f t="shared" si="217"/>
        <v>1.105583195135434E-4</v>
      </c>
      <c r="K5948" s="5">
        <f t="shared" si="218"/>
        <v>0.65737976782759899</v>
      </c>
    </row>
    <row r="5949" spans="1:11" x14ac:dyDescent="0.25">
      <c r="A5949" t="s">
        <v>6696</v>
      </c>
      <c r="C5949" t="s">
        <v>6697</v>
      </c>
      <c r="D5949" t="s">
        <v>5</v>
      </c>
      <c r="E5949" t="s">
        <v>6</v>
      </c>
      <c r="F5949" t="s">
        <v>28</v>
      </c>
      <c r="G5949">
        <v>1</v>
      </c>
      <c r="H5949" s="2">
        <f>Tabelle13[[#This Row],[commits]]/Tabelle13[[#Totals],[commits]]</f>
        <v>4.6477904404246225E-6</v>
      </c>
      <c r="I5949" s="5">
        <f>Tabelle13[[#This Row],[%]]+I5948</f>
        <v>0.9856011452155079</v>
      </c>
      <c r="J5949" s="4">
        <f t="shared" si="217"/>
        <v>1.105583195135434E-4</v>
      </c>
      <c r="K5949" s="5">
        <f t="shared" si="218"/>
        <v>0.65749032614711256</v>
      </c>
    </row>
    <row r="5950" spans="1:11" x14ac:dyDescent="0.25">
      <c r="A5950" t="s">
        <v>6698</v>
      </c>
      <c r="C5950" t="s">
        <v>6699</v>
      </c>
      <c r="D5950" t="s">
        <v>5</v>
      </c>
      <c r="E5950" t="s">
        <v>6</v>
      </c>
      <c r="F5950" t="s">
        <v>28</v>
      </c>
      <c r="G5950">
        <v>1</v>
      </c>
      <c r="H5950" s="2">
        <f>Tabelle13[[#This Row],[commits]]/Tabelle13[[#Totals],[commits]]</f>
        <v>4.6477904404246225E-6</v>
      </c>
      <c r="I5950" s="5">
        <f>Tabelle13[[#This Row],[%]]+I5949</f>
        <v>0.98560579300594831</v>
      </c>
      <c r="J5950" s="4">
        <f t="shared" si="217"/>
        <v>1.105583195135434E-4</v>
      </c>
      <c r="K5950" s="5">
        <f t="shared" si="218"/>
        <v>0.65760088446662612</v>
      </c>
    </row>
    <row r="5951" spans="1:11" x14ac:dyDescent="0.25">
      <c r="A5951" t="s">
        <v>6700</v>
      </c>
      <c r="C5951" t="s">
        <v>6701</v>
      </c>
      <c r="D5951" t="s">
        <v>6702</v>
      </c>
      <c r="E5951" t="s">
        <v>6</v>
      </c>
      <c r="F5951" t="s">
        <v>28</v>
      </c>
      <c r="G5951">
        <v>1</v>
      </c>
      <c r="H5951" s="2">
        <f>Tabelle13[[#This Row],[commits]]/Tabelle13[[#Totals],[commits]]</f>
        <v>4.6477904404246225E-6</v>
      </c>
      <c r="I5951" s="5">
        <f>Tabelle13[[#This Row],[%]]+I5950</f>
        <v>0.98561044079638871</v>
      </c>
      <c r="J5951" s="4">
        <f t="shared" si="217"/>
        <v>1.105583195135434E-4</v>
      </c>
      <c r="K5951" s="5">
        <f t="shared" si="218"/>
        <v>0.65771144278613969</v>
      </c>
    </row>
    <row r="5952" spans="1:11" x14ac:dyDescent="0.25">
      <c r="A5952" t="s">
        <v>6703</v>
      </c>
      <c r="C5952" t="s">
        <v>6704</v>
      </c>
      <c r="D5952" t="s">
        <v>5</v>
      </c>
      <c r="E5952" t="s">
        <v>6</v>
      </c>
      <c r="F5952" t="s">
        <v>28</v>
      </c>
      <c r="G5952">
        <v>1</v>
      </c>
      <c r="H5952" s="2">
        <f>Tabelle13[[#This Row],[commits]]/Tabelle13[[#Totals],[commits]]</f>
        <v>4.6477904404246225E-6</v>
      </c>
      <c r="I5952" s="5">
        <f>Tabelle13[[#This Row],[%]]+I5951</f>
        <v>0.98561508858682911</v>
      </c>
      <c r="J5952" s="4">
        <f t="shared" si="217"/>
        <v>1.105583195135434E-4</v>
      </c>
      <c r="K5952" s="5">
        <f t="shared" si="218"/>
        <v>0.65782200110565325</v>
      </c>
    </row>
    <row r="5953" spans="1:11" x14ac:dyDescent="0.25">
      <c r="A5953" t="s">
        <v>6705</v>
      </c>
      <c r="C5953" t="s">
        <v>6706</v>
      </c>
      <c r="D5953" t="s">
        <v>5</v>
      </c>
      <c r="E5953" t="s">
        <v>6</v>
      </c>
      <c r="F5953" t="s">
        <v>28</v>
      </c>
      <c r="G5953">
        <v>1</v>
      </c>
      <c r="H5953" s="2">
        <f>Tabelle13[[#This Row],[commits]]/Tabelle13[[#Totals],[commits]]</f>
        <v>4.6477904404246225E-6</v>
      </c>
      <c r="I5953" s="5">
        <f>Tabelle13[[#This Row],[%]]+I5952</f>
        <v>0.98561973637726952</v>
      </c>
      <c r="J5953" s="4">
        <f t="shared" si="217"/>
        <v>1.105583195135434E-4</v>
      </c>
      <c r="K5953" s="5">
        <f t="shared" si="218"/>
        <v>0.65793255942516682</v>
      </c>
    </row>
    <row r="5954" spans="1:11" x14ac:dyDescent="0.25">
      <c r="A5954" t="s">
        <v>6707</v>
      </c>
      <c r="C5954" t="s">
        <v>6708</v>
      </c>
      <c r="D5954" t="s">
        <v>5</v>
      </c>
      <c r="E5954" t="s">
        <v>6</v>
      </c>
      <c r="F5954" t="s">
        <v>28</v>
      </c>
      <c r="G5954">
        <v>1</v>
      </c>
      <c r="H5954" s="2">
        <f>Tabelle13[[#This Row],[commits]]/Tabelle13[[#Totals],[commits]]</f>
        <v>4.6477904404246225E-6</v>
      </c>
      <c r="I5954" s="5">
        <f>Tabelle13[[#This Row],[%]]+I5953</f>
        <v>0.98562438416770992</v>
      </c>
      <c r="J5954" s="4">
        <f t="shared" si="217"/>
        <v>1.105583195135434E-4</v>
      </c>
      <c r="K5954" s="5">
        <f t="shared" si="218"/>
        <v>0.65804311774468038</v>
      </c>
    </row>
    <row r="5955" spans="1:11" x14ac:dyDescent="0.25">
      <c r="A5955" t="s">
        <v>6709</v>
      </c>
      <c r="C5955" t="s">
        <v>6710</v>
      </c>
      <c r="D5955" t="s">
        <v>5</v>
      </c>
      <c r="E5955" t="s">
        <v>6</v>
      </c>
      <c r="F5955" t="s">
        <v>28</v>
      </c>
      <c r="G5955">
        <v>1</v>
      </c>
      <c r="H5955" s="2">
        <f>Tabelle13[[#This Row],[commits]]/Tabelle13[[#Totals],[commits]]</f>
        <v>4.6477904404246225E-6</v>
      </c>
      <c r="I5955" s="5">
        <f>Tabelle13[[#This Row],[%]]+I5954</f>
        <v>0.98562903195815033</v>
      </c>
      <c r="J5955" s="4">
        <f t="shared" ref="J5955:J6018" si="219">1/9045</f>
        <v>1.105583195135434E-4</v>
      </c>
      <c r="K5955" s="5">
        <f t="shared" si="218"/>
        <v>0.65815367606419395</v>
      </c>
    </row>
    <row r="5956" spans="1:11" x14ac:dyDescent="0.25">
      <c r="A5956" t="s">
        <v>6711</v>
      </c>
      <c r="C5956" t="s">
        <v>6712</v>
      </c>
      <c r="D5956" t="s">
        <v>5</v>
      </c>
      <c r="E5956" t="s">
        <v>6</v>
      </c>
      <c r="F5956" t="s">
        <v>28</v>
      </c>
      <c r="G5956">
        <v>1</v>
      </c>
      <c r="H5956" s="2">
        <f>Tabelle13[[#This Row],[commits]]/Tabelle13[[#Totals],[commits]]</f>
        <v>4.6477904404246225E-6</v>
      </c>
      <c r="I5956" s="5">
        <f>Tabelle13[[#This Row],[%]]+I5955</f>
        <v>0.98563367974859073</v>
      </c>
      <c r="J5956" s="4">
        <f t="shared" si="219"/>
        <v>1.105583195135434E-4</v>
      </c>
      <c r="K5956" s="5">
        <f t="shared" si="218"/>
        <v>0.65826423438370751</v>
      </c>
    </row>
    <row r="5957" spans="1:11" x14ac:dyDescent="0.25">
      <c r="A5957" t="s">
        <v>6713</v>
      </c>
      <c r="C5957" t="s">
        <v>11</v>
      </c>
      <c r="D5957" t="s">
        <v>5</v>
      </c>
      <c r="E5957" t="s">
        <v>6</v>
      </c>
      <c r="F5957" t="s">
        <v>28</v>
      </c>
      <c r="G5957">
        <v>1</v>
      </c>
      <c r="H5957" s="2">
        <f>Tabelle13[[#This Row],[commits]]/Tabelle13[[#Totals],[commits]]</f>
        <v>4.6477904404246225E-6</v>
      </c>
      <c r="I5957" s="5">
        <f>Tabelle13[[#This Row],[%]]+I5956</f>
        <v>0.98563832753903113</v>
      </c>
      <c r="J5957" s="4">
        <f t="shared" si="219"/>
        <v>1.105583195135434E-4</v>
      </c>
      <c r="K5957" s="5">
        <f t="shared" si="218"/>
        <v>0.65837479270322108</v>
      </c>
    </row>
    <row r="5958" spans="1:11" x14ac:dyDescent="0.25">
      <c r="A5958" t="s">
        <v>6714</v>
      </c>
      <c r="C5958" t="s">
        <v>11</v>
      </c>
      <c r="D5958" t="s">
        <v>5</v>
      </c>
      <c r="E5958" t="s">
        <v>6</v>
      </c>
      <c r="F5958" t="s">
        <v>28</v>
      </c>
      <c r="G5958">
        <v>1</v>
      </c>
      <c r="H5958" s="2">
        <f>Tabelle13[[#This Row],[commits]]/Tabelle13[[#Totals],[commits]]</f>
        <v>4.6477904404246225E-6</v>
      </c>
      <c r="I5958" s="5">
        <f>Tabelle13[[#This Row],[%]]+I5957</f>
        <v>0.98564297532947154</v>
      </c>
      <c r="J5958" s="4">
        <f t="shared" si="219"/>
        <v>1.105583195135434E-4</v>
      </c>
      <c r="K5958" s="5">
        <f t="shared" ref="K5958:K6021" si="220">J5958+K5957</f>
        <v>0.65848535102273464</v>
      </c>
    </row>
    <row r="5959" spans="1:11" x14ac:dyDescent="0.25">
      <c r="A5959" t="s">
        <v>6715</v>
      </c>
      <c r="C5959" t="s">
        <v>6716</v>
      </c>
      <c r="D5959" t="s">
        <v>5</v>
      </c>
      <c r="E5959" t="s">
        <v>6</v>
      </c>
      <c r="F5959" t="s">
        <v>28</v>
      </c>
      <c r="G5959">
        <v>1</v>
      </c>
      <c r="H5959" s="2">
        <f>Tabelle13[[#This Row],[commits]]/Tabelle13[[#Totals],[commits]]</f>
        <v>4.6477904404246225E-6</v>
      </c>
      <c r="I5959" s="5">
        <f>Tabelle13[[#This Row],[%]]+I5958</f>
        <v>0.98564762311991194</v>
      </c>
      <c r="J5959" s="4">
        <f t="shared" si="219"/>
        <v>1.105583195135434E-4</v>
      </c>
      <c r="K5959" s="5">
        <f t="shared" si="220"/>
        <v>0.65859590934224821</v>
      </c>
    </row>
    <row r="5960" spans="1:11" x14ac:dyDescent="0.25">
      <c r="A5960" t="s">
        <v>6717</v>
      </c>
      <c r="C5960" t="s">
        <v>6718</v>
      </c>
      <c r="D5960" t="s">
        <v>5</v>
      </c>
      <c r="E5960" t="s">
        <v>6</v>
      </c>
      <c r="F5960" t="s">
        <v>28</v>
      </c>
      <c r="G5960">
        <v>1</v>
      </c>
      <c r="H5960" s="2">
        <f>Tabelle13[[#This Row],[commits]]/Tabelle13[[#Totals],[commits]]</f>
        <v>4.6477904404246225E-6</v>
      </c>
      <c r="I5960" s="5">
        <f>Tabelle13[[#This Row],[%]]+I5959</f>
        <v>0.98565227091035235</v>
      </c>
      <c r="J5960" s="4">
        <f t="shared" si="219"/>
        <v>1.105583195135434E-4</v>
      </c>
      <c r="K5960" s="5">
        <f t="shared" si="220"/>
        <v>0.65870646766176177</v>
      </c>
    </row>
    <row r="5961" spans="1:11" x14ac:dyDescent="0.25">
      <c r="A5961" t="s">
        <v>6719</v>
      </c>
      <c r="C5961" t="s">
        <v>6720</v>
      </c>
      <c r="D5961" t="s">
        <v>5</v>
      </c>
      <c r="E5961" t="s">
        <v>6</v>
      </c>
      <c r="F5961" t="s">
        <v>28</v>
      </c>
      <c r="G5961">
        <v>1</v>
      </c>
      <c r="H5961" s="2">
        <f>Tabelle13[[#This Row],[commits]]/Tabelle13[[#Totals],[commits]]</f>
        <v>4.6477904404246225E-6</v>
      </c>
      <c r="I5961" s="5">
        <f>Tabelle13[[#This Row],[%]]+I5960</f>
        <v>0.98565691870079275</v>
      </c>
      <c r="J5961" s="4">
        <f t="shared" si="219"/>
        <v>1.105583195135434E-4</v>
      </c>
      <c r="K5961" s="5">
        <f t="shared" si="220"/>
        <v>0.65881702598127534</v>
      </c>
    </row>
    <row r="5962" spans="1:11" x14ac:dyDescent="0.25">
      <c r="A5962" t="s">
        <v>6721</v>
      </c>
      <c r="C5962" t="s">
        <v>6722</v>
      </c>
      <c r="D5962" t="s">
        <v>5</v>
      </c>
      <c r="E5962" t="s">
        <v>6</v>
      </c>
      <c r="F5962" t="s">
        <v>28</v>
      </c>
      <c r="G5962">
        <v>1</v>
      </c>
      <c r="H5962" s="2">
        <f>Tabelle13[[#This Row],[commits]]/Tabelle13[[#Totals],[commits]]</f>
        <v>4.6477904404246225E-6</v>
      </c>
      <c r="I5962" s="5">
        <f>Tabelle13[[#This Row],[%]]+I5961</f>
        <v>0.98566156649123315</v>
      </c>
      <c r="J5962" s="4">
        <f t="shared" si="219"/>
        <v>1.105583195135434E-4</v>
      </c>
      <c r="K5962" s="5">
        <f t="shared" si="220"/>
        <v>0.6589275843007889</v>
      </c>
    </row>
    <row r="5963" spans="1:11" x14ac:dyDescent="0.25">
      <c r="A5963" t="s">
        <v>6723</v>
      </c>
      <c r="C5963" t="s">
        <v>6724</v>
      </c>
      <c r="D5963" t="s">
        <v>5</v>
      </c>
      <c r="E5963" t="s">
        <v>6</v>
      </c>
      <c r="F5963" t="s">
        <v>28</v>
      </c>
      <c r="G5963">
        <v>1</v>
      </c>
      <c r="H5963" s="2">
        <f>Tabelle13[[#This Row],[commits]]/Tabelle13[[#Totals],[commits]]</f>
        <v>4.6477904404246225E-6</v>
      </c>
      <c r="I5963" s="5">
        <f>Tabelle13[[#This Row],[%]]+I5962</f>
        <v>0.98566621428167356</v>
      </c>
      <c r="J5963" s="4">
        <f t="shared" si="219"/>
        <v>1.105583195135434E-4</v>
      </c>
      <c r="K5963" s="5">
        <f t="shared" si="220"/>
        <v>0.65903814262030247</v>
      </c>
    </row>
    <row r="5964" spans="1:11" x14ac:dyDescent="0.25">
      <c r="A5964" t="s">
        <v>6725</v>
      </c>
      <c r="C5964" t="s">
        <v>6726</v>
      </c>
      <c r="D5964" t="s">
        <v>5</v>
      </c>
      <c r="E5964" t="s">
        <v>6</v>
      </c>
      <c r="F5964" t="s">
        <v>28</v>
      </c>
      <c r="G5964">
        <v>1</v>
      </c>
      <c r="H5964" s="2">
        <f>Tabelle13[[#This Row],[commits]]/Tabelle13[[#Totals],[commits]]</f>
        <v>4.6477904404246225E-6</v>
      </c>
      <c r="I5964" s="5">
        <f>Tabelle13[[#This Row],[%]]+I5963</f>
        <v>0.98567086207211396</v>
      </c>
      <c r="J5964" s="4">
        <f t="shared" si="219"/>
        <v>1.105583195135434E-4</v>
      </c>
      <c r="K5964" s="5">
        <f t="shared" si="220"/>
        <v>0.65914870093981603</v>
      </c>
    </row>
    <row r="5965" spans="1:11" x14ac:dyDescent="0.25">
      <c r="A5965" t="s">
        <v>6727</v>
      </c>
      <c r="C5965" t="s">
        <v>197</v>
      </c>
      <c r="D5965" t="s">
        <v>5</v>
      </c>
      <c r="E5965" t="s">
        <v>6</v>
      </c>
      <c r="F5965" t="s">
        <v>28</v>
      </c>
      <c r="G5965">
        <v>1</v>
      </c>
      <c r="H5965" s="2">
        <f>Tabelle13[[#This Row],[commits]]/Tabelle13[[#Totals],[commits]]</f>
        <v>4.6477904404246225E-6</v>
      </c>
      <c r="I5965" s="5">
        <f>Tabelle13[[#This Row],[%]]+I5964</f>
        <v>0.98567550986255437</v>
      </c>
      <c r="J5965" s="4">
        <f t="shared" si="219"/>
        <v>1.105583195135434E-4</v>
      </c>
      <c r="K5965" s="5">
        <f t="shared" si="220"/>
        <v>0.6592592592593296</v>
      </c>
    </row>
    <row r="5966" spans="1:11" x14ac:dyDescent="0.25">
      <c r="A5966" t="s">
        <v>6728</v>
      </c>
      <c r="C5966" t="s">
        <v>197</v>
      </c>
      <c r="D5966" t="s">
        <v>5</v>
      </c>
      <c r="E5966" t="s">
        <v>6</v>
      </c>
      <c r="F5966" t="s">
        <v>28</v>
      </c>
      <c r="G5966">
        <v>1</v>
      </c>
      <c r="H5966" s="2">
        <f>Tabelle13[[#This Row],[commits]]/Tabelle13[[#Totals],[commits]]</f>
        <v>4.6477904404246225E-6</v>
      </c>
      <c r="I5966" s="5">
        <f>Tabelle13[[#This Row],[%]]+I5965</f>
        <v>0.98568015765299477</v>
      </c>
      <c r="J5966" s="4">
        <f t="shared" si="219"/>
        <v>1.105583195135434E-4</v>
      </c>
      <c r="K5966" s="5">
        <f t="shared" si="220"/>
        <v>0.65936981757884316</v>
      </c>
    </row>
    <row r="5967" spans="1:11" x14ac:dyDescent="0.25">
      <c r="A5967" t="s">
        <v>6729</v>
      </c>
      <c r="C5967" t="s">
        <v>197</v>
      </c>
      <c r="D5967" t="s">
        <v>5</v>
      </c>
      <c r="E5967" t="s">
        <v>6</v>
      </c>
      <c r="F5967" t="s">
        <v>28</v>
      </c>
      <c r="G5967">
        <v>1</v>
      </c>
      <c r="H5967" s="2">
        <f>Tabelle13[[#This Row],[commits]]/Tabelle13[[#Totals],[commits]]</f>
        <v>4.6477904404246225E-6</v>
      </c>
      <c r="I5967" s="5">
        <f>Tabelle13[[#This Row],[%]]+I5966</f>
        <v>0.98568480544343517</v>
      </c>
      <c r="J5967" s="4">
        <f t="shared" si="219"/>
        <v>1.105583195135434E-4</v>
      </c>
      <c r="K5967" s="5">
        <f t="shared" si="220"/>
        <v>0.65948037589835673</v>
      </c>
    </row>
    <row r="5968" spans="1:11" x14ac:dyDescent="0.25">
      <c r="A5968" t="s">
        <v>6730</v>
      </c>
      <c r="C5968" t="s">
        <v>6731</v>
      </c>
      <c r="D5968" t="s">
        <v>5</v>
      </c>
      <c r="E5968" t="s">
        <v>6</v>
      </c>
      <c r="F5968" t="s">
        <v>28</v>
      </c>
      <c r="G5968">
        <v>1</v>
      </c>
      <c r="H5968" s="2">
        <f>Tabelle13[[#This Row],[commits]]/Tabelle13[[#Totals],[commits]]</f>
        <v>4.6477904404246225E-6</v>
      </c>
      <c r="I5968" s="5">
        <f>Tabelle13[[#This Row],[%]]+I5967</f>
        <v>0.98568945323387558</v>
      </c>
      <c r="J5968" s="4">
        <f t="shared" si="219"/>
        <v>1.105583195135434E-4</v>
      </c>
      <c r="K5968" s="5">
        <f t="shared" si="220"/>
        <v>0.65959093421787029</v>
      </c>
    </row>
    <row r="5969" spans="1:11" x14ac:dyDescent="0.25">
      <c r="A5969" t="s">
        <v>6732</v>
      </c>
      <c r="C5969" t="s">
        <v>6733</v>
      </c>
      <c r="D5969" t="s">
        <v>5</v>
      </c>
      <c r="E5969" t="s">
        <v>6</v>
      </c>
      <c r="F5969" t="s">
        <v>28</v>
      </c>
      <c r="G5969">
        <v>1</v>
      </c>
      <c r="H5969" s="2">
        <f>Tabelle13[[#This Row],[commits]]/Tabelle13[[#Totals],[commits]]</f>
        <v>4.6477904404246225E-6</v>
      </c>
      <c r="I5969" s="5">
        <f>Tabelle13[[#This Row],[%]]+I5968</f>
        <v>0.98569410102431598</v>
      </c>
      <c r="J5969" s="4">
        <f t="shared" si="219"/>
        <v>1.105583195135434E-4</v>
      </c>
      <c r="K5969" s="5">
        <f t="shared" si="220"/>
        <v>0.65970149253738386</v>
      </c>
    </row>
    <row r="5970" spans="1:11" x14ac:dyDescent="0.25">
      <c r="A5970" t="s">
        <v>6734</v>
      </c>
      <c r="C5970" t="s">
        <v>6735</v>
      </c>
      <c r="D5970" t="s">
        <v>5</v>
      </c>
      <c r="E5970" t="s">
        <v>6</v>
      </c>
      <c r="F5970" t="s">
        <v>28</v>
      </c>
      <c r="G5970">
        <v>1</v>
      </c>
      <c r="H5970" s="2">
        <f>Tabelle13[[#This Row],[commits]]/Tabelle13[[#Totals],[commits]]</f>
        <v>4.6477904404246225E-6</v>
      </c>
      <c r="I5970" s="5">
        <f>Tabelle13[[#This Row],[%]]+I5969</f>
        <v>0.98569874881475639</v>
      </c>
      <c r="J5970" s="4">
        <f t="shared" si="219"/>
        <v>1.105583195135434E-4</v>
      </c>
      <c r="K5970" s="5">
        <f t="shared" si="220"/>
        <v>0.65981205085689743</v>
      </c>
    </row>
    <row r="5971" spans="1:11" x14ac:dyDescent="0.25">
      <c r="A5971" t="s">
        <v>6736</v>
      </c>
      <c r="C5971" t="s">
        <v>6737</v>
      </c>
      <c r="D5971" t="s">
        <v>5</v>
      </c>
      <c r="E5971" t="s">
        <v>6</v>
      </c>
      <c r="F5971" t="s">
        <v>28</v>
      </c>
      <c r="G5971">
        <v>1</v>
      </c>
      <c r="H5971" s="2">
        <f>Tabelle13[[#This Row],[commits]]/Tabelle13[[#Totals],[commits]]</f>
        <v>4.6477904404246225E-6</v>
      </c>
      <c r="I5971" s="5">
        <f>Tabelle13[[#This Row],[%]]+I5970</f>
        <v>0.98570339660519679</v>
      </c>
      <c r="J5971" s="4">
        <f t="shared" si="219"/>
        <v>1.105583195135434E-4</v>
      </c>
      <c r="K5971" s="5">
        <f t="shared" si="220"/>
        <v>0.65992260917641099</v>
      </c>
    </row>
    <row r="5972" spans="1:11" x14ac:dyDescent="0.25">
      <c r="A5972" t="s">
        <v>6738</v>
      </c>
      <c r="C5972" t="s">
        <v>6739</v>
      </c>
      <c r="D5972" t="s">
        <v>5</v>
      </c>
      <c r="E5972" t="s">
        <v>6</v>
      </c>
      <c r="F5972" t="s">
        <v>28</v>
      </c>
      <c r="G5972">
        <v>1</v>
      </c>
      <c r="H5972" s="2">
        <f>Tabelle13[[#This Row],[commits]]/Tabelle13[[#Totals],[commits]]</f>
        <v>4.6477904404246225E-6</v>
      </c>
      <c r="I5972" s="5">
        <f>Tabelle13[[#This Row],[%]]+I5971</f>
        <v>0.9857080443956372</v>
      </c>
      <c r="J5972" s="4">
        <f t="shared" si="219"/>
        <v>1.105583195135434E-4</v>
      </c>
      <c r="K5972" s="5">
        <f t="shared" si="220"/>
        <v>0.66003316749592456</v>
      </c>
    </row>
    <row r="5973" spans="1:11" x14ac:dyDescent="0.25">
      <c r="A5973" t="s">
        <v>6740</v>
      </c>
      <c r="C5973" t="s">
        <v>6741</v>
      </c>
      <c r="D5973" t="s">
        <v>5</v>
      </c>
      <c r="E5973" t="s">
        <v>6</v>
      </c>
      <c r="F5973" t="s">
        <v>28</v>
      </c>
      <c r="G5973">
        <v>1</v>
      </c>
      <c r="H5973" s="2">
        <f>Tabelle13[[#This Row],[commits]]/Tabelle13[[#Totals],[commits]]</f>
        <v>4.6477904404246225E-6</v>
      </c>
      <c r="I5973" s="5">
        <f>Tabelle13[[#This Row],[%]]+I5972</f>
        <v>0.9857126921860776</v>
      </c>
      <c r="J5973" s="4">
        <f t="shared" si="219"/>
        <v>1.105583195135434E-4</v>
      </c>
      <c r="K5973" s="5">
        <f t="shared" si="220"/>
        <v>0.66014372581543812</v>
      </c>
    </row>
    <row r="5974" spans="1:11" x14ac:dyDescent="0.25">
      <c r="A5974" t="s">
        <v>6742</v>
      </c>
      <c r="C5974" t="s">
        <v>6743</v>
      </c>
      <c r="D5974" t="s">
        <v>5</v>
      </c>
      <c r="E5974" t="s">
        <v>6</v>
      </c>
      <c r="F5974" t="s">
        <v>28</v>
      </c>
      <c r="G5974">
        <v>1</v>
      </c>
      <c r="H5974" s="2">
        <f>Tabelle13[[#This Row],[commits]]/Tabelle13[[#Totals],[commits]]</f>
        <v>4.6477904404246225E-6</v>
      </c>
      <c r="I5974" s="5">
        <f>Tabelle13[[#This Row],[%]]+I5973</f>
        <v>0.985717339976518</v>
      </c>
      <c r="J5974" s="4">
        <f t="shared" si="219"/>
        <v>1.105583195135434E-4</v>
      </c>
      <c r="K5974" s="5">
        <f t="shared" si="220"/>
        <v>0.66025428413495169</v>
      </c>
    </row>
    <row r="5975" spans="1:11" x14ac:dyDescent="0.25">
      <c r="A5975" t="s">
        <v>6744</v>
      </c>
      <c r="C5975" t="s">
        <v>6743</v>
      </c>
      <c r="D5975" t="s">
        <v>5</v>
      </c>
      <c r="E5975" t="s">
        <v>6</v>
      </c>
      <c r="F5975" t="s">
        <v>28</v>
      </c>
      <c r="G5975">
        <v>1</v>
      </c>
      <c r="H5975" s="2">
        <f>Tabelle13[[#This Row],[commits]]/Tabelle13[[#Totals],[commits]]</f>
        <v>4.6477904404246225E-6</v>
      </c>
      <c r="I5975" s="5">
        <f>Tabelle13[[#This Row],[%]]+I5974</f>
        <v>0.98572198776695841</v>
      </c>
      <c r="J5975" s="4">
        <f t="shared" si="219"/>
        <v>1.105583195135434E-4</v>
      </c>
      <c r="K5975" s="5">
        <f t="shared" si="220"/>
        <v>0.66036484245446525</v>
      </c>
    </row>
    <row r="5976" spans="1:11" x14ac:dyDescent="0.25">
      <c r="A5976" t="s">
        <v>6745</v>
      </c>
      <c r="C5976" t="s">
        <v>6746</v>
      </c>
      <c r="D5976" t="s">
        <v>5</v>
      </c>
      <c r="E5976" t="s">
        <v>6</v>
      </c>
      <c r="F5976" t="s">
        <v>28</v>
      </c>
      <c r="G5976">
        <v>1</v>
      </c>
      <c r="H5976" s="2">
        <f>Tabelle13[[#This Row],[commits]]/Tabelle13[[#Totals],[commits]]</f>
        <v>4.6477904404246225E-6</v>
      </c>
      <c r="I5976" s="5">
        <f>Tabelle13[[#This Row],[%]]+I5975</f>
        <v>0.98572663555739881</v>
      </c>
      <c r="J5976" s="4">
        <f t="shared" si="219"/>
        <v>1.105583195135434E-4</v>
      </c>
      <c r="K5976" s="5">
        <f t="shared" si="220"/>
        <v>0.66047540077397882</v>
      </c>
    </row>
    <row r="5977" spans="1:11" x14ac:dyDescent="0.25">
      <c r="A5977" t="s">
        <v>6747</v>
      </c>
      <c r="C5977" t="s">
        <v>6748</v>
      </c>
      <c r="D5977" t="s">
        <v>5</v>
      </c>
      <c r="E5977" t="s">
        <v>6</v>
      </c>
      <c r="F5977" t="s">
        <v>28</v>
      </c>
      <c r="G5977">
        <v>1</v>
      </c>
      <c r="H5977" s="2">
        <f>Tabelle13[[#This Row],[commits]]/Tabelle13[[#Totals],[commits]]</f>
        <v>4.6477904404246225E-6</v>
      </c>
      <c r="I5977" s="5">
        <f>Tabelle13[[#This Row],[%]]+I5976</f>
        <v>0.98573128334783922</v>
      </c>
      <c r="J5977" s="4">
        <f t="shared" si="219"/>
        <v>1.105583195135434E-4</v>
      </c>
      <c r="K5977" s="5">
        <f t="shared" si="220"/>
        <v>0.66058595909349238</v>
      </c>
    </row>
    <row r="5978" spans="1:11" x14ac:dyDescent="0.25">
      <c r="A5978" t="s">
        <v>6749</v>
      </c>
      <c r="C5978" t="s">
        <v>6750</v>
      </c>
      <c r="D5978" t="s">
        <v>6751</v>
      </c>
      <c r="E5978" t="s">
        <v>6</v>
      </c>
      <c r="F5978" t="s">
        <v>28</v>
      </c>
      <c r="G5978">
        <v>1</v>
      </c>
      <c r="H5978" s="2">
        <f>Tabelle13[[#This Row],[commits]]/Tabelle13[[#Totals],[commits]]</f>
        <v>4.6477904404246225E-6</v>
      </c>
      <c r="I5978" s="5">
        <f>Tabelle13[[#This Row],[%]]+I5977</f>
        <v>0.98573593113827962</v>
      </c>
      <c r="J5978" s="4">
        <f t="shared" si="219"/>
        <v>1.105583195135434E-4</v>
      </c>
      <c r="K5978" s="5">
        <f t="shared" si="220"/>
        <v>0.66069651741300595</v>
      </c>
    </row>
    <row r="5979" spans="1:11" x14ac:dyDescent="0.25">
      <c r="A5979" t="s">
        <v>6752</v>
      </c>
      <c r="C5979" t="s">
        <v>6753</v>
      </c>
      <c r="D5979" t="s">
        <v>5</v>
      </c>
      <c r="E5979" t="s">
        <v>6</v>
      </c>
      <c r="F5979" t="s">
        <v>28</v>
      </c>
      <c r="G5979">
        <v>1</v>
      </c>
      <c r="H5979" s="2">
        <f>Tabelle13[[#This Row],[commits]]/Tabelle13[[#Totals],[commits]]</f>
        <v>4.6477904404246225E-6</v>
      </c>
      <c r="I5979" s="5">
        <f>Tabelle13[[#This Row],[%]]+I5978</f>
        <v>0.98574057892872002</v>
      </c>
      <c r="J5979" s="4">
        <f t="shared" si="219"/>
        <v>1.105583195135434E-4</v>
      </c>
      <c r="K5979" s="5">
        <f t="shared" si="220"/>
        <v>0.66080707573251951</v>
      </c>
    </row>
    <row r="5980" spans="1:11" x14ac:dyDescent="0.25">
      <c r="A5980" t="s">
        <v>6754</v>
      </c>
      <c r="C5980" t="s">
        <v>1843</v>
      </c>
      <c r="D5980" t="s">
        <v>5</v>
      </c>
      <c r="E5980" t="s">
        <v>6</v>
      </c>
      <c r="F5980" t="s">
        <v>28</v>
      </c>
      <c r="G5980">
        <v>1</v>
      </c>
      <c r="H5980" s="2">
        <f>Tabelle13[[#This Row],[commits]]/Tabelle13[[#Totals],[commits]]</f>
        <v>4.6477904404246225E-6</v>
      </c>
      <c r="I5980" s="5">
        <f>Tabelle13[[#This Row],[%]]+I5979</f>
        <v>0.98574522671916043</v>
      </c>
      <c r="J5980" s="4">
        <f t="shared" si="219"/>
        <v>1.105583195135434E-4</v>
      </c>
      <c r="K5980" s="5">
        <f t="shared" si="220"/>
        <v>0.66091763405203308</v>
      </c>
    </row>
    <row r="5981" spans="1:11" x14ac:dyDescent="0.25">
      <c r="A5981" t="s">
        <v>6755</v>
      </c>
      <c r="C5981" t="s">
        <v>6756</v>
      </c>
      <c r="D5981" t="s">
        <v>5</v>
      </c>
      <c r="E5981" t="s">
        <v>6</v>
      </c>
      <c r="F5981" t="s">
        <v>28</v>
      </c>
      <c r="G5981">
        <v>1</v>
      </c>
      <c r="H5981" s="2">
        <f>Tabelle13[[#This Row],[commits]]/Tabelle13[[#Totals],[commits]]</f>
        <v>4.6477904404246225E-6</v>
      </c>
      <c r="I5981" s="5">
        <f>Tabelle13[[#This Row],[%]]+I5980</f>
        <v>0.98574987450960083</v>
      </c>
      <c r="J5981" s="4">
        <f t="shared" si="219"/>
        <v>1.105583195135434E-4</v>
      </c>
      <c r="K5981" s="5">
        <f t="shared" si="220"/>
        <v>0.66102819237154664</v>
      </c>
    </row>
    <row r="5982" spans="1:11" x14ac:dyDescent="0.25">
      <c r="A5982" t="s">
        <v>6757</v>
      </c>
      <c r="C5982" t="s">
        <v>6758</v>
      </c>
      <c r="D5982" t="s">
        <v>5</v>
      </c>
      <c r="E5982" t="s">
        <v>6</v>
      </c>
      <c r="F5982" t="s">
        <v>28</v>
      </c>
      <c r="G5982">
        <v>1</v>
      </c>
      <c r="H5982" s="2">
        <f>Tabelle13[[#This Row],[commits]]/Tabelle13[[#Totals],[commits]]</f>
        <v>4.6477904404246225E-6</v>
      </c>
      <c r="I5982" s="5">
        <f>Tabelle13[[#This Row],[%]]+I5981</f>
        <v>0.98575452230004124</v>
      </c>
      <c r="J5982" s="4">
        <f t="shared" si="219"/>
        <v>1.105583195135434E-4</v>
      </c>
      <c r="K5982" s="5">
        <f t="shared" si="220"/>
        <v>0.66113875069106021</v>
      </c>
    </row>
    <row r="5983" spans="1:11" x14ac:dyDescent="0.25">
      <c r="A5983" t="s">
        <v>6759</v>
      </c>
      <c r="C5983" t="s">
        <v>1687</v>
      </c>
      <c r="D5983" t="s">
        <v>5</v>
      </c>
      <c r="E5983" t="s">
        <v>6</v>
      </c>
      <c r="F5983" t="s">
        <v>28</v>
      </c>
      <c r="G5983">
        <v>1</v>
      </c>
      <c r="H5983" s="2">
        <f>Tabelle13[[#This Row],[commits]]/Tabelle13[[#Totals],[commits]]</f>
        <v>4.6477904404246225E-6</v>
      </c>
      <c r="I5983" s="5">
        <f>Tabelle13[[#This Row],[%]]+I5982</f>
        <v>0.98575917009048164</v>
      </c>
      <c r="J5983" s="4">
        <f t="shared" si="219"/>
        <v>1.105583195135434E-4</v>
      </c>
      <c r="K5983" s="5">
        <f t="shared" si="220"/>
        <v>0.66124930901057377</v>
      </c>
    </row>
    <row r="5984" spans="1:11" x14ac:dyDescent="0.25">
      <c r="A5984" t="s">
        <v>6760</v>
      </c>
      <c r="C5984" t="s">
        <v>1687</v>
      </c>
      <c r="D5984" t="s">
        <v>5</v>
      </c>
      <c r="E5984" t="s">
        <v>6</v>
      </c>
      <c r="F5984" t="s">
        <v>28</v>
      </c>
      <c r="G5984">
        <v>1</v>
      </c>
      <c r="H5984" s="2">
        <f>Tabelle13[[#This Row],[commits]]/Tabelle13[[#Totals],[commits]]</f>
        <v>4.6477904404246225E-6</v>
      </c>
      <c r="I5984" s="5">
        <f>Tabelle13[[#This Row],[%]]+I5983</f>
        <v>0.98576381788092204</v>
      </c>
      <c r="J5984" s="4">
        <f t="shared" si="219"/>
        <v>1.105583195135434E-4</v>
      </c>
      <c r="K5984" s="5">
        <f t="shared" si="220"/>
        <v>0.66135986733008734</v>
      </c>
    </row>
    <row r="5985" spans="1:11" x14ac:dyDescent="0.25">
      <c r="A5985" t="s">
        <v>6761</v>
      </c>
      <c r="C5985" t="s">
        <v>6762</v>
      </c>
      <c r="D5985" t="s">
        <v>5</v>
      </c>
      <c r="E5985" t="s">
        <v>6</v>
      </c>
      <c r="F5985" t="s">
        <v>28</v>
      </c>
      <c r="G5985">
        <v>1</v>
      </c>
      <c r="H5985" s="2">
        <f>Tabelle13[[#This Row],[commits]]/Tabelle13[[#Totals],[commits]]</f>
        <v>4.6477904404246225E-6</v>
      </c>
      <c r="I5985" s="5">
        <f>Tabelle13[[#This Row],[%]]+I5984</f>
        <v>0.98576846567136245</v>
      </c>
      <c r="J5985" s="4">
        <f t="shared" si="219"/>
        <v>1.105583195135434E-4</v>
      </c>
      <c r="K5985" s="5">
        <f t="shared" si="220"/>
        <v>0.6614704256496009</v>
      </c>
    </row>
    <row r="5986" spans="1:11" x14ac:dyDescent="0.25">
      <c r="A5986" t="s">
        <v>6763</v>
      </c>
      <c r="C5986" t="s">
        <v>6764</v>
      </c>
      <c r="D5986" t="s">
        <v>5</v>
      </c>
      <c r="E5986" t="s">
        <v>6</v>
      </c>
      <c r="F5986" t="s">
        <v>28</v>
      </c>
      <c r="G5986">
        <v>1</v>
      </c>
      <c r="H5986" s="2">
        <f>Tabelle13[[#This Row],[commits]]/Tabelle13[[#Totals],[commits]]</f>
        <v>4.6477904404246225E-6</v>
      </c>
      <c r="I5986" s="5">
        <f>Tabelle13[[#This Row],[%]]+I5985</f>
        <v>0.98577311346180285</v>
      </c>
      <c r="J5986" s="4">
        <f t="shared" si="219"/>
        <v>1.105583195135434E-4</v>
      </c>
      <c r="K5986" s="5">
        <f t="shared" si="220"/>
        <v>0.66158098396911447</v>
      </c>
    </row>
    <row r="5987" spans="1:11" x14ac:dyDescent="0.25">
      <c r="A5987" t="s">
        <v>6765</v>
      </c>
      <c r="C5987" t="s">
        <v>6766</v>
      </c>
      <c r="D5987" t="s">
        <v>5</v>
      </c>
      <c r="E5987" t="s">
        <v>6</v>
      </c>
      <c r="F5987" t="s">
        <v>28</v>
      </c>
      <c r="G5987">
        <v>1</v>
      </c>
      <c r="H5987" s="2">
        <f>Tabelle13[[#This Row],[commits]]/Tabelle13[[#Totals],[commits]]</f>
        <v>4.6477904404246225E-6</v>
      </c>
      <c r="I5987" s="5">
        <f>Tabelle13[[#This Row],[%]]+I5986</f>
        <v>0.98577776125224326</v>
      </c>
      <c r="J5987" s="4">
        <f t="shared" si="219"/>
        <v>1.105583195135434E-4</v>
      </c>
      <c r="K5987" s="5">
        <f t="shared" si="220"/>
        <v>0.66169154228862803</v>
      </c>
    </row>
    <row r="5988" spans="1:11" x14ac:dyDescent="0.25">
      <c r="A5988" t="s">
        <v>6767</v>
      </c>
      <c r="C5988" t="s">
        <v>6768</v>
      </c>
      <c r="D5988" t="s">
        <v>5</v>
      </c>
      <c r="E5988" t="s">
        <v>6</v>
      </c>
      <c r="F5988" t="s">
        <v>28</v>
      </c>
      <c r="G5988">
        <v>1</v>
      </c>
      <c r="H5988" s="2">
        <f>Tabelle13[[#This Row],[commits]]/Tabelle13[[#Totals],[commits]]</f>
        <v>4.6477904404246225E-6</v>
      </c>
      <c r="I5988" s="5">
        <f>Tabelle13[[#This Row],[%]]+I5987</f>
        <v>0.98578240904268366</v>
      </c>
      <c r="J5988" s="4">
        <f t="shared" si="219"/>
        <v>1.105583195135434E-4</v>
      </c>
      <c r="K5988" s="5">
        <f t="shared" si="220"/>
        <v>0.6618021006081416</v>
      </c>
    </row>
    <row r="5989" spans="1:11" x14ac:dyDescent="0.25">
      <c r="A5989" t="s">
        <v>6771</v>
      </c>
      <c r="C5989" t="s">
        <v>6772</v>
      </c>
      <c r="D5989" t="s">
        <v>5</v>
      </c>
      <c r="E5989" t="s">
        <v>6</v>
      </c>
      <c r="F5989" t="s">
        <v>28</v>
      </c>
      <c r="G5989">
        <v>1</v>
      </c>
      <c r="H5989" s="2">
        <f>Tabelle13[[#This Row],[commits]]/Tabelle13[[#Totals],[commits]]</f>
        <v>4.6477904404246225E-6</v>
      </c>
      <c r="I5989" s="5">
        <f>Tabelle13[[#This Row],[%]]+I5988</f>
        <v>0.98578705683312406</v>
      </c>
      <c r="J5989" s="4">
        <f t="shared" si="219"/>
        <v>1.105583195135434E-4</v>
      </c>
      <c r="K5989" s="5">
        <f t="shared" si="220"/>
        <v>0.66191265892765516</v>
      </c>
    </row>
    <row r="5990" spans="1:11" x14ac:dyDescent="0.25">
      <c r="A5990" t="s">
        <v>6773</v>
      </c>
      <c r="C5990" t="s">
        <v>6774</v>
      </c>
      <c r="D5990" t="s">
        <v>6775</v>
      </c>
      <c r="E5990" t="s">
        <v>6</v>
      </c>
      <c r="F5990" t="s">
        <v>28</v>
      </c>
      <c r="G5990">
        <v>1</v>
      </c>
      <c r="H5990" s="2">
        <f>Tabelle13[[#This Row],[commits]]/Tabelle13[[#Totals],[commits]]</f>
        <v>4.6477904404246225E-6</v>
      </c>
      <c r="I5990" s="5">
        <f>Tabelle13[[#This Row],[%]]+I5989</f>
        <v>0.98579170462356447</v>
      </c>
      <c r="J5990" s="4">
        <f t="shared" si="219"/>
        <v>1.105583195135434E-4</v>
      </c>
      <c r="K5990" s="5">
        <f t="shared" si="220"/>
        <v>0.66202321724716873</v>
      </c>
    </row>
    <row r="5991" spans="1:11" x14ac:dyDescent="0.25">
      <c r="A5991" t="s">
        <v>6776</v>
      </c>
      <c r="C5991" t="s">
        <v>6777</v>
      </c>
      <c r="D5991" t="s">
        <v>5</v>
      </c>
      <c r="E5991" t="s">
        <v>6</v>
      </c>
      <c r="F5991" t="s">
        <v>28</v>
      </c>
      <c r="G5991">
        <v>1</v>
      </c>
      <c r="H5991" s="2">
        <f>Tabelle13[[#This Row],[commits]]/Tabelle13[[#Totals],[commits]]</f>
        <v>4.6477904404246225E-6</v>
      </c>
      <c r="I5991" s="5">
        <f>Tabelle13[[#This Row],[%]]+I5990</f>
        <v>0.98579635241400487</v>
      </c>
      <c r="J5991" s="4">
        <f t="shared" si="219"/>
        <v>1.105583195135434E-4</v>
      </c>
      <c r="K5991" s="5">
        <f t="shared" si="220"/>
        <v>0.66213377556668229</v>
      </c>
    </row>
    <row r="5992" spans="1:11" x14ac:dyDescent="0.25">
      <c r="A5992" t="s">
        <v>6778</v>
      </c>
      <c r="C5992" t="s">
        <v>6779</v>
      </c>
      <c r="D5992" t="s">
        <v>5</v>
      </c>
      <c r="E5992" t="s">
        <v>6</v>
      </c>
      <c r="F5992" t="s">
        <v>28</v>
      </c>
      <c r="G5992">
        <v>1</v>
      </c>
      <c r="H5992" s="2">
        <f>Tabelle13[[#This Row],[commits]]/Tabelle13[[#Totals],[commits]]</f>
        <v>4.6477904404246225E-6</v>
      </c>
      <c r="I5992" s="5">
        <f>Tabelle13[[#This Row],[%]]+I5991</f>
        <v>0.98580100020444528</v>
      </c>
      <c r="J5992" s="4">
        <f t="shared" si="219"/>
        <v>1.105583195135434E-4</v>
      </c>
      <c r="K5992" s="5">
        <f t="shared" si="220"/>
        <v>0.66224433388619586</v>
      </c>
    </row>
    <row r="5993" spans="1:11" x14ac:dyDescent="0.25">
      <c r="A5993" t="s">
        <v>6780</v>
      </c>
      <c r="C5993" t="s">
        <v>6781</v>
      </c>
      <c r="D5993" t="s">
        <v>5</v>
      </c>
      <c r="E5993" t="s">
        <v>6</v>
      </c>
      <c r="F5993" t="s">
        <v>28</v>
      </c>
      <c r="G5993">
        <v>1</v>
      </c>
      <c r="H5993" s="2">
        <f>Tabelle13[[#This Row],[commits]]/Tabelle13[[#Totals],[commits]]</f>
        <v>4.6477904404246225E-6</v>
      </c>
      <c r="I5993" s="5">
        <f>Tabelle13[[#This Row],[%]]+I5992</f>
        <v>0.98580564799488568</v>
      </c>
      <c r="J5993" s="4">
        <f t="shared" si="219"/>
        <v>1.105583195135434E-4</v>
      </c>
      <c r="K5993" s="5">
        <f t="shared" si="220"/>
        <v>0.66235489220570942</v>
      </c>
    </row>
    <row r="5994" spans="1:11" x14ac:dyDescent="0.25">
      <c r="A5994" t="s">
        <v>6782</v>
      </c>
      <c r="C5994" t="s">
        <v>4231</v>
      </c>
      <c r="D5994" t="s">
        <v>5</v>
      </c>
      <c r="E5994" t="s">
        <v>6</v>
      </c>
      <c r="F5994" t="s">
        <v>28</v>
      </c>
      <c r="G5994">
        <v>1</v>
      </c>
      <c r="H5994" s="2">
        <f>Tabelle13[[#This Row],[commits]]/Tabelle13[[#Totals],[commits]]</f>
        <v>4.6477904404246225E-6</v>
      </c>
      <c r="I5994" s="5">
        <f>Tabelle13[[#This Row],[%]]+I5993</f>
        <v>0.98581029578532609</v>
      </c>
      <c r="J5994" s="4">
        <f t="shared" si="219"/>
        <v>1.105583195135434E-4</v>
      </c>
      <c r="K5994" s="5">
        <f t="shared" si="220"/>
        <v>0.66246545052522299</v>
      </c>
    </row>
    <row r="5995" spans="1:11" x14ac:dyDescent="0.25">
      <c r="A5995" t="s">
        <v>6783</v>
      </c>
      <c r="C5995" t="s">
        <v>6784</v>
      </c>
      <c r="D5995" t="s">
        <v>5</v>
      </c>
      <c r="E5995" t="s">
        <v>6</v>
      </c>
      <c r="F5995" t="s">
        <v>28</v>
      </c>
      <c r="G5995">
        <v>1</v>
      </c>
      <c r="H5995" s="2">
        <f>Tabelle13[[#This Row],[commits]]/Tabelle13[[#Totals],[commits]]</f>
        <v>4.6477904404246225E-6</v>
      </c>
      <c r="I5995" s="5">
        <f>Tabelle13[[#This Row],[%]]+I5994</f>
        <v>0.98581494357576649</v>
      </c>
      <c r="J5995" s="4">
        <f t="shared" si="219"/>
        <v>1.105583195135434E-4</v>
      </c>
      <c r="K5995" s="5">
        <f t="shared" si="220"/>
        <v>0.66257600884473655</v>
      </c>
    </row>
    <row r="5996" spans="1:11" x14ac:dyDescent="0.25">
      <c r="A5996" t="s">
        <v>6785</v>
      </c>
      <c r="C5996" t="s">
        <v>114</v>
      </c>
      <c r="D5996" t="s">
        <v>5</v>
      </c>
      <c r="E5996" t="s">
        <v>6</v>
      </c>
      <c r="F5996" t="s">
        <v>28</v>
      </c>
      <c r="G5996">
        <v>1</v>
      </c>
      <c r="H5996" s="2">
        <f>Tabelle13[[#This Row],[commits]]/Tabelle13[[#Totals],[commits]]</f>
        <v>4.6477904404246225E-6</v>
      </c>
      <c r="I5996" s="5">
        <f>Tabelle13[[#This Row],[%]]+I5995</f>
        <v>0.98581959136620689</v>
      </c>
      <c r="J5996" s="4">
        <f t="shared" si="219"/>
        <v>1.105583195135434E-4</v>
      </c>
      <c r="K5996" s="5">
        <f t="shared" si="220"/>
        <v>0.66268656716425012</v>
      </c>
    </row>
    <row r="5997" spans="1:11" x14ac:dyDescent="0.25">
      <c r="A5997" t="s">
        <v>6786</v>
      </c>
      <c r="C5997" t="s">
        <v>6787</v>
      </c>
      <c r="D5997" t="s">
        <v>5</v>
      </c>
      <c r="E5997" t="s">
        <v>6</v>
      </c>
      <c r="F5997" t="s">
        <v>28</v>
      </c>
      <c r="G5997">
        <v>1</v>
      </c>
      <c r="H5997" s="2">
        <f>Tabelle13[[#This Row],[commits]]/Tabelle13[[#Totals],[commits]]</f>
        <v>4.6477904404246225E-6</v>
      </c>
      <c r="I5997" s="5">
        <f>Tabelle13[[#This Row],[%]]+I5996</f>
        <v>0.9858242391566473</v>
      </c>
      <c r="J5997" s="4">
        <f t="shared" si="219"/>
        <v>1.105583195135434E-4</v>
      </c>
      <c r="K5997" s="5">
        <f t="shared" si="220"/>
        <v>0.66279712548376368</v>
      </c>
    </row>
    <row r="5998" spans="1:11" x14ac:dyDescent="0.25">
      <c r="A5998" t="s">
        <v>6788</v>
      </c>
      <c r="C5998" t="s">
        <v>6789</v>
      </c>
      <c r="D5998" t="s">
        <v>5</v>
      </c>
      <c r="E5998" t="s">
        <v>6</v>
      </c>
      <c r="F5998" t="s">
        <v>28</v>
      </c>
      <c r="G5998">
        <v>1</v>
      </c>
      <c r="H5998" s="2">
        <f>Tabelle13[[#This Row],[commits]]/Tabelle13[[#Totals],[commits]]</f>
        <v>4.6477904404246225E-6</v>
      </c>
      <c r="I5998" s="5">
        <f>Tabelle13[[#This Row],[%]]+I5997</f>
        <v>0.9858288869470877</v>
      </c>
      <c r="J5998" s="4">
        <f t="shared" si="219"/>
        <v>1.105583195135434E-4</v>
      </c>
      <c r="K5998" s="5">
        <f t="shared" si="220"/>
        <v>0.66290768380327725</v>
      </c>
    </row>
    <row r="5999" spans="1:11" x14ac:dyDescent="0.25">
      <c r="A5999" t="s">
        <v>6790</v>
      </c>
      <c r="C5999" t="s">
        <v>6791</v>
      </c>
      <c r="D5999" t="s">
        <v>5</v>
      </c>
      <c r="E5999" t="s">
        <v>6</v>
      </c>
      <c r="F5999" t="s">
        <v>28</v>
      </c>
      <c r="G5999">
        <v>1</v>
      </c>
      <c r="H5999" s="2">
        <f>Tabelle13[[#This Row],[commits]]/Tabelle13[[#Totals],[commits]]</f>
        <v>4.6477904404246225E-6</v>
      </c>
      <c r="I5999" s="5">
        <f>Tabelle13[[#This Row],[%]]+I5998</f>
        <v>0.98583353473752811</v>
      </c>
      <c r="J5999" s="4">
        <f t="shared" si="219"/>
        <v>1.105583195135434E-4</v>
      </c>
      <c r="K5999" s="5">
        <f t="shared" si="220"/>
        <v>0.66301824212279081</v>
      </c>
    </row>
    <row r="6000" spans="1:11" x14ac:dyDescent="0.25">
      <c r="A6000" t="s">
        <v>6792</v>
      </c>
      <c r="C6000" t="s">
        <v>6793</v>
      </c>
      <c r="D6000" t="s">
        <v>5</v>
      </c>
      <c r="E6000" t="s">
        <v>6</v>
      </c>
      <c r="F6000" t="s">
        <v>28</v>
      </c>
      <c r="G6000">
        <v>1</v>
      </c>
      <c r="H6000" s="2">
        <f>Tabelle13[[#This Row],[commits]]/Tabelle13[[#Totals],[commits]]</f>
        <v>4.6477904404246225E-6</v>
      </c>
      <c r="I6000" s="5">
        <f>Tabelle13[[#This Row],[%]]+I5999</f>
        <v>0.98583818252796851</v>
      </c>
      <c r="J6000" s="4">
        <f t="shared" si="219"/>
        <v>1.105583195135434E-4</v>
      </c>
      <c r="K6000" s="5">
        <f t="shared" si="220"/>
        <v>0.66312880044230438</v>
      </c>
    </row>
    <row r="6001" spans="1:11" x14ac:dyDescent="0.25">
      <c r="A6001" t="s">
        <v>6794</v>
      </c>
      <c r="C6001" t="s">
        <v>6795</v>
      </c>
      <c r="D6001" t="s">
        <v>5</v>
      </c>
      <c r="E6001" t="s">
        <v>6</v>
      </c>
      <c r="F6001" t="s">
        <v>28</v>
      </c>
      <c r="G6001">
        <v>1</v>
      </c>
      <c r="H6001" s="2">
        <f>Tabelle13[[#This Row],[commits]]/Tabelle13[[#Totals],[commits]]</f>
        <v>4.6477904404246225E-6</v>
      </c>
      <c r="I6001" s="5">
        <f>Tabelle13[[#This Row],[%]]+I6000</f>
        <v>0.98584283031840891</v>
      </c>
      <c r="J6001" s="4">
        <f t="shared" si="219"/>
        <v>1.105583195135434E-4</v>
      </c>
      <c r="K6001" s="5">
        <f t="shared" si="220"/>
        <v>0.66323935876181794</v>
      </c>
    </row>
    <row r="6002" spans="1:11" x14ac:dyDescent="0.25">
      <c r="A6002" t="s">
        <v>6796</v>
      </c>
      <c r="C6002" t="s">
        <v>6797</v>
      </c>
      <c r="D6002" t="s">
        <v>5</v>
      </c>
      <c r="E6002" t="s">
        <v>6</v>
      </c>
      <c r="F6002" t="s">
        <v>28</v>
      </c>
      <c r="G6002">
        <v>1</v>
      </c>
      <c r="H6002" s="2">
        <f>Tabelle13[[#This Row],[commits]]/Tabelle13[[#Totals],[commits]]</f>
        <v>4.6477904404246225E-6</v>
      </c>
      <c r="I6002" s="5">
        <f>Tabelle13[[#This Row],[%]]+I6001</f>
        <v>0.98584747810884932</v>
      </c>
      <c r="J6002" s="4">
        <f t="shared" si="219"/>
        <v>1.105583195135434E-4</v>
      </c>
      <c r="K6002" s="5">
        <f t="shared" si="220"/>
        <v>0.66334991708133151</v>
      </c>
    </row>
    <row r="6003" spans="1:11" x14ac:dyDescent="0.25">
      <c r="A6003" t="s">
        <v>6798</v>
      </c>
      <c r="C6003" t="s">
        <v>6799</v>
      </c>
      <c r="D6003" t="s">
        <v>5</v>
      </c>
      <c r="E6003" t="s">
        <v>6</v>
      </c>
      <c r="F6003" t="s">
        <v>28</v>
      </c>
      <c r="G6003">
        <v>1</v>
      </c>
      <c r="H6003" s="2">
        <f>Tabelle13[[#This Row],[commits]]/Tabelle13[[#Totals],[commits]]</f>
        <v>4.6477904404246225E-6</v>
      </c>
      <c r="I6003" s="5">
        <f>Tabelle13[[#This Row],[%]]+I6002</f>
        <v>0.98585212589928972</v>
      </c>
      <c r="J6003" s="4">
        <f t="shared" si="219"/>
        <v>1.105583195135434E-4</v>
      </c>
      <c r="K6003" s="5">
        <f t="shared" si="220"/>
        <v>0.66346047540084507</v>
      </c>
    </row>
    <row r="6004" spans="1:11" x14ac:dyDescent="0.25">
      <c r="A6004" t="s">
        <v>6800</v>
      </c>
      <c r="C6004" t="s">
        <v>6801</v>
      </c>
      <c r="D6004" t="s">
        <v>5</v>
      </c>
      <c r="E6004" t="s">
        <v>6</v>
      </c>
      <c r="F6004" t="s">
        <v>28</v>
      </c>
      <c r="G6004">
        <v>1</v>
      </c>
      <c r="H6004" s="2">
        <f>Tabelle13[[#This Row],[commits]]/Tabelle13[[#Totals],[commits]]</f>
        <v>4.6477904404246225E-6</v>
      </c>
      <c r="I6004" s="5">
        <f>Tabelle13[[#This Row],[%]]+I6003</f>
        <v>0.98585677368973013</v>
      </c>
      <c r="J6004" s="4">
        <f t="shared" si="219"/>
        <v>1.105583195135434E-4</v>
      </c>
      <c r="K6004" s="5">
        <f t="shared" si="220"/>
        <v>0.66357103372035864</v>
      </c>
    </row>
    <row r="6005" spans="1:11" x14ac:dyDescent="0.25">
      <c r="A6005" t="s">
        <v>6802</v>
      </c>
      <c r="C6005" t="s">
        <v>6803</v>
      </c>
      <c r="D6005" t="s">
        <v>5</v>
      </c>
      <c r="E6005" t="s">
        <v>6</v>
      </c>
      <c r="F6005" t="s">
        <v>28</v>
      </c>
      <c r="G6005">
        <v>1</v>
      </c>
      <c r="H6005" s="2">
        <f>Tabelle13[[#This Row],[commits]]/Tabelle13[[#Totals],[commits]]</f>
        <v>4.6477904404246225E-6</v>
      </c>
      <c r="I6005" s="5">
        <f>Tabelle13[[#This Row],[%]]+I6004</f>
        <v>0.98586142148017053</v>
      </c>
      <c r="J6005" s="4">
        <f t="shared" si="219"/>
        <v>1.105583195135434E-4</v>
      </c>
      <c r="K6005" s="5">
        <f t="shared" si="220"/>
        <v>0.6636815920398722</v>
      </c>
    </row>
    <row r="6006" spans="1:11" x14ac:dyDescent="0.25">
      <c r="A6006" t="s">
        <v>6804</v>
      </c>
      <c r="C6006" t="s">
        <v>6805</v>
      </c>
      <c r="D6006" t="s">
        <v>5</v>
      </c>
      <c r="E6006" t="s">
        <v>6</v>
      </c>
      <c r="F6006" t="s">
        <v>28</v>
      </c>
      <c r="G6006">
        <v>1</v>
      </c>
      <c r="H6006" s="2">
        <f>Tabelle13[[#This Row],[commits]]/Tabelle13[[#Totals],[commits]]</f>
        <v>4.6477904404246225E-6</v>
      </c>
      <c r="I6006" s="5">
        <f>Tabelle13[[#This Row],[%]]+I6005</f>
        <v>0.98586606927061093</v>
      </c>
      <c r="J6006" s="4">
        <f t="shared" si="219"/>
        <v>1.105583195135434E-4</v>
      </c>
      <c r="K6006" s="5">
        <f t="shared" si="220"/>
        <v>0.66379215035938577</v>
      </c>
    </row>
    <row r="6007" spans="1:11" x14ac:dyDescent="0.25">
      <c r="A6007" t="s">
        <v>6806</v>
      </c>
      <c r="C6007" t="s">
        <v>6807</v>
      </c>
      <c r="D6007" t="s">
        <v>5</v>
      </c>
      <c r="E6007" t="s">
        <v>6</v>
      </c>
      <c r="F6007" t="s">
        <v>28</v>
      </c>
      <c r="G6007">
        <v>1</v>
      </c>
      <c r="H6007" s="2">
        <f>Tabelle13[[#This Row],[commits]]/Tabelle13[[#Totals],[commits]]</f>
        <v>4.6477904404246225E-6</v>
      </c>
      <c r="I6007" s="5">
        <f>Tabelle13[[#This Row],[%]]+I6006</f>
        <v>0.98587071706105134</v>
      </c>
      <c r="J6007" s="4">
        <f t="shared" si="219"/>
        <v>1.105583195135434E-4</v>
      </c>
      <c r="K6007" s="5">
        <f t="shared" si="220"/>
        <v>0.66390270867889933</v>
      </c>
    </row>
    <row r="6008" spans="1:11" x14ac:dyDescent="0.25">
      <c r="A6008" t="s">
        <v>6808</v>
      </c>
      <c r="C6008" t="s">
        <v>6809</v>
      </c>
      <c r="D6008" t="s">
        <v>5</v>
      </c>
      <c r="E6008" t="s">
        <v>6</v>
      </c>
      <c r="F6008" t="s">
        <v>28</v>
      </c>
      <c r="G6008">
        <v>1</v>
      </c>
      <c r="H6008" s="2">
        <f>Tabelle13[[#This Row],[commits]]/Tabelle13[[#Totals],[commits]]</f>
        <v>4.6477904404246225E-6</v>
      </c>
      <c r="I6008" s="5">
        <f>Tabelle13[[#This Row],[%]]+I6007</f>
        <v>0.98587536485149174</v>
      </c>
      <c r="J6008" s="4">
        <f t="shared" si="219"/>
        <v>1.105583195135434E-4</v>
      </c>
      <c r="K6008" s="5">
        <f t="shared" si="220"/>
        <v>0.6640132669984129</v>
      </c>
    </row>
    <row r="6009" spans="1:11" x14ac:dyDescent="0.25">
      <c r="A6009" t="s">
        <v>6810</v>
      </c>
      <c r="C6009" t="s">
        <v>6811</v>
      </c>
      <c r="D6009" t="s">
        <v>5</v>
      </c>
      <c r="E6009" t="s">
        <v>6</v>
      </c>
      <c r="F6009" t="s">
        <v>28</v>
      </c>
      <c r="G6009">
        <v>1</v>
      </c>
      <c r="H6009" s="2">
        <f>Tabelle13[[#This Row],[commits]]/Tabelle13[[#Totals],[commits]]</f>
        <v>4.6477904404246225E-6</v>
      </c>
      <c r="I6009" s="5">
        <f>Tabelle13[[#This Row],[%]]+I6008</f>
        <v>0.98588001264193215</v>
      </c>
      <c r="J6009" s="4">
        <f t="shared" si="219"/>
        <v>1.105583195135434E-4</v>
      </c>
      <c r="K6009" s="5">
        <f t="shared" si="220"/>
        <v>0.66412382531792646</v>
      </c>
    </row>
    <row r="6010" spans="1:11" x14ac:dyDescent="0.25">
      <c r="A6010" t="s">
        <v>6812</v>
      </c>
      <c r="C6010" t="s">
        <v>6813</v>
      </c>
      <c r="D6010" t="s">
        <v>5</v>
      </c>
      <c r="E6010" t="s">
        <v>6</v>
      </c>
      <c r="F6010" t="s">
        <v>28</v>
      </c>
      <c r="G6010">
        <v>1</v>
      </c>
      <c r="H6010" s="2">
        <f>Tabelle13[[#This Row],[commits]]/Tabelle13[[#Totals],[commits]]</f>
        <v>4.6477904404246225E-6</v>
      </c>
      <c r="I6010" s="5">
        <f>Tabelle13[[#This Row],[%]]+I6009</f>
        <v>0.98588466043237255</v>
      </c>
      <c r="J6010" s="4">
        <f t="shared" si="219"/>
        <v>1.105583195135434E-4</v>
      </c>
      <c r="K6010" s="5">
        <f t="shared" si="220"/>
        <v>0.66423438363744003</v>
      </c>
    </row>
    <row r="6011" spans="1:11" x14ac:dyDescent="0.25">
      <c r="A6011" t="s">
        <v>6814</v>
      </c>
      <c r="C6011" t="s">
        <v>6815</v>
      </c>
      <c r="D6011" t="s">
        <v>5</v>
      </c>
      <c r="E6011" t="s">
        <v>6</v>
      </c>
      <c r="F6011" t="s">
        <v>28</v>
      </c>
      <c r="G6011">
        <v>1</v>
      </c>
      <c r="H6011" s="2">
        <f>Tabelle13[[#This Row],[commits]]/Tabelle13[[#Totals],[commits]]</f>
        <v>4.6477904404246225E-6</v>
      </c>
      <c r="I6011" s="5">
        <f>Tabelle13[[#This Row],[%]]+I6010</f>
        <v>0.98588930822281295</v>
      </c>
      <c r="J6011" s="4">
        <f t="shared" si="219"/>
        <v>1.105583195135434E-4</v>
      </c>
      <c r="K6011" s="5">
        <f t="shared" si="220"/>
        <v>0.66434494195695359</v>
      </c>
    </row>
    <row r="6012" spans="1:11" x14ac:dyDescent="0.25">
      <c r="A6012" t="s">
        <v>6816</v>
      </c>
      <c r="C6012" t="s">
        <v>6817</v>
      </c>
      <c r="D6012" t="s">
        <v>5</v>
      </c>
      <c r="E6012" t="s">
        <v>6</v>
      </c>
      <c r="F6012" t="s">
        <v>28</v>
      </c>
      <c r="G6012">
        <v>1</v>
      </c>
      <c r="H6012" s="2">
        <f>Tabelle13[[#This Row],[commits]]/Tabelle13[[#Totals],[commits]]</f>
        <v>4.6477904404246225E-6</v>
      </c>
      <c r="I6012" s="5">
        <f>Tabelle13[[#This Row],[%]]+I6011</f>
        <v>0.98589395601325336</v>
      </c>
      <c r="J6012" s="4">
        <f t="shared" si="219"/>
        <v>1.105583195135434E-4</v>
      </c>
      <c r="K6012" s="5">
        <f t="shared" si="220"/>
        <v>0.66445550027646716</v>
      </c>
    </row>
    <row r="6013" spans="1:11" x14ac:dyDescent="0.25">
      <c r="A6013" t="s">
        <v>6818</v>
      </c>
      <c r="C6013" t="s">
        <v>6819</v>
      </c>
      <c r="D6013" t="s">
        <v>5</v>
      </c>
      <c r="E6013" t="s">
        <v>6</v>
      </c>
      <c r="F6013" t="s">
        <v>28</v>
      </c>
      <c r="G6013">
        <v>1</v>
      </c>
      <c r="H6013" s="2">
        <f>Tabelle13[[#This Row],[commits]]/Tabelle13[[#Totals],[commits]]</f>
        <v>4.6477904404246225E-6</v>
      </c>
      <c r="I6013" s="5">
        <f>Tabelle13[[#This Row],[%]]+I6012</f>
        <v>0.98589860380369376</v>
      </c>
      <c r="J6013" s="4">
        <f t="shared" si="219"/>
        <v>1.105583195135434E-4</v>
      </c>
      <c r="K6013" s="5">
        <f t="shared" si="220"/>
        <v>0.66456605859598072</v>
      </c>
    </row>
    <row r="6014" spans="1:11" x14ac:dyDescent="0.25">
      <c r="A6014" t="s">
        <v>6820</v>
      </c>
      <c r="C6014" t="s">
        <v>2179</v>
      </c>
      <c r="D6014" t="s">
        <v>5</v>
      </c>
      <c r="E6014" t="s">
        <v>6</v>
      </c>
      <c r="F6014" t="s">
        <v>28</v>
      </c>
      <c r="G6014">
        <v>1</v>
      </c>
      <c r="H6014" s="2">
        <f>Tabelle13[[#This Row],[commits]]/Tabelle13[[#Totals],[commits]]</f>
        <v>4.6477904404246225E-6</v>
      </c>
      <c r="I6014" s="5">
        <f>Tabelle13[[#This Row],[%]]+I6013</f>
        <v>0.98590325159413417</v>
      </c>
      <c r="J6014" s="4">
        <f t="shared" si="219"/>
        <v>1.105583195135434E-4</v>
      </c>
      <c r="K6014" s="5">
        <f t="shared" si="220"/>
        <v>0.66467661691549429</v>
      </c>
    </row>
    <row r="6015" spans="1:11" x14ac:dyDescent="0.25">
      <c r="A6015" t="s">
        <v>6821</v>
      </c>
      <c r="C6015" t="s">
        <v>6822</v>
      </c>
      <c r="D6015" t="s">
        <v>5</v>
      </c>
      <c r="E6015" t="s">
        <v>6</v>
      </c>
      <c r="F6015" t="s">
        <v>28</v>
      </c>
      <c r="G6015">
        <v>1</v>
      </c>
      <c r="H6015" s="2">
        <f>Tabelle13[[#This Row],[commits]]/Tabelle13[[#Totals],[commits]]</f>
        <v>4.6477904404246225E-6</v>
      </c>
      <c r="I6015" s="5">
        <f>Tabelle13[[#This Row],[%]]+I6014</f>
        <v>0.98590789938457457</v>
      </c>
      <c r="J6015" s="4">
        <f t="shared" si="219"/>
        <v>1.105583195135434E-4</v>
      </c>
      <c r="K6015" s="5">
        <f t="shared" si="220"/>
        <v>0.66478717523500785</v>
      </c>
    </row>
    <row r="6016" spans="1:11" x14ac:dyDescent="0.25">
      <c r="A6016" t="s">
        <v>6823</v>
      </c>
      <c r="C6016" t="s">
        <v>6824</v>
      </c>
      <c r="D6016" t="s">
        <v>5</v>
      </c>
      <c r="E6016" t="s">
        <v>6</v>
      </c>
      <c r="F6016" t="s">
        <v>28</v>
      </c>
      <c r="G6016">
        <v>1</v>
      </c>
      <c r="H6016" s="2">
        <f>Tabelle13[[#This Row],[commits]]/Tabelle13[[#Totals],[commits]]</f>
        <v>4.6477904404246225E-6</v>
      </c>
      <c r="I6016" s="5">
        <f>Tabelle13[[#This Row],[%]]+I6015</f>
        <v>0.98591254717501497</v>
      </c>
      <c r="J6016" s="4">
        <f t="shared" si="219"/>
        <v>1.105583195135434E-4</v>
      </c>
      <c r="K6016" s="5">
        <f t="shared" si="220"/>
        <v>0.66489773355452142</v>
      </c>
    </row>
    <row r="6017" spans="1:11" x14ac:dyDescent="0.25">
      <c r="A6017" t="s">
        <v>6825</v>
      </c>
      <c r="C6017" t="s">
        <v>6824</v>
      </c>
      <c r="D6017" t="s">
        <v>5</v>
      </c>
      <c r="E6017" t="s">
        <v>6</v>
      </c>
      <c r="F6017" t="s">
        <v>28</v>
      </c>
      <c r="G6017">
        <v>1</v>
      </c>
      <c r="H6017" s="2">
        <f>Tabelle13[[#This Row],[commits]]/Tabelle13[[#Totals],[commits]]</f>
        <v>4.6477904404246225E-6</v>
      </c>
      <c r="I6017" s="5">
        <f>Tabelle13[[#This Row],[%]]+I6016</f>
        <v>0.98591719496545538</v>
      </c>
      <c r="J6017" s="4">
        <f t="shared" si="219"/>
        <v>1.105583195135434E-4</v>
      </c>
      <c r="K6017" s="5">
        <f t="shared" si="220"/>
        <v>0.66500829187403498</v>
      </c>
    </row>
    <row r="6018" spans="1:11" x14ac:dyDescent="0.25">
      <c r="A6018" t="s">
        <v>6826</v>
      </c>
      <c r="C6018" t="s">
        <v>6827</v>
      </c>
      <c r="D6018" t="s">
        <v>5</v>
      </c>
      <c r="E6018" t="s">
        <v>6</v>
      </c>
      <c r="F6018" t="s">
        <v>28</v>
      </c>
      <c r="G6018">
        <v>1</v>
      </c>
      <c r="H6018" s="2">
        <f>Tabelle13[[#This Row],[commits]]/Tabelle13[[#Totals],[commits]]</f>
        <v>4.6477904404246225E-6</v>
      </c>
      <c r="I6018" s="5">
        <f>Tabelle13[[#This Row],[%]]+I6017</f>
        <v>0.98592184275589578</v>
      </c>
      <c r="J6018" s="4">
        <f t="shared" si="219"/>
        <v>1.105583195135434E-4</v>
      </c>
      <c r="K6018" s="5">
        <f t="shared" si="220"/>
        <v>0.66511885019354855</v>
      </c>
    </row>
    <row r="6019" spans="1:11" x14ac:dyDescent="0.25">
      <c r="A6019" t="s">
        <v>6828</v>
      </c>
      <c r="C6019" t="s">
        <v>6829</v>
      </c>
      <c r="D6019" t="s">
        <v>5</v>
      </c>
      <c r="E6019" t="s">
        <v>6</v>
      </c>
      <c r="F6019" t="s">
        <v>28</v>
      </c>
      <c r="G6019">
        <v>1</v>
      </c>
      <c r="H6019" s="2">
        <f>Tabelle13[[#This Row],[commits]]/Tabelle13[[#Totals],[commits]]</f>
        <v>4.6477904404246225E-6</v>
      </c>
      <c r="I6019" s="5">
        <f>Tabelle13[[#This Row],[%]]+I6018</f>
        <v>0.98592649054633619</v>
      </c>
      <c r="J6019" s="4">
        <f t="shared" ref="J6019:J6082" si="221">1/9045</f>
        <v>1.105583195135434E-4</v>
      </c>
      <c r="K6019" s="5">
        <f t="shared" si="220"/>
        <v>0.66522940851306211</v>
      </c>
    </row>
    <row r="6020" spans="1:11" x14ac:dyDescent="0.25">
      <c r="A6020" t="s">
        <v>6830</v>
      </c>
      <c r="C6020" t="s">
        <v>6831</v>
      </c>
      <c r="D6020" t="s">
        <v>5</v>
      </c>
      <c r="E6020" t="s">
        <v>6</v>
      </c>
      <c r="F6020" t="s">
        <v>28</v>
      </c>
      <c r="G6020">
        <v>1</v>
      </c>
      <c r="H6020" s="2">
        <f>Tabelle13[[#This Row],[commits]]/Tabelle13[[#Totals],[commits]]</f>
        <v>4.6477904404246225E-6</v>
      </c>
      <c r="I6020" s="5">
        <f>Tabelle13[[#This Row],[%]]+I6019</f>
        <v>0.98593113833677659</v>
      </c>
      <c r="J6020" s="4">
        <f t="shared" si="221"/>
        <v>1.105583195135434E-4</v>
      </c>
      <c r="K6020" s="5">
        <f t="shared" si="220"/>
        <v>0.66533996683257568</v>
      </c>
    </row>
    <row r="6021" spans="1:11" x14ac:dyDescent="0.25">
      <c r="A6021" t="s">
        <v>6832</v>
      </c>
      <c r="C6021" t="s">
        <v>6833</v>
      </c>
      <c r="D6021" t="s">
        <v>5</v>
      </c>
      <c r="E6021" t="s">
        <v>6</v>
      </c>
      <c r="F6021" t="s">
        <v>28</v>
      </c>
      <c r="G6021">
        <v>1</v>
      </c>
      <c r="H6021" s="2">
        <f>Tabelle13[[#This Row],[commits]]/Tabelle13[[#Totals],[commits]]</f>
        <v>4.6477904404246225E-6</v>
      </c>
      <c r="I6021" s="5">
        <f>Tabelle13[[#This Row],[%]]+I6020</f>
        <v>0.985935786127217</v>
      </c>
      <c r="J6021" s="4">
        <f t="shared" si="221"/>
        <v>1.105583195135434E-4</v>
      </c>
      <c r="K6021" s="5">
        <f t="shared" si="220"/>
        <v>0.66545052515208925</v>
      </c>
    </row>
    <row r="6022" spans="1:11" x14ac:dyDescent="0.25">
      <c r="A6022" t="s">
        <v>6834</v>
      </c>
      <c r="C6022" t="s">
        <v>2036</v>
      </c>
      <c r="D6022" t="s">
        <v>5</v>
      </c>
      <c r="E6022" t="s">
        <v>6</v>
      </c>
      <c r="F6022" t="s">
        <v>28</v>
      </c>
      <c r="G6022">
        <v>1</v>
      </c>
      <c r="H6022" s="2">
        <f>Tabelle13[[#This Row],[commits]]/Tabelle13[[#Totals],[commits]]</f>
        <v>4.6477904404246225E-6</v>
      </c>
      <c r="I6022" s="5">
        <f>Tabelle13[[#This Row],[%]]+I6021</f>
        <v>0.9859404339176574</v>
      </c>
      <c r="J6022" s="4">
        <f t="shared" si="221"/>
        <v>1.105583195135434E-4</v>
      </c>
      <c r="K6022" s="5">
        <f t="shared" ref="K6022:K6085" si="222">J6022+K6021</f>
        <v>0.66556108347160281</v>
      </c>
    </row>
    <row r="6023" spans="1:11" x14ac:dyDescent="0.25">
      <c r="A6023" t="s">
        <v>6835</v>
      </c>
      <c r="C6023" t="s">
        <v>6836</v>
      </c>
      <c r="D6023" t="s">
        <v>5</v>
      </c>
      <c r="E6023" t="s">
        <v>6</v>
      </c>
      <c r="F6023" t="s">
        <v>28</v>
      </c>
      <c r="G6023">
        <v>1</v>
      </c>
      <c r="H6023" s="2">
        <f>Tabelle13[[#This Row],[commits]]/Tabelle13[[#Totals],[commits]]</f>
        <v>4.6477904404246225E-6</v>
      </c>
      <c r="I6023" s="5">
        <f>Tabelle13[[#This Row],[%]]+I6022</f>
        <v>0.9859450817080978</v>
      </c>
      <c r="J6023" s="4">
        <f t="shared" si="221"/>
        <v>1.105583195135434E-4</v>
      </c>
      <c r="K6023" s="5">
        <f t="shared" si="222"/>
        <v>0.66567164179111638</v>
      </c>
    </row>
    <row r="6024" spans="1:11" x14ac:dyDescent="0.25">
      <c r="A6024" t="s">
        <v>6837</v>
      </c>
      <c r="C6024" t="s">
        <v>6838</v>
      </c>
      <c r="D6024" t="s">
        <v>5</v>
      </c>
      <c r="E6024" t="s">
        <v>6</v>
      </c>
      <c r="F6024" t="s">
        <v>28</v>
      </c>
      <c r="G6024">
        <v>1</v>
      </c>
      <c r="H6024" s="2">
        <f>Tabelle13[[#This Row],[commits]]/Tabelle13[[#Totals],[commits]]</f>
        <v>4.6477904404246225E-6</v>
      </c>
      <c r="I6024" s="5">
        <f>Tabelle13[[#This Row],[%]]+I6023</f>
        <v>0.98594972949853821</v>
      </c>
      <c r="J6024" s="4">
        <f t="shared" si="221"/>
        <v>1.105583195135434E-4</v>
      </c>
      <c r="K6024" s="5">
        <f t="shared" si="222"/>
        <v>0.66578220011062994</v>
      </c>
    </row>
    <row r="6025" spans="1:11" x14ac:dyDescent="0.25">
      <c r="A6025" t="s">
        <v>6839</v>
      </c>
      <c r="C6025" t="s">
        <v>6840</v>
      </c>
      <c r="D6025" t="s">
        <v>5</v>
      </c>
      <c r="E6025" t="s">
        <v>6</v>
      </c>
      <c r="F6025" t="s">
        <v>28</v>
      </c>
      <c r="G6025">
        <v>1</v>
      </c>
      <c r="H6025" s="2">
        <f>Tabelle13[[#This Row],[commits]]/Tabelle13[[#Totals],[commits]]</f>
        <v>4.6477904404246225E-6</v>
      </c>
      <c r="I6025" s="5">
        <f>Tabelle13[[#This Row],[%]]+I6024</f>
        <v>0.98595437728897861</v>
      </c>
      <c r="J6025" s="4">
        <f t="shared" si="221"/>
        <v>1.105583195135434E-4</v>
      </c>
      <c r="K6025" s="5">
        <f t="shared" si="222"/>
        <v>0.66589275843014351</v>
      </c>
    </row>
    <row r="6026" spans="1:11" x14ac:dyDescent="0.25">
      <c r="A6026" t="s">
        <v>6841</v>
      </c>
      <c r="C6026" t="s">
        <v>6842</v>
      </c>
      <c r="D6026" t="s">
        <v>5</v>
      </c>
      <c r="E6026" t="s">
        <v>6</v>
      </c>
      <c r="F6026" t="s">
        <v>28</v>
      </c>
      <c r="G6026">
        <v>1</v>
      </c>
      <c r="H6026" s="2">
        <f>Tabelle13[[#This Row],[commits]]/Tabelle13[[#Totals],[commits]]</f>
        <v>4.6477904404246225E-6</v>
      </c>
      <c r="I6026" s="5">
        <f>Tabelle13[[#This Row],[%]]+I6025</f>
        <v>0.98595902507941902</v>
      </c>
      <c r="J6026" s="4">
        <f t="shared" si="221"/>
        <v>1.105583195135434E-4</v>
      </c>
      <c r="K6026" s="5">
        <f t="shared" si="222"/>
        <v>0.66600331674965707</v>
      </c>
    </row>
    <row r="6027" spans="1:11" x14ac:dyDescent="0.25">
      <c r="A6027" t="s">
        <v>6843</v>
      </c>
      <c r="C6027" t="s">
        <v>6844</v>
      </c>
      <c r="D6027" t="s">
        <v>5</v>
      </c>
      <c r="E6027" t="s">
        <v>6</v>
      </c>
      <c r="F6027" t="s">
        <v>28</v>
      </c>
      <c r="G6027">
        <v>1</v>
      </c>
      <c r="H6027" s="2">
        <f>Tabelle13[[#This Row],[commits]]/Tabelle13[[#Totals],[commits]]</f>
        <v>4.6477904404246225E-6</v>
      </c>
      <c r="I6027" s="5">
        <f>Tabelle13[[#This Row],[%]]+I6026</f>
        <v>0.98596367286985942</v>
      </c>
      <c r="J6027" s="4">
        <f t="shared" si="221"/>
        <v>1.105583195135434E-4</v>
      </c>
      <c r="K6027" s="5">
        <f t="shared" si="222"/>
        <v>0.66611387506917064</v>
      </c>
    </row>
    <row r="6028" spans="1:11" x14ac:dyDescent="0.25">
      <c r="A6028" t="s">
        <v>6845</v>
      </c>
      <c r="C6028" t="s">
        <v>6846</v>
      </c>
      <c r="D6028" t="s">
        <v>5</v>
      </c>
      <c r="E6028" t="s">
        <v>6</v>
      </c>
      <c r="F6028" t="s">
        <v>28</v>
      </c>
      <c r="G6028">
        <v>1</v>
      </c>
      <c r="H6028" s="2">
        <f>Tabelle13[[#This Row],[commits]]/Tabelle13[[#Totals],[commits]]</f>
        <v>4.6477904404246225E-6</v>
      </c>
      <c r="I6028" s="5">
        <f>Tabelle13[[#This Row],[%]]+I6027</f>
        <v>0.98596832066029982</v>
      </c>
      <c r="J6028" s="4">
        <f t="shared" si="221"/>
        <v>1.105583195135434E-4</v>
      </c>
      <c r="K6028" s="5">
        <f t="shared" si="222"/>
        <v>0.6662244333886842</v>
      </c>
    </row>
    <row r="6029" spans="1:11" x14ac:dyDescent="0.25">
      <c r="A6029" t="s">
        <v>6847</v>
      </c>
      <c r="C6029" t="s">
        <v>6848</v>
      </c>
      <c r="D6029" t="s">
        <v>5</v>
      </c>
      <c r="E6029" t="s">
        <v>6</v>
      </c>
      <c r="F6029" t="s">
        <v>28</v>
      </c>
      <c r="G6029">
        <v>1</v>
      </c>
      <c r="H6029" s="2">
        <f>Tabelle13[[#This Row],[commits]]/Tabelle13[[#Totals],[commits]]</f>
        <v>4.6477904404246225E-6</v>
      </c>
      <c r="I6029" s="5">
        <f>Tabelle13[[#This Row],[%]]+I6028</f>
        <v>0.98597296845074023</v>
      </c>
      <c r="J6029" s="4">
        <f t="shared" si="221"/>
        <v>1.105583195135434E-4</v>
      </c>
      <c r="K6029" s="5">
        <f t="shared" si="222"/>
        <v>0.66633499170819777</v>
      </c>
    </row>
    <row r="6030" spans="1:11" x14ac:dyDescent="0.25">
      <c r="A6030" t="s">
        <v>6849</v>
      </c>
      <c r="C6030" t="s">
        <v>6850</v>
      </c>
      <c r="D6030" t="s">
        <v>5</v>
      </c>
      <c r="E6030" t="s">
        <v>6</v>
      </c>
      <c r="F6030" t="s">
        <v>28</v>
      </c>
      <c r="G6030">
        <v>1</v>
      </c>
      <c r="H6030" s="2">
        <f>Tabelle13[[#This Row],[commits]]/Tabelle13[[#Totals],[commits]]</f>
        <v>4.6477904404246225E-6</v>
      </c>
      <c r="I6030" s="5">
        <f>Tabelle13[[#This Row],[%]]+I6029</f>
        <v>0.98597761624118063</v>
      </c>
      <c r="J6030" s="4">
        <f t="shared" si="221"/>
        <v>1.105583195135434E-4</v>
      </c>
      <c r="K6030" s="5">
        <f t="shared" si="222"/>
        <v>0.66644555002771133</v>
      </c>
    </row>
    <row r="6031" spans="1:11" x14ac:dyDescent="0.25">
      <c r="A6031" t="s">
        <v>6851</v>
      </c>
      <c r="C6031" t="s">
        <v>6852</v>
      </c>
      <c r="D6031" t="s">
        <v>5</v>
      </c>
      <c r="E6031" t="s">
        <v>6</v>
      </c>
      <c r="F6031" t="s">
        <v>28</v>
      </c>
      <c r="G6031">
        <v>1</v>
      </c>
      <c r="H6031" s="2">
        <f>Tabelle13[[#This Row],[commits]]/Tabelle13[[#Totals],[commits]]</f>
        <v>4.6477904404246225E-6</v>
      </c>
      <c r="I6031" s="5">
        <f>Tabelle13[[#This Row],[%]]+I6030</f>
        <v>0.98598226403162104</v>
      </c>
      <c r="J6031" s="4">
        <f t="shared" si="221"/>
        <v>1.105583195135434E-4</v>
      </c>
      <c r="K6031" s="5">
        <f t="shared" si="222"/>
        <v>0.6665561083472249</v>
      </c>
    </row>
    <row r="6032" spans="1:11" x14ac:dyDescent="0.25">
      <c r="A6032" t="s">
        <v>6853</v>
      </c>
      <c r="C6032" t="s">
        <v>6854</v>
      </c>
      <c r="D6032" t="s">
        <v>5</v>
      </c>
      <c r="E6032" t="s">
        <v>6</v>
      </c>
      <c r="F6032" t="s">
        <v>28</v>
      </c>
      <c r="G6032">
        <v>1</v>
      </c>
      <c r="H6032" s="2">
        <f>Tabelle13[[#This Row],[commits]]/Tabelle13[[#Totals],[commits]]</f>
        <v>4.6477904404246225E-6</v>
      </c>
      <c r="I6032" s="5">
        <f>Tabelle13[[#This Row],[%]]+I6031</f>
        <v>0.98598691182206144</v>
      </c>
      <c r="J6032" s="4">
        <f t="shared" si="221"/>
        <v>1.105583195135434E-4</v>
      </c>
      <c r="K6032" s="5">
        <f t="shared" si="222"/>
        <v>0.66666666666673846</v>
      </c>
    </row>
    <row r="6033" spans="1:11" x14ac:dyDescent="0.25">
      <c r="A6033" t="s">
        <v>6855</v>
      </c>
      <c r="C6033" t="s">
        <v>6856</v>
      </c>
      <c r="D6033" t="s">
        <v>5</v>
      </c>
      <c r="E6033" t="s">
        <v>6</v>
      </c>
      <c r="F6033" t="s">
        <v>28</v>
      </c>
      <c r="G6033">
        <v>1</v>
      </c>
      <c r="H6033" s="2">
        <f>Tabelle13[[#This Row],[commits]]/Tabelle13[[#Totals],[commits]]</f>
        <v>4.6477904404246225E-6</v>
      </c>
      <c r="I6033" s="5">
        <f>Tabelle13[[#This Row],[%]]+I6032</f>
        <v>0.98599155961250184</v>
      </c>
      <c r="J6033" s="4">
        <f t="shared" si="221"/>
        <v>1.105583195135434E-4</v>
      </c>
      <c r="K6033" s="5">
        <f t="shared" si="222"/>
        <v>0.66677722498625203</v>
      </c>
    </row>
    <row r="6034" spans="1:11" x14ac:dyDescent="0.25">
      <c r="A6034" t="s">
        <v>6857</v>
      </c>
      <c r="C6034" t="s">
        <v>6858</v>
      </c>
      <c r="D6034" t="s">
        <v>5</v>
      </c>
      <c r="E6034" t="s">
        <v>6</v>
      </c>
      <c r="F6034" t="s">
        <v>28</v>
      </c>
      <c r="G6034">
        <v>1</v>
      </c>
      <c r="H6034" s="2">
        <f>Tabelle13[[#This Row],[commits]]/Tabelle13[[#Totals],[commits]]</f>
        <v>4.6477904404246225E-6</v>
      </c>
      <c r="I6034" s="5">
        <f>Tabelle13[[#This Row],[%]]+I6033</f>
        <v>0.98599620740294225</v>
      </c>
      <c r="J6034" s="4">
        <f t="shared" si="221"/>
        <v>1.105583195135434E-4</v>
      </c>
      <c r="K6034" s="5">
        <f t="shared" si="222"/>
        <v>0.66688778330576559</v>
      </c>
    </row>
    <row r="6035" spans="1:11" x14ac:dyDescent="0.25">
      <c r="A6035" t="s">
        <v>6859</v>
      </c>
      <c r="C6035" t="s">
        <v>6860</v>
      </c>
      <c r="D6035" t="s">
        <v>5</v>
      </c>
      <c r="E6035" t="s">
        <v>6</v>
      </c>
      <c r="F6035" t="s">
        <v>28</v>
      </c>
      <c r="G6035">
        <v>1</v>
      </c>
      <c r="H6035" s="2">
        <f>Tabelle13[[#This Row],[commits]]/Tabelle13[[#Totals],[commits]]</f>
        <v>4.6477904404246225E-6</v>
      </c>
      <c r="I6035" s="5">
        <f>Tabelle13[[#This Row],[%]]+I6034</f>
        <v>0.98600085519338265</v>
      </c>
      <c r="J6035" s="4">
        <f t="shared" si="221"/>
        <v>1.105583195135434E-4</v>
      </c>
      <c r="K6035" s="5">
        <f t="shared" si="222"/>
        <v>0.66699834162527916</v>
      </c>
    </row>
    <row r="6036" spans="1:11" x14ac:dyDescent="0.25">
      <c r="A6036" t="s">
        <v>6861</v>
      </c>
      <c r="C6036" t="s">
        <v>6862</v>
      </c>
      <c r="D6036" t="s">
        <v>5</v>
      </c>
      <c r="E6036" t="s">
        <v>6</v>
      </c>
      <c r="F6036" t="s">
        <v>28</v>
      </c>
      <c r="G6036">
        <v>1</v>
      </c>
      <c r="H6036" s="2">
        <f>Tabelle13[[#This Row],[commits]]/Tabelle13[[#Totals],[commits]]</f>
        <v>4.6477904404246225E-6</v>
      </c>
      <c r="I6036" s="5">
        <f>Tabelle13[[#This Row],[%]]+I6035</f>
        <v>0.98600550298382306</v>
      </c>
      <c r="J6036" s="4">
        <f t="shared" si="221"/>
        <v>1.105583195135434E-4</v>
      </c>
      <c r="K6036" s="5">
        <f t="shared" si="222"/>
        <v>0.66710889994479272</v>
      </c>
    </row>
    <row r="6037" spans="1:11" x14ac:dyDescent="0.25">
      <c r="A6037" t="s">
        <v>6863</v>
      </c>
      <c r="C6037" t="s">
        <v>6864</v>
      </c>
      <c r="D6037" t="s">
        <v>5</v>
      </c>
      <c r="E6037" t="s">
        <v>6</v>
      </c>
      <c r="F6037" t="s">
        <v>28</v>
      </c>
      <c r="G6037">
        <v>1</v>
      </c>
      <c r="H6037" s="2">
        <f>Tabelle13[[#This Row],[commits]]/Tabelle13[[#Totals],[commits]]</f>
        <v>4.6477904404246225E-6</v>
      </c>
      <c r="I6037" s="5">
        <f>Tabelle13[[#This Row],[%]]+I6036</f>
        <v>0.98601015077426346</v>
      </c>
      <c r="J6037" s="4">
        <f t="shared" si="221"/>
        <v>1.105583195135434E-4</v>
      </c>
      <c r="K6037" s="5">
        <f t="shared" si="222"/>
        <v>0.66721945826430629</v>
      </c>
    </row>
    <row r="6038" spans="1:11" x14ac:dyDescent="0.25">
      <c r="A6038" t="s">
        <v>6865</v>
      </c>
      <c r="C6038" t="s">
        <v>6866</v>
      </c>
      <c r="D6038" t="s">
        <v>5</v>
      </c>
      <c r="E6038" t="s">
        <v>6</v>
      </c>
      <c r="F6038" t="s">
        <v>28</v>
      </c>
      <c r="G6038">
        <v>1</v>
      </c>
      <c r="H6038" s="2">
        <f>Tabelle13[[#This Row],[commits]]/Tabelle13[[#Totals],[commits]]</f>
        <v>4.6477904404246225E-6</v>
      </c>
      <c r="I6038" s="5">
        <f>Tabelle13[[#This Row],[%]]+I6037</f>
        <v>0.98601479856470386</v>
      </c>
      <c r="J6038" s="4">
        <f t="shared" si="221"/>
        <v>1.105583195135434E-4</v>
      </c>
      <c r="K6038" s="5">
        <f t="shared" si="222"/>
        <v>0.66733001658381985</v>
      </c>
    </row>
    <row r="6039" spans="1:11" x14ac:dyDescent="0.25">
      <c r="A6039" t="s">
        <v>6867</v>
      </c>
      <c r="C6039" t="s">
        <v>6868</v>
      </c>
      <c r="D6039" t="s">
        <v>5</v>
      </c>
      <c r="E6039" t="s">
        <v>6</v>
      </c>
      <c r="F6039" t="s">
        <v>28</v>
      </c>
      <c r="G6039">
        <v>1</v>
      </c>
      <c r="H6039" s="2">
        <f>Tabelle13[[#This Row],[commits]]/Tabelle13[[#Totals],[commits]]</f>
        <v>4.6477904404246225E-6</v>
      </c>
      <c r="I6039" s="5">
        <f>Tabelle13[[#This Row],[%]]+I6038</f>
        <v>0.98601944635514427</v>
      </c>
      <c r="J6039" s="4">
        <f t="shared" si="221"/>
        <v>1.105583195135434E-4</v>
      </c>
      <c r="K6039" s="5">
        <f t="shared" si="222"/>
        <v>0.66744057490333342</v>
      </c>
    </row>
    <row r="6040" spans="1:11" x14ac:dyDescent="0.25">
      <c r="A6040" t="s">
        <v>6869</v>
      </c>
      <c r="C6040" t="s">
        <v>6870</v>
      </c>
      <c r="D6040" t="s">
        <v>5</v>
      </c>
      <c r="E6040" t="s">
        <v>6</v>
      </c>
      <c r="F6040" t="s">
        <v>28</v>
      </c>
      <c r="G6040">
        <v>1</v>
      </c>
      <c r="H6040" s="2">
        <f>Tabelle13[[#This Row],[commits]]/Tabelle13[[#Totals],[commits]]</f>
        <v>4.6477904404246225E-6</v>
      </c>
      <c r="I6040" s="5">
        <f>Tabelle13[[#This Row],[%]]+I6039</f>
        <v>0.98602409414558467</v>
      </c>
      <c r="J6040" s="4">
        <f t="shared" si="221"/>
        <v>1.105583195135434E-4</v>
      </c>
      <c r="K6040" s="5">
        <f t="shared" si="222"/>
        <v>0.66755113322284698</v>
      </c>
    </row>
    <row r="6041" spans="1:11" x14ac:dyDescent="0.25">
      <c r="A6041" t="s">
        <v>6871</v>
      </c>
      <c r="C6041" t="s">
        <v>5449</v>
      </c>
      <c r="D6041" t="s">
        <v>5</v>
      </c>
      <c r="E6041" t="s">
        <v>6</v>
      </c>
      <c r="F6041" t="s">
        <v>28</v>
      </c>
      <c r="G6041">
        <v>1</v>
      </c>
      <c r="H6041" s="2">
        <f>Tabelle13[[#This Row],[commits]]/Tabelle13[[#Totals],[commits]]</f>
        <v>4.6477904404246225E-6</v>
      </c>
      <c r="I6041" s="5">
        <f>Tabelle13[[#This Row],[%]]+I6040</f>
        <v>0.98602874193602508</v>
      </c>
      <c r="J6041" s="4">
        <f t="shared" si="221"/>
        <v>1.105583195135434E-4</v>
      </c>
      <c r="K6041" s="5">
        <f t="shared" si="222"/>
        <v>0.66766169154236055</v>
      </c>
    </row>
    <row r="6042" spans="1:11" x14ac:dyDescent="0.25">
      <c r="A6042" t="s">
        <v>6872</v>
      </c>
      <c r="C6042" t="s">
        <v>6873</v>
      </c>
      <c r="D6042" t="s">
        <v>5</v>
      </c>
      <c r="E6042" t="s">
        <v>6</v>
      </c>
      <c r="F6042" t="s">
        <v>28</v>
      </c>
      <c r="G6042">
        <v>1</v>
      </c>
      <c r="H6042" s="2">
        <f>Tabelle13[[#This Row],[commits]]/Tabelle13[[#Totals],[commits]]</f>
        <v>4.6477904404246225E-6</v>
      </c>
      <c r="I6042" s="5">
        <f>Tabelle13[[#This Row],[%]]+I6041</f>
        <v>0.98603338972646548</v>
      </c>
      <c r="J6042" s="4">
        <f t="shared" si="221"/>
        <v>1.105583195135434E-4</v>
      </c>
      <c r="K6042" s="5">
        <f t="shared" si="222"/>
        <v>0.66777224986187411</v>
      </c>
    </row>
    <row r="6043" spans="1:11" x14ac:dyDescent="0.25">
      <c r="A6043" t="s">
        <v>6874</v>
      </c>
      <c r="C6043" t="s">
        <v>6875</v>
      </c>
      <c r="D6043" t="s">
        <v>5</v>
      </c>
      <c r="E6043" t="s">
        <v>6</v>
      </c>
      <c r="F6043" t="s">
        <v>28</v>
      </c>
      <c r="G6043">
        <v>1</v>
      </c>
      <c r="H6043" s="2">
        <f>Tabelle13[[#This Row],[commits]]/Tabelle13[[#Totals],[commits]]</f>
        <v>4.6477904404246225E-6</v>
      </c>
      <c r="I6043" s="5">
        <f>Tabelle13[[#This Row],[%]]+I6042</f>
        <v>0.98603803751690589</v>
      </c>
      <c r="J6043" s="4">
        <f t="shared" si="221"/>
        <v>1.105583195135434E-4</v>
      </c>
      <c r="K6043" s="5">
        <f t="shared" si="222"/>
        <v>0.66788280818138768</v>
      </c>
    </row>
    <row r="6044" spans="1:11" x14ac:dyDescent="0.25">
      <c r="A6044" t="s">
        <v>6876</v>
      </c>
      <c r="C6044" t="s">
        <v>6877</v>
      </c>
      <c r="D6044" t="s">
        <v>5</v>
      </c>
      <c r="E6044" t="s">
        <v>6</v>
      </c>
      <c r="F6044" t="s">
        <v>28</v>
      </c>
      <c r="G6044">
        <v>1</v>
      </c>
      <c r="H6044" s="2">
        <f>Tabelle13[[#This Row],[commits]]/Tabelle13[[#Totals],[commits]]</f>
        <v>4.6477904404246225E-6</v>
      </c>
      <c r="I6044" s="5">
        <f>Tabelle13[[#This Row],[%]]+I6043</f>
        <v>0.98604268530734629</v>
      </c>
      <c r="J6044" s="4">
        <f t="shared" si="221"/>
        <v>1.105583195135434E-4</v>
      </c>
      <c r="K6044" s="5">
        <f t="shared" si="222"/>
        <v>0.66799336650090124</v>
      </c>
    </row>
    <row r="6045" spans="1:11" x14ac:dyDescent="0.25">
      <c r="A6045" t="s">
        <v>6878</v>
      </c>
      <c r="C6045" t="s">
        <v>6879</v>
      </c>
      <c r="D6045" t="s">
        <v>5</v>
      </c>
      <c r="E6045" t="s">
        <v>6</v>
      </c>
      <c r="F6045" t="s">
        <v>28</v>
      </c>
      <c r="G6045">
        <v>1</v>
      </c>
      <c r="H6045" s="2">
        <f>Tabelle13[[#This Row],[commits]]/Tabelle13[[#Totals],[commits]]</f>
        <v>4.6477904404246225E-6</v>
      </c>
      <c r="I6045" s="5">
        <f>Tabelle13[[#This Row],[%]]+I6044</f>
        <v>0.98604733309778669</v>
      </c>
      <c r="J6045" s="4">
        <f t="shared" si="221"/>
        <v>1.105583195135434E-4</v>
      </c>
      <c r="K6045" s="5">
        <f t="shared" si="222"/>
        <v>0.66810392482041481</v>
      </c>
    </row>
    <row r="6046" spans="1:11" x14ac:dyDescent="0.25">
      <c r="A6046" t="s">
        <v>6880</v>
      </c>
      <c r="C6046" t="s">
        <v>6881</v>
      </c>
      <c r="D6046" t="s">
        <v>5</v>
      </c>
      <c r="E6046" t="s">
        <v>6</v>
      </c>
      <c r="F6046" t="s">
        <v>28</v>
      </c>
      <c r="G6046">
        <v>1</v>
      </c>
      <c r="H6046" s="2">
        <f>Tabelle13[[#This Row],[commits]]/Tabelle13[[#Totals],[commits]]</f>
        <v>4.6477904404246225E-6</v>
      </c>
      <c r="I6046" s="5">
        <f>Tabelle13[[#This Row],[%]]+I6045</f>
        <v>0.9860519808882271</v>
      </c>
      <c r="J6046" s="4">
        <f t="shared" si="221"/>
        <v>1.105583195135434E-4</v>
      </c>
      <c r="K6046" s="5">
        <f t="shared" si="222"/>
        <v>0.66821448313992837</v>
      </c>
    </row>
    <row r="6047" spans="1:11" x14ac:dyDescent="0.25">
      <c r="A6047" t="s">
        <v>6882</v>
      </c>
      <c r="C6047" t="s">
        <v>6883</v>
      </c>
      <c r="D6047" t="s">
        <v>5</v>
      </c>
      <c r="E6047" t="s">
        <v>6</v>
      </c>
      <c r="F6047" t="s">
        <v>28</v>
      </c>
      <c r="G6047">
        <v>1</v>
      </c>
      <c r="H6047" s="2">
        <f>Tabelle13[[#This Row],[commits]]/Tabelle13[[#Totals],[commits]]</f>
        <v>4.6477904404246225E-6</v>
      </c>
      <c r="I6047" s="5">
        <f>Tabelle13[[#This Row],[%]]+I6046</f>
        <v>0.9860566286786675</v>
      </c>
      <c r="J6047" s="4">
        <f t="shared" si="221"/>
        <v>1.105583195135434E-4</v>
      </c>
      <c r="K6047" s="5">
        <f t="shared" si="222"/>
        <v>0.66832504145944194</v>
      </c>
    </row>
    <row r="6048" spans="1:11" x14ac:dyDescent="0.25">
      <c r="A6048" t="s">
        <v>6884</v>
      </c>
      <c r="C6048" t="s">
        <v>6885</v>
      </c>
      <c r="D6048" t="s">
        <v>5</v>
      </c>
      <c r="E6048" t="s">
        <v>6</v>
      </c>
      <c r="F6048" t="s">
        <v>28</v>
      </c>
      <c r="G6048">
        <v>1</v>
      </c>
      <c r="H6048" s="2">
        <f>Tabelle13[[#This Row],[commits]]/Tabelle13[[#Totals],[commits]]</f>
        <v>4.6477904404246225E-6</v>
      </c>
      <c r="I6048" s="5">
        <f>Tabelle13[[#This Row],[%]]+I6047</f>
        <v>0.98606127646910791</v>
      </c>
      <c r="J6048" s="4">
        <f t="shared" si="221"/>
        <v>1.105583195135434E-4</v>
      </c>
      <c r="K6048" s="5">
        <f t="shared" si="222"/>
        <v>0.6684355997789555</v>
      </c>
    </row>
    <row r="6049" spans="1:11" x14ac:dyDescent="0.25">
      <c r="A6049" t="s">
        <v>6886</v>
      </c>
      <c r="C6049" t="s">
        <v>6887</v>
      </c>
      <c r="D6049" t="s">
        <v>5</v>
      </c>
      <c r="E6049" t="s">
        <v>6</v>
      </c>
      <c r="F6049" t="s">
        <v>28</v>
      </c>
      <c r="G6049">
        <v>1</v>
      </c>
      <c r="H6049" s="2">
        <f>Tabelle13[[#This Row],[commits]]/Tabelle13[[#Totals],[commits]]</f>
        <v>4.6477904404246225E-6</v>
      </c>
      <c r="I6049" s="5">
        <f>Tabelle13[[#This Row],[%]]+I6048</f>
        <v>0.98606592425954831</v>
      </c>
      <c r="J6049" s="4">
        <f t="shared" si="221"/>
        <v>1.105583195135434E-4</v>
      </c>
      <c r="K6049" s="5">
        <f t="shared" si="222"/>
        <v>0.66854615809846907</v>
      </c>
    </row>
    <row r="6050" spans="1:11" x14ac:dyDescent="0.25">
      <c r="A6050" t="s">
        <v>6888</v>
      </c>
      <c r="C6050" t="s">
        <v>6889</v>
      </c>
      <c r="D6050" t="s">
        <v>5</v>
      </c>
      <c r="E6050" t="s">
        <v>6</v>
      </c>
      <c r="F6050" t="s">
        <v>28</v>
      </c>
      <c r="G6050">
        <v>1</v>
      </c>
      <c r="H6050" s="2">
        <f>Tabelle13[[#This Row],[commits]]/Tabelle13[[#Totals],[commits]]</f>
        <v>4.6477904404246225E-6</v>
      </c>
      <c r="I6050" s="5">
        <f>Tabelle13[[#This Row],[%]]+I6049</f>
        <v>0.98607057204998871</v>
      </c>
      <c r="J6050" s="4">
        <f t="shared" si="221"/>
        <v>1.105583195135434E-4</v>
      </c>
      <c r="K6050" s="5">
        <f t="shared" si="222"/>
        <v>0.66865671641798263</v>
      </c>
    </row>
    <row r="6051" spans="1:11" x14ac:dyDescent="0.25">
      <c r="A6051" t="s">
        <v>6890</v>
      </c>
      <c r="C6051" t="s">
        <v>6891</v>
      </c>
      <c r="D6051" t="s">
        <v>5</v>
      </c>
      <c r="E6051" t="s">
        <v>6</v>
      </c>
      <c r="F6051" t="s">
        <v>28</v>
      </c>
      <c r="G6051">
        <v>1</v>
      </c>
      <c r="H6051" s="2">
        <f>Tabelle13[[#This Row],[commits]]/Tabelle13[[#Totals],[commits]]</f>
        <v>4.6477904404246225E-6</v>
      </c>
      <c r="I6051" s="5">
        <f>Tabelle13[[#This Row],[%]]+I6050</f>
        <v>0.98607521984042912</v>
      </c>
      <c r="J6051" s="4">
        <f t="shared" si="221"/>
        <v>1.105583195135434E-4</v>
      </c>
      <c r="K6051" s="5">
        <f t="shared" si="222"/>
        <v>0.6687672747374962</v>
      </c>
    </row>
    <row r="6052" spans="1:11" x14ac:dyDescent="0.25">
      <c r="A6052" t="s">
        <v>6892</v>
      </c>
      <c r="C6052" t="s">
        <v>6893</v>
      </c>
      <c r="D6052" t="s">
        <v>5</v>
      </c>
      <c r="E6052" t="s">
        <v>6</v>
      </c>
      <c r="F6052" t="s">
        <v>28</v>
      </c>
      <c r="G6052">
        <v>1</v>
      </c>
      <c r="H6052" s="2">
        <f>Tabelle13[[#This Row],[commits]]/Tabelle13[[#Totals],[commits]]</f>
        <v>4.6477904404246225E-6</v>
      </c>
      <c r="I6052" s="5">
        <f>Tabelle13[[#This Row],[%]]+I6051</f>
        <v>0.98607986763086952</v>
      </c>
      <c r="J6052" s="4">
        <f t="shared" si="221"/>
        <v>1.105583195135434E-4</v>
      </c>
      <c r="K6052" s="5">
        <f t="shared" si="222"/>
        <v>0.66887783305700976</v>
      </c>
    </row>
    <row r="6053" spans="1:11" x14ac:dyDescent="0.25">
      <c r="A6053" t="s">
        <v>6894</v>
      </c>
      <c r="C6053" t="s">
        <v>6895</v>
      </c>
      <c r="D6053" t="s">
        <v>5</v>
      </c>
      <c r="E6053" t="s">
        <v>6</v>
      </c>
      <c r="F6053" t="s">
        <v>28</v>
      </c>
      <c r="G6053">
        <v>1</v>
      </c>
      <c r="H6053" s="2">
        <f>Tabelle13[[#This Row],[commits]]/Tabelle13[[#Totals],[commits]]</f>
        <v>4.6477904404246225E-6</v>
      </c>
      <c r="I6053" s="5">
        <f>Tabelle13[[#This Row],[%]]+I6052</f>
        <v>0.98608451542130993</v>
      </c>
      <c r="J6053" s="4">
        <f t="shared" si="221"/>
        <v>1.105583195135434E-4</v>
      </c>
      <c r="K6053" s="5">
        <f t="shared" si="222"/>
        <v>0.66898839137652333</v>
      </c>
    </row>
    <row r="6054" spans="1:11" x14ac:dyDescent="0.25">
      <c r="A6054" t="s">
        <v>6896</v>
      </c>
      <c r="C6054" t="s">
        <v>6897</v>
      </c>
      <c r="D6054" t="s">
        <v>5</v>
      </c>
      <c r="E6054" t="s">
        <v>6</v>
      </c>
      <c r="F6054" t="s">
        <v>28</v>
      </c>
      <c r="G6054">
        <v>1</v>
      </c>
      <c r="H6054" s="2">
        <f>Tabelle13[[#This Row],[commits]]/Tabelle13[[#Totals],[commits]]</f>
        <v>4.6477904404246225E-6</v>
      </c>
      <c r="I6054" s="5">
        <f>Tabelle13[[#This Row],[%]]+I6053</f>
        <v>0.98608916321175033</v>
      </c>
      <c r="J6054" s="4">
        <f t="shared" si="221"/>
        <v>1.105583195135434E-4</v>
      </c>
      <c r="K6054" s="5">
        <f t="shared" si="222"/>
        <v>0.66909894969603689</v>
      </c>
    </row>
    <row r="6055" spans="1:11" x14ac:dyDescent="0.25">
      <c r="A6055" t="s">
        <v>6898</v>
      </c>
      <c r="C6055" t="s">
        <v>6899</v>
      </c>
      <c r="D6055" t="s">
        <v>5175</v>
      </c>
      <c r="E6055" t="s">
        <v>6</v>
      </c>
      <c r="F6055" t="s">
        <v>28</v>
      </c>
      <c r="G6055">
        <v>1</v>
      </c>
      <c r="H6055" s="2">
        <f>Tabelle13[[#This Row],[commits]]/Tabelle13[[#Totals],[commits]]</f>
        <v>4.6477904404246225E-6</v>
      </c>
      <c r="I6055" s="5">
        <f>Tabelle13[[#This Row],[%]]+I6054</f>
        <v>0.98609381100219073</v>
      </c>
      <c r="J6055" s="4">
        <f t="shared" si="221"/>
        <v>1.105583195135434E-4</v>
      </c>
      <c r="K6055" s="5">
        <f t="shared" si="222"/>
        <v>0.66920950801555046</v>
      </c>
    </row>
    <row r="6056" spans="1:11" x14ac:dyDescent="0.25">
      <c r="A6056" t="s">
        <v>6900</v>
      </c>
      <c r="C6056" t="s">
        <v>6901</v>
      </c>
      <c r="D6056" t="s">
        <v>5</v>
      </c>
      <c r="E6056" t="s">
        <v>6</v>
      </c>
      <c r="F6056" t="s">
        <v>28</v>
      </c>
      <c r="G6056">
        <v>1</v>
      </c>
      <c r="H6056" s="2">
        <f>Tabelle13[[#This Row],[commits]]/Tabelle13[[#Totals],[commits]]</f>
        <v>4.6477904404246225E-6</v>
      </c>
      <c r="I6056" s="5">
        <f>Tabelle13[[#This Row],[%]]+I6055</f>
        <v>0.98609845879263114</v>
      </c>
      <c r="J6056" s="4">
        <f t="shared" si="221"/>
        <v>1.105583195135434E-4</v>
      </c>
      <c r="K6056" s="5">
        <f t="shared" si="222"/>
        <v>0.66932006633506402</v>
      </c>
    </row>
    <row r="6057" spans="1:11" x14ac:dyDescent="0.25">
      <c r="A6057" t="s">
        <v>6902</v>
      </c>
      <c r="C6057" t="s">
        <v>6903</v>
      </c>
      <c r="D6057" t="s">
        <v>5</v>
      </c>
      <c r="E6057" t="s">
        <v>6</v>
      </c>
      <c r="F6057" t="s">
        <v>28</v>
      </c>
      <c r="G6057">
        <v>1</v>
      </c>
      <c r="H6057" s="2">
        <f>Tabelle13[[#This Row],[commits]]/Tabelle13[[#Totals],[commits]]</f>
        <v>4.6477904404246225E-6</v>
      </c>
      <c r="I6057" s="5">
        <f>Tabelle13[[#This Row],[%]]+I6056</f>
        <v>0.98610310658307154</v>
      </c>
      <c r="J6057" s="4">
        <f t="shared" si="221"/>
        <v>1.105583195135434E-4</v>
      </c>
      <c r="K6057" s="5">
        <f t="shared" si="222"/>
        <v>0.66943062465457759</v>
      </c>
    </row>
    <row r="6058" spans="1:11" x14ac:dyDescent="0.25">
      <c r="A6058" t="s">
        <v>6904</v>
      </c>
      <c r="C6058" t="s">
        <v>6905</v>
      </c>
      <c r="D6058" t="s">
        <v>5</v>
      </c>
      <c r="E6058" t="s">
        <v>6</v>
      </c>
      <c r="F6058" t="s">
        <v>28</v>
      </c>
      <c r="G6058">
        <v>1</v>
      </c>
      <c r="H6058" s="2">
        <f>Tabelle13[[#This Row],[commits]]/Tabelle13[[#Totals],[commits]]</f>
        <v>4.6477904404246225E-6</v>
      </c>
      <c r="I6058" s="5">
        <f>Tabelle13[[#This Row],[%]]+I6057</f>
        <v>0.98610775437351195</v>
      </c>
      <c r="J6058" s="4">
        <f t="shared" si="221"/>
        <v>1.105583195135434E-4</v>
      </c>
      <c r="K6058" s="5">
        <f t="shared" si="222"/>
        <v>0.66954118297409115</v>
      </c>
    </row>
    <row r="6059" spans="1:11" x14ac:dyDescent="0.25">
      <c r="A6059" t="s">
        <v>6906</v>
      </c>
      <c r="C6059" t="s">
        <v>6907</v>
      </c>
      <c r="D6059" t="s">
        <v>5</v>
      </c>
      <c r="E6059" t="s">
        <v>6</v>
      </c>
      <c r="F6059" t="s">
        <v>28</v>
      </c>
      <c r="G6059">
        <v>1</v>
      </c>
      <c r="H6059" s="2">
        <f>Tabelle13[[#This Row],[commits]]/Tabelle13[[#Totals],[commits]]</f>
        <v>4.6477904404246225E-6</v>
      </c>
      <c r="I6059" s="5">
        <f>Tabelle13[[#This Row],[%]]+I6058</f>
        <v>0.98611240216395235</v>
      </c>
      <c r="J6059" s="4">
        <f t="shared" si="221"/>
        <v>1.105583195135434E-4</v>
      </c>
      <c r="K6059" s="5">
        <f t="shared" si="222"/>
        <v>0.66965174129360472</v>
      </c>
    </row>
    <row r="6060" spans="1:11" x14ac:dyDescent="0.25">
      <c r="A6060" t="s">
        <v>6908</v>
      </c>
      <c r="C6060" t="s">
        <v>6909</v>
      </c>
      <c r="D6060" t="s">
        <v>5</v>
      </c>
      <c r="E6060" t="s">
        <v>6</v>
      </c>
      <c r="F6060" t="s">
        <v>28</v>
      </c>
      <c r="G6060">
        <v>1</v>
      </c>
      <c r="H6060" s="2">
        <f>Tabelle13[[#This Row],[commits]]/Tabelle13[[#Totals],[commits]]</f>
        <v>4.6477904404246225E-6</v>
      </c>
      <c r="I6060" s="5">
        <f>Tabelle13[[#This Row],[%]]+I6059</f>
        <v>0.98611704995439275</v>
      </c>
      <c r="J6060" s="4">
        <f t="shared" si="221"/>
        <v>1.105583195135434E-4</v>
      </c>
      <c r="K6060" s="5">
        <f t="shared" si="222"/>
        <v>0.66976229961311828</v>
      </c>
    </row>
    <row r="6061" spans="1:11" x14ac:dyDescent="0.25">
      <c r="A6061" t="s">
        <v>6910</v>
      </c>
      <c r="C6061" t="s">
        <v>6911</v>
      </c>
      <c r="D6061" t="s">
        <v>5175</v>
      </c>
      <c r="E6061" t="s">
        <v>6</v>
      </c>
      <c r="F6061" t="s">
        <v>28</v>
      </c>
      <c r="G6061">
        <v>1</v>
      </c>
      <c r="H6061" s="2">
        <f>Tabelle13[[#This Row],[commits]]/Tabelle13[[#Totals],[commits]]</f>
        <v>4.6477904404246225E-6</v>
      </c>
      <c r="I6061" s="5">
        <f>Tabelle13[[#This Row],[%]]+I6060</f>
        <v>0.98612169774483316</v>
      </c>
      <c r="J6061" s="4">
        <f t="shared" si="221"/>
        <v>1.105583195135434E-4</v>
      </c>
      <c r="K6061" s="5">
        <f t="shared" si="222"/>
        <v>0.66987285793263185</v>
      </c>
    </row>
    <row r="6062" spans="1:11" x14ac:dyDescent="0.25">
      <c r="A6062" t="s">
        <v>6912</v>
      </c>
      <c r="C6062" t="s">
        <v>6913</v>
      </c>
      <c r="D6062" t="s">
        <v>5</v>
      </c>
      <c r="E6062" t="s">
        <v>6</v>
      </c>
      <c r="F6062" t="s">
        <v>28</v>
      </c>
      <c r="G6062">
        <v>1</v>
      </c>
      <c r="H6062" s="2">
        <f>Tabelle13[[#This Row],[commits]]/Tabelle13[[#Totals],[commits]]</f>
        <v>4.6477904404246225E-6</v>
      </c>
      <c r="I6062" s="5">
        <f>Tabelle13[[#This Row],[%]]+I6061</f>
        <v>0.98612634553527356</v>
      </c>
      <c r="J6062" s="4">
        <f t="shared" si="221"/>
        <v>1.105583195135434E-4</v>
      </c>
      <c r="K6062" s="5">
        <f t="shared" si="222"/>
        <v>0.66998341625214541</v>
      </c>
    </row>
    <row r="6063" spans="1:11" x14ac:dyDescent="0.25">
      <c r="A6063" t="s">
        <v>6914</v>
      </c>
      <c r="C6063" t="s">
        <v>6915</v>
      </c>
      <c r="D6063" t="s">
        <v>5</v>
      </c>
      <c r="E6063" t="s">
        <v>6</v>
      </c>
      <c r="F6063" t="s">
        <v>28</v>
      </c>
      <c r="G6063">
        <v>1</v>
      </c>
      <c r="H6063" s="2">
        <f>Tabelle13[[#This Row],[commits]]/Tabelle13[[#Totals],[commits]]</f>
        <v>4.6477904404246225E-6</v>
      </c>
      <c r="I6063" s="5">
        <f>Tabelle13[[#This Row],[%]]+I6062</f>
        <v>0.98613099332571397</v>
      </c>
      <c r="J6063" s="4">
        <f t="shared" si="221"/>
        <v>1.105583195135434E-4</v>
      </c>
      <c r="K6063" s="5">
        <f t="shared" si="222"/>
        <v>0.67009397457165898</v>
      </c>
    </row>
    <row r="6064" spans="1:11" x14ac:dyDescent="0.25">
      <c r="A6064" t="s">
        <v>6916</v>
      </c>
      <c r="C6064" t="s">
        <v>6917</v>
      </c>
      <c r="D6064" t="s">
        <v>5</v>
      </c>
      <c r="E6064" t="s">
        <v>6</v>
      </c>
      <c r="F6064" t="s">
        <v>28</v>
      </c>
      <c r="G6064">
        <v>1</v>
      </c>
      <c r="H6064" s="2">
        <f>Tabelle13[[#This Row],[commits]]/Tabelle13[[#Totals],[commits]]</f>
        <v>4.6477904404246225E-6</v>
      </c>
      <c r="I6064" s="5">
        <f>Tabelle13[[#This Row],[%]]+I6063</f>
        <v>0.98613564111615437</v>
      </c>
      <c r="J6064" s="4">
        <f t="shared" si="221"/>
        <v>1.105583195135434E-4</v>
      </c>
      <c r="K6064" s="5">
        <f t="shared" si="222"/>
        <v>0.67020453289117254</v>
      </c>
    </row>
    <row r="6065" spans="1:11" x14ac:dyDescent="0.25">
      <c r="A6065" t="s">
        <v>6918</v>
      </c>
      <c r="C6065" t="s">
        <v>6919</v>
      </c>
      <c r="D6065" t="s">
        <v>5</v>
      </c>
      <c r="E6065" t="s">
        <v>6</v>
      </c>
      <c r="F6065" t="s">
        <v>28</v>
      </c>
      <c r="G6065">
        <v>1</v>
      </c>
      <c r="H6065" s="2">
        <f>Tabelle13[[#This Row],[commits]]/Tabelle13[[#Totals],[commits]]</f>
        <v>4.6477904404246225E-6</v>
      </c>
      <c r="I6065" s="5">
        <f>Tabelle13[[#This Row],[%]]+I6064</f>
        <v>0.98614028890659478</v>
      </c>
      <c r="J6065" s="4">
        <f t="shared" si="221"/>
        <v>1.105583195135434E-4</v>
      </c>
      <c r="K6065" s="5">
        <f t="shared" si="222"/>
        <v>0.67031509121068611</v>
      </c>
    </row>
    <row r="6066" spans="1:11" x14ac:dyDescent="0.25">
      <c r="A6066" t="s">
        <v>6920</v>
      </c>
      <c r="C6066" t="s">
        <v>6921</v>
      </c>
      <c r="D6066" t="s">
        <v>5</v>
      </c>
      <c r="E6066" t="s">
        <v>6</v>
      </c>
      <c r="F6066" t="s">
        <v>28</v>
      </c>
      <c r="G6066">
        <v>1</v>
      </c>
      <c r="H6066" s="2">
        <f>Tabelle13[[#This Row],[commits]]/Tabelle13[[#Totals],[commits]]</f>
        <v>4.6477904404246225E-6</v>
      </c>
      <c r="I6066" s="5">
        <f>Tabelle13[[#This Row],[%]]+I6065</f>
        <v>0.98614493669703518</v>
      </c>
      <c r="J6066" s="4">
        <f t="shared" si="221"/>
        <v>1.105583195135434E-4</v>
      </c>
      <c r="K6066" s="5">
        <f t="shared" si="222"/>
        <v>0.67042564953019967</v>
      </c>
    </row>
    <row r="6067" spans="1:11" x14ac:dyDescent="0.25">
      <c r="A6067" t="s">
        <v>6922</v>
      </c>
      <c r="C6067" t="s">
        <v>6923</v>
      </c>
      <c r="D6067" t="s">
        <v>5</v>
      </c>
      <c r="E6067" t="s">
        <v>6</v>
      </c>
      <c r="F6067" t="s">
        <v>28</v>
      </c>
      <c r="G6067">
        <v>1</v>
      </c>
      <c r="H6067" s="2">
        <f>Tabelle13[[#This Row],[commits]]/Tabelle13[[#Totals],[commits]]</f>
        <v>4.6477904404246225E-6</v>
      </c>
      <c r="I6067" s="5">
        <f>Tabelle13[[#This Row],[%]]+I6066</f>
        <v>0.98614958448747558</v>
      </c>
      <c r="J6067" s="4">
        <f t="shared" si="221"/>
        <v>1.105583195135434E-4</v>
      </c>
      <c r="K6067" s="5">
        <f t="shared" si="222"/>
        <v>0.67053620784971324</v>
      </c>
    </row>
    <row r="6068" spans="1:11" x14ac:dyDescent="0.25">
      <c r="A6068" t="s">
        <v>6924</v>
      </c>
      <c r="C6068" t="s">
        <v>6925</v>
      </c>
      <c r="D6068" t="s">
        <v>5</v>
      </c>
      <c r="E6068" t="s">
        <v>6</v>
      </c>
      <c r="F6068" t="s">
        <v>28</v>
      </c>
      <c r="G6068">
        <v>1</v>
      </c>
      <c r="H6068" s="2">
        <f>Tabelle13[[#This Row],[commits]]/Tabelle13[[#Totals],[commits]]</f>
        <v>4.6477904404246225E-6</v>
      </c>
      <c r="I6068" s="5">
        <f>Tabelle13[[#This Row],[%]]+I6067</f>
        <v>0.98615423227791599</v>
      </c>
      <c r="J6068" s="4">
        <f t="shared" si="221"/>
        <v>1.105583195135434E-4</v>
      </c>
      <c r="K6068" s="5">
        <f t="shared" si="222"/>
        <v>0.6706467661692268</v>
      </c>
    </row>
    <row r="6069" spans="1:11" x14ac:dyDescent="0.25">
      <c r="A6069" t="s">
        <v>6926</v>
      </c>
      <c r="C6069" t="s">
        <v>6927</v>
      </c>
      <c r="D6069" t="s">
        <v>5</v>
      </c>
      <c r="E6069" t="s">
        <v>6</v>
      </c>
      <c r="F6069" t="s">
        <v>28</v>
      </c>
      <c r="G6069">
        <v>1</v>
      </c>
      <c r="H6069" s="2">
        <f>Tabelle13[[#This Row],[commits]]/Tabelle13[[#Totals],[commits]]</f>
        <v>4.6477904404246225E-6</v>
      </c>
      <c r="I6069" s="5">
        <f>Tabelle13[[#This Row],[%]]+I6068</f>
        <v>0.98615888006835639</v>
      </c>
      <c r="J6069" s="4">
        <f t="shared" si="221"/>
        <v>1.105583195135434E-4</v>
      </c>
      <c r="K6069" s="5">
        <f t="shared" si="222"/>
        <v>0.67075732448874037</v>
      </c>
    </row>
    <row r="6070" spans="1:11" x14ac:dyDescent="0.25">
      <c r="A6070" t="s">
        <v>6928</v>
      </c>
      <c r="C6070" t="s">
        <v>6929</v>
      </c>
      <c r="D6070" t="s">
        <v>5</v>
      </c>
      <c r="E6070" t="s">
        <v>6</v>
      </c>
      <c r="F6070" t="s">
        <v>28</v>
      </c>
      <c r="G6070">
        <v>1</v>
      </c>
      <c r="H6070" s="2">
        <f>Tabelle13[[#This Row],[commits]]/Tabelle13[[#Totals],[commits]]</f>
        <v>4.6477904404246225E-6</v>
      </c>
      <c r="I6070" s="5">
        <f>Tabelle13[[#This Row],[%]]+I6069</f>
        <v>0.9861635278587968</v>
      </c>
      <c r="J6070" s="4">
        <f t="shared" si="221"/>
        <v>1.105583195135434E-4</v>
      </c>
      <c r="K6070" s="5">
        <f t="shared" si="222"/>
        <v>0.67086788280825393</v>
      </c>
    </row>
    <row r="6071" spans="1:11" x14ac:dyDescent="0.25">
      <c r="A6071" t="s">
        <v>6930</v>
      </c>
      <c r="C6071" t="s">
        <v>6931</v>
      </c>
      <c r="D6071" t="s">
        <v>5</v>
      </c>
      <c r="E6071" t="s">
        <v>6</v>
      </c>
      <c r="F6071" t="s">
        <v>28</v>
      </c>
      <c r="G6071">
        <v>1</v>
      </c>
      <c r="H6071" s="2">
        <f>Tabelle13[[#This Row],[commits]]/Tabelle13[[#Totals],[commits]]</f>
        <v>4.6477904404246225E-6</v>
      </c>
      <c r="I6071" s="5">
        <f>Tabelle13[[#This Row],[%]]+I6070</f>
        <v>0.9861681756492372</v>
      </c>
      <c r="J6071" s="4">
        <f t="shared" si="221"/>
        <v>1.105583195135434E-4</v>
      </c>
      <c r="K6071" s="5">
        <f t="shared" si="222"/>
        <v>0.6709784411277675</v>
      </c>
    </row>
    <row r="6072" spans="1:11" x14ac:dyDescent="0.25">
      <c r="A6072" t="s">
        <v>6932</v>
      </c>
      <c r="C6072" t="s">
        <v>6933</v>
      </c>
      <c r="D6072" t="s">
        <v>5</v>
      </c>
      <c r="E6072" t="s">
        <v>6</v>
      </c>
      <c r="F6072" t="s">
        <v>28</v>
      </c>
      <c r="G6072">
        <v>1</v>
      </c>
      <c r="H6072" s="2">
        <f>Tabelle13[[#This Row],[commits]]/Tabelle13[[#Totals],[commits]]</f>
        <v>4.6477904404246225E-6</v>
      </c>
      <c r="I6072" s="5">
        <f>Tabelle13[[#This Row],[%]]+I6071</f>
        <v>0.9861728234396776</v>
      </c>
      <c r="J6072" s="4">
        <f t="shared" si="221"/>
        <v>1.105583195135434E-4</v>
      </c>
      <c r="K6072" s="5">
        <f t="shared" si="222"/>
        <v>0.67108899944728106</v>
      </c>
    </row>
    <row r="6073" spans="1:11" x14ac:dyDescent="0.25">
      <c r="A6073" t="s">
        <v>6934</v>
      </c>
      <c r="C6073" t="s">
        <v>6935</v>
      </c>
      <c r="D6073" t="s">
        <v>5</v>
      </c>
      <c r="E6073" t="s">
        <v>6</v>
      </c>
      <c r="F6073" t="s">
        <v>28</v>
      </c>
      <c r="G6073">
        <v>1</v>
      </c>
      <c r="H6073" s="2">
        <f>Tabelle13[[#This Row],[commits]]/Tabelle13[[#Totals],[commits]]</f>
        <v>4.6477904404246225E-6</v>
      </c>
      <c r="I6073" s="5">
        <f>Tabelle13[[#This Row],[%]]+I6072</f>
        <v>0.98617747123011801</v>
      </c>
      <c r="J6073" s="4">
        <f t="shared" si="221"/>
        <v>1.105583195135434E-4</v>
      </c>
      <c r="K6073" s="5">
        <f t="shared" si="222"/>
        <v>0.67119955776679463</v>
      </c>
    </row>
    <row r="6074" spans="1:11" x14ac:dyDescent="0.25">
      <c r="A6074" t="s">
        <v>6936</v>
      </c>
      <c r="C6074" t="s">
        <v>6937</v>
      </c>
      <c r="D6074" t="s">
        <v>5</v>
      </c>
      <c r="E6074" t="s">
        <v>6</v>
      </c>
      <c r="F6074" t="s">
        <v>28</v>
      </c>
      <c r="G6074">
        <v>1</v>
      </c>
      <c r="H6074" s="2">
        <f>Tabelle13[[#This Row],[commits]]/Tabelle13[[#Totals],[commits]]</f>
        <v>4.6477904404246225E-6</v>
      </c>
      <c r="I6074" s="5">
        <f>Tabelle13[[#This Row],[%]]+I6073</f>
        <v>0.98618211902055841</v>
      </c>
      <c r="J6074" s="4">
        <f t="shared" si="221"/>
        <v>1.105583195135434E-4</v>
      </c>
      <c r="K6074" s="5">
        <f t="shared" si="222"/>
        <v>0.6713101160863082</v>
      </c>
    </row>
    <row r="6075" spans="1:11" x14ac:dyDescent="0.25">
      <c r="A6075" t="s">
        <v>6938</v>
      </c>
      <c r="C6075" t="s">
        <v>6939</v>
      </c>
      <c r="D6075" t="s">
        <v>5</v>
      </c>
      <c r="E6075" t="s">
        <v>6</v>
      </c>
      <c r="F6075" t="s">
        <v>28</v>
      </c>
      <c r="G6075">
        <v>1</v>
      </c>
      <c r="H6075" s="2">
        <f>Tabelle13[[#This Row],[commits]]/Tabelle13[[#Totals],[commits]]</f>
        <v>4.6477904404246225E-6</v>
      </c>
      <c r="I6075" s="5">
        <f>Tabelle13[[#This Row],[%]]+I6074</f>
        <v>0.98618676681099882</v>
      </c>
      <c r="J6075" s="4">
        <f t="shared" si="221"/>
        <v>1.105583195135434E-4</v>
      </c>
      <c r="K6075" s="5">
        <f t="shared" si="222"/>
        <v>0.67142067440582176</v>
      </c>
    </row>
    <row r="6076" spans="1:11" x14ac:dyDescent="0.25">
      <c r="A6076" t="s">
        <v>6940</v>
      </c>
      <c r="C6076" t="s">
        <v>6941</v>
      </c>
      <c r="D6076" t="s">
        <v>5</v>
      </c>
      <c r="E6076" t="s">
        <v>6</v>
      </c>
      <c r="F6076" t="s">
        <v>28</v>
      </c>
      <c r="G6076">
        <v>1</v>
      </c>
      <c r="H6076" s="2">
        <f>Tabelle13[[#This Row],[commits]]/Tabelle13[[#Totals],[commits]]</f>
        <v>4.6477904404246225E-6</v>
      </c>
      <c r="I6076" s="5">
        <f>Tabelle13[[#This Row],[%]]+I6075</f>
        <v>0.98619141460143922</v>
      </c>
      <c r="J6076" s="4">
        <f t="shared" si="221"/>
        <v>1.105583195135434E-4</v>
      </c>
      <c r="K6076" s="5">
        <f t="shared" si="222"/>
        <v>0.67153123272533533</v>
      </c>
    </row>
    <row r="6077" spans="1:11" x14ac:dyDescent="0.25">
      <c r="A6077" t="s">
        <v>6942</v>
      </c>
      <c r="C6077" t="s">
        <v>6943</v>
      </c>
      <c r="D6077" t="s">
        <v>5</v>
      </c>
      <c r="E6077" t="s">
        <v>6</v>
      </c>
      <c r="F6077" t="s">
        <v>28</v>
      </c>
      <c r="G6077">
        <v>1</v>
      </c>
      <c r="H6077" s="2">
        <f>Tabelle13[[#This Row],[commits]]/Tabelle13[[#Totals],[commits]]</f>
        <v>4.6477904404246225E-6</v>
      </c>
      <c r="I6077" s="5">
        <f>Tabelle13[[#This Row],[%]]+I6076</f>
        <v>0.98619606239187962</v>
      </c>
      <c r="J6077" s="4">
        <f t="shared" si="221"/>
        <v>1.105583195135434E-4</v>
      </c>
      <c r="K6077" s="5">
        <f t="shared" si="222"/>
        <v>0.67164179104484889</v>
      </c>
    </row>
    <row r="6078" spans="1:11" x14ac:dyDescent="0.25">
      <c r="A6078" t="s">
        <v>6944</v>
      </c>
      <c r="C6078" t="s">
        <v>6945</v>
      </c>
      <c r="D6078" t="s">
        <v>5</v>
      </c>
      <c r="E6078" t="s">
        <v>6</v>
      </c>
      <c r="F6078" t="s">
        <v>28</v>
      </c>
      <c r="G6078">
        <v>1</v>
      </c>
      <c r="H6078" s="2">
        <f>Tabelle13[[#This Row],[commits]]/Tabelle13[[#Totals],[commits]]</f>
        <v>4.6477904404246225E-6</v>
      </c>
      <c r="I6078" s="5">
        <f>Tabelle13[[#This Row],[%]]+I6077</f>
        <v>0.98620071018232003</v>
      </c>
      <c r="J6078" s="4">
        <f t="shared" si="221"/>
        <v>1.105583195135434E-4</v>
      </c>
      <c r="K6078" s="5">
        <f t="shared" si="222"/>
        <v>0.67175234936436246</v>
      </c>
    </row>
    <row r="6079" spans="1:11" x14ac:dyDescent="0.25">
      <c r="A6079" t="s">
        <v>6946</v>
      </c>
      <c r="C6079" t="s">
        <v>6947</v>
      </c>
      <c r="D6079" t="s">
        <v>5</v>
      </c>
      <c r="E6079" t="s">
        <v>6</v>
      </c>
      <c r="F6079" t="s">
        <v>28</v>
      </c>
      <c r="G6079">
        <v>1</v>
      </c>
      <c r="H6079" s="2">
        <f>Tabelle13[[#This Row],[commits]]/Tabelle13[[#Totals],[commits]]</f>
        <v>4.6477904404246225E-6</v>
      </c>
      <c r="I6079" s="5">
        <f>Tabelle13[[#This Row],[%]]+I6078</f>
        <v>0.98620535797276043</v>
      </c>
      <c r="J6079" s="4">
        <f t="shared" si="221"/>
        <v>1.105583195135434E-4</v>
      </c>
      <c r="K6079" s="5">
        <f t="shared" si="222"/>
        <v>0.67186290768387602</v>
      </c>
    </row>
    <row r="6080" spans="1:11" x14ac:dyDescent="0.25">
      <c r="A6080" t="s">
        <v>6948</v>
      </c>
      <c r="C6080" t="s">
        <v>6949</v>
      </c>
      <c r="D6080" t="s">
        <v>5</v>
      </c>
      <c r="E6080" t="s">
        <v>6</v>
      </c>
      <c r="F6080" t="s">
        <v>28</v>
      </c>
      <c r="G6080">
        <v>1</v>
      </c>
      <c r="H6080" s="2">
        <f>Tabelle13[[#This Row],[commits]]/Tabelle13[[#Totals],[commits]]</f>
        <v>4.6477904404246225E-6</v>
      </c>
      <c r="I6080" s="5">
        <f>Tabelle13[[#This Row],[%]]+I6079</f>
        <v>0.98621000576320084</v>
      </c>
      <c r="J6080" s="4">
        <f t="shared" si="221"/>
        <v>1.105583195135434E-4</v>
      </c>
      <c r="K6080" s="5">
        <f t="shared" si="222"/>
        <v>0.67197346600338959</v>
      </c>
    </row>
    <row r="6081" spans="1:11" x14ac:dyDescent="0.25">
      <c r="A6081" t="s">
        <v>6950</v>
      </c>
      <c r="C6081" t="s">
        <v>6951</v>
      </c>
      <c r="D6081" t="s">
        <v>5</v>
      </c>
      <c r="E6081" t="s">
        <v>6</v>
      </c>
      <c r="F6081" t="s">
        <v>28</v>
      </c>
      <c r="G6081">
        <v>1</v>
      </c>
      <c r="H6081" s="2">
        <f>Tabelle13[[#This Row],[commits]]/Tabelle13[[#Totals],[commits]]</f>
        <v>4.6477904404246225E-6</v>
      </c>
      <c r="I6081" s="5">
        <f>Tabelle13[[#This Row],[%]]+I6080</f>
        <v>0.98621465355364124</v>
      </c>
      <c r="J6081" s="4">
        <f t="shared" si="221"/>
        <v>1.105583195135434E-4</v>
      </c>
      <c r="K6081" s="5">
        <f t="shared" si="222"/>
        <v>0.67208402432290315</v>
      </c>
    </row>
    <row r="6082" spans="1:11" x14ac:dyDescent="0.25">
      <c r="A6082" t="s">
        <v>6952</v>
      </c>
      <c r="C6082" t="s">
        <v>6953</v>
      </c>
      <c r="D6082" t="s">
        <v>5</v>
      </c>
      <c r="E6082" t="s">
        <v>6</v>
      </c>
      <c r="F6082" t="s">
        <v>28</v>
      </c>
      <c r="G6082">
        <v>1</v>
      </c>
      <c r="H6082" s="2">
        <f>Tabelle13[[#This Row],[commits]]/Tabelle13[[#Totals],[commits]]</f>
        <v>4.6477904404246225E-6</v>
      </c>
      <c r="I6082" s="5">
        <f>Tabelle13[[#This Row],[%]]+I6081</f>
        <v>0.98621930134408164</v>
      </c>
      <c r="J6082" s="4">
        <f t="shared" si="221"/>
        <v>1.105583195135434E-4</v>
      </c>
      <c r="K6082" s="5">
        <f t="shared" si="222"/>
        <v>0.67219458264241672</v>
      </c>
    </row>
    <row r="6083" spans="1:11" x14ac:dyDescent="0.25">
      <c r="A6083" t="s">
        <v>6954</v>
      </c>
      <c r="C6083" t="s">
        <v>6955</v>
      </c>
      <c r="D6083" t="s">
        <v>5</v>
      </c>
      <c r="E6083" t="s">
        <v>6</v>
      </c>
      <c r="F6083" t="s">
        <v>28</v>
      </c>
      <c r="G6083">
        <v>1</v>
      </c>
      <c r="H6083" s="2">
        <f>Tabelle13[[#This Row],[commits]]/Tabelle13[[#Totals],[commits]]</f>
        <v>4.6477904404246225E-6</v>
      </c>
      <c r="I6083" s="5">
        <f>Tabelle13[[#This Row],[%]]+I6082</f>
        <v>0.98622394913452205</v>
      </c>
      <c r="J6083" s="4">
        <f t="shared" ref="J6083:J6146" si="223">1/9045</f>
        <v>1.105583195135434E-4</v>
      </c>
      <c r="K6083" s="5">
        <f t="shared" si="222"/>
        <v>0.67230514096193028</v>
      </c>
    </row>
    <row r="6084" spans="1:11" x14ac:dyDescent="0.25">
      <c r="A6084" t="s">
        <v>6956</v>
      </c>
      <c r="C6084" t="s">
        <v>6957</v>
      </c>
      <c r="D6084" t="s">
        <v>5</v>
      </c>
      <c r="E6084" t="s">
        <v>6</v>
      </c>
      <c r="F6084" t="s">
        <v>28</v>
      </c>
      <c r="G6084">
        <v>1</v>
      </c>
      <c r="H6084" s="2">
        <f>Tabelle13[[#This Row],[commits]]/Tabelle13[[#Totals],[commits]]</f>
        <v>4.6477904404246225E-6</v>
      </c>
      <c r="I6084" s="5">
        <f>Tabelle13[[#This Row],[%]]+I6083</f>
        <v>0.98622859692496245</v>
      </c>
      <c r="J6084" s="4">
        <f t="shared" si="223"/>
        <v>1.105583195135434E-4</v>
      </c>
      <c r="K6084" s="5">
        <f t="shared" si="222"/>
        <v>0.67241569928144385</v>
      </c>
    </row>
    <row r="6085" spans="1:11" x14ac:dyDescent="0.25">
      <c r="A6085" t="s">
        <v>6958</v>
      </c>
      <c r="C6085" t="s">
        <v>6959</v>
      </c>
      <c r="D6085" t="s">
        <v>5</v>
      </c>
      <c r="E6085" t="s">
        <v>6</v>
      </c>
      <c r="F6085" t="s">
        <v>28</v>
      </c>
      <c r="G6085">
        <v>1</v>
      </c>
      <c r="H6085" s="2">
        <f>Tabelle13[[#This Row],[commits]]/Tabelle13[[#Totals],[commits]]</f>
        <v>4.6477904404246225E-6</v>
      </c>
      <c r="I6085" s="5">
        <f>Tabelle13[[#This Row],[%]]+I6084</f>
        <v>0.98623324471540286</v>
      </c>
      <c r="J6085" s="4">
        <f t="shared" si="223"/>
        <v>1.105583195135434E-4</v>
      </c>
      <c r="K6085" s="5">
        <f t="shared" si="222"/>
        <v>0.67252625760095741</v>
      </c>
    </row>
    <row r="6086" spans="1:11" x14ac:dyDescent="0.25">
      <c r="A6086" t="s">
        <v>6960</v>
      </c>
      <c r="C6086" t="s">
        <v>6961</v>
      </c>
      <c r="D6086" t="s">
        <v>5</v>
      </c>
      <c r="E6086" t="s">
        <v>6</v>
      </c>
      <c r="F6086" t="s">
        <v>28</v>
      </c>
      <c r="G6086">
        <v>1</v>
      </c>
      <c r="H6086" s="2">
        <f>Tabelle13[[#This Row],[commits]]/Tabelle13[[#Totals],[commits]]</f>
        <v>4.6477904404246225E-6</v>
      </c>
      <c r="I6086" s="5">
        <f>Tabelle13[[#This Row],[%]]+I6085</f>
        <v>0.98623789250584326</v>
      </c>
      <c r="J6086" s="4">
        <f t="shared" si="223"/>
        <v>1.105583195135434E-4</v>
      </c>
      <c r="K6086" s="5">
        <f t="shared" ref="K6086:K6149" si="224">J6086+K6085</f>
        <v>0.67263681592047098</v>
      </c>
    </row>
    <row r="6087" spans="1:11" x14ac:dyDescent="0.25">
      <c r="A6087" t="s">
        <v>6962</v>
      </c>
      <c r="C6087" t="s">
        <v>6963</v>
      </c>
      <c r="D6087" t="s">
        <v>5</v>
      </c>
      <c r="E6087" t="s">
        <v>6</v>
      </c>
      <c r="F6087" t="s">
        <v>28</v>
      </c>
      <c r="G6087">
        <v>1</v>
      </c>
      <c r="H6087" s="2">
        <f>Tabelle13[[#This Row],[commits]]/Tabelle13[[#Totals],[commits]]</f>
        <v>4.6477904404246225E-6</v>
      </c>
      <c r="I6087" s="5">
        <f>Tabelle13[[#This Row],[%]]+I6086</f>
        <v>0.98624254029628367</v>
      </c>
      <c r="J6087" s="4">
        <f t="shared" si="223"/>
        <v>1.105583195135434E-4</v>
      </c>
      <c r="K6087" s="5">
        <f t="shared" si="224"/>
        <v>0.67274737423998454</v>
      </c>
    </row>
    <row r="6088" spans="1:11" x14ac:dyDescent="0.25">
      <c r="A6088" t="s">
        <v>6964</v>
      </c>
      <c r="C6088" t="s">
        <v>6963</v>
      </c>
      <c r="D6088" t="s">
        <v>5</v>
      </c>
      <c r="E6088" t="s">
        <v>6</v>
      </c>
      <c r="F6088" t="s">
        <v>28</v>
      </c>
      <c r="G6088">
        <v>1</v>
      </c>
      <c r="H6088" s="2">
        <f>Tabelle13[[#This Row],[commits]]/Tabelle13[[#Totals],[commits]]</f>
        <v>4.6477904404246225E-6</v>
      </c>
      <c r="I6088" s="5">
        <f>Tabelle13[[#This Row],[%]]+I6087</f>
        <v>0.98624718808672407</v>
      </c>
      <c r="J6088" s="4">
        <f t="shared" si="223"/>
        <v>1.105583195135434E-4</v>
      </c>
      <c r="K6088" s="5">
        <f t="shared" si="224"/>
        <v>0.67285793255949811</v>
      </c>
    </row>
    <row r="6089" spans="1:11" x14ac:dyDescent="0.25">
      <c r="A6089" t="s">
        <v>6965</v>
      </c>
      <c r="C6089" t="s">
        <v>6966</v>
      </c>
      <c r="D6089" t="s">
        <v>5</v>
      </c>
      <c r="E6089" t="s">
        <v>6</v>
      </c>
      <c r="F6089" t="s">
        <v>28</v>
      </c>
      <c r="G6089">
        <v>1</v>
      </c>
      <c r="H6089" s="2">
        <f>Tabelle13[[#This Row],[commits]]/Tabelle13[[#Totals],[commits]]</f>
        <v>4.6477904404246225E-6</v>
      </c>
      <c r="I6089" s="5">
        <f>Tabelle13[[#This Row],[%]]+I6088</f>
        <v>0.98625183587716447</v>
      </c>
      <c r="J6089" s="4">
        <f t="shared" si="223"/>
        <v>1.105583195135434E-4</v>
      </c>
      <c r="K6089" s="5">
        <f t="shared" si="224"/>
        <v>0.67296849087901167</v>
      </c>
    </row>
    <row r="6090" spans="1:11" x14ac:dyDescent="0.25">
      <c r="A6090" t="s">
        <v>6967</v>
      </c>
      <c r="C6090" t="s">
        <v>6968</v>
      </c>
      <c r="D6090" t="s">
        <v>5</v>
      </c>
      <c r="E6090" t="s">
        <v>6</v>
      </c>
      <c r="F6090" t="s">
        <v>28</v>
      </c>
      <c r="G6090">
        <v>1</v>
      </c>
      <c r="H6090" s="2">
        <f>Tabelle13[[#This Row],[commits]]/Tabelle13[[#Totals],[commits]]</f>
        <v>4.6477904404246225E-6</v>
      </c>
      <c r="I6090" s="5">
        <f>Tabelle13[[#This Row],[%]]+I6089</f>
        <v>0.98625648366760488</v>
      </c>
      <c r="J6090" s="4">
        <f t="shared" si="223"/>
        <v>1.105583195135434E-4</v>
      </c>
      <c r="K6090" s="5">
        <f t="shared" si="224"/>
        <v>0.67307904919852524</v>
      </c>
    </row>
    <row r="6091" spans="1:11" x14ac:dyDescent="0.25">
      <c r="A6091" t="s">
        <v>6969</v>
      </c>
      <c r="C6091" t="s">
        <v>6970</v>
      </c>
      <c r="D6091" t="s">
        <v>5</v>
      </c>
      <c r="E6091" t="s">
        <v>6</v>
      </c>
      <c r="F6091" t="s">
        <v>28</v>
      </c>
      <c r="G6091">
        <v>1</v>
      </c>
      <c r="H6091" s="2">
        <f>Tabelle13[[#This Row],[commits]]/Tabelle13[[#Totals],[commits]]</f>
        <v>4.6477904404246225E-6</v>
      </c>
      <c r="I6091" s="5">
        <f>Tabelle13[[#This Row],[%]]+I6090</f>
        <v>0.98626113145804528</v>
      </c>
      <c r="J6091" s="4">
        <f t="shared" si="223"/>
        <v>1.105583195135434E-4</v>
      </c>
      <c r="K6091" s="5">
        <f t="shared" si="224"/>
        <v>0.6731896075180388</v>
      </c>
    </row>
    <row r="6092" spans="1:11" x14ac:dyDescent="0.25">
      <c r="A6092" t="s">
        <v>6971</v>
      </c>
      <c r="C6092" t="s">
        <v>6972</v>
      </c>
      <c r="D6092" t="s">
        <v>5</v>
      </c>
      <c r="E6092" t="s">
        <v>6</v>
      </c>
      <c r="F6092" t="s">
        <v>28</v>
      </c>
      <c r="G6092">
        <v>1</v>
      </c>
      <c r="H6092" s="2">
        <f>Tabelle13[[#This Row],[commits]]/Tabelle13[[#Totals],[commits]]</f>
        <v>4.6477904404246225E-6</v>
      </c>
      <c r="I6092" s="5">
        <f>Tabelle13[[#This Row],[%]]+I6091</f>
        <v>0.98626577924848569</v>
      </c>
      <c r="J6092" s="4">
        <f t="shared" si="223"/>
        <v>1.105583195135434E-4</v>
      </c>
      <c r="K6092" s="5">
        <f t="shared" si="224"/>
        <v>0.67330016583755237</v>
      </c>
    </row>
    <row r="6093" spans="1:11" x14ac:dyDescent="0.25">
      <c r="A6093" t="s">
        <v>6973</v>
      </c>
      <c r="C6093" t="s">
        <v>6974</v>
      </c>
      <c r="D6093" t="s">
        <v>5</v>
      </c>
      <c r="E6093" t="s">
        <v>6</v>
      </c>
      <c r="F6093" t="s">
        <v>28</v>
      </c>
      <c r="G6093">
        <v>1</v>
      </c>
      <c r="H6093" s="2">
        <f>Tabelle13[[#This Row],[commits]]/Tabelle13[[#Totals],[commits]]</f>
        <v>4.6477904404246225E-6</v>
      </c>
      <c r="I6093" s="5">
        <f>Tabelle13[[#This Row],[%]]+I6092</f>
        <v>0.98627042703892609</v>
      </c>
      <c r="J6093" s="4">
        <f t="shared" si="223"/>
        <v>1.105583195135434E-4</v>
      </c>
      <c r="K6093" s="5">
        <f t="shared" si="224"/>
        <v>0.67341072415706593</v>
      </c>
    </row>
    <row r="6094" spans="1:11" x14ac:dyDescent="0.25">
      <c r="A6094" t="s">
        <v>6975</v>
      </c>
      <c r="C6094" t="s">
        <v>6976</v>
      </c>
      <c r="D6094" t="s">
        <v>5</v>
      </c>
      <c r="E6094" t="s">
        <v>6</v>
      </c>
      <c r="F6094" t="s">
        <v>28</v>
      </c>
      <c r="G6094">
        <v>1</v>
      </c>
      <c r="H6094" s="2">
        <f>Tabelle13[[#This Row],[commits]]/Tabelle13[[#Totals],[commits]]</f>
        <v>4.6477904404246225E-6</v>
      </c>
      <c r="I6094" s="5">
        <f>Tabelle13[[#This Row],[%]]+I6093</f>
        <v>0.98627507482936649</v>
      </c>
      <c r="J6094" s="4">
        <f t="shared" si="223"/>
        <v>1.105583195135434E-4</v>
      </c>
      <c r="K6094" s="5">
        <f t="shared" si="224"/>
        <v>0.6735212824765795</v>
      </c>
    </row>
    <row r="6095" spans="1:11" x14ac:dyDescent="0.25">
      <c r="A6095" t="s">
        <v>6977</v>
      </c>
      <c r="C6095" t="s">
        <v>6978</v>
      </c>
      <c r="D6095" t="s">
        <v>5</v>
      </c>
      <c r="E6095" t="s">
        <v>6</v>
      </c>
      <c r="F6095" t="s">
        <v>28</v>
      </c>
      <c r="G6095">
        <v>1</v>
      </c>
      <c r="H6095" s="2">
        <f>Tabelle13[[#This Row],[commits]]/Tabelle13[[#Totals],[commits]]</f>
        <v>4.6477904404246225E-6</v>
      </c>
      <c r="I6095" s="5">
        <f>Tabelle13[[#This Row],[%]]+I6094</f>
        <v>0.9862797226198069</v>
      </c>
      <c r="J6095" s="4">
        <f t="shared" si="223"/>
        <v>1.105583195135434E-4</v>
      </c>
      <c r="K6095" s="5">
        <f t="shared" si="224"/>
        <v>0.67363184079609306</v>
      </c>
    </row>
    <row r="6096" spans="1:11" x14ac:dyDescent="0.25">
      <c r="A6096" t="s">
        <v>6979</v>
      </c>
      <c r="C6096" t="s">
        <v>6980</v>
      </c>
      <c r="D6096" t="s">
        <v>5</v>
      </c>
      <c r="E6096" t="s">
        <v>6</v>
      </c>
      <c r="F6096" t="s">
        <v>28</v>
      </c>
      <c r="G6096">
        <v>1</v>
      </c>
      <c r="H6096" s="2">
        <f>Tabelle13[[#This Row],[commits]]/Tabelle13[[#Totals],[commits]]</f>
        <v>4.6477904404246225E-6</v>
      </c>
      <c r="I6096" s="5">
        <f>Tabelle13[[#This Row],[%]]+I6095</f>
        <v>0.9862843704102473</v>
      </c>
      <c r="J6096" s="4">
        <f t="shared" si="223"/>
        <v>1.105583195135434E-4</v>
      </c>
      <c r="K6096" s="5">
        <f t="shared" si="224"/>
        <v>0.67374239911560663</v>
      </c>
    </row>
    <row r="6097" spans="1:11" x14ac:dyDescent="0.25">
      <c r="A6097" t="s">
        <v>6981</v>
      </c>
      <c r="C6097" t="s">
        <v>6982</v>
      </c>
      <c r="D6097" t="s">
        <v>5</v>
      </c>
      <c r="E6097" t="s">
        <v>6</v>
      </c>
      <c r="F6097" t="s">
        <v>28</v>
      </c>
      <c r="G6097">
        <v>1</v>
      </c>
      <c r="H6097" s="2">
        <f>Tabelle13[[#This Row],[commits]]/Tabelle13[[#Totals],[commits]]</f>
        <v>4.6477904404246225E-6</v>
      </c>
      <c r="I6097" s="5">
        <f>Tabelle13[[#This Row],[%]]+I6096</f>
        <v>0.98628901820068771</v>
      </c>
      <c r="J6097" s="4">
        <f t="shared" si="223"/>
        <v>1.105583195135434E-4</v>
      </c>
      <c r="K6097" s="5">
        <f t="shared" si="224"/>
        <v>0.67385295743512019</v>
      </c>
    </row>
    <row r="6098" spans="1:11" x14ac:dyDescent="0.25">
      <c r="A6098" t="s">
        <v>6983</v>
      </c>
      <c r="C6098" t="s">
        <v>6984</v>
      </c>
      <c r="D6098" t="s">
        <v>5</v>
      </c>
      <c r="E6098" t="s">
        <v>6</v>
      </c>
      <c r="F6098" t="s">
        <v>28</v>
      </c>
      <c r="G6098">
        <v>1</v>
      </c>
      <c r="H6098" s="2">
        <f>Tabelle13[[#This Row],[commits]]/Tabelle13[[#Totals],[commits]]</f>
        <v>4.6477904404246225E-6</v>
      </c>
      <c r="I6098" s="5">
        <f>Tabelle13[[#This Row],[%]]+I6097</f>
        <v>0.98629366599112811</v>
      </c>
      <c r="J6098" s="4">
        <f t="shared" si="223"/>
        <v>1.105583195135434E-4</v>
      </c>
      <c r="K6098" s="5">
        <f t="shared" si="224"/>
        <v>0.67396351575463376</v>
      </c>
    </row>
    <row r="6099" spans="1:11" x14ac:dyDescent="0.25">
      <c r="A6099" t="s">
        <v>6985</v>
      </c>
      <c r="C6099" t="s">
        <v>6986</v>
      </c>
      <c r="D6099" t="s">
        <v>5</v>
      </c>
      <c r="E6099" t="s">
        <v>6</v>
      </c>
      <c r="F6099" t="s">
        <v>28</v>
      </c>
      <c r="G6099">
        <v>1</v>
      </c>
      <c r="H6099" s="2">
        <f>Tabelle13[[#This Row],[commits]]/Tabelle13[[#Totals],[commits]]</f>
        <v>4.6477904404246225E-6</v>
      </c>
      <c r="I6099" s="5">
        <f>Tabelle13[[#This Row],[%]]+I6098</f>
        <v>0.98629831378156851</v>
      </c>
      <c r="J6099" s="4">
        <f t="shared" si="223"/>
        <v>1.105583195135434E-4</v>
      </c>
      <c r="K6099" s="5">
        <f t="shared" si="224"/>
        <v>0.67407407407414732</v>
      </c>
    </row>
    <row r="6100" spans="1:11" x14ac:dyDescent="0.25">
      <c r="A6100" t="s">
        <v>6987</v>
      </c>
      <c r="C6100" t="s">
        <v>6988</v>
      </c>
      <c r="D6100" t="s">
        <v>5</v>
      </c>
      <c r="E6100" t="s">
        <v>6</v>
      </c>
      <c r="F6100" t="s">
        <v>28</v>
      </c>
      <c r="G6100">
        <v>1</v>
      </c>
      <c r="H6100" s="2">
        <f>Tabelle13[[#This Row],[commits]]/Tabelle13[[#Totals],[commits]]</f>
        <v>4.6477904404246225E-6</v>
      </c>
      <c r="I6100" s="5">
        <f>Tabelle13[[#This Row],[%]]+I6099</f>
        <v>0.98630296157200892</v>
      </c>
      <c r="J6100" s="4">
        <f t="shared" si="223"/>
        <v>1.105583195135434E-4</v>
      </c>
      <c r="K6100" s="5">
        <f t="shared" si="224"/>
        <v>0.67418463239366089</v>
      </c>
    </row>
    <row r="6101" spans="1:11" x14ac:dyDescent="0.25">
      <c r="A6101" t="s">
        <v>6989</v>
      </c>
      <c r="C6101" t="s">
        <v>6990</v>
      </c>
      <c r="D6101" t="s">
        <v>5</v>
      </c>
      <c r="E6101" t="s">
        <v>6</v>
      </c>
      <c r="F6101" t="s">
        <v>28</v>
      </c>
      <c r="G6101">
        <v>1</v>
      </c>
      <c r="H6101" s="2">
        <f>Tabelle13[[#This Row],[commits]]/Tabelle13[[#Totals],[commits]]</f>
        <v>4.6477904404246225E-6</v>
      </c>
      <c r="I6101" s="5">
        <f>Tabelle13[[#This Row],[%]]+I6100</f>
        <v>0.98630760936244932</v>
      </c>
      <c r="J6101" s="4">
        <f t="shared" si="223"/>
        <v>1.105583195135434E-4</v>
      </c>
      <c r="K6101" s="5">
        <f t="shared" si="224"/>
        <v>0.67429519071317445</v>
      </c>
    </row>
    <row r="6102" spans="1:11" x14ac:dyDescent="0.25">
      <c r="A6102" t="s">
        <v>6991</v>
      </c>
      <c r="C6102" t="s">
        <v>6992</v>
      </c>
      <c r="D6102" t="s">
        <v>5</v>
      </c>
      <c r="E6102" t="s">
        <v>6</v>
      </c>
      <c r="F6102" t="s">
        <v>28</v>
      </c>
      <c r="G6102">
        <v>1</v>
      </c>
      <c r="H6102" s="2">
        <f>Tabelle13[[#This Row],[commits]]/Tabelle13[[#Totals],[commits]]</f>
        <v>4.6477904404246225E-6</v>
      </c>
      <c r="I6102" s="5">
        <f>Tabelle13[[#This Row],[%]]+I6101</f>
        <v>0.98631225715288973</v>
      </c>
      <c r="J6102" s="4">
        <f t="shared" si="223"/>
        <v>1.105583195135434E-4</v>
      </c>
      <c r="K6102" s="5">
        <f t="shared" si="224"/>
        <v>0.67440574903268802</v>
      </c>
    </row>
    <row r="6103" spans="1:11" x14ac:dyDescent="0.25">
      <c r="A6103" t="s">
        <v>6993</v>
      </c>
      <c r="C6103" t="s">
        <v>6994</v>
      </c>
      <c r="D6103" t="s">
        <v>5</v>
      </c>
      <c r="E6103" t="s">
        <v>6</v>
      </c>
      <c r="F6103" t="s">
        <v>28</v>
      </c>
      <c r="G6103">
        <v>1</v>
      </c>
      <c r="H6103" s="2">
        <f>Tabelle13[[#This Row],[commits]]/Tabelle13[[#Totals],[commits]]</f>
        <v>4.6477904404246225E-6</v>
      </c>
      <c r="I6103" s="5">
        <f>Tabelle13[[#This Row],[%]]+I6102</f>
        <v>0.98631690494333013</v>
      </c>
      <c r="J6103" s="4">
        <f t="shared" si="223"/>
        <v>1.105583195135434E-4</v>
      </c>
      <c r="K6103" s="5">
        <f t="shared" si="224"/>
        <v>0.67451630735220158</v>
      </c>
    </row>
    <row r="6104" spans="1:11" x14ac:dyDescent="0.25">
      <c r="A6104" t="s">
        <v>6995</v>
      </c>
      <c r="C6104" t="s">
        <v>6996</v>
      </c>
      <c r="D6104" t="s">
        <v>5</v>
      </c>
      <c r="E6104" t="s">
        <v>6</v>
      </c>
      <c r="F6104" t="s">
        <v>28</v>
      </c>
      <c r="G6104">
        <v>1</v>
      </c>
      <c r="H6104" s="2">
        <f>Tabelle13[[#This Row],[commits]]/Tabelle13[[#Totals],[commits]]</f>
        <v>4.6477904404246225E-6</v>
      </c>
      <c r="I6104" s="5">
        <f>Tabelle13[[#This Row],[%]]+I6103</f>
        <v>0.98632155273377053</v>
      </c>
      <c r="J6104" s="4">
        <f t="shared" si="223"/>
        <v>1.105583195135434E-4</v>
      </c>
      <c r="K6104" s="5">
        <f t="shared" si="224"/>
        <v>0.67462686567171515</v>
      </c>
    </row>
    <row r="6105" spans="1:11" x14ac:dyDescent="0.25">
      <c r="A6105" t="s">
        <v>6997</v>
      </c>
      <c r="C6105" t="s">
        <v>6998</v>
      </c>
      <c r="D6105" t="s">
        <v>5</v>
      </c>
      <c r="E6105" t="s">
        <v>6</v>
      </c>
      <c r="F6105" t="s">
        <v>28</v>
      </c>
      <c r="G6105">
        <v>1</v>
      </c>
      <c r="H6105" s="2">
        <f>Tabelle13[[#This Row],[commits]]/Tabelle13[[#Totals],[commits]]</f>
        <v>4.6477904404246225E-6</v>
      </c>
      <c r="I6105" s="5">
        <f>Tabelle13[[#This Row],[%]]+I6104</f>
        <v>0.98632620052421094</v>
      </c>
      <c r="J6105" s="4">
        <f t="shared" si="223"/>
        <v>1.105583195135434E-4</v>
      </c>
      <c r="K6105" s="5">
        <f t="shared" si="224"/>
        <v>0.67473742399122871</v>
      </c>
    </row>
    <row r="6106" spans="1:11" x14ac:dyDescent="0.25">
      <c r="A6106" t="s">
        <v>6999</v>
      </c>
      <c r="C6106" t="s">
        <v>7000</v>
      </c>
      <c r="D6106" t="s">
        <v>5</v>
      </c>
      <c r="E6106" t="s">
        <v>6</v>
      </c>
      <c r="F6106" t="s">
        <v>28</v>
      </c>
      <c r="G6106">
        <v>1</v>
      </c>
      <c r="H6106" s="2">
        <f>Tabelle13[[#This Row],[commits]]/Tabelle13[[#Totals],[commits]]</f>
        <v>4.6477904404246225E-6</v>
      </c>
      <c r="I6106" s="5">
        <f>Tabelle13[[#This Row],[%]]+I6105</f>
        <v>0.98633084831465134</v>
      </c>
      <c r="J6106" s="4">
        <f t="shared" si="223"/>
        <v>1.105583195135434E-4</v>
      </c>
      <c r="K6106" s="5">
        <f t="shared" si="224"/>
        <v>0.67484798231074228</v>
      </c>
    </row>
    <row r="6107" spans="1:11" x14ac:dyDescent="0.25">
      <c r="A6107" t="s">
        <v>7001</v>
      </c>
      <c r="C6107" t="s">
        <v>7002</v>
      </c>
      <c r="D6107" t="s">
        <v>5</v>
      </c>
      <c r="E6107" t="s">
        <v>6</v>
      </c>
      <c r="F6107" t="s">
        <v>28</v>
      </c>
      <c r="G6107">
        <v>1</v>
      </c>
      <c r="H6107" s="2">
        <f>Tabelle13[[#This Row],[commits]]/Tabelle13[[#Totals],[commits]]</f>
        <v>4.6477904404246225E-6</v>
      </c>
      <c r="I6107" s="5">
        <f>Tabelle13[[#This Row],[%]]+I6106</f>
        <v>0.98633549610509175</v>
      </c>
      <c r="J6107" s="4">
        <f t="shared" si="223"/>
        <v>1.105583195135434E-4</v>
      </c>
      <c r="K6107" s="5">
        <f t="shared" si="224"/>
        <v>0.67495854063025584</v>
      </c>
    </row>
    <row r="6108" spans="1:11" x14ac:dyDescent="0.25">
      <c r="A6108" t="s">
        <v>7003</v>
      </c>
      <c r="C6108" t="s">
        <v>7004</v>
      </c>
      <c r="D6108" t="s">
        <v>5</v>
      </c>
      <c r="E6108" t="s">
        <v>6</v>
      </c>
      <c r="F6108" t="s">
        <v>28</v>
      </c>
      <c r="G6108">
        <v>1</v>
      </c>
      <c r="H6108" s="2">
        <f>Tabelle13[[#This Row],[commits]]/Tabelle13[[#Totals],[commits]]</f>
        <v>4.6477904404246225E-6</v>
      </c>
      <c r="I6108" s="5">
        <f>Tabelle13[[#This Row],[%]]+I6107</f>
        <v>0.98634014389553215</v>
      </c>
      <c r="J6108" s="4">
        <f t="shared" si="223"/>
        <v>1.105583195135434E-4</v>
      </c>
      <c r="K6108" s="5">
        <f t="shared" si="224"/>
        <v>0.67506909894976941</v>
      </c>
    </row>
    <row r="6109" spans="1:11" x14ac:dyDescent="0.25">
      <c r="A6109" t="s">
        <v>7005</v>
      </c>
      <c r="C6109" t="s">
        <v>7006</v>
      </c>
      <c r="D6109" t="s">
        <v>5</v>
      </c>
      <c r="E6109" t="s">
        <v>6</v>
      </c>
      <c r="F6109" t="s">
        <v>28</v>
      </c>
      <c r="G6109">
        <v>1</v>
      </c>
      <c r="H6109" s="2">
        <f>Tabelle13[[#This Row],[commits]]/Tabelle13[[#Totals],[commits]]</f>
        <v>4.6477904404246225E-6</v>
      </c>
      <c r="I6109" s="5">
        <f>Tabelle13[[#This Row],[%]]+I6108</f>
        <v>0.98634479168597256</v>
      </c>
      <c r="J6109" s="4">
        <f t="shared" si="223"/>
        <v>1.105583195135434E-4</v>
      </c>
      <c r="K6109" s="5">
        <f t="shared" si="224"/>
        <v>0.67517965726928297</v>
      </c>
    </row>
    <row r="6110" spans="1:11" x14ac:dyDescent="0.25">
      <c r="A6110" t="s">
        <v>7007</v>
      </c>
      <c r="C6110" t="s">
        <v>7008</v>
      </c>
      <c r="D6110" t="s">
        <v>5</v>
      </c>
      <c r="E6110" t="s">
        <v>6</v>
      </c>
      <c r="F6110" t="s">
        <v>28</v>
      </c>
      <c r="G6110">
        <v>1</v>
      </c>
      <c r="H6110" s="2">
        <f>Tabelle13[[#This Row],[commits]]/Tabelle13[[#Totals],[commits]]</f>
        <v>4.6477904404246225E-6</v>
      </c>
      <c r="I6110" s="5">
        <f>Tabelle13[[#This Row],[%]]+I6109</f>
        <v>0.98634943947641296</v>
      </c>
      <c r="J6110" s="4">
        <f t="shared" si="223"/>
        <v>1.105583195135434E-4</v>
      </c>
      <c r="K6110" s="5">
        <f t="shared" si="224"/>
        <v>0.67529021558879654</v>
      </c>
    </row>
    <row r="6111" spans="1:11" x14ac:dyDescent="0.25">
      <c r="A6111" t="s">
        <v>7009</v>
      </c>
      <c r="C6111" t="s">
        <v>7010</v>
      </c>
      <c r="D6111" t="s">
        <v>5</v>
      </c>
      <c r="E6111" t="s">
        <v>6</v>
      </c>
      <c r="F6111" t="s">
        <v>28</v>
      </c>
      <c r="G6111">
        <v>1</v>
      </c>
      <c r="H6111" s="2">
        <f>Tabelle13[[#This Row],[commits]]/Tabelle13[[#Totals],[commits]]</f>
        <v>4.6477904404246225E-6</v>
      </c>
      <c r="I6111" s="5">
        <f>Tabelle13[[#This Row],[%]]+I6110</f>
        <v>0.98635408726685336</v>
      </c>
      <c r="J6111" s="4">
        <f t="shared" si="223"/>
        <v>1.105583195135434E-4</v>
      </c>
      <c r="K6111" s="5">
        <f t="shared" si="224"/>
        <v>0.6754007739083101</v>
      </c>
    </row>
    <row r="6112" spans="1:11" x14ac:dyDescent="0.25">
      <c r="A6112" t="s">
        <v>7011</v>
      </c>
      <c r="C6112" t="s">
        <v>7012</v>
      </c>
      <c r="D6112" t="s">
        <v>5</v>
      </c>
      <c r="E6112" t="s">
        <v>6</v>
      </c>
      <c r="F6112" t="s">
        <v>28</v>
      </c>
      <c r="G6112">
        <v>1</v>
      </c>
      <c r="H6112" s="2">
        <f>Tabelle13[[#This Row],[commits]]/Tabelle13[[#Totals],[commits]]</f>
        <v>4.6477904404246225E-6</v>
      </c>
      <c r="I6112" s="5">
        <f>Tabelle13[[#This Row],[%]]+I6111</f>
        <v>0.98635873505729377</v>
      </c>
      <c r="J6112" s="4">
        <f t="shared" si="223"/>
        <v>1.105583195135434E-4</v>
      </c>
      <c r="K6112" s="5">
        <f t="shared" si="224"/>
        <v>0.67551133222782367</v>
      </c>
    </row>
    <row r="6113" spans="1:11" x14ac:dyDescent="0.25">
      <c r="A6113" t="s">
        <v>7013</v>
      </c>
      <c r="C6113" t="s">
        <v>7014</v>
      </c>
      <c r="D6113" t="s">
        <v>5</v>
      </c>
      <c r="E6113" t="s">
        <v>6</v>
      </c>
      <c r="F6113" t="s">
        <v>28</v>
      </c>
      <c r="G6113">
        <v>1</v>
      </c>
      <c r="H6113" s="2">
        <f>Tabelle13[[#This Row],[commits]]/Tabelle13[[#Totals],[commits]]</f>
        <v>4.6477904404246225E-6</v>
      </c>
      <c r="I6113" s="5">
        <f>Tabelle13[[#This Row],[%]]+I6112</f>
        <v>0.98636338284773417</v>
      </c>
      <c r="J6113" s="4">
        <f t="shared" si="223"/>
        <v>1.105583195135434E-4</v>
      </c>
      <c r="K6113" s="5">
        <f t="shared" si="224"/>
        <v>0.67562189054733723</v>
      </c>
    </row>
    <row r="6114" spans="1:11" x14ac:dyDescent="0.25">
      <c r="A6114" t="s">
        <v>7015</v>
      </c>
      <c r="C6114" t="s">
        <v>7016</v>
      </c>
      <c r="D6114" t="s">
        <v>5</v>
      </c>
      <c r="E6114" t="s">
        <v>6</v>
      </c>
      <c r="F6114" t="s">
        <v>28</v>
      </c>
      <c r="G6114">
        <v>1</v>
      </c>
      <c r="H6114" s="2">
        <f>Tabelle13[[#This Row],[commits]]/Tabelle13[[#Totals],[commits]]</f>
        <v>4.6477904404246225E-6</v>
      </c>
      <c r="I6114" s="5">
        <f>Tabelle13[[#This Row],[%]]+I6113</f>
        <v>0.98636803063817458</v>
      </c>
      <c r="J6114" s="4">
        <f t="shared" si="223"/>
        <v>1.105583195135434E-4</v>
      </c>
      <c r="K6114" s="5">
        <f t="shared" si="224"/>
        <v>0.6757324488668508</v>
      </c>
    </row>
    <row r="6115" spans="1:11" x14ac:dyDescent="0.25">
      <c r="A6115" t="s">
        <v>7017</v>
      </c>
      <c r="C6115" t="s">
        <v>7018</v>
      </c>
      <c r="D6115" t="s">
        <v>5</v>
      </c>
      <c r="E6115" t="s">
        <v>6</v>
      </c>
      <c r="F6115" t="s">
        <v>28</v>
      </c>
      <c r="G6115">
        <v>1</v>
      </c>
      <c r="H6115" s="2">
        <f>Tabelle13[[#This Row],[commits]]/Tabelle13[[#Totals],[commits]]</f>
        <v>4.6477904404246225E-6</v>
      </c>
      <c r="I6115" s="5">
        <f>Tabelle13[[#This Row],[%]]+I6114</f>
        <v>0.98637267842861498</v>
      </c>
      <c r="J6115" s="4">
        <f t="shared" si="223"/>
        <v>1.105583195135434E-4</v>
      </c>
      <c r="K6115" s="5">
        <f t="shared" si="224"/>
        <v>0.67584300718636436</v>
      </c>
    </row>
    <row r="6116" spans="1:11" x14ac:dyDescent="0.25">
      <c r="A6116" t="s">
        <v>7019</v>
      </c>
      <c r="C6116" t="s">
        <v>7020</v>
      </c>
      <c r="D6116" t="s">
        <v>5</v>
      </c>
      <c r="E6116" t="s">
        <v>6</v>
      </c>
      <c r="F6116" t="s">
        <v>28</v>
      </c>
      <c r="G6116">
        <v>1</v>
      </c>
      <c r="H6116" s="2">
        <f>Tabelle13[[#This Row],[commits]]/Tabelle13[[#Totals],[commits]]</f>
        <v>4.6477904404246225E-6</v>
      </c>
      <c r="I6116" s="5">
        <f>Tabelle13[[#This Row],[%]]+I6115</f>
        <v>0.98637732621905538</v>
      </c>
      <c r="J6116" s="4">
        <f t="shared" si="223"/>
        <v>1.105583195135434E-4</v>
      </c>
      <c r="K6116" s="5">
        <f t="shared" si="224"/>
        <v>0.67595356550587793</v>
      </c>
    </row>
    <row r="6117" spans="1:11" x14ac:dyDescent="0.25">
      <c r="A6117" t="s">
        <v>7021</v>
      </c>
      <c r="C6117" t="s">
        <v>7022</v>
      </c>
      <c r="D6117" t="s">
        <v>5</v>
      </c>
      <c r="E6117" t="s">
        <v>6</v>
      </c>
      <c r="F6117" t="s">
        <v>28</v>
      </c>
      <c r="G6117">
        <v>1</v>
      </c>
      <c r="H6117" s="2">
        <f>Tabelle13[[#This Row],[commits]]/Tabelle13[[#Totals],[commits]]</f>
        <v>4.6477904404246225E-6</v>
      </c>
      <c r="I6117" s="5">
        <f>Tabelle13[[#This Row],[%]]+I6116</f>
        <v>0.98638197400949579</v>
      </c>
      <c r="J6117" s="4">
        <f t="shared" si="223"/>
        <v>1.105583195135434E-4</v>
      </c>
      <c r="K6117" s="5">
        <f t="shared" si="224"/>
        <v>0.67606412382539149</v>
      </c>
    </row>
    <row r="6118" spans="1:11" x14ac:dyDescent="0.25">
      <c r="A6118" t="s">
        <v>7023</v>
      </c>
      <c r="C6118" t="s">
        <v>7024</v>
      </c>
      <c r="D6118" t="s">
        <v>5</v>
      </c>
      <c r="E6118" t="s">
        <v>6</v>
      </c>
      <c r="F6118" t="s">
        <v>28</v>
      </c>
      <c r="G6118">
        <v>1</v>
      </c>
      <c r="H6118" s="2">
        <f>Tabelle13[[#This Row],[commits]]/Tabelle13[[#Totals],[commits]]</f>
        <v>4.6477904404246225E-6</v>
      </c>
      <c r="I6118" s="5">
        <f>Tabelle13[[#This Row],[%]]+I6117</f>
        <v>0.98638662179993619</v>
      </c>
      <c r="J6118" s="4">
        <f t="shared" si="223"/>
        <v>1.105583195135434E-4</v>
      </c>
      <c r="K6118" s="5">
        <f t="shared" si="224"/>
        <v>0.67617468214490506</v>
      </c>
    </row>
    <row r="6119" spans="1:11" x14ac:dyDescent="0.25">
      <c r="A6119" t="s">
        <v>7025</v>
      </c>
      <c r="C6119" t="s">
        <v>7026</v>
      </c>
      <c r="D6119" t="s">
        <v>5</v>
      </c>
      <c r="E6119" t="s">
        <v>6</v>
      </c>
      <c r="F6119" t="s">
        <v>28</v>
      </c>
      <c r="G6119">
        <v>1</v>
      </c>
      <c r="H6119" s="2">
        <f>Tabelle13[[#This Row],[commits]]/Tabelle13[[#Totals],[commits]]</f>
        <v>4.6477904404246225E-6</v>
      </c>
      <c r="I6119" s="5">
        <f>Tabelle13[[#This Row],[%]]+I6118</f>
        <v>0.9863912695903766</v>
      </c>
      <c r="J6119" s="4">
        <f t="shared" si="223"/>
        <v>1.105583195135434E-4</v>
      </c>
      <c r="K6119" s="5">
        <f t="shared" si="224"/>
        <v>0.67628524046441862</v>
      </c>
    </row>
    <row r="6120" spans="1:11" x14ac:dyDescent="0.25">
      <c r="A6120" t="s">
        <v>7027</v>
      </c>
      <c r="C6120" t="s">
        <v>7028</v>
      </c>
      <c r="D6120" t="s">
        <v>5</v>
      </c>
      <c r="E6120" t="s">
        <v>6</v>
      </c>
      <c r="F6120" t="s">
        <v>28</v>
      </c>
      <c r="G6120">
        <v>1</v>
      </c>
      <c r="H6120" s="2">
        <f>Tabelle13[[#This Row],[commits]]/Tabelle13[[#Totals],[commits]]</f>
        <v>4.6477904404246225E-6</v>
      </c>
      <c r="I6120" s="5">
        <f>Tabelle13[[#This Row],[%]]+I6119</f>
        <v>0.986395917380817</v>
      </c>
      <c r="J6120" s="4">
        <f t="shared" si="223"/>
        <v>1.105583195135434E-4</v>
      </c>
      <c r="K6120" s="5">
        <f t="shared" si="224"/>
        <v>0.67639579878393219</v>
      </c>
    </row>
    <row r="6121" spans="1:11" x14ac:dyDescent="0.25">
      <c r="A6121" t="s">
        <v>7029</v>
      </c>
      <c r="C6121" t="s">
        <v>7030</v>
      </c>
      <c r="D6121" t="s">
        <v>5</v>
      </c>
      <c r="E6121" t="s">
        <v>6</v>
      </c>
      <c r="F6121" t="s">
        <v>28</v>
      </c>
      <c r="G6121">
        <v>1</v>
      </c>
      <c r="H6121" s="2">
        <f>Tabelle13[[#This Row],[commits]]/Tabelle13[[#Totals],[commits]]</f>
        <v>4.6477904404246225E-6</v>
      </c>
      <c r="I6121" s="5">
        <f>Tabelle13[[#This Row],[%]]+I6120</f>
        <v>0.9864005651712574</v>
      </c>
      <c r="J6121" s="4">
        <f t="shared" si="223"/>
        <v>1.105583195135434E-4</v>
      </c>
      <c r="K6121" s="5">
        <f t="shared" si="224"/>
        <v>0.67650635710344575</v>
      </c>
    </row>
    <row r="6122" spans="1:11" x14ac:dyDescent="0.25">
      <c r="A6122" t="s">
        <v>7031</v>
      </c>
      <c r="C6122" t="s">
        <v>7032</v>
      </c>
      <c r="D6122" t="s">
        <v>5</v>
      </c>
      <c r="E6122" t="s">
        <v>6</v>
      </c>
      <c r="F6122" t="s">
        <v>28</v>
      </c>
      <c r="G6122">
        <v>1</v>
      </c>
      <c r="H6122" s="2">
        <f>Tabelle13[[#This Row],[commits]]/Tabelle13[[#Totals],[commits]]</f>
        <v>4.6477904404246225E-6</v>
      </c>
      <c r="I6122" s="5">
        <f>Tabelle13[[#This Row],[%]]+I6121</f>
        <v>0.98640521296169781</v>
      </c>
      <c r="J6122" s="4">
        <f t="shared" si="223"/>
        <v>1.105583195135434E-4</v>
      </c>
      <c r="K6122" s="5">
        <f t="shared" si="224"/>
        <v>0.67661691542295932</v>
      </c>
    </row>
    <row r="6123" spans="1:11" x14ac:dyDescent="0.25">
      <c r="A6123" t="s">
        <v>7033</v>
      </c>
      <c r="C6123" t="s">
        <v>7034</v>
      </c>
      <c r="D6123" t="s">
        <v>5</v>
      </c>
      <c r="E6123" t="s">
        <v>6</v>
      </c>
      <c r="F6123" t="s">
        <v>28</v>
      </c>
      <c r="G6123">
        <v>1</v>
      </c>
      <c r="H6123" s="2">
        <f>Tabelle13[[#This Row],[commits]]/Tabelle13[[#Totals],[commits]]</f>
        <v>4.6477904404246225E-6</v>
      </c>
      <c r="I6123" s="5">
        <f>Tabelle13[[#This Row],[%]]+I6122</f>
        <v>0.98640986075213821</v>
      </c>
      <c r="J6123" s="4">
        <f t="shared" si="223"/>
        <v>1.105583195135434E-4</v>
      </c>
      <c r="K6123" s="5">
        <f t="shared" si="224"/>
        <v>0.67672747374247288</v>
      </c>
    </row>
    <row r="6124" spans="1:11" x14ac:dyDescent="0.25">
      <c r="A6124" t="s">
        <v>7035</v>
      </c>
      <c r="C6124" t="s">
        <v>7036</v>
      </c>
      <c r="D6124" t="s">
        <v>5</v>
      </c>
      <c r="E6124" t="s">
        <v>6</v>
      </c>
      <c r="F6124" t="s">
        <v>28</v>
      </c>
      <c r="G6124">
        <v>1</v>
      </c>
      <c r="H6124" s="2">
        <f>Tabelle13[[#This Row],[commits]]/Tabelle13[[#Totals],[commits]]</f>
        <v>4.6477904404246225E-6</v>
      </c>
      <c r="I6124" s="5">
        <f>Tabelle13[[#This Row],[%]]+I6123</f>
        <v>0.98641450854257862</v>
      </c>
      <c r="J6124" s="4">
        <f t="shared" si="223"/>
        <v>1.105583195135434E-4</v>
      </c>
      <c r="K6124" s="5">
        <f t="shared" si="224"/>
        <v>0.67683803206198645</v>
      </c>
    </row>
    <row r="6125" spans="1:11" x14ac:dyDescent="0.25">
      <c r="A6125" t="s">
        <v>7037</v>
      </c>
      <c r="C6125" t="s">
        <v>7038</v>
      </c>
      <c r="D6125" t="s">
        <v>5</v>
      </c>
      <c r="E6125" t="s">
        <v>6</v>
      </c>
      <c r="F6125" t="s">
        <v>28</v>
      </c>
      <c r="G6125">
        <v>1</v>
      </c>
      <c r="H6125" s="2">
        <f>Tabelle13[[#This Row],[commits]]/Tabelle13[[#Totals],[commits]]</f>
        <v>4.6477904404246225E-6</v>
      </c>
      <c r="I6125" s="5">
        <f>Tabelle13[[#This Row],[%]]+I6124</f>
        <v>0.98641915633301902</v>
      </c>
      <c r="J6125" s="4">
        <f t="shared" si="223"/>
        <v>1.105583195135434E-4</v>
      </c>
      <c r="K6125" s="5">
        <f t="shared" si="224"/>
        <v>0.67694859038150001</v>
      </c>
    </row>
    <row r="6126" spans="1:11" x14ac:dyDescent="0.25">
      <c r="A6126" t="s">
        <v>7039</v>
      </c>
      <c r="C6126" t="s">
        <v>1451</v>
      </c>
      <c r="D6126" t="s">
        <v>5</v>
      </c>
      <c r="E6126" t="s">
        <v>6</v>
      </c>
      <c r="F6126" t="s">
        <v>28</v>
      </c>
      <c r="G6126">
        <v>1</v>
      </c>
      <c r="H6126" s="2">
        <f>Tabelle13[[#This Row],[commits]]/Tabelle13[[#Totals],[commits]]</f>
        <v>4.6477904404246225E-6</v>
      </c>
      <c r="I6126" s="5">
        <f>Tabelle13[[#This Row],[%]]+I6125</f>
        <v>0.98642380412345942</v>
      </c>
      <c r="J6126" s="4">
        <f t="shared" si="223"/>
        <v>1.105583195135434E-4</v>
      </c>
      <c r="K6126" s="5">
        <f t="shared" si="224"/>
        <v>0.67705914870101358</v>
      </c>
    </row>
    <row r="6127" spans="1:11" x14ac:dyDescent="0.25">
      <c r="A6127" t="s">
        <v>7040</v>
      </c>
      <c r="C6127" t="s">
        <v>7041</v>
      </c>
      <c r="D6127" t="s">
        <v>5</v>
      </c>
      <c r="E6127" t="s">
        <v>6</v>
      </c>
      <c r="F6127" t="s">
        <v>28</v>
      </c>
      <c r="G6127">
        <v>1</v>
      </c>
      <c r="H6127" s="2">
        <f>Tabelle13[[#This Row],[commits]]/Tabelle13[[#Totals],[commits]]</f>
        <v>4.6477904404246225E-6</v>
      </c>
      <c r="I6127" s="5">
        <f>Tabelle13[[#This Row],[%]]+I6126</f>
        <v>0.98642845191389983</v>
      </c>
      <c r="J6127" s="4">
        <f t="shared" si="223"/>
        <v>1.105583195135434E-4</v>
      </c>
      <c r="K6127" s="5">
        <f t="shared" si="224"/>
        <v>0.67716970702052715</v>
      </c>
    </row>
    <row r="6128" spans="1:11" x14ac:dyDescent="0.25">
      <c r="A6128" t="s">
        <v>7042</v>
      </c>
      <c r="C6128" t="s">
        <v>7043</v>
      </c>
      <c r="D6128" t="s">
        <v>5</v>
      </c>
      <c r="E6128" t="s">
        <v>6</v>
      </c>
      <c r="F6128" t="s">
        <v>28</v>
      </c>
      <c r="G6128">
        <v>1</v>
      </c>
      <c r="H6128" s="2">
        <f>Tabelle13[[#This Row],[commits]]/Tabelle13[[#Totals],[commits]]</f>
        <v>4.6477904404246225E-6</v>
      </c>
      <c r="I6128" s="5">
        <f>Tabelle13[[#This Row],[%]]+I6127</f>
        <v>0.98643309970434023</v>
      </c>
      <c r="J6128" s="4">
        <f t="shared" si="223"/>
        <v>1.105583195135434E-4</v>
      </c>
      <c r="K6128" s="5">
        <f t="shared" si="224"/>
        <v>0.67728026534004071</v>
      </c>
    </row>
    <row r="6129" spans="1:11" x14ac:dyDescent="0.25">
      <c r="A6129" t="s">
        <v>7044</v>
      </c>
      <c r="C6129" t="s">
        <v>7045</v>
      </c>
      <c r="D6129" t="s">
        <v>5</v>
      </c>
      <c r="E6129" t="s">
        <v>6</v>
      </c>
      <c r="F6129" t="s">
        <v>28</v>
      </c>
      <c r="G6129">
        <v>1</v>
      </c>
      <c r="H6129" s="2">
        <f>Tabelle13[[#This Row],[commits]]/Tabelle13[[#Totals],[commits]]</f>
        <v>4.6477904404246225E-6</v>
      </c>
      <c r="I6129" s="5">
        <f>Tabelle13[[#This Row],[%]]+I6128</f>
        <v>0.98643774749478064</v>
      </c>
      <c r="J6129" s="4">
        <f t="shared" si="223"/>
        <v>1.105583195135434E-4</v>
      </c>
      <c r="K6129" s="5">
        <f t="shared" si="224"/>
        <v>0.67739082365955428</v>
      </c>
    </row>
    <row r="6130" spans="1:11" x14ac:dyDescent="0.25">
      <c r="A6130" t="s">
        <v>7046</v>
      </c>
      <c r="C6130" t="s">
        <v>7047</v>
      </c>
      <c r="D6130" t="s">
        <v>5</v>
      </c>
      <c r="E6130" t="s">
        <v>6</v>
      </c>
      <c r="F6130" t="s">
        <v>28</v>
      </c>
      <c r="G6130">
        <v>1</v>
      </c>
      <c r="H6130" s="2">
        <f>Tabelle13[[#This Row],[commits]]/Tabelle13[[#Totals],[commits]]</f>
        <v>4.6477904404246225E-6</v>
      </c>
      <c r="I6130" s="5">
        <f>Tabelle13[[#This Row],[%]]+I6129</f>
        <v>0.98644239528522104</v>
      </c>
      <c r="J6130" s="4">
        <f t="shared" si="223"/>
        <v>1.105583195135434E-4</v>
      </c>
      <c r="K6130" s="5">
        <f t="shared" si="224"/>
        <v>0.67750138197906784</v>
      </c>
    </row>
    <row r="6131" spans="1:11" x14ac:dyDescent="0.25">
      <c r="A6131" t="s">
        <v>7048</v>
      </c>
      <c r="C6131" t="s">
        <v>7049</v>
      </c>
      <c r="D6131" t="s">
        <v>5</v>
      </c>
      <c r="E6131" t="s">
        <v>6</v>
      </c>
      <c r="F6131" t="s">
        <v>28</v>
      </c>
      <c r="G6131">
        <v>1</v>
      </c>
      <c r="H6131" s="2">
        <f>Tabelle13[[#This Row],[commits]]/Tabelle13[[#Totals],[commits]]</f>
        <v>4.6477904404246225E-6</v>
      </c>
      <c r="I6131" s="5">
        <f>Tabelle13[[#This Row],[%]]+I6130</f>
        <v>0.98644704307566144</v>
      </c>
      <c r="J6131" s="4">
        <f t="shared" si="223"/>
        <v>1.105583195135434E-4</v>
      </c>
      <c r="K6131" s="5">
        <f t="shared" si="224"/>
        <v>0.67761194029858141</v>
      </c>
    </row>
    <row r="6132" spans="1:11" x14ac:dyDescent="0.25">
      <c r="A6132" t="s">
        <v>7050</v>
      </c>
      <c r="C6132" t="s">
        <v>7051</v>
      </c>
      <c r="D6132" t="s">
        <v>5</v>
      </c>
      <c r="E6132" t="s">
        <v>6</v>
      </c>
      <c r="F6132" t="s">
        <v>28</v>
      </c>
      <c r="G6132">
        <v>1</v>
      </c>
      <c r="H6132" s="2">
        <f>Tabelle13[[#This Row],[commits]]/Tabelle13[[#Totals],[commits]]</f>
        <v>4.6477904404246225E-6</v>
      </c>
      <c r="I6132" s="5">
        <f>Tabelle13[[#This Row],[%]]+I6131</f>
        <v>0.98645169086610185</v>
      </c>
      <c r="J6132" s="4">
        <f t="shared" si="223"/>
        <v>1.105583195135434E-4</v>
      </c>
      <c r="K6132" s="5">
        <f t="shared" si="224"/>
        <v>0.67772249861809497</v>
      </c>
    </row>
    <row r="6133" spans="1:11" x14ac:dyDescent="0.25">
      <c r="A6133" t="s">
        <v>7052</v>
      </c>
      <c r="C6133" t="s">
        <v>7053</v>
      </c>
      <c r="D6133" t="s">
        <v>5</v>
      </c>
      <c r="E6133" t="s">
        <v>6</v>
      </c>
      <c r="F6133" t="s">
        <v>28</v>
      </c>
      <c r="G6133">
        <v>1</v>
      </c>
      <c r="H6133" s="2">
        <f>Tabelle13[[#This Row],[commits]]/Tabelle13[[#Totals],[commits]]</f>
        <v>4.6477904404246225E-6</v>
      </c>
      <c r="I6133" s="5">
        <f>Tabelle13[[#This Row],[%]]+I6132</f>
        <v>0.98645633865654225</v>
      </c>
      <c r="J6133" s="4">
        <f t="shared" si="223"/>
        <v>1.105583195135434E-4</v>
      </c>
      <c r="K6133" s="5">
        <f t="shared" si="224"/>
        <v>0.67783305693760854</v>
      </c>
    </row>
    <row r="6134" spans="1:11" x14ac:dyDescent="0.25">
      <c r="A6134" t="s">
        <v>7054</v>
      </c>
      <c r="C6134" t="s">
        <v>7055</v>
      </c>
      <c r="D6134" t="s">
        <v>7056</v>
      </c>
      <c r="E6134" t="s">
        <v>6</v>
      </c>
      <c r="F6134" t="s">
        <v>28</v>
      </c>
      <c r="G6134">
        <v>1</v>
      </c>
      <c r="H6134" s="2">
        <f>Tabelle13[[#This Row],[commits]]/Tabelle13[[#Totals],[commits]]</f>
        <v>4.6477904404246225E-6</v>
      </c>
      <c r="I6134" s="5">
        <f>Tabelle13[[#This Row],[%]]+I6133</f>
        <v>0.98646098644698266</v>
      </c>
      <c r="J6134" s="4">
        <f t="shared" si="223"/>
        <v>1.105583195135434E-4</v>
      </c>
      <c r="K6134" s="5">
        <f t="shared" si="224"/>
        <v>0.6779436152571221</v>
      </c>
    </row>
    <row r="6135" spans="1:11" x14ac:dyDescent="0.25">
      <c r="A6135" t="s">
        <v>7057</v>
      </c>
      <c r="C6135" t="s">
        <v>7058</v>
      </c>
      <c r="D6135" t="s">
        <v>5</v>
      </c>
      <c r="E6135" t="s">
        <v>6</v>
      </c>
      <c r="F6135" t="s">
        <v>28</v>
      </c>
      <c r="G6135">
        <v>1</v>
      </c>
      <c r="H6135" s="2">
        <f>Tabelle13[[#This Row],[commits]]/Tabelle13[[#Totals],[commits]]</f>
        <v>4.6477904404246225E-6</v>
      </c>
      <c r="I6135" s="5">
        <f>Tabelle13[[#This Row],[%]]+I6134</f>
        <v>0.98646563423742306</v>
      </c>
      <c r="J6135" s="4">
        <f t="shared" si="223"/>
        <v>1.105583195135434E-4</v>
      </c>
      <c r="K6135" s="5">
        <f t="shared" si="224"/>
        <v>0.67805417357663567</v>
      </c>
    </row>
    <row r="6136" spans="1:11" x14ac:dyDescent="0.25">
      <c r="A6136" t="s">
        <v>7059</v>
      </c>
      <c r="C6136" t="s">
        <v>7060</v>
      </c>
      <c r="D6136" t="s">
        <v>5</v>
      </c>
      <c r="E6136" t="s">
        <v>6</v>
      </c>
      <c r="F6136" t="s">
        <v>28</v>
      </c>
      <c r="G6136">
        <v>1</v>
      </c>
      <c r="H6136" s="2">
        <f>Tabelle13[[#This Row],[commits]]/Tabelle13[[#Totals],[commits]]</f>
        <v>4.6477904404246225E-6</v>
      </c>
      <c r="I6136" s="5">
        <f>Tabelle13[[#This Row],[%]]+I6135</f>
        <v>0.98647028202786347</v>
      </c>
      <c r="J6136" s="4">
        <f t="shared" si="223"/>
        <v>1.105583195135434E-4</v>
      </c>
      <c r="K6136" s="5">
        <f t="shared" si="224"/>
        <v>0.67816473189614923</v>
      </c>
    </row>
    <row r="6137" spans="1:11" x14ac:dyDescent="0.25">
      <c r="A6137" t="s">
        <v>7061</v>
      </c>
      <c r="C6137" t="s">
        <v>7062</v>
      </c>
      <c r="D6137" t="s">
        <v>5</v>
      </c>
      <c r="E6137" t="s">
        <v>6</v>
      </c>
      <c r="F6137" t="s">
        <v>28</v>
      </c>
      <c r="G6137">
        <v>1</v>
      </c>
      <c r="H6137" s="2">
        <f>Tabelle13[[#This Row],[commits]]/Tabelle13[[#Totals],[commits]]</f>
        <v>4.6477904404246225E-6</v>
      </c>
      <c r="I6137" s="5">
        <f>Tabelle13[[#This Row],[%]]+I6136</f>
        <v>0.98647492981830387</v>
      </c>
      <c r="J6137" s="4">
        <f t="shared" si="223"/>
        <v>1.105583195135434E-4</v>
      </c>
      <c r="K6137" s="5">
        <f t="shared" si="224"/>
        <v>0.6782752902156628</v>
      </c>
    </row>
    <row r="6138" spans="1:11" x14ac:dyDescent="0.25">
      <c r="A6138" t="s">
        <v>7063</v>
      </c>
      <c r="C6138" t="s">
        <v>7064</v>
      </c>
      <c r="D6138" t="s">
        <v>5</v>
      </c>
      <c r="E6138" t="s">
        <v>6</v>
      </c>
      <c r="F6138" t="s">
        <v>28</v>
      </c>
      <c r="G6138">
        <v>1</v>
      </c>
      <c r="H6138" s="2">
        <f>Tabelle13[[#This Row],[commits]]/Tabelle13[[#Totals],[commits]]</f>
        <v>4.6477904404246225E-6</v>
      </c>
      <c r="I6138" s="5">
        <f>Tabelle13[[#This Row],[%]]+I6137</f>
        <v>0.98647957760874427</v>
      </c>
      <c r="J6138" s="4">
        <f t="shared" si="223"/>
        <v>1.105583195135434E-4</v>
      </c>
      <c r="K6138" s="5">
        <f t="shared" si="224"/>
        <v>0.67838584853517636</v>
      </c>
    </row>
    <row r="6139" spans="1:11" x14ac:dyDescent="0.25">
      <c r="A6139" t="s">
        <v>7065</v>
      </c>
      <c r="C6139" t="s">
        <v>7066</v>
      </c>
      <c r="D6139" t="s">
        <v>5</v>
      </c>
      <c r="E6139" t="s">
        <v>6</v>
      </c>
      <c r="F6139" t="s">
        <v>28</v>
      </c>
      <c r="G6139">
        <v>1</v>
      </c>
      <c r="H6139" s="2">
        <f>Tabelle13[[#This Row],[commits]]/Tabelle13[[#Totals],[commits]]</f>
        <v>4.6477904404246225E-6</v>
      </c>
      <c r="I6139" s="5">
        <f>Tabelle13[[#This Row],[%]]+I6138</f>
        <v>0.98648422539918468</v>
      </c>
      <c r="J6139" s="4">
        <f t="shared" si="223"/>
        <v>1.105583195135434E-4</v>
      </c>
      <c r="K6139" s="5">
        <f t="shared" si="224"/>
        <v>0.67849640685468993</v>
      </c>
    </row>
    <row r="6140" spans="1:11" x14ac:dyDescent="0.25">
      <c r="A6140" t="s">
        <v>7067</v>
      </c>
      <c r="C6140" t="s">
        <v>7068</v>
      </c>
      <c r="D6140" t="s">
        <v>5</v>
      </c>
      <c r="E6140" t="s">
        <v>6</v>
      </c>
      <c r="F6140" t="s">
        <v>28</v>
      </c>
      <c r="G6140">
        <v>1</v>
      </c>
      <c r="H6140" s="2">
        <f>Tabelle13[[#This Row],[commits]]/Tabelle13[[#Totals],[commits]]</f>
        <v>4.6477904404246225E-6</v>
      </c>
      <c r="I6140" s="5">
        <f>Tabelle13[[#This Row],[%]]+I6139</f>
        <v>0.98648887318962508</v>
      </c>
      <c r="J6140" s="4">
        <f t="shared" si="223"/>
        <v>1.105583195135434E-4</v>
      </c>
      <c r="K6140" s="5">
        <f t="shared" si="224"/>
        <v>0.67860696517420349</v>
      </c>
    </row>
    <row r="6141" spans="1:11" x14ac:dyDescent="0.25">
      <c r="A6141" t="s">
        <v>7069</v>
      </c>
      <c r="C6141" t="s">
        <v>7070</v>
      </c>
      <c r="D6141" t="s">
        <v>5</v>
      </c>
      <c r="E6141" t="s">
        <v>6</v>
      </c>
      <c r="F6141" t="s">
        <v>28</v>
      </c>
      <c r="G6141">
        <v>1</v>
      </c>
      <c r="H6141" s="2">
        <f>Tabelle13[[#This Row],[commits]]/Tabelle13[[#Totals],[commits]]</f>
        <v>4.6477904404246225E-6</v>
      </c>
      <c r="I6141" s="5">
        <f>Tabelle13[[#This Row],[%]]+I6140</f>
        <v>0.98649352098006549</v>
      </c>
      <c r="J6141" s="4">
        <f t="shared" si="223"/>
        <v>1.105583195135434E-4</v>
      </c>
      <c r="K6141" s="5">
        <f t="shared" si="224"/>
        <v>0.67871752349371706</v>
      </c>
    </row>
    <row r="6142" spans="1:11" x14ac:dyDescent="0.25">
      <c r="A6142" t="s">
        <v>7071</v>
      </c>
      <c r="C6142" t="s">
        <v>7072</v>
      </c>
      <c r="D6142" t="s">
        <v>5</v>
      </c>
      <c r="E6142" t="s">
        <v>6</v>
      </c>
      <c r="F6142" t="s">
        <v>28</v>
      </c>
      <c r="G6142">
        <v>1</v>
      </c>
      <c r="H6142" s="2">
        <f>Tabelle13[[#This Row],[commits]]/Tabelle13[[#Totals],[commits]]</f>
        <v>4.6477904404246225E-6</v>
      </c>
      <c r="I6142" s="5">
        <f>Tabelle13[[#This Row],[%]]+I6141</f>
        <v>0.98649816877050589</v>
      </c>
      <c r="J6142" s="4">
        <f t="shared" si="223"/>
        <v>1.105583195135434E-4</v>
      </c>
      <c r="K6142" s="5">
        <f t="shared" si="224"/>
        <v>0.67882808181323062</v>
      </c>
    </row>
    <row r="6143" spans="1:11" x14ac:dyDescent="0.25">
      <c r="A6143" t="s">
        <v>7073</v>
      </c>
      <c r="C6143" t="s">
        <v>7074</v>
      </c>
      <c r="D6143" t="s">
        <v>5</v>
      </c>
      <c r="E6143" t="s">
        <v>6</v>
      </c>
      <c r="F6143" t="s">
        <v>28</v>
      </c>
      <c r="G6143">
        <v>1</v>
      </c>
      <c r="H6143" s="2">
        <f>Tabelle13[[#This Row],[commits]]/Tabelle13[[#Totals],[commits]]</f>
        <v>4.6477904404246225E-6</v>
      </c>
      <c r="I6143" s="5">
        <f>Tabelle13[[#This Row],[%]]+I6142</f>
        <v>0.98650281656094629</v>
      </c>
      <c r="J6143" s="4">
        <f t="shared" si="223"/>
        <v>1.105583195135434E-4</v>
      </c>
      <c r="K6143" s="5">
        <f t="shared" si="224"/>
        <v>0.67893864013274419</v>
      </c>
    </row>
    <row r="6144" spans="1:11" x14ac:dyDescent="0.25">
      <c r="A6144" t="s">
        <v>7075</v>
      </c>
      <c r="C6144" t="s">
        <v>7076</v>
      </c>
      <c r="D6144" t="s">
        <v>5</v>
      </c>
      <c r="E6144" t="s">
        <v>6</v>
      </c>
      <c r="F6144" t="s">
        <v>28</v>
      </c>
      <c r="G6144">
        <v>1</v>
      </c>
      <c r="H6144" s="2">
        <f>Tabelle13[[#This Row],[commits]]/Tabelle13[[#Totals],[commits]]</f>
        <v>4.6477904404246225E-6</v>
      </c>
      <c r="I6144" s="5">
        <f>Tabelle13[[#This Row],[%]]+I6143</f>
        <v>0.9865074643513867</v>
      </c>
      <c r="J6144" s="4">
        <f t="shared" si="223"/>
        <v>1.105583195135434E-4</v>
      </c>
      <c r="K6144" s="5">
        <f t="shared" si="224"/>
        <v>0.67904919845225775</v>
      </c>
    </row>
    <row r="6145" spans="1:11" x14ac:dyDescent="0.25">
      <c r="A6145" t="s">
        <v>7077</v>
      </c>
      <c r="C6145" t="s">
        <v>7078</v>
      </c>
      <c r="D6145" t="s">
        <v>5</v>
      </c>
      <c r="E6145" t="s">
        <v>6</v>
      </c>
      <c r="F6145" t="s">
        <v>28</v>
      </c>
      <c r="G6145">
        <v>1</v>
      </c>
      <c r="H6145" s="2">
        <f>Tabelle13[[#This Row],[commits]]/Tabelle13[[#Totals],[commits]]</f>
        <v>4.6477904404246225E-6</v>
      </c>
      <c r="I6145" s="5">
        <f>Tabelle13[[#This Row],[%]]+I6144</f>
        <v>0.9865121121418271</v>
      </c>
      <c r="J6145" s="4">
        <f t="shared" si="223"/>
        <v>1.105583195135434E-4</v>
      </c>
      <c r="K6145" s="5">
        <f t="shared" si="224"/>
        <v>0.67915975677177132</v>
      </c>
    </row>
    <row r="6146" spans="1:11" x14ac:dyDescent="0.25">
      <c r="A6146" t="s">
        <v>7079</v>
      </c>
      <c r="C6146" t="s">
        <v>7080</v>
      </c>
      <c r="D6146" t="s">
        <v>5</v>
      </c>
      <c r="E6146" t="s">
        <v>6</v>
      </c>
      <c r="F6146" t="s">
        <v>28</v>
      </c>
      <c r="G6146">
        <v>1</v>
      </c>
      <c r="H6146" s="2">
        <f>Tabelle13[[#This Row],[commits]]/Tabelle13[[#Totals],[commits]]</f>
        <v>4.6477904404246225E-6</v>
      </c>
      <c r="I6146" s="5">
        <f>Tabelle13[[#This Row],[%]]+I6145</f>
        <v>0.98651675993226751</v>
      </c>
      <c r="J6146" s="4">
        <f t="shared" si="223"/>
        <v>1.105583195135434E-4</v>
      </c>
      <c r="K6146" s="5">
        <f t="shared" si="224"/>
        <v>0.67927031509128488</v>
      </c>
    </row>
    <row r="6147" spans="1:11" x14ac:dyDescent="0.25">
      <c r="A6147" t="s">
        <v>7081</v>
      </c>
      <c r="C6147" t="s">
        <v>7082</v>
      </c>
      <c r="D6147" t="s">
        <v>5</v>
      </c>
      <c r="E6147" t="s">
        <v>6</v>
      </c>
      <c r="F6147" t="s">
        <v>28</v>
      </c>
      <c r="G6147">
        <v>1</v>
      </c>
      <c r="H6147" s="2">
        <f>Tabelle13[[#This Row],[commits]]/Tabelle13[[#Totals],[commits]]</f>
        <v>4.6477904404246225E-6</v>
      </c>
      <c r="I6147" s="5">
        <f>Tabelle13[[#This Row],[%]]+I6146</f>
        <v>0.98652140772270791</v>
      </c>
      <c r="J6147" s="4">
        <f t="shared" ref="J6147:J6210" si="225">1/9045</f>
        <v>1.105583195135434E-4</v>
      </c>
      <c r="K6147" s="5">
        <f t="shared" si="224"/>
        <v>0.67938087341079845</v>
      </c>
    </row>
    <row r="6148" spans="1:11" x14ac:dyDescent="0.25">
      <c r="A6148" t="s">
        <v>7083</v>
      </c>
      <c r="C6148" t="s">
        <v>7084</v>
      </c>
      <c r="D6148" t="s">
        <v>5</v>
      </c>
      <c r="E6148" t="s">
        <v>6</v>
      </c>
      <c r="F6148" t="s">
        <v>28</v>
      </c>
      <c r="G6148">
        <v>1</v>
      </c>
      <c r="H6148" s="2">
        <f>Tabelle13[[#This Row],[commits]]/Tabelle13[[#Totals],[commits]]</f>
        <v>4.6477904404246225E-6</v>
      </c>
      <c r="I6148" s="5">
        <f>Tabelle13[[#This Row],[%]]+I6147</f>
        <v>0.98652605551314831</v>
      </c>
      <c r="J6148" s="4">
        <f t="shared" si="225"/>
        <v>1.105583195135434E-4</v>
      </c>
      <c r="K6148" s="5">
        <f t="shared" si="224"/>
        <v>0.67949143173031201</v>
      </c>
    </row>
    <row r="6149" spans="1:11" x14ac:dyDescent="0.25">
      <c r="A6149" t="s">
        <v>7085</v>
      </c>
      <c r="C6149" t="s">
        <v>7086</v>
      </c>
      <c r="D6149" t="s">
        <v>5</v>
      </c>
      <c r="E6149" t="s">
        <v>6</v>
      </c>
      <c r="F6149" t="s">
        <v>28</v>
      </c>
      <c r="G6149">
        <v>1</v>
      </c>
      <c r="H6149" s="2">
        <f>Tabelle13[[#This Row],[commits]]/Tabelle13[[#Totals],[commits]]</f>
        <v>4.6477904404246225E-6</v>
      </c>
      <c r="I6149" s="5">
        <f>Tabelle13[[#This Row],[%]]+I6148</f>
        <v>0.98653070330358872</v>
      </c>
      <c r="J6149" s="4">
        <f t="shared" si="225"/>
        <v>1.105583195135434E-4</v>
      </c>
      <c r="K6149" s="5">
        <f t="shared" si="224"/>
        <v>0.67960199004982558</v>
      </c>
    </row>
    <row r="6150" spans="1:11" x14ac:dyDescent="0.25">
      <c r="A6150" t="s">
        <v>7087</v>
      </c>
      <c r="C6150" t="s">
        <v>7088</v>
      </c>
      <c r="D6150" t="s">
        <v>5</v>
      </c>
      <c r="E6150" t="s">
        <v>6</v>
      </c>
      <c r="F6150" t="s">
        <v>28</v>
      </c>
      <c r="G6150">
        <v>1</v>
      </c>
      <c r="H6150" s="2">
        <f>Tabelle13[[#This Row],[commits]]/Tabelle13[[#Totals],[commits]]</f>
        <v>4.6477904404246225E-6</v>
      </c>
      <c r="I6150" s="5">
        <f>Tabelle13[[#This Row],[%]]+I6149</f>
        <v>0.98653535109402912</v>
      </c>
      <c r="J6150" s="4">
        <f t="shared" si="225"/>
        <v>1.105583195135434E-4</v>
      </c>
      <c r="K6150" s="5">
        <f t="shared" ref="K6150:K6213" si="226">J6150+K6149</f>
        <v>0.67971254836933914</v>
      </c>
    </row>
    <row r="6151" spans="1:11" x14ac:dyDescent="0.25">
      <c r="A6151" t="s">
        <v>7089</v>
      </c>
      <c r="C6151" t="s">
        <v>7090</v>
      </c>
      <c r="D6151" t="s">
        <v>5</v>
      </c>
      <c r="E6151" t="s">
        <v>6</v>
      </c>
      <c r="F6151" t="s">
        <v>28</v>
      </c>
      <c r="G6151">
        <v>1</v>
      </c>
      <c r="H6151" s="2">
        <f>Tabelle13[[#This Row],[commits]]/Tabelle13[[#Totals],[commits]]</f>
        <v>4.6477904404246225E-6</v>
      </c>
      <c r="I6151" s="5">
        <f>Tabelle13[[#This Row],[%]]+I6150</f>
        <v>0.98653999888446953</v>
      </c>
      <c r="J6151" s="4">
        <f t="shared" si="225"/>
        <v>1.105583195135434E-4</v>
      </c>
      <c r="K6151" s="5">
        <f t="shared" si="226"/>
        <v>0.67982310668885271</v>
      </c>
    </row>
    <row r="6152" spans="1:11" x14ac:dyDescent="0.25">
      <c r="A6152" t="s">
        <v>7091</v>
      </c>
      <c r="C6152" t="s">
        <v>7092</v>
      </c>
      <c r="D6152" t="s">
        <v>7093</v>
      </c>
      <c r="E6152" t="s">
        <v>6</v>
      </c>
      <c r="F6152" t="s">
        <v>28</v>
      </c>
      <c r="G6152">
        <v>1</v>
      </c>
      <c r="H6152" s="2">
        <f>Tabelle13[[#This Row],[commits]]/Tabelle13[[#Totals],[commits]]</f>
        <v>4.6477904404246225E-6</v>
      </c>
      <c r="I6152" s="5">
        <f>Tabelle13[[#This Row],[%]]+I6151</f>
        <v>0.98654464667490993</v>
      </c>
      <c r="J6152" s="4">
        <f t="shared" si="225"/>
        <v>1.105583195135434E-4</v>
      </c>
      <c r="K6152" s="5">
        <f t="shared" si="226"/>
        <v>0.67993366500836627</v>
      </c>
    </row>
    <row r="6153" spans="1:11" x14ac:dyDescent="0.25">
      <c r="A6153" t="s">
        <v>7094</v>
      </c>
      <c r="C6153" t="s">
        <v>7095</v>
      </c>
      <c r="D6153" t="s">
        <v>5</v>
      </c>
      <c r="E6153" t="s">
        <v>6</v>
      </c>
      <c r="F6153" t="s">
        <v>28</v>
      </c>
      <c r="G6153">
        <v>1</v>
      </c>
      <c r="H6153" s="2">
        <f>Tabelle13[[#This Row],[commits]]/Tabelle13[[#Totals],[commits]]</f>
        <v>4.6477904404246225E-6</v>
      </c>
      <c r="I6153" s="5">
        <f>Tabelle13[[#This Row],[%]]+I6152</f>
        <v>0.98654929446535033</v>
      </c>
      <c r="J6153" s="4">
        <f t="shared" si="225"/>
        <v>1.105583195135434E-4</v>
      </c>
      <c r="K6153" s="5">
        <f t="shared" si="226"/>
        <v>0.68004422332787984</v>
      </c>
    </row>
    <row r="6154" spans="1:11" x14ac:dyDescent="0.25">
      <c r="A6154" t="s">
        <v>7096</v>
      </c>
      <c r="C6154" t="s">
        <v>7097</v>
      </c>
      <c r="D6154" t="s">
        <v>5</v>
      </c>
      <c r="E6154" t="s">
        <v>6</v>
      </c>
      <c r="F6154" t="s">
        <v>28</v>
      </c>
      <c r="G6154">
        <v>1</v>
      </c>
      <c r="H6154" s="2">
        <f>Tabelle13[[#This Row],[commits]]/Tabelle13[[#Totals],[commits]]</f>
        <v>4.6477904404246225E-6</v>
      </c>
      <c r="I6154" s="5">
        <f>Tabelle13[[#This Row],[%]]+I6153</f>
        <v>0.98655394225579074</v>
      </c>
      <c r="J6154" s="4">
        <f t="shared" si="225"/>
        <v>1.105583195135434E-4</v>
      </c>
      <c r="K6154" s="5">
        <f t="shared" si="226"/>
        <v>0.6801547816473934</v>
      </c>
    </row>
    <row r="6155" spans="1:11" x14ac:dyDescent="0.25">
      <c r="A6155" t="s">
        <v>7098</v>
      </c>
      <c r="C6155" t="s">
        <v>7099</v>
      </c>
      <c r="D6155" t="s">
        <v>5</v>
      </c>
      <c r="E6155" t="s">
        <v>6</v>
      </c>
      <c r="F6155" t="s">
        <v>28</v>
      </c>
      <c r="G6155">
        <v>1</v>
      </c>
      <c r="H6155" s="2">
        <f>Tabelle13[[#This Row],[commits]]/Tabelle13[[#Totals],[commits]]</f>
        <v>4.6477904404246225E-6</v>
      </c>
      <c r="I6155" s="5">
        <f>Tabelle13[[#This Row],[%]]+I6154</f>
        <v>0.98655859004623114</v>
      </c>
      <c r="J6155" s="4">
        <f t="shared" si="225"/>
        <v>1.105583195135434E-4</v>
      </c>
      <c r="K6155" s="5">
        <f t="shared" si="226"/>
        <v>0.68026533996690697</v>
      </c>
    </row>
    <row r="6156" spans="1:11" x14ac:dyDescent="0.25">
      <c r="A6156" t="s">
        <v>7100</v>
      </c>
      <c r="C6156" t="s">
        <v>7101</v>
      </c>
      <c r="D6156" t="s">
        <v>5</v>
      </c>
      <c r="E6156" t="s">
        <v>6</v>
      </c>
      <c r="F6156" t="s">
        <v>28</v>
      </c>
      <c r="G6156">
        <v>1</v>
      </c>
      <c r="H6156" s="2">
        <f>Tabelle13[[#This Row],[commits]]/Tabelle13[[#Totals],[commits]]</f>
        <v>4.6477904404246225E-6</v>
      </c>
      <c r="I6156" s="5">
        <f>Tabelle13[[#This Row],[%]]+I6155</f>
        <v>0.98656323783667155</v>
      </c>
      <c r="J6156" s="4">
        <f t="shared" si="225"/>
        <v>1.105583195135434E-4</v>
      </c>
      <c r="K6156" s="5">
        <f t="shared" si="226"/>
        <v>0.68037589828642053</v>
      </c>
    </row>
    <row r="6157" spans="1:11" x14ac:dyDescent="0.25">
      <c r="A6157" t="s">
        <v>7102</v>
      </c>
      <c r="C6157" t="s">
        <v>7103</v>
      </c>
      <c r="D6157" t="s">
        <v>5</v>
      </c>
      <c r="E6157" t="s">
        <v>6</v>
      </c>
      <c r="F6157" t="s">
        <v>28</v>
      </c>
      <c r="G6157">
        <v>1</v>
      </c>
      <c r="H6157" s="2">
        <f>Tabelle13[[#This Row],[commits]]/Tabelle13[[#Totals],[commits]]</f>
        <v>4.6477904404246225E-6</v>
      </c>
      <c r="I6157" s="5">
        <f>Tabelle13[[#This Row],[%]]+I6156</f>
        <v>0.98656788562711195</v>
      </c>
      <c r="J6157" s="4">
        <f t="shared" si="225"/>
        <v>1.105583195135434E-4</v>
      </c>
      <c r="K6157" s="5">
        <f t="shared" si="226"/>
        <v>0.6804864566059341</v>
      </c>
    </row>
    <row r="6158" spans="1:11" x14ac:dyDescent="0.25">
      <c r="A6158" t="s">
        <v>7104</v>
      </c>
      <c r="C6158" t="s">
        <v>187</v>
      </c>
      <c r="D6158" t="s">
        <v>5</v>
      </c>
      <c r="E6158" t="s">
        <v>6</v>
      </c>
      <c r="F6158" t="s">
        <v>28</v>
      </c>
      <c r="G6158">
        <v>1</v>
      </c>
      <c r="H6158" s="2">
        <f>Tabelle13[[#This Row],[commits]]/Tabelle13[[#Totals],[commits]]</f>
        <v>4.6477904404246225E-6</v>
      </c>
      <c r="I6158" s="5">
        <f>Tabelle13[[#This Row],[%]]+I6157</f>
        <v>0.98657253341755236</v>
      </c>
      <c r="J6158" s="4">
        <f t="shared" si="225"/>
        <v>1.105583195135434E-4</v>
      </c>
      <c r="K6158" s="5">
        <f t="shared" si="226"/>
        <v>0.68059701492544766</v>
      </c>
    </row>
    <row r="6159" spans="1:11" x14ac:dyDescent="0.25">
      <c r="A6159" t="s">
        <v>7105</v>
      </c>
      <c r="C6159" t="s">
        <v>187</v>
      </c>
      <c r="D6159" t="s">
        <v>5</v>
      </c>
      <c r="E6159" t="s">
        <v>6</v>
      </c>
      <c r="F6159" t="s">
        <v>28</v>
      </c>
      <c r="G6159">
        <v>1</v>
      </c>
      <c r="H6159" s="2">
        <f>Tabelle13[[#This Row],[commits]]/Tabelle13[[#Totals],[commits]]</f>
        <v>4.6477904404246225E-6</v>
      </c>
      <c r="I6159" s="5">
        <f>Tabelle13[[#This Row],[%]]+I6158</f>
        <v>0.98657718120799276</v>
      </c>
      <c r="J6159" s="4">
        <f t="shared" si="225"/>
        <v>1.105583195135434E-4</v>
      </c>
      <c r="K6159" s="5">
        <f t="shared" si="226"/>
        <v>0.68070757324496123</v>
      </c>
    </row>
    <row r="6160" spans="1:11" x14ac:dyDescent="0.25">
      <c r="A6160" t="s">
        <v>7106</v>
      </c>
      <c r="C6160" t="s">
        <v>187</v>
      </c>
      <c r="D6160" t="s">
        <v>5</v>
      </c>
      <c r="E6160" t="s">
        <v>6</v>
      </c>
      <c r="F6160" t="s">
        <v>28</v>
      </c>
      <c r="G6160">
        <v>1</v>
      </c>
      <c r="H6160" s="2">
        <f>Tabelle13[[#This Row],[commits]]/Tabelle13[[#Totals],[commits]]</f>
        <v>4.6477904404246225E-6</v>
      </c>
      <c r="I6160" s="5">
        <f>Tabelle13[[#This Row],[%]]+I6159</f>
        <v>0.98658182899843316</v>
      </c>
      <c r="J6160" s="4">
        <f t="shared" si="225"/>
        <v>1.105583195135434E-4</v>
      </c>
      <c r="K6160" s="5">
        <f t="shared" si="226"/>
        <v>0.68081813156447479</v>
      </c>
    </row>
    <row r="6161" spans="1:11" x14ac:dyDescent="0.25">
      <c r="A6161" t="s">
        <v>7107</v>
      </c>
      <c r="C6161" t="s">
        <v>187</v>
      </c>
      <c r="D6161" t="s">
        <v>5</v>
      </c>
      <c r="E6161" t="s">
        <v>6</v>
      </c>
      <c r="F6161" t="s">
        <v>28</v>
      </c>
      <c r="G6161">
        <v>1</v>
      </c>
      <c r="H6161" s="2">
        <f>Tabelle13[[#This Row],[commits]]/Tabelle13[[#Totals],[commits]]</f>
        <v>4.6477904404246225E-6</v>
      </c>
      <c r="I6161" s="5">
        <f>Tabelle13[[#This Row],[%]]+I6160</f>
        <v>0.98658647678887357</v>
      </c>
      <c r="J6161" s="4">
        <f t="shared" si="225"/>
        <v>1.105583195135434E-4</v>
      </c>
      <c r="K6161" s="5">
        <f t="shared" si="226"/>
        <v>0.68092868988398836</v>
      </c>
    </row>
    <row r="6162" spans="1:11" x14ac:dyDescent="0.25">
      <c r="A6162" t="s">
        <v>7108</v>
      </c>
      <c r="C6162" t="s">
        <v>26</v>
      </c>
      <c r="D6162" t="s">
        <v>5</v>
      </c>
      <c r="E6162" t="s">
        <v>6</v>
      </c>
      <c r="F6162" t="s">
        <v>28</v>
      </c>
      <c r="G6162">
        <v>1</v>
      </c>
      <c r="H6162" s="2">
        <f>Tabelle13[[#This Row],[commits]]/Tabelle13[[#Totals],[commits]]</f>
        <v>4.6477904404246225E-6</v>
      </c>
      <c r="I6162" s="5">
        <f>Tabelle13[[#This Row],[%]]+I6161</f>
        <v>0.98659112457931397</v>
      </c>
      <c r="J6162" s="4">
        <f t="shared" si="225"/>
        <v>1.105583195135434E-4</v>
      </c>
      <c r="K6162" s="5">
        <f t="shared" si="226"/>
        <v>0.68103924820350192</v>
      </c>
    </row>
    <row r="6163" spans="1:11" x14ac:dyDescent="0.25">
      <c r="A6163" t="s">
        <v>7109</v>
      </c>
      <c r="C6163" t="s">
        <v>26</v>
      </c>
      <c r="D6163" t="s">
        <v>5</v>
      </c>
      <c r="E6163" t="s">
        <v>6</v>
      </c>
      <c r="F6163" t="s">
        <v>28</v>
      </c>
      <c r="G6163">
        <v>1</v>
      </c>
      <c r="H6163" s="2">
        <f>Tabelle13[[#This Row],[commits]]/Tabelle13[[#Totals],[commits]]</f>
        <v>4.6477904404246225E-6</v>
      </c>
      <c r="I6163" s="5">
        <f>Tabelle13[[#This Row],[%]]+I6162</f>
        <v>0.98659577236975438</v>
      </c>
      <c r="J6163" s="4">
        <f t="shared" si="225"/>
        <v>1.105583195135434E-4</v>
      </c>
      <c r="K6163" s="5">
        <f t="shared" si="226"/>
        <v>0.68114980652301549</v>
      </c>
    </row>
    <row r="6164" spans="1:11" x14ac:dyDescent="0.25">
      <c r="A6164" t="s">
        <v>7110</v>
      </c>
      <c r="C6164" t="s">
        <v>26</v>
      </c>
      <c r="D6164" t="s">
        <v>5</v>
      </c>
      <c r="E6164" t="s">
        <v>6</v>
      </c>
      <c r="F6164" t="s">
        <v>28</v>
      </c>
      <c r="G6164">
        <v>1</v>
      </c>
      <c r="H6164" s="2">
        <f>Tabelle13[[#This Row],[commits]]/Tabelle13[[#Totals],[commits]]</f>
        <v>4.6477904404246225E-6</v>
      </c>
      <c r="I6164" s="5">
        <f>Tabelle13[[#This Row],[%]]+I6163</f>
        <v>0.98660042016019478</v>
      </c>
      <c r="J6164" s="4">
        <f t="shared" si="225"/>
        <v>1.105583195135434E-4</v>
      </c>
      <c r="K6164" s="5">
        <f t="shared" si="226"/>
        <v>0.68126036484252905</v>
      </c>
    </row>
    <row r="6165" spans="1:11" x14ac:dyDescent="0.25">
      <c r="A6165" t="s">
        <v>7111</v>
      </c>
      <c r="C6165" t="s">
        <v>26</v>
      </c>
      <c r="D6165" t="s">
        <v>5</v>
      </c>
      <c r="E6165" t="s">
        <v>6</v>
      </c>
      <c r="F6165" t="s">
        <v>28</v>
      </c>
      <c r="G6165">
        <v>1</v>
      </c>
      <c r="H6165" s="2">
        <f>Tabelle13[[#This Row],[commits]]/Tabelle13[[#Totals],[commits]]</f>
        <v>4.6477904404246225E-6</v>
      </c>
      <c r="I6165" s="5">
        <f>Tabelle13[[#This Row],[%]]+I6164</f>
        <v>0.98660506795063518</v>
      </c>
      <c r="J6165" s="4">
        <f t="shared" si="225"/>
        <v>1.105583195135434E-4</v>
      </c>
      <c r="K6165" s="5">
        <f t="shared" si="226"/>
        <v>0.68137092316204262</v>
      </c>
    </row>
    <row r="6166" spans="1:11" x14ac:dyDescent="0.25">
      <c r="A6166" t="s">
        <v>7112</v>
      </c>
      <c r="C6166" t="s">
        <v>26</v>
      </c>
      <c r="D6166" t="s">
        <v>5</v>
      </c>
      <c r="E6166" t="s">
        <v>6</v>
      </c>
      <c r="F6166" t="s">
        <v>28</v>
      </c>
      <c r="G6166">
        <v>1</v>
      </c>
      <c r="H6166" s="2">
        <f>Tabelle13[[#This Row],[commits]]/Tabelle13[[#Totals],[commits]]</f>
        <v>4.6477904404246225E-6</v>
      </c>
      <c r="I6166" s="5">
        <f>Tabelle13[[#This Row],[%]]+I6165</f>
        <v>0.98660971574107559</v>
      </c>
      <c r="J6166" s="4">
        <f t="shared" si="225"/>
        <v>1.105583195135434E-4</v>
      </c>
      <c r="K6166" s="5">
        <f t="shared" si="226"/>
        <v>0.68148148148155618</v>
      </c>
    </row>
    <row r="6167" spans="1:11" x14ac:dyDescent="0.25">
      <c r="A6167" t="s">
        <v>7113</v>
      </c>
      <c r="C6167" t="s">
        <v>7114</v>
      </c>
      <c r="D6167" t="s">
        <v>5</v>
      </c>
      <c r="E6167" t="s">
        <v>6</v>
      </c>
      <c r="F6167" t="s">
        <v>28</v>
      </c>
      <c r="G6167">
        <v>1</v>
      </c>
      <c r="H6167" s="2">
        <f>Tabelle13[[#This Row],[commits]]/Tabelle13[[#Totals],[commits]]</f>
        <v>4.6477904404246225E-6</v>
      </c>
      <c r="I6167" s="5">
        <f>Tabelle13[[#This Row],[%]]+I6166</f>
        <v>0.98661436353151599</v>
      </c>
      <c r="J6167" s="4">
        <f t="shared" si="225"/>
        <v>1.105583195135434E-4</v>
      </c>
      <c r="K6167" s="5">
        <f t="shared" si="226"/>
        <v>0.68159203980106975</v>
      </c>
    </row>
    <row r="6168" spans="1:11" x14ac:dyDescent="0.25">
      <c r="A6168" t="s">
        <v>7115</v>
      </c>
      <c r="C6168" t="s">
        <v>7116</v>
      </c>
      <c r="D6168" t="s">
        <v>5175</v>
      </c>
      <c r="E6168" t="s">
        <v>6</v>
      </c>
      <c r="F6168" t="s">
        <v>28</v>
      </c>
      <c r="G6168">
        <v>1</v>
      </c>
      <c r="H6168" s="2">
        <f>Tabelle13[[#This Row],[commits]]/Tabelle13[[#Totals],[commits]]</f>
        <v>4.6477904404246225E-6</v>
      </c>
      <c r="I6168" s="5">
        <f>Tabelle13[[#This Row],[%]]+I6167</f>
        <v>0.9866190113219564</v>
      </c>
      <c r="J6168" s="4">
        <f t="shared" si="225"/>
        <v>1.105583195135434E-4</v>
      </c>
      <c r="K6168" s="5">
        <f t="shared" si="226"/>
        <v>0.68170259812058331</v>
      </c>
    </row>
    <row r="6169" spans="1:11" x14ac:dyDescent="0.25">
      <c r="A6169" t="s">
        <v>7117</v>
      </c>
      <c r="C6169" t="s">
        <v>7118</v>
      </c>
      <c r="D6169" t="s">
        <v>5</v>
      </c>
      <c r="E6169" t="s">
        <v>6</v>
      </c>
      <c r="F6169" t="s">
        <v>28</v>
      </c>
      <c r="G6169">
        <v>1</v>
      </c>
      <c r="H6169" s="2">
        <f>Tabelle13[[#This Row],[commits]]/Tabelle13[[#Totals],[commits]]</f>
        <v>4.6477904404246225E-6</v>
      </c>
      <c r="I6169" s="5">
        <f>Tabelle13[[#This Row],[%]]+I6168</f>
        <v>0.9866236591123968</v>
      </c>
      <c r="J6169" s="4">
        <f t="shared" si="225"/>
        <v>1.105583195135434E-4</v>
      </c>
      <c r="K6169" s="5">
        <f t="shared" si="226"/>
        <v>0.68181315644009688</v>
      </c>
    </row>
    <row r="6170" spans="1:11" x14ac:dyDescent="0.25">
      <c r="A6170" t="s">
        <v>7119</v>
      </c>
      <c r="C6170" t="s">
        <v>7120</v>
      </c>
      <c r="D6170" t="s">
        <v>5</v>
      </c>
      <c r="E6170" t="s">
        <v>6</v>
      </c>
      <c r="F6170" t="s">
        <v>28</v>
      </c>
      <c r="G6170">
        <v>1</v>
      </c>
      <c r="H6170" s="2">
        <f>Tabelle13[[#This Row],[commits]]/Tabelle13[[#Totals],[commits]]</f>
        <v>4.6477904404246225E-6</v>
      </c>
      <c r="I6170" s="5">
        <f>Tabelle13[[#This Row],[%]]+I6169</f>
        <v>0.9866283069028372</v>
      </c>
      <c r="J6170" s="4">
        <f t="shared" si="225"/>
        <v>1.105583195135434E-4</v>
      </c>
      <c r="K6170" s="5">
        <f t="shared" si="226"/>
        <v>0.68192371475961044</v>
      </c>
    </row>
    <row r="6171" spans="1:11" x14ac:dyDescent="0.25">
      <c r="A6171" t="s">
        <v>7121</v>
      </c>
      <c r="C6171" t="s">
        <v>7122</v>
      </c>
      <c r="D6171" t="s">
        <v>5</v>
      </c>
      <c r="E6171" t="s">
        <v>6</v>
      </c>
      <c r="F6171" t="s">
        <v>28</v>
      </c>
      <c r="G6171">
        <v>1</v>
      </c>
      <c r="H6171" s="2">
        <f>Tabelle13[[#This Row],[commits]]/Tabelle13[[#Totals],[commits]]</f>
        <v>4.6477904404246225E-6</v>
      </c>
      <c r="I6171" s="5">
        <f>Tabelle13[[#This Row],[%]]+I6170</f>
        <v>0.98663295469327761</v>
      </c>
      <c r="J6171" s="4">
        <f t="shared" si="225"/>
        <v>1.105583195135434E-4</v>
      </c>
      <c r="K6171" s="5">
        <f t="shared" si="226"/>
        <v>0.68203427307912401</v>
      </c>
    </row>
    <row r="6172" spans="1:11" x14ac:dyDescent="0.25">
      <c r="A6172" t="s">
        <v>7123</v>
      </c>
      <c r="C6172" t="s">
        <v>7124</v>
      </c>
      <c r="D6172" t="s">
        <v>5</v>
      </c>
      <c r="E6172" t="s">
        <v>6</v>
      </c>
      <c r="F6172" t="s">
        <v>28</v>
      </c>
      <c r="G6172">
        <v>1</v>
      </c>
      <c r="H6172" s="2">
        <f>Tabelle13[[#This Row],[commits]]/Tabelle13[[#Totals],[commits]]</f>
        <v>4.6477904404246225E-6</v>
      </c>
      <c r="I6172" s="5">
        <f>Tabelle13[[#This Row],[%]]+I6171</f>
        <v>0.98663760248371801</v>
      </c>
      <c r="J6172" s="4">
        <f t="shared" si="225"/>
        <v>1.105583195135434E-4</v>
      </c>
      <c r="K6172" s="5">
        <f t="shared" si="226"/>
        <v>0.68214483139863757</v>
      </c>
    </row>
    <row r="6173" spans="1:11" x14ac:dyDescent="0.25">
      <c r="A6173" t="s">
        <v>7125</v>
      </c>
      <c r="C6173" t="s">
        <v>7126</v>
      </c>
      <c r="D6173" t="s">
        <v>5</v>
      </c>
      <c r="E6173" t="s">
        <v>6</v>
      </c>
      <c r="F6173" t="s">
        <v>28</v>
      </c>
      <c r="G6173">
        <v>1</v>
      </c>
      <c r="H6173" s="2">
        <f>Tabelle13[[#This Row],[commits]]/Tabelle13[[#Totals],[commits]]</f>
        <v>4.6477904404246225E-6</v>
      </c>
      <c r="I6173" s="5">
        <f>Tabelle13[[#This Row],[%]]+I6172</f>
        <v>0.98664225027415842</v>
      </c>
      <c r="J6173" s="4">
        <f t="shared" si="225"/>
        <v>1.105583195135434E-4</v>
      </c>
      <c r="K6173" s="5">
        <f t="shared" si="226"/>
        <v>0.68225538971815114</v>
      </c>
    </row>
    <row r="6174" spans="1:11" x14ac:dyDescent="0.25">
      <c r="A6174" t="s">
        <v>7127</v>
      </c>
      <c r="C6174" t="s">
        <v>7128</v>
      </c>
      <c r="D6174" t="s">
        <v>5</v>
      </c>
      <c r="E6174" t="s">
        <v>6</v>
      </c>
      <c r="F6174" t="s">
        <v>28</v>
      </c>
      <c r="G6174">
        <v>1</v>
      </c>
      <c r="H6174" s="2">
        <f>Tabelle13[[#This Row],[commits]]/Tabelle13[[#Totals],[commits]]</f>
        <v>4.6477904404246225E-6</v>
      </c>
      <c r="I6174" s="5">
        <f>Tabelle13[[#This Row],[%]]+I6173</f>
        <v>0.98664689806459882</v>
      </c>
      <c r="J6174" s="4">
        <f t="shared" si="225"/>
        <v>1.105583195135434E-4</v>
      </c>
      <c r="K6174" s="5">
        <f t="shared" si="226"/>
        <v>0.6823659480376647</v>
      </c>
    </row>
    <row r="6175" spans="1:11" x14ac:dyDescent="0.25">
      <c r="A6175" t="s">
        <v>7129</v>
      </c>
      <c r="C6175" t="s">
        <v>7130</v>
      </c>
      <c r="D6175" t="s">
        <v>5</v>
      </c>
      <c r="E6175" t="s">
        <v>6</v>
      </c>
      <c r="F6175" t="s">
        <v>28</v>
      </c>
      <c r="G6175">
        <v>1</v>
      </c>
      <c r="H6175" s="2">
        <f>Tabelle13[[#This Row],[commits]]/Tabelle13[[#Totals],[commits]]</f>
        <v>4.6477904404246225E-6</v>
      </c>
      <c r="I6175" s="5">
        <f>Tabelle13[[#This Row],[%]]+I6174</f>
        <v>0.98665154585503922</v>
      </c>
      <c r="J6175" s="4">
        <f t="shared" si="225"/>
        <v>1.105583195135434E-4</v>
      </c>
      <c r="K6175" s="5">
        <f t="shared" si="226"/>
        <v>0.68247650635717827</v>
      </c>
    </row>
    <row r="6176" spans="1:11" x14ac:dyDescent="0.25">
      <c r="A6176" t="s">
        <v>7131</v>
      </c>
      <c r="C6176" t="s">
        <v>7132</v>
      </c>
      <c r="D6176" t="s">
        <v>5</v>
      </c>
      <c r="E6176" t="s">
        <v>6</v>
      </c>
      <c r="F6176" t="s">
        <v>28</v>
      </c>
      <c r="G6176">
        <v>1</v>
      </c>
      <c r="H6176" s="2">
        <f>Tabelle13[[#This Row],[commits]]/Tabelle13[[#Totals],[commits]]</f>
        <v>4.6477904404246225E-6</v>
      </c>
      <c r="I6176" s="5">
        <f>Tabelle13[[#This Row],[%]]+I6175</f>
        <v>0.98665619364547963</v>
      </c>
      <c r="J6176" s="4">
        <f t="shared" si="225"/>
        <v>1.105583195135434E-4</v>
      </c>
      <c r="K6176" s="5">
        <f t="shared" si="226"/>
        <v>0.68258706467669183</v>
      </c>
    </row>
    <row r="6177" spans="1:11" x14ac:dyDescent="0.25">
      <c r="A6177" t="s">
        <v>7133</v>
      </c>
      <c r="C6177" t="s">
        <v>7134</v>
      </c>
      <c r="D6177" t="s">
        <v>5175</v>
      </c>
      <c r="E6177" t="s">
        <v>6</v>
      </c>
      <c r="F6177" t="s">
        <v>28</v>
      </c>
      <c r="G6177">
        <v>1</v>
      </c>
      <c r="H6177" s="2">
        <f>Tabelle13[[#This Row],[commits]]/Tabelle13[[#Totals],[commits]]</f>
        <v>4.6477904404246225E-6</v>
      </c>
      <c r="I6177" s="5">
        <f>Tabelle13[[#This Row],[%]]+I6176</f>
        <v>0.98666084143592003</v>
      </c>
      <c r="J6177" s="4">
        <f t="shared" si="225"/>
        <v>1.105583195135434E-4</v>
      </c>
      <c r="K6177" s="5">
        <f t="shared" si="226"/>
        <v>0.6826976229962054</v>
      </c>
    </row>
    <row r="6178" spans="1:11" x14ac:dyDescent="0.25">
      <c r="A6178" t="s">
        <v>7135</v>
      </c>
      <c r="C6178" t="s">
        <v>7136</v>
      </c>
      <c r="D6178" t="s">
        <v>5</v>
      </c>
      <c r="E6178" t="s">
        <v>6</v>
      </c>
      <c r="F6178" t="s">
        <v>28</v>
      </c>
      <c r="G6178">
        <v>1</v>
      </c>
      <c r="H6178" s="2">
        <f>Tabelle13[[#This Row],[commits]]/Tabelle13[[#Totals],[commits]]</f>
        <v>4.6477904404246225E-6</v>
      </c>
      <c r="I6178" s="5">
        <f>Tabelle13[[#This Row],[%]]+I6177</f>
        <v>0.98666548922636044</v>
      </c>
      <c r="J6178" s="4">
        <f t="shared" si="225"/>
        <v>1.105583195135434E-4</v>
      </c>
      <c r="K6178" s="5">
        <f t="shared" si="226"/>
        <v>0.68280818131571897</v>
      </c>
    </row>
    <row r="6179" spans="1:11" x14ac:dyDescent="0.25">
      <c r="A6179" t="s">
        <v>7137</v>
      </c>
      <c r="C6179" t="s">
        <v>7138</v>
      </c>
      <c r="D6179" t="s">
        <v>5</v>
      </c>
      <c r="E6179" t="s">
        <v>6</v>
      </c>
      <c r="F6179" t="s">
        <v>28</v>
      </c>
      <c r="G6179">
        <v>1</v>
      </c>
      <c r="H6179" s="2">
        <f>Tabelle13[[#This Row],[commits]]/Tabelle13[[#Totals],[commits]]</f>
        <v>4.6477904404246225E-6</v>
      </c>
      <c r="I6179" s="5">
        <f>Tabelle13[[#This Row],[%]]+I6178</f>
        <v>0.98667013701680084</v>
      </c>
      <c r="J6179" s="4">
        <f t="shared" si="225"/>
        <v>1.105583195135434E-4</v>
      </c>
      <c r="K6179" s="5">
        <f t="shared" si="226"/>
        <v>0.68291873963523253</v>
      </c>
    </row>
    <row r="6180" spans="1:11" x14ac:dyDescent="0.25">
      <c r="A6180" t="s">
        <v>7139</v>
      </c>
      <c r="C6180" t="s">
        <v>7140</v>
      </c>
      <c r="D6180" t="s">
        <v>5</v>
      </c>
      <c r="E6180" t="s">
        <v>6</v>
      </c>
      <c r="F6180" t="s">
        <v>28</v>
      </c>
      <c r="G6180">
        <v>1</v>
      </c>
      <c r="H6180" s="2">
        <f>Tabelle13[[#This Row],[commits]]/Tabelle13[[#Totals],[commits]]</f>
        <v>4.6477904404246225E-6</v>
      </c>
      <c r="I6180" s="5">
        <f>Tabelle13[[#This Row],[%]]+I6179</f>
        <v>0.98667478480724125</v>
      </c>
      <c r="J6180" s="4">
        <f t="shared" si="225"/>
        <v>1.105583195135434E-4</v>
      </c>
      <c r="K6180" s="5">
        <f t="shared" si="226"/>
        <v>0.6830292979547461</v>
      </c>
    </row>
    <row r="6181" spans="1:11" x14ac:dyDescent="0.25">
      <c r="A6181" t="s">
        <v>7141</v>
      </c>
      <c r="C6181" t="s">
        <v>7142</v>
      </c>
      <c r="D6181" t="s">
        <v>5</v>
      </c>
      <c r="E6181" t="s">
        <v>6</v>
      </c>
      <c r="F6181" t="s">
        <v>28</v>
      </c>
      <c r="G6181">
        <v>1</v>
      </c>
      <c r="H6181" s="2">
        <f>Tabelle13[[#This Row],[commits]]/Tabelle13[[#Totals],[commits]]</f>
        <v>4.6477904404246225E-6</v>
      </c>
      <c r="I6181" s="5">
        <f>Tabelle13[[#This Row],[%]]+I6180</f>
        <v>0.98667943259768165</v>
      </c>
      <c r="J6181" s="4">
        <f t="shared" si="225"/>
        <v>1.105583195135434E-4</v>
      </c>
      <c r="K6181" s="5">
        <f t="shared" si="226"/>
        <v>0.68313985627425966</v>
      </c>
    </row>
    <row r="6182" spans="1:11" x14ac:dyDescent="0.25">
      <c r="A6182" t="s">
        <v>7143</v>
      </c>
      <c r="C6182" t="s">
        <v>7144</v>
      </c>
      <c r="D6182" t="s">
        <v>5</v>
      </c>
      <c r="E6182" t="s">
        <v>6</v>
      </c>
      <c r="F6182" t="s">
        <v>28</v>
      </c>
      <c r="G6182">
        <v>1</v>
      </c>
      <c r="H6182" s="2">
        <f>Tabelle13[[#This Row],[commits]]/Tabelle13[[#Totals],[commits]]</f>
        <v>4.6477904404246225E-6</v>
      </c>
      <c r="I6182" s="5">
        <f>Tabelle13[[#This Row],[%]]+I6181</f>
        <v>0.98668408038812205</v>
      </c>
      <c r="J6182" s="4">
        <f t="shared" si="225"/>
        <v>1.105583195135434E-4</v>
      </c>
      <c r="K6182" s="5">
        <f t="shared" si="226"/>
        <v>0.68325041459377323</v>
      </c>
    </row>
    <row r="6183" spans="1:11" x14ac:dyDescent="0.25">
      <c r="A6183" t="s">
        <v>7145</v>
      </c>
      <c r="C6183" t="s">
        <v>7146</v>
      </c>
      <c r="D6183" t="s">
        <v>5</v>
      </c>
      <c r="E6183" t="s">
        <v>6</v>
      </c>
      <c r="F6183" t="s">
        <v>28</v>
      </c>
      <c r="G6183">
        <v>1</v>
      </c>
      <c r="H6183" s="2">
        <f>Tabelle13[[#This Row],[commits]]/Tabelle13[[#Totals],[commits]]</f>
        <v>4.6477904404246225E-6</v>
      </c>
      <c r="I6183" s="5">
        <f>Tabelle13[[#This Row],[%]]+I6182</f>
        <v>0.98668872817856246</v>
      </c>
      <c r="J6183" s="4">
        <f t="shared" si="225"/>
        <v>1.105583195135434E-4</v>
      </c>
      <c r="K6183" s="5">
        <f t="shared" si="226"/>
        <v>0.68336097291328679</v>
      </c>
    </row>
    <row r="6184" spans="1:11" x14ac:dyDescent="0.25">
      <c r="A6184" t="s">
        <v>7147</v>
      </c>
      <c r="C6184" t="s">
        <v>7148</v>
      </c>
      <c r="D6184" t="s">
        <v>3240</v>
      </c>
      <c r="E6184" t="s">
        <v>6</v>
      </c>
      <c r="F6184" t="s">
        <v>28</v>
      </c>
      <c r="G6184">
        <v>1</v>
      </c>
      <c r="H6184" s="2">
        <f>Tabelle13[[#This Row],[commits]]/Tabelle13[[#Totals],[commits]]</f>
        <v>4.6477904404246225E-6</v>
      </c>
      <c r="I6184" s="5">
        <f>Tabelle13[[#This Row],[%]]+I6183</f>
        <v>0.98669337596900286</v>
      </c>
      <c r="J6184" s="4">
        <f t="shared" si="225"/>
        <v>1.105583195135434E-4</v>
      </c>
      <c r="K6184" s="5">
        <f t="shared" si="226"/>
        <v>0.68347153123280036</v>
      </c>
    </row>
    <row r="6185" spans="1:11" x14ac:dyDescent="0.25">
      <c r="A6185" t="s">
        <v>7149</v>
      </c>
      <c r="C6185" t="s">
        <v>7150</v>
      </c>
      <c r="D6185" t="s">
        <v>5</v>
      </c>
      <c r="E6185" t="s">
        <v>6</v>
      </c>
      <c r="F6185" t="s">
        <v>28</v>
      </c>
      <c r="G6185">
        <v>1</v>
      </c>
      <c r="H6185" s="2">
        <f>Tabelle13[[#This Row],[commits]]/Tabelle13[[#Totals],[commits]]</f>
        <v>4.6477904404246225E-6</v>
      </c>
      <c r="I6185" s="5">
        <f>Tabelle13[[#This Row],[%]]+I6184</f>
        <v>0.98669802375944327</v>
      </c>
      <c r="J6185" s="4">
        <f t="shared" si="225"/>
        <v>1.105583195135434E-4</v>
      </c>
      <c r="K6185" s="5">
        <f t="shared" si="226"/>
        <v>0.68358208955231392</v>
      </c>
    </row>
    <row r="6186" spans="1:11" x14ac:dyDescent="0.25">
      <c r="A6186" t="s">
        <v>7151</v>
      </c>
      <c r="C6186" t="s">
        <v>7152</v>
      </c>
      <c r="D6186" t="s">
        <v>5</v>
      </c>
      <c r="E6186" t="s">
        <v>6</v>
      </c>
      <c r="F6186" t="s">
        <v>28</v>
      </c>
      <c r="G6186">
        <v>1</v>
      </c>
      <c r="H6186" s="2">
        <f>Tabelle13[[#This Row],[commits]]/Tabelle13[[#Totals],[commits]]</f>
        <v>4.6477904404246225E-6</v>
      </c>
      <c r="I6186" s="5">
        <f>Tabelle13[[#This Row],[%]]+I6185</f>
        <v>0.98670267154988367</v>
      </c>
      <c r="J6186" s="4">
        <f t="shared" si="225"/>
        <v>1.105583195135434E-4</v>
      </c>
      <c r="K6186" s="5">
        <f t="shared" si="226"/>
        <v>0.68369264787182749</v>
      </c>
    </row>
    <row r="6187" spans="1:11" x14ac:dyDescent="0.25">
      <c r="A6187" t="s">
        <v>7153</v>
      </c>
      <c r="C6187" t="s">
        <v>7154</v>
      </c>
      <c r="D6187" t="s">
        <v>5</v>
      </c>
      <c r="E6187" t="s">
        <v>6</v>
      </c>
      <c r="F6187" t="s">
        <v>28</v>
      </c>
      <c r="G6187">
        <v>1</v>
      </c>
      <c r="H6187" s="2">
        <f>Tabelle13[[#This Row],[commits]]/Tabelle13[[#Totals],[commits]]</f>
        <v>4.6477904404246225E-6</v>
      </c>
      <c r="I6187" s="5">
        <f>Tabelle13[[#This Row],[%]]+I6186</f>
        <v>0.98670731934032407</v>
      </c>
      <c r="J6187" s="4">
        <f t="shared" si="225"/>
        <v>1.105583195135434E-4</v>
      </c>
      <c r="K6187" s="5">
        <f t="shared" si="226"/>
        <v>0.68380320619134105</v>
      </c>
    </row>
    <row r="6188" spans="1:11" x14ac:dyDescent="0.25">
      <c r="A6188" t="s">
        <v>7155</v>
      </c>
      <c r="C6188" t="s">
        <v>7156</v>
      </c>
      <c r="D6188" t="s">
        <v>5</v>
      </c>
      <c r="E6188" t="s">
        <v>6</v>
      </c>
      <c r="F6188" t="s">
        <v>28</v>
      </c>
      <c r="G6188">
        <v>1</v>
      </c>
      <c r="H6188" s="2">
        <f>Tabelle13[[#This Row],[commits]]/Tabelle13[[#Totals],[commits]]</f>
        <v>4.6477904404246225E-6</v>
      </c>
      <c r="I6188" s="5">
        <f>Tabelle13[[#This Row],[%]]+I6187</f>
        <v>0.98671196713076448</v>
      </c>
      <c r="J6188" s="4">
        <f t="shared" si="225"/>
        <v>1.105583195135434E-4</v>
      </c>
      <c r="K6188" s="5">
        <f t="shared" si="226"/>
        <v>0.68391376451085462</v>
      </c>
    </row>
    <row r="6189" spans="1:11" x14ac:dyDescent="0.25">
      <c r="A6189" t="s">
        <v>7157</v>
      </c>
      <c r="C6189" t="s">
        <v>7158</v>
      </c>
      <c r="D6189" t="s">
        <v>5</v>
      </c>
      <c r="E6189" t="s">
        <v>6</v>
      </c>
      <c r="F6189" t="s">
        <v>28</v>
      </c>
      <c r="G6189">
        <v>1</v>
      </c>
      <c r="H6189" s="2">
        <f>Tabelle13[[#This Row],[commits]]/Tabelle13[[#Totals],[commits]]</f>
        <v>4.6477904404246225E-6</v>
      </c>
      <c r="I6189" s="5">
        <f>Tabelle13[[#This Row],[%]]+I6188</f>
        <v>0.98671661492120488</v>
      </c>
      <c r="J6189" s="4">
        <f t="shared" si="225"/>
        <v>1.105583195135434E-4</v>
      </c>
      <c r="K6189" s="5">
        <f t="shared" si="226"/>
        <v>0.68402432283036818</v>
      </c>
    </row>
    <row r="6190" spans="1:11" x14ac:dyDescent="0.25">
      <c r="A6190" t="s">
        <v>7159</v>
      </c>
      <c r="C6190" t="s">
        <v>7160</v>
      </c>
      <c r="D6190" t="s">
        <v>5</v>
      </c>
      <c r="E6190" t="s">
        <v>6</v>
      </c>
      <c r="F6190" t="s">
        <v>28</v>
      </c>
      <c r="G6190">
        <v>1</v>
      </c>
      <c r="H6190" s="2">
        <f>Tabelle13[[#This Row],[commits]]/Tabelle13[[#Totals],[commits]]</f>
        <v>4.6477904404246225E-6</v>
      </c>
      <c r="I6190" s="5">
        <f>Tabelle13[[#This Row],[%]]+I6189</f>
        <v>0.98672126271164529</v>
      </c>
      <c r="J6190" s="4">
        <f t="shared" si="225"/>
        <v>1.105583195135434E-4</v>
      </c>
      <c r="K6190" s="5">
        <f t="shared" si="226"/>
        <v>0.68413488114988175</v>
      </c>
    </row>
    <row r="6191" spans="1:11" x14ac:dyDescent="0.25">
      <c r="A6191" t="s">
        <v>7161</v>
      </c>
      <c r="C6191" t="s">
        <v>7162</v>
      </c>
      <c r="D6191" t="s">
        <v>5</v>
      </c>
      <c r="E6191" t="s">
        <v>6</v>
      </c>
      <c r="F6191" t="s">
        <v>28</v>
      </c>
      <c r="G6191">
        <v>1</v>
      </c>
      <c r="H6191" s="2">
        <f>Tabelle13[[#This Row],[commits]]/Tabelle13[[#Totals],[commits]]</f>
        <v>4.6477904404246225E-6</v>
      </c>
      <c r="I6191" s="5">
        <f>Tabelle13[[#This Row],[%]]+I6190</f>
        <v>0.98672591050208569</v>
      </c>
      <c r="J6191" s="4">
        <f t="shared" si="225"/>
        <v>1.105583195135434E-4</v>
      </c>
      <c r="K6191" s="5">
        <f t="shared" si="226"/>
        <v>0.68424543946939531</v>
      </c>
    </row>
    <row r="6192" spans="1:11" x14ac:dyDescent="0.25">
      <c r="A6192" t="s">
        <v>7163</v>
      </c>
      <c r="C6192" t="s">
        <v>7164</v>
      </c>
      <c r="D6192" t="s">
        <v>5</v>
      </c>
      <c r="E6192" t="s">
        <v>6</v>
      </c>
      <c r="F6192" t="s">
        <v>28</v>
      </c>
      <c r="G6192">
        <v>1</v>
      </c>
      <c r="H6192" s="2">
        <f>Tabelle13[[#This Row],[commits]]/Tabelle13[[#Totals],[commits]]</f>
        <v>4.6477904404246225E-6</v>
      </c>
      <c r="I6192" s="5">
        <f>Tabelle13[[#This Row],[%]]+I6191</f>
        <v>0.98673055829252609</v>
      </c>
      <c r="J6192" s="4">
        <f t="shared" si="225"/>
        <v>1.105583195135434E-4</v>
      </c>
      <c r="K6192" s="5">
        <f t="shared" si="226"/>
        <v>0.68435599778890888</v>
      </c>
    </row>
    <row r="6193" spans="1:11" x14ac:dyDescent="0.25">
      <c r="A6193" t="s">
        <v>7165</v>
      </c>
      <c r="C6193" t="s">
        <v>7166</v>
      </c>
      <c r="D6193" t="s">
        <v>5</v>
      </c>
      <c r="E6193" t="s">
        <v>6</v>
      </c>
      <c r="F6193" t="s">
        <v>28</v>
      </c>
      <c r="G6193">
        <v>1</v>
      </c>
      <c r="H6193" s="2">
        <f>Tabelle13[[#This Row],[commits]]/Tabelle13[[#Totals],[commits]]</f>
        <v>4.6477904404246225E-6</v>
      </c>
      <c r="I6193" s="5">
        <f>Tabelle13[[#This Row],[%]]+I6192</f>
        <v>0.9867352060829665</v>
      </c>
      <c r="J6193" s="4">
        <f t="shared" si="225"/>
        <v>1.105583195135434E-4</v>
      </c>
      <c r="K6193" s="5">
        <f t="shared" si="226"/>
        <v>0.68446655610842244</v>
      </c>
    </row>
    <row r="6194" spans="1:11" x14ac:dyDescent="0.25">
      <c r="A6194" t="s">
        <v>7167</v>
      </c>
      <c r="C6194" t="s">
        <v>7168</v>
      </c>
      <c r="D6194" t="s">
        <v>5</v>
      </c>
      <c r="E6194" t="s">
        <v>6</v>
      </c>
      <c r="F6194" t="s">
        <v>28</v>
      </c>
      <c r="G6194">
        <v>1</v>
      </c>
      <c r="H6194" s="2">
        <f>Tabelle13[[#This Row],[commits]]/Tabelle13[[#Totals],[commits]]</f>
        <v>4.6477904404246225E-6</v>
      </c>
      <c r="I6194" s="5">
        <f>Tabelle13[[#This Row],[%]]+I6193</f>
        <v>0.9867398538734069</v>
      </c>
      <c r="J6194" s="4">
        <f t="shared" si="225"/>
        <v>1.105583195135434E-4</v>
      </c>
      <c r="K6194" s="5">
        <f t="shared" si="226"/>
        <v>0.68457711442793601</v>
      </c>
    </row>
    <row r="6195" spans="1:11" x14ac:dyDescent="0.25">
      <c r="A6195" t="s">
        <v>7169</v>
      </c>
      <c r="C6195" t="s">
        <v>7170</v>
      </c>
      <c r="D6195" t="s">
        <v>5</v>
      </c>
      <c r="E6195" t="s">
        <v>6</v>
      </c>
      <c r="F6195" t="s">
        <v>28</v>
      </c>
      <c r="G6195">
        <v>1</v>
      </c>
      <c r="H6195" s="2">
        <f>Tabelle13[[#This Row],[commits]]/Tabelle13[[#Totals],[commits]]</f>
        <v>4.6477904404246225E-6</v>
      </c>
      <c r="I6195" s="5">
        <f>Tabelle13[[#This Row],[%]]+I6194</f>
        <v>0.98674450166384731</v>
      </c>
      <c r="J6195" s="4">
        <f t="shared" si="225"/>
        <v>1.105583195135434E-4</v>
      </c>
      <c r="K6195" s="5">
        <f t="shared" si="226"/>
        <v>0.68468767274744957</v>
      </c>
    </row>
    <row r="6196" spans="1:11" x14ac:dyDescent="0.25">
      <c r="A6196" t="s">
        <v>7171</v>
      </c>
      <c r="C6196" t="s">
        <v>7172</v>
      </c>
      <c r="D6196" t="s">
        <v>5</v>
      </c>
      <c r="E6196" t="s">
        <v>6</v>
      </c>
      <c r="F6196" t="s">
        <v>28</v>
      </c>
      <c r="G6196">
        <v>1</v>
      </c>
      <c r="H6196" s="2">
        <f>Tabelle13[[#This Row],[commits]]/Tabelle13[[#Totals],[commits]]</f>
        <v>4.6477904404246225E-6</v>
      </c>
      <c r="I6196" s="5">
        <f>Tabelle13[[#This Row],[%]]+I6195</f>
        <v>0.98674914945428771</v>
      </c>
      <c r="J6196" s="4">
        <f t="shared" si="225"/>
        <v>1.105583195135434E-4</v>
      </c>
      <c r="K6196" s="5">
        <f t="shared" si="226"/>
        <v>0.68479823106696314</v>
      </c>
    </row>
    <row r="6197" spans="1:11" x14ac:dyDescent="0.25">
      <c r="A6197" t="s">
        <v>7173</v>
      </c>
      <c r="C6197" t="s">
        <v>7174</v>
      </c>
      <c r="D6197" t="s">
        <v>5</v>
      </c>
      <c r="E6197" t="s">
        <v>6</v>
      </c>
      <c r="F6197" t="s">
        <v>28</v>
      </c>
      <c r="G6197">
        <v>1</v>
      </c>
      <c r="H6197" s="2">
        <f>Tabelle13[[#This Row],[commits]]/Tabelle13[[#Totals],[commits]]</f>
        <v>4.6477904404246225E-6</v>
      </c>
      <c r="I6197" s="5">
        <f>Tabelle13[[#This Row],[%]]+I6196</f>
        <v>0.98675379724472811</v>
      </c>
      <c r="J6197" s="4">
        <f t="shared" si="225"/>
        <v>1.105583195135434E-4</v>
      </c>
      <c r="K6197" s="5">
        <f t="shared" si="226"/>
        <v>0.6849087893864767</v>
      </c>
    </row>
    <row r="6198" spans="1:11" x14ac:dyDescent="0.25">
      <c r="A6198" t="s">
        <v>7175</v>
      </c>
      <c r="C6198" t="s">
        <v>7176</v>
      </c>
      <c r="D6198" t="s">
        <v>5</v>
      </c>
      <c r="E6198" t="s">
        <v>6</v>
      </c>
      <c r="F6198" t="s">
        <v>28</v>
      </c>
      <c r="G6198">
        <v>1</v>
      </c>
      <c r="H6198" s="2">
        <f>Tabelle13[[#This Row],[commits]]/Tabelle13[[#Totals],[commits]]</f>
        <v>4.6477904404246225E-6</v>
      </c>
      <c r="I6198" s="5">
        <f>Tabelle13[[#This Row],[%]]+I6197</f>
        <v>0.98675844503516852</v>
      </c>
      <c r="J6198" s="4">
        <f t="shared" si="225"/>
        <v>1.105583195135434E-4</v>
      </c>
      <c r="K6198" s="5">
        <f t="shared" si="226"/>
        <v>0.68501934770599027</v>
      </c>
    </row>
    <row r="6199" spans="1:11" x14ac:dyDescent="0.25">
      <c r="A6199" t="s">
        <v>7177</v>
      </c>
      <c r="C6199" t="s">
        <v>7178</v>
      </c>
      <c r="D6199" t="s">
        <v>5</v>
      </c>
      <c r="E6199" t="s">
        <v>6</v>
      </c>
      <c r="F6199" t="s">
        <v>28</v>
      </c>
      <c r="G6199">
        <v>1</v>
      </c>
      <c r="H6199" s="2">
        <f>Tabelle13[[#This Row],[commits]]/Tabelle13[[#Totals],[commits]]</f>
        <v>4.6477904404246225E-6</v>
      </c>
      <c r="I6199" s="5">
        <f>Tabelle13[[#This Row],[%]]+I6198</f>
        <v>0.98676309282560892</v>
      </c>
      <c r="J6199" s="4">
        <f t="shared" si="225"/>
        <v>1.105583195135434E-4</v>
      </c>
      <c r="K6199" s="5">
        <f t="shared" si="226"/>
        <v>0.68512990602550383</v>
      </c>
    </row>
    <row r="6200" spans="1:11" x14ac:dyDescent="0.25">
      <c r="A6200" t="s">
        <v>7179</v>
      </c>
      <c r="C6200" t="s">
        <v>7180</v>
      </c>
      <c r="D6200" t="s">
        <v>5</v>
      </c>
      <c r="E6200" t="s">
        <v>6</v>
      </c>
      <c r="F6200" t="s">
        <v>28</v>
      </c>
      <c r="G6200">
        <v>1</v>
      </c>
      <c r="H6200" s="2">
        <f>Tabelle13[[#This Row],[commits]]/Tabelle13[[#Totals],[commits]]</f>
        <v>4.6477904404246225E-6</v>
      </c>
      <c r="I6200" s="5">
        <f>Tabelle13[[#This Row],[%]]+I6199</f>
        <v>0.98676774061604933</v>
      </c>
      <c r="J6200" s="4">
        <f t="shared" si="225"/>
        <v>1.105583195135434E-4</v>
      </c>
      <c r="K6200" s="5">
        <f t="shared" si="226"/>
        <v>0.6852404643450174</v>
      </c>
    </row>
    <row r="6201" spans="1:11" x14ac:dyDescent="0.25">
      <c r="A6201" t="s">
        <v>7181</v>
      </c>
      <c r="C6201" t="s">
        <v>7182</v>
      </c>
      <c r="D6201" t="s">
        <v>5</v>
      </c>
      <c r="E6201" t="s">
        <v>6</v>
      </c>
      <c r="F6201" t="s">
        <v>28</v>
      </c>
      <c r="G6201">
        <v>1</v>
      </c>
      <c r="H6201" s="2">
        <f>Tabelle13[[#This Row],[commits]]/Tabelle13[[#Totals],[commits]]</f>
        <v>4.6477904404246225E-6</v>
      </c>
      <c r="I6201" s="5">
        <f>Tabelle13[[#This Row],[%]]+I6200</f>
        <v>0.98677238840648973</v>
      </c>
      <c r="J6201" s="4">
        <f t="shared" si="225"/>
        <v>1.105583195135434E-4</v>
      </c>
      <c r="K6201" s="5">
        <f t="shared" si="226"/>
        <v>0.68535102266453096</v>
      </c>
    </row>
    <row r="6202" spans="1:11" x14ac:dyDescent="0.25">
      <c r="A6202" t="s">
        <v>7183</v>
      </c>
      <c r="C6202" t="s">
        <v>7184</v>
      </c>
      <c r="D6202" t="s">
        <v>5</v>
      </c>
      <c r="E6202" t="s">
        <v>6</v>
      </c>
      <c r="F6202" t="s">
        <v>28</v>
      </c>
      <c r="G6202">
        <v>1</v>
      </c>
      <c r="H6202" s="2">
        <f>Tabelle13[[#This Row],[commits]]/Tabelle13[[#Totals],[commits]]</f>
        <v>4.6477904404246225E-6</v>
      </c>
      <c r="I6202" s="5">
        <f>Tabelle13[[#This Row],[%]]+I6201</f>
        <v>0.98677703619693014</v>
      </c>
      <c r="J6202" s="4">
        <f t="shared" si="225"/>
        <v>1.105583195135434E-4</v>
      </c>
      <c r="K6202" s="5">
        <f t="shared" si="226"/>
        <v>0.68546158098404453</v>
      </c>
    </row>
    <row r="6203" spans="1:11" x14ac:dyDescent="0.25">
      <c r="A6203" t="s">
        <v>7185</v>
      </c>
      <c r="C6203" t="s">
        <v>7186</v>
      </c>
      <c r="D6203" t="s">
        <v>5</v>
      </c>
      <c r="E6203" t="s">
        <v>6</v>
      </c>
      <c r="F6203" t="s">
        <v>28</v>
      </c>
      <c r="G6203">
        <v>1</v>
      </c>
      <c r="H6203" s="2">
        <f>Tabelle13[[#This Row],[commits]]/Tabelle13[[#Totals],[commits]]</f>
        <v>4.6477904404246225E-6</v>
      </c>
      <c r="I6203" s="5">
        <f>Tabelle13[[#This Row],[%]]+I6202</f>
        <v>0.98678168398737054</v>
      </c>
      <c r="J6203" s="4">
        <f t="shared" si="225"/>
        <v>1.105583195135434E-4</v>
      </c>
      <c r="K6203" s="5">
        <f t="shared" si="226"/>
        <v>0.68557213930355809</v>
      </c>
    </row>
    <row r="6204" spans="1:11" x14ac:dyDescent="0.25">
      <c r="A6204" t="s">
        <v>7187</v>
      </c>
      <c r="C6204" t="s">
        <v>7188</v>
      </c>
      <c r="D6204" t="s">
        <v>5</v>
      </c>
      <c r="E6204" t="s">
        <v>6</v>
      </c>
      <c r="F6204" t="s">
        <v>28</v>
      </c>
      <c r="G6204">
        <v>1</v>
      </c>
      <c r="H6204" s="2">
        <f>Tabelle13[[#This Row],[commits]]/Tabelle13[[#Totals],[commits]]</f>
        <v>4.6477904404246225E-6</v>
      </c>
      <c r="I6204" s="5">
        <f>Tabelle13[[#This Row],[%]]+I6203</f>
        <v>0.98678633177781094</v>
      </c>
      <c r="J6204" s="4">
        <f t="shared" si="225"/>
        <v>1.105583195135434E-4</v>
      </c>
      <c r="K6204" s="5">
        <f t="shared" si="226"/>
        <v>0.68568269762307166</v>
      </c>
    </row>
    <row r="6205" spans="1:11" x14ac:dyDescent="0.25">
      <c r="A6205" t="s">
        <v>7189</v>
      </c>
      <c r="C6205" t="s">
        <v>7190</v>
      </c>
      <c r="D6205" t="s">
        <v>5</v>
      </c>
      <c r="E6205" t="s">
        <v>6</v>
      </c>
      <c r="F6205" t="s">
        <v>28</v>
      </c>
      <c r="G6205">
        <v>1</v>
      </c>
      <c r="H6205" s="2">
        <f>Tabelle13[[#This Row],[commits]]/Tabelle13[[#Totals],[commits]]</f>
        <v>4.6477904404246225E-6</v>
      </c>
      <c r="I6205" s="5">
        <f>Tabelle13[[#This Row],[%]]+I6204</f>
        <v>0.98679097956825135</v>
      </c>
      <c r="J6205" s="4">
        <f t="shared" si="225"/>
        <v>1.105583195135434E-4</v>
      </c>
      <c r="K6205" s="5">
        <f t="shared" si="226"/>
        <v>0.68579325594258522</v>
      </c>
    </row>
    <row r="6206" spans="1:11" x14ac:dyDescent="0.25">
      <c r="A6206" t="s">
        <v>7191</v>
      </c>
      <c r="C6206" t="s">
        <v>7192</v>
      </c>
      <c r="D6206" t="s">
        <v>5</v>
      </c>
      <c r="E6206" t="s">
        <v>6</v>
      </c>
      <c r="F6206" t="s">
        <v>28</v>
      </c>
      <c r="G6206">
        <v>1</v>
      </c>
      <c r="H6206" s="2">
        <f>Tabelle13[[#This Row],[commits]]/Tabelle13[[#Totals],[commits]]</f>
        <v>4.6477904404246225E-6</v>
      </c>
      <c r="I6206" s="5">
        <f>Tabelle13[[#This Row],[%]]+I6205</f>
        <v>0.98679562735869175</v>
      </c>
      <c r="J6206" s="4">
        <f t="shared" si="225"/>
        <v>1.105583195135434E-4</v>
      </c>
      <c r="K6206" s="5">
        <f t="shared" si="226"/>
        <v>0.68590381426209879</v>
      </c>
    </row>
    <row r="6207" spans="1:11" x14ac:dyDescent="0.25">
      <c r="A6207" t="s">
        <v>7193</v>
      </c>
      <c r="C6207" t="s">
        <v>7194</v>
      </c>
      <c r="D6207" t="s">
        <v>5</v>
      </c>
      <c r="E6207" t="s">
        <v>6</v>
      </c>
      <c r="F6207" t="s">
        <v>28</v>
      </c>
      <c r="G6207">
        <v>1</v>
      </c>
      <c r="H6207" s="2">
        <f>Tabelle13[[#This Row],[commits]]/Tabelle13[[#Totals],[commits]]</f>
        <v>4.6477904404246225E-6</v>
      </c>
      <c r="I6207" s="5">
        <f>Tabelle13[[#This Row],[%]]+I6206</f>
        <v>0.98680027514913216</v>
      </c>
      <c r="J6207" s="4">
        <f t="shared" si="225"/>
        <v>1.105583195135434E-4</v>
      </c>
      <c r="K6207" s="5">
        <f t="shared" si="226"/>
        <v>0.68601437258161235</v>
      </c>
    </row>
    <row r="6208" spans="1:11" x14ac:dyDescent="0.25">
      <c r="A6208" t="s">
        <v>7195</v>
      </c>
      <c r="C6208" t="s">
        <v>7196</v>
      </c>
      <c r="D6208" t="s">
        <v>5</v>
      </c>
      <c r="E6208" t="s">
        <v>6</v>
      </c>
      <c r="F6208" t="s">
        <v>28</v>
      </c>
      <c r="G6208">
        <v>1</v>
      </c>
      <c r="H6208" s="2">
        <f>Tabelle13[[#This Row],[commits]]/Tabelle13[[#Totals],[commits]]</f>
        <v>4.6477904404246225E-6</v>
      </c>
      <c r="I6208" s="5">
        <f>Tabelle13[[#This Row],[%]]+I6207</f>
        <v>0.98680492293957256</v>
      </c>
      <c r="J6208" s="4">
        <f t="shared" si="225"/>
        <v>1.105583195135434E-4</v>
      </c>
      <c r="K6208" s="5">
        <f t="shared" si="226"/>
        <v>0.68612493090112592</v>
      </c>
    </row>
    <row r="6209" spans="1:11" x14ac:dyDescent="0.25">
      <c r="A6209" t="s">
        <v>7197</v>
      </c>
      <c r="C6209" t="s">
        <v>7198</v>
      </c>
      <c r="D6209" t="s">
        <v>5</v>
      </c>
      <c r="E6209" t="s">
        <v>6</v>
      </c>
      <c r="F6209" t="s">
        <v>28</v>
      </c>
      <c r="G6209">
        <v>1</v>
      </c>
      <c r="H6209" s="2">
        <f>Tabelle13[[#This Row],[commits]]/Tabelle13[[#Totals],[commits]]</f>
        <v>4.6477904404246225E-6</v>
      </c>
      <c r="I6209" s="5">
        <f>Tabelle13[[#This Row],[%]]+I6208</f>
        <v>0.98680957073001296</v>
      </c>
      <c r="J6209" s="4">
        <f t="shared" si="225"/>
        <v>1.105583195135434E-4</v>
      </c>
      <c r="K6209" s="5">
        <f t="shared" si="226"/>
        <v>0.68623548922063948</v>
      </c>
    </row>
    <row r="6210" spans="1:11" x14ac:dyDescent="0.25">
      <c r="A6210" t="s">
        <v>7199</v>
      </c>
      <c r="C6210" t="s">
        <v>532</v>
      </c>
      <c r="D6210" t="s">
        <v>5</v>
      </c>
      <c r="E6210" t="s">
        <v>6</v>
      </c>
      <c r="F6210" t="s">
        <v>28</v>
      </c>
      <c r="G6210">
        <v>1</v>
      </c>
      <c r="H6210" s="2">
        <f>Tabelle13[[#This Row],[commits]]/Tabelle13[[#Totals],[commits]]</f>
        <v>4.6477904404246225E-6</v>
      </c>
      <c r="I6210" s="5">
        <f>Tabelle13[[#This Row],[%]]+I6209</f>
        <v>0.98681421852045337</v>
      </c>
      <c r="J6210" s="4">
        <f t="shared" si="225"/>
        <v>1.105583195135434E-4</v>
      </c>
      <c r="K6210" s="5">
        <f t="shared" si="226"/>
        <v>0.68634604754015305</v>
      </c>
    </row>
    <row r="6211" spans="1:11" x14ac:dyDescent="0.25">
      <c r="A6211" t="s">
        <v>7200</v>
      </c>
      <c r="C6211" t="s">
        <v>532</v>
      </c>
      <c r="D6211" t="s">
        <v>5</v>
      </c>
      <c r="E6211" t="s">
        <v>6</v>
      </c>
      <c r="F6211" t="s">
        <v>28</v>
      </c>
      <c r="G6211">
        <v>1</v>
      </c>
      <c r="H6211" s="2">
        <f>Tabelle13[[#This Row],[commits]]/Tabelle13[[#Totals],[commits]]</f>
        <v>4.6477904404246225E-6</v>
      </c>
      <c r="I6211" s="5">
        <f>Tabelle13[[#This Row],[%]]+I6210</f>
        <v>0.98681886631089377</v>
      </c>
      <c r="J6211" s="4">
        <f t="shared" ref="J6211:J6274" si="227">1/9045</f>
        <v>1.105583195135434E-4</v>
      </c>
      <c r="K6211" s="5">
        <f t="shared" si="226"/>
        <v>0.68645660585966661</v>
      </c>
    </row>
    <row r="6212" spans="1:11" x14ac:dyDescent="0.25">
      <c r="A6212" t="s">
        <v>7201</v>
      </c>
      <c r="C6212" t="s">
        <v>532</v>
      </c>
      <c r="D6212" t="s">
        <v>5</v>
      </c>
      <c r="E6212" t="s">
        <v>6</v>
      </c>
      <c r="F6212" t="s">
        <v>28</v>
      </c>
      <c r="G6212">
        <v>1</v>
      </c>
      <c r="H6212" s="2">
        <f>Tabelle13[[#This Row],[commits]]/Tabelle13[[#Totals],[commits]]</f>
        <v>4.6477904404246225E-6</v>
      </c>
      <c r="I6212" s="5">
        <f>Tabelle13[[#This Row],[%]]+I6211</f>
        <v>0.98682351410133418</v>
      </c>
      <c r="J6212" s="4">
        <f t="shared" si="227"/>
        <v>1.105583195135434E-4</v>
      </c>
      <c r="K6212" s="5">
        <f t="shared" si="226"/>
        <v>0.68656716417918018</v>
      </c>
    </row>
    <row r="6213" spans="1:11" x14ac:dyDescent="0.25">
      <c r="A6213" t="s">
        <v>7202</v>
      </c>
      <c r="C6213" t="s">
        <v>532</v>
      </c>
      <c r="D6213" t="s">
        <v>5</v>
      </c>
      <c r="E6213" t="s">
        <v>6</v>
      </c>
      <c r="F6213" t="s">
        <v>28</v>
      </c>
      <c r="G6213">
        <v>1</v>
      </c>
      <c r="H6213" s="2">
        <f>Tabelle13[[#This Row],[commits]]/Tabelle13[[#Totals],[commits]]</f>
        <v>4.6477904404246225E-6</v>
      </c>
      <c r="I6213" s="5">
        <f>Tabelle13[[#This Row],[%]]+I6212</f>
        <v>0.98682816189177458</v>
      </c>
      <c r="J6213" s="4">
        <f t="shared" si="227"/>
        <v>1.105583195135434E-4</v>
      </c>
      <c r="K6213" s="5">
        <f t="shared" si="226"/>
        <v>0.68667772249869374</v>
      </c>
    </row>
    <row r="6214" spans="1:11" x14ac:dyDescent="0.25">
      <c r="A6214" t="s">
        <v>7203</v>
      </c>
      <c r="C6214" t="s">
        <v>532</v>
      </c>
      <c r="D6214" t="s">
        <v>5</v>
      </c>
      <c r="E6214" t="s">
        <v>6</v>
      </c>
      <c r="F6214" t="s">
        <v>28</v>
      </c>
      <c r="G6214">
        <v>1</v>
      </c>
      <c r="H6214" s="2">
        <f>Tabelle13[[#This Row],[commits]]/Tabelle13[[#Totals],[commits]]</f>
        <v>4.6477904404246225E-6</v>
      </c>
      <c r="I6214" s="5">
        <f>Tabelle13[[#This Row],[%]]+I6213</f>
        <v>0.98683280968221498</v>
      </c>
      <c r="J6214" s="4">
        <f t="shared" si="227"/>
        <v>1.105583195135434E-4</v>
      </c>
      <c r="K6214" s="5">
        <f t="shared" ref="K6214:K6277" si="228">J6214+K6213</f>
        <v>0.68678828081820731</v>
      </c>
    </row>
    <row r="6215" spans="1:11" x14ac:dyDescent="0.25">
      <c r="A6215" t="s">
        <v>7204</v>
      </c>
      <c r="C6215" t="s">
        <v>532</v>
      </c>
      <c r="D6215" t="s">
        <v>5</v>
      </c>
      <c r="E6215" t="s">
        <v>6</v>
      </c>
      <c r="F6215" t="s">
        <v>28</v>
      </c>
      <c r="G6215">
        <v>1</v>
      </c>
      <c r="H6215" s="2">
        <f>Tabelle13[[#This Row],[commits]]/Tabelle13[[#Totals],[commits]]</f>
        <v>4.6477904404246225E-6</v>
      </c>
      <c r="I6215" s="5">
        <f>Tabelle13[[#This Row],[%]]+I6214</f>
        <v>0.98683745747265539</v>
      </c>
      <c r="J6215" s="4">
        <f t="shared" si="227"/>
        <v>1.105583195135434E-4</v>
      </c>
      <c r="K6215" s="5">
        <f t="shared" si="228"/>
        <v>0.68689883913772087</v>
      </c>
    </row>
    <row r="6216" spans="1:11" x14ac:dyDescent="0.25">
      <c r="A6216" t="s">
        <v>7205</v>
      </c>
      <c r="C6216" t="s">
        <v>532</v>
      </c>
      <c r="D6216" t="s">
        <v>5</v>
      </c>
      <c r="E6216" t="s">
        <v>6</v>
      </c>
      <c r="F6216" t="s">
        <v>28</v>
      </c>
      <c r="G6216">
        <v>1</v>
      </c>
      <c r="H6216" s="2">
        <f>Tabelle13[[#This Row],[commits]]/Tabelle13[[#Totals],[commits]]</f>
        <v>4.6477904404246225E-6</v>
      </c>
      <c r="I6216" s="5">
        <f>Tabelle13[[#This Row],[%]]+I6215</f>
        <v>0.98684210526309579</v>
      </c>
      <c r="J6216" s="4">
        <f t="shared" si="227"/>
        <v>1.105583195135434E-4</v>
      </c>
      <c r="K6216" s="5">
        <f t="shared" si="228"/>
        <v>0.68700939745723444</v>
      </c>
    </row>
    <row r="6217" spans="1:11" x14ac:dyDescent="0.25">
      <c r="A6217" t="s">
        <v>7206</v>
      </c>
      <c r="C6217" t="s">
        <v>7207</v>
      </c>
      <c r="D6217" t="s">
        <v>5</v>
      </c>
      <c r="E6217" t="s">
        <v>6</v>
      </c>
      <c r="F6217" t="s">
        <v>28</v>
      </c>
      <c r="G6217">
        <v>1</v>
      </c>
      <c r="H6217" s="2">
        <f>Tabelle13[[#This Row],[commits]]/Tabelle13[[#Totals],[commits]]</f>
        <v>4.6477904404246225E-6</v>
      </c>
      <c r="I6217" s="5">
        <f>Tabelle13[[#This Row],[%]]+I6216</f>
        <v>0.9868467530535362</v>
      </c>
      <c r="J6217" s="4">
        <f t="shared" si="227"/>
        <v>1.105583195135434E-4</v>
      </c>
      <c r="K6217" s="5">
        <f t="shared" si="228"/>
        <v>0.687119955776748</v>
      </c>
    </row>
    <row r="6218" spans="1:11" x14ac:dyDescent="0.25">
      <c r="A6218" t="s">
        <v>7208</v>
      </c>
      <c r="C6218" t="s">
        <v>7209</v>
      </c>
      <c r="D6218" t="s">
        <v>5</v>
      </c>
      <c r="E6218" t="s">
        <v>6</v>
      </c>
      <c r="F6218" t="s">
        <v>28</v>
      </c>
      <c r="G6218">
        <v>1</v>
      </c>
      <c r="H6218" s="2">
        <f>Tabelle13[[#This Row],[commits]]/Tabelle13[[#Totals],[commits]]</f>
        <v>4.6477904404246225E-6</v>
      </c>
      <c r="I6218" s="5">
        <f>Tabelle13[[#This Row],[%]]+I6217</f>
        <v>0.9868514008439766</v>
      </c>
      <c r="J6218" s="4">
        <f t="shared" si="227"/>
        <v>1.105583195135434E-4</v>
      </c>
      <c r="K6218" s="5">
        <f t="shared" si="228"/>
        <v>0.68723051409626157</v>
      </c>
    </row>
    <row r="6219" spans="1:11" x14ac:dyDescent="0.25">
      <c r="A6219" t="s">
        <v>7210</v>
      </c>
      <c r="C6219" t="s">
        <v>7211</v>
      </c>
      <c r="D6219" t="s">
        <v>5</v>
      </c>
      <c r="E6219" t="s">
        <v>6</v>
      </c>
      <c r="F6219" t="s">
        <v>28</v>
      </c>
      <c r="G6219">
        <v>1</v>
      </c>
      <c r="H6219" s="2">
        <f>Tabelle13[[#This Row],[commits]]/Tabelle13[[#Totals],[commits]]</f>
        <v>4.6477904404246225E-6</v>
      </c>
      <c r="I6219" s="5">
        <f>Tabelle13[[#This Row],[%]]+I6218</f>
        <v>0.986856048634417</v>
      </c>
      <c r="J6219" s="4">
        <f t="shared" si="227"/>
        <v>1.105583195135434E-4</v>
      </c>
      <c r="K6219" s="5">
        <f t="shared" si="228"/>
        <v>0.68734107241577513</v>
      </c>
    </row>
    <row r="6220" spans="1:11" x14ac:dyDescent="0.25">
      <c r="A6220" t="s">
        <v>7212</v>
      </c>
      <c r="C6220" t="s">
        <v>7213</v>
      </c>
      <c r="D6220" t="s">
        <v>5</v>
      </c>
      <c r="E6220" t="s">
        <v>6</v>
      </c>
      <c r="F6220" t="s">
        <v>28</v>
      </c>
      <c r="G6220">
        <v>1</v>
      </c>
      <c r="H6220" s="2">
        <f>Tabelle13[[#This Row],[commits]]/Tabelle13[[#Totals],[commits]]</f>
        <v>4.6477904404246225E-6</v>
      </c>
      <c r="I6220" s="5">
        <f>Tabelle13[[#This Row],[%]]+I6219</f>
        <v>0.98686069642485741</v>
      </c>
      <c r="J6220" s="4">
        <f t="shared" si="227"/>
        <v>1.105583195135434E-4</v>
      </c>
      <c r="K6220" s="5">
        <f t="shared" si="228"/>
        <v>0.6874516307352887</v>
      </c>
    </row>
    <row r="6221" spans="1:11" x14ac:dyDescent="0.25">
      <c r="A6221" t="s">
        <v>7214</v>
      </c>
      <c r="C6221" t="s">
        <v>122</v>
      </c>
      <c r="D6221" t="s">
        <v>5</v>
      </c>
      <c r="E6221" t="s">
        <v>6</v>
      </c>
      <c r="F6221" t="s">
        <v>28</v>
      </c>
      <c r="G6221">
        <v>1</v>
      </c>
      <c r="H6221" s="2">
        <f>Tabelle13[[#This Row],[commits]]/Tabelle13[[#Totals],[commits]]</f>
        <v>4.6477904404246225E-6</v>
      </c>
      <c r="I6221" s="5">
        <f>Tabelle13[[#This Row],[%]]+I6220</f>
        <v>0.98686534421529781</v>
      </c>
      <c r="J6221" s="4">
        <f t="shared" si="227"/>
        <v>1.105583195135434E-4</v>
      </c>
      <c r="K6221" s="5">
        <f t="shared" si="228"/>
        <v>0.68756218905480226</v>
      </c>
    </row>
    <row r="6222" spans="1:11" x14ac:dyDescent="0.25">
      <c r="A6222" t="s">
        <v>7215</v>
      </c>
      <c r="C6222" t="s">
        <v>7216</v>
      </c>
      <c r="D6222" t="s">
        <v>5</v>
      </c>
      <c r="E6222" t="s">
        <v>6</v>
      </c>
      <c r="F6222" t="s">
        <v>28</v>
      </c>
      <c r="G6222">
        <v>1</v>
      </c>
      <c r="H6222" s="2">
        <f>Tabelle13[[#This Row],[commits]]/Tabelle13[[#Totals],[commits]]</f>
        <v>4.6477904404246225E-6</v>
      </c>
      <c r="I6222" s="5">
        <f>Tabelle13[[#This Row],[%]]+I6221</f>
        <v>0.98686999200573822</v>
      </c>
      <c r="J6222" s="4">
        <f t="shared" si="227"/>
        <v>1.105583195135434E-4</v>
      </c>
      <c r="K6222" s="5">
        <f t="shared" si="228"/>
        <v>0.68767274737431583</v>
      </c>
    </row>
    <row r="6223" spans="1:11" x14ac:dyDescent="0.25">
      <c r="A6223" t="s">
        <v>7217</v>
      </c>
      <c r="C6223" t="s">
        <v>7218</v>
      </c>
      <c r="D6223" t="s">
        <v>5</v>
      </c>
      <c r="E6223" t="s">
        <v>6</v>
      </c>
      <c r="F6223" t="s">
        <v>28</v>
      </c>
      <c r="G6223">
        <v>1</v>
      </c>
      <c r="H6223" s="2">
        <f>Tabelle13[[#This Row],[commits]]/Tabelle13[[#Totals],[commits]]</f>
        <v>4.6477904404246225E-6</v>
      </c>
      <c r="I6223" s="5">
        <f>Tabelle13[[#This Row],[%]]+I6222</f>
        <v>0.98687463979617862</v>
      </c>
      <c r="J6223" s="4">
        <f t="shared" si="227"/>
        <v>1.105583195135434E-4</v>
      </c>
      <c r="K6223" s="5">
        <f t="shared" si="228"/>
        <v>0.68778330569382939</v>
      </c>
    </row>
    <row r="6224" spans="1:11" x14ac:dyDescent="0.25">
      <c r="A6224" t="s">
        <v>7219</v>
      </c>
      <c r="C6224" t="s">
        <v>7220</v>
      </c>
      <c r="D6224" t="s">
        <v>5</v>
      </c>
      <c r="E6224" t="s">
        <v>6</v>
      </c>
      <c r="F6224" t="s">
        <v>28</v>
      </c>
      <c r="G6224">
        <v>1</v>
      </c>
      <c r="H6224" s="2">
        <f>Tabelle13[[#This Row],[commits]]/Tabelle13[[#Totals],[commits]]</f>
        <v>4.6477904404246225E-6</v>
      </c>
      <c r="I6224" s="5">
        <f>Tabelle13[[#This Row],[%]]+I6223</f>
        <v>0.98687928758661903</v>
      </c>
      <c r="J6224" s="4">
        <f t="shared" si="227"/>
        <v>1.105583195135434E-4</v>
      </c>
      <c r="K6224" s="5">
        <f t="shared" si="228"/>
        <v>0.68789386401334296</v>
      </c>
    </row>
    <row r="6225" spans="1:11" x14ac:dyDescent="0.25">
      <c r="A6225" t="s">
        <v>7221</v>
      </c>
      <c r="C6225" t="s">
        <v>7222</v>
      </c>
      <c r="D6225" t="s">
        <v>5</v>
      </c>
      <c r="E6225" t="s">
        <v>6</v>
      </c>
      <c r="F6225" t="s">
        <v>28</v>
      </c>
      <c r="G6225">
        <v>1</v>
      </c>
      <c r="H6225" s="2">
        <f>Tabelle13[[#This Row],[commits]]/Tabelle13[[#Totals],[commits]]</f>
        <v>4.6477904404246225E-6</v>
      </c>
      <c r="I6225" s="5">
        <f>Tabelle13[[#This Row],[%]]+I6224</f>
        <v>0.98688393537705943</v>
      </c>
      <c r="J6225" s="4">
        <f t="shared" si="227"/>
        <v>1.105583195135434E-4</v>
      </c>
      <c r="K6225" s="5">
        <f t="shared" si="228"/>
        <v>0.68800442233285652</v>
      </c>
    </row>
    <row r="6226" spans="1:11" x14ac:dyDescent="0.25">
      <c r="A6226" t="s">
        <v>7223</v>
      </c>
      <c r="C6226" t="s">
        <v>7224</v>
      </c>
      <c r="D6226" t="s">
        <v>5</v>
      </c>
      <c r="E6226" t="s">
        <v>6</v>
      </c>
      <c r="F6226" t="s">
        <v>28</v>
      </c>
      <c r="G6226">
        <v>1</v>
      </c>
      <c r="H6226" s="2">
        <f>Tabelle13[[#This Row],[commits]]/Tabelle13[[#Totals],[commits]]</f>
        <v>4.6477904404246225E-6</v>
      </c>
      <c r="I6226" s="5">
        <f>Tabelle13[[#This Row],[%]]+I6225</f>
        <v>0.98688858316749983</v>
      </c>
      <c r="J6226" s="4">
        <f t="shared" si="227"/>
        <v>1.105583195135434E-4</v>
      </c>
      <c r="K6226" s="5">
        <f t="shared" si="228"/>
        <v>0.68811498065237009</v>
      </c>
    </row>
    <row r="6227" spans="1:11" x14ac:dyDescent="0.25">
      <c r="A6227" t="s">
        <v>7225</v>
      </c>
      <c r="C6227" t="s">
        <v>7226</v>
      </c>
      <c r="D6227" t="s">
        <v>5</v>
      </c>
      <c r="E6227" t="s">
        <v>6</v>
      </c>
      <c r="F6227" t="s">
        <v>251</v>
      </c>
      <c r="G6227">
        <v>1</v>
      </c>
      <c r="H6227" s="2">
        <f>Tabelle13[[#This Row],[commits]]/Tabelle13[[#Totals],[commits]]</f>
        <v>4.6477904404246225E-6</v>
      </c>
      <c r="I6227" s="5">
        <f>Tabelle13[[#This Row],[%]]+I6226</f>
        <v>0.98689323095794024</v>
      </c>
      <c r="J6227" s="4">
        <f t="shared" si="227"/>
        <v>1.105583195135434E-4</v>
      </c>
      <c r="K6227" s="5">
        <f t="shared" si="228"/>
        <v>0.68822553897188365</v>
      </c>
    </row>
    <row r="6228" spans="1:11" x14ac:dyDescent="0.25">
      <c r="A6228" t="s">
        <v>7227</v>
      </c>
      <c r="C6228" t="s">
        <v>7228</v>
      </c>
      <c r="D6228" t="s">
        <v>5</v>
      </c>
      <c r="E6228" t="s">
        <v>6</v>
      </c>
      <c r="F6228" t="s">
        <v>28</v>
      </c>
      <c r="G6228">
        <v>1</v>
      </c>
      <c r="H6228" s="2">
        <f>Tabelle13[[#This Row],[commits]]/Tabelle13[[#Totals],[commits]]</f>
        <v>4.6477904404246225E-6</v>
      </c>
      <c r="I6228" s="5">
        <f>Tabelle13[[#This Row],[%]]+I6227</f>
        <v>0.98689787874838064</v>
      </c>
      <c r="J6228" s="4">
        <f t="shared" si="227"/>
        <v>1.105583195135434E-4</v>
      </c>
      <c r="K6228" s="5">
        <f t="shared" si="228"/>
        <v>0.68833609729139722</v>
      </c>
    </row>
    <row r="6229" spans="1:11" x14ac:dyDescent="0.25">
      <c r="A6229" t="s">
        <v>7229</v>
      </c>
      <c r="C6229" t="s">
        <v>7230</v>
      </c>
      <c r="D6229" t="s">
        <v>5</v>
      </c>
      <c r="E6229" t="s">
        <v>6</v>
      </c>
      <c r="F6229" t="s">
        <v>28</v>
      </c>
      <c r="G6229">
        <v>1</v>
      </c>
      <c r="H6229" s="2">
        <f>Tabelle13[[#This Row],[commits]]/Tabelle13[[#Totals],[commits]]</f>
        <v>4.6477904404246225E-6</v>
      </c>
      <c r="I6229" s="5">
        <f>Tabelle13[[#This Row],[%]]+I6228</f>
        <v>0.98690252653882105</v>
      </c>
      <c r="J6229" s="4">
        <f t="shared" si="227"/>
        <v>1.105583195135434E-4</v>
      </c>
      <c r="K6229" s="5">
        <f t="shared" si="228"/>
        <v>0.68844665561091078</v>
      </c>
    </row>
    <row r="6230" spans="1:11" x14ac:dyDescent="0.25">
      <c r="A6230" t="s">
        <v>7231</v>
      </c>
      <c r="C6230" t="s">
        <v>7232</v>
      </c>
      <c r="D6230" t="s">
        <v>5</v>
      </c>
      <c r="E6230" t="s">
        <v>6</v>
      </c>
      <c r="F6230" t="s">
        <v>28</v>
      </c>
      <c r="G6230">
        <v>1</v>
      </c>
      <c r="H6230" s="2">
        <f>Tabelle13[[#This Row],[commits]]/Tabelle13[[#Totals],[commits]]</f>
        <v>4.6477904404246225E-6</v>
      </c>
      <c r="I6230" s="5">
        <f>Tabelle13[[#This Row],[%]]+I6229</f>
        <v>0.98690717432926145</v>
      </c>
      <c r="J6230" s="4">
        <f t="shared" si="227"/>
        <v>1.105583195135434E-4</v>
      </c>
      <c r="K6230" s="5">
        <f t="shared" si="228"/>
        <v>0.68855721393042435</v>
      </c>
    </row>
    <row r="6231" spans="1:11" x14ac:dyDescent="0.25">
      <c r="A6231" t="s">
        <v>7233</v>
      </c>
      <c r="C6231" t="s">
        <v>7234</v>
      </c>
      <c r="D6231" t="s">
        <v>5</v>
      </c>
      <c r="E6231" t="s">
        <v>6</v>
      </c>
      <c r="F6231" t="s">
        <v>28</v>
      </c>
      <c r="G6231">
        <v>1</v>
      </c>
      <c r="H6231" s="2">
        <f>Tabelle13[[#This Row],[commits]]/Tabelle13[[#Totals],[commits]]</f>
        <v>4.6477904404246225E-6</v>
      </c>
      <c r="I6231" s="5">
        <f>Tabelle13[[#This Row],[%]]+I6230</f>
        <v>0.98691182211970185</v>
      </c>
      <c r="J6231" s="4">
        <f t="shared" si="227"/>
        <v>1.105583195135434E-4</v>
      </c>
      <c r="K6231" s="5">
        <f t="shared" si="228"/>
        <v>0.68866777224993792</v>
      </c>
    </row>
    <row r="6232" spans="1:11" x14ac:dyDescent="0.25">
      <c r="A6232" t="s">
        <v>7237</v>
      </c>
      <c r="C6232" t="s">
        <v>7238</v>
      </c>
      <c r="D6232" t="s">
        <v>5</v>
      </c>
      <c r="E6232" t="s">
        <v>6</v>
      </c>
      <c r="F6232" t="s">
        <v>28</v>
      </c>
      <c r="G6232">
        <v>1</v>
      </c>
      <c r="H6232" s="2">
        <f>Tabelle13[[#This Row],[commits]]/Tabelle13[[#Totals],[commits]]</f>
        <v>4.6477904404246225E-6</v>
      </c>
      <c r="I6232" s="5">
        <f>Tabelle13[[#This Row],[%]]+I6231</f>
        <v>0.98691646991014226</v>
      </c>
      <c r="J6232" s="4">
        <f t="shared" si="227"/>
        <v>1.105583195135434E-4</v>
      </c>
      <c r="K6232" s="5">
        <f t="shared" si="228"/>
        <v>0.68877833056945148</v>
      </c>
    </row>
    <row r="6233" spans="1:11" x14ac:dyDescent="0.25">
      <c r="A6233" t="s">
        <v>7239</v>
      </c>
      <c r="C6233" t="s">
        <v>7240</v>
      </c>
      <c r="D6233" t="s">
        <v>5</v>
      </c>
      <c r="E6233" t="s">
        <v>6</v>
      </c>
      <c r="F6233" t="s">
        <v>28</v>
      </c>
      <c r="G6233">
        <v>1</v>
      </c>
      <c r="H6233" s="2">
        <f>Tabelle13[[#This Row],[commits]]/Tabelle13[[#Totals],[commits]]</f>
        <v>4.6477904404246225E-6</v>
      </c>
      <c r="I6233" s="5">
        <f>Tabelle13[[#This Row],[%]]+I6232</f>
        <v>0.98692111770058266</v>
      </c>
      <c r="J6233" s="4">
        <f t="shared" si="227"/>
        <v>1.105583195135434E-4</v>
      </c>
      <c r="K6233" s="5">
        <f t="shared" si="228"/>
        <v>0.68888888888896505</v>
      </c>
    </row>
    <row r="6234" spans="1:11" x14ac:dyDescent="0.25">
      <c r="A6234" t="s">
        <v>7241</v>
      </c>
      <c r="C6234" t="s">
        <v>7242</v>
      </c>
      <c r="D6234" t="s">
        <v>5</v>
      </c>
      <c r="E6234" t="s">
        <v>6</v>
      </c>
      <c r="F6234" t="s">
        <v>28</v>
      </c>
      <c r="G6234">
        <v>1</v>
      </c>
      <c r="H6234" s="2">
        <f>Tabelle13[[#This Row],[commits]]/Tabelle13[[#Totals],[commits]]</f>
        <v>4.6477904404246225E-6</v>
      </c>
      <c r="I6234" s="5">
        <f>Tabelle13[[#This Row],[%]]+I6233</f>
        <v>0.98692576549102307</v>
      </c>
      <c r="J6234" s="4">
        <f t="shared" si="227"/>
        <v>1.105583195135434E-4</v>
      </c>
      <c r="K6234" s="5">
        <f t="shared" si="228"/>
        <v>0.68899944720847861</v>
      </c>
    </row>
    <row r="6235" spans="1:11" x14ac:dyDescent="0.25">
      <c r="A6235" t="s">
        <v>7243</v>
      </c>
      <c r="C6235" t="s">
        <v>7244</v>
      </c>
      <c r="D6235" t="s">
        <v>5</v>
      </c>
      <c r="E6235" t="s">
        <v>6</v>
      </c>
      <c r="F6235" t="s">
        <v>28</v>
      </c>
      <c r="G6235">
        <v>1</v>
      </c>
      <c r="H6235" s="2">
        <f>Tabelle13[[#This Row],[commits]]/Tabelle13[[#Totals],[commits]]</f>
        <v>4.6477904404246225E-6</v>
      </c>
      <c r="I6235" s="5">
        <f>Tabelle13[[#This Row],[%]]+I6234</f>
        <v>0.98693041328146347</v>
      </c>
      <c r="J6235" s="4">
        <f t="shared" si="227"/>
        <v>1.105583195135434E-4</v>
      </c>
      <c r="K6235" s="5">
        <f t="shared" si="228"/>
        <v>0.68911000552799218</v>
      </c>
    </row>
    <row r="6236" spans="1:11" x14ac:dyDescent="0.25">
      <c r="A6236" t="s">
        <v>7245</v>
      </c>
      <c r="C6236" t="s">
        <v>362</v>
      </c>
      <c r="D6236" t="s">
        <v>5</v>
      </c>
      <c r="E6236" t="s">
        <v>6</v>
      </c>
      <c r="F6236" t="s">
        <v>28</v>
      </c>
      <c r="G6236">
        <v>1</v>
      </c>
      <c r="H6236" s="2">
        <f>Tabelle13[[#This Row],[commits]]/Tabelle13[[#Totals],[commits]]</f>
        <v>4.6477904404246225E-6</v>
      </c>
      <c r="I6236" s="5">
        <f>Tabelle13[[#This Row],[%]]+I6235</f>
        <v>0.98693506107190387</v>
      </c>
      <c r="J6236" s="4">
        <f t="shared" si="227"/>
        <v>1.105583195135434E-4</v>
      </c>
      <c r="K6236" s="5">
        <f t="shared" si="228"/>
        <v>0.68922056384750574</v>
      </c>
    </row>
    <row r="6237" spans="1:11" x14ac:dyDescent="0.25">
      <c r="A6237" t="s">
        <v>7246</v>
      </c>
      <c r="C6237" t="s">
        <v>7247</v>
      </c>
      <c r="D6237" t="s">
        <v>5</v>
      </c>
      <c r="E6237" t="s">
        <v>6</v>
      </c>
      <c r="F6237" t="s">
        <v>28</v>
      </c>
      <c r="G6237">
        <v>1</v>
      </c>
      <c r="H6237" s="2">
        <f>Tabelle13[[#This Row],[commits]]/Tabelle13[[#Totals],[commits]]</f>
        <v>4.6477904404246225E-6</v>
      </c>
      <c r="I6237" s="5">
        <f>Tabelle13[[#This Row],[%]]+I6236</f>
        <v>0.98693970886234428</v>
      </c>
      <c r="J6237" s="4">
        <f t="shared" si="227"/>
        <v>1.105583195135434E-4</v>
      </c>
      <c r="K6237" s="5">
        <f t="shared" si="228"/>
        <v>0.68933112216701931</v>
      </c>
    </row>
    <row r="6238" spans="1:11" x14ac:dyDescent="0.25">
      <c r="A6238" t="s">
        <v>7248</v>
      </c>
      <c r="C6238" t="s">
        <v>7249</v>
      </c>
      <c r="D6238" t="s">
        <v>5</v>
      </c>
      <c r="E6238" t="s">
        <v>6</v>
      </c>
      <c r="F6238" t="s">
        <v>28</v>
      </c>
      <c r="G6238">
        <v>1</v>
      </c>
      <c r="H6238" s="2">
        <f>Tabelle13[[#This Row],[commits]]/Tabelle13[[#Totals],[commits]]</f>
        <v>4.6477904404246225E-6</v>
      </c>
      <c r="I6238" s="5">
        <f>Tabelle13[[#This Row],[%]]+I6237</f>
        <v>0.98694435665278468</v>
      </c>
      <c r="J6238" s="4">
        <f t="shared" si="227"/>
        <v>1.105583195135434E-4</v>
      </c>
      <c r="K6238" s="5">
        <f t="shared" si="228"/>
        <v>0.68944168048653287</v>
      </c>
    </row>
    <row r="6239" spans="1:11" x14ac:dyDescent="0.25">
      <c r="A6239" t="s">
        <v>7250</v>
      </c>
      <c r="C6239" t="s">
        <v>2220</v>
      </c>
      <c r="D6239" t="s">
        <v>5</v>
      </c>
      <c r="E6239" t="s">
        <v>6</v>
      </c>
      <c r="F6239" t="s">
        <v>28</v>
      </c>
      <c r="G6239">
        <v>1</v>
      </c>
      <c r="H6239" s="2">
        <f>Tabelle13[[#This Row],[commits]]/Tabelle13[[#Totals],[commits]]</f>
        <v>4.6477904404246225E-6</v>
      </c>
      <c r="I6239" s="5">
        <f>Tabelle13[[#This Row],[%]]+I6238</f>
        <v>0.98694900444322509</v>
      </c>
      <c r="J6239" s="4">
        <f t="shared" si="227"/>
        <v>1.105583195135434E-4</v>
      </c>
      <c r="K6239" s="5">
        <f t="shared" si="228"/>
        <v>0.68955223880604644</v>
      </c>
    </row>
    <row r="6240" spans="1:11" x14ac:dyDescent="0.25">
      <c r="A6240" t="s">
        <v>7251</v>
      </c>
      <c r="C6240" t="s">
        <v>7252</v>
      </c>
      <c r="D6240" t="s">
        <v>7253</v>
      </c>
      <c r="E6240" t="s">
        <v>6</v>
      </c>
      <c r="F6240" t="s">
        <v>28</v>
      </c>
      <c r="G6240">
        <v>1</v>
      </c>
      <c r="H6240" s="2">
        <f>Tabelle13[[#This Row],[commits]]/Tabelle13[[#Totals],[commits]]</f>
        <v>4.6477904404246225E-6</v>
      </c>
      <c r="I6240" s="5">
        <f>Tabelle13[[#This Row],[%]]+I6239</f>
        <v>0.98695365223366549</v>
      </c>
      <c r="J6240" s="4">
        <f t="shared" si="227"/>
        <v>1.105583195135434E-4</v>
      </c>
      <c r="K6240" s="5">
        <f t="shared" si="228"/>
        <v>0.68966279712556</v>
      </c>
    </row>
    <row r="6241" spans="1:11" x14ac:dyDescent="0.25">
      <c r="A6241" t="s">
        <v>7254</v>
      </c>
      <c r="C6241" t="s">
        <v>7255</v>
      </c>
      <c r="D6241" t="s">
        <v>5</v>
      </c>
      <c r="E6241" t="s">
        <v>6</v>
      </c>
      <c r="F6241" t="s">
        <v>28</v>
      </c>
      <c r="G6241">
        <v>1</v>
      </c>
      <c r="H6241" s="2">
        <f>Tabelle13[[#This Row],[commits]]/Tabelle13[[#Totals],[commits]]</f>
        <v>4.6477904404246225E-6</v>
      </c>
      <c r="I6241" s="5">
        <f>Tabelle13[[#This Row],[%]]+I6240</f>
        <v>0.98695830002410589</v>
      </c>
      <c r="J6241" s="4">
        <f t="shared" si="227"/>
        <v>1.105583195135434E-4</v>
      </c>
      <c r="K6241" s="5">
        <f t="shared" si="228"/>
        <v>0.68977335544507357</v>
      </c>
    </row>
    <row r="6242" spans="1:11" x14ac:dyDescent="0.25">
      <c r="A6242" t="s">
        <v>7256</v>
      </c>
      <c r="C6242" t="s">
        <v>7257</v>
      </c>
      <c r="D6242" t="s">
        <v>5</v>
      </c>
      <c r="E6242" t="s">
        <v>6</v>
      </c>
      <c r="F6242" t="s">
        <v>28</v>
      </c>
      <c r="G6242">
        <v>1</v>
      </c>
      <c r="H6242" s="2">
        <f>Tabelle13[[#This Row],[commits]]/Tabelle13[[#Totals],[commits]]</f>
        <v>4.6477904404246225E-6</v>
      </c>
      <c r="I6242" s="5">
        <f>Tabelle13[[#This Row],[%]]+I6241</f>
        <v>0.9869629478145463</v>
      </c>
      <c r="J6242" s="4">
        <f t="shared" si="227"/>
        <v>1.105583195135434E-4</v>
      </c>
      <c r="K6242" s="5">
        <f t="shared" si="228"/>
        <v>0.68988391376458713</v>
      </c>
    </row>
    <row r="6243" spans="1:11" x14ac:dyDescent="0.25">
      <c r="A6243" t="s">
        <v>7258</v>
      </c>
      <c r="C6243" t="s">
        <v>7259</v>
      </c>
      <c r="D6243" t="s">
        <v>5</v>
      </c>
      <c r="E6243" t="s">
        <v>6</v>
      </c>
      <c r="F6243" t="s">
        <v>28</v>
      </c>
      <c r="G6243">
        <v>1</v>
      </c>
      <c r="H6243" s="2">
        <f>Tabelle13[[#This Row],[commits]]/Tabelle13[[#Totals],[commits]]</f>
        <v>4.6477904404246225E-6</v>
      </c>
      <c r="I6243" s="5">
        <f>Tabelle13[[#This Row],[%]]+I6242</f>
        <v>0.9869675956049867</v>
      </c>
      <c r="J6243" s="4">
        <f t="shared" si="227"/>
        <v>1.105583195135434E-4</v>
      </c>
      <c r="K6243" s="5">
        <f t="shared" si="228"/>
        <v>0.6899944720841007</v>
      </c>
    </row>
    <row r="6244" spans="1:11" x14ac:dyDescent="0.25">
      <c r="A6244" t="s">
        <v>7260</v>
      </c>
      <c r="C6244" t="s">
        <v>7261</v>
      </c>
      <c r="D6244" t="s">
        <v>5</v>
      </c>
      <c r="E6244" t="s">
        <v>6</v>
      </c>
      <c r="F6244" t="s">
        <v>28</v>
      </c>
      <c r="G6244">
        <v>1</v>
      </c>
      <c r="H6244" s="2">
        <f>Tabelle13[[#This Row],[commits]]/Tabelle13[[#Totals],[commits]]</f>
        <v>4.6477904404246225E-6</v>
      </c>
      <c r="I6244" s="5">
        <f>Tabelle13[[#This Row],[%]]+I6243</f>
        <v>0.98697224339542711</v>
      </c>
      <c r="J6244" s="4">
        <f t="shared" si="227"/>
        <v>1.105583195135434E-4</v>
      </c>
      <c r="K6244" s="5">
        <f t="shared" si="228"/>
        <v>0.69010503040361426</v>
      </c>
    </row>
    <row r="6245" spans="1:11" x14ac:dyDescent="0.25">
      <c r="A6245" t="s">
        <v>7262</v>
      </c>
      <c r="C6245" t="s">
        <v>7263</v>
      </c>
      <c r="D6245" t="s">
        <v>5</v>
      </c>
      <c r="E6245" t="s">
        <v>6</v>
      </c>
      <c r="F6245" t="s">
        <v>28</v>
      </c>
      <c r="G6245">
        <v>1</v>
      </c>
      <c r="H6245" s="2">
        <f>Tabelle13[[#This Row],[commits]]/Tabelle13[[#Totals],[commits]]</f>
        <v>4.6477904404246225E-6</v>
      </c>
      <c r="I6245" s="5">
        <f>Tabelle13[[#This Row],[%]]+I6244</f>
        <v>0.98697689118586751</v>
      </c>
      <c r="J6245" s="4">
        <f t="shared" si="227"/>
        <v>1.105583195135434E-4</v>
      </c>
      <c r="K6245" s="5">
        <f t="shared" si="228"/>
        <v>0.69021558872312783</v>
      </c>
    </row>
    <row r="6246" spans="1:11" x14ac:dyDescent="0.25">
      <c r="A6246" t="s">
        <v>7264</v>
      </c>
      <c r="C6246" t="s">
        <v>7265</v>
      </c>
      <c r="D6246" t="s">
        <v>5</v>
      </c>
      <c r="E6246" t="s">
        <v>6</v>
      </c>
      <c r="F6246" t="s">
        <v>28</v>
      </c>
      <c r="G6246">
        <v>1</v>
      </c>
      <c r="H6246" s="2">
        <f>Tabelle13[[#This Row],[commits]]/Tabelle13[[#Totals],[commits]]</f>
        <v>4.6477904404246225E-6</v>
      </c>
      <c r="I6246" s="5">
        <f>Tabelle13[[#This Row],[%]]+I6245</f>
        <v>0.98698153897630791</v>
      </c>
      <c r="J6246" s="4">
        <f t="shared" si="227"/>
        <v>1.105583195135434E-4</v>
      </c>
      <c r="K6246" s="5">
        <f t="shared" si="228"/>
        <v>0.69032614704264139</v>
      </c>
    </row>
    <row r="6247" spans="1:11" x14ac:dyDescent="0.25">
      <c r="A6247" t="s">
        <v>7266</v>
      </c>
      <c r="C6247" t="s">
        <v>7267</v>
      </c>
      <c r="D6247" t="s">
        <v>5</v>
      </c>
      <c r="E6247" t="s">
        <v>6</v>
      </c>
      <c r="F6247" t="s">
        <v>28</v>
      </c>
      <c r="G6247">
        <v>1</v>
      </c>
      <c r="H6247" s="2">
        <f>Tabelle13[[#This Row],[commits]]/Tabelle13[[#Totals],[commits]]</f>
        <v>4.6477904404246225E-6</v>
      </c>
      <c r="I6247" s="5">
        <f>Tabelle13[[#This Row],[%]]+I6246</f>
        <v>0.98698618676674832</v>
      </c>
      <c r="J6247" s="4">
        <f t="shared" si="227"/>
        <v>1.105583195135434E-4</v>
      </c>
      <c r="K6247" s="5">
        <f t="shared" si="228"/>
        <v>0.69043670536215496</v>
      </c>
    </row>
    <row r="6248" spans="1:11" x14ac:dyDescent="0.25">
      <c r="A6248" t="s">
        <v>7268</v>
      </c>
      <c r="C6248" t="s">
        <v>7269</v>
      </c>
      <c r="D6248" t="s">
        <v>5</v>
      </c>
      <c r="E6248" t="s">
        <v>6</v>
      </c>
      <c r="F6248" t="s">
        <v>28</v>
      </c>
      <c r="G6248">
        <v>1</v>
      </c>
      <c r="H6248" s="2">
        <f>Tabelle13[[#This Row],[commits]]/Tabelle13[[#Totals],[commits]]</f>
        <v>4.6477904404246225E-6</v>
      </c>
      <c r="I6248" s="5">
        <f>Tabelle13[[#This Row],[%]]+I6247</f>
        <v>0.98699083455718872</v>
      </c>
      <c r="J6248" s="4">
        <f t="shared" si="227"/>
        <v>1.105583195135434E-4</v>
      </c>
      <c r="K6248" s="5">
        <f t="shared" si="228"/>
        <v>0.69054726368166852</v>
      </c>
    </row>
    <row r="6249" spans="1:11" x14ac:dyDescent="0.25">
      <c r="A6249" t="s">
        <v>7270</v>
      </c>
      <c r="C6249" t="s">
        <v>7271</v>
      </c>
      <c r="D6249" t="s">
        <v>5</v>
      </c>
      <c r="E6249" t="s">
        <v>6</v>
      </c>
      <c r="F6249" t="s">
        <v>28</v>
      </c>
      <c r="G6249">
        <v>1</v>
      </c>
      <c r="H6249" s="2">
        <f>Tabelle13[[#This Row],[commits]]/Tabelle13[[#Totals],[commits]]</f>
        <v>4.6477904404246225E-6</v>
      </c>
      <c r="I6249" s="5">
        <f>Tabelle13[[#This Row],[%]]+I6248</f>
        <v>0.98699548234762913</v>
      </c>
      <c r="J6249" s="4">
        <f t="shared" si="227"/>
        <v>1.105583195135434E-4</v>
      </c>
      <c r="K6249" s="5">
        <f t="shared" si="228"/>
        <v>0.69065782200118209</v>
      </c>
    </row>
    <row r="6250" spans="1:11" x14ac:dyDescent="0.25">
      <c r="A6250" t="s">
        <v>7272</v>
      </c>
      <c r="C6250" t="s">
        <v>7273</v>
      </c>
      <c r="D6250" t="s">
        <v>5</v>
      </c>
      <c r="E6250" t="s">
        <v>6</v>
      </c>
      <c r="F6250" t="s">
        <v>28</v>
      </c>
      <c r="G6250">
        <v>1</v>
      </c>
      <c r="H6250" s="2">
        <f>Tabelle13[[#This Row],[commits]]/Tabelle13[[#Totals],[commits]]</f>
        <v>4.6477904404246225E-6</v>
      </c>
      <c r="I6250" s="5">
        <f>Tabelle13[[#This Row],[%]]+I6249</f>
        <v>0.98700013013806953</v>
      </c>
      <c r="J6250" s="4">
        <f t="shared" si="227"/>
        <v>1.105583195135434E-4</v>
      </c>
      <c r="K6250" s="5">
        <f t="shared" si="228"/>
        <v>0.69076838032069565</v>
      </c>
    </row>
    <row r="6251" spans="1:11" x14ac:dyDescent="0.25">
      <c r="A6251" t="s">
        <v>7274</v>
      </c>
      <c r="C6251" t="s">
        <v>7275</v>
      </c>
      <c r="D6251" t="s">
        <v>5</v>
      </c>
      <c r="E6251" t="s">
        <v>6</v>
      </c>
      <c r="F6251" t="s">
        <v>28</v>
      </c>
      <c r="G6251">
        <v>1</v>
      </c>
      <c r="H6251" s="2">
        <f>Tabelle13[[#This Row],[commits]]/Tabelle13[[#Totals],[commits]]</f>
        <v>4.6477904404246225E-6</v>
      </c>
      <c r="I6251" s="5">
        <f>Tabelle13[[#This Row],[%]]+I6250</f>
        <v>0.98700477792850994</v>
      </c>
      <c r="J6251" s="4">
        <f t="shared" si="227"/>
        <v>1.105583195135434E-4</v>
      </c>
      <c r="K6251" s="5">
        <f t="shared" si="228"/>
        <v>0.69087893864020922</v>
      </c>
    </row>
    <row r="6252" spans="1:11" x14ac:dyDescent="0.25">
      <c r="A6252" t="s">
        <v>7276</v>
      </c>
      <c r="C6252" t="s">
        <v>161</v>
      </c>
      <c r="D6252" t="s">
        <v>5</v>
      </c>
      <c r="E6252" t="s">
        <v>6</v>
      </c>
      <c r="F6252" t="s">
        <v>28</v>
      </c>
      <c r="G6252">
        <v>1</v>
      </c>
      <c r="H6252" s="2">
        <f>Tabelle13[[#This Row],[commits]]/Tabelle13[[#Totals],[commits]]</f>
        <v>4.6477904404246225E-6</v>
      </c>
      <c r="I6252" s="5">
        <f>Tabelle13[[#This Row],[%]]+I6251</f>
        <v>0.98700942571895034</v>
      </c>
      <c r="J6252" s="4">
        <f t="shared" si="227"/>
        <v>1.105583195135434E-4</v>
      </c>
      <c r="K6252" s="5">
        <f t="shared" si="228"/>
        <v>0.69098949695972278</v>
      </c>
    </row>
    <row r="6253" spans="1:11" x14ac:dyDescent="0.25">
      <c r="A6253" t="s">
        <v>7277</v>
      </c>
      <c r="C6253" t="s">
        <v>161</v>
      </c>
      <c r="D6253" t="s">
        <v>5</v>
      </c>
      <c r="E6253" t="s">
        <v>6</v>
      </c>
      <c r="F6253" t="s">
        <v>28</v>
      </c>
      <c r="G6253">
        <v>1</v>
      </c>
      <c r="H6253" s="2">
        <f>Tabelle13[[#This Row],[commits]]/Tabelle13[[#Totals],[commits]]</f>
        <v>4.6477904404246225E-6</v>
      </c>
      <c r="I6253" s="5">
        <f>Tabelle13[[#This Row],[%]]+I6252</f>
        <v>0.98701407350939074</v>
      </c>
      <c r="J6253" s="4">
        <f t="shared" si="227"/>
        <v>1.105583195135434E-4</v>
      </c>
      <c r="K6253" s="5">
        <f t="shared" si="228"/>
        <v>0.69110005527923635</v>
      </c>
    </row>
    <row r="6254" spans="1:11" x14ac:dyDescent="0.25">
      <c r="A6254" t="s">
        <v>7278</v>
      </c>
      <c r="C6254" t="s">
        <v>161</v>
      </c>
      <c r="D6254" t="s">
        <v>5</v>
      </c>
      <c r="E6254" t="s">
        <v>6</v>
      </c>
      <c r="F6254" t="s">
        <v>28</v>
      </c>
      <c r="G6254">
        <v>1</v>
      </c>
      <c r="H6254" s="2">
        <f>Tabelle13[[#This Row],[commits]]/Tabelle13[[#Totals],[commits]]</f>
        <v>4.6477904404246225E-6</v>
      </c>
      <c r="I6254" s="5">
        <f>Tabelle13[[#This Row],[%]]+I6253</f>
        <v>0.98701872129983115</v>
      </c>
      <c r="J6254" s="4">
        <f t="shared" si="227"/>
        <v>1.105583195135434E-4</v>
      </c>
      <c r="K6254" s="5">
        <f t="shared" si="228"/>
        <v>0.69121061359874991</v>
      </c>
    </row>
    <row r="6255" spans="1:11" x14ac:dyDescent="0.25">
      <c r="A6255" t="s">
        <v>7279</v>
      </c>
      <c r="C6255" t="s">
        <v>7280</v>
      </c>
      <c r="D6255" t="s">
        <v>5</v>
      </c>
      <c r="E6255" t="s">
        <v>6</v>
      </c>
      <c r="F6255" t="s">
        <v>28</v>
      </c>
      <c r="G6255">
        <v>1</v>
      </c>
      <c r="H6255" s="2">
        <f>Tabelle13[[#This Row],[commits]]/Tabelle13[[#Totals],[commits]]</f>
        <v>4.6477904404246225E-6</v>
      </c>
      <c r="I6255" s="5">
        <f>Tabelle13[[#This Row],[%]]+I6254</f>
        <v>0.98702336909027155</v>
      </c>
      <c r="J6255" s="4">
        <f t="shared" si="227"/>
        <v>1.105583195135434E-4</v>
      </c>
      <c r="K6255" s="5">
        <f t="shared" si="228"/>
        <v>0.69132117191826348</v>
      </c>
    </row>
    <row r="6256" spans="1:11" x14ac:dyDescent="0.25">
      <c r="A6256" t="s">
        <v>7281</v>
      </c>
      <c r="C6256" t="s">
        <v>7282</v>
      </c>
      <c r="D6256" t="s">
        <v>5</v>
      </c>
      <c r="E6256" t="s">
        <v>6</v>
      </c>
      <c r="F6256" t="s">
        <v>28</v>
      </c>
      <c r="G6256">
        <v>1</v>
      </c>
      <c r="H6256" s="2">
        <f>Tabelle13[[#This Row],[commits]]/Tabelle13[[#Totals],[commits]]</f>
        <v>4.6477904404246225E-6</v>
      </c>
      <c r="I6256" s="5">
        <f>Tabelle13[[#This Row],[%]]+I6255</f>
        <v>0.98702801688071196</v>
      </c>
      <c r="J6256" s="4">
        <f t="shared" si="227"/>
        <v>1.105583195135434E-4</v>
      </c>
      <c r="K6256" s="5">
        <f t="shared" si="228"/>
        <v>0.69143173023777704</v>
      </c>
    </row>
    <row r="6257" spans="1:11" x14ac:dyDescent="0.25">
      <c r="A6257" t="s">
        <v>7283</v>
      </c>
      <c r="C6257" t="s">
        <v>7284</v>
      </c>
      <c r="D6257" t="s">
        <v>5</v>
      </c>
      <c r="E6257" t="s">
        <v>6</v>
      </c>
      <c r="F6257" t="s">
        <v>28</v>
      </c>
      <c r="G6257">
        <v>1</v>
      </c>
      <c r="H6257" s="2">
        <f>Tabelle13[[#This Row],[commits]]/Tabelle13[[#Totals],[commits]]</f>
        <v>4.6477904404246225E-6</v>
      </c>
      <c r="I6257" s="5">
        <f>Tabelle13[[#This Row],[%]]+I6256</f>
        <v>0.98703266467115236</v>
      </c>
      <c r="J6257" s="4">
        <f t="shared" si="227"/>
        <v>1.105583195135434E-4</v>
      </c>
      <c r="K6257" s="5">
        <f t="shared" si="228"/>
        <v>0.69154228855729061</v>
      </c>
    </row>
    <row r="6258" spans="1:11" x14ac:dyDescent="0.25">
      <c r="A6258" t="s">
        <v>7285</v>
      </c>
      <c r="C6258" t="s">
        <v>7286</v>
      </c>
      <c r="D6258" t="s">
        <v>5</v>
      </c>
      <c r="E6258" t="s">
        <v>6</v>
      </c>
      <c r="F6258" t="s">
        <v>28</v>
      </c>
      <c r="G6258">
        <v>1</v>
      </c>
      <c r="H6258" s="2">
        <f>Tabelle13[[#This Row],[commits]]/Tabelle13[[#Totals],[commits]]</f>
        <v>4.6477904404246225E-6</v>
      </c>
      <c r="I6258" s="5">
        <f>Tabelle13[[#This Row],[%]]+I6257</f>
        <v>0.98703731246159276</v>
      </c>
      <c r="J6258" s="4">
        <f t="shared" si="227"/>
        <v>1.105583195135434E-4</v>
      </c>
      <c r="K6258" s="5">
        <f t="shared" si="228"/>
        <v>0.69165284687680417</v>
      </c>
    </row>
    <row r="6259" spans="1:11" x14ac:dyDescent="0.25">
      <c r="A6259" t="s">
        <v>7287</v>
      </c>
      <c r="C6259" t="s">
        <v>7288</v>
      </c>
      <c r="D6259" t="s">
        <v>5</v>
      </c>
      <c r="E6259" t="s">
        <v>6</v>
      </c>
      <c r="F6259" t="s">
        <v>28</v>
      </c>
      <c r="G6259">
        <v>1</v>
      </c>
      <c r="H6259" s="2">
        <f>Tabelle13[[#This Row],[commits]]/Tabelle13[[#Totals],[commits]]</f>
        <v>4.6477904404246225E-6</v>
      </c>
      <c r="I6259" s="5">
        <f>Tabelle13[[#This Row],[%]]+I6258</f>
        <v>0.98704196025203317</v>
      </c>
      <c r="J6259" s="4">
        <f t="shared" si="227"/>
        <v>1.105583195135434E-4</v>
      </c>
      <c r="K6259" s="5">
        <f t="shared" si="228"/>
        <v>0.69176340519631774</v>
      </c>
    </row>
    <row r="6260" spans="1:11" x14ac:dyDescent="0.25">
      <c r="A6260" t="s">
        <v>7289</v>
      </c>
      <c r="C6260" t="s">
        <v>7290</v>
      </c>
      <c r="D6260" t="s">
        <v>5</v>
      </c>
      <c r="E6260" t="s">
        <v>6</v>
      </c>
      <c r="F6260" t="s">
        <v>28</v>
      </c>
      <c r="G6260">
        <v>1</v>
      </c>
      <c r="H6260" s="2">
        <f>Tabelle13[[#This Row],[commits]]/Tabelle13[[#Totals],[commits]]</f>
        <v>4.6477904404246225E-6</v>
      </c>
      <c r="I6260" s="5">
        <f>Tabelle13[[#This Row],[%]]+I6259</f>
        <v>0.98704660804247357</v>
      </c>
      <c r="J6260" s="4">
        <f t="shared" si="227"/>
        <v>1.105583195135434E-4</v>
      </c>
      <c r="K6260" s="5">
        <f t="shared" si="228"/>
        <v>0.6918739635158313</v>
      </c>
    </row>
    <row r="6261" spans="1:11" x14ac:dyDescent="0.25">
      <c r="A6261" t="s">
        <v>7291</v>
      </c>
      <c r="C6261" t="s">
        <v>7292</v>
      </c>
      <c r="D6261" t="s">
        <v>5</v>
      </c>
      <c r="E6261" t="s">
        <v>6</v>
      </c>
      <c r="F6261" t="s">
        <v>28</v>
      </c>
      <c r="G6261">
        <v>1</v>
      </c>
      <c r="H6261" s="2">
        <f>Tabelle13[[#This Row],[commits]]/Tabelle13[[#Totals],[commits]]</f>
        <v>4.6477904404246225E-6</v>
      </c>
      <c r="I6261" s="5">
        <f>Tabelle13[[#This Row],[%]]+I6260</f>
        <v>0.98705125583291398</v>
      </c>
      <c r="J6261" s="4">
        <f t="shared" si="227"/>
        <v>1.105583195135434E-4</v>
      </c>
      <c r="K6261" s="5">
        <f t="shared" si="228"/>
        <v>0.69198452183534487</v>
      </c>
    </row>
    <row r="6262" spans="1:11" x14ac:dyDescent="0.25">
      <c r="A6262" t="s">
        <v>7293</v>
      </c>
      <c r="C6262" t="s">
        <v>7294</v>
      </c>
      <c r="D6262" t="s">
        <v>5</v>
      </c>
      <c r="E6262" t="s">
        <v>6</v>
      </c>
      <c r="F6262" t="s">
        <v>28</v>
      </c>
      <c r="G6262">
        <v>1</v>
      </c>
      <c r="H6262" s="2">
        <f>Tabelle13[[#This Row],[commits]]/Tabelle13[[#Totals],[commits]]</f>
        <v>4.6477904404246225E-6</v>
      </c>
      <c r="I6262" s="5">
        <f>Tabelle13[[#This Row],[%]]+I6261</f>
        <v>0.98705590362335438</v>
      </c>
      <c r="J6262" s="4">
        <f t="shared" si="227"/>
        <v>1.105583195135434E-4</v>
      </c>
      <c r="K6262" s="5">
        <f t="shared" si="228"/>
        <v>0.69209508015485843</v>
      </c>
    </row>
    <row r="6263" spans="1:11" x14ac:dyDescent="0.25">
      <c r="A6263" t="s">
        <v>7295</v>
      </c>
      <c r="C6263" t="s">
        <v>7296</v>
      </c>
      <c r="D6263" t="s">
        <v>7297</v>
      </c>
      <c r="E6263" t="s">
        <v>6</v>
      </c>
      <c r="F6263" t="s">
        <v>28</v>
      </c>
      <c r="G6263">
        <v>1</v>
      </c>
      <c r="H6263" s="2">
        <f>Tabelle13[[#This Row],[commits]]/Tabelle13[[#Totals],[commits]]</f>
        <v>4.6477904404246225E-6</v>
      </c>
      <c r="I6263" s="5">
        <f>Tabelle13[[#This Row],[%]]+I6262</f>
        <v>0.98706055141379478</v>
      </c>
      <c r="J6263" s="4">
        <f t="shared" si="227"/>
        <v>1.105583195135434E-4</v>
      </c>
      <c r="K6263" s="5">
        <f t="shared" si="228"/>
        <v>0.692205638474372</v>
      </c>
    </row>
    <row r="6264" spans="1:11" x14ac:dyDescent="0.25">
      <c r="A6264" t="s">
        <v>7298</v>
      </c>
      <c r="C6264" t="s">
        <v>7299</v>
      </c>
      <c r="D6264" t="s">
        <v>5</v>
      </c>
      <c r="E6264" t="s">
        <v>6</v>
      </c>
      <c r="F6264" t="s">
        <v>28</v>
      </c>
      <c r="G6264">
        <v>1</v>
      </c>
      <c r="H6264" s="2">
        <f>Tabelle13[[#This Row],[commits]]/Tabelle13[[#Totals],[commits]]</f>
        <v>4.6477904404246225E-6</v>
      </c>
      <c r="I6264" s="5">
        <f>Tabelle13[[#This Row],[%]]+I6263</f>
        <v>0.98706519920423519</v>
      </c>
      <c r="J6264" s="4">
        <f t="shared" si="227"/>
        <v>1.105583195135434E-4</v>
      </c>
      <c r="K6264" s="5">
        <f t="shared" si="228"/>
        <v>0.69231619679388556</v>
      </c>
    </row>
    <row r="6265" spans="1:11" x14ac:dyDescent="0.25">
      <c r="A6265" t="s">
        <v>7300</v>
      </c>
      <c r="C6265" t="s">
        <v>7301</v>
      </c>
      <c r="D6265" t="s">
        <v>5</v>
      </c>
      <c r="E6265" t="s">
        <v>6</v>
      </c>
      <c r="F6265" t="s">
        <v>28</v>
      </c>
      <c r="G6265">
        <v>1</v>
      </c>
      <c r="H6265" s="2">
        <f>Tabelle13[[#This Row],[commits]]/Tabelle13[[#Totals],[commits]]</f>
        <v>4.6477904404246225E-6</v>
      </c>
      <c r="I6265" s="5">
        <f>Tabelle13[[#This Row],[%]]+I6264</f>
        <v>0.98706984699467559</v>
      </c>
      <c r="J6265" s="4">
        <f t="shared" si="227"/>
        <v>1.105583195135434E-4</v>
      </c>
      <c r="K6265" s="5">
        <f t="shared" si="228"/>
        <v>0.69242675511339913</v>
      </c>
    </row>
    <row r="6266" spans="1:11" x14ac:dyDescent="0.25">
      <c r="A6266" t="s">
        <v>7302</v>
      </c>
      <c r="C6266" t="s">
        <v>1220</v>
      </c>
      <c r="D6266" t="s">
        <v>5</v>
      </c>
      <c r="E6266" t="s">
        <v>6</v>
      </c>
      <c r="F6266" t="s">
        <v>28</v>
      </c>
      <c r="G6266">
        <v>1</v>
      </c>
      <c r="H6266" s="2">
        <f>Tabelle13[[#This Row],[commits]]/Tabelle13[[#Totals],[commits]]</f>
        <v>4.6477904404246225E-6</v>
      </c>
      <c r="I6266" s="5">
        <f>Tabelle13[[#This Row],[%]]+I6265</f>
        <v>0.987074494785116</v>
      </c>
      <c r="J6266" s="4">
        <f t="shared" si="227"/>
        <v>1.105583195135434E-4</v>
      </c>
      <c r="K6266" s="5">
        <f t="shared" si="228"/>
        <v>0.69253731343291269</v>
      </c>
    </row>
    <row r="6267" spans="1:11" x14ac:dyDescent="0.25">
      <c r="A6267" t="s">
        <v>7303</v>
      </c>
      <c r="C6267" t="s">
        <v>7304</v>
      </c>
      <c r="D6267" t="s">
        <v>5</v>
      </c>
      <c r="E6267" t="s">
        <v>6</v>
      </c>
      <c r="F6267" t="s">
        <v>28</v>
      </c>
      <c r="G6267">
        <v>1</v>
      </c>
      <c r="H6267" s="2">
        <f>Tabelle13[[#This Row],[commits]]/Tabelle13[[#Totals],[commits]]</f>
        <v>4.6477904404246225E-6</v>
      </c>
      <c r="I6267" s="5">
        <f>Tabelle13[[#This Row],[%]]+I6266</f>
        <v>0.9870791425755564</v>
      </c>
      <c r="J6267" s="4">
        <f t="shared" si="227"/>
        <v>1.105583195135434E-4</v>
      </c>
      <c r="K6267" s="5">
        <f t="shared" si="228"/>
        <v>0.69264787175242626</v>
      </c>
    </row>
    <row r="6268" spans="1:11" x14ac:dyDescent="0.25">
      <c r="A6268" t="s">
        <v>7305</v>
      </c>
      <c r="C6268" t="s">
        <v>7306</v>
      </c>
      <c r="D6268" t="s">
        <v>5</v>
      </c>
      <c r="E6268" t="s">
        <v>6</v>
      </c>
      <c r="F6268" t="s">
        <v>334</v>
      </c>
      <c r="G6268">
        <v>1</v>
      </c>
      <c r="H6268" s="2">
        <f>Tabelle13[[#This Row],[commits]]/Tabelle13[[#Totals],[commits]]</f>
        <v>4.6477904404246225E-6</v>
      </c>
      <c r="I6268" s="5">
        <f>Tabelle13[[#This Row],[%]]+I6267</f>
        <v>0.9870837903659968</v>
      </c>
      <c r="J6268" s="4">
        <f t="shared" si="227"/>
        <v>1.105583195135434E-4</v>
      </c>
      <c r="K6268" s="5">
        <f t="shared" si="228"/>
        <v>0.69275843007193982</v>
      </c>
    </row>
    <row r="6269" spans="1:11" x14ac:dyDescent="0.25">
      <c r="A6269" t="s">
        <v>7307</v>
      </c>
      <c r="C6269" t="s">
        <v>7308</v>
      </c>
      <c r="D6269" t="s">
        <v>5</v>
      </c>
      <c r="E6269" t="s">
        <v>6</v>
      </c>
      <c r="F6269" t="s">
        <v>28</v>
      </c>
      <c r="G6269">
        <v>1</v>
      </c>
      <c r="H6269" s="2">
        <f>Tabelle13[[#This Row],[commits]]/Tabelle13[[#Totals],[commits]]</f>
        <v>4.6477904404246225E-6</v>
      </c>
      <c r="I6269" s="5">
        <f>Tabelle13[[#This Row],[%]]+I6268</f>
        <v>0.98708843815643721</v>
      </c>
      <c r="J6269" s="4">
        <f t="shared" si="227"/>
        <v>1.105583195135434E-4</v>
      </c>
      <c r="K6269" s="5">
        <f t="shared" si="228"/>
        <v>0.69286898839145339</v>
      </c>
    </row>
    <row r="6270" spans="1:11" x14ac:dyDescent="0.25">
      <c r="A6270" t="s">
        <v>7309</v>
      </c>
      <c r="C6270" t="s">
        <v>7310</v>
      </c>
      <c r="D6270" t="s">
        <v>5</v>
      </c>
      <c r="E6270" t="s">
        <v>6</v>
      </c>
      <c r="F6270" t="s">
        <v>28</v>
      </c>
      <c r="G6270">
        <v>1</v>
      </c>
      <c r="H6270" s="2">
        <f>Tabelle13[[#This Row],[commits]]/Tabelle13[[#Totals],[commits]]</f>
        <v>4.6477904404246225E-6</v>
      </c>
      <c r="I6270" s="5">
        <f>Tabelle13[[#This Row],[%]]+I6269</f>
        <v>0.98709308594687761</v>
      </c>
      <c r="J6270" s="4">
        <f t="shared" si="227"/>
        <v>1.105583195135434E-4</v>
      </c>
      <c r="K6270" s="5">
        <f t="shared" si="228"/>
        <v>0.69297954671096695</v>
      </c>
    </row>
    <row r="6271" spans="1:11" x14ac:dyDescent="0.25">
      <c r="A6271" t="s">
        <v>7311</v>
      </c>
      <c r="C6271" t="s">
        <v>7312</v>
      </c>
      <c r="D6271" t="s">
        <v>5</v>
      </c>
      <c r="E6271" t="s">
        <v>6</v>
      </c>
      <c r="F6271" t="s">
        <v>28</v>
      </c>
      <c r="G6271">
        <v>1</v>
      </c>
      <c r="H6271" s="2">
        <f>Tabelle13[[#This Row],[commits]]/Tabelle13[[#Totals],[commits]]</f>
        <v>4.6477904404246225E-6</v>
      </c>
      <c r="I6271" s="5">
        <f>Tabelle13[[#This Row],[%]]+I6270</f>
        <v>0.98709773373731802</v>
      </c>
      <c r="J6271" s="4">
        <f t="shared" si="227"/>
        <v>1.105583195135434E-4</v>
      </c>
      <c r="K6271" s="5">
        <f t="shared" si="228"/>
        <v>0.69309010503048052</v>
      </c>
    </row>
    <row r="6272" spans="1:11" x14ac:dyDescent="0.25">
      <c r="A6272" t="s">
        <v>7313</v>
      </c>
      <c r="C6272" t="s">
        <v>7314</v>
      </c>
      <c r="D6272" t="s">
        <v>5</v>
      </c>
      <c r="E6272" t="s">
        <v>6</v>
      </c>
      <c r="F6272" t="s">
        <v>28</v>
      </c>
      <c r="G6272">
        <v>1</v>
      </c>
      <c r="H6272" s="2">
        <f>Tabelle13[[#This Row],[commits]]/Tabelle13[[#Totals],[commits]]</f>
        <v>4.6477904404246225E-6</v>
      </c>
      <c r="I6272" s="5">
        <f>Tabelle13[[#This Row],[%]]+I6271</f>
        <v>0.98710238152775842</v>
      </c>
      <c r="J6272" s="4">
        <f t="shared" si="227"/>
        <v>1.105583195135434E-4</v>
      </c>
      <c r="K6272" s="5">
        <f t="shared" si="228"/>
        <v>0.69320066334999408</v>
      </c>
    </row>
    <row r="6273" spans="1:11" x14ac:dyDescent="0.25">
      <c r="A6273" t="s">
        <v>7315</v>
      </c>
      <c r="C6273" t="s">
        <v>7316</v>
      </c>
      <c r="D6273" t="s">
        <v>5</v>
      </c>
      <c r="E6273" t="s">
        <v>6</v>
      </c>
      <c r="F6273" t="s">
        <v>28</v>
      </c>
      <c r="G6273">
        <v>1</v>
      </c>
      <c r="H6273" s="2">
        <f>Tabelle13[[#This Row],[commits]]/Tabelle13[[#Totals],[commits]]</f>
        <v>4.6477904404246225E-6</v>
      </c>
      <c r="I6273" s="5">
        <f>Tabelle13[[#This Row],[%]]+I6272</f>
        <v>0.98710702931819883</v>
      </c>
      <c r="J6273" s="4">
        <f t="shared" si="227"/>
        <v>1.105583195135434E-4</v>
      </c>
      <c r="K6273" s="5">
        <f t="shared" si="228"/>
        <v>0.69331122166950765</v>
      </c>
    </row>
    <row r="6274" spans="1:11" x14ac:dyDescent="0.25">
      <c r="A6274" t="s">
        <v>7317</v>
      </c>
      <c r="C6274" t="s">
        <v>7318</v>
      </c>
      <c r="D6274" t="s">
        <v>5</v>
      </c>
      <c r="E6274" t="s">
        <v>6</v>
      </c>
      <c r="F6274" t="s">
        <v>28</v>
      </c>
      <c r="G6274">
        <v>1</v>
      </c>
      <c r="H6274" s="2">
        <f>Tabelle13[[#This Row],[commits]]/Tabelle13[[#Totals],[commits]]</f>
        <v>4.6477904404246225E-6</v>
      </c>
      <c r="I6274" s="5">
        <f>Tabelle13[[#This Row],[%]]+I6273</f>
        <v>0.98711167710863923</v>
      </c>
      <c r="J6274" s="4">
        <f t="shared" si="227"/>
        <v>1.105583195135434E-4</v>
      </c>
      <c r="K6274" s="5">
        <f t="shared" si="228"/>
        <v>0.69342177998902121</v>
      </c>
    </row>
    <row r="6275" spans="1:11" x14ac:dyDescent="0.25">
      <c r="A6275" t="s">
        <v>7319</v>
      </c>
      <c r="C6275" t="s">
        <v>7320</v>
      </c>
      <c r="D6275" t="s">
        <v>5</v>
      </c>
      <c r="E6275" t="s">
        <v>6</v>
      </c>
      <c r="F6275" t="s">
        <v>28</v>
      </c>
      <c r="G6275">
        <v>1</v>
      </c>
      <c r="H6275" s="2">
        <f>Tabelle13[[#This Row],[commits]]/Tabelle13[[#Totals],[commits]]</f>
        <v>4.6477904404246225E-6</v>
      </c>
      <c r="I6275" s="5">
        <f>Tabelle13[[#This Row],[%]]+I6274</f>
        <v>0.98711632489907963</v>
      </c>
      <c r="J6275" s="4">
        <f t="shared" ref="J6275:J6338" si="229">1/9045</f>
        <v>1.105583195135434E-4</v>
      </c>
      <c r="K6275" s="5">
        <f t="shared" si="228"/>
        <v>0.69353233830853478</v>
      </c>
    </row>
    <row r="6276" spans="1:11" x14ac:dyDescent="0.25">
      <c r="A6276" t="s">
        <v>7321</v>
      </c>
      <c r="C6276" t="s">
        <v>7322</v>
      </c>
      <c r="D6276" t="s">
        <v>5</v>
      </c>
      <c r="E6276" t="s">
        <v>6</v>
      </c>
      <c r="F6276" t="s">
        <v>28</v>
      </c>
      <c r="G6276">
        <v>1</v>
      </c>
      <c r="H6276" s="2">
        <f>Tabelle13[[#This Row],[commits]]/Tabelle13[[#Totals],[commits]]</f>
        <v>4.6477904404246225E-6</v>
      </c>
      <c r="I6276" s="5">
        <f>Tabelle13[[#This Row],[%]]+I6275</f>
        <v>0.98712097268952004</v>
      </c>
      <c r="J6276" s="4">
        <f t="shared" si="229"/>
        <v>1.105583195135434E-4</v>
      </c>
      <c r="K6276" s="5">
        <f t="shared" si="228"/>
        <v>0.69364289662804834</v>
      </c>
    </row>
    <row r="6277" spans="1:11" x14ac:dyDescent="0.25">
      <c r="A6277" t="s">
        <v>7323</v>
      </c>
      <c r="C6277" t="s">
        <v>7324</v>
      </c>
      <c r="D6277" t="s">
        <v>5</v>
      </c>
      <c r="E6277" t="s">
        <v>6</v>
      </c>
      <c r="F6277" t="s">
        <v>28</v>
      </c>
      <c r="G6277">
        <v>1</v>
      </c>
      <c r="H6277" s="2">
        <f>Tabelle13[[#This Row],[commits]]/Tabelle13[[#Totals],[commits]]</f>
        <v>4.6477904404246225E-6</v>
      </c>
      <c r="I6277" s="5">
        <f>Tabelle13[[#This Row],[%]]+I6276</f>
        <v>0.98712562047996044</v>
      </c>
      <c r="J6277" s="4">
        <f t="shared" si="229"/>
        <v>1.105583195135434E-4</v>
      </c>
      <c r="K6277" s="5">
        <f t="shared" si="228"/>
        <v>0.69375345494756191</v>
      </c>
    </row>
    <row r="6278" spans="1:11" x14ac:dyDescent="0.25">
      <c r="A6278" t="s">
        <v>7325</v>
      </c>
      <c r="C6278" t="s">
        <v>7326</v>
      </c>
      <c r="D6278" t="s">
        <v>5</v>
      </c>
      <c r="E6278" t="s">
        <v>6</v>
      </c>
      <c r="F6278" t="s">
        <v>28</v>
      </c>
      <c r="G6278">
        <v>1</v>
      </c>
      <c r="H6278" s="2">
        <f>Tabelle13[[#This Row],[commits]]/Tabelle13[[#Totals],[commits]]</f>
        <v>4.6477904404246225E-6</v>
      </c>
      <c r="I6278" s="5">
        <f>Tabelle13[[#This Row],[%]]+I6277</f>
        <v>0.98713026827040085</v>
      </c>
      <c r="J6278" s="4">
        <f t="shared" si="229"/>
        <v>1.105583195135434E-4</v>
      </c>
      <c r="K6278" s="5">
        <f t="shared" ref="K6278:K6341" si="230">J6278+K6277</f>
        <v>0.69386401326707547</v>
      </c>
    </row>
    <row r="6279" spans="1:11" x14ac:dyDescent="0.25">
      <c r="A6279" t="s">
        <v>7327</v>
      </c>
      <c r="C6279" t="s">
        <v>7328</v>
      </c>
      <c r="D6279" t="s">
        <v>5</v>
      </c>
      <c r="E6279" t="s">
        <v>6</v>
      </c>
      <c r="F6279" t="s">
        <v>28</v>
      </c>
      <c r="G6279">
        <v>1</v>
      </c>
      <c r="H6279" s="2">
        <f>Tabelle13[[#This Row],[commits]]/Tabelle13[[#Totals],[commits]]</f>
        <v>4.6477904404246225E-6</v>
      </c>
      <c r="I6279" s="5">
        <f>Tabelle13[[#This Row],[%]]+I6278</f>
        <v>0.98713491606084125</v>
      </c>
      <c r="J6279" s="4">
        <f t="shared" si="229"/>
        <v>1.105583195135434E-4</v>
      </c>
      <c r="K6279" s="5">
        <f t="shared" si="230"/>
        <v>0.69397457158658904</v>
      </c>
    </row>
    <row r="6280" spans="1:11" x14ac:dyDescent="0.25">
      <c r="A6280" t="s">
        <v>7329</v>
      </c>
      <c r="C6280" t="s">
        <v>7330</v>
      </c>
      <c r="D6280" t="s">
        <v>5</v>
      </c>
      <c r="E6280" t="s">
        <v>6</v>
      </c>
      <c r="F6280" t="s">
        <v>28</v>
      </c>
      <c r="G6280">
        <v>1</v>
      </c>
      <c r="H6280" s="2">
        <f>Tabelle13[[#This Row],[commits]]/Tabelle13[[#Totals],[commits]]</f>
        <v>4.6477904404246225E-6</v>
      </c>
      <c r="I6280" s="5">
        <f>Tabelle13[[#This Row],[%]]+I6279</f>
        <v>0.98713956385128165</v>
      </c>
      <c r="J6280" s="4">
        <f t="shared" si="229"/>
        <v>1.105583195135434E-4</v>
      </c>
      <c r="K6280" s="5">
        <f t="shared" si="230"/>
        <v>0.6940851299061026</v>
      </c>
    </row>
    <row r="6281" spans="1:11" x14ac:dyDescent="0.25">
      <c r="A6281" t="s">
        <v>7331</v>
      </c>
      <c r="C6281" t="s">
        <v>7332</v>
      </c>
      <c r="D6281" t="s">
        <v>5</v>
      </c>
      <c r="E6281" t="s">
        <v>6</v>
      </c>
      <c r="F6281" t="s">
        <v>28</v>
      </c>
      <c r="G6281">
        <v>1</v>
      </c>
      <c r="H6281" s="2">
        <f>Tabelle13[[#This Row],[commits]]/Tabelle13[[#Totals],[commits]]</f>
        <v>4.6477904404246225E-6</v>
      </c>
      <c r="I6281" s="5">
        <f>Tabelle13[[#This Row],[%]]+I6280</f>
        <v>0.98714421164172206</v>
      </c>
      <c r="J6281" s="4">
        <f t="shared" si="229"/>
        <v>1.105583195135434E-4</v>
      </c>
      <c r="K6281" s="5">
        <f t="shared" si="230"/>
        <v>0.69419568822561617</v>
      </c>
    </row>
    <row r="6282" spans="1:11" x14ac:dyDescent="0.25">
      <c r="A6282" t="s">
        <v>7333</v>
      </c>
      <c r="C6282" t="s">
        <v>7334</v>
      </c>
      <c r="D6282" t="s">
        <v>7335</v>
      </c>
      <c r="E6282" t="s">
        <v>6</v>
      </c>
      <c r="F6282" t="s">
        <v>28</v>
      </c>
      <c r="G6282">
        <v>1</v>
      </c>
      <c r="H6282" s="2">
        <f>Tabelle13[[#This Row],[commits]]/Tabelle13[[#Totals],[commits]]</f>
        <v>4.6477904404246225E-6</v>
      </c>
      <c r="I6282" s="5">
        <f>Tabelle13[[#This Row],[%]]+I6281</f>
        <v>0.98714885943216246</v>
      </c>
      <c r="J6282" s="4">
        <f t="shared" si="229"/>
        <v>1.105583195135434E-4</v>
      </c>
      <c r="K6282" s="5">
        <f t="shared" si="230"/>
        <v>0.69430624654512973</v>
      </c>
    </row>
    <row r="6283" spans="1:11" x14ac:dyDescent="0.25">
      <c r="A6283" t="s">
        <v>7336</v>
      </c>
      <c r="C6283" t="s">
        <v>7337</v>
      </c>
      <c r="D6283" t="s">
        <v>5</v>
      </c>
      <c r="E6283" t="s">
        <v>6</v>
      </c>
      <c r="F6283" t="s">
        <v>28</v>
      </c>
      <c r="G6283">
        <v>1</v>
      </c>
      <c r="H6283" s="2">
        <f>Tabelle13[[#This Row],[commits]]/Tabelle13[[#Totals],[commits]]</f>
        <v>4.6477904404246225E-6</v>
      </c>
      <c r="I6283" s="5">
        <f>Tabelle13[[#This Row],[%]]+I6282</f>
        <v>0.98715350722260287</v>
      </c>
      <c r="J6283" s="4">
        <f t="shared" si="229"/>
        <v>1.105583195135434E-4</v>
      </c>
      <c r="K6283" s="5">
        <f t="shared" si="230"/>
        <v>0.6944168048646433</v>
      </c>
    </row>
    <row r="6284" spans="1:11" x14ac:dyDescent="0.25">
      <c r="A6284" t="s">
        <v>7338</v>
      </c>
      <c r="C6284" t="s">
        <v>579</v>
      </c>
      <c r="D6284" t="s">
        <v>5</v>
      </c>
      <c r="E6284" t="s">
        <v>6</v>
      </c>
      <c r="F6284" t="s">
        <v>28</v>
      </c>
      <c r="G6284">
        <v>1</v>
      </c>
      <c r="H6284" s="2">
        <f>Tabelle13[[#This Row],[commits]]/Tabelle13[[#Totals],[commits]]</f>
        <v>4.6477904404246225E-6</v>
      </c>
      <c r="I6284" s="5">
        <f>Tabelle13[[#This Row],[%]]+I6283</f>
        <v>0.98715815501304327</v>
      </c>
      <c r="J6284" s="4">
        <f t="shared" si="229"/>
        <v>1.105583195135434E-4</v>
      </c>
      <c r="K6284" s="5">
        <f t="shared" si="230"/>
        <v>0.69452736318415687</v>
      </c>
    </row>
    <row r="6285" spans="1:11" x14ac:dyDescent="0.25">
      <c r="A6285" t="s">
        <v>7339</v>
      </c>
      <c r="C6285" t="s">
        <v>579</v>
      </c>
      <c r="D6285" t="s">
        <v>5</v>
      </c>
      <c r="E6285" t="s">
        <v>6</v>
      </c>
      <c r="F6285" t="s">
        <v>28</v>
      </c>
      <c r="G6285">
        <v>1</v>
      </c>
      <c r="H6285" s="2">
        <f>Tabelle13[[#This Row],[commits]]/Tabelle13[[#Totals],[commits]]</f>
        <v>4.6477904404246225E-6</v>
      </c>
      <c r="I6285" s="5">
        <f>Tabelle13[[#This Row],[%]]+I6284</f>
        <v>0.98716280280348367</v>
      </c>
      <c r="J6285" s="4">
        <f t="shared" si="229"/>
        <v>1.105583195135434E-4</v>
      </c>
      <c r="K6285" s="5">
        <f t="shared" si="230"/>
        <v>0.69463792150367043</v>
      </c>
    </row>
    <row r="6286" spans="1:11" x14ac:dyDescent="0.25">
      <c r="A6286" t="s">
        <v>7340</v>
      </c>
      <c r="C6286" t="s">
        <v>579</v>
      </c>
      <c r="D6286" t="s">
        <v>5</v>
      </c>
      <c r="E6286" t="s">
        <v>6</v>
      </c>
      <c r="F6286" t="s">
        <v>28</v>
      </c>
      <c r="G6286">
        <v>1</v>
      </c>
      <c r="H6286" s="2">
        <f>Tabelle13[[#This Row],[commits]]/Tabelle13[[#Totals],[commits]]</f>
        <v>4.6477904404246225E-6</v>
      </c>
      <c r="I6286" s="5">
        <f>Tabelle13[[#This Row],[%]]+I6285</f>
        <v>0.98716745059392408</v>
      </c>
      <c r="J6286" s="4">
        <f t="shared" si="229"/>
        <v>1.105583195135434E-4</v>
      </c>
      <c r="K6286" s="5">
        <f t="shared" si="230"/>
        <v>0.694748479823184</v>
      </c>
    </row>
    <row r="6287" spans="1:11" x14ac:dyDescent="0.25">
      <c r="A6287" t="s">
        <v>7341</v>
      </c>
      <c r="C6287" t="s">
        <v>7342</v>
      </c>
      <c r="D6287" t="s">
        <v>5</v>
      </c>
      <c r="E6287" t="s">
        <v>6</v>
      </c>
      <c r="F6287" t="s">
        <v>28</v>
      </c>
      <c r="G6287">
        <v>1</v>
      </c>
      <c r="H6287" s="2">
        <f>Tabelle13[[#This Row],[commits]]/Tabelle13[[#Totals],[commits]]</f>
        <v>4.6477904404246225E-6</v>
      </c>
      <c r="I6287" s="5">
        <f>Tabelle13[[#This Row],[%]]+I6286</f>
        <v>0.98717209838436448</v>
      </c>
      <c r="J6287" s="4">
        <f t="shared" si="229"/>
        <v>1.105583195135434E-4</v>
      </c>
      <c r="K6287" s="5">
        <f t="shared" si="230"/>
        <v>0.69485903814269756</v>
      </c>
    </row>
    <row r="6288" spans="1:11" x14ac:dyDescent="0.25">
      <c r="A6288" t="s">
        <v>7343</v>
      </c>
      <c r="C6288" t="s">
        <v>7344</v>
      </c>
      <c r="D6288" t="s">
        <v>5</v>
      </c>
      <c r="E6288" t="s">
        <v>6</v>
      </c>
      <c r="F6288" t="s">
        <v>28</v>
      </c>
      <c r="G6288">
        <v>1</v>
      </c>
      <c r="H6288" s="2">
        <f>Tabelle13[[#This Row],[commits]]/Tabelle13[[#Totals],[commits]]</f>
        <v>4.6477904404246225E-6</v>
      </c>
      <c r="I6288" s="5">
        <f>Tabelle13[[#This Row],[%]]+I6287</f>
        <v>0.98717674617480489</v>
      </c>
      <c r="J6288" s="4">
        <f t="shared" si="229"/>
        <v>1.105583195135434E-4</v>
      </c>
      <c r="K6288" s="5">
        <f t="shared" si="230"/>
        <v>0.69496959646221113</v>
      </c>
    </row>
    <row r="6289" spans="1:11" x14ac:dyDescent="0.25">
      <c r="A6289" t="s">
        <v>7345</v>
      </c>
      <c r="C6289" t="s">
        <v>7346</v>
      </c>
      <c r="D6289" t="s">
        <v>5</v>
      </c>
      <c r="E6289" t="s">
        <v>6</v>
      </c>
      <c r="F6289" t="s">
        <v>28</v>
      </c>
      <c r="G6289">
        <v>1</v>
      </c>
      <c r="H6289" s="2">
        <f>Tabelle13[[#This Row],[commits]]/Tabelle13[[#Totals],[commits]]</f>
        <v>4.6477904404246225E-6</v>
      </c>
      <c r="I6289" s="5">
        <f>Tabelle13[[#This Row],[%]]+I6288</f>
        <v>0.98718139396524529</v>
      </c>
      <c r="J6289" s="4">
        <f t="shared" si="229"/>
        <v>1.105583195135434E-4</v>
      </c>
      <c r="K6289" s="5">
        <f t="shared" si="230"/>
        <v>0.69508015478172469</v>
      </c>
    </row>
    <row r="6290" spans="1:11" x14ac:dyDescent="0.25">
      <c r="A6290" t="s">
        <v>7347</v>
      </c>
      <c r="C6290" t="s">
        <v>1898</v>
      </c>
      <c r="D6290" t="s">
        <v>5</v>
      </c>
      <c r="E6290" t="s">
        <v>6</v>
      </c>
      <c r="F6290" t="s">
        <v>28</v>
      </c>
      <c r="G6290">
        <v>1</v>
      </c>
      <c r="H6290" s="2">
        <f>Tabelle13[[#This Row],[commits]]/Tabelle13[[#Totals],[commits]]</f>
        <v>4.6477904404246225E-6</v>
      </c>
      <c r="I6290" s="5">
        <f>Tabelle13[[#This Row],[%]]+I6289</f>
        <v>0.98718604175568569</v>
      </c>
      <c r="J6290" s="4">
        <f t="shared" si="229"/>
        <v>1.105583195135434E-4</v>
      </c>
      <c r="K6290" s="5">
        <f t="shared" si="230"/>
        <v>0.69519071310123826</v>
      </c>
    </row>
    <row r="6291" spans="1:11" x14ac:dyDescent="0.25">
      <c r="A6291" t="s">
        <v>7348</v>
      </c>
      <c r="C6291" t="s">
        <v>1898</v>
      </c>
      <c r="D6291" t="s">
        <v>5</v>
      </c>
      <c r="E6291" t="s">
        <v>6</v>
      </c>
      <c r="F6291" t="s">
        <v>28</v>
      </c>
      <c r="G6291">
        <v>1</v>
      </c>
      <c r="H6291" s="2">
        <f>Tabelle13[[#This Row],[commits]]/Tabelle13[[#Totals],[commits]]</f>
        <v>4.6477904404246225E-6</v>
      </c>
      <c r="I6291" s="5">
        <f>Tabelle13[[#This Row],[%]]+I6290</f>
        <v>0.9871906895461261</v>
      </c>
      <c r="J6291" s="4">
        <f t="shared" si="229"/>
        <v>1.105583195135434E-4</v>
      </c>
      <c r="K6291" s="5">
        <f t="shared" si="230"/>
        <v>0.69530127142075182</v>
      </c>
    </row>
    <row r="6292" spans="1:11" x14ac:dyDescent="0.25">
      <c r="A6292" t="s">
        <v>7349</v>
      </c>
      <c r="C6292" t="s">
        <v>5940</v>
      </c>
      <c r="D6292" t="s">
        <v>5</v>
      </c>
      <c r="E6292" t="s">
        <v>6</v>
      </c>
      <c r="F6292" t="s">
        <v>28</v>
      </c>
      <c r="G6292">
        <v>1</v>
      </c>
      <c r="H6292" s="2">
        <f>Tabelle13[[#This Row],[commits]]/Tabelle13[[#Totals],[commits]]</f>
        <v>4.6477904404246225E-6</v>
      </c>
      <c r="I6292" s="5">
        <f>Tabelle13[[#This Row],[%]]+I6291</f>
        <v>0.9871953373365665</v>
      </c>
      <c r="J6292" s="4">
        <f t="shared" si="229"/>
        <v>1.105583195135434E-4</v>
      </c>
      <c r="K6292" s="5">
        <f t="shared" si="230"/>
        <v>0.69541182974026539</v>
      </c>
    </row>
    <row r="6293" spans="1:11" x14ac:dyDescent="0.25">
      <c r="A6293" t="s">
        <v>7350</v>
      </c>
      <c r="C6293" t="s">
        <v>7351</v>
      </c>
      <c r="D6293" t="s">
        <v>5</v>
      </c>
      <c r="E6293" t="s">
        <v>6</v>
      </c>
      <c r="F6293" t="s">
        <v>28</v>
      </c>
      <c r="G6293">
        <v>1</v>
      </c>
      <c r="H6293" s="2">
        <f>Tabelle13[[#This Row],[commits]]/Tabelle13[[#Totals],[commits]]</f>
        <v>4.6477904404246225E-6</v>
      </c>
      <c r="I6293" s="5">
        <f>Tabelle13[[#This Row],[%]]+I6292</f>
        <v>0.98719998512700691</v>
      </c>
      <c r="J6293" s="4">
        <f t="shared" si="229"/>
        <v>1.105583195135434E-4</v>
      </c>
      <c r="K6293" s="5">
        <f t="shared" si="230"/>
        <v>0.69552238805977895</v>
      </c>
    </row>
    <row r="6294" spans="1:11" x14ac:dyDescent="0.25">
      <c r="A6294" t="s">
        <v>7352</v>
      </c>
      <c r="C6294" t="s">
        <v>7353</v>
      </c>
      <c r="D6294" t="s">
        <v>5</v>
      </c>
      <c r="E6294" t="s">
        <v>6</v>
      </c>
      <c r="F6294" t="s">
        <v>28</v>
      </c>
      <c r="G6294">
        <v>1</v>
      </c>
      <c r="H6294" s="2">
        <f>Tabelle13[[#This Row],[commits]]/Tabelle13[[#Totals],[commits]]</f>
        <v>4.6477904404246225E-6</v>
      </c>
      <c r="I6294" s="5">
        <f>Tabelle13[[#This Row],[%]]+I6293</f>
        <v>0.98720463291744731</v>
      </c>
      <c r="J6294" s="4">
        <f t="shared" si="229"/>
        <v>1.105583195135434E-4</v>
      </c>
      <c r="K6294" s="5">
        <f t="shared" si="230"/>
        <v>0.69563294637929252</v>
      </c>
    </row>
    <row r="6295" spans="1:11" x14ac:dyDescent="0.25">
      <c r="A6295" t="s">
        <v>7354</v>
      </c>
      <c r="C6295" t="s">
        <v>7355</v>
      </c>
      <c r="D6295" t="s">
        <v>5</v>
      </c>
      <c r="E6295" t="s">
        <v>6</v>
      </c>
      <c r="F6295" t="s">
        <v>28</v>
      </c>
      <c r="G6295">
        <v>1</v>
      </c>
      <c r="H6295" s="2">
        <f>Tabelle13[[#This Row],[commits]]/Tabelle13[[#Totals],[commits]]</f>
        <v>4.6477904404246225E-6</v>
      </c>
      <c r="I6295" s="5">
        <f>Tabelle13[[#This Row],[%]]+I6294</f>
        <v>0.98720928070788772</v>
      </c>
      <c r="J6295" s="4">
        <f t="shared" si="229"/>
        <v>1.105583195135434E-4</v>
      </c>
      <c r="K6295" s="5">
        <f t="shared" si="230"/>
        <v>0.69574350469880608</v>
      </c>
    </row>
    <row r="6296" spans="1:11" x14ac:dyDescent="0.25">
      <c r="A6296" t="s">
        <v>7356</v>
      </c>
      <c r="C6296" t="s">
        <v>7357</v>
      </c>
      <c r="D6296" t="s">
        <v>5</v>
      </c>
      <c r="E6296" t="s">
        <v>6</v>
      </c>
      <c r="F6296" t="s">
        <v>28</v>
      </c>
      <c r="G6296">
        <v>1</v>
      </c>
      <c r="H6296" s="2">
        <f>Tabelle13[[#This Row],[commits]]/Tabelle13[[#Totals],[commits]]</f>
        <v>4.6477904404246225E-6</v>
      </c>
      <c r="I6296" s="5">
        <f>Tabelle13[[#This Row],[%]]+I6295</f>
        <v>0.98721392849832812</v>
      </c>
      <c r="J6296" s="4">
        <f t="shared" si="229"/>
        <v>1.105583195135434E-4</v>
      </c>
      <c r="K6296" s="5">
        <f t="shared" si="230"/>
        <v>0.69585406301831965</v>
      </c>
    </row>
    <row r="6297" spans="1:11" x14ac:dyDescent="0.25">
      <c r="A6297" t="s">
        <v>7358</v>
      </c>
      <c r="C6297" t="s">
        <v>938</v>
      </c>
      <c r="D6297" t="s">
        <v>5</v>
      </c>
      <c r="E6297" t="s">
        <v>6</v>
      </c>
      <c r="F6297" t="s">
        <v>28</v>
      </c>
      <c r="G6297">
        <v>1</v>
      </c>
      <c r="H6297" s="2">
        <f>Tabelle13[[#This Row],[commits]]/Tabelle13[[#Totals],[commits]]</f>
        <v>4.6477904404246225E-6</v>
      </c>
      <c r="I6297" s="5">
        <f>Tabelle13[[#This Row],[%]]+I6296</f>
        <v>0.98721857628876852</v>
      </c>
      <c r="J6297" s="4">
        <f t="shared" si="229"/>
        <v>1.105583195135434E-4</v>
      </c>
      <c r="K6297" s="5">
        <f t="shared" si="230"/>
        <v>0.69596462133783321</v>
      </c>
    </row>
    <row r="6298" spans="1:11" x14ac:dyDescent="0.25">
      <c r="A6298" t="s">
        <v>7359</v>
      </c>
      <c r="C6298" t="s">
        <v>938</v>
      </c>
      <c r="D6298" t="s">
        <v>5</v>
      </c>
      <c r="E6298" t="s">
        <v>6</v>
      </c>
      <c r="F6298" t="s">
        <v>28</v>
      </c>
      <c r="G6298">
        <v>1</v>
      </c>
      <c r="H6298" s="2">
        <f>Tabelle13[[#This Row],[commits]]/Tabelle13[[#Totals],[commits]]</f>
        <v>4.6477904404246225E-6</v>
      </c>
      <c r="I6298" s="5">
        <f>Tabelle13[[#This Row],[%]]+I6297</f>
        <v>0.98722322407920893</v>
      </c>
      <c r="J6298" s="4">
        <f t="shared" si="229"/>
        <v>1.105583195135434E-4</v>
      </c>
      <c r="K6298" s="5">
        <f t="shared" si="230"/>
        <v>0.69607517965734678</v>
      </c>
    </row>
    <row r="6299" spans="1:11" x14ac:dyDescent="0.25">
      <c r="A6299" t="s">
        <v>7360</v>
      </c>
      <c r="C6299" t="s">
        <v>7361</v>
      </c>
      <c r="D6299" t="s">
        <v>5</v>
      </c>
      <c r="E6299" t="s">
        <v>6</v>
      </c>
      <c r="F6299" t="s">
        <v>28</v>
      </c>
      <c r="G6299">
        <v>1</v>
      </c>
      <c r="H6299" s="2">
        <f>Tabelle13[[#This Row],[commits]]/Tabelle13[[#Totals],[commits]]</f>
        <v>4.6477904404246225E-6</v>
      </c>
      <c r="I6299" s="5">
        <f>Tabelle13[[#This Row],[%]]+I6298</f>
        <v>0.98722787186964933</v>
      </c>
      <c r="J6299" s="4">
        <f t="shared" si="229"/>
        <v>1.105583195135434E-4</v>
      </c>
      <c r="K6299" s="5">
        <f t="shared" si="230"/>
        <v>0.69618573797686034</v>
      </c>
    </row>
    <row r="6300" spans="1:11" x14ac:dyDescent="0.25">
      <c r="A6300" t="s">
        <v>7362</v>
      </c>
      <c r="C6300" t="s">
        <v>7363</v>
      </c>
      <c r="D6300" t="s">
        <v>5</v>
      </c>
      <c r="E6300" t="s">
        <v>6</v>
      </c>
      <c r="F6300" t="s">
        <v>28</v>
      </c>
      <c r="G6300">
        <v>1</v>
      </c>
      <c r="H6300" s="2">
        <f>Tabelle13[[#This Row],[commits]]/Tabelle13[[#Totals],[commits]]</f>
        <v>4.6477904404246225E-6</v>
      </c>
      <c r="I6300" s="5">
        <f>Tabelle13[[#This Row],[%]]+I6299</f>
        <v>0.98723251966008974</v>
      </c>
      <c r="J6300" s="4">
        <f t="shared" si="229"/>
        <v>1.105583195135434E-4</v>
      </c>
      <c r="K6300" s="5">
        <f t="shared" si="230"/>
        <v>0.69629629629637391</v>
      </c>
    </row>
    <row r="6301" spans="1:11" x14ac:dyDescent="0.25">
      <c r="A6301" t="s">
        <v>7364</v>
      </c>
      <c r="C6301" t="s">
        <v>7365</v>
      </c>
      <c r="D6301" t="s">
        <v>5</v>
      </c>
      <c r="E6301" t="s">
        <v>6</v>
      </c>
      <c r="F6301" t="s">
        <v>28</v>
      </c>
      <c r="G6301">
        <v>1</v>
      </c>
      <c r="H6301" s="2">
        <f>Tabelle13[[#This Row],[commits]]/Tabelle13[[#Totals],[commits]]</f>
        <v>4.6477904404246225E-6</v>
      </c>
      <c r="I6301" s="5">
        <f>Tabelle13[[#This Row],[%]]+I6300</f>
        <v>0.98723716745053014</v>
      </c>
      <c r="J6301" s="4">
        <f t="shared" si="229"/>
        <v>1.105583195135434E-4</v>
      </c>
      <c r="K6301" s="5">
        <f t="shared" si="230"/>
        <v>0.69640685461588747</v>
      </c>
    </row>
    <row r="6302" spans="1:11" x14ac:dyDescent="0.25">
      <c r="A6302" t="s">
        <v>7366</v>
      </c>
      <c r="C6302" t="s">
        <v>7367</v>
      </c>
      <c r="D6302" t="s">
        <v>5</v>
      </c>
      <c r="E6302" t="s">
        <v>6</v>
      </c>
      <c r="F6302" t="s">
        <v>28</v>
      </c>
      <c r="G6302">
        <v>1</v>
      </c>
      <c r="H6302" s="2">
        <f>Tabelle13[[#This Row],[commits]]/Tabelle13[[#Totals],[commits]]</f>
        <v>4.6477904404246225E-6</v>
      </c>
      <c r="I6302" s="5">
        <f>Tabelle13[[#This Row],[%]]+I6301</f>
        <v>0.98724181524097054</v>
      </c>
      <c r="J6302" s="4">
        <f t="shared" si="229"/>
        <v>1.105583195135434E-4</v>
      </c>
      <c r="K6302" s="5">
        <f t="shared" si="230"/>
        <v>0.69651741293540104</v>
      </c>
    </row>
    <row r="6303" spans="1:11" x14ac:dyDescent="0.25">
      <c r="A6303" t="s">
        <v>7368</v>
      </c>
      <c r="C6303" t="s">
        <v>7369</v>
      </c>
      <c r="D6303" t="s">
        <v>5</v>
      </c>
      <c r="E6303" t="s">
        <v>6</v>
      </c>
      <c r="F6303" t="s">
        <v>28</v>
      </c>
      <c r="G6303">
        <v>1</v>
      </c>
      <c r="H6303" s="2">
        <f>Tabelle13[[#This Row],[commits]]/Tabelle13[[#Totals],[commits]]</f>
        <v>4.6477904404246225E-6</v>
      </c>
      <c r="I6303" s="5">
        <f>Tabelle13[[#This Row],[%]]+I6302</f>
        <v>0.98724646303141095</v>
      </c>
      <c r="J6303" s="4">
        <f t="shared" si="229"/>
        <v>1.105583195135434E-4</v>
      </c>
      <c r="K6303" s="5">
        <f t="shared" si="230"/>
        <v>0.6966279712549146</v>
      </c>
    </row>
    <row r="6304" spans="1:11" x14ac:dyDescent="0.25">
      <c r="A6304" t="s">
        <v>7370</v>
      </c>
      <c r="C6304" t="s">
        <v>7371</v>
      </c>
      <c r="D6304" t="s">
        <v>5</v>
      </c>
      <c r="E6304" t="s">
        <v>6</v>
      </c>
      <c r="F6304" t="s">
        <v>28</v>
      </c>
      <c r="G6304">
        <v>1</v>
      </c>
      <c r="H6304" s="2">
        <f>Tabelle13[[#This Row],[commits]]/Tabelle13[[#Totals],[commits]]</f>
        <v>4.6477904404246225E-6</v>
      </c>
      <c r="I6304" s="5">
        <f>Tabelle13[[#This Row],[%]]+I6303</f>
        <v>0.98725111082185135</v>
      </c>
      <c r="J6304" s="4">
        <f t="shared" si="229"/>
        <v>1.105583195135434E-4</v>
      </c>
      <c r="K6304" s="5">
        <f t="shared" si="230"/>
        <v>0.69673852957442817</v>
      </c>
    </row>
    <row r="6305" spans="1:11" x14ac:dyDescent="0.25">
      <c r="A6305" t="s">
        <v>7372</v>
      </c>
      <c r="C6305" t="s">
        <v>7373</v>
      </c>
      <c r="D6305" t="s">
        <v>5</v>
      </c>
      <c r="E6305" t="s">
        <v>6</v>
      </c>
      <c r="F6305" t="s">
        <v>28</v>
      </c>
      <c r="G6305">
        <v>1</v>
      </c>
      <c r="H6305" s="2">
        <f>Tabelle13[[#This Row],[commits]]/Tabelle13[[#Totals],[commits]]</f>
        <v>4.6477904404246225E-6</v>
      </c>
      <c r="I6305" s="5">
        <f>Tabelle13[[#This Row],[%]]+I6304</f>
        <v>0.98725575861229176</v>
      </c>
      <c r="J6305" s="4">
        <f t="shared" si="229"/>
        <v>1.105583195135434E-4</v>
      </c>
      <c r="K6305" s="5">
        <f t="shared" si="230"/>
        <v>0.69684908789394173</v>
      </c>
    </row>
    <row r="6306" spans="1:11" x14ac:dyDescent="0.25">
      <c r="A6306" t="s">
        <v>7374</v>
      </c>
      <c r="C6306" t="s">
        <v>3451</v>
      </c>
      <c r="D6306" t="s">
        <v>5</v>
      </c>
      <c r="E6306" t="s">
        <v>6</v>
      </c>
      <c r="F6306" t="s">
        <v>28</v>
      </c>
      <c r="G6306">
        <v>1</v>
      </c>
      <c r="H6306" s="2">
        <f>Tabelle13[[#This Row],[commits]]/Tabelle13[[#Totals],[commits]]</f>
        <v>4.6477904404246225E-6</v>
      </c>
      <c r="I6306" s="5">
        <f>Tabelle13[[#This Row],[%]]+I6305</f>
        <v>0.98726040640273216</v>
      </c>
      <c r="J6306" s="4">
        <f t="shared" si="229"/>
        <v>1.105583195135434E-4</v>
      </c>
      <c r="K6306" s="5">
        <f t="shared" si="230"/>
        <v>0.6969596462134553</v>
      </c>
    </row>
    <row r="6307" spans="1:11" x14ac:dyDescent="0.25">
      <c r="A6307" t="s">
        <v>7375</v>
      </c>
      <c r="C6307" t="s">
        <v>7376</v>
      </c>
      <c r="D6307" t="s">
        <v>5</v>
      </c>
      <c r="E6307" t="s">
        <v>6</v>
      </c>
      <c r="F6307" t="s">
        <v>28</v>
      </c>
      <c r="G6307">
        <v>1</v>
      </c>
      <c r="H6307" s="2">
        <f>Tabelle13[[#This Row],[commits]]/Tabelle13[[#Totals],[commits]]</f>
        <v>4.6477904404246225E-6</v>
      </c>
      <c r="I6307" s="5">
        <f>Tabelle13[[#This Row],[%]]+I6306</f>
        <v>0.98726505419317256</v>
      </c>
      <c r="J6307" s="4">
        <f t="shared" si="229"/>
        <v>1.105583195135434E-4</v>
      </c>
      <c r="K6307" s="5">
        <f t="shared" si="230"/>
        <v>0.69707020453296886</v>
      </c>
    </row>
    <row r="6308" spans="1:11" x14ac:dyDescent="0.25">
      <c r="A6308" t="s">
        <v>7377</v>
      </c>
      <c r="C6308" t="s">
        <v>7378</v>
      </c>
      <c r="D6308" t="s">
        <v>5</v>
      </c>
      <c r="E6308" t="s">
        <v>6</v>
      </c>
      <c r="F6308" t="s">
        <v>28</v>
      </c>
      <c r="G6308">
        <v>1</v>
      </c>
      <c r="H6308" s="2">
        <f>Tabelle13[[#This Row],[commits]]/Tabelle13[[#Totals],[commits]]</f>
        <v>4.6477904404246225E-6</v>
      </c>
      <c r="I6308" s="5">
        <f>Tabelle13[[#This Row],[%]]+I6307</f>
        <v>0.98726970198361297</v>
      </c>
      <c r="J6308" s="4">
        <f t="shared" si="229"/>
        <v>1.105583195135434E-4</v>
      </c>
      <c r="K6308" s="5">
        <f t="shared" si="230"/>
        <v>0.69718076285248243</v>
      </c>
    </row>
    <row r="6309" spans="1:11" x14ac:dyDescent="0.25">
      <c r="A6309" t="s">
        <v>7379</v>
      </c>
      <c r="C6309" t="s">
        <v>7380</v>
      </c>
      <c r="D6309" t="s">
        <v>5</v>
      </c>
      <c r="E6309" t="s">
        <v>6</v>
      </c>
      <c r="F6309" t="s">
        <v>28</v>
      </c>
      <c r="G6309">
        <v>1</v>
      </c>
      <c r="H6309" s="2">
        <f>Tabelle13[[#This Row],[commits]]/Tabelle13[[#Totals],[commits]]</f>
        <v>4.6477904404246225E-6</v>
      </c>
      <c r="I6309" s="5">
        <f>Tabelle13[[#This Row],[%]]+I6308</f>
        <v>0.98727434977405337</v>
      </c>
      <c r="J6309" s="4">
        <f t="shared" si="229"/>
        <v>1.105583195135434E-4</v>
      </c>
      <c r="K6309" s="5">
        <f t="shared" si="230"/>
        <v>0.69729132117199599</v>
      </c>
    </row>
    <row r="6310" spans="1:11" x14ac:dyDescent="0.25">
      <c r="A6310" t="s">
        <v>7381</v>
      </c>
      <c r="C6310" t="s">
        <v>7382</v>
      </c>
      <c r="D6310" t="s">
        <v>5</v>
      </c>
      <c r="E6310" t="s">
        <v>6</v>
      </c>
      <c r="F6310" t="s">
        <v>28</v>
      </c>
      <c r="G6310">
        <v>1</v>
      </c>
      <c r="H6310" s="2">
        <f>Tabelle13[[#This Row],[commits]]/Tabelle13[[#Totals],[commits]]</f>
        <v>4.6477904404246225E-6</v>
      </c>
      <c r="I6310" s="5">
        <f>Tabelle13[[#This Row],[%]]+I6309</f>
        <v>0.98727899756449378</v>
      </c>
      <c r="J6310" s="4">
        <f t="shared" si="229"/>
        <v>1.105583195135434E-4</v>
      </c>
      <c r="K6310" s="5">
        <f t="shared" si="230"/>
        <v>0.69740187949150956</v>
      </c>
    </row>
    <row r="6311" spans="1:11" x14ac:dyDescent="0.25">
      <c r="A6311" t="s">
        <v>7383</v>
      </c>
      <c r="C6311" t="s">
        <v>7384</v>
      </c>
      <c r="D6311" t="s">
        <v>5</v>
      </c>
      <c r="E6311" t="s">
        <v>6</v>
      </c>
      <c r="F6311" t="s">
        <v>28</v>
      </c>
      <c r="G6311">
        <v>1</v>
      </c>
      <c r="H6311" s="2">
        <f>Tabelle13[[#This Row],[commits]]/Tabelle13[[#Totals],[commits]]</f>
        <v>4.6477904404246225E-6</v>
      </c>
      <c r="I6311" s="5">
        <f>Tabelle13[[#This Row],[%]]+I6310</f>
        <v>0.98728364535493418</v>
      </c>
      <c r="J6311" s="4">
        <f t="shared" si="229"/>
        <v>1.105583195135434E-4</v>
      </c>
      <c r="K6311" s="5">
        <f t="shared" si="230"/>
        <v>0.69751243781102312</v>
      </c>
    </row>
    <row r="6312" spans="1:11" x14ac:dyDescent="0.25">
      <c r="A6312" t="s">
        <v>7385</v>
      </c>
      <c r="C6312" t="s">
        <v>7386</v>
      </c>
      <c r="D6312" t="s">
        <v>5</v>
      </c>
      <c r="E6312" t="s">
        <v>6</v>
      </c>
      <c r="F6312" t="s">
        <v>28</v>
      </c>
      <c r="G6312">
        <v>1</v>
      </c>
      <c r="H6312" s="2">
        <f>Tabelle13[[#This Row],[commits]]/Tabelle13[[#Totals],[commits]]</f>
        <v>4.6477904404246225E-6</v>
      </c>
      <c r="I6312" s="5">
        <f>Tabelle13[[#This Row],[%]]+I6311</f>
        <v>0.98728829314537458</v>
      </c>
      <c r="J6312" s="4">
        <f t="shared" si="229"/>
        <v>1.105583195135434E-4</v>
      </c>
      <c r="K6312" s="5">
        <f t="shared" si="230"/>
        <v>0.69762299613053669</v>
      </c>
    </row>
    <row r="6313" spans="1:11" x14ac:dyDescent="0.25">
      <c r="A6313" t="s">
        <v>7387</v>
      </c>
      <c r="C6313" t="s">
        <v>7388</v>
      </c>
      <c r="D6313" t="s">
        <v>5</v>
      </c>
      <c r="E6313" t="s">
        <v>6</v>
      </c>
      <c r="F6313" t="s">
        <v>28</v>
      </c>
      <c r="G6313">
        <v>1</v>
      </c>
      <c r="H6313" s="2">
        <f>Tabelle13[[#This Row],[commits]]/Tabelle13[[#Totals],[commits]]</f>
        <v>4.6477904404246225E-6</v>
      </c>
      <c r="I6313" s="5">
        <f>Tabelle13[[#This Row],[%]]+I6312</f>
        <v>0.98729294093581499</v>
      </c>
      <c r="J6313" s="4">
        <f t="shared" si="229"/>
        <v>1.105583195135434E-4</v>
      </c>
      <c r="K6313" s="5">
        <f t="shared" si="230"/>
        <v>0.69773355445005025</v>
      </c>
    </row>
    <row r="6314" spans="1:11" x14ac:dyDescent="0.25">
      <c r="A6314" t="s">
        <v>7389</v>
      </c>
      <c r="C6314" t="s">
        <v>7390</v>
      </c>
      <c r="D6314" t="s">
        <v>5</v>
      </c>
      <c r="E6314" t="s">
        <v>6</v>
      </c>
      <c r="F6314" t="s">
        <v>28</v>
      </c>
      <c r="G6314">
        <v>1</v>
      </c>
      <c r="H6314" s="2">
        <f>Tabelle13[[#This Row],[commits]]/Tabelle13[[#Totals],[commits]]</f>
        <v>4.6477904404246225E-6</v>
      </c>
      <c r="I6314" s="5">
        <f>Tabelle13[[#This Row],[%]]+I6313</f>
        <v>0.98729758872625539</v>
      </c>
      <c r="J6314" s="4">
        <f t="shared" si="229"/>
        <v>1.105583195135434E-4</v>
      </c>
      <c r="K6314" s="5">
        <f t="shared" si="230"/>
        <v>0.69784411276956382</v>
      </c>
    </row>
    <row r="6315" spans="1:11" x14ac:dyDescent="0.25">
      <c r="A6315" t="s">
        <v>7391</v>
      </c>
      <c r="C6315" t="s">
        <v>7392</v>
      </c>
      <c r="D6315" t="s">
        <v>5</v>
      </c>
      <c r="E6315" t="s">
        <v>6</v>
      </c>
      <c r="F6315" t="s">
        <v>28</v>
      </c>
      <c r="G6315">
        <v>1</v>
      </c>
      <c r="H6315" s="2">
        <f>Tabelle13[[#This Row],[commits]]/Tabelle13[[#Totals],[commits]]</f>
        <v>4.6477904404246225E-6</v>
      </c>
      <c r="I6315" s="5">
        <f>Tabelle13[[#This Row],[%]]+I6314</f>
        <v>0.9873022365166958</v>
      </c>
      <c r="J6315" s="4">
        <f t="shared" si="229"/>
        <v>1.105583195135434E-4</v>
      </c>
      <c r="K6315" s="5">
        <f t="shared" si="230"/>
        <v>0.69795467108907738</v>
      </c>
    </row>
    <row r="6316" spans="1:11" x14ac:dyDescent="0.25">
      <c r="A6316" t="s">
        <v>7393</v>
      </c>
      <c r="C6316" t="s">
        <v>7394</v>
      </c>
      <c r="D6316" t="s">
        <v>5</v>
      </c>
      <c r="E6316" t="s">
        <v>6</v>
      </c>
      <c r="F6316" t="s">
        <v>28</v>
      </c>
      <c r="G6316">
        <v>1</v>
      </c>
      <c r="H6316" s="2">
        <f>Tabelle13[[#This Row],[commits]]/Tabelle13[[#Totals],[commits]]</f>
        <v>4.6477904404246225E-6</v>
      </c>
      <c r="I6316" s="5">
        <f>Tabelle13[[#This Row],[%]]+I6315</f>
        <v>0.9873068843071362</v>
      </c>
      <c r="J6316" s="4">
        <f t="shared" si="229"/>
        <v>1.105583195135434E-4</v>
      </c>
      <c r="K6316" s="5">
        <f t="shared" si="230"/>
        <v>0.69806522940859095</v>
      </c>
    </row>
    <row r="6317" spans="1:11" x14ac:dyDescent="0.25">
      <c r="A6317" t="s">
        <v>7395</v>
      </c>
      <c r="C6317" t="s">
        <v>7396</v>
      </c>
      <c r="D6317" t="s">
        <v>5</v>
      </c>
      <c r="E6317" t="s">
        <v>6</v>
      </c>
      <c r="F6317" t="s">
        <v>28</v>
      </c>
      <c r="G6317">
        <v>1</v>
      </c>
      <c r="H6317" s="2">
        <f>Tabelle13[[#This Row],[commits]]/Tabelle13[[#Totals],[commits]]</f>
        <v>4.6477904404246225E-6</v>
      </c>
      <c r="I6317" s="5">
        <f>Tabelle13[[#This Row],[%]]+I6316</f>
        <v>0.98731153209757661</v>
      </c>
      <c r="J6317" s="4">
        <f t="shared" si="229"/>
        <v>1.105583195135434E-4</v>
      </c>
      <c r="K6317" s="5">
        <f t="shared" si="230"/>
        <v>0.69817578772810451</v>
      </c>
    </row>
    <row r="6318" spans="1:11" x14ac:dyDescent="0.25">
      <c r="A6318" t="s">
        <v>7397</v>
      </c>
      <c r="C6318" t="s">
        <v>7398</v>
      </c>
      <c r="D6318" t="s">
        <v>5</v>
      </c>
      <c r="E6318" t="s">
        <v>6</v>
      </c>
      <c r="F6318" t="s">
        <v>28</v>
      </c>
      <c r="G6318">
        <v>1</v>
      </c>
      <c r="H6318" s="2">
        <f>Tabelle13[[#This Row],[commits]]/Tabelle13[[#Totals],[commits]]</f>
        <v>4.6477904404246225E-6</v>
      </c>
      <c r="I6318" s="5">
        <f>Tabelle13[[#This Row],[%]]+I6317</f>
        <v>0.98731617988801701</v>
      </c>
      <c r="J6318" s="4">
        <f t="shared" si="229"/>
        <v>1.105583195135434E-4</v>
      </c>
      <c r="K6318" s="5">
        <f t="shared" si="230"/>
        <v>0.69828634604761808</v>
      </c>
    </row>
    <row r="6319" spans="1:11" x14ac:dyDescent="0.25">
      <c r="A6319" t="s">
        <v>7399</v>
      </c>
      <c r="C6319" t="s">
        <v>7400</v>
      </c>
      <c r="D6319" t="s">
        <v>5</v>
      </c>
      <c r="E6319" t="s">
        <v>6</v>
      </c>
      <c r="F6319" t="s">
        <v>28</v>
      </c>
      <c r="G6319">
        <v>1</v>
      </c>
      <c r="H6319" s="2">
        <f>Tabelle13[[#This Row],[commits]]/Tabelle13[[#Totals],[commits]]</f>
        <v>4.6477904404246225E-6</v>
      </c>
      <c r="I6319" s="5">
        <f>Tabelle13[[#This Row],[%]]+I6318</f>
        <v>0.98732082767845741</v>
      </c>
      <c r="J6319" s="4">
        <f t="shared" si="229"/>
        <v>1.105583195135434E-4</v>
      </c>
      <c r="K6319" s="5">
        <f t="shared" si="230"/>
        <v>0.69839690436713164</v>
      </c>
    </row>
    <row r="6320" spans="1:11" x14ac:dyDescent="0.25">
      <c r="A6320" t="s">
        <v>7401</v>
      </c>
      <c r="C6320" t="s">
        <v>7402</v>
      </c>
      <c r="D6320" t="s">
        <v>5</v>
      </c>
      <c r="E6320" t="s">
        <v>6</v>
      </c>
      <c r="F6320" t="s">
        <v>28</v>
      </c>
      <c r="G6320">
        <v>1</v>
      </c>
      <c r="H6320" s="2">
        <f>Tabelle13[[#This Row],[commits]]/Tabelle13[[#Totals],[commits]]</f>
        <v>4.6477904404246225E-6</v>
      </c>
      <c r="I6320" s="5">
        <f>Tabelle13[[#This Row],[%]]+I6319</f>
        <v>0.98732547546889782</v>
      </c>
      <c r="J6320" s="4">
        <f t="shared" si="229"/>
        <v>1.105583195135434E-4</v>
      </c>
      <c r="K6320" s="5">
        <f t="shared" si="230"/>
        <v>0.69850746268664521</v>
      </c>
    </row>
    <row r="6321" spans="1:11" x14ac:dyDescent="0.25">
      <c r="A6321" t="s">
        <v>7403</v>
      </c>
      <c r="C6321" t="s">
        <v>7404</v>
      </c>
      <c r="D6321" t="s">
        <v>5</v>
      </c>
      <c r="E6321" t="s">
        <v>6</v>
      </c>
      <c r="F6321" t="s">
        <v>28</v>
      </c>
      <c r="G6321">
        <v>1</v>
      </c>
      <c r="H6321" s="2">
        <f>Tabelle13[[#This Row],[commits]]/Tabelle13[[#Totals],[commits]]</f>
        <v>4.6477904404246225E-6</v>
      </c>
      <c r="I6321" s="5">
        <f>Tabelle13[[#This Row],[%]]+I6320</f>
        <v>0.98733012325933822</v>
      </c>
      <c r="J6321" s="4">
        <f t="shared" si="229"/>
        <v>1.105583195135434E-4</v>
      </c>
      <c r="K6321" s="5">
        <f t="shared" si="230"/>
        <v>0.69861802100615877</v>
      </c>
    </row>
    <row r="6322" spans="1:11" x14ac:dyDescent="0.25">
      <c r="A6322" t="s">
        <v>7405</v>
      </c>
      <c r="C6322" t="s">
        <v>7406</v>
      </c>
      <c r="D6322" t="s">
        <v>5</v>
      </c>
      <c r="E6322" t="s">
        <v>6</v>
      </c>
      <c r="F6322" t="s">
        <v>28</v>
      </c>
      <c r="G6322">
        <v>1</v>
      </c>
      <c r="H6322" s="2">
        <f>Tabelle13[[#This Row],[commits]]/Tabelle13[[#Totals],[commits]]</f>
        <v>4.6477904404246225E-6</v>
      </c>
      <c r="I6322" s="5">
        <f>Tabelle13[[#This Row],[%]]+I6321</f>
        <v>0.98733477104977863</v>
      </c>
      <c r="J6322" s="4">
        <f t="shared" si="229"/>
        <v>1.105583195135434E-4</v>
      </c>
      <c r="K6322" s="5">
        <f t="shared" si="230"/>
        <v>0.69872857932567234</v>
      </c>
    </row>
    <row r="6323" spans="1:11" x14ac:dyDescent="0.25">
      <c r="A6323" t="s">
        <v>7407</v>
      </c>
      <c r="C6323" t="s">
        <v>7408</v>
      </c>
      <c r="D6323" t="s">
        <v>5</v>
      </c>
      <c r="E6323" t="s">
        <v>6</v>
      </c>
      <c r="F6323" t="s">
        <v>28</v>
      </c>
      <c r="G6323">
        <v>1</v>
      </c>
      <c r="H6323" s="2">
        <f>Tabelle13[[#This Row],[commits]]/Tabelle13[[#Totals],[commits]]</f>
        <v>4.6477904404246225E-6</v>
      </c>
      <c r="I6323" s="5">
        <f>Tabelle13[[#This Row],[%]]+I6322</f>
        <v>0.98733941884021903</v>
      </c>
      <c r="J6323" s="4">
        <f t="shared" si="229"/>
        <v>1.105583195135434E-4</v>
      </c>
      <c r="K6323" s="5">
        <f t="shared" si="230"/>
        <v>0.6988391376451859</v>
      </c>
    </row>
    <row r="6324" spans="1:11" x14ac:dyDescent="0.25">
      <c r="A6324" t="s">
        <v>7409</v>
      </c>
      <c r="C6324" t="s">
        <v>7410</v>
      </c>
      <c r="D6324" t="s">
        <v>5</v>
      </c>
      <c r="E6324" t="s">
        <v>6</v>
      </c>
      <c r="F6324" t="s">
        <v>28</v>
      </c>
      <c r="G6324">
        <v>1</v>
      </c>
      <c r="H6324" s="2">
        <f>Tabelle13[[#This Row],[commits]]/Tabelle13[[#Totals],[commits]]</f>
        <v>4.6477904404246225E-6</v>
      </c>
      <c r="I6324" s="5">
        <f>Tabelle13[[#This Row],[%]]+I6323</f>
        <v>0.98734406663065943</v>
      </c>
      <c r="J6324" s="4">
        <f t="shared" si="229"/>
        <v>1.105583195135434E-4</v>
      </c>
      <c r="K6324" s="5">
        <f t="shared" si="230"/>
        <v>0.69894969596469947</v>
      </c>
    </row>
    <row r="6325" spans="1:11" x14ac:dyDescent="0.25">
      <c r="A6325" t="s">
        <v>7411</v>
      </c>
      <c r="C6325" t="s">
        <v>7412</v>
      </c>
      <c r="D6325" t="s">
        <v>5</v>
      </c>
      <c r="E6325" t="s">
        <v>6</v>
      </c>
      <c r="F6325" t="s">
        <v>28</v>
      </c>
      <c r="G6325">
        <v>1</v>
      </c>
      <c r="H6325" s="2">
        <f>Tabelle13[[#This Row],[commits]]/Tabelle13[[#Totals],[commits]]</f>
        <v>4.6477904404246225E-6</v>
      </c>
      <c r="I6325" s="5">
        <f>Tabelle13[[#This Row],[%]]+I6324</f>
        <v>0.98734871442109984</v>
      </c>
      <c r="J6325" s="4">
        <f t="shared" si="229"/>
        <v>1.105583195135434E-4</v>
      </c>
      <c r="K6325" s="5">
        <f t="shared" si="230"/>
        <v>0.69906025428421303</v>
      </c>
    </row>
    <row r="6326" spans="1:11" x14ac:dyDescent="0.25">
      <c r="A6326" t="s">
        <v>7413</v>
      </c>
      <c r="C6326" t="s">
        <v>7414</v>
      </c>
      <c r="D6326" t="s">
        <v>5</v>
      </c>
      <c r="E6326" t="s">
        <v>6</v>
      </c>
      <c r="F6326" t="s">
        <v>28</v>
      </c>
      <c r="G6326">
        <v>1</v>
      </c>
      <c r="H6326" s="2">
        <f>Tabelle13[[#This Row],[commits]]/Tabelle13[[#Totals],[commits]]</f>
        <v>4.6477904404246225E-6</v>
      </c>
      <c r="I6326" s="5">
        <f>Tabelle13[[#This Row],[%]]+I6325</f>
        <v>0.98735336221154024</v>
      </c>
      <c r="J6326" s="4">
        <f t="shared" si="229"/>
        <v>1.105583195135434E-4</v>
      </c>
      <c r="K6326" s="5">
        <f t="shared" si="230"/>
        <v>0.6991708126037266</v>
      </c>
    </row>
    <row r="6327" spans="1:11" x14ac:dyDescent="0.25">
      <c r="A6327" t="s">
        <v>7415</v>
      </c>
      <c r="C6327" t="s">
        <v>7416</v>
      </c>
      <c r="D6327" t="s">
        <v>5</v>
      </c>
      <c r="E6327" t="s">
        <v>6</v>
      </c>
      <c r="F6327" t="s">
        <v>28</v>
      </c>
      <c r="G6327">
        <v>1</v>
      </c>
      <c r="H6327" s="2">
        <f>Tabelle13[[#This Row],[commits]]/Tabelle13[[#Totals],[commits]]</f>
        <v>4.6477904404246225E-6</v>
      </c>
      <c r="I6327" s="5">
        <f>Tabelle13[[#This Row],[%]]+I6326</f>
        <v>0.98735801000198065</v>
      </c>
      <c r="J6327" s="4">
        <f t="shared" si="229"/>
        <v>1.105583195135434E-4</v>
      </c>
      <c r="K6327" s="5">
        <f t="shared" si="230"/>
        <v>0.69928137092324016</v>
      </c>
    </row>
    <row r="6328" spans="1:11" x14ac:dyDescent="0.25">
      <c r="A6328" t="s">
        <v>7417</v>
      </c>
      <c r="C6328" t="s">
        <v>7418</v>
      </c>
      <c r="D6328" t="s">
        <v>5</v>
      </c>
      <c r="E6328" t="s">
        <v>6</v>
      </c>
      <c r="F6328" t="s">
        <v>28</v>
      </c>
      <c r="G6328">
        <v>1</v>
      </c>
      <c r="H6328" s="2">
        <f>Tabelle13[[#This Row],[commits]]/Tabelle13[[#Totals],[commits]]</f>
        <v>4.6477904404246225E-6</v>
      </c>
      <c r="I6328" s="5">
        <f>Tabelle13[[#This Row],[%]]+I6327</f>
        <v>0.98736265779242105</v>
      </c>
      <c r="J6328" s="4">
        <f t="shared" si="229"/>
        <v>1.105583195135434E-4</v>
      </c>
      <c r="K6328" s="5">
        <f t="shared" si="230"/>
        <v>0.69939192924275373</v>
      </c>
    </row>
    <row r="6329" spans="1:11" x14ac:dyDescent="0.25">
      <c r="A6329" t="s">
        <v>7419</v>
      </c>
      <c r="C6329" t="s">
        <v>7420</v>
      </c>
      <c r="D6329" t="s">
        <v>5</v>
      </c>
      <c r="E6329" t="s">
        <v>6</v>
      </c>
      <c r="F6329" t="s">
        <v>28</v>
      </c>
      <c r="G6329">
        <v>1</v>
      </c>
      <c r="H6329" s="2">
        <f>Tabelle13[[#This Row],[commits]]/Tabelle13[[#Totals],[commits]]</f>
        <v>4.6477904404246225E-6</v>
      </c>
      <c r="I6329" s="5">
        <f>Tabelle13[[#This Row],[%]]+I6328</f>
        <v>0.98736730558286145</v>
      </c>
      <c r="J6329" s="4">
        <f t="shared" si="229"/>
        <v>1.105583195135434E-4</v>
      </c>
      <c r="K6329" s="5">
        <f t="shared" si="230"/>
        <v>0.69950248756226729</v>
      </c>
    </row>
    <row r="6330" spans="1:11" x14ac:dyDescent="0.25">
      <c r="A6330" t="s">
        <v>7421</v>
      </c>
      <c r="C6330" t="s">
        <v>7422</v>
      </c>
      <c r="D6330" t="s">
        <v>5</v>
      </c>
      <c r="E6330" t="s">
        <v>6</v>
      </c>
      <c r="F6330" t="s">
        <v>28</v>
      </c>
      <c r="G6330">
        <v>1</v>
      </c>
      <c r="H6330" s="2">
        <f>Tabelle13[[#This Row],[commits]]/Tabelle13[[#Totals],[commits]]</f>
        <v>4.6477904404246225E-6</v>
      </c>
      <c r="I6330" s="5">
        <f>Tabelle13[[#This Row],[%]]+I6329</f>
        <v>0.98737195337330186</v>
      </c>
      <c r="J6330" s="4">
        <f t="shared" si="229"/>
        <v>1.105583195135434E-4</v>
      </c>
      <c r="K6330" s="5">
        <f t="shared" si="230"/>
        <v>0.69961304588178086</v>
      </c>
    </row>
    <row r="6331" spans="1:11" x14ac:dyDescent="0.25">
      <c r="A6331" t="s">
        <v>7423</v>
      </c>
      <c r="C6331" t="s">
        <v>7424</v>
      </c>
      <c r="D6331" t="s">
        <v>5</v>
      </c>
      <c r="E6331" t="s">
        <v>6</v>
      </c>
      <c r="F6331" t="s">
        <v>28</v>
      </c>
      <c r="G6331">
        <v>1</v>
      </c>
      <c r="H6331" s="2">
        <f>Tabelle13[[#This Row],[commits]]/Tabelle13[[#Totals],[commits]]</f>
        <v>4.6477904404246225E-6</v>
      </c>
      <c r="I6331" s="5">
        <f>Tabelle13[[#This Row],[%]]+I6330</f>
        <v>0.98737660116374226</v>
      </c>
      <c r="J6331" s="4">
        <f t="shared" si="229"/>
        <v>1.105583195135434E-4</v>
      </c>
      <c r="K6331" s="5">
        <f t="shared" si="230"/>
        <v>0.69972360420129442</v>
      </c>
    </row>
    <row r="6332" spans="1:11" x14ac:dyDescent="0.25">
      <c r="A6332" t="s">
        <v>7425</v>
      </c>
      <c r="C6332" t="s">
        <v>1027</v>
      </c>
      <c r="D6332" t="s">
        <v>5</v>
      </c>
      <c r="E6332" t="s">
        <v>6</v>
      </c>
      <c r="F6332" t="s">
        <v>28</v>
      </c>
      <c r="G6332">
        <v>1</v>
      </c>
      <c r="H6332" s="2">
        <f>Tabelle13[[#This Row],[commits]]/Tabelle13[[#Totals],[commits]]</f>
        <v>4.6477904404246225E-6</v>
      </c>
      <c r="I6332" s="5">
        <f>Tabelle13[[#This Row],[%]]+I6331</f>
        <v>0.98738124895418267</v>
      </c>
      <c r="J6332" s="4">
        <f t="shared" si="229"/>
        <v>1.105583195135434E-4</v>
      </c>
      <c r="K6332" s="5">
        <f t="shared" si="230"/>
        <v>0.69983416252080799</v>
      </c>
    </row>
    <row r="6333" spans="1:11" x14ac:dyDescent="0.25">
      <c r="A6333" t="s">
        <v>7426</v>
      </c>
      <c r="C6333" t="s">
        <v>7427</v>
      </c>
      <c r="D6333" t="s">
        <v>5</v>
      </c>
      <c r="E6333" t="s">
        <v>6</v>
      </c>
      <c r="F6333" t="s">
        <v>28</v>
      </c>
      <c r="G6333">
        <v>1</v>
      </c>
      <c r="H6333" s="2">
        <f>Tabelle13[[#This Row],[commits]]/Tabelle13[[#Totals],[commits]]</f>
        <v>4.6477904404246225E-6</v>
      </c>
      <c r="I6333" s="5">
        <f>Tabelle13[[#This Row],[%]]+I6332</f>
        <v>0.98738589674462307</v>
      </c>
      <c r="J6333" s="4">
        <f t="shared" si="229"/>
        <v>1.105583195135434E-4</v>
      </c>
      <c r="K6333" s="5">
        <f t="shared" si="230"/>
        <v>0.69994472084032155</v>
      </c>
    </row>
    <row r="6334" spans="1:11" x14ac:dyDescent="0.25">
      <c r="A6334" t="s">
        <v>7428</v>
      </c>
      <c r="C6334" t="s">
        <v>7429</v>
      </c>
      <c r="D6334" t="s">
        <v>5</v>
      </c>
      <c r="E6334" t="s">
        <v>6</v>
      </c>
      <c r="F6334" t="s">
        <v>28</v>
      </c>
      <c r="G6334">
        <v>1</v>
      </c>
      <c r="H6334" s="2">
        <f>Tabelle13[[#This Row],[commits]]/Tabelle13[[#Totals],[commits]]</f>
        <v>4.6477904404246225E-6</v>
      </c>
      <c r="I6334" s="5">
        <f>Tabelle13[[#This Row],[%]]+I6333</f>
        <v>0.98739054453506347</v>
      </c>
      <c r="J6334" s="4">
        <f t="shared" si="229"/>
        <v>1.105583195135434E-4</v>
      </c>
      <c r="K6334" s="5">
        <f t="shared" si="230"/>
        <v>0.70005527915983512</v>
      </c>
    </row>
    <row r="6335" spans="1:11" x14ac:dyDescent="0.25">
      <c r="A6335" t="s">
        <v>7430</v>
      </c>
      <c r="C6335" t="s">
        <v>7431</v>
      </c>
      <c r="D6335" t="s">
        <v>5</v>
      </c>
      <c r="E6335" t="s">
        <v>6</v>
      </c>
      <c r="F6335" t="s">
        <v>28</v>
      </c>
      <c r="G6335">
        <v>1</v>
      </c>
      <c r="H6335" s="2">
        <f>Tabelle13[[#This Row],[commits]]/Tabelle13[[#Totals],[commits]]</f>
        <v>4.6477904404246225E-6</v>
      </c>
      <c r="I6335" s="5">
        <f>Tabelle13[[#This Row],[%]]+I6334</f>
        <v>0.98739519232550388</v>
      </c>
      <c r="J6335" s="4">
        <f t="shared" si="229"/>
        <v>1.105583195135434E-4</v>
      </c>
      <c r="K6335" s="5">
        <f t="shared" si="230"/>
        <v>0.70016583747934868</v>
      </c>
    </row>
    <row r="6336" spans="1:11" x14ac:dyDescent="0.25">
      <c r="A6336" t="s">
        <v>7432</v>
      </c>
      <c r="C6336" t="s">
        <v>7433</v>
      </c>
      <c r="D6336" t="s">
        <v>5</v>
      </c>
      <c r="E6336" t="s">
        <v>6</v>
      </c>
      <c r="F6336" t="s">
        <v>28</v>
      </c>
      <c r="G6336">
        <v>1</v>
      </c>
      <c r="H6336" s="2">
        <f>Tabelle13[[#This Row],[commits]]/Tabelle13[[#Totals],[commits]]</f>
        <v>4.6477904404246225E-6</v>
      </c>
      <c r="I6336" s="5">
        <f>Tabelle13[[#This Row],[%]]+I6335</f>
        <v>0.98739984011594428</v>
      </c>
      <c r="J6336" s="4">
        <f t="shared" si="229"/>
        <v>1.105583195135434E-4</v>
      </c>
      <c r="K6336" s="5">
        <f t="shared" si="230"/>
        <v>0.70027639579886225</v>
      </c>
    </row>
    <row r="6337" spans="1:11" x14ac:dyDescent="0.25">
      <c r="A6337" t="s">
        <v>7434</v>
      </c>
      <c r="C6337" t="s">
        <v>7435</v>
      </c>
      <c r="D6337" t="s">
        <v>5</v>
      </c>
      <c r="E6337" t="s">
        <v>6</v>
      </c>
      <c r="F6337" t="s">
        <v>28</v>
      </c>
      <c r="G6337">
        <v>1</v>
      </c>
      <c r="H6337" s="2">
        <f>Tabelle13[[#This Row],[commits]]/Tabelle13[[#Totals],[commits]]</f>
        <v>4.6477904404246225E-6</v>
      </c>
      <c r="I6337" s="5">
        <f>Tabelle13[[#This Row],[%]]+I6336</f>
        <v>0.98740448790638469</v>
      </c>
      <c r="J6337" s="4">
        <f t="shared" si="229"/>
        <v>1.105583195135434E-4</v>
      </c>
      <c r="K6337" s="5">
        <f t="shared" si="230"/>
        <v>0.70038695411837582</v>
      </c>
    </row>
    <row r="6338" spans="1:11" x14ac:dyDescent="0.25">
      <c r="A6338" t="s">
        <v>7436</v>
      </c>
      <c r="C6338" t="s">
        <v>7437</v>
      </c>
      <c r="D6338" t="s">
        <v>5</v>
      </c>
      <c r="E6338" t="s">
        <v>6</v>
      </c>
      <c r="F6338" t="s">
        <v>28</v>
      </c>
      <c r="G6338">
        <v>1</v>
      </c>
      <c r="H6338" s="2">
        <f>Tabelle13[[#This Row],[commits]]/Tabelle13[[#Totals],[commits]]</f>
        <v>4.6477904404246225E-6</v>
      </c>
      <c r="I6338" s="5">
        <f>Tabelle13[[#This Row],[%]]+I6337</f>
        <v>0.98740913569682509</v>
      </c>
      <c r="J6338" s="4">
        <f t="shared" si="229"/>
        <v>1.105583195135434E-4</v>
      </c>
      <c r="K6338" s="5">
        <f t="shared" si="230"/>
        <v>0.70049751243788938</v>
      </c>
    </row>
    <row r="6339" spans="1:11" x14ac:dyDescent="0.25">
      <c r="A6339" t="s">
        <v>7438</v>
      </c>
      <c r="C6339" t="s">
        <v>7439</v>
      </c>
      <c r="D6339" t="s">
        <v>5</v>
      </c>
      <c r="E6339" t="s">
        <v>6</v>
      </c>
      <c r="F6339" t="s">
        <v>28</v>
      </c>
      <c r="G6339">
        <v>1</v>
      </c>
      <c r="H6339" s="2">
        <f>Tabelle13[[#This Row],[commits]]/Tabelle13[[#Totals],[commits]]</f>
        <v>4.6477904404246225E-6</v>
      </c>
      <c r="I6339" s="5">
        <f>Tabelle13[[#This Row],[%]]+I6338</f>
        <v>0.9874137834872655</v>
      </c>
      <c r="J6339" s="4">
        <f t="shared" ref="J6339:J6402" si="231">1/9045</f>
        <v>1.105583195135434E-4</v>
      </c>
      <c r="K6339" s="5">
        <f t="shared" si="230"/>
        <v>0.70060807075740295</v>
      </c>
    </row>
    <row r="6340" spans="1:11" x14ac:dyDescent="0.25">
      <c r="A6340" t="s">
        <v>7440</v>
      </c>
      <c r="C6340" t="s">
        <v>7439</v>
      </c>
      <c r="D6340" t="s">
        <v>5</v>
      </c>
      <c r="E6340" t="s">
        <v>6</v>
      </c>
      <c r="F6340" t="s">
        <v>28</v>
      </c>
      <c r="G6340">
        <v>1</v>
      </c>
      <c r="H6340" s="2">
        <f>Tabelle13[[#This Row],[commits]]/Tabelle13[[#Totals],[commits]]</f>
        <v>4.6477904404246225E-6</v>
      </c>
      <c r="I6340" s="5">
        <f>Tabelle13[[#This Row],[%]]+I6339</f>
        <v>0.9874184312777059</v>
      </c>
      <c r="J6340" s="4">
        <f t="shared" si="231"/>
        <v>1.105583195135434E-4</v>
      </c>
      <c r="K6340" s="5">
        <f t="shared" si="230"/>
        <v>0.70071862907691651</v>
      </c>
    </row>
    <row r="6341" spans="1:11" x14ac:dyDescent="0.25">
      <c r="A6341" t="s">
        <v>7441</v>
      </c>
      <c r="C6341" t="s">
        <v>2327</v>
      </c>
      <c r="D6341" t="s">
        <v>5</v>
      </c>
      <c r="E6341" t="s">
        <v>6</v>
      </c>
      <c r="F6341" t="s">
        <v>28</v>
      </c>
      <c r="G6341">
        <v>1</v>
      </c>
      <c r="H6341" s="2">
        <f>Tabelle13[[#This Row],[commits]]/Tabelle13[[#Totals],[commits]]</f>
        <v>4.6477904404246225E-6</v>
      </c>
      <c r="I6341" s="5">
        <f>Tabelle13[[#This Row],[%]]+I6340</f>
        <v>0.9874230790681463</v>
      </c>
      <c r="J6341" s="4">
        <f t="shared" si="231"/>
        <v>1.105583195135434E-4</v>
      </c>
      <c r="K6341" s="5">
        <f t="shared" si="230"/>
        <v>0.70082918739643008</v>
      </c>
    </row>
    <row r="6342" spans="1:11" x14ac:dyDescent="0.25">
      <c r="A6342" t="s">
        <v>7442</v>
      </c>
      <c r="C6342" t="s">
        <v>7443</v>
      </c>
      <c r="D6342" t="s">
        <v>5</v>
      </c>
      <c r="E6342" t="s">
        <v>6</v>
      </c>
      <c r="F6342" t="s">
        <v>28</v>
      </c>
      <c r="G6342">
        <v>1</v>
      </c>
      <c r="H6342" s="2">
        <f>Tabelle13[[#This Row],[commits]]/Tabelle13[[#Totals],[commits]]</f>
        <v>4.6477904404246225E-6</v>
      </c>
      <c r="I6342" s="5">
        <f>Tabelle13[[#This Row],[%]]+I6341</f>
        <v>0.98742772685858671</v>
      </c>
      <c r="J6342" s="4">
        <f t="shared" si="231"/>
        <v>1.105583195135434E-4</v>
      </c>
      <c r="K6342" s="5">
        <f t="shared" ref="K6342:K6405" si="232">J6342+K6341</f>
        <v>0.70093974571594364</v>
      </c>
    </row>
    <row r="6343" spans="1:11" x14ac:dyDescent="0.25">
      <c r="A6343" t="s">
        <v>7444</v>
      </c>
      <c r="C6343" t="s">
        <v>7445</v>
      </c>
      <c r="D6343" t="s">
        <v>5</v>
      </c>
      <c r="E6343" t="s">
        <v>6</v>
      </c>
      <c r="F6343" t="s">
        <v>28</v>
      </c>
      <c r="G6343">
        <v>1</v>
      </c>
      <c r="H6343" s="2">
        <f>Tabelle13[[#This Row],[commits]]/Tabelle13[[#Totals],[commits]]</f>
        <v>4.6477904404246225E-6</v>
      </c>
      <c r="I6343" s="5">
        <f>Tabelle13[[#This Row],[%]]+I6342</f>
        <v>0.98743237464902711</v>
      </c>
      <c r="J6343" s="4">
        <f t="shared" si="231"/>
        <v>1.105583195135434E-4</v>
      </c>
      <c r="K6343" s="5">
        <f t="shared" si="232"/>
        <v>0.70105030403545721</v>
      </c>
    </row>
    <row r="6344" spans="1:11" x14ac:dyDescent="0.25">
      <c r="A6344" t="s">
        <v>7446</v>
      </c>
      <c r="C6344" t="s">
        <v>7447</v>
      </c>
      <c r="D6344" t="s">
        <v>5</v>
      </c>
      <c r="E6344" t="s">
        <v>6</v>
      </c>
      <c r="F6344" t="s">
        <v>251</v>
      </c>
      <c r="G6344">
        <v>1</v>
      </c>
      <c r="H6344" s="2">
        <f>Tabelle13[[#This Row],[commits]]/Tabelle13[[#Totals],[commits]]</f>
        <v>4.6477904404246225E-6</v>
      </c>
      <c r="I6344" s="5">
        <f>Tabelle13[[#This Row],[%]]+I6343</f>
        <v>0.98743702243946752</v>
      </c>
      <c r="J6344" s="4">
        <f t="shared" si="231"/>
        <v>1.105583195135434E-4</v>
      </c>
      <c r="K6344" s="5">
        <f t="shared" si="232"/>
        <v>0.70116086235497077</v>
      </c>
    </row>
    <row r="6345" spans="1:11" x14ac:dyDescent="0.25">
      <c r="A6345" t="s">
        <v>7448</v>
      </c>
      <c r="C6345" t="s">
        <v>7449</v>
      </c>
      <c r="D6345" t="s">
        <v>5</v>
      </c>
      <c r="E6345" t="s">
        <v>6</v>
      </c>
      <c r="F6345" t="s">
        <v>28</v>
      </c>
      <c r="G6345">
        <v>1</v>
      </c>
      <c r="H6345" s="2">
        <f>Tabelle13[[#This Row],[commits]]/Tabelle13[[#Totals],[commits]]</f>
        <v>4.6477904404246225E-6</v>
      </c>
      <c r="I6345" s="5">
        <f>Tabelle13[[#This Row],[%]]+I6344</f>
        <v>0.98744167022990792</v>
      </c>
      <c r="J6345" s="4">
        <f t="shared" si="231"/>
        <v>1.105583195135434E-4</v>
      </c>
      <c r="K6345" s="5">
        <f t="shared" si="232"/>
        <v>0.70127142067448434</v>
      </c>
    </row>
    <row r="6346" spans="1:11" x14ac:dyDescent="0.25">
      <c r="A6346" t="s">
        <v>7450</v>
      </c>
      <c r="C6346" t="s">
        <v>4024</v>
      </c>
      <c r="D6346" t="s">
        <v>5</v>
      </c>
      <c r="E6346" t="s">
        <v>6</v>
      </c>
      <c r="F6346" t="s">
        <v>28</v>
      </c>
      <c r="G6346">
        <v>1</v>
      </c>
      <c r="H6346" s="2">
        <f>Tabelle13[[#This Row],[commits]]/Tabelle13[[#Totals],[commits]]</f>
        <v>4.6477904404246225E-6</v>
      </c>
      <c r="I6346" s="5">
        <f>Tabelle13[[#This Row],[%]]+I6345</f>
        <v>0.98744631802034832</v>
      </c>
      <c r="J6346" s="4">
        <f t="shared" si="231"/>
        <v>1.105583195135434E-4</v>
      </c>
      <c r="K6346" s="5">
        <f t="shared" si="232"/>
        <v>0.7013819789939979</v>
      </c>
    </row>
    <row r="6347" spans="1:11" x14ac:dyDescent="0.25">
      <c r="A6347" t="s">
        <v>7451</v>
      </c>
      <c r="C6347" t="s">
        <v>7452</v>
      </c>
      <c r="D6347" t="s">
        <v>5</v>
      </c>
      <c r="E6347" t="s">
        <v>6</v>
      </c>
      <c r="F6347" t="s">
        <v>28</v>
      </c>
      <c r="G6347">
        <v>1</v>
      </c>
      <c r="H6347" s="2">
        <f>Tabelle13[[#This Row],[commits]]/Tabelle13[[#Totals],[commits]]</f>
        <v>4.6477904404246225E-6</v>
      </c>
      <c r="I6347" s="5">
        <f>Tabelle13[[#This Row],[%]]+I6346</f>
        <v>0.98745096581078873</v>
      </c>
      <c r="J6347" s="4">
        <f t="shared" si="231"/>
        <v>1.105583195135434E-4</v>
      </c>
      <c r="K6347" s="5">
        <f t="shared" si="232"/>
        <v>0.70149253731351147</v>
      </c>
    </row>
    <row r="6348" spans="1:11" x14ac:dyDescent="0.25">
      <c r="A6348" t="s">
        <v>7453</v>
      </c>
      <c r="C6348" t="s">
        <v>7454</v>
      </c>
      <c r="D6348" t="s">
        <v>5</v>
      </c>
      <c r="E6348" t="s">
        <v>6</v>
      </c>
      <c r="F6348" t="s">
        <v>28</v>
      </c>
      <c r="G6348">
        <v>1</v>
      </c>
      <c r="H6348" s="2">
        <f>Tabelle13[[#This Row],[commits]]/Tabelle13[[#Totals],[commits]]</f>
        <v>4.6477904404246225E-6</v>
      </c>
      <c r="I6348" s="5">
        <f>Tabelle13[[#This Row],[%]]+I6347</f>
        <v>0.98745561360122913</v>
      </c>
      <c r="J6348" s="4">
        <f t="shared" si="231"/>
        <v>1.105583195135434E-4</v>
      </c>
      <c r="K6348" s="5">
        <f t="shared" si="232"/>
        <v>0.70160309563302503</v>
      </c>
    </row>
    <row r="6349" spans="1:11" x14ac:dyDescent="0.25">
      <c r="A6349" t="s">
        <v>7455</v>
      </c>
      <c r="C6349" t="s">
        <v>7456</v>
      </c>
      <c r="D6349" t="s">
        <v>5</v>
      </c>
      <c r="E6349" t="s">
        <v>6</v>
      </c>
      <c r="F6349" t="s">
        <v>28</v>
      </c>
      <c r="G6349">
        <v>1</v>
      </c>
      <c r="H6349" s="2">
        <f>Tabelle13[[#This Row],[commits]]/Tabelle13[[#Totals],[commits]]</f>
        <v>4.6477904404246225E-6</v>
      </c>
      <c r="I6349" s="5">
        <f>Tabelle13[[#This Row],[%]]+I6348</f>
        <v>0.98746026139166954</v>
      </c>
      <c r="J6349" s="4">
        <f t="shared" si="231"/>
        <v>1.105583195135434E-4</v>
      </c>
      <c r="K6349" s="5">
        <f t="shared" si="232"/>
        <v>0.7017136539525386</v>
      </c>
    </row>
    <row r="6350" spans="1:11" x14ac:dyDescent="0.25">
      <c r="A6350" t="s">
        <v>7457</v>
      </c>
      <c r="C6350" t="s">
        <v>7458</v>
      </c>
      <c r="D6350" t="s">
        <v>5175</v>
      </c>
      <c r="E6350" t="s">
        <v>6</v>
      </c>
      <c r="F6350" t="s">
        <v>28</v>
      </c>
      <c r="G6350">
        <v>1</v>
      </c>
      <c r="H6350" s="2">
        <f>Tabelle13[[#This Row],[commits]]/Tabelle13[[#Totals],[commits]]</f>
        <v>4.6477904404246225E-6</v>
      </c>
      <c r="I6350" s="5">
        <f>Tabelle13[[#This Row],[%]]+I6349</f>
        <v>0.98746490918210994</v>
      </c>
      <c r="J6350" s="4">
        <f t="shared" si="231"/>
        <v>1.105583195135434E-4</v>
      </c>
      <c r="K6350" s="5">
        <f t="shared" si="232"/>
        <v>0.70182421227205216</v>
      </c>
    </row>
    <row r="6351" spans="1:11" x14ac:dyDescent="0.25">
      <c r="A6351" t="s">
        <v>7459</v>
      </c>
      <c r="C6351" t="s">
        <v>7460</v>
      </c>
      <c r="D6351" t="s">
        <v>5</v>
      </c>
      <c r="E6351" t="s">
        <v>6</v>
      </c>
      <c r="F6351" t="s">
        <v>28</v>
      </c>
      <c r="G6351">
        <v>1</v>
      </c>
      <c r="H6351" s="2">
        <f>Tabelle13[[#This Row],[commits]]/Tabelle13[[#Totals],[commits]]</f>
        <v>4.6477904404246225E-6</v>
      </c>
      <c r="I6351" s="5">
        <f>Tabelle13[[#This Row],[%]]+I6350</f>
        <v>0.98746955697255034</v>
      </c>
      <c r="J6351" s="4">
        <f t="shared" si="231"/>
        <v>1.105583195135434E-4</v>
      </c>
      <c r="K6351" s="5">
        <f t="shared" si="232"/>
        <v>0.70193477059156573</v>
      </c>
    </row>
    <row r="6352" spans="1:11" x14ac:dyDescent="0.25">
      <c r="A6352" t="s">
        <v>7461</v>
      </c>
      <c r="C6352" t="s">
        <v>7460</v>
      </c>
      <c r="D6352" t="s">
        <v>5</v>
      </c>
      <c r="E6352" t="s">
        <v>6</v>
      </c>
      <c r="F6352" t="s">
        <v>28</v>
      </c>
      <c r="G6352">
        <v>1</v>
      </c>
      <c r="H6352" s="2">
        <f>Tabelle13[[#This Row],[commits]]/Tabelle13[[#Totals],[commits]]</f>
        <v>4.6477904404246225E-6</v>
      </c>
      <c r="I6352" s="5">
        <f>Tabelle13[[#This Row],[%]]+I6351</f>
        <v>0.98747420476299075</v>
      </c>
      <c r="J6352" s="4">
        <f t="shared" si="231"/>
        <v>1.105583195135434E-4</v>
      </c>
      <c r="K6352" s="5">
        <f t="shared" si="232"/>
        <v>0.70204532891107929</v>
      </c>
    </row>
    <row r="6353" spans="1:11" x14ac:dyDescent="0.25">
      <c r="A6353" t="s">
        <v>7462</v>
      </c>
      <c r="C6353" t="s">
        <v>7463</v>
      </c>
      <c r="D6353" t="s">
        <v>5</v>
      </c>
      <c r="E6353" t="s">
        <v>6</v>
      </c>
      <c r="F6353" t="s">
        <v>28</v>
      </c>
      <c r="G6353">
        <v>1</v>
      </c>
      <c r="H6353" s="2">
        <f>Tabelle13[[#This Row],[commits]]/Tabelle13[[#Totals],[commits]]</f>
        <v>4.6477904404246225E-6</v>
      </c>
      <c r="I6353" s="5">
        <f>Tabelle13[[#This Row],[%]]+I6352</f>
        <v>0.98747885255343115</v>
      </c>
      <c r="J6353" s="4">
        <f t="shared" si="231"/>
        <v>1.105583195135434E-4</v>
      </c>
      <c r="K6353" s="5">
        <f t="shared" si="232"/>
        <v>0.70215588723059286</v>
      </c>
    </row>
    <row r="6354" spans="1:11" x14ac:dyDescent="0.25">
      <c r="A6354" t="s">
        <v>7464</v>
      </c>
      <c r="C6354" t="s">
        <v>7465</v>
      </c>
      <c r="D6354" t="s">
        <v>5</v>
      </c>
      <c r="E6354" t="s">
        <v>6</v>
      </c>
      <c r="F6354" t="s">
        <v>28</v>
      </c>
      <c r="G6354">
        <v>1</v>
      </c>
      <c r="H6354" s="2">
        <f>Tabelle13[[#This Row],[commits]]/Tabelle13[[#Totals],[commits]]</f>
        <v>4.6477904404246225E-6</v>
      </c>
      <c r="I6354" s="5">
        <f>Tabelle13[[#This Row],[%]]+I6353</f>
        <v>0.98748350034387156</v>
      </c>
      <c r="J6354" s="4">
        <f t="shared" si="231"/>
        <v>1.105583195135434E-4</v>
      </c>
      <c r="K6354" s="5">
        <f t="shared" si="232"/>
        <v>0.70226644555010642</v>
      </c>
    </row>
    <row r="6355" spans="1:11" x14ac:dyDescent="0.25">
      <c r="A6355" t="s">
        <v>7466</v>
      </c>
      <c r="C6355" t="s">
        <v>7467</v>
      </c>
      <c r="D6355" t="s">
        <v>5</v>
      </c>
      <c r="E6355" t="s">
        <v>6</v>
      </c>
      <c r="F6355" t="s">
        <v>28</v>
      </c>
      <c r="G6355">
        <v>1</v>
      </c>
      <c r="H6355" s="2">
        <f>Tabelle13[[#This Row],[commits]]/Tabelle13[[#Totals],[commits]]</f>
        <v>4.6477904404246225E-6</v>
      </c>
      <c r="I6355" s="5">
        <f>Tabelle13[[#This Row],[%]]+I6354</f>
        <v>0.98748814813431196</v>
      </c>
      <c r="J6355" s="4">
        <f t="shared" si="231"/>
        <v>1.105583195135434E-4</v>
      </c>
      <c r="K6355" s="5">
        <f t="shared" si="232"/>
        <v>0.70237700386961999</v>
      </c>
    </row>
    <row r="6356" spans="1:11" x14ac:dyDescent="0.25">
      <c r="A6356" t="s">
        <v>7468</v>
      </c>
      <c r="C6356" t="s">
        <v>7469</v>
      </c>
      <c r="D6356" t="s">
        <v>5</v>
      </c>
      <c r="E6356" t="s">
        <v>6</v>
      </c>
      <c r="F6356" t="s">
        <v>28</v>
      </c>
      <c r="G6356">
        <v>1</v>
      </c>
      <c r="H6356" s="2">
        <f>Tabelle13[[#This Row],[commits]]/Tabelle13[[#Totals],[commits]]</f>
        <v>4.6477904404246225E-6</v>
      </c>
      <c r="I6356" s="5">
        <f>Tabelle13[[#This Row],[%]]+I6355</f>
        <v>0.98749279592475236</v>
      </c>
      <c r="J6356" s="4">
        <f t="shared" si="231"/>
        <v>1.105583195135434E-4</v>
      </c>
      <c r="K6356" s="5">
        <f t="shared" si="232"/>
        <v>0.70248756218913355</v>
      </c>
    </row>
    <row r="6357" spans="1:11" x14ac:dyDescent="0.25">
      <c r="A6357" t="s">
        <v>7470</v>
      </c>
      <c r="C6357" t="s">
        <v>7471</v>
      </c>
      <c r="D6357" t="s">
        <v>5</v>
      </c>
      <c r="E6357" t="s">
        <v>6</v>
      </c>
      <c r="F6357" t="s">
        <v>28</v>
      </c>
      <c r="G6357">
        <v>1</v>
      </c>
      <c r="H6357" s="2">
        <f>Tabelle13[[#This Row],[commits]]/Tabelle13[[#Totals],[commits]]</f>
        <v>4.6477904404246225E-6</v>
      </c>
      <c r="I6357" s="5">
        <f>Tabelle13[[#This Row],[%]]+I6356</f>
        <v>0.98749744371519277</v>
      </c>
      <c r="J6357" s="4">
        <f t="shared" si="231"/>
        <v>1.105583195135434E-4</v>
      </c>
      <c r="K6357" s="5">
        <f t="shared" si="232"/>
        <v>0.70259812050864712</v>
      </c>
    </row>
    <row r="6358" spans="1:11" x14ac:dyDescent="0.25">
      <c r="A6358" t="s">
        <v>7472</v>
      </c>
      <c r="C6358" t="s">
        <v>1315</v>
      </c>
      <c r="D6358" t="s">
        <v>5</v>
      </c>
      <c r="E6358" t="s">
        <v>6</v>
      </c>
      <c r="F6358" t="s">
        <v>28</v>
      </c>
      <c r="G6358">
        <v>1</v>
      </c>
      <c r="H6358" s="2">
        <f>Tabelle13[[#This Row],[commits]]/Tabelle13[[#Totals],[commits]]</f>
        <v>4.6477904404246225E-6</v>
      </c>
      <c r="I6358" s="5">
        <f>Tabelle13[[#This Row],[%]]+I6357</f>
        <v>0.98750209150563317</v>
      </c>
      <c r="J6358" s="4">
        <f t="shared" si="231"/>
        <v>1.105583195135434E-4</v>
      </c>
      <c r="K6358" s="5">
        <f t="shared" si="232"/>
        <v>0.70270867882816068</v>
      </c>
    </row>
    <row r="6359" spans="1:11" x14ac:dyDescent="0.25">
      <c r="A6359" t="s">
        <v>7473</v>
      </c>
      <c r="C6359" t="s">
        <v>1315</v>
      </c>
      <c r="D6359" t="s">
        <v>5</v>
      </c>
      <c r="E6359" t="s">
        <v>6</v>
      </c>
      <c r="F6359" t="s">
        <v>28</v>
      </c>
      <c r="G6359">
        <v>1</v>
      </c>
      <c r="H6359" s="2">
        <f>Tabelle13[[#This Row],[commits]]/Tabelle13[[#Totals],[commits]]</f>
        <v>4.6477904404246225E-6</v>
      </c>
      <c r="I6359" s="5">
        <f>Tabelle13[[#This Row],[%]]+I6358</f>
        <v>0.98750673929607358</v>
      </c>
      <c r="J6359" s="4">
        <f t="shared" si="231"/>
        <v>1.105583195135434E-4</v>
      </c>
      <c r="K6359" s="5">
        <f t="shared" si="232"/>
        <v>0.70281923714767425</v>
      </c>
    </row>
    <row r="6360" spans="1:11" x14ac:dyDescent="0.25">
      <c r="A6360" t="s">
        <v>7474</v>
      </c>
      <c r="C6360" t="s">
        <v>7475</v>
      </c>
      <c r="D6360" t="s">
        <v>5</v>
      </c>
      <c r="E6360" t="s">
        <v>6</v>
      </c>
      <c r="F6360" t="s">
        <v>28</v>
      </c>
      <c r="G6360">
        <v>1</v>
      </c>
      <c r="H6360" s="2">
        <f>Tabelle13[[#This Row],[commits]]/Tabelle13[[#Totals],[commits]]</f>
        <v>4.6477904404246225E-6</v>
      </c>
      <c r="I6360" s="5">
        <f>Tabelle13[[#This Row],[%]]+I6359</f>
        <v>0.98751138708651398</v>
      </c>
      <c r="J6360" s="4">
        <f t="shared" si="231"/>
        <v>1.105583195135434E-4</v>
      </c>
      <c r="K6360" s="5">
        <f t="shared" si="232"/>
        <v>0.70292979546718781</v>
      </c>
    </row>
    <row r="6361" spans="1:11" x14ac:dyDescent="0.25">
      <c r="A6361" t="s">
        <v>7476</v>
      </c>
      <c r="C6361" t="s">
        <v>7477</v>
      </c>
      <c r="D6361" t="s">
        <v>7478</v>
      </c>
      <c r="E6361" t="s">
        <v>6</v>
      </c>
      <c r="F6361" t="s">
        <v>28</v>
      </c>
      <c r="G6361">
        <v>1</v>
      </c>
      <c r="H6361" s="2">
        <f>Tabelle13[[#This Row],[commits]]/Tabelle13[[#Totals],[commits]]</f>
        <v>4.6477904404246225E-6</v>
      </c>
      <c r="I6361" s="5">
        <f>Tabelle13[[#This Row],[%]]+I6360</f>
        <v>0.98751603487695438</v>
      </c>
      <c r="J6361" s="4">
        <f t="shared" si="231"/>
        <v>1.105583195135434E-4</v>
      </c>
      <c r="K6361" s="5">
        <f t="shared" si="232"/>
        <v>0.70304035378670138</v>
      </c>
    </row>
    <row r="6362" spans="1:11" x14ac:dyDescent="0.25">
      <c r="A6362" t="s">
        <v>7479</v>
      </c>
      <c r="C6362" t="s">
        <v>7480</v>
      </c>
      <c r="D6362" t="s">
        <v>5</v>
      </c>
      <c r="E6362" t="s">
        <v>6</v>
      </c>
      <c r="F6362" t="s">
        <v>28</v>
      </c>
      <c r="G6362">
        <v>1</v>
      </c>
      <c r="H6362" s="2">
        <f>Tabelle13[[#This Row],[commits]]/Tabelle13[[#Totals],[commits]]</f>
        <v>4.6477904404246225E-6</v>
      </c>
      <c r="I6362" s="5">
        <f>Tabelle13[[#This Row],[%]]+I6361</f>
        <v>0.98752068266739479</v>
      </c>
      <c r="J6362" s="4">
        <f t="shared" si="231"/>
        <v>1.105583195135434E-4</v>
      </c>
      <c r="K6362" s="5">
        <f t="shared" si="232"/>
        <v>0.70315091210621494</v>
      </c>
    </row>
    <row r="6363" spans="1:11" x14ac:dyDescent="0.25">
      <c r="A6363" t="s">
        <v>7481</v>
      </c>
      <c r="C6363" t="s">
        <v>7482</v>
      </c>
      <c r="D6363" t="s">
        <v>5</v>
      </c>
      <c r="E6363" t="s">
        <v>6</v>
      </c>
      <c r="F6363" t="s">
        <v>28</v>
      </c>
      <c r="G6363">
        <v>1</v>
      </c>
      <c r="H6363" s="2">
        <f>Tabelle13[[#This Row],[commits]]/Tabelle13[[#Totals],[commits]]</f>
        <v>4.6477904404246225E-6</v>
      </c>
      <c r="I6363" s="5">
        <f>Tabelle13[[#This Row],[%]]+I6362</f>
        <v>0.98752533045783519</v>
      </c>
      <c r="J6363" s="4">
        <f t="shared" si="231"/>
        <v>1.105583195135434E-4</v>
      </c>
      <c r="K6363" s="5">
        <f t="shared" si="232"/>
        <v>0.70326147042572851</v>
      </c>
    </row>
    <row r="6364" spans="1:11" x14ac:dyDescent="0.25">
      <c r="A6364" t="s">
        <v>7483</v>
      </c>
      <c r="C6364" t="s">
        <v>7484</v>
      </c>
      <c r="D6364" t="s">
        <v>5</v>
      </c>
      <c r="E6364" t="s">
        <v>6</v>
      </c>
      <c r="F6364" t="s">
        <v>28</v>
      </c>
      <c r="G6364">
        <v>1</v>
      </c>
      <c r="H6364" s="2">
        <f>Tabelle13[[#This Row],[commits]]/Tabelle13[[#Totals],[commits]]</f>
        <v>4.6477904404246225E-6</v>
      </c>
      <c r="I6364" s="5">
        <f>Tabelle13[[#This Row],[%]]+I6363</f>
        <v>0.9875299782482756</v>
      </c>
      <c r="J6364" s="4">
        <f t="shared" si="231"/>
        <v>1.105583195135434E-4</v>
      </c>
      <c r="K6364" s="5">
        <f t="shared" si="232"/>
        <v>0.70337202874524207</v>
      </c>
    </row>
    <row r="6365" spans="1:11" x14ac:dyDescent="0.25">
      <c r="A6365" t="s">
        <v>7485</v>
      </c>
      <c r="C6365" t="s">
        <v>7486</v>
      </c>
      <c r="D6365" t="s">
        <v>5</v>
      </c>
      <c r="E6365" t="s">
        <v>6</v>
      </c>
      <c r="F6365" t="s">
        <v>28</v>
      </c>
      <c r="G6365">
        <v>1</v>
      </c>
      <c r="H6365" s="2">
        <f>Tabelle13[[#This Row],[commits]]/Tabelle13[[#Totals],[commits]]</f>
        <v>4.6477904404246225E-6</v>
      </c>
      <c r="I6365" s="5">
        <f>Tabelle13[[#This Row],[%]]+I6364</f>
        <v>0.987534626038716</v>
      </c>
      <c r="J6365" s="4">
        <f t="shared" si="231"/>
        <v>1.105583195135434E-4</v>
      </c>
      <c r="K6365" s="5">
        <f t="shared" si="232"/>
        <v>0.70348258706475564</v>
      </c>
    </row>
    <row r="6366" spans="1:11" x14ac:dyDescent="0.25">
      <c r="A6366" t="s">
        <v>7487</v>
      </c>
      <c r="C6366" t="s">
        <v>7488</v>
      </c>
      <c r="D6366" t="s">
        <v>5</v>
      </c>
      <c r="E6366" t="s">
        <v>6</v>
      </c>
      <c r="F6366" t="s">
        <v>28</v>
      </c>
      <c r="G6366">
        <v>1</v>
      </c>
      <c r="H6366" s="2">
        <f>Tabelle13[[#This Row],[commits]]/Tabelle13[[#Totals],[commits]]</f>
        <v>4.6477904404246225E-6</v>
      </c>
      <c r="I6366" s="5">
        <f>Tabelle13[[#This Row],[%]]+I6365</f>
        <v>0.98753927382915641</v>
      </c>
      <c r="J6366" s="4">
        <f t="shared" si="231"/>
        <v>1.105583195135434E-4</v>
      </c>
      <c r="K6366" s="5">
        <f t="shared" si="232"/>
        <v>0.7035931453842692</v>
      </c>
    </row>
    <row r="6367" spans="1:11" x14ac:dyDescent="0.25">
      <c r="A6367" t="s">
        <v>7489</v>
      </c>
      <c r="C6367" t="s">
        <v>7490</v>
      </c>
      <c r="D6367" t="s">
        <v>5</v>
      </c>
      <c r="E6367" t="s">
        <v>6</v>
      </c>
      <c r="F6367" t="s">
        <v>28</v>
      </c>
      <c r="G6367">
        <v>1</v>
      </c>
      <c r="H6367" s="2">
        <f>Tabelle13[[#This Row],[commits]]/Tabelle13[[#Totals],[commits]]</f>
        <v>4.6477904404246225E-6</v>
      </c>
      <c r="I6367" s="5">
        <f>Tabelle13[[#This Row],[%]]+I6366</f>
        <v>0.98754392161959681</v>
      </c>
      <c r="J6367" s="4">
        <f t="shared" si="231"/>
        <v>1.105583195135434E-4</v>
      </c>
      <c r="K6367" s="5">
        <f t="shared" si="232"/>
        <v>0.70370370370378277</v>
      </c>
    </row>
    <row r="6368" spans="1:11" x14ac:dyDescent="0.25">
      <c r="A6368" t="s">
        <v>7491</v>
      </c>
      <c r="C6368" t="s">
        <v>7492</v>
      </c>
      <c r="D6368" t="s">
        <v>5</v>
      </c>
      <c r="E6368" t="s">
        <v>6</v>
      </c>
      <c r="F6368" t="s">
        <v>28</v>
      </c>
      <c r="G6368">
        <v>1</v>
      </c>
      <c r="H6368" s="2">
        <f>Tabelle13[[#This Row],[commits]]/Tabelle13[[#Totals],[commits]]</f>
        <v>4.6477904404246225E-6</v>
      </c>
      <c r="I6368" s="5">
        <f>Tabelle13[[#This Row],[%]]+I6367</f>
        <v>0.98754856941003721</v>
      </c>
      <c r="J6368" s="4">
        <f t="shared" si="231"/>
        <v>1.105583195135434E-4</v>
      </c>
      <c r="K6368" s="5">
        <f t="shared" si="232"/>
        <v>0.70381426202329633</v>
      </c>
    </row>
    <row r="6369" spans="1:11" x14ac:dyDescent="0.25">
      <c r="A6369" t="s">
        <v>7493</v>
      </c>
      <c r="C6369" t="s">
        <v>7494</v>
      </c>
      <c r="D6369" t="s">
        <v>5</v>
      </c>
      <c r="E6369" t="s">
        <v>6</v>
      </c>
      <c r="F6369" t="s">
        <v>28</v>
      </c>
      <c r="G6369">
        <v>1</v>
      </c>
      <c r="H6369" s="2">
        <f>Tabelle13[[#This Row],[commits]]/Tabelle13[[#Totals],[commits]]</f>
        <v>4.6477904404246225E-6</v>
      </c>
      <c r="I6369" s="5">
        <f>Tabelle13[[#This Row],[%]]+I6368</f>
        <v>0.98755321720047762</v>
      </c>
      <c r="J6369" s="4">
        <f t="shared" si="231"/>
        <v>1.105583195135434E-4</v>
      </c>
      <c r="K6369" s="5">
        <f t="shared" si="232"/>
        <v>0.7039248203428099</v>
      </c>
    </row>
    <row r="6370" spans="1:11" x14ac:dyDescent="0.25">
      <c r="A6370" t="s">
        <v>7495</v>
      </c>
      <c r="C6370" t="s">
        <v>7496</v>
      </c>
      <c r="D6370" t="s">
        <v>5</v>
      </c>
      <c r="E6370" t="s">
        <v>6</v>
      </c>
      <c r="F6370" t="s">
        <v>28</v>
      </c>
      <c r="G6370">
        <v>1</v>
      </c>
      <c r="H6370" s="2">
        <f>Tabelle13[[#This Row],[commits]]/Tabelle13[[#Totals],[commits]]</f>
        <v>4.6477904404246225E-6</v>
      </c>
      <c r="I6370" s="5">
        <f>Tabelle13[[#This Row],[%]]+I6369</f>
        <v>0.98755786499091802</v>
      </c>
      <c r="J6370" s="4">
        <f t="shared" si="231"/>
        <v>1.105583195135434E-4</v>
      </c>
      <c r="K6370" s="5">
        <f t="shared" si="232"/>
        <v>0.70403537866232346</v>
      </c>
    </row>
    <row r="6371" spans="1:11" x14ac:dyDescent="0.25">
      <c r="A6371" t="s">
        <v>7497</v>
      </c>
      <c r="C6371" t="s">
        <v>7498</v>
      </c>
      <c r="D6371" t="s">
        <v>5</v>
      </c>
      <c r="E6371" t="s">
        <v>6</v>
      </c>
      <c r="F6371" t="s">
        <v>28</v>
      </c>
      <c r="G6371">
        <v>1</v>
      </c>
      <c r="H6371" s="2">
        <f>Tabelle13[[#This Row],[commits]]/Tabelle13[[#Totals],[commits]]</f>
        <v>4.6477904404246225E-6</v>
      </c>
      <c r="I6371" s="5">
        <f>Tabelle13[[#This Row],[%]]+I6370</f>
        <v>0.98756251278135843</v>
      </c>
      <c r="J6371" s="4">
        <f t="shared" si="231"/>
        <v>1.105583195135434E-4</v>
      </c>
      <c r="K6371" s="5">
        <f t="shared" si="232"/>
        <v>0.70414593698183703</v>
      </c>
    </row>
    <row r="6372" spans="1:11" x14ac:dyDescent="0.25">
      <c r="A6372" t="s">
        <v>7501</v>
      </c>
      <c r="C6372" t="s">
        <v>7502</v>
      </c>
      <c r="D6372" t="s">
        <v>5</v>
      </c>
      <c r="E6372" t="s">
        <v>6</v>
      </c>
      <c r="F6372" t="s">
        <v>28</v>
      </c>
      <c r="G6372">
        <v>1</v>
      </c>
      <c r="H6372" s="2">
        <f>Tabelle13[[#This Row],[commits]]/Tabelle13[[#Totals],[commits]]</f>
        <v>4.6477904404246225E-6</v>
      </c>
      <c r="I6372" s="5">
        <f>Tabelle13[[#This Row],[%]]+I6371</f>
        <v>0.98756716057179883</v>
      </c>
      <c r="J6372" s="4">
        <f t="shared" si="231"/>
        <v>1.105583195135434E-4</v>
      </c>
      <c r="K6372" s="5">
        <f t="shared" si="232"/>
        <v>0.70425649530135059</v>
      </c>
    </row>
    <row r="6373" spans="1:11" x14ac:dyDescent="0.25">
      <c r="A6373" t="s">
        <v>7503</v>
      </c>
      <c r="C6373" t="s">
        <v>7504</v>
      </c>
      <c r="D6373" t="s">
        <v>5</v>
      </c>
      <c r="E6373" t="s">
        <v>6</v>
      </c>
      <c r="F6373" t="s">
        <v>28</v>
      </c>
      <c r="G6373">
        <v>1</v>
      </c>
      <c r="H6373" s="2">
        <f>Tabelle13[[#This Row],[commits]]/Tabelle13[[#Totals],[commits]]</f>
        <v>4.6477904404246225E-6</v>
      </c>
      <c r="I6373" s="5">
        <f>Tabelle13[[#This Row],[%]]+I6372</f>
        <v>0.98757180836223923</v>
      </c>
      <c r="J6373" s="4">
        <f t="shared" si="231"/>
        <v>1.105583195135434E-4</v>
      </c>
      <c r="K6373" s="5">
        <f t="shared" si="232"/>
        <v>0.70436705362086416</v>
      </c>
    </row>
    <row r="6374" spans="1:11" x14ac:dyDescent="0.25">
      <c r="A6374" t="s">
        <v>7505</v>
      </c>
      <c r="C6374" t="s">
        <v>7506</v>
      </c>
      <c r="D6374" t="s">
        <v>5</v>
      </c>
      <c r="E6374" t="s">
        <v>6</v>
      </c>
      <c r="F6374" t="s">
        <v>28</v>
      </c>
      <c r="G6374">
        <v>1</v>
      </c>
      <c r="H6374" s="2">
        <f>Tabelle13[[#This Row],[commits]]/Tabelle13[[#Totals],[commits]]</f>
        <v>4.6477904404246225E-6</v>
      </c>
      <c r="I6374" s="5">
        <f>Tabelle13[[#This Row],[%]]+I6373</f>
        <v>0.98757645615267964</v>
      </c>
      <c r="J6374" s="4">
        <f t="shared" si="231"/>
        <v>1.105583195135434E-4</v>
      </c>
      <c r="K6374" s="5">
        <f t="shared" si="232"/>
        <v>0.70447761194037772</v>
      </c>
    </row>
    <row r="6375" spans="1:11" x14ac:dyDescent="0.25">
      <c r="A6375" t="s">
        <v>7507</v>
      </c>
      <c r="C6375" t="s">
        <v>2083</v>
      </c>
      <c r="D6375" t="s">
        <v>5</v>
      </c>
      <c r="E6375" t="s">
        <v>6</v>
      </c>
      <c r="F6375" t="s">
        <v>28</v>
      </c>
      <c r="G6375">
        <v>1</v>
      </c>
      <c r="H6375" s="2">
        <f>Tabelle13[[#This Row],[commits]]/Tabelle13[[#Totals],[commits]]</f>
        <v>4.6477904404246225E-6</v>
      </c>
      <c r="I6375" s="5">
        <f>Tabelle13[[#This Row],[%]]+I6374</f>
        <v>0.98758110394312004</v>
      </c>
      <c r="J6375" s="4">
        <f t="shared" si="231"/>
        <v>1.105583195135434E-4</v>
      </c>
      <c r="K6375" s="5">
        <f t="shared" si="232"/>
        <v>0.70458817025989129</v>
      </c>
    </row>
    <row r="6376" spans="1:11" x14ac:dyDescent="0.25">
      <c r="A6376" t="s">
        <v>7508</v>
      </c>
      <c r="C6376" t="s">
        <v>1059</v>
      </c>
      <c r="D6376" t="s">
        <v>5</v>
      </c>
      <c r="E6376" t="s">
        <v>6</v>
      </c>
      <c r="F6376" t="s">
        <v>28</v>
      </c>
      <c r="G6376">
        <v>1</v>
      </c>
      <c r="H6376" s="2">
        <f>Tabelle13[[#This Row],[commits]]/Tabelle13[[#Totals],[commits]]</f>
        <v>4.6477904404246225E-6</v>
      </c>
      <c r="I6376" s="5">
        <f>Tabelle13[[#This Row],[%]]+I6375</f>
        <v>0.98758575173356045</v>
      </c>
      <c r="J6376" s="4">
        <f t="shared" si="231"/>
        <v>1.105583195135434E-4</v>
      </c>
      <c r="K6376" s="5">
        <f t="shared" si="232"/>
        <v>0.70469872857940485</v>
      </c>
    </row>
    <row r="6377" spans="1:11" x14ac:dyDescent="0.25">
      <c r="A6377" t="s">
        <v>7509</v>
      </c>
      <c r="C6377" t="s">
        <v>7510</v>
      </c>
      <c r="D6377" t="s">
        <v>5</v>
      </c>
      <c r="E6377" t="s">
        <v>6</v>
      </c>
      <c r="F6377" t="s">
        <v>251</v>
      </c>
      <c r="G6377">
        <v>1</v>
      </c>
      <c r="H6377" s="2">
        <f>Tabelle13[[#This Row],[commits]]/Tabelle13[[#Totals],[commits]]</f>
        <v>4.6477904404246225E-6</v>
      </c>
      <c r="I6377" s="5">
        <f>Tabelle13[[#This Row],[%]]+I6376</f>
        <v>0.98759039952400085</v>
      </c>
      <c r="J6377" s="4">
        <f t="shared" si="231"/>
        <v>1.105583195135434E-4</v>
      </c>
      <c r="K6377" s="5">
        <f t="shared" si="232"/>
        <v>0.70480928689891842</v>
      </c>
    </row>
    <row r="6378" spans="1:11" x14ac:dyDescent="0.25">
      <c r="A6378" t="s">
        <v>7511</v>
      </c>
      <c r="C6378" t="s">
        <v>7512</v>
      </c>
      <c r="D6378" t="s">
        <v>5</v>
      </c>
      <c r="E6378" t="s">
        <v>6</v>
      </c>
      <c r="F6378" t="s">
        <v>28</v>
      </c>
      <c r="G6378">
        <v>1</v>
      </c>
      <c r="H6378" s="2">
        <f>Tabelle13[[#This Row],[commits]]/Tabelle13[[#Totals],[commits]]</f>
        <v>4.6477904404246225E-6</v>
      </c>
      <c r="I6378" s="5">
        <f>Tabelle13[[#This Row],[%]]+I6377</f>
        <v>0.98759504731444125</v>
      </c>
      <c r="J6378" s="4">
        <f t="shared" si="231"/>
        <v>1.105583195135434E-4</v>
      </c>
      <c r="K6378" s="5">
        <f t="shared" si="232"/>
        <v>0.70491984521843198</v>
      </c>
    </row>
    <row r="6379" spans="1:11" x14ac:dyDescent="0.25">
      <c r="A6379" t="s">
        <v>7513</v>
      </c>
      <c r="C6379" t="s">
        <v>7514</v>
      </c>
      <c r="D6379" t="s">
        <v>5</v>
      </c>
      <c r="E6379" t="s">
        <v>6</v>
      </c>
      <c r="F6379" t="s">
        <v>28</v>
      </c>
      <c r="G6379">
        <v>1</v>
      </c>
      <c r="H6379" s="2">
        <f>Tabelle13[[#This Row],[commits]]/Tabelle13[[#Totals],[commits]]</f>
        <v>4.6477904404246225E-6</v>
      </c>
      <c r="I6379" s="5">
        <f>Tabelle13[[#This Row],[%]]+I6378</f>
        <v>0.98759969510488166</v>
      </c>
      <c r="J6379" s="4">
        <f t="shared" si="231"/>
        <v>1.105583195135434E-4</v>
      </c>
      <c r="K6379" s="5">
        <f t="shared" si="232"/>
        <v>0.70503040353794555</v>
      </c>
    </row>
    <row r="6380" spans="1:11" x14ac:dyDescent="0.25">
      <c r="A6380" t="s">
        <v>7515</v>
      </c>
      <c r="C6380" t="s">
        <v>7516</v>
      </c>
      <c r="D6380" t="s">
        <v>5</v>
      </c>
      <c r="E6380" t="s">
        <v>6</v>
      </c>
      <c r="F6380" t="s">
        <v>28</v>
      </c>
      <c r="G6380">
        <v>1</v>
      </c>
      <c r="H6380" s="2">
        <f>Tabelle13[[#This Row],[commits]]/Tabelle13[[#Totals],[commits]]</f>
        <v>4.6477904404246225E-6</v>
      </c>
      <c r="I6380" s="5">
        <f>Tabelle13[[#This Row],[%]]+I6379</f>
        <v>0.98760434289532206</v>
      </c>
      <c r="J6380" s="4">
        <f t="shared" si="231"/>
        <v>1.105583195135434E-4</v>
      </c>
      <c r="K6380" s="5">
        <f t="shared" si="232"/>
        <v>0.70514096185745911</v>
      </c>
    </row>
    <row r="6381" spans="1:11" x14ac:dyDescent="0.25">
      <c r="A6381" t="s">
        <v>7517</v>
      </c>
      <c r="C6381" t="s">
        <v>7518</v>
      </c>
      <c r="D6381" t="s">
        <v>5</v>
      </c>
      <c r="E6381" t="s">
        <v>6</v>
      </c>
      <c r="F6381" t="s">
        <v>28</v>
      </c>
      <c r="G6381">
        <v>1</v>
      </c>
      <c r="H6381" s="2">
        <f>Tabelle13[[#This Row],[commits]]/Tabelle13[[#Totals],[commits]]</f>
        <v>4.6477904404246225E-6</v>
      </c>
      <c r="I6381" s="5">
        <f>Tabelle13[[#This Row],[%]]+I6380</f>
        <v>0.98760899068576247</v>
      </c>
      <c r="J6381" s="4">
        <f t="shared" si="231"/>
        <v>1.105583195135434E-4</v>
      </c>
      <c r="K6381" s="5">
        <f t="shared" si="232"/>
        <v>0.70525152017697268</v>
      </c>
    </row>
    <row r="6382" spans="1:11" x14ac:dyDescent="0.25">
      <c r="A6382" t="s">
        <v>7519</v>
      </c>
      <c r="C6382" t="s">
        <v>7520</v>
      </c>
      <c r="D6382" t="s">
        <v>5</v>
      </c>
      <c r="E6382" t="s">
        <v>6</v>
      </c>
      <c r="F6382" t="s">
        <v>28</v>
      </c>
      <c r="G6382">
        <v>1</v>
      </c>
      <c r="H6382" s="2">
        <f>Tabelle13[[#This Row],[commits]]/Tabelle13[[#Totals],[commits]]</f>
        <v>4.6477904404246225E-6</v>
      </c>
      <c r="I6382" s="5">
        <f>Tabelle13[[#This Row],[%]]+I6381</f>
        <v>0.98761363847620287</v>
      </c>
      <c r="J6382" s="4">
        <f t="shared" si="231"/>
        <v>1.105583195135434E-4</v>
      </c>
      <c r="K6382" s="5">
        <f t="shared" si="232"/>
        <v>0.70536207849648624</v>
      </c>
    </row>
    <row r="6383" spans="1:11" x14ac:dyDescent="0.25">
      <c r="A6383" t="s">
        <v>7521</v>
      </c>
      <c r="C6383" t="s">
        <v>7522</v>
      </c>
      <c r="D6383" t="s">
        <v>5</v>
      </c>
      <c r="E6383" t="s">
        <v>6</v>
      </c>
      <c r="F6383" t="s">
        <v>28</v>
      </c>
      <c r="G6383">
        <v>1</v>
      </c>
      <c r="H6383" s="2">
        <f>Tabelle13[[#This Row],[commits]]/Tabelle13[[#Totals],[commits]]</f>
        <v>4.6477904404246225E-6</v>
      </c>
      <c r="I6383" s="5">
        <f>Tabelle13[[#This Row],[%]]+I6382</f>
        <v>0.98761828626664327</v>
      </c>
      <c r="J6383" s="4">
        <f t="shared" si="231"/>
        <v>1.105583195135434E-4</v>
      </c>
      <c r="K6383" s="5">
        <f t="shared" si="232"/>
        <v>0.70547263681599981</v>
      </c>
    </row>
    <row r="6384" spans="1:11" x14ac:dyDescent="0.25">
      <c r="A6384" t="s">
        <v>7523</v>
      </c>
      <c r="C6384" t="s">
        <v>7524</v>
      </c>
      <c r="D6384" t="s">
        <v>5</v>
      </c>
      <c r="E6384" t="s">
        <v>6</v>
      </c>
      <c r="F6384" t="s">
        <v>28</v>
      </c>
      <c r="G6384">
        <v>1</v>
      </c>
      <c r="H6384" s="2">
        <f>Tabelle13[[#This Row],[commits]]/Tabelle13[[#Totals],[commits]]</f>
        <v>4.6477904404246225E-6</v>
      </c>
      <c r="I6384" s="5">
        <f>Tabelle13[[#This Row],[%]]+I6383</f>
        <v>0.98762293405708368</v>
      </c>
      <c r="J6384" s="4">
        <f t="shared" si="231"/>
        <v>1.105583195135434E-4</v>
      </c>
      <c r="K6384" s="5">
        <f t="shared" si="232"/>
        <v>0.70558319513551337</v>
      </c>
    </row>
    <row r="6385" spans="1:11" x14ac:dyDescent="0.25">
      <c r="A6385" t="s">
        <v>7525</v>
      </c>
      <c r="C6385" t="s">
        <v>7526</v>
      </c>
      <c r="D6385" t="s">
        <v>5</v>
      </c>
      <c r="E6385" t="s">
        <v>6</v>
      </c>
      <c r="F6385" t="s">
        <v>28</v>
      </c>
      <c r="G6385">
        <v>1</v>
      </c>
      <c r="H6385" s="2">
        <f>Tabelle13[[#This Row],[commits]]/Tabelle13[[#Totals],[commits]]</f>
        <v>4.6477904404246225E-6</v>
      </c>
      <c r="I6385" s="5">
        <f>Tabelle13[[#This Row],[%]]+I6384</f>
        <v>0.98762758184752408</v>
      </c>
      <c r="J6385" s="4">
        <f t="shared" si="231"/>
        <v>1.105583195135434E-4</v>
      </c>
      <c r="K6385" s="5">
        <f t="shared" si="232"/>
        <v>0.70569375345502694</v>
      </c>
    </row>
    <row r="6386" spans="1:11" x14ac:dyDescent="0.25">
      <c r="A6386" t="s">
        <v>7527</v>
      </c>
      <c r="C6386" t="s">
        <v>7528</v>
      </c>
      <c r="D6386" t="s">
        <v>5</v>
      </c>
      <c r="E6386" t="s">
        <v>6</v>
      </c>
      <c r="F6386" t="s">
        <v>28</v>
      </c>
      <c r="G6386">
        <v>1</v>
      </c>
      <c r="H6386" s="2">
        <f>Tabelle13[[#This Row],[commits]]/Tabelle13[[#Totals],[commits]]</f>
        <v>4.6477904404246225E-6</v>
      </c>
      <c r="I6386" s="5">
        <f>Tabelle13[[#This Row],[%]]+I6385</f>
        <v>0.98763222963796449</v>
      </c>
      <c r="J6386" s="4">
        <f t="shared" si="231"/>
        <v>1.105583195135434E-4</v>
      </c>
      <c r="K6386" s="5">
        <f t="shared" si="232"/>
        <v>0.7058043117745405</v>
      </c>
    </row>
    <row r="6387" spans="1:11" x14ac:dyDescent="0.25">
      <c r="A6387" t="s">
        <v>7529</v>
      </c>
      <c r="C6387" t="s">
        <v>7530</v>
      </c>
      <c r="D6387" t="s">
        <v>7531</v>
      </c>
      <c r="E6387" t="s">
        <v>6</v>
      </c>
      <c r="F6387" t="s">
        <v>28</v>
      </c>
      <c r="G6387">
        <v>1</v>
      </c>
      <c r="H6387" s="2">
        <f>Tabelle13[[#This Row],[commits]]/Tabelle13[[#Totals],[commits]]</f>
        <v>4.6477904404246225E-6</v>
      </c>
      <c r="I6387" s="5">
        <f>Tabelle13[[#This Row],[%]]+I6386</f>
        <v>0.98763687742840489</v>
      </c>
      <c r="J6387" s="4">
        <f t="shared" si="231"/>
        <v>1.105583195135434E-4</v>
      </c>
      <c r="K6387" s="5">
        <f t="shared" si="232"/>
        <v>0.70591487009405407</v>
      </c>
    </row>
    <row r="6388" spans="1:11" x14ac:dyDescent="0.25">
      <c r="A6388" t="s">
        <v>7532</v>
      </c>
      <c r="C6388" t="s">
        <v>7533</v>
      </c>
      <c r="D6388" t="s">
        <v>5</v>
      </c>
      <c r="E6388" t="s">
        <v>6</v>
      </c>
      <c r="F6388" t="s">
        <v>28</v>
      </c>
      <c r="G6388">
        <v>1</v>
      </c>
      <c r="H6388" s="2">
        <f>Tabelle13[[#This Row],[commits]]/Tabelle13[[#Totals],[commits]]</f>
        <v>4.6477904404246225E-6</v>
      </c>
      <c r="I6388" s="5">
        <f>Tabelle13[[#This Row],[%]]+I6387</f>
        <v>0.9876415252188453</v>
      </c>
      <c r="J6388" s="4">
        <f t="shared" si="231"/>
        <v>1.105583195135434E-4</v>
      </c>
      <c r="K6388" s="5">
        <f t="shared" si="232"/>
        <v>0.70602542841356764</v>
      </c>
    </row>
    <row r="6389" spans="1:11" x14ac:dyDescent="0.25">
      <c r="A6389" t="s">
        <v>7534</v>
      </c>
      <c r="C6389" t="s">
        <v>7535</v>
      </c>
      <c r="D6389" t="s">
        <v>5175</v>
      </c>
      <c r="E6389" t="s">
        <v>6</v>
      </c>
      <c r="F6389" t="s">
        <v>28</v>
      </c>
      <c r="G6389">
        <v>1</v>
      </c>
      <c r="H6389" s="2">
        <f>Tabelle13[[#This Row],[commits]]/Tabelle13[[#Totals],[commits]]</f>
        <v>4.6477904404246225E-6</v>
      </c>
      <c r="I6389" s="5">
        <f>Tabelle13[[#This Row],[%]]+I6388</f>
        <v>0.9876461730092857</v>
      </c>
      <c r="J6389" s="4">
        <f t="shared" si="231"/>
        <v>1.105583195135434E-4</v>
      </c>
      <c r="K6389" s="5">
        <f t="shared" si="232"/>
        <v>0.7061359867330812</v>
      </c>
    </row>
    <row r="6390" spans="1:11" x14ac:dyDescent="0.25">
      <c r="A6390" t="s">
        <v>7536</v>
      </c>
      <c r="C6390" t="s">
        <v>7537</v>
      </c>
      <c r="D6390" t="s">
        <v>5</v>
      </c>
      <c r="E6390" t="s">
        <v>6</v>
      </c>
      <c r="F6390" t="s">
        <v>28</v>
      </c>
      <c r="G6390">
        <v>1</v>
      </c>
      <c r="H6390" s="2">
        <f>Tabelle13[[#This Row],[commits]]/Tabelle13[[#Totals],[commits]]</f>
        <v>4.6477904404246225E-6</v>
      </c>
      <c r="I6390" s="5">
        <f>Tabelle13[[#This Row],[%]]+I6389</f>
        <v>0.9876508207997261</v>
      </c>
      <c r="J6390" s="4">
        <f t="shared" si="231"/>
        <v>1.105583195135434E-4</v>
      </c>
      <c r="K6390" s="5">
        <f t="shared" si="232"/>
        <v>0.70624654505259477</v>
      </c>
    </row>
    <row r="6391" spans="1:11" x14ac:dyDescent="0.25">
      <c r="A6391" t="s">
        <v>7538</v>
      </c>
      <c r="C6391" t="s">
        <v>7539</v>
      </c>
      <c r="D6391" t="s">
        <v>5</v>
      </c>
      <c r="E6391" t="s">
        <v>6</v>
      </c>
      <c r="F6391" t="s">
        <v>28</v>
      </c>
      <c r="G6391">
        <v>1</v>
      </c>
      <c r="H6391" s="2">
        <f>Tabelle13[[#This Row],[commits]]/Tabelle13[[#Totals],[commits]]</f>
        <v>4.6477904404246225E-6</v>
      </c>
      <c r="I6391" s="5">
        <f>Tabelle13[[#This Row],[%]]+I6390</f>
        <v>0.98765546859016651</v>
      </c>
      <c r="J6391" s="4">
        <f t="shared" si="231"/>
        <v>1.105583195135434E-4</v>
      </c>
      <c r="K6391" s="5">
        <f t="shared" si="232"/>
        <v>0.70635710337210833</v>
      </c>
    </row>
    <row r="6392" spans="1:11" x14ac:dyDescent="0.25">
      <c r="A6392" t="s">
        <v>7540</v>
      </c>
      <c r="C6392" t="s">
        <v>7541</v>
      </c>
      <c r="D6392" t="s">
        <v>5</v>
      </c>
      <c r="E6392" t="s">
        <v>6</v>
      </c>
      <c r="F6392" t="s">
        <v>28</v>
      </c>
      <c r="G6392">
        <v>1</v>
      </c>
      <c r="H6392" s="2">
        <f>Tabelle13[[#This Row],[commits]]/Tabelle13[[#Totals],[commits]]</f>
        <v>4.6477904404246225E-6</v>
      </c>
      <c r="I6392" s="5">
        <f>Tabelle13[[#This Row],[%]]+I6391</f>
        <v>0.98766011638060691</v>
      </c>
      <c r="J6392" s="4">
        <f t="shared" si="231"/>
        <v>1.105583195135434E-4</v>
      </c>
      <c r="K6392" s="5">
        <f t="shared" si="232"/>
        <v>0.7064676616916219</v>
      </c>
    </row>
    <row r="6393" spans="1:11" x14ac:dyDescent="0.25">
      <c r="A6393" t="s">
        <v>7542</v>
      </c>
      <c r="C6393" t="s">
        <v>7543</v>
      </c>
      <c r="D6393" t="s">
        <v>5</v>
      </c>
      <c r="E6393" t="s">
        <v>6</v>
      </c>
      <c r="F6393" t="s">
        <v>28</v>
      </c>
      <c r="G6393">
        <v>1</v>
      </c>
      <c r="H6393" s="2">
        <f>Tabelle13[[#This Row],[commits]]/Tabelle13[[#Totals],[commits]]</f>
        <v>4.6477904404246225E-6</v>
      </c>
      <c r="I6393" s="5">
        <f>Tabelle13[[#This Row],[%]]+I6392</f>
        <v>0.98766476417104732</v>
      </c>
      <c r="J6393" s="4">
        <f t="shared" si="231"/>
        <v>1.105583195135434E-4</v>
      </c>
      <c r="K6393" s="5">
        <f t="shared" si="232"/>
        <v>0.70657822001113546</v>
      </c>
    </row>
    <row r="6394" spans="1:11" x14ac:dyDescent="0.25">
      <c r="A6394" t="s">
        <v>7544</v>
      </c>
      <c r="C6394" t="s">
        <v>7545</v>
      </c>
      <c r="D6394" t="s">
        <v>5</v>
      </c>
      <c r="E6394" t="s">
        <v>6</v>
      </c>
      <c r="F6394" t="s">
        <v>28</v>
      </c>
      <c r="G6394">
        <v>1</v>
      </c>
      <c r="H6394" s="2">
        <f>Tabelle13[[#This Row],[commits]]/Tabelle13[[#Totals],[commits]]</f>
        <v>4.6477904404246225E-6</v>
      </c>
      <c r="I6394" s="5">
        <f>Tabelle13[[#This Row],[%]]+I6393</f>
        <v>0.98766941196148772</v>
      </c>
      <c r="J6394" s="4">
        <f t="shared" si="231"/>
        <v>1.105583195135434E-4</v>
      </c>
      <c r="K6394" s="5">
        <f t="shared" si="232"/>
        <v>0.70668877833064903</v>
      </c>
    </row>
    <row r="6395" spans="1:11" x14ac:dyDescent="0.25">
      <c r="A6395" t="s">
        <v>7546</v>
      </c>
      <c r="C6395" t="s">
        <v>7547</v>
      </c>
      <c r="D6395" t="s">
        <v>5</v>
      </c>
      <c r="E6395" t="s">
        <v>6</v>
      </c>
      <c r="F6395" t="s">
        <v>28</v>
      </c>
      <c r="G6395">
        <v>1</v>
      </c>
      <c r="H6395" s="2">
        <f>Tabelle13[[#This Row],[commits]]/Tabelle13[[#Totals],[commits]]</f>
        <v>4.6477904404246225E-6</v>
      </c>
      <c r="I6395" s="5">
        <f>Tabelle13[[#This Row],[%]]+I6394</f>
        <v>0.98767405975192812</v>
      </c>
      <c r="J6395" s="4">
        <f t="shared" si="231"/>
        <v>1.105583195135434E-4</v>
      </c>
      <c r="K6395" s="5">
        <f t="shared" si="232"/>
        <v>0.70679933665016259</v>
      </c>
    </row>
    <row r="6396" spans="1:11" x14ac:dyDescent="0.25">
      <c r="A6396" t="s">
        <v>7548</v>
      </c>
      <c r="C6396" t="s">
        <v>7549</v>
      </c>
      <c r="D6396" t="s">
        <v>5</v>
      </c>
      <c r="E6396" t="s">
        <v>6</v>
      </c>
      <c r="F6396" t="s">
        <v>28</v>
      </c>
      <c r="G6396">
        <v>1</v>
      </c>
      <c r="H6396" s="2">
        <f>Tabelle13[[#This Row],[commits]]/Tabelle13[[#Totals],[commits]]</f>
        <v>4.6477904404246225E-6</v>
      </c>
      <c r="I6396" s="5">
        <f>Tabelle13[[#This Row],[%]]+I6395</f>
        <v>0.98767870754236853</v>
      </c>
      <c r="J6396" s="4">
        <f t="shared" si="231"/>
        <v>1.105583195135434E-4</v>
      </c>
      <c r="K6396" s="5">
        <f t="shared" si="232"/>
        <v>0.70690989496967616</v>
      </c>
    </row>
    <row r="6397" spans="1:11" x14ac:dyDescent="0.25">
      <c r="A6397" t="s">
        <v>7550</v>
      </c>
      <c r="C6397" t="s">
        <v>7551</v>
      </c>
      <c r="D6397" t="s">
        <v>5</v>
      </c>
      <c r="E6397" t="s">
        <v>6</v>
      </c>
      <c r="F6397" t="s">
        <v>28</v>
      </c>
      <c r="G6397">
        <v>1</v>
      </c>
      <c r="H6397" s="2">
        <f>Tabelle13[[#This Row],[commits]]/Tabelle13[[#Totals],[commits]]</f>
        <v>4.6477904404246225E-6</v>
      </c>
      <c r="I6397" s="5">
        <f>Tabelle13[[#This Row],[%]]+I6396</f>
        <v>0.98768335533280893</v>
      </c>
      <c r="J6397" s="4">
        <f t="shared" si="231"/>
        <v>1.105583195135434E-4</v>
      </c>
      <c r="K6397" s="5">
        <f t="shared" si="232"/>
        <v>0.70702045328918972</v>
      </c>
    </row>
    <row r="6398" spans="1:11" x14ac:dyDescent="0.25">
      <c r="A6398" t="s">
        <v>7552</v>
      </c>
      <c r="C6398" t="s">
        <v>7553</v>
      </c>
      <c r="D6398" t="s">
        <v>5</v>
      </c>
      <c r="E6398" t="s">
        <v>6</v>
      </c>
      <c r="F6398" t="s">
        <v>28</v>
      </c>
      <c r="G6398">
        <v>1</v>
      </c>
      <c r="H6398" s="2">
        <f>Tabelle13[[#This Row],[commits]]/Tabelle13[[#Totals],[commits]]</f>
        <v>4.6477904404246225E-6</v>
      </c>
      <c r="I6398" s="5">
        <f>Tabelle13[[#This Row],[%]]+I6397</f>
        <v>0.98768800312324934</v>
      </c>
      <c r="J6398" s="4">
        <f t="shared" si="231"/>
        <v>1.105583195135434E-4</v>
      </c>
      <c r="K6398" s="5">
        <f t="shared" si="232"/>
        <v>0.70713101160870329</v>
      </c>
    </row>
    <row r="6399" spans="1:11" x14ac:dyDescent="0.25">
      <c r="A6399" t="s">
        <v>7554</v>
      </c>
      <c r="C6399" t="s">
        <v>7555</v>
      </c>
      <c r="D6399" t="s">
        <v>5</v>
      </c>
      <c r="E6399" t="s">
        <v>6</v>
      </c>
      <c r="F6399" t="s">
        <v>28</v>
      </c>
      <c r="G6399">
        <v>1</v>
      </c>
      <c r="H6399" s="2">
        <f>Tabelle13[[#This Row],[commits]]/Tabelle13[[#Totals],[commits]]</f>
        <v>4.6477904404246225E-6</v>
      </c>
      <c r="I6399" s="5">
        <f>Tabelle13[[#This Row],[%]]+I6398</f>
        <v>0.98769265091368974</v>
      </c>
      <c r="J6399" s="4">
        <f t="shared" si="231"/>
        <v>1.105583195135434E-4</v>
      </c>
      <c r="K6399" s="5">
        <f t="shared" si="232"/>
        <v>0.70724156992821685</v>
      </c>
    </row>
    <row r="6400" spans="1:11" x14ac:dyDescent="0.25">
      <c r="A6400" t="s">
        <v>7556</v>
      </c>
      <c r="C6400" t="s">
        <v>7557</v>
      </c>
      <c r="D6400" t="s">
        <v>5</v>
      </c>
      <c r="E6400" t="s">
        <v>6</v>
      </c>
      <c r="F6400" t="s">
        <v>28</v>
      </c>
      <c r="G6400">
        <v>1</v>
      </c>
      <c r="H6400" s="2">
        <f>Tabelle13[[#This Row],[commits]]/Tabelle13[[#Totals],[commits]]</f>
        <v>4.6477904404246225E-6</v>
      </c>
      <c r="I6400" s="5">
        <f>Tabelle13[[#This Row],[%]]+I6399</f>
        <v>0.98769729870413014</v>
      </c>
      <c r="J6400" s="4">
        <f t="shared" si="231"/>
        <v>1.105583195135434E-4</v>
      </c>
      <c r="K6400" s="5">
        <f t="shared" si="232"/>
        <v>0.70735212824773042</v>
      </c>
    </row>
    <row r="6401" spans="1:11" x14ac:dyDescent="0.25">
      <c r="A6401" t="s">
        <v>7558</v>
      </c>
      <c r="C6401" t="s">
        <v>1679</v>
      </c>
      <c r="D6401" t="s">
        <v>5</v>
      </c>
      <c r="E6401" t="s">
        <v>6</v>
      </c>
      <c r="F6401" t="s">
        <v>28</v>
      </c>
      <c r="G6401">
        <v>1</v>
      </c>
      <c r="H6401" s="2">
        <f>Tabelle13[[#This Row],[commits]]/Tabelle13[[#Totals],[commits]]</f>
        <v>4.6477904404246225E-6</v>
      </c>
      <c r="I6401" s="5">
        <f>Tabelle13[[#This Row],[%]]+I6400</f>
        <v>0.98770194649457055</v>
      </c>
      <c r="J6401" s="4">
        <f t="shared" si="231"/>
        <v>1.105583195135434E-4</v>
      </c>
      <c r="K6401" s="5">
        <f t="shared" si="232"/>
        <v>0.70746268656724398</v>
      </c>
    </row>
    <row r="6402" spans="1:11" x14ac:dyDescent="0.25">
      <c r="A6402" t="s">
        <v>7559</v>
      </c>
      <c r="C6402" t="s">
        <v>7560</v>
      </c>
      <c r="D6402" t="s">
        <v>5</v>
      </c>
      <c r="E6402" t="s">
        <v>6</v>
      </c>
      <c r="F6402" t="s">
        <v>28</v>
      </c>
      <c r="G6402">
        <v>1</v>
      </c>
      <c r="H6402" s="2">
        <f>Tabelle13[[#This Row],[commits]]/Tabelle13[[#Totals],[commits]]</f>
        <v>4.6477904404246225E-6</v>
      </c>
      <c r="I6402" s="5">
        <f>Tabelle13[[#This Row],[%]]+I6401</f>
        <v>0.98770659428501095</v>
      </c>
      <c r="J6402" s="4">
        <f t="shared" si="231"/>
        <v>1.105583195135434E-4</v>
      </c>
      <c r="K6402" s="5">
        <f t="shared" si="232"/>
        <v>0.70757324488675755</v>
      </c>
    </row>
    <row r="6403" spans="1:11" x14ac:dyDescent="0.25">
      <c r="A6403" t="s">
        <v>7561</v>
      </c>
      <c r="C6403" t="s">
        <v>5659</v>
      </c>
      <c r="D6403" t="s">
        <v>5</v>
      </c>
      <c r="E6403" t="s">
        <v>6</v>
      </c>
      <c r="F6403" t="s">
        <v>28</v>
      </c>
      <c r="G6403">
        <v>1</v>
      </c>
      <c r="H6403" s="2">
        <f>Tabelle13[[#This Row],[commits]]/Tabelle13[[#Totals],[commits]]</f>
        <v>4.6477904404246225E-6</v>
      </c>
      <c r="I6403" s="5">
        <f>Tabelle13[[#This Row],[%]]+I6402</f>
        <v>0.98771124207545136</v>
      </c>
      <c r="J6403" s="4">
        <f t="shared" ref="J6403:J6466" si="233">1/9045</f>
        <v>1.105583195135434E-4</v>
      </c>
      <c r="K6403" s="5">
        <f t="shared" si="232"/>
        <v>0.70768380320627111</v>
      </c>
    </row>
    <row r="6404" spans="1:11" x14ac:dyDescent="0.25">
      <c r="A6404" t="s">
        <v>7562</v>
      </c>
      <c r="C6404" t="s">
        <v>5659</v>
      </c>
      <c r="D6404" t="s">
        <v>5</v>
      </c>
      <c r="E6404" t="s">
        <v>6</v>
      </c>
      <c r="F6404" t="s">
        <v>28</v>
      </c>
      <c r="G6404">
        <v>1</v>
      </c>
      <c r="H6404" s="2">
        <f>Tabelle13[[#This Row],[commits]]/Tabelle13[[#Totals],[commits]]</f>
        <v>4.6477904404246225E-6</v>
      </c>
      <c r="I6404" s="5">
        <f>Tabelle13[[#This Row],[%]]+I6403</f>
        <v>0.98771588986589176</v>
      </c>
      <c r="J6404" s="4">
        <f t="shared" si="233"/>
        <v>1.105583195135434E-4</v>
      </c>
      <c r="K6404" s="5">
        <f t="shared" si="232"/>
        <v>0.70779436152578468</v>
      </c>
    </row>
    <row r="6405" spans="1:11" x14ac:dyDescent="0.25">
      <c r="A6405" t="s">
        <v>7563</v>
      </c>
      <c r="C6405" t="s">
        <v>7564</v>
      </c>
      <c r="D6405" t="s">
        <v>5</v>
      </c>
      <c r="E6405" t="s">
        <v>6</v>
      </c>
      <c r="F6405" t="s">
        <v>28</v>
      </c>
      <c r="G6405">
        <v>1</v>
      </c>
      <c r="H6405" s="2">
        <f>Tabelle13[[#This Row],[commits]]/Tabelle13[[#Totals],[commits]]</f>
        <v>4.6477904404246225E-6</v>
      </c>
      <c r="I6405" s="5">
        <f>Tabelle13[[#This Row],[%]]+I6404</f>
        <v>0.98772053765633216</v>
      </c>
      <c r="J6405" s="4">
        <f t="shared" si="233"/>
        <v>1.105583195135434E-4</v>
      </c>
      <c r="K6405" s="5">
        <f t="shared" si="232"/>
        <v>0.70790491984529824</v>
      </c>
    </row>
    <row r="6406" spans="1:11" x14ac:dyDescent="0.25">
      <c r="A6406" t="s">
        <v>7565</v>
      </c>
      <c r="C6406" t="s">
        <v>7566</v>
      </c>
      <c r="D6406" t="s">
        <v>5</v>
      </c>
      <c r="E6406" t="s">
        <v>6</v>
      </c>
      <c r="F6406" t="s">
        <v>28</v>
      </c>
      <c r="G6406">
        <v>1</v>
      </c>
      <c r="H6406" s="2">
        <f>Tabelle13[[#This Row],[commits]]/Tabelle13[[#Totals],[commits]]</f>
        <v>4.6477904404246225E-6</v>
      </c>
      <c r="I6406" s="5">
        <f>Tabelle13[[#This Row],[%]]+I6405</f>
        <v>0.98772518544677257</v>
      </c>
      <c r="J6406" s="4">
        <f t="shared" si="233"/>
        <v>1.105583195135434E-4</v>
      </c>
      <c r="K6406" s="5">
        <f t="shared" ref="K6406:K6469" si="234">J6406+K6405</f>
        <v>0.70801547816481181</v>
      </c>
    </row>
    <row r="6407" spans="1:11" x14ac:dyDescent="0.25">
      <c r="A6407" t="s">
        <v>7567</v>
      </c>
      <c r="C6407" t="s">
        <v>7568</v>
      </c>
      <c r="D6407" t="s">
        <v>5</v>
      </c>
      <c r="E6407" t="s">
        <v>6</v>
      </c>
      <c r="F6407" t="s">
        <v>28</v>
      </c>
      <c r="G6407">
        <v>1</v>
      </c>
      <c r="H6407" s="2">
        <f>Tabelle13[[#This Row],[commits]]/Tabelle13[[#Totals],[commits]]</f>
        <v>4.6477904404246225E-6</v>
      </c>
      <c r="I6407" s="5">
        <f>Tabelle13[[#This Row],[%]]+I6406</f>
        <v>0.98772983323721297</v>
      </c>
      <c r="J6407" s="4">
        <f t="shared" si="233"/>
        <v>1.105583195135434E-4</v>
      </c>
      <c r="K6407" s="5">
        <f t="shared" si="234"/>
        <v>0.70812603648432537</v>
      </c>
    </row>
    <row r="6408" spans="1:11" x14ac:dyDescent="0.25">
      <c r="A6408" t="s">
        <v>7569</v>
      </c>
      <c r="C6408" t="s">
        <v>7570</v>
      </c>
      <c r="D6408" t="s">
        <v>5</v>
      </c>
      <c r="E6408" t="s">
        <v>6</v>
      </c>
      <c r="F6408" t="s">
        <v>28</v>
      </c>
      <c r="G6408">
        <v>1</v>
      </c>
      <c r="H6408" s="2">
        <f>Tabelle13[[#This Row],[commits]]/Tabelle13[[#Totals],[commits]]</f>
        <v>4.6477904404246225E-6</v>
      </c>
      <c r="I6408" s="5">
        <f>Tabelle13[[#This Row],[%]]+I6407</f>
        <v>0.98773448102765338</v>
      </c>
      <c r="J6408" s="4">
        <f t="shared" si="233"/>
        <v>1.105583195135434E-4</v>
      </c>
      <c r="K6408" s="5">
        <f t="shared" si="234"/>
        <v>0.70823659480383894</v>
      </c>
    </row>
    <row r="6409" spans="1:11" x14ac:dyDescent="0.25">
      <c r="A6409" t="s">
        <v>7571</v>
      </c>
      <c r="C6409" t="s">
        <v>7572</v>
      </c>
      <c r="D6409" t="s">
        <v>5</v>
      </c>
      <c r="E6409" t="s">
        <v>6</v>
      </c>
      <c r="F6409" t="s">
        <v>28</v>
      </c>
      <c r="G6409">
        <v>1</v>
      </c>
      <c r="H6409" s="2">
        <f>Tabelle13[[#This Row],[commits]]/Tabelle13[[#Totals],[commits]]</f>
        <v>4.6477904404246225E-6</v>
      </c>
      <c r="I6409" s="5">
        <f>Tabelle13[[#This Row],[%]]+I6408</f>
        <v>0.98773912881809378</v>
      </c>
      <c r="J6409" s="4">
        <f t="shared" si="233"/>
        <v>1.105583195135434E-4</v>
      </c>
      <c r="K6409" s="5">
        <f t="shared" si="234"/>
        <v>0.7083471531233525</v>
      </c>
    </row>
    <row r="6410" spans="1:11" x14ac:dyDescent="0.25">
      <c r="A6410" t="s">
        <v>7573</v>
      </c>
      <c r="C6410" t="s">
        <v>7574</v>
      </c>
      <c r="D6410" t="s">
        <v>5</v>
      </c>
      <c r="E6410" t="s">
        <v>6</v>
      </c>
      <c r="F6410" t="s">
        <v>28</v>
      </c>
      <c r="G6410">
        <v>1</v>
      </c>
      <c r="H6410" s="2">
        <f>Tabelle13[[#This Row],[commits]]/Tabelle13[[#Totals],[commits]]</f>
        <v>4.6477904404246225E-6</v>
      </c>
      <c r="I6410" s="5">
        <f>Tabelle13[[#This Row],[%]]+I6409</f>
        <v>0.98774377660853419</v>
      </c>
      <c r="J6410" s="4">
        <f t="shared" si="233"/>
        <v>1.105583195135434E-4</v>
      </c>
      <c r="K6410" s="5">
        <f t="shared" si="234"/>
        <v>0.70845771144286607</v>
      </c>
    </row>
    <row r="6411" spans="1:11" x14ac:dyDescent="0.25">
      <c r="A6411" t="s">
        <v>7575</v>
      </c>
      <c r="C6411" t="s">
        <v>7576</v>
      </c>
      <c r="D6411" t="s">
        <v>5</v>
      </c>
      <c r="E6411" t="s">
        <v>6</v>
      </c>
      <c r="F6411" t="s">
        <v>28</v>
      </c>
      <c r="G6411">
        <v>1</v>
      </c>
      <c r="H6411" s="2">
        <f>Tabelle13[[#This Row],[commits]]/Tabelle13[[#Totals],[commits]]</f>
        <v>4.6477904404246225E-6</v>
      </c>
      <c r="I6411" s="5">
        <f>Tabelle13[[#This Row],[%]]+I6410</f>
        <v>0.98774842439897459</v>
      </c>
      <c r="J6411" s="4">
        <f t="shared" si="233"/>
        <v>1.105583195135434E-4</v>
      </c>
      <c r="K6411" s="5">
        <f t="shared" si="234"/>
        <v>0.70856826976237963</v>
      </c>
    </row>
    <row r="6412" spans="1:11" x14ac:dyDescent="0.25">
      <c r="A6412" t="s">
        <v>7577</v>
      </c>
      <c r="C6412" t="s">
        <v>7578</v>
      </c>
      <c r="D6412" t="s">
        <v>5</v>
      </c>
      <c r="E6412" t="s">
        <v>6</v>
      </c>
      <c r="F6412" t="s">
        <v>28</v>
      </c>
      <c r="G6412">
        <v>1</v>
      </c>
      <c r="H6412" s="2">
        <f>Tabelle13[[#This Row],[commits]]/Tabelle13[[#Totals],[commits]]</f>
        <v>4.6477904404246225E-6</v>
      </c>
      <c r="I6412" s="5">
        <f>Tabelle13[[#This Row],[%]]+I6411</f>
        <v>0.98775307218941499</v>
      </c>
      <c r="J6412" s="4">
        <f t="shared" si="233"/>
        <v>1.105583195135434E-4</v>
      </c>
      <c r="K6412" s="5">
        <f t="shared" si="234"/>
        <v>0.7086788280818932</v>
      </c>
    </row>
    <row r="6413" spans="1:11" x14ac:dyDescent="0.25">
      <c r="A6413" t="s">
        <v>7579</v>
      </c>
      <c r="C6413" t="s">
        <v>7580</v>
      </c>
      <c r="D6413" t="s">
        <v>5</v>
      </c>
      <c r="E6413" t="s">
        <v>6</v>
      </c>
      <c r="F6413" t="s">
        <v>28</v>
      </c>
      <c r="G6413">
        <v>1</v>
      </c>
      <c r="H6413" s="2">
        <f>Tabelle13[[#This Row],[commits]]/Tabelle13[[#Totals],[commits]]</f>
        <v>4.6477904404246225E-6</v>
      </c>
      <c r="I6413" s="5">
        <f>Tabelle13[[#This Row],[%]]+I6412</f>
        <v>0.9877577199798554</v>
      </c>
      <c r="J6413" s="4">
        <f t="shared" si="233"/>
        <v>1.105583195135434E-4</v>
      </c>
      <c r="K6413" s="5">
        <f t="shared" si="234"/>
        <v>0.70878938640140676</v>
      </c>
    </row>
    <row r="6414" spans="1:11" x14ac:dyDescent="0.25">
      <c r="A6414" t="s">
        <v>7581</v>
      </c>
      <c r="C6414" t="s">
        <v>7582</v>
      </c>
      <c r="D6414" t="s">
        <v>5</v>
      </c>
      <c r="E6414" t="s">
        <v>6</v>
      </c>
      <c r="F6414" t="s">
        <v>28</v>
      </c>
      <c r="G6414">
        <v>1</v>
      </c>
      <c r="H6414" s="2">
        <f>Tabelle13[[#This Row],[commits]]/Tabelle13[[#Totals],[commits]]</f>
        <v>4.6477904404246225E-6</v>
      </c>
      <c r="I6414" s="5">
        <f>Tabelle13[[#This Row],[%]]+I6413</f>
        <v>0.9877623677702958</v>
      </c>
      <c r="J6414" s="4">
        <f t="shared" si="233"/>
        <v>1.105583195135434E-4</v>
      </c>
      <c r="K6414" s="5">
        <f t="shared" si="234"/>
        <v>0.70889994472092033</v>
      </c>
    </row>
    <row r="6415" spans="1:11" x14ac:dyDescent="0.25">
      <c r="A6415" t="s">
        <v>7583</v>
      </c>
      <c r="C6415" t="s">
        <v>7584</v>
      </c>
      <c r="D6415" t="s">
        <v>5</v>
      </c>
      <c r="E6415" t="s">
        <v>6</v>
      </c>
      <c r="F6415" t="s">
        <v>28</v>
      </c>
      <c r="G6415">
        <v>1</v>
      </c>
      <c r="H6415" s="2">
        <f>Tabelle13[[#This Row],[commits]]/Tabelle13[[#Totals],[commits]]</f>
        <v>4.6477904404246225E-6</v>
      </c>
      <c r="I6415" s="5">
        <f>Tabelle13[[#This Row],[%]]+I6414</f>
        <v>0.98776701556073621</v>
      </c>
      <c r="J6415" s="4">
        <f t="shared" si="233"/>
        <v>1.105583195135434E-4</v>
      </c>
      <c r="K6415" s="5">
        <f t="shared" si="234"/>
        <v>0.70901050304043389</v>
      </c>
    </row>
    <row r="6416" spans="1:11" x14ac:dyDescent="0.25">
      <c r="A6416" t="s">
        <v>7585</v>
      </c>
      <c r="C6416" t="s">
        <v>7586</v>
      </c>
      <c r="D6416" t="s">
        <v>309</v>
      </c>
      <c r="E6416" t="s">
        <v>6</v>
      </c>
      <c r="F6416" t="s">
        <v>251</v>
      </c>
      <c r="G6416">
        <v>1</v>
      </c>
      <c r="H6416" s="2">
        <f>Tabelle13[[#This Row],[commits]]/Tabelle13[[#Totals],[commits]]</f>
        <v>4.6477904404246225E-6</v>
      </c>
      <c r="I6416" s="5">
        <f>Tabelle13[[#This Row],[%]]+I6415</f>
        <v>0.98777166335117661</v>
      </c>
      <c r="J6416" s="4">
        <f t="shared" si="233"/>
        <v>1.105583195135434E-4</v>
      </c>
      <c r="K6416" s="5">
        <f t="shared" si="234"/>
        <v>0.70912106135994746</v>
      </c>
    </row>
    <row r="6417" spans="1:11" x14ac:dyDescent="0.25">
      <c r="A6417" t="s">
        <v>7587</v>
      </c>
      <c r="C6417" t="s">
        <v>7588</v>
      </c>
      <c r="D6417" t="s">
        <v>5</v>
      </c>
      <c r="E6417" t="s">
        <v>6</v>
      </c>
      <c r="F6417" t="s">
        <v>28</v>
      </c>
      <c r="G6417">
        <v>1</v>
      </c>
      <c r="H6417" s="2">
        <f>Tabelle13[[#This Row],[commits]]/Tabelle13[[#Totals],[commits]]</f>
        <v>4.6477904404246225E-6</v>
      </c>
      <c r="I6417" s="5">
        <f>Tabelle13[[#This Row],[%]]+I6416</f>
        <v>0.98777631114161701</v>
      </c>
      <c r="J6417" s="4">
        <f t="shared" si="233"/>
        <v>1.105583195135434E-4</v>
      </c>
      <c r="K6417" s="5">
        <f t="shared" si="234"/>
        <v>0.70923161967946102</v>
      </c>
    </row>
    <row r="6418" spans="1:11" x14ac:dyDescent="0.25">
      <c r="A6418" t="s">
        <v>7589</v>
      </c>
      <c r="C6418" t="s">
        <v>7590</v>
      </c>
      <c r="D6418" t="s">
        <v>5</v>
      </c>
      <c r="E6418" t="s">
        <v>6</v>
      </c>
      <c r="F6418" t="s">
        <v>28</v>
      </c>
      <c r="G6418">
        <v>1</v>
      </c>
      <c r="H6418" s="2">
        <f>Tabelle13[[#This Row],[commits]]/Tabelle13[[#Totals],[commits]]</f>
        <v>4.6477904404246225E-6</v>
      </c>
      <c r="I6418" s="5">
        <f>Tabelle13[[#This Row],[%]]+I6417</f>
        <v>0.98778095893205742</v>
      </c>
      <c r="J6418" s="4">
        <f t="shared" si="233"/>
        <v>1.105583195135434E-4</v>
      </c>
      <c r="K6418" s="5">
        <f t="shared" si="234"/>
        <v>0.70934217799897459</v>
      </c>
    </row>
    <row r="6419" spans="1:11" x14ac:dyDescent="0.25">
      <c r="A6419" t="s">
        <v>7591</v>
      </c>
      <c r="C6419" t="s">
        <v>7592</v>
      </c>
      <c r="D6419" t="s">
        <v>5</v>
      </c>
      <c r="E6419" t="s">
        <v>6</v>
      </c>
      <c r="F6419" t="s">
        <v>28</v>
      </c>
      <c r="G6419">
        <v>1</v>
      </c>
      <c r="H6419" s="2">
        <f>Tabelle13[[#This Row],[commits]]/Tabelle13[[#Totals],[commits]]</f>
        <v>4.6477904404246225E-6</v>
      </c>
      <c r="I6419" s="5">
        <f>Tabelle13[[#This Row],[%]]+I6418</f>
        <v>0.98778560672249782</v>
      </c>
      <c r="J6419" s="4">
        <f t="shared" si="233"/>
        <v>1.105583195135434E-4</v>
      </c>
      <c r="K6419" s="5">
        <f t="shared" si="234"/>
        <v>0.70945273631848815</v>
      </c>
    </row>
    <row r="6420" spans="1:11" x14ac:dyDescent="0.25">
      <c r="A6420" t="s">
        <v>7593</v>
      </c>
      <c r="C6420" t="s">
        <v>7594</v>
      </c>
      <c r="D6420" t="s">
        <v>5</v>
      </c>
      <c r="E6420" t="s">
        <v>6</v>
      </c>
      <c r="F6420" t="s">
        <v>28</v>
      </c>
      <c r="G6420">
        <v>1</v>
      </c>
      <c r="H6420" s="2">
        <f>Tabelle13[[#This Row],[commits]]/Tabelle13[[#Totals],[commits]]</f>
        <v>4.6477904404246225E-6</v>
      </c>
      <c r="I6420" s="5">
        <f>Tabelle13[[#This Row],[%]]+I6419</f>
        <v>0.98779025451293823</v>
      </c>
      <c r="J6420" s="4">
        <f t="shared" si="233"/>
        <v>1.105583195135434E-4</v>
      </c>
      <c r="K6420" s="5">
        <f t="shared" si="234"/>
        <v>0.70956329463800172</v>
      </c>
    </row>
    <row r="6421" spans="1:11" x14ac:dyDescent="0.25">
      <c r="A6421" t="s">
        <v>7595</v>
      </c>
      <c r="C6421" t="s">
        <v>7596</v>
      </c>
      <c r="D6421" t="s">
        <v>5</v>
      </c>
      <c r="E6421" t="s">
        <v>6</v>
      </c>
      <c r="F6421" t="s">
        <v>28</v>
      </c>
      <c r="G6421">
        <v>1</v>
      </c>
      <c r="H6421" s="2">
        <f>Tabelle13[[#This Row],[commits]]/Tabelle13[[#Totals],[commits]]</f>
        <v>4.6477904404246225E-6</v>
      </c>
      <c r="I6421" s="5">
        <f>Tabelle13[[#This Row],[%]]+I6420</f>
        <v>0.98779490230337863</v>
      </c>
      <c r="J6421" s="4">
        <f t="shared" si="233"/>
        <v>1.105583195135434E-4</v>
      </c>
      <c r="K6421" s="5">
        <f t="shared" si="234"/>
        <v>0.70967385295751528</v>
      </c>
    </row>
    <row r="6422" spans="1:11" x14ac:dyDescent="0.25">
      <c r="A6422" t="s">
        <v>7597</v>
      </c>
      <c r="C6422" t="s">
        <v>7598</v>
      </c>
      <c r="D6422" t="s">
        <v>5</v>
      </c>
      <c r="E6422" t="s">
        <v>6</v>
      </c>
      <c r="F6422" t="s">
        <v>28</v>
      </c>
      <c r="G6422">
        <v>1</v>
      </c>
      <c r="H6422" s="2">
        <f>Tabelle13[[#This Row],[commits]]/Tabelle13[[#Totals],[commits]]</f>
        <v>4.6477904404246225E-6</v>
      </c>
      <c r="I6422" s="5">
        <f>Tabelle13[[#This Row],[%]]+I6421</f>
        <v>0.98779955009381903</v>
      </c>
      <c r="J6422" s="4">
        <f t="shared" si="233"/>
        <v>1.105583195135434E-4</v>
      </c>
      <c r="K6422" s="5">
        <f t="shared" si="234"/>
        <v>0.70978441127702885</v>
      </c>
    </row>
    <row r="6423" spans="1:11" x14ac:dyDescent="0.25">
      <c r="A6423" t="s">
        <v>7599</v>
      </c>
      <c r="C6423" t="s">
        <v>7600</v>
      </c>
      <c r="D6423" t="s">
        <v>5</v>
      </c>
      <c r="E6423" t="s">
        <v>6</v>
      </c>
      <c r="F6423" t="s">
        <v>28</v>
      </c>
      <c r="G6423">
        <v>1</v>
      </c>
      <c r="H6423" s="2">
        <f>Tabelle13[[#This Row],[commits]]/Tabelle13[[#Totals],[commits]]</f>
        <v>4.6477904404246225E-6</v>
      </c>
      <c r="I6423" s="5">
        <f>Tabelle13[[#This Row],[%]]+I6422</f>
        <v>0.98780419788425944</v>
      </c>
      <c r="J6423" s="4">
        <f t="shared" si="233"/>
        <v>1.105583195135434E-4</v>
      </c>
      <c r="K6423" s="5">
        <f t="shared" si="234"/>
        <v>0.70989496959654241</v>
      </c>
    </row>
    <row r="6424" spans="1:11" x14ac:dyDescent="0.25">
      <c r="A6424" t="s">
        <v>7601</v>
      </c>
      <c r="C6424" t="s">
        <v>7602</v>
      </c>
      <c r="D6424" t="s">
        <v>5</v>
      </c>
      <c r="E6424" t="s">
        <v>6</v>
      </c>
      <c r="F6424" t="s">
        <v>28</v>
      </c>
      <c r="G6424">
        <v>1</v>
      </c>
      <c r="H6424" s="2">
        <f>Tabelle13[[#This Row],[commits]]/Tabelle13[[#Totals],[commits]]</f>
        <v>4.6477904404246225E-6</v>
      </c>
      <c r="I6424" s="5">
        <f>Tabelle13[[#This Row],[%]]+I6423</f>
        <v>0.98780884567469984</v>
      </c>
      <c r="J6424" s="4">
        <f t="shared" si="233"/>
        <v>1.105583195135434E-4</v>
      </c>
      <c r="K6424" s="5">
        <f t="shared" si="234"/>
        <v>0.71000552791605598</v>
      </c>
    </row>
    <row r="6425" spans="1:11" x14ac:dyDescent="0.25">
      <c r="A6425" t="s">
        <v>7603</v>
      </c>
      <c r="C6425" t="s">
        <v>7604</v>
      </c>
      <c r="D6425" t="s">
        <v>5</v>
      </c>
      <c r="E6425" t="s">
        <v>6</v>
      </c>
      <c r="F6425" t="s">
        <v>28</v>
      </c>
      <c r="G6425">
        <v>1</v>
      </c>
      <c r="H6425" s="2">
        <f>Tabelle13[[#This Row],[commits]]/Tabelle13[[#Totals],[commits]]</f>
        <v>4.6477904404246225E-6</v>
      </c>
      <c r="I6425" s="5">
        <f>Tabelle13[[#This Row],[%]]+I6424</f>
        <v>0.98781349346514025</v>
      </c>
      <c r="J6425" s="4">
        <f t="shared" si="233"/>
        <v>1.105583195135434E-4</v>
      </c>
      <c r="K6425" s="5">
        <f t="shared" si="234"/>
        <v>0.71011608623556954</v>
      </c>
    </row>
    <row r="6426" spans="1:11" x14ac:dyDescent="0.25">
      <c r="A6426" t="s">
        <v>7605</v>
      </c>
      <c r="C6426" t="s">
        <v>7606</v>
      </c>
      <c r="D6426" t="s">
        <v>5</v>
      </c>
      <c r="E6426" t="s">
        <v>6</v>
      </c>
      <c r="F6426" t="s">
        <v>28</v>
      </c>
      <c r="G6426">
        <v>1</v>
      </c>
      <c r="H6426" s="2">
        <f>Tabelle13[[#This Row],[commits]]/Tabelle13[[#Totals],[commits]]</f>
        <v>4.6477904404246225E-6</v>
      </c>
      <c r="I6426" s="5">
        <f>Tabelle13[[#This Row],[%]]+I6425</f>
        <v>0.98781814125558065</v>
      </c>
      <c r="J6426" s="4">
        <f t="shared" si="233"/>
        <v>1.105583195135434E-4</v>
      </c>
      <c r="K6426" s="5">
        <f t="shared" si="234"/>
        <v>0.71022664455508311</v>
      </c>
    </row>
    <row r="6427" spans="1:11" x14ac:dyDescent="0.25">
      <c r="A6427" t="s">
        <v>7607</v>
      </c>
      <c r="C6427" t="s">
        <v>7608</v>
      </c>
      <c r="D6427" t="s">
        <v>5</v>
      </c>
      <c r="E6427" t="s">
        <v>6</v>
      </c>
      <c r="F6427" t="s">
        <v>28</v>
      </c>
      <c r="G6427">
        <v>1</v>
      </c>
      <c r="H6427" s="2">
        <f>Tabelle13[[#This Row],[commits]]/Tabelle13[[#Totals],[commits]]</f>
        <v>4.6477904404246225E-6</v>
      </c>
      <c r="I6427" s="5">
        <f>Tabelle13[[#This Row],[%]]+I6426</f>
        <v>0.98782278904602105</v>
      </c>
      <c r="J6427" s="4">
        <f t="shared" si="233"/>
        <v>1.105583195135434E-4</v>
      </c>
      <c r="K6427" s="5">
        <f t="shared" si="234"/>
        <v>0.71033720287459667</v>
      </c>
    </row>
    <row r="6428" spans="1:11" x14ac:dyDescent="0.25">
      <c r="A6428" t="s">
        <v>7609</v>
      </c>
      <c r="C6428" t="s">
        <v>7610</v>
      </c>
      <c r="D6428" t="s">
        <v>5</v>
      </c>
      <c r="E6428" t="s">
        <v>6</v>
      </c>
      <c r="F6428" t="s">
        <v>28</v>
      </c>
      <c r="G6428">
        <v>1</v>
      </c>
      <c r="H6428" s="2">
        <f>Tabelle13[[#This Row],[commits]]/Tabelle13[[#Totals],[commits]]</f>
        <v>4.6477904404246225E-6</v>
      </c>
      <c r="I6428" s="5">
        <f>Tabelle13[[#This Row],[%]]+I6427</f>
        <v>0.98782743683646146</v>
      </c>
      <c r="J6428" s="4">
        <f t="shared" si="233"/>
        <v>1.105583195135434E-4</v>
      </c>
      <c r="K6428" s="5">
        <f t="shared" si="234"/>
        <v>0.71044776119411024</v>
      </c>
    </row>
    <row r="6429" spans="1:11" x14ac:dyDescent="0.25">
      <c r="A6429" t="s">
        <v>7611</v>
      </c>
      <c r="C6429" t="s">
        <v>7612</v>
      </c>
      <c r="D6429" t="s">
        <v>5</v>
      </c>
      <c r="E6429" t="s">
        <v>6</v>
      </c>
      <c r="F6429" t="s">
        <v>28</v>
      </c>
      <c r="G6429">
        <v>1</v>
      </c>
      <c r="H6429" s="2">
        <f>Tabelle13[[#This Row],[commits]]/Tabelle13[[#Totals],[commits]]</f>
        <v>4.6477904404246225E-6</v>
      </c>
      <c r="I6429" s="5">
        <f>Tabelle13[[#This Row],[%]]+I6428</f>
        <v>0.98783208462690186</v>
      </c>
      <c r="J6429" s="4">
        <f t="shared" si="233"/>
        <v>1.105583195135434E-4</v>
      </c>
      <c r="K6429" s="5">
        <f t="shared" si="234"/>
        <v>0.7105583195136238</v>
      </c>
    </row>
    <row r="6430" spans="1:11" x14ac:dyDescent="0.25">
      <c r="A6430" t="s">
        <v>7613</v>
      </c>
      <c r="C6430" t="s">
        <v>7614</v>
      </c>
      <c r="D6430" t="s">
        <v>5</v>
      </c>
      <c r="E6430" t="s">
        <v>6</v>
      </c>
      <c r="F6430" t="s">
        <v>28</v>
      </c>
      <c r="G6430">
        <v>1</v>
      </c>
      <c r="H6430" s="2">
        <f>Tabelle13[[#This Row],[commits]]/Tabelle13[[#Totals],[commits]]</f>
        <v>4.6477904404246225E-6</v>
      </c>
      <c r="I6430" s="5">
        <f>Tabelle13[[#This Row],[%]]+I6429</f>
        <v>0.98783673241734227</v>
      </c>
      <c r="J6430" s="4">
        <f t="shared" si="233"/>
        <v>1.105583195135434E-4</v>
      </c>
      <c r="K6430" s="5">
        <f t="shared" si="234"/>
        <v>0.71066887783313737</v>
      </c>
    </row>
    <row r="6431" spans="1:11" x14ac:dyDescent="0.25">
      <c r="A6431" t="s">
        <v>7615</v>
      </c>
      <c r="C6431" t="s">
        <v>7616</v>
      </c>
      <c r="D6431" t="s">
        <v>5</v>
      </c>
      <c r="E6431" t="s">
        <v>6</v>
      </c>
      <c r="F6431" t="s">
        <v>28</v>
      </c>
      <c r="G6431">
        <v>1</v>
      </c>
      <c r="H6431" s="2">
        <f>Tabelle13[[#This Row],[commits]]/Tabelle13[[#Totals],[commits]]</f>
        <v>4.6477904404246225E-6</v>
      </c>
      <c r="I6431" s="5">
        <f>Tabelle13[[#This Row],[%]]+I6430</f>
        <v>0.98784138020778267</v>
      </c>
      <c r="J6431" s="4">
        <f t="shared" si="233"/>
        <v>1.105583195135434E-4</v>
      </c>
      <c r="K6431" s="5">
        <f t="shared" si="234"/>
        <v>0.71077943615265093</v>
      </c>
    </row>
    <row r="6432" spans="1:11" x14ac:dyDescent="0.25">
      <c r="A6432" t="s">
        <v>7617</v>
      </c>
      <c r="C6432" t="s">
        <v>7618</v>
      </c>
      <c r="D6432" t="s">
        <v>5</v>
      </c>
      <c r="E6432" t="s">
        <v>6</v>
      </c>
      <c r="F6432" t="s">
        <v>28</v>
      </c>
      <c r="G6432">
        <v>1</v>
      </c>
      <c r="H6432" s="2">
        <f>Tabelle13[[#This Row],[commits]]/Tabelle13[[#Totals],[commits]]</f>
        <v>4.6477904404246225E-6</v>
      </c>
      <c r="I6432" s="5">
        <f>Tabelle13[[#This Row],[%]]+I6431</f>
        <v>0.98784602799822308</v>
      </c>
      <c r="J6432" s="4">
        <f t="shared" si="233"/>
        <v>1.105583195135434E-4</v>
      </c>
      <c r="K6432" s="5">
        <f t="shared" si="234"/>
        <v>0.7108899944721645</v>
      </c>
    </row>
    <row r="6433" spans="1:11" x14ac:dyDescent="0.25">
      <c r="A6433" t="s">
        <v>7619</v>
      </c>
      <c r="C6433" t="s">
        <v>7620</v>
      </c>
      <c r="D6433" t="s">
        <v>5</v>
      </c>
      <c r="E6433" t="s">
        <v>6</v>
      </c>
      <c r="F6433" t="s">
        <v>28</v>
      </c>
      <c r="G6433">
        <v>1</v>
      </c>
      <c r="H6433" s="2">
        <f>Tabelle13[[#This Row],[commits]]/Tabelle13[[#Totals],[commits]]</f>
        <v>4.6477904404246225E-6</v>
      </c>
      <c r="I6433" s="5">
        <f>Tabelle13[[#This Row],[%]]+I6432</f>
        <v>0.98785067578866348</v>
      </c>
      <c r="J6433" s="4">
        <f t="shared" si="233"/>
        <v>1.105583195135434E-4</v>
      </c>
      <c r="K6433" s="5">
        <f t="shared" si="234"/>
        <v>0.71100055279167806</v>
      </c>
    </row>
    <row r="6434" spans="1:11" x14ac:dyDescent="0.25">
      <c r="A6434" t="s">
        <v>7621</v>
      </c>
      <c r="C6434" t="s">
        <v>7622</v>
      </c>
      <c r="D6434" t="s">
        <v>5</v>
      </c>
      <c r="E6434" t="s">
        <v>6</v>
      </c>
      <c r="F6434" t="s">
        <v>28</v>
      </c>
      <c r="G6434">
        <v>1</v>
      </c>
      <c r="H6434" s="2">
        <f>Tabelle13[[#This Row],[commits]]/Tabelle13[[#Totals],[commits]]</f>
        <v>4.6477904404246225E-6</v>
      </c>
      <c r="I6434" s="5">
        <f>Tabelle13[[#This Row],[%]]+I6433</f>
        <v>0.98785532357910388</v>
      </c>
      <c r="J6434" s="4">
        <f t="shared" si="233"/>
        <v>1.105583195135434E-4</v>
      </c>
      <c r="K6434" s="5">
        <f t="shared" si="234"/>
        <v>0.71111111111119163</v>
      </c>
    </row>
    <row r="6435" spans="1:11" x14ac:dyDescent="0.25">
      <c r="A6435" t="s">
        <v>7623</v>
      </c>
      <c r="C6435" t="s">
        <v>7624</v>
      </c>
      <c r="D6435" t="s">
        <v>5</v>
      </c>
      <c r="E6435" t="s">
        <v>6</v>
      </c>
      <c r="F6435" t="s">
        <v>28</v>
      </c>
      <c r="G6435">
        <v>1</v>
      </c>
      <c r="H6435" s="2">
        <f>Tabelle13[[#This Row],[commits]]/Tabelle13[[#Totals],[commits]]</f>
        <v>4.6477904404246225E-6</v>
      </c>
      <c r="I6435" s="5">
        <f>Tabelle13[[#This Row],[%]]+I6434</f>
        <v>0.98785997136954429</v>
      </c>
      <c r="J6435" s="4">
        <f t="shared" si="233"/>
        <v>1.105583195135434E-4</v>
      </c>
      <c r="K6435" s="5">
        <f t="shared" si="234"/>
        <v>0.71122166943070519</v>
      </c>
    </row>
    <row r="6436" spans="1:11" x14ac:dyDescent="0.25">
      <c r="A6436" t="s">
        <v>7625</v>
      </c>
      <c r="C6436" t="s">
        <v>7626</v>
      </c>
      <c r="D6436" t="s">
        <v>5</v>
      </c>
      <c r="E6436" t="s">
        <v>6</v>
      </c>
      <c r="F6436" t="s">
        <v>28</v>
      </c>
      <c r="G6436">
        <v>1</v>
      </c>
      <c r="H6436" s="2">
        <f>Tabelle13[[#This Row],[commits]]/Tabelle13[[#Totals],[commits]]</f>
        <v>4.6477904404246225E-6</v>
      </c>
      <c r="I6436" s="5">
        <f>Tabelle13[[#This Row],[%]]+I6435</f>
        <v>0.98786461915998469</v>
      </c>
      <c r="J6436" s="4">
        <f t="shared" si="233"/>
        <v>1.105583195135434E-4</v>
      </c>
      <c r="K6436" s="5">
        <f t="shared" si="234"/>
        <v>0.71133222775021876</v>
      </c>
    </row>
    <row r="6437" spans="1:11" x14ac:dyDescent="0.25">
      <c r="A6437" t="s">
        <v>7627</v>
      </c>
      <c r="C6437" t="s">
        <v>7628</v>
      </c>
      <c r="D6437" t="s">
        <v>5</v>
      </c>
      <c r="E6437" t="s">
        <v>6</v>
      </c>
      <c r="F6437" t="s">
        <v>28</v>
      </c>
      <c r="G6437">
        <v>1</v>
      </c>
      <c r="H6437" s="2">
        <f>Tabelle13[[#This Row],[commits]]/Tabelle13[[#Totals],[commits]]</f>
        <v>4.6477904404246225E-6</v>
      </c>
      <c r="I6437" s="5">
        <f>Tabelle13[[#This Row],[%]]+I6436</f>
        <v>0.9878692669504251</v>
      </c>
      <c r="J6437" s="4">
        <f t="shared" si="233"/>
        <v>1.105583195135434E-4</v>
      </c>
      <c r="K6437" s="5">
        <f t="shared" si="234"/>
        <v>0.71144278606973232</v>
      </c>
    </row>
    <row r="6438" spans="1:11" x14ac:dyDescent="0.25">
      <c r="A6438" t="s">
        <v>7629</v>
      </c>
      <c r="C6438" t="s">
        <v>7630</v>
      </c>
      <c r="D6438" t="s">
        <v>5</v>
      </c>
      <c r="E6438" t="s">
        <v>6</v>
      </c>
      <c r="F6438" t="s">
        <v>28</v>
      </c>
      <c r="G6438">
        <v>1</v>
      </c>
      <c r="H6438" s="2">
        <f>Tabelle13[[#This Row],[commits]]/Tabelle13[[#Totals],[commits]]</f>
        <v>4.6477904404246225E-6</v>
      </c>
      <c r="I6438" s="5">
        <f>Tabelle13[[#This Row],[%]]+I6437</f>
        <v>0.9878739147408655</v>
      </c>
      <c r="J6438" s="4">
        <f t="shared" si="233"/>
        <v>1.105583195135434E-4</v>
      </c>
      <c r="K6438" s="5">
        <f t="shared" si="234"/>
        <v>0.71155334438924589</v>
      </c>
    </row>
    <row r="6439" spans="1:11" x14ac:dyDescent="0.25">
      <c r="A6439" t="s">
        <v>7631</v>
      </c>
      <c r="C6439" t="s">
        <v>7632</v>
      </c>
      <c r="D6439" t="s">
        <v>5</v>
      </c>
      <c r="E6439" t="s">
        <v>6</v>
      </c>
      <c r="F6439" t="s">
        <v>28</v>
      </c>
      <c r="G6439">
        <v>1</v>
      </c>
      <c r="H6439" s="2">
        <f>Tabelle13[[#This Row],[commits]]/Tabelle13[[#Totals],[commits]]</f>
        <v>4.6477904404246225E-6</v>
      </c>
      <c r="I6439" s="5">
        <f>Tabelle13[[#This Row],[%]]+I6438</f>
        <v>0.9878785625313059</v>
      </c>
      <c r="J6439" s="4">
        <f t="shared" si="233"/>
        <v>1.105583195135434E-4</v>
      </c>
      <c r="K6439" s="5">
        <f t="shared" si="234"/>
        <v>0.71166390270875945</v>
      </c>
    </row>
    <row r="6440" spans="1:11" x14ac:dyDescent="0.25">
      <c r="A6440" t="s">
        <v>7633</v>
      </c>
      <c r="C6440" t="s">
        <v>7634</v>
      </c>
      <c r="D6440" t="s">
        <v>5</v>
      </c>
      <c r="E6440" t="s">
        <v>6</v>
      </c>
      <c r="F6440" t="s">
        <v>28</v>
      </c>
      <c r="G6440">
        <v>1</v>
      </c>
      <c r="H6440" s="2">
        <f>Tabelle13[[#This Row],[commits]]/Tabelle13[[#Totals],[commits]]</f>
        <v>4.6477904404246225E-6</v>
      </c>
      <c r="I6440" s="5">
        <f>Tabelle13[[#This Row],[%]]+I6439</f>
        <v>0.98788321032174631</v>
      </c>
      <c r="J6440" s="4">
        <f t="shared" si="233"/>
        <v>1.105583195135434E-4</v>
      </c>
      <c r="K6440" s="5">
        <f t="shared" si="234"/>
        <v>0.71177446102827302</v>
      </c>
    </row>
    <row r="6441" spans="1:11" x14ac:dyDescent="0.25">
      <c r="A6441" t="s">
        <v>7635</v>
      </c>
      <c r="C6441" t="s">
        <v>7636</v>
      </c>
      <c r="D6441" t="s">
        <v>5</v>
      </c>
      <c r="E6441" t="s">
        <v>6</v>
      </c>
      <c r="F6441" t="s">
        <v>28</v>
      </c>
      <c r="G6441">
        <v>1</v>
      </c>
      <c r="H6441" s="2">
        <f>Tabelle13[[#This Row],[commits]]/Tabelle13[[#Totals],[commits]]</f>
        <v>4.6477904404246225E-6</v>
      </c>
      <c r="I6441" s="5">
        <f>Tabelle13[[#This Row],[%]]+I6440</f>
        <v>0.98788785811218671</v>
      </c>
      <c r="J6441" s="4">
        <f t="shared" si="233"/>
        <v>1.105583195135434E-4</v>
      </c>
      <c r="K6441" s="5">
        <f t="shared" si="234"/>
        <v>0.71188501934778659</v>
      </c>
    </row>
    <row r="6442" spans="1:11" x14ac:dyDescent="0.25">
      <c r="A6442" t="s">
        <v>7637</v>
      </c>
      <c r="C6442" t="s">
        <v>7638</v>
      </c>
      <c r="D6442" t="s">
        <v>5</v>
      </c>
      <c r="E6442" t="s">
        <v>6</v>
      </c>
      <c r="F6442" t="s">
        <v>28</v>
      </c>
      <c r="G6442">
        <v>1</v>
      </c>
      <c r="H6442" s="2">
        <f>Tabelle13[[#This Row],[commits]]/Tabelle13[[#Totals],[commits]]</f>
        <v>4.6477904404246225E-6</v>
      </c>
      <c r="I6442" s="5">
        <f>Tabelle13[[#This Row],[%]]+I6441</f>
        <v>0.98789250590262712</v>
      </c>
      <c r="J6442" s="4">
        <f t="shared" si="233"/>
        <v>1.105583195135434E-4</v>
      </c>
      <c r="K6442" s="5">
        <f t="shared" si="234"/>
        <v>0.71199557766730015</v>
      </c>
    </row>
    <row r="6443" spans="1:11" x14ac:dyDescent="0.25">
      <c r="A6443" t="s">
        <v>7639</v>
      </c>
      <c r="C6443" t="s">
        <v>7640</v>
      </c>
      <c r="D6443" t="s">
        <v>5</v>
      </c>
      <c r="E6443" t="s">
        <v>6</v>
      </c>
      <c r="F6443" t="s">
        <v>28</v>
      </c>
      <c r="G6443">
        <v>1</v>
      </c>
      <c r="H6443" s="2">
        <f>Tabelle13[[#This Row],[commits]]/Tabelle13[[#Totals],[commits]]</f>
        <v>4.6477904404246225E-6</v>
      </c>
      <c r="I6443" s="5">
        <f>Tabelle13[[#This Row],[%]]+I6442</f>
        <v>0.98789715369306752</v>
      </c>
      <c r="J6443" s="4">
        <f t="shared" si="233"/>
        <v>1.105583195135434E-4</v>
      </c>
      <c r="K6443" s="5">
        <f t="shared" si="234"/>
        <v>0.71210613598681372</v>
      </c>
    </row>
    <row r="6444" spans="1:11" x14ac:dyDescent="0.25">
      <c r="A6444" t="s">
        <v>7641</v>
      </c>
      <c r="C6444" t="s">
        <v>7642</v>
      </c>
      <c r="D6444" t="s">
        <v>5</v>
      </c>
      <c r="E6444" t="s">
        <v>6</v>
      </c>
      <c r="F6444" t="s">
        <v>28</v>
      </c>
      <c r="G6444">
        <v>1</v>
      </c>
      <c r="H6444" s="2">
        <f>Tabelle13[[#This Row],[commits]]/Tabelle13[[#Totals],[commits]]</f>
        <v>4.6477904404246225E-6</v>
      </c>
      <c r="I6444" s="5">
        <f>Tabelle13[[#This Row],[%]]+I6443</f>
        <v>0.98790180148350792</v>
      </c>
      <c r="J6444" s="4">
        <f t="shared" si="233"/>
        <v>1.105583195135434E-4</v>
      </c>
      <c r="K6444" s="5">
        <f t="shared" si="234"/>
        <v>0.71221669430632728</v>
      </c>
    </row>
    <row r="6445" spans="1:11" x14ac:dyDescent="0.25">
      <c r="A6445" t="s">
        <v>7643</v>
      </c>
      <c r="C6445" t="s">
        <v>7644</v>
      </c>
      <c r="D6445" t="s">
        <v>5</v>
      </c>
      <c r="E6445" t="s">
        <v>6</v>
      </c>
      <c r="F6445" t="s">
        <v>28</v>
      </c>
      <c r="G6445">
        <v>1</v>
      </c>
      <c r="H6445" s="2">
        <f>Tabelle13[[#This Row],[commits]]/Tabelle13[[#Totals],[commits]]</f>
        <v>4.6477904404246225E-6</v>
      </c>
      <c r="I6445" s="5">
        <f>Tabelle13[[#This Row],[%]]+I6444</f>
        <v>0.98790644927394833</v>
      </c>
      <c r="J6445" s="4">
        <f t="shared" si="233"/>
        <v>1.105583195135434E-4</v>
      </c>
      <c r="K6445" s="5">
        <f t="shared" si="234"/>
        <v>0.71232725262584085</v>
      </c>
    </row>
    <row r="6446" spans="1:11" x14ac:dyDescent="0.25">
      <c r="A6446" t="s">
        <v>7645</v>
      </c>
      <c r="C6446" t="s">
        <v>7646</v>
      </c>
      <c r="D6446" t="s">
        <v>5</v>
      </c>
      <c r="E6446" t="s">
        <v>6</v>
      </c>
      <c r="F6446" t="s">
        <v>28</v>
      </c>
      <c r="G6446">
        <v>1</v>
      </c>
      <c r="H6446" s="2">
        <f>Tabelle13[[#This Row],[commits]]/Tabelle13[[#Totals],[commits]]</f>
        <v>4.6477904404246225E-6</v>
      </c>
      <c r="I6446" s="5">
        <f>Tabelle13[[#This Row],[%]]+I6445</f>
        <v>0.98791109706438873</v>
      </c>
      <c r="J6446" s="4">
        <f t="shared" si="233"/>
        <v>1.105583195135434E-4</v>
      </c>
      <c r="K6446" s="5">
        <f t="shared" si="234"/>
        <v>0.71243781094535441</v>
      </c>
    </row>
    <row r="6447" spans="1:11" x14ac:dyDescent="0.25">
      <c r="A6447" t="s">
        <v>7647</v>
      </c>
      <c r="C6447" t="s">
        <v>7648</v>
      </c>
      <c r="D6447" t="s">
        <v>5</v>
      </c>
      <c r="E6447" t="s">
        <v>6</v>
      </c>
      <c r="F6447" t="s">
        <v>28</v>
      </c>
      <c r="G6447">
        <v>1</v>
      </c>
      <c r="H6447" s="2">
        <f>Tabelle13[[#This Row],[commits]]/Tabelle13[[#Totals],[commits]]</f>
        <v>4.6477904404246225E-6</v>
      </c>
      <c r="I6447" s="5">
        <f>Tabelle13[[#This Row],[%]]+I6446</f>
        <v>0.98791574485482914</v>
      </c>
      <c r="J6447" s="4">
        <f t="shared" si="233"/>
        <v>1.105583195135434E-4</v>
      </c>
      <c r="K6447" s="5">
        <f t="shared" si="234"/>
        <v>0.71254836926486798</v>
      </c>
    </row>
    <row r="6448" spans="1:11" x14ac:dyDescent="0.25">
      <c r="A6448" t="s">
        <v>7649</v>
      </c>
      <c r="C6448" t="s">
        <v>7650</v>
      </c>
      <c r="D6448" t="s">
        <v>5</v>
      </c>
      <c r="E6448" t="s">
        <v>6</v>
      </c>
      <c r="F6448" t="s">
        <v>28</v>
      </c>
      <c r="G6448">
        <v>1</v>
      </c>
      <c r="H6448" s="2">
        <f>Tabelle13[[#This Row],[commits]]/Tabelle13[[#Totals],[commits]]</f>
        <v>4.6477904404246225E-6</v>
      </c>
      <c r="I6448" s="5">
        <f>Tabelle13[[#This Row],[%]]+I6447</f>
        <v>0.98792039264526954</v>
      </c>
      <c r="J6448" s="4">
        <f t="shared" si="233"/>
        <v>1.105583195135434E-4</v>
      </c>
      <c r="K6448" s="5">
        <f t="shared" si="234"/>
        <v>0.71265892758438154</v>
      </c>
    </row>
    <row r="6449" spans="1:11" x14ac:dyDescent="0.25">
      <c r="A6449" t="s">
        <v>7651</v>
      </c>
      <c r="C6449" t="s">
        <v>7652</v>
      </c>
      <c r="D6449" t="s">
        <v>5</v>
      </c>
      <c r="E6449" t="s">
        <v>6</v>
      </c>
      <c r="F6449" t="s">
        <v>28</v>
      </c>
      <c r="G6449">
        <v>1</v>
      </c>
      <c r="H6449" s="2">
        <f>Tabelle13[[#This Row],[commits]]/Tabelle13[[#Totals],[commits]]</f>
        <v>4.6477904404246225E-6</v>
      </c>
      <c r="I6449" s="5">
        <f>Tabelle13[[#This Row],[%]]+I6448</f>
        <v>0.98792504043570994</v>
      </c>
      <c r="J6449" s="4">
        <f t="shared" si="233"/>
        <v>1.105583195135434E-4</v>
      </c>
      <c r="K6449" s="5">
        <f t="shared" si="234"/>
        <v>0.71276948590389511</v>
      </c>
    </row>
    <row r="6450" spans="1:11" x14ac:dyDescent="0.25">
      <c r="A6450" t="s">
        <v>7653</v>
      </c>
      <c r="C6450" t="s">
        <v>7654</v>
      </c>
      <c r="D6450" t="s">
        <v>5</v>
      </c>
      <c r="E6450" t="s">
        <v>6</v>
      </c>
      <c r="F6450" t="s">
        <v>28</v>
      </c>
      <c r="G6450">
        <v>1</v>
      </c>
      <c r="H6450" s="2">
        <f>Tabelle13[[#This Row],[commits]]/Tabelle13[[#Totals],[commits]]</f>
        <v>4.6477904404246225E-6</v>
      </c>
      <c r="I6450" s="5">
        <f>Tabelle13[[#This Row],[%]]+I6449</f>
        <v>0.98792968822615035</v>
      </c>
      <c r="J6450" s="4">
        <f t="shared" si="233"/>
        <v>1.105583195135434E-4</v>
      </c>
      <c r="K6450" s="5">
        <f t="shared" si="234"/>
        <v>0.71288004422340867</v>
      </c>
    </row>
    <row r="6451" spans="1:11" x14ac:dyDescent="0.25">
      <c r="A6451" t="s">
        <v>7655</v>
      </c>
      <c r="C6451" t="s">
        <v>7656</v>
      </c>
      <c r="D6451" t="s">
        <v>5</v>
      </c>
      <c r="E6451" t="s">
        <v>6</v>
      </c>
      <c r="F6451" t="s">
        <v>28</v>
      </c>
      <c r="G6451">
        <v>1</v>
      </c>
      <c r="H6451" s="2">
        <f>Tabelle13[[#This Row],[commits]]/Tabelle13[[#Totals],[commits]]</f>
        <v>4.6477904404246225E-6</v>
      </c>
      <c r="I6451" s="5">
        <f>Tabelle13[[#This Row],[%]]+I6450</f>
        <v>0.98793433601659075</v>
      </c>
      <c r="J6451" s="4">
        <f t="shared" si="233"/>
        <v>1.105583195135434E-4</v>
      </c>
      <c r="K6451" s="5">
        <f t="shared" si="234"/>
        <v>0.71299060254292224</v>
      </c>
    </row>
    <row r="6452" spans="1:11" x14ac:dyDescent="0.25">
      <c r="A6452" t="s">
        <v>7657</v>
      </c>
      <c r="C6452" t="s">
        <v>7658</v>
      </c>
      <c r="D6452" t="s">
        <v>5</v>
      </c>
      <c r="E6452" t="s">
        <v>6</v>
      </c>
      <c r="F6452" t="s">
        <v>28</v>
      </c>
      <c r="G6452">
        <v>1</v>
      </c>
      <c r="H6452" s="2">
        <f>Tabelle13[[#This Row],[commits]]/Tabelle13[[#Totals],[commits]]</f>
        <v>4.6477904404246225E-6</v>
      </c>
      <c r="I6452" s="5">
        <f>Tabelle13[[#This Row],[%]]+I6451</f>
        <v>0.98793898380703116</v>
      </c>
      <c r="J6452" s="4">
        <f t="shared" si="233"/>
        <v>1.105583195135434E-4</v>
      </c>
      <c r="K6452" s="5">
        <f t="shared" si="234"/>
        <v>0.7131011608624358</v>
      </c>
    </row>
    <row r="6453" spans="1:11" x14ac:dyDescent="0.25">
      <c r="A6453" t="s">
        <v>7659</v>
      </c>
      <c r="C6453" t="s">
        <v>7660</v>
      </c>
      <c r="D6453" t="s">
        <v>5</v>
      </c>
      <c r="E6453" t="s">
        <v>6</v>
      </c>
      <c r="F6453" t="s">
        <v>28</v>
      </c>
      <c r="G6453">
        <v>1</v>
      </c>
      <c r="H6453" s="2">
        <f>Tabelle13[[#This Row],[commits]]/Tabelle13[[#Totals],[commits]]</f>
        <v>4.6477904404246225E-6</v>
      </c>
      <c r="I6453" s="5">
        <f>Tabelle13[[#This Row],[%]]+I6452</f>
        <v>0.98794363159747156</v>
      </c>
      <c r="J6453" s="4">
        <f t="shared" si="233"/>
        <v>1.105583195135434E-4</v>
      </c>
      <c r="K6453" s="5">
        <f t="shared" si="234"/>
        <v>0.71321171918194937</v>
      </c>
    </row>
    <row r="6454" spans="1:11" x14ac:dyDescent="0.25">
      <c r="A6454" t="s">
        <v>7661</v>
      </c>
      <c r="C6454" t="s">
        <v>7662</v>
      </c>
      <c r="D6454" t="s">
        <v>5</v>
      </c>
      <c r="E6454" t="s">
        <v>6</v>
      </c>
      <c r="F6454" t="s">
        <v>28</v>
      </c>
      <c r="G6454">
        <v>1</v>
      </c>
      <c r="H6454" s="2">
        <f>Tabelle13[[#This Row],[commits]]/Tabelle13[[#Totals],[commits]]</f>
        <v>4.6477904404246225E-6</v>
      </c>
      <c r="I6454" s="5">
        <f>Tabelle13[[#This Row],[%]]+I6453</f>
        <v>0.98794827938791197</v>
      </c>
      <c r="J6454" s="4">
        <f t="shared" si="233"/>
        <v>1.105583195135434E-4</v>
      </c>
      <c r="K6454" s="5">
        <f t="shared" si="234"/>
        <v>0.71332227750146293</v>
      </c>
    </row>
    <row r="6455" spans="1:11" x14ac:dyDescent="0.25">
      <c r="A6455" t="s">
        <v>7663</v>
      </c>
      <c r="C6455" t="s">
        <v>7664</v>
      </c>
      <c r="D6455" t="s">
        <v>5</v>
      </c>
      <c r="E6455" t="s">
        <v>6</v>
      </c>
      <c r="F6455" t="s">
        <v>28</v>
      </c>
      <c r="G6455">
        <v>1</v>
      </c>
      <c r="H6455" s="2">
        <f>Tabelle13[[#This Row],[commits]]/Tabelle13[[#Totals],[commits]]</f>
        <v>4.6477904404246225E-6</v>
      </c>
      <c r="I6455" s="5">
        <f>Tabelle13[[#This Row],[%]]+I6454</f>
        <v>0.98795292717835237</v>
      </c>
      <c r="J6455" s="4">
        <f t="shared" si="233"/>
        <v>1.105583195135434E-4</v>
      </c>
      <c r="K6455" s="5">
        <f t="shared" si="234"/>
        <v>0.7134328358209765</v>
      </c>
    </row>
    <row r="6456" spans="1:11" x14ac:dyDescent="0.25">
      <c r="A6456" t="s">
        <v>7665</v>
      </c>
      <c r="C6456" t="s">
        <v>7666</v>
      </c>
      <c r="D6456" t="s">
        <v>5</v>
      </c>
      <c r="E6456" t="s">
        <v>6</v>
      </c>
      <c r="F6456" t="s">
        <v>28</v>
      </c>
      <c r="G6456">
        <v>1</v>
      </c>
      <c r="H6456" s="2">
        <f>Tabelle13[[#This Row],[commits]]/Tabelle13[[#Totals],[commits]]</f>
        <v>4.6477904404246225E-6</v>
      </c>
      <c r="I6456" s="5">
        <f>Tabelle13[[#This Row],[%]]+I6455</f>
        <v>0.98795757496879277</v>
      </c>
      <c r="J6456" s="4">
        <f t="shared" si="233"/>
        <v>1.105583195135434E-4</v>
      </c>
      <c r="K6456" s="5">
        <f t="shared" si="234"/>
        <v>0.71354339414049006</v>
      </c>
    </row>
    <row r="6457" spans="1:11" x14ac:dyDescent="0.25">
      <c r="A6457" t="s">
        <v>7667</v>
      </c>
      <c r="C6457" t="s">
        <v>7668</v>
      </c>
      <c r="D6457" t="s">
        <v>5</v>
      </c>
      <c r="E6457" t="s">
        <v>6</v>
      </c>
      <c r="F6457" t="s">
        <v>28</v>
      </c>
      <c r="G6457">
        <v>1</v>
      </c>
      <c r="H6457" s="2">
        <f>Tabelle13[[#This Row],[commits]]/Tabelle13[[#Totals],[commits]]</f>
        <v>4.6477904404246225E-6</v>
      </c>
      <c r="I6457" s="5">
        <f>Tabelle13[[#This Row],[%]]+I6456</f>
        <v>0.98796222275923318</v>
      </c>
      <c r="J6457" s="4">
        <f t="shared" si="233"/>
        <v>1.105583195135434E-4</v>
      </c>
      <c r="K6457" s="5">
        <f t="shared" si="234"/>
        <v>0.71365395246000363</v>
      </c>
    </row>
    <row r="6458" spans="1:11" x14ac:dyDescent="0.25">
      <c r="A6458" t="s">
        <v>7669</v>
      </c>
      <c r="C6458" t="s">
        <v>7670</v>
      </c>
      <c r="D6458" t="s">
        <v>5</v>
      </c>
      <c r="E6458" t="s">
        <v>6</v>
      </c>
      <c r="F6458" t="s">
        <v>28</v>
      </c>
      <c r="G6458">
        <v>1</v>
      </c>
      <c r="H6458" s="2">
        <f>Tabelle13[[#This Row],[commits]]/Tabelle13[[#Totals],[commits]]</f>
        <v>4.6477904404246225E-6</v>
      </c>
      <c r="I6458" s="5">
        <f>Tabelle13[[#This Row],[%]]+I6457</f>
        <v>0.98796687054967358</v>
      </c>
      <c r="J6458" s="4">
        <f t="shared" si="233"/>
        <v>1.105583195135434E-4</v>
      </c>
      <c r="K6458" s="5">
        <f t="shared" si="234"/>
        <v>0.71376451077951719</v>
      </c>
    </row>
    <row r="6459" spans="1:11" x14ac:dyDescent="0.25">
      <c r="A6459" t="s">
        <v>7671</v>
      </c>
      <c r="C6459" t="s">
        <v>7672</v>
      </c>
      <c r="D6459" t="s">
        <v>5</v>
      </c>
      <c r="E6459" t="s">
        <v>6</v>
      </c>
      <c r="F6459" t="s">
        <v>28</v>
      </c>
      <c r="G6459">
        <v>1</v>
      </c>
      <c r="H6459" s="2">
        <f>Tabelle13[[#This Row],[commits]]/Tabelle13[[#Totals],[commits]]</f>
        <v>4.6477904404246225E-6</v>
      </c>
      <c r="I6459" s="5">
        <f>Tabelle13[[#This Row],[%]]+I6458</f>
        <v>0.98797151834011399</v>
      </c>
      <c r="J6459" s="4">
        <f t="shared" si="233"/>
        <v>1.105583195135434E-4</v>
      </c>
      <c r="K6459" s="5">
        <f t="shared" si="234"/>
        <v>0.71387506909903076</v>
      </c>
    </row>
    <row r="6460" spans="1:11" x14ac:dyDescent="0.25">
      <c r="A6460" t="s">
        <v>7673</v>
      </c>
      <c r="C6460" t="s">
        <v>7674</v>
      </c>
      <c r="D6460" t="s">
        <v>5</v>
      </c>
      <c r="E6460" t="s">
        <v>6</v>
      </c>
      <c r="F6460" t="s">
        <v>28</v>
      </c>
      <c r="G6460">
        <v>1</v>
      </c>
      <c r="H6460" s="2">
        <f>Tabelle13[[#This Row],[commits]]/Tabelle13[[#Totals],[commits]]</f>
        <v>4.6477904404246225E-6</v>
      </c>
      <c r="I6460" s="5">
        <f>Tabelle13[[#This Row],[%]]+I6459</f>
        <v>0.98797616613055439</v>
      </c>
      <c r="J6460" s="4">
        <f t="shared" si="233"/>
        <v>1.105583195135434E-4</v>
      </c>
      <c r="K6460" s="5">
        <f t="shared" si="234"/>
        <v>0.71398562741854432</v>
      </c>
    </row>
    <row r="6461" spans="1:11" x14ac:dyDescent="0.25">
      <c r="A6461" t="s">
        <v>7675</v>
      </c>
      <c r="C6461" t="s">
        <v>7676</v>
      </c>
      <c r="D6461" t="s">
        <v>5</v>
      </c>
      <c r="E6461" t="s">
        <v>6</v>
      </c>
      <c r="F6461" t="s">
        <v>28</v>
      </c>
      <c r="G6461">
        <v>1</v>
      </c>
      <c r="H6461" s="2">
        <f>Tabelle13[[#This Row],[commits]]/Tabelle13[[#Totals],[commits]]</f>
        <v>4.6477904404246225E-6</v>
      </c>
      <c r="I6461" s="5">
        <f>Tabelle13[[#This Row],[%]]+I6460</f>
        <v>0.98798081392099479</v>
      </c>
      <c r="J6461" s="4">
        <f t="shared" si="233"/>
        <v>1.105583195135434E-4</v>
      </c>
      <c r="K6461" s="5">
        <f t="shared" si="234"/>
        <v>0.71409618573805789</v>
      </c>
    </row>
    <row r="6462" spans="1:11" x14ac:dyDescent="0.25">
      <c r="A6462" t="s">
        <v>7677</v>
      </c>
      <c r="C6462" t="s">
        <v>7678</v>
      </c>
      <c r="D6462" t="s">
        <v>5</v>
      </c>
      <c r="E6462" t="s">
        <v>6</v>
      </c>
      <c r="F6462" t="s">
        <v>28</v>
      </c>
      <c r="G6462">
        <v>1</v>
      </c>
      <c r="H6462" s="2">
        <f>Tabelle13[[#This Row],[commits]]/Tabelle13[[#Totals],[commits]]</f>
        <v>4.6477904404246225E-6</v>
      </c>
      <c r="I6462" s="5">
        <f>Tabelle13[[#This Row],[%]]+I6461</f>
        <v>0.9879854617114352</v>
      </c>
      <c r="J6462" s="4">
        <f t="shared" si="233"/>
        <v>1.105583195135434E-4</v>
      </c>
      <c r="K6462" s="5">
        <f t="shared" si="234"/>
        <v>0.71420674405757145</v>
      </c>
    </row>
    <row r="6463" spans="1:11" x14ac:dyDescent="0.25">
      <c r="A6463" t="s">
        <v>7679</v>
      </c>
      <c r="C6463" t="s">
        <v>7680</v>
      </c>
      <c r="D6463" t="s">
        <v>5175</v>
      </c>
      <c r="E6463" t="s">
        <v>6</v>
      </c>
      <c r="F6463" t="s">
        <v>28</v>
      </c>
      <c r="G6463">
        <v>1</v>
      </c>
      <c r="H6463" s="2">
        <f>Tabelle13[[#This Row],[commits]]/Tabelle13[[#Totals],[commits]]</f>
        <v>4.6477904404246225E-6</v>
      </c>
      <c r="I6463" s="5">
        <f>Tabelle13[[#This Row],[%]]+I6462</f>
        <v>0.9879901095018756</v>
      </c>
      <c r="J6463" s="4">
        <f t="shared" si="233"/>
        <v>1.105583195135434E-4</v>
      </c>
      <c r="K6463" s="5">
        <f t="shared" si="234"/>
        <v>0.71431730237708502</v>
      </c>
    </row>
    <row r="6464" spans="1:11" x14ac:dyDescent="0.25">
      <c r="A6464" t="s">
        <v>7681</v>
      </c>
      <c r="C6464" t="s">
        <v>7682</v>
      </c>
      <c r="D6464" t="s">
        <v>5</v>
      </c>
      <c r="E6464" t="s">
        <v>6</v>
      </c>
      <c r="F6464" t="s">
        <v>28</v>
      </c>
      <c r="G6464">
        <v>1</v>
      </c>
      <c r="H6464" s="2">
        <f>Tabelle13[[#This Row],[commits]]/Tabelle13[[#Totals],[commits]]</f>
        <v>4.6477904404246225E-6</v>
      </c>
      <c r="I6464" s="5">
        <f>Tabelle13[[#This Row],[%]]+I6463</f>
        <v>0.98799475729231601</v>
      </c>
      <c r="J6464" s="4">
        <f t="shared" si="233"/>
        <v>1.105583195135434E-4</v>
      </c>
      <c r="K6464" s="5">
        <f t="shared" si="234"/>
        <v>0.71442786069659858</v>
      </c>
    </row>
    <row r="6465" spans="1:11" x14ac:dyDescent="0.25">
      <c r="A6465" t="s">
        <v>7683</v>
      </c>
      <c r="C6465" t="s">
        <v>7684</v>
      </c>
      <c r="D6465" t="s">
        <v>5</v>
      </c>
      <c r="E6465" t="s">
        <v>6</v>
      </c>
      <c r="F6465" t="s">
        <v>28</v>
      </c>
      <c r="G6465">
        <v>1</v>
      </c>
      <c r="H6465" s="2">
        <f>Tabelle13[[#This Row],[commits]]/Tabelle13[[#Totals],[commits]]</f>
        <v>4.6477904404246225E-6</v>
      </c>
      <c r="I6465" s="5">
        <f>Tabelle13[[#This Row],[%]]+I6464</f>
        <v>0.98799940508275641</v>
      </c>
      <c r="J6465" s="4">
        <f t="shared" si="233"/>
        <v>1.105583195135434E-4</v>
      </c>
      <c r="K6465" s="5">
        <f t="shared" si="234"/>
        <v>0.71453841901611215</v>
      </c>
    </row>
    <row r="6466" spans="1:11" x14ac:dyDescent="0.25">
      <c r="A6466" t="s">
        <v>7685</v>
      </c>
      <c r="C6466" t="s">
        <v>2775</v>
      </c>
      <c r="D6466" t="s">
        <v>5</v>
      </c>
      <c r="E6466" t="s">
        <v>6</v>
      </c>
      <c r="F6466" t="s">
        <v>28</v>
      </c>
      <c r="G6466">
        <v>1</v>
      </c>
      <c r="H6466" s="2">
        <f>Tabelle13[[#This Row],[commits]]/Tabelle13[[#Totals],[commits]]</f>
        <v>4.6477904404246225E-6</v>
      </c>
      <c r="I6466" s="5">
        <f>Tabelle13[[#This Row],[%]]+I6465</f>
        <v>0.98800405287319681</v>
      </c>
      <c r="J6466" s="4">
        <f t="shared" si="233"/>
        <v>1.105583195135434E-4</v>
      </c>
      <c r="K6466" s="5">
        <f t="shared" si="234"/>
        <v>0.71464897733562571</v>
      </c>
    </row>
    <row r="6467" spans="1:11" x14ac:dyDescent="0.25">
      <c r="A6467" t="s">
        <v>7686</v>
      </c>
      <c r="C6467" t="s">
        <v>2775</v>
      </c>
      <c r="D6467" t="s">
        <v>5</v>
      </c>
      <c r="E6467" t="s">
        <v>6</v>
      </c>
      <c r="F6467" t="s">
        <v>28</v>
      </c>
      <c r="G6467">
        <v>1</v>
      </c>
      <c r="H6467" s="2">
        <f>Tabelle13[[#This Row],[commits]]/Tabelle13[[#Totals],[commits]]</f>
        <v>4.6477904404246225E-6</v>
      </c>
      <c r="I6467" s="5">
        <f>Tabelle13[[#This Row],[%]]+I6466</f>
        <v>0.98800870066363722</v>
      </c>
      <c r="J6467" s="4">
        <f t="shared" ref="J6467:J6530" si="235">1/9045</f>
        <v>1.105583195135434E-4</v>
      </c>
      <c r="K6467" s="5">
        <f t="shared" si="234"/>
        <v>0.71475953565513928</v>
      </c>
    </row>
    <row r="6468" spans="1:11" x14ac:dyDescent="0.25">
      <c r="A6468" t="s">
        <v>7687</v>
      </c>
      <c r="C6468" t="s">
        <v>7688</v>
      </c>
      <c r="D6468" t="s">
        <v>5</v>
      </c>
      <c r="E6468" t="s">
        <v>6</v>
      </c>
      <c r="F6468" t="s">
        <v>28</v>
      </c>
      <c r="G6468">
        <v>1</v>
      </c>
      <c r="H6468" s="2">
        <f>Tabelle13[[#This Row],[commits]]/Tabelle13[[#Totals],[commits]]</f>
        <v>4.6477904404246225E-6</v>
      </c>
      <c r="I6468" s="5">
        <f>Tabelle13[[#This Row],[%]]+I6467</f>
        <v>0.98801334845407762</v>
      </c>
      <c r="J6468" s="4">
        <f t="shared" si="235"/>
        <v>1.105583195135434E-4</v>
      </c>
      <c r="K6468" s="5">
        <f t="shared" si="234"/>
        <v>0.71487009397465284</v>
      </c>
    </row>
    <row r="6469" spans="1:11" x14ac:dyDescent="0.25">
      <c r="A6469" t="s">
        <v>7689</v>
      </c>
      <c r="C6469" t="s">
        <v>7690</v>
      </c>
      <c r="D6469" t="s">
        <v>5</v>
      </c>
      <c r="E6469" t="s">
        <v>6</v>
      </c>
      <c r="F6469" t="s">
        <v>28</v>
      </c>
      <c r="G6469">
        <v>1</v>
      </c>
      <c r="H6469" s="2">
        <f>Tabelle13[[#This Row],[commits]]/Tabelle13[[#Totals],[commits]]</f>
        <v>4.6477904404246225E-6</v>
      </c>
      <c r="I6469" s="5">
        <f>Tabelle13[[#This Row],[%]]+I6468</f>
        <v>0.98801799624451803</v>
      </c>
      <c r="J6469" s="4">
        <f t="shared" si="235"/>
        <v>1.105583195135434E-4</v>
      </c>
      <c r="K6469" s="5">
        <f t="shared" si="234"/>
        <v>0.71498065229416641</v>
      </c>
    </row>
    <row r="6470" spans="1:11" x14ac:dyDescent="0.25">
      <c r="A6470" t="s">
        <v>7691</v>
      </c>
      <c r="C6470" t="s">
        <v>7692</v>
      </c>
      <c r="D6470" t="s">
        <v>5</v>
      </c>
      <c r="E6470" t="s">
        <v>6</v>
      </c>
      <c r="F6470" t="s">
        <v>28</v>
      </c>
      <c r="G6470">
        <v>1</v>
      </c>
      <c r="H6470" s="2">
        <f>Tabelle13[[#This Row],[commits]]/Tabelle13[[#Totals],[commits]]</f>
        <v>4.6477904404246225E-6</v>
      </c>
      <c r="I6470" s="5">
        <f>Tabelle13[[#This Row],[%]]+I6469</f>
        <v>0.98802264403495843</v>
      </c>
      <c r="J6470" s="4">
        <f t="shared" si="235"/>
        <v>1.105583195135434E-4</v>
      </c>
      <c r="K6470" s="5">
        <f t="shared" ref="K6470:K6533" si="236">J6470+K6469</f>
        <v>0.71509121061367997</v>
      </c>
    </row>
    <row r="6471" spans="1:11" x14ac:dyDescent="0.25">
      <c r="A6471" t="s">
        <v>7693</v>
      </c>
      <c r="C6471" t="s">
        <v>7694</v>
      </c>
      <c r="D6471" t="s">
        <v>5</v>
      </c>
      <c r="E6471" t="s">
        <v>6</v>
      </c>
      <c r="F6471" t="s">
        <v>28</v>
      </c>
      <c r="G6471">
        <v>1</v>
      </c>
      <c r="H6471" s="2">
        <f>Tabelle13[[#This Row],[commits]]/Tabelle13[[#Totals],[commits]]</f>
        <v>4.6477904404246225E-6</v>
      </c>
      <c r="I6471" s="5">
        <f>Tabelle13[[#This Row],[%]]+I6470</f>
        <v>0.98802729182539883</v>
      </c>
      <c r="J6471" s="4">
        <f t="shared" si="235"/>
        <v>1.105583195135434E-4</v>
      </c>
      <c r="K6471" s="5">
        <f t="shared" si="236"/>
        <v>0.71520176893319354</v>
      </c>
    </row>
    <row r="6472" spans="1:11" x14ac:dyDescent="0.25">
      <c r="A6472" t="s">
        <v>7695</v>
      </c>
      <c r="C6472" t="s">
        <v>211</v>
      </c>
      <c r="D6472" t="s">
        <v>5</v>
      </c>
      <c r="E6472" t="s">
        <v>6</v>
      </c>
      <c r="F6472" t="s">
        <v>28</v>
      </c>
      <c r="G6472">
        <v>1</v>
      </c>
      <c r="H6472" s="2">
        <f>Tabelle13[[#This Row],[commits]]/Tabelle13[[#Totals],[commits]]</f>
        <v>4.6477904404246225E-6</v>
      </c>
      <c r="I6472" s="5">
        <f>Tabelle13[[#This Row],[%]]+I6471</f>
        <v>0.98803193961583924</v>
      </c>
      <c r="J6472" s="4">
        <f t="shared" si="235"/>
        <v>1.105583195135434E-4</v>
      </c>
      <c r="K6472" s="5">
        <f t="shared" si="236"/>
        <v>0.7153123272527071</v>
      </c>
    </row>
    <row r="6473" spans="1:11" x14ac:dyDescent="0.25">
      <c r="A6473" t="s">
        <v>7696</v>
      </c>
      <c r="C6473" t="s">
        <v>211</v>
      </c>
      <c r="D6473" t="s">
        <v>5</v>
      </c>
      <c r="E6473" t="s">
        <v>6</v>
      </c>
      <c r="F6473" t="s">
        <v>28</v>
      </c>
      <c r="G6473">
        <v>1</v>
      </c>
      <c r="H6473" s="2">
        <f>Tabelle13[[#This Row],[commits]]/Tabelle13[[#Totals],[commits]]</f>
        <v>4.6477904404246225E-6</v>
      </c>
      <c r="I6473" s="5">
        <f>Tabelle13[[#This Row],[%]]+I6472</f>
        <v>0.98803658740627964</v>
      </c>
      <c r="J6473" s="4">
        <f t="shared" si="235"/>
        <v>1.105583195135434E-4</v>
      </c>
      <c r="K6473" s="5">
        <f t="shared" si="236"/>
        <v>0.71542288557222067</v>
      </c>
    </row>
    <row r="6474" spans="1:11" x14ac:dyDescent="0.25">
      <c r="A6474" t="s">
        <v>7697</v>
      </c>
      <c r="C6474" t="s">
        <v>211</v>
      </c>
      <c r="D6474" t="s">
        <v>5</v>
      </c>
      <c r="E6474" t="s">
        <v>6</v>
      </c>
      <c r="F6474" t="s">
        <v>28</v>
      </c>
      <c r="G6474">
        <v>1</v>
      </c>
      <c r="H6474" s="2">
        <f>Tabelle13[[#This Row],[commits]]/Tabelle13[[#Totals],[commits]]</f>
        <v>4.6477904404246225E-6</v>
      </c>
      <c r="I6474" s="5">
        <f>Tabelle13[[#This Row],[%]]+I6473</f>
        <v>0.98804123519672005</v>
      </c>
      <c r="J6474" s="4">
        <f t="shared" si="235"/>
        <v>1.105583195135434E-4</v>
      </c>
      <c r="K6474" s="5">
        <f t="shared" si="236"/>
        <v>0.71553344389173423</v>
      </c>
    </row>
    <row r="6475" spans="1:11" x14ac:dyDescent="0.25">
      <c r="A6475" t="s">
        <v>7698</v>
      </c>
      <c r="C6475" t="s">
        <v>211</v>
      </c>
      <c r="D6475" t="s">
        <v>5</v>
      </c>
      <c r="E6475" t="s">
        <v>6</v>
      </c>
      <c r="F6475" t="s">
        <v>28</v>
      </c>
      <c r="G6475">
        <v>1</v>
      </c>
      <c r="H6475" s="2">
        <f>Tabelle13[[#This Row],[commits]]/Tabelle13[[#Totals],[commits]]</f>
        <v>4.6477904404246225E-6</v>
      </c>
      <c r="I6475" s="5">
        <f>Tabelle13[[#This Row],[%]]+I6474</f>
        <v>0.98804588298716045</v>
      </c>
      <c r="J6475" s="4">
        <f t="shared" si="235"/>
        <v>1.105583195135434E-4</v>
      </c>
      <c r="K6475" s="5">
        <f t="shared" si="236"/>
        <v>0.7156440022112478</v>
      </c>
    </row>
    <row r="6476" spans="1:11" x14ac:dyDescent="0.25">
      <c r="A6476" t="s">
        <v>7699</v>
      </c>
      <c r="C6476" t="s">
        <v>7700</v>
      </c>
      <c r="D6476" t="s">
        <v>5</v>
      </c>
      <c r="E6476" t="s">
        <v>6</v>
      </c>
      <c r="F6476" t="s">
        <v>28</v>
      </c>
      <c r="G6476">
        <v>1</v>
      </c>
      <c r="H6476" s="2">
        <f>Tabelle13[[#This Row],[commits]]/Tabelle13[[#Totals],[commits]]</f>
        <v>4.6477904404246225E-6</v>
      </c>
      <c r="I6476" s="5">
        <f>Tabelle13[[#This Row],[%]]+I6475</f>
        <v>0.98805053077760086</v>
      </c>
      <c r="J6476" s="4">
        <f t="shared" si="235"/>
        <v>1.105583195135434E-4</v>
      </c>
      <c r="K6476" s="5">
        <f t="shared" si="236"/>
        <v>0.71575456053076136</v>
      </c>
    </row>
    <row r="6477" spans="1:11" x14ac:dyDescent="0.25">
      <c r="A6477" t="s">
        <v>7701</v>
      </c>
      <c r="C6477" t="s">
        <v>7702</v>
      </c>
      <c r="D6477" t="s">
        <v>5</v>
      </c>
      <c r="E6477" t="s">
        <v>6</v>
      </c>
      <c r="F6477" t="s">
        <v>28</v>
      </c>
      <c r="G6477">
        <v>1</v>
      </c>
      <c r="H6477" s="2">
        <f>Tabelle13[[#This Row],[commits]]/Tabelle13[[#Totals],[commits]]</f>
        <v>4.6477904404246225E-6</v>
      </c>
      <c r="I6477" s="5">
        <f>Tabelle13[[#This Row],[%]]+I6476</f>
        <v>0.98805517856804126</v>
      </c>
      <c r="J6477" s="4">
        <f t="shared" si="235"/>
        <v>1.105583195135434E-4</v>
      </c>
      <c r="K6477" s="5">
        <f t="shared" si="236"/>
        <v>0.71586511885027493</v>
      </c>
    </row>
    <row r="6478" spans="1:11" x14ac:dyDescent="0.25">
      <c r="A6478" t="s">
        <v>7703</v>
      </c>
      <c r="C6478" t="s">
        <v>7704</v>
      </c>
      <c r="D6478" t="s">
        <v>5</v>
      </c>
      <c r="E6478" t="s">
        <v>6</v>
      </c>
      <c r="F6478" t="s">
        <v>28</v>
      </c>
      <c r="G6478">
        <v>1</v>
      </c>
      <c r="H6478" s="2">
        <f>Tabelle13[[#This Row],[commits]]/Tabelle13[[#Totals],[commits]]</f>
        <v>4.6477904404246225E-6</v>
      </c>
      <c r="I6478" s="5">
        <f>Tabelle13[[#This Row],[%]]+I6477</f>
        <v>0.98805982635848166</v>
      </c>
      <c r="J6478" s="4">
        <f t="shared" si="235"/>
        <v>1.105583195135434E-4</v>
      </c>
      <c r="K6478" s="5">
        <f t="shared" si="236"/>
        <v>0.71597567716978849</v>
      </c>
    </row>
    <row r="6479" spans="1:11" x14ac:dyDescent="0.25">
      <c r="A6479" t="s">
        <v>7705</v>
      </c>
      <c r="C6479" t="s">
        <v>7706</v>
      </c>
      <c r="D6479" t="s">
        <v>5</v>
      </c>
      <c r="E6479" t="s">
        <v>6</v>
      </c>
      <c r="F6479" t="s">
        <v>28</v>
      </c>
      <c r="G6479">
        <v>1</v>
      </c>
      <c r="H6479" s="2">
        <f>Tabelle13[[#This Row],[commits]]/Tabelle13[[#Totals],[commits]]</f>
        <v>4.6477904404246225E-6</v>
      </c>
      <c r="I6479" s="5">
        <f>Tabelle13[[#This Row],[%]]+I6478</f>
        <v>0.98806447414892207</v>
      </c>
      <c r="J6479" s="4">
        <f t="shared" si="235"/>
        <v>1.105583195135434E-4</v>
      </c>
      <c r="K6479" s="5">
        <f t="shared" si="236"/>
        <v>0.71608623548930206</v>
      </c>
    </row>
    <row r="6480" spans="1:11" x14ac:dyDescent="0.25">
      <c r="A6480" t="s">
        <v>7707</v>
      </c>
      <c r="C6480" t="s">
        <v>7708</v>
      </c>
      <c r="D6480" t="s">
        <v>5</v>
      </c>
      <c r="E6480" t="s">
        <v>6</v>
      </c>
      <c r="F6480" t="s">
        <v>28</v>
      </c>
      <c r="G6480">
        <v>1</v>
      </c>
      <c r="H6480" s="2">
        <f>Tabelle13[[#This Row],[commits]]/Tabelle13[[#Totals],[commits]]</f>
        <v>4.6477904404246225E-6</v>
      </c>
      <c r="I6480" s="5">
        <f>Tabelle13[[#This Row],[%]]+I6479</f>
        <v>0.98806912193936247</v>
      </c>
      <c r="J6480" s="4">
        <f t="shared" si="235"/>
        <v>1.105583195135434E-4</v>
      </c>
      <c r="K6480" s="5">
        <f t="shared" si="236"/>
        <v>0.71619679380881562</v>
      </c>
    </row>
    <row r="6481" spans="1:11" x14ac:dyDescent="0.25">
      <c r="A6481" t="s">
        <v>7709</v>
      </c>
      <c r="C6481" t="s">
        <v>2839</v>
      </c>
      <c r="D6481" t="s">
        <v>5</v>
      </c>
      <c r="E6481" t="s">
        <v>6</v>
      </c>
      <c r="F6481" t="s">
        <v>28</v>
      </c>
      <c r="G6481">
        <v>1</v>
      </c>
      <c r="H6481" s="2">
        <f>Tabelle13[[#This Row],[commits]]/Tabelle13[[#Totals],[commits]]</f>
        <v>4.6477904404246225E-6</v>
      </c>
      <c r="I6481" s="5">
        <f>Tabelle13[[#This Row],[%]]+I6480</f>
        <v>0.98807376972980288</v>
      </c>
      <c r="J6481" s="4">
        <f t="shared" si="235"/>
        <v>1.105583195135434E-4</v>
      </c>
      <c r="K6481" s="5">
        <f t="shared" si="236"/>
        <v>0.71630735212832919</v>
      </c>
    </row>
    <row r="6482" spans="1:11" x14ac:dyDescent="0.25">
      <c r="A6482" t="s">
        <v>7710</v>
      </c>
      <c r="C6482" t="s">
        <v>7711</v>
      </c>
      <c r="D6482" t="s">
        <v>5</v>
      </c>
      <c r="E6482" t="s">
        <v>6</v>
      </c>
      <c r="F6482" t="s">
        <v>28</v>
      </c>
      <c r="G6482">
        <v>1</v>
      </c>
      <c r="H6482" s="2">
        <f>Tabelle13[[#This Row],[commits]]/Tabelle13[[#Totals],[commits]]</f>
        <v>4.6477904404246225E-6</v>
      </c>
      <c r="I6482" s="5">
        <f>Tabelle13[[#This Row],[%]]+I6481</f>
        <v>0.98807841752024328</v>
      </c>
      <c r="J6482" s="4">
        <f t="shared" si="235"/>
        <v>1.105583195135434E-4</v>
      </c>
      <c r="K6482" s="5">
        <f t="shared" si="236"/>
        <v>0.71641791044784275</v>
      </c>
    </row>
    <row r="6483" spans="1:11" x14ac:dyDescent="0.25">
      <c r="A6483" t="s">
        <v>7712</v>
      </c>
      <c r="C6483" t="s">
        <v>7713</v>
      </c>
      <c r="D6483" t="s">
        <v>5</v>
      </c>
      <c r="E6483" t="s">
        <v>6</v>
      </c>
      <c r="F6483" t="s">
        <v>28</v>
      </c>
      <c r="G6483">
        <v>1</v>
      </c>
      <c r="H6483" s="2">
        <f>Tabelle13[[#This Row],[commits]]/Tabelle13[[#Totals],[commits]]</f>
        <v>4.6477904404246225E-6</v>
      </c>
      <c r="I6483" s="5">
        <f>Tabelle13[[#This Row],[%]]+I6482</f>
        <v>0.98808306531068368</v>
      </c>
      <c r="J6483" s="4">
        <f t="shared" si="235"/>
        <v>1.105583195135434E-4</v>
      </c>
      <c r="K6483" s="5">
        <f t="shared" si="236"/>
        <v>0.71652846876735632</v>
      </c>
    </row>
    <row r="6484" spans="1:11" x14ac:dyDescent="0.25">
      <c r="A6484" t="s">
        <v>7714</v>
      </c>
      <c r="C6484" t="s">
        <v>7715</v>
      </c>
      <c r="D6484" t="s">
        <v>5</v>
      </c>
      <c r="E6484" t="s">
        <v>6</v>
      </c>
      <c r="F6484" t="s">
        <v>28</v>
      </c>
      <c r="G6484">
        <v>1</v>
      </c>
      <c r="H6484" s="2">
        <f>Tabelle13[[#This Row],[commits]]/Tabelle13[[#Totals],[commits]]</f>
        <v>4.6477904404246225E-6</v>
      </c>
      <c r="I6484" s="5">
        <f>Tabelle13[[#This Row],[%]]+I6483</f>
        <v>0.98808771310112409</v>
      </c>
      <c r="J6484" s="4">
        <f t="shared" si="235"/>
        <v>1.105583195135434E-4</v>
      </c>
      <c r="K6484" s="5">
        <f t="shared" si="236"/>
        <v>0.71663902708686988</v>
      </c>
    </row>
    <row r="6485" spans="1:11" x14ac:dyDescent="0.25">
      <c r="A6485" t="s">
        <v>7716</v>
      </c>
      <c r="C6485" t="s">
        <v>7717</v>
      </c>
      <c r="D6485" t="s">
        <v>5</v>
      </c>
      <c r="E6485" t="s">
        <v>6</v>
      </c>
      <c r="F6485" t="s">
        <v>28</v>
      </c>
      <c r="G6485">
        <v>1</v>
      </c>
      <c r="H6485" s="2">
        <f>Tabelle13[[#This Row],[commits]]/Tabelle13[[#Totals],[commits]]</f>
        <v>4.6477904404246225E-6</v>
      </c>
      <c r="I6485" s="5">
        <f>Tabelle13[[#This Row],[%]]+I6484</f>
        <v>0.98809236089156449</v>
      </c>
      <c r="J6485" s="4">
        <f t="shared" si="235"/>
        <v>1.105583195135434E-4</v>
      </c>
      <c r="K6485" s="5">
        <f t="shared" si="236"/>
        <v>0.71674958540638345</v>
      </c>
    </row>
    <row r="6486" spans="1:11" x14ac:dyDescent="0.25">
      <c r="A6486" t="s">
        <v>7718</v>
      </c>
      <c r="C6486" t="s">
        <v>7719</v>
      </c>
      <c r="D6486" t="s">
        <v>5</v>
      </c>
      <c r="E6486" t="s">
        <v>6</v>
      </c>
      <c r="F6486" t="s">
        <v>28</v>
      </c>
      <c r="G6486">
        <v>1</v>
      </c>
      <c r="H6486" s="2">
        <f>Tabelle13[[#This Row],[commits]]/Tabelle13[[#Totals],[commits]]</f>
        <v>4.6477904404246225E-6</v>
      </c>
      <c r="I6486" s="5">
        <f>Tabelle13[[#This Row],[%]]+I6485</f>
        <v>0.9880970086820049</v>
      </c>
      <c r="J6486" s="4">
        <f t="shared" si="235"/>
        <v>1.105583195135434E-4</v>
      </c>
      <c r="K6486" s="5">
        <f t="shared" si="236"/>
        <v>0.71686014372589701</v>
      </c>
    </row>
    <row r="6487" spans="1:11" x14ac:dyDescent="0.25">
      <c r="A6487" t="s">
        <v>7720</v>
      </c>
      <c r="C6487" t="s">
        <v>685</v>
      </c>
      <c r="D6487" t="s">
        <v>5</v>
      </c>
      <c r="E6487" t="s">
        <v>6</v>
      </c>
      <c r="F6487" t="s">
        <v>28</v>
      </c>
      <c r="G6487">
        <v>1</v>
      </c>
      <c r="H6487" s="2">
        <f>Tabelle13[[#This Row],[commits]]/Tabelle13[[#Totals],[commits]]</f>
        <v>4.6477904404246225E-6</v>
      </c>
      <c r="I6487" s="5">
        <f>Tabelle13[[#This Row],[%]]+I6486</f>
        <v>0.9881016564724453</v>
      </c>
      <c r="J6487" s="4">
        <f t="shared" si="235"/>
        <v>1.105583195135434E-4</v>
      </c>
      <c r="K6487" s="5">
        <f t="shared" si="236"/>
        <v>0.71697070204541058</v>
      </c>
    </row>
    <row r="6488" spans="1:11" x14ac:dyDescent="0.25">
      <c r="A6488" t="s">
        <v>7721</v>
      </c>
      <c r="C6488" t="s">
        <v>7722</v>
      </c>
      <c r="D6488" t="s">
        <v>5</v>
      </c>
      <c r="E6488" t="s">
        <v>6</v>
      </c>
      <c r="F6488" t="s">
        <v>28</v>
      </c>
      <c r="G6488">
        <v>1</v>
      </c>
      <c r="H6488" s="2">
        <f>Tabelle13[[#This Row],[commits]]/Tabelle13[[#Totals],[commits]]</f>
        <v>4.6477904404246225E-6</v>
      </c>
      <c r="I6488" s="5">
        <f>Tabelle13[[#This Row],[%]]+I6487</f>
        <v>0.9881063042628857</v>
      </c>
      <c r="J6488" s="4">
        <f t="shared" si="235"/>
        <v>1.105583195135434E-4</v>
      </c>
      <c r="K6488" s="5">
        <f t="shared" si="236"/>
        <v>0.71708126036492414</v>
      </c>
    </row>
    <row r="6489" spans="1:11" x14ac:dyDescent="0.25">
      <c r="A6489" t="s">
        <v>7723</v>
      </c>
      <c r="C6489" t="s">
        <v>7724</v>
      </c>
      <c r="D6489" t="s">
        <v>5</v>
      </c>
      <c r="E6489" t="s">
        <v>6</v>
      </c>
      <c r="F6489" t="s">
        <v>28</v>
      </c>
      <c r="G6489">
        <v>1</v>
      </c>
      <c r="H6489" s="2">
        <f>Tabelle13[[#This Row],[commits]]/Tabelle13[[#Totals],[commits]]</f>
        <v>4.6477904404246225E-6</v>
      </c>
      <c r="I6489" s="5">
        <f>Tabelle13[[#This Row],[%]]+I6488</f>
        <v>0.98811095205332611</v>
      </c>
      <c r="J6489" s="4">
        <f t="shared" si="235"/>
        <v>1.105583195135434E-4</v>
      </c>
      <c r="K6489" s="5">
        <f t="shared" si="236"/>
        <v>0.71719181868443771</v>
      </c>
    </row>
    <row r="6490" spans="1:11" x14ac:dyDescent="0.25">
      <c r="A6490" t="s">
        <v>7725</v>
      </c>
      <c r="C6490" t="s">
        <v>7726</v>
      </c>
      <c r="D6490" t="s">
        <v>5</v>
      </c>
      <c r="E6490" t="s">
        <v>6</v>
      </c>
      <c r="F6490" t="s">
        <v>28</v>
      </c>
      <c r="G6490">
        <v>1</v>
      </c>
      <c r="H6490" s="2">
        <f>Tabelle13[[#This Row],[commits]]/Tabelle13[[#Totals],[commits]]</f>
        <v>4.6477904404246225E-6</v>
      </c>
      <c r="I6490" s="5">
        <f>Tabelle13[[#This Row],[%]]+I6489</f>
        <v>0.98811559984376651</v>
      </c>
      <c r="J6490" s="4">
        <f t="shared" si="235"/>
        <v>1.105583195135434E-4</v>
      </c>
      <c r="K6490" s="5">
        <f t="shared" si="236"/>
        <v>0.71730237700395127</v>
      </c>
    </row>
    <row r="6491" spans="1:11" x14ac:dyDescent="0.25">
      <c r="A6491" t="s">
        <v>7727</v>
      </c>
      <c r="C6491" t="s">
        <v>7728</v>
      </c>
      <c r="D6491" t="s">
        <v>5</v>
      </c>
      <c r="E6491" t="s">
        <v>6</v>
      </c>
      <c r="F6491" t="s">
        <v>28</v>
      </c>
      <c r="G6491">
        <v>1</v>
      </c>
      <c r="H6491" s="2">
        <f>Tabelle13[[#This Row],[commits]]/Tabelle13[[#Totals],[commits]]</f>
        <v>4.6477904404246225E-6</v>
      </c>
      <c r="I6491" s="5">
        <f>Tabelle13[[#This Row],[%]]+I6490</f>
        <v>0.98812024763420692</v>
      </c>
      <c r="J6491" s="4">
        <f t="shared" si="235"/>
        <v>1.105583195135434E-4</v>
      </c>
      <c r="K6491" s="5">
        <f t="shared" si="236"/>
        <v>0.71741293532346484</v>
      </c>
    </row>
    <row r="6492" spans="1:11" x14ac:dyDescent="0.25">
      <c r="A6492" t="s">
        <v>7729</v>
      </c>
      <c r="C6492" t="s">
        <v>7730</v>
      </c>
      <c r="D6492" t="s">
        <v>5</v>
      </c>
      <c r="E6492" t="s">
        <v>6</v>
      </c>
      <c r="F6492" t="s">
        <v>28</v>
      </c>
      <c r="G6492">
        <v>1</v>
      </c>
      <c r="H6492" s="2">
        <f>Tabelle13[[#This Row],[commits]]/Tabelle13[[#Totals],[commits]]</f>
        <v>4.6477904404246225E-6</v>
      </c>
      <c r="I6492" s="5">
        <f>Tabelle13[[#This Row],[%]]+I6491</f>
        <v>0.98812489542464732</v>
      </c>
      <c r="J6492" s="4">
        <f t="shared" si="235"/>
        <v>1.105583195135434E-4</v>
      </c>
      <c r="K6492" s="5">
        <f t="shared" si="236"/>
        <v>0.7175234936429784</v>
      </c>
    </row>
    <row r="6493" spans="1:11" x14ac:dyDescent="0.25">
      <c r="A6493" t="s">
        <v>7731</v>
      </c>
      <c r="C6493" t="s">
        <v>7732</v>
      </c>
      <c r="D6493" t="s">
        <v>5</v>
      </c>
      <c r="E6493" t="s">
        <v>6</v>
      </c>
      <c r="F6493" t="s">
        <v>28</v>
      </c>
      <c r="G6493">
        <v>1</v>
      </c>
      <c r="H6493" s="2">
        <f>Tabelle13[[#This Row],[commits]]/Tabelle13[[#Totals],[commits]]</f>
        <v>4.6477904404246225E-6</v>
      </c>
      <c r="I6493" s="5">
        <f>Tabelle13[[#This Row],[%]]+I6492</f>
        <v>0.98812954321508772</v>
      </c>
      <c r="J6493" s="4">
        <f t="shared" si="235"/>
        <v>1.105583195135434E-4</v>
      </c>
      <c r="K6493" s="5">
        <f t="shared" si="236"/>
        <v>0.71763405196249197</v>
      </c>
    </row>
    <row r="6494" spans="1:11" x14ac:dyDescent="0.25">
      <c r="A6494" t="s">
        <v>7733</v>
      </c>
      <c r="C6494" t="s">
        <v>7734</v>
      </c>
      <c r="D6494" t="s">
        <v>5</v>
      </c>
      <c r="E6494" t="s">
        <v>6</v>
      </c>
      <c r="F6494" t="s">
        <v>28</v>
      </c>
      <c r="G6494">
        <v>1</v>
      </c>
      <c r="H6494" s="2">
        <f>Tabelle13[[#This Row],[commits]]/Tabelle13[[#Totals],[commits]]</f>
        <v>4.6477904404246225E-6</v>
      </c>
      <c r="I6494" s="5">
        <f>Tabelle13[[#This Row],[%]]+I6493</f>
        <v>0.98813419100552813</v>
      </c>
      <c r="J6494" s="4">
        <f t="shared" si="235"/>
        <v>1.105583195135434E-4</v>
      </c>
      <c r="K6494" s="5">
        <f t="shared" si="236"/>
        <v>0.71774461028200554</v>
      </c>
    </row>
    <row r="6495" spans="1:11" x14ac:dyDescent="0.25">
      <c r="A6495" t="s">
        <v>7735</v>
      </c>
      <c r="C6495" t="s">
        <v>7736</v>
      </c>
      <c r="D6495" t="s">
        <v>5</v>
      </c>
      <c r="E6495" t="s">
        <v>6</v>
      </c>
      <c r="F6495" t="s">
        <v>28</v>
      </c>
      <c r="G6495">
        <v>1</v>
      </c>
      <c r="H6495" s="2">
        <f>Tabelle13[[#This Row],[commits]]/Tabelle13[[#Totals],[commits]]</f>
        <v>4.6477904404246225E-6</v>
      </c>
      <c r="I6495" s="5">
        <f>Tabelle13[[#This Row],[%]]+I6494</f>
        <v>0.98813883879596853</v>
      </c>
      <c r="J6495" s="4">
        <f t="shared" si="235"/>
        <v>1.105583195135434E-4</v>
      </c>
      <c r="K6495" s="5">
        <f t="shared" si="236"/>
        <v>0.7178551686015191</v>
      </c>
    </row>
    <row r="6496" spans="1:11" x14ac:dyDescent="0.25">
      <c r="A6496" t="s">
        <v>7737</v>
      </c>
      <c r="C6496" t="s">
        <v>7738</v>
      </c>
      <c r="D6496" t="s">
        <v>5</v>
      </c>
      <c r="E6496" t="s">
        <v>6</v>
      </c>
      <c r="F6496" t="s">
        <v>28</v>
      </c>
      <c r="G6496">
        <v>1</v>
      </c>
      <c r="H6496" s="2">
        <f>Tabelle13[[#This Row],[commits]]/Tabelle13[[#Totals],[commits]]</f>
        <v>4.6477904404246225E-6</v>
      </c>
      <c r="I6496" s="5">
        <f>Tabelle13[[#This Row],[%]]+I6495</f>
        <v>0.98814348658640894</v>
      </c>
      <c r="J6496" s="4">
        <f t="shared" si="235"/>
        <v>1.105583195135434E-4</v>
      </c>
      <c r="K6496" s="5">
        <f t="shared" si="236"/>
        <v>0.71796572692103267</v>
      </c>
    </row>
    <row r="6497" spans="1:11" x14ac:dyDescent="0.25">
      <c r="A6497" t="s">
        <v>7739</v>
      </c>
      <c r="C6497" t="s">
        <v>7738</v>
      </c>
      <c r="D6497" t="s">
        <v>5</v>
      </c>
      <c r="E6497" t="s">
        <v>6</v>
      </c>
      <c r="F6497" t="s">
        <v>28</v>
      </c>
      <c r="G6497">
        <v>1</v>
      </c>
      <c r="H6497" s="2">
        <f>Tabelle13[[#This Row],[commits]]/Tabelle13[[#Totals],[commits]]</f>
        <v>4.6477904404246225E-6</v>
      </c>
      <c r="I6497" s="5">
        <f>Tabelle13[[#This Row],[%]]+I6496</f>
        <v>0.98814813437684934</v>
      </c>
      <c r="J6497" s="4">
        <f t="shared" si="235"/>
        <v>1.105583195135434E-4</v>
      </c>
      <c r="K6497" s="5">
        <f t="shared" si="236"/>
        <v>0.71807628524054623</v>
      </c>
    </row>
    <row r="6498" spans="1:11" x14ac:dyDescent="0.25">
      <c r="A6498" t="s">
        <v>7740</v>
      </c>
      <c r="C6498" t="s">
        <v>7741</v>
      </c>
      <c r="D6498" t="s">
        <v>5</v>
      </c>
      <c r="E6498" t="s">
        <v>6</v>
      </c>
      <c r="F6498" t="s">
        <v>28</v>
      </c>
      <c r="G6498">
        <v>1</v>
      </c>
      <c r="H6498" s="2">
        <f>Tabelle13[[#This Row],[commits]]/Tabelle13[[#Totals],[commits]]</f>
        <v>4.6477904404246225E-6</v>
      </c>
      <c r="I6498" s="5">
        <f>Tabelle13[[#This Row],[%]]+I6497</f>
        <v>0.98815278216728974</v>
      </c>
      <c r="J6498" s="4">
        <f t="shared" si="235"/>
        <v>1.105583195135434E-4</v>
      </c>
      <c r="K6498" s="5">
        <f t="shared" si="236"/>
        <v>0.7181868435600598</v>
      </c>
    </row>
    <row r="6499" spans="1:11" x14ac:dyDescent="0.25">
      <c r="A6499" t="s">
        <v>7742</v>
      </c>
      <c r="C6499" t="s">
        <v>7743</v>
      </c>
      <c r="D6499" t="s">
        <v>5</v>
      </c>
      <c r="E6499" t="s">
        <v>6</v>
      </c>
      <c r="F6499" t="s">
        <v>28</v>
      </c>
      <c r="G6499">
        <v>1</v>
      </c>
      <c r="H6499" s="2">
        <f>Tabelle13[[#This Row],[commits]]/Tabelle13[[#Totals],[commits]]</f>
        <v>4.6477904404246225E-6</v>
      </c>
      <c r="I6499" s="5">
        <f>Tabelle13[[#This Row],[%]]+I6498</f>
        <v>0.98815742995773015</v>
      </c>
      <c r="J6499" s="4">
        <f t="shared" si="235"/>
        <v>1.105583195135434E-4</v>
      </c>
      <c r="K6499" s="5">
        <f t="shared" si="236"/>
        <v>0.71829740187957336</v>
      </c>
    </row>
    <row r="6500" spans="1:11" x14ac:dyDescent="0.25">
      <c r="A6500" t="s">
        <v>7744</v>
      </c>
      <c r="C6500" t="s">
        <v>7745</v>
      </c>
      <c r="D6500" t="s">
        <v>5</v>
      </c>
      <c r="E6500" t="s">
        <v>6</v>
      </c>
      <c r="F6500" t="s">
        <v>28</v>
      </c>
      <c r="G6500">
        <v>1</v>
      </c>
      <c r="H6500" s="2">
        <f>Tabelle13[[#This Row],[commits]]/Tabelle13[[#Totals],[commits]]</f>
        <v>4.6477904404246225E-6</v>
      </c>
      <c r="I6500" s="5">
        <f>Tabelle13[[#This Row],[%]]+I6499</f>
        <v>0.98816207774817055</v>
      </c>
      <c r="J6500" s="4">
        <f t="shared" si="235"/>
        <v>1.105583195135434E-4</v>
      </c>
      <c r="K6500" s="5">
        <f t="shared" si="236"/>
        <v>0.71840796019908693</v>
      </c>
    </row>
    <row r="6501" spans="1:11" x14ac:dyDescent="0.25">
      <c r="A6501" t="s">
        <v>7746</v>
      </c>
      <c r="C6501" t="s">
        <v>7747</v>
      </c>
      <c r="D6501" t="s">
        <v>5</v>
      </c>
      <c r="E6501" t="s">
        <v>6</v>
      </c>
      <c r="F6501" t="s">
        <v>28</v>
      </c>
      <c r="G6501">
        <v>1</v>
      </c>
      <c r="H6501" s="2">
        <f>Tabelle13[[#This Row],[commits]]/Tabelle13[[#Totals],[commits]]</f>
        <v>4.6477904404246225E-6</v>
      </c>
      <c r="I6501" s="5">
        <f>Tabelle13[[#This Row],[%]]+I6500</f>
        <v>0.98816672553861096</v>
      </c>
      <c r="J6501" s="4">
        <f t="shared" si="235"/>
        <v>1.105583195135434E-4</v>
      </c>
      <c r="K6501" s="5">
        <f t="shared" si="236"/>
        <v>0.71851851851860049</v>
      </c>
    </row>
    <row r="6502" spans="1:11" x14ac:dyDescent="0.25">
      <c r="A6502" t="s">
        <v>7748</v>
      </c>
      <c r="C6502" t="s">
        <v>7747</v>
      </c>
      <c r="D6502" t="s">
        <v>5</v>
      </c>
      <c r="E6502" t="s">
        <v>6</v>
      </c>
      <c r="F6502" t="s">
        <v>28</v>
      </c>
      <c r="G6502">
        <v>1</v>
      </c>
      <c r="H6502" s="2">
        <f>Tabelle13[[#This Row],[commits]]/Tabelle13[[#Totals],[commits]]</f>
        <v>4.6477904404246225E-6</v>
      </c>
      <c r="I6502" s="5">
        <f>Tabelle13[[#This Row],[%]]+I6501</f>
        <v>0.98817137332905136</v>
      </c>
      <c r="J6502" s="4">
        <f t="shared" si="235"/>
        <v>1.105583195135434E-4</v>
      </c>
      <c r="K6502" s="5">
        <f t="shared" si="236"/>
        <v>0.71862907683811406</v>
      </c>
    </row>
    <row r="6503" spans="1:11" x14ac:dyDescent="0.25">
      <c r="A6503" t="s">
        <v>7749</v>
      </c>
      <c r="C6503" t="s">
        <v>7750</v>
      </c>
      <c r="D6503" t="s">
        <v>5</v>
      </c>
      <c r="E6503" t="s">
        <v>6</v>
      </c>
      <c r="F6503" t="s">
        <v>28</v>
      </c>
      <c r="G6503">
        <v>1</v>
      </c>
      <c r="H6503" s="2">
        <f>Tabelle13[[#This Row],[commits]]/Tabelle13[[#Totals],[commits]]</f>
        <v>4.6477904404246225E-6</v>
      </c>
      <c r="I6503" s="5">
        <f>Tabelle13[[#This Row],[%]]+I6502</f>
        <v>0.98817602111949177</v>
      </c>
      <c r="J6503" s="4">
        <f t="shared" si="235"/>
        <v>1.105583195135434E-4</v>
      </c>
      <c r="K6503" s="5">
        <f t="shared" si="236"/>
        <v>0.71873963515762762</v>
      </c>
    </row>
    <row r="6504" spans="1:11" x14ac:dyDescent="0.25">
      <c r="A6504" t="s">
        <v>7751</v>
      </c>
      <c r="C6504" t="s">
        <v>5560</v>
      </c>
      <c r="D6504" t="s">
        <v>5</v>
      </c>
      <c r="E6504" t="s">
        <v>6</v>
      </c>
      <c r="F6504" t="s">
        <v>28</v>
      </c>
      <c r="G6504">
        <v>1</v>
      </c>
      <c r="H6504" s="2">
        <f>Tabelle13[[#This Row],[commits]]/Tabelle13[[#Totals],[commits]]</f>
        <v>4.6477904404246225E-6</v>
      </c>
      <c r="I6504" s="5">
        <f>Tabelle13[[#This Row],[%]]+I6503</f>
        <v>0.98818066890993217</v>
      </c>
      <c r="J6504" s="4">
        <f t="shared" si="235"/>
        <v>1.105583195135434E-4</v>
      </c>
      <c r="K6504" s="5">
        <f t="shared" si="236"/>
        <v>0.71885019347714119</v>
      </c>
    </row>
    <row r="6505" spans="1:11" x14ac:dyDescent="0.25">
      <c r="A6505" t="s">
        <v>7752</v>
      </c>
      <c r="C6505" t="s">
        <v>7753</v>
      </c>
      <c r="D6505" t="s">
        <v>5</v>
      </c>
      <c r="E6505" t="s">
        <v>6</v>
      </c>
      <c r="F6505" t="s">
        <v>28</v>
      </c>
      <c r="G6505">
        <v>1</v>
      </c>
      <c r="H6505" s="2">
        <f>Tabelle13[[#This Row],[commits]]/Tabelle13[[#Totals],[commits]]</f>
        <v>4.6477904404246225E-6</v>
      </c>
      <c r="I6505" s="5">
        <f>Tabelle13[[#This Row],[%]]+I6504</f>
        <v>0.98818531670037257</v>
      </c>
      <c r="J6505" s="4">
        <f t="shared" si="235"/>
        <v>1.105583195135434E-4</v>
      </c>
      <c r="K6505" s="5">
        <f t="shared" si="236"/>
        <v>0.71896075179665475</v>
      </c>
    </row>
    <row r="6506" spans="1:11" x14ac:dyDescent="0.25">
      <c r="A6506" t="s">
        <v>7754</v>
      </c>
      <c r="C6506" t="s">
        <v>7755</v>
      </c>
      <c r="D6506" t="s">
        <v>5</v>
      </c>
      <c r="E6506" t="s">
        <v>6</v>
      </c>
      <c r="F6506" t="s">
        <v>28</v>
      </c>
      <c r="G6506">
        <v>1</v>
      </c>
      <c r="H6506" s="2">
        <f>Tabelle13[[#This Row],[commits]]/Tabelle13[[#Totals],[commits]]</f>
        <v>4.6477904404246225E-6</v>
      </c>
      <c r="I6506" s="5">
        <f>Tabelle13[[#This Row],[%]]+I6505</f>
        <v>0.98818996449081298</v>
      </c>
      <c r="J6506" s="4">
        <f t="shared" si="235"/>
        <v>1.105583195135434E-4</v>
      </c>
      <c r="K6506" s="5">
        <f t="shared" si="236"/>
        <v>0.71907131011616832</v>
      </c>
    </row>
    <row r="6507" spans="1:11" x14ac:dyDescent="0.25">
      <c r="A6507" t="s">
        <v>7756</v>
      </c>
      <c r="C6507" t="s">
        <v>7757</v>
      </c>
      <c r="D6507" t="s">
        <v>5</v>
      </c>
      <c r="E6507" t="s">
        <v>6</v>
      </c>
      <c r="F6507" t="s">
        <v>28</v>
      </c>
      <c r="G6507">
        <v>1</v>
      </c>
      <c r="H6507" s="2">
        <f>Tabelle13[[#This Row],[commits]]/Tabelle13[[#Totals],[commits]]</f>
        <v>4.6477904404246225E-6</v>
      </c>
      <c r="I6507" s="5">
        <f>Tabelle13[[#This Row],[%]]+I6506</f>
        <v>0.98819461228125338</v>
      </c>
      <c r="J6507" s="4">
        <f t="shared" si="235"/>
        <v>1.105583195135434E-4</v>
      </c>
      <c r="K6507" s="5">
        <f t="shared" si="236"/>
        <v>0.71918186843568188</v>
      </c>
    </row>
    <row r="6508" spans="1:11" x14ac:dyDescent="0.25">
      <c r="A6508" t="s">
        <v>7758</v>
      </c>
      <c r="C6508" t="s">
        <v>7759</v>
      </c>
      <c r="D6508" t="s">
        <v>5</v>
      </c>
      <c r="E6508" t="s">
        <v>6</v>
      </c>
      <c r="F6508" t="s">
        <v>28</v>
      </c>
      <c r="G6508">
        <v>1</v>
      </c>
      <c r="H6508" s="2">
        <f>Tabelle13[[#This Row],[commits]]/Tabelle13[[#Totals],[commits]]</f>
        <v>4.6477904404246225E-6</v>
      </c>
      <c r="I6508" s="5">
        <f>Tabelle13[[#This Row],[%]]+I6507</f>
        <v>0.98819926007169379</v>
      </c>
      <c r="J6508" s="4">
        <f t="shared" si="235"/>
        <v>1.105583195135434E-4</v>
      </c>
      <c r="K6508" s="5">
        <f t="shared" si="236"/>
        <v>0.71929242675519545</v>
      </c>
    </row>
    <row r="6509" spans="1:11" x14ac:dyDescent="0.25">
      <c r="A6509" t="s">
        <v>7760</v>
      </c>
      <c r="C6509" t="s">
        <v>7761</v>
      </c>
      <c r="D6509" t="s">
        <v>5</v>
      </c>
      <c r="E6509" t="s">
        <v>6</v>
      </c>
      <c r="F6509" t="s">
        <v>28</v>
      </c>
      <c r="G6509">
        <v>1</v>
      </c>
      <c r="H6509" s="2">
        <f>Tabelle13[[#This Row],[commits]]/Tabelle13[[#Totals],[commits]]</f>
        <v>4.6477904404246225E-6</v>
      </c>
      <c r="I6509" s="5">
        <f>Tabelle13[[#This Row],[%]]+I6508</f>
        <v>0.98820390786213419</v>
      </c>
      <c r="J6509" s="4">
        <f t="shared" si="235"/>
        <v>1.105583195135434E-4</v>
      </c>
      <c r="K6509" s="5">
        <f t="shared" si="236"/>
        <v>0.71940298507470901</v>
      </c>
    </row>
    <row r="6510" spans="1:11" x14ac:dyDescent="0.25">
      <c r="A6510" t="s">
        <v>7762</v>
      </c>
      <c r="C6510" t="s">
        <v>7763</v>
      </c>
      <c r="D6510" t="s">
        <v>5</v>
      </c>
      <c r="E6510" t="s">
        <v>6</v>
      </c>
      <c r="F6510" t="s">
        <v>28</v>
      </c>
      <c r="G6510">
        <v>1</v>
      </c>
      <c r="H6510" s="2">
        <f>Tabelle13[[#This Row],[commits]]/Tabelle13[[#Totals],[commits]]</f>
        <v>4.6477904404246225E-6</v>
      </c>
      <c r="I6510" s="5">
        <f>Tabelle13[[#This Row],[%]]+I6509</f>
        <v>0.98820855565257459</v>
      </c>
      <c r="J6510" s="4">
        <f t="shared" si="235"/>
        <v>1.105583195135434E-4</v>
      </c>
      <c r="K6510" s="5">
        <f t="shared" si="236"/>
        <v>0.71951354339422258</v>
      </c>
    </row>
    <row r="6511" spans="1:11" x14ac:dyDescent="0.25">
      <c r="A6511" t="s">
        <v>7764</v>
      </c>
      <c r="C6511" t="s">
        <v>7765</v>
      </c>
      <c r="D6511" t="s">
        <v>5</v>
      </c>
      <c r="E6511" t="s">
        <v>6</v>
      </c>
      <c r="F6511" t="s">
        <v>28</v>
      </c>
      <c r="G6511">
        <v>1</v>
      </c>
      <c r="H6511" s="2">
        <f>Tabelle13[[#This Row],[commits]]/Tabelle13[[#Totals],[commits]]</f>
        <v>4.6477904404246225E-6</v>
      </c>
      <c r="I6511" s="5">
        <f>Tabelle13[[#This Row],[%]]+I6510</f>
        <v>0.988213203443015</v>
      </c>
      <c r="J6511" s="4">
        <f t="shared" si="235"/>
        <v>1.105583195135434E-4</v>
      </c>
      <c r="K6511" s="5">
        <f t="shared" si="236"/>
        <v>0.71962410171373614</v>
      </c>
    </row>
    <row r="6512" spans="1:11" x14ac:dyDescent="0.25">
      <c r="A6512" t="s">
        <v>7766</v>
      </c>
      <c r="C6512" t="s">
        <v>7767</v>
      </c>
      <c r="D6512" t="s">
        <v>5</v>
      </c>
      <c r="E6512" t="s">
        <v>6</v>
      </c>
      <c r="F6512" t="s">
        <v>28</v>
      </c>
      <c r="G6512">
        <v>1</v>
      </c>
      <c r="H6512" s="2">
        <f>Tabelle13[[#This Row],[commits]]/Tabelle13[[#Totals],[commits]]</f>
        <v>4.6477904404246225E-6</v>
      </c>
      <c r="I6512" s="5">
        <f>Tabelle13[[#This Row],[%]]+I6511</f>
        <v>0.9882178512334554</v>
      </c>
      <c r="J6512" s="4">
        <f t="shared" si="235"/>
        <v>1.105583195135434E-4</v>
      </c>
      <c r="K6512" s="5">
        <f t="shared" si="236"/>
        <v>0.71973466003324971</v>
      </c>
    </row>
    <row r="6513" spans="1:11" x14ac:dyDescent="0.25">
      <c r="A6513" t="s">
        <v>7768</v>
      </c>
      <c r="C6513" t="s">
        <v>7769</v>
      </c>
      <c r="D6513" t="s">
        <v>5</v>
      </c>
      <c r="E6513" t="s">
        <v>6</v>
      </c>
      <c r="F6513" t="s">
        <v>28</v>
      </c>
      <c r="G6513">
        <v>1</v>
      </c>
      <c r="H6513" s="2">
        <f>Tabelle13[[#This Row],[commits]]/Tabelle13[[#Totals],[commits]]</f>
        <v>4.6477904404246225E-6</v>
      </c>
      <c r="I6513" s="5">
        <f>Tabelle13[[#This Row],[%]]+I6512</f>
        <v>0.98822249902389581</v>
      </c>
      <c r="J6513" s="4">
        <f t="shared" si="235"/>
        <v>1.105583195135434E-4</v>
      </c>
      <c r="K6513" s="5">
        <f t="shared" si="236"/>
        <v>0.71984521835276327</v>
      </c>
    </row>
    <row r="6514" spans="1:11" x14ac:dyDescent="0.25">
      <c r="A6514" t="s">
        <v>7770</v>
      </c>
      <c r="C6514" t="s">
        <v>7771</v>
      </c>
      <c r="D6514" t="s">
        <v>5</v>
      </c>
      <c r="E6514" t="s">
        <v>6</v>
      </c>
      <c r="F6514" t="s">
        <v>28</v>
      </c>
      <c r="G6514">
        <v>1</v>
      </c>
      <c r="H6514" s="2">
        <f>Tabelle13[[#This Row],[commits]]/Tabelle13[[#Totals],[commits]]</f>
        <v>4.6477904404246225E-6</v>
      </c>
      <c r="I6514" s="5">
        <f>Tabelle13[[#This Row],[%]]+I6513</f>
        <v>0.98822714681433621</v>
      </c>
      <c r="J6514" s="4">
        <f t="shared" si="235"/>
        <v>1.105583195135434E-4</v>
      </c>
      <c r="K6514" s="5">
        <f t="shared" si="236"/>
        <v>0.71995577667227684</v>
      </c>
    </row>
    <row r="6515" spans="1:11" x14ac:dyDescent="0.25">
      <c r="A6515" t="s">
        <v>7772</v>
      </c>
      <c r="C6515" t="s">
        <v>2444</v>
      </c>
      <c r="D6515" t="s">
        <v>5175</v>
      </c>
      <c r="E6515" t="s">
        <v>6</v>
      </c>
      <c r="F6515" t="s">
        <v>28</v>
      </c>
      <c r="G6515">
        <v>1</v>
      </c>
      <c r="H6515" s="2">
        <f>Tabelle13[[#This Row],[commits]]/Tabelle13[[#Totals],[commits]]</f>
        <v>4.6477904404246225E-6</v>
      </c>
      <c r="I6515" s="5">
        <f>Tabelle13[[#This Row],[%]]+I6514</f>
        <v>0.98823179460477661</v>
      </c>
      <c r="J6515" s="4">
        <f t="shared" si="235"/>
        <v>1.105583195135434E-4</v>
      </c>
      <c r="K6515" s="5">
        <f t="shared" si="236"/>
        <v>0.7200663349917904</v>
      </c>
    </row>
    <row r="6516" spans="1:11" x14ac:dyDescent="0.25">
      <c r="A6516" t="s">
        <v>7773</v>
      </c>
      <c r="C6516" t="s">
        <v>151</v>
      </c>
      <c r="D6516" t="s">
        <v>5</v>
      </c>
      <c r="E6516" t="s">
        <v>6</v>
      </c>
      <c r="F6516" t="s">
        <v>28</v>
      </c>
      <c r="G6516">
        <v>1</v>
      </c>
      <c r="H6516" s="2">
        <f>Tabelle13[[#This Row],[commits]]/Tabelle13[[#Totals],[commits]]</f>
        <v>4.6477904404246225E-6</v>
      </c>
      <c r="I6516" s="5">
        <f>Tabelle13[[#This Row],[%]]+I6515</f>
        <v>0.98823644239521702</v>
      </c>
      <c r="J6516" s="4">
        <f t="shared" si="235"/>
        <v>1.105583195135434E-4</v>
      </c>
      <c r="K6516" s="5">
        <f t="shared" si="236"/>
        <v>0.72017689331130397</v>
      </c>
    </row>
    <row r="6517" spans="1:11" x14ac:dyDescent="0.25">
      <c r="A6517" t="s">
        <v>7774</v>
      </c>
      <c r="C6517" t="s">
        <v>151</v>
      </c>
      <c r="D6517" t="s">
        <v>5</v>
      </c>
      <c r="E6517" t="s">
        <v>6</v>
      </c>
      <c r="F6517" t="s">
        <v>28</v>
      </c>
      <c r="G6517">
        <v>1</v>
      </c>
      <c r="H6517" s="2">
        <f>Tabelle13[[#This Row],[commits]]/Tabelle13[[#Totals],[commits]]</f>
        <v>4.6477904404246225E-6</v>
      </c>
      <c r="I6517" s="5">
        <f>Tabelle13[[#This Row],[%]]+I6516</f>
        <v>0.98824109018565742</v>
      </c>
      <c r="J6517" s="4">
        <f t="shared" si="235"/>
        <v>1.105583195135434E-4</v>
      </c>
      <c r="K6517" s="5">
        <f t="shared" si="236"/>
        <v>0.72028745163081753</v>
      </c>
    </row>
    <row r="6518" spans="1:11" x14ac:dyDescent="0.25">
      <c r="A6518" t="s">
        <v>7775</v>
      </c>
      <c r="C6518" t="s">
        <v>151</v>
      </c>
      <c r="D6518" t="s">
        <v>5</v>
      </c>
      <c r="E6518" t="s">
        <v>6</v>
      </c>
      <c r="F6518" t="s">
        <v>28</v>
      </c>
      <c r="G6518">
        <v>1</v>
      </c>
      <c r="H6518" s="2">
        <f>Tabelle13[[#This Row],[commits]]/Tabelle13[[#Totals],[commits]]</f>
        <v>4.6477904404246225E-6</v>
      </c>
      <c r="I6518" s="5">
        <f>Tabelle13[[#This Row],[%]]+I6517</f>
        <v>0.98824573797609783</v>
      </c>
      <c r="J6518" s="4">
        <f t="shared" si="235"/>
        <v>1.105583195135434E-4</v>
      </c>
      <c r="K6518" s="5">
        <f t="shared" si="236"/>
        <v>0.7203980099503311</v>
      </c>
    </row>
    <row r="6519" spans="1:11" x14ac:dyDescent="0.25">
      <c r="A6519" t="s">
        <v>7776</v>
      </c>
      <c r="C6519" t="s">
        <v>151</v>
      </c>
      <c r="D6519" t="s">
        <v>5</v>
      </c>
      <c r="E6519" t="s">
        <v>6</v>
      </c>
      <c r="F6519" t="s">
        <v>28</v>
      </c>
      <c r="G6519">
        <v>1</v>
      </c>
      <c r="H6519" s="2">
        <f>Tabelle13[[#This Row],[commits]]/Tabelle13[[#Totals],[commits]]</f>
        <v>4.6477904404246225E-6</v>
      </c>
      <c r="I6519" s="5">
        <f>Tabelle13[[#This Row],[%]]+I6518</f>
        <v>0.98825038576653823</v>
      </c>
      <c r="J6519" s="4">
        <f t="shared" si="235"/>
        <v>1.105583195135434E-4</v>
      </c>
      <c r="K6519" s="5">
        <f t="shared" si="236"/>
        <v>0.72050856826984466</v>
      </c>
    </row>
    <row r="6520" spans="1:11" x14ac:dyDescent="0.25">
      <c r="A6520" t="s">
        <v>7777</v>
      </c>
      <c r="C6520" t="s">
        <v>151</v>
      </c>
      <c r="D6520" t="s">
        <v>5</v>
      </c>
      <c r="E6520" t="s">
        <v>6</v>
      </c>
      <c r="F6520" t="s">
        <v>28</v>
      </c>
      <c r="G6520">
        <v>1</v>
      </c>
      <c r="H6520" s="2">
        <f>Tabelle13[[#This Row],[commits]]/Tabelle13[[#Totals],[commits]]</f>
        <v>4.6477904404246225E-6</v>
      </c>
      <c r="I6520" s="5">
        <f>Tabelle13[[#This Row],[%]]+I6519</f>
        <v>0.98825503355697863</v>
      </c>
      <c r="J6520" s="4">
        <f t="shared" si="235"/>
        <v>1.105583195135434E-4</v>
      </c>
      <c r="K6520" s="5">
        <f t="shared" si="236"/>
        <v>0.72061912658935823</v>
      </c>
    </row>
    <row r="6521" spans="1:11" x14ac:dyDescent="0.25">
      <c r="A6521" t="s">
        <v>7778</v>
      </c>
      <c r="C6521" t="s">
        <v>151</v>
      </c>
      <c r="D6521" t="s">
        <v>5</v>
      </c>
      <c r="E6521" t="s">
        <v>6</v>
      </c>
      <c r="F6521" t="s">
        <v>28</v>
      </c>
      <c r="G6521">
        <v>1</v>
      </c>
      <c r="H6521" s="2">
        <f>Tabelle13[[#This Row],[commits]]/Tabelle13[[#Totals],[commits]]</f>
        <v>4.6477904404246225E-6</v>
      </c>
      <c r="I6521" s="5">
        <f>Tabelle13[[#This Row],[%]]+I6520</f>
        <v>0.98825968134741904</v>
      </c>
      <c r="J6521" s="4">
        <f t="shared" si="235"/>
        <v>1.105583195135434E-4</v>
      </c>
      <c r="K6521" s="5">
        <f t="shared" si="236"/>
        <v>0.72072968490887179</v>
      </c>
    </row>
    <row r="6522" spans="1:11" x14ac:dyDescent="0.25">
      <c r="A6522" t="s">
        <v>7779</v>
      </c>
      <c r="C6522" t="s">
        <v>151</v>
      </c>
      <c r="D6522" t="s">
        <v>5</v>
      </c>
      <c r="E6522" t="s">
        <v>6</v>
      </c>
      <c r="F6522" t="s">
        <v>28</v>
      </c>
      <c r="G6522">
        <v>1</v>
      </c>
      <c r="H6522" s="2">
        <f>Tabelle13[[#This Row],[commits]]/Tabelle13[[#Totals],[commits]]</f>
        <v>4.6477904404246225E-6</v>
      </c>
      <c r="I6522" s="5">
        <f>Tabelle13[[#This Row],[%]]+I6521</f>
        <v>0.98826432913785944</v>
      </c>
      <c r="J6522" s="4">
        <f t="shared" si="235"/>
        <v>1.105583195135434E-4</v>
      </c>
      <c r="K6522" s="5">
        <f t="shared" si="236"/>
        <v>0.72084024322838536</v>
      </c>
    </row>
    <row r="6523" spans="1:11" x14ac:dyDescent="0.25">
      <c r="A6523" t="s">
        <v>7780</v>
      </c>
      <c r="C6523" t="s">
        <v>151</v>
      </c>
      <c r="D6523" t="s">
        <v>5</v>
      </c>
      <c r="E6523" t="s">
        <v>6</v>
      </c>
      <c r="F6523" t="s">
        <v>28</v>
      </c>
      <c r="G6523">
        <v>1</v>
      </c>
      <c r="H6523" s="2">
        <f>Tabelle13[[#This Row],[commits]]/Tabelle13[[#Totals],[commits]]</f>
        <v>4.6477904404246225E-6</v>
      </c>
      <c r="I6523" s="5">
        <f>Tabelle13[[#This Row],[%]]+I6522</f>
        <v>0.98826897692829985</v>
      </c>
      <c r="J6523" s="4">
        <f t="shared" si="235"/>
        <v>1.105583195135434E-4</v>
      </c>
      <c r="K6523" s="5">
        <f t="shared" si="236"/>
        <v>0.72095080154789892</v>
      </c>
    </row>
    <row r="6524" spans="1:11" x14ac:dyDescent="0.25">
      <c r="A6524" t="s">
        <v>7781</v>
      </c>
      <c r="C6524" t="s">
        <v>151</v>
      </c>
      <c r="D6524" t="s">
        <v>5</v>
      </c>
      <c r="E6524" t="s">
        <v>6</v>
      </c>
      <c r="F6524" t="s">
        <v>28</v>
      </c>
      <c r="G6524">
        <v>1</v>
      </c>
      <c r="H6524" s="2">
        <f>Tabelle13[[#This Row],[commits]]/Tabelle13[[#Totals],[commits]]</f>
        <v>4.6477904404246225E-6</v>
      </c>
      <c r="I6524" s="5">
        <f>Tabelle13[[#This Row],[%]]+I6523</f>
        <v>0.98827362471874025</v>
      </c>
      <c r="J6524" s="4">
        <f t="shared" si="235"/>
        <v>1.105583195135434E-4</v>
      </c>
      <c r="K6524" s="5">
        <f t="shared" si="236"/>
        <v>0.72106135986741249</v>
      </c>
    </row>
    <row r="6525" spans="1:11" x14ac:dyDescent="0.25">
      <c r="A6525" t="s">
        <v>7782</v>
      </c>
      <c r="C6525" t="s">
        <v>151</v>
      </c>
      <c r="D6525" t="s">
        <v>5</v>
      </c>
      <c r="E6525" t="s">
        <v>6</v>
      </c>
      <c r="F6525" t="s">
        <v>28</v>
      </c>
      <c r="G6525">
        <v>1</v>
      </c>
      <c r="H6525" s="2">
        <f>Tabelle13[[#This Row],[commits]]/Tabelle13[[#Totals],[commits]]</f>
        <v>4.6477904404246225E-6</v>
      </c>
      <c r="I6525" s="5">
        <f>Tabelle13[[#This Row],[%]]+I6524</f>
        <v>0.98827827250918066</v>
      </c>
      <c r="J6525" s="4">
        <f t="shared" si="235"/>
        <v>1.105583195135434E-4</v>
      </c>
      <c r="K6525" s="5">
        <f t="shared" si="236"/>
        <v>0.72117191818692605</v>
      </c>
    </row>
    <row r="6526" spans="1:11" x14ac:dyDescent="0.25">
      <c r="A6526" t="s">
        <v>7783</v>
      </c>
      <c r="C6526" t="s">
        <v>151</v>
      </c>
      <c r="D6526" t="s">
        <v>5</v>
      </c>
      <c r="E6526" t="s">
        <v>6</v>
      </c>
      <c r="F6526" t="s">
        <v>28</v>
      </c>
      <c r="G6526">
        <v>1</v>
      </c>
      <c r="H6526" s="2">
        <f>Tabelle13[[#This Row],[commits]]/Tabelle13[[#Totals],[commits]]</f>
        <v>4.6477904404246225E-6</v>
      </c>
      <c r="I6526" s="5">
        <f>Tabelle13[[#This Row],[%]]+I6525</f>
        <v>0.98828292029962106</v>
      </c>
      <c r="J6526" s="4">
        <f t="shared" si="235"/>
        <v>1.105583195135434E-4</v>
      </c>
      <c r="K6526" s="5">
        <f t="shared" si="236"/>
        <v>0.72128247650643962</v>
      </c>
    </row>
    <row r="6527" spans="1:11" x14ac:dyDescent="0.25">
      <c r="A6527" t="s">
        <v>7784</v>
      </c>
      <c r="C6527" t="s">
        <v>151</v>
      </c>
      <c r="D6527" t="s">
        <v>5</v>
      </c>
      <c r="E6527" t="s">
        <v>6</v>
      </c>
      <c r="F6527" t="s">
        <v>28</v>
      </c>
      <c r="G6527">
        <v>1</v>
      </c>
      <c r="H6527" s="2">
        <f>Tabelle13[[#This Row],[commits]]/Tabelle13[[#Totals],[commits]]</f>
        <v>4.6477904404246225E-6</v>
      </c>
      <c r="I6527" s="5">
        <f>Tabelle13[[#This Row],[%]]+I6526</f>
        <v>0.98828756809006146</v>
      </c>
      <c r="J6527" s="4">
        <f t="shared" si="235"/>
        <v>1.105583195135434E-4</v>
      </c>
      <c r="K6527" s="5">
        <f t="shared" si="236"/>
        <v>0.72139303482595318</v>
      </c>
    </row>
    <row r="6528" spans="1:11" x14ac:dyDescent="0.25">
      <c r="A6528" t="s">
        <v>7785</v>
      </c>
      <c r="C6528" t="s">
        <v>7786</v>
      </c>
      <c r="D6528" t="s">
        <v>5</v>
      </c>
      <c r="E6528" t="s">
        <v>6</v>
      </c>
      <c r="F6528" t="s">
        <v>28</v>
      </c>
      <c r="G6528">
        <v>1</v>
      </c>
      <c r="H6528" s="2">
        <f>Tabelle13[[#This Row],[commits]]/Tabelle13[[#Totals],[commits]]</f>
        <v>4.6477904404246225E-6</v>
      </c>
      <c r="I6528" s="5">
        <f>Tabelle13[[#This Row],[%]]+I6527</f>
        <v>0.98829221588050187</v>
      </c>
      <c r="J6528" s="4">
        <f t="shared" si="235"/>
        <v>1.105583195135434E-4</v>
      </c>
      <c r="K6528" s="5">
        <f t="shared" si="236"/>
        <v>0.72150359314546675</v>
      </c>
    </row>
    <row r="6529" spans="1:11" x14ac:dyDescent="0.25">
      <c r="A6529" t="s">
        <v>7787</v>
      </c>
      <c r="C6529" t="s">
        <v>7788</v>
      </c>
      <c r="D6529" t="s">
        <v>5</v>
      </c>
      <c r="E6529" t="s">
        <v>6</v>
      </c>
      <c r="F6529" t="s">
        <v>28</v>
      </c>
      <c r="G6529">
        <v>1</v>
      </c>
      <c r="H6529" s="2">
        <f>Tabelle13[[#This Row],[commits]]/Tabelle13[[#Totals],[commits]]</f>
        <v>4.6477904404246225E-6</v>
      </c>
      <c r="I6529" s="5">
        <f>Tabelle13[[#This Row],[%]]+I6528</f>
        <v>0.98829686367094227</v>
      </c>
      <c r="J6529" s="4">
        <f t="shared" si="235"/>
        <v>1.105583195135434E-4</v>
      </c>
      <c r="K6529" s="5">
        <f t="shared" si="236"/>
        <v>0.72161415146498031</v>
      </c>
    </row>
    <row r="6530" spans="1:11" x14ac:dyDescent="0.25">
      <c r="A6530" t="s">
        <v>7789</v>
      </c>
      <c r="C6530" t="s">
        <v>7790</v>
      </c>
      <c r="D6530" t="s">
        <v>5</v>
      </c>
      <c r="E6530" t="s">
        <v>6</v>
      </c>
      <c r="F6530" t="s">
        <v>28</v>
      </c>
      <c r="G6530">
        <v>1</v>
      </c>
      <c r="H6530" s="2">
        <f>Tabelle13[[#This Row],[commits]]/Tabelle13[[#Totals],[commits]]</f>
        <v>4.6477904404246225E-6</v>
      </c>
      <c r="I6530" s="5">
        <f>Tabelle13[[#This Row],[%]]+I6529</f>
        <v>0.98830151146138268</v>
      </c>
      <c r="J6530" s="4">
        <f t="shared" si="235"/>
        <v>1.105583195135434E-4</v>
      </c>
      <c r="K6530" s="5">
        <f t="shared" si="236"/>
        <v>0.72172470978449388</v>
      </c>
    </row>
    <row r="6531" spans="1:11" x14ac:dyDescent="0.25">
      <c r="A6531" t="s">
        <v>7791</v>
      </c>
      <c r="C6531" t="s">
        <v>7792</v>
      </c>
      <c r="D6531" t="s">
        <v>5</v>
      </c>
      <c r="E6531" t="s">
        <v>6</v>
      </c>
      <c r="F6531" t="s">
        <v>28</v>
      </c>
      <c r="G6531">
        <v>1</v>
      </c>
      <c r="H6531" s="2">
        <f>Tabelle13[[#This Row],[commits]]/Tabelle13[[#Totals],[commits]]</f>
        <v>4.6477904404246225E-6</v>
      </c>
      <c r="I6531" s="5">
        <f>Tabelle13[[#This Row],[%]]+I6530</f>
        <v>0.98830615925182308</v>
      </c>
      <c r="J6531" s="4">
        <f t="shared" ref="J6531:J6594" si="237">1/9045</f>
        <v>1.105583195135434E-4</v>
      </c>
      <c r="K6531" s="5">
        <f t="shared" si="236"/>
        <v>0.72183526810400744</v>
      </c>
    </row>
    <row r="6532" spans="1:11" x14ac:dyDescent="0.25">
      <c r="A6532" t="s">
        <v>7793</v>
      </c>
      <c r="C6532" t="s">
        <v>1346</v>
      </c>
      <c r="D6532" t="s">
        <v>5</v>
      </c>
      <c r="E6532" t="s">
        <v>6</v>
      </c>
      <c r="F6532" t="s">
        <v>28</v>
      </c>
      <c r="G6532">
        <v>1</v>
      </c>
      <c r="H6532" s="2">
        <f>Tabelle13[[#This Row],[commits]]/Tabelle13[[#Totals],[commits]]</f>
        <v>4.6477904404246225E-6</v>
      </c>
      <c r="I6532" s="5">
        <f>Tabelle13[[#This Row],[%]]+I6531</f>
        <v>0.98831080704226348</v>
      </c>
      <c r="J6532" s="4">
        <f t="shared" si="237"/>
        <v>1.105583195135434E-4</v>
      </c>
      <c r="K6532" s="5">
        <f t="shared" si="236"/>
        <v>0.72194582642352101</v>
      </c>
    </row>
    <row r="6533" spans="1:11" x14ac:dyDescent="0.25">
      <c r="A6533" t="s">
        <v>7794</v>
      </c>
      <c r="C6533" t="s">
        <v>7795</v>
      </c>
      <c r="D6533" t="s">
        <v>5</v>
      </c>
      <c r="E6533" t="s">
        <v>6</v>
      </c>
      <c r="F6533" t="s">
        <v>28</v>
      </c>
      <c r="G6533">
        <v>1</v>
      </c>
      <c r="H6533" s="2">
        <f>Tabelle13[[#This Row],[commits]]/Tabelle13[[#Totals],[commits]]</f>
        <v>4.6477904404246225E-6</v>
      </c>
      <c r="I6533" s="5">
        <f>Tabelle13[[#This Row],[%]]+I6532</f>
        <v>0.98831545483270389</v>
      </c>
      <c r="J6533" s="4">
        <f t="shared" si="237"/>
        <v>1.105583195135434E-4</v>
      </c>
      <c r="K6533" s="5">
        <f t="shared" si="236"/>
        <v>0.72205638474303457</v>
      </c>
    </row>
    <row r="6534" spans="1:11" x14ac:dyDescent="0.25">
      <c r="A6534" t="s">
        <v>7796</v>
      </c>
      <c r="C6534" t="s">
        <v>7797</v>
      </c>
      <c r="D6534" t="s">
        <v>5</v>
      </c>
      <c r="E6534" t="s">
        <v>6</v>
      </c>
      <c r="F6534" t="s">
        <v>28</v>
      </c>
      <c r="G6534">
        <v>1</v>
      </c>
      <c r="H6534" s="2">
        <f>Tabelle13[[#This Row],[commits]]/Tabelle13[[#Totals],[commits]]</f>
        <v>4.6477904404246225E-6</v>
      </c>
      <c r="I6534" s="5">
        <f>Tabelle13[[#This Row],[%]]+I6533</f>
        <v>0.98832010262314429</v>
      </c>
      <c r="J6534" s="4">
        <f t="shared" si="237"/>
        <v>1.105583195135434E-4</v>
      </c>
      <c r="K6534" s="5">
        <f t="shared" ref="K6534:K6597" si="238">J6534+K6533</f>
        <v>0.72216694306254814</v>
      </c>
    </row>
    <row r="6535" spans="1:11" x14ac:dyDescent="0.25">
      <c r="A6535" t="s">
        <v>7798</v>
      </c>
      <c r="C6535" t="s">
        <v>7799</v>
      </c>
      <c r="D6535" t="s">
        <v>5</v>
      </c>
      <c r="E6535" t="s">
        <v>6</v>
      </c>
      <c r="F6535" t="s">
        <v>28</v>
      </c>
      <c r="G6535">
        <v>1</v>
      </c>
      <c r="H6535" s="2">
        <f>Tabelle13[[#This Row],[commits]]/Tabelle13[[#Totals],[commits]]</f>
        <v>4.6477904404246225E-6</v>
      </c>
      <c r="I6535" s="5">
        <f>Tabelle13[[#This Row],[%]]+I6534</f>
        <v>0.9883247504135847</v>
      </c>
      <c r="J6535" s="4">
        <f t="shared" si="237"/>
        <v>1.105583195135434E-4</v>
      </c>
      <c r="K6535" s="5">
        <f t="shared" si="238"/>
        <v>0.7222775013820617</v>
      </c>
    </row>
    <row r="6536" spans="1:11" x14ac:dyDescent="0.25">
      <c r="A6536" t="s">
        <v>7800</v>
      </c>
      <c r="C6536" t="s">
        <v>7801</v>
      </c>
      <c r="D6536" t="s">
        <v>5</v>
      </c>
      <c r="E6536" t="s">
        <v>6</v>
      </c>
      <c r="F6536" t="s">
        <v>28</v>
      </c>
      <c r="G6536">
        <v>1</v>
      </c>
      <c r="H6536" s="2">
        <f>Tabelle13[[#This Row],[commits]]/Tabelle13[[#Totals],[commits]]</f>
        <v>4.6477904404246225E-6</v>
      </c>
      <c r="I6536" s="5">
        <f>Tabelle13[[#This Row],[%]]+I6535</f>
        <v>0.9883293982040251</v>
      </c>
      <c r="J6536" s="4">
        <f t="shared" si="237"/>
        <v>1.105583195135434E-4</v>
      </c>
      <c r="K6536" s="5">
        <f t="shared" si="238"/>
        <v>0.72238805970157527</v>
      </c>
    </row>
    <row r="6537" spans="1:11" x14ac:dyDescent="0.25">
      <c r="A6537" t="s">
        <v>7802</v>
      </c>
      <c r="C6537" t="s">
        <v>7803</v>
      </c>
      <c r="D6537" t="s">
        <v>5</v>
      </c>
      <c r="E6537" t="s">
        <v>6</v>
      </c>
      <c r="F6537" t="s">
        <v>28</v>
      </c>
      <c r="G6537">
        <v>1</v>
      </c>
      <c r="H6537" s="2">
        <f>Tabelle13[[#This Row],[commits]]/Tabelle13[[#Totals],[commits]]</f>
        <v>4.6477904404246225E-6</v>
      </c>
      <c r="I6537" s="5">
        <f>Tabelle13[[#This Row],[%]]+I6536</f>
        <v>0.9883340459944655</v>
      </c>
      <c r="J6537" s="4">
        <f t="shared" si="237"/>
        <v>1.105583195135434E-4</v>
      </c>
      <c r="K6537" s="5">
        <f t="shared" si="238"/>
        <v>0.72249861802108883</v>
      </c>
    </row>
    <row r="6538" spans="1:11" x14ac:dyDescent="0.25">
      <c r="A6538" t="s">
        <v>7804</v>
      </c>
      <c r="C6538" t="s">
        <v>7805</v>
      </c>
      <c r="D6538" t="s">
        <v>7478</v>
      </c>
      <c r="E6538" t="s">
        <v>6</v>
      </c>
      <c r="F6538" t="s">
        <v>28</v>
      </c>
      <c r="G6538">
        <v>1</v>
      </c>
      <c r="H6538" s="2">
        <f>Tabelle13[[#This Row],[commits]]/Tabelle13[[#Totals],[commits]]</f>
        <v>4.6477904404246225E-6</v>
      </c>
      <c r="I6538" s="5">
        <f>Tabelle13[[#This Row],[%]]+I6537</f>
        <v>0.98833869378490591</v>
      </c>
      <c r="J6538" s="4">
        <f t="shared" si="237"/>
        <v>1.105583195135434E-4</v>
      </c>
      <c r="K6538" s="5">
        <f t="shared" si="238"/>
        <v>0.7226091763406024</v>
      </c>
    </row>
    <row r="6539" spans="1:11" x14ac:dyDescent="0.25">
      <c r="A6539" t="s">
        <v>7806</v>
      </c>
      <c r="C6539" t="s">
        <v>7807</v>
      </c>
      <c r="D6539" t="s">
        <v>5</v>
      </c>
      <c r="E6539" t="s">
        <v>6</v>
      </c>
      <c r="F6539" t="s">
        <v>28</v>
      </c>
      <c r="G6539">
        <v>1</v>
      </c>
      <c r="H6539" s="2">
        <f>Tabelle13[[#This Row],[commits]]/Tabelle13[[#Totals],[commits]]</f>
        <v>4.6477904404246225E-6</v>
      </c>
      <c r="I6539" s="5">
        <f>Tabelle13[[#This Row],[%]]+I6538</f>
        <v>0.98834334157534631</v>
      </c>
      <c r="J6539" s="4">
        <f t="shared" si="237"/>
        <v>1.105583195135434E-4</v>
      </c>
      <c r="K6539" s="5">
        <f t="shared" si="238"/>
        <v>0.72271973466011596</v>
      </c>
    </row>
    <row r="6540" spans="1:11" x14ac:dyDescent="0.25">
      <c r="A6540" t="s">
        <v>7808</v>
      </c>
      <c r="C6540" t="s">
        <v>7809</v>
      </c>
      <c r="D6540" t="s">
        <v>5</v>
      </c>
      <c r="E6540" t="s">
        <v>6</v>
      </c>
      <c r="F6540" t="s">
        <v>28</v>
      </c>
      <c r="G6540">
        <v>1</v>
      </c>
      <c r="H6540" s="2">
        <f>Tabelle13[[#This Row],[commits]]/Tabelle13[[#Totals],[commits]]</f>
        <v>4.6477904404246225E-6</v>
      </c>
      <c r="I6540" s="5">
        <f>Tabelle13[[#This Row],[%]]+I6539</f>
        <v>0.98834798936578672</v>
      </c>
      <c r="J6540" s="4">
        <f t="shared" si="237"/>
        <v>1.105583195135434E-4</v>
      </c>
      <c r="K6540" s="5">
        <f t="shared" si="238"/>
        <v>0.72283029297962953</v>
      </c>
    </row>
    <row r="6541" spans="1:11" x14ac:dyDescent="0.25">
      <c r="A6541" t="s">
        <v>7810</v>
      </c>
      <c r="C6541" t="s">
        <v>7811</v>
      </c>
      <c r="D6541" t="s">
        <v>5</v>
      </c>
      <c r="E6541" t="s">
        <v>6</v>
      </c>
      <c r="F6541" t="s">
        <v>28</v>
      </c>
      <c r="G6541">
        <v>1</v>
      </c>
      <c r="H6541" s="2">
        <f>Tabelle13[[#This Row],[commits]]/Tabelle13[[#Totals],[commits]]</f>
        <v>4.6477904404246225E-6</v>
      </c>
      <c r="I6541" s="5">
        <f>Tabelle13[[#This Row],[%]]+I6540</f>
        <v>0.98835263715622712</v>
      </c>
      <c r="J6541" s="4">
        <f t="shared" si="237"/>
        <v>1.105583195135434E-4</v>
      </c>
      <c r="K6541" s="5">
        <f t="shared" si="238"/>
        <v>0.72294085129914309</v>
      </c>
    </row>
    <row r="6542" spans="1:11" x14ac:dyDescent="0.25">
      <c r="A6542" t="s">
        <v>7812</v>
      </c>
      <c r="C6542" t="s">
        <v>7813</v>
      </c>
      <c r="D6542" t="s">
        <v>5</v>
      </c>
      <c r="E6542" t="s">
        <v>6</v>
      </c>
      <c r="F6542" t="s">
        <v>28</v>
      </c>
      <c r="G6542">
        <v>1</v>
      </c>
      <c r="H6542" s="2">
        <f>Tabelle13[[#This Row],[commits]]/Tabelle13[[#Totals],[commits]]</f>
        <v>4.6477904404246225E-6</v>
      </c>
      <c r="I6542" s="5">
        <f>Tabelle13[[#This Row],[%]]+I6541</f>
        <v>0.98835728494666752</v>
      </c>
      <c r="J6542" s="4">
        <f t="shared" si="237"/>
        <v>1.105583195135434E-4</v>
      </c>
      <c r="K6542" s="5">
        <f t="shared" si="238"/>
        <v>0.72305140961865666</v>
      </c>
    </row>
    <row r="6543" spans="1:11" x14ac:dyDescent="0.25">
      <c r="A6543" t="s">
        <v>7814</v>
      </c>
      <c r="C6543" t="s">
        <v>7815</v>
      </c>
      <c r="D6543" t="s">
        <v>5</v>
      </c>
      <c r="E6543" t="s">
        <v>6</v>
      </c>
      <c r="F6543" t="s">
        <v>28</v>
      </c>
      <c r="G6543">
        <v>1</v>
      </c>
      <c r="H6543" s="2">
        <f>Tabelle13[[#This Row],[commits]]/Tabelle13[[#Totals],[commits]]</f>
        <v>4.6477904404246225E-6</v>
      </c>
      <c r="I6543" s="5">
        <f>Tabelle13[[#This Row],[%]]+I6542</f>
        <v>0.98836193273710793</v>
      </c>
      <c r="J6543" s="4">
        <f t="shared" si="237"/>
        <v>1.105583195135434E-4</v>
      </c>
      <c r="K6543" s="5">
        <f t="shared" si="238"/>
        <v>0.72316196793817022</v>
      </c>
    </row>
    <row r="6544" spans="1:11" x14ac:dyDescent="0.25">
      <c r="A6544" t="s">
        <v>7816</v>
      </c>
      <c r="C6544" t="s">
        <v>7817</v>
      </c>
      <c r="D6544" t="s">
        <v>5</v>
      </c>
      <c r="E6544" t="s">
        <v>6</v>
      </c>
      <c r="F6544" t="s">
        <v>28</v>
      </c>
      <c r="G6544">
        <v>1</v>
      </c>
      <c r="H6544" s="2">
        <f>Tabelle13[[#This Row],[commits]]/Tabelle13[[#Totals],[commits]]</f>
        <v>4.6477904404246225E-6</v>
      </c>
      <c r="I6544" s="5">
        <f>Tabelle13[[#This Row],[%]]+I6543</f>
        <v>0.98836658052754833</v>
      </c>
      <c r="J6544" s="4">
        <f t="shared" si="237"/>
        <v>1.105583195135434E-4</v>
      </c>
      <c r="K6544" s="5">
        <f t="shared" si="238"/>
        <v>0.72327252625768379</v>
      </c>
    </row>
    <row r="6545" spans="1:11" x14ac:dyDescent="0.25">
      <c r="A6545" t="s">
        <v>7818</v>
      </c>
      <c r="C6545" t="s">
        <v>7819</v>
      </c>
      <c r="D6545" t="s">
        <v>5</v>
      </c>
      <c r="E6545" t="s">
        <v>6</v>
      </c>
      <c r="F6545" t="s">
        <v>28</v>
      </c>
      <c r="G6545">
        <v>1</v>
      </c>
      <c r="H6545" s="2">
        <f>Tabelle13[[#This Row],[commits]]/Tabelle13[[#Totals],[commits]]</f>
        <v>4.6477904404246225E-6</v>
      </c>
      <c r="I6545" s="5">
        <f>Tabelle13[[#This Row],[%]]+I6544</f>
        <v>0.98837122831798874</v>
      </c>
      <c r="J6545" s="4">
        <f t="shared" si="237"/>
        <v>1.105583195135434E-4</v>
      </c>
      <c r="K6545" s="5">
        <f t="shared" si="238"/>
        <v>0.72338308457719736</v>
      </c>
    </row>
    <row r="6546" spans="1:11" x14ac:dyDescent="0.25">
      <c r="A6546" t="s">
        <v>7820</v>
      </c>
      <c r="C6546" t="s">
        <v>7821</v>
      </c>
      <c r="D6546" t="s">
        <v>5</v>
      </c>
      <c r="E6546" t="s">
        <v>6</v>
      </c>
      <c r="F6546" t="s">
        <v>28</v>
      </c>
      <c r="G6546">
        <v>1</v>
      </c>
      <c r="H6546" s="2">
        <f>Tabelle13[[#This Row],[commits]]/Tabelle13[[#Totals],[commits]]</f>
        <v>4.6477904404246225E-6</v>
      </c>
      <c r="I6546" s="5">
        <f>Tabelle13[[#This Row],[%]]+I6545</f>
        <v>0.98837587610842914</v>
      </c>
      <c r="J6546" s="4">
        <f t="shared" si="237"/>
        <v>1.105583195135434E-4</v>
      </c>
      <c r="K6546" s="5">
        <f t="shared" si="238"/>
        <v>0.72349364289671092</v>
      </c>
    </row>
    <row r="6547" spans="1:11" x14ac:dyDescent="0.25">
      <c r="A6547" t="s">
        <v>7822</v>
      </c>
      <c r="C6547" t="s">
        <v>7823</v>
      </c>
      <c r="D6547" t="s">
        <v>5175</v>
      </c>
      <c r="E6547" t="s">
        <v>6</v>
      </c>
      <c r="F6547" t="s">
        <v>28</v>
      </c>
      <c r="G6547">
        <v>1</v>
      </c>
      <c r="H6547" s="2">
        <f>Tabelle13[[#This Row],[commits]]/Tabelle13[[#Totals],[commits]]</f>
        <v>4.6477904404246225E-6</v>
      </c>
      <c r="I6547" s="5">
        <f>Tabelle13[[#This Row],[%]]+I6546</f>
        <v>0.98838052389886955</v>
      </c>
      <c r="J6547" s="4">
        <f t="shared" si="237"/>
        <v>1.105583195135434E-4</v>
      </c>
      <c r="K6547" s="5">
        <f t="shared" si="238"/>
        <v>0.72360420121622449</v>
      </c>
    </row>
    <row r="6548" spans="1:11" x14ac:dyDescent="0.25">
      <c r="A6548" t="s">
        <v>7824</v>
      </c>
      <c r="C6548" t="s">
        <v>7825</v>
      </c>
      <c r="D6548" t="s">
        <v>5</v>
      </c>
      <c r="E6548" t="s">
        <v>6</v>
      </c>
      <c r="F6548" t="s">
        <v>28</v>
      </c>
      <c r="G6548">
        <v>1</v>
      </c>
      <c r="H6548" s="2">
        <f>Tabelle13[[#This Row],[commits]]/Tabelle13[[#Totals],[commits]]</f>
        <v>4.6477904404246225E-6</v>
      </c>
      <c r="I6548" s="5">
        <f>Tabelle13[[#This Row],[%]]+I6547</f>
        <v>0.98838517168930995</v>
      </c>
      <c r="J6548" s="4">
        <f t="shared" si="237"/>
        <v>1.105583195135434E-4</v>
      </c>
      <c r="K6548" s="5">
        <f t="shared" si="238"/>
        <v>0.72371475953573805</v>
      </c>
    </row>
    <row r="6549" spans="1:11" x14ac:dyDescent="0.25">
      <c r="A6549" t="s">
        <v>7826</v>
      </c>
      <c r="C6549" t="s">
        <v>7827</v>
      </c>
      <c r="D6549" t="s">
        <v>5</v>
      </c>
      <c r="E6549" t="s">
        <v>6</v>
      </c>
      <c r="F6549" t="s">
        <v>251</v>
      </c>
      <c r="G6549">
        <v>1</v>
      </c>
      <c r="H6549" s="2">
        <f>Tabelle13[[#This Row],[commits]]/Tabelle13[[#Totals],[commits]]</f>
        <v>4.6477904404246225E-6</v>
      </c>
      <c r="I6549" s="5">
        <f>Tabelle13[[#This Row],[%]]+I6548</f>
        <v>0.98838981947975035</v>
      </c>
      <c r="J6549" s="4">
        <f t="shared" si="237"/>
        <v>1.105583195135434E-4</v>
      </c>
      <c r="K6549" s="5">
        <f t="shared" si="238"/>
        <v>0.72382531785525162</v>
      </c>
    </row>
    <row r="6550" spans="1:11" x14ac:dyDescent="0.25">
      <c r="A6550" t="s">
        <v>7828</v>
      </c>
      <c r="C6550" t="s">
        <v>7829</v>
      </c>
      <c r="D6550" t="s">
        <v>5</v>
      </c>
      <c r="E6550" t="s">
        <v>6</v>
      </c>
      <c r="F6550" t="s">
        <v>28</v>
      </c>
      <c r="G6550">
        <v>1</v>
      </c>
      <c r="H6550" s="2">
        <f>Tabelle13[[#This Row],[commits]]/Tabelle13[[#Totals],[commits]]</f>
        <v>4.6477904404246225E-6</v>
      </c>
      <c r="I6550" s="5">
        <f>Tabelle13[[#This Row],[%]]+I6549</f>
        <v>0.98839446727019076</v>
      </c>
      <c r="J6550" s="4">
        <f t="shared" si="237"/>
        <v>1.105583195135434E-4</v>
      </c>
      <c r="K6550" s="5">
        <f t="shared" si="238"/>
        <v>0.72393587617476518</v>
      </c>
    </row>
    <row r="6551" spans="1:11" x14ac:dyDescent="0.25">
      <c r="A6551" t="s">
        <v>7830</v>
      </c>
      <c r="C6551" t="s">
        <v>7831</v>
      </c>
      <c r="D6551" t="s">
        <v>5</v>
      </c>
      <c r="E6551" t="s">
        <v>6</v>
      </c>
      <c r="F6551" t="s">
        <v>28</v>
      </c>
      <c r="G6551">
        <v>1</v>
      </c>
      <c r="H6551" s="2">
        <f>Tabelle13[[#This Row],[commits]]/Tabelle13[[#Totals],[commits]]</f>
        <v>4.6477904404246225E-6</v>
      </c>
      <c r="I6551" s="5">
        <f>Tabelle13[[#This Row],[%]]+I6550</f>
        <v>0.98839911506063116</v>
      </c>
      <c r="J6551" s="4">
        <f t="shared" si="237"/>
        <v>1.105583195135434E-4</v>
      </c>
      <c r="K6551" s="5">
        <f t="shared" si="238"/>
        <v>0.72404643449427875</v>
      </c>
    </row>
    <row r="6552" spans="1:11" x14ac:dyDescent="0.25">
      <c r="A6552" t="s">
        <v>7832</v>
      </c>
      <c r="C6552" t="s">
        <v>7833</v>
      </c>
      <c r="D6552" t="s">
        <v>5</v>
      </c>
      <c r="E6552" t="s">
        <v>6</v>
      </c>
      <c r="F6552" t="s">
        <v>28</v>
      </c>
      <c r="G6552">
        <v>1</v>
      </c>
      <c r="H6552" s="2">
        <f>Tabelle13[[#This Row],[commits]]/Tabelle13[[#Totals],[commits]]</f>
        <v>4.6477904404246225E-6</v>
      </c>
      <c r="I6552" s="5">
        <f>Tabelle13[[#This Row],[%]]+I6551</f>
        <v>0.98840376285107157</v>
      </c>
      <c r="J6552" s="4">
        <f t="shared" si="237"/>
        <v>1.105583195135434E-4</v>
      </c>
      <c r="K6552" s="5">
        <f t="shared" si="238"/>
        <v>0.72415699281379231</v>
      </c>
    </row>
    <row r="6553" spans="1:11" x14ac:dyDescent="0.25">
      <c r="A6553" t="s">
        <v>7834</v>
      </c>
      <c r="C6553" t="s">
        <v>7835</v>
      </c>
      <c r="D6553" t="s">
        <v>5</v>
      </c>
      <c r="E6553" t="s">
        <v>6</v>
      </c>
      <c r="F6553" t="s">
        <v>28</v>
      </c>
      <c r="G6553">
        <v>1</v>
      </c>
      <c r="H6553" s="2">
        <f>Tabelle13[[#This Row],[commits]]/Tabelle13[[#Totals],[commits]]</f>
        <v>4.6477904404246225E-6</v>
      </c>
      <c r="I6553" s="5">
        <f>Tabelle13[[#This Row],[%]]+I6552</f>
        <v>0.98840841064151197</v>
      </c>
      <c r="J6553" s="4">
        <f t="shared" si="237"/>
        <v>1.105583195135434E-4</v>
      </c>
      <c r="K6553" s="5">
        <f t="shared" si="238"/>
        <v>0.72426755113330588</v>
      </c>
    </row>
    <row r="6554" spans="1:11" x14ac:dyDescent="0.25">
      <c r="A6554" t="s">
        <v>7836</v>
      </c>
      <c r="C6554" t="s">
        <v>7837</v>
      </c>
      <c r="D6554" t="s">
        <v>5</v>
      </c>
      <c r="E6554" t="s">
        <v>6</v>
      </c>
      <c r="F6554" t="s">
        <v>28</v>
      </c>
      <c r="G6554">
        <v>1</v>
      </c>
      <c r="H6554" s="2">
        <f>Tabelle13[[#This Row],[commits]]/Tabelle13[[#Totals],[commits]]</f>
        <v>4.6477904404246225E-6</v>
      </c>
      <c r="I6554" s="5">
        <f>Tabelle13[[#This Row],[%]]+I6553</f>
        <v>0.98841305843195237</v>
      </c>
      <c r="J6554" s="4">
        <f t="shared" si="237"/>
        <v>1.105583195135434E-4</v>
      </c>
      <c r="K6554" s="5">
        <f t="shared" si="238"/>
        <v>0.72437810945281944</v>
      </c>
    </row>
    <row r="6555" spans="1:11" x14ac:dyDescent="0.25">
      <c r="A6555" t="s">
        <v>7838</v>
      </c>
      <c r="C6555" t="s">
        <v>7839</v>
      </c>
      <c r="D6555" t="s">
        <v>5</v>
      </c>
      <c r="E6555" t="s">
        <v>6</v>
      </c>
      <c r="F6555" t="s">
        <v>28</v>
      </c>
      <c r="G6555">
        <v>1</v>
      </c>
      <c r="H6555" s="2">
        <f>Tabelle13[[#This Row],[commits]]/Tabelle13[[#Totals],[commits]]</f>
        <v>4.6477904404246225E-6</v>
      </c>
      <c r="I6555" s="5">
        <f>Tabelle13[[#This Row],[%]]+I6554</f>
        <v>0.98841770622239278</v>
      </c>
      <c r="J6555" s="4">
        <f t="shared" si="237"/>
        <v>1.105583195135434E-4</v>
      </c>
      <c r="K6555" s="5">
        <f t="shared" si="238"/>
        <v>0.72448866777233301</v>
      </c>
    </row>
    <row r="6556" spans="1:11" x14ac:dyDescent="0.25">
      <c r="A6556" t="s">
        <v>7840</v>
      </c>
      <c r="C6556" t="s">
        <v>7841</v>
      </c>
      <c r="D6556" t="s">
        <v>5</v>
      </c>
      <c r="E6556" t="s">
        <v>6</v>
      </c>
      <c r="F6556" t="s">
        <v>28</v>
      </c>
      <c r="G6556">
        <v>1</v>
      </c>
      <c r="H6556" s="2">
        <f>Tabelle13[[#This Row],[commits]]/Tabelle13[[#Totals],[commits]]</f>
        <v>4.6477904404246225E-6</v>
      </c>
      <c r="I6556" s="5">
        <f>Tabelle13[[#This Row],[%]]+I6555</f>
        <v>0.98842235401283318</v>
      </c>
      <c r="J6556" s="4">
        <f t="shared" si="237"/>
        <v>1.105583195135434E-4</v>
      </c>
      <c r="K6556" s="5">
        <f t="shared" si="238"/>
        <v>0.72459922609184657</v>
      </c>
    </row>
    <row r="6557" spans="1:11" x14ac:dyDescent="0.25">
      <c r="A6557" t="s">
        <v>7842</v>
      </c>
      <c r="C6557" t="s">
        <v>7843</v>
      </c>
      <c r="D6557" t="s">
        <v>5</v>
      </c>
      <c r="E6557" t="s">
        <v>6</v>
      </c>
      <c r="F6557" t="s">
        <v>28</v>
      </c>
      <c r="G6557">
        <v>1</v>
      </c>
      <c r="H6557" s="2">
        <f>Tabelle13[[#This Row],[commits]]/Tabelle13[[#Totals],[commits]]</f>
        <v>4.6477904404246225E-6</v>
      </c>
      <c r="I6557" s="5">
        <f>Tabelle13[[#This Row],[%]]+I6556</f>
        <v>0.98842700180327359</v>
      </c>
      <c r="J6557" s="4">
        <f t="shared" si="237"/>
        <v>1.105583195135434E-4</v>
      </c>
      <c r="K6557" s="5">
        <f t="shared" si="238"/>
        <v>0.72470978441136014</v>
      </c>
    </row>
    <row r="6558" spans="1:11" x14ac:dyDescent="0.25">
      <c r="A6558" t="s">
        <v>7844</v>
      </c>
      <c r="C6558" t="s">
        <v>7845</v>
      </c>
      <c r="D6558" t="s">
        <v>5</v>
      </c>
      <c r="E6558" t="s">
        <v>6</v>
      </c>
      <c r="F6558" t="s">
        <v>28</v>
      </c>
      <c r="G6558">
        <v>1</v>
      </c>
      <c r="H6558" s="2">
        <f>Tabelle13[[#This Row],[commits]]/Tabelle13[[#Totals],[commits]]</f>
        <v>4.6477904404246225E-6</v>
      </c>
      <c r="I6558" s="5">
        <f>Tabelle13[[#This Row],[%]]+I6557</f>
        <v>0.98843164959371399</v>
      </c>
      <c r="J6558" s="4">
        <f t="shared" si="237"/>
        <v>1.105583195135434E-4</v>
      </c>
      <c r="K6558" s="5">
        <f t="shared" si="238"/>
        <v>0.7248203427308737</v>
      </c>
    </row>
    <row r="6559" spans="1:11" x14ac:dyDescent="0.25">
      <c r="A6559" t="s">
        <v>7846</v>
      </c>
      <c r="C6559" t="s">
        <v>7847</v>
      </c>
      <c r="D6559" t="s">
        <v>5</v>
      </c>
      <c r="E6559" t="s">
        <v>6</v>
      </c>
      <c r="F6559" t="s">
        <v>28</v>
      </c>
      <c r="G6559">
        <v>1</v>
      </c>
      <c r="H6559" s="2">
        <f>Tabelle13[[#This Row],[commits]]/Tabelle13[[#Totals],[commits]]</f>
        <v>4.6477904404246225E-6</v>
      </c>
      <c r="I6559" s="5">
        <f>Tabelle13[[#This Row],[%]]+I6558</f>
        <v>0.98843629738415439</v>
      </c>
      <c r="J6559" s="4">
        <f t="shared" si="237"/>
        <v>1.105583195135434E-4</v>
      </c>
      <c r="K6559" s="5">
        <f t="shared" si="238"/>
        <v>0.72493090105038727</v>
      </c>
    </row>
    <row r="6560" spans="1:11" x14ac:dyDescent="0.25">
      <c r="A6560" t="s">
        <v>7848</v>
      </c>
      <c r="C6560" t="s">
        <v>7849</v>
      </c>
      <c r="D6560" t="s">
        <v>5</v>
      </c>
      <c r="E6560" t="s">
        <v>6</v>
      </c>
      <c r="F6560" t="s">
        <v>28</v>
      </c>
      <c r="G6560">
        <v>1</v>
      </c>
      <c r="H6560" s="2">
        <f>Tabelle13[[#This Row],[commits]]/Tabelle13[[#Totals],[commits]]</f>
        <v>4.6477904404246225E-6</v>
      </c>
      <c r="I6560" s="5">
        <f>Tabelle13[[#This Row],[%]]+I6559</f>
        <v>0.9884409451745948</v>
      </c>
      <c r="J6560" s="4">
        <f t="shared" si="237"/>
        <v>1.105583195135434E-4</v>
      </c>
      <c r="K6560" s="5">
        <f t="shared" si="238"/>
        <v>0.72504145936990083</v>
      </c>
    </row>
    <row r="6561" spans="1:11" x14ac:dyDescent="0.25">
      <c r="A6561" t="s">
        <v>7850</v>
      </c>
      <c r="C6561" t="s">
        <v>7851</v>
      </c>
      <c r="D6561" t="s">
        <v>5</v>
      </c>
      <c r="E6561" t="s">
        <v>6</v>
      </c>
      <c r="F6561" t="s">
        <v>28</v>
      </c>
      <c r="G6561">
        <v>1</v>
      </c>
      <c r="H6561" s="2">
        <f>Tabelle13[[#This Row],[commits]]/Tabelle13[[#Totals],[commits]]</f>
        <v>4.6477904404246225E-6</v>
      </c>
      <c r="I6561" s="5">
        <f>Tabelle13[[#This Row],[%]]+I6560</f>
        <v>0.9884455929650352</v>
      </c>
      <c r="J6561" s="4">
        <f t="shared" si="237"/>
        <v>1.105583195135434E-4</v>
      </c>
      <c r="K6561" s="5">
        <f t="shared" si="238"/>
        <v>0.7251520176894144</v>
      </c>
    </row>
    <row r="6562" spans="1:11" x14ac:dyDescent="0.25">
      <c r="A6562" t="s">
        <v>7852</v>
      </c>
      <c r="C6562" t="s">
        <v>7853</v>
      </c>
      <c r="D6562" t="s">
        <v>5</v>
      </c>
      <c r="E6562" t="s">
        <v>6</v>
      </c>
      <c r="F6562" t="s">
        <v>28</v>
      </c>
      <c r="G6562">
        <v>1</v>
      </c>
      <c r="H6562" s="2">
        <f>Tabelle13[[#This Row],[commits]]/Tabelle13[[#Totals],[commits]]</f>
        <v>4.6477904404246225E-6</v>
      </c>
      <c r="I6562" s="5">
        <f>Tabelle13[[#This Row],[%]]+I6561</f>
        <v>0.98845024075547561</v>
      </c>
      <c r="J6562" s="4">
        <f t="shared" si="237"/>
        <v>1.105583195135434E-4</v>
      </c>
      <c r="K6562" s="5">
        <f t="shared" si="238"/>
        <v>0.72526257600892796</v>
      </c>
    </row>
    <row r="6563" spans="1:11" x14ac:dyDescent="0.25">
      <c r="A6563" t="s">
        <v>7854</v>
      </c>
      <c r="C6563" t="s">
        <v>7855</v>
      </c>
      <c r="D6563" t="s">
        <v>5</v>
      </c>
      <c r="E6563" t="s">
        <v>6</v>
      </c>
      <c r="F6563" t="s">
        <v>28</v>
      </c>
      <c r="G6563">
        <v>1</v>
      </c>
      <c r="H6563" s="2">
        <f>Tabelle13[[#This Row],[commits]]/Tabelle13[[#Totals],[commits]]</f>
        <v>4.6477904404246225E-6</v>
      </c>
      <c r="I6563" s="5">
        <f>Tabelle13[[#This Row],[%]]+I6562</f>
        <v>0.98845488854591601</v>
      </c>
      <c r="J6563" s="4">
        <f t="shared" si="237"/>
        <v>1.105583195135434E-4</v>
      </c>
      <c r="K6563" s="5">
        <f t="shared" si="238"/>
        <v>0.72537313432844153</v>
      </c>
    </row>
    <row r="6564" spans="1:11" x14ac:dyDescent="0.25">
      <c r="A6564" t="s">
        <v>7856</v>
      </c>
      <c r="C6564" t="s">
        <v>7857</v>
      </c>
      <c r="D6564" t="s">
        <v>5175</v>
      </c>
      <c r="E6564" t="s">
        <v>6</v>
      </c>
      <c r="F6564" t="s">
        <v>28</v>
      </c>
      <c r="G6564">
        <v>1</v>
      </c>
      <c r="H6564" s="2">
        <f>Tabelle13[[#This Row],[commits]]/Tabelle13[[#Totals],[commits]]</f>
        <v>4.6477904404246225E-6</v>
      </c>
      <c r="I6564" s="5">
        <f>Tabelle13[[#This Row],[%]]+I6563</f>
        <v>0.98845953633635641</v>
      </c>
      <c r="J6564" s="4">
        <f t="shared" si="237"/>
        <v>1.105583195135434E-4</v>
      </c>
      <c r="K6564" s="5">
        <f t="shared" si="238"/>
        <v>0.72548369264795509</v>
      </c>
    </row>
    <row r="6565" spans="1:11" x14ac:dyDescent="0.25">
      <c r="A6565" t="s">
        <v>7858</v>
      </c>
      <c r="C6565" t="s">
        <v>7859</v>
      </c>
      <c r="D6565" t="s">
        <v>5</v>
      </c>
      <c r="E6565" t="s">
        <v>6</v>
      </c>
      <c r="F6565" t="s">
        <v>28</v>
      </c>
      <c r="G6565">
        <v>1</v>
      </c>
      <c r="H6565" s="2">
        <f>Tabelle13[[#This Row],[commits]]/Tabelle13[[#Totals],[commits]]</f>
        <v>4.6477904404246225E-6</v>
      </c>
      <c r="I6565" s="5">
        <f>Tabelle13[[#This Row],[%]]+I6564</f>
        <v>0.98846418412679682</v>
      </c>
      <c r="J6565" s="4">
        <f t="shared" si="237"/>
        <v>1.105583195135434E-4</v>
      </c>
      <c r="K6565" s="5">
        <f t="shared" si="238"/>
        <v>0.72559425096746866</v>
      </c>
    </row>
    <row r="6566" spans="1:11" x14ac:dyDescent="0.25">
      <c r="A6566" t="s">
        <v>7860</v>
      </c>
      <c r="C6566" t="s">
        <v>7861</v>
      </c>
      <c r="D6566" t="s">
        <v>5</v>
      </c>
      <c r="E6566" t="s">
        <v>6</v>
      </c>
      <c r="F6566" t="s">
        <v>28</v>
      </c>
      <c r="G6566">
        <v>1</v>
      </c>
      <c r="H6566" s="2">
        <f>Tabelle13[[#This Row],[commits]]/Tabelle13[[#Totals],[commits]]</f>
        <v>4.6477904404246225E-6</v>
      </c>
      <c r="I6566" s="5">
        <f>Tabelle13[[#This Row],[%]]+I6565</f>
        <v>0.98846883191723722</v>
      </c>
      <c r="J6566" s="4">
        <f t="shared" si="237"/>
        <v>1.105583195135434E-4</v>
      </c>
      <c r="K6566" s="5">
        <f t="shared" si="238"/>
        <v>0.72570480928698222</v>
      </c>
    </row>
    <row r="6567" spans="1:11" x14ac:dyDescent="0.25">
      <c r="A6567" t="s">
        <v>7862</v>
      </c>
      <c r="C6567" t="s">
        <v>7863</v>
      </c>
      <c r="D6567" t="s">
        <v>5</v>
      </c>
      <c r="E6567" t="s">
        <v>6</v>
      </c>
      <c r="F6567" t="s">
        <v>28</v>
      </c>
      <c r="G6567">
        <v>1</v>
      </c>
      <c r="H6567" s="2">
        <f>Tabelle13[[#This Row],[commits]]/Tabelle13[[#Totals],[commits]]</f>
        <v>4.6477904404246225E-6</v>
      </c>
      <c r="I6567" s="5">
        <f>Tabelle13[[#This Row],[%]]+I6566</f>
        <v>0.98847347970767763</v>
      </c>
      <c r="J6567" s="4">
        <f t="shared" si="237"/>
        <v>1.105583195135434E-4</v>
      </c>
      <c r="K6567" s="5">
        <f t="shared" si="238"/>
        <v>0.72581536760649579</v>
      </c>
    </row>
    <row r="6568" spans="1:11" x14ac:dyDescent="0.25">
      <c r="A6568" t="s">
        <v>7864</v>
      </c>
      <c r="C6568" t="s">
        <v>7865</v>
      </c>
      <c r="D6568" t="s">
        <v>5</v>
      </c>
      <c r="E6568" t="s">
        <v>6</v>
      </c>
      <c r="F6568" t="s">
        <v>28</v>
      </c>
      <c r="G6568">
        <v>1</v>
      </c>
      <c r="H6568" s="2">
        <f>Tabelle13[[#This Row],[commits]]/Tabelle13[[#Totals],[commits]]</f>
        <v>4.6477904404246225E-6</v>
      </c>
      <c r="I6568" s="5">
        <f>Tabelle13[[#This Row],[%]]+I6567</f>
        <v>0.98847812749811803</v>
      </c>
      <c r="J6568" s="4">
        <f t="shared" si="237"/>
        <v>1.105583195135434E-4</v>
      </c>
      <c r="K6568" s="5">
        <f t="shared" si="238"/>
        <v>0.72592592592600935</v>
      </c>
    </row>
    <row r="6569" spans="1:11" x14ac:dyDescent="0.25">
      <c r="A6569" t="s">
        <v>7866</v>
      </c>
      <c r="C6569" t="s">
        <v>7867</v>
      </c>
      <c r="D6569" t="s">
        <v>5</v>
      </c>
      <c r="E6569" t="s">
        <v>6</v>
      </c>
      <c r="F6569" t="s">
        <v>28</v>
      </c>
      <c r="G6569">
        <v>1</v>
      </c>
      <c r="H6569" s="2">
        <f>Tabelle13[[#This Row],[commits]]/Tabelle13[[#Totals],[commits]]</f>
        <v>4.6477904404246225E-6</v>
      </c>
      <c r="I6569" s="5">
        <f>Tabelle13[[#This Row],[%]]+I6568</f>
        <v>0.98848277528855844</v>
      </c>
      <c r="J6569" s="4">
        <f t="shared" si="237"/>
        <v>1.105583195135434E-4</v>
      </c>
      <c r="K6569" s="5">
        <f t="shared" si="238"/>
        <v>0.72603648424552292</v>
      </c>
    </row>
    <row r="6570" spans="1:11" x14ac:dyDescent="0.25">
      <c r="A6570" t="s">
        <v>7868</v>
      </c>
      <c r="C6570" t="s">
        <v>7869</v>
      </c>
      <c r="D6570" t="s">
        <v>5</v>
      </c>
      <c r="E6570" t="s">
        <v>6</v>
      </c>
      <c r="F6570" t="s">
        <v>28</v>
      </c>
      <c r="G6570">
        <v>1</v>
      </c>
      <c r="H6570" s="2">
        <f>Tabelle13[[#This Row],[commits]]/Tabelle13[[#Totals],[commits]]</f>
        <v>4.6477904404246225E-6</v>
      </c>
      <c r="I6570" s="5">
        <f>Tabelle13[[#This Row],[%]]+I6569</f>
        <v>0.98848742307899884</v>
      </c>
      <c r="J6570" s="4">
        <f t="shared" si="237"/>
        <v>1.105583195135434E-4</v>
      </c>
      <c r="K6570" s="5">
        <f t="shared" si="238"/>
        <v>0.72614704256503648</v>
      </c>
    </row>
    <row r="6571" spans="1:11" x14ac:dyDescent="0.25">
      <c r="A6571" t="s">
        <v>7870</v>
      </c>
      <c r="C6571" t="s">
        <v>7871</v>
      </c>
      <c r="D6571" t="s">
        <v>5175</v>
      </c>
      <c r="E6571" t="s">
        <v>6</v>
      </c>
      <c r="F6571" t="s">
        <v>28</v>
      </c>
      <c r="G6571">
        <v>1</v>
      </c>
      <c r="H6571" s="2">
        <f>Tabelle13[[#This Row],[commits]]/Tabelle13[[#Totals],[commits]]</f>
        <v>4.6477904404246225E-6</v>
      </c>
      <c r="I6571" s="5">
        <f>Tabelle13[[#This Row],[%]]+I6570</f>
        <v>0.98849207086943924</v>
      </c>
      <c r="J6571" s="4">
        <f t="shared" si="237"/>
        <v>1.105583195135434E-4</v>
      </c>
      <c r="K6571" s="5">
        <f t="shared" si="238"/>
        <v>0.72625760088455005</v>
      </c>
    </row>
    <row r="6572" spans="1:11" x14ac:dyDescent="0.25">
      <c r="A6572" t="s">
        <v>7872</v>
      </c>
      <c r="C6572" t="s">
        <v>7873</v>
      </c>
      <c r="D6572" t="s">
        <v>5</v>
      </c>
      <c r="E6572" t="s">
        <v>6</v>
      </c>
      <c r="F6572" t="s">
        <v>28</v>
      </c>
      <c r="G6572">
        <v>1</v>
      </c>
      <c r="H6572" s="2">
        <f>Tabelle13[[#This Row],[commits]]/Tabelle13[[#Totals],[commits]]</f>
        <v>4.6477904404246225E-6</v>
      </c>
      <c r="I6572" s="5">
        <f>Tabelle13[[#This Row],[%]]+I6571</f>
        <v>0.98849671865987965</v>
      </c>
      <c r="J6572" s="4">
        <f t="shared" si="237"/>
        <v>1.105583195135434E-4</v>
      </c>
      <c r="K6572" s="5">
        <f t="shared" si="238"/>
        <v>0.72636815920406361</v>
      </c>
    </row>
    <row r="6573" spans="1:11" x14ac:dyDescent="0.25">
      <c r="A6573" t="s">
        <v>7874</v>
      </c>
      <c r="C6573" t="s">
        <v>7875</v>
      </c>
      <c r="D6573" t="s">
        <v>5</v>
      </c>
      <c r="E6573" t="s">
        <v>6</v>
      </c>
      <c r="F6573" t="s">
        <v>28</v>
      </c>
      <c r="G6573">
        <v>1</v>
      </c>
      <c r="H6573" s="2">
        <f>Tabelle13[[#This Row],[commits]]/Tabelle13[[#Totals],[commits]]</f>
        <v>4.6477904404246225E-6</v>
      </c>
      <c r="I6573" s="5">
        <f>Tabelle13[[#This Row],[%]]+I6572</f>
        <v>0.98850136645032005</v>
      </c>
      <c r="J6573" s="4">
        <f t="shared" si="237"/>
        <v>1.105583195135434E-4</v>
      </c>
      <c r="K6573" s="5">
        <f t="shared" si="238"/>
        <v>0.72647871752357718</v>
      </c>
    </row>
    <row r="6574" spans="1:11" x14ac:dyDescent="0.25">
      <c r="A6574" t="s">
        <v>7876</v>
      </c>
      <c r="C6574" t="s">
        <v>7877</v>
      </c>
      <c r="D6574" t="s">
        <v>5</v>
      </c>
      <c r="E6574" t="s">
        <v>6</v>
      </c>
      <c r="F6574" t="s">
        <v>28</v>
      </c>
      <c r="G6574">
        <v>1</v>
      </c>
      <c r="H6574" s="2">
        <f>Tabelle13[[#This Row],[commits]]/Tabelle13[[#Totals],[commits]]</f>
        <v>4.6477904404246225E-6</v>
      </c>
      <c r="I6574" s="5">
        <f>Tabelle13[[#This Row],[%]]+I6573</f>
        <v>0.98850601424076046</v>
      </c>
      <c r="J6574" s="4">
        <f t="shared" si="237"/>
        <v>1.105583195135434E-4</v>
      </c>
      <c r="K6574" s="5">
        <f t="shared" si="238"/>
        <v>0.72658927584309074</v>
      </c>
    </row>
    <row r="6575" spans="1:11" x14ac:dyDescent="0.25">
      <c r="A6575" t="s">
        <v>7878</v>
      </c>
      <c r="C6575" t="s">
        <v>7879</v>
      </c>
      <c r="D6575" t="s">
        <v>5</v>
      </c>
      <c r="E6575" t="s">
        <v>6</v>
      </c>
      <c r="F6575" t="s">
        <v>28</v>
      </c>
      <c r="G6575">
        <v>1</v>
      </c>
      <c r="H6575" s="2">
        <f>Tabelle13[[#This Row],[commits]]/Tabelle13[[#Totals],[commits]]</f>
        <v>4.6477904404246225E-6</v>
      </c>
      <c r="I6575" s="5">
        <f>Tabelle13[[#This Row],[%]]+I6574</f>
        <v>0.98851066203120086</v>
      </c>
      <c r="J6575" s="4">
        <f t="shared" si="237"/>
        <v>1.105583195135434E-4</v>
      </c>
      <c r="K6575" s="5">
        <f t="shared" si="238"/>
        <v>0.72669983416260431</v>
      </c>
    </row>
    <row r="6576" spans="1:11" x14ac:dyDescent="0.25">
      <c r="A6576" t="s">
        <v>7880</v>
      </c>
      <c r="C6576" t="s">
        <v>7881</v>
      </c>
      <c r="D6576" t="s">
        <v>5</v>
      </c>
      <c r="E6576" t="s">
        <v>6</v>
      </c>
      <c r="F6576" t="s">
        <v>28</v>
      </c>
      <c r="G6576">
        <v>1</v>
      </c>
      <c r="H6576" s="2">
        <f>Tabelle13[[#This Row],[commits]]/Tabelle13[[#Totals],[commits]]</f>
        <v>4.6477904404246225E-6</v>
      </c>
      <c r="I6576" s="5">
        <f>Tabelle13[[#This Row],[%]]+I6575</f>
        <v>0.98851530982164126</v>
      </c>
      <c r="J6576" s="4">
        <f t="shared" si="237"/>
        <v>1.105583195135434E-4</v>
      </c>
      <c r="K6576" s="5">
        <f t="shared" si="238"/>
        <v>0.72681039248211787</v>
      </c>
    </row>
    <row r="6577" spans="1:11" x14ac:dyDescent="0.25">
      <c r="A6577" t="s">
        <v>7882</v>
      </c>
      <c r="C6577" t="s">
        <v>7883</v>
      </c>
      <c r="D6577" t="s">
        <v>5</v>
      </c>
      <c r="E6577" t="s">
        <v>6</v>
      </c>
      <c r="F6577" t="s">
        <v>28</v>
      </c>
      <c r="G6577">
        <v>1</v>
      </c>
      <c r="H6577" s="2">
        <f>Tabelle13[[#This Row],[commits]]/Tabelle13[[#Totals],[commits]]</f>
        <v>4.6477904404246225E-6</v>
      </c>
      <c r="I6577" s="5">
        <f>Tabelle13[[#This Row],[%]]+I6576</f>
        <v>0.98851995761208167</v>
      </c>
      <c r="J6577" s="4">
        <f t="shared" si="237"/>
        <v>1.105583195135434E-4</v>
      </c>
      <c r="K6577" s="5">
        <f t="shared" si="238"/>
        <v>0.72692095080163144</v>
      </c>
    </row>
    <row r="6578" spans="1:11" x14ac:dyDescent="0.25">
      <c r="A6578" t="s">
        <v>7884</v>
      </c>
      <c r="C6578" t="s">
        <v>7885</v>
      </c>
      <c r="D6578" t="s">
        <v>5</v>
      </c>
      <c r="E6578" t="s">
        <v>6</v>
      </c>
      <c r="F6578" t="s">
        <v>28</v>
      </c>
      <c r="G6578">
        <v>1</v>
      </c>
      <c r="H6578" s="2">
        <f>Tabelle13[[#This Row],[commits]]/Tabelle13[[#Totals],[commits]]</f>
        <v>4.6477904404246225E-6</v>
      </c>
      <c r="I6578" s="5">
        <f>Tabelle13[[#This Row],[%]]+I6577</f>
        <v>0.98852460540252207</v>
      </c>
      <c r="J6578" s="4">
        <f t="shared" si="237"/>
        <v>1.105583195135434E-4</v>
      </c>
      <c r="K6578" s="5">
        <f t="shared" si="238"/>
        <v>0.727031509121145</v>
      </c>
    </row>
    <row r="6579" spans="1:11" x14ac:dyDescent="0.25">
      <c r="A6579" t="s">
        <v>7886</v>
      </c>
      <c r="C6579" t="s">
        <v>7887</v>
      </c>
      <c r="D6579" t="s">
        <v>5</v>
      </c>
      <c r="E6579" t="s">
        <v>6</v>
      </c>
      <c r="F6579" t="s">
        <v>28</v>
      </c>
      <c r="G6579">
        <v>1</v>
      </c>
      <c r="H6579" s="2">
        <f>Tabelle13[[#This Row],[commits]]/Tabelle13[[#Totals],[commits]]</f>
        <v>4.6477904404246225E-6</v>
      </c>
      <c r="I6579" s="5">
        <f>Tabelle13[[#This Row],[%]]+I6578</f>
        <v>0.98852925319296248</v>
      </c>
      <c r="J6579" s="4">
        <f t="shared" si="237"/>
        <v>1.105583195135434E-4</v>
      </c>
      <c r="K6579" s="5">
        <f t="shared" si="238"/>
        <v>0.72714206744065857</v>
      </c>
    </row>
    <row r="6580" spans="1:11" x14ac:dyDescent="0.25">
      <c r="A6580" t="s">
        <v>7888</v>
      </c>
      <c r="C6580" t="s">
        <v>7889</v>
      </c>
      <c r="D6580" t="s">
        <v>5</v>
      </c>
      <c r="E6580" t="s">
        <v>6</v>
      </c>
      <c r="F6580" t="s">
        <v>28</v>
      </c>
      <c r="G6580">
        <v>1</v>
      </c>
      <c r="H6580" s="2">
        <f>Tabelle13[[#This Row],[commits]]/Tabelle13[[#Totals],[commits]]</f>
        <v>4.6477904404246225E-6</v>
      </c>
      <c r="I6580" s="5">
        <f>Tabelle13[[#This Row],[%]]+I6579</f>
        <v>0.98853390098340288</v>
      </c>
      <c r="J6580" s="4">
        <f t="shared" si="237"/>
        <v>1.105583195135434E-4</v>
      </c>
      <c r="K6580" s="5">
        <f t="shared" si="238"/>
        <v>0.72725262576017213</v>
      </c>
    </row>
    <row r="6581" spans="1:11" x14ac:dyDescent="0.25">
      <c r="A6581" t="s">
        <v>7890</v>
      </c>
      <c r="C6581" t="s">
        <v>7891</v>
      </c>
      <c r="D6581" t="s">
        <v>5</v>
      </c>
      <c r="E6581" t="s">
        <v>6</v>
      </c>
      <c r="F6581" t="s">
        <v>28</v>
      </c>
      <c r="G6581">
        <v>1</v>
      </c>
      <c r="H6581" s="2">
        <f>Tabelle13[[#This Row],[commits]]/Tabelle13[[#Totals],[commits]]</f>
        <v>4.6477904404246225E-6</v>
      </c>
      <c r="I6581" s="5">
        <f>Tabelle13[[#This Row],[%]]+I6580</f>
        <v>0.98853854877384328</v>
      </c>
      <c r="J6581" s="4">
        <f t="shared" si="237"/>
        <v>1.105583195135434E-4</v>
      </c>
      <c r="K6581" s="5">
        <f t="shared" si="238"/>
        <v>0.7273631840796857</v>
      </c>
    </row>
    <row r="6582" spans="1:11" x14ac:dyDescent="0.25">
      <c r="A6582" t="s">
        <v>7892</v>
      </c>
      <c r="C6582" t="s">
        <v>7893</v>
      </c>
      <c r="D6582" t="s">
        <v>5</v>
      </c>
      <c r="E6582" t="s">
        <v>6</v>
      </c>
      <c r="F6582" t="s">
        <v>28</v>
      </c>
      <c r="G6582">
        <v>1</v>
      </c>
      <c r="H6582" s="2">
        <f>Tabelle13[[#This Row],[commits]]/Tabelle13[[#Totals],[commits]]</f>
        <v>4.6477904404246225E-6</v>
      </c>
      <c r="I6582" s="5">
        <f>Tabelle13[[#This Row],[%]]+I6581</f>
        <v>0.98854319656428369</v>
      </c>
      <c r="J6582" s="4">
        <f t="shared" si="237"/>
        <v>1.105583195135434E-4</v>
      </c>
      <c r="K6582" s="5">
        <f t="shared" si="238"/>
        <v>0.72747374239919926</v>
      </c>
    </row>
    <row r="6583" spans="1:11" x14ac:dyDescent="0.25">
      <c r="A6583" t="s">
        <v>7894</v>
      </c>
      <c r="C6583" t="s">
        <v>7895</v>
      </c>
      <c r="D6583" t="s">
        <v>5</v>
      </c>
      <c r="E6583" t="s">
        <v>6</v>
      </c>
      <c r="F6583" t="s">
        <v>28</v>
      </c>
      <c r="G6583">
        <v>1</v>
      </c>
      <c r="H6583" s="2">
        <f>Tabelle13[[#This Row],[commits]]/Tabelle13[[#Totals],[commits]]</f>
        <v>4.6477904404246225E-6</v>
      </c>
      <c r="I6583" s="5">
        <f>Tabelle13[[#This Row],[%]]+I6582</f>
        <v>0.98854784435472409</v>
      </c>
      <c r="J6583" s="4">
        <f t="shared" si="237"/>
        <v>1.105583195135434E-4</v>
      </c>
      <c r="K6583" s="5">
        <f t="shared" si="238"/>
        <v>0.72758430071871283</v>
      </c>
    </row>
    <row r="6584" spans="1:11" x14ac:dyDescent="0.25">
      <c r="A6584" t="s">
        <v>7896</v>
      </c>
      <c r="C6584" t="s">
        <v>7897</v>
      </c>
      <c r="D6584" t="s">
        <v>5</v>
      </c>
      <c r="E6584" t="s">
        <v>6</v>
      </c>
      <c r="F6584" t="s">
        <v>28</v>
      </c>
      <c r="G6584">
        <v>1</v>
      </c>
      <c r="H6584" s="2">
        <f>Tabelle13[[#This Row],[commits]]/Tabelle13[[#Totals],[commits]]</f>
        <v>4.6477904404246225E-6</v>
      </c>
      <c r="I6584" s="5">
        <f>Tabelle13[[#This Row],[%]]+I6583</f>
        <v>0.9885524921451645</v>
      </c>
      <c r="J6584" s="4">
        <f t="shared" si="237"/>
        <v>1.105583195135434E-4</v>
      </c>
      <c r="K6584" s="5">
        <f t="shared" si="238"/>
        <v>0.72769485903822639</v>
      </c>
    </row>
    <row r="6585" spans="1:11" x14ac:dyDescent="0.25">
      <c r="A6585" t="s">
        <v>7898</v>
      </c>
      <c r="C6585" t="s">
        <v>7899</v>
      </c>
      <c r="D6585" t="s">
        <v>5</v>
      </c>
      <c r="E6585" t="s">
        <v>6</v>
      </c>
      <c r="F6585" t="s">
        <v>28</v>
      </c>
      <c r="G6585">
        <v>1</v>
      </c>
      <c r="H6585" s="2">
        <f>Tabelle13[[#This Row],[commits]]/Tabelle13[[#Totals],[commits]]</f>
        <v>4.6477904404246225E-6</v>
      </c>
      <c r="I6585" s="5">
        <f>Tabelle13[[#This Row],[%]]+I6584</f>
        <v>0.9885571399356049</v>
      </c>
      <c r="J6585" s="4">
        <f t="shared" si="237"/>
        <v>1.105583195135434E-4</v>
      </c>
      <c r="K6585" s="5">
        <f t="shared" si="238"/>
        <v>0.72780541735773996</v>
      </c>
    </row>
    <row r="6586" spans="1:11" x14ac:dyDescent="0.25">
      <c r="A6586" t="s">
        <v>7900</v>
      </c>
      <c r="C6586" t="s">
        <v>7901</v>
      </c>
      <c r="D6586" t="s">
        <v>5</v>
      </c>
      <c r="E6586" t="s">
        <v>6</v>
      </c>
      <c r="F6586" t="s">
        <v>28</v>
      </c>
      <c r="G6586">
        <v>1</v>
      </c>
      <c r="H6586" s="2">
        <f>Tabelle13[[#This Row],[commits]]/Tabelle13[[#Totals],[commits]]</f>
        <v>4.6477904404246225E-6</v>
      </c>
      <c r="I6586" s="5">
        <f>Tabelle13[[#This Row],[%]]+I6585</f>
        <v>0.9885617877260453</v>
      </c>
      <c r="J6586" s="4">
        <f t="shared" si="237"/>
        <v>1.105583195135434E-4</v>
      </c>
      <c r="K6586" s="5">
        <f t="shared" si="238"/>
        <v>0.72791597567725352</v>
      </c>
    </row>
    <row r="6587" spans="1:11" x14ac:dyDescent="0.25">
      <c r="A6587" t="s">
        <v>7902</v>
      </c>
      <c r="C6587" t="s">
        <v>7903</v>
      </c>
      <c r="D6587" t="s">
        <v>7904</v>
      </c>
      <c r="E6587" t="s">
        <v>6</v>
      </c>
      <c r="F6587" t="s">
        <v>28</v>
      </c>
      <c r="G6587">
        <v>1</v>
      </c>
      <c r="H6587" s="2">
        <f>Tabelle13[[#This Row],[commits]]/Tabelle13[[#Totals],[commits]]</f>
        <v>4.6477904404246225E-6</v>
      </c>
      <c r="I6587" s="5">
        <f>Tabelle13[[#This Row],[%]]+I6586</f>
        <v>0.98856643551648571</v>
      </c>
      <c r="J6587" s="4">
        <f t="shared" si="237"/>
        <v>1.105583195135434E-4</v>
      </c>
      <c r="K6587" s="5">
        <f t="shared" si="238"/>
        <v>0.72802653399676709</v>
      </c>
    </row>
    <row r="6588" spans="1:11" x14ac:dyDescent="0.25">
      <c r="A6588" t="s">
        <v>7905</v>
      </c>
      <c r="C6588" t="s">
        <v>7906</v>
      </c>
      <c r="D6588" t="s">
        <v>5</v>
      </c>
      <c r="E6588" t="s">
        <v>6</v>
      </c>
      <c r="F6588" t="s">
        <v>28</v>
      </c>
      <c r="G6588">
        <v>1</v>
      </c>
      <c r="H6588" s="2">
        <f>Tabelle13[[#This Row],[commits]]/Tabelle13[[#Totals],[commits]]</f>
        <v>4.6477904404246225E-6</v>
      </c>
      <c r="I6588" s="5">
        <f>Tabelle13[[#This Row],[%]]+I6587</f>
        <v>0.98857108330692611</v>
      </c>
      <c r="J6588" s="4">
        <f t="shared" si="237"/>
        <v>1.105583195135434E-4</v>
      </c>
      <c r="K6588" s="5">
        <f t="shared" si="238"/>
        <v>0.72813709231628065</v>
      </c>
    </row>
    <row r="6589" spans="1:11" x14ac:dyDescent="0.25">
      <c r="A6589" t="s">
        <v>7907</v>
      </c>
      <c r="C6589" t="s">
        <v>7908</v>
      </c>
      <c r="D6589" t="s">
        <v>5</v>
      </c>
      <c r="E6589" t="s">
        <v>6</v>
      </c>
      <c r="F6589" t="s">
        <v>28</v>
      </c>
      <c r="G6589">
        <v>1</v>
      </c>
      <c r="H6589" s="2">
        <f>Tabelle13[[#This Row],[commits]]/Tabelle13[[#Totals],[commits]]</f>
        <v>4.6477904404246225E-6</v>
      </c>
      <c r="I6589" s="5">
        <f>Tabelle13[[#This Row],[%]]+I6588</f>
        <v>0.98857573109736652</v>
      </c>
      <c r="J6589" s="4">
        <f t="shared" si="237"/>
        <v>1.105583195135434E-4</v>
      </c>
      <c r="K6589" s="5">
        <f t="shared" si="238"/>
        <v>0.72824765063579422</v>
      </c>
    </row>
    <row r="6590" spans="1:11" x14ac:dyDescent="0.25">
      <c r="A6590" t="s">
        <v>7909</v>
      </c>
      <c r="C6590" t="s">
        <v>7910</v>
      </c>
      <c r="D6590" t="s">
        <v>5</v>
      </c>
      <c r="E6590" t="s">
        <v>6</v>
      </c>
      <c r="F6590" t="s">
        <v>28</v>
      </c>
      <c r="G6590">
        <v>1</v>
      </c>
      <c r="H6590" s="2">
        <f>Tabelle13[[#This Row],[commits]]/Tabelle13[[#Totals],[commits]]</f>
        <v>4.6477904404246225E-6</v>
      </c>
      <c r="I6590" s="5">
        <f>Tabelle13[[#This Row],[%]]+I6589</f>
        <v>0.98858037888780692</v>
      </c>
      <c r="J6590" s="4">
        <f t="shared" si="237"/>
        <v>1.105583195135434E-4</v>
      </c>
      <c r="K6590" s="5">
        <f t="shared" si="238"/>
        <v>0.72835820895530778</v>
      </c>
    </row>
    <row r="6591" spans="1:11" x14ac:dyDescent="0.25">
      <c r="A6591" t="s">
        <v>7911</v>
      </c>
      <c r="C6591" t="s">
        <v>7912</v>
      </c>
      <c r="D6591" t="s">
        <v>5</v>
      </c>
      <c r="E6591" t="s">
        <v>6</v>
      </c>
      <c r="F6591" t="s">
        <v>28</v>
      </c>
      <c r="G6591">
        <v>1</v>
      </c>
      <c r="H6591" s="2">
        <f>Tabelle13[[#This Row],[commits]]/Tabelle13[[#Totals],[commits]]</f>
        <v>4.6477904404246225E-6</v>
      </c>
      <c r="I6591" s="5">
        <f>Tabelle13[[#This Row],[%]]+I6590</f>
        <v>0.98858502667824733</v>
      </c>
      <c r="J6591" s="4">
        <f t="shared" si="237"/>
        <v>1.105583195135434E-4</v>
      </c>
      <c r="K6591" s="5">
        <f t="shared" si="238"/>
        <v>0.72846876727482135</v>
      </c>
    </row>
    <row r="6592" spans="1:11" x14ac:dyDescent="0.25">
      <c r="A6592" t="s">
        <v>7913</v>
      </c>
      <c r="C6592" t="s">
        <v>7914</v>
      </c>
      <c r="D6592" t="s">
        <v>5</v>
      </c>
      <c r="E6592" t="s">
        <v>6</v>
      </c>
      <c r="F6592" t="s">
        <v>28</v>
      </c>
      <c r="G6592">
        <v>1</v>
      </c>
      <c r="H6592" s="2">
        <f>Tabelle13[[#This Row],[commits]]/Tabelle13[[#Totals],[commits]]</f>
        <v>4.6477904404246225E-6</v>
      </c>
      <c r="I6592" s="5">
        <f>Tabelle13[[#This Row],[%]]+I6591</f>
        <v>0.98858967446868773</v>
      </c>
      <c r="J6592" s="4">
        <f t="shared" si="237"/>
        <v>1.105583195135434E-4</v>
      </c>
      <c r="K6592" s="5">
        <f t="shared" si="238"/>
        <v>0.72857932559433491</v>
      </c>
    </row>
    <row r="6593" spans="1:11" x14ac:dyDescent="0.25">
      <c r="A6593" t="s">
        <v>7915</v>
      </c>
      <c r="C6593" t="s">
        <v>7916</v>
      </c>
      <c r="D6593" t="s">
        <v>5</v>
      </c>
      <c r="E6593" t="s">
        <v>6</v>
      </c>
      <c r="F6593" t="s">
        <v>28</v>
      </c>
      <c r="G6593">
        <v>1</v>
      </c>
      <c r="H6593" s="2">
        <f>Tabelle13[[#This Row],[commits]]/Tabelle13[[#Totals],[commits]]</f>
        <v>4.6477904404246225E-6</v>
      </c>
      <c r="I6593" s="5">
        <f>Tabelle13[[#This Row],[%]]+I6592</f>
        <v>0.98859432225912813</v>
      </c>
      <c r="J6593" s="4">
        <f t="shared" si="237"/>
        <v>1.105583195135434E-4</v>
      </c>
      <c r="K6593" s="5">
        <f t="shared" si="238"/>
        <v>0.72868988391384848</v>
      </c>
    </row>
    <row r="6594" spans="1:11" x14ac:dyDescent="0.25">
      <c r="A6594" t="s">
        <v>7917</v>
      </c>
      <c r="C6594" t="s">
        <v>7918</v>
      </c>
      <c r="D6594" t="s">
        <v>5</v>
      </c>
      <c r="E6594" t="s">
        <v>6</v>
      </c>
      <c r="F6594" t="s">
        <v>28</v>
      </c>
      <c r="G6594">
        <v>1</v>
      </c>
      <c r="H6594" s="2">
        <f>Tabelle13[[#This Row],[commits]]/Tabelle13[[#Totals],[commits]]</f>
        <v>4.6477904404246225E-6</v>
      </c>
      <c r="I6594" s="5">
        <f>Tabelle13[[#This Row],[%]]+I6593</f>
        <v>0.98859897004956854</v>
      </c>
      <c r="J6594" s="4">
        <f t="shared" si="237"/>
        <v>1.105583195135434E-4</v>
      </c>
      <c r="K6594" s="5">
        <f t="shared" si="238"/>
        <v>0.72880044223336204</v>
      </c>
    </row>
    <row r="6595" spans="1:11" x14ac:dyDescent="0.25">
      <c r="A6595" t="s">
        <v>7919</v>
      </c>
      <c r="C6595" t="s">
        <v>5053</v>
      </c>
      <c r="D6595" t="s">
        <v>5</v>
      </c>
      <c r="E6595" t="s">
        <v>6</v>
      </c>
      <c r="F6595" t="s">
        <v>28</v>
      </c>
      <c r="G6595">
        <v>1</v>
      </c>
      <c r="H6595" s="2">
        <f>Tabelle13[[#This Row],[commits]]/Tabelle13[[#Totals],[commits]]</f>
        <v>4.6477904404246225E-6</v>
      </c>
      <c r="I6595" s="5">
        <f>Tabelle13[[#This Row],[%]]+I6594</f>
        <v>0.98860361784000894</v>
      </c>
      <c r="J6595" s="4">
        <f t="shared" ref="J6595:J6658" si="239">1/9045</f>
        <v>1.105583195135434E-4</v>
      </c>
      <c r="K6595" s="5">
        <f t="shared" si="238"/>
        <v>0.72891100055287561</v>
      </c>
    </row>
    <row r="6596" spans="1:11" x14ac:dyDescent="0.25">
      <c r="A6596" t="s">
        <v>7920</v>
      </c>
      <c r="C6596" t="s">
        <v>5053</v>
      </c>
      <c r="D6596" t="s">
        <v>5</v>
      </c>
      <c r="E6596" t="s">
        <v>6</v>
      </c>
      <c r="F6596" t="s">
        <v>28</v>
      </c>
      <c r="G6596">
        <v>1</v>
      </c>
      <c r="H6596" s="2">
        <f>Tabelle13[[#This Row],[commits]]/Tabelle13[[#Totals],[commits]]</f>
        <v>4.6477904404246225E-6</v>
      </c>
      <c r="I6596" s="5">
        <f>Tabelle13[[#This Row],[%]]+I6595</f>
        <v>0.98860826563044935</v>
      </c>
      <c r="J6596" s="4">
        <f t="shared" si="239"/>
        <v>1.105583195135434E-4</v>
      </c>
      <c r="K6596" s="5">
        <f t="shared" si="238"/>
        <v>0.72902155887238917</v>
      </c>
    </row>
    <row r="6597" spans="1:11" x14ac:dyDescent="0.25">
      <c r="A6597" t="s">
        <v>7921</v>
      </c>
      <c r="C6597" t="s">
        <v>7922</v>
      </c>
      <c r="D6597" t="s">
        <v>5</v>
      </c>
      <c r="E6597" t="s">
        <v>6</v>
      </c>
      <c r="F6597" t="s">
        <v>28</v>
      </c>
      <c r="G6597">
        <v>1</v>
      </c>
      <c r="H6597" s="2">
        <f>Tabelle13[[#This Row],[commits]]/Tabelle13[[#Totals],[commits]]</f>
        <v>4.6477904404246225E-6</v>
      </c>
      <c r="I6597" s="5">
        <f>Tabelle13[[#This Row],[%]]+I6596</f>
        <v>0.98861291342088975</v>
      </c>
      <c r="J6597" s="4">
        <f t="shared" si="239"/>
        <v>1.105583195135434E-4</v>
      </c>
      <c r="K6597" s="5">
        <f t="shared" si="238"/>
        <v>0.72913211719190274</v>
      </c>
    </row>
    <row r="6598" spans="1:11" x14ac:dyDescent="0.25">
      <c r="A6598" t="s">
        <v>7923</v>
      </c>
      <c r="C6598" t="s">
        <v>7924</v>
      </c>
      <c r="D6598" t="s">
        <v>5</v>
      </c>
      <c r="E6598" t="s">
        <v>6</v>
      </c>
      <c r="F6598" t="s">
        <v>28</v>
      </c>
      <c r="G6598">
        <v>1</v>
      </c>
      <c r="H6598" s="2">
        <f>Tabelle13[[#This Row],[commits]]/Tabelle13[[#Totals],[commits]]</f>
        <v>4.6477904404246225E-6</v>
      </c>
      <c r="I6598" s="5">
        <f>Tabelle13[[#This Row],[%]]+I6597</f>
        <v>0.98861756121133015</v>
      </c>
      <c r="J6598" s="4">
        <f t="shared" si="239"/>
        <v>1.105583195135434E-4</v>
      </c>
      <c r="K6598" s="5">
        <f t="shared" ref="K6598:K6661" si="240">J6598+K6597</f>
        <v>0.72924267551141631</v>
      </c>
    </row>
    <row r="6599" spans="1:11" x14ac:dyDescent="0.25">
      <c r="A6599" t="s">
        <v>7925</v>
      </c>
      <c r="C6599" t="s">
        <v>7926</v>
      </c>
      <c r="D6599" t="s">
        <v>5</v>
      </c>
      <c r="E6599" t="s">
        <v>6</v>
      </c>
      <c r="F6599" t="s">
        <v>28</v>
      </c>
      <c r="G6599">
        <v>1</v>
      </c>
      <c r="H6599" s="2">
        <f>Tabelle13[[#This Row],[commits]]/Tabelle13[[#Totals],[commits]]</f>
        <v>4.6477904404246225E-6</v>
      </c>
      <c r="I6599" s="5">
        <f>Tabelle13[[#This Row],[%]]+I6598</f>
        <v>0.98862220900177056</v>
      </c>
      <c r="J6599" s="4">
        <f t="shared" si="239"/>
        <v>1.105583195135434E-4</v>
      </c>
      <c r="K6599" s="5">
        <f t="shared" si="240"/>
        <v>0.72935323383092987</v>
      </c>
    </row>
    <row r="6600" spans="1:11" x14ac:dyDescent="0.25">
      <c r="A6600" t="s">
        <v>7927</v>
      </c>
      <c r="C6600" t="s">
        <v>7928</v>
      </c>
      <c r="D6600" t="s">
        <v>5</v>
      </c>
      <c r="E6600" t="s">
        <v>6</v>
      </c>
      <c r="F6600" t="s">
        <v>28</v>
      </c>
      <c r="G6600">
        <v>1</v>
      </c>
      <c r="H6600" s="2">
        <f>Tabelle13[[#This Row],[commits]]/Tabelle13[[#Totals],[commits]]</f>
        <v>4.6477904404246225E-6</v>
      </c>
      <c r="I6600" s="5">
        <f>Tabelle13[[#This Row],[%]]+I6599</f>
        <v>0.98862685679221096</v>
      </c>
      <c r="J6600" s="4">
        <f t="shared" si="239"/>
        <v>1.105583195135434E-4</v>
      </c>
      <c r="K6600" s="5">
        <f t="shared" si="240"/>
        <v>0.72946379215044344</v>
      </c>
    </row>
    <row r="6601" spans="1:11" x14ac:dyDescent="0.25">
      <c r="A6601" t="s">
        <v>7929</v>
      </c>
      <c r="C6601" t="s">
        <v>7930</v>
      </c>
      <c r="D6601" t="s">
        <v>5</v>
      </c>
      <c r="E6601" t="s">
        <v>6</v>
      </c>
      <c r="F6601" t="s">
        <v>28</v>
      </c>
      <c r="G6601">
        <v>1</v>
      </c>
      <c r="H6601" s="2">
        <f>Tabelle13[[#This Row],[commits]]/Tabelle13[[#Totals],[commits]]</f>
        <v>4.6477904404246225E-6</v>
      </c>
      <c r="I6601" s="5">
        <f>Tabelle13[[#This Row],[%]]+I6600</f>
        <v>0.98863150458265137</v>
      </c>
      <c r="J6601" s="4">
        <f t="shared" si="239"/>
        <v>1.105583195135434E-4</v>
      </c>
      <c r="K6601" s="5">
        <f t="shared" si="240"/>
        <v>0.729574350469957</v>
      </c>
    </row>
    <row r="6602" spans="1:11" x14ac:dyDescent="0.25">
      <c r="A6602" t="s">
        <v>7931</v>
      </c>
      <c r="C6602" t="s">
        <v>7932</v>
      </c>
      <c r="D6602" t="s">
        <v>5</v>
      </c>
      <c r="E6602" t="s">
        <v>6</v>
      </c>
      <c r="F6602" t="s">
        <v>28</v>
      </c>
      <c r="G6602">
        <v>1</v>
      </c>
      <c r="H6602" s="2">
        <f>Tabelle13[[#This Row],[commits]]/Tabelle13[[#Totals],[commits]]</f>
        <v>4.6477904404246225E-6</v>
      </c>
      <c r="I6602" s="5">
        <f>Tabelle13[[#This Row],[%]]+I6601</f>
        <v>0.98863615237309177</v>
      </c>
      <c r="J6602" s="4">
        <f t="shared" si="239"/>
        <v>1.105583195135434E-4</v>
      </c>
      <c r="K6602" s="5">
        <f t="shared" si="240"/>
        <v>0.72968490878947057</v>
      </c>
    </row>
    <row r="6603" spans="1:11" x14ac:dyDescent="0.25">
      <c r="A6603" t="s">
        <v>7933</v>
      </c>
      <c r="C6603" t="s">
        <v>7934</v>
      </c>
      <c r="D6603" t="s">
        <v>5</v>
      </c>
      <c r="E6603" t="s">
        <v>6</v>
      </c>
      <c r="F6603" t="s">
        <v>28</v>
      </c>
      <c r="G6603">
        <v>1</v>
      </c>
      <c r="H6603" s="2">
        <f>Tabelle13[[#This Row],[commits]]/Tabelle13[[#Totals],[commits]]</f>
        <v>4.6477904404246225E-6</v>
      </c>
      <c r="I6603" s="5">
        <f>Tabelle13[[#This Row],[%]]+I6602</f>
        <v>0.98864080016353217</v>
      </c>
      <c r="J6603" s="4">
        <f t="shared" si="239"/>
        <v>1.105583195135434E-4</v>
      </c>
      <c r="K6603" s="5">
        <f t="shared" si="240"/>
        <v>0.72979546710898413</v>
      </c>
    </row>
    <row r="6604" spans="1:11" x14ac:dyDescent="0.25">
      <c r="A6604" t="s">
        <v>7935</v>
      </c>
      <c r="C6604" t="s">
        <v>7936</v>
      </c>
      <c r="D6604" t="s">
        <v>5</v>
      </c>
      <c r="E6604" t="s">
        <v>6</v>
      </c>
      <c r="F6604" t="s">
        <v>28</v>
      </c>
      <c r="G6604">
        <v>1</v>
      </c>
      <c r="H6604" s="2">
        <f>Tabelle13[[#This Row],[commits]]/Tabelle13[[#Totals],[commits]]</f>
        <v>4.6477904404246225E-6</v>
      </c>
      <c r="I6604" s="5">
        <f>Tabelle13[[#This Row],[%]]+I6603</f>
        <v>0.98864544795397258</v>
      </c>
      <c r="J6604" s="4">
        <f t="shared" si="239"/>
        <v>1.105583195135434E-4</v>
      </c>
      <c r="K6604" s="5">
        <f t="shared" si="240"/>
        <v>0.7299060254284977</v>
      </c>
    </row>
    <row r="6605" spans="1:11" x14ac:dyDescent="0.25">
      <c r="A6605" t="s">
        <v>7937</v>
      </c>
      <c r="C6605" t="s">
        <v>7938</v>
      </c>
      <c r="D6605" t="s">
        <v>5</v>
      </c>
      <c r="E6605" t="s">
        <v>6</v>
      </c>
      <c r="F6605" t="s">
        <v>28</v>
      </c>
      <c r="G6605">
        <v>1</v>
      </c>
      <c r="H6605" s="2">
        <f>Tabelle13[[#This Row],[commits]]/Tabelle13[[#Totals],[commits]]</f>
        <v>4.6477904404246225E-6</v>
      </c>
      <c r="I6605" s="5">
        <f>Tabelle13[[#This Row],[%]]+I6604</f>
        <v>0.98865009574441298</v>
      </c>
      <c r="J6605" s="4">
        <f t="shared" si="239"/>
        <v>1.105583195135434E-4</v>
      </c>
      <c r="K6605" s="5">
        <f t="shared" si="240"/>
        <v>0.73001658374801126</v>
      </c>
    </row>
    <row r="6606" spans="1:11" x14ac:dyDescent="0.25">
      <c r="A6606" t="s">
        <v>7939</v>
      </c>
      <c r="C6606" t="s">
        <v>7940</v>
      </c>
      <c r="D6606" t="s">
        <v>5</v>
      </c>
      <c r="E6606" t="s">
        <v>6</v>
      </c>
      <c r="F6606" t="s">
        <v>28</v>
      </c>
      <c r="G6606">
        <v>1</v>
      </c>
      <c r="H6606" s="2">
        <f>Tabelle13[[#This Row],[commits]]/Tabelle13[[#Totals],[commits]]</f>
        <v>4.6477904404246225E-6</v>
      </c>
      <c r="I6606" s="5">
        <f>Tabelle13[[#This Row],[%]]+I6605</f>
        <v>0.98865474353485339</v>
      </c>
      <c r="J6606" s="4">
        <f t="shared" si="239"/>
        <v>1.105583195135434E-4</v>
      </c>
      <c r="K6606" s="5">
        <f t="shared" si="240"/>
        <v>0.73012714206752483</v>
      </c>
    </row>
    <row r="6607" spans="1:11" x14ac:dyDescent="0.25">
      <c r="A6607" t="s">
        <v>7941</v>
      </c>
      <c r="C6607" t="s">
        <v>7942</v>
      </c>
      <c r="D6607" t="s">
        <v>5</v>
      </c>
      <c r="E6607" t="s">
        <v>6</v>
      </c>
      <c r="F6607" t="s">
        <v>28</v>
      </c>
      <c r="G6607">
        <v>1</v>
      </c>
      <c r="H6607" s="2">
        <f>Tabelle13[[#This Row],[commits]]/Tabelle13[[#Totals],[commits]]</f>
        <v>4.6477904404246225E-6</v>
      </c>
      <c r="I6607" s="5">
        <f>Tabelle13[[#This Row],[%]]+I6606</f>
        <v>0.98865939132529379</v>
      </c>
      <c r="J6607" s="4">
        <f t="shared" si="239"/>
        <v>1.105583195135434E-4</v>
      </c>
      <c r="K6607" s="5">
        <f t="shared" si="240"/>
        <v>0.73023770038703839</v>
      </c>
    </row>
    <row r="6608" spans="1:11" x14ac:dyDescent="0.25">
      <c r="A6608" t="s">
        <v>7943</v>
      </c>
      <c r="C6608" t="s">
        <v>7944</v>
      </c>
      <c r="D6608" t="s">
        <v>5</v>
      </c>
      <c r="E6608" t="s">
        <v>6</v>
      </c>
      <c r="F6608" t="s">
        <v>28</v>
      </c>
      <c r="G6608">
        <v>1</v>
      </c>
      <c r="H6608" s="2">
        <f>Tabelle13[[#This Row],[commits]]/Tabelle13[[#Totals],[commits]]</f>
        <v>4.6477904404246225E-6</v>
      </c>
      <c r="I6608" s="5">
        <f>Tabelle13[[#This Row],[%]]+I6607</f>
        <v>0.98866403911573419</v>
      </c>
      <c r="J6608" s="4">
        <f t="shared" si="239"/>
        <v>1.105583195135434E-4</v>
      </c>
      <c r="K6608" s="5">
        <f t="shared" si="240"/>
        <v>0.73034825870655196</v>
      </c>
    </row>
    <row r="6609" spans="1:11" x14ac:dyDescent="0.25">
      <c r="A6609" t="s">
        <v>7945</v>
      </c>
      <c r="C6609" t="s">
        <v>7946</v>
      </c>
      <c r="D6609" t="s">
        <v>5</v>
      </c>
      <c r="E6609" t="s">
        <v>6</v>
      </c>
      <c r="F6609" t="s">
        <v>28</v>
      </c>
      <c r="G6609">
        <v>1</v>
      </c>
      <c r="H6609" s="2">
        <f>Tabelle13[[#This Row],[commits]]/Tabelle13[[#Totals],[commits]]</f>
        <v>4.6477904404246225E-6</v>
      </c>
      <c r="I6609" s="5">
        <f>Tabelle13[[#This Row],[%]]+I6608</f>
        <v>0.9886686869061746</v>
      </c>
      <c r="J6609" s="4">
        <f t="shared" si="239"/>
        <v>1.105583195135434E-4</v>
      </c>
      <c r="K6609" s="5">
        <f t="shared" si="240"/>
        <v>0.73045881702606552</v>
      </c>
    </row>
    <row r="6610" spans="1:11" x14ac:dyDescent="0.25">
      <c r="A6610" t="s">
        <v>7947</v>
      </c>
      <c r="C6610" t="s">
        <v>7948</v>
      </c>
      <c r="D6610" t="s">
        <v>5</v>
      </c>
      <c r="E6610" t="s">
        <v>6</v>
      </c>
      <c r="F6610" t="s">
        <v>28</v>
      </c>
      <c r="G6610">
        <v>1</v>
      </c>
      <c r="H6610" s="2">
        <f>Tabelle13[[#This Row],[commits]]/Tabelle13[[#Totals],[commits]]</f>
        <v>4.6477904404246225E-6</v>
      </c>
      <c r="I6610" s="5">
        <f>Tabelle13[[#This Row],[%]]+I6609</f>
        <v>0.988673334696615</v>
      </c>
      <c r="J6610" s="4">
        <f t="shared" si="239"/>
        <v>1.105583195135434E-4</v>
      </c>
      <c r="K6610" s="5">
        <f t="shared" si="240"/>
        <v>0.73056937534557909</v>
      </c>
    </row>
    <row r="6611" spans="1:11" x14ac:dyDescent="0.25">
      <c r="A6611" t="s">
        <v>7949</v>
      </c>
      <c r="C6611" t="s">
        <v>7950</v>
      </c>
      <c r="D6611" t="s">
        <v>5</v>
      </c>
      <c r="E6611" t="s">
        <v>6</v>
      </c>
      <c r="F6611" t="s">
        <v>28</v>
      </c>
      <c r="G6611">
        <v>1</v>
      </c>
      <c r="H6611" s="2">
        <f>Tabelle13[[#This Row],[commits]]/Tabelle13[[#Totals],[commits]]</f>
        <v>4.6477904404246225E-6</v>
      </c>
      <c r="I6611" s="5">
        <f>Tabelle13[[#This Row],[%]]+I6610</f>
        <v>0.98867798248705541</v>
      </c>
      <c r="J6611" s="4">
        <f t="shared" si="239"/>
        <v>1.105583195135434E-4</v>
      </c>
      <c r="K6611" s="5">
        <f t="shared" si="240"/>
        <v>0.73067993366509265</v>
      </c>
    </row>
    <row r="6612" spans="1:11" x14ac:dyDescent="0.25">
      <c r="A6612" t="s">
        <v>7951</v>
      </c>
      <c r="C6612" t="s">
        <v>7952</v>
      </c>
      <c r="D6612" t="s">
        <v>5</v>
      </c>
      <c r="E6612" t="s">
        <v>6</v>
      </c>
      <c r="F6612" t="s">
        <v>28</v>
      </c>
      <c r="G6612">
        <v>1</v>
      </c>
      <c r="H6612" s="2">
        <f>Tabelle13[[#This Row],[commits]]/Tabelle13[[#Totals],[commits]]</f>
        <v>4.6477904404246225E-6</v>
      </c>
      <c r="I6612" s="5">
        <f>Tabelle13[[#This Row],[%]]+I6611</f>
        <v>0.98868263027749581</v>
      </c>
      <c r="J6612" s="4">
        <f t="shared" si="239"/>
        <v>1.105583195135434E-4</v>
      </c>
      <c r="K6612" s="5">
        <f t="shared" si="240"/>
        <v>0.73079049198460622</v>
      </c>
    </row>
    <row r="6613" spans="1:11" x14ac:dyDescent="0.25">
      <c r="A6613" t="s">
        <v>7953</v>
      </c>
      <c r="C6613" t="s">
        <v>7954</v>
      </c>
      <c r="D6613" t="s">
        <v>5</v>
      </c>
      <c r="E6613" t="s">
        <v>6</v>
      </c>
      <c r="F6613" t="s">
        <v>28</v>
      </c>
      <c r="G6613">
        <v>1</v>
      </c>
      <c r="H6613" s="2">
        <f>Tabelle13[[#This Row],[commits]]/Tabelle13[[#Totals],[commits]]</f>
        <v>4.6477904404246225E-6</v>
      </c>
      <c r="I6613" s="5">
        <f>Tabelle13[[#This Row],[%]]+I6612</f>
        <v>0.98868727806793621</v>
      </c>
      <c r="J6613" s="4">
        <f t="shared" si="239"/>
        <v>1.105583195135434E-4</v>
      </c>
      <c r="K6613" s="5">
        <f t="shared" si="240"/>
        <v>0.73090105030411978</v>
      </c>
    </row>
    <row r="6614" spans="1:11" x14ac:dyDescent="0.25">
      <c r="A6614" t="s">
        <v>7955</v>
      </c>
      <c r="C6614" t="s">
        <v>7956</v>
      </c>
      <c r="D6614" t="s">
        <v>5</v>
      </c>
      <c r="E6614" t="s">
        <v>6</v>
      </c>
      <c r="F6614" t="s">
        <v>28</v>
      </c>
      <c r="G6614">
        <v>1</v>
      </c>
      <c r="H6614" s="2">
        <f>Tabelle13[[#This Row],[commits]]/Tabelle13[[#Totals],[commits]]</f>
        <v>4.6477904404246225E-6</v>
      </c>
      <c r="I6614" s="5">
        <f>Tabelle13[[#This Row],[%]]+I6613</f>
        <v>0.98869192585837662</v>
      </c>
      <c r="J6614" s="4">
        <f t="shared" si="239"/>
        <v>1.105583195135434E-4</v>
      </c>
      <c r="K6614" s="5">
        <f t="shared" si="240"/>
        <v>0.73101160862363335</v>
      </c>
    </row>
    <row r="6615" spans="1:11" x14ac:dyDescent="0.25">
      <c r="A6615" t="s">
        <v>7957</v>
      </c>
      <c r="C6615" t="s">
        <v>7958</v>
      </c>
      <c r="D6615" t="s">
        <v>5</v>
      </c>
      <c r="E6615" t="s">
        <v>6</v>
      </c>
      <c r="F6615" t="s">
        <v>28</v>
      </c>
      <c r="G6615">
        <v>1</v>
      </c>
      <c r="H6615" s="2">
        <f>Tabelle13[[#This Row],[commits]]/Tabelle13[[#Totals],[commits]]</f>
        <v>4.6477904404246225E-6</v>
      </c>
      <c r="I6615" s="5">
        <f>Tabelle13[[#This Row],[%]]+I6614</f>
        <v>0.98869657364881702</v>
      </c>
      <c r="J6615" s="4">
        <f t="shared" si="239"/>
        <v>1.105583195135434E-4</v>
      </c>
      <c r="K6615" s="5">
        <f t="shared" si="240"/>
        <v>0.73112216694314691</v>
      </c>
    </row>
    <row r="6616" spans="1:11" x14ac:dyDescent="0.25">
      <c r="A6616" t="s">
        <v>7959</v>
      </c>
      <c r="C6616" t="s">
        <v>7960</v>
      </c>
      <c r="D6616" t="s">
        <v>5</v>
      </c>
      <c r="E6616" t="s">
        <v>6</v>
      </c>
      <c r="F6616" t="s">
        <v>28</v>
      </c>
      <c r="G6616">
        <v>1</v>
      </c>
      <c r="H6616" s="2">
        <f>Tabelle13[[#This Row],[commits]]/Tabelle13[[#Totals],[commits]]</f>
        <v>4.6477904404246225E-6</v>
      </c>
      <c r="I6616" s="5">
        <f>Tabelle13[[#This Row],[%]]+I6615</f>
        <v>0.98870122143925743</v>
      </c>
      <c r="J6616" s="4">
        <f t="shared" si="239"/>
        <v>1.105583195135434E-4</v>
      </c>
      <c r="K6616" s="5">
        <f t="shared" si="240"/>
        <v>0.73123272526266048</v>
      </c>
    </row>
    <row r="6617" spans="1:11" x14ac:dyDescent="0.25">
      <c r="A6617" t="s">
        <v>7961</v>
      </c>
      <c r="C6617" t="s">
        <v>7962</v>
      </c>
      <c r="D6617" t="s">
        <v>5</v>
      </c>
      <c r="E6617" t="s">
        <v>6</v>
      </c>
      <c r="F6617" t="s">
        <v>28</v>
      </c>
      <c r="G6617">
        <v>1</v>
      </c>
      <c r="H6617" s="2">
        <f>Tabelle13[[#This Row],[commits]]/Tabelle13[[#Totals],[commits]]</f>
        <v>4.6477904404246225E-6</v>
      </c>
      <c r="I6617" s="5">
        <f>Tabelle13[[#This Row],[%]]+I6616</f>
        <v>0.98870586922969783</v>
      </c>
      <c r="J6617" s="4">
        <f t="shared" si="239"/>
        <v>1.105583195135434E-4</v>
      </c>
      <c r="K6617" s="5">
        <f t="shared" si="240"/>
        <v>0.73134328358217404</v>
      </c>
    </row>
    <row r="6618" spans="1:11" x14ac:dyDescent="0.25">
      <c r="A6618" t="s">
        <v>7963</v>
      </c>
      <c r="C6618" t="s">
        <v>7964</v>
      </c>
      <c r="D6618" t="s">
        <v>5</v>
      </c>
      <c r="E6618" t="s">
        <v>6</v>
      </c>
      <c r="F6618" t="s">
        <v>28</v>
      </c>
      <c r="G6618">
        <v>1</v>
      </c>
      <c r="H6618" s="2">
        <f>Tabelle13[[#This Row],[commits]]/Tabelle13[[#Totals],[commits]]</f>
        <v>4.6477904404246225E-6</v>
      </c>
      <c r="I6618" s="5">
        <f>Tabelle13[[#This Row],[%]]+I6617</f>
        <v>0.98871051702013824</v>
      </c>
      <c r="J6618" s="4">
        <f t="shared" si="239"/>
        <v>1.105583195135434E-4</v>
      </c>
      <c r="K6618" s="5">
        <f t="shared" si="240"/>
        <v>0.73145384190168761</v>
      </c>
    </row>
    <row r="6619" spans="1:11" x14ac:dyDescent="0.25">
      <c r="A6619" t="s">
        <v>7965</v>
      </c>
      <c r="C6619" t="s">
        <v>7966</v>
      </c>
      <c r="D6619" t="s">
        <v>5</v>
      </c>
      <c r="E6619" t="s">
        <v>6</v>
      </c>
      <c r="F6619" t="s">
        <v>28</v>
      </c>
      <c r="G6619">
        <v>1</v>
      </c>
      <c r="H6619" s="2">
        <f>Tabelle13[[#This Row],[commits]]/Tabelle13[[#Totals],[commits]]</f>
        <v>4.6477904404246225E-6</v>
      </c>
      <c r="I6619" s="5">
        <f>Tabelle13[[#This Row],[%]]+I6618</f>
        <v>0.98871516481057864</v>
      </c>
      <c r="J6619" s="4">
        <f t="shared" si="239"/>
        <v>1.105583195135434E-4</v>
      </c>
      <c r="K6619" s="5">
        <f t="shared" si="240"/>
        <v>0.73156440022120117</v>
      </c>
    </row>
    <row r="6620" spans="1:11" x14ac:dyDescent="0.25">
      <c r="A6620" t="s">
        <v>7967</v>
      </c>
      <c r="C6620" t="s">
        <v>7968</v>
      </c>
      <c r="D6620" t="s">
        <v>5</v>
      </c>
      <c r="E6620" t="s">
        <v>6</v>
      </c>
      <c r="F6620" t="s">
        <v>28</v>
      </c>
      <c r="G6620">
        <v>1</v>
      </c>
      <c r="H6620" s="2">
        <f>Tabelle13[[#This Row],[commits]]/Tabelle13[[#Totals],[commits]]</f>
        <v>4.6477904404246225E-6</v>
      </c>
      <c r="I6620" s="5">
        <f>Tabelle13[[#This Row],[%]]+I6619</f>
        <v>0.98871981260101904</v>
      </c>
      <c r="J6620" s="4">
        <f t="shared" si="239"/>
        <v>1.105583195135434E-4</v>
      </c>
      <c r="K6620" s="5">
        <f t="shared" si="240"/>
        <v>0.73167495854071474</v>
      </c>
    </row>
    <row r="6621" spans="1:11" x14ac:dyDescent="0.25">
      <c r="A6621" t="s">
        <v>7969</v>
      </c>
      <c r="C6621" t="s">
        <v>7970</v>
      </c>
      <c r="D6621" t="s">
        <v>5</v>
      </c>
      <c r="E6621" t="s">
        <v>6</v>
      </c>
      <c r="F6621" t="s">
        <v>28</v>
      </c>
      <c r="G6621">
        <v>1</v>
      </c>
      <c r="H6621" s="2">
        <f>Tabelle13[[#This Row],[commits]]/Tabelle13[[#Totals],[commits]]</f>
        <v>4.6477904404246225E-6</v>
      </c>
      <c r="I6621" s="5">
        <f>Tabelle13[[#This Row],[%]]+I6620</f>
        <v>0.98872446039145945</v>
      </c>
      <c r="J6621" s="4">
        <f t="shared" si="239"/>
        <v>1.105583195135434E-4</v>
      </c>
      <c r="K6621" s="5">
        <f t="shared" si="240"/>
        <v>0.7317855168602283</v>
      </c>
    </row>
    <row r="6622" spans="1:11" x14ac:dyDescent="0.25">
      <c r="A6622" t="s">
        <v>7971</v>
      </c>
      <c r="C6622" t="s">
        <v>7972</v>
      </c>
      <c r="D6622" t="s">
        <v>5</v>
      </c>
      <c r="E6622" t="s">
        <v>6</v>
      </c>
      <c r="F6622" t="s">
        <v>28</v>
      </c>
      <c r="G6622">
        <v>1</v>
      </c>
      <c r="H6622" s="2">
        <f>Tabelle13[[#This Row],[commits]]/Tabelle13[[#Totals],[commits]]</f>
        <v>4.6477904404246225E-6</v>
      </c>
      <c r="I6622" s="5">
        <f>Tabelle13[[#This Row],[%]]+I6621</f>
        <v>0.98872910818189985</v>
      </c>
      <c r="J6622" s="4">
        <f t="shared" si="239"/>
        <v>1.105583195135434E-4</v>
      </c>
      <c r="K6622" s="5">
        <f t="shared" si="240"/>
        <v>0.73189607517974187</v>
      </c>
    </row>
    <row r="6623" spans="1:11" x14ac:dyDescent="0.25">
      <c r="A6623" t="s">
        <v>7973</v>
      </c>
      <c r="C6623" t="s">
        <v>7974</v>
      </c>
      <c r="D6623" t="s">
        <v>5</v>
      </c>
      <c r="E6623" t="s">
        <v>6</v>
      </c>
      <c r="F6623" t="s">
        <v>28</v>
      </c>
      <c r="G6623">
        <v>1</v>
      </c>
      <c r="H6623" s="2">
        <f>Tabelle13[[#This Row],[commits]]/Tabelle13[[#Totals],[commits]]</f>
        <v>4.6477904404246225E-6</v>
      </c>
      <c r="I6623" s="5">
        <f>Tabelle13[[#This Row],[%]]+I6622</f>
        <v>0.98873375597234026</v>
      </c>
      <c r="J6623" s="4">
        <f t="shared" si="239"/>
        <v>1.105583195135434E-4</v>
      </c>
      <c r="K6623" s="5">
        <f t="shared" si="240"/>
        <v>0.73200663349925543</v>
      </c>
    </row>
    <row r="6624" spans="1:11" x14ac:dyDescent="0.25">
      <c r="A6624" t="s">
        <v>7975</v>
      </c>
      <c r="C6624" t="s">
        <v>7976</v>
      </c>
      <c r="D6624" t="s">
        <v>5</v>
      </c>
      <c r="E6624" t="s">
        <v>6</v>
      </c>
      <c r="F6624" t="s">
        <v>28</v>
      </c>
      <c r="G6624">
        <v>1</v>
      </c>
      <c r="H6624" s="2">
        <f>Tabelle13[[#This Row],[commits]]/Tabelle13[[#Totals],[commits]]</f>
        <v>4.6477904404246225E-6</v>
      </c>
      <c r="I6624" s="5">
        <f>Tabelle13[[#This Row],[%]]+I6623</f>
        <v>0.98873840376278066</v>
      </c>
      <c r="J6624" s="4">
        <f t="shared" si="239"/>
        <v>1.105583195135434E-4</v>
      </c>
      <c r="K6624" s="5">
        <f t="shared" si="240"/>
        <v>0.732117191818769</v>
      </c>
    </row>
    <row r="6625" spans="1:11" x14ac:dyDescent="0.25">
      <c r="A6625" t="s">
        <v>7977</v>
      </c>
      <c r="C6625" t="s">
        <v>7978</v>
      </c>
      <c r="D6625" t="s">
        <v>5</v>
      </c>
      <c r="E6625" t="s">
        <v>6</v>
      </c>
      <c r="F6625" t="s">
        <v>28</v>
      </c>
      <c r="G6625">
        <v>1</v>
      </c>
      <c r="H6625" s="2">
        <f>Tabelle13[[#This Row],[commits]]/Tabelle13[[#Totals],[commits]]</f>
        <v>4.6477904404246225E-6</v>
      </c>
      <c r="I6625" s="5">
        <f>Tabelle13[[#This Row],[%]]+I6624</f>
        <v>0.98874305155322106</v>
      </c>
      <c r="J6625" s="4">
        <f t="shared" si="239"/>
        <v>1.105583195135434E-4</v>
      </c>
      <c r="K6625" s="5">
        <f t="shared" si="240"/>
        <v>0.73222775013828256</v>
      </c>
    </row>
    <row r="6626" spans="1:11" x14ac:dyDescent="0.25">
      <c r="A6626" t="s">
        <v>7979</v>
      </c>
      <c r="C6626" t="s">
        <v>7980</v>
      </c>
      <c r="D6626" t="s">
        <v>5</v>
      </c>
      <c r="E6626" t="s">
        <v>6</v>
      </c>
      <c r="F6626" t="s">
        <v>28</v>
      </c>
      <c r="G6626">
        <v>1</v>
      </c>
      <c r="H6626" s="2">
        <f>Tabelle13[[#This Row],[commits]]/Tabelle13[[#Totals],[commits]]</f>
        <v>4.6477904404246225E-6</v>
      </c>
      <c r="I6626" s="5">
        <f>Tabelle13[[#This Row],[%]]+I6625</f>
        <v>0.98874769934366147</v>
      </c>
      <c r="J6626" s="4">
        <f t="shared" si="239"/>
        <v>1.105583195135434E-4</v>
      </c>
      <c r="K6626" s="5">
        <f t="shared" si="240"/>
        <v>0.73233830845779613</v>
      </c>
    </row>
    <row r="6627" spans="1:11" x14ac:dyDescent="0.25">
      <c r="A6627" t="s">
        <v>7981</v>
      </c>
      <c r="C6627" t="s">
        <v>7982</v>
      </c>
      <c r="D6627" t="s">
        <v>5</v>
      </c>
      <c r="E6627" t="s">
        <v>6</v>
      </c>
      <c r="F6627" t="s">
        <v>28</v>
      </c>
      <c r="G6627">
        <v>1</v>
      </c>
      <c r="H6627" s="2">
        <f>Tabelle13[[#This Row],[commits]]/Tabelle13[[#Totals],[commits]]</f>
        <v>4.6477904404246225E-6</v>
      </c>
      <c r="I6627" s="5">
        <f>Tabelle13[[#This Row],[%]]+I6626</f>
        <v>0.98875234713410187</v>
      </c>
      <c r="J6627" s="4">
        <f t="shared" si="239"/>
        <v>1.105583195135434E-4</v>
      </c>
      <c r="K6627" s="5">
        <f t="shared" si="240"/>
        <v>0.73244886677730969</v>
      </c>
    </row>
    <row r="6628" spans="1:11" x14ac:dyDescent="0.25">
      <c r="A6628" t="s">
        <v>7983</v>
      </c>
      <c r="C6628" t="s">
        <v>7984</v>
      </c>
      <c r="D6628" t="s">
        <v>5</v>
      </c>
      <c r="E6628" t="s">
        <v>6</v>
      </c>
      <c r="F6628" t="s">
        <v>28</v>
      </c>
      <c r="G6628">
        <v>1</v>
      </c>
      <c r="H6628" s="2">
        <f>Tabelle13[[#This Row],[commits]]/Tabelle13[[#Totals],[commits]]</f>
        <v>4.6477904404246225E-6</v>
      </c>
      <c r="I6628" s="5">
        <f>Tabelle13[[#This Row],[%]]+I6627</f>
        <v>0.98875699492454228</v>
      </c>
      <c r="J6628" s="4">
        <f t="shared" si="239"/>
        <v>1.105583195135434E-4</v>
      </c>
      <c r="K6628" s="5">
        <f t="shared" si="240"/>
        <v>0.73255942509682326</v>
      </c>
    </row>
    <row r="6629" spans="1:11" x14ac:dyDescent="0.25">
      <c r="A6629" t="s">
        <v>7985</v>
      </c>
      <c r="C6629" t="s">
        <v>7986</v>
      </c>
      <c r="D6629" t="s">
        <v>5</v>
      </c>
      <c r="E6629" t="s">
        <v>6</v>
      </c>
      <c r="F6629" t="s">
        <v>28</v>
      </c>
      <c r="G6629">
        <v>1</v>
      </c>
      <c r="H6629" s="2">
        <f>Tabelle13[[#This Row],[commits]]/Tabelle13[[#Totals],[commits]]</f>
        <v>4.6477904404246225E-6</v>
      </c>
      <c r="I6629" s="5">
        <f>Tabelle13[[#This Row],[%]]+I6628</f>
        <v>0.98876164271498268</v>
      </c>
      <c r="J6629" s="4">
        <f t="shared" si="239"/>
        <v>1.105583195135434E-4</v>
      </c>
      <c r="K6629" s="5">
        <f t="shared" si="240"/>
        <v>0.73266998341633682</v>
      </c>
    </row>
    <row r="6630" spans="1:11" x14ac:dyDescent="0.25">
      <c r="A6630" t="s">
        <v>7987</v>
      </c>
      <c r="C6630" t="s">
        <v>7988</v>
      </c>
      <c r="D6630" t="s">
        <v>5</v>
      </c>
      <c r="E6630" t="s">
        <v>6</v>
      </c>
      <c r="F6630" t="s">
        <v>28</v>
      </c>
      <c r="G6630">
        <v>1</v>
      </c>
      <c r="H6630" s="2">
        <f>Tabelle13[[#This Row],[commits]]/Tabelle13[[#Totals],[commits]]</f>
        <v>4.6477904404246225E-6</v>
      </c>
      <c r="I6630" s="5">
        <f>Tabelle13[[#This Row],[%]]+I6629</f>
        <v>0.98876629050542308</v>
      </c>
      <c r="J6630" s="4">
        <f t="shared" si="239"/>
        <v>1.105583195135434E-4</v>
      </c>
      <c r="K6630" s="5">
        <f t="shared" si="240"/>
        <v>0.73278054173585039</v>
      </c>
    </row>
    <row r="6631" spans="1:11" x14ac:dyDescent="0.25">
      <c r="A6631" t="s">
        <v>7989</v>
      </c>
      <c r="C6631" t="s">
        <v>7990</v>
      </c>
      <c r="D6631" t="s">
        <v>7991</v>
      </c>
      <c r="E6631" t="s">
        <v>6</v>
      </c>
      <c r="F6631" t="s">
        <v>28</v>
      </c>
      <c r="G6631">
        <v>1</v>
      </c>
      <c r="H6631" s="2">
        <f>Tabelle13[[#This Row],[commits]]/Tabelle13[[#Totals],[commits]]</f>
        <v>4.6477904404246225E-6</v>
      </c>
      <c r="I6631" s="5">
        <f>Tabelle13[[#This Row],[%]]+I6630</f>
        <v>0.98877093829586349</v>
      </c>
      <c r="J6631" s="4">
        <f t="shared" si="239"/>
        <v>1.105583195135434E-4</v>
      </c>
      <c r="K6631" s="5">
        <f t="shared" si="240"/>
        <v>0.73289110005536395</v>
      </c>
    </row>
    <row r="6632" spans="1:11" x14ac:dyDescent="0.25">
      <c r="A6632" t="s">
        <v>7992</v>
      </c>
      <c r="C6632" t="s">
        <v>7993</v>
      </c>
      <c r="D6632" t="s">
        <v>5</v>
      </c>
      <c r="E6632" t="s">
        <v>6</v>
      </c>
      <c r="F6632" t="s">
        <v>28</v>
      </c>
      <c r="G6632">
        <v>1</v>
      </c>
      <c r="H6632" s="2">
        <f>Tabelle13[[#This Row],[commits]]/Tabelle13[[#Totals],[commits]]</f>
        <v>4.6477904404246225E-6</v>
      </c>
      <c r="I6632" s="5">
        <f>Tabelle13[[#This Row],[%]]+I6631</f>
        <v>0.98877558608630389</v>
      </c>
      <c r="J6632" s="4">
        <f t="shared" si="239"/>
        <v>1.105583195135434E-4</v>
      </c>
      <c r="K6632" s="5">
        <f t="shared" si="240"/>
        <v>0.73300165837487752</v>
      </c>
    </row>
    <row r="6633" spans="1:11" x14ac:dyDescent="0.25">
      <c r="A6633" t="s">
        <v>7994</v>
      </c>
      <c r="C6633" t="s">
        <v>7995</v>
      </c>
      <c r="D6633" t="s">
        <v>5</v>
      </c>
      <c r="E6633" t="s">
        <v>6</v>
      </c>
      <c r="F6633" t="s">
        <v>28</v>
      </c>
      <c r="G6633">
        <v>1</v>
      </c>
      <c r="H6633" s="2">
        <f>Tabelle13[[#This Row],[commits]]/Tabelle13[[#Totals],[commits]]</f>
        <v>4.6477904404246225E-6</v>
      </c>
      <c r="I6633" s="5">
        <f>Tabelle13[[#This Row],[%]]+I6632</f>
        <v>0.9887802338767443</v>
      </c>
      <c r="J6633" s="4">
        <f t="shared" si="239"/>
        <v>1.105583195135434E-4</v>
      </c>
      <c r="K6633" s="5">
        <f t="shared" si="240"/>
        <v>0.73311221669439108</v>
      </c>
    </row>
    <row r="6634" spans="1:11" x14ac:dyDescent="0.25">
      <c r="A6634" t="s">
        <v>7996</v>
      </c>
      <c r="C6634" t="s">
        <v>7997</v>
      </c>
      <c r="D6634" t="s">
        <v>5</v>
      </c>
      <c r="E6634" t="s">
        <v>6</v>
      </c>
      <c r="F6634" t="s">
        <v>28</v>
      </c>
      <c r="G6634">
        <v>1</v>
      </c>
      <c r="H6634" s="2">
        <f>Tabelle13[[#This Row],[commits]]/Tabelle13[[#Totals],[commits]]</f>
        <v>4.6477904404246225E-6</v>
      </c>
      <c r="I6634" s="5">
        <f>Tabelle13[[#This Row],[%]]+I6633</f>
        <v>0.9887848816671847</v>
      </c>
      <c r="J6634" s="4">
        <f t="shared" si="239"/>
        <v>1.105583195135434E-4</v>
      </c>
      <c r="K6634" s="5">
        <f t="shared" si="240"/>
        <v>0.73322277501390465</v>
      </c>
    </row>
    <row r="6635" spans="1:11" x14ac:dyDescent="0.25">
      <c r="A6635" t="s">
        <v>7998</v>
      </c>
      <c r="C6635" t="s">
        <v>7999</v>
      </c>
      <c r="D6635" t="s">
        <v>5</v>
      </c>
      <c r="E6635" t="s">
        <v>6</v>
      </c>
      <c r="F6635" t="s">
        <v>28</v>
      </c>
      <c r="G6635">
        <v>1</v>
      </c>
      <c r="H6635" s="2">
        <f>Tabelle13[[#This Row],[commits]]/Tabelle13[[#Totals],[commits]]</f>
        <v>4.6477904404246225E-6</v>
      </c>
      <c r="I6635" s="5">
        <f>Tabelle13[[#This Row],[%]]+I6634</f>
        <v>0.9887895294576251</v>
      </c>
      <c r="J6635" s="4">
        <f t="shared" si="239"/>
        <v>1.105583195135434E-4</v>
      </c>
      <c r="K6635" s="5">
        <f t="shared" si="240"/>
        <v>0.73333333333341821</v>
      </c>
    </row>
    <row r="6636" spans="1:11" x14ac:dyDescent="0.25">
      <c r="A6636" t="s">
        <v>8000</v>
      </c>
      <c r="C6636" t="s">
        <v>8001</v>
      </c>
      <c r="D6636" t="s">
        <v>5</v>
      </c>
      <c r="E6636" t="s">
        <v>6</v>
      </c>
      <c r="F6636" t="s">
        <v>28</v>
      </c>
      <c r="G6636">
        <v>1</v>
      </c>
      <c r="H6636" s="2">
        <f>Tabelle13[[#This Row],[commits]]/Tabelle13[[#Totals],[commits]]</f>
        <v>4.6477904404246225E-6</v>
      </c>
      <c r="I6636" s="5">
        <f>Tabelle13[[#This Row],[%]]+I6635</f>
        <v>0.98879417724806551</v>
      </c>
      <c r="J6636" s="4">
        <f t="shared" si="239"/>
        <v>1.105583195135434E-4</v>
      </c>
      <c r="K6636" s="5">
        <f t="shared" si="240"/>
        <v>0.73344389165293178</v>
      </c>
    </row>
    <row r="6637" spans="1:11" x14ac:dyDescent="0.25">
      <c r="A6637" t="s">
        <v>8002</v>
      </c>
      <c r="C6637" t="s">
        <v>8003</v>
      </c>
      <c r="D6637" t="s">
        <v>5175</v>
      </c>
      <c r="E6637" t="s">
        <v>6</v>
      </c>
      <c r="F6637" t="s">
        <v>28</v>
      </c>
      <c r="G6637">
        <v>1</v>
      </c>
      <c r="H6637" s="2">
        <f>Tabelle13[[#This Row],[commits]]/Tabelle13[[#Totals],[commits]]</f>
        <v>4.6477904404246225E-6</v>
      </c>
      <c r="I6637" s="5">
        <f>Tabelle13[[#This Row],[%]]+I6636</f>
        <v>0.98879882503850591</v>
      </c>
      <c r="J6637" s="4">
        <f t="shared" si="239"/>
        <v>1.105583195135434E-4</v>
      </c>
      <c r="K6637" s="5">
        <f t="shared" si="240"/>
        <v>0.73355444997244534</v>
      </c>
    </row>
    <row r="6638" spans="1:11" x14ac:dyDescent="0.25">
      <c r="A6638" t="s">
        <v>8004</v>
      </c>
      <c r="C6638" t="s">
        <v>8005</v>
      </c>
      <c r="D6638" t="s">
        <v>5</v>
      </c>
      <c r="E6638" t="s">
        <v>6</v>
      </c>
      <c r="F6638" t="s">
        <v>28</v>
      </c>
      <c r="G6638">
        <v>1</v>
      </c>
      <c r="H6638" s="2">
        <f>Tabelle13[[#This Row],[commits]]/Tabelle13[[#Totals],[commits]]</f>
        <v>4.6477904404246225E-6</v>
      </c>
      <c r="I6638" s="5">
        <f>Tabelle13[[#This Row],[%]]+I6637</f>
        <v>0.98880347282894632</v>
      </c>
      <c r="J6638" s="4">
        <f t="shared" si="239"/>
        <v>1.105583195135434E-4</v>
      </c>
      <c r="K6638" s="5">
        <f t="shared" si="240"/>
        <v>0.73366500829195891</v>
      </c>
    </row>
    <row r="6639" spans="1:11" x14ac:dyDescent="0.25">
      <c r="A6639" t="s">
        <v>8006</v>
      </c>
      <c r="C6639" t="s">
        <v>8007</v>
      </c>
      <c r="D6639" t="s">
        <v>5</v>
      </c>
      <c r="E6639" t="s">
        <v>6</v>
      </c>
      <c r="F6639" t="s">
        <v>28</v>
      </c>
      <c r="G6639">
        <v>1</v>
      </c>
      <c r="H6639" s="2">
        <f>Tabelle13[[#This Row],[commits]]/Tabelle13[[#Totals],[commits]]</f>
        <v>4.6477904404246225E-6</v>
      </c>
      <c r="I6639" s="5">
        <f>Tabelle13[[#This Row],[%]]+I6638</f>
        <v>0.98880812061938672</v>
      </c>
      <c r="J6639" s="4">
        <f t="shared" si="239"/>
        <v>1.105583195135434E-4</v>
      </c>
      <c r="K6639" s="5">
        <f t="shared" si="240"/>
        <v>0.73377556661147247</v>
      </c>
    </row>
    <row r="6640" spans="1:11" x14ac:dyDescent="0.25">
      <c r="A6640" t="s">
        <v>8008</v>
      </c>
      <c r="C6640" t="s">
        <v>8009</v>
      </c>
      <c r="D6640" t="s">
        <v>5</v>
      </c>
      <c r="E6640" t="s">
        <v>6</v>
      </c>
      <c r="F6640" t="s">
        <v>28</v>
      </c>
      <c r="G6640">
        <v>1</v>
      </c>
      <c r="H6640" s="2">
        <f>Tabelle13[[#This Row],[commits]]/Tabelle13[[#Totals],[commits]]</f>
        <v>4.6477904404246225E-6</v>
      </c>
      <c r="I6640" s="5">
        <f>Tabelle13[[#This Row],[%]]+I6639</f>
        <v>0.98881276840982713</v>
      </c>
      <c r="J6640" s="4">
        <f t="shared" si="239"/>
        <v>1.105583195135434E-4</v>
      </c>
      <c r="K6640" s="5">
        <f t="shared" si="240"/>
        <v>0.73388612493098604</v>
      </c>
    </row>
    <row r="6641" spans="1:11" x14ac:dyDescent="0.25">
      <c r="A6641" t="s">
        <v>8010</v>
      </c>
      <c r="C6641" t="s">
        <v>8011</v>
      </c>
      <c r="D6641" t="s">
        <v>5</v>
      </c>
      <c r="E6641" t="s">
        <v>6</v>
      </c>
      <c r="F6641" t="s">
        <v>28</v>
      </c>
      <c r="G6641">
        <v>1</v>
      </c>
      <c r="H6641" s="2">
        <f>Tabelle13[[#This Row],[commits]]/Tabelle13[[#Totals],[commits]]</f>
        <v>4.6477904404246225E-6</v>
      </c>
      <c r="I6641" s="5">
        <f>Tabelle13[[#This Row],[%]]+I6640</f>
        <v>0.98881741620026753</v>
      </c>
      <c r="J6641" s="4">
        <f t="shared" si="239"/>
        <v>1.105583195135434E-4</v>
      </c>
      <c r="K6641" s="5">
        <f t="shared" si="240"/>
        <v>0.7339966832504996</v>
      </c>
    </row>
    <row r="6642" spans="1:11" x14ac:dyDescent="0.25">
      <c r="A6642" t="s">
        <v>8012</v>
      </c>
      <c r="C6642" t="s">
        <v>8013</v>
      </c>
      <c r="D6642" t="s">
        <v>5</v>
      </c>
      <c r="E6642" t="s">
        <v>6</v>
      </c>
      <c r="F6642" t="s">
        <v>28</v>
      </c>
      <c r="G6642">
        <v>1</v>
      </c>
      <c r="H6642" s="2">
        <f>Tabelle13[[#This Row],[commits]]/Tabelle13[[#Totals],[commits]]</f>
        <v>4.6477904404246225E-6</v>
      </c>
      <c r="I6642" s="5">
        <f>Tabelle13[[#This Row],[%]]+I6641</f>
        <v>0.98882206399070793</v>
      </c>
      <c r="J6642" s="4">
        <f t="shared" si="239"/>
        <v>1.105583195135434E-4</v>
      </c>
      <c r="K6642" s="5">
        <f t="shared" si="240"/>
        <v>0.73410724157001317</v>
      </c>
    </row>
    <row r="6643" spans="1:11" x14ac:dyDescent="0.25">
      <c r="A6643" t="s">
        <v>8014</v>
      </c>
      <c r="C6643" t="s">
        <v>8015</v>
      </c>
      <c r="D6643" t="s">
        <v>5</v>
      </c>
      <c r="E6643" t="s">
        <v>6</v>
      </c>
      <c r="F6643" t="s">
        <v>334</v>
      </c>
      <c r="G6643">
        <v>1</v>
      </c>
      <c r="H6643" s="2">
        <f>Tabelle13[[#This Row],[commits]]/Tabelle13[[#Totals],[commits]]</f>
        <v>4.6477904404246225E-6</v>
      </c>
      <c r="I6643" s="5">
        <f>Tabelle13[[#This Row],[%]]+I6642</f>
        <v>0.98882671178114834</v>
      </c>
      <c r="J6643" s="4">
        <f t="shared" si="239"/>
        <v>1.105583195135434E-4</v>
      </c>
      <c r="K6643" s="5">
        <f t="shared" si="240"/>
        <v>0.73421779988952673</v>
      </c>
    </row>
    <row r="6644" spans="1:11" x14ac:dyDescent="0.25">
      <c r="A6644" t="s">
        <v>8016</v>
      </c>
      <c r="C6644" t="s">
        <v>8017</v>
      </c>
      <c r="D6644" t="s">
        <v>5</v>
      </c>
      <c r="E6644" t="s">
        <v>6</v>
      </c>
      <c r="F6644" t="s">
        <v>28</v>
      </c>
      <c r="G6644">
        <v>1</v>
      </c>
      <c r="H6644" s="2">
        <f>Tabelle13[[#This Row],[commits]]/Tabelle13[[#Totals],[commits]]</f>
        <v>4.6477904404246225E-6</v>
      </c>
      <c r="I6644" s="5">
        <f>Tabelle13[[#This Row],[%]]+I6643</f>
        <v>0.98883135957158874</v>
      </c>
      <c r="J6644" s="4">
        <f t="shared" si="239"/>
        <v>1.105583195135434E-4</v>
      </c>
      <c r="K6644" s="5">
        <f t="shared" si="240"/>
        <v>0.7343283582090403</v>
      </c>
    </row>
    <row r="6645" spans="1:11" x14ac:dyDescent="0.25">
      <c r="A6645" t="s">
        <v>8018</v>
      </c>
      <c r="C6645" t="s">
        <v>8019</v>
      </c>
      <c r="D6645" t="s">
        <v>5</v>
      </c>
      <c r="E6645" t="s">
        <v>6</v>
      </c>
      <c r="F6645" t="s">
        <v>28</v>
      </c>
      <c r="G6645">
        <v>1</v>
      </c>
      <c r="H6645" s="2">
        <f>Tabelle13[[#This Row],[commits]]/Tabelle13[[#Totals],[commits]]</f>
        <v>4.6477904404246225E-6</v>
      </c>
      <c r="I6645" s="5">
        <f>Tabelle13[[#This Row],[%]]+I6644</f>
        <v>0.98883600736202915</v>
      </c>
      <c r="J6645" s="4">
        <f t="shared" si="239"/>
        <v>1.105583195135434E-4</v>
      </c>
      <c r="K6645" s="5">
        <f t="shared" si="240"/>
        <v>0.73443891652855386</v>
      </c>
    </row>
    <row r="6646" spans="1:11" x14ac:dyDescent="0.25">
      <c r="A6646" t="s">
        <v>8020</v>
      </c>
      <c r="C6646" t="s">
        <v>2051</v>
      </c>
      <c r="D6646" t="s">
        <v>8021</v>
      </c>
      <c r="E6646" t="s">
        <v>6</v>
      </c>
      <c r="F6646" t="s">
        <v>28</v>
      </c>
      <c r="G6646">
        <v>1</v>
      </c>
      <c r="H6646" s="2">
        <f>Tabelle13[[#This Row],[commits]]/Tabelle13[[#Totals],[commits]]</f>
        <v>4.6477904404246225E-6</v>
      </c>
      <c r="I6646" s="5">
        <f>Tabelle13[[#This Row],[%]]+I6645</f>
        <v>0.98884065515246955</v>
      </c>
      <c r="J6646" s="4">
        <f t="shared" si="239"/>
        <v>1.105583195135434E-4</v>
      </c>
      <c r="K6646" s="5">
        <f t="shared" si="240"/>
        <v>0.73454947484806743</v>
      </c>
    </row>
    <row r="6647" spans="1:11" x14ac:dyDescent="0.25">
      <c r="A6647" t="s">
        <v>8022</v>
      </c>
      <c r="C6647" t="s">
        <v>1354</v>
      </c>
      <c r="D6647" t="s">
        <v>5</v>
      </c>
      <c r="E6647" t="s">
        <v>6</v>
      </c>
      <c r="F6647" t="s">
        <v>28</v>
      </c>
      <c r="G6647">
        <v>1</v>
      </c>
      <c r="H6647" s="2">
        <f>Tabelle13[[#This Row],[commits]]/Tabelle13[[#Totals],[commits]]</f>
        <v>4.6477904404246225E-6</v>
      </c>
      <c r="I6647" s="5">
        <f>Tabelle13[[#This Row],[%]]+I6646</f>
        <v>0.98884530294290995</v>
      </c>
      <c r="J6647" s="4">
        <f t="shared" si="239"/>
        <v>1.105583195135434E-4</v>
      </c>
      <c r="K6647" s="5">
        <f t="shared" si="240"/>
        <v>0.73466003316758099</v>
      </c>
    </row>
    <row r="6648" spans="1:11" x14ac:dyDescent="0.25">
      <c r="A6648" t="s">
        <v>8023</v>
      </c>
      <c r="C6648" t="s">
        <v>8024</v>
      </c>
      <c r="D6648" t="s">
        <v>5</v>
      </c>
      <c r="E6648" t="s">
        <v>6</v>
      </c>
      <c r="F6648" t="s">
        <v>28</v>
      </c>
      <c r="G6648">
        <v>1</v>
      </c>
      <c r="H6648" s="2">
        <f>Tabelle13[[#This Row],[commits]]/Tabelle13[[#Totals],[commits]]</f>
        <v>4.6477904404246225E-6</v>
      </c>
      <c r="I6648" s="5">
        <f>Tabelle13[[#This Row],[%]]+I6647</f>
        <v>0.98884995073335036</v>
      </c>
      <c r="J6648" s="4">
        <f t="shared" si="239"/>
        <v>1.105583195135434E-4</v>
      </c>
      <c r="K6648" s="5">
        <f t="shared" si="240"/>
        <v>0.73477059148709456</v>
      </c>
    </row>
    <row r="6649" spans="1:11" x14ac:dyDescent="0.25">
      <c r="A6649" t="s">
        <v>8025</v>
      </c>
      <c r="C6649" t="s">
        <v>8026</v>
      </c>
      <c r="D6649" t="s">
        <v>5</v>
      </c>
      <c r="E6649" t="s">
        <v>6</v>
      </c>
      <c r="F6649" t="s">
        <v>28</v>
      </c>
      <c r="G6649">
        <v>1</v>
      </c>
      <c r="H6649" s="2">
        <f>Tabelle13[[#This Row],[commits]]/Tabelle13[[#Totals],[commits]]</f>
        <v>4.6477904404246225E-6</v>
      </c>
      <c r="I6649" s="5">
        <f>Tabelle13[[#This Row],[%]]+I6648</f>
        <v>0.98885459852379076</v>
      </c>
      <c r="J6649" s="4">
        <f t="shared" si="239"/>
        <v>1.105583195135434E-4</v>
      </c>
      <c r="K6649" s="5">
        <f t="shared" si="240"/>
        <v>0.73488114980660812</v>
      </c>
    </row>
    <row r="6650" spans="1:11" x14ac:dyDescent="0.25">
      <c r="A6650" t="s">
        <v>8027</v>
      </c>
      <c r="C6650" t="s">
        <v>8028</v>
      </c>
      <c r="D6650" t="s">
        <v>5</v>
      </c>
      <c r="E6650" t="s">
        <v>6</v>
      </c>
      <c r="F6650" t="s">
        <v>28</v>
      </c>
      <c r="G6650">
        <v>1</v>
      </c>
      <c r="H6650" s="2">
        <f>Tabelle13[[#This Row],[commits]]/Tabelle13[[#Totals],[commits]]</f>
        <v>4.6477904404246225E-6</v>
      </c>
      <c r="I6650" s="5">
        <f>Tabelle13[[#This Row],[%]]+I6649</f>
        <v>0.98885924631423117</v>
      </c>
      <c r="J6650" s="4">
        <f t="shared" si="239"/>
        <v>1.105583195135434E-4</v>
      </c>
      <c r="K6650" s="5">
        <f t="shared" si="240"/>
        <v>0.73499170812612169</v>
      </c>
    </row>
    <row r="6651" spans="1:11" x14ac:dyDescent="0.25">
      <c r="A6651" t="s">
        <v>8029</v>
      </c>
      <c r="C6651" t="s">
        <v>8030</v>
      </c>
      <c r="D6651" t="s">
        <v>5</v>
      </c>
      <c r="E6651" t="s">
        <v>6</v>
      </c>
      <c r="F6651" t="s">
        <v>28</v>
      </c>
      <c r="G6651">
        <v>1</v>
      </c>
      <c r="H6651" s="2">
        <f>Tabelle13[[#This Row],[commits]]/Tabelle13[[#Totals],[commits]]</f>
        <v>4.6477904404246225E-6</v>
      </c>
      <c r="I6651" s="5">
        <f>Tabelle13[[#This Row],[%]]+I6650</f>
        <v>0.98886389410467157</v>
      </c>
      <c r="J6651" s="4">
        <f t="shared" si="239"/>
        <v>1.105583195135434E-4</v>
      </c>
      <c r="K6651" s="5">
        <f t="shared" si="240"/>
        <v>0.73510226644563526</v>
      </c>
    </row>
    <row r="6652" spans="1:11" x14ac:dyDescent="0.25">
      <c r="A6652" t="s">
        <v>8031</v>
      </c>
      <c r="C6652" t="s">
        <v>8032</v>
      </c>
      <c r="D6652" t="s">
        <v>5</v>
      </c>
      <c r="E6652" t="s">
        <v>6</v>
      </c>
      <c r="F6652" t="s">
        <v>28</v>
      </c>
      <c r="G6652">
        <v>1</v>
      </c>
      <c r="H6652" s="2">
        <f>Tabelle13[[#This Row],[commits]]/Tabelle13[[#Totals],[commits]]</f>
        <v>4.6477904404246225E-6</v>
      </c>
      <c r="I6652" s="5">
        <f>Tabelle13[[#This Row],[%]]+I6651</f>
        <v>0.98886854189511197</v>
      </c>
      <c r="J6652" s="4">
        <f t="shared" si="239"/>
        <v>1.105583195135434E-4</v>
      </c>
      <c r="K6652" s="5">
        <f t="shared" si="240"/>
        <v>0.73521282476514882</v>
      </c>
    </row>
    <row r="6653" spans="1:11" x14ac:dyDescent="0.25">
      <c r="A6653" t="s">
        <v>8033</v>
      </c>
      <c r="C6653" t="s">
        <v>8034</v>
      </c>
      <c r="D6653" t="s">
        <v>5</v>
      </c>
      <c r="E6653" t="s">
        <v>6</v>
      </c>
      <c r="F6653" t="s">
        <v>28</v>
      </c>
      <c r="G6653">
        <v>1</v>
      </c>
      <c r="H6653" s="2">
        <f>Tabelle13[[#This Row],[commits]]/Tabelle13[[#Totals],[commits]]</f>
        <v>4.6477904404246225E-6</v>
      </c>
      <c r="I6653" s="5">
        <f>Tabelle13[[#This Row],[%]]+I6652</f>
        <v>0.98887318968555238</v>
      </c>
      <c r="J6653" s="4">
        <f t="shared" si="239"/>
        <v>1.105583195135434E-4</v>
      </c>
      <c r="K6653" s="5">
        <f t="shared" si="240"/>
        <v>0.73532338308466239</v>
      </c>
    </row>
    <row r="6654" spans="1:11" x14ac:dyDescent="0.25">
      <c r="A6654" t="s">
        <v>8035</v>
      </c>
      <c r="C6654" t="s">
        <v>8036</v>
      </c>
      <c r="D6654" t="s">
        <v>5175</v>
      </c>
      <c r="E6654" t="s">
        <v>6</v>
      </c>
      <c r="F6654" t="s">
        <v>28</v>
      </c>
      <c r="G6654">
        <v>1</v>
      </c>
      <c r="H6654" s="2">
        <f>Tabelle13[[#This Row],[commits]]/Tabelle13[[#Totals],[commits]]</f>
        <v>4.6477904404246225E-6</v>
      </c>
      <c r="I6654" s="5">
        <f>Tabelle13[[#This Row],[%]]+I6653</f>
        <v>0.98887783747599278</v>
      </c>
      <c r="J6654" s="4">
        <f t="shared" si="239"/>
        <v>1.105583195135434E-4</v>
      </c>
      <c r="K6654" s="5">
        <f t="shared" si="240"/>
        <v>0.73543394140417595</v>
      </c>
    </row>
    <row r="6655" spans="1:11" x14ac:dyDescent="0.25">
      <c r="A6655" t="s">
        <v>8037</v>
      </c>
      <c r="C6655" t="s">
        <v>8038</v>
      </c>
      <c r="D6655" t="s">
        <v>5</v>
      </c>
      <c r="E6655" t="s">
        <v>6</v>
      </c>
      <c r="F6655" t="s">
        <v>28</v>
      </c>
      <c r="G6655">
        <v>1</v>
      </c>
      <c r="H6655" s="2">
        <f>Tabelle13[[#This Row],[commits]]/Tabelle13[[#Totals],[commits]]</f>
        <v>4.6477904404246225E-6</v>
      </c>
      <c r="I6655" s="5">
        <f>Tabelle13[[#This Row],[%]]+I6654</f>
        <v>0.98888248526643319</v>
      </c>
      <c r="J6655" s="4">
        <f t="shared" si="239"/>
        <v>1.105583195135434E-4</v>
      </c>
      <c r="K6655" s="5">
        <f t="shared" si="240"/>
        <v>0.73554449972368952</v>
      </c>
    </row>
    <row r="6656" spans="1:11" x14ac:dyDescent="0.25">
      <c r="A6656" t="s">
        <v>8039</v>
      </c>
      <c r="C6656" t="s">
        <v>8038</v>
      </c>
      <c r="D6656" t="s">
        <v>5</v>
      </c>
      <c r="E6656" t="s">
        <v>6</v>
      </c>
      <c r="F6656" t="s">
        <v>28</v>
      </c>
      <c r="G6656">
        <v>1</v>
      </c>
      <c r="H6656" s="2">
        <f>Tabelle13[[#This Row],[commits]]/Tabelle13[[#Totals],[commits]]</f>
        <v>4.6477904404246225E-6</v>
      </c>
      <c r="I6656" s="5">
        <f>Tabelle13[[#This Row],[%]]+I6655</f>
        <v>0.98888713305687359</v>
      </c>
      <c r="J6656" s="4">
        <f t="shared" si="239"/>
        <v>1.105583195135434E-4</v>
      </c>
      <c r="K6656" s="5">
        <f t="shared" si="240"/>
        <v>0.73565505804320308</v>
      </c>
    </row>
    <row r="6657" spans="1:11" x14ac:dyDescent="0.25">
      <c r="A6657" t="s">
        <v>8040</v>
      </c>
      <c r="C6657" t="s">
        <v>8041</v>
      </c>
      <c r="D6657" t="s">
        <v>5</v>
      </c>
      <c r="E6657" t="s">
        <v>6</v>
      </c>
      <c r="F6657" t="s">
        <v>28</v>
      </c>
      <c r="G6657">
        <v>1</v>
      </c>
      <c r="H6657" s="2">
        <f>Tabelle13[[#This Row],[commits]]/Tabelle13[[#Totals],[commits]]</f>
        <v>4.6477904404246225E-6</v>
      </c>
      <c r="I6657" s="5">
        <f>Tabelle13[[#This Row],[%]]+I6656</f>
        <v>0.98889178084731399</v>
      </c>
      <c r="J6657" s="4">
        <f t="shared" si="239"/>
        <v>1.105583195135434E-4</v>
      </c>
      <c r="K6657" s="5">
        <f t="shared" si="240"/>
        <v>0.73576561636271665</v>
      </c>
    </row>
    <row r="6658" spans="1:11" x14ac:dyDescent="0.25">
      <c r="A6658" t="s">
        <v>8042</v>
      </c>
      <c r="C6658" t="s">
        <v>8043</v>
      </c>
      <c r="D6658" t="s">
        <v>5</v>
      </c>
      <c r="E6658" t="s">
        <v>6</v>
      </c>
      <c r="F6658" t="s">
        <v>28</v>
      </c>
      <c r="G6658">
        <v>1</v>
      </c>
      <c r="H6658" s="2">
        <f>Tabelle13[[#This Row],[commits]]/Tabelle13[[#Totals],[commits]]</f>
        <v>4.6477904404246225E-6</v>
      </c>
      <c r="I6658" s="5">
        <f>Tabelle13[[#This Row],[%]]+I6657</f>
        <v>0.9888964286377544</v>
      </c>
      <c r="J6658" s="4">
        <f t="shared" si="239"/>
        <v>1.105583195135434E-4</v>
      </c>
      <c r="K6658" s="5">
        <f t="shared" si="240"/>
        <v>0.73587617468223021</v>
      </c>
    </row>
    <row r="6659" spans="1:11" x14ac:dyDescent="0.25">
      <c r="A6659" t="s">
        <v>8044</v>
      </c>
      <c r="C6659" t="s">
        <v>8045</v>
      </c>
      <c r="D6659" t="s">
        <v>5</v>
      </c>
      <c r="E6659" t="s">
        <v>6</v>
      </c>
      <c r="F6659" t="s">
        <v>28</v>
      </c>
      <c r="G6659">
        <v>1</v>
      </c>
      <c r="H6659" s="2">
        <f>Tabelle13[[#This Row],[commits]]/Tabelle13[[#Totals],[commits]]</f>
        <v>4.6477904404246225E-6</v>
      </c>
      <c r="I6659" s="5">
        <f>Tabelle13[[#This Row],[%]]+I6658</f>
        <v>0.9889010764281948</v>
      </c>
      <c r="J6659" s="4">
        <f t="shared" ref="J6659:J6722" si="241">1/9045</f>
        <v>1.105583195135434E-4</v>
      </c>
      <c r="K6659" s="5">
        <f t="shared" si="240"/>
        <v>0.73598673300174378</v>
      </c>
    </row>
    <row r="6660" spans="1:11" x14ac:dyDescent="0.25">
      <c r="A6660" t="s">
        <v>8046</v>
      </c>
      <c r="C6660" t="s">
        <v>8047</v>
      </c>
      <c r="D6660" t="s">
        <v>5</v>
      </c>
      <c r="E6660" t="s">
        <v>6</v>
      </c>
      <c r="F6660" t="s">
        <v>28</v>
      </c>
      <c r="G6660">
        <v>1</v>
      </c>
      <c r="H6660" s="2">
        <f>Tabelle13[[#This Row],[commits]]/Tabelle13[[#Totals],[commits]]</f>
        <v>4.6477904404246225E-6</v>
      </c>
      <c r="I6660" s="5">
        <f>Tabelle13[[#This Row],[%]]+I6659</f>
        <v>0.98890572421863521</v>
      </c>
      <c r="J6660" s="4">
        <f t="shared" si="241"/>
        <v>1.105583195135434E-4</v>
      </c>
      <c r="K6660" s="5">
        <f t="shared" si="240"/>
        <v>0.73609729132125734</v>
      </c>
    </row>
    <row r="6661" spans="1:11" x14ac:dyDescent="0.25">
      <c r="A6661" t="s">
        <v>8048</v>
      </c>
      <c r="C6661" t="s">
        <v>8049</v>
      </c>
      <c r="D6661" t="s">
        <v>5</v>
      </c>
      <c r="E6661" t="s">
        <v>6</v>
      </c>
      <c r="F6661" t="s">
        <v>28</v>
      </c>
      <c r="G6661">
        <v>1</v>
      </c>
      <c r="H6661" s="2">
        <f>Tabelle13[[#This Row],[commits]]/Tabelle13[[#Totals],[commits]]</f>
        <v>4.6477904404246225E-6</v>
      </c>
      <c r="I6661" s="5">
        <f>Tabelle13[[#This Row],[%]]+I6660</f>
        <v>0.98891037200907561</v>
      </c>
      <c r="J6661" s="4">
        <f t="shared" si="241"/>
        <v>1.105583195135434E-4</v>
      </c>
      <c r="K6661" s="5">
        <f t="shared" si="240"/>
        <v>0.73620784964077091</v>
      </c>
    </row>
    <row r="6662" spans="1:11" x14ac:dyDescent="0.25">
      <c r="A6662" t="s">
        <v>8050</v>
      </c>
      <c r="C6662" t="s">
        <v>8051</v>
      </c>
      <c r="D6662" t="s">
        <v>5</v>
      </c>
      <c r="E6662" t="s">
        <v>6</v>
      </c>
      <c r="F6662" t="s">
        <v>28</v>
      </c>
      <c r="G6662">
        <v>1</v>
      </c>
      <c r="H6662" s="2">
        <f>Tabelle13[[#This Row],[commits]]/Tabelle13[[#Totals],[commits]]</f>
        <v>4.6477904404246225E-6</v>
      </c>
      <c r="I6662" s="5">
        <f>Tabelle13[[#This Row],[%]]+I6661</f>
        <v>0.98891501979951602</v>
      </c>
      <c r="J6662" s="4">
        <f t="shared" si="241"/>
        <v>1.105583195135434E-4</v>
      </c>
      <c r="K6662" s="5">
        <f t="shared" ref="K6662:K6725" si="242">J6662+K6661</f>
        <v>0.73631840796028447</v>
      </c>
    </row>
    <row r="6663" spans="1:11" x14ac:dyDescent="0.25">
      <c r="A6663" t="s">
        <v>8052</v>
      </c>
      <c r="C6663" t="s">
        <v>8053</v>
      </c>
      <c r="D6663" t="s">
        <v>5</v>
      </c>
      <c r="E6663" t="s">
        <v>6</v>
      </c>
      <c r="F6663" t="s">
        <v>28</v>
      </c>
      <c r="G6663">
        <v>1</v>
      </c>
      <c r="H6663" s="2">
        <f>Tabelle13[[#This Row],[commits]]/Tabelle13[[#Totals],[commits]]</f>
        <v>4.6477904404246225E-6</v>
      </c>
      <c r="I6663" s="5">
        <f>Tabelle13[[#This Row],[%]]+I6662</f>
        <v>0.98891966758995642</v>
      </c>
      <c r="J6663" s="4">
        <f t="shared" si="241"/>
        <v>1.105583195135434E-4</v>
      </c>
      <c r="K6663" s="5">
        <f t="shared" si="242"/>
        <v>0.73642896627979804</v>
      </c>
    </row>
    <row r="6664" spans="1:11" x14ac:dyDescent="0.25">
      <c r="A6664" t="s">
        <v>8054</v>
      </c>
      <c r="C6664" t="s">
        <v>8055</v>
      </c>
      <c r="D6664" t="s">
        <v>5</v>
      </c>
      <c r="E6664" t="s">
        <v>6</v>
      </c>
      <c r="F6664" t="s">
        <v>28</v>
      </c>
      <c r="G6664">
        <v>1</v>
      </c>
      <c r="H6664" s="2">
        <f>Tabelle13[[#This Row],[commits]]/Tabelle13[[#Totals],[commits]]</f>
        <v>4.6477904404246225E-6</v>
      </c>
      <c r="I6664" s="5">
        <f>Tabelle13[[#This Row],[%]]+I6663</f>
        <v>0.98892431538039682</v>
      </c>
      <c r="J6664" s="4">
        <f t="shared" si="241"/>
        <v>1.105583195135434E-4</v>
      </c>
      <c r="K6664" s="5">
        <f t="shared" si="242"/>
        <v>0.7365395245993116</v>
      </c>
    </row>
    <row r="6665" spans="1:11" x14ac:dyDescent="0.25">
      <c r="A6665" t="s">
        <v>8056</v>
      </c>
      <c r="C6665" t="s">
        <v>8057</v>
      </c>
      <c r="D6665" t="s">
        <v>5</v>
      </c>
      <c r="E6665" t="s">
        <v>6</v>
      </c>
      <c r="F6665" t="s">
        <v>28</v>
      </c>
      <c r="G6665">
        <v>1</v>
      </c>
      <c r="H6665" s="2">
        <f>Tabelle13[[#This Row],[commits]]/Tabelle13[[#Totals],[commits]]</f>
        <v>4.6477904404246225E-6</v>
      </c>
      <c r="I6665" s="5">
        <f>Tabelle13[[#This Row],[%]]+I6664</f>
        <v>0.98892896317083723</v>
      </c>
      <c r="J6665" s="4">
        <f t="shared" si="241"/>
        <v>1.105583195135434E-4</v>
      </c>
      <c r="K6665" s="5">
        <f t="shared" si="242"/>
        <v>0.73665008291882517</v>
      </c>
    </row>
    <row r="6666" spans="1:11" x14ac:dyDescent="0.25">
      <c r="A6666" t="s">
        <v>8058</v>
      </c>
      <c r="C6666" t="s">
        <v>8059</v>
      </c>
      <c r="D6666" t="s">
        <v>5</v>
      </c>
      <c r="E6666" t="s">
        <v>6</v>
      </c>
      <c r="F6666" t="s">
        <v>28</v>
      </c>
      <c r="G6666">
        <v>1</v>
      </c>
      <c r="H6666" s="2">
        <f>Tabelle13[[#This Row],[commits]]/Tabelle13[[#Totals],[commits]]</f>
        <v>4.6477904404246225E-6</v>
      </c>
      <c r="I6666" s="5">
        <f>Tabelle13[[#This Row],[%]]+I6665</f>
        <v>0.98893361096127763</v>
      </c>
      <c r="J6666" s="4">
        <f t="shared" si="241"/>
        <v>1.105583195135434E-4</v>
      </c>
      <c r="K6666" s="5">
        <f t="shared" si="242"/>
        <v>0.73676064123833873</v>
      </c>
    </row>
    <row r="6667" spans="1:11" x14ac:dyDescent="0.25">
      <c r="A6667" t="s">
        <v>8060</v>
      </c>
      <c r="C6667" t="s">
        <v>8061</v>
      </c>
      <c r="D6667" t="s">
        <v>5</v>
      </c>
      <c r="E6667" t="s">
        <v>6</v>
      </c>
      <c r="F6667" t="s">
        <v>28</v>
      </c>
      <c r="G6667">
        <v>1</v>
      </c>
      <c r="H6667" s="2">
        <f>Tabelle13[[#This Row],[commits]]/Tabelle13[[#Totals],[commits]]</f>
        <v>4.6477904404246225E-6</v>
      </c>
      <c r="I6667" s="5">
        <f>Tabelle13[[#This Row],[%]]+I6666</f>
        <v>0.98893825875171804</v>
      </c>
      <c r="J6667" s="4">
        <f t="shared" si="241"/>
        <v>1.105583195135434E-4</v>
      </c>
      <c r="K6667" s="5">
        <f t="shared" si="242"/>
        <v>0.7368711995578523</v>
      </c>
    </row>
    <row r="6668" spans="1:11" x14ac:dyDescent="0.25">
      <c r="A6668" t="s">
        <v>8062</v>
      </c>
      <c r="C6668" t="s">
        <v>8063</v>
      </c>
      <c r="D6668" t="s">
        <v>5</v>
      </c>
      <c r="E6668" t="s">
        <v>6</v>
      </c>
      <c r="F6668" t="s">
        <v>28</v>
      </c>
      <c r="G6668">
        <v>1</v>
      </c>
      <c r="H6668" s="2">
        <f>Tabelle13[[#This Row],[commits]]/Tabelle13[[#Totals],[commits]]</f>
        <v>4.6477904404246225E-6</v>
      </c>
      <c r="I6668" s="5">
        <f>Tabelle13[[#This Row],[%]]+I6667</f>
        <v>0.98894290654215844</v>
      </c>
      <c r="J6668" s="4">
        <f t="shared" si="241"/>
        <v>1.105583195135434E-4</v>
      </c>
      <c r="K6668" s="5">
        <f t="shared" si="242"/>
        <v>0.73698175787736586</v>
      </c>
    </row>
    <row r="6669" spans="1:11" x14ac:dyDescent="0.25">
      <c r="A6669" t="s">
        <v>8064</v>
      </c>
      <c r="C6669" t="s">
        <v>8065</v>
      </c>
      <c r="D6669" t="s">
        <v>5</v>
      </c>
      <c r="E6669" t="s">
        <v>6</v>
      </c>
      <c r="F6669" t="s">
        <v>28</v>
      </c>
      <c r="G6669">
        <v>1</v>
      </c>
      <c r="H6669" s="2">
        <f>Tabelle13[[#This Row],[commits]]/Tabelle13[[#Totals],[commits]]</f>
        <v>4.6477904404246225E-6</v>
      </c>
      <c r="I6669" s="5">
        <f>Tabelle13[[#This Row],[%]]+I6668</f>
        <v>0.98894755433259884</v>
      </c>
      <c r="J6669" s="4">
        <f t="shared" si="241"/>
        <v>1.105583195135434E-4</v>
      </c>
      <c r="K6669" s="5">
        <f t="shared" si="242"/>
        <v>0.73709231619687943</v>
      </c>
    </row>
    <row r="6670" spans="1:11" x14ac:dyDescent="0.25">
      <c r="A6670" t="s">
        <v>8068</v>
      </c>
      <c r="C6670" t="s">
        <v>8069</v>
      </c>
      <c r="D6670" t="s">
        <v>5</v>
      </c>
      <c r="E6670" t="s">
        <v>6</v>
      </c>
      <c r="F6670" t="s">
        <v>28</v>
      </c>
      <c r="G6670">
        <v>1</v>
      </c>
      <c r="H6670" s="2">
        <f>Tabelle13[[#This Row],[commits]]/Tabelle13[[#Totals],[commits]]</f>
        <v>4.6477904404246225E-6</v>
      </c>
      <c r="I6670" s="5">
        <f>Tabelle13[[#This Row],[%]]+I6669</f>
        <v>0.98895220212303925</v>
      </c>
      <c r="J6670" s="4">
        <f t="shared" si="241"/>
        <v>1.105583195135434E-4</v>
      </c>
      <c r="K6670" s="5">
        <f t="shared" si="242"/>
        <v>0.73720287451639299</v>
      </c>
    </row>
    <row r="6671" spans="1:11" x14ac:dyDescent="0.25">
      <c r="A6671" t="s">
        <v>8070</v>
      </c>
      <c r="C6671" t="s">
        <v>8071</v>
      </c>
      <c r="D6671" t="s">
        <v>2659</v>
      </c>
      <c r="E6671" t="s">
        <v>6</v>
      </c>
      <c r="F6671" t="s">
        <v>28</v>
      </c>
      <c r="G6671">
        <v>1</v>
      </c>
      <c r="H6671" s="2">
        <f>Tabelle13[[#This Row],[commits]]/Tabelle13[[#Totals],[commits]]</f>
        <v>4.6477904404246225E-6</v>
      </c>
      <c r="I6671" s="5">
        <f>Tabelle13[[#This Row],[%]]+I6670</f>
        <v>0.98895684991347965</v>
      </c>
      <c r="J6671" s="4">
        <f t="shared" si="241"/>
        <v>1.105583195135434E-4</v>
      </c>
      <c r="K6671" s="5">
        <f t="shared" si="242"/>
        <v>0.73731343283590656</v>
      </c>
    </row>
    <row r="6672" spans="1:11" x14ac:dyDescent="0.25">
      <c r="A6672" t="s">
        <v>8072</v>
      </c>
      <c r="C6672" t="s">
        <v>8073</v>
      </c>
      <c r="D6672" t="s">
        <v>5</v>
      </c>
      <c r="E6672" t="s">
        <v>6</v>
      </c>
      <c r="F6672" t="s">
        <v>28</v>
      </c>
      <c r="G6672">
        <v>1</v>
      </c>
      <c r="H6672" s="2">
        <f>Tabelle13[[#This Row],[commits]]/Tabelle13[[#Totals],[commits]]</f>
        <v>4.6477904404246225E-6</v>
      </c>
      <c r="I6672" s="5">
        <f>Tabelle13[[#This Row],[%]]+I6671</f>
        <v>0.98896149770392006</v>
      </c>
      <c r="J6672" s="4">
        <f t="shared" si="241"/>
        <v>1.105583195135434E-4</v>
      </c>
      <c r="K6672" s="5">
        <f t="shared" si="242"/>
        <v>0.73742399115542012</v>
      </c>
    </row>
    <row r="6673" spans="1:11" x14ac:dyDescent="0.25">
      <c r="A6673" t="s">
        <v>8074</v>
      </c>
      <c r="C6673" t="s">
        <v>8075</v>
      </c>
      <c r="D6673" t="s">
        <v>5</v>
      </c>
      <c r="E6673" t="s">
        <v>6</v>
      </c>
      <c r="F6673" t="s">
        <v>28</v>
      </c>
      <c r="G6673">
        <v>1</v>
      </c>
      <c r="H6673" s="2">
        <f>Tabelle13[[#This Row],[commits]]/Tabelle13[[#Totals],[commits]]</f>
        <v>4.6477904404246225E-6</v>
      </c>
      <c r="I6673" s="5">
        <f>Tabelle13[[#This Row],[%]]+I6672</f>
        <v>0.98896614549436046</v>
      </c>
      <c r="J6673" s="4">
        <f t="shared" si="241"/>
        <v>1.105583195135434E-4</v>
      </c>
      <c r="K6673" s="5">
        <f t="shared" si="242"/>
        <v>0.73753454947493369</v>
      </c>
    </row>
    <row r="6674" spans="1:11" x14ac:dyDescent="0.25">
      <c r="A6674" t="s">
        <v>8076</v>
      </c>
      <c r="C6674" t="s">
        <v>8077</v>
      </c>
      <c r="D6674" t="s">
        <v>5</v>
      </c>
      <c r="E6674" t="s">
        <v>6</v>
      </c>
      <c r="F6674" t="s">
        <v>28</v>
      </c>
      <c r="G6674">
        <v>1</v>
      </c>
      <c r="H6674" s="2">
        <f>Tabelle13[[#This Row],[commits]]/Tabelle13[[#Totals],[commits]]</f>
        <v>4.6477904404246225E-6</v>
      </c>
      <c r="I6674" s="5">
        <f>Tabelle13[[#This Row],[%]]+I6673</f>
        <v>0.98897079328480086</v>
      </c>
      <c r="J6674" s="4">
        <f t="shared" si="241"/>
        <v>1.105583195135434E-4</v>
      </c>
      <c r="K6674" s="5">
        <f t="shared" si="242"/>
        <v>0.73764510779444725</v>
      </c>
    </row>
    <row r="6675" spans="1:11" x14ac:dyDescent="0.25">
      <c r="A6675" t="s">
        <v>8078</v>
      </c>
      <c r="C6675" t="s">
        <v>8079</v>
      </c>
      <c r="D6675" t="s">
        <v>5</v>
      </c>
      <c r="E6675" t="s">
        <v>6</v>
      </c>
      <c r="F6675" t="s">
        <v>28</v>
      </c>
      <c r="G6675">
        <v>1</v>
      </c>
      <c r="H6675" s="2">
        <f>Tabelle13[[#This Row],[commits]]/Tabelle13[[#Totals],[commits]]</f>
        <v>4.6477904404246225E-6</v>
      </c>
      <c r="I6675" s="5">
        <f>Tabelle13[[#This Row],[%]]+I6674</f>
        <v>0.98897544107524127</v>
      </c>
      <c r="J6675" s="4">
        <f t="shared" si="241"/>
        <v>1.105583195135434E-4</v>
      </c>
      <c r="K6675" s="5">
        <f t="shared" si="242"/>
        <v>0.73775566611396082</v>
      </c>
    </row>
    <row r="6676" spans="1:11" x14ac:dyDescent="0.25">
      <c r="A6676" t="s">
        <v>8080</v>
      </c>
      <c r="C6676" t="s">
        <v>8081</v>
      </c>
      <c r="D6676" t="s">
        <v>5</v>
      </c>
      <c r="E6676" t="s">
        <v>6</v>
      </c>
      <c r="F6676" t="s">
        <v>28</v>
      </c>
      <c r="G6676">
        <v>1</v>
      </c>
      <c r="H6676" s="2">
        <f>Tabelle13[[#This Row],[commits]]/Tabelle13[[#Totals],[commits]]</f>
        <v>4.6477904404246225E-6</v>
      </c>
      <c r="I6676" s="5">
        <f>Tabelle13[[#This Row],[%]]+I6675</f>
        <v>0.98898008886568167</v>
      </c>
      <c r="J6676" s="4">
        <f t="shared" si="241"/>
        <v>1.105583195135434E-4</v>
      </c>
      <c r="K6676" s="5">
        <f t="shared" si="242"/>
        <v>0.73786622443347438</v>
      </c>
    </row>
    <row r="6677" spans="1:11" x14ac:dyDescent="0.25">
      <c r="A6677" t="s">
        <v>8082</v>
      </c>
      <c r="C6677" t="s">
        <v>8083</v>
      </c>
      <c r="D6677" t="s">
        <v>8084</v>
      </c>
      <c r="E6677" t="s">
        <v>6</v>
      </c>
      <c r="F6677" t="s">
        <v>28</v>
      </c>
      <c r="G6677">
        <v>1</v>
      </c>
      <c r="H6677" s="2">
        <f>Tabelle13[[#This Row],[commits]]/Tabelle13[[#Totals],[commits]]</f>
        <v>4.6477904404246225E-6</v>
      </c>
      <c r="I6677" s="5">
        <f>Tabelle13[[#This Row],[%]]+I6676</f>
        <v>0.98898473665612208</v>
      </c>
      <c r="J6677" s="4">
        <f t="shared" si="241"/>
        <v>1.105583195135434E-4</v>
      </c>
      <c r="K6677" s="5">
        <f t="shared" si="242"/>
        <v>0.73797678275298795</v>
      </c>
    </row>
    <row r="6678" spans="1:11" x14ac:dyDescent="0.25">
      <c r="A6678" t="s">
        <v>8085</v>
      </c>
      <c r="C6678" t="s">
        <v>8086</v>
      </c>
      <c r="D6678" t="s">
        <v>5</v>
      </c>
      <c r="E6678" t="s">
        <v>6</v>
      </c>
      <c r="F6678" t="s">
        <v>28</v>
      </c>
      <c r="G6678">
        <v>1</v>
      </c>
      <c r="H6678" s="2">
        <f>Tabelle13[[#This Row],[commits]]/Tabelle13[[#Totals],[commits]]</f>
        <v>4.6477904404246225E-6</v>
      </c>
      <c r="I6678" s="5">
        <f>Tabelle13[[#This Row],[%]]+I6677</f>
        <v>0.98898938444656248</v>
      </c>
      <c r="J6678" s="4">
        <f t="shared" si="241"/>
        <v>1.105583195135434E-4</v>
      </c>
      <c r="K6678" s="5">
        <f t="shared" si="242"/>
        <v>0.73808734107250151</v>
      </c>
    </row>
    <row r="6679" spans="1:11" x14ac:dyDescent="0.25">
      <c r="A6679" t="s">
        <v>8087</v>
      </c>
      <c r="C6679" t="s">
        <v>8088</v>
      </c>
      <c r="D6679" t="s">
        <v>5</v>
      </c>
      <c r="E6679" t="s">
        <v>6</v>
      </c>
      <c r="F6679" t="s">
        <v>28</v>
      </c>
      <c r="G6679">
        <v>1</v>
      </c>
      <c r="H6679" s="2">
        <f>Tabelle13[[#This Row],[commits]]/Tabelle13[[#Totals],[commits]]</f>
        <v>4.6477904404246225E-6</v>
      </c>
      <c r="I6679" s="5">
        <f>Tabelle13[[#This Row],[%]]+I6678</f>
        <v>0.98899403223700288</v>
      </c>
      <c r="J6679" s="4">
        <f t="shared" si="241"/>
        <v>1.105583195135434E-4</v>
      </c>
      <c r="K6679" s="5">
        <f t="shared" si="242"/>
        <v>0.73819789939201508</v>
      </c>
    </row>
    <row r="6680" spans="1:11" x14ac:dyDescent="0.25">
      <c r="A6680" t="s">
        <v>8089</v>
      </c>
      <c r="C6680" t="s">
        <v>8090</v>
      </c>
      <c r="D6680" t="s">
        <v>5</v>
      </c>
      <c r="E6680" t="s">
        <v>6</v>
      </c>
      <c r="F6680" t="s">
        <v>28</v>
      </c>
      <c r="G6680">
        <v>1</v>
      </c>
      <c r="H6680" s="2">
        <f>Tabelle13[[#This Row],[commits]]/Tabelle13[[#Totals],[commits]]</f>
        <v>4.6477904404246225E-6</v>
      </c>
      <c r="I6680" s="5">
        <f>Tabelle13[[#This Row],[%]]+I6679</f>
        <v>0.98899868002744329</v>
      </c>
      <c r="J6680" s="4">
        <f t="shared" si="241"/>
        <v>1.105583195135434E-4</v>
      </c>
      <c r="K6680" s="5">
        <f t="shared" si="242"/>
        <v>0.73830845771152864</v>
      </c>
    </row>
    <row r="6681" spans="1:11" x14ac:dyDescent="0.25">
      <c r="A6681" t="s">
        <v>8091</v>
      </c>
      <c r="C6681" t="s">
        <v>8092</v>
      </c>
      <c r="D6681" t="s">
        <v>5</v>
      </c>
      <c r="E6681" t="s">
        <v>6</v>
      </c>
      <c r="F6681" t="s">
        <v>28</v>
      </c>
      <c r="G6681">
        <v>1</v>
      </c>
      <c r="H6681" s="2">
        <f>Tabelle13[[#This Row],[commits]]/Tabelle13[[#Totals],[commits]]</f>
        <v>4.6477904404246225E-6</v>
      </c>
      <c r="I6681" s="5">
        <f>Tabelle13[[#This Row],[%]]+I6680</f>
        <v>0.98900332781788369</v>
      </c>
      <c r="J6681" s="4">
        <f t="shared" si="241"/>
        <v>1.105583195135434E-4</v>
      </c>
      <c r="K6681" s="5">
        <f t="shared" si="242"/>
        <v>0.73841901603104221</v>
      </c>
    </row>
    <row r="6682" spans="1:11" x14ac:dyDescent="0.25">
      <c r="A6682" t="s">
        <v>8093</v>
      </c>
      <c r="C6682" t="s">
        <v>8094</v>
      </c>
      <c r="D6682" t="s">
        <v>5</v>
      </c>
      <c r="E6682" t="s">
        <v>6</v>
      </c>
      <c r="F6682" t="s">
        <v>28</v>
      </c>
      <c r="G6682">
        <v>1</v>
      </c>
      <c r="H6682" s="2">
        <f>Tabelle13[[#This Row],[commits]]/Tabelle13[[#Totals],[commits]]</f>
        <v>4.6477904404246225E-6</v>
      </c>
      <c r="I6682" s="5">
        <f>Tabelle13[[#This Row],[%]]+I6681</f>
        <v>0.9890079756083241</v>
      </c>
      <c r="J6682" s="4">
        <f t="shared" si="241"/>
        <v>1.105583195135434E-4</v>
      </c>
      <c r="K6682" s="5">
        <f t="shared" si="242"/>
        <v>0.73852957435055577</v>
      </c>
    </row>
    <row r="6683" spans="1:11" x14ac:dyDescent="0.25">
      <c r="A6683" t="s">
        <v>8095</v>
      </c>
      <c r="C6683" t="s">
        <v>8096</v>
      </c>
      <c r="D6683" t="s">
        <v>5</v>
      </c>
      <c r="E6683" t="s">
        <v>6</v>
      </c>
      <c r="F6683" t="s">
        <v>28</v>
      </c>
      <c r="G6683">
        <v>1</v>
      </c>
      <c r="H6683" s="2">
        <f>Tabelle13[[#This Row],[commits]]/Tabelle13[[#Totals],[commits]]</f>
        <v>4.6477904404246225E-6</v>
      </c>
      <c r="I6683" s="5">
        <f>Tabelle13[[#This Row],[%]]+I6682</f>
        <v>0.9890126233987645</v>
      </c>
      <c r="J6683" s="4">
        <f t="shared" si="241"/>
        <v>1.105583195135434E-4</v>
      </c>
      <c r="K6683" s="5">
        <f t="shared" si="242"/>
        <v>0.73864013267006934</v>
      </c>
    </row>
    <row r="6684" spans="1:11" x14ac:dyDescent="0.25">
      <c r="A6684" t="s">
        <v>8097</v>
      </c>
      <c r="C6684" t="s">
        <v>8098</v>
      </c>
      <c r="D6684" t="s">
        <v>5</v>
      </c>
      <c r="E6684" t="s">
        <v>6</v>
      </c>
      <c r="F6684" t="s">
        <v>28</v>
      </c>
      <c r="G6684">
        <v>1</v>
      </c>
      <c r="H6684" s="2">
        <f>Tabelle13[[#This Row],[commits]]/Tabelle13[[#Totals],[commits]]</f>
        <v>4.6477904404246225E-6</v>
      </c>
      <c r="I6684" s="5">
        <f>Tabelle13[[#This Row],[%]]+I6683</f>
        <v>0.98901727118920491</v>
      </c>
      <c r="J6684" s="4">
        <f t="shared" si="241"/>
        <v>1.105583195135434E-4</v>
      </c>
      <c r="K6684" s="5">
        <f t="shared" si="242"/>
        <v>0.7387506909895829</v>
      </c>
    </row>
    <row r="6685" spans="1:11" x14ac:dyDescent="0.25">
      <c r="A6685" t="s">
        <v>8099</v>
      </c>
      <c r="C6685" t="s">
        <v>8100</v>
      </c>
      <c r="D6685" t="s">
        <v>5</v>
      </c>
      <c r="E6685" t="s">
        <v>6</v>
      </c>
      <c r="F6685" t="s">
        <v>28</v>
      </c>
      <c r="G6685">
        <v>1</v>
      </c>
      <c r="H6685" s="2">
        <f>Tabelle13[[#This Row],[commits]]/Tabelle13[[#Totals],[commits]]</f>
        <v>4.6477904404246225E-6</v>
      </c>
      <c r="I6685" s="5">
        <f>Tabelle13[[#This Row],[%]]+I6684</f>
        <v>0.98902191897964531</v>
      </c>
      <c r="J6685" s="4">
        <f t="shared" si="241"/>
        <v>1.105583195135434E-4</v>
      </c>
      <c r="K6685" s="5">
        <f t="shared" si="242"/>
        <v>0.73886124930909647</v>
      </c>
    </row>
    <row r="6686" spans="1:11" x14ac:dyDescent="0.25">
      <c r="A6686" t="s">
        <v>8101</v>
      </c>
      <c r="C6686" t="s">
        <v>8102</v>
      </c>
      <c r="D6686" t="s">
        <v>5</v>
      </c>
      <c r="E6686" t="s">
        <v>6</v>
      </c>
      <c r="F6686" t="s">
        <v>28</v>
      </c>
      <c r="G6686">
        <v>1</v>
      </c>
      <c r="H6686" s="2">
        <f>Tabelle13[[#This Row],[commits]]/Tabelle13[[#Totals],[commits]]</f>
        <v>4.6477904404246225E-6</v>
      </c>
      <c r="I6686" s="5">
        <f>Tabelle13[[#This Row],[%]]+I6685</f>
        <v>0.98902656677008571</v>
      </c>
      <c r="J6686" s="4">
        <f t="shared" si="241"/>
        <v>1.105583195135434E-4</v>
      </c>
      <c r="K6686" s="5">
        <f t="shared" si="242"/>
        <v>0.73897180762861003</v>
      </c>
    </row>
    <row r="6687" spans="1:11" x14ac:dyDescent="0.25">
      <c r="A6687" t="s">
        <v>8103</v>
      </c>
      <c r="C6687" t="s">
        <v>8104</v>
      </c>
      <c r="D6687" t="s">
        <v>5</v>
      </c>
      <c r="E6687" t="s">
        <v>6</v>
      </c>
      <c r="F6687" t="s">
        <v>28</v>
      </c>
      <c r="G6687">
        <v>1</v>
      </c>
      <c r="H6687" s="2">
        <f>Tabelle13[[#This Row],[commits]]/Tabelle13[[#Totals],[commits]]</f>
        <v>4.6477904404246225E-6</v>
      </c>
      <c r="I6687" s="5">
        <f>Tabelle13[[#This Row],[%]]+I6686</f>
        <v>0.98903121456052612</v>
      </c>
      <c r="J6687" s="4">
        <f t="shared" si="241"/>
        <v>1.105583195135434E-4</v>
      </c>
      <c r="K6687" s="5">
        <f t="shared" si="242"/>
        <v>0.7390823659481236</v>
      </c>
    </row>
    <row r="6688" spans="1:11" x14ac:dyDescent="0.25">
      <c r="A6688" t="s">
        <v>8105</v>
      </c>
      <c r="C6688" t="s">
        <v>8106</v>
      </c>
      <c r="D6688" t="s">
        <v>5</v>
      </c>
      <c r="E6688" t="s">
        <v>6</v>
      </c>
      <c r="F6688" t="s">
        <v>28</v>
      </c>
      <c r="G6688">
        <v>1</v>
      </c>
      <c r="H6688" s="2">
        <f>Tabelle13[[#This Row],[commits]]/Tabelle13[[#Totals],[commits]]</f>
        <v>4.6477904404246225E-6</v>
      </c>
      <c r="I6688" s="5">
        <f>Tabelle13[[#This Row],[%]]+I6687</f>
        <v>0.98903586235096652</v>
      </c>
      <c r="J6688" s="4">
        <f t="shared" si="241"/>
        <v>1.105583195135434E-4</v>
      </c>
      <c r="K6688" s="5">
        <f t="shared" si="242"/>
        <v>0.73919292426763716</v>
      </c>
    </row>
    <row r="6689" spans="1:11" x14ac:dyDescent="0.25">
      <c r="A6689" t="s">
        <v>8107</v>
      </c>
      <c r="C6689" t="s">
        <v>8108</v>
      </c>
      <c r="D6689" t="s">
        <v>5</v>
      </c>
      <c r="E6689" t="s">
        <v>6</v>
      </c>
      <c r="F6689" t="s">
        <v>28</v>
      </c>
      <c r="G6689">
        <v>1</v>
      </c>
      <c r="H6689" s="2">
        <f>Tabelle13[[#This Row],[commits]]/Tabelle13[[#Totals],[commits]]</f>
        <v>4.6477904404246225E-6</v>
      </c>
      <c r="I6689" s="5">
        <f>Tabelle13[[#This Row],[%]]+I6688</f>
        <v>0.98904051014140693</v>
      </c>
      <c r="J6689" s="4">
        <f t="shared" si="241"/>
        <v>1.105583195135434E-4</v>
      </c>
      <c r="K6689" s="5">
        <f t="shared" si="242"/>
        <v>0.73930348258715073</v>
      </c>
    </row>
    <row r="6690" spans="1:11" x14ac:dyDescent="0.25">
      <c r="A6690" t="s">
        <v>8109</v>
      </c>
      <c r="C6690" t="s">
        <v>8110</v>
      </c>
      <c r="D6690" t="s">
        <v>5</v>
      </c>
      <c r="E6690" t="s">
        <v>6</v>
      </c>
      <c r="F6690" t="s">
        <v>28</v>
      </c>
      <c r="G6690">
        <v>1</v>
      </c>
      <c r="H6690" s="2">
        <f>Tabelle13[[#This Row],[commits]]/Tabelle13[[#Totals],[commits]]</f>
        <v>4.6477904404246225E-6</v>
      </c>
      <c r="I6690" s="5">
        <f>Tabelle13[[#This Row],[%]]+I6689</f>
        <v>0.98904515793184733</v>
      </c>
      <c r="J6690" s="4">
        <f t="shared" si="241"/>
        <v>1.105583195135434E-4</v>
      </c>
      <c r="K6690" s="5">
        <f t="shared" si="242"/>
        <v>0.73941404090666429</v>
      </c>
    </row>
    <row r="6691" spans="1:11" x14ac:dyDescent="0.25">
      <c r="A6691" t="s">
        <v>8111</v>
      </c>
      <c r="C6691" t="s">
        <v>8112</v>
      </c>
      <c r="D6691" t="s">
        <v>5</v>
      </c>
      <c r="E6691" t="s">
        <v>6</v>
      </c>
      <c r="F6691" t="s">
        <v>28</v>
      </c>
      <c r="G6691">
        <v>1</v>
      </c>
      <c r="H6691" s="2">
        <f>Tabelle13[[#This Row],[commits]]/Tabelle13[[#Totals],[commits]]</f>
        <v>4.6477904404246225E-6</v>
      </c>
      <c r="I6691" s="5">
        <f>Tabelle13[[#This Row],[%]]+I6690</f>
        <v>0.98904980572228773</v>
      </c>
      <c r="J6691" s="4">
        <f t="shared" si="241"/>
        <v>1.105583195135434E-4</v>
      </c>
      <c r="K6691" s="5">
        <f t="shared" si="242"/>
        <v>0.73952459922617786</v>
      </c>
    </row>
    <row r="6692" spans="1:11" x14ac:dyDescent="0.25">
      <c r="A6692" t="s">
        <v>8113</v>
      </c>
      <c r="C6692" t="s">
        <v>8114</v>
      </c>
      <c r="D6692" t="s">
        <v>5</v>
      </c>
      <c r="E6692" t="s">
        <v>6</v>
      </c>
      <c r="F6692" t="s">
        <v>28</v>
      </c>
      <c r="G6692">
        <v>1</v>
      </c>
      <c r="H6692" s="2">
        <f>Tabelle13[[#This Row],[commits]]/Tabelle13[[#Totals],[commits]]</f>
        <v>4.6477904404246225E-6</v>
      </c>
      <c r="I6692" s="5">
        <f>Tabelle13[[#This Row],[%]]+I6691</f>
        <v>0.98905445351272814</v>
      </c>
      <c r="J6692" s="4">
        <f t="shared" si="241"/>
        <v>1.105583195135434E-4</v>
      </c>
      <c r="K6692" s="5">
        <f t="shared" si="242"/>
        <v>0.73963515754569142</v>
      </c>
    </row>
    <row r="6693" spans="1:11" x14ac:dyDescent="0.25">
      <c r="A6693" t="s">
        <v>8115</v>
      </c>
      <c r="C6693" t="s">
        <v>8116</v>
      </c>
      <c r="D6693" t="s">
        <v>5</v>
      </c>
      <c r="E6693" t="s">
        <v>6</v>
      </c>
      <c r="F6693" t="s">
        <v>28</v>
      </c>
      <c r="G6693">
        <v>1</v>
      </c>
      <c r="H6693" s="2">
        <f>Tabelle13[[#This Row],[commits]]/Tabelle13[[#Totals],[commits]]</f>
        <v>4.6477904404246225E-6</v>
      </c>
      <c r="I6693" s="5">
        <f>Tabelle13[[#This Row],[%]]+I6692</f>
        <v>0.98905910130316854</v>
      </c>
      <c r="J6693" s="4">
        <f t="shared" si="241"/>
        <v>1.105583195135434E-4</v>
      </c>
      <c r="K6693" s="5">
        <f t="shared" si="242"/>
        <v>0.73974571586520499</v>
      </c>
    </row>
    <row r="6694" spans="1:11" x14ac:dyDescent="0.25">
      <c r="A6694" t="s">
        <v>8117</v>
      </c>
      <c r="C6694" t="s">
        <v>8118</v>
      </c>
      <c r="D6694" t="s">
        <v>5</v>
      </c>
      <c r="E6694" t="s">
        <v>6</v>
      </c>
      <c r="F6694" t="s">
        <v>28</v>
      </c>
      <c r="G6694">
        <v>1</v>
      </c>
      <c r="H6694" s="2">
        <f>Tabelle13[[#This Row],[commits]]/Tabelle13[[#Totals],[commits]]</f>
        <v>4.6477904404246225E-6</v>
      </c>
      <c r="I6694" s="5">
        <f>Tabelle13[[#This Row],[%]]+I6693</f>
        <v>0.98906374909360895</v>
      </c>
      <c r="J6694" s="4">
        <f t="shared" si="241"/>
        <v>1.105583195135434E-4</v>
      </c>
      <c r="K6694" s="5">
        <f t="shared" si="242"/>
        <v>0.73985627418471855</v>
      </c>
    </row>
    <row r="6695" spans="1:11" x14ac:dyDescent="0.25">
      <c r="A6695" t="s">
        <v>8119</v>
      </c>
      <c r="C6695" t="s">
        <v>8120</v>
      </c>
      <c r="D6695" t="s">
        <v>5</v>
      </c>
      <c r="E6695" t="s">
        <v>6</v>
      </c>
      <c r="F6695" t="s">
        <v>28</v>
      </c>
      <c r="G6695">
        <v>1</v>
      </c>
      <c r="H6695" s="2">
        <f>Tabelle13[[#This Row],[commits]]/Tabelle13[[#Totals],[commits]]</f>
        <v>4.6477904404246225E-6</v>
      </c>
      <c r="I6695" s="5">
        <f>Tabelle13[[#This Row],[%]]+I6694</f>
        <v>0.98906839688404935</v>
      </c>
      <c r="J6695" s="4">
        <f t="shared" si="241"/>
        <v>1.105583195135434E-4</v>
      </c>
      <c r="K6695" s="5">
        <f t="shared" si="242"/>
        <v>0.73996683250423212</v>
      </c>
    </row>
    <row r="6696" spans="1:11" x14ac:dyDescent="0.25">
      <c r="A6696" t="s">
        <v>8121</v>
      </c>
      <c r="C6696" t="s">
        <v>8122</v>
      </c>
      <c r="D6696" t="s">
        <v>5</v>
      </c>
      <c r="E6696" t="s">
        <v>6</v>
      </c>
      <c r="F6696" t="s">
        <v>28</v>
      </c>
      <c r="G6696">
        <v>1</v>
      </c>
      <c r="H6696" s="2">
        <f>Tabelle13[[#This Row],[commits]]/Tabelle13[[#Totals],[commits]]</f>
        <v>4.6477904404246225E-6</v>
      </c>
      <c r="I6696" s="5">
        <f>Tabelle13[[#This Row],[%]]+I6695</f>
        <v>0.98907304467448975</v>
      </c>
      <c r="J6696" s="4">
        <f t="shared" si="241"/>
        <v>1.105583195135434E-4</v>
      </c>
      <c r="K6696" s="5">
        <f t="shared" si="242"/>
        <v>0.74007739082374568</v>
      </c>
    </row>
    <row r="6697" spans="1:11" x14ac:dyDescent="0.25">
      <c r="A6697" t="s">
        <v>8123</v>
      </c>
      <c r="C6697" t="s">
        <v>8124</v>
      </c>
      <c r="D6697" t="s">
        <v>5</v>
      </c>
      <c r="E6697" t="s">
        <v>6</v>
      </c>
      <c r="F6697" t="s">
        <v>28</v>
      </c>
      <c r="G6697">
        <v>1</v>
      </c>
      <c r="H6697" s="2">
        <f>Tabelle13[[#This Row],[commits]]/Tabelle13[[#Totals],[commits]]</f>
        <v>4.6477904404246225E-6</v>
      </c>
      <c r="I6697" s="5">
        <f>Tabelle13[[#This Row],[%]]+I6696</f>
        <v>0.98907769246493016</v>
      </c>
      <c r="J6697" s="4">
        <f t="shared" si="241"/>
        <v>1.105583195135434E-4</v>
      </c>
      <c r="K6697" s="5">
        <f t="shared" si="242"/>
        <v>0.74018794914325925</v>
      </c>
    </row>
    <row r="6698" spans="1:11" x14ac:dyDescent="0.25">
      <c r="A6698" t="s">
        <v>8125</v>
      </c>
      <c r="C6698" t="s">
        <v>8126</v>
      </c>
      <c r="D6698" t="s">
        <v>5</v>
      </c>
      <c r="E6698" t="s">
        <v>6</v>
      </c>
      <c r="F6698" t="s">
        <v>28</v>
      </c>
      <c r="G6698">
        <v>1</v>
      </c>
      <c r="H6698" s="2">
        <f>Tabelle13[[#This Row],[commits]]/Tabelle13[[#Totals],[commits]]</f>
        <v>4.6477904404246225E-6</v>
      </c>
      <c r="I6698" s="5">
        <f>Tabelle13[[#This Row],[%]]+I6697</f>
        <v>0.98908234025537056</v>
      </c>
      <c r="J6698" s="4">
        <f t="shared" si="241"/>
        <v>1.105583195135434E-4</v>
      </c>
      <c r="K6698" s="5">
        <f t="shared" si="242"/>
        <v>0.74029850746277281</v>
      </c>
    </row>
    <row r="6699" spans="1:11" x14ac:dyDescent="0.25">
      <c r="A6699" t="s">
        <v>8127</v>
      </c>
      <c r="C6699" t="s">
        <v>8128</v>
      </c>
      <c r="D6699" t="s">
        <v>5</v>
      </c>
      <c r="E6699" t="s">
        <v>6</v>
      </c>
      <c r="F6699" t="s">
        <v>28</v>
      </c>
      <c r="G6699">
        <v>1</v>
      </c>
      <c r="H6699" s="2">
        <f>Tabelle13[[#This Row],[commits]]/Tabelle13[[#Totals],[commits]]</f>
        <v>4.6477904404246225E-6</v>
      </c>
      <c r="I6699" s="5">
        <f>Tabelle13[[#This Row],[%]]+I6698</f>
        <v>0.98908698804581097</v>
      </c>
      <c r="J6699" s="4">
        <f t="shared" si="241"/>
        <v>1.105583195135434E-4</v>
      </c>
      <c r="K6699" s="5">
        <f t="shared" si="242"/>
        <v>0.74040906578228638</v>
      </c>
    </row>
    <row r="6700" spans="1:11" x14ac:dyDescent="0.25">
      <c r="A6700" t="s">
        <v>8129</v>
      </c>
      <c r="C6700" t="s">
        <v>8130</v>
      </c>
      <c r="D6700" t="s">
        <v>5</v>
      </c>
      <c r="E6700" t="s">
        <v>6</v>
      </c>
      <c r="F6700" t="s">
        <v>28</v>
      </c>
      <c r="G6700">
        <v>1</v>
      </c>
      <c r="H6700" s="2">
        <f>Tabelle13[[#This Row],[commits]]/Tabelle13[[#Totals],[commits]]</f>
        <v>4.6477904404246225E-6</v>
      </c>
      <c r="I6700" s="5">
        <f>Tabelle13[[#This Row],[%]]+I6699</f>
        <v>0.98909163583625137</v>
      </c>
      <c r="J6700" s="4">
        <f t="shared" si="241"/>
        <v>1.105583195135434E-4</v>
      </c>
      <c r="K6700" s="5">
        <f t="shared" si="242"/>
        <v>0.74051962410179994</v>
      </c>
    </row>
    <row r="6701" spans="1:11" x14ac:dyDescent="0.25">
      <c r="A6701" t="s">
        <v>8131</v>
      </c>
      <c r="C6701" t="s">
        <v>8132</v>
      </c>
      <c r="D6701" t="s">
        <v>5</v>
      </c>
      <c r="E6701" t="s">
        <v>6</v>
      </c>
      <c r="F6701" t="s">
        <v>28</v>
      </c>
      <c r="G6701">
        <v>1</v>
      </c>
      <c r="H6701" s="2">
        <f>Tabelle13[[#This Row],[commits]]/Tabelle13[[#Totals],[commits]]</f>
        <v>4.6477904404246225E-6</v>
      </c>
      <c r="I6701" s="5">
        <f>Tabelle13[[#This Row],[%]]+I6700</f>
        <v>0.98909628362669177</v>
      </c>
      <c r="J6701" s="4">
        <f t="shared" si="241"/>
        <v>1.105583195135434E-4</v>
      </c>
      <c r="K6701" s="5">
        <f t="shared" si="242"/>
        <v>0.74063018242131351</v>
      </c>
    </row>
    <row r="6702" spans="1:11" x14ac:dyDescent="0.25">
      <c r="A6702" t="s">
        <v>8133</v>
      </c>
      <c r="C6702" t="s">
        <v>8134</v>
      </c>
      <c r="D6702" t="s">
        <v>5</v>
      </c>
      <c r="E6702" t="s">
        <v>6</v>
      </c>
      <c r="F6702" t="s">
        <v>28</v>
      </c>
      <c r="G6702">
        <v>1</v>
      </c>
      <c r="H6702" s="2">
        <f>Tabelle13[[#This Row],[commits]]/Tabelle13[[#Totals],[commits]]</f>
        <v>4.6477904404246225E-6</v>
      </c>
      <c r="I6702" s="5">
        <f>Tabelle13[[#This Row],[%]]+I6701</f>
        <v>0.98910093141713218</v>
      </c>
      <c r="J6702" s="4">
        <f t="shared" si="241"/>
        <v>1.105583195135434E-4</v>
      </c>
      <c r="K6702" s="5">
        <f t="shared" si="242"/>
        <v>0.74074074074082707</v>
      </c>
    </row>
    <row r="6703" spans="1:11" x14ac:dyDescent="0.25">
      <c r="A6703" t="s">
        <v>8135</v>
      </c>
      <c r="C6703" t="s">
        <v>8136</v>
      </c>
      <c r="D6703" t="s">
        <v>5</v>
      </c>
      <c r="E6703" t="s">
        <v>6</v>
      </c>
      <c r="F6703" t="s">
        <v>28</v>
      </c>
      <c r="G6703">
        <v>1</v>
      </c>
      <c r="H6703" s="2">
        <f>Tabelle13[[#This Row],[commits]]/Tabelle13[[#Totals],[commits]]</f>
        <v>4.6477904404246225E-6</v>
      </c>
      <c r="I6703" s="5">
        <f>Tabelle13[[#This Row],[%]]+I6702</f>
        <v>0.98910557920757258</v>
      </c>
      <c r="J6703" s="4">
        <f t="shared" si="241"/>
        <v>1.105583195135434E-4</v>
      </c>
      <c r="K6703" s="5">
        <f t="shared" si="242"/>
        <v>0.74085129906034064</v>
      </c>
    </row>
    <row r="6704" spans="1:11" x14ac:dyDescent="0.25">
      <c r="A6704" t="s">
        <v>8137</v>
      </c>
      <c r="C6704" t="s">
        <v>8138</v>
      </c>
      <c r="D6704" t="s">
        <v>5</v>
      </c>
      <c r="E6704" t="s">
        <v>6</v>
      </c>
      <c r="F6704" t="s">
        <v>251</v>
      </c>
      <c r="G6704">
        <v>1</v>
      </c>
      <c r="H6704" s="2">
        <f>Tabelle13[[#This Row],[commits]]/Tabelle13[[#Totals],[commits]]</f>
        <v>4.6477904404246225E-6</v>
      </c>
      <c r="I6704" s="5">
        <f>Tabelle13[[#This Row],[%]]+I6703</f>
        <v>0.98911022699801299</v>
      </c>
      <c r="J6704" s="4">
        <f t="shared" si="241"/>
        <v>1.105583195135434E-4</v>
      </c>
      <c r="K6704" s="5">
        <f t="shared" si="242"/>
        <v>0.74096185737985421</v>
      </c>
    </row>
    <row r="6705" spans="1:11" x14ac:dyDescent="0.25">
      <c r="A6705" t="s">
        <v>8139</v>
      </c>
      <c r="C6705" t="s">
        <v>8140</v>
      </c>
      <c r="D6705" t="s">
        <v>5</v>
      </c>
      <c r="E6705" t="s">
        <v>6</v>
      </c>
      <c r="F6705" t="s">
        <v>28</v>
      </c>
      <c r="G6705">
        <v>1</v>
      </c>
      <c r="H6705" s="2">
        <f>Tabelle13[[#This Row],[commits]]/Tabelle13[[#Totals],[commits]]</f>
        <v>4.6477904404246225E-6</v>
      </c>
      <c r="I6705" s="5">
        <f>Tabelle13[[#This Row],[%]]+I6704</f>
        <v>0.98911487478845339</v>
      </c>
      <c r="J6705" s="4">
        <f t="shared" si="241"/>
        <v>1.105583195135434E-4</v>
      </c>
      <c r="K6705" s="5">
        <f t="shared" si="242"/>
        <v>0.74107241569936777</v>
      </c>
    </row>
    <row r="6706" spans="1:11" x14ac:dyDescent="0.25">
      <c r="A6706" t="s">
        <v>8141</v>
      </c>
      <c r="C6706" t="s">
        <v>8142</v>
      </c>
      <c r="D6706" t="s">
        <v>5</v>
      </c>
      <c r="E6706" t="s">
        <v>6</v>
      </c>
      <c r="F6706" t="s">
        <v>28</v>
      </c>
      <c r="G6706">
        <v>1</v>
      </c>
      <c r="H6706" s="2">
        <f>Tabelle13[[#This Row],[commits]]/Tabelle13[[#Totals],[commits]]</f>
        <v>4.6477904404246225E-6</v>
      </c>
      <c r="I6706" s="5">
        <f>Tabelle13[[#This Row],[%]]+I6705</f>
        <v>0.9891195225788938</v>
      </c>
      <c r="J6706" s="4">
        <f t="shared" si="241"/>
        <v>1.105583195135434E-4</v>
      </c>
      <c r="K6706" s="5">
        <f t="shared" si="242"/>
        <v>0.74118297401888134</v>
      </c>
    </row>
    <row r="6707" spans="1:11" x14ac:dyDescent="0.25">
      <c r="A6707" t="s">
        <v>8143</v>
      </c>
      <c r="C6707" t="s">
        <v>8144</v>
      </c>
      <c r="D6707" t="s">
        <v>5</v>
      </c>
      <c r="E6707" t="s">
        <v>6</v>
      </c>
      <c r="F6707" t="s">
        <v>28</v>
      </c>
      <c r="G6707">
        <v>1</v>
      </c>
      <c r="H6707" s="2">
        <f>Tabelle13[[#This Row],[commits]]/Tabelle13[[#Totals],[commits]]</f>
        <v>4.6477904404246225E-6</v>
      </c>
      <c r="I6707" s="5">
        <f>Tabelle13[[#This Row],[%]]+I6706</f>
        <v>0.9891241703693342</v>
      </c>
      <c r="J6707" s="4">
        <f t="shared" si="241"/>
        <v>1.105583195135434E-4</v>
      </c>
      <c r="K6707" s="5">
        <f t="shared" si="242"/>
        <v>0.7412935323383949</v>
      </c>
    </row>
    <row r="6708" spans="1:11" x14ac:dyDescent="0.25">
      <c r="A6708" t="s">
        <v>8145</v>
      </c>
      <c r="C6708" t="s">
        <v>8146</v>
      </c>
      <c r="D6708" t="s">
        <v>5</v>
      </c>
      <c r="E6708" t="s">
        <v>6</v>
      </c>
      <c r="F6708" t="s">
        <v>28</v>
      </c>
      <c r="G6708">
        <v>1</v>
      </c>
      <c r="H6708" s="2">
        <f>Tabelle13[[#This Row],[commits]]/Tabelle13[[#Totals],[commits]]</f>
        <v>4.6477904404246225E-6</v>
      </c>
      <c r="I6708" s="5">
        <f>Tabelle13[[#This Row],[%]]+I6707</f>
        <v>0.9891288181597746</v>
      </c>
      <c r="J6708" s="4">
        <f t="shared" si="241"/>
        <v>1.105583195135434E-4</v>
      </c>
      <c r="K6708" s="5">
        <f t="shared" si="242"/>
        <v>0.74140409065790847</v>
      </c>
    </row>
    <row r="6709" spans="1:11" x14ac:dyDescent="0.25">
      <c r="A6709" t="s">
        <v>8147</v>
      </c>
      <c r="C6709" t="s">
        <v>8148</v>
      </c>
      <c r="D6709" t="s">
        <v>5</v>
      </c>
      <c r="E6709" t="s">
        <v>6</v>
      </c>
      <c r="F6709" t="s">
        <v>28</v>
      </c>
      <c r="G6709">
        <v>1</v>
      </c>
      <c r="H6709" s="2">
        <f>Tabelle13[[#This Row],[commits]]/Tabelle13[[#Totals],[commits]]</f>
        <v>4.6477904404246225E-6</v>
      </c>
      <c r="I6709" s="5">
        <f>Tabelle13[[#This Row],[%]]+I6708</f>
        <v>0.98913346595021501</v>
      </c>
      <c r="J6709" s="4">
        <f t="shared" si="241"/>
        <v>1.105583195135434E-4</v>
      </c>
      <c r="K6709" s="5">
        <f t="shared" si="242"/>
        <v>0.74151464897742203</v>
      </c>
    </row>
    <row r="6710" spans="1:11" x14ac:dyDescent="0.25">
      <c r="A6710" t="s">
        <v>8149</v>
      </c>
      <c r="C6710" t="s">
        <v>8150</v>
      </c>
      <c r="D6710" t="s">
        <v>5</v>
      </c>
      <c r="E6710" t="s">
        <v>6</v>
      </c>
      <c r="F6710" t="s">
        <v>28</v>
      </c>
      <c r="G6710">
        <v>1</v>
      </c>
      <c r="H6710" s="2">
        <f>Tabelle13[[#This Row],[commits]]/Tabelle13[[#Totals],[commits]]</f>
        <v>4.6477904404246225E-6</v>
      </c>
      <c r="I6710" s="5">
        <f>Tabelle13[[#This Row],[%]]+I6709</f>
        <v>0.98913811374065541</v>
      </c>
      <c r="J6710" s="4">
        <f t="shared" si="241"/>
        <v>1.105583195135434E-4</v>
      </c>
      <c r="K6710" s="5">
        <f t="shared" si="242"/>
        <v>0.7416252072969356</v>
      </c>
    </row>
    <row r="6711" spans="1:11" x14ac:dyDescent="0.25">
      <c r="A6711" t="s">
        <v>8151</v>
      </c>
      <c r="C6711" t="s">
        <v>8152</v>
      </c>
      <c r="D6711" t="s">
        <v>5</v>
      </c>
      <c r="E6711" t="s">
        <v>6</v>
      </c>
      <c r="F6711" t="s">
        <v>28</v>
      </c>
      <c r="G6711">
        <v>1</v>
      </c>
      <c r="H6711" s="2">
        <f>Tabelle13[[#This Row],[commits]]/Tabelle13[[#Totals],[commits]]</f>
        <v>4.6477904404246225E-6</v>
      </c>
      <c r="I6711" s="5">
        <f>Tabelle13[[#This Row],[%]]+I6710</f>
        <v>0.98914276153109582</v>
      </c>
      <c r="J6711" s="4">
        <f t="shared" si="241"/>
        <v>1.105583195135434E-4</v>
      </c>
      <c r="K6711" s="5">
        <f t="shared" si="242"/>
        <v>0.74173576561644916</v>
      </c>
    </row>
    <row r="6712" spans="1:11" x14ac:dyDescent="0.25">
      <c r="A6712" t="s">
        <v>8153</v>
      </c>
      <c r="C6712" t="s">
        <v>8154</v>
      </c>
      <c r="D6712" t="s">
        <v>5</v>
      </c>
      <c r="E6712" t="s">
        <v>6</v>
      </c>
      <c r="F6712" t="s">
        <v>28</v>
      </c>
      <c r="G6712">
        <v>1</v>
      </c>
      <c r="H6712" s="2">
        <f>Tabelle13[[#This Row],[commits]]/Tabelle13[[#Totals],[commits]]</f>
        <v>4.6477904404246225E-6</v>
      </c>
      <c r="I6712" s="5">
        <f>Tabelle13[[#This Row],[%]]+I6711</f>
        <v>0.98914740932153622</v>
      </c>
      <c r="J6712" s="4">
        <f t="shared" si="241"/>
        <v>1.105583195135434E-4</v>
      </c>
      <c r="K6712" s="5">
        <f t="shared" si="242"/>
        <v>0.74184632393596273</v>
      </c>
    </row>
    <row r="6713" spans="1:11" x14ac:dyDescent="0.25">
      <c r="A6713" t="s">
        <v>8155</v>
      </c>
      <c r="C6713" t="s">
        <v>8156</v>
      </c>
      <c r="D6713" t="s">
        <v>5</v>
      </c>
      <c r="E6713" t="s">
        <v>6</v>
      </c>
      <c r="F6713" t="s">
        <v>28</v>
      </c>
      <c r="G6713">
        <v>1</v>
      </c>
      <c r="H6713" s="2">
        <f>Tabelle13[[#This Row],[commits]]/Tabelle13[[#Totals],[commits]]</f>
        <v>4.6477904404246225E-6</v>
      </c>
      <c r="I6713" s="5">
        <f>Tabelle13[[#This Row],[%]]+I6712</f>
        <v>0.98915205711197662</v>
      </c>
      <c r="J6713" s="4">
        <f t="shared" si="241"/>
        <v>1.105583195135434E-4</v>
      </c>
      <c r="K6713" s="5">
        <f t="shared" si="242"/>
        <v>0.74195688225547629</v>
      </c>
    </row>
    <row r="6714" spans="1:11" x14ac:dyDescent="0.25">
      <c r="A6714" t="s">
        <v>8157</v>
      </c>
      <c r="C6714" t="s">
        <v>8158</v>
      </c>
      <c r="D6714" t="s">
        <v>5</v>
      </c>
      <c r="E6714" t="s">
        <v>6</v>
      </c>
      <c r="F6714" t="s">
        <v>28</v>
      </c>
      <c r="G6714">
        <v>1</v>
      </c>
      <c r="H6714" s="2">
        <f>Tabelle13[[#This Row],[commits]]/Tabelle13[[#Totals],[commits]]</f>
        <v>4.6477904404246225E-6</v>
      </c>
      <c r="I6714" s="5">
        <f>Tabelle13[[#This Row],[%]]+I6713</f>
        <v>0.98915670490241703</v>
      </c>
      <c r="J6714" s="4">
        <f t="shared" si="241"/>
        <v>1.105583195135434E-4</v>
      </c>
      <c r="K6714" s="5">
        <f t="shared" si="242"/>
        <v>0.74206744057498986</v>
      </c>
    </row>
    <row r="6715" spans="1:11" x14ac:dyDescent="0.25">
      <c r="A6715" t="s">
        <v>8159</v>
      </c>
      <c r="C6715" t="s">
        <v>8160</v>
      </c>
      <c r="D6715" t="s">
        <v>5</v>
      </c>
      <c r="E6715" t="s">
        <v>6</v>
      </c>
      <c r="F6715" t="s">
        <v>28</v>
      </c>
      <c r="G6715">
        <v>1</v>
      </c>
      <c r="H6715" s="2">
        <f>Tabelle13[[#This Row],[commits]]/Tabelle13[[#Totals],[commits]]</f>
        <v>4.6477904404246225E-6</v>
      </c>
      <c r="I6715" s="5">
        <f>Tabelle13[[#This Row],[%]]+I6714</f>
        <v>0.98916135269285743</v>
      </c>
      <c r="J6715" s="4">
        <f t="shared" si="241"/>
        <v>1.105583195135434E-4</v>
      </c>
      <c r="K6715" s="5">
        <f t="shared" si="242"/>
        <v>0.74217799889450342</v>
      </c>
    </row>
    <row r="6716" spans="1:11" x14ac:dyDescent="0.25">
      <c r="A6716" t="s">
        <v>8161</v>
      </c>
      <c r="C6716" t="s">
        <v>8162</v>
      </c>
      <c r="D6716" t="s">
        <v>5</v>
      </c>
      <c r="E6716" t="s">
        <v>6</v>
      </c>
      <c r="F6716" t="s">
        <v>28</v>
      </c>
      <c r="G6716">
        <v>1</v>
      </c>
      <c r="H6716" s="2">
        <f>Tabelle13[[#This Row],[commits]]/Tabelle13[[#Totals],[commits]]</f>
        <v>4.6477904404246225E-6</v>
      </c>
      <c r="I6716" s="5">
        <f>Tabelle13[[#This Row],[%]]+I6715</f>
        <v>0.98916600048329784</v>
      </c>
      <c r="J6716" s="4">
        <f t="shared" si="241"/>
        <v>1.105583195135434E-4</v>
      </c>
      <c r="K6716" s="5">
        <f t="shared" si="242"/>
        <v>0.74228855721401699</v>
      </c>
    </row>
    <row r="6717" spans="1:11" x14ac:dyDescent="0.25">
      <c r="A6717" t="s">
        <v>8163</v>
      </c>
      <c r="C6717" t="s">
        <v>8164</v>
      </c>
      <c r="D6717" t="s">
        <v>5</v>
      </c>
      <c r="E6717" t="s">
        <v>6</v>
      </c>
      <c r="F6717" t="s">
        <v>28</v>
      </c>
      <c r="G6717">
        <v>1</v>
      </c>
      <c r="H6717" s="2">
        <f>Tabelle13[[#This Row],[commits]]/Tabelle13[[#Totals],[commits]]</f>
        <v>4.6477904404246225E-6</v>
      </c>
      <c r="I6717" s="5">
        <f>Tabelle13[[#This Row],[%]]+I6716</f>
        <v>0.98917064827373824</v>
      </c>
      <c r="J6717" s="4">
        <f t="shared" si="241"/>
        <v>1.105583195135434E-4</v>
      </c>
      <c r="K6717" s="5">
        <f t="shared" si="242"/>
        <v>0.74239911553353055</v>
      </c>
    </row>
    <row r="6718" spans="1:11" x14ac:dyDescent="0.25">
      <c r="A6718" t="s">
        <v>8165</v>
      </c>
      <c r="C6718" t="s">
        <v>8166</v>
      </c>
      <c r="D6718" t="s">
        <v>5</v>
      </c>
      <c r="E6718" t="s">
        <v>6</v>
      </c>
      <c r="F6718" t="s">
        <v>28</v>
      </c>
      <c r="G6718">
        <v>1</v>
      </c>
      <c r="H6718" s="2">
        <f>Tabelle13[[#This Row],[commits]]/Tabelle13[[#Totals],[commits]]</f>
        <v>4.6477904404246225E-6</v>
      </c>
      <c r="I6718" s="5">
        <f>Tabelle13[[#This Row],[%]]+I6717</f>
        <v>0.98917529606417864</v>
      </c>
      <c r="J6718" s="4">
        <f t="shared" si="241"/>
        <v>1.105583195135434E-4</v>
      </c>
      <c r="K6718" s="5">
        <f t="shared" si="242"/>
        <v>0.74250967385304412</v>
      </c>
    </row>
    <row r="6719" spans="1:11" x14ac:dyDescent="0.25">
      <c r="A6719" t="s">
        <v>8167</v>
      </c>
      <c r="C6719" t="s">
        <v>8168</v>
      </c>
      <c r="D6719" t="s">
        <v>5</v>
      </c>
      <c r="E6719" t="s">
        <v>6</v>
      </c>
      <c r="F6719" t="s">
        <v>28</v>
      </c>
      <c r="G6719">
        <v>1</v>
      </c>
      <c r="H6719" s="2">
        <f>Tabelle13[[#This Row],[commits]]/Tabelle13[[#Totals],[commits]]</f>
        <v>4.6477904404246225E-6</v>
      </c>
      <c r="I6719" s="5">
        <f>Tabelle13[[#This Row],[%]]+I6718</f>
        <v>0.98917994385461905</v>
      </c>
      <c r="J6719" s="4">
        <f t="shared" si="241"/>
        <v>1.105583195135434E-4</v>
      </c>
      <c r="K6719" s="5">
        <f t="shared" si="242"/>
        <v>0.74262023217255768</v>
      </c>
    </row>
    <row r="6720" spans="1:11" x14ac:dyDescent="0.25">
      <c r="A6720" t="s">
        <v>8169</v>
      </c>
      <c r="C6720" t="s">
        <v>8170</v>
      </c>
      <c r="D6720" t="s">
        <v>5</v>
      </c>
      <c r="E6720" t="s">
        <v>6</v>
      </c>
      <c r="F6720" t="s">
        <v>28</v>
      </c>
      <c r="G6720">
        <v>1</v>
      </c>
      <c r="H6720" s="2">
        <f>Tabelle13[[#This Row],[commits]]/Tabelle13[[#Totals],[commits]]</f>
        <v>4.6477904404246225E-6</v>
      </c>
      <c r="I6720" s="5">
        <f>Tabelle13[[#This Row],[%]]+I6719</f>
        <v>0.98918459164505945</v>
      </c>
      <c r="J6720" s="4">
        <f t="shared" si="241"/>
        <v>1.105583195135434E-4</v>
      </c>
      <c r="K6720" s="5">
        <f t="shared" si="242"/>
        <v>0.74273079049207125</v>
      </c>
    </row>
    <row r="6721" spans="1:11" x14ac:dyDescent="0.25">
      <c r="A6721" t="s">
        <v>8171</v>
      </c>
      <c r="C6721" t="s">
        <v>8172</v>
      </c>
      <c r="D6721" t="s">
        <v>5</v>
      </c>
      <c r="E6721" t="s">
        <v>6</v>
      </c>
      <c r="F6721" t="s">
        <v>28</v>
      </c>
      <c r="G6721">
        <v>1</v>
      </c>
      <c r="H6721" s="2">
        <f>Tabelle13[[#This Row],[commits]]/Tabelle13[[#Totals],[commits]]</f>
        <v>4.6477904404246225E-6</v>
      </c>
      <c r="I6721" s="5">
        <f>Tabelle13[[#This Row],[%]]+I6720</f>
        <v>0.98918923943549986</v>
      </c>
      <c r="J6721" s="4">
        <f t="shared" si="241"/>
        <v>1.105583195135434E-4</v>
      </c>
      <c r="K6721" s="5">
        <f t="shared" si="242"/>
        <v>0.74284134881158481</v>
      </c>
    </row>
    <row r="6722" spans="1:11" x14ac:dyDescent="0.25">
      <c r="A6722" t="s">
        <v>8173</v>
      </c>
      <c r="C6722" t="s">
        <v>8174</v>
      </c>
      <c r="D6722" t="s">
        <v>5</v>
      </c>
      <c r="E6722" t="s">
        <v>6</v>
      </c>
      <c r="F6722" t="s">
        <v>28</v>
      </c>
      <c r="G6722">
        <v>1</v>
      </c>
      <c r="H6722" s="2">
        <f>Tabelle13[[#This Row],[commits]]/Tabelle13[[#Totals],[commits]]</f>
        <v>4.6477904404246225E-6</v>
      </c>
      <c r="I6722" s="5">
        <f>Tabelle13[[#This Row],[%]]+I6721</f>
        <v>0.98919388722594026</v>
      </c>
      <c r="J6722" s="4">
        <f t="shared" si="241"/>
        <v>1.105583195135434E-4</v>
      </c>
      <c r="K6722" s="5">
        <f t="shared" si="242"/>
        <v>0.74295190713109838</v>
      </c>
    </row>
    <row r="6723" spans="1:11" x14ac:dyDescent="0.25">
      <c r="A6723" t="s">
        <v>8175</v>
      </c>
      <c r="C6723" t="s">
        <v>8176</v>
      </c>
      <c r="D6723" t="s">
        <v>5</v>
      </c>
      <c r="E6723" t="s">
        <v>6</v>
      </c>
      <c r="F6723" t="s">
        <v>28</v>
      </c>
      <c r="G6723">
        <v>1</v>
      </c>
      <c r="H6723" s="2">
        <f>Tabelle13[[#This Row],[commits]]/Tabelle13[[#Totals],[commits]]</f>
        <v>4.6477904404246225E-6</v>
      </c>
      <c r="I6723" s="5">
        <f>Tabelle13[[#This Row],[%]]+I6722</f>
        <v>0.98919853501638066</v>
      </c>
      <c r="J6723" s="4">
        <f t="shared" ref="J6723:J6786" si="243">1/9045</f>
        <v>1.105583195135434E-4</v>
      </c>
      <c r="K6723" s="5">
        <f t="shared" si="242"/>
        <v>0.74306246545061194</v>
      </c>
    </row>
    <row r="6724" spans="1:11" x14ac:dyDescent="0.25">
      <c r="A6724" t="s">
        <v>8177</v>
      </c>
      <c r="C6724" t="s">
        <v>8178</v>
      </c>
      <c r="D6724" t="s">
        <v>5</v>
      </c>
      <c r="E6724" t="s">
        <v>6</v>
      </c>
      <c r="F6724" t="s">
        <v>28</v>
      </c>
      <c r="G6724">
        <v>1</v>
      </c>
      <c r="H6724" s="2">
        <f>Tabelle13[[#This Row],[commits]]/Tabelle13[[#Totals],[commits]]</f>
        <v>4.6477904404246225E-6</v>
      </c>
      <c r="I6724" s="5">
        <f>Tabelle13[[#This Row],[%]]+I6723</f>
        <v>0.98920318280682107</v>
      </c>
      <c r="J6724" s="4">
        <f t="shared" si="243"/>
        <v>1.105583195135434E-4</v>
      </c>
      <c r="K6724" s="5">
        <f t="shared" si="242"/>
        <v>0.74317302377012551</v>
      </c>
    </row>
    <row r="6725" spans="1:11" x14ac:dyDescent="0.25">
      <c r="A6725" t="s">
        <v>8179</v>
      </c>
      <c r="C6725" t="s">
        <v>5273</v>
      </c>
      <c r="D6725" t="s">
        <v>5</v>
      </c>
      <c r="E6725" t="s">
        <v>6</v>
      </c>
      <c r="F6725" t="s">
        <v>28</v>
      </c>
      <c r="G6725">
        <v>1</v>
      </c>
      <c r="H6725" s="2">
        <f>Tabelle13[[#This Row],[commits]]/Tabelle13[[#Totals],[commits]]</f>
        <v>4.6477904404246225E-6</v>
      </c>
      <c r="I6725" s="5">
        <f>Tabelle13[[#This Row],[%]]+I6724</f>
        <v>0.98920783059726147</v>
      </c>
      <c r="J6725" s="4">
        <f t="shared" si="243"/>
        <v>1.105583195135434E-4</v>
      </c>
      <c r="K6725" s="5">
        <f t="shared" si="242"/>
        <v>0.74328358208963907</v>
      </c>
    </row>
    <row r="6726" spans="1:11" x14ac:dyDescent="0.25">
      <c r="A6726" t="s">
        <v>8180</v>
      </c>
      <c r="C6726" t="s">
        <v>5273</v>
      </c>
      <c r="D6726" t="s">
        <v>5</v>
      </c>
      <c r="E6726" t="s">
        <v>6</v>
      </c>
      <c r="F6726" t="s">
        <v>28</v>
      </c>
      <c r="G6726">
        <v>1</v>
      </c>
      <c r="H6726" s="2">
        <f>Tabelle13[[#This Row],[commits]]/Tabelle13[[#Totals],[commits]]</f>
        <v>4.6477904404246225E-6</v>
      </c>
      <c r="I6726" s="5">
        <f>Tabelle13[[#This Row],[%]]+I6725</f>
        <v>0.98921247838770188</v>
      </c>
      <c r="J6726" s="4">
        <f t="shared" si="243"/>
        <v>1.105583195135434E-4</v>
      </c>
      <c r="K6726" s="5">
        <f t="shared" ref="K6726:K6789" si="244">J6726+K6725</f>
        <v>0.74339414040915264</v>
      </c>
    </row>
    <row r="6727" spans="1:11" x14ac:dyDescent="0.25">
      <c r="A6727" t="s">
        <v>8181</v>
      </c>
      <c r="C6727" t="s">
        <v>8182</v>
      </c>
      <c r="D6727" t="s">
        <v>5</v>
      </c>
      <c r="E6727" t="s">
        <v>6</v>
      </c>
      <c r="F6727" t="s">
        <v>28</v>
      </c>
      <c r="G6727">
        <v>1</v>
      </c>
      <c r="H6727" s="2">
        <f>Tabelle13[[#This Row],[commits]]/Tabelle13[[#Totals],[commits]]</f>
        <v>4.6477904404246225E-6</v>
      </c>
      <c r="I6727" s="5">
        <f>Tabelle13[[#This Row],[%]]+I6726</f>
        <v>0.98921712617814228</v>
      </c>
      <c r="J6727" s="4">
        <f t="shared" si="243"/>
        <v>1.105583195135434E-4</v>
      </c>
      <c r="K6727" s="5">
        <f t="shared" si="244"/>
        <v>0.7435046987286662</v>
      </c>
    </row>
    <row r="6728" spans="1:11" x14ac:dyDescent="0.25">
      <c r="A6728" t="s">
        <v>8183</v>
      </c>
      <c r="C6728" t="s">
        <v>8184</v>
      </c>
      <c r="D6728" t="s">
        <v>5</v>
      </c>
      <c r="E6728" t="s">
        <v>6</v>
      </c>
      <c r="F6728" t="s">
        <v>28</v>
      </c>
      <c r="G6728">
        <v>1</v>
      </c>
      <c r="H6728" s="2">
        <f>Tabelle13[[#This Row],[commits]]/Tabelle13[[#Totals],[commits]]</f>
        <v>4.6477904404246225E-6</v>
      </c>
      <c r="I6728" s="5">
        <f>Tabelle13[[#This Row],[%]]+I6727</f>
        <v>0.98922177396858268</v>
      </c>
      <c r="J6728" s="4">
        <f t="shared" si="243"/>
        <v>1.105583195135434E-4</v>
      </c>
      <c r="K6728" s="5">
        <f t="shared" si="244"/>
        <v>0.74361525704817977</v>
      </c>
    </row>
    <row r="6729" spans="1:11" x14ac:dyDescent="0.25">
      <c r="A6729" t="s">
        <v>8185</v>
      </c>
      <c r="C6729" t="s">
        <v>8186</v>
      </c>
      <c r="D6729" t="s">
        <v>5</v>
      </c>
      <c r="E6729" t="s">
        <v>6</v>
      </c>
      <c r="F6729" t="s">
        <v>28</v>
      </c>
      <c r="G6729">
        <v>1</v>
      </c>
      <c r="H6729" s="2">
        <f>Tabelle13[[#This Row],[commits]]/Tabelle13[[#Totals],[commits]]</f>
        <v>4.6477904404246225E-6</v>
      </c>
      <c r="I6729" s="5">
        <f>Tabelle13[[#This Row],[%]]+I6728</f>
        <v>0.98922642175902309</v>
      </c>
      <c r="J6729" s="4">
        <f t="shared" si="243"/>
        <v>1.105583195135434E-4</v>
      </c>
      <c r="K6729" s="5">
        <f t="shared" si="244"/>
        <v>0.74372581536769333</v>
      </c>
    </row>
    <row r="6730" spans="1:11" x14ac:dyDescent="0.25">
      <c r="A6730" t="s">
        <v>8187</v>
      </c>
      <c r="C6730" t="s">
        <v>8188</v>
      </c>
      <c r="D6730" t="s">
        <v>5</v>
      </c>
      <c r="E6730" t="s">
        <v>6</v>
      </c>
      <c r="F6730" t="s">
        <v>28</v>
      </c>
      <c r="G6730">
        <v>1</v>
      </c>
      <c r="H6730" s="2">
        <f>Tabelle13[[#This Row],[commits]]/Tabelle13[[#Totals],[commits]]</f>
        <v>4.6477904404246225E-6</v>
      </c>
      <c r="I6730" s="5">
        <f>Tabelle13[[#This Row],[%]]+I6729</f>
        <v>0.98923106954946349</v>
      </c>
      <c r="J6730" s="4">
        <f t="shared" si="243"/>
        <v>1.105583195135434E-4</v>
      </c>
      <c r="K6730" s="5">
        <f t="shared" si="244"/>
        <v>0.7438363736872069</v>
      </c>
    </row>
    <row r="6731" spans="1:11" x14ac:dyDescent="0.25">
      <c r="A6731" t="s">
        <v>8189</v>
      </c>
      <c r="C6731" t="s">
        <v>8190</v>
      </c>
      <c r="D6731" t="s">
        <v>5</v>
      </c>
      <c r="E6731" t="s">
        <v>6</v>
      </c>
      <c r="F6731" t="s">
        <v>28</v>
      </c>
      <c r="G6731">
        <v>1</v>
      </c>
      <c r="H6731" s="2">
        <f>Tabelle13[[#This Row],[commits]]/Tabelle13[[#Totals],[commits]]</f>
        <v>4.6477904404246225E-6</v>
      </c>
      <c r="I6731" s="5">
        <f>Tabelle13[[#This Row],[%]]+I6730</f>
        <v>0.9892357173399039</v>
      </c>
      <c r="J6731" s="4">
        <f t="shared" si="243"/>
        <v>1.105583195135434E-4</v>
      </c>
      <c r="K6731" s="5">
        <f t="shared" si="244"/>
        <v>0.74394693200672046</v>
      </c>
    </row>
    <row r="6732" spans="1:11" x14ac:dyDescent="0.25">
      <c r="A6732" t="s">
        <v>8191</v>
      </c>
      <c r="C6732" t="s">
        <v>8192</v>
      </c>
      <c r="D6732" t="s">
        <v>5</v>
      </c>
      <c r="E6732" t="s">
        <v>6</v>
      </c>
      <c r="F6732" t="s">
        <v>28</v>
      </c>
      <c r="G6732">
        <v>1</v>
      </c>
      <c r="H6732" s="2">
        <f>Tabelle13[[#This Row],[commits]]/Tabelle13[[#Totals],[commits]]</f>
        <v>4.6477904404246225E-6</v>
      </c>
      <c r="I6732" s="5">
        <f>Tabelle13[[#This Row],[%]]+I6731</f>
        <v>0.9892403651303443</v>
      </c>
      <c r="J6732" s="4">
        <f t="shared" si="243"/>
        <v>1.105583195135434E-4</v>
      </c>
      <c r="K6732" s="5">
        <f t="shared" si="244"/>
        <v>0.74405749032623403</v>
      </c>
    </row>
    <row r="6733" spans="1:11" x14ac:dyDescent="0.25">
      <c r="A6733" t="s">
        <v>8193</v>
      </c>
      <c r="C6733" t="s">
        <v>8194</v>
      </c>
      <c r="D6733" t="s">
        <v>5</v>
      </c>
      <c r="E6733" t="s">
        <v>6</v>
      </c>
      <c r="F6733" t="s">
        <v>28</v>
      </c>
      <c r="G6733">
        <v>1</v>
      </c>
      <c r="H6733" s="2">
        <f>Tabelle13[[#This Row],[commits]]/Tabelle13[[#Totals],[commits]]</f>
        <v>4.6477904404246225E-6</v>
      </c>
      <c r="I6733" s="5">
        <f>Tabelle13[[#This Row],[%]]+I6732</f>
        <v>0.98924501292078471</v>
      </c>
      <c r="J6733" s="4">
        <f t="shared" si="243"/>
        <v>1.105583195135434E-4</v>
      </c>
      <c r="K6733" s="5">
        <f t="shared" si="244"/>
        <v>0.74416804864574759</v>
      </c>
    </row>
    <row r="6734" spans="1:11" x14ac:dyDescent="0.25">
      <c r="A6734" t="s">
        <v>8195</v>
      </c>
      <c r="C6734" t="s">
        <v>8196</v>
      </c>
      <c r="D6734" t="s">
        <v>5</v>
      </c>
      <c r="E6734" t="s">
        <v>6</v>
      </c>
      <c r="F6734" t="s">
        <v>28</v>
      </c>
      <c r="G6734">
        <v>1</v>
      </c>
      <c r="H6734" s="2">
        <f>Tabelle13[[#This Row],[commits]]/Tabelle13[[#Totals],[commits]]</f>
        <v>4.6477904404246225E-6</v>
      </c>
      <c r="I6734" s="5">
        <f>Tabelle13[[#This Row],[%]]+I6733</f>
        <v>0.98924966071122511</v>
      </c>
      <c r="J6734" s="4">
        <f t="shared" si="243"/>
        <v>1.105583195135434E-4</v>
      </c>
      <c r="K6734" s="5">
        <f t="shared" si="244"/>
        <v>0.74427860696526116</v>
      </c>
    </row>
    <row r="6735" spans="1:11" x14ac:dyDescent="0.25">
      <c r="A6735" t="s">
        <v>8197</v>
      </c>
      <c r="C6735" t="s">
        <v>8198</v>
      </c>
      <c r="D6735" t="s">
        <v>5</v>
      </c>
      <c r="E6735" t="s">
        <v>6</v>
      </c>
      <c r="F6735" t="s">
        <v>28</v>
      </c>
      <c r="G6735">
        <v>1</v>
      </c>
      <c r="H6735" s="2">
        <f>Tabelle13[[#This Row],[commits]]/Tabelle13[[#Totals],[commits]]</f>
        <v>4.6477904404246225E-6</v>
      </c>
      <c r="I6735" s="5">
        <f>Tabelle13[[#This Row],[%]]+I6734</f>
        <v>0.98925430850166551</v>
      </c>
      <c r="J6735" s="4">
        <f t="shared" si="243"/>
        <v>1.105583195135434E-4</v>
      </c>
      <c r="K6735" s="5">
        <f t="shared" si="244"/>
        <v>0.74438916528477472</v>
      </c>
    </row>
    <row r="6736" spans="1:11" x14ac:dyDescent="0.25">
      <c r="A6736" t="s">
        <v>8199</v>
      </c>
      <c r="C6736" t="s">
        <v>8200</v>
      </c>
      <c r="D6736" t="s">
        <v>5</v>
      </c>
      <c r="E6736" t="s">
        <v>6</v>
      </c>
      <c r="F6736" t="s">
        <v>28</v>
      </c>
      <c r="G6736">
        <v>1</v>
      </c>
      <c r="H6736" s="2">
        <f>Tabelle13[[#This Row],[commits]]/Tabelle13[[#Totals],[commits]]</f>
        <v>4.6477904404246225E-6</v>
      </c>
      <c r="I6736" s="5">
        <f>Tabelle13[[#This Row],[%]]+I6735</f>
        <v>0.98925895629210592</v>
      </c>
      <c r="J6736" s="4">
        <f t="shared" si="243"/>
        <v>1.105583195135434E-4</v>
      </c>
      <c r="K6736" s="5">
        <f t="shared" si="244"/>
        <v>0.74449972360428829</v>
      </c>
    </row>
    <row r="6737" spans="1:11" x14ac:dyDescent="0.25">
      <c r="A6737" t="s">
        <v>8201</v>
      </c>
      <c r="C6737" t="s">
        <v>8202</v>
      </c>
      <c r="D6737" t="s">
        <v>5</v>
      </c>
      <c r="E6737" t="s">
        <v>6</v>
      </c>
      <c r="F6737" t="s">
        <v>28</v>
      </c>
      <c r="G6737">
        <v>1</v>
      </c>
      <c r="H6737" s="2">
        <f>Tabelle13[[#This Row],[commits]]/Tabelle13[[#Totals],[commits]]</f>
        <v>4.6477904404246225E-6</v>
      </c>
      <c r="I6737" s="5">
        <f>Tabelle13[[#This Row],[%]]+I6736</f>
        <v>0.98926360408254632</v>
      </c>
      <c r="J6737" s="4">
        <f t="shared" si="243"/>
        <v>1.105583195135434E-4</v>
      </c>
      <c r="K6737" s="5">
        <f t="shared" si="244"/>
        <v>0.74461028192380185</v>
      </c>
    </row>
    <row r="6738" spans="1:11" x14ac:dyDescent="0.25">
      <c r="A6738" t="s">
        <v>8203</v>
      </c>
      <c r="C6738" t="s">
        <v>8204</v>
      </c>
      <c r="D6738" t="s">
        <v>5</v>
      </c>
      <c r="E6738" t="s">
        <v>6</v>
      </c>
      <c r="F6738" t="s">
        <v>28</v>
      </c>
      <c r="G6738">
        <v>1</v>
      </c>
      <c r="H6738" s="2">
        <f>Tabelle13[[#This Row],[commits]]/Tabelle13[[#Totals],[commits]]</f>
        <v>4.6477904404246225E-6</v>
      </c>
      <c r="I6738" s="5">
        <f>Tabelle13[[#This Row],[%]]+I6737</f>
        <v>0.98926825187298673</v>
      </c>
      <c r="J6738" s="4">
        <f t="shared" si="243"/>
        <v>1.105583195135434E-4</v>
      </c>
      <c r="K6738" s="5">
        <f t="shared" si="244"/>
        <v>0.74472084024331542</v>
      </c>
    </row>
    <row r="6739" spans="1:11" x14ac:dyDescent="0.25">
      <c r="A6739" t="s">
        <v>8205</v>
      </c>
      <c r="C6739" t="s">
        <v>8206</v>
      </c>
      <c r="D6739" t="s">
        <v>5</v>
      </c>
      <c r="E6739" t="s">
        <v>6</v>
      </c>
      <c r="F6739" t="s">
        <v>28</v>
      </c>
      <c r="G6739">
        <v>1</v>
      </c>
      <c r="H6739" s="2">
        <f>Tabelle13[[#This Row],[commits]]/Tabelle13[[#Totals],[commits]]</f>
        <v>4.6477904404246225E-6</v>
      </c>
      <c r="I6739" s="5">
        <f>Tabelle13[[#This Row],[%]]+I6738</f>
        <v>0.98927289966342713</v>
      </c>
      <c r="J6739" s="4">
        <f t="shared" si="243"/>
        <v>1.105583195135434E-4</v>
      </c>
      <c r="K6739" s="5">
        <f t="shared" si="244"/>
        <v>0.74483139856282898</v>
      </c>
    </row>
    <row r="6740" spans="1:11" x14ac:dyDescent="0.25">
      <c r="A6740" t="s">
        <v>8207</v>
      </c>
      <c r="C6740" t="s">
        <v>8208</v>
      </c>
      <c r="D6740" t="s">
        <v>5</v>
      </c>
      <c r="E6740" t="s">
        <v>6</v>
      </c>
      <c r="F6740" t="s">
        <v>28</v>
      </c>
      <c r="G6740">
        <v>1</v>
      </c>
      <c r="H6740" s="2">
        <f>Tabelle13[[#This Row],[commits]]/Tabelle13[[#Totals],[commits]]</f>
        <v>4.6477904404246225E-6</v>
      </c>
      <c r="I6740" s="5">
        <f>Tabelle13[[#This Row],[%]]+I6739</f>
        <v>0.98927754745386753</v>
      </c>
      <c r="J6740" s="4">
        <f t="shared" si="243"/>
        <v>1.105583195135434E-4</v>
      </c>
      <c r="K6740" s="5">
        <f t="shared" si="244"/>
        <v>0.74494195688234255</v>
      </c>
    </row>
    <row r="6741" spans="1:11" x14ac:dyDescent="0.25">
      <c r="A6741" t="s">
        <v>8209</v>
      </c>
      <c r="C6741" t="s">
        <v>8210</v>
      </c>
      <c r="D6741" t="s">
        <v>5</v>
      </c>
      <c r="E6741" t="s">
        <v>6</v>
      </c>
      <c r="F6741" t="s">
        <v>28</v>
      </c>
      <c r="G6741">
        <v>1</v>
      </c>
      <c r="H6741" s="2">
        <f>Tabelle13[[#This Row],[commits]]/Tabelle13[[#Totals],[commits]]</f>
        <v>4.6477904404246225E-6</v>
      </c>
      <c r="I6741" s="5">
        <f>Tabelle13[[#This Row],[%]]+I6740</f>
        <v>0.98928219524430794</v>
      </c>
      <c r="J6741" s="4">
        <f t="shared" si="243"/>
        <v>1.105583195135434E-4</v>
      </c>
      <c r="K6741" s="5">
        <f t="shared" si="244"/>
        <v>0.74505251520185611</v>
      </c>
    </row>
    <row r="6742" spans="1:11" x14ac:dyDescent="0.25">
      <c r="A6742" t="s">
        <v>8211</v>
      </c>
      <c r="C6742" t="s">
        <v>8212</v>
      </c>
      <c r="D6742" t="s">
        <v>5</v>
      </c>
      <c r="E6742" t="s">
        <v>6</v>
      </c>
      <c r="F6742" t="s">
        <v>28</v>
      </c>
      <c r="G6742">
        <v>1</v>
      </c>
      <c r="H6742" s="2">
        <f>Tabelle13[[#This Row],[commits]]/Tabelle13[[#Totals],[commits]]</f>
        <v>4.6477904404246225E-6</v>
      </c>
      <c r="I6742" s="5">
        <f>Tabelle13[[#This Row],[%]]+I6741</f>
        <v>0.98928684303474834</v>
      </c>
      <c r="J6742" s="4">
        <f t="shared" si="243"/>
        <v>1.105583195135434E-4</v>
      </c>
      <c r="K6742" s="5">
        <f t="shared" si="244"/>
        <v>0.74516307352136968</v>
      </c>
    </row>
    <row r="6743" spans="1:11" x14ac:dyDescent="0.25">
      <c r="A6743" t="s">
        <v>8213</v>
      </c>
      <c r="C6743" t="s">
        <v>8212</v>
      </c>
      <c r="D6743" t="s">
        <v>5</v>
      </c>
      <c r="E6743" t="s">
        <v>6</v>
      </c>
      <c r="F6743" t="s">
        <v>28</v>
      </c>
      <c r="G6743">
        <v>1</v>
      </c>
      <c r="H6743" s="2">
        <f>Tabelle13[[#This Row],[commits]]/Tabelle13[[#Totals],[commits]]</f>
        <v>4.6477904404246225E-6</v>
      </c>
      <c r="I6743" s="5">
        <f>Tabelle13[[#This Row],[%]]+I6742</f>
        <v>0.98929149082518875</v>
      </c>
      <c r="J6743" s="4">
        <f t="shared" si="243"/>
        <v>1.105583195135434E-4</v>
      </c>
      <c r="K6743" s="5">
        <f t="shared" si="244"/>
        <v>0.74527363184088324</v>
      </c>
    </row>
    <row r="6744" spans="1:11" x14ac:dyDescent="0.25">
      <c r="A6744" t="s">
        <v>8214</v>
      </c>
      <c r="C6744" t="s">
        <v>8215</v>
      </c>
      <c r="D6744" t="s">
        <v>5</v>
      </c>
      <c r="E6744" t="s">
        <v>6</v>
      </c>
      <c r="F6744" t="s">
        <v>28</v>
      </c>
      <c r="G6744">
        <v>1</v>
      </c>
      <c r="H6744" s="2">
        <f>Tabelle13[[#This Row],[commits]]/Tabelle13[[#Totals],[commits]]</f>
        <v>4.6477904404246225E-6</v>
      </c>
      <c r="I6744" s="5">
        <f>Tabelle13[[#This Row],[%]]+I6743</f>
        <v>0.98929613861562915</v>
      </c>
      <c r="J6744" s="4">
        <f t="shared" si="243"/>
        <v>1.105583195135434E-4</v>
      </c>
      <c r="K6744" s="5">
        <f t="shared" si="244"/>
        <v>0.74538419016039681</v>
      </c>
    </row>
    <row r="6745" spans="1:11" x14ac:dyDescent="0.25">
      <c r="A6745" t="s">
        <v>8216</v>
      </c>
      <c r="C6745" t="s">
        <v>8217</v>
      </c>
      <c r="D6745" t="s">
        <v>5</v>
      </c>
      <c r="E6745" t="s">
        <v>6</v>
      </c>
      <c r="F6745" t="s">
        <v>28</v>
      </c>
      <c r="G6745">
        <v>1</v>
      </c>
      <c r="H6745" s="2">
        <f>Tabelle13[[#This Row],[commits]]/Tabelle13[[#Totals],[commits]]</f>
        <v>4.6477904404246225E-6</v>
      </c>
      <c r="I6745" s="5">
        <f>Tabelle13[[#This Row],[%]]+I6744</f>
        <v>0.98930078640606955</v>
      </c>
      <c r="J6745" s="4">
        <f t="shared" si="243"/>
        <v>1.105583195135434E-4</v>
      </c>
      <c r="K6745" s="5">
        <f t="shared" si="244"/>
        <v>0.74549474847991037</v>
      </c>
    </row>
    <row r="6746" spans="1:11" x14ac:dyDescent="0.25">
      <c r="A6746" t="s">
        <v>8218</v>
      </c>
      <c r="C6746" t="s">
        <v>8219</v>
      </c>
      <c r="D6746" t="s">
        <v>5</v>
      </c>
      <c r="E6746" t="s">
        <v>6</v>
      </c>
      <c r="F6746" t="s">
        <v>28</v>
      </c>
      <c r="G6746">
        <v>1</v>
      </c>
      <c r="H6746" s="2">
        <f>Tabelle13[[#This Row],[commits]]/Tabelle13[[#Totals],[commits]]</f>
        <v>4.6477904404246225E-6</v>
      </c>
      <c r="I6746" s="5">
        <f>Tabelle13[[#This Row],[%]]+I6745</f>
        <v>0.98930543419650996</v>
      </c>
      <c r="J6746" s="4">
        <f t="shared" si="243"/>
        <v>1.105583195135434E-4</v>
      </c>
      <c r="K6746" s="5">
        <f t="shared" si="244"/>
        <v>0.74560530679942394</v>
      </c>
    </row>
    <row r="6747" spans="1:11" x14ac:dyDescent="0.25">
      <c r="A6747" t="s">
        <v>8220</v>
      </c>
      <c r="C6747" t="s">
        <v>8221</v>
      </c>
      <c r="D6747" t="s">
        <v>5</v>
      </c>
      <c r="E6747" t="s">
        <v>6</v>
      </c>
      <c r="F6747" t="s">
        <v>28</v>
      </c>
      <c r="G6747">
        <v>1</v>
      </c>
      <c r="H6747" s="2">
        <f>Tabelle13[[#This Row],[commits]]/Tabelle13[[#Totals],[commits]]</f>
        <v>4.6477904404246225E-6</v>
      </c>
      <c r="I6747" s="5">
        <f>Tabelle13[[#This Row],[%]]+I6746</f>
        <v>0.98931008198695036</v>
      </c>
      <c r="J6747" s="4">
        <f t="shared" si="243"/>
        <v>1.105583195135434E-4</v>
      </c>
      <c r="K6747" s="5">
        <f t="shared" si="244"/>
        <v>0.7457158651189375</v>
      </c>
    </row>
    <row r="6748" spans="1:11" x14ac:dyDescent="0.25">
      <c r="A6748" t="s">
        <v>8222</v>
      </c>
      <c r="C6748" t="s">
        <v>8223</v>
      </c>
      <c r="D6748" t="s">
        <v>5</v>
      </c>
      <c r="E6748" t="s">
        <v>6</v>
      </c>
      <c r="F6748" t="s">
        <v>28</v>
      </c>
      <c r="G6748">
        <v>1</v>
      </c>
      <c r="H6748" s="2">
        <f>Tabelle13[[#This Row],[commits]]/Tabelle13[[#Totals],[commits]]</f>
        <v>4.6477904404246225E-6</v>
      </c>
      <c r="I6748" s="5">
        <f>Tabelle13[[#This Row],[%]]+I6747</f>
        <v>0.98931472977739077</v>
      </c>
      <c r="J6748" s="4">
        <f t="shared" si="243"/>
        <v>1.105583195135434E-4</v>
      </c>
      <c r="K6748" s="5">
        <f t="shared" si="244"/>
        <v>0.74582642343845107</v>
      </c>
    </row>
    <row r="6749" spans="1:11" x14ac:dyDescent="0.25">
      <c r="A6749" t="s">
        <v>8224</v>
      </c>
      <c r="C6749" t="s">
        <v>8225</v>
      </c>
      <c r="D6749" t="s">
        <v>5</v>
      </c>
      <c r="E6749" t="s">
        <v>6</v>
      </c>
      <c r="F6749" t="s">
        <v>28</v>
      </c>
      <c r="G6749">
        <v>1</v>
      </c>
      <c r="H6749" s="2">
        <f>Tabelle13[[#This Row],[commits]]/Tabelle13[[#Totals],[commits]]</f>
        <v>4.6477904404246225E-6</v>
      </c>
      <c r="I6749" s="5">
        <f>Tabelle13[[#This Row],[%]]+I6748</f>
        <v>0.98931937756783117</v>
      </c>
      <c r="J6749" s="4">
        <f t="shared" si="243"/>
        <v>1.105583195135434E-4</v>
      </c>
      <c r="K6749" s="5">
        <f t="shared" si="244"/>
        <v>0.74593698175796463</v>
      </c>
    </row>
    <row r="6750" spans="1:11" x14ac:dyDescent="0.25">
      <c r="A6750" t="s">
        <v>8226</v>
      </c>
      <c r="C6750" t="s">
        <v>8227</v>
      </c>
      <c r="D6750" t="s">
        <v>5</v>
      </c>
      <c r="E6750" t="s">
        <v>6</v>
      </c>
      <c r="F6750" t="s">
        <v>28</v>
      </c>
      <c r="G6750">
        <v>1</v>
      </c>
      <c r="H6750" s="2">
        <f>Tabelle13[[#This Row],[commits]]/Tabelle13[[#Totals],[commits]]</f>
        <v>4.6477904404246225E-6</v>
      </c>
      <c r="I6750" s="5">
        <f>Tabelle13[[#This Row],[%]]+I6749</f>
        <v>0.98932402535827157</v>
      </c>
      <c r="J6750" s="4">
        <f t="shared" si="243"/>
        <v>1.105583195135434E-4</v>
      </c>
      <c r="K6750" s="5">
        <f t="shared" si="244"/>
        <v>0.7460475400774782</v>
      </c>
    </row>
    <row r="6751" spans="1:11" x14ac:dyDescent="0.25">
      <c r="A6751" t="s">
        <v>8228</v>
      </c>
      <c r="C6751" t="s">
        <v>8229</v>
      </c>
      <c r="D6751" t="s">
        <v>5</v>
      </c>
      <c r="E6751" t="s">
        <v>6</v>
      </c>
      <c r="F6751" t="s">
        <v>28</v>
      </c>
      <c r="G6751">
        <v>1</v>
      </c>
      <c r="H6751" s="2">
        <f>Tabelle13[[#This Row],[commits]]/Tabelle13[[#Totals],[commits]]</f>
        <v>4.6477904404246225E-6</v>
      </c>
      <c r="I6751" s="5">
        <f>Tabelle13[[#This Row],[%]]+I6750</f>
        <v>0.98932867314871198</v>
      </c>
      <c r="J6751" s="4">
        <f t="shared" si="243"/>
        <v>1.105583195135434E-4</v>
      </c>
      <c r="K6751" s="5">
        <f t="shared" si="244"/>
        <v>0.74615809839699176</v>
      </c>
    </row>
    <row r="6752" spans="1:11" x14ac:dyDescent="0.25">
      <c r="A6752" t="s">
        <v>8230</v>
      </c>
      <c r="C6752" t="s">
        <v>8231</v>
      </c>
      <c r="D6752" t="s">
        <v>5</v>
      </c>
      <c r="E6752" t="s">
        <v>6</v>
      </c>
      <c r="F6752" t="s">
        <v>28</v>
      </c>
      <c r="G6752">
        <v>1</v>
      </c>
      <c r="H6752" s="2">
        <f>Tabelle13[[#This Row],[commits]]/Tabelle13[[#Totals],[commits]]</f>
        <v>4.6477904404246225E-6</v>
      </c>
      <c r="I6752" s="5">
        <f>Tabelle13[[#This Row],[%]]+I6751</f>
        <v>0.98933332093915238</v>
      </c>
      <c r="J6752" s="4">
        <f t="shared" si="243"/>
        <v>1.105583195135434E-4</v>
      </c>
      <c r="K6752" s="5">
        <f t="shared" si="244"/>
        <v>0.74626865671650533</v>
      </c>
    </row>
    <row r="6753" spans="1:11" x14ac:dyDescent="0.25">
      <c r="A6753" t="s">
        <v>8232</v>
      </c>
      <c r="C6753" t="s">
        <v>8233</v>
      </c>
      <c r="D6753" t="s">
        <v>5</v>
      </c>
      <c r="E6753" t="s">
        <v>6</v>
      </c>
      <c r="F6753" t="s">
        <v>28</v>
      </c>
      <c r="G6753">
        <v>1</v>
      </c>
      <c r="H6753" s="2">
        <f>Tabelle13[[#This Row],[commits]]/Tabelle13[[#Totals],[commits]]</f>
        <v>4.6477904404246225E-6</v>
      </c>
      <c r="I6753" s="5">
        <f>Tabelle13[[#This Row],[%]]+I6752</f>
        <v>0.98933796872959279</v>
      </c>
      <c r="J6753" s="4">
        <f t="shared" si="243"/>
        <v>1.105583195135434E-4</v>
      </c>
      <c r="K6753" s="5">
        <f t="shared" si="244"/>
        <v>0.74637921503601889</v>
      </c>
    </row>
    <row r="6754" spans="1:11" x14ac:dyDescent="0.25">
      <c r="A6754" t="s">
        <v>8234</v>
      </c>
      <c r="C6754" t="s">
        <v>8235</v>
      </c>
      <c r="D6754" t="s">
        <v>5</v>
      </c>
      <c r="E6754" t="s">
        <v>6</v>
      </c>
      <c r="F6754" t="s">
        <v>28</v>
      </c>
      <c r="G6754">
        <v>1</v>
      </c>
      <c r="H6754" s="2">
        <f>Tabelle13[[#This Row],[commits]]/Tabelle13[[#Totals],[commits]]</f>
        <v>4.6477904404246225E-6</v>
      </c>
      <c r="I6754" s="5">
        <f>Tabelle13[[#This Row],[%]]+I6753</f>
        <v>0.98934261652003319</v>
      </c>
      <c r="J6754" s="4">
        <f t="shared" si="243"/>
        <v>1.105583195135434E-4</v>
      </c>
      <c r="K6754" s="5">
        <f t="shared" si="244"/>
        <v>0.74648977335553246</v>
      </c>
    </row>
    <row r="6755" spans="1:11" x14ac:dyDescent="0.25">
      <c r="A6755" t="s">
        <v>8236</v>
      </c>
      <c r="C6755" t="s">
        <v>8237</v>
      </c>
      <c r="D6755" t="s">
        <v>5</v>
      </c>
      <c r="E6755" t="s">
        <v>6</v>
      </c>
      <c r="F6755" t="s">
        <v>28</v>
      </c>
      <c r="G6755">
        <v>1</v>
      </c>
      <c r="H6755" s="2">
        <f>Tabelle13[[#This Row],[commits]]/Tabelle13[[#Totals],[commits]]</f>
        <v>4.6477904404246225E-6</v>
      </c>
      <c r="I6755" s="5">
        <f>Tabelle13[[#This Row],[%]]+I6754</f>
        <v>0.9893472643104736</v>
      </c>
      <c r="J6755" s="4">
        <f t="shared" si="243"/>
        <v>1.105583195135434E-4</v>
      </c>
      <c r="K6755" s="5">
        <f t="shared" si="244"/>
        <v>0.74660033167504603</v>
      </c>
    </row>
    <row r="6756" spans="1:11" x14ac:dyDescent="0.25">
      <c r="A6756" t="s">
        <v>8238</v>
      </c>
      <c r="C6756" t="s">
        <v>8239</v>
      </c>
      <c r="D6756" t="s">
        <v>5</v>
      </c>
      <c r="E6756" t="s">
        <v>6</v>
      </c>
      <c r="F6756" t="s">
        <v>28</v>
      </c>
      <c r="G6756">
        <v>1</v>
      </c>
      <c r="H6756" s="2">
        <f>Tabelle13[[#This Row],[commits]]/Tabelle13[[#Totals],[commits]]</f>
        <v>4.6477904404246225E-6</v>
      </c>
      <c r="I6756" s="5">
        <f>Tabelle13[[#This Row],[%]]+I6755</f>
        <v>0.989351912100914</v>
      </c>
      <c r="J6756" s="4">
        <f t="shared" si="243"/>
        <v>1.105583195135434E-4</v>
      </c>
      <c r="K6756" s="5">
        <f t="shared" si="244"/>
        <v>0.74671088999455959</v>
      </c>
    </row>
    <row r="6757" spans="1:11" x14ac:dyDescent="0.25">
      <c r="A6757" t="s">
        <v>8240</v>
      </c>
      <c r="C6757" t="s">
        <v>8241</v>
      </c>
      <c r="D6757" t="s">
        <v>5</v>
      </c>
      <c r="E6757" t="s">
        <v>6</v>
      </c>
      <c r="F6757" t="s">
        <v>28</v>
      </c>
      <c r="G6757">
        <v>1</v>
      </c>
      <c r="H6757" s="2">
        <f>Tabelle13[[#This Row],[commits]]/Tabelle13[[#Totals],[commits]]</f>
        <v>4.6477904404246225E-6</v>
      </c>
      <c r="I6757" s="5">
        <f>Tabelle13[[#This Row],[%]]+I6756</f>
        <v>0.9893565598913544</v>
      </c>
      <c r="J6757" s="4">
        <f t="shared" si="243"/>
        <v>1.105583195135434E-4</v>
      </c>
      <c r="K6757" s="5">
        <f t="shared" si="244"/>
        <v>0.74682144831407316</v>
      </c>
    </row>
    <row r="6758" spans="1:11" x14ac:dyDescent="0.25">
      <c r="A6758" t="s">
        <v>8242</v>
      </c>
      <c r="C6758" t="s">
        <v>8243</v>
      </c>
      <c r="D6758" t="s">
        <v>5</v>
      </c>
      <c r="E6758" t="s">
        <v>6</v>
      </c>
      <c r="F6758" t="s">
        <v>28</v>
      </c>
      <c r="G6758">
        <v>1</v>
      </c>
      <c r="H6758" s="2">
        <f>Tabelle13[[#This Row],[commits]]/Tabelle13[[#Totals],[commits]]</f>
        <v>4.6477904404246225E-6</v>
      </c>
      <c r="I6758" s="5">
        <f>Tabelle13[[#This Row],[%]]+I6757</f>
        <v>0.98936120768179481</v>
      </c>
      <c r="J6758" s="4">
        <f t="shared" si="243"/>
        <v>1.105583195135434E-4</v>
      </c>
      <c r="K6758" s="5">
        <f t="shared" si="244"/>
        <v>0.74693200663358672</v>
      </c>
    </row>
    <row r="6759" spans="1:11" x14ac:dyDescent="0.25">
      <c r="A6759" t="s">
        <v>8244</v>
      </c>
      <c r="C6759" t="s">
        <v>8245</v>
      </c>
      <c r="D6759" t="s">
        <v>5</v>
      </c>
      <c r="E6759" t="s">
        <v>6</v>
      </c>
      <c r="F6759" t="s">
        <v>28</v>
      </c>
      <c r="G6759">
        <v>1</v>
      </c>
      <c r="H6759" s="2">
        <f>Tabelle13[[#This Row],[commits]]/Tabelle13[[#Totals],[commits]]</f>
        <v>4.6477904404246225E-6</v>
      </c>
      <c r="I6759" s="5">
        <f>Tabelle13[[#This Row],[%]]+I6758</f>
        <v>0.98936585547223521</v>
      </c>
      <c r="J6759" s="4">
        <f t="shared" si="243"/>
        <v>1.105583195135434E-4</v>
      </c>
      <c r="K6759" s="5">
        <f t="shared" si="244"/>
        <v>0.74704256495310029</v>
      </c>
    </row>
    <row r="6760" spans="1:11" x14ac:dyDescent="0.25">
      <c r="A6760" t="s">
        <v>8246</v>
      </c>
      <c r="C6760" t="s">
        <v>8247</v>
      </c>
      <c r="D6760" t="s">
        <v>5</v>
      </c>
      <c r="E6760" t="s">
        <v>6</v>
      </c>
      <c r="F6760" t="s">
        <v>28</v>
      </c>
      <c r="G6760">
        <v>1</v>
      </c>
      <c r="H6760" s="2">
        <f>Tabelle13[[#This Row],[commits]]/Tabelle13[[#Totals],[commits]]</f>
        <v>4.6477904404246225E-6</v>
      </c>
      <c r="I6760" s="5">
        <f>Tabelle13[[#This Row],[%]]+I6759</f>
        <v>0.98937050326267562</v>
      </c>
      <c r="J6760" s="4">
        <f t="shared" si="243"/>
        <v>1.105583195135434E-4</v>
      </c>
      <c r="K6760" s="5">
        <f t="shared" si="244"/>
        <v>0.74715312327261385</v>
      </c>
    </row>
    <row r="6761" spans="1:11" x14ac:dyDescent="0.25">
      <c r="A6761" t="s">
        <v>8248</v>
      </c>
      <c r="C6761" t="s">
        <v>8249</v>
      </c>
      <c r="D6761" t="s">
        <v>5</v>
      </c>
      <c r="E6761" t="s">
        <v>6</v>
      </c>
      <c r="F6761" t="s">
        <v>28</v>
      </c>
      <c r="G6761">
        <v>1</v>
      </c>
      <c r="H6761" s="2">
        <f>Tabelle13[[#This Row],[commits]]/Tabelle13[[#Totals],[commits]]</f>
        <v>4.6477904404246225E-6</v>
      </c>
      <c r="I6761" s="5">
        <f>Tabelle13[[#This Row],[%]]+I6760</f>
        <v>0.98937515105311602</v>
      </c>
      <c r="J6761" s="4">
        <f t="shared" si="243"/>
        <v>1.105583195135434E-4</v>
      </c>
      <c r="K6761" s="5">
        <f t="shared" si="244"/>
        <v>0.74726368159212742</v>
      </c>
    </row>
    <row r="6762" spans="1:11" x14ac:dyDescent="0.25">
      <c r="A6762" t="s">
        <v>8250</v>
      </c>
      <c r="C6762" t="s">
        <v>8251</v>
      </c>
      <c r="D6762" t="s">
        <v>5</v>
      </c>
      <c r="E6762" t="s">
        <v>6</v>
      </c>
      <c r="F6762" t="s">
        <v>28</v>
      </c>
      <c r="G6762">
        <v>1</v>
      </c>
      <c r="H6762" s="2">
        <f>Tabelle13[[#This Row],[commits]]/Tabelle13[[#Totals],[commits]]</f>
        <v>4.6477904404246225E-6</v>
      </c>
      <c r="I6762" s="5">
        <f>Tabelle13[[#This Row],[%]]+I6761</f>
        <v>0.98937979884355642</v>
      </c>
      <c r="J6762" s="4">
        <f t="shared" si="243"/>
        <v>1.105583195135434E-4</v>
      </c>
      <c r="K6762" s="5">
        <f t="shared" si="244"/>
        <v>0.74737423991164098</v>
      </c>
    </row>
    <row r="6763" spans="1:11" x14ac:dyDescent="0.25">
      <c r="A6763" t="s">
        <v>8252</v>
      </c>
      <c r="C6763" t="s">
        <v>8253</v>
      </c>
      <c r="D6763" t="s">
        <v>5</v>
      </c>
      <c r="E6763" t="s">
        <v>6</v>
      </c>
      <c r="F6763" t="s">
        <v>28</v>
      </c>
      <c r="G6763">
        <v>1</v>
      </c>
      <c r="H6763" s="2">
        <f>Tabelle13[[#This Row],[commits]]/Tabelle13[[#Totals],[commits]]</f>
        <v>4.6477904404246225E-6</v>
      </c>
      <c r="I6763" s="5">
        <f>Tabelle13[[#This Row],[%]]+I6762</f>
        <v>0.98938444663399683</v>
      </c>
      <c r="J6763" s="4">
        <f t="shared" si="243"/>
        <v>1.105583195135434E-4</v>
      </c>
      <c r="K6763" s="5">
        <f t="shared" si="244"/>
        <v>0.74748479823115455</v>
      </c>
    </row>
    <row r="6764" spans="1:11" x14ac:dyDescent="0.25">
      <c r="A6764" t="s">
        <v>8254</v>
      </c>
      <c r="C6764" t="s">
        <v>8255</v>
      </c>
      <c r="D6764" t="s">
        <v>5</v>
      </c>
      <c r="E6764" t="s">
        <v>6</v>
      </c>
      <c r="F6764" t="s">
        <v>28</v>
      </c>
      <c r="G6764">
        <v>1</v>
      </c>
      <c r="H6764" s="2">
        <f>Tabelle13[[#This Row],[commits]]/Tabelle13[[#Totals],[commits]]</f>
        <v>4.6477904404246225E-6</v>
      </c>
      <c r="I6764" s="5">
        <f>Tabelle13[[#This Row],[%]]+I6763</f>
        <v>0.98938909442443723</v>
      </c>
      <c r="J6764" s="4">
        <f t="shared" si="243"/>
        <v>1.105583195135434E-4</v>
      </c>
      <c r="K6764" s="5">
        <f t="shared" si="244"/>
        <v>0.74759535655066811</v>
      </c>
    </row>
    <row r="6765" spans="1:11" x14ac:dyDescent="0.25">
      <c r="A6765" t="s">
        <v>8256</v>
      </c>
      <c r="C6765" t="s">
        <v>8257</v>
      </c>
      <c r="D6765" t="s">
        <v>5</v>
      </c>
      <c r="E6765" t="s">
        <v>6</v>
      </c>
      <c r="F6765" t="s">
        <v>28</v>
      </c>
      <c r="G6765">
        <v>1</v>
      </c>
      <c r="H6765" s="2">
        <f>Tabelle13[[#This Row],[commits]]/Tabelle13[[#Totals],[commits]]</f>
        <v>4.6477904404246225E-6</v>
      </c>
      <c r="I6765" s="5">
        <f>Tabelle13[[#This Row],[%]]+I6764</f>
        <v>0.98939374221487764</v>
      </c>
      <c r="J6765" s="4">
        <f t="shared" si="243"/>
        <v>1.105583195135434E-4</v>
      </c>
      <c r="K6765" s="5">
        <f t="shared" si="244"/>
        <v>0.74770591487018168</v>
      </c>
    </row>
    <row r="6766" spans="1:11" x14ac:dyDescent="0.25">
      <c r="A6766" t="s">
        <v>8258</v>
      </c>
      <c r="C6766" t="s">
        <v>8259</v>
      </c>
      <c r="D6766" t="s">
        <v>5</v>
      </c>
      <c r="E6766" t="s">
        <v>6</v>
      </c>
      <c r="F6766" t="s">
        <v>28</v>
      </c>
      <c r="G6766">
        <v>1</v>
      </c>
      <c r="H6766" s="2">
        <f>Tabelle13[[#This Row],[commits]]/Tabelle13[[#Totals],[commits]]</f>
        <v>4.6477904404246225E-6</v>
      </c>
      <c r="I6766" s="5">
        <f>Tabelle13[[#This Row],[%]]+I6765</f>
        <v>0.98939839000531804</v>
      </c>
      <c r="J6766" s="4">
        <f t="shared" si="243"/>
        <v>1.105583195135434E-4</v>
      </c>
      <c r="K6766" s="5">
        <f t="shared" si="244"/>
        <v>0.74781647318969524</v>
      </c>
    </row>
    <row r="6767" spans="1:11" x14ac:dyDescent="0.25">
      <c r="A6767" t="s">
        <v>8260</v>
      </c>
      <c r="C6767" t="s">
        <v>8261</v>
      </c>
      <c r="D6767" t="s">
        <v>5</v>
      </c>
      <c r="E6767" t="s">
        <v>6</v>
      </c>
      <c r="F6767" t="s">
        <v>28</v>
      </c>
      <c r="G6767">
        <v>1</v>
      </c>
      <c r="H6767" s="2">
        <f>Tabelle13[[#This Row],[commits]]/Tabelle13[[#Totals],[commits]]</f>
        <v>4.6477904404246225E-6</v>
      </c>
      <c r="I6767" s="5">
        <f>Tabelle13[[#This Row],[%]]+I6766</f>
        <v>0.98940303779575844</v>
      </c>
      <c r="J6767" s="4">
        <f t="shared" si="243"/>
        <v>1.105583195135434E-4</v>
      </c>
      <c r="K6767" s="5">
        <f t="shared" si="244"/>
        <v>0.74792703150920881</v>
      </c>
    </row>
    <row r="6768" spans="1:11" x14ac:dyDescent="0.25">
      <c r="A6768" t="s">
        <v>8262</v>
      </c>
      <c r="C6768" t="s">
        <v>8263</v>
      </c>
      <c r="D6768" t="s">
        <v>5</v>
      </c>
      <c r="E6768" t="s">
        <v>6</v>
      </c>
      <c r="F6768" t="s">
        <v>28</v>
      </c>
      <c r="G6768">
        <v>1</v>
      </c>
      <c r="H6768" s="2">
        <f>Tabelle13[[#This Row],[commits]]/Tabelle13[[#Totals],[commits]]</f>
        <v>4.6477904404246225E-6</v>
      </c>
      <c r="I6768" s="5">
        <f>Tabelle13[[#This Row],[%]]+I6767</f>
        <v>0.98940768558619885</v>
      </c>
      <c r="J6768" s="4">
        <f t="shared" si="243"/>
        <v>1.105583195135434E-4</v>
      </c>
      <c r="K6768" s="5">
        <f t="shared" si="244"/>
        <v>0.74803758982872237</v>
      </c>
    </row>
    <row r="6769" spans="1:11" x14ac:dyDescent="0.25">
      <c r="A6769" t="s">
        <v>8264</v>
      </c>
      <c r="C6769" t="s">
        <v>8265</v>
      </c>
      <c r="D6769" t="s">
        <v>5</v>
      </c>
      <c r="E6769" t="s">
        <v>6</v>
      </c>
      <c r="F6769" t="s">
        <v>28</v>
      </c>
      <c r="G6769">
        <v>1</v>
      </c>
      <c r="H6769" s="2">
        <f>Tabelle13[[#This Row],[commits]]/Tabelle13[[#Totals],[commits]]</f>
        <v>4.6477904404246225E-6</v>
      </c>
      <c r="I6769" s="5">
        <f>Tabelle13[[#This Row],[%]]+I6768</f>
        <v>0.98941233337663925</v>
      </c>
      <c r="J6769" s="4">
        <f t="shared" si="243"/>
        <v>1.105583195135434E-4</v>
      </c>
      <c r="K6769" s="5">
        <f t="shared" si="244"/>
        <v>0.74814814814823594</v>
      </c>
    </row>
    <row r="6770" spans="1:11" x14ac:dyDescent="0.25">
      <c r="A6770" t="s">
        <v>8266</v>
      </c>
      <c r="C6770" t="s">
        <v>8267</v>
      </c>
      <c r="D6770" t="s">
        <v>5</v>
      </c>
      <c r="E6770" t="s">
        <v>6</v>
      </c>
      <c r="F6770" t="s">
        <v>28</v>
      </c>
      <c r="G6770">
        <v>1</v>
      </c>
      <c r="H6770" s="2">
        <f>Tabelle13[[#This Row],[commits]]/Tabelle13[[#Totals],[commits]]</f>
        <v>4.6477904404246225E-6</v>
      </c>
      <c r="I6770" s="5">
        <f>Tabelle13[[#This Row],[%]]+I6769</f>
        <v>0.98941698116707966</v>
      </c>
      <c r="J6770" s="4">
        <f t="shared" si="243"/>
        <v>1.105583195135434E-4</v>
      </c>
      <c r="K6770" s="5">
        <f t="shared" si="244"/>
        <v>0.7482587064677495</v>
      </c>
    </row>
    <row r="6771" spans="1:11" x14ac:dyDescent="0.25">
      <c r="A6771" t="s">
        <v>8268</v>
      </c>
      <c r="C6771" t="s">
        <v>8269</v>
      </c>
      <c r="D6771" t="s">
        <v>5</v>
      </c>
      <c r="E6771" t="s">
        <v>6</v>
      </c>
      <c r="F6771" t="s">
        <v>28</v>
      </c>
      <c r="G6771">
        <v>1</v>
      </c>
      <c r="H6771" s="2">
        <f>Tabelle13[[#This Row],[commits]]/Tabelle13[[#Totals],[commits]]</f>
        <v>4.6477904404246225E-6</v>
      </c>
      <c r="I6771" s="5">
        <f>Tabelle13[[#This Row],[%]]+I6770</f>
        <v>0.98942162895752006</v>
      </c>
      <c r="J6771" s="4">
        <f t="shared" si="243"/>
        <v>1.105583195135434E-4</v>
      </c>
      <c r="K6771" s="5">
        <f t="shared" si="244"/>
        <v>0.74836926478726307</v>
      </c>
    </row>
    <row r="6772" spans="1:11" x14ac:dyDescent="0.25">
      <c r="A6772" t="s">
        <v>8270</v>
      </c>
      <c r="C6772" t="s">
        <v>8271</v>
      </c>
      <c r="D6772" t="s">
        <v>5</v>
      </c>
      <c r="E6772" t="s">
        <v>6</v>
      </c>
      <c r="F6772" t="s">
        <v>28</v>
      </c>
      <c r="G6772">
        <v>1</v>
      </c>
      <c r="H6772" s="2">
        <f>Tabelle13[[#This Row],[commits]]/Tabelle13[[#Totals],[commits]]</f>
        <v>4.6477904404246225E-6</v>
      </c>
      <c r="I6772" s="5">
        <f>Tabelle13[[#This Row],[%]]+I6771</f>
        <v>0.98942627674796046</v>
      </c>
      <c r="J6772" s="4">
        <f t="shared" si="243"/>
        <v>1.105583195135434E-4</v>
      </c>
      <c r="K6772" s="5">
        <f t="shared" si="244"/>
        <v>0.74847982310677663</v>
      </c>
    </row>
    <row r="6773" spans="1:11" x14ac:dyDescent="0.25">
      <c r="A6773" t="s">
        <v>8272</v>
      </c>
      <c r="C6773" t="s">
        <v>8273</v>
      </c>
      <c r="D6773" t="s">
        <v>5</v>
      </c>
      <c r="E6773" t="s">
        <v>6</v>
      </c>
      <c r="F6773" t="s">
        <v>28</v>
      </c>
      <c r="G6773">
        <v>1</v>
      </c>
      <c r="H6773" s="2">
        <f>Tabelle13[[#This Row],[commits]]/Tabelle13[[#Totals],[commits]]</f>
        <v>4.6477904404246225E-6</v>
      </c>
      <c r="I6773" s="5">
        <f>Tabelle13[[#This Row],[%]]+I6772</f>
        <v>0.98943092453840087</v>
      </c>
      <c r="J6773" s="4">
        <f t="shared" si="243"/>
        <v>1.105583195135434E-4</v>
      </c>
      <c r="K6773" s="5">
        <f t="shared" si="244"/>
        <v>0.7485903814262902</v>
      </c>
    </row>
    <row r="6774" spans="1:11" x14ac:dyDescent="0.25">
      <c r="A6774" t="s">
        <v>8274</v>
      </c>
      <c r="C6774" t="s">
        <v>8275</v>
      </c>
      <c r="D6774" t="s">
        <v>5</v>
      </c>
      <c r="E6774" t="s">
        <v>6</v>
      </c>
      <c r="F6774" t="s">
        <v>28</v>
      </c>
      <c r="G6774">
        <v>1</v>
      </c>
      <c r="H6774" s="2">
        <f>Tabelle13[[#This Row],[commits]]/Tabelle13[[#Totals],[commits]]</f>
        <v>4.6477904404246225E-6</v>
      </c>
      <c r="I6774" s="5">
        <f>Tabelle13[[#This Row],[%]]+I6773</f>
        <v>0.98943557232884127</v>
      </c>
      <c r="J6774" s="4">
        <f t="shared" si="243"/>
        <v>1.105583195135434E-4</v>
      </c>
      <c r="K6774" s="5">
        <f t="shared" si="244"/>
        <v>0.74870093974580376</v>
      </c>
    </row>
    <row r="6775" spans="1:11" x14ac:dyDescent="0.25">
      <c r="A6775" t="s">
        <v>8276</v>
      </c>
      <c r="C6775" t="s">
        <v>8277</v>
      </c>
      <c r="D6775" t="s">
        <v>5</v>
      </c>
      <c r="E6775" t="s">
        <v>6</v>
      </c>
      <c r="F6775" t="s">
        <v>28</v>
      </c>
      <c r="G6775">
        <v>1</v>
      </c>
      <c r="H6775" s="2">
        <f>Tabelle13[[#This Row],[commits]]/Tabelle13[[#Totals],[commits]]</f>
        <v>4.6477904404246225E-6</v>
      </c>
      <c r="I6775" s="5">
        <f>Tabelle13[[#This Row],[%]]+I6774</f>
        <v>0.98944022011928168</v>
      </c>
      <c r="J6775" s="4">
        <f t="shared" si="243"/>
        <v>1.105583195135434E-4</v>
      </c>
      <c r="K6775" s="5">
        <f t="shared" si="244"/>
        <v>0.74881149806531733</v>
      </c>
    </row>
    <row r="6776" spans="1:11" x14ac:dyDescent="0.25">
      <c r="A6776" t="s">
        <v>8278</v>
      </c>
      <c r="C6776" t="s">
        <v>8279</v>
      </c>
      <c r="D6776" t="s">
        <v>5</v>
      </c>
      <c r="E6776" t="s">
        <v>6</v>
      </c>
      <c r="F6776" t="s">
        <v>28</v>
      </c>
      <c r="G6776">
        <v>1</v>
      </c>
      <c r="H6776" s="2">
        <f>Tabelle13[[#This Row],[commits]]/Tabelle13[[#Totals],[commits]]</f>
        <v>4.6477904404246225E-6</v>
      </c>
      <c r="I6776" s="5">
        <f>Tabelle13[[#This Row],[%]]+I6775</f>
        <v>0.98944486790972208</v>
      </c>
      <c r="J6776" s="4">
        <f t="shared" si="243"/>
        <v>1.105583195135434E-4</v>
      </c>
      <c r="K6776" s="5">
        <f t="shared" si="244"/>
        <v>0.74892205638483089</v>
      </c>
    </row>
    <row r="6777" spans="1:11" x14ac:dyDescent="0.25">
      <c r="A6777" t="s">
        <v>8280</v>
      </c>
      <c r="C6777" t="s">
        <v>8281</v>
      </c>
      <c r="D6777" t="s">
        <v>5</v>
      </c>
      <c r="E6777" t="s">
        <v>6</v>
      </c>
      <c r="F6777" t="s">
        <v>28</v>
      </c>
      <c r="G6777">
        <v>1</v>
      </c>
      <c r="H6777" s="2">
        <f>Tabelle13[[#This Row],[commits]]/Tabelle13[[#Totals],[commits]]</f>
        <v>4.6477904404246225E-6</v>
      </c>
      <c r="I6777" s="5">
        <f>Tabelle13[[#This Row],[%]]+I6776</f>
        <v>0.98944951570016249</v>
      </c>
      <c r="J6777" s="4">
        <f t="shared" si="243"/>
        <v>1.105583195135434E-4</v>
      </c>
      <c r="K6777" s="5">
        <f t="shared" si="244"/>
        <v>0.74903261470434446</v>
      </c>
    </row>
    <row r="6778" spans="1:11" x14ac:dyDescent="0.25">
      <c r="A6778" t="s">
        <v>8282</v>
      </c>
      <c r="C6778" t="s">
        <v>8283</v>
      </c>
      <c r="D6778" t="s">
        <v>5175</v>
      </c>
      <c r="E6778" t="s">
        <v>6</v>
      </c>
      <c r="F6778" t="s">
        <v>28</v>
      </c>
      <c r="G6778">
        <v>1</v>
      </c>
      <c r="H6778" s="2">
        <f>Tabelle13[[#This Row],[commits]]/Tabelle13[[#Totals],[commits]]</f>
        <v>4.6477904404246225E-6</v>
      </c>
      <c r="I6778" s="5">
        <f>Tabelle13[[#This Row],[%]]+I6777</f>
        <v>0.98945416349060289</v>
      </c>
      <c r="J6778" s="4">
        <f t="shared" si="243"/>
        <v>1.105583195135434E-4</v>
      </c>
      <c r="K6778" s="5">
        <f t="shared" si="244"/>
        <v>0.74914317302385802</v>
      </c>
    </row>
    <row r="6779" spans="1:11" x14ac:dyDescent="0.25">
      <c r="A6779" t="s">
        <v>8284</v>
      </c>
      <c r="C6779" t="s">
        <v>8285</v>
      </c>
      <c r="D6779" t="s">
        <v>5</v>
      </c>
      <c r="E6779" t="s">
        <v>6</v>
      </c>
      <c r="F6779" t="s">
        <v>28</v>
      </c>
      <c r="G6779">
        <v>1</v>
      </c>
      <c r="H6779" s="2">
        <f>Tabelle13[[#This Row],[commits]]/Tabelle13[[#Totals],[commits]]</f>
        <v>4.6477904404246225E-6</v>
      </c>
      <c r="I6779" s="5">
        <f>Tabelle13[[#This Row],[%]]+I6778</f>
        <v>0.98945881128104329</v>
      </c>
      <c r="J6779" s="4">
        <f t="shared" si="243"/>
        <v>1.105583195135434E-4</v>
      </c>
      <c r="K6779" s="5">
        <f t="shared" si="244"/>
        <v>0.74925373134337159</v>
      </c>
    </row>
    <row r="6780" spans="1:11" x14ac:dyDescent="0.25">
      <c r="A6780" t="s">
        <v>8286</v>
      </c>
      <c r="C6780" t="s">
        <v>8287</v>
      </c>
      <c r="D6780" t="s">
        <v>5</v>
      </c>
      <c r="E6780" t="s">
        <v>6</v>
      </c>
      <c r="F6780" t="s">
        <v>28</v>
      </c>
      <c r="G6780">
        <v>1</v>
      </c>
      <c r="H6780" s="2">
        <f>Tabelle13[[#This Row],[commits]]/Tabelle13[[#Totals],[commits]]</f>
        <v>4.6477904404246225E-6</v>
      </c>
      <c r="I6780" s="5">
        <f>Tabelle13[[#This Row],[%]]+I6779</f>
        <v>0.9894634590714837</v>
      </c>
      <c r="J6780" s="4">
        <f t="shared" si="243"/>
        <v>1.105583195135434E-4</v>
      </c>
      <c r="K6780" s="5">
        <f t="shared" si="244"/>
        <v>0.74936428966288515</v>
      </c>
    </row>
    <row r="6781" spans="1:11" x14ac:dyDescent="0.25">
      <c r="A6781" t="s">
        <v>8288</v>
      </c>
      <c r="C6781" t="s">
        <v>8289</v>
      </c>
      <c r="D6781" t="s">
        <v>5</v>
      </c>
      <c r="E6781" t="s">
        <v>6</v>
      </c>
      <c r="F6781" t="s">
        <v>28</v>
      </c>
      <c r="G6781">
        <v>1</v>
      </c>
      <c r="H6781" s="2">
        <f>Tabelle13[[#This Row],[commits]]/Tabelle13[[#Totals],[commits]]</f>
        <v>4.6477904404246225E-6</v>
      </c>
      <c r="I6781" s="5">
        <f>Tabelle13[[#This Row],[%]]+I6780</f>
        <v>0.9894681068619241</v>
      </c>
      <c r="J6781" s="4">
        <f t="shared" si="243"/>
        <v>1.105583195135434E-4</v>
      </c>
      <c r="K6781" s="5">
        <f t="shared" si="244"/>
        <v>0.74947484798239872</v>
      </c>
    </row>
    <row r="6782" spans="1:11" x14ac:dyDescent="0.25">
      <c r="A6782" t="s">
        <v>8290</v>
      </c>
      <c r="C6782" t="s">
        <v>8291</v>
      </c>
      <c r="D6782" t="s">
        <v>5</v>
      </c>
      <c r="E6782" t="s">
        <v>6</v>
      </c>
      <c r="F6782" t="s">
        <v>28</v>
      </c>
      <c r="G6782">
        <v>1</v>
      </c>
      <c r="H6782" s="2">
        <f>Tabelle13[[#This Row],[commits]]/Tabelle13[[#Totals],[commits]]</f>
        <v>4.6477904404246225E-6</v>
      </c>
      <c r="I6782" s="5">
        <f>Tabelle13[[#This Row],[%]]+I6781</f>
        <v>0.98947275465236451</v>
      </c>
      <c r="J6782" s="4">
        <f t="shared" si="243"/>
        <v>1.105583195135434E-4</v>
      </c>
      <c r="K6782" s="5">
        <f t="shared" si="244"/>
        <v>0.74958540630191228</v>
      </c>
    </row>
    <row r="6783" spans="1:11" x14ac:dyDescent="0.25">
      <c r="A6783" t="s">
        <v>8292</v>
      </c>
      <c r="C6783" t="s">
        <v>8293</v>
      </c>
      <c r="D6783" t="s">
        <v>5</v>
      </c>
      <c r="E6783" t="s">
        <v>6</v>
      </c>
      <c r="F6783" t="s">
        <v>28</v>
      </c>
      <c r="G6783">
        <v>1</v>
      </c>
      <c r="H6783" s="2">
        <f>Tabelle13[[#This Row],[commits]]/Tabelle13[[#Totals],[commits]]</f>
        <v>4.6477904404246225E-6</v>
      </c>
      <c r="I6783" s="5">
        <f>Tabelle13[[#This Row],[%]]+I6782</f>
        <v>0.98947740244280491</v>
      </c>
      <c r="J6783" s="4">
        <f t="shared" si="243"/>
        <v>1.105583195135434E-4</v>
      </c>
      <c r="K6783" s="5">
        <f t="shared" si="244"/>
        <v>0.74969596462142585</v>
      </c>
    </row>
    <row r="6784" spans="1:11" x14ac:dyDescent="0.25">
      <c r="A6784" t="s">
        <v>8294</v>
      </c>
      <c r="C6784" t="s">
        <v>8295</v>
      </c>
      <c r="D6784" t="s">
        <v>5</v>
      </c>
      <c r="E6784" t="s">
        <v>6</v>
      </c>
      <c r="F6784" t="s">
        <v>28</v>
      </c>
      <c r="G6784">
        <v>1</v>
      </c>
      <c r="H6784" s="2">
        <f>Tabelle13[[#This Row],[commits]]/Tabelle13[[#Totals],[commits]]</f>
        <v>4.6477904404246225E-6</v>
      </c>
      <c r="I6784" s="5">
        <f>Tabelle13[[#This Row],[%]]+I6783</f>
        <v>0.98948205023324531</v>
      </c>
      <c r="J6784" s="4">
        <f t="shared" si="243"/>
        <v>1.105583195135434E-4</v>
      </c>
      <c r="K6784" s="5">
        <f t="shared" si="244"/>
        <v>0.74980652294093941</v>
      </c>
    </row>
    <row r="6785" spans="1:11" x14ac:dyDescent="0.25">
      <c r="A6785" t="s">
        <v>8296</v>
      </c>
      <c r="C6785" t="s">
        <v>8297</v>
      </c>
      <c r="D6785" t="s">
        <v>5</v>
      </c>
      <c r="E6785" t="s">
        <v>6</v>
      </c>
      <c r="F6785" t="s">
        <v>28</v>
      </c>
      <c r="G6785">
        <v>1</v>
      </c>
      <c r="H6785" s="2">
        <f>Tabelle13[[#This Row],[commits]]/Tabelle13[[#Totals],[commits]]</f>
        <v>4.6477904404246225E-6</v>
      </c>
      <c r="I6785" s="5">
        <f>Tabelle13[[#This Row],[%]]+I6784</f>
        <v>0.98948669802368572</v>
      </c>
      <c r="J6785" s="4">
        <f t="shared" si="243"/>
        <v>1.105583195135434E-4</v>
      </c>
      <c r="K6785" s="5">
        <f t="shared" si="244"/>
        <v>0.74991708126045298</v>
      </c>
    </row>
    <row r="6786" spans="1:11" x14ac:dyDescent="0.25">
      <c r="A6786" t="s">
        <v>8298</v>
      </c>
      <c r="C6786" t="s">
        <v>8299</v>
      </c>
      <c r="D6786" t="s">
        <v>5</v>
      </c>
      <c r="E6786" t="s">
        <v>6</v>
      </c>
      <c r="F6786" t="s">
        <v>28</v>
      </c>
      <c r="G6786">
        <v>1</v>
      </c>
      <c r="H6786" s="2">
        <f>Tabelle13[[#This Row],[commits]]/Tabelle13[[#Totals],[commits]]</f>
        <v>4.6477904404246225E-6</v>
      </c>
      <c r="I6786" s="5">
        <f>Tabelle13[[#This Row],[%]]+I6785</f>
        <v>0.98949134581412612</v>
      </c>
      <c r="J6786" s="4">
        <f t="shared" si="243"/>
        <v>1.105583195135434E-4</v>
      </c>
      <c r="K6786" s="5">
        <f t="shared" si="244"/>
        <v>0.75002763957996654</v>
      </c>
    </row>
    <row r="6787" spans="1:11" x14ac:dyDescent="0.25">
      <c r="A6787" t="s">
        <v>8300</v>
      </c>
      <c r="C6787" t="s">
        <v>8301</v>
      </c>
      <c r="D6787" t="s">
        <v>5</v>
      </c>
      <c r="E6787" t="s">
        <v>6</v>
      </c>
      <c r="F6787" t="s">
        <v>28</v>
      </c>
      <c r="G6787">
        <v>1</v>
      </c>
      <c r="H6787" s="2">
        <f>Tabelle13[[#This Row],[commits]]/Tabelle13[[#Totals],[commits]]</f>
        <v>4.6477904404246225E-6</v>
      </c>
      <c r="I6787" s="5">
        <f>Tabelle13[[#This Row],[%]]+I6786</f>
        <v>0.98949599360456653</v>
      </c>
      <c r="J6787" s="4">
        <f t="shared" ref="J6787:J6850" si="245">1/9045</f>
        <v>1.105583195135434E-4</v>
      </c>
      <c r="K6787" s="5">
        <f t="shared" si="244"/>
        <v>0.75013819789948011</v>
      </c>
    </row>
    <row r="6788" spans="1:11" x14ac:dyDescent="0.25">
      <c r="A6788" t="s">
        <v>8302</v>
      </c>
      <c r="C6788" t="s">
        <v>8303</v>
      </c>
      <c r="D6788" t="s">
        <v>5</v>
      </c>
      <c r="E6788" t="s">
        <v>6</v>
      </c>
      <c r="F6788" t="s">
        <v>28</v>
      </c>
      <c r="G6788">
        <v>1</v>
      </c>
      <c r="H6788" s="2">
        <f>Tabelle13[[#This Row],[commits]]/Tabelle13[[#Totals],[commits]]</f>
        <v>4.6477904404246225E-6</v>
      </c>
      <c r="I6788" s="5">
        <f>Tabelle13[[#This Row],[%]]+I6787</f>
        <v>0.98950064139500693</v>
      </c>
      <c r="J6788" s="4">
        <f t="shared" si="245"/>
        <v>1.105583195135434E-4</v>
      </c>
      <c r="K6788" s="5">
        <f t="shared" si="244"/>
        <v>0.75024875621899367</v>
      </c>
    </row>
    <row r="6789" spans="1:11" x14ac:dyDescent="0.25">
      <c r="A6789" t="s">
        <v>8304</v>
      </c>
      <c r="C6789" t="s">
        <v>277</v>
      </c>
      <c r="D6789" t="s">
        <v>5</v>
      </c>
      <c r="E6789" t="s">
        <v>6</v>
      </c>
      <c r="F6789" t="s">
        <v>28</v>
      </c>
      <c r="G6789">
        <v>1</v>
      </c>
      <c r="H6789" s="2">
        <f>Tabelle13[[#This Row],[commits]]/Tabelle13[[#Totals],[commits]]</f>
        <v>4.6477904404246225E-6</v>
      </c>
      <c r="I6789" s="5">
        <f>Tabelle13[[#This Row],[%]]+I6788</f>
        <v>0.98950528918544733</v>
      </c>
      <c r="J6789" s="4">
        <f t="shared" si="245"/>
        <v>1.105583195135434E-4</v>
      </c>
      <c r="K6789" s="5">
        <f t="shared" si="244"/>
        <v>0.75035931453850724</v>
      </c>
    </row>
    <row r="6790" spans="1:11" x14ac:dyDescent="0.25">
      <c r="A6790" t="s">
        <v>8305</v>
      </c>
      <c r="C6790" t="s">
        <v>8306</v>
      </c>
      <c r="D6790" t="s">
        <v>5</v>
      </c>
      <c r="E6790" t="s">
        <v>6</v>
      </c>
      <c r="F6790" t="s">
        <v>28</v>
      </c>
      <c r="G6790">
        <v>1</v>
      </c>
      <c r="H6790" s="2">
        <f>Tabelle13[[#This Row],[commits]]/Tabelle13[[#Totals],[commits]]</f>
        <v>4.6477904404246225E-6</v>
      </c>
      <c r="I6790" s="5">
        <f>Tabelle13[[#This Row],[%]]+I6789</f>
        <v>0.98950993697588774</v>
      </c>
      <c r="J6790" s="4">
        <f t="shared" si="245"/>
        <v>1.105583195135434E-4</v>
      </c>
      <c r="K6790" s="5">
        <f t="shared" ref="K6790:K6853" si="246">J6790+K6789</f>
        <v>0.7504698728580208</v>
      </c>
    </row>
    <row r="6791" spans="1:11" x14ac:dyDescent="0.25">
      <c r="A6791" t="s">
        <v>8307</v>
      </c>
      <c r="C6791" t="s">
        <v>8308</v>
      </c>
      <c r="D6791" t="s">
        <v>5</v>
      </c>
      <c r="E6791" t="s">
        <v>6</v>
      </c>
      <c r="F6791" t="s">
        <v>28</v>
      </c>
      <c r="G6791">
        <v>1</v>
      </c>
      <c r="H6791" s="2">
        <f>Tabelle13[[#This Row],[commits]]/Tabelle13[[#Totals],[commits]]</f>
        <v>4.6477904404246225E-6</v>
      </c>
      <c r="I6791" s="5">
        <f>Tabelle13[[#This Row],[%]]+I6790</f>
        <v>0.98951458476632814</v>
      </c>
      <c r="J6791" s="4">
        <f t="shared" si="245"/>
        <v>1.105583195135434E-4</v>
      </c>
      <c r="K6791" s="5">
        <f t="shared" si="246"/>
        <v>0.75058043117753437</v>
      </c>
    </row>
    <row r="6792" spans="1:11" x14ac:dyDescent="0.25">
      <c r="A6792" t="s">
        <v>8309</v>
      </c>
      <c r="C6792" t="s">
        <v>8310</v>
      </c>
      <c r="D6792" t="s">
        <v>5</v>
      </c>
      <c r="E6792" t="s">
        <v>6</v>
      </c>
      <c r="F6792" t="s">
        <v>28</v>
      </c>
      <c r="G6792">
        <v>1</v>
      </c>
      <c r="H6792" s="2">
        <f>Tabelle13[[#This Row],[commits]]/Tabelle13[[#Totals],[commits]]</f>
        <v>4.6477904404246225E-6</v>
      </c>
      <c r="I6792" s="5">
        <f>Tabelle13[[#This Row],[%]]+I6791</f>
        <v>0.98951923255676855</v>
      </c>
      <c r="J6792" s="4">
        <f t="shared" si="245"/>
        <v>1.105583195135434E-4</v>
      </c>
      <c r="K6792" s="5">
        <f t="shared" si="246"/>
        <v>0.75069098949704793</v>
      </c>
    </row>
    <row r="6793" spans="1:11" x14ac:dyDescent="0.25">
      <c r="A6793" t="s">
        <v>8311</v>
      </c>
      <c r="C6793" t="s">
        <v>8312</v>
      </c>
      <c r="D6793" t="s">
        <v>5</v>
      </c>
      <c r="E6793" t="s">
        <v>6</v>
      </c>
      <c r="F6793" t="s">
        <v>28</v>
      </c>
      <c r="G6793">
        <v>1</v>
      </c>
      <c r="H6793" s="2">
        <f>Tabelle13[[#This Row],[commits]]/Tabelle13[[#Totals],[commits]]</f>
        <v>4.6477904404246225E-6</v>
      </c>
      <c r="I6793" s="5">
        <f>Tabelle13[[#This Row],[%]]+I6792</f>
        <v>0.98952388034720895</v>
      </c>
      <c r="J6793" s="4">
        <f t="shared" si="245"/>
        <v>1.105583195135434E-4</v>
      </c>
      <c r="K6793" s="5">
        <f t="shared" si="246"/>
        <v>0.7508015478165615</v>
      </c>
    </row>
    <row r="6794" spans="1:11" x14ac:dyDescent="0.25">
      <c r="A6794" t="s">
        <v>8313</v>
      </c>
      <c r="C6794" t="s">
        <v>8314</v>
      </c>
      <c r="D6794" t="s">
        <v>5</v>
      </c>
      <c r="E6794" t="s">
        <v>6</v>
      </c>
      <c r="F6794" t="s">
        <v>28</v>
      </c>
      <c r="G6794">
        <v>1</v>
      </c>
      <c r="H6794" s="2">
        <f>Tabelle13[[#This Row],[commits]]/Tabelle13[[#Totals],[commits]]</f>
        <v>4.6477904404246225E-6</v>
      </c>
      <c r="I6794" s="5">
        <f>Tabelle13[[#This Row],[%]]+I6793</f>
        <v>0.98952852813764935</v>
      </c>
      <c r="J6794" s="4">
        <f t="shared" si="245"/>
        <v>1.105583195135434E-4</v>
      </c>
      <c r="K6794" s="5">
        <f t="shared" si="246"/>
        <v>0.75091210613607506</v>
      </c>
    </row>
    <row r="6795" spans="1:11" x14ac:dyDescent="0.25">
      <c r="A6795" t="s">
        <v>8315</v>
      </c>
      <c r="C6795" t="s">
        <v>8316</v>
      </c>
      <c r="D6795" t="s">
        <v>5</v>
      </c>
      <c r="E6795" t="s">
        <v>6</v>
      </c>
      <c r="F6795" t="s">
        <v>28</v>
      </c>
      <c r="G6795">
        <v>1</v>
      </c>
      <c r="H6795" s="2">
        <f>Tabelle13[[#This Row],[commits]]/Tabelle13[[#Totals],[commits]]</f>
        <v>4.6477904404246225E-6</v>
      </c>
      <c r="I6795" s="5">
        <f>Tabelle13[[#This Row],[%]]+I6794</f>
        <v>0.98953317592808976</v>
      </c>
      <c r="J6795" s="4">
        <f t="shared" si="245"/>
        <v>1.105583195135434E-4</v>
      </c>
      <c r="K6795" s="5">
        <f t="shared" si="246"/>
        <v>0.75102266445558863</v>
      </c>
    </row>
    <row r="6796" spans="1:11" x14ac:dyDescent="0.25">
      <c r="A6796" t="s">
        <v>8317</v>
      </c>
      <c r="C6796" t="s">
        <v>8318</v>
      </c>
      <c r="D6796" t="s">
        <v>5</v>
      </c>
      <c r="E6796" t="s">
        <v>6</v>
      </c>
      <c r="F6796" t="s">
        <v>28</v>
      </c>
      <c r="G6796">
        <v>1</v>
      </c>
      <c r="H6796" s="2">
        <f>Tabelle13[[#This Row],[commits]]/Tabelle13[[#Totals],[commits]]</f>
        <v>4.6477904404246225E-6</v>
      </c>
      <c r="I6796" s="5">
        <f>Tabelle13[[#This Row],[%]]+I6795</f>
        <v>0.98953782371853016</v>
      </c>
      <c r="J6796" s="4">
        <f t="shared" si="245"/>
        <v>1.105583195135434E-4</v>
      </c>
      <c r="K6796" s="5">
        <f t="shared" si="246"/>
        <v>0.75113322277510219</v>
      </c>
    </row>
    <row r="6797" spans="1:11" x14ac:dyDescent="0.25">
      <c r="A6797" t="s">
        <v>8319</v>
      </c>
      <c r="C6797" t="s">
        <v>8320</v>
      </c>
      <c r="D6797" t="s">
        <v>5</v>
      </c>
      <c r="E6797" t="s">
        <v>6</v>
      </c>
      <c r="F6797" t="s">
        <v>28</v>
      </c>
      <c r="G6797">
        <v>1</v>
      </c>
      <c r="H6797" s="2">
        <f>Tabelle13[[#This Row],[commits]]/Tabelle13[[#Totals],[commits]]</f>
        <v>4.6477904404246225E-6</v>
      </c>
      <c r="I6797" s="5">
        <f>Tabelle13[[#This Row],[%]]+I6796</f>
        <v>0.98954247150897057</v>
      </c>
      <c r="J6797" s="4">
        <f t="shared" si="245"/>
        <v>1.105583195135434E-4</v>
      </c>
      <c r="K6797" s="5">
        <f t="shared" si="246"/>
        <v>0.75124378109461576</v>
      </c>
    </row>
    <row r="6798" spans="1:11" x14ac:dyDescent="0.25">
      <c r="A6798" t="s">
        <v>8321</v>
      </c>
      <c r="C6798" t="s">
        <v>8322</v>
      </c>
      <c r="D6798" t="s">
        <v>5</v>
      </c>
      <c r="E6798" t="s">
        <v>6</v>
      </c>
      <c r="F6798" t="s">
        <v>28</v>
      </c>
      <c r="G6798">
        <v>1</v>
      </c>
      <c r="H6798" s="2">
        <f>Tabelle13[[#This Row],[commits]]/Tabelle13[[#Totals],[commits]]</f>
        <v>4.6477904404246225E-6</v>
      </c>
      <c r="I6798" s="5">
        <f>Tabelle13[[#This Row],[%]]+I6797</f>
        <v>0.98954711929941097</v>
      </c>
      <c r="J6798" s="4">
        <f t="shared" si="245"/>
        <v>1.105583195135434E-4</v>
      </c>
      <c r="K6798" s="5">
        <f t="shared" si="246"/>
        <v>0.75135433941412932</v>
      </c>
    </row>
    <row r="6799" spans="1:11" x14ac:dyDescent="0.25">
      <c r="A6799" t="s">
        <v>8323</v>
      </c>
      <c r="C6799" t="s">
        <v>8324</v>
      </c>
      <c r="D6799" t="s">
        <v>8325</v>
      </c>
      <c r="E6799" t="s">
        <v>6</v>
      </c>
      <c r="F6799" t="s">
        <v>28</v>
      </c>
      <c r="G6799">
        <v>1</v>
      </c>
      <c r="H6799" s="2">
        <f>Tabelle13[[#This Row],[commits]]/Tabelle13[[#Totals],[commits]]</f>
        <v>4.6477904404246225E-6</v>
      </c>
      <c r="I6799" s="5">
        <f>Tabelle13[[#This Row],[%]]+I6798</f>
        <v>0.98955176708985138</v>
      </c>
      <c r="J6799" s="4">
        <f t="shared" si="245"/>
        <v>1.105583195135434E-4</v>
      </c>
      <c r="K6799" s="5">
        <f t="shared" si="246"/>
        <v>0.75146489773364289</v>
      </c>
    </row>
    <row r="6800" spans="1:11" x14ac:dyDescent="0.25">
      <c r="A6800" t="s">
        <v>8326</v>
      </c>
      <c r="C6800" t="s">
        <v>8327</v>
      </c>
      <c r="D6800" t="s">
        <v>5</v>
      </c>
      <c r="E6800" t="s">
        <v>6</v>
      </c>
      <c r="F6800" t="s">
        <v>28</v>
      </c>
      <c r="G6800">
        <v>1</v>
      </c>
      <c r="H6800" s="2">
        <f>Tabelle13[[#This Row],[commits]]/Tabelle13[[#Totals],[commits]]</f>
        <v>4.6477904404246225E-6</v>
      </c>
      <c r="I6800" s="5">
        <f>Tabelle13[[#This Row],[%]]+I6799</f>
        <v>0.98955641488029178</v>
      </c>
      <c r="J6800" s="4">
        <f t="shared" si="245"/>
        <v>1.105583195135434E-4</v>
      </c>
      <c r="K6800" s="5">
        <f t="shared" si="246"/>
        <v>0.75157545605315645</v>
      </c>
    </row>
    <row r="6801" spans="1:11" x14ac:dyDescent="0.25">
      <c r="A6801" t="s">
        <v>8328</v>
      </c>
      <c r="C6801" t="s">
        <v>8329</v>
      </c>
      <c r="D6801" t="s">
        <v>5</v>
      </c>
      <c r="E6801" t="s">
        <v>6</v>
      </c>
      <c r="F6801" t="s">
        <v>28</v>
      </c>
      <c r="G6801">
        <v>1</v>
      </c>
      <c r="H6801" s="2">
        <f>Tabelle13[[#This Row],[commits]]/Tabelle13[[#Totals],[commits]]</f>
        <v>4.6477904404246225E-6</v>
      </c>
      <c r="I6801" s="5">
        <f>Tabelle13[[#This Row],[%]]+I6800</f>
        <v>0.98956106267073218</v>
      </c>
      <c r="J6801" s="4">
        <f t="shared" si="245"/>
        <v>1.105583195135434E-4</v>
      </c>
      <c r="K6801" s="5">
        <f t="shared" si="246"/>
        <v>0.75168601437267002</v>
      </c>
    </row>
    <row r="6802" spans="1:11" x14ac:dyDescent="0.25">
      <c r="A6802" t="s">
        <v>8330</v>
      </c>
      <c r="C6802" t="s">
        <v>8331</v>
      </c>
      <c r="D6802" t="s">
        <v>5</v>
      </c>
      <c r="E6802" t="s">
        <v>6</v>
      </c>
      <c r="F6802" t="s">
        <v>28</v>
      </c>
      <c r="G6802">
        <v>1</v>
      </c>
      <c r="H6802" s="2">
        <f>Tabelle13[[#This Row],[commits]]/Tabelle13[[#Totals],[commits]]</f>
        <v>4.6477904404246225E-6</v>
      </c>
      <c r="I6802" s="5">
        <f>Tabelle13[[#This Row],[%]]+I6801</f>
        <v>0.98956571046117259</v>
      </c>
      <c r="J6802" s="4">
        <f t="shared" si="245"/>
        <v>1.105583195135434E-4</v>
      </c>
      <c r="K6802" s="5">
        <f t="shared" si="246"/>
        <v>0.75179657269218358</v>
      </c>
    </row>
    <row r="6803" spans="1:11" x14ac:dyDescent="0.25">
      <c r="A6803" t="s">
        <v>8332</v>
      </c>
      <c r="C6803" t="s">
        <v>8333</v>
      </c>
      <c r="D6803" t="s">
        <v>5</v>
      </c>
      <c r="E6803" t="s">
        <v>6</v>
      </c>
      <c r="F6803" t="s">
        <v>28</v>
      </c>
      <c r="G6803">
        <v>1</v>
      </c>
      <c r="H6803" s="2">
        <f>Tabelle13[[#This Row],[commits]]/Tabelle13[[#Totals],[commits]]</f>
        <v>4.6477904404246225E-6</v>
      </c>
      <c r="I6803" s="5">
        <f>Tabelle13[[#This Row],[%]]+I6802</f>
        <v>0.98957035825161299</v>
      </c>
      <c r="J6803" s="4">
        <f t="shared" si="245"/>
        <v>1.105583195135434E-4</v>
      </c>
      <c r="K6803" s="5">
        <f t="shared" si="246"/>
        <v>0.75190713101169715</v>
      </c>
    </row>
    <row r="6804" spans="1:11" x14ac:dyDescent="0.25">
      <c r="A6804" t="s">
        <v>8334</v>
      </c>
      <c r="C6804" t="s">
        <v>8335</v>
      </c>
      <c r="D6804" t="s">
        <v>5</v>
      </c>
      <c r="E6804" t="s">
        <v>6</v>
      </c>
      <c r="F6804" t="s">
        <v>28</v>
      </c>
      <c r="G6804">
        <v>1</v>
      </c>
      <c r="H6804" s="2">
        <f>Tabelle13[[#This Row],[commits]]/Tabelle13[[#Totals],[commits]]</f>
        <v>4.6477904404246225E-6</v>
      </c>
      <c r="I6804" s="5">
        <f>Tabelle13[[#This Row],[%]]+I6803</f>
        <v>0.9895750060420534</v>
      </c>
      <c r="J6804" s="4">
        <f t="shared" si="245"/>
        <v>1.105583195135434E-4</v>
      </c>
      <c r="K6804" s="5">
        <f t="shared" si="246"/>
        <v>0.75201768933121071</v>
      </c>
    </row>
    <row r="6805" spans="1:11" x14ac:dyDescent="0.25">
      <c r="A6805" t="s">
        <v>8336</v>
      </c>
      <c r="C6805" t="s">
        <v>8337</v>
      </c>
      <c r="D6805" t="s">
        <v>5</v>
      </c>
      <c r="E6805" t="s">
        <v>6</v>
      </c>
      <c r="F6805" t="s">
        <v>28</v>
      </c>
      <c r="G6805">
        <v>1</v>
      </c>
      <c r="H6805" s="2">
        <f>Tabelle13[[#This Row],[commits]]/Tabelle13[[#Totals],[commits]]</f>
        <v>4.6477904404246225E-6</v>
      </c>
      <c r="I6805" s="5">
        <f>Tabelle13[[#This Row],[%]]+I6804</f>
        <v>0.9895796538324938</v>
      </c>
      <c r="J6805" s="4">
        <f t="shared" si="245"/>
        <v>1.105583195135434E-4</v>
      </c>
      <c r="K6805" s="5">
        <f t="shared" si="246"/>
        <v>0.75212824765072428</v>
      </c>
    </row>
    <row r="6806" spans="1:11" x14ac:dyDescent="0.25">
      <c r="A6806" t="s">
        <v>8338</v>
      </c>
      <c r="C6806" t="s">
        <v>8339</v>
      </c>
      <c r="D6806" t="s">
        <v>5</v>
      </c>
      <c r="E6806" t="s">
        <v>6</v>
      </c>
      <c r="F6806" t="s">
        <v>28</v>
      </c>
      <c r="G6806">
        <v>1</v>
      </c>
      <c r="H6806" s="2">
        <f>Tabelle13[[#This Row],[commits]]/Tabelle13[[#Totals],[commits]]</f>
        <v>4.6477904404246225E-6</v>
      </c>
      <c r="I6806" s="5">
        <f>Tabelle13[[#This Row],[%]]+I6805</f>
        <v>0.9895843016229342</v>
      </c>
      <c r="J6806" s="4">
        <f t="shared" si="245"/>
        <v>1.105583195135434E-4</v>
      </c>
      <c r="K6806" s="5">
        <f t="shared" si="246"/>
        <v>0.75223880597023784</v>
      </c>
    </row>
    <row r="6807" spans="1:11" x14ac:dyDescent="0.25">
      <c r="A6807" t="s">
        <v>8340</v>
      </c>
      <c r="C6807" t="s">
        <v>8341</v>
      </c>
      <c r="D6807" t="s">
        <v>5</v>
      </c>
      <c r="E6807" t="s">
        <v>6</v>
      </c>
      <c r="F6807" t="s">
        <v>28</v>
      </c>
      <c r="G6807">
        <v>1</v>
      </c>
      <c r="H6807" s="2">
        <f>Tabelle13[[#This Row],[commits]]/Tabelle13[[#Totals],[commits]]</f>
        <v>4.6477904404246225E-6</v>
      </c>
      <c r="I6807" s="5">
        <f>Tabelle13[[#This Row],[%]]+I6806</f>
        <v>0.98958894941337461</v>
      </c>
      <c r="J6807" s="4">
        <f t="shared" si="245"/>
        <v>1.105583195135434E-4</v>
      </c>
      <c r="K6807" s="5">
        <f t="shared" si="246"/>
        <v>0.75234936428975141</v>
      </c>
    </row>
    <row r="6808" spans="1:11" x14ac:dyDescent="0.25">
      <c r="A6808" t="s">
        <v>8342</v>
      </c>
      <c r="C6808" t="s">
        <v>8343</v>
      </c>
      <c r="D6808" t="s">
        <v>5</v>
      </c>
      <c r="E6808" t="s">
        <v>6</v>
      </c>
      <c r="F6808" t="s">
        <v>28</v>
      </c>
      <c r="G6808">
        <v>1</v>
      </c>
      <c r="H6808" s="2">
        <f>Tabelle13[[#This Row],[commits]]/Tabelle13[[#Totals],[commits]]</f>
        <v>4.6477904404246225E-6</v>
      </c>
      <c r="I6808" s="5">
        <f>Tabelle13[[#This Row],[%]]+I6807</f>
        <v>0.98959359720381501</v>
      </c>
      <c r="J6808" s="4">
        <f t="shared" si="245"/>
        <v>1.105583195135434E-4</v>
      </c>
      <c r="K6808" s="5">
        <f t="shared" si="246"/>
        <v>0.75245992260926498</v>
      </c>
    </row>
    <row r="6809" spans="1:11" x14ac:dyDescent="0.25">
      <c r="A6809" t="s">
        <v>8344</v>
      </c>
      <c r="C6809" t="s">
        <v>8345</v>
      </c>
      <c r="D6809" t="s">
        <v>5</v>
      </c>
      <c r="E6809" t="s">
        <v>6</v>
      </c>
      <c r="F6809" t="s">
        <v>28</v>
      </c>
      <c r="G6809">
        <v>1</v>
      </c>
      <c r="H6809" s="2">
        <f>Tabelle13[[#This Row],[commits]]/Tabelle13[[#Totals],[commits]]</f>
        <v>4.6477904404246225E-6</v>
      </c>
      <c r="I6809" s="5">
        <f>Tabelle13[[#This Row],[%]]+I6808</f>
        <v>0.98959824499425542</v>
      </c>
      <c r="J6809" s="4">
        <f t="shared" si="245"/>
        <v>1.105583195135434E-4</v>
      </c>
      <c r="K6809" s="5">
        <f t="shared" si="246"/>
        <v>0.75257048092877854</v>
      </c>
    </row>
    <row r="6810" spans="1:11" x14ac:dyDescent="0.25">
      <c r="A6810" t="s">
        <v>8346</v>
      </c>
      <c r="C6810" t="s">
        <v>8347</v>
      </c>
      <c r="D6810" t="s">
        <v>5</v>
      </c>
      <c r="E6810" t="s">
        <v>6</v>
      </c>
      <c r="F6810" t="s">
        <v>28</v>
      </c>
      <c r="G6810">
        <v>1</v>
      </c>
      <c r="H6810" s="2">
        <f>Tabelle13[[#This Row],[commits]]/Tabelle13[[#Totals],[commits]]</f>
        <v>4.6477904404246225E-6</v>
      </c>
      <c r="I6810" s="5">
        <f>Tabelle13[[#This Row],[%]]+I6809</f>
        <v>0.98960289278469582</v>
      </c>
      <c r="J6810" s="4">
        <f t="shared" si="245"/>
        <v>1.105583195135434E-4</v>
      </c>
      <c r="K6810" s="5">
        <f t="shared" si="246"/>
        <v>0.75268103924829211</v>
      </c>
    </row>
    <row r="6811" spans="1:11" x14ac:dyDescent="0.25">
      <c r="A6811" t="s">
        <v>8348</v>
      </c>
      <c r="C6811" t="s">
        <v>8349</v>
      </c>
      <c r="D6811" t="s">
        <v>5</v>
      </c>
      <c r="E6811" t="s">
        <v>6</v>
      </c>
      <c r="F6811" t="s">
        <v>28</v>
      </c>
      <c r="G6811">
        <v>1</v>
      </c>
      <c r="H6811" s="2">
        <f>Tabelle13[[#This Row],[commits]]/Tabelle13[[#Totals],[commits]]</f>
        <v>4.6477904404246225E-6</v>
      </c>
      <c r="I6811" s="5">
        <f>Tabelle13[[#This Row],[%]]+I6810</f>
        <v>0.98960754057513622</v>
      </c>
      <c r="J6811" s="4">
        <f t="shared" si="245"/>
        <v>1.105583195135434E-4</v>
      </c>
      <c r="K6811" s="5">
        <f t="shared" si="246"/>
        <v>0.75279159756780567</v>
      </c>
    </row>
    <row r="6812" spans="1:11" x14ac:dyDescent="0.25">
      <c r="A6812" t="s">
        <v>8350</v>
      </c>
      <c r="C6812" t="s">
        <v>8351</v>
      </c>
      <c r="D6812" t="s">
        <v>5</v>
      </c>
      <c r="E6812" t="s">
        <v>6</v>
      </c>
      <c r="F6812" t="s">
        <v>28</v>
      </c>
      <c r="G6812">
        <v>1</v>
      </c>
      <c r="H6812" s="2">
        <f>Tabelle13[[#This Row],[commits]]/Tabelle13[[#Totals],[commits]]</f>
        <v>4.6477904404246225E-6</v>
      </c>
      <c r="I6812" s="5">
        <f>Tabelle13[[#This Row],[%]]+I6811</f>
        <v>0.98961218836557663</v>
      </c>
      <c r="J6812" s="4">
        <f t="shared" si="245"/>
        <v>1.105583195135434E-4</v>
      </c>
      <c r="K6812" s="5">
        <f t="shared" si="246"/>
        <v>0.75290215588731924</v>
      </c>
    </row>
    <row r="6813" spans="1:11" x14ac:dyDescent="0.25">
      <c r="A6813" t="s">
        <v>8352</v>
      </c>
      <c r="C6813" t="s">
        <v>8353</v>
      </c>
      <c r="D6813" t="s">
        <v>5</v>
      </c>
      <c r="E6813" t="s">
        <v>6</v>
      </c>
      <c r="F6813" t="s">
        <v>28</v>
      </c>
      <c r="G6813">
        <v>1</v>
      </c>
      <c r="H6813" s="2">
        <f>Tabelle13[[#This Row],[commits]]/Tabelle13[[#Totals],[commits]]</f>
        <v>4.6477904404246225E-6</v>
      </c>
      <c r="I6813" s="5">
        <f>Tabelle13[[#This Row],[%]]+I6812</f>
        <v>0.98961683615601703</v>
      </c>
      <c r="J6813" s="4">
        <f t="shared" si="245"/>
        <v>1.105583195135434E-4</v>
      </c>
      <c r="K6813" s="5">
        <f t="shared" si="246"/>
        <v>0.7530127142068328</v>
      </c>
    </row>
    <row r="6814" spans="1:11" x14ac:dyDescent="0.25">
      <c r="A6814" t="s">
        <v>8354</v>
      </c>
      <c r="C6814" t="s">
        <v>6136</v>
      </c>
      <c r="D6814" t="s">
        <v>5175</v>
      </c>
      <c r="E6814" t="s">
        <v>6</v>
      </c>
      <c r="F6814" t="s">
        <v>28</v>
      </c>
      <c r="G6814">
        <v>1</v>
      </c>
      <c r="H6814" s="2">
        <f>Tabelle13[[#This Row],[commits]]/Tabelle13[[#Totals],[commits]]</f>
        <v>4.6477904404246225E-6</v>
      </c>
      <c r="I6814" s="5">
        <f>Tabelle13[[#This Row],[%]]+I6813</f>
        <v>0.98962148394645744</v>
      </c>
      <c r="J6814" s="4">
        <f t="shared" si="245"/>
        <v>1.105583195135434E-4</v>
      </c>
      <c r="K6814" s="5">
        <f t="shared" si="246"/>
        <v>0.75312327252634637</v>
      </c>
    </row>
    <row r="6815" spans="1:11" x14ac:dyDescent="0.25">
      <c r="A6815" t="s">
        <v>8355</v>
      </c>
      <c r="C6815" t="s">
        <v>6136</v>
      </c>
      <c r="D6815" t="s">
        <v>5</v>
      </c>
      <c r="E6815" t="s">
        <v>6</v>
      </c>
      <c r="F6815" t="s">
        <v>28</v>
      </c>
      <c r="G6815">
        <v>1</v>
      </c>
      <c r="H6815" s="2">
        <f>Tabelle13[[#This Row],[commits]]/Tabelle13[[#Totals],[commits]]</f>
        <v>4.6477904404246225E-6</v>
      </c>
      <c r="I6815" s="5">
        <f>Tabelle13[[#This Row],[%]]+I6814</f>
        <v>0.98962613173689784</v>
      </c>
      <c r="J6815" s="4">
        <f t="shared" si="245"/>
        <v>1.105583195135434E-4</v>
      </c>
      <c r="K6815" s="5">
        <f t="shared" si="246"/>
        <v>0.75323383084585993</v>
      </c>
    </row>
    <row r="6816" spans="1:11" x14ac:dyDescent="0.25">
      <c r="A6816" t="s">
        <v>8356</v>
      </c>
      <c r="C6816" t="s">
        <v>8357</v>
      </c>
      <c r="D6816" t="s">
        <v>5</v>
      </c>
      <c r="E6816" t="s">
        <v>6</v>
      </c>
      <c r="F6816" t="s">
        <v>28</v>
      </c>
      <c r="G6816">
        <v>1</v>
      </c>
      <c r="H6816" s="2">
        <f>Tabelle13[[#This Row],[commits]]/Tabelle13[[#Totals],[commits]]</f>
        <v>4.6477904404246225E-6</v>
      </c>
      <c r="I6816" s="5">
        <f>Tabelle13[[#This Row],[%]]+I6815</f>
        <v>0.98963077952733824</v>
      </c>
      <c r="J6816" s="4">
        <f t="shared" si="245"/>
        <v>1.105583195135434E-4</v>
      </c>
      <c r="K6816" s="5">
        <f t="shared" si="246"/>
        <v>0.7533443891653735</v>
      </c>
    </row>
    <row r="6817" spans="1:11" x14ac:dyDescent="0.25">
      <c r="A6817" t="s">
        <v>8358</v>
      </c>
      <c r="C6817" t="s">
        <v>8359</v>
      </c>
      <c r="D6817" t="s">
        <v>5</v>
      </c>
      <c r="E6817" t="s">
        <v>6</v>
      </c>
      <c r="F6817" t="s">
        <v>28</v>
      </c>
      <c r="G6817">
        <v>1</v>
      </c>
      <c r="H6817" s="2">
        <f>Tabelle13[[#This Row],[commits]]/Tabelle13[[#Totals],[commits]]</f>
        <v>4.6477904404246225E-6</v>
      </c>
      <c r="I6817" s="5">
        <f>Tabelle13[[#This Row],[%]]+I6816</f>
        <v>0.98963542731777865</v>
      </c>
      <c r="J6817" s="4">
        <f t="shared" si="245"/>
        <v>1.105583195135434E-4</v>
      </c>
      <c r="K6817" s="5">
        <f t="shared" si="246"/>
        <v>0.75345494748488706</v>
      </c>
    </row>
    <row r="6818" spans="1:11" x14ac:dyDescent="0.25">
      <c r="A6818" t="s">
        <v>8360</v>
      </c>
      <c r="C6818" t="s">
        <v>8361</v>
      </c>
      <c r="D6818" t="s">
        <v>5</v>
      </c>
      <c r="E6818" t="s">
        <v>6</v>
      </c>
      <c r="F6818" t="s">
        <v>28</v>
      </c>
      <c r="G6818">
        <v>1</v>
      </c>
      <c r="H6818" s="2">
        <f>Tabelle13[[#This Row],[commits]]/Tabelle13[[#Totals],[commits]]</f>
        <v>4.6477904404246225E-6</v>
      </c>
      <c r="I6818" s="5">
        <f>Tabelle13[[#This Row],[%]]+I6817</f>
        <v>0.98964007510821905</v>
      </c>
      <c r="J6818" s="4">
        <f t="shared" si="245"/>
        <v>1.105583195135434E-4</v>
      </c>
      <c r="K6818" s="5">
        <f t="shared" si="246"/>
        <v>0.75356550580440063</v>
      </c>
    </row>
    <row r="6819" spans="1:11" x14ac:dyDescent="0.25">
      <c r="A6819" t="s">
        <v>8362</v>
      </c>
      <c r="C6819" t="s">
        <v>8363</v>
      </c>
      <c r="D6819" t="s">
        <v>5</v>
      </c>
      <c r="E6819" t="s">
        <v>6</v>
      </c>
      <c r="F6819" t="s">
        <v>28</v>
      </c>
      <c r="G6819">
        <v>1</v>
      </c>
      <c r="H6819" s="2">
        <f>Tabelle13[[#This Row],[commits]]/Tabelle13[[#Totals],[commits]]</f>
        <v>4.6477904404246225E-6</v>
      </c>
      <c r="I6819" s="5">
        <f>Tabelle13[[#This Row],[%]]+I6818</f>
        <v>0.98964472289865946</v>
      </c>
      <c r="J6819" s="4">
        <f t="shared" si="245"/>
        <v>1.105583195135434E-4</v>
      </c>
      <c r="K6819" s="5">
        <f t="shared" si="246"/>
        <v>0.75367606412391419</v>
      </c>
    </row>
    <row r="6820" spans="1:11" x14ac:dyDescent="0.25">
      <c r="A6820" t="s">
        <v>8364</v>
      </c>
      <c r="C6820" t="s">
        <v>8365</v>
      </c>
      <c r="D6820" t="s">
        <v>5</v>
      </c>
      <c r="E6820" t="s">
        <v>6</v>
      </c>
      <c r="F6820" t="s">
        <v>28</v>
      </c>
      <c r="G6820">
        <v>1</v>
      </c>
      <c r="H6820" s="2">
        <f>Tabelle13[[#This Row],[commits]]/Tabelle13[[#Totals],[commits]]</f>
        <v>4.6477904404246225E-6</v>
      </c>
      <c r="I6820" s="5">
        <f>Tabelle13[[#This Row],[%]]+I6819</f>
        <v>0.98964937068909986</v>
      </c>
      <c r="J6820" s="4">
        <f t="shared" si="245"/>
        <v>1.105583195135434E-4</v>
      </c>
      <c r="K6820" s="5">
        <f t="shared" si="246"/>
        <v>0.75378662244342776</v>
      </c>
    </row>
    <row r="6821" spans="1:11" x14ac:dyDescent="0.25">
      <c r="A6821" t="s">
        <v>8366</v>
      </c>
      <c r="C6821" t="s">
        <v>8367</v>
      </c>
      <c r="D6821" t="s">
        <v>5</v>
      </c>
      <c r="E6821" t="s">
        <v>6</v>
      </c>
      <c r="F6821" t="s">
        <v>28</v>
      </c>
      <c r="G6821">
        <v>1</v>
      </c>
      <c r="H6821" s="2">
        <f>Tabelle13[[#This Row],[commits]]/Tabelle13[[#Totals],[commits]]</f>
        <v>4.6477904404246225E-6</v>
      </c>
      <c r="I6821" s="5">
        <f>Tabelle13[[#This Row],[%]]+I6820</f>
        <v>0.98965401847954027</v>
      </c>
      <c r="J6821" s="4">
        <f t="shared" si="245"/>
        <v>1.105583195135434E-4</v>
      </c>
      <c r="K6821" s="5">
        <f t="shared" si="246"/>
        <v>0.75389718076294132</v>
      </c>
    </row>
    <row r="6822" spans="1:11" x14ac:dyDescent="0.25">
      <c r="A6822" t="s">
        <v>8368</v>
      </c>
      <c r="C6822" t="s">
        <v>8369</v>
      </c>
      <c r="D6822" t="s">
        <v>5</v>
      </c>
      <c r="E6822" t="s">
        <v>6</v>
      </c>
      <c r="F6822" t="s">
        <v>28</v>
      </c>
      <c r="G6822">
        <v>1</v>
      </c>
      <c r="H6822" s="2">
        <f>Tabelle13[[#This Row],[commits]]/Tabelle13[[#Totals],[commits]]</f>
        <v>4.6477904404246225E-6</v>
      </c>
      <c r="I6822" s="5">
        <f>Tabelle13[[#This Row],[%]]+I6821</f>
        <v>0.98965866626998067</v>
      </c>
      <c r="J6822" s="4">
        <f t="shared" si="245"/>
        <v>1.105583195135434E-4</v>
      </c>
      <c r="K6822" s="5">
        <f t="shared" si="246"/>
        <v>0.75400773908245489</v>
      </c>
    </row>
    <row r="6823" spans="1:11" x14ac:dyDescent="0.25">
      <c r="A6823" t="s">
        <v>8370</v>
      </c>
      <c r="C6823" t="s">
        <v>8371</v>
      </c>
      <c r="D6823" t="s">
        <v>5</v>
      </c>
      <c r="E6823" t="s">
        <v>6</v>
      </c>
      <c r="F6823" t="s">
        <v>28</v>
      </c>
      <c r="G6823">
        <v>1</v>
      </c>
      <c r="H6823" s="2">
        <f>Tabelle13[[#This Row],[commits]]/Tabelle13[[#Totals],[commits]]</f>
        <v>4.6477904404246225E-6</v>
      </c>
      <c r="I6823" s="5">
        <f>Tabelle13[[#This Row],[%]]+I6822</f>
        <v>0.98966331406042107</v>
      </c>
      <c r="J6823" s="4">
        <f t="shared" si="245"/>
        <v>1.105583195135434E-4</v>
      </c>
      <c r="K6823" s="5">
        <f t="shared" si="246"/>
        <v>0.75411829740196845</v>
      </c>
    </row>
    <row r="6824" spans="1:11" x14ac:dyDescent="0.25">
      <c r="A6824" t="s">
        <v>8372</v>
      </c>
      <c r="C6824" t="s">
        <v>8373</v>
      </c>
      <c r="D6824" t="s">
        <v>5</v>
      </c>
      <c r="E6824" t="s">
        <v>6</v>
      </c>
      <c r="F6824" t="s">
        <v>28</v>
      </c>
      <c r="G6824">
        <v>1</v>
      </c>
      <c r="H6824" s="2">
        <f>Tabelle13[[#This Row],[commits]]/Tabelle13[[#Totals],[commits]]</f>
        <v>4.6477904404246225E-6</v>
      </c>
      <c r="I6824" s="5">
        <f>Tabelle13[[#This Row],[%]]+I6823</f>
        <v>0.98966796185086148</v>
      </c>
      <c r="J6824" s="4">
        <f t="shared" si="245"/>
        <v>1.105583195135434E-4</v>
      </c>
      <c r="K6824" s="5">
        <f t="shared" si="246"/>
        <v>0.75422885572148202</v>
      </c>
    </row>
    <row r="6825" spans="1:11" x14ac:dyDescent="0.25">
      <c r="A6825" t="s">
        <v>8374</v>
      </c>
      <c r="C6825" t="s">
        <v>8375</v>
      </c>
      <c r="D6825" t="s">
        <v>5</v>
      </c>
      <c r="E6825" t="s">
        <v>6</v>
      </c>
      <c r="F6825" t="s">
        <v>28</v>
      </c>
      <c r="G6825">
        <v>1</v>
      </c>
      <c r="H6825" s="2">
        <f>Tabelle13[[#This Row],[commits]]/Tabelle13[[#Totals],[commits]]</f>
        <v>4.6477904404246225E-6</v>
      </c>
      <c r="I6825" s="5">
        <f>Tabelle13[[#This Row],[%]]+I6824</f>
        <v>0.98967260964130188</v>
      </c>
      <c r="J6825" s="4">
        <f t="shared" si="245"/>
        <v>1.105583195135434E-4</v>
      </c>
      <c r="K6825" s="5">
        <f t="shared" si="246"/>
        <v>0.75433941404099558</v>
      </c>
    </row>
    <row r="6826" spans="1:11" x14ac:dyDescent="0.25">
      <c r="A6826" t="s">
        <v>8376</v>
      </c>
      <c r="C6826" t="s">
        <v>8377</v>
      </c>
      <c r="D6826" t="s">
        <v>5</v>
      </c>
      <c r="E6826" t="s">
        <v>6</v>
      </c>
      <c r="F6826" t="s">
        <v>28</v>
      </c>
      <c r="G6826">
        <v>1</v>
      </c>
      <c r="H6826" s="2">
        <f>Tabelle13[[#This Row],[commits]]/Tabelle13[[#Totals],[commits]]</f>
        <v>4.6477904404246225E-6</v>
      </c>
      <c r="I6826" s="5">
        <f>Tabelle13[[#This Row],[%]]+I6825</f>
        <v>0.98967725743174229</v>
      </c>
      <c r="J6826" s="4">
        <f t="shared" si="245"/>
        <v>1.105583195135434E-4</v>
      </c>
      <c r="K6826" s="5">
        <f t="shared" si="246"/>
        <v>0.75444997236050915</v>
      </c>
    </row>
    <row r="6827" spans="1:11" x14ac:dyDescent="0.25">
      <c r="A6827" t="s">
        <v>8378</v>
      </c>
      <c r="C6827" t="s">
        <v>8379</v>
      </c>
      <c r="D6827" t="s">
        <v>5</v>
      </c>
      <c r="E6827" t="s">
        <v>6</v>
      </c>
      <c r="F6827" t="s">
        <v>28</v>
      </c>
      <c r="G6827">
        <v>1</v>
      </c>
      <c r="H6827" s="2">
        <f>Tabelle13[[#This Row],[commits]]/Tabelle13[[#Totals],[commits]]</f>
        <v>4.6477904404246225E-6</v>
      </c>
      <c r="I6827" s="5">
        <f>Tabelle13[[#This Row],[%]]+I6826</f>
        <v>0.98968190522218269</v>
      </c>
      <c r="J6827" s="4">
        <f t="shared" si="245"/>
        <v>1.105583195135434E-4</v>
      </c>
      <c r="K6827" s="5">
        <f t="shared" si="246"/>
        <v>0.75456053068002271</v>
      </c>
    </row>
    <row r="6828" spans="1:11" x14ac:dyDescent="0.25">
      <c r="A6828" t="s">
        <v>8380</v>
      </c>
      <c r="C6828" t="s">
        <v>8381</v>
      </c>
      <c r="D6828" t="s">
        <v>5</v>
      </c>
      <c r="E6828" t="s">
        <v>6</v>
      </c>
      <c r="F6828" t="s">
        <v>28</v>
      </c>
      <c r="G6828">
        <v>1</v>
      </c>
      <c r="H6828" s="2">
        <f>Tabelle13[[#This Row],[commits]]/Tabelle13[[#Totals],[commits]]</f>
        <v>4.6477904404246225E-6</v>
      </c>
      <c r="I6828" s="5">
        <f>Tabelle13[[#This Row],[%]]+I6827</f>
        <v>0.98968655301262309</v>
      </c>
      <c r="J6828" s="4">
        <f t="shared" si="245"/>
        <v>1.105583195135434E-4</v>
      </c>
      <c r="K6828" s="5">
        <f t="shared" si="246"/>
        <v>0.75467108899953628</v>
      </c>
    </row>
    <row r="6829" spans="1:11" x14ac:dyDescent="0.25">
      <c r="A6829" t="s">
        <v>8382</v>
      </c>
      <c r="C6829" t="s">
        <v>8383</v>
      </c>
      <c r="D6829" t="s">
        <v>5</v>
      </c>
      <c r="E6829" t="s">
        <v>6</v>
      </c>
      <c r="F6829" t="s">
        <v>28</v>
      </c>
      <c r="G6829">
        <v>1</v>
      </c>
      <c r="H6829" s="2">
        <f>Tabelle13[[#This Row],[commits]]/Tabelle13[[#Totals],[commits]]</f>
        <v>4.6477904404246225E-6</v>
      </c>
      <c r="I6829" s="5">
        <f>Tabelle13[[#This Row],[%]]+I6828</f>
        <v>0.9896912008030635</v>
      </c>
      <c r="J6829" s="4">
        <f t="shared" si="245"/>
        <v>1.105583195135434E-4</v>
      </c>
      <c r="K6829" s="5">
        <f t="shared" si="246"/>
        <v>0.75478164731904984</v>
      </c>
    </row>
    <row r="6830" spans="1:11" x14ac:dyDescent="0.25">
      <c r="A6830" t="s">
        <v>8384</v>
      </c>
      <c r="C6830" t="s">
        <v>8385</v>
      </c>
      <c r="D6830" t="s">
        <v>5</v>
      </c>
      <c r="E6830" t="s">
        <v>6</v>
      </c>
      <c r="F6830" t="s">
        <v>28</v>
      </c>
      <c r="G6830">
        <v>1</v>
      </c>
      <c r="H6830" s="2">
        <f>Tabelle13[[#This Row],[commits]]/Tabelle13[[#Totals],[commits]]</f>
        <v>4.6477904404246225E-6</v>
      </c>
      <c r="I6830" s="5">
        <f>Tabelle13[[#This Row],[%]]+I6829</f>
        <v>0.9896958485935039</v>
      </c>
      <c r="J6830" s="4">
        <f t="shared" si="245"/>
        <v>1.105583195135434E-4</v>
      </c>
      <c r="K6830" s="5">
        <f t="shared" si="246"/>
        <v>0.75489220563856341</v>
      </c>
    </row>
    <row r="6831" spans="1:11" x14ac:dyDescent="0.25">
      <c r="A6831" t="s">
        <v>8386</v>
      </c>
      <c r="C6831" t="s">
        <v>8387</v>
      </c>
      <c r="D6831" t="s">
        <v>5</v>
      </c>
      <c r="E6831" t="s">
        <v>6</v>
      </c>
      <c r="F6831" t="s">
        <v>28</v>
      </c>
      <c r="G6831">
        <v>1</v>
      </c>
      <c r="H6831" s="2">
        <f>Tabelle13[[#This Row],[commits]]/Tabelle13[[#Totals],[commits]]</f>
        <v>4.6477904404246225E-6</v>
      </c>
      <c r="I6831" s="5">
        <f>Tabelle13[[#This Row],[%]]+I6830</f>
        <v>0.98970049638394431</v>
      </c>
      <c r="J6831" s="4">
        <f t="shared" si="245"/>
        <v>1.105583195135434E-4</v>
      </c>
      <c r="K6831" s="5">
        <f t="shared" si="246"/>
        <v>0.75500276395807697</v>
      </c>
    </row>
    <row r="6832" spans="1:11" x14ac:dyDescent="0.25">
      <c r="A6832" t="s">
        <v>8388</v>
      </c>
      <c r="C6832" t="s">
        <v>8389</v>
      </c>
      <c r="D6832" t="s">
        <v>5</v>
      </c>
      <c r="E6832" t="s">
        <v>6</v>
      </c>
      <c r="F6832" t="s">
        <v>28</v>
      </c>
      <c r="G6832">
        <v>1</v>
      </c>
      <c r="H6832" s="2">
        <f>Tabelle13[[#This Row],[commits]]/Tabelle13[[#Totals],[commits]]</f>
        <v>4.6477904404246225E-6</v>
      </c>
      <c r="I6832" s="5">
        <f>Tabelle13[[#This Row],[%]]+I6831</f>
        <v>0.98970514417438471</v>
      </c>
      <c r="J6832" s="4">
        <f t="shared" si="245"/>
        <v>1.105583195135434E-4</v>
      </c>
      <c r="K6832" s="5">
        <f t="shared" si="246"/>
        <v>0.75511332227759054</v>
      </c>
    </row>
    <row r="6833" spans="1:11" x14ac:dyDescent="0.25">
      <c r="A6833" t="s">
        <v>8390</v>
      </c>
      <c r="C6833" t="s">
        <v>8391</v>
      </c>
      <c r="D6833" t="s">
        <v>5</v>
      </c>
      <c r="E6833" t="s">
        <v>6</v>
      </c>
      <c r="F6833" t="s">
        <v>28</v>
      </c>
      <c r="G6833">
        <v>1</v>
      </c>
      <c r="H6833" s="2">
        <f>Tabelle13[[#This Row],[commits]]/Tabelle13[[#Totals],[commits]]</f>
        <v>4.6477904404246225E-6</v>
      </c>
      <c r="I6833" s="5">
        <f>Tabelle13[[#This Row],[%]]+I6832</f>
        <v>0.98970979196482511</v>
      </c>
      <c r="J6833" s="4">
        <f t="shared" si="245"/>
        <v>1.105583195135434E-4</v>
      </c>
      <c r="K6833" s="5">
        <f t="shared" si="246"/>
        <v>0.7552238805971041</v>
      </c>
    </row>
    <row r="6834" spans="1:11" x14ac:dyDescent="0.25">
      <c r="A6834" t="s">
        <v>8392</v>
      </c>
      <c r="C6834" t="s">
        <v>8393</v>
      </c>
      <c r="D6834" t="s">
        <v>5</v>
      </c>
      <c r="E6834" t="s">
        <v>6</v>
      </c>
      <c r="F6834" t="s">
        <v>28</v>
      </c>
      <c r="G6834">
        <v>1</v>
      </c>
      <c r="H6834" s="2">
        <f>Tabelle13[[#This Row],[commits]]/Tabelle13[[#Totals],[commits]]</f>
        <v>4.6477904404246225E-6</v>
      </c>
      <c r="I6834" s="5">
        <f>Tabelle13[[#This Row],[%]]+I6833</f>
        <v>0.98971443975526552</v>
      </c>
      <c r="J6834" s="4">
        <f t="shared" si="245"/>
        <v>1.105583195135434E-4</v>
      </c>
      <c r="K6834" s="5">
        <f t="shared" si="246"/>
        <v>0.75533443891661767</v>
      </c>
    </row>
    <row r="6835" spans="1:11" x14ac:dyDescent="0.25">
      <c r="A6835" t="s">
        <v>8394</v>
      </c>
      <c r="C6835" t="s">
        <v>8395</v>
      </c>
      <c r="D6835" t="s">
        <v>5</v>
      </c>
      <c r="E6835" t="s">
        <v>6</v>
      </c>
      <c r="F6835" t="s">
        <v>28</v>
      </c>
      <c r="G6835">
        <v>1</v>
      </c>
      <c r="H6835" s="2">
        <f>Tabelle13[[#This Row],[commits]]/Tabelle13[[#Totals],[commits]]</f>
        <v>4.6477904404246225E-6</v>
      </c>
      <c r="I6835" s="5">
        <f>Tabelle13[[#This Row],[%]]+I6834</f>
        <v>0.98971908754570592</v>
      </c>
      <c r="J6835" s="4">
        <f t="shared" si="245"/>
        <v>1.105583195135434E-4</v>
      </c>
      <c r="K6835" s="5">
        <f t="shared" si="246"/>
        <v>0.75544499723613123</v>
      </c>
    </row>
    <row r="6836" spans="1:11" x14ac:dyDescent="0.25">
      <c r="A6836" t="s">
        <v>8396</v>
      </c>
      <c r="C6836" t="s">
        <v>8397</v>
      </c>
      <c r="D6836" t="s">
        <v>5</v>
      </c>
      <c r="E6836" t="s">
        <v>6</v>
      </c>
      <c r="F6836" t="s">
        <v>28</v>
      </c>
      <c r="G6836">
        <v>1</v>
      </c>
      <c r="H6836" s="2">
        <f>Tabelle13[[#This Row],[commits]]/Tabelle13[[#Totals],[commits]]</f>
        <v>4.6477904404246225E-6</v>
      </c>
      <c r="I6836" s="5">
        <f>Tabelle13[[#This Row],[%]]+I6835</f>
        <v>0.98972373533614633</v>
      </c>
      <c r="J6836" s="4">
        <f t="shared" si="245"/>
        <v>1.105583195135434E-4</v>
      </c>
      <c r="K6836" s="5">
        <f t="shared" si="246"/>
        <v>0.7555555555556448</v>
      </c>
    </row>
    <row r="6837" spans="1:11" x14ac:dyDescent="0.25">
      <c r="A6837" t="s">
        <v>8398</v>
      </c>
      <c r="C6837" t="s">
        <v>8399</v>
      </c>
      <c r="D6837" t="s">
        <v>5</v>
      </c>
      <c r="E6837" t="s">
        <v>6</v>
      </c>
      <c r="F6837" t="s">
        <v>28</v>
      </c>
      <c r="G6837">
        <v>1</v>
      </c>
      <c r="H6837" s="2">
        <f>Tabelle13[[#This Row],[commits]]/Tabelle13[[#Totals],[commits]]</f>
        <v>4.6477904404246225E-6</v>
      </c>
      <c r="I6837" s="5">
        <f>Tabelle13[[#This Row],[%]]+I6836</f>
        <v>0.98972838312658673</v>
      </c>
      <c r="J6837" s="4">
        <f t="shared" si="245"/>
        <v>1.105583195135434E-4</v>
      </c>
      <c r="K6837" s="5">
        <f t="shared" si="246"/>
        <v>0.75566611387515836</v>
      </c>
    </row>
    <row r="6838" spans="1:11" x14ac:dyDescent="0.25">
      <c r="A6838" t="s">
        <v>8400</v>
      </c>
      <c r="C6838" t="s">
        <v>8401</v>
      </c>
      <c r="D6838" t="s">
        <v>5</v>
      </c>
      <c r="E6838" t="s">
        <v>6</v>
      </c>
      <c r="F6838" t="s">
        <v>28</v>
      </c>
      <c r="G6838">
        <v>1</v>
      </c>
      <c r="H6838" s="2">
        <f>Tabelle13[[#This Row],[commits]]/Tabelle13[[#Totals],[commits]]</f>
        <v>4.6477904404246225E-6</v>
      </c>
      <c r="I6838" s="5">
        <f>Tabelle13[[#This Row],[%]]+I6837</f>
        <v>0.98973303091702713</v>
      </c>
      <c r="J6838" s="4">
        <f t="shared" si="245"/>
        <v>1.105583195135434E-4</v>
      </c>
      <c r="K6838" s="5">
        <f t="shared" si="246"/>
        <v>0.75577667219467193</v>
      </c>
    </row>
    <row r="6839" spans="1:11" x14ac:dyDescent="0.25">
      <c r="A6839" t="s">
        <v>8402</v>
      </c>
      <c r="C6839" t="s">
        <v>8403</v>
      </c>
      <c r="D6839" t="s">
        <v>5</v>
      </c>
      <c r="E6839" t="s">
        <v>6</v>
      </c>
      <c r="F6839" t="s">
        <v>28</v>
      </c>
      <c r="G6839">
        <v>1</v>
      </c>
      <c r="H6839" s="2">
        <f>Tabelle13[[#This Row],[commits]]/Tabelle13[[#Totals],[commits]]</f>
        <v>4.6477904404246225E-6</v>
      </c>
      <c r="I6839" s="5">
        <f>Tabelle13[[#This Row],[%]]+I6838</f>
        <v>0.98973767870746754</v>
      </c>
      <c r="J6839" s="4">
        <f t="shared" si="245"/>
        <v>1.105583195135434E-4</v>
      </c>
      <c r="K6839" s="5">
        <f t="shared" si="246"/>
        <v>0.75588723051418549</v>
      </c>
    </row>
    <row r="6840" spans="1:11" x14ac:dyDescent="0.25">
      <c r="A6840" t="s">
        <v>8404</v>
      </c>
      <c r="C6840" t="s">
        <v>8405</v>
      </c>
      <c r="D6840" t="s">
        <v>5</v>
      </c>
      <c r="E6840" t="s">
        <v>6</v>
      </c>
      <c r="F6840" t="s">
        <v>28</v>
      </c>
      <c r="G6840">
        <v>1</v>
      </c>
      <c r="H6840" s="2">
        <f>Tabelle13[[#This Row],[commits]]/Tabelle13[[#Totals],[commits]]</f>
        <v>4.6477904404246225E-6</v>
      </c>
      <c r="I6840" s="5">
        <f>Tabelle13[[#This Row],[%]]+I6839</f>
        <v>0.98974232649790794</v>
      </c>
      <c r="J6840" s="4">
        <f t="shared" si="245"/>
        <v>1.105583195135434E-4</v>
      </c>
      <c r="K6840" s="5">
        <f t="shared" si="246"/>
        <v>0.75599778883369906</v>
      </c>
    </row>
    <row r="6841" spans="1:11" x14ac:dyDescent="0.25">
      <c r="A6841" t="s">
        <v>8406</v>
      </c>
      <c r="C6841" t="s">
        <v>8407</v>
      </c>
      <c r="D6841" t="s">
        <v>5</v>
      </c>
      <c r="E6841" t="s">
        <v>6</v>
      </c>
      <c r="F6841" t="s">
        <v>28</v>
      </c>
      <c r="G6841">
        <v>1</v>
      </c>
      <c r="H6841" s="2">
        <f>Tabelle13[[#This Row],[commits]]/Tabelle13[[#Totals],[commits]]</f>
        <v>4.6477904404246225E-6</v>
      </c>
      <c r="I6841" s="5">
        <f>Tabelle13[[#This Row],[%]]+I6840</f>
        <v>0.98974697428834835</v>
      </c>
      <c r="J6841" s="4">
        <f t="shared" si="245"/>
        <v>1.105583195135434E-4</v>
      </c>
      <c r="K6841" s="5">
        <f t="shared" si="246"/>
        <v>0.75610834715321262</v>
      </c>
    </row>
    <row r="6842" spans="1:11" x14ac:dyDescent="0.25">
      <c r="A6842" t="s">
        <v>8408</v>
      </c>
      <c r="C6842" t="s">
        <v>8409</v>
      </c>
      <c r="D6842" t="s">
        <v>5</v>
      </c>
      <c r="E6842" t="s">
        <v>6</v>
      </c>
      <c r="F6842" t="s">
        <v>28</v>
      </c>
      <c r="G6842">
        <v>1</v>
      </c>
      <c r="H6842" s="2">
        <f>Tabelle13[[#This Row],[commits]]/Tabelle13[[#Totals],[commits]]</f>
        <v>4.6477904404246225E-6</v>
      </c>
      <c r="I6842" s="5">
        <f>Tabelle13[[#This Row],[%]]+I6841</f>
        <v>0.98975162207878875</v>
      </c>
      <c r="J6842" s="4">
        <f t="shared" si="245"/>
        <v>1.105583195135434E-4</v>
      </c>
      <c r="K6842" s="5">
        <f t="shared" si="246"/>
        <v>0.75621890547272619</v>
      </c>
    </row>
    <row r="6843" spans="1:11" x14ac:dyDescent="0.25">
      <c r="A6843" t="s">
        <v>8410</v>
      </c>
      <c r="C6843" t="s">
        <v>8411</v>
      </c>
      <c r="D6843" t="s">
        <v>5</v>
      </c>
      <c r="E6843" t="s">
        <v>6</v>
      </c>
      <c r="F6843" t="s">
        <v>28</v>
      </c>
      <c r="G6843">
        <v>1</v>
      </c>
      <c r="H6843" s="2">
        <f>Tabelle13[[#This Row],[commits]]/Tabelle13[[#Totals],[commits]]</f>
        <v>4.6477904404246225E-6</v>
      </c>
      <c r="I6843" s="5">
        <f>Tabelle13[[#This Row],[%]]+I6842</f>
        <v>0.98975626986922915</v>
      </c>
      <c r="J6843" s="4">
        <f t="shared" si="245"/>
        <v>1.105583195135434E-4</v>
      </c>
      <c r="K6843" s="5">
        <f t="shared" si="246"/>
        <v>0.75632946379223975</v>
      </c>
    </row>
    <row r="6844" spans="1:11" x14ac:dyDescent="0.25">
      <c r="A6844" t="s">
        <v>8412</v>
      </c>
      <c r="C6844" t="s">
        <v>8413</v>
      </c>
      <c r="D6844" t="s">
        <v>5</v>
      </c>
      <c r="E6844" t="s">
        <v>6</v>
      </c>
      <c r="F6844" t="s">
        <v>28</v>
      </c>
      <c r="G6844">
        <v>1</v>
      </c>
      <c r="H6844" s="2">
        <f>Tabelle13[[#This Row],[commits]]/Tabelle13[[#Totals],[commits]]</f>
        <v>4.6477904404246225E-6</v>
      </c>
      <c r="I6844" s="5">
        <f>Tabelle13[[#This Row],[%]]+I6843</f>
        <v>0.98976091765966956</v>
      </c>
      <c r="J6844" s="4">
        <f t="shared" si="245"/>
        <v>1.105583195135434E-4</v>
      </c>
      <c r="K6844" s="5">
        <f t="shared" si="246"/>
        <v>0.75644002211175332</v>
      </c>
    </row>
    <row r="6845" spans="1:11" x14ac:dyDescent="0.25">
      <c r="A6845" t="s">
        <v>8414</v>
      </c>
      <c r="C6845" t="s">
        <v>8415</v>
      </c>
      <c r="D6845" t="s">
        <v>5</v>
      </c>
      <c r="E6845" t="s">
        <v>6</v>
      </c>
      <c r="F6845" t="s">
        <v>28</v>
      </c>
      <c r="G6845">
        <v>1</v>
      </c>
      <c r="H6845" s="2">
        <f>Tabelle13[[#This Row],[commits]]/Tabelle13[[#Totals],[commits]]</f>
        <v>4.6477904404246225E-6</v>
      </c>
      <c r="I6845" s="5">
        <f>Tabelle13[[#This Row],[%]]+I6844</f>
        <v>0.98976556545010996</v>
      </c>
      <c r="J6845" s="4">
        <f t="shared" si="245"/>
        <v>1.105583195135434E-4</v>
      </c>
      <c r="K6845" s="5">
        <f t="shared" si="246"/>
        <v>0.75655058043126688</v>
      </c>
    </row>
    <row r="6846" spans="1:11" x14ac:dyDescent="0.25">
      <c r="A6846" t="s">
        <v>8416</v>
      </c>
      <c r="C6846" t="s">
        <v>8417</v>
      </c>
      <c r="D6846" t="s">
        <v>5</v>
      </c>
      <c r="E6846" t="s">
        <v>6</v>
      </c>
      <c r="F6846" t="s">
        <v>28</v>
      </c>
      <c r="G6846">
        <v>1</v>
      </c>
      <c r="H6846" s="2">
        <f>Tabelle13[[#This Row],[commits]]/Tabelle13[[#Totals],[commits]]</f>
        <v>4.6477904404246225E-6</v>
      </c>
      <c r="I6846" s="5">
        <f>Tabelle13[[#This Row],[%]]+I6845</f>
        <v>0.98977021324055037</v>
      </c>
      <c r="J6846" s="4">
        <f t="shared" si="245"/>
        <v>1.105583195135434E-4</v>
      </c>
      <c r="K6846" s="5">
        <f t="shared" si="246"/>
        <v>0.75666113875078045</v>
      </c>
    </row>
    <row r="6847" spans="1:11" x14ac:dyDescent="0.25">
      <c r="A6847" t="s">
        <v>8418</v>
      </c>
      <c r="C6847" t="s">
        <v>8419</v>
      </c>
      <c r="D6847" t="s">
        <v>5175</v>
      </c>
      <c r="E6847" t="s">
        <v>6</v>
      </c>
      <c r="F6847" t="s">
        <v>28</v>
      </c>
      <c r="G6847">
        <v>1</v>
      </c>
      <c r="H6847" s="2">
        <f>Tabelle13[[#This Row],[commits]]/Tabelle13[[#Totals],[commits]]</f>
        <v>4.6477904404246225E-6</v>
      </c>
      <c r="I6847" s="5">
        <f>Tabelle13[[#This Row],[%]]+I6846</f>
        <v>0.98977486103099077</v>
      </c>
      <c r="J6847" s="4">
        <f t="shared" si="245"/>
        <v>1.105583195135434E-4</v>
      </c>
      <c r="K6847" s="5">
        <f t="shared" si="246"/>
        <v>0.75677169707029401</v>
      </c>
    </row>
    <row r="6848" spans="1:11" x14ac:dyDescent="0.25">
      <c r="A6848" t="s">
        <v>8420</v>
      </c>
      <c r="C6848" t="s">
        <v>8421</v>
      </c>
      <c r="D6848" t="s">
        <v>5</v>
      </c>
      <c r="E6848" t="s">
        <v>6</v>
      </c>
      <c r="F6848" t="s">
        <v>28</v>
      </c>
      <c r="G6848">
        <v>1</v>
      </c>
      <c r="H6848" s="2">
        <f>Tabelle13[[#This Row],[commits]]/Tabelle13[[#Totals],[commits]]</f>
        <v>4.6477904404246225E-6</v>
      </c>
      <c r="I6848" s="5">
        <f>Tabelle13[[#This Row],[%]]+I6847</f>
        <v>0.98977950882143118</v>
      </c>
      <c r="J6848" s="4">
        <f t="shared" si="245"/>
        <v>1.105583195135434E-4</v>
      </c>
      <c r="K6848" s="5">
        <f t="shared" si="246"/>
        <v>0.75688225538980758</v>
      </c>
    </row>
    <row r="6849" spans="1:11" x14ac:dyDescent="0.25">
      <c r="A6849" t="s">
        <v>8422</v>
      </c>
      <c r="C6849" t="s">
        <v>8423</v>
      </c>
      <c r="D6849" t="s">
        <v>5</v>
      </c>
      <c r="E6849" t="s">
        <v>6</v>
      </c>
      <c r="F6849" t="s">
        <v>28</v>
      </c>
      <c r="G6849">
        <v>1</v>
      </c>
      <c r="H6849" s="2">
        <f>Tabelle13[[#This Row],[commits]]/Tabelle13[[#Totals],[commits]]</f>
        <v>4.6477904404246225E-6</v>
      </c>
      <c r="I6849" s="5">
        <f>Tabelle13[[#This Row],[%]]+I6848</f>
        <v>0.98978415661187158</v>
      </c>
      <c r="J6849" s="4">
        <f t="shared" si="245"/>
        <v>1.105583195135434E-4</v>
      </c>
      <c r="K6849" s="5">
        <f t="shared" si="246"/>
        <v>0.75699281370932114</v>
      </c>
    </row>
    <row r="6850" spans="1:11" x14ac:dyDescent="0.25">
      <c r="A6850" t="s">
        <v>8424</v>
      </c>
      <c r="C6850" t="s">
        <v>8425</v>
      </c>
      <c r="D6850" t="s">
        <v>5</v>
      </c>
      <c r="E6850" t="s">
        <v>6</v>
      </c>
      <c r="F6850" t="s">
        <v>28</v>
      </c>
      <c r="G6850">
        <v>1</v>
      </c>
      <c r="H6850" s="2">
        <f>Tabelle13[[#This Row],[commits]]/Tabelle13[[#Totals],[commits]]</f>
        <v>4.6477904404246225E-6</v>
      </c>
      <c r="I6850" s="5">
        <f>Tabelle13[[#This Row],[%]]+I6849</f>
        <v>0.98978880440231198</v>
      </c>
      <c r="J6850" s="4">
        <f t="shared" si="245"/>
        <v>1.105583195135434E-4</v>
      </c>
      <c r="K6850" s="5">
        <f t="shared" si="246"/>
        <v>0.75710337202883471</v>
      </c>
    </row>
    <row r="6851" spans="1:11" x14ac:dyDescent="0.25">
      <c r="A6851" t="s">
        <v>8426</v>
      </c>
      <c r="C6851" t="s">
        <v>8427</v>
      </c>
      <c r="D6851" t="s">
        <v>5</v>
      </c>
      <c r="E6851" t="s">
        <v>6</v>
      </c>
      <c r="F6851" t="s">
        <v>28</v>
      </c>
      <c r="G6851">
        <v>1</v>
      </c>
      <c r="H6851" s="2">
        <f>Tabelle13[[#This Row],[commits]]/Tabelle13[[#Totals],[commits]]</f>
        <v>4.6477904404246225E-6</v>
      </c>
      <c r="I6851" s="5">
        <f>Tabelle13[[#This Row],[%]]+I6850</f>
        <v>0.98979345219275239</v>
      </c>
      <c r="J6851" s="4">
        <f t="shared" ref="J6851:J6914" si="247">1/9045</f>
        <v>1.105583195135434E-4</v>
      </c>
      <c r="K6851" s="5">
        <f t="shared" si="246"/>
        <v>0.75721393034834827</v>
      </c>
    </row>
    <row r="6852" spans="1:11" x14ac:dyDescent="0.25">
      <c r="A6852" t="s">
        <v>8428</v>
      </c>
      <c r="C6852" t="s">
        <v>8429</v>
      </c>
      <c r="D6852" t="s">
        <v>5</v>
      </c>
      <c r="E6852" t="s">
        <v>6</v>
      </c>
      <c r="F6852" t="s">
        <v>28</v>
      </c>
      <c r="G6852">
        <v>1</v>
      </c>
      <c r="H6852" s="2">
        <f>Tabelle13[[#This Row],[commits]]/Tabelle13[[#Totals],[commits]]</f>
        <v>4.6477904404246225E-6</v>
      </c>
      <c r="I6852" s="5">
        <f>Tabelle13[[#This Row],[%]]+I6851</f>
        <v>0.98979809998319279</v>
      </c>
      <c r="J6852" s="4">
        <f t="shared" si="247"/>
        <v>1.105583195135434E-4</v>
      </c>
      <c r="K6852" s="5">
        <f t="shared" si="246"/>
        <v>0.75732448866786184</v>
      </c>
    </row>
    <row r="6853" spans="1:11" x14ac:dyDescent="0.25">
      <c r="A6853" t="s">
        <v>8430</v>
      </c>
      <c r="C6853" t="s">
        <v>8431</v>
      </c>
      <c r="D6853" t="s">
        <v>5</v>
      </c>
      <c r="E6853" t="s">
        <v>6</v>
      </c>
      <c r="F6853" t="s">
        <v>28</v>
      </c>
      <c r="G6853">
        <v>1</v>
      </c>
      <c r="H6853" s="2">
        <f>Tabelle13[[#This Row],[commits]]/Tabelle13[[#Totals],[commits]]</f>
        <v>4.6477904404246225E-6</v>
      </c>
      <c r="I6853" s="5">
        <f>Tabelle13[[#This Row],[%]]+I6852</f>
        <v>0.9898027477736332</v>
      </c>
      <c r="J6853" s="4">
        <f t="shared" si="247"/>
        <v>1.105583195135434E-4</v>
      </c>
      <c r="K6853" s="5">
        <f t="shared" si="246"/>
        <v>0.7574350469873754</v>
      </c>
    </row>
    <row r="6854" spans="1:11" x14ac:dyDescent="0.25">
      <c r="A6854" t="s">
        <v>8432</v>
      </c>
      <c r="C6854" t="s">
        <v>8433</v>
      </c>
      <c r="D6854" t="s">
        <v>5</v>
      </c>
      <c r="E6854" t="s">
        <v>6</v>
      </c>
      <c r="F6854" t="s">
        <v>28</v>
      </c>
      <c r="G6854">
        <v>1</v>
      </c>
      <c r="H6854" s="2">
        <f>Tabelle13[[#This Row],[commits]]/Tabelle13[[#Totals],[commits]]</f>
        <v>4.6477904404246225E-6</v>
      </c>
      <c r="I6854" s="5">
        <f>Tabelle13[[#This Row],[%]]+I6853</f>
        <v>0.9898073955640736</v>
      </c>
      <c r="J6854" s="4">
        <f t="shared" si="247"/>
        <v>1.105583195135434E-4</v>
      </c>
      <c r="K6854" s="5">
        <f t="shared" ref="K6854:K6917" si="248">J6854+K6853</f>
        <v>0.75754560530688897</v>
      </c>
    </row>
    <row r="6855" spans="1:11" x14ac:dyDescent="0.25">
      <c r="A6855" t="s">
        <v>8434</v>
      </c>
      <c r="C6855" t="s">
        <v>8435</v>
      </c>
      <c r="D6855" t="s">
        <v>5</v>
      </c>
      <c r="E6855" t="s">
        <v>6</v>
      </c>
      <c r="F6855" t="s">
        <v>28</v>
      </c>
      <c r="G6855">
        <v>1</v>
      </c>
      <c r="H6855" s="2">
        <f>Tabelle13[[#This Row],[commits]]/Tabelle13[[#Totals],[commits]]</f>
        <v>4.6477904404246225E-6</v>
      </c>
      <c r="I6855" s="5">
        <f>Tabelle13[[#This Row],[%]]+I6854</f>
        <v>0.989812043354514</v>
      </c>
      <c r="J6855" s="4">
        <f t="shared" si="247"/>
        <v>1.105583195135434E-4</v>
      </c>
      <c r="K6855" s="5">
        <f t="shared" si="248"/>
        <v>0.75765616362640253</v>
      </c>
    </row>
    <row r="6856" spans="1:11" x14ac:dyDescent="0.25">
      <c r="A6856" t="s">
        <v>8436</v>
      </c>
      <c r="C6856" t="s">
        <v>8437</v>
      </c>
      <c r="D6856" t="s">
        <v>5</v>
      </c>
      <c r="E6856" t="s">
        <v>6</v>
      </c>
      <c r="F6856" t="s">
        <v>28</v>
      </c>
      <c r="G6856">
        <v>1</v>
      </c>
      <c r="H6856" s="2">
        <f>Tabelle13[[#This Row],[commits]]/Tabelle13[[#Totals],[commits]]</f>
        <v>4.6477904404246225E-6</v>
      </c>
      <c r="I6856" s="5">
        <f>Tabelle13[[#This Row],[%]]+I6855</f>
        <v>0.98981669114495441</v>
      </c>
      <c r="J6856" s="4">
        <f t="shared" si="247"/>
        <v>1.105583195135434E-4</v>
      </c>
      <c r="K6856" s="5">
        <f t="shared" si="248"/>
        <v>0.7577667219459161</v>
      </c>
    </row>
    <row r="6857" spans="1:11" x14ac:dyDescent="0.25">
      <c r="A6857" t="s">
        <v>8438</v>
      </c>
      <c r="C6857" t="s">
        <v>8439</v>
      </c>
      <c r="D6857" t="s">
        <v>5</v>
      </c>
      <c r="E6857" t="s">
        <v>6</v>
      </c>
      <c r="F6857" t="s">
        <v>28</v>
      </c>
      <c r="G6857">
        <v>1</v>
      </c>
      <c r="H6857" s="2">
        <f>Tabelle13[[#This Row],[commits]]/Tabelle13[[#Totals],[commits]]</f>
        <v>4.6477904404246225E-6</v>
      </c>
      <c r="I6857" s="5">
        <f>Tabelle13[[#This Row],[%]]+I6856</f>
        <v>0.98982133893539481</v>
      </c>
      <c r="J6857" s="4">
        <f t="shared" si="247"/>
        <v>1.105583195135434E-4</v>
      </c>
      <c r="K6857" s="5">
        <f t="shared" si="248"/>
        <v>0.75787728026542966</v>
      </c>
    </row>
    <row r="6858" spans="1:11" x14ac:dyDescent="0.25">
      <c r="A6858" t="s">
        <v>8440</v>
      </c>
      <c r="C6858" t="s">
        <v>8441</v>
      </c>
      <c r="D6858" t="s">
        <v>5</v>
      </c>
      <c r="E6858" t="s">
        <v>6</v>
      </c>
      <c r="F6858" t="s">
        <v>28</v>
      </c>
      <c r="G6858">
        <v>1</v>
      </c>
      <c r="H6858" s="2">
        <f>Tabelle13[[#This Row],[commits]]/Tabelle13[[#Totals],[commits]]</f>
        <v>4.6477904404246225E-6</v>
      </c>
      <c r="I6858" s="5">
        <f>Tabelle13[[#This Row],[%]]+I6857</f>
        <v>0.98982598672583522</v>
      </c>
      <c r="J6858" s="4">
        <f t="shared" si="247"/>
        <v>1.105583195135434E-4</v>
      </c>
      <c r="K6858" s="5">
        <f t="shared" si="248"/>
        <v>0.75798783858494323</v>
      </c>
    </row>
    <row r="6859" spans="1:11" x14ac:dyDescent="0.25">
      <c r="A6859" t="s">
        <v>8442</v>
      </c>
      <c r="C6859" t="s">
        <v>8443</v>
      </c>
      <c r="D6859" t="s">
        <v>5</v>
      </c>
      <c r="E6859" t="s">
        <v>6</v>
      </c>
      <c r="F6859" t="s">
        <v>28</v>
      </c>
      <c r="G6859">
        <v>1</v>
      </c>
      <c r="H6859" s="2">
        <f>Tabelle13[[#This Row],[commits]]/Tabelle13[[#Totals],[commits]]</f>
        <v>4.6477904404246225E-6</v>
      </c>
      <c r="I6859" s="5">
        <f>Tabelle13[[#This Row],[%]]+I6858</f>
        <v>0.98983063451627562</v>
      </c>
      <c r="J6859" s="4">
        <f t="shared" si="247"/>
        <v>1.105583195135434E-4</v>
      </c>
      <c r="K6859" s="5">
        <f t="shared" si="248"/>
        <v>0.75809839690445679</v>
      </c>
    </row>
    <row r="6860" spans="1:11" x14ac:dyDescent="0.25">
      <c r="A6860" t="s">
        <v>8444</v>
      </c>
      <c r="C6860" t="s">
        <v>8445</v>
      </c>
      <c r="D6860" t="s">
        <v>5175</v>
      </c>
      <c r="E6860" t="s">
        <v>6</v>
      </c>
      <c r="F6860" t="s">
        <v>28</v>
      </c>
      <c r="G6860">
        <v>1</v>
      </c>
      <c r="H6860" s="2">
        <f>Tabelle13[[#This Row],[commits]]/Tabelle13[[#Totals],[commits]]</f>
        <v>4.6477904404246225E-6</v>
      </c>
      <c r="I6860" s="5">
        <f>Tabelle13[[#This Row],[%]]+I6859</f>
        <v>0.98983528230671602</v>
      </c>
      <c r="J6860" s="4">
        <f t="shared" si="247"/>
        <v>1.105583195135434E-4</v>
      </c>
      <c r="K6860" s="5">
        <f t="shared" si="248"/>
        <v>0.75820895522397036</v>
      </c>
    </row>
    <row r="6861" spans="1:11" x14ac:dyDescent="0.25">
      <c r="A6861" t="s">
        <v>8446</v>
      </c>
      <c r="C6861" t="s">
        <v>8447</v>
      </c>
      <c r="D6861" t="s">
        <v>5</v>
      </c>
      <c r="E6861" t="s">
        <v>6</v>
      </c>
      <c r="F6861" t="s">
        <v>28</v>
      </c>
      <c r="G6861">
        <v>1</v>
      </c>
      <c r="H6861" s="2">
        <f>Tabelle13[[#This Row],[commits]]/Tabelle13[[#Totals],[commits]]</f>
        <v>4.6477904404246225E-6</v>
      </c>
      <c r="I6861" s="5">
        <f>Tabelle13[[#This Row],[%]]+I6860</f>
        <v>0.98983993009715643</v>
      </c>
      <c r="J6861" s="4">
        <f t="shared" si="247"/>
        <v>1.105583195135434E-4</v>
      </c>
      <c r="K6861" s="5">
        <f t="shared" si="248"/>
        <v>0.75831951354348393</v>
      </c>
    </row>
    <row r="6862" spans="1:11" x14ac:dyDescent="0.25">
      <c r="A6862" t="s">
        <v>8448</v>
      </c>
      <c r="C6862" t="s">
        <v>8449</v>
      </c>
      <c r="D6862" t="s">
        <v>5</v>
      </c>
      <c r="E6862" t="s">
        <v>6</v>
      </c>
      <c r="F6862" t="s">
        <v>28</v>
      </c>
      <c r="G6862">
        <v>1</v>
      </c>
      <c r="H6862" s="2">
        <f>Tabelle13[[#This Row],[commits]]/Tabelle13[[#Totals],[commits]]</f>
        <v>4.6477904404246225E-6</v>
      </c>
      <c r="I6862" s="5">
        <f>Tabelle13[[#This Row],[%]]+I6861</f>
        <v>0.98984457788759683</v>
      </c>
      <c r="J6862" s="4">
        <f t="shared" si="247"/>
        <v>1.105583195135434E-4</v>
      </c>
      <c r="K6862" s="5">
        <f t="shared" si="248"/>
        <v>0.75843007186299749</v>
      </c>
    </row>
    <row r="6863" spans="1:11" x14ac:dyDescent="0.25">
      <c r="A6863" t="s">
        <v>8450</v>
      </c>
      <c r="C6863" t="s">
        <v>8451</v>
      </c>
      <c r="D6863" t="s">
        <v>5175</v>
      </c>
      <c r="E6863" t="s">
        <v>6</v>
      </c>
      <c r="F6863" t="s">
        <v>28</v>
      </c>
      <c r="G6863">
        <v>1</v>
      </c>
      <c r="H6863" s="2">
        <f>Tabelle13[[#This Row],[commits]]/Tabelle13[[#Totals],[commits]]</f>
        <v>4.6477904404246225E-6</v>
      </c>
      <c r="I6863" s="5">
        <f>Tabelle13[[#This Row],[%]]+I6862</f>
        <v>0.98984922567803724</v>
      </c>
      <c r="J6863" s="4">
        <f t="shared" si="247"/>
        <v>1.105583195135434E-4</v>
      </c>
      <c r="K6863" s="5">
        <f t="shared" si="248"/>
        <v>0.75854063018251106</v>
      </c>
    </row>
    <row r="6864" spans="1:11" x14ac:dyDescent="0.25">
      <c r="A6864" t="s">
        <v>8452</v>
      </c>
      <c r="C6864" t="s">
        <v>8453</v>
      </c>
      <c r="D6864" t="s">
        <v>5</v>
      </c>
      <c r="E6864" t="s">
        <v>6</v>
      </c>
      <c r="F6864" t="s">
        <v>28</v>
      </c>
      <c r="G6864">
        <v>1</v>
      </c>
      <c r="H6864" s="2">
        <f>Tabelle13[[#This Row],[commits]]/Tabelle13[[#Totals],[commits]]</f>
        <v>4.6477904404246225E-6</v>
      </c>
      <c r="I6864" s="5">
        <f>Tabelle13[[#This Row],[%]]+I6863</f>
        <v>0.98985387346847764</v>
      </c>
      <c r="J6864" s="4">
        <f t="shared" si="247"/>
        <v>1.105583195135434E-4</v>
      </c>
      <c r="K6864" s="5">
        <f t="shared" si="248"/>
        <v>0.75865118850202462</v>
      </c>
    </row>
    <row r="6865" spans="1:11" x14ac:dyDescent="0.25">
      <c r="A6865" t="s">
        <v>8454</v>
      </c>
      <c r="C6865" t="s">
        <v>8455</v>
      </c>
      <c r="D6865" t="s">
        <v>5</v>
      </c>
      <c r="E6865" t="s">
        <v>6</v>
      </c>
      <c r="F6865" t="s">
        <v>28</v>
      </c>
      <c r="G6865">
        <v>1</v>
      </c>
      <c r="H6865" s="2">
        <f>Tabelle13[[#This Row],[commits]]/Tabelle13[[#Totals],[commits]]</f>
        <v>4.6477904404246225E-6</v>
      </c>
      <c r="I6865" s="5">
        <f>Tabelle13[[#This Row],[%]]+I6864</f>
        <v>0.98985852125891804</v>
      </c>
      <c r="J6865" s="4">
        <f t="shared" si="247"/>
        <v>1.105583195135434E-4</v>
      </c>
      <c r="K6865" s="5">
        <f t="shared" si="248"/>
        <v>0.75876174682153819</v>
      </c>
    </row>
    <row r="6866" spans="1:11" x14ac:dyDescent="0.25">
      <c r="A6866" t="s">
        <v>8456</v>
      </c>
      <c r="C6866" t="s">
        <v>315</v>
      </c>
      <c r="D6866" t="s">
        <v>5</v>
      </c>
      <c r="E6866" t="s">
        <v>6</v>
      </c>
      <c r="F6866" t="s">
        <v>28</v>
      </c>
      <c r="G6866">
        <v>1</v>
      </c>
      <c r="H6866" s="2">
        <f>Tabelle13[[#This Row],[commits]]/Tabelle13[[#Totals],[commits]]</f>
        <v>4.6477904404246225E-6</v>
      </c>
      <c r="I6866" s="5">
        <f>Tabelle13[[#This Row],[%]]+I6865</f>
        <v>0.98986316904935845</v>
      </c>
      <c r="J6866" s="4">
        <f t="shared" si="247"/>
        <v>1.105583195135434E-4</v>
      </c>
      <c r="K6866" s="5">
        <f t="shared" si="248"/>
        <v>0.75887230514105175</v>
      </c>
    </row>
    <row r="6867" spans="1:11" x14ac:dyDescent="0.25">
      <c r="A6867" t="s">
        <v>8457</v>
      </c>
      <c r="C6867" t="s">
        <v>315</v>
      </c>
      <c r="D6867" t="s">
        <v>5</v>
      </c>
      <c r="E6867" t="s">
        <v>6</v>
      </c>
      <c r="F6867" t="s">
        <v>28</v>
      </c>
      <c r="G6867">
        <v>1</v>
      </c>
      <c r="H6867" s="2">
        <f>Tabelle13[[#This Row],[commits]]/Tabelle13[[#Totals],[commits]]</f>
        <v>4.6477904404246225E-6</v>
      </c>
      <c r="I6867" s="5">
        <f>Tabelle13[[#This Row],[%]]+I6866</f>
        <v>0.98986781683979885</v>
      </c>
      <c r="J6867" s="4">
        <f t="shared" si="247"/>
        <v>1.105583195135434E-4</v>
      </c>
      <c r="K6867" s="5">
        <f t="shared" si="248"/>
        <v>0.75898286346056532</v>
      </c>
    </row>
    <row r="6868" spans="1:11" x14ac:dyDescent="0.25">
      <c r="A6868" t="s">
        <v>8458</v>
      </c>
      <c r="C6868" t="s">
        <v>315</v>
      </c>
      <c r="D6868" t="s">
        <v>5</v>
      </c>
      <c r="E6868" t="s">
        <v>6</v>
      </c>
      <c r="F6868" t="s">
        <v>28</v>
      </c>
      <c r="G6868">
        <v>1</v>
      </c>
      <c r="H6868" s="2">
        <f>Tabelle13[[#This Row],[commits]]/Tabelle13[[#Totals],[commits]]</f>
        <v>4.6477904404246225E-6</v>
      </c>
      <c r="I6868" s="5">
        <f>Tabelle13[[#This Row],[%]]+I6867</f>
        <v>0.98987246463023926</v>
      </c>
      <c r="J6868" s="4">
        <f t="shared" si="247"/>
        <v>1.105583195135434E-4</v>
      </c>
      <c r="K6868" s="5">
        <f t="shared" si="248"/>
        <v>0.75909342178007888</v>
      </c>
    </row>
    <row r="6869" spans="1:11" x14ac:dyDescent="0.25">
      <c r="A6869" t="s">
        <v>8459</v>
      </c>
      <c r="C6869" t="s">
        <v>8460</v>
      </c>
      <c r="D6869" t="s">
        <v>5</v>
      </c>
      <c r="E6869" t="s">
        <v>6</v>
      </c>
      <c r="F6869" t="s">
        <v>28</v>
      </c>
      <c r="G6869">
        <v>1</v>
      </c>
      <c r="H6869" s="2">
        <f>Tabelle13[[#This Row],[commits]]/Tabelle13[[#Totals],[commits]]</f>
        <v>4.6477904404246225E-6</v>
      </c>
      <c r="I6869" s="5">
        <f>Tabelle13[[#This Row],[%]]+I6868</f>
        <v>0.98987711242067966</v>
      </c>
      <c r="J6869" s="4">
        <f t="shared" si="247"/>
        <v>1.105583195135434E-4</v>
      </c>
      <c r="K6869" s="5">
        <f t="shared" si="248"/>
        <v>0.75920398009959245</v>
      </c>
    </row>
    <row r="6870" spans="1:11" x14ac:dyDescent="0.25">
      <c r="A6870" t="s">
        <v>8461</v>
      </c>
      <c r="C6870" t="s">
        <v>8462</v>
      </c>
      <c r="D6870" t="s">
        <v>5</v>
      </c>
      <c r="E6870" t="s">
        <v>6</v>
      </c>
      <c r="F6870" t="s">
        <v>28</v>
      </c>
      <c r="G6870">
        <v>1</v>
      </c>
      <c r="H6870" s="2">
        <f>Tabelle13[[#This Row],[commits]]/Tabelle13[[#Totals],[commits]]</f>
        <v>4.6477904404246225E-6</v>
      </c>
      <c r="I6870" s="5">
        <f>Tabelle13[[#This Row],[%]]+I6869</f>
        <v>0.98988176021112007</v>
      </c>
      <c r="J6870" s="4">
        <f t="shared" si="247"/>
        <v>1.105583195135434E-4</v>
      </c>
      <c r="K6870" s="5">
        <f t="shared" si="248"/>
        <v>0.75931453841910601</v>
      </c>
    </row>
    <row r="6871" spans="1:11" x14ac:dyDescent="0.25">
      <c r="A6871" t="s">
        <v>8463</v>
      </c>
      <c r="C6871" t="s">
        <v>8464</v>
      </c>
      <c r="D6871" t="s">
        <v>5</v>
      </c>
      <c r="E6871" t="s">
        <v>6</v>
      </c>
      <c r="F6871" t="s">
        <v>28</v>
      </c>
      <c r="G6871">
        <v>1</v>
      </c>
      <c r="H6871" s="2">
        <f>Tabelle13[[#This Row],[commits]]/Tabelle13[[#Totals],[commits]]</f>
        <v>4.6477904404246225E-6</v>
      </c>
      <c r="I6871" s="5">
        <f>Tabelle13[[#This Row],[%]]+I6870</f>
        <v>0.98988640800156047</v>
      </c>
      <c r="J6871" s="4">
        <f t="shared" si="247"/>
        <v>1.105583195135434E-4</v>
      </c>
      <c r="K6871" s="5">
        <f t="shared" si="248"/>
        <v>0.75942509673861958</v>
      </c>
    </row>
    <row r="6872" spans="1:11" x14ac:dyDescent="0.25">
      <c r="A6872" t="s">
        <v>8465</v>
      </c>
      <c r="C6872" t="s">
        <v>8466</v>
      </c>
      <c r="D6872" t="s">
        <v>5</v>
      </c>
      <c r="E6872" t="s">
        <v>6</v>
      </c>
      <c r="F6872" t="s">
        <v>28</v>
      </c>
      <c r="G6872">
        <v>1</v>
      </c>
      <c r="H6872" s="2">
        <f>Tabelle13[[#This Row],[commits]]/Tabelle13[[#Totals],[commits]]</f>
        <v>4.6477904404246225E-6</v>
      </c>
      <c r="I6872" s="5">
        <f>Tabelle13[[#This Row],[%]]+I6871</f>
        <v>0.98989105579200087</v>
      </c>
      <c r="J6872" s="4">
        <f t="shared" si="247"/>
        <v>1.105583195135434E-4</v>
      </c>
      <c r="K6872" s="5">
        <f t="shared" si="248"/>
        <v>0.75953565505813314</v>
      </c>
    </row>
    <row r="6873" spans="1:11" x14ac:dyDescent="0.25">
      <c r="A6873" t="s">
        <v>8467</v>
      </c>
      <c r="C6873" t="s">
        <v>8468</v>
      </c>
      <c r="D6873" t="s">
        <v>5</v>
      </c>
      <c r="E6873" t="s">
        <v>6</v>
      </c>
      <c r="F6873" t="s">
        <v>28</v>
      </c>
      <c r="G6873">
        <v>1</v>
      </c>
      <c r="H6873" s="2">
        <f>Tabelle13[[#This Row],[commits]]/Tabelle13[[#Totals],[commits]]</f>
        <v>4.6477904404246225E-6</v>
      </c>
      <c r="I6873" s="5">
        <f>Tabelle13[[#This Row],[%]]+I6872</f>
        <v>0.98989570358244128</v>
      </c>
      <c r="J6873" s="4">
        <f t="shared" si="247"/>
        <v>1.105583195135434E-4</v>
      </c>
      <c r="K6873" s="5">
        <f t="shared" si="248"/>
        <v>0.75964621337764671</v>
      </c>
    </row>
    <row r="6874" spans="1:11" x14ac:dyDescent="0.25">
      <c r="A6874" t="s">
        <v>8469</v>
      </c>
      <c r="C6874" t="s">
        <v>8470</v>
      </c>
      <c r="D6874" t="s">
        <v>5</v>
      </c>
      <c r="E6874" t="s">
        <v>6</v>
      </c>
      <c r="F6874" t="s">
        <v>28</v>
      </c>
      <c r="G6874">
        <v>1</v>
      </c>
      <c r="H6874" s="2">
        <f>Tabelle13[[#This Row],[commits]]/Tabelle13[[#Totals],[commits]]</f>
        <v>4.6477904404246225E-6</v>
      </c>
      <c r="I6874" s="5">
        <f>Tabelle13[[#This Row],[%]]+I6873</f>
        <v>0.98990035137288168</v>
      </c>
      <c r="J6874" s="4">
        <f t="shared" si="247"/>
        <v>1.105583195135434E-4</v>
      </c>
      <c r="K6874" s="5">
        <f t="shared" si="248"/>
        <v>0.75975677169716027</v>
      </c>
    </row>
    <row r="6875" spans="1:11" x14ac:dyDescent="0.25">
      <c r="A6875" t="s">
        <v>8471</v>
      </c>
      <c r="C6875" t="s">
        <v>8472</v>
      </c>
      <c r="D6875" t="s">
        <v>5</v>
      </c>
      <c r="E6875" t="s">
        <v>6</v>
      </c>
      <c r="F6875" t="s">
        <v>28</v>
      </c>
      <c r="G6875">
        <v>1</v>
      </c>
      <c r="H6875" s="2">
        <f>Tabelle13[[#This Row],[commits]]/Tabelle13[[#Totals],[commits]]</f>
        <v>4.6477904404246225E-6</v>
      </c>
      <c r="I6875" s="5">
        <f>Tabelle13[[#This Row],[%]]+I6874</f>
        <v>0.98990499916332209</v>
      </c>
      <c r="J6875" s="4">
        <f t="shared" si="247"/>
        <v>1.105583195135434E-4</v>
      </c>
      <c r="K6875" s="5">
        <f t="shared" si="248"/>
        <v>0.75986733001667384</v>
      </c>
    </row>
    <row r="6876" spans="1:11" x14ac:dyDescent="0.25">
      <c r="A6876" t="s">
        <v>8473</v>
      </c>
      <c r="C6876" t="s">
        <v>8474</v>
      </c>
      <c r="D6876" t="s">
        <v>5</v>
      </c>
      <c r="E6876" t="s">
        <v>6</v>
      </c>
      <c r="F6876" t="s">
        <v>28</v>
      </c>
      <c r="G6876">
        <v>1</v>
      </c>
      <c r="H6876" s="2">
        <f>Tabelle13[[#This Row],[commits]]/Tabelle13[[#Totals],[commits]]</f>
        <v>4.6477904404246225E-6</v>
      </c>
      <c r="I6876" s="5">
        <f>Tabelle13[[#This Row],[%]]+I6875</f>
        <v>0.98990964695376249</v>
      </c>
      <c r="J6876" s="4">
        <f t="shared" si="247"/>
        <v>1.105583195135434E-4</v>
      </c>
      <c r="K6876" s="5">
        <f t="shared" si="248"/>
        <v>0.7599778883361874</v>
      </c>
    </row>
    <row r="6877" spans="1:11" x14ac:dyDescent="0.25">
      <c r="A6877" t="s">
        <v>8475</v>
      </c>
      <c r="C6877" t="s">
        <v>8476</v>
      </c>
      <c r="D6877" t="s">
        <v>5</v>
      </c>
      <c r="E6877" t="s">
        <v>6</v>
      </c>
      <c r="F6877" t="s">
        <v>28</v>
      </c>
      <c r="G6877">
        <v>1</v>
      </c>
      <c r="H6877" s="2">
        <f>Tabelle13[[#This Row],[commits]]/Tabelle13[[#Totals],[commits]]</f>
        <v>4.6477904404246225E-6</v>
      </c>
      <c r="I6877" s="5">
        <f>Tabelle13[[#This Row],[%]]+I6876</f>
        <v>0.98991429474420289</v>
      </c>
      <c r="J6877" s="4">
        <f t="shared" si="247"/>
        <v>1.105583195135434E-4</v>
      </c>
      <c r="K6877" s="5">
        <f t="shared" si="248"/>
        <v>0.76008844665570097</v>
      </c>
    </row>
    <row r="6878" spans="1:11" x14ac:dyDescent="0.25">
      <c r="A6878" t="s">
        <v>8477</v>
      </c>
      <c r="C6878" t="s">
        <v>8478</v>
      </c>
      <c r="D6878" t="s">
        <v>5</v>
      </c>
      <c r="E6878" t="s">
        <v>6</v>
      </c>
      <c r="F6878" t="s">
        <v>28</v>
      </c>
      <c r="G6878">
        <v>1</v>
      </c>
      <c r="H6878" s="2">
        <f>Tabelle13[[#This Row],[commits]]/Tabelle13[[#Totals],[commits]]</f>
        <v>4.6477904404246225E-6</v>
      </c>
      <c r="I6878" s="5">
        <f>Tabelle13[[#This Row],[%]]+I6877</f>
        <v>0.9899189425346433</v>
      </c>
      <c r="J6878" s="4">
        <f t="shared" si="247"/>
        <v>1.105583195135434E-4</v>
      </c>
      <c r="K6878" s="5">
        <f t="shared" si="248"/>
        <v>0.76019900497521453</v>
      </c>
    </row>
    <row r="6879" spans="1:11" x14ac:dyDescent="0.25">
      <c r="A6879" t="s">
        <v>8479</v>
      </c>
      <c r="C6879" t="s">
        <v>8480</v>
      </c>
      <c r="D6879" t="s">
        <v>5</v>
      </c>
      <c r="E6879" t="s">
        <v>6</v>
      </c>
      <c r="F6879" t="s">
        <v>28</v>
      </c>
      <c r="G6879">
        <v>1</v>
      </c>
      <c r="H6879" s="2">
        <f>Tabelle13[[#This Row],[commits]]/Tabelle13[[#Totals],[commits]]</f>
        <v>4.6477904404246225E-6</v>
      </c>
      <c r="I6879" s="5">
        <f>Tabelle13[[#This Row],[%]]+I6878</f>
        <v>0.9899235903250837</v>
      </c>
      <c r="J6879" s="4">
        <f t="shared" si="247"/>
        <v>1.105583195135434E-4</v>
      </c>
      <c r="K6879" s="5">
        <f t="shared" si="248"/>
        <v>0.7603095632947281</v>
      </c>
    </row>
    <row r="6880" spans="1:11" x14ac:dyDescent="0.25">
      <c r="A6880" t="s">
        <v>8481</v>
      </c>
      <c r="C6880" t="s">
        <v>8482</v>
      </c>
      <c r="D6880" t="s">
        <v>5</v>
      </c>
      <c r="E6880" t="s">
        <v>6</v>
      </c>
      <c r="F6880" t="s">
        <v>28</v>
      </c>
      <c r="G6880">
        <v>1</v>
      </c>
      <c r="H6880" s="2">
        <f>Tabelle13[[#This Row],[commits]]/Tabelle13[[#Totals],[commits]]</f>
        <v>4.6477904404246225E-6</v>
      </c>
      <c r="I6880" s="5">
        <f>Tabelle13[[#This Row],[%]]+I6879</f>
        <v>0.98992823811552411</v>
      </c>
      <c r="J6880" s="4">
        <f t="shared" si="247"/>
        <v>1.105583195135434E-4</v>
      </c>
      <c r="K6880" s="5">
        <f t="shared" si="248"/>
        <v>0.76042012161424166</v>
      </c>
    </row>
    <row r="6881" spans="1:11" x14ac:dyDescent="0.25">
      <c r="A6881" t="s">
        <v>8483</v>
      </c>
      <c r="C6881" t="s">
        <v>8484</v>
      </c>
      <c r="D6881" t="s">
        <v>5</v>
      </c>
      <c r="E6881" t="s">
        <v>6</v>
      </c>
      <c r="F6881" t="s">
        <v>28</v>
      </c>
      <c r="G6881">
        <v>1</v>
      </c>
      <c r="H6881" s="2">
        <f>Tabelle13[[#This Row],[commits]]/Tabelle13[[#Totals],[commits]]</f>
        <v>4.6477904404246225E-6</v>
      </c>
      <c r="I6881" s="5">
        <f>Tabelle13[[#This Row],[%]]+I6880</f>
        <v>0.98993288590596451</v>
      </c>
      <c r="J6881" s="4">
        <f t="shared" si="247"/>
        <v>1.105583195135434E-4</v>
      </c>
      <c r="K6881" s="5">
        <f t="shared" si="248"/>
        <v>0.76053067993375523</v>
      </c>
    </row>
    <row r="6882" spans="1:11" x14ac:dyDescent="0.25">
      <c r="A6882" t="s">
        <v>8485</v>
      </c>
      <c r="C6882" t="s">
        <v>2153</v>
      </c>
      <c r="D6882" t="s">
        <v>5</v>
      </c>
      <c r="E6882" t="s">
        <v>6</v>
      </c>
      <c r="F6882" t="s">
        <v>28</v>
      </c>
      <c r="G6882">
        <v>1</v>
      </c>
      <c r="H6882" s="2">
        <f>Tabelle13[[#This Row],[commits]]/Tabelle13[[#Totals],[commits]]</f>
        <v>4.6477904404246225E-6</v>
      </c>
      <c r="I6882" s="5">
        <f>Tabelle13[[#This Row],[%]]+I6881</f>
        <v>0.98993753369640491</v>
      </c>
      <c r="J6882" s="4">
        <f t="shared" si="247"/>
        <v>1.105583195135434E-4</v>
      </c>
      <c r="K6882" s="5">
        <f t="shared" si="248"/>
        <v>0.76064123825326879</v>
      </c>
    </row>
    <row r="6883" spans="1:11" x14ac:dyDescent="0.25">
      <c r="A6883" t="s">
        <v>8486</v>
      </c>
      <c r="C6883" t="s">
        <v>8487</v>
      </c>
      <c r="D6883" t="s">
        <v>5</v>
      </c>
      <c r="E6883" t="s">
        <v>6</v>
      </c>
      <c r="F6883" t="s">
        <v>28</v>
      </c>
      <c r="G6883">
        <v>1</v>
      </c>
      <c r="H6883" s="2">
        <f>Tabelle13[[#This Row],[commits]]/Tabelle13[[#Totals],[commits]]</f>
        <v>4.6477904404246225E-6</v>
      </c>
      <c r="I6883" s="5">
        <f>Tabelle13[[#This Row],[%]]+I6882</f>
        <v>0.98994218148684532</v>
      </c>
      <c r="J6883" s="4">
        <f t="shared" si="247"/>
        <v>1.105583195135434E-4</v>
      </c>
      <c r="K6883" s="5">
        <f t="shared" si="248"/>
        <v>0.76075179657278236</v>
      </c>
    </row>
    <row r="6884" spans="1:11" x14ac:dyDescent="0.25">
      <c r="A6884" t="s">
        <v>8488</v>
      </c>
      <c r="C6884" t="s">
        <v>8489</v>
      </c>
      <c r="D6884" t="s">
        <v>5</v>
      </c>
      <c r="E6884" t="s">
        <v>6</v>
      </c>
      <c r="F6884" t="s">
        <v>28</v>
      </c>
      <c r="G6884">
        <v>1</v>
      </c>
      <c r="H6884" s="2">
        <f>Tabelle13[[#This Row],[commits]]/Tabelle13[[#Totals],[commits]]</f>
        <v>4.6477904404246225E-6</v>
      </c>
      <c r="I6884" s="5">
        <f>Tabelle13[[#This Row],[%]]+I6883</f>
        <v>0.98994682927728572</v>
      </c>
      <c r="J6884" s="4">
        <f t="shared" si="247"/>
        <v>1.105583195135434E-4</v>
      </c>
      <c r="K6884" s="5">
        <f t="shared" si="248"/>
        <v>0.76086235489229592</v>
      </c>
    </row>
    <row r="6885" spans="1:11" x14ac:dyDescent="0.25">
      <c r="A6885" t="s">
        <v>8490</v>
      </c>
      <c r="C6885" t="s">
        <v>8491</v>
      </c>
      <c r="D6885" t="s">
        <v>5</v>
      </c>
      <c r="E6885" t="s">
        <v>6</v>
      </c>
      <c r="F6885" t="s">
        <v>28</v>
      </c>
      <c r="G6885">
        <v>1</v>
      </c>
      <c r="H6885" s="2">
        <f>Tabelle13[[#This Row],[commits]]/Tabelle13[[#Totals],[commits]]</f>
        <v>4.6477904404246225E-6</v>
      </c>
      <c r="I6885" s="5">
        <f>Tabelle13[[#This Row],[%]]+I6884</f>
        <v>0.98995147706772613</v>
      </c>
      <c r="J6885" s="4">
        <f t="shared" si="247"/>
        <v>1.105583195135434E-4</v>
      </c>
      <c r="K6885" s="5">
        <f t="shared" si="248"/>
        <v>0.76097291321180949</v>
      </c>
    </row>
    <row r="6886" spans="1:11" x14ac:dyDescent="0.25">
      <c r="A6886" t="s">
        <v>8492</v>
      </c>
      <c r="C6886" t="s">
        <v>8493</v>
      </c>
      <c r="D6886" t="s">
        <v>5</v>
      </c>
      <c r="E6886" t="s">
        <v>6</v>
      </c>
      <c r="F6886" t="s">
        <v>28</v>
      </c>
      <c r="G6886">
        <v>1</v>
      </c>
      <c r="H6886" s="2">
        <f>Tabelle13[[#This Row],[commits]]/Tabelle13[[#Totals],[commits]]</f>
        <v>4.6477904404246225E-6</v>
      </c>
      <c r="I6886" s="5">
        <f>Tabelle13[[#This Row],[%]]+I6885</f>
        <v>0.98995612485816653</v>
      </c>
      <c r="J6886" s="4">
        <f t="shared" si="247"/>
        <v>1.105583195135434E-4</v>
      </c>
      <c r="K6886" s="5">
        <f t="shared" si="248"/>
        <v>0.76108347153132305</v>
      </c>
    </row>
    <row r="6887" spans="1:11" x14ac:dyDescent="0.25">
      <c r="A6887" t="s">
        <v>8494</v>
      </c>
      <c r="C6887" t="s">
        <v>8495</v>
      </c>
      <c r="D6887" t="s">
        <v>5</v>
      </c>
      <c r="E6887" t="s">
        <v>6</v>
      </c>
      <c r="F6887" t="s">
        <v>28</v>
      </c>
      <c r="G6887">
        <v>1</v>
      </c>
      <c r="H6887" s="2">
        <f>Tabelle13[[#This Row],[commits]]/Tabelle13[[#Totals],[commits]]</f>
        <v>4.6477904404246225E-6</v>
      </c>
      <c r="I6887" s="5">
        <f>Tabelle13[[#This Row],[%]]+I6886</f>
        <v>0.98996077264860693</v>
      </c>
      <c r="J6887" s="4">
        <f t="shared" si="247"/>
        <v>1.105583195135434E-4</v>
      </c>
      <c r="K6887" s="5">
        <f t="shared" si="248"/>
        <v>0.76119402985083662</v>
      </c>
    </row>
    <row r="6888" spans="1:11" x14ac:dyDescent="0.25">
      <c r="A6888" t="s">
        <v>8496</v>
      </c>
      <c r="C6888" t="s">
        <v>8497</v>
      </c>
      <c r="D6888" t="s">
        <v>5</v>
      </c>
      <c r="E6888" t="s">
        <v>6</v>
      </c>
      <c r="F6888" t="s">
        <v>28</v>
      </c>
      <c r="G6888">
        <v>1</v>
      </c>
      <c r="H6888" s="2">
        <f>Tabelle13[[#This Row],[commits]]/Tabelle13[[#Totals],[commits]]</f>
        <v>4.6477904404246225E-6</v>
      </c>
      <c r="I6888" s="5">
        <f>Tabelle13[[#This Row],[%]]+I6887</f>
        <v>0.98996542043904734</v>
      </c>
      <c r="J6888" s="4">
        <f t="shared" si="247"/>
        <v>1.105583195135434E-4</v>
      </c>
      <c r="K6888" s="5">
        <f t="shared" si="248"/>
        <v>0.76130458817035018</v>
      </c>
    </row>
    <row r="6889" spans="1:11" x14ac:dyDescent="0.25">
      <c r="A6889" t="s">
        <v>8498</v>
      </c>
      <c r="C6889" t="s">
        <v>8499</v>
      </c>
      <c r="D6889" t="s">
        <v>5</v>
      </c>
      <c r="E6889" t="s">
        <v>6</v>
      </c>
      <c r="F6889" t="s">
        <v>28</v>
      </c>
      <c r="G6889">
        <v>1</v>
      </c>
      <c r="H6889" s="2">
        <f>Tabelle13[[#This Row],[commits]]/Tabelle13[[#Totals],[commits]]</f>
        <v>4.6477904404246225E-6</v>
      </c>
      <c r="I6889" s="5">
        <f>Tabelle13[[#This Row],[%]]+I6888</f>
        <v>0.98997006822948774</v>
      </c>
      <c r="J6889" s="4">
        <f t="shared" si="247"/>
        <v>1.105583195135434E-4</v>
      </c>
      <c r="K6889" s="5">
        <f t="shared" si="248"/>
        <v>0.76141514648986375</v>
      </c>
    </row>
    <row r="6890" spans="1:11" x14ac:dyDescent="0.25">
      <c r="A6890" t="s">
        <v>8500</v>
      </c>
      <c r="C6890" t="s">
        <v>8501</v>
      </c>
      <c r="D6890" t="s">
        <v>5</v>
      </c>
      <c r="E6890" t="s">
        <v>6</v>
      </c>
      <c r="F6890" t="s">
        <v>28</v>
      </c>
      <c r="G6890">
        <v>1</v>
      </c>
      <c r="H6890" s="2">
        <f>Tabelle13[[#This Row],[commits]]/Tabelle13[[#Totals],[commits]]</f>
        <v>4.6477904404246225E-6</v>
      </c>
      <c r="I6890" s="5">
        <f>Tabelle13[[#This Row],[%]]+I6889</f>
        <v>0.98997471601992815</v>
      </c>
      <c r="J6890" s="4">
        <f t="shared" si="247"/>
        <v>1.105583195135434E-4</v>
      </c>
      <c r="K6890" s="5">
        <f t="shared" si="248"/>
        <v>0.76152570480937731</v>
      </c>
    </row>
    <row r="6891" spans="1:11" x14ac:dyDescent="0.25">
      <c r="A6891" t="s">
        <v>8502</v>
      </c>
      <c r="C6891" t="s">
        <v>8503</v>
      </c>
      <c r="D6891" t="s">
        <v>5</v>
      </c>
      <c r="E6891" t="s">
        <v>6</v>
      </c>
      <c r="F6891" t="s">
        <v>28</v>
      </c>
      <c r="G6891">
        <v>1</v>
      </c>
      <c r="H6891" s="2">
        <f>Tabelle13[[#This Row],[commits]]/Tabelle13[[#Totals],[commits]]</f>
        <v>4.6477904404246225E-6</v>
      </c>
      <c r="I6891" s="5">
        <f>Tabelle13[[#This Row],[%]]+I6890</f>
        <v>0.98997936381036855</v>
      </c>
      <c r="J6891" s="4">
        <f t="shared" si="247"/>
        <v>1.105583195135434E-4</v>
      </c>
      <c r="K6891" s="5">
        <f t="shared" si="248"/>
        <v>0.76163626312889088</v>
      </c>
    </row>
    <row r="6892" spans="1:11" x14ac:dyDescent="0.25">
      <c r="A6892" t="s">
        <v>8504</v>
      </c>
      <c r="C6892" t="s">
        <v>8505</v>
      </c>
      <c r="D6892" t="s">
        <v>5</v>
      </c>
      <c r="E6892" t="s">
        <v>6</v>
      </c>
      <c r="F6892" t="s">
        <v>28</v>
      </c>
      <c r="G6892">
        <v>1</v>
      </c>
      <c r="H6892" s="2">
        <f>Tabelle13[[#This Row],[commits]]/Tabelle13[[#Totals],[commits]]</f>
        <v>4.6477904404246225E-6</v>
      </c>
      <c r="I6892" s="5">
        <f>Tabelle13[[#This Row],[%]]+I6891</f>
        <v>0.98998401160080896</v>
      </c>
      <c r="J6892" s="4">
        <f t="shared" si="247"/>
        <v>1.105583195135434E-4</v>
      </c>
      <c r="K6892" s="5">
        <f t="shared" si="248"/>
        <v>0.76174682144840444</v>
      </c>
    </row>
    <row r="6893" spans="1:11" x14ac:dyDescent="0.25">
      <c r="A6893" t="s">
        <v>8506</v>
      </c>
      <c r="C6893" t="s">
        <v>8507</v>
      </c>
      <c r="D6893" t="s">
        <v>5</v>
      </c>
      <c r="E6893" t="s">
        <v>6</v>
      </c>
      <c r="F6893" t="s">
        <v>28</v>
      </c>
      <c r="G6893">
        <v>1</v>
      </c>
      <c r="H6893" s="2">
        <f>Tabelle13[[#This Row],[commits]]/Tabelle13[[#Totals],[commits]]</f>
        <v>4.6477904404246225E-6</v>
      </c>
      <c r="I6893" s="5">
        <f>Tabelle13[[#This Row],[%]]+I6892</f>
        <v>0.98998865939124936</v>
      </c>
      <c r="J6893" s="4">
        <f t="shared" si="247"/>
        <v>1.105583195135434E-4</v>
      </c>
      <c r="K6893" s="5">
        <f t="shared" si="248"/>
        <v>0.76185737976791801</v>
      </c>
    </row>
    <row r="6894" spans="1:11" x14ac:dyDescent="0.25">
      <c r="A6894" t="s">
        <v>8508</v>
      </c>
      <c r="C6894" t="s">
        <v>8509</v>
      </c>
      <c r="D6894" t="s">
        <v>5</v>
      </c>
      <c r="E6894" t="s">
        <v>6</v>
      </c>
      <c r="F6894" t="s">
        <v>28</v>
      </c>
      <c r="G6894">
        <v>1</v>
      </c>
      <c r="H6894" s="2">
        <f>Tabelle13[[#This Row],[commits]]/Tabelle13[[#Totals],[commits]]</f>
        <v>4.6477904404246225E-6</v>
      </c>
      <c r="I6894" s="5">
        <f>Tabelle13[[#This Row],[%]]+I6893</f>
        <v>0.98999330718168976</v>
      </c>
      <c r="J6894" s="4">
        <f t="shared" si="247"/>
        <v>1.105583195135434E-4</v>
      </c>
      <c r="K6894" s="5">
        <f t="shared" si="248"/>
        <v>0.76196793808743157</v>
      </c>
    </row>
    <row r="6895" spans="1:11" x14ac:dyDescent="0.25">
      <c r="A6895" t="s">
        <v>8510</v>
      </c>
      <c r="C6895" t="s">
        <v>8511</v>
      </c>
      <c r="D6895" t="s">
        <v>5</v>
      </c>
      <c r="E6895" t="s">
        <v>6</v>
      </c>
      <c r="F6895" t="s">
        <v>28</v>
      </c>
      <c r="G6895">
        <v>1</v>
      </c>
      <c r="H6895" s="2">
        <f>Tabelle13[[#This Row],[commits]]/Tabelle13[[#Totals],[commits]]</f>
        <v>4.6477904404246225E-6</v>
      </c>
      <c r="I6895" s="5">
        <f>Tabelle13[[#This Row],[%]]+I6894</f>
        <v>0.98999795497213017</v>
      </c>
      <c r="J6895" s="4">
        <f t="shared" si="247"/>
        <v>1.105583195135434E-4</v>
      </c>
      <c r="K6895" s="5">
        <f t="shared" si="248"/>
        <v>0.76207849640694514</v>
      </c>
    </row>
    <row r="6896" spans="1:11" x14ac:dyDescent="0.25">
      <c r="A6896" t="s">
        <v>8512</v>
      </c>
      <c r="C6896" t="s">
        <v>8513</v>
      </c>
      <c r="D6896" t="s">
        <v>5</v>
      </c>
      <c r="E6896" t="s">
        <v>6</v>
      </c>
      <c r="F6896" t="s">
        <v>28</v>
      </c>
      <c r="G6896">
        <v>1</v>
      </c>
      <c r="H6896" s="2">
        <f>Tabelle13[[#This Row],[commits]]/Tabelle13[[#Totals],[commits]]</f>
        <v>4.6477904404246225E-6</v>
      </c>
      <c r="I6896" s="5">
        <f>Tabelle13[[#This Row],[%]]+I6895</f>
        <v>0.99000260276257057</v>
      </c>
      <c r="J6896" s="4">
        <f t="shared" si="247"/>
        <v>1.105583195135434E-4</v>
      </c>
      <c r="K6896" s="5">
        <f t="shared" si="248"/>
        <v>0.7621890547264587</v>
      </c>
    </row>
    <row r="6897" spans="1:11" x14ac:dyDescent="0.25">
      <c r="A6897" t="s">
        <v>8514</v>
      </c>
      <c r="C6897" t="s">
        <v>8515</v>
      </c>
      <c r="D6897" t="s">
        <v>5</v>
      </c>
      <c r="E6897" t="s">
        <v>6</v>
      </c>
      <c r="F6897" t="s">
        <v>28</v>
      </c>
      <c r="G6897">
        <v>1</v>
      </c>
      <c r="H6897" s="2">
        <f>Tabelle13[[#This Row],[commits]]/Tabelle13[[#Totals],[commits]]</f>
        <v>4.6477904404246225E-6</v>
      </c>
      <c r="I6897" s="5">
        <f>Tabelle13[[#This Row],[%]]+I6896</f>
        <v>0.99000725055301098</v>
      </c>
      <c r="J6897" s="4">
        <f t="shared" si="247"/>
        <v>1.105583195135434E-4</v>
      </c>
      <c r="K6897" s="5">
        <f t="shared" si="248"/>
        <v>0.76229961304597227</v>
      </c>
    </row>
    <row r="6898" spans="1:11" x14ac:dyDescent="0.25">
      <c r="A6898" t="s">
        <v>8516</v>
      </c>
      <c r="C6898" t="s">
        <v>8517</v>
      </c>
      <c r="D6898" t="s">
        <v>5</v>
      </c>
      <c r="E6898" t="s">
        <v>6</v>
      </c>
      <c r="F6898" t="s">
        <v>28</v>
      </c>
      <c r="G6898">
        <v>1</v>
      </c>
      <c r="H6898" s="2">
        <f>Tabelle13[[#This Row],[commits]]/Tabelle13[[#Totals],[commits]]</f>
        <v>4.6477904404246225E-6</v>
      </c>
      <c r="I6898" s="5">
        <f>Tabelle13[[#This Row],[%]]+I6897</f>
        <v>0.99001189834345138</v>
      </c>
      <c r="J6898" s="4">
        <f t="shared" si="247"/>
        <v>1.105583195135434E-4</v>
      </c>
      <c r="K6898" s="5">
        <f t="shared" si="248"/>
        <v>0.76241017136548583</v>
      </c>
    </row>
    <row r="6899" spans="1:11" x14ac:dyDescent="0.25">
      <c r="A6899" t="s">
        <v>8518</v>
      </c>
      <c r="C6899" t="s">
        <v>8519</v>
      </c>
      <c r="D6899" t="s">
        <v>5</v>
      </c>
      <c r="E6899" t="s">
        <v>6</v>
      </c>
      <c r="F6899" t="s">
        <v>28</v>
      </c>
      <c r="G6899">
        <v>1</v>
      </c>
      <c r="H6899" s="2">
        <f>Tabelle13[[#This Row],[commits]]/Tabelle13[[#Totals],[commits]]</f>
        <v>4.6477904404246225E-6</v>
      </c>
      <c r="I6899" s="5">
        <f>Tabelle13[[#This Row],[%]]+I6898</f>
        <v>0.99001654613389178</v>
      </c>
      <c r="J6899" s="4">
        <f t="shared" si="247"/>
        <v>1.105583195135434E-4</v>
      </c>
      <c r="K6899" s="5">
        <f t="shared" si="248"/>
        <v>0.7625207296849994</v>
      </c>
    </row>
    <row r="6900" spans="1:11" x14ac:dyDescent="0.25">
      <c r="A6900" t="s">
        <v>8520</v>
      </c>
      <c r="C6900" t="s">
        <v>8521</v>
      </c>
      <c r="D6900" t="s">
        <v>5</v>
      </c>
      <c r="E6900" t="s">
        <v>6</v>
      </c>
      <c r="F6900" t="s">
        <v>28</v>
      </c>
      <c r="G6900">
        <v>1</v>
      </c>
      <c r="H6900" s="2">
        <f>Tabelle13[[#This Row],[commits]]/Tabelle13[[#Totals],[commits]]</f>
        <v>4.6477904404246225E-6</v>
      </c>
      <c r="I6900" s="5">
        <f>Tabelle13[[#This Row],[%]]+I6899</f>
        <v>0.99002119392433219</v>
      </c>
      <c r="J6900" s="4">
        <f t="shared" si="247"/>
        <v>1.105583195135434E-4</v>
      </c>
      <c r="K6900" s="5">
        <f t="shared" si="248"/>
        <v>0.76263128800451296</v>
      </c>
    </row>
    <row r="6901" spans="1:11" x14ac:dyDescent="0.25">
      <c r="A6901" t="s">
        <v>8522</v>
      </c>
      <c r="C6901" t="s">
        <v>8523</v>
      </c>
      <c r="D6901" t="s">
        <v>5</v>
      </c>
      <c r="E6901" t="s">
        <v>6</v>
      </c>
      <c r="F6901" t="s">
        <v>28</v>
      </c>
      <c r="G6901">
        <v>1</v>
      </c>
      <c r="H6901" s="2">
        <f>Tabelle13[[#This Row],[commits]]/Tabelle13[[#Totals],[commits]]</f>
        <v>4.6477904404246225E-6</v>
      </c>
      <c r="I6901" s="5">
        <f>Tabelle13[[#This Row],[%]]+I6900</f>
        <v>0.99002584171477259</v>
      </c>
      <c r="J6901" s="4">
        <f t="shared" si="247"/>
        <v>1.105583195135434E-4</v>
      </c>
      <c r="K6901" s="5">
        <f t="shared" si="248"/>
        <v>0.76274184632402653</v>
      </c>
    </row>
    <row r="6902" spans="1:11" x14ac:dyDescent="0.25">
      <c r="A6902" t="s">
        <v>8524</v>
      </c>
      <c r="C6902" t="s">
        <v>8525</v>
      </c>
      <c r="D6902" t="s">
        <v>5</v>
      </c>
      <c r="E6902" t="s">
        <v>6</v>
      </c>
      <c r="F6902" t="s">
        <v>28</v>
      </c>
      <c r="G6902">
        <v>1</v>
      </c>
      <c r="H6902" s="2">
        <f>Tabelle13[[#This Row],[commits]]/Tabelle13[[#Totals],[commits]]</f>
        <v>4.6477904404246225E-6</v>
      </c>
      <c r="I6902" s="5">
        <f>Tabelle13[[#This Row],[%]]+I6901</f>
        <v>0.990030489505213</v>
      </c>
      <c r="J6902" s="4">
        <f t="shared" si="247"/>
        <v>1.105583195135434E-4</v>
      </c>
      <c r="K6902" s="5">
        <f t="shared" si="248"/>
        <v>0.76285240464354009</v>
      </c>
    </row>
    <row r="6903" spans="1:11" x14ac:dyDescent="0.25">
      <c r="A6903" t="s">
        <v>8526</v>
      </c>
      <c r="C6903" t="s">
        <v>8527</v>
      </c>
      <c r="D6903" t="s">
        <v>5</v>
      </c>
      <c r="E6903" t="s">
        <v>6</v>
      </c>
      <c r="F6903" t="s">
        <v>28</v>
      </c>
      <c r="G6903">
        <v>1</v>
      </c>
      <c r="H6903" s="2">
        <f>Tabelle13[[#This Row],[commits]]/Tabelle13[[#Totals],[commits]]</f>
        <v>4.6477904404246225E-6</v>
      </c>
      <c r="I6903" s="5">
        <f>Tabelle13[[#This Row],[%]]+I6902</f>
        <v>0.9900351372956534</v>
      </c>
      <c r="J6903" s="4">
        <f t="shared" si="247"/>
        <v>1.105583195135434E-4</v>
      </c>
      <c r="K6903" s="5">
        <f t="shared" si="248"/>
        <v>0.76296296296305366</v>
      </c>
    </row>
    <row r="6904" spans="1:11" x14ac:dyDescent="0.25">
      <c r="A6904" t="s">
        <v>8528</v>
      </c>
      <c r="C6904" t="s">
        <v>8529</v>
      </c>
      <c r="D6904" t="s">
        <v>5</v>
      </c>
      <c r="E6904" t="s">
        <v>6</v>
      </c>
      <c r="F6904" t="s">
        <v>28</v>
      </c>
      <c r="G6904">
        <v>1</v>
      </c>
      <c r="H6904" s="2">
        <f>Tabelle13[[#This Row],[commits]]/Tabelle13[[#Totals],[commits]]</f>
        <v>4.6477904404246225E-6</v>
      </c>
      <c r="I6904" s="5">
        <f>Tabelle13[[#This Row],[%]]+I6903</f>
        <v>0.9900397850860938</v>
      </c>
      <c r="J6904" s="4">
        <f t="shared" si="247"/>
        <v>1.105583195135434E-4</v>
      </c>
      <c r="K6904" s="5">
        <f t="shared" si="248"/>
        <v>0.76307352128256722</v>
      </c>
    </row>
    <row r="6905" spans="1:11" x14ac:dyDescent="0.25">
      <c r="A6905" t="s">
        <v>8530</v>
      </c>
      <c r="C6905" t="s">
        <v>8531</v>
      </c>
      <c r="D6905" t="s">
        <v>5</v>
      </c>
      <c r="E6905" t="s">
        <v>6</v>
      </c>
      <c r="F6905" t="s">
        <v>28</v>
      </c>
      <c r="G6905">
        <v>1</v>
      </c>
      <c r="H6905" s="2">
        <f>Tabelle13[[#This Row],[commits]]/Tabelle13[[#Totals],[commits]]</f>
        <v>4.6477904404246225E-6</v>
      </c>
      <c r="I6905" s="5">
        <f>Tabelle13[[#This Row],[%]]+I6904</f>
        <v>0.99004443287653421</v>
      </c>
      <c r="J6905" s="4">
        <f t="shared" si="247"/>
        <v>1.105583195135434E-4</v>
      </c>
      <c r="K6905" s="5">
        <f t="shared" si="248"/>
        <v>0.76318407960208079</v>
      </c>
    </row>
    <row r="6906" spans="1:11" x14ac:dyDescent="0.25">
      <c r="A6906" t="s">
        <v>8532</v>
      </c>
      <c r="C6906" t="s">
        <v>8533</v>
      </c>
      <c r="D6906" t="s">
        <v>5</v>
      </c>
      <c r="E6906" t="s">
        <v>6</v>
      </c>
      <c r="F6906" t="s">
        <v>28</v>
      </c>
      <c r="G6906">
        <v>1</v>
      </c>
      <c r="H6906" s="2">
        <f>Tabelle13[[#This Row],[commits]]/Tabelle13[[#Totals],[commits]]</f>
        <v>4.6477904404246225E-6</v>
      </c>
      <c r="I6906" s="5">
        <f>Tabelle13[[#This Row],[%]]+I6905</f>
        <v>0.99004908066697461</v>
      </c>
      <c r="J6906" s="4">
        <f t="shared" si="247"/>
        <v>1.105583195135434E-4</v>
      </c>
      <c r="K6906" s="5">
        <f t="shared" si="248"/>
        <v>0.76329463792159435</v>
      </c>
    </row>
    <row r="6907" spans="1:11" x14ac:dyDescent="0.25">
      <c r="A6907" t="s">
        <v>8534</v>
      </c>
      <c r="C6907" t="s">
        <v>8535</v>
      </c>
      <c r="D6907" t="s">
        <v>5</v>
      </c>
      <c r="E6907" t="s">
        <v>6</v>
      </c>
      <c r="F6907" t="s">
        <v>28</v>
      </c>
      <c r="G6907">
        <v>1</v>
      </c>
      <c r="H6907" s="2">
        <f>Tabelle13[[#This Row],[commits]]/Tabelle13[[#Totals],[commits]]</f>
        <v>4.6477904404246225E-6</v>
      </c>
      <c r="I6907" s="5">
        <f>Tabelle13[[#This Row],[%]]+I6906</f>
        <v>0.99005372845741502</v>
      </c>
      <c r="J6907" s="4">
        <f t="shared" si="247"/>
        <v>1.105583195135434E-4</v>
      </c>
      <c r="K6907" s="5">
        <f t="shared" si="248"/>
        <v>0.76340519624110792</v>
      </c>
    </row>
    <row r="6908" spans="1:11" x14ac:dyDescent="0.25">
      <c r="A6908" t="s">
        <v>8536</v>
      </c>
      <c r="C6908" t="s">
        <v>8537</v>
      </c>
      <c r="D6908" t="s">
        <v>5</v>
      </c>
      <c r="E6908" t="s">
        <v>6</v>
      </c>
      <c r="F6908" t="s">
        <v>28</v>
      </c>
      <c r="G6908">
        <v>1</v>
      </c>
      <c r="H6908" s="2">
        <f>Tabelle13[[#This Row],[commits]]/Tabelle13[[#Totals],[commits]]</f>
        <v>4.6477904404246225E-6</v>
      </c>
      <c r="I6908" s="5">
        <f>Tabelle13[[#This Row],[%]]+I6907</f>
        <v>0.99005837624785542</v>
      </c>
      <c r="J6908" s="4">
        <f t="shared" si="247"/>
        <v>1.105583195135434E-4</v>
      </c>
      <c r="K6908" s="5">
        <f t="shared" si="248"/>
        <v>0.76351575456062148</v>
      </c>
    </row>
    <row r="6909" spans="1:11" x14ac:dyDescent="0.25">
      <c r="A6909" t="s">
        <v>8538</v>
      </c>
      <c r="C6909" t="s">
        <v>8539</v>
      </c>
      <c r="D6909" t="s">
        <v>5</v>
      </c>
      <c r="E6909" t="s">
        <v>6</v>
      </c>
      <c r="F6909" t="s">
        <v>28</v>
      </c>
      <c r="G6909">
        <v>1</v>
      </c>
      <c r="H6909" s="2">
        <f>Tabelle13[[#This Row],[commits]]/Tabelle13[[#Totals],[commits]]</f>
        <v>4.6477904404246225E-6</v>
      </c>
      <c r="I6909" s="5">
        <f>Tabelle13[[#This Row],[%]]+I6908</f>
        <v>0.99006302403829582</v>
      </c>
      <c r="J6909" s="4">
        <f t="shared" si="247"/>
        <v>1.105583195135434E-4</v>
      </c>
      <c r="K6909" s="5">
        <f t="shared" si="248"/>
        <v>0.76362631288013505</v>
      </c>
    </row>
    <row r="6910" spans="1:11" x14ac:dyDescent="0.25">
      <c r="A6910" t="s">
        <v>8540</v>
      </c>
      <c r="C6910" t="s">
        <v>8541</v>
      </c>
      <c r="D6910" t="s">
        <v>5</v>
      </c>
      <c r="E6910" t="s">
        <v>6</v>
      </c>
      <c r="F6910" t="s">
        <v>28</v>
      </c>
      <c r="G6910">
        <v>1</v>
      </c>
      <c r="H6910" s="2">
        <f>Tabelle13[[#This Row],[commits]]/Tabelle13[[#Totals],[commits]]</f>
        <v>4.6477904404246225E-6</v>
      </c>
      <c r="I6910" s="5">
        <f>Tabelle13[[#This Row],[%]]+I6909</f>
        <v>0.99006767182873623</v>
      </c>
      <c r="J6910" s="4">
        <f t="shared" si="247"/>
        <v>1.105583195135434E-4</v>
      </c>
      <c r="K6910" s="5">
        <f t="shared" si="248"/>
        <v>0.76373687119964861</v>
      </c>
    </row>
    <row r="6911" spans="1:11" x14ac:dyDescent="0.25">
      <c r="A6911" t="s">
        <v>8542</v>
      </c>
      <c r="C6911" t="s">
        <v>8543</v>
      </c>
      <c r="D6911" t="s">
        <v>5</v>
      </c>
      <c r="E6911" t="s">
        <v>6</v>
      </c>
      <c r="F6911" t="s">
        <v>28</v>
      </c>
      <c r="G6911">
        <v>1</v>
      </c>
      <c r="H6911" s="2">
        <f>Tabelle13[[#This Row],[commits]]/Tabelle13[[#Totals],[commits]]</f>
        <v>4.6477904404246225E-6</v>
      </c>
      <c r="I6911" s="5">
        <f>Tabelle13[[#This Row],[%]]+I6910</f>
        <v>0.99007231961917663</v>
      </c>
      <c r="J6911" s="4">
        <f t="shared" si="247"/>
        <v>1.105583195135434E-4</v>
      </c>
      <c r="K6911" s="5">
        <f t="shared" si="248"/>
        <v>0.76384742951916218</v>
      </c>
    </row>
    <row r="6912" spans="1:11" x14ac:dyDescent="0.25">
      <c r="A6912" t="s">
        <v>8544</v>
      </c>
      <c r="C6912" t="s">
        <v>8545</v>
      </c>
      <c r="D6912" t="s">
        <v>5</v>
      </c>
      <c r="E6912" t="s">
        <v>6</v>
      </c>
      <c r="F6912" t="s">
        <v>28</v>
      </c>
      <c r="G6912">
        <v>1</v>
      </c>
      <c r="H6912" s="2">
        <f>Tabelle13[[#This Row],[commits]]/Tabelle13[[#Totals],[commits]]</f>
        <v>4.6477904404246225E-6</v>
      </c>
      <c r="I6912" s="5">
        <f>Tabelle13[[#This Row],[%]]+I6911</f>
        <v>0.99007696740961704</v>
      </c>
      <c r="J6912" s="4">
        <f t="shared" si="247"/>
        <v>1.105583195135434E-4</v>
      </c>
      <c r="K6912" s="5">
        <f t="shared" si="248"/>
        <v>0.76395798783867574</v>
      </c>
    </row>
    <row r="6913" spans="1:11" x14ac:dyDescent="0.25">
      <c r="A6913" t="s">
        <v>8546</v>
      </c>
      <c r="C6913" t="s">
        <v>8547</v>
      </c>
      <c r="D6913" t="s">
        <v>5</v>
      </c>
      <c r="E6913" t="s">
        <v>6</v>
      </c>
      <c r="F6913" t="s">
        <v>28</v>
      </c>
      <c r="G6913">
        <v>1</v>
      </c>
      <c r="H6913" s="2">
        <f>Tabelle13[[#This Row],[commits]]/Tabelle13[[#Totals],[commits]]</f>
        <v>4.6477904404246225E-6</v>
      </c>
      <c r="I6913" s="5">
        <f>Tabelle13[[#This Row],[%]]+I6912</f>
        <v>0.99008161520005744</v>
      </c>
      <c r="J6913" s="4">
        <f t="shared" si="247"/>
        <v>1.105583195135434E-4</v>
      </c>
      <c r="K6913" s="5">
        <f t="shared" si="248"/>
        <v>0.76406854615818931</v>
      </c>
    </row>
    <row r="6914" spans="1:11" x14ac:dyDescent="0.25">
      <c r="A6914" t="s">
        <v>8548</v>
      </c>
      <c r="C6914" t="s">
        <v>8549</v>
      </c>
      <c r="D6914" t="s">
        <v>5</v>
      </c>
      <c r="E6914" t="s">
        <v>6</v>
      </c>
      <c r="F6914" t="s">
        <v>28</v>
      </c>
      <c r="G6914">
        <v>1</v>
      </c>
      <c r="H6914" s="2">
        <f>Tabelle13[[#This Row],[commits]]/Tabelle13[[#Totals],[commits]]</f>
        <v>4.6477904404246225E-6</v>
      </c>
      <c r="I6914" s="5">
        <f>Tabelle13[[#This Row],[%]]+I6913</f>
        <v>0.99008626299049785</v>
      </c>
      <c r="J6914" s="4">
        <f t="shared" si="247"/>
        <v>1.105583195135434E-4</v>
      </c>
      <c r="K6914" s="5">
        <f t="shared" si="248"/>
        <v>0.76417910447770288</v>
      </c>
    </row>
    <row r="6915" spans="1:11" x14ac:dyDescent="0.25">
      <c r="A6915" t="s">
        <v>8550</v>
      </c>
      <c r="C6915" t="s">
        <v>8551</v>
      </c>
      <c r="D6915" t="s">
        <v>5</v>
      </c>
      <c r="E6915" t="s">
        <v>6</v>
      </c>
      <c r="F6915" t="s">
        <v>28</v>
      </c>
      <c r="G6915">
        <v>1</v>
      </c>
      <c r="H6915" s="2">
        <f>Tabelle13[[#This Row],[commits]]/Tabelle13[[#Totals],[commits]]</f>
        <v>4.6477904404246225E-6</v>
      </c>
      <c r="I6915" s="5">
        <f>Tabelle13[[#This Row],[%]]+I6914</f>
        <v>0.99009091078093825</v>
      </c>
      <c r="J6915" s="4">
        <f t="shared" ref="J6915:J6978" si="249">1/9045</f>
        <v>1.105583195135434E-4</v>
      </c>
      <c r="K6915" s="5">
        <f t="shared" si="248"/>
        <v>0.76428966279721644</v>
      </c>
    </row>
    <row r="6916" spans="1:11" x14ac:dyDescent="0.25">
      <c r="A6916" t="s">
        <v>8552</v>
      </c>
      <c r="C6916" t="s">
        <v>8553</v>
      </c>
      <c r="D6916" t="s">
        <v>5</v>
      </c>
      <c r="E6916" t="s">
        <v>6</v>
      </c>
      <c r="F6916" t="s">
        <v>28</v>
      </c>
      <c r="G6916">
        <v>1</v>
      </c>
      <c r="H6916" s="2">
        <f>Tabelle13[[#This Row],[commits]]/Tabelle13[[#Totals],[commits]]</f>
        <v>4.6477904404246225E-6</v>
      </c>
      <c r="I6916" s="5">
        <f>Tabelle13[[#This Row],[%]]+I6915</f>
        <v>0.99009555857137865</v>
      </c>
      <c r="J6916" s="4">
        <f t="shared" si="249"/>
        <v>1.105583195135434E-4</v>
      </c>
      <c r="K6916" s="5">
        <f t="shared" si="248"/>
        <v>0.76440022111673001</v>
      </c>
    </row>
    <row r="6917" spans="1:11" x14ac:dyDescent="0.25">
      <c r="A6917" t="s">
        <v>8554</v>
      </c>
      <c r="C6917" t="s">
        <v>8555</v>
      </c>
      <c r="D6917" t="s">
        <v>5</v>
      </c>
      <c r="E6917" t="s">
        <v>6</v>
      </c>
      <c r="F6917" t="s">
        <v>28</v>
      </c>
      <c r="G6917">
        <v>1</v>
      </c>
      <c r="H6917" s="2">
        <f>Tabelle13[[#This Row],[commits]]/Tabelle13[[#Totals],[commits]]</f>
        <v>4.6477904404246225E-6</v>
      </c>
      <c r="I6917" s="5">
        <f>Tabelle13[[#This Row],[%]]+I6916</f>
        <v>0.99010020636181906</v>
      </c>
      <c r="J6917" s="4">
        <f t="shared" si="249"/>
        <v>1.105583195135434E-4</v>
      </c>
      <c r="K6917" s="5">
        <f t="shared" si="248"/>
        <v>0.76451077943624357</v>
      </c>
    </row>
    <row r="6918" spans="1:11" x14ac:dyDescent="0.25">
      <c r="A6918" t="s">
        <v>8556</v>
      </c>
      <c r="C6918" t="s">
        <v>8557</v>
      </c>
      <c r="D6918" t="s">
        <v>5</v>
      </c>
      <c r="E6918" t="s">
        <v>6</v>
      </c>
      <c r="F6918" t="s">
        <v>28</v>
      </c>
      <c r="G6918">
        <v>1</v>
      </c>
      <c r="H6918" s="2">
        <f>Tabelle13[[#This Row],[commits]]/Tabelle13[[#Totals],[commits]]</f>
        <v>4.6477904404246225E-6</v>
      </c>
      <c r="I6918" s="5">
        <f>Tabelle13[[#This Row],[%]]+I6917</f>
        <v>0.99010485415225946</v>
      </c>
      <c r="J6918" s="4">
        <f t="shared" si="249"/>
        <v>1.105583195135434E-4</v>
      </c>
      <c r="K6918" s="5">
        <f t="shared" ref="K6918:K6981" si="250">J6918+K6917</f>
        <v>0.76462133775575714</v>
      </c>
    </row>
    <row r="6919" spans="1:11" x14ac:dyDescent="0.25">
      <c r="A6919" t="s">
        <v>8558</v>
      </c>
      <c r="C6919" t="s">
        <v>8559</v>
      </c>
      <c r="D6919" t="s">
        <v>5</v>
      </c>
      <c r="E6919" t="s">
        <v>6</v>
      </c>
      <c r="F6919" t="s">
        <v>28</v>
      </c>
      <c r="G6919">
        <v>1</v>
      </c>
      <c r="H6919" s="2">
        <f>Tabelle13[[#This Row],[commits]]/Tabelle13[[#Totals],[commits]]</f>
        <v>4.6477904404246225E-6</v>
      </c>
      <c r="I6919" s="5">
        <f>Tabelle13[[#This Row],[%]]+I6918</f>
        <v>0.99010950194269987</v>
      </c>
      <c r="J6919" s="4">
        <f t="shared" si="249"/>
        <v>1.105583195135434E-4</v>
      </c>
      <c r="K6919" s="5">
        <f t="shared" si="250"/>
        <v>0.7647318960752707</v>
      </c>
    </row>
    <row r="6920" spans="1:11" x14ac:dyDescent="0.25">
      <c r="A6920" t="s">
        <v>8560</v>
      </c>
      <c r="C6920" t="s">
        <v>8561</v>
      </c>
      <c r="D6920" t="s">
        <v>5</v>
      </c>
      <c r="E6920" t="s">
        <v>6</v>
      </c>
      <c r="F6920" t="s">
        <v>28</v>
      </c>
      <c r="G6920">
        <v>1</v>
      </c>
      <c r="H6920" s="2">
        <f>Tabelle13[[#This Row],[commits]]/Tabelle13[[#Totals],[commits]]</f>
        <v>4.6477904404246225E-6</v>
      </c>
      <c r="I6920" s="5">
        <f>Tabelle13[[#This Row],[%]]+I6919</f>
        <v>0.99011414973314027</v>
      </c>
      <c r="J6920" s="4">
        <f t="shared" si="249"/>
        <v>1.105583195135434E-4</v>
      </c>
      <c r="K6920" s="5">
        <f t="shared" si="250"/>
        <v>0.76484245439478427</v>
      </c>
    </row>
    <row r="6921" spans="1:11" x14ac:dyDescent="0.25">
      <c r="A6921" t="s">
        <v>8562</v>
      </c>
      <c r="C6921" t="s">
        <v>8563</v>
      </c>
      <c r="D6921" t="s">
        <v>5</v>
      </c>
      <c r="E6921" t="s">
        <v>6</v>
      </c>
      <c r="F6921" t="s">
        <v>28</v>
      </c>
      <c r="G6921">
        <v>1</v>
      </c>
      <c r="H6921" s="2">
        <f>Tabelle13[[#This Row],[commits]]/Tabelle13[[#Totals],[commits]]</f>
        <v>4.6477904404246225E-6</v>
      </c>
      <c r="I6921" s="5">
        <f>Tabelle13[[#This Row],[%]]+I6920</f>
        <v>0.99011879752358067</v>
      </c>
      <c r="J6921" s="4">
        <f t="shared" si="249"/>
        <v>1.105583195135434E-4</v>
      </c>
      <c r="K6921" s="5">
        <f t="shared" si="250"/>
        <v>0.76495301271429783</v>
      </c>
    </row>
    <row r="6922" spans="1:11" x14ac:dyDescent="0.25">
      <c r="A6922" t="s">
        <v>8564</v>
      </c>
      <c r="C6922" t="s">
        <v>8565</v>
      </c>
      <c r="D6922" t="s">
        <v>7253</v>
      </c>
      <c r="E6922" t="s">
        <v>6</v>
      </c>
      <c r="F6922" t="s">
        <v>28</v>
      </c>
      <c r="G6922">
        <v>1</v>
      </c>
      <c r="H6922" s="2">
        <f>Tabelle13[[#This Row],[commits]]/Tabelle13[[#Totals],[commits]]</f>
        <v>4.6477904404246225E-6</v>
      </c>
      <c r="I6922" s="5">
        <f>Tabelle13[[#This Row],[%]]+I6921</f>
        <v>0.99012344531402108</v>
      </c>
      <c r="J6922" s="4">
        <f t="shared" si="249"/>
        <v>1.105583195135434E-4</v>
      </c>
      <c r="K6922" s="5">
        <f t="shared" si="250"/>
        <v>0.7650635710338114</v>
      </c>
    </row>
    <row r="6923" spans="1:11" x14ac:dyDescent="0.25">
      <c r="A6923" t="s">
        <v>8566</v>
      </c>
      <c r="C6923" t="s">
        <v>8567</v>
      </c>
      <c r="D6923" t="s">
        <v>5</v>
      </c>
      <c r="E6923" t="s">
        <v>6</v>
      </c>
      <c r="F6923" t="s">
        <v>28</v>
      </c>
      <c r="G6923">
        <v>1</v>
      </c>
      <c r="H6923" s="2">
        <f>Tabelle13[[#This Row],[commits]]/Tabelle13[[#Totals],[commits]]</f>
        <v>4.6477904404246225E-6</v>
      </c>
      <c r="I6923" s="5">
        <f>Tabelle13[[#This Row],[%]]+I6922</f>
        <v>0.99012809310446148</v>
      </c>
      <c r="J6923" s="4">
        <f t="shared" si="249"/>
        <v>1.105583195135434E-4</v>
      </c>
      <c r="K6923" s="5">
        <f t="shared" si="250"/>
        <v>0.76517412935332496</v>
      </c>
    </row>
    <row r="6924" spans="1:11" x14ac:dyDescent="0.25">
      <c r="A6924" t="s">
        <v>8568</v>
      </c>
      <c r="C6924" t="s">
        <v>8569</v>
      </c>
      <c r="D6924" t="s">
        <v>5</v>
      </c>
      <c r="E6924" t="s">
        <v>6</v>
      </c>
      <c r="F6924" t="s">
        <v>28</v>
      </c>
      <c r="G6924">
        <v>1</v>
      </c>
      <c r="H6924" s="2">
        <f>Tabelle13[[#This Row],[commits]]/Tabelle13[[#Totals],[commits]]</f>
        <v>4.6477904404246225E-6</v>
      </c>
      <c r="I6924" s="5">
        <f>Tabelle13[[#This Row],[%]]+I6923</f>
        <v>0.99013274089490189</v>
      </c>
      <c r="J6924" s="4">
        <f t="shared" si="249"/>
        <v>1.105583195135434E-4</v>
      </c>
      <c r="K6924" s="5">
        <f t="shared" si="250"/>
        <v>0.76528468767283853</v>
      </c>
    </row>
    <row r="6925" spans="1:11" x14ac:dyDescent="0.25">
      <c r="A6925" t="s">
        <v>8570</v>
      </c>
      <c r="C6925" t="s">
        <v>8571</v>
      </c>
      <c r="D6925" t="s">
        <v>5</v>
      </c>
      <c r="E6925" t="s">
        <v>6</v>
      </c>
      <c r="F6925" t="s">
        <v>28</v>
      </c>
      <c r="G6925">
        <v>1</v>
      </c>
      <c r="H6925" s="2">
        <f>Tabelle13[[#This Row],[commits]]/Tabelle13[[#Totals],[commits]]</f>
        <v>4.6477904404246225E-6</v>
      </c>
      <c r="I6925" s="5">
        <f>Tabelle13[[#This Row],[%]]+I6924</f>
        <v>0.99013738868534229</v>
      </c>
      <c r="J6925" s="4">
        <f t="shared" si="249"/>
        <v>1.105583195135434E-4</v>
      </c>
      <c r="K6925" s="5">
        <f t="shared" si="250"/>
        <v>0.76539524599235209</v>
      </c>
    </row>
    <row r="6926" spans="1:11" x14ac:dyDescent="0.25">
      <c r="A6926" t="s">
        <v>8572</v>
      </c>
      <c r="C6926" t="s">
        <v>8573</v>
      </c>
      <c r="D6926" t="s">
        <v>5</v>
      </c>
      <c r="E6926" t="s">
        <v>6</v>
      </c>
      <c r="F6926" t="s">
        <v>28</v>
      </c>
      <c r="G6926">
        <v>1</v>
      </c>
      <c r="H6926" s="2">
        <f>Tabelle13[[#This Row],[commits]]/Tabelle13[[#Totals],[commits]]</f>
        <v>4.6477904404246225E-6</v>
      </c>
      <c r="I6926" s="5">
        <f>Tabelle13[[#This Row],[%]]+I6925</f>
        <v>0.99014203647578269</v>
      </c>
      <c r="J6926" s="4">
        <f t="shared" si="249"/>
        <v>1.105583195135434E-4</v>
      </c>
      <c r="K6926" s="5">
        <f t="shared" si="250"/>
        <v>0.76550580431186566</v>
      </c>
    </row>
    <row r="6927" spans="1:11" x14ac:dyDescent="0.25">
      <c r="A6927" t="s">
        <v>8574</v>
      </c>
      <c r="C6927" t="s">
        <v>8575</v>
      </c>
      <c r="D6927" t="s">
        <v>5</v>
      </c>
      <c r="E6927" t="s">
        <v>6</v>
      </c>
      <c r="F6927" t="s">
        <v>28</v>
      </c>
      <c r="G6927">
        <v>1</v>
      </c>
      <c r="H6927" s="2">
        <f>Tabelle13[[#This Row],[commits]]/Tabelle13[[#Totals],[commits]]</f>
        <v>4.6477904404246225E-6</v>
      </c>
      <c r="I6927" s="5">
        <f>Tabelle13[[#This Row],[%]]+I6926</f>
        <v>0.9901466842662231</v>
      </c>
      <c r="J6927" s="4">
        <f t="shared" si="249"/>
        <v>1.105583195135434E-4</v>
      </c>
      <c r="K6927" s="5">
        <f t="shared" si="250"/>
        <v>0.76561636263137922</v>
      </c>
    </row>
    <row r="6928" spans="1:11" x14ac:dyDescent="0.25">
      <c r="A6928" t="s">
        <v>8576</v>
      </c>
      <c r="C6928" t="s">
        <v>8577</v>
      </c>
      <c r="D6928" t="s">
        <v>5</v>
      </c>
      <c r="E6928" t="s">
        <v>6</v>
      </c>
      <c r="F6928" t="s">
        <v>28</v>
      </c>
      <c r="G6928">
        <v>1</v>
      </c>
      <c r="H6928" s="2">
        <f>Tabelle13[[#This Row],[commits]]/Tabelle13[[#Totals],[commits]]</f>
        <v>4.6477904404246225E-6</v>
      </c>
      <c r="I6928" s="5">
        <f>Tabelle13[[#This Row],[%]]+I6927</f>
        <v>0.9901513320566635</v>
      </c>
      <c r="J6928" s="4">
        <f t="shared" si="249"/>
        <v>1.105583195135434E-4</v>
      </c>
      <c r="K6928" s="5">
        <f t="shared" si="250"/>
        <v>0.76572692095089279</v>
      </c>
    </row>
    <row r="6929" spans="1:11" x14ac:dyDescent="0.25">
      <c r="A6929" t="s">
        <v>8578</v>
      </c>
      <c r="C6929" t="s">
        <v>8579</v>
      </c>
      <c r="D6929" t="s">
        <v>5</v>
      </c>
      <c r="E6929" t="s">
        <v>6</v>
      </c>
      <c r="F6929" t="s">
        <v>28</v>
      </c>
      <c r="G6929">
        <v>1</v>
      </c>
      <c r="H6929" s="2">
        <f>Tabelle13[[#This Row],[commits]]/Tabelle13[[#Totals],[commits]]</f>
        <v>4.6477904404246225E-6</v>
      </c>
      <c r="I6929" s="5">
        <f>Tabelle13[[#This Row],[%]]+I6928</f>
        <v>0.99015597984710391</v>
      </c>
      <c r="J6929" s="4">
        <f t="shared" si="249"/>
        <v>1.105583195135434E-4</v>
      </c>
      <c r="K6929" s="5">
        <f t="shared" si="250"/>
        <v>0.76583747927040635</v>
      </c>
    </row>
    <row r="6930" spans="1:11" x14ac:dyDescent="0.25">
      <c r="A6930" t="s">
        <v>8580</v>
      </c>
      <c r="C6930" t="s">
        <v>8581</v>
      </c>
      <c r="D6930" t="s">
        <v>5</v>
      </c>
      <c r="E6930" t="s">
        <v>6</v>
      </c>
      <c r="F6930" t="s">
        <v>28</v>
      </c>
      <c r="G6930">
        <v>1</v>
      </c>
      <c r="H6930" s="2">
        <f>Tabelle13[[#This Row],[commits]]/Tabelle13[[#Totals],[commits]]</f>
        <v>4.6477904404246225E-6</v>
      </c>
      <c r="I6930" s="5">
        <f>Tabelle13[[#This Row],[%]]+I6929</f>
        <v>0.99016062763754431</v>
      </c>
      <c r="J6930" s="4">
        <f t="shared" si="249"/>
        <v>1.105583195135434E-4</v>
      </c>
      <c r="K6930" s="5">
        <f t="shared" si="250"/>
        <v>0.76594803758991992</v>
      </c>
    </row>
    <row r="6931" spans="1:11" x14ac:dyDescent="0.25">
      <c r="A6931" t="s">
        <v>8582</v>
      </c>
      <c r="C6931" t="s">
        <v>8583</v>
      </c>
      <c r="D6931" t="s">
        <v>5</v>
      </c>
      <c r="E6931" t="s">
        <v>6</v>
      </c>
      <c r="F6931" t="s">
        <v>334</v>
      </c>
      <c r="G6931">
        <v>1</v>
      </c>
      <c r="H6931" s="2">
        <f>Tabelle13[[#This Row],[commits]]/Tabelle13[[#Totals],[commits]]</f>
        <v>4.6477904404246225E-6</v>
      </c>
      <c r="I6931" s="5">
        <f>Tabelle13[[#This Row],[%]]+I6930</f>
        <v>0.99016527542798471</v>
      </c>
      <c r="J6931" s="4">
        <f t="shared" si="249"/>
        <v>1.105583195135434E-4</v>
      </c>
      <c r="K6931" s="5">
        <f t="shared" si="250"/>
        <v>0.76605859590943348</v>
      </c>
    </row>
    <row r="6932" spans="1:11" x14ac:dyDescent="0.25">
      <c r="A6932" t="s">
        <v>8584</v>
      </c>
      <c r="C6932" t="s">
        <v>8585</v>
      </c>
      <c r="D6932" t="s">
        <v>5</v>
      </c>
      <c r="E6932" t="s">
        <v>6</v>
      </c>
      <c r="F6932" t="s">
        <v>28</v>
      </c>
      <c r="G6932">
        <v>1</v>
      </c>
      <c r="H6932" s="2">
        <f>Tabelle13[[#This Row],[commits]]/Tabelle13[[#Totals],[commits]]</f>
        <v>4.6477904404246225E-6</v>
      </c>
      <c r="I6932" s="5">
        <f>Tabelle13[[#This Row],[%]]+I6931</f>
        <v>0.99016992321842512</v>
      </c>
      <c r="J6932" s="4">
        <f t="shared" si="249"/>
        <v>1.105583195135434E-4</v>
      </c>
      <c r="K6932" s="5">
        <f t="shared" si="250"/>
        <v>0.76616915422894705</v>
      </c>
    </row>
    <row r="6933" spans="1:11" x14ac:dyDescent="0.25">
      <c r="A6933" t="s">
        <v>8586</v>
      </c>
      <c r="C6933" t="s">
        <v>8587</v>
      </c>
      <c r="D6933" t="s">
        <v>5</v>
      </c>
      <c r="E6933" t="s">
        <v>6</v>
      </c>
      <c r="F6933" t="s">
        <v>28</v>
      </c>
      <c r="G6933">
        <v>1</v>
      </c>
      <c r="H6933" s="2">
        <f>Tabelle13[[#This Row],[commits]]/Tabelle13[[#Totals],[commits]]</f>
        <v>4.6477904404246225E-6</v>
      </c>
      <c r="I6933" s="5">
        <f>Tabelle13[[#This Row],[%]]+I6932</f>
        <v>0.99017457100886552</v>
      </c>
      <c r="J6933" s="4">
        <f t="shared" si="249"/>
        <v>1.105583195135434E-4</v>
      </c>
      <c r="K6933" s="5">
        <f t="shared" si="250"/>
        <v>0.76627971254846061</v>
      </c>
    </row>
    <row r="6934" spans="1:11" x14ac:dyDescent="0.25">
      <c r="A6934" t="s">
        <v>8588</v>
      </c>
      <c r="C6934" t="s">
        <v>8589</v>
      </c>
      <c r="D6934" t="s">
        <v>5</v>
      </c>
      <c r="E6934" t="s">
        <v>6</v>
      </c>
      <c r="F6934" t="s">
        <v>28</v>
      </c>
      <c r="G6934">
        <v>1</v>
      </c>
      <c r="H6934" s="2">
        <f>Tabelle13[[#This Row],[commits]]/Tabelle13[[#Totals],[commits]]</f>
        <v>4.6477904404246225E-6</v>
      </c>
      <c r="I6934" s="5">
        <f>Tabelle13[[#This Row],[%]]+I6933</f>
        <v>0.99017921879930593</v>
      </c>
      <c r="J6934" s="4">
        <f t="shared" si="249"/>
        <v>1.105583195135434E-4</v>
      </c>
      <c r="K6934" s="5">
        <f t="shared" si="250"/>
        <v>0.76639027086797418</v>
      </c>
    </row>
    <row r="6935" spans="1:11" x14ac:dyDescent="0.25">
      <c r="A6935" t="s">
        <v>8590</v>
      </c>
      <c r="C6935" t="s">
        <v>8591</v>
      </c>
      <c r="D6935" t="s">
        <v>5</v>
      </c>
      <c r="E6935" t="s">
        <v>6</v>
      </c>
      <c r="F6935" t="s">
        <v>28</v>
      </c>
      <c r="G6935">
        <v>1</v>
      </c>
      <c r="H6935" s="2">
        <f>Tabelle13[[#This Row],[commits]]/Tabelle13[[#Totals],[commits]]</f>
        <v>4.6477904404246225E-6</v>
      </c>
      <c r="I6935" s="5">
        <f>Tabelle13[[#This Row],[%]]+I6934</f>
        <v>0.99018386658974633</v>
      </c>
      <c r="J6935" s="4">
        <f t="shared" si="249"/>
        <v>1.105583195135434E-4</v>
      </c>
      <c r="K6935" s="5">
        <f t="shared" si="250"/>
        <v>0.76650082918748774</v>
      </c>
    </row>
    <row r="6936" spans="1:11" x14ac:dyDescent="0.25">
      <c r="A6936" t="s">
        <v>8592</v>
      </c>
      <c r="C6936" t="s">
        <v>8593</v>
      </c>
      <c r="D6936" t="s">
        <v>5</v>
      </c>
      <c r="E6936" t="s">
        <v>6</v>
      </c>
      <c r="F6936" t="s">
        <v>28</v>
      </c>
      <c r="G6936">
        <v>1</v>
      </c>
      <c r="H6936" s="2">
        <f>Tabelle13[[#This Row],[commits]]/Tabelle13[[#Totals],[commits]]</f>
        <v>4.6477904404246225E-6</v>
      </c>
      <c r="I6936" s="5">
        <f>Tabelle13[[#This Row],[%]]+I6935</f>
        <v>0.99018851438018674</v>
      </c>
      <c r="J6936" s="4">
        <f t="shared" si="249"/>
        <v>1.105583195135434E-4</v>
      </c>
      <c r="K6936" s="5">
        <f t="shared" si="250"/>
        <v>0.76661138750700131</v>
      </c>
    </row>
    <row r="6937" spans="1:11" x14ac:dyDescent="0.25">
      <c r="A6937" t="s">
        <v>8594</v>
      </c>
      <c r="C6937" t="s">
        <v>8595</v>
      </c>
      <c r="D6937" t="s">
        <v>5</v>
      </c>
      <c r="E6937" t="s">
        <v>6</v>
      </c>
      <c r="F6937" t="s">
        <v>28</v>
      </c>
      <c r="G6937">
        <v>1</v>
      </c>
      <c r="H6937" s="2">
        <f>Tabelle13[[#This Row],[commits]]/Tabelle13[[#Totals],[commits]]</f>
        <v>4.6477904404246225E-6</v>
      </c>
      <c r="I6937" s="5">
        <f>Tabelle13[[#This Row],[%]]+I6936</f>
        <v>0.99019316217062714</v>
      </c>
      <c r="J6937" s="4">
        <f t="shared" si="249"/>
        <v>1.105583195135434E-4</v>
      </c>
      <c r="K6937" s="5">
        <f t="shared" si="250"/>
        <v>0.76672194582651487</v>
      </c>
    </row>
    <row r="6938" spans="1:11" x14ac:dyDescent="0.25">
      <c r="A6938" t="s">
        <v>8596</v>
      </c>
      <c r="C6938" t="s">
        <v>8597</v>
      </c>
      <c r="D6938" t="s">
        <v>5</v>
      </c>
      <c r="E6938" t="s">
        <v>6</v>
      </c>
      <c r="F6938" t="s">
        <v>28</v>
      </c>
      <c r="G6938">
        <v>1</v>
      </c>
      <c r="H6938" s="2">
        <f>Tabelle13[[#This Row],[commits]]/Tabelle13[[#Totals],[commits]]</f>
        <v>4.6477904404246225E-6</v>
      </c>
      <c r="I6938" s="5">
        <f>Tabelle13[[#This Row],[%]]+I6937</f>
        <v>0.99019780996106754</v>
      </c>
      <c r="J6938" s="4">
        <f t="shared" si="249"/>
        <v>1.105583195135434E-4</v>
      </c>
      <c r="K6938" s="5">
        <f t="shared" si="250"/>
        <v>0.76683250414602844</v>
      </c>
    </row>
    <row r="6939" spans="1:11" x14ac:dyDescent="0.25">
      <c r="A6939" t="s">
        <v>8598</v>
      </c>
      <c r="C6939" t="s">
        <v>8599</v>
      </c>
      <c r="D6939" t="s">
        <v>5</v>
      </c>
      <c r="E6939" t="s">
        <v>6</v>
      </c>
      <c r="F6939" t="s">
        <v>28</v>
      </c>
      <c r="G6939">
        <v>1</v>
      </c>
      <c r="H6939" s="2">
        <f>Tabelle13[[#This Row],[commits]]/Tabelle13[[#Totals],[commits]]</f>
        <v>4.6477904404246225E-6</v>
      </c>
      <c r="I6939" s="5">
        <f>Tabelle13[[#This Row],[%]]+I6938</f>
        <v>0.99020245775150795</v>
      </c>
      <c r="J6939" s="4">
        <f t="shared" si="249"/>
        <v>1.105583195135434E-4</v>
      </c>
      <c r="K6939" s="5">
        <f t="shared" si="250"/>
        <v>0.766943062465542</v>
      </c>
    </row>
    <row r="6940" spans="1:11" x14ac:dyDescent="0.25">
      <c r="A6940" t="s">
        <v>8600</v>
      </c>
      <c r="C6940" t="s">
        <v>8601</v>
      </c>
      <c r="D6940" t="s">
        <v>5</v>
      </c>
      <c r="E6940" t="s">
        <v>6</v>
      </c>
      <c r="F6940" t="s">
        <v>28</v>
      </c>
      <c r="G6940">
        <v>1</v>
      </c>
      <c r="H6940" s="2">
        <f>Tabelle13[[#This Row],[commits]]/Tabelle13[[#Totals],[commits]]</f>
        <v>4.6477904404246225E-6</v>
      </c>
      <c r="I6940" s="5">
        <f>Tabelle13[[#This Row],[%]]+I6939</f>
        <v>0.99020710554194835</v>
      </c>
      <c r="J6940" s="4">
        <f t="shared" si="249"/>
        <v>1.105583195135434E-4</v>
      </c>
      <c r="K6940" s="5">
        <f t="shared" si="250"/>
        <v>0.76705362078505557</v>
      </c>
    </row>
    <row r="6941" spans="1:11" x14ac:dyDescent="0.25">
      <c r="A6941" t="s">
        <v>8602</v>
      </c>
      <c r="C6941" t="s">
        <v>8603</v>
      </c>
      <c r="D6941" t="s">
        <v>5</v>
      </c>
      <c r="E6941" t="s">
        <v>6</v>
      </c>
      <c r="F6941" t="s">
        <v>28</v>
      </c>
      <c r="G6941">
        <v>1</v>
      </c>
      <c r="H6941" s="2">
        <f>Tabelle13[[#This Row],[commits]]/Tabelle13[[#Totals],[commits]]</f>
        <v>4.6477904404246225E-6</v>
      </c>
      <c r="I6941" s="5">
        <f>Tabelle13[[#This Row],[%]]+I6940</f>
        <v>0.99021175333238876</v>
      </c>
      <c r="J6941" s="4">
        <f t="shared" si="249"/>
        <v>1.105583195135434E-4</v>
      </c>
      <c r="K6941" s="5">
        <f t="shared" si="250"/>
        <v>0.76716417910456913</v>
      </c>
    </row>
    <row r="6942" spans="1:11" x14ac:dyDescent="0.25">
      <c r="A6942" t="s">
        <v>8604</v>
      </c>
      <c r="C6942" t="s">
        <v>8605</v>
      </c>
      <c r="D6942" t="s">
        <v>5</v>
      </c>
      <c r="E6942" t="s">
        <v>6</v>
      </c>
      <c r="F6942" t="s">
        <v>28</v>
      </c>
      <c r="G6942">
        <v>1</v>
      </c>
      <c r="H6942" s="2">
        <f>Tabelle13[[#This Row],[commits]]/Tabelle13[[#Totals],[commits]]</f>
        <v>4.6477904404246225E-6</v>
      </c>
      <c r="I6942" s="5">
        <f>Tabelle13[[#This Row],[%]]+I6941</f>
        <v>0.99021640112282916</v>
      </c>
      <c r="J6942" s="4">
        <f t="shared" si="249"/>
        <v>1.105583195135434E-4</v>
      </c>
      <c r="K6942" s="5">
        <f t="shared" si="250"/>
        <v>0.7672747374240827</v>
      </c>
    </row>
    <row r="6943" spans="1:11" x14ac:dyDescent="0.25">
      <c r="A6943" t="s">
        <v>8606</v>
      </c>
      <c r="C6943" t="s">
        <v>8607</v>
      </c>
      <c r="D6943" t="s">
        <v>2659</v>
      </c>
      <c r="E6943" t="s">
        <v>6</v>
      </c>
      <c r="F6943" t="s">
        <v>28</v>
      </c>
      <c r="G6943">
        <v>1</v>
      </c>
      <c r="H6943" s="2">
        <f>Tabelle13[[#This Row],[commits]]/Tabelle13[[#Totals],[commits]]</f>
        <v>4.6477904404246225E-6</v>
      </c>
      <c r="I6943" s="5">
        <f>Tabelle13[[#This Row],[%]]+I6942</f>
        <v>0.99022104891326956</v>
      </c>
      <c r="J6943" s="4">
        <f t="shared" si="249"/>
        <v>1.105583195135434E-4</v>
      </c>
      <c r="K6943" s="5">
        <f t="shared" si="250"/>
        <v>0.76738529574359626</v>
      </c>
    </row>
    <row r="6944" spans="1:11" x14ac:dyDescent="0.25">
      <c r="A6944" t="s">
        <v>8608</v>
      </c>
      <c r="C6944" t="s">
        <v>8609</v>
      </c>
      <c r="D6944" t="s">
        <v>5</v>
      </c>
      <c r="E6944" t="s">
        <v>6</v>
      </c>
      <c r="F6944" t="s">
        <v>28</v>
      </c>
      <c r="G6944">
        <v>1</v>
      </c>
      <c r="H6944" s="2">
        <f>Tabelle13[[#This Row],[commits]]/Tabelle13[[#Totals],[commits]]</f>
        <v>4.6477904404246225E-6</v>
      </c>
      <c r="I6944" s="5">
        <f>Tabelle13[[#This Row],[%]]+I6943</f>
        <v>0.99022569670370997</v>
      </c>
      <c r="J6944" s="4">
        <f t="shared" si="249"/>
        <v>1.105583195135434E-4</v>
      </c>
      <c r="K6944" s="5">
        <f t="shared" si="250"/>
        <v>0.76749585406310983</v>
      </c>
    </row>
    <row r="6945" spans="1:11" x14ac:dyDescent="0.25">
      <c r="A6945" t="s">
        <v>8610</v>
      </c>
      <c r="C6945" t="s">
        <v>8611</v>
      </c>
      <c r="D6945" t="s">
        <v>5</v>
      </c>
      <c r="E6945" t="s">
        <v>6</v>
      </c>
      <c r="F6945" t="s">
        <v>28</v>
      </c>
      <c r="G6945">
        <v>1</v>
      </c>
      <c r="H6945" s="2">
        <f>Tabelle13[[#This Row],[commits]]/Tabelle13[[#Totals],[commits]]</f>
        <v>4.6477904404246225E-6</v>
      </c>
      <c r="I6945" s="5">
        <f>Tabelle13[[#This Row],[%]]+I6944</f>
        <v>0.99023034449415037</v>
      </c>
      <c r="J6945" s="4">
        <f t="shared" si="249"/>
        <v>1.105583195135434E-4</v>
      </c>
      <c r="K6945" s="5">
        <f t="shared" si="250"/>
        <v>0.76760641238262339</v>
      </c>
    </row>
    <row r="6946" spans="1:11" x14ac:dyDescent="0.25">
      <c r="A6946" t="s">
        <v>8612</v>
      </c>
      <c r="C6946" t="s">
        <v>8613</v>
      </c>
      <c r="D6946" t="s">
        <v>5</v>
      </c>
      <c r="E6946" t="s">
        <v>6</v>
      </c>
      <c r="F6946" t="s">
        <v>28</v>
      </c>
      <c r="G6946">
        <v>1</v>
      </c>
      <c r="H6946" s="2">
        <f>Tabelle13[[#This Row],[commits]]/Tabelle13[[#Totals],[commits]]</f>
        <v>4.6477904404246225E-6</v>
      </c>
      <c r="I6946" s="5">
        <f>Tabelle13[[#This Row],[%]]+I6945</f>
        <v>0.99023499228459078</v>
      </c>
      <c r="J6946" s="4">
        <f t="shared" si="249"/>
        <v>1.105583195135434E-4</v>
      </c>
      <c r="K6946" s="5">
        <f t="shared" si="250"/>
        <v>0.76771697070213696</v>
      </c>
    </row>
    <row r="6947" spans="1:11" x14ac:dyDescent="0.25">
      <c r="A6947" t="s">
        <v>8614</v>
      </c>
      <c r="C6947" t="s">
        <v>8615</v>
      </c>
      <c r="D6947" t="s">
        <v>5</v>
      </c>
      <c r="E6947" t="s">
        <v>6</v>
      </c>
      <c r="F6947" t="s">
        <v>28</v>
      </c>
      <c r="G6947">
        <v>1</v>
      </c>
      <c r="H6947" s="2">
        <f>Tabelle13[[#This Row],[commits]]/Tabelle13[[#Totals],[commits]]</f>
        <v>4.6477904404246225E-6</v>
      </c>
      <c r="I6947" s="5">
        <f>Tabelle13[[#This Row],[%]]+I6946</f>
        <v>0.99023964007503118</v>
      </c>
      <c r="J6947" s="4">
        <f t="shared" si="249"/>
        <v>1.105583195135434E-4</v>
      </c>
      <c r="K6947" s="5">
        <f t="shared" si="250"/>
        <v>0.76782752902165052</v>
      </c>
    </row>
    <row r="6948" spans="1:11" x14ac:dyDescent="0.25">
      <c r="A6948" t="s">
        <v>8616</v>
      </c>
      <c r="C6948" t="s">
        <v>8617</v>
      </c>
      <c r="D6948" t="s">
        <v>5</v>
      </c>
      <c r="E6948" t="s">
        <v>6</v>
      </c>
      <c r="F6948" t="s">
        <v>28</v>
      </c>
      <c r="G6948">
        <v>1</v>
      </c>
      <c r="H6948" s="2">
        <f>Tabelle13[[#This Row],[commits]]/Tabelle13[[#Totals],[commits]]</f>
        <v>4.6477904404246225E-6</v>
      </c>
      <c r="I6948" s="5">
        <f>Tabelle13[[#This Row],[%]]+I6947</f>
        <v>0.99024428786547158</v>
      </c>
      <c r="J6948" s="4">
        <f t="shared" si="249"/>
        <v>1.105583195135434E-4</v>
      </c>
      <c r="K6948" s="5">
        <f t="shared" si="250"/>
        <v>0.76793808734116409</v>
      </c>
    </row>
    <row r="6949" spans="1:11" x14ac:dyDescent="0.25">
      <c r="A6949" t="s">
        <v>8618</v>
      </c>
      <c r="C6949" t="s">
        <v>8619</v>
      </c>
      <c r="D6949" t="s">
        <v>5</v>
      </c>
      <c r="E6949" t="s">
        <v>6</v>
      </c>
      <c r="F6949" t="s">
        <v>28</v>
      </c>
      <c r="G6949">
        <v>1</v>
      </c>
      <c r="H6949" s="2">
        <f>Tabelle13[[#This Row],[commits]]/Tabelle13[[#Totals],[commits]]</f>
        <v>4.6477904404246225E-6</v>
      </c>
      <c r="I6949" s="5">
        <f>Tabelle13[[#This Row],[%]]+I6948</f>
        <v>0.99024893565591199</v>
      </c>
      <c r="J6949" s="4">
        <f t="shared" si="249"/>
        <v>1.105583195135434E-4</v>
      </c>
      <c r="K6949" s="5">
        <f t="shared" si="250"/>
        <v>0.76804864566067765</v>
      </c>
    </row>
    <row r="6950" spans="1:11" x14ac:dyDescent="0.25">
      <c r="A6950" t="s">
        <v>8620</v>
      </c>
      <c r="C6950" t="s">
        <v>8621</v>
      </c>
      <c r="D6950" t="s">
        <v>5</v>
      </c>
      <c r="E6950" t="s">
        <v>6</v>
      </c>
      <c r="F6950" t="s">
        <v>28</v>
      </c>
      <c r="G6950">
        <v>1</v>
      </c>
      <c r="H6950" s="2">
        <f>Tabelle13[[#This Row],[commits]]/Tabelle13[[#Totals],[commits]]</f>
        <v>4.6477904404246225E-6</v>
      </c>
      <c r="I6950" s="5">
        <f>Tabelle13[[#This Row],[%]]+I6949</f>
        <v>0.99025358344635239</v>
      </c>
      <c r="J6950" s="4">
        <f t="shared" si="249"/>
        <v>1.105583195135434E-4</v>
      </c>
      <c r="K6950" s="5">
        <f t="shared" si="250"/>
        <v>0.76815920398019122</v>
      </c>
    </row>
    <row r="6951" spans="1:11" x14ac:dyDescent="0.25">
      <c r="A6951" t="s">
        <v>8622</v>
      </c>
      <c r="C6951" t="s">
        <v>8623</v>
      </c>
      <c r="D6951" t="s">
        <v>5</v>
      </c>
      <c r="E6951" t="s">
        <v>6</v>
      </c>
      <c r="F6951" t="s">
        <v>28</v>
      </c>
      <c r="G6951">
        <v>1</v>
      </c>
      <c r="H6951" s="2">
        <f>Tabelle13[[#This Row],[commits]]/Tabelle13[[#Totals],[commits]]</f>
        <v>4.6477904404246225E-6</v>
      </c>
      <c r="I6951" s="5">
        <f>Tabelle13[[#This Row],[%]]+I6950</f>
        <v>0.9902582312367928</v>
      </c>
      <c r="J6951" s="4">
        <f t="shared" si="249"/>
        <v>1.105583195135434E-4</v>
      </c>
      <c r="K6951" s="5">
        <f t="shared" si="250"/>
        <v>0.76826976229970478</v>
      </c>
    </row>
    <row r="6952" spans="1:11" x14ac:dyDescent="0.25">
      <c r="A6952" t="s">
        <v>8624</v>
      </c>
      <c r="C6952" t="s">
        <v>8625</v>
      </c>
      <c r="D6952" t="s">
        <v>5</v>
      </c>
      <c r="E6952" t="s">
        <v>6</v>
      </c>
      <c r="F6952" t="s">
        <v>28</v>
      </c>
      <c r="G6952">
        <v>1</v>
      </c>
      <c r="H6952" s="2">
        <f>Tabelle13[[#This Row],[commits]]/Tabelle13[[#Totals],[commits]]</f>
        <v>4.6477904404246225E-6</v>
      </c>
      <c r="I6952" s="5">
        <f>Tabelle13[[#This Row],[%]]+I6951</f>
        <v>0.9902628790272332</v>
      </c>
      <c r="J6952" s="4">
        <f t="shared" si="249"/>
        <v>1.105583195135434E-4</v>
      </c>
      <c r="K6952" s="5">
        <f t="shared" si="250"/>
        <v>0.76838032061921835</v>
      </c>
    </row>
    <row r="6953" spans="1:11" x14ac:dyDescent="0.25">
      <c r="A6953" t="s">
        <v>8626</v>
      </c>
      <c r="C6953" t="s">
        <v>8627</v>
      </c>
      <c r="D6953" t="s">
        <v>5</v>
      </c>
      <c r="E6953" t="s">
        <v>6</v>
      </c>
      <c r="F6953" t="s">
        <v>28</v>
      </c>
      <c r="G6953">
        <v>1</v>
      </c>
      <c r="H6953" s="2">
        <f>Tabelle13[[#This Row],[commits]]/Tabelle13[[#Totals],[commits]]</f>
        <v>4.6477904404246225E-6</v>
      </c>
      <c r="I6953" s="5">
        <f>Tabelle13[[#This Row],[%]]+I6952</f>
        <v>0.9902675268176736</v>
      </c>
      <c r="J6953" s="4">
        <f t="shared" si="249"/>
        <v>1.105583195135434E-4</v>
      </c>
      <c r="K6953" s="5">
        <f t="shared" si="250"/>
        <v>0.76849087893873191</v>
      </c>
    </row>
    <row r="6954" spans="1:11" x14ac:dyDescent="0.25">
      <c r="A6954" t="s">
        <v>8628</v>
      </c>
      <c r="C6954" t="s">
        <v>8629</v>
      </c>
      <c r="D6954" t="s">
        <v>5</v>
      </c>
      <c r="E6954" t="s">
        <v>6</v>
      </c>
      <c r="F6954" t="s">
        <v>28</v>
      </c>
      <c r="G6954">
        <v>1</v>
      </c>
      <c r="H6954" s="2">
        <f>Tabelle13[[#This Row],[commits]]/Tabelle13[[#Totals],[commits]]</f>
        <v>4.6477904404246225E-6</v>
      </c>
      <c r="I6954" s="5">
        <f>Tabelle13[[#This Row],[%]]+I6953</f>
        <v>0.99027217460811401</v>
      </c>
      <c r="J6954" s="4">
        <f t="shared" si="249"/>
        <v>1.105583195135434E-4</v>
      </c>
      <c r="K6954" s="5">
        <f t="shared" si="250"/>
        <v>0.76860143725824548</v>
      </c>
    </row>
    <row r="6955" spans="1:11" x14ac:dyDescent="0.25">
      <c r="A6955" t="s">
        <v>8630</v>
      </c>
      <c r="C6955" t="s">
        <v>8631</v>
      </c>
      <c r="D6955" t="s">
        <v>5</v>
      </c>
      <c r="E6955" t="s">
        <v>6</v>
      </c>
      <c r="F6955" t="s">
        <v>28</v>
      </c>
      <c r="G6955">
        <v>1</v>
      </c>
      <c r="H6955" s="2">
        <f>Tabelle13[[#This Row],[commits]]/Tabelle13[[#Totals],[commits]]</f>
        <v>4.6477904404246225E-6</v>
      </c>
      <c r="I6955" s="5">
        <f>Tabelle13[[#This Row],[%]]+I6954</f>
        <v>0.99027682239855441</v>
      </c>
      <c r="J6955" s="4">
        <f t="shared" si="249"/>
        <v>1.105583195135434E-4</v>
      </c>
      <c r="K6955" s="5">
        <f t="shared" si="250"/>
        <v>0.76871199557775904</v>
      </c>
    </row>
    <row r="6956" spans="1:11" x14ac:dyDescent="0.25">
      <c r="A6956" t="s">
        <v>8632</v>
      </c>
      <c r="C6956" t="s">
        <v>8633</v>
      </c>
      <c r="D6956" t="s">
        <v>5</v>
      </c>
      <c r="E6956" t="s">
        <v>6</v>
      </c>
      <c r="F6956" t="s">
        <v>28</v>
      </c>
      <c r="G6956">
        <v>1</v>
      </c>
      <c r="H6956" s="2">
        <f>Tabelle13[[#This Row],[commits]]/Tabelle13[[#Totals],[commits]]</f>
        <v>4.6477904404246225E-6</v>
      </c>
      <c r="I6956" s="5">
        <f>Tabelle13[[#This Row],[%]]+I6955</f>
        <v>0.99028147018899482</v>
      </c>
      <c r="J6956" s="4">
        <f t="shared" si="249"/>
        <v>1.105583195135434E-4</v>
      </c>
      <c r="K6956" s="5">
        <f t="shared" si="250"/>
        <v>0.76882255389727261</v>
      </c>
    </row>
    <row r="6957" spans="1:11" x14ac:dyDescent="0.25">
      <c r="A6957" t="s">
        <v>8634</v>
      </c>
      <c r="C6957" t="s">
        <v>8635</v>
      </c>
      <c r="D6957" t="s">
        <v>5</v>
      </c>
      <c r="E6957" t="s">
        <v>6</v>
      </c>
      <c r="F6957" t="s">
        <v>28</v>
      </c>
      <c r="G6957">
        <v>1</v>
      </c>
      <c r="H6957" s="2">
        <f>Tabelle13[[#This Row],[commits]]/Tabelle13[[#Totals],[commits]]</f>
        <v>4.6477904404246225E-6</v>
      </c>
      <c r="I6957" s="5">
        <f>Tabelle13[[#This Row],[%]]+I6956</f>
        <v>0.99028611797943522</v>
      </c>
      <c r="J6957" s="4">
        <f t="shared" si="249"/>
        <v>1.105583195135434E-4</v>
      </c>
      <c r="K6957" s="5">
        <f t="shared" si="250"/>
        <v>0.76893311221678617</v>
      </c>
    </row>
    <row r="6958" spans="1:11" x14ac:dyDescent="0.25">
      <c r="A6958" t="s">
        <v>8636</v>
      </c>
      <c r="C6958" t="s">
        <v>8637</v>
      </c>
      <c r="D6958" t="s">
        <v>5</v>
      </c>
      <c r="E6958" t="s">
        <v>6</v>
      </c>
      <c r="F6958" t="s">
        <v>28</v>
      </c>
      <c r="G6958">
        <v>1</v>
      </c>
      <c r="H6958" s="2">
        <f>Tabelle13[[#This Row],[commits]]/Tabelle13[[#Totals],[commits]]</f>
        <v>4.6477904404246225E-6</v>
      </c>
      <c r="I6958" s="5">
        <f>Tabelle13[[#This Row],[%]]+I6957</f>
        <v>0.99029076576987562</v>
      </c>
      <c r="J6958" s="4">
        <f t="shared" si="249"/>
        <v>1.105583195135434E-4</v>
      </c>
      <c r="K6958" s="5">
        <f t="shared" si="250"/>
        <v>0.76904367053629974</v>
      </c>
    </row>
    <row r="6959" spans="1:11" x14ac:dyDescent="0.25">
      <c r="A6959" t="s">
        <v>8638</v>
      </c>
      <c r="C6959" t="s">
        <v>8639</v>
      </c>
      <c r="D6959" t="s">
        <v>5</v>
      </c>
      <c r="E6959" t="s">
        <v>6</v>
      </c>
      <c r="F6959" t="s">
        <v>28</v>
      </c>
      <c r="G6959">
        <v>1</v>
      </c>
      <c r="H6959" s="2">
        <f>Tabelle13[[#This Row],[commits]]/Tabelle13[[#Totals],[commits]]</f>
        <v>4.6477904404246225E-6</v>
      </c>
      <c r="I6959" s="5">
        <f>Tabelle13[[#This Row],[%]]+I6958</f>
        <v>0.99029541356031603</v>
      </c>
      <c r="J6959" s="4">
        <f t="shared" si="249"/>
        <v>1.105583195135434E-4</v>
      </c>
      <c r="K6959" s="5">
        <f t="shared" si="250"/>
        <v>0.7691542288558133</v>
      </c>
    </row>
    <row r="6960" spans="1:11" x14ac:dyDescent="0.25">
      <c r="A6960" t="s">
        <v>8640</v>
      </c>
      <c r="C6960" t="s">
        <v>8641</v>
      </c>
      <c r="D6960" t="s">
        <v>5</v>
      </c>
      <c r="E6960" t="s">
        <v>6</v>
      </c>
      <c r="F6960" t="s">
        <v>28</v>
      </c>
      <c r="G6960">
        <v>1</v>
      </c>
      <c r="H6960" s="2">
        <f>Tabelle13[[#This Row],[commits]]/Tabelle13[[#Totals],[commits]]</f>
        <v>4.6477904404246225E-6</v>
      </c>
      <c r="I6960" s="5">
        <f>Tabelle13[[#This Row],[%]]+I6959</f>
        <v>0.99030006135075643</v>
      </c>
      <c r="J6960" s="4">
        <f t="shared" si="249"/>
        <v>1.105583195135434E-4</v>
      </c>
      <c r="K6960" s="5">
        <f t="shared" si="250"/>
        <v>0.76926478717532687</v>
      </c>
    </row>
    <row r="6961" spans="1:11" x14ac:dyDescent="0.25">
      <c r="A6961" t="s">
        <v>8642</v>
      </c>
      <c r="C6961" t="s">
        <v>8643</v>
      </c>
      <c r="D6961" t="s">
        <v>5</v>
      </c>
      <c r="E6961" t="s">
        <v>6</v>
      </c>
      <c r="F6961" t="s">
        <v>28</v>
      </c>
      <c r="G6961">
        <v>1</v>
      </c>
      <c r="H6961" s="2">
        <f>Tabelle13[[#This Row],[commits]]/Tabelle13[[#Totals],[commits]]</f>
        <v>4.6477904404246225E-6</v>
      </c>
      <c r="I6961" s="5">
        <f>Tabelle13[[#This Row],[%]]+I6960</f>
        <v>0.99030470914119684</v>
      </c>
      <c r="J6961" s="4">
        <f t="shared" si="249"/>
        <v>1.105583195135434E-4</v>
      </c>
      <c r="K6961" s="5">
        <f t="shared" si="250"/>
        <v>0.76937534549484043</v>
      </c>
    </row>
    <row r="6962" spans="1:11" x14ac:dyDescent="0.25">
      <c r="A6962" t="s">
        <v>8644</v>
      </c>
      <c r="C6962" t="s">
        <v>8645</v>
      </c>
      <c r="D6962" t="s">
        <v>5</v>
      </c>
      <c r="E6962" t="s">
        <v>6</v>
      </c>
      <c r="F6962" t="s">
        <v>28</v>
      </c>
      <c r="G6962">
        <v>1</v>
      </c>
      <c r="H6962" s="2">
        <f>Tabelle13[[#This Row],[commits]]/Tabelle13[[#Totals],[commits]]</f>
        <v>4.6477904404246225E-6</v>
      </c>
      <c r="I6962" s="5">
        <f>Tabelle13[[#This Row],[%]]+I6961</f>
        <v>0.99030935693163724</v>
      </c>
      <c r="J6962" s="4">
        <f t="shared" si="249"/>
        <v>1.105583195135434E-4</v>
      </c>
      <c r="K6962" s="5">
        <f t="shared" si="250"/>
        <v>0.769485903814354</v>
      </c>
    </row>
    <row r="6963" spans="1:11" x14ac:dyDescent="0.25">
      <c r="A6963" t="s">
        <v>8646</v>
      </c>
      <c r="C6963" t="s">
        <v>8647</v>
      </c>
      <c r="D6963" t="s">
        <v>5</v>
      </c>
      <c r="E6963" t="s">
        <v>6</v>
      </c>
      <c r="F6963" t="s">
        <v>28</v>
      </c>
      <c r="G6963">
        <v>1</v>
      </c>
      <c r="H6963" s="2">
        <f>Tabelle13[[#This Row],[commits]]/Tabelle13[[#Totals],[commits]]</f>
        <v>4.6477904404246225E-6</v>
      </c>
      <c r="I6963" s="5">
        <f>Tabelle13[[#This Row],[%]]+I6962</f>
        <v>0.99031400472207765</v>
      </c>
      <c r="J6963" s="4">
        <f t="shared" si="249"/>
        <v>1.105583195135434E-4</v>
      </c>
      <c r="K6963" s="5">
        <f t="shared" si="250"/>
        <v>0.76959646213386756</v>
      </c>
    </row>
    <row r="6964" spans="1:11" x14ac:dyDescent="0.25">
      <c r="A6964" t="s">
        <v>8648</v>
      </c>
      <c r="C6964" t="s">
        <v>8649</v>
      </c>
      <c r="D6964" t="s">
        <v>5</v>
      </c>
      <c r="E6964" t="s">
        <v>6</v>
      </c>
      <c r="F6964" t="s">
        <v>28</v>
      </c>
      <c r="G6964">
        <v>1</v>
      </c>
      <c r="H6964" s="2">
        <f>Tabelle13[[#This Row],[commits]]/Tabelle13[[#Totals],[commits]]</f>
        <v>4.6477904404246225E-6</v>
      </c>
      <c r="I6964" s="5">
        <f>Tabelle13[[#This Row],[%]]+I6963</f>
        <v>0.99031865251251805</v>
      </c>
      <c r="J6964" s="4">
        <f t="shared" si="249"/>
        <v>1.105583195135434E-4</v>
      </c>
      <c r="K6964" s="5">
        <f t="shared" si="250"/>
        <v>0.76970702045338113</v>
      </c>
    </row>
    <row r="6965" spans="1:11" x14ac:dyDescent="0.25">
      <c r="A6965" t="s">
        <v>8650</v>
      </c>
      <c r="C6965" t="s">
        <v>8651</v>
      </c>
      <c r="D6965" t="s">
        <v>5</v>
      </c>
      <c r="E6965" t="s">
        <v>6</v>
      </c>
      <c r="F6965" t="s">
        <v>28</v>
      </c>
      <c r="G6965">
        <v>1</v>
      </c>
      <c r="H6965" s="2">
        <f>Tabelle13[[#This Row],[commits]]/Tabelle13[[#Totals],[commits]]</f>
        <v>4.6477904404246225E-6</v>
      </c>
      <c r="I6965" s="5">
        <f>Tabelle13[[#This Row],[%]]+I6964</f>
        <v>0.99032330030295845</v>
      </c>
      <c r="J6965" s="4">
        <f t="shared" si="249"/>
        <v>1.105583195135434E-4</v>
      </c>
      <c r="K6965" s="5">
        <f t="shared" si="250"/>
        <v>0.7698175787728947</v>
      </c>
    </row>
    <row r="6966" spans="1:11" x14ac:dyDescent="0.25">
      <c r="A6966" t="s">
        <v>8652</v>
      </c>
      <c r="C6966" t="s">
        <v>8653</v>
      </c>
      <c r="D6966" t="s">
        <v>5</v>
      </c>
      <c r="E6966" t="s">
        <v>6</v>
      </c>
      <c r="F6966" t="s">
        <v>28</v>
      </c>
      <c r="G6966">
        <v>1</v>
      </c>
      <c r="H6966" s="2">
        <f>Tabelle13[[#This Row],[commits]]/Tabelle13[[#Totals],[commits]]</f>
        <v>4.6477904404246225E-6</v>
      </c>
      <c r="I6966" s="5">
        <f>Tabelle13[[#This Row],[%]]+I6965</f>
        <v>0.99032794809339886</v>
      </c>
      <c r="J6966" s="4">
        <f t="shared" si="249"/>
        <v>1.105583195135434E-4</v>
      </c>
      <c r="K6966" s="5">
        <f t="shared" si="250"/>
        <v>0.76992813709240826</v>
      </c>
    </row>
    <row r="6967" spans="1:11" x14ac:dyDescent="0.25">
      <c r="A6967" t="s">
        <v>8654</v>
      </c>
      <c r="C6967" t="s">
        <v>8655</v>
      </c>
      <c r="D6967" t="s">
        <v>5</v>
      </c>
      <c r="E6967" t="s">
        <v>6</v>
      </c>
      <c r="F6967" t="s">
        <v>28</v>
      </c>
      <c r="G6967">
        <v>1</v>
      </c>
      <c r="H6967" s="2">
        <f>Tabelle13[[#This Row],[commits]]/Tabelle13[[#Totals],[commits]]</f>
        <v>4.6477904404246225E-6</v>
      </c>
      <c r="I6967" s="5">
        <f>Tabelle13[[#This Row],[%]]+I6966</f>
        <v>0.99033259588383926</v>
      </c>
      <c r="J6967" s="4">
        <f t="shared" si="249"/>
        <v>1.105583195135434E-4</v>
      </c>
      <c r="K6967" s="5">
        <f t="shared" si="250"/>
        <v>0.77003869541192183</v>
      </c>
    </row>
    <row r="6968" spans="1:11" x14ac:dyDescent="0.25">
      <c r="A6968" t="s">
        <v>8656</v>
      </c>
      <c r="C6968" t="s">
        <v>8657</v>
      </c>
      <c r="D6968" t="s">
        <v>5</v>
      </c>
      <c r="E6968" t="s">
        <v>6</v>
      </c>
      <c r="F6968" t="s">
        <v>28</v>
      </c>
      <c r="G6968">
        <v>1</v>
      </c>
      <c r="H6968" s="2">
        <f>Tabelle13[[#This Row],[commits]]/Tabelle13[[#Totals],[commits]]</f>
        <v>4.6477904404246225E-6</v>
      </c>
      <c r="I6968" s="5">
        <f>Tabelle13[[#This Row],[%]]+I6967</f>
        <v>0.99033724367427967</v>
      </c>
      <c r="J6968" s="4">
        <f t="shared" si="249"/>
        <v>1.105583195135434E-4</v>
      </c>
      <c r="K6968" s="5">
        <f t="shared" si="250"/>
        <v>0.77014925373143539</v>
      </c>
    </row>
    <row r="6969" spans="1:11" x14ac:dyDescent="0.25">
      <c r="A6969" t="s">
        <v>8658</v>
      </c>
      <c r="C6969" t="s">
        <v>8659</v>
      </c>
      <c r="D6969" t="s">
        <v>5</v>
      </c>
      <c r="E6969" t="s">
        <v>6</v>
      </c>
      <c r="F6969" t="s">
        <v>28</v>
      </c>
      <c r="G6969">
        <v>1</v>
      </c>
      <c r="H6969" s="2">
        <f>Tabelle13[[#This Row],[commits]]/Tabelle13[[#Totals],[commits]]</f>
        <v>4.6477904404246225E-6</v>
      </c>
      <c r="I6969" s="5">
        <f>Tabelle13[[#This Row],[%]]+I6968</f>
        <v>0.99034189146472007</v>
      </c>
      <c r="J6969" s="4">
        <f t="shared" si="249"/>
        <v>1.105583195135434E-4</v>
      </c>
      <c r="K6969" s="5">
        <f t="shared" si="250"/>
        <v>0.77025981205094896</v>
      </c>
    </row>
    <row r="6970" spans="1:11" x14ac:dyDescent="0.25">
      <c r="A6970" t="s">
        <v>8660</v>
      </c>
      <c r="C6970" t="s">
        <v>8661</v>
      </c>
      <c r="D6970" t="s">
        <v>2659</v>
      </c>
      <c r="E6970" t="s">
        <v>6</v>
      </c>
      <c r="F6970" t="s">
        <v>28</v>
      </c>
      <c r="G6970">
        <v>1</v>
      </c>
      <c r="H6970" s="2">
        <f>Tabelle13[[#This Row],[commits]]/Tabelle13[[#Totals],[commits]]</f>
        <v>4.6477904404246225E-6</v>
      </c>
      <c r="I6970" s="5">
        <f>Tabelle13[[#This Row],[%]]+I6969</f>
        <v>0.99034653925516047</v>
      </c>
      <c r="J6970" s="4">
        <f t="shared" si="249"/>
        <v>1.105583195135434E-4</v>
      </c>
      <c r="K6970" s="5">
        <f t="shared" si="250"/>
        <v>0.77037037037046252</v>
      </c>
    </row>
    <row r="6971" spans="1:11" x14ac:dyDescent="0.25">
      <c r="A6971" t="s">
        <v>8662</v>
      </c>
      <c r="C6971" t="s">
        <v>8663</v>
      </c>
      <c r="D6971" t="s">
        <v>5</v>
      </c>
      <c r="E6971" t="s">
        <v>6</v>
      </c>
      <c r="F6971" t="s">
        <v>28</v>
      </c>
      <c r="G6971">
        <v>1</v>
      </c>
      <c r="H6971" s="2">
        <f>Tabelle13[[#This Row],[commits]]/Tabelle13[[#Totals],[commits]]</f>
        <v>4.6477904404246225E-6</v>
      </c>
      <c r="I6971" s="5">
        <f>Tabelle13[[#This Row],[%]]+I6970</f>
        <v>0.99035118704560088</v>
      </c>
      <c r="J6971" s="4">
        <f t="shared" si="249"/>
        <v>1.105583195135434E-4</v>
      </c>
      <c r="K6971" s="5">
        <f t="shared" si="250"/>
        <v>0.77048092868997609</v>
      </c>
    </row>
    <row r="6972" spans="1:11" x14ac:dyDescent="0.25">
      <c r="A6972" t="s">
        <v>8664</v>
      </c>
      <c r="C6972" t="s">
        <v>8665</v>
      </c>
      <c r="D6972" t="s">
        <v>5</v>
      </c>
      <c r="E6972" t="s">
        <v>6</v>
      </c>
      <c r="F6972" t="s">
        <v>28</v>
      </c>
      <c r="G6972">
        <v>1</v>
      </c>
      <c r="H6972" s="2">
        <f>Tabelle13[[#This Row],[commits]]/Tabelle13[[#Totals],[commits]]</f>
        <v>4.6477904404246225E-6</v>
      </c>
      <c r="I6972" s="5">
        <f>Tabelle13[[#This Row],[%]]+I6971</f>
        <v>0.99035583483604128</v>
      </c>
      <c r="J6972" s="4">
        <f t="shared" si="249"/>
        <v>1.105583195135434E-4</v>
      </c>
      <c r="K6972" s="5">
        <f t="shared" si="250"/>
        <v>0.77059148700948965</v>
      </c>
    </row>
    <row r="6973" spans="1:11" x14ac:dyDescent="0.25">
      <c r="A6973" t="s">
        <v>8666</v>
      </c>
      <c r="C6973" t="s">
        <v>8667</v>
      </c>
      <c r="D6973" t="s">
        <v>5</v>
      </c>
      <c r="E6973" t="s">
        <v>6</v>
      </c>
      <c r="F6973" t="s">
        <v>28</v>
      </c>
      <c r="G6973">
        <v>1</v>
      </c>
      <c r="H6973" s="2">
        <f>Tabelle13[[#This Row],[commits]]/Tabelle13[[#Totals],[commits]]</f>
        <v>4.6477904404246225E-6</v>
      </c>
      <c r="I6973" s="5">
        <f>Tabelle13[[#This Row],[%]]+I6972</f>
        <v>0.99036048262648169</v>
      </c>
      <c r="J6973" s="4">
        <f t="shared" si="249"/>
        <v>1.105583195135434E-4</v>
      </c>
      <c r="K6973" s="5">
        <f t="shared" si="250"/>
        <v>0.77070204532900322</v>
      </c>
    </row>
    <row r="6974" spans="1:11" x14ac:dyDescent="0.25">
      <c r="A6974" t="s">
        <v>13522</v>
      </c>
      <c r="C6974" t="s">
        <v>13523</v>
      </c>
      <c r="D6974" t="s">
        <v>309</v>
      </c>
      <c r="E6974" t="s">
        <v>6</v>
      </c>
      <c r="F6974" t="s">
        <v>251</v>
      </c>
      <c r="G6974">
        <v>1</v>
      </c>
      <c r="H6974" s="2">
        <f>Tabelle13[[#This Row],[commits]]/Tabelle13[[#Totals],[commits]]</f>
        <v>4.6477904404246225E-6</v>
      </c>
      <c r="I6974" s="5">
        <f>Tabelle13[[#This Row],[%]]+I6973</f>
        <v>0.99036513041692209</v>
      </c>
      <c r="J6974" s="4">
        <f t="shared" si="249"/>
        <v>1.105583195135434E-4</v>
      </c>
      <c r="K6974" s="5">
        <f t="shared" si="250"/>
        <v>0.77081260364851678</v>
      </c>
    </row>
    <row r="6975" spans="1:11" x14ac:dyDescent="0.25">
      <c r="A6975" t="s">
        <v>13524</v>
      </c>
      <c r="C6975" t="s">
        <v>13525</v>
      </c>
      <c r="D6975" t="s">
        <v>8757</v>
      </c>
      <c r="E6975" t="s">
        <v>6</v>
      </c>
      <c r="F6975" t="s">
        <v>251</v>
      </c>
      <c r="G6975">
        <v>1</v>
      </c>
      <c r="H6975" s="2">
        <f>Tabelle13[[#This Row],[commits]]/Tabelle13[[#Totals],[commits]]</f>
        <v>4.6477904404246225E-6</v>
      </c>
      <c r="I6975" s="5">
        <f>Tabelle13[[#This Row],[%]]+I6974</f>
        <v>0.99036977820736249</v>
      </c>
      <c r="J6975" s="4">
        <f t="shared" si="249"/>
        <v>1.105583195135434E-4</v>
      </c>
      <c r="K6975" s="5">
        <f t="shared" si="250"/>
        <v>0.77092316196803035</v>
      </c>
    </row>
    <row r="6976" spans="1:11" x14ac:dyDescent="0.25">
      <c r="A6976" t="s">
        <v>13526</v>
      </c>
      <c r="C6976" t="s">
        <v>13527</v>
      </c>
      <c r="D6976" t="s">
        <v>309</v>
      </c>
      <c r="E6976" t="s">
        <v>6</v>
      </c>
      <c r="F6976" t="s">
        <v>251</v>
      </c>
      <c r="G6976">
        <v>1</v>
      </c>
      <c r="H6976" s="2">
        <f>Tabelle13[[#This Row],[commits]]/Tabelle13[[#Totals],[commits]]</f>
        <v>4.6477904404246225E-6</v>
      </c>
      <c r="I6976" s="5">
        <f>Tabelle13[[#This Row],[%]]+I6975</f>
        <v>0.9903744259978029</v>
      </c>
      <c r="J6976" s="4">
        <f t="shared" si="249"/>
        <v>1.105583195135434E-4</v>
      </c>
      <c r="K6976" s="5">
        <f t="shared" si="250"/>
        <v>0.77103372028754391</v>
      </c>
    </row>
    <row r="6977" spans="1:11" x14ac:dyDescent="0.25">
      <c r="A6977" t="s">
        <v>13528</v>
      </c>
      <c r="C6977" t="s">
        <v>13529</v>
      </c>
      <c r="D6977" t="s">
        <v>5</v>
      </c>
      <c r="E6977" t="s">
        <v>6</v>
      </c>
      <c r="F6977" t="s">
        <v>251</v>
      </c>
      <c r="G6977">
        <v>1</v>
      </c>
      <c r="H6977" s="2">
        <f>Tabelle13[[#This Row],[commits]]/Tabelle13[[#Totals],[commits]]</f>
        <v>4.6477904404246225E-6</v>
      </c>
      <c r="I6977" s="5">
        <f>Tabelle13[[#This Row],[%]]+I6976</f>
        <v>0.9903790737882433</v>
      </c>
      <c r="J6977" s="4">
        <f t="shared" si="249"/>
        <v>1.105583195135434E-4</v>
      </c>
      <c r="K6977" s="5">
        <f t="shared" si="250"/>
        <v>0.77114427860705748</v>
      </c>
    </row>
    <row r="6978" spans="1:11" x14ac:dyDescent="0.25">
      <c r="A6978" t="s">
        <v>13530</v>
      </c>
      <c r="C6978" t="s">
        <v>13531</v>
      </c>
      <c r="D6978" t="s">
        <v>8757</v>
      </c>
      <c r="E6978" t="s">
        <v>6</v>
      </c>
      <c r="F6978" t="s">
        <v>251</v>
      </c>
      <c r="G6978">
        <v>1</v>
      </c>
      <c r="H6978" s="2">
        <f>Tabelle13[[#This Row],[commits]]/Tabelle13[[#Totals],[commits]]</f>
        <v>4.6477904404246225E-6</v>
      </c>
      <c r="I6978" s="5">
        <f>Tabelle13[[#This Row],[%]]+I6977</f>
        <v>0.99038372157868371</v>
      </c>
      <c r="J6978" s="4">
        <f t="shared" si="249"/>
        <v>1.105583195135434E-4</v>
      </c>
      <c r="K6978" s="5">
        <f t="shared" si="250"/>
        <v>0.77125483692657104</v>
      </c>
    </row>
    <row r="6979" spans="1:11" x14ac:dyDescent="0.25">
      <c r="A6979" t="s">
        <v>13532</v>
      </c>
      <c r="C6979" t="s">
        <v>13533</v>
      </c>
      <c r="D6979" t="s">
        <v>8757</v>
      </c>
      <c r="E6979" t="s">
        <v>6</v>
      </c>
      <c r="F6979" t="s">
        <v>251</v>
      </c>
      <c r="G6979">
        <v>1</v>
      </c>
      <c r="H6979" s="2">
        <f>Tabelle13[[#This Row],[commits]]/Tabelle13[[#Totals],[commits]]</f>
        <v>4.6477904404246225E-6</v>
      </c>
      <c r="I6979" s="5">
        <f>Tabelle13[[#This Row],[%]]+I6978</f>
        <v>0.99038836936912411</v>
      </c>
      <c r="J6979" s="4">
        <f t="shared" ref="J6979:J7042" si="251">1/9045</f>
        <v>1.105583195135434E-4</v>
      </c>
      <c r="K6979" s="5">
        <f t="shared" si="250"/>
        <v>0.77136539524608461</v>
      </c>
    </row>
    <row r="6980" spans="1:11" x14ac:dyDescent="0.25">
      <c r="A6980" t="s">
        <v>13534</v>
      </c>
      <c r="C6980" t="s">
        <v>26</v>
      </c>
      <c r="D6980" t="s">
        <v>5</v>
      </c>
      <c r="E6980" t="s">
        <v>6</v>
      </c>
      <c r="F6980" t="s">
        <v>251</v>
      </c>
      <c r="G6980">
        <v>1</v>
      </c>
      <c r="H6980" s="2">
        <f>Tabelle13[[#This Row],[commits]]/Tabelle13[[#Totals],[commits]]</f>
        <v>4.6477904404246225E-6</v>
      </c>
      <c r="I6980" s="5">
        <f>Tabelle13[[#This Row],[%]]+I6979</f>
        <v>0.99039301715956451</v>
      </c>
      <c r="J6980" s="4">
        <f t="shared" si="251"/>
        <v>1.105583195135434E-4</v>
      </c>
      <c r="K6980" s="5">
        <f t="shared" si="250"/>
        <v>0.77147595356559817</v>
      </c>
    </row>
    <row r="6981" spans="1:11" x14ac:dyDescent="0.25">
      <c r="A6981" t="s">
        <v>13535</v>
      </c>
      <c r="C6981" t="s">
        <v>13536</v>
      </c>
      <c r="D6981" t="s">
        <v>12384</v>
      </c>
      <c r="E6981" t="s">
        <v>6</v>
      </c>
      <c r="F6981" t="s">
        <v>251</v>
      </c>
      <c r="G6981">
        <v>1</v>
      </c>
      <c r="H6981" s="2">
        <f>Tabelle13[[#This Row],[commits]]/Tabelle13[[#Totals],[commits]]</f>
        <v>4.6477904404246225E-6</v>
      </c>
      <c r="I6981" s="5">
        <f>Tabelle13[[#This Row],[%]]+I6980</f>
        <v>0.99039766495000492</v>
      </c>
      <c r="J6981" s="4">
        <f t="shared" si="251"/>
        <v>1.105583195135434E-4</v>
      </c>
      <c r="K6981" s="5">
        <f t="shared" si="250"/>
        <v>0.77158651188511174</v>
      </c>
    </row>
    <row r="6982" spans="1:11" x14ac:dyDescent="0.25">
      <c r="A6982" t="s">
        <v>13537</v>
      </c>
      <c r="C6982" t="s">
        <v>13538</v>
      </c>
      <c r="D6982" t="s">
        <v>309</v>
      </c>
      <c r="E6982" t="s">
        <v>6</v>
      </c>
      <c r="F6982" t="s">
        <v>251</v>
      </c>
      <c r="G6982">
        <v>1</v>
      </c>
      <c r="H6982" s="2">
        <f>Tabelle13[[#This Row],[commits]]/Tabelle13[[#Totals],[commits]]</f>
        <v>4.6477904404246225E-6</v>
      </c>
      <c r="I6982" s="5">
        <f>Tabelle13[[#This Row],[%]]+I6981</f>
        <v>0.99040231274044532</v>
      </c>
      <c r="J6982" s="4">
        <f t="shared" si="251"/>
        <v>1.105583195135434E-4</v>
      </c>
      <c r="K6982" s="5">
        <f t="shared" ref="K6982:K7045" si="252">J6982+K6981</f>
        <v>0.7716970702046253</v>
      </c>
    </row>
    <row r="6983" spans="1:11" x14ac:dyDescent="0.25">
      <c r="A6983" t="s">
        <v>13539</v>
      </c>
      <c r="C6983" t="s">
        <v>13540</v>
      </c>
      <c r="D6983" t="s">
        <v>8760</v>
      </c>
      <c r="E6983" t="s">
        <v>6</v>
      </c>
      <c r="F6983" t="s">
        <v>251</v>
      </c>
      <c r="G6983">
        <v>1</v>
      </c>
      <c r="H6983" s="2">
        <f>Tabelle13[[#This Row],[commits]]/Tabelle13[[#Totals],[commits]]</f>
        <v>4.6477904404246225E-6</v>
      </c>
      <c r="I6983" s="5">
        <f>Tabelle13[[#This Row],[%]]+I6982</f>
        <v>0.99040696053088573</v>
      </c>
      <c r="J6983" s="4">
        <f t="shared" si="251"/>
        <v>1.105583195135434E-4</v>
      </c>
      <c r="K6983" s="5">
        <f t="shared" si="252"/>
        <v>0.77180762852413887</v>
      </c>
    </row>
    <row r="6984" spans="1:11" x14ac:dyDescent="0.25">
      <c r="A6984" t="s">
        <v>13541</v>
      </c>
      <c r="C6984" t="s">
        <v>13542</v>
      </c>
      <c r="D6984" t="s">
        <v>309</v>
      </c>
      <c r="E6984" t="s">
        <v>6</v>
      </c>
      <c r="F6984" t="s">
        <v>251</v>
      </c>
      <c r="G6984">
        <v>1</v>
      </c>
      <c r="H6984" s="2">
        <f>Tabelle13[[#This Row],[commits]]/Tabelle13[[#Totals],[commits]]</f>
        <v>4.6477904404246225E-6</v>
      </c>
      <c r="I6984" s="5">
        <f>Tabelle13[[#This Row],[%]]+I6983</f>
        <v>0.99041160832132613</v>
      </c>
      <c r="J6984" s="4">
        <f t="shared" si="251"/>
        <v>1.105583195135434E-4</v>
      </c>
      <c r="K6984" s="5">
        <f t="shared" si="252"/>
        <v>0.77191818684365243</v>
      </c>
    </row>
    <row r="6985" spans="1:11" x14ac:dyDescent="0.25">
      <c r="A6985" t="s">
        <v>13543</v>
      </c>
      <c r="C6985" t="s">
        <v>13544</v>
      </c>
      <c r="D6985" t="s">
        <v>309</v>
      </c>
      <c r="E6985" t="s">
        <v>6</v>
      </c>
      <c r="F6985" t="s">
        <v>251</v>
      </c>
      <c r="G6985">
        <v>1</v>
      </c>
      <c r="H6985" s="2">
        <f>Tabelle13[[#This Row],[commits]]/Tabelle13[[#Totals],[commits]]</f>
        <v>4.6477904404246225E-6</v>
      </c>
      <c r="I6985" s="5">
        <f>Tabelle13[[#This Row],[%]]+I6984</f>
        <v>0.99041625611176654</v>
      </c>
      <c r="J6985" s="4">
        <f t="shared" si="251"/>
        <v>1.105583195135434E-4</v>
      </c>
      <c r="K6985" s="5">
        <f t="shared" si="252"/>
        <v>0.772028745163166</v>
      </c>
    </row>
    <row r="6986" spans="1:11" x14ac:dyDescent="0.25">
      <c r="A6986" t="s">
        <v>13545</v>
      </c>
      <c r="C6986" t="s">
        <v>13546</v>
      </c>
      <c r="D6986" t="s">
        <v>5</v>
      </c>
      <c r="E6986" t="s">
        <v>6</v>
      </c>
      <c r="F6986" t="s">
        <v>251</v>
      </c>
      <c r="G6986">
        <v>1</v>
      </c>
      <c r="H6986" s="2">
        <f>Tabelle13[[#This Row],[commits]]/Tabelle13[[#Totals],[commits]]</f>
        <v>4.6477904404246225E-6</v>
      </c>
      <c r="I6986" s="5">
        <f>Tabelle13[[#This Row],[%]]+I6985</f>
        <v>0.99042090390220694</v>
      </c>
      <c r="J6986" s="4">
        <f t="shared" si="251"/>
        <v>1.105583195135434E-4</v>
      </c>
      <c r="K6986" s="5">
        <f t="shared" si="252"/>
        <v>0.77213930348267956</v>
      </c>
    </row>
    <row r="6987" spans="1:11" x14ac:dyDescent="0.25">
      <c r="A6987" t="s">
        <v>13547</v>
      </c>
      <c r="C6987" t="s">
        <v>13548</v>
      </c>
      <c r="D6987" t="s">
        <v>309</v>
      </c>
      <c r="E6987" t="s">
        <v>6</v>
      </c>
      <c r="F6987" t="s">
        <v>251</v>
      </c>
      <c r="G6987">
        <v>1</v>
      </c>
      <c r="H6987" s="2">
        <f>Tabelle13[[#This Row],[commits]]/Tabelle13[[#Totals],[commits]]</f>
        <v>4.6477904404246225E-6</v>
      </c>
      <c r="I6987" s="5">
        <f>Tabelle13[[#This Row],[%]]+I6986</f>
        <v>0.99042555169264734</v>
      </c>
      <c r="J6987" s="4">
        <f t="shared" si="251"/>
        <v>1.105583195135434E-4</v>
      </c>
      <c r="K6987" s="5">
        <f t="shared" si="252"/>
        <v>0.77224986180219313</v>
      </c>
    </row>
    <row r="6988" spans="1:11" x14ac:dyDescent="0.25">
      <c r="A6988" t="s">
        <v>13549</v>
      </c>
      <c r="C6988" t="s">
        <v>13550</v>
      </c>
      <c r="D6988" t="s">
        <v>13551</v>
      </c>
      <c r="E6988" t="s">
        <v>6</v>
      </c>
      <c r="F6988" t="s">
        <v>251</v>
      </c>
      <c r="G6988">
        <v>1</v>
      </c>
      <c r="H6988" s="2">
        <f>Tabelle13[[#This Row],[commits]]/Tabelle13[[#Totals],[commits]]</f>
        <v>4.6477904404246225E-6</v>
      </c>
      <c r="I6988" s="5">
        <f>Tabelle13[[#This Row],[%]]+I6987</f>
        <v>0.99043019948308775</v>
      </c>
      <c r="J6988" s="4">
        <f t="shared" si="251"/>
        <v>1.105583195135434E-4</v>
      </c>
      <c r="K6988" s="5">
        <f t="shared" si="252"/>
        <v>0.77236042012170669</v>
      </c>
    </row>
    <row r="6989" spans="1:11" x14ac:dyDescent="0.25">
      <c r="A6989" t="s">
        <v>13552</v>
      </c>
      <c r="C6989" t="s">
        <v>13553</v>
      </c>
      <c r="D6989" t="s">
        <v>309</v>
      </c>
      <c r="E6989" t="s">
        <v>6</v>
      </c>
      <c r="F6989" t="s">
        <v>251</v>
      </c>
      <c r="G6989">
        <v>1</v>
      </c>
      <c r="H6989" s="2">
        <f>Tabelle13[[#This Row],[commits]]/Tabelle13[[#Totals],[commits]]</f>
        <v>4.6477904404246225E-6</v>
      </c>
      <c r="I6989" s="5">
        <f>Tabelle13[[#This Row],[%]]+I6988</f>
        <v>0.99043484727352815</v>
      </c>
      <c r="J6989" s="4">
        <f t="shared" si="251"/>
        <v>1.105583195135434E-4</v>
      </c>
      <c r="K6989" s="5">
        <f t="shared" si="252"/>
        <v>0.77247097844122026</v>
      </c>
    </row>
    <row r="6990" spans="1:11" x14ac:dyDescent="0.25">
      <c r="A6990" t="s">
        <v>13554</v>
      </c>
      <c r="C6990" t="s">
        <v>13555</v>
      </c>
      <c r="D6990" t="s">
        <v>13556</v>
      </c>
      <c r="E6990" t="s">
        <v>6</v>
      </c>
      <c r="F6990" t="s">
        <v>251</v>
      </c>
      <c r="G6990">
        <v>1</v>
      </c>
      <c r="H6990" s="2">
        <f>Tabelle13[[#This Row],[commits]]/Tabelle13[[#Totals],[commits]]</f>
        <v>4.6477904404246225E-6</v>
      </c>
      <c r="I6990" s="5">
        <f>Tabelle13[[#This Row],[%]]+I6989</f>
        <v>0.99043949506396856</v>
      </c>
      <c r="J6990" s="4">
        <f t="shared" si="251"/>
        <v>1.105583195135434E-4</v>
      </c>
      <c r="K6990" s="5">
        <f t="shared" si="252"/>
        <v>0.77258153676073382</v>
      </c>
    </row>
    <row r="6991" spans="1:11" x14ac:dyDescent="0.25">
      <c r="A6991" t="s">
        <v>13557</v>
      </c>
      <c r="C6991" t="s">
        <v>13558</v>
      </c>
      <c r="D6991" t="s">
        <v>309</v>
      </c>
      <c r="E6991" t="s">
        <v>6</v>
      </c>
      <c r="F6991" t="s">
        <v>251</v>
      </c>
      <c r="G6991">
        <v>1</v>
      </c>
      <c r="H6991" s="2">
        <f>Tabelle13[[#This Row],[commits]]/Tabelle13[[#Totals],[commits]]</f>
        <v>4.6477904404246225E-6</v>
      </c>
      <c r="I6991" s="5">
        <f>Tabelle13[[#This Row],[%]]+I6990</f>
        <v>0.99044414285440896</v>
      </c>
      <c r="J6991" s="4">
        <f t="shared" si="251"/>
        <v>1.105583195135434E-4</v>
      </c>
      <c r="K6991" s="5">
        <f t="shared" si="252"/>
        <v>0.77269209508024739</v>
      </c>
    </row>
    <row r="6992" spans="1:11" x14ac:dyDescent="0.25">
      <c r="A6992" t="s">
        <v>13559</v>
      </c>
      <c r="C6992" t="s">
        <v>13560</v>
      </c>
      <c r="D6992" t="s">
        <v>309</v>
      </c>
      <c r="E6992" t="s">
        <v>6</v>
      </c>
      <c r="F6992" t="s">
        <v>251</v>
      </c>
      <c r="G6992">
        <v>1</v>
      </c>
      <c r="H6992" s="2">
        <f>Tabelle13[[#This Row],[commits]]/Tabelle13[[#Totals],[commits]]</f>
        <v>4.6477904404246225E-6</v>
      </c>
      <c r="I6992" s="5">
        <f>Tabelle13[[#This Row],[%]]+I6991</f>
        <v>0.99044879064484936</v>
      </c>
      <c r="J6992" s="4">
        <f t="shared" si="251"/>
        <v>1.105583195135434E-4</v>
      </c>
      <c r="K6992" s="5">
        <f t="shared" si="252"/>
        <v>0.77280265339976095</v>
      </c>
    </row>
    <row r="6993" spans="1:11" x14ac:dyDescent="0.25">
      <c r="A6993" t="s">
        <v>13561</v>
      </c>
      <c r="C6993" t="s">
        <v>13562</v>
      </c>
      <c r="D6993" t="s">
        <v>5</v>
      </c>
      <c r="E6993" t="s">
        <v>6</v>
      </c>
      <c r="F6993" t="s">
        <v>251</v>
      </c>
      <c r="G6993">
        <v>1</v>
      </c>
      <c r="H6993" s="2">
        <f>Tabelle13[[#This Row],[commits]]/Tabelle13[[#Totals],[commits]]</f>
        <v>4.6477904404246225E-6</v>
      </c>
      <c r="I6993" s="5">
        <f>Tabelle13[[#This Row],[%]]+I6992</f>
        <v>0.99045343843528977</v>
      </c>
      <c r="J6993" s="4">
        <f t="shared" si="251"/>
        <v>1.105583195135434E-4</v>
      </c>
      <c r="K6993" s="5">
        <f t="shared" si="252"/>
        <v>0.77291321171927452</v>
      </c>
    </row>
    <row r="6994" spans="1:11" x14ac:dyDescent="0.25">
      <c r="A6994" t="s">
        <v>13563</v>
      </c>
      <c r="C6994" t="s">
        <v>13564</v>
      </c>
      <c r="D6994" t="s">
        <v>309</v>
      </c>
      <c r="E6994" t="s">
        <v>6</v>
      </c>
      <c r="F6994" t="s">
        <v>251</v>
      </c>
      <c r="G6994">
        <v>1</v>
      </c>
      <c r="H6994" s="2">
        <f>Tabelle13[[#This Row],[commits]]/Tabelle13[[#Totals],[commits]]</f>
        <v>4.6477904404246225E-6</v>
      </c>
      <c r="I6994" s="5">
        <f>Tabelle13[[#This Row],[%]]+I6993</f>
        <v>0.99045808622573017</v>
      </c>
      <c r="J6994" s="4">
        <f t="shared" si="251"/>
        <v>1.105583195135434E-4</v>
      </c>
      <c r="K6994" s="5">
        <f t="shared" si="252"/>
        <v>0.77302377003878808</v>
      </c>
    </row>
    <row r="6995" spans="1:11" x14ac:dyDescent="0.25">
      <c r="A6995" t="s">
        <v>13565</v>
      </c>
      <c r="C6995" t="s">
        <v>13566</v>
      </c>
      <c r="D6995" t="s">
        <v>9035</v>
      </c>
      <c r="E6995" t="s">
        <v>6</v>
      </c>
      <c r="F6995" t="s">
        <v>251</v>
      </c>
      <c r="G6995">
        <v>1</v>
      </c>
      <c r="H6995" s="2">
        <f>Tabelle13[[#This Row],[commits]]/Tabelle13[[#Totals],[commits]]</f>
        <v>4.6477904404246225E-6</v>
      </c>
      <c r="I6995" s="5">
        <f>Tabelle13[[#This Row],[%]]+I6994</f>
        <v>0.99046273401617058</v>
      </c>
      <c r="J6995" s="4">
        <f t="shared" si="251"/>
        <v>1.105583195135434E-4</v>
      </c>
      <c r="K6995" s="5">
        <f t="shared" si="252"/>
        <v>0.77313432835830165</v>
      </c>
    </row>
    <row r="6996" spans="1:11" x14ac:dyDescent="0.25">
      <c r="A6996" t="s">
        <v>13567</v>
      </c>
      <c r="C6996" t="s">
        <v>13568</v>
      </c>
      <c r="D6996" t="s">
        <v>8948</v>
      </c>
      <c r="E6996" t="s">
        <v>6</v>
      </c>
      <c r="F6996" t="s">
        <v>251</v>
      </c>
      <c r="G6996">
        <v>1</v>
      </c>
      <c r="H6996" s="2">
        <f>Tabelle13[[#This Row],[commits]]/Tabelle13[[#Totals],[commits]]</f>
        <v>4.6477904404246225E-6</v>
      </c>
      <c r="I6996" s="5">
        <f>Tabelle13[[#This Row],[%]]+I6995</f>
        <v>0.99046738180661098</v>
      </c>
      <c r="J6996" s="4">
        <f t="shared" si="251"/>
        <v>1.105583195135434E-4</v>
      </c>
      <c r="K6996" s="5">
        <f t="shared" si="252"/>
        <v>0.77324488667781521</v>
      </c>
    </row>
    <row r="6997" spans="1:11" x14ac:dyDescent="0.25">
      <c r="A6997" t="s">
        <v>13569</v>
      </c>
      <c r="C6997" t="s">
        <v>13570</v>
      </c>
      <c r="D6997" t="s">
        <v>9035</v>
      </c>
      <c r="E6997" t="s">
        <v>6</v>
      </c>
      <c r="F6997" t="s">
        <v>251</v>
      </c>
      <c r="G6997">
        <v>1</v>
      </c>
      <c r="H6997" s="2">
        <f>Tabelle13[[#This Row],[commits]]/Tabelle13[[#Totals],[commits]]</f>
        <v>4.6477904404246225E-6</v>
      </c>
      <c r="I6997" s="5">
        <f>Tabelle13[[#This Row],[%]]+I6996</f>
        <v>0.99047202959705138</v>
      </c>
      <c r="J6997" s="4">
        <f t="shared" si="251"/>
        <v>1.105583195135434E-4</v>
      </c>
      <c r="K6997" s="5">
        <f t="shared" si="252"/>
        <v>0.77335544499732878</v>
      </c>
    </row>
    <row r="6998" spans="1:11" x14ac:dyDescent="0.25">
      <c r="A6998" t="s">
        <v>13571</v>
      </c>
      <c r="C6998" t="s">
        <v>13572</v>
      </c>
      <c r="D6998" t="s">
        <v>5</v>
      </c>
      <c r="E6998" t="s">
        <v>6</v>
      </c>
      <c r="F6998" t="s">
        <v>251</v>
      </c>
      <c r="G6998">
        <v>1</v>
      </c>
      <c r="H6998" s="2">
        <f>Tabelle13[[#This Row],[commits]]/Tabelle13[[#Totals],[commits]]</f>
        <v>4.6477904404246225E-6</v>
      </c>
      <c r="I6998" s="5">
        <f>Tabelle13[[#This Row],[%]]+I6997</f>
        <v>0.99047667738749179</v>
      </c>
      <c r="J6998" s="4">
        <f t="shared" si="251"/>
        <v>1.105583195135434E-4</v>
      </c>
      <c r="K6998" s="5">
        <f t="shared" si="252"/>
        <v>0.77346600331684234</v>
      </c>
    </row>
    <row r="6999" spans="1:11" x14ac:dyDescent="0.25">
      <c r="A6999" t="s">
        <v>13573</v>
      </c>
      <c r="C6999" t="s">
        <v>13574</v>
      </c>
      <c r="D6999" t="s">
        <v>5</v>
      </c>
      <c r="E6999" t="s">
        <v>6</v>
      </c>
      <c r="F6999" t="s">
        <v>251</v>
      </c>
      <c r="G6999">
        <v>1</v>
      </c>
      <c r="H6999" s="2">
        <f>Tabelle13[[#This Row],[commits]]/Tabelle13[[#Totals],[commits]]</f>
        <v>4.6477904404246225E-6</v>
      </c>
      <c r="I6999" s="5">
        <f>Tabelle13[[#This Row],[%]]+I6998</f>
        <v>0.99048132517793219</v>
      </c>
      <c r="J6999" s="4">
        <f t="shared" si="251"/>
        <v>1.105583195135434E-4</v>
      </c>
      <c r="K6999" s="5">
        <f t="shared" si="252"/>
        <v>0.77357656163635591</v>
      </c>
    </row>
    <row r="7000" spans="1:11" x14ac:dyDescent="0.25">
      <c r="A7000" t="s">
        <v>13575</v>
      </c>
      <c r="C7000" t="s">
        <v>13576</v>
      </c>
      <c r="D7000" t="s">
        <v>5</v>
      </c>
      <c r="E7000" t="s">
        <v>6</v>
      </c>
      <c r="F7000" t="s">
        <v>251</v>
      </c>
      <c r="G7000">
        <v>1</v>
      </c>
      <c r="H7000" s="2">
        <f>Tabelle13[[#This Row],[commits]]/Tabelle13[[#Totals],[commits]]</f>
        <v>4.6477904404246225E-6</v>
      </c>
      <c r="I7000" s="5">
        <f>Tabelle13[[#This Row],[%]]+I6999</f>
        <v>0.9904859729683726</v>
      </c>
      <c r="J7000" s="4">
        <f t="shared" si="251"/>
        <v>1.105583195135434E-4</v>
      </c>
      <c r="K7000" s="5">
        <f t="shared" si="252"/>
        <v>0.77368711995586947</v>
      </c>
    </row>
    <row r="7001" spans="1:11" x14ac:dyDescent="0.25">
      <c r="A7001" t="s">
        <v>13577</v>
      </c>
      <c r="C7001" t="s">
        <v>13578</v>
      </c>
      <c r="D7001" t="s">
        <v>309</v>
      </c>
      <c r="E7001" t="s">
        <v>6</v>
      </c>
      <c r="F7001" t="s">
        <v>251</v>
      </c>
      <c r="G7001">
        <v>1</v>
      </c>
      <c r="H7001" s="2">
        <f>Tabelle13[[#This Row],[commits]]/Tabelle13[[#Totals],[commits]]</f>
        <v>4.6477904404246225E-6</v>
      </c>
      <c r="I7001" s="5">
        <f>Tabelle13[[#This Row],[%]]+I7000</f>
        <v>0.990490620758813</v>
      </c>
      <c r="J7001" s="4">
        <f t="shared" si="251"/>
        <v>1.105583195135434E-4</v>
      </c>
      <c r="K7001" s="5">
        <f t="shared" si="252"/>
        <v>0.77379767827538304</v>
      </c>
    </row>
    <row r="7002" spans="1:11" x14ac:dyDescent="0.25">
      <c r="A7002" t="s">
        <v>13579</v>
      </c>
      <c r="C7002" t="s">
        <v>13580</v>
      </c>
      <c r="D7002" t="s">
        <v>5</v>
      </c>
      <c r="E7002" t="s">
        <v>6</v>
      </c>
      <c r="F7002" t="s">
        <v>251</v>
      </c>
      <c r="G7002">
        <v>1</v>
      </c>
      <c r="H7002" s="2">
        <f>Tabelle13[[#This Row],[commits]]/Tabelle13[[#Totals],[commits]]</f>
        <v>4.6477904404246225E-6</v>
      </c>
      <c r="I7002" s="5">
        <f>Tabelle13[[#This Row],[%]]+I7001</f>
        <v>0.9904952685492534</v>
      </c>
      <c r="J7002" s="4">
        <f t="shared" si="251"/>
        <v>1.105583195135434E-4</v>
      </c>
      <c r="K7002" s="5">
        <f t="shared" si="252"/>
        <v>0.7739082365948966</v>
      </c>
    </row>
    <row r="7003" spans="1:11" x14ac:dyDescent="0.25">
      <c r="A7003" t="s">
        <v>13581</v>
      </c>
      <c r="C7003" t="s">
        <v>13582</v>
      </c>
      <c r="D7003" t="s">
        <v>5</v>
      </c>
      <c r="E7003" t="s">
        <v>6</v>
      </c>
      <c r="F7003" t="s">
        <v>251</v>
      </c>
      <c r="G7003">
        <v>1</v>
      </c>
      <c r="H7003" s="2">
        <f>Tabelle13[[#This Row],[commits]]/Tabelle13[[#Totals],[commits]]</f>
        <v>4.6477904404246225E-6</v>
      </c>
      <c r="I7003" s="5">
        <f>Tabelle13[[#This Row],[%]]+I7002</f>
        <v>0.99049991633969381</v>
      </c>
      <c r="J7003" s="4">
        <f t="shared" si="251"/>
        <v>1.105583195135434E-4</v>
      </c>
      <c r="K7003" s="5">
        <f t="shared" si="252"/>
        <v>0.77401879491441017</v>
      </c>
    </row>
    <row r="7004" spans="1:11" x14ac:dyDescent="0.25">
      <c r="A7004" t="s">
        <v>13583</v>
      </c>
      <c r="C7004" t="s">
        <v>13584</v>
      </c>
      <c r="D7004" t="s">
        <v>5</v>
      </c>
      <c r="E7004" t="s">
        <v>6</v>
      </c>
      <c r="F7004" t="s">
        <v>251</v>
      </c>
      <c r="G7004">
        <v>1</v>
      </c>
      <c r="H7004" s="2">
        <f>Tabelle13[[#This Row],[commits]]/Tabelle13[[#Totals],[commits]]</f>
        <v>4.6477904404246225E-6</v>
      </c>
      <c r="I7004" s="5">
        <f>Tabelle13[[#This Row],[%]]+I7003</f>
        <v>0.99050456413013421</v>
      </c>
      <c r="J7004" s="4">
        <f t="shared" si="251"/>
        <v>1.105583195135434E-4</v>
      </c>
      <c r="K7004" s="5">
        <f t="shared" si="252"/>
        <v>0.77412935323392373</v>
      </c>
    </row>
    <row r="7005" spans="1:11" x14ac:dyDescent="0.25">
      <c r="A7005" t="s">
        <v>13585</v>
      </c>
      <c r="C7005" t="s">
        <v>13586</v>
      </c>
      <c r="D7005" t="s">
        <v>5</v>
      </c>
      <c r="E7005" t="s">
        <v>6</v>
      </c>
      <c r="F7005" t="s">
        <v>251</v>
      </c>
      <c r="G7005">
        <v>1</v>
      </c>
      <c r="H7005" s="2">
        <f>Tabelle13[[#This Row],[commits]]/Tabelle13[[#Totals],[commits]]</f>
        <v>4.6477904404246225E-6</v>
      </c>
      <c r="I7005" s="5">
        <f>Tabelle13[[#This Row],[%]]+I7004</f>
        <v>0.99050921192057462</v>
      </c>
      <c r="J7005" s="4">
        <f t="shared" si="251"/>
        <v>1.105583195135434E-4</v>
      </c>
      <c r="K7005" s="5">
        <f t="shared" si="252"/>
        <v>0.7742399115534373</v>
      </c>
    </row>
    <row r="7006" spans="1:11" x14ac:dyDescent="0.25">
      <c r="A7006" t="s">
        <v>13587</v>
      </c>
      <c r="C7006" t="s">
        <v>13588</v>
      </c>
      <c r="D7006" t="s">
        <v>5</v>
      </c>
      <c r="E7006" t="s">
        <v>6</v>
      </c>
      <c r="F7006" t="s">
        <v>251</v>
      </c>
      <c r="G7006">
        <v>1</v>
      </c>
      <c r="H7006" s="2">
        <f>Tabelle13[[#This Row],[commits]]/Tabelle13[[#Totals],[commits]]</f>
        <v>4.6477904404246225E-6</v>
      </c>
      <c r="I7006" s="5">
        <f>Tabelle13[[#This Row],[%]]+I7005</f>
        <v>0.99051385971101502</v>
      </c>
      <c r="J7006" s="4">
        <f t="shared" si="251"/>
        <v>1.105583195135434E-4</v>
      </c>
      <c r="K7006" s="5">
        <f t="shared" si="252"/>
        <v>0.77435046987295086</v>
      </c>
    </row>
    <row r="7007" spans="1:11" x14ac:dyDescent="0.25">
      <c r="A7007" t="s">
        <v>13589</v>
      </c>
      <c r="C7007" t="s">
        <v>13590</v>
      </c>
      <c r="D7007" t="s">
        <v>5</v>
      </c>
      <c r="E7007" t="s">
        <v>6</v>
      </c>
      <c r="F7007" t="s">
        <v>251</v>
      </c>
      <c r="G7007">
        <v>1</v>
      </c>
      <c r="H7007" s="2">
        <f>Tabelle13[[#This Row],[commits]]/Tabelle13[[#Totals],[commits]]</f>
        <v>4.6477904404246225E-6</v>
      </c>
      <c r="I7007" s="5">
        <f>Tabelle13[[#This Row],[%]]+I7006</f>
        <v>0.99051850750145543</v>
      </c>
      <c r="J7007" s="4">
        <f t="shared" si="251"/>
        <v>1.105583195135434E-4</v>
      </c>
      <c r="K7007" s="5">
        <f t="shared" si="252"/>
        <v>0.77446102819246443</v>
      </c>
    </row>
    <row r="7008" spans="1:11" x14ac:dyDescent="0.25">
      <c r="A7008" t="s">
        <v>13591</v>
      </c>
      <c r="C7008" t="s">
        <v>13592</v>
      </c>
      <c r="D7008" t="s">
        <v>8757</v>
      </c>
      <c r="E7008" t="s">
        <v>6</v>
      </c>
      <c r="F7008" t="s">
        <v>251</v>
      </c>
      <c r="G7008">
        <v>1</v>
      </c>
      <c r="H7008" s="2">
        <f>Tabelle13[[#This Row],[commits]]/Tabelle13[[#Totals],[commits]]</f>
        <v>4.6477904404246225E-6</v>
      </c>
      <c r="I7008" s="5">
        <f>Tabelle13[[#This Row],[%]]+I7007</f>
        <v>0.99052315529189583</v>
      </c>
      <c r="J7008" s="4">
        <f t="shared" si="251"/>
        <v>1.105583195135434E-4</v>
      </c>
      <c r="K7008" s="5">
        <f t="shared" si="252"/>
        <v>0.77457158651197799</v>
      </c>
    </row>
    <row r="7009" spans="1:11" x14ac:dyDescent="0.25">
      <c r="A7009" t="s">
        <v>13593</v>
      </c>
      <c r="C7009" t="s">
        <v>13594</v>
      </c>
      <c r="D7009" t="s">
        <v>8874</v>
      </c>
      <c r="E7009" t="s">
        <v>6</v>
      </c>
      <c r="F7009" t="s">
        <v>251</v>
      </c>
      <c r="G7009">
        <v>1</v>
      </c>
      <c r="H7009" s="2">
        <f>Tabelle13[[#This Row],[commits]]/Tabelle13[[#Totals],[commits]]</f>
        <v>4.6477904404246225E-6</v>
      </c>
      <c r="I7009" s="5">
        <f>Tabelle13[[#This Row],[%]]+I7008</f>
        <v>0.99052780308233623</v>
      </c>
      <c r="J7009" s="4">
        <f t="shared" si="251"/>
        <v>1.105583195135434E-4</v>
      </c>
      <c r="K7009" s="5">
        <f t="shared" si="252"/>
        <v>0.77468214483149156</v>
      </c>
    </row>
    <row r="7010" spans="1:11" x14ac:dyDescent="0.25">
      <c r="A7010" t="s">
        <v>13595</v>
      </c>
      <c r="C7010" t="s">
        <v>13596</v>
      </c>
      <c r="D7010" t="s">
        <v>309</v>
      </c>
      <c r="E7010" t="s">
        <v>6</v>
      </c>
      <c r="F7010" t="s">
        <v>251</v>
      </c>
      <c r="G7010">
        <v>1</v>
      </c>
      <c r="H7010" s="2">
        <f>Tabelle13[[#This Row],[commits]]/Tabelle13[[#Totals],[commits]]</f>
        <v>4.6477904404246225E-6</v>
      </c>
      <c r="I7010" s="5">
        <f>Tabelle13[[#This Row],[%]]+I7009</f>
        <v>0.99053245087277664</v>
      </c>
      <c r="J7010" s="4">
        <f t="shared" si="251"/>
        <v>1.105583195135434E-4</v>
      </c>
      <c r="K7010" s="5">
        <f t="shared" si="252"/>
        <v>0.77479270315100512</v>
      </c>
    </row>
    <row r="7011" spans="1:11" x14ac:dyDescent="0.25">
      <c r="A7011" t="s">
        <v>13597</v>
      </c>
      <c r="C7011" t="s">
        <v>13598</v>
      </c>
      <c r="D7011" t="s">
        <v>5</v>
      </c>
      <c r="E7011" t="s">
        <v>6</v>
      </c>
      <c r="F7011" t="s">
        <v>251</v>
      </c>
      <c r="G7011">
        <v>1</v>
      </c>
      <c r="H7011" s="2">
        <f>Tabelle13[[#This Row],[commits]]/Tabelle13[[#Totals],[commits]]</f>
        <v>4.6477904404246225E-6</v>
      </c>
      <c r="I7011" s="5">
        <f>Tabelle13[[#This Row],[%]]+I7010</f>
        <v>0.99053709866321704</v>
      </c>
      <c r="J7011" s="4">
        <f t="shared" si="251"/>
        <v>1.105583195135434E-4</v>
      </c>
      <c r="K7011" s="5">
        <f t="shared" si="252"/>
        <v>0.77490326147051869</v>
      </c>
    </row>
    <row r="7012" spans="1:11" x14ac:dyDescent="0.25">
      <c r="A7012" t="s">
        <v>13599</v>
      </c>
      <c r="C7012" t="s">
        <v>13600</v>
      </c>
      <c r="D7012" t="s">
        <v>9636</v>
      </c>
      <c r="E7012" t="s">
        <v>6</v>
      </c>
      <c r="F7012" t="s">
        <v>251</v>
      </c>
      <c r="G7012">
        <v>1</v>
      </c>
      <c r="H7012" s="2">
        <f>Tabelle13[[#This Row],[commits]]/Tabelle13[[#Totals],[commits]]</f>
        <v>4.6477904404246225E-6</v>
      </c>
      <c r="I7012" s="5">
        <f>Tabelle13[[#This Row],[%]]+I7011</f>
        <v>0.99054174645365745</v>
      </c>
      <c r="J7012" s="4">
        <f t="shared" si="251"/>
        <v>1.105583195135434E-4</v>
      </c>
      <c r="K7012" s="5">
        <f t="shared" si="252"/>
        <v>0.77501381979003225</v>
      </c>
    </row>
    <row r="7013" spans="1:11" x14ac:dyDescent="0.25">
      <c r="A7013" t="s">
        <v>13601</v>
      </c>
      <c r="C7013" t="s">
        <v>13602</v>
      </c>
      <c r="D7013" t="s">
        <v>5</v>
      </c>
      <c r="E7013" t="s">
        <v>6</v>
      </c>
      <c r="F7013" t="s">
        <v>251</v>
      </c>
      <c r="G7013">
        <v>1</v>
      </c>
      <c r="H7013" s="2">
        <f>Tabelle13[[#This Row],[commits]]/Tabelle13[[#Totals],[commits]]</f>
        <v>4.6477904404246225E-6</v>
      </c>
      <c r="I7013" s="5">
        <f>Tabelle13[[#This Row],[%]]+I7012</f>
        <v>0.99054639424409785</v>
      </c>
      <c r="J7013" s="4">
        <f t="shared" si="251"/>
        <v>1.105583195135434E-4</v>
      </c>
      <c r="K7013" s="5">
        <f t="shared" si="252"/>
        <v>0.77512437810954582</v>
      </c>
    </row>
    <row r="7014" spans="1:11" x14ac:dyDescent="0.25">
      <c r="A7014" t="s">
        <v>13603</v>
      </c>
      <c r="C7014" t="s">
        <v>13604</v>
      </c>
      <c r="D7014" t="s">
        <v>5</v>
      </c>
      <c r="E7014" t="s">
        <v>6</v>
      </c>
      <c r="F7014" t="s">
        <v>251</v>
      </c>
      <c r="G7014">
        <v>1</v>
      </c>
      <c r="H7014" s="2">
        <f>Tabelle13[[#This Row],[commits]]/Tabelle13[[#Totals],[commits]]</f>
        <v>4.6477904404246225E-6</v>
      </c>
      <c r="I7014" s="5">
        <f>Tabelle13[[#This Row],[%]]+I7013</f>
        <v>0.99055104203453825</v>
      </c>
      <c r="J7014" s="4">
        <f t="shared" si="251"/>
        <v>1.105583195135434E-4</v>
      </c>
      <c r="K7014" s="5">
        <f t="shared" si="252"/>
        <v>0.77523493642905938</v>
      </c>
    </row>
    <row r="7015" spans="1:11" x14ac:dyDescent="0.25">
      <c r="A7015" t="s">
        <v>13605</v>
      </c>
      <c r="C7015" t="s">
        <v>13606</v>
      </c>
      <c r="D7015" t="s">
        <v>5</v>
      </c>
      <c r="E7015" t="s">
        <v>6</v>
      </c>
      <c r="F7015" t="s">
        <v>251</v>
      </c>
      <c r="G7015">
        <v>1</v>
      </c>
      <c r="H7015" s="2">
        <f>Tabelle13[[#This Row],[commits]]/Tabelle13[[#Totals],[commits]]</f>
        <v>4.6477904404246225E-6</v>
      </c>
      <c r="I7015" s="5">
        <f>Tabelle13[[#This Row],[%]]+I7014</f>
        <v>0.99055568982497866</v>
      </c>
      <c r="J7015" s="4">
        <f t="shared" si="251"/>
        <v>1.105583195135434E-4</v>
      </c>
      <c r="K7015" s="5">
        <f t="shared" si="252"/>
        <v>0.77534549474857295</v>
      </c>
    </row>
    <row r="7016" spans="1:11" x14ac:dyDescent="0.25">
      <c r="A7016" t="s">
        <v>13607</v>
      </c>
      <c r="C7016" t="s">
        <v>13608</v>
      </c>
      <c r="D7016" t="s">
        <v>5</v>
      </c>
      <c r="E7016" t="s">
        <v>6</v>
      </c>
      <c r="F7016" t="s">
        <v>251</v>
      </c>
      <c r="G7016">
        <v>1</v>
      </c>
      <c r="H7016" s="2">
        <f>Tabelle13[[#This Row],[commits]]/Tabelle13[[#Totals],[commits]]</f>
        <v>4.6477904404246225E-6</v>
      </c>
      <c r="I7016" s="5">
        <f>Tabelle13[[#This Row],[%]]+I7015</f>
        <v>0.99056033761541906</v>
      </c>
      <c r="J7016" s="4">
        <f t="shared" si="251"/>
        <v>1.105583195135434E-4</v>
      </c>
      <c r="K7016" s="5">
        <f t="shared" si="252"/>
        <v>0.77545605306808651</v>
      </c>
    </row>
    <row r="7017" spans="1:11" x14ac:dyDescent="0.25">
      <c r="A7017" t="s">
        <v>13609</v>
      </c>
      <c r="C7017" t="s">
        <v>13610</v>
      </c>
      <c r="D7017" t="s">
        <v>13611</v>
      </c>
      <c r="E7017" t="s">
        <v>6</v>
      </c>
      <c r="F7017" t="s">
        <v>251</v>
      </c>
      <c r="G7017">
        <v>1</v>
      </c>
      <c r="H7017" s="2">
        <f>Tabelle13[[#This Row],[commits]]/Tabelle13[[#Totals],[commits]]</f>
        <v>4.6477904404246225E-6</v>
      </c>
      <c r="I7017" s="5">
        <f>Tabelle13[[#This Row],[%]]+I7016</f>
        <v>0.99056498540585947</v>
      </c>
      <c r="J7017" s="4">
        <f t="shared" si="251"/>
        <v>1.105583195135434E-4</v>
      </c>
      <c r="K7017" s="5">
        <f t="shared" si="252"/>
        <v>0.77556661138760008</v>
      </c>
    </row>
    <row r="7018" spans="1:11" x14ac:dyDescent="0.25">
      <c r="A7018" t="s">
        <v>13612</v>
      </c>
      <c r="C7018" t="s">
        <v>13613</v>
      </c>
      <c r="D7018" t="s">
        <v>5</v>
      </c>
      <c r="E7018" t="s">
        <v>6</v>
      </c>
      <c r="F7018" t="s">
        <v>251</v>
      </c>
      <c r="G7018">
        <v>1</v>
      </c>
      <c r="H7018" s="2">
        <f>Tabelle13[[#This Row],[commits]]/Tabelle13[[#Totals],[commits]]</f>
        <v>4.6477904404246225E-6</v>
      </c>
      <c r="I7018" s="5">
        <f>Tabelle13[[#This Row],[%]]+I7017</f>
        <v>0.99056963319629987</v>
      </c>
      <c r="J7018" s="4">
        <f t="shared" si="251"/>
        <v>1.105583195135434E-4</v>
      </c>
      <c r="K7018" s="5">
        <f t="shared" si="252"/>
        <v>0.77567716970711365</v>
      </c>
    </row>
    <row r="7019" spans="1:11" x14ac:dyDescent="0.25">
      <c r="A7019" t="s">
        <v>13614</v>
      </c>
      <c r="C7019" t="s">
        <v>13615</v>
      </c>
      <c r="D7019" t="s">
        <v>5</v>
      </c>
      <c r="E7019" t="s">
        <v>6</v>
      </c>
      <c r="F7019" t="s">
        <v>251</v>
      </c>
      <c r="G7019">
        <v>1</v>
      </c>
      <c r="H7019" s="2">
        <f>Tabelle13[[#This Row],[commits]]/Tabelle13[[#Totals],[commits]]</f>
        <v>4.6477904404246225E-6</v>
      </c>
      <c r="I7019" s="5">
        <f>Tabelle13[[#This Row],[%]]+I7018</f>
        <v>0.99057428098674027</v>
      </c>
      <c r="J7019" s="4">
        <f t="shared" si="251"/>
        <v>1.105583195135434E-4</v>
      </c>
      <c r="K7019" s="5">
        <f t="shared" si="252"/>
        <v>0.77578772802662721</v>
      </c>
    </row>
    <row r="7020" spans="1:11" x14ac:dyDescent="0.25">
      <c r="A7020" t="s">
        <v>13616</v>
      </c>
      <c r="C7020" t="s">
        <v>13617</v>
      </c>
      <c r="D7020" t="s">
        <v>8760</v>
      </c>
      <c r="E7020" t="s">
        <v>6</v>
      </c>
      <c r="F7020" t="s">
        <v>251</v>
      </c>
      <c r="G7020">
        <v>1</v>
      </c>
      <c r="H7020" s="2">
        <f>Tabelle13[[#This Row],[commits]]/Tabelle13[[#Totals],[commits]]</f>
        <v>4.6477904404246225E-6</v>
      </c>
      <c r="I7020" s="5">
        <f>Tabelle13[[#This Row],[%]]+I7019</f>
        <v>0.99057892877718068</v>
      </c>
      <c r="J7020" s="4">
        <f t="shared" si="251"/>
        <v>1.105583195135434E-4</v>
      </c>
      <c r="K7020" s="5">
        <f t="shared" si="252"/>
        <v>0.77589828634614078</v>
      </c>
    </row>
    <row r="7021" spans="1:11" x14ac:dyDescent="0.25">
      <c r="A7021" t="s">
        <v>13618</v>
      </c>
      <c r="C7021" t="s">
        <v>13619</v>
      </c>
      <c r="D7021" t="s">
        <v>5</v>
      </c>
      <c r="E7021" t="s">
        <v>6</v>
      </c>
      <c r="F7021" t="s">
        <v>251</v>
      </c>
      <c r="G7021">
        <v>1</v>
      </c>
      <c r="H7021" s="2">
        <f>Tabelle13[[#This Row],[commits]]/Tabelle13[[#Totals],[commits]]</f>
        <v>4.6477904404246225E-6</v>
      </c>
      <c r="I7021" s="5">
        <f>Tabelle13[[#This Row],[%]]+I7020</f>
        <v>0.99058357656762108</v>
      </c>
      <c r="J7021" s="4">
        <f t="shared" si="251"/>
        <v>1.105583195135434E-4</v>
      </c>
      <c r="K7021" s="5">
        <f t="shared" si="252"/>
        <v>0.77600884466565434</v>
      </c>
    </row>
    <row r="7022" spans="1:11" x14ac:dyDescent="0.25">
      <c r="A7022" t="s">
        <v>13620</v>
      </c>
      <c r="C7022" t="s">
        <v>13621</v>
      </c>
      <c r="D7022" t="s">
        <v>309</v>
      </c>
      <c r="E7022" t="s">
        <v>6</v>
      </c>
      <c r="F7022" t="s">
        <v>251</v>
      </c>
      <c r="G7022">
        <v>1</v>
      </c>
      <c r="H7022" s="2">
        <f>Tabelle13[[#This Row],[commits]]/Tabelle13[[#Totals],[commits]]</f>
        <v>4.6477904404246225E-6</v>
      </c>
      <c r="I7022" s="5">
        <f>Tabelle13[[#This Row],[%]]+I7021</f>
        <v>0.99058822435806149</v>
      </c>
      <c r="J7022" s="4">
        <f t="shared" si="251"/>
        <v>1.105583195135434E-4</v>
      </c>
      <c r="K7022" s="5">
        <f t="shared" si="252"/>
        <v>0.77611940298516791</v>
      </c>
    </row>
    <row r="7023" spans="1:11" x14ac:dyDescent="0.25">
      <c r="A7023" t="s">
        <v>13622</v>
      </c>
      <c r="C7023" t="s">
        <v>13623</v>
      </c>
      <c r="D7023" t="s">
        <v>5</v>
      </c>
      <c r="E7023" t="s">
        <v>6</v>
      </c>
      <c r="F7023" t="s">
        <v>251</v>
      </c>
      <c r="G7023">
        <v>1</v>
      </c>
      <c r="H7023" s="2">
        <f>Tabelle13[[#This Row],[commits]]/Tabelle13[[#Totals],[commits]]</f>
        <v>4.6477904404246225E-6</v>
      </c>
      <c r="I7023" s="5">
        <f>Tabelle13[[#This Row],[%]]+I7022</f>
        <v>0.99059287214850189</v>
      </c>
      <c r="J7023" s="4">
        <f t="shared" si="251"/>
        <v>1.105583195135434E-4</v>
      </c>
      <c r="K7023" s="5">
        <f t="shared" si="252"/>
        <v>0.77622996130468147</v>
      </c>
    </row>
    <row r="7024" spans="1:11" x14ac:dyDescent="0.25">
      <c r="A7024" t="s">
        <v>13624</v>
      </c>
      <c r="C7024" t="s">
        <v>13625</v>
      </c>
      <c r="D7024" t="s">
        <v>13626</v>
      </c>
      <c r="E7024" t="s">
        <v>6</v>
      </c>
      <c r="F7024" t="s">
        <v>251</v>
      </c>
      <c r="G7024">
        <v>1</v>
      </c>
      <c r="H7024" s="2">
        <f>Tabelle13[[#This Row],[commits]]/Tabelle13[[#Totals],[commits]]</f>
        <v>4.6477904404246225E-6</v>
      </c>
      <c r="I7024" s="5">
        <f>Tabelle13[[#This Row],[%]]+I7023</f>
        <v>0.99059751993894229</v>
      </c>
      <c r="J7024" s="4">
        <f t="shared" si="251"/>
        <v>1.105583195135434E-4</v>
      </c>
      <c r="K7024" s="5">
        <f t="shared" si="252"/>
        <v>0.77634051962419504</v>
      </c>
    </row>
    <row r="7025" spans="1:11" x14ac:dyDescent="0.25">
      <c r="A7025" t="s">
        <v>13627</v>
      </c>
      <c r="C7025" t="s">
        <v>11087</v>
      </c>
      <c r="D7025" t="s">
        <v>5</v>
      </c>
      <c r="E7025" t="s">
        <v>6</v>
      </c>
      <c r="F7025" t="s">
        <v>251</v>
      </c>
      <c r="G7025">
        <v>1</v>
      </c>
      <c r="H7025" s="2">
        <f>Tabelle13[[#This Row],[commits]]/Tabelle13[[#Totals],[commits]]</f>
        <v>4.6477904404246225E-6</v>
      </c>
      <c r="I7025" s="5">
        <f>Tabelle13[[#This Row],[%]]+I7024</f>
        <v>0.9906021677293827</v>
      </c>
      <c r="J7025" s="4">
        <f t="shared" si="251"/>
        <v>1.105583195135434E-4</v>
      </c>
      <c r="K7025" s="5">
        <f t="shared" si="252"/>
        <v>0.7764510779437086</v>
      </c>
    </row>
    <row r="7026" spans="1:11" x14ac:dyDescent="0.25">
      <c r="A7026" t="s">
        <v>13628</v>
      </c>
      <c r="C7026" t="s">
        <v>13629</v>
      </c>
      <c r="D7026" t="s">
        <v>8757</v>
      </c>
      <c r="E7026" t="s">
        <v>6</v>
      </c>
      <c r="F7026" t="s">
        <v>251</v>
      </c>
      <c r="G7026">
        <v>1</v>
      </c>
      <c r="H7026" s="2">
        <f>Tabelle13[[#This Row],[commits]]/Tabelle13[[#Totals],[commits]]</f>
        <v>4.6477904404246225E-6</v>
      </c>
      <c r="I7026" s="5">
        <f>Tabelle13[[#This Row],[%]]+I7025</f>
        <v>0.9906068155198231</v>
      </c>
      <c r="J7026" s="4">
        <f t="shared" si="251"/>
        <v>1.105583195135434E-4</v>
      </c>
      <c r="K7026" s="5">
        <f t="shared" si="252"/>
        <v>0.77656163626322217</v>
      </c>
    </row>
    <row r="7027" spans="1:11" x14ac:dyDescent="0.25">
      <c r="A7027" t="s">
        <v>13630</v>
      </c>
      <c r="C7027" t="s">
        <v>13631</v>
      </c>
      <c r="D7027" t="s">
        <v>5</v>
      </c>
      <c r="E7027" t="s">
        <v>6</v>
      </c>
      <c r="F7027" t="s">
        <v>251</v>
      </c>
      <c r="G7027">
        <v>1</v>
      </c>
      <c r="H7027" s="2">
        <f>Tabelle13[[#This Row],[commits]]/Tabelle13[[#Totals],[commits]]</f>
        <v>4.6477904404246225E-6</v>
      </c>
      <c r="I7027" s="5">
        <f>Tabelle13[[#This Row],[%]]+I7026</f>
        <v>0.99061146331026351</v>
      </c>
      <c r="J7027" s="4">
        <f t="shared" si="251"/>
        <v>1.105583195135434E-4</v>
      </c>
      <c r="K7027" s="5">
        <f t="shared" si="252"/>
        <v>0.77667219458273573</v>
      </c>
    </row>
    <row r="7028" spans="1:11" x14ac:dyDescent="0.25">
      <c r="A7028" t="s">
        <v>13632</v>
      </c>
      <c r="C7028" t="s">
        <v>13633</v>
      </c>
      <c r="D7028" t="s">
        <v>309</v>
      </c>
      <c r="E7028" t="s">
        <v>6</v>
      </c>
      <c r="F7028" t="s">
        <v>251</v>
      </c>
      <c r="G7028">
        <v>1</v>
      </c>
      <c r="H7028" s="2">
        <f>Tabelle13[[#This Row],[commits]]/Tabelle13[[#Totals],[commits]]</f>
        <v>4.6477904404246225E-6</v>
      </c>
      <c r="I7028" s="5">
        <f>Tabelle13[[#This Row],[%]]+I7027</f>
        <v>0.99061611110070391</v>
      </c>
      <c r="J7028" s="4">
        <f t="shared" si="251"/>
        <v>1.105583195135434E-4</v>
      </c>
      <c r="K7028" s="5">
        <f t="shared" si="252"/>
        <v>0.7767827529022493</v>
      </c>
    </row>
    <row r="7029" spans="1:11" x14ac:dyDescent="0.25">
      <c r="A7029" t="s">
        <v>13634</v>
      </c>
      <c r="C7029" t="s">
        <v>13635</v>
      </c>
      <c r="D7029" t="s">
        <v>5</v>
      </c>
      <c r="E7029" t="s">
        <v>6</v>
      </c>
      <c r="F7029" t="s">
        <v>251</v>
      </c>
      <c r="G7029">
        <v>1</v>
      </c>
      <c r="H7029" s="2">
        <f>Tabelle13[[#This Row],[commits]]/Tabelle13[[#Totals],[commits]]</f>
        <v>4.6477904404246225E-6</v>
      </c>
      <c r="I7029" s="5">
        <f>Tabelle13[[#This Row],[%]]+I7028</f>
        <v>0.99062075889114432</v>
      </c>
      <c r="J7029" s="4">
        <f t="shared" si="251"/>
        <v>1.105583195135434E-4</v>
      </c>
      <c r="K7029" s="5">
        <f t="shared" si="252"/>
        <v>0.77689331122176286</v>
      </c>
    </row>
    <row r="7030" spans="1:11" x14ac:dyDescent="0.25">
      <c r="A7030" t="s">
        <v>13636</v>
      </c>
      <c r="C7030" t="s">
        <v>12514</v>
      </c>
      <c r="D7030" t="s">
        <v>5</v>
      </c>
      <c r="E7030" t="s">
        <v>6</v>
      </c>
      <c r="F7030" t="s">
        <v>251</v>
      </c>
      <c r="G7030">
        <v>1</v>
      </c>
      <c r="H7030" s="2">
        <f>Tabelle13[[#This Row],[commits]]/Tabelle13[[#Totals],[commits]]</f>
        <v>4.6477904404246225E-6</v>
      </c>
      <c r="I7030" s="5">
        <f>Tabelle13[[#This Row],[%]]+I7029</f>
        <v>0.99062540668158472</v>
      </c>
      <c r="J7030" s="4">
        <f t="shared" si="251"/>
        <v>1.105583195135434E-4</v>
      </c>
      <c r="K7030" s="5">
        <f t="shared" si="252"/>
        <v>0.77700386954127643</v>
      </c>
    </row>
    <row r="7031" spans="1:11" x14ac:dyDescent="0.25">
      <c r="A7031" t="s">
        <v>13637</v>
      </c>
      <c r="C7031" t="s">
        <v>13638</v>
      </c>
      <c r="D7031" t="s">
        <v>5</v>
      </c>
      <c r="E7031" t="s">
        <v>6</v>
      </c>
      <c r="F7031" t="s">
        <v>251</v>
      </c>
      <c r="G7031">
        <v>1</v>
      </c>
      <c r="H7031" s="2">
        <f>Tabelle13[[#This Row],[commits]]/Tabelle13[[#Totals],[commits]]</f>
        <v>4.6477904404246225E-6</v>
      </c>
      <c r="I7031" s="5">
        <f>Tabelle13[[#This Row],[%]]+I7030</f>
        <v>0.99063005447202512</v>
      </c>
      <c r="J7031" s="4">
        <f t="shared" si="251"/>
        <v>1.105583195135434E-4</v>
      </c>
      <c r="K7031" s="5">
        <f t="shared" si="252"/>
        <v>0.77711442786078999</v>
      </c>
    </row>
    <row r="7032" spans="1:11" x14ac:dyDescent="0.25">
      <c r="A7032" t="s">
        <v>13639</v>
      </c>
      <c r="C7032" t="s">
        <v>13640</v>
      </c>
      <c r="D7032" t="s">
        <v>309</v>
      </c>
      <c r="E7032" t="s">
        <v>6</v>
      </c>
      <c r="F7032" t="s">
        <v>251</v>
      </c>
      <c r="G7032">
        <v>1</v>
      </c>
      <c r="H7032" s="2">
        <f>Tabelle13[[#This Row],[commits]]/Tabelle13[[#Totals],[commits]]</f>
        <v>4.6477904404246225E-6</v>
      </c>
      <c r="I7032" s="5">
        <f>Tabelle13[[#This Row],[%]]+I7031</f>
        <v>0.99063470226246553</v>
      </c>
      <c r="J7032" s="4">
        <f t="shared" si="251"/>
        <v>1.105583195135434E-4</v>
      </c>
      <c r="K7032" s="5">
        <f t="shared" si="252"/>
        <v>0.77722498618030356</v>
      </c>
    </row>
    <row r="7033" spans="1:11" x14ac:dyDescent="0.25">
      <c r="A7033" t="s">
        <v>13641</v>
      </c>
      <c r="C7033" t="s">
        <v>13642</v>
      </c>
      <c r="D7033" t="s">
        <v>5</v>
      </c>
      <c r="E7033" t="s">
        <v>6</v>
      </c>
      <c r="F7033" t="s">
        <v>251</v>
      </c>
      <c r="G7033">
        <v>1</v>
      </c>
      <c r="H7033" s="2">
        <f>Tabelle13[[#This Row],[commits]]/Tabelle13[[#Totals],[commits]]</f>
        <v>4.6477904404246225E-6</v>
      </c>
      <c r="I7033" s="5">
        <f>Tabelle13[[#This Row],[%]]+I7032</f>
        <v>0.99063935005290593</v>
      </c>
      <c r="J7033" s="4">
        <f t="shared" si="251"/>
        <v>1.105583195135434E-4</v>
      </c>
      <c r="K7033" s="5">
        <f t="shared" si="252"/>
        <v>0.77733554449981712</v>
      </c>
    </row>
    <row r="7034" spans="1:11" x14ac:dyDescent="0.25">
      <c r="A7034" t="s">
        <v>13643</v>
      </c>
      <c r="C7034" t="s">
        <v>13644</v>
      </c>
      <c r="D7034" t="s">
        <v>13645</v>
      </c>
      <c r="E7034" t="s">
        <v>6</v>
      </c>
      <c r="F7034" t="s">
        <v>251</v>
      </c>
      <c r="G7034">
        <v>1</v>
      </c>
      <c r="H7034" s="2">
        <f>Tabelle13[[#This Row],[commits]]/Tabelle13[[#Totals],[commits]]</f>
        <v>4.6477904404246225E-6</v>
      </c>
      <c r="I7034" s="5">
        <f>Tabelle13[[#This Row],[%]]+I7033</f>
        <v>0.99064399784334634</v>
      </c>
      <c r="J7034" s="4">
        <f t="shared" si="251"/>
        <v>1.105583195135434E-4</v>
      </c>
      <c r="K7034" s="5">
        <f t="shared" si="252"/>
        <v>0.77744610281933069</v>
      </c>
    </row>
    <row r="7035" spans="1:11" x14ac:dyDescent="0.25">
      <c r="A7035" t="s">
        <v>13646</v>
      </c>
      <c r="C7035" t="s">
        <v>13647</v>
      </c>
      <c r="D7035" t="s">
        <v>5</v>
      </c>
      <c r="E7035" t="s">
        <v>6</v>
      </c>
      <c r="F7035" t="s">
        <v>251</v>
      </c>
      <c r="G7035">
        <v>1</v>
      </c>
      <c r="H7035" s="2">
        <f>Tabelle13[[#This Row],[commits]]/Tabelle13[[#Totals],[commits]]</f>
        <v>4.6477904404246225E-6</v>
      </c>
      <c r="I7035" s="5">
        <f>Tabelle13[[#This Row],[%]]+I7034</f>
        <v>0.99064864563378674</v>
      </c>
      <c r="J7035" s="4">
        <f t="shared" si="251"/>
        <v>1.105583195135434E-4</v>
      </c>
      <c r="K7035" s="5">
        <f t="shared" si="252"/>
        <v>0.77755666113884425</v>
      </c>
    </row>
    <row r="7036" spans="1:11" x14ac:dyDescent="0.25">
      <c r="A7036" t="s">
        <v>13648</v>
      </c>
      <c r="C7036" t="s">
        <v>13649</v>
      </c>
      <c r="D7036" t="s">
        <v>309</v>
      </c>
      <c r="E7036" t="s">
        <v>6</v>
      </c>
      <c r="F7036" t="s">
        <v>251</v>
      </c>
      <c r="G7036">
        <v>1</v>
      </c>
      <c r="H7036" s="2">
        <f>Tabelle13[[#This Row],[commits]]/Tabelle13[[#Totals],[commits]]</f>
        <v>4.6477904404246225E-6</v>
      </c>
      <c r="I7036" s="5">
        <f>Tabelle13[[#This Row],[%]]+I7035</f>
        <v>0.99065329342422714</v>
      </c>
      <c r="J7036" s="4">
        <f t="shared" si="251"/>
        <v>1.105583195135434E-4</v>
      </c>
      <c r="K7036" s="5">
        <f t="shared" si="252"/>
        <v>0.77766721945835782</v>
      </c>
    </row>
    <row r="7037" spans="1:11" x14ac:dyDescent="0.25">
      <c r="A7037" t="s">
        <v>13650</v>
      </c>
      <c r="C7037" t="s">
        <v>13651</v>
      </c>
      <c r="D7037" t="s">
        <v>309</v>
      </c>
      <c r="E7037" t="s">
        <v>6</v>
      </c>
      <c r="F7037" t="s">
        <v>251</v>
      </c>
      <c r="G7037">
        <v>1</v>
      </c>
      <c r="H7037" s="2">
        <f>Tabelle13[[#This Row],[commits]]/Tabelle13[[#Totals],[commits]]</f>
        <v>4.6477904404246225E-6</v>
      </c>
      <c r="I7037" s="5">
        <f>Tabelle13[[#This Row],[%]]+I7036</f>
        <v>0.99065794121466755</v>
      </c>
      <c r="J7037" s="4">
        <f t="shared" si="251"/>
        <v>1.105583195135434E-4</v>
      </c>
      <c r="K7037" s="5">
        <f t="shared" si="252"/>
        <v>0.77777777777787138</v>
      </c>
    </row>
    <row r="7038" spans="1:11" x14ac:dyDescent="0.25">
      <c r="A7038" t="s">
        <v>13652</v>
      </c>
      <c r="C7038" t="s">
        <v>13653</v>
      </c>
      <c r="D7038" t="s">
        <v>5</v>
      </c>
      <c r="E7038" t="s">
        <v>6</v>
      </c>
      <c r="F7038" t="s">
        <v>251</v>
      </c>
      <c r="G7038">
        <v>1</v>
      </c>
      <c r="H7038" s="2">
        <f>Tabelle13[[#This Row],[commits]]/Tabelle13[[#Totals],[commits]]</f>
        <v>4.6477904404246225E-6</v>
      </c>
      <c r="I7038" s="5">
        <f>Tabelle13[[#This Row],[%]]+I7037</f>
        <v>0.99066258900510795</v>
      </c>
      <c r="J7038" s="4">
        <f t="shared" si="251"/>
        <v>1.105583195135434E-4</v>
      </c>
      <c r="K7038" s="5">
        <f t="shared" si="252"/>
        <v>0.77788833609738495</v>
      </c>
    </row>
    <row r="7039" spans="1:11" x14ac:dyDescent="0.25">
      <c r="A7039" t="s">
        <v>13654</v>
      </c>
      <c r="C7039" t="s">
        <v>13655</v>
      </c>
      <c r="D7039" t="s">
        <v>5</v>
      </c>
      <c r="E7039" t="s">
        <v>6</v>
      </c>
      <c r="F7039" t="s">
        <v>251</v>
      </c>
      <c r="G7039">
        <v>1</v>
      </c>
      <c r="H7039" s="2">
        <f>Tabelle13[[#This Row],[commits]]/Tabelle13[[#Totals],[commits]]</f>
        <v>4.6477904404246225E-6</v>
      </c>
      <c r="I7039" s="5">
        <f>Tabelle13[[#This Row],[%]]+I7038</f>
        <v>0.99066723679554836</v>
      </c>
      <c r="J7039" s="4">
        <f t="shared" si="251"/>
        <v>1.105583195135434E-4</v>
      </c>
      <c r="K7039" s="5">
        <f t="shared" si="252"/>
        <v>0.77799889441689851</v>
      </c>
    </row>
    <row r="7040" spans="1:11" x14ac:dyDescent="0.25">
      <c r="A7040" t="s">
        <v>13656</v>
      </c>
      <c r="C7040" t="s">
        <v>13657</v>
      </c>
      <c r="D7040" t="s">
        <v>5</v>
      </c>
      <c r="E7040" t="s">
        <v>6</v>
      </c>
      <c r="F7040" t="s">
        <v>251</v>
      </c>
      <c r="G7040">
        <v>1</v>
      </c>
      <c r="H7040" s="2">
        <f>Tabelle13[[#This Row],[commits]]/Tabelle13[[#Totals],[commits]]</f>
        <v>4.6477904404246225E-6</v>
      </c>
      <c r="I7040" s="5">
        <f>Tabelle13[[#This Row],[%]]+I7039</f>
        <v>0.99067188458598876</v>
      </c>
      <c r="J7040" s="4">
        <f t="shared" si="251"/>
        <v>1.105583195135434E-4</v>
      </c>
      <c r="K7040" s="5">
        <f t="shared" si="252"/>
        <v>0.77810945273641208</v>
      </c>
    </row>
    <row r="7041" spans="1:11" x14ac:dyDescent="0.25">
      <c r="A7041" t="s">
        <v>13658</v>
      </c>
      <c r="C7041" t="s">
        <v>13659</v>
      </c>
      <c r="D7041" t="s">
        <v>9379</v>
      </c>
      <c r="E7041" t="s">
        <v>6</v>
      </c>
      <c r="F7041" t="s">
        <v>251</v>
      </c>
      <c r="G7041">
        <v>1</v>
      </c>
      <c r="H7041" s="2">
        <f>Tabelle13[[#This Row],[commits]]/Tabelle13[[#Totals],[commits]]</f>
        <v>4.6477904404246225E-6</v>
      </c>
      <c r="I7041" s="5">
        <f>Tabelle13[[#This Row],[%]]+I7040</f>
        <v>0.99067653237642916</v>
      </c>
      <c r="J7041" s="4">
        <f t="shared" si="251"/>
        <v>1.105583195135434E-4</v>
      </c>
      <c r="K7041" s="5">
        <f t="shared" si="252"/>
        <v>0.77822001105592564</v>
      </c>
    </row>
    <row r="7042" spans="1:11" x14ac:dyDescent="0.25">
      <c r="A7042" t="s">
        <v>13660</v>
      </c>
      <c r="C7042" t="s">
        <v>13661</v>
      </c>
      <c r="D7042" t="s">
        <v>309</v>
      </c>
      <c r="E7042" t="s">
        <v>6</v>
      </c>
      <c r="F7042" t="s">
        <v>251</v>
      </c>
      <c r="G7042">
        <v>1</v>
      </c>
      <c r="H7042" s="2">
        <f>Tabelle13[[#This Row],[commits]]/Tabelle13[[#Totals],[commits]]</f>
        <v>4.6477904404246225E-6</v>
      </c>
      <c r="I7042" s="5">
        <f>Tabelle13[[#This Row],[%]]+I7041</f>
        <v>0.99068118016686957</v>
      </c>
      <c r="J7042" s="4">
        <f t="shared" si="251"/>
        <v>1.105583195135434E-4</v>
      </c>
      <c r="K7042" s="5">
        <f t="shared" si="252"/>
        <v>0.77833056937543921</v>
      </c>
    </row>
    <row r="7043" spans="1:11" x14ac:dyDescent="0.25">
      <c r="A7043" t="s">
        <v>13662</v>
      </c>
      <c r="C7043" t="s">
        <v>13663</v>
      </c>
      <c r="D7043" t="s">
        <v>5</v>
      </c>
      <c r="E7043" t="s">
        <v>6</v>
      </c>
      <c r="F7043" t="s">
        <v>251</v>
      </c>
      <c r="G7043">
        <v>1</v>
      </c>
      <c r="H7043" s="2">
        <f>Tabelle13[[#This Row],[commits]]/Tabelle13[[#Totals],[commits]]</f>
        <v>4.6477904404246225E-6</v>
      </c>
      <c r="I7043" s="5">
        <f>Tabelle13[[#This Row],[%]]+I7042</f>
        <v>0.99068582795730997</v>
      </c>
      <c r="J7043" s="4">
        <f t="shared" ref="J7043:J7106" si="253">1/9045</f>
        <v>1.105583195135434E-4</v>
      </c>
      <c r="K7043" s="5">
        <f t="shared" si="252"/>
        <v>0.77844112769495277</v>
      </c>
    </row>
    <row r="7044" spans="1:11" x14ac:dyDescent="0.25">
      <c r="A7044" t="s">
        <v>13664</v>
      </c>
      <c r="C7044" t="s">
        <v>13665</v>
      </c>
      <c r="D7044" t="s">
        <v>5</v>
      </c>
      <c r="E7044" t="s">
        <v>6</v>
      </c>
      <c r="F7044" t="s">
        <v>251</v>
      </c>
      <c r="G7044">
        <v>1</v>
      </c>
      <c r="H7044" s="2">
        <f>Tabelle13[[#This Row],[commits]]/Tabelle13[[#Totals],[commits]]</f>
        <v>4.6477904404246225E-6</v>
      </c>
      <c r="I7044" s="5">
        <f>Tabelle13[[#This Row],[%]]+I7043</f>
        <v>0.99069047574775038</v>
      </c>
      <c r="J7044" s="4">
        <f t="shared" si="253"/>
        <v>1.105583195135434E-4</v>
      </c>
      <c r="K7044" s="5">
        <f t="shared" si="252"/>
        <v>0.77855168601446634</v>
      </c>
    </row>
    <row r="7045" spans="1:11" x14ac:dyDescent="0.25">
      <c r="A7045" t="s">
        <v>13666</v>
      </c>
      <c r="C7045" t="s">
        <v>13667</v>
      </c>
      <c r="D7045" t="s">
        <v>5</v>
      </c>
      <c r="E7045" t="s">
        <v>6</v>
      </c>
      <c r="F7045" t="s">
        <v>251</v>
      </c>
      <c r="G7045">
        <v>1</v>
      </c>
      <c r="H7045" s="2">
        <f>Tabelle13[[#This Row],[commits]]/Tabelle13[[#Totals],[commits]]</f>
        <v>4.6477904404246225E-6</v>
      </c>
      <c r="I7045" s="5">
        <f>Tabelle13[[#This Row],[%]]+I7044</f>
        <v>0.99069512353819078</v>
      </c>
      <c r="J7045" s="4">
        <f t="shared" si="253"/>
        <v>1.105583195135434E-4</v>
      </c>
      <c r="K7045" s="5">
        <f t="shared" si="252"/>
        <v>0.7786622443339799</v>
      </c>
    </row>
    <row r="7046" spans="1:11" x14ac:dyDescent="0.25">
      <c r="A7046" t="s">
        <v>13668</v>
      </c>
      <c r="C7046" t="s">
        <v>13669</v>
      </c>
      <c r="D7046" t="s">
        <v>309</v>
      </c>
      <c r="E7046" t="s">
        <v>6</v>
      </c>
      <c r="F7046" t="s">
        <v>251</v>
      </c>
      <c r="G7046">
        <v>1</v>
      </c>
      <c r="H7046" s="2">
        <f>Tabelle13[[#This Row],[commits]]/Tabelle13[[#Totals],[commits]]</f>
        <v>4.6477904404246225E-6</v>
      </c>
      <c r="I7046" s="5">
        <f>Tabelle13[[#This Row],[%]]+I7045</f>
        <v>0.99069977132863118</v>
      </c>
      <c r="J7046" s="4">
        <f t="shared" si="253"/>
        <v>1.105583195135434E-4</v>
      </c>
      <c r="K7046" s="5">
        <f t="shared" ref="K7046:K7109" si="254">J7046+K7045</f>
        <v>0.77877280265349347</v>
      </c>
    </row>
    <row r="7047" spans="1:11" x14ac:dyDescent="0.25">
      <c r="A7047" t="s">
        <v>13670</v>
      </c>
      <c r="C7047" t="s">
        <v>13671</v>
      </c>
      <c r="D7047" t="s">
        <v>309</v>
      </c>
      <c r="E7047" t="s">
        <v>6</v>
      </c>
      <c r="F7047" t="s">
        <v>251</v>
      </c>
      <c r="G7047">
        <v>1</v>
      </c>
      <c r="H7047" s="2">
        <f>Tabelle13[[#This Row],[commits]]/Tabelle13[[#Totals],[commits]]</f>
        <v>4.6477904404246225E-6</v>
      </c>
      <c r="I7047" s="5">
        <f>Tabelle13[[#This Row],[%]]+I7046</f>
        <v>0.99070441911907159</v>
      </c>
      <c r="J7047" s="4">
        <f t="shared" si="253"/>
        <v>1.105583195135434E-4</v>
      </c>
      <c r="K7047" s="5">
        <f t="shared" si="254"/>
        <v>0.77888336097300703</v>
      </c>
    </row>
    <row r="7048" spans="1:11" x14ac:dyDescent="0.25">
      <c r="A7048" t="s">
        <v>13672</v>
      </c>
      <c r="C7048" t="s">
        <v>13673</v>
      </c>
      <c r="D7048" t="s">
        <v>5</v>
      </c>
      <c r="E7048" t="s">
        <v>6</v>
      </c>
      <c r="F7048" t="s">
        <v>251</v>
      </c>
      <c r="G7048">
        <v>1</v>
      </c>
      <c r="H7048" s="2">
        <f>Tabelle13[[#This Row],[commits]]/Tabelle13[[#Totals],[commits]]</f>
        <v>4.6477904404246225E-6</v>
      </c>
      <c r="I7048" s="5">
        <f>Tabelle13[[#This Row],[%]]+I7047</f>
        <v>0.99070906690951199</v>
      </c>
      <c r="J7048" s="4">
        <f t="shared" si="253"/>
        <v>1.105583195135434E-4</v>
      </c>
      <c r="K7048" s="5">
        <f t="shared" si="254"/>
        <v>0.7789939192925206</v>
      </c>
    </row>
    <row r="7049" spans="1:11" x14ac:dyDescent="0.25">
      <c r="A7049" t="s">
        <v>13674</v>
      </c>
      <c r="C7049" t="s">
        <v>13675</v>
      </c>
      <c r="D7049" t="s">
        <v>5</v>
      </c>
      <c r="E7049" t="s">
        <v>6</v>
      </c>
      <c r="F7049" t="s">
        <v>251</v>
      </c>
      <c r="G7049">
        <v>1</v>
      </c>
      <c r="H7049" s="2">
        <f>Tabelle13[[#This Row],[commits]]/Tabelle13[[#Totals],[commits]]</f>
        <v>4.6477904404246225E-6</v>
      </c>
      <c r="I7049" s="5">
        <f>Tabelle13[[#This Row],[%]]+I7048</f>
        <v>0.9907137146999524</v>
      </c>
      <c r="J7049" s="4">
        <f t="shared" si="253"/>
        <v>1.105583195135434E-4</v>
      </c>
      <c r="K7049" s="5">
        <f t="shared" si="254"/>
        <v>0.77910447761203416</v>
      </c>
    </row>
    <row r="7050" spans="1:11" x14ac:dyDescent="0.25">
      <c r="A7050" t="s">
        <v>13676</v>
      </c>
      <c r="C7050" t="s">
        <v>13677</v>
      </c>
      <c r="D7050" t="s">
        <v>5</v>
      </c>
      <c r="E7050" t="s">
        <v>6</v>
      </c>
      <c r="F7050" t="s">
        <v>251</v>
      </c>
      <c r="G7050">
        <v>1</v>
      </c>
      <c r="H7050" s="2">
        <f>Tabelle13[[#This Row],[commits]]/Tabelle13[[#Totals],[commits]]</f>
        <v>4.6477904404246225E-6</v>
      </c>
      <c r="I7050" s="5">
        <f>Tabelle13[[#This Row],[%]]+I7049</f>
        <v>0.9907183624903928</v>
      </c>
      <c r="J7050" s="4">
        <f t="shared" si="253"/>
        <v>1.105583195135434E-4</v>
      </c>
      <c r="K7050" s="5">
        <f t="shared" si="254"/>
        <v>0.77921503593154773</v>
      </c>
    </row>
    <row r="7051" spans="1:11" x14ac:dyDescent="0.25">
      <c r="A7051" t="s">
        <v>13678</v>
      </c>
      <c r="C7051" t="s">
        <v>13679</v>
      </c>
      <c r="D7051" t="s">
        <v>5</v>
      </c>
      <c r="E7051" t="s">
        <v>6</v>
      </c>
      <c r="F7051" t="s">
        <v>251</v>
      </c>
      <c r="G7051">
        <v>1</v>
      </c>
      <c r="H7051" s="2">
        <f>Tabelle13[[#This Row],[commits]]/Tabelle13[[#Totals],[commits]]</f>
        <v>4.6477904404246225E-6</v>
      </c>
      <c r="I7051" s="5">
        <f>Tabelle13[[#This Row],[%]]+I7050</f>
        <v>0.99072301028083321</v>
      </c>
      <c r="J7051" s="4">
        <f t="shared" si="253"/>
        <v>1.105583195135434E-4</v>
      </c>
      <c r="K7051" s="5">
        <f t="shared" si="254"/>
        <v>0.77932559425106129</v>
      </c>
    </row>
    <row r="7052" spans="1:11" x14ac:dyDescent="0.25">
      <c r="A7052" t="s">
        <v>13680</v>
      </c>
      <c r="C7052" t="s">
        <v>8836</v>
      </c>
      <c r="D7052" t="s">
        <v>5</v>
      </c>
      <c r="E7052" t="s">
        <v>6</v>
      </c>
      <c r="F7052" t="s">
        <v>251</v>
      </c>
      <c r="G7052">
        <v>1</v>
      </c>
      <c r="H7052" s="2">
        <f>Tabelle13[[#This Row],[commits]]/Tabelle13[[#Totals],[commits]]</f>
        <v>4.6477904404246225E-6</v>
      </c>
      <c r="I7052" s="5">
        <f>Tabelle13[[#This Row],[%]]+I7051</f>
        <v>0.99072765807127361</v>
      </c>
      <c r="J7052" s="4">
        <f t="shared" si="253"/>
        <v>1.105583195135434E-4</v>
      </c>
      <c r="K7052" s="5">
        <f t="shared" si="254"/>
        <v>0.77943615257057486</v>
      </c>
    </row>
    <row r="7053" spans="1:11" x14ac:dyDescent="0.25">
      <c r="A7053" t="s">
        <v>13681</v>
      </c>
      <c r="C7053" t="s">
        <v>13682</v>
      </c>
      <c r="D7053" t="s">
        <v>8760</v>
      </c>
      <c r="E7053" t="s">
        <v>6</v>
      </c>
      <c r="F7053" t="s">
        <v>251</v>
      </c>
      <c r="G7053">
        <v>1</v>
      </c>
      <c r="H7053" s="2">
        <f>Tabelle13[[#This Row],[commits]]/Tabelle13[[#Totals],[commits]]</f>
        <v>4.6477904404246225E-6</v>
      </c>
      <c r="I7053" s="5">
        <f>Tabelle13[[#This Row],[%]]+I7052</f>
        <v>0.99073230586171401</v>
      </c>
      <c r="J7053" s="4">
        <f t="shared" si="253"/>
        <v>1.105583195135434E-4</v>
      </c>
      <c r="K7053" s="5">
        <f t="shared" si="254"/>
        <v>0.77954671089008842</v>
      </c>
    </row>
    <row r="7054" spans="1:11" x14ac:dyDescent="0.25">
      <c r="A7054" t="s">
        <v>13683</v>
      </c>
      <c r="C7054" t="s">
        <v>13684</v>
      </c>
      <c r="D7054" t="s">
        <v>309</v>
      </c>
      <c r="E7054" t="s">
        <v>6</v>
      </c>
      <c r="F7054" t="s">
        <v>251</v>
      </c>
      <c r="G7054">
        <v>1</v>
      </c>
      <c r="H7054" s="2">
        <f>Tabelle13[[#This Row],[commits]]/Tabelle13[[#Totals],[commits]]</f>
        <v>4.6477904404246225E-6</v>
      </c>
      <c r="I7054" s="5">
        <f>Tabelle13[[#This Row],[%]]+I7053</f>
        <v>0.99073695365215442</v>
      </c>
      <c r="J7054" s="4">
        <f t="shared" si="253"/>
        <v>1.105583195135434E-4</v>
      </c>
      <c r="K7054" s="5">
        <f t="shared" si="254"/>
        <v>0.77965726920960199</v>
      </c>
    </row>
    <row r="7055" spans="1:11" x14ac:dyDescent="0.25">
      <c r="A7055" t="s">
        <v>13685</v>
      </c>
      <c r="C7055" t="s">
        <v>13686</v>
      </c>
      <c r="D7055" t="s">
        <v>5</v>
      </c>
      <c r="E7055" t="s">
        <v>6</v>
      </c>
      <c r="F7055" t="s">
        <v>251</v>
      </c>
      <c r="G7055">
        <v>1</v>
      </c>
      <c r="H7055" s="2">
        <f>Tabelle13[[#This Row],[commits]]/Tabelle13[[#Totals],[commits]]</f>
        <v>4.6477904404246225E-6</v>
      </c>
      <c r="I7055" s="5">
        <f>Tabelle13[[#This Row],[%]]+I7054</f>
        <v>0.99074160144259482</v>
      </c>
      <c r="J7055" s="4">
        <f t="shared" si="253"/>
        <v>1.105583195135434E-4</v>
      </c>
      <c r="K7055" s="5">
        <f t="shared" si="254"/>
        <v>0.77976782752911555</v>
      </c>
    </row>
    <row r="7056" spans="1:11" x14ac:dyDescent="0.25">
      <c r="A7056" t="s">
        <v>13687</v>
      </c>
      <c r="C7056" t="s">
        <v>13688</v>
      </c>
      <c r="D7056" t="s">
        <v>5</v>
      </c>
      <c r="E7056" t="s">
        <v>6</v>
      </c>
      <c r="F7056" t="s">
        <v>251</v>
      </c>
      <c r="G7056">
        <v>1</v>
      </c>
      <c r="H7056" s="2">
        <f>Tabelle13[[#This Row],[commits]]/Tabelle13[[#Totals],[commits]]</f>
        <v>4.6477904404246225E-6</v>
      </c>
      <c r="I7056" s="5">
        <f>Tabelle13[[#This Row],[%]]+I7055</f>
        <v>0.99074624923303523</v>
      </c>
      <c r="J7056" s="4">
        <f t="shared" si="253"/>
        <v>1.105583195135434E-4</v>
      </c>
      <c r="K7056" s="5">
        <f t="shared" si="254"/>
        <v>0.77987838584862912</v>
      </c>
    </row>
    <row r="7057" spans="1:11" x14ac:dyDescent="0.25">
      <c r="A7057" t="s">
        <v>13689</v>
      </c>
      <c r="C7057" t="s">
        <v>13690</v>
      </c>
      <c r="D7057" t="s">
        <v>8874</v>
      </c>
      <c r="E7057" t="s">
        <v>6</v>
      </c>
      <c r="F7057" t="s">
        <v>251</v>
      </c>
      <c r="G7057">
        <v>1</v>
      </c>
      <c r="H7057" s="2">
        <f>Tabelle13[[#This Row],[commits]]/Tabelle13[[#Totals],[commits]]</f>
        <v>4.6477904404246225E-6</v>
      </c>
      <c r="I7057" s="5">
        <f>Tabelle13[[#This Row],[%]]+I7056</f>
        <v>0.99075089702347563</v>
      </c>
      <c r="J7057" s="4">
        <f t="shared" si="253"/>
        <v>1.105583195135434E-4</v>
      </c>
      <c r="K7057" s="5">
        <f t="shared" si="254"/>
        <v>0.77998894416814268</v>
      </c>
    </row>
    <row r="7058" spans="1:11" x14ac:dyDescent="0.25">
      <c r="A7058" t="s">
        <v>13691</v>
      </c>
      <c r="C7058" t="s">
        <v>13692</v>
      </c>
      <c r="D7058" t="s">
        <v>13693</v>
      </c>
      <c r="E7058" t="s">
        <v>6</v>
      </c>
      <c r="F7058" t="s">
        <v>251</v>
      </c>
      <c r="G7058">
        <v>1</v>
      </c>
      <c r="H7058" s="2">
        <f>Tabelle13[[#This Row],[commits]]/Tabelle13[[#Totals],[commits]]</f>
        <v>4.6477904404246225E-6</v>
      </c>
      <c r="I7058" s="5">
        <f>Tabelle13[[#This Row],[%]]+I7057</f>
        <v>0.99075554481391603</v>
      </c>
      <c r="J7058" s="4">
        <f t="shared" si="253"/>
        <v>1.105583195135434E-4</v>
      </c>
      <c r="K7058" s="5">
        <f t="shared" si="254"/>
        <v>0.78009950248765625</v>
      </c>
    </row>
    <row r="7059" spans="1:11" x14ac:dyDescent="0.25">
      <c r="A7059" t="s">
        <v>13694</v>
      </c>
      <c r="C7059" t="s">
        <v>13695</v>
      </c>
      <c r="D7059" t="s">
        <v>5</v>
      </c>
      <c r="E7059" t="s">
        <v>6</v>
      </c>
      <c r="F7059" t="s">
        <v>251</v>
      </c>
      <c r="G7059">
        <v>1</v>
      </c>
      <c r="H7059" s="2">
        <f>Tabelle13[[#This Row],[commits]]/Tabelle13[[#Totals],[commits]]</f>
        <v>4.6477904404246225E-6</v>
      </c>
      <c r="I7059" s="5">
        <f>Tabelle13[[#This Row],[%]]+I7058</f>
        <v>0.99076019260435644</v>
      </c>
      <c r="J7059" s="4">
        <f t="shared" si="253"/>
        <v>1.105583195135434E-4</v>
      </c>
      <c r="K7059" s="5">
        <f t="shared" si="254"/>
        <v>0.78021006080716981</v>
      </c>
    </row>
    <row r="7060" spans="1:11" x14ac:dyDescent="0.25">
      <c r="A7060" t="s">
        <v>13696</v>
      </c>
      <c r="C7060" t="s">
        <v>13697</v>
      </c>
      <c r="D7060" t="s">
        <v>309</v>
      </c>
      <c r="E7060" t="s">
        <v>6</v>
      </c>
      <c r="F7060" t="s">
        <v>251</v>
      </c>
      <c r="G7060">
        <v>1</v>
      </c>
      <c r="H7060" s="2">
        <f>Tabelle13[[#This Row],[commits]]/Tabelle13[[#Totals],[commits]]</f>
        <v>4.6477904404246225E-6</v>
      </c>
      <c r="I7060" s="5">
        <f>Tabelle13[[#This Row],[%]]+I7059</f>
        <v>0.99076484039479684</v>
      </c>
      <c r="J7060" s="4">
        <f t="shared" si="253"/>
        <v>1.105583195135434E-4</v>
      </c>
      <c r="K7060" s="5">
        <f t="shared" si="254"/>
        <v>0.78032061912668338</v>
      </c>
    </row>
    <row r="7061" spans="1:11" x14ac:dyDescent="0.25">
      <c r="A7061" t="s">
        <v>13698</v>
      </c>
      <c r="C7061" t="s">
        <v>13699</v>
      </c>
      <c r="D7061" t="s">
        <v>13700</v>
      </c>
      <c r="E7061" t="s">
        <v>6</v>
      </c>
      <c r="F7061" t="s">
        <v>251</v>
      </c>
      <c r="G7061">
        <v>1</v>
      </c>
      <c r="H7061" s="2">
        <f>Tabelle13[[#This Row],[commits]]/Tabelle13[[#Totals],[commits]]</f>
        <v>4.6477904404246225E-6</v>
      </c>
      <c r="I7061" s="5">
        <f>Tabelle13[[#This Row],[%]]+I7060</f>
        <v>0.99076948818523725</v>
      </c>
      <c r="J7061" s="4">
        <f t="shared" si="253"/>
        <v>1.105583195135434E-4</v>
      </c>
      <c r="K7061" s="5">
        <f t="shared" si="254"/>
        <v>0.78043117744619694</v>
      </c>
    </row>
    <row r="7062" spans="1:11" x14ac:dyDescent="0.25">
      <c r="A7062" t="s">
        <v>13701</v>
      </c>
      <c r="C7062" t="s">
        <v>13702</v>
      </c>
      <c r="D7062" t="s">
        <v>5</v>
      </c>
      <c r="E7062" t="s">
        <v>6</v>
      </c>
      <c r="F7062" t="s">
        <v>251</v>
      </c>
      <c r="G7062">
        <v>1</v>
      </c>
      <c r="H7062" s="2">
        <f>Tabelle13[[#This Row],[commits]]/Tabelle13[[#Totals],[commits]]</f>
        <v>4.6477904404246225E-6</v>
      </c>
      <c r="I7062" s="5">
        <f>Tabelle13[[#This Row],[%]]+I7061</f>
        <v>0.99077413597567765</v>
      </c>
      <c r="J7062" s="4">
        <f t="shared" si="253"/>
        <v>1.105583195135434E-4</v>
      </c>
      <c r="K7062" s="5">
        <f t="shared" si="254"/>
        <v>0.78054173576571051</v>
      </c>
    </row>
    <row r="7063" spans="1:11" x14ac:dyDescent="0.25">
      <c r="A7063" t="s">
        <v>13703</v>
      </c>
      <c r="C7063" t="s">
        <v>13704</v>
      </c>
      <c r="D7063" t="s">
        <v>5</v>
      </c>
      <c r="E7063" t="s">
        <v>6</v>
      </c>
      <c r="F7063" t="s">
        <v>251</v>
      </c>
      <c r="G7063">
        <v>1</v>
      </c>
      <c r="H7063" s="2">
        <f>Tabelle13[[#This Row],[commits]]/Tabelle13[[#Totals],[commits]]</f>
        <v>4.6477904404246225E-6</v>
      </c>
      <c r="I7063" s="5">
        <f>Tabelle13[[#This Row],[%]]+I7062</f>
        <v>0.99077878376611805</v>
      </c>
      <c r="J7063" s="4">
        <f t="shared" si="253"/>
        <v>1.105583195135434E-4</v>
      </c>
      <c r="K7063" s="5">
        <f t="shared" si="254"/>
        <v>0.78065229408522407</v>
      </c>
    </row>
    <row r="7064" spans="1:11" x14ac:dyDescent="0.25">
      <c r="A7064" t="s">
        <v>13705</v>
      </c>
      <c r="C7064" t="s">
        <v>13706</v>
      </c>
      <c r="D7064" t="s">
        <v>5</v>
      </c>
      <c r="E7064" t="s">
        <v>6</v>
      </c>
      <c r="F7064" t="s">
        <v>251</v>
      </c>
      <c r="G7064">
        <v>1</v>
      </c>
      <c r="H7064" s="2">
        <f>Tabelle13[[#This Row],[commits]]/Tabelle13[[#Totals],[commits]]</f>
        <v>4.6477904404246225E-6</v>
      </c>
      <c r="I7064" s="5">
        <f>Tabelle13[[#This Row],[%]]+I7063</f>
        <v>0.99078343155655846</v>
      </c>
      <c r="J7064" s="4">
        <f t="shared" si="253"/>
        <v>1.105583195135434E-4</v>
      </c>
      <c r="K7064" s="5">
        <f t="shared" si="254"/>
        <v>0.78076285240473764</v>
      </c>
    </row>
    <row r="7065" spans="1:11" x14ac:dyDescent="0.25">
      <c r="A7065" t="s">
        <v>13707</v>
      </c>
      <c r="C7065" t="s">
        <v>13708</v>
      </c>
      <c r="D7065" t="s">
        <v>5</v>
      </c>
      <c r="E7065" t="s">
        <v>6</v>
      </c>
      <c r="F7065" t="s">
        <v>251</v>
      </c>
      <c r="G7065">
        <v>1</v>
      </c>
      <c r="H7065" s="2">
        <f>Tabelle13[[#This Row],[commits]]/Tabelle13[[#Totals],[commits]]</f>
        <v>4.6477904404246225E-6</v>
      </c>
      <c r="I7065" s="5">
        <f>Tabelle13[[#This Row],[%]]+I7064</f>
        <v>0.99078807934699886</v>
      </c>
      <c r="J7065" s="4">
        <f t="shared" si="253"/>
        <v>1.105583195135434E-4</v>
      </c>
      <c r="K7065" s="5">
        <f t="shared" si="254"/>
        <v>0.7808734107242512</v>
      </c>
    </row>
    <row r="7066" spans="1:11" x14ac:dyDescent="0.25">
      <c r="A7066" t="s">
        <v>13709</v>
      </c>
      <c r="C7066" t="s">
        <v>12436</v>
      </c>
      <c r="D7066" t="s">
        <v>5</v>
      </c>
      <c r="E7066" t="s">
        <v>6</v>
      </c>
      <c r="F7066" t="s">
        <v>251</v>
      </c>
      <c r="G7066">
        <v>1</v>
      </c>
      <c r="H7066" s="2">
        <f>Tabelle13[[#This Row],[commits]]/Tabelle13[[#Totals],[commits]]</f>
        <v>4.6477904404246225E-6</v>
      </c>
      <c r="I7066" s="5">
        <f>Tabelle13[[#This Row],[%]]+I7065</f>
        <v>0.99079272713743927</v>
      </c>
      <c r="J7066" s="4">
        <f t="shared" si="253"/>
        <v>1.105583195135434E-4</v>
      </c>
      <c r="K7066" s="5">
        <f t="shared" si="254"/>
        <v>0.78098396904376477</v>
      </c>
    </row>
    <row r="7067" spans="1:11" x14ac:dyDescent="0.25">
      <c r="A7067" t="s">
        <v>13710</v>
      </c>
      <c r="C7067" t="s">
        <v>13711</v>
      </c>
      <c r="D7067" t="s">
        <v>5</v>
      </c>
      <c r="E7067" t="s">
        <v>6</v>
      </c>
      <c r="F7067" t="s">
        <v>251</v>
      </c>
      <c r="G7067">
        <v>1</v>
      </c>
      <c r="H7067" s="2">
        <f>Tabelle13[[#This Row],[commits]]/Tabelle13[[#Totals],[commits]]</f>
        <v>4.6477904404246225E-6</v>
      </c>
      <c r="I7067" s="5">
        <f>Tabelle13[[#This Row],[%]]+I7066</f>
        <v>0.99079737492787967</v>
      </c>
      <c r="J7067" s="4">
        <f t="shared" si="253"/>
        <v>1.105583195135434E-4</v>
      </c>
      <c r="K7067" s="5">
        <f t="shared" si="254"/>
        <v>0.78109452736327833</v>
      </c>
    </row>
    <row r="7068" spans="1:11" x14ac:dyDescent="0.25">
      <c r="A7068" t="s">
        <v>13712</v>
      </c>
      <c r="C7068" t="s">
        <v>13713</v>
      </c>
      <c r="D7068" t="s">
        <v>5</v>
      </c>
      <c r="E7068" t="s">
        <v>6</v>
      </c>
      <c r="F7068" t="s">
        <v>251</v>
      </c>
      <c r="G7068">
        <v>1</v>
      </c>
      <c r="H7068" s="2">
        <f>Tabelle13[[#This Row],[commits]]/Tabelle13[[#Totals],[commits]]</f>
        <v>4.6477904404246225E-6</v>
      </c>
      <c r="I7068" s="5">
        <f>Tabelle13[[#This Row],[%]]+I7067</f>
        <v>0.99080202271832007</v>
      </c>
      <c r="J7068" s="4">
        <f t="shared" si="253"/>
        <v>1.105583195135434E-4</v>
      </c>
      <c r="K7068" s="5">
        <f t="shared" si="254"/>
        <v>0.7812050856827919</v>
      </c>
    </row>
    <row r="7069" spans="1:11" x14ac:dyDescent="0.25">
      <c r="A7069" t="s">
        <v>13714</v>
      </c>
      <c r="C7069" t="s">
        <v>13715</v>
      </c>
      <c r="D7069" t="s">
        <v>5</v>
      </c>
      <c r="E7069" t="s">
        <v>6</v>
      </c>
      <c r="F7069" t="s">
        <v>251</v>
      </c>
      <c r="G7069">
        <v>1</v>
      </c>
      <c r="H7069" s="2">
        <f>Tabelle13[[#This Row],[commits]]/Tabelle13[[#Totals],[commits]]</f>
        <v>4.6477904404246225E-6</v>
      </c>
      <c r="I7069" s="5">
        <f>Tabelle13[[#This Row],[%]]+I7068</f>
        <v>0.99080667050876048</v>
      </c>
      <c r="J7069" s="4">
        <f t="shared" si="253"/>
        <v>1.105583195135434E-4</v>
      </c>
      <c r="K7069" s="5">
        <f t="shared" si="254"/>
        <v>0.78131564400230546</v>
      </c>
    </row>
    <row r="7070" spans="1:11" x14ac:dyDescent="0.25">
      <c r="A7070" t="s">
        <v>13716</v>
      </c>
      <c r="C7070" t="s">
        <v>13717</v>
      </c>
      <c r="D7070" t="s">
        <v>5</v>
      </c>
      <c r="E7070" t="s">
        <v>6</v>
      </c>
      <c r="F7070" t="s">
        <v>251</v>
      </c>
      <c r="G7070">
        <v>1</v>
      </c>
      <c r="H7070" s="2">
        <f>Tabelle13[[#This Row],[commits]]/Tabelle13[[#Totals],[commits]]</f>
        <v>4.6477904404246225E-6</v>
      </c>
      <c r="I7070" s="5">
        <f>Tabelle13[[#This Row],[%]]+I7069</f>
        <v>0.99081131829920088</v>
      </c>
      <c r="J7070" s="4">
        <f t="shared" si="253"/>
        <v>1.105583195135434E-4</v>
      </c>
      <c r="K7070" s="5">
        <f t="shared" si="254"/>
        <v>0.78142620232181903</v>
      </c>
    </row>
    <row r="7071" spans="1:11" x14ac:dyDescent="0.25">
      <c r="A7071" t="s">
        <v>13718</v>
      </c>
      <c r="C7071" t="s">
        <v>13719</v>
      </c>
      <c r="D7071" t="s">
        <v>5</v>
      </c>
      <c r="E7071" t="s">
        <v>6</v>
      </c>
      <c r="F7071" t="s">
        <v>251</v>
      </c>
      <c r="G7071">
        <v>1</v>
      </c>
      <c r="H7071" s="2">
        <f>Tabelle13[[#This Row],[commits]]/Tabelle13[[#Totals],[commits]]</f>
        <v>4.6477904404246225E-6</v>
      </c>
      <c r="I7071" s="5">
        <f>Tabelle13[[#This Row],[%]]+I7070</f>
        <v>0.99081596608964129</v>
      </c>
      <c r="J7071" s="4">
        <f t="shared" si="253"/>
        <v>1.105583195135434E-4</v>
      </c>
      <c r="K7071" s="5">
        <f t="shared" si="254"/>
        <v>0.7815367606413326</v>
      </c>
    </row>
    <row r="7072" spans="1:11" x14ac:dyDescent="0.25">
      <c r="A7072" t="s">
        <v>13720</v>
      </c>
      <c r="C7072" t="s">
        <v>13721</v>
      </c>
      <c r="D7072" t="s">
        <v>309</v>
      </c>
      <c r="E7072" t="s">
        <v>6</v>
      </c>
      <c r="F7072" t="s">
        <v>251</v>
      </c>
      <c r="G7072">
        <v>1</v>
      </c>
      <c r="H7072" s="2">
        <f>Tabelle13[[#This Row],[commits]]/Tabelle13[[#Totals],[commits]]</f>
        <v>4.6477904404246225E-6</v>
      </c>
      <c r="I7072" s="5">
        <f>Tabelle13[[#This Row],[%]]+I7071</f>
        <v>0.99082061388008169</v>
      </c>
      <c r="J7072" s="4">
        <f t="shared" si="253"/>
        <v>1.105583195135434E-4</v>
      </c>
      <c r="K7072" s="5">
        <f t="shared" si="254"/>
        <v>0.78164731896084616</v>
      </c>
    </row>
    <row r="7073" spans="1:11" x14ac:dyDescent="0.25">
      <c r="A7073" t="s">
        <v>13722</v>
      </c>
      <c r="C7073" t="s">
        <v>13723</v>
      </c>
      <c r="D7073" t="s">
        <v>5</v>
      </c>
      <c r="E7073" t="s">
        <v>6</v>
      </c>
      <c r="F7073" t="s">
        <v>251</v>
      </c>
      <c r="G7073">
        <v>1</v>
      </c>
      <c r="H7073" s="2">
        <f>Tabelle13[[#This Row],[commits]]/Tabelle13[[#Totals],[commits]]</f>
        <v>4.6477904404246225E-6</v>
      </c>
      <c r="I7073" s="5">
        <f>Tabelle13[[#This Row],[%]]+I7072</f>
        <v>0.99082526167052209</v>
      </c>
      <c r="J7073" s="4">
        <f t="shared" si="253"/>
        <v>1.105583195135434E-4</v>
      </c>
      <c r="K7073" s="5">
        <f t="shared" si="254"/>
        <v>0.78175787728035973</v>
      </c>
    </row>
    <row r="7074" spans="1:11" x14ac:dyDescent="0.25">
      <c r="A7074" t="s">
        <v>13724</v>
      </c>
      <c r="C7074" t="s">
        <v>13725</v>
      </c>
      <c r="D7074" t="s">
        <v>5</v>
      </c>
      <c r="E7074" t="s">
        <v>6</v>
      </c>
      <c r="F7074" t="s">
        <v>251</v>
      </c>
      <c r="G7074">
        <v>1</v>
      </c>
      <c r="H7074" s="2">
        <f>Tabelle13[[#This Row],[commits]]/Tabelle13[[#Totals],[commits]]</f>
        <v>4.6477904404246225E-6</v>
      </c>
      <c r="I7074" s="5">
        <f>Tabelle13[[#This Row],[%]]+I7073</f>
        <v>0.9908299094609625</v>
      </c>
      <c r="J7074" s="4">
        <f t="shared" si="253"/>
        <v>1.105583195135434E-4</v>
      </c>
      <c r="K7074" s="5">
        <f t="shared" si="254"/>
        <v>0.78186843559987329</v>
      </c>
    </row>
    <row r="7075" spans="1:11" x14ac:dyDescent="0.25">
      <c r="A7075" t="s">
        <v>13726</v>
      </c>
      <c r="C7075" t="s">
        <v>13727</v>
      </c>
      <c r="D7075" t="s">
        <v>309</v>
      </c>
      <c r="E7075" t="s">
        <v>6</v>
      </c>
      <c r="F7075" t="s">
        <v>251</v>
      </c>
      <c r="G7075">
        <v>1</v>
      </c>
      <c r="H7075" s="2">
        <f>Tabelle13[[#This Row],[commits]]/Tabelle13[[#Totals],[commits]]</f>
        <v>4.6477904404246225E-6</v>
      </c>
      <c r="I7075" s="5">
        <f>Tabelle13[[#This Row],[%]]+I7074</f>
        <v>0.9908345572514029</v>
      </c>
      <c r="J7075" s="4">
        <f t="shared" si="253"/>
        <v>1.105583195135434E-4</v>
      </c>
      <c r="K7075" s="5">
        <f t="shared" si="254"/>
        <v>0.78197899391938686</v>
      </c>
    </row>
    <row r="7076" spans="1:11" x14ac:dyDescent="0.25">
      <c r="A7076" t="s">
        <v>13728</v>
      </c>
      <c r="C7076" t="s">
        <v>13729</v>
      </c>
      <c r="D7076" t="s">
        <v>8948</v>
      </c>
      <c r="E7076" t="s">
        <v>6</v>
      </c>
      <c r="F7076" t="s">
        <v>251</v>
      </c>
      <c r="G7076">
        <v>1</v>
      </c>
      <c r="H7076" s="2">
        <f>Tabelle13[[#This Row],[commits]]/Tabelle13[[#Totals],[commits]]</f>
        <v>4.6477904404246225E-6</v>
      </c>
      <c r="I7076" s="5">
        <f>Tabelle13[[#This Row],[%]]+I7075</f>
        <v>0.99083920504184331</v>
      </c>
      <c r="J7076" s="4">
        <f t="shared" si="253"/>
        <v>1.105583195135434E-4</v>
      </c>
      <c r="K7076" s="5">
        <f t="shared" si="254"/>
        <v>0.78208955223890042</v>
      </c>
    </row>
    <row r="7077" spans="1:11" x14ac:dyDescent="0.25">
      <c r="A7077" t="s">
        <v>13730</v>
      </c>
      <c r="C7077" t="s">
        <v>13731</v>
      </c>
      <c r="D7077" t="s">
        <v>309</v>
      </c>
      <c r="E7077" t="s">
        <v>6</v>
      </c>
      <c r="F7077" t="s">
        <v>251</v>
      </c>
      <c r="G7077">
        <v>1</v>
      </c>
      <c r="H7077" s="2">
        <f>Tabelle13[[#This Row],[commits]]/Tabelle13[[#Totals],[commits]]</f>
        <v>4.6477904404246225E-6</v>
      </c>
      <c r="I7077" s="5">
        <f>Tabelle13[[#This Row],[%]]+I7076</f>
        <v>0.99084385283228371</v>
      </c>
      <c r="J7077" s="4">
        <f t="shared" si="253"/>
        <v>1.105583195135434E-4</v>
      </c>
      <c r="K7077" s="5">
        <f t="shared" si="254"/>
        <v>0.78220011055841399</v>
      </c>
    </row>
    <row r="7078" spans="1:11" x14ac:dyDescent="0.25">
      <c r="A7078" t="s">
        <v>13732</v>
      </c>
      <c r="C7078" t="s">
        <v>13733</v>
      </c>
      <c r="D7078" t="s">
        <v>5</v>
      </c>
      <c r="E7078" t="s">
        <v>6</v>
      </c>
      <c r="F7078" t="s">
        <v>251</v>
      </c>
      <c r="G7078">
        <v>1</v>
      </c>
      <c r="H7078" s="2">
        <f>Tabelle13[[#This Row],[commits]]/Tabelle13[[#Totals],[commits]]</f>
        <v>4.6477904404246225E-6</v>
      </c>
      <c r="I7078" s="5">
        <f>Tabelle13[[#This Row],[%]]+I7077</f>
        <v>0.99084850062272412</v>
      </c>
      <c r="J7078" s="4">
        <f t="shared" si="253"/>
        <v>1.105583195135434E-4</v>
      </c>
      <c r="K7078" s="5">
        <f t="shared" si="254"/>
        <v>0.78231066887792755</v>
      </c>
    </row>
    <row r="7079" spans="1:11" x14ac:dyDescent="0.25">
      <c r="A7079" t="s">
        <v>13734</v>
      </c>
      <c r="C7079" t="s">
        <v>13735</v>
      </c>
      <c r="D7079" t="s">
        <v>5</v>
      </c>
      <c r="E7079" t="s">
        <v>6</v>
      </c>
      <c r="F7079" t="s">
        <v>251</v>
      </c>
      <c r="G7079">
        <v>1</v>
      </c>
      <c r="H7079" s="2">
        <f>Tabelle13[[#This Row],[commits]]/Tabelle13[[#Totals],[commits]]</f>
        <v>4.6477904404246225E-6</v>
      </c>
      <c r="I7079" s="5">
        <f>Tabelle13[[#This Row],[%]]+I7078</f>
        <v>0.99085314841316452</v>
      </c>
      <c r="J7079" s="4">
        <f t="shared" si="253"/>
        <v>1.105583195135434E-4</v>
      </c>
      <c r="K7079" s="5">
        <f t="shared" si="254"/>
        <v>0.78242122719744112</v>
      </c>
    </row>
    <row r="7080" spans="1:11" x14ac:dyDescent="0.25">
      <c r="A7080" t="s">
        <v>13736</v>
      </c>
      <c r="C7080" t="s">
        <v>13737</v>
      </c>
      <c r="D7080" t="s">
        <v>309</v>
      </c>
      <c r="E7080" t="s">
        <v>6</v>
      </c>
      <c r="F7080" t="s">
        <v>251</v>
      </c>
      <c r="G7080">
        <v>1</v>
      </c>
      <c r="H7080" s="2">
        <f>Tabelle13[[#This Row],[commits]]/Tabelle13[[#Totals],[commits]]</f>
        <v>4.6477904404246225E-6</v>
      </c>
      <c r="I7080" s="5">
        <f>Tabelle13[[#This Row],[%]]+I7079</f>
        <v>0.99085779620360492</v>
      </c>
      <c r="J7080" s="4">
        <f t="shared" si="253"/>
        <v>1.105583195135434E-4</v>
      </c>
      <c r="K7080" s="5">
        <f t="shared" si="254"/>
        <v>0.78253178551695468</v>
      </c>
    </row>
    <row r="7081" spans="1:11" x14ac:dyDescent="0.25">
      <c r="A7081" t="s">
        <v>13738</v>
      </c>
      <c r="C7081" t="s">
        <v>13739</v>
      </c>
      <c r="D7081" t="s">
        <v>5</v>
      </c>
      <c r="E7081" t="s">
        <v>6</v>
      </c>
      <c r="F7081" t="s">
        <v>251</v>
      </c>
      <c r="G7081">
        <v>1</v>
      </c>
      <c r="H7081" s="2">
        <f>Tabelle13[[#This Row],[commits]]/Tabelle13[[#Totals],[commits]]</f>
        <v>4.6477904404246225E-6</v>
      </c>
      <c r="I7081" s="5">
        <f>Tabelle13[[#This Row],[%]]+I7080</f>
        <v>0.99086244399404533</v>
      </c>
      <c r="J7081" s="4">
        <f t="shared" si="253"/>
        <v>1.105583195135434E-4</v>
      </c>
      <c r="K7081" s="5">
        <f t="shared" si="254"/>
        <v>0.78264234383646825</v>
      </c>
    </row>
    <row r="7082" spans="1:11" x14ac:dyDescent="0.25">
      <c r="A7082" t="s">
        <v>13740</v>
      </c>
      <c r="C7082" t="s">
        <v>13741</v>
      </c>
      <c r="D7082" t="s">
        <v>8948</v>
      </c>
      <c r="E7082" t="s">
        <v>6</v>
      </c>
      <c r="F7082" t="s">
        <v>251</v>
      </c>
      <c r="G7082">
        <v>1</v>
      </c>
      <c r="H7082" s="2">
        <f>Tabelle13[[#This Row],[commits]]/Tabelle13[[#Totals],[commits]]</f>
        <v>4.6477904404246225E-6</v>
      </c>
      <c r="I7082" s="5">
        <f>Tabelle13[[#This Row],[%]]+I7081</f>
        <v>0.99086709178448573</v>
      </c>
      <c r="J7082" s="4">
        <f t="shared" si="253"/>
        <v>1.105583195135434E-4</v>
      </c>
      <c r="K7082" s="5">
        <f t="shared" si="254"/>
        <v>0.78275290215598181</v>
      </c>
    </row>
    <row r="7083" spans="1:11" x14ac:dyDescent="0.25">
      <c r="A7083" t="s">
        <v>13742</v>
      </c>
      <c r="C7083" t="s">
        <v>13743</v>
      </c>
      <c r="D7083" t="s">
        <v>13744</v>
      </c>
      <c r="E7083" t="s">
        <v>6</v>
      </c>
      <c r="F7083" t="s">
        <v>251</v>
      </c>
      <c r="G7083">
        <v>1</v>
      </c>
      <c r="H7083" s="2">
        <f>Tabelle13[[#This Row],[commits]]/Tabelle13[[#Totals],[commits]]</f>
        <v>4.6477904404246225E-6</v>
      </c>
      <c r="I7083" s="5">
        <f>Tabelle13[[#This Row],[%]]+I7082</f>
        <v>0.99087173957492614</v>
      </c>
      <c r="J7083" s="4">
        <f t="shared" si="253"/>
        <v>1.105583195135434E-4</v>
      </c>
      <c r="K7083" s="5">
        <f t="shared" si="254"/>
        <v>0.78286346047549538</v>
      </c>
    </row>
    <row r="7084" spans="1:11" x14ac:dyDescent="0.25">
      <c r="A7084" t="s">
        <v>13745</v>
      </c>
      <c r="C7084" t="s">
        <v>13746</v>
      </c>
      <c r="D7084" t="s">
        <v>309</v>
      </c>
      <c r="E7084" t="s">
        <v>6</v>
      </c>
      <c r="F7084" t="s">
        <v>251</v>
      </c>
      <c r="G7084">
        <v>1</v>
      </c>
      <c r="H7084" s="2">
        <f>Tabelle13[[#This Row],[commits]]/Tabelle13[[#Totals],[commits]]</f>
        <v>4.6477904404246225E-6</v>
      </c>
      <c r="I7084" s="5">
        <f>Tabelle13[[#This Row],[%]]+I7083</f>
        <v>0.99087638736536654</v>
      </c>
      <c r="J7084" s="4">
        <f t="shared" si="253"/>
        <v>1.105583195135434E-4</v>
      </c>
      <c r="K7084" s="5">
        <f t="shared" si="254"/>
        <v>0.78297401879500894</v>
      </c>
    </row>
    <row r="7085" spans="1:11" x14ac:dyDescent="0.25">
      <c r="A7085" t="s">
        <v>13747</v>
      </c>
      <c r="C7085" t="s">
        <v>13748</v>
      </c>
      <c r="D7085" t="s">
        <v>309</v>
      </c>
      <c r="E7085" t="s">
        <v>6</v>
      </c>
      <c r="F7085" t="s">
        <v>251</v>
      </c>
      <c r="G7085">
        <v>1</v>
      </c>
      <c r="H7085" s="2">
        <f>Tabelle13[[#This Row],[commits]]/Tabelle13[[#Totals],[commits]]</f>
        <v>4.6477904404246225E-6</v>
      </c>
      <c r="I7085" s="5">
        <f>Tabelle13[[#This Row],[%]]+I7084</f>
        <v>0.99088103515580694</v>
      </c>
      <c r="J7085" s="4">
        <f t="shared" si="253"/>
        <v>1.105583195135434E-4</v>
      </c>
      <c r="K7085" s="5">
        <f t="shared" si="254"/>
        <v>0.78308457711452251</v>
      </c>
    </row>
    <row r="7086" spans="1:11" x14ac:dyDescent="0.25">
      <c r="A7086" t="s">
        <v>13749</v>
      </c>
      <c r="C7086" t="s">
        <v>13750</v>
      </c>
      <c r="D7086" t="s">
        <v>5</v>
      </c>
      <c r="E7086" t="s">
        <v>6</v>
      </c>
      <c r="F7086" t="s">
        <v>251</v>
      </c>
      <c r="G7086">
        <v>1</v>
      </c>
      <c r="H7086" s="2">
        <f>Tabelle13[[#This Row],[commits]]/Tabelle13[[#Totals],[commits]]</f>
        <v>4.6477904404246225E-6</v>
      </c>
      <c r="I7086" s="5">
        <f>Tabelle13[[#This Row],[%]]+I7085</f>
        <v>0.99088568294624735</v>
      </c>
      <c r="J7086" s="4">
        <f t="shared" si="253"/>
        <v>1.105583195135434E-4</v>
      </c>
      <c r="K7086" s="5">
        <f t="shared" si="254"/>
        <v>0.78319513543403607</v>
      </c>
    </row>
    <row r="7087" spans="1:11" x14ac:dyDescent="0.25">
      <c r="A7087" t="s">
        <v>13751</v>
      </c>
      <c r="C7087" t="s">
        <v>13752</v>
      </c>
      <c r="D7087" t="s">
        <v>5</v>
      </c>
      <c r="E7087" t="s">
        <v>6</v>
      </c>
      <c r="F7087" t="s">
        <v>251</v>
      </c>
      <c r="G7087">
        <v>1</v>
      </c>
      <c r="H7087" s="2">
        <f>Tabelle13[[#This Row],[commits]]/Tabelle13[[#Totals],[commits]]</f>
        <v>4.6477904404246225E-6</v>
      </c>
      <c r="I7087" s="5">
        <f>Tabelle13[[#This Row],[%]]+I7086</f>
        <v>0.99089033073668775</v>
      </c>
      <c r="J7087" s="4">
        <f t="shared" si="253"/>
        <v>1.105583195135434E-4</v>
      </c>
      <c r="K7087" s="5">
        <f t="shared" si="254"/>
        <v>0.78330569375354964</v>
      </c>
    </row>
    <row r="7088" spans="1:11" x14ac:dyDescent="0.25">
      <c r="A7088" t="s">
        <v>13753</v>
      </c>
      <c r="C7088" t="s">
        <v>13754</v>
      </c>
      <c r="D7088" t="s">
        <v>8760</v>
      </c>
      <c r="E7088" t="s">
        <v>6</v>
      </c>
      <c r="F7088" t="s">
        <v>251</v>
      </c>
      <c r="G7088">
        <v>1</v>
      </c>
      <c r="H7088" s="2">
        <f>Tabelle13[[#This Row],[commits]]/Tabelle13[[#Totals],[commits]]</f>
        <v>4.6477904404246225E-6</v>
      </c>
      <c r="I7088" s="5">
        <f>Tabelle13[[#This Row],[%]]+I7087</f>
        <v>0.99089497852712816</v>
      </c>
      <c r="J7088" s="4">
        <f t="shared" si="253"/>
        <v>1.105583195135434E-4</v>
      </c>
      <c r="K7088" s="5">
        <f t="shared" si="254"/>
        <v>0.7834162520730632</v>
      </c>
    </row>
    <row r="7089" spans="1:11" x14ac:dyDescent="0.25">
      <c r="A7089" t="s">
        <v>13755</v>
      </c>
      <c r="C7089" t="s">
        <v>13756</v>
      </c>
      <c r="D7089" t="s">
        <v>309</v>
      </c>
      <c r="E7089" t="s">
        <v>6</v>
      </c>
      <c r="F7089" t="s">
        <v>251</v>
      </c>
      <c r="G7089">
        <v>1</v>
      </c>
      <c r="H7089" s="2">
        <f>Tabelle13[[#This Row],[commits]]/Tabelle13[[#Totals],[commits]]</f>
        <v>4.6477904404246225E-6</v>
      </c>
      <c r="I7089" s="5">
        <f>Tabelle13[[#This Row],[%]]+I7088</f>
        <v>0.99089962631756856</v>
      </c>
      <c r="J7089" s="4">
        <f t="shared" si="253"/>
        <v>1.105583195135434E-4</v>
      </c>
      <c r="K7089" s="5">
        <f t="shared" si="254"/>
        <v>0.78352681039257677</v>
      </c>
    </row>
    <row r="7090" spans="1:11" x14ac:dyDescent="0.25">
      <c r="A7090" t="s">
        <v>13757</v>
      </c>
      <c r="C7090" t="s">
        <v>13758</v>
      </c>
      <c r="D7090" t="s">
        <v>5</v>
      </c>
      <c r="E7090" t="s">
        <v>6</v>
      </c>
      <c r="F7090" t="s">
        <v>251</v>
      </c>
      <c r="G7090">
        <v>1</v>
      </c>
      <c r="H7090" s="2">
        <f>Tabelle13[[#This Row],[commits]]/Tabelle13[[#Totals],[commits]]</f>
        <v>4.6477904404246225E-6</v>
      </c>
      <c r="I7090" s="5">
        <f>Tabelle13[[#This Row],[%]]+I7089</f>
        <v>0.99090427410800896</v>
      </c>
      <c r="J7090" s="4">
        <f t="shared" si="253"/>
        <v>1.105583195135434E-4</v>
      </c>
      <c r="K7090" s="5">
        <f t="shared" si="254"/>
        <v>0.78363736871209033</v>
      </c>
    </row>
    <row r="7091" spans="1:11" x14ac:dyDescent="0.25">
      <c r="A7091" t="s">
        <v>13759</v>
      </c>
      <c r="C7091" t="s">
        <v>13760</v>
      </c>
      <c r="D7091" t="s">
        <v>309</v>
      </c>
      <c r="E7091" t="s">
        <v>6</v>
      </c>
      <c r="F7091" t="s">
        <v>251</v>
      </c>
      <c r="G7091">
        <v>1</v>
      </c>
      <c r="H7091" s="2">
        <f>Tabelle13[[#This Row],[commits]]/Tabelle13[[#Totals],[commits]]</f>
        <v>4.6477904404246225E-6</v>
      </c>
      <c r="I7091" s="5">
        <f>Tabelle13[[#This Row],[%]]+I7090</f>
        <v>0.99090892189844937</v>
      </c>
      <c r="J7091" s="4">
        <f t="shared" si="253"/>
        <v>1.105583195135434E-4</v>
      </c>
      <c r="K7091" s="5">
        <f t="shared" si="254"/>
        <v>0.7837479270316039</v>
      </c>
    </row>
    <row r="7092" spans="1:11" x14ac:dyDescent="0.25">
      <c r="A7092" t="s">
        <v>13761</v>
      </c>
      <c r="C7092" t="s">
        <v>13762</v>
      </c>
      <c r="D7092" t="s">
        <v>12540</v>
      </c>
      <c r="E7092" t="s">
        <v>6</v>
      </c>
      <c r="F7092" t="s">
        <v>251</v>
      </c>
      <c r="G7092">
        <v>1</v>
      </c>
      <c r="H7092" s="2">
        <f>Tabelle13[[#This Row],[commits]]/Tabelle13[[#Totals],[commits]]</f>
        <v>4.6477904404246225E-6</v>
      </c>
      <c r="I7092" s="5">
        <f>Tabelle13[[#This Row],[%]]+I7091</f>
        <v>0.99091356968888977</v>
      </c>
      <c r="J7092" s="4">
        <f t="shared" si="253"/>
        <v>1.105583195135434E-4</v>
      </c>
      <c r="K7092" s="5">
        <f t="shared" si="254"/>
        <v>0.78385848535111746</v>
      </c>
    </row>
    <row r="7093" spans="1:11" x14ac:dyDescent="0.25">
      <c r="A7093" t="s">
        <v>13763</v>
      </c>
      <c r="C7093" t="s">
        <v>13764</v>
      </c>
      <c r="D7093" t="s">
        <v>309</v>
      </c>
      <c r="E7093" t="s">
        <v>6</v>
      </c>
      <c r="F7093" t="s">
        <v>251</v>
      </c>
      <c r="G7093">
        <v>1</v>
      </c>
      <c r="H7093" s="2">
        <f>Tabelle13[[#This Row],[commits]]/Tabelle13[[#Totals],[commits]]</f>
        <v>4.6477904404246225E-6</v>
      </c>
      <c r="I7093" s="5">
        <f>Tabelle13[[#This Row],[%]]+I7092</f>
        <v>0.99091821747933018</v>
      </c>
      <c r="J7093" s="4">
        <f t="shared" si="253"/>
        <v>1.105583195135434E-4</v>
      </c>
      <c r="K7093" s="5">
        <f t="shared" si="254"/>
        <v>0.78396904367063103</v>
      </c>
    </row>
    <row r="7094" spans="1:11" x14ac:dyDescent="0.25">
      <c r="A7094" t="s">
        <v>13765</v>
      </c>
      <c r="C7094" t="s">
        <v>13766</v>
      </c>
      <c r="D7094" t="s">
        <v>5</v>
      </c>
      <c r="E7094" t="s">
        <v>6</v>
      </c>
      <c r="F7094" t="s">
        <v>251</v>
      </c>
      <c r="G7094">
        <v>1</v>
      </c>
      <c r="H7094" s="2">
        <f>Tabelle13[[#This Row],[commits]]/Tabelle13[[#Totals],[commits]]</f>
        <v>4.6477904404246225E-6</v>
      </c>
      <c r="I7094" s="5">
        <f>Tabelle13[[#This Row],[%]]+I7093</f>
        <v>0.99092286526977058</v>
      </c>
      <c r="J7094" s="4">
        <f t="shared" si="253"/>
        <v>1.105583195135434E-4</v>
      </c>
      <c r="K7094" s="5">
        <f t="shared" si="254"/>
        <v>0.78407960199014459</v>
      </c>
    </row>
    <row r="7095" spans="1:11" x14ac:dyDescent="0.25">
      <c r="A7095" t="s">
        <v>13767</v>
      </c>
      <c r="C7095" t="s">
        <v>13768</v>
      </c>
      <c r="D7095" t="s">
        <v>5</v>
      </c>
      <c r="E7095" t="s">
        <v>6</v>
      </c>
      <c r="F7095" t="s">
        <v>251</v>
      </c>
      <c r="G7095">
        <v>1</v>
      </c>
      <c r="H7095" s="2">
        <f>Tabelle13[[#This Row],[commits]]/Tabelle13[[#Totals],[commits]]</f>
        <v>4.6477904404246225E-6</v>
      </c>
      <c r="I7095" s="5">
        <f>Tabelle13[[#This Row],[%]]+I7094</f>
        <v>0.99092751306021098</v>
      </c>
      <c r="J7095" s="4">
        <f t="shared" si="253"/>
        <v>1.105583195135434E-4</v>
      </c>
      <c r="K7095" s="5">
        <f t="shared" si="254"/>
        <v>0.78419016030965816</v>
      </c>
    </row>
    <row r="7096" spans="1:11" x14ac:dyDescent="0.25">
      <c r="A7096" t="s">
        <v>13769</v>
      </c>
      <c r="C7096" t="s">
        <v>13770</v>
      </c>
      <c r="D7096" t="s">
        <v>5</v>
      </c>
      <c r="E7096" t="s">
        <v>6</v>
      </c>
      <c r="F7096" t="s">
        <v>251</v>
      </c>
      <c r="G7096">
        <v>1</v>
      </c>
      <c r="H7096" s="2">
        <f>Tabelle13[[#This Row],[commits]]/Tabelle13[[#Totals],[commits]]</f>
        <v>4.6477904404246225E-6</v>
      </c>
      <c r="I7096" s="5">
        <f>Tabelle13[[#This Row],[%]]+I7095</f>
        <v>0.99093216085065139</v>
      </c>
      <c r="J7096" s="4">
        <f t="shared" si="253"/>
        <v>1.105583195135434E-4</v>
      </c>
      <c r="K7096" s="5">
        <f t="shared" si="254"/>
        <v>0.78430071862917172</v>
      </c>
    </row>
    <row r="7097" spans="1:11" x14ac:dyDescent="0.25">
      <c r="A7097" t="s">
        <v>13771</v>
      </c>
      <c r="C7097" t="s">
        <v>13772</v>
      </c>
      <c r="D7097" t="s">
        <v>309</v>
      </c>
      <c r="E7097" t="s">
        <v>6</v>
      </c>
      <c r="F7097" t="s">
        <v>251</v>
      </c>
      <c r="G7097">
        <v>1</v>
      </c>
      <c r="H7097" s="2">
        <f>Tabelle13[[#This Row],[commits]]/Tabelle13[[#Totals],[commits]]</f>
        <v>4.6477904404246225E-6</v>
      </c>
      <c r="I7097" s="5">
        <f>Tabelle13[[#This Row],[%]]+I7096</f>
        <v>0.99093680864109179</v>
      </c>
      <c r="J7097" s="4">
        <f t="shared" si="253"/>
        <v>1.105583195135434E-4</v>
      </c>
      <c r="K7097" s="5">
        <f t="shared" si="254"/>
        <v>0.78441127694868529</v>
      </c>
    </row>
    <row r="7098" spans="1:11" x14ac:dyDescent="0.25">
      <c r="A7098" t="s">
        <v>13773</v>
      </c>
      <c r="C7098" t="s">
        <v>13774</v>
      </c>
      <c r="D7098" t="s">
        <v>5</v>
      </c>
      <c r="E7098" t="s">
        <v>6</v>
      </c>
      <c r="F7098" t="s">
        <v>251</v>
      </c>
      <c r="G7098">
        <v>1</v>
      </c>
      <c r="H7098" s="2">
        <f>Tabelle13[[#This Row],[commits]]/Tabelle13[[#Totals],[commits]]</f>
        <v>4.6477904404246225E-6</v>
      </c>
      <c r="I7098" s="5">
        <f>Tabelle13[[#This Row],[%]]+I7097</f>
        <v>0.9909414564315322</v>
      </c>
      <c r="J7098" s="4">
        <f t="shared" si="253"/>
        <v>1.105583195135434E-4</v>
      </c>
      <c r="K7098" s="5">
        <f t="shared" si="254"/>
        <v>0.78452183526819885</v>
      </c>
    </row>
    <row r="7099" spans="1:11" x14ac:dyDescent="0.25">
      <c r="A7099" t="s">
        <v>13775</v>
      </c>
      <c r="C7099" t="s">
        <v>13776</v>
      </c>
      <c r="D7099" t="s">
        <v>5</v>
      </c>
      <c r="E7099" t="s">
        <v>6</v>
      </c>
      <c r="F7099" t="s">
        <v>251</v>
      </c>
      <c r="G7099">
        <v>1</v>
      </c>
      <c r="H7099" s="2">
        <f>Tabelle13[[#This Row],[commits]]/Tabelle13[[#Totals],[commits]]</f>
        <v>4.6477904404246225E-6</v>
      </c>
      <c r="I7099" s="5">
        <f>Tabelle13[[#This Row],[%]]+I7098</f>
        <v>0.9909461042219726</v>
      </c>
      <c r="J7099" s="4">
        <f t="shared" si="253"/>
        <v>1.105583195135434E-4</v>
      </c>
      <c r="K7099" s="5">
        <f t="shared" si="254"/>
        <v>0.78463239358771242</v>
      </c>
    </row>
    <row r="7100" spans="1:11" x14ac:dyDescent="0.25">
      <c r="A7100" t="s">
        <v>13777</v>
      </c>
      <c r="C7100" t="s">
        <v>13778</v>
      </c>
      <c r="D7100" t="s">
        <v>5</v>
      </c>
      <c r="E7100" t="s">
        <v>6</v>
      </c>
      <c r="F7100" t="s">
        <v>251</v>
      </c>
      <c r="G7100">
        <v>1</v>
      </c>
      <c r="H7100" s="2">
        <f>Tabelle13[[#This Row],[commits]]/Tabelle13[[#Totals],[commits]]</f>
        <v>4.6477904404246225E-6</v>
      </c>
      <c r="I7100" s="5">
        <f>Tabelle13[[#This Row],[%]]+I7099</f>
        <v>0.99095075201241301</v>
      </c>
      <c r="J7100" s="4">
        <f t="shared" si="253"/>
        <v>1.105583195135434E-4</v>
      </c>
      <c r="K7100" s="5">
        <f t="shared" si="254"/>
        <v>0.78474295190722598</v>
      </c>
    </row>
    <row r="7101" spans="1:11" x14ac:dyDescent="0.25">
      <c r="A7101" t="s">
        <v>13779</v>
      </c>
      <c r="C7101" t="s">
        <v>13780</v>
      </c>
      <c r="D7101" t="s">
        <v>309</v>
      </c>
      <c r="E7101" t="s">
        <v>6</v>
      </c>
      <c r="F7101" t="s">
        <v>251</v>
      </c>
      <c r="G7101">
        <v>1</v>
      </c>
      <c r="H7101" s="2">
        <f>Tabelle13[[#This Row],[commits]]/Tabelle13[[#Totals],[commits]]</f>
        <v>4.6477904404246225E-6</v>
      </c>
      <c r="I7101" s="5">
        <f>Tabelle13[[#This Row],[%]]+I7100</f>
        <v>0.99095539980285341</v>
      </c>
      <c r="J7101" s="4">
        <f t="shared" si="253"/>
        <v>1.105583195135434E-4</v>
      </c>
      <c r="K7101" s="5">
        <f t="shared" si="254"/>
        <v>0.78485351022673955</v>
      </c>
    </row>
    <row r="7102" spans="1:11" x14ac:dyDescent="0.25">
      <c r="A7102" t="s">
        <v>13781</v>
      </c>
      <c r="C7102" t="s">
        <v>13782</v>
      </c>
      <c r="D7102" t="s">
        <v>309</v>
      </c>
      <c r="E7102" t="s">
        <v>6</v>
      </c>
      <c r="F7102" t="s">
        <v>251</v>
      </c>
      <c r="G7102">
        <v>1</v>
      </c>
      <c r="H7102" s="2">
        <f>Tabelle13[[#This Row],[commits]]/Tabelle13[[#Totals],[commits]]</f>
        <v>4.6477904404246225E-6</v>
      </c>
      <c r="I7102" s="5">
        <f>Tabelle13[[#This Row],[%]]+I7101</f>
        <v>0.99096004759329381</v>
      </c>
      <c r="J7102" s="4">
        <f t="shared" si="253"/>
        <v>1.105583195135434E-4</v>
      </c>
      <c r="K7102" s="5">
        <f t="shared" si="254"/>
        <v>0.78496406854625311</v>
      </c>
    </row>
    <row r="7103" spans="1:11" x14ac:dyDescent="0.25">
      <c r="A7103" t="s">
        <v>13783</v>
      </c>
      <c r="C7103" t="s">
        <v>13784</v>
      </c>
      <c r="D7103" t="s">
        <v>5</v>
      </c>
      <c r="E7103" t="s">
        <v>6</v>
      </c>
      <c r="F7103" t="s">
        <v>251</v>
      </c>
      <c r="G7103">
        <v>1</v>
      </c>
      <c r="H7103" s="2">
        <f>Tabelle13[[#This Row],[commits]]/Tabelle13[[#Totals],[commits]]</f>
        <v>4.6477904404246225E-6</v>
      </c>
      <c r="I7103" s="5">
        <f>Tabelle13[[#This Row],[%]]+I7102</f>
        <v>0.99096469538373422</v>
      </c>
      <c r="J7103" s="4">
        <f t="shared" si="253"/>
        <v>1.105583195135434E-4</v>
      </c>
      <c r="K7103" s="5">
        <f t="shared" si="254"/>
        <v>0.78507462686576668</v>
      </c>
    </row>
    <row r="7104" spans="1:11" x14ac:dyDescent="0.25">
      <c r="A7104" t="s">
        <v>13785</v>
      </c>
      <c r="C7104" t="s">
        <v>13786</v>
      </c>
      <c r="D7104" t="s">
        <v>7531</v>
      </c>
      <c r="E7104" t="s">
        <v>6</v>
      </c>
      <c r="F7104" t="s">
        <v>251</v>
      </c>
      <c r="G7104">
        <v>1</v>
      </c>
      <c r="H7104" s="2">
        <f>Tabelle13[[#This Row],[commits]]/Tabelle13[[#Totals],[commits]]</f>
        <v>4.6477904404246225E-6</v>
      </c>
      <c r="I7104" s="5">
        <f>Tabelle13[[#This Row],[%]]+I7103</f>
        <v>0.99096934317417462</v>
      </c>
      <c r="J7104" s="4">
        <f t="shared" si="253"/>
        <v>1.105583195135434E-4</v>
      </c>
      <c r="K7104" s="5">
        <f t="shared" si="254"/>
        <v>0.78518518518528024</v>
      </c>
    </row>
    <row r="7105" spans="1:11" x14ac:dyDescent="0.25">
      <c r="A7105" t="s">
        <v>13787</v>
      </c>
      <c r="C7105" t="s">
        <v>13788</v>
      </c>
      <c r="D7105" t="s">
        <v>309</v>
      </c>
      <c r="E7105" t="s">
        <v>6</v>
      </c>
      <c r="F7105" t="s">
        <v>251</v>
      </c>
      <c r="G7105">
        <v>1</v>
      </c>
      <c r="H7105" s="2">
        <f>Tabelle13[[#This Row],[commits]]/Tabelle13[[#Totals],[commits]]</f>
        <v>4.6477904404246225E-6</v>
      </c>
      <c r="I7105" s="5">
        <f>Tabelle13[[#This Row],[%]]+I7104</f>
        <v>0.99097399096461503</v>
      </c>
      <c r="J7105" s="4">
        <f t="shared" si="253"/>
        <v>1.105583195135434E-4</v>
      </c>
      <c r="K7105" s="5">
        <f t="shared" si="254"/>
        <v>0.78529574350479381</v>
      </c>
    </row>
    <row r="7106" spans="1:11" x14ac:dyDescent="0.25">
      <c r="A7106" t="s">
        <v>13789</v>
      </c>
      <c r="C7106" t="s">
        <v>13790</v>
      </c>
      <c r="D7106" t="s">
        <v>5</v>
      </c>
      <c r="E7106" t="s">
        <v>6</v>
      </c>
      <c r="F7106" t="s">
        <v>251</v>
      </c>
      <c r="G7106">
        <v>1</v>
      </c>
      <c r="H7106" s="2">
        <f>Tabelle13[[#This Row],[commits]]/Tabelle13[[#Totals],[commits]]</f>
        <v>4.6477904404246225E-6</v>
      </c>
      <c r="I7106" s="5">
        <f>Tabelle13[[#This Row],[%]]+I7105</f>
        <v>0.99097863875505543</v>
      </c>
      <c r="J7106" s="4">
        <f t="shared" si="253"/>
        <v>1.105583195135434E-4</v>
      </c>
      <c r="K7106" s="5">
        <f t="shared" si="254"/>
        <v>0.78540630182430737</v>
      </c>
    </row>
    <row r="7107" spans="1:11" x14ac:dyDescent="0.25">
      <c r="A7107" t="s">
        <v>13791</v>
      </c>
      <c r="C7107" t="s">
        <v>13792</v>
      </c>
      <c r="D7107" t="s">
        <v>309</v>
      </c>
      <c r="E7107" t="s">
        <v>6</v>
      </c>
      <c r="F7107" t="s">
        <v>251</v>
      </c>
      <c r="G7107">
        <v>1</v>
      </c>
      <c r="H7107" s="2">
        <f>Tabelle13[[#This Row],[commits]]/Tabelle13[[#Totals],[commits]]</f>
        <v>4.6477904404246225E-6</v>
      </c>
      <c r="I7107" s="5">
        <f>Tabelle13[[#This Row],[%]]+I7106</f>
        <v>0.99098328654549583</v>
      </c>
      <c r="J7107" s="4">
        <f t="shared" ref="J7107:J7170" si="255">1/9045</f>
        <v>1.105583195135434E-4</v>
      </c>
      <c r="K7107" s="5">
        <f t="shared" si="254"/>
        <v>0.78551686014382094</v>
      </c>
    </row>
    <row r="7108" spans="1:11" x14ac:dyDescent="0.25">
      <c r="A7108" t="s">
        <v>13793</v>
      </c>
      <c r="C7108" t="s">
        <v>13794</v>
      </c>
      <c r="D7108" t="s">
        <v>5</v>
      </c>
      <c r="E7108" t="s">
        <v>6</v>
      </c>
      <c r="F7108" t="s">
        <v>251</v>
      </c>
      <c r="G7108">
        <v>1</v>
      </c>
      <c r="H7108" s="2">
        <f>Tabelle13[[#This Row],[commits]]/Tabelle13[[#Totals],[commits]]</f>
        <v>4.6477904404246225E-6</v>
      </c>
      <c r="I7108" s="5">
        <f>Tabelle13[[#This Row],[%]]+I7107</f>
        <v>0.99098793433593624</v>
      </c>
      <c r="J7108" s="4">
        <f t="shared" si="255"/>
        <v>1.105583195135434E-4</v>
      </c>
      <c r="K7108" s="5">
        <f t="shared" si="254"/>
        <v>0.7856274184633345</v>
      </c>
    </row>
    <row r="7109" spans="1:11" x14ac:dyDescent="0.25">
      <c r="A7109" t="s">
        <v>13795</v>
      </c>
      <c r="C7109" t="s">
        <v>13796</v>
      </c>
      <c r="D7109" t="s">
        <v>309</v>
      </c>
      <c r="E7109" t="s">
        <v>6</v>
      </c>
      <c r="F7109" t="s">
        <v>251</v>
      </c>
      <c r="G7109">
        <v>1</v>
      </c>
      <c r="H7109" s="2">
        <f>Tabelle13[[#This Row],[commits]]/Tabelle13[[#Totals],[commits]]</f>
        <v>4.6477904404246225E-6</v>
      </c>
      <c r="I7109" s="5">
        <f>Tabelle13[[#This Row],[%]]+I7108</f>
        <v>0.99099258212637664</v>
      </c>
      <c r="J7109" s="4">
        <f t="shared" si="255"/>
        <v>1.105583195135434E-4</v>
      </c>
      <c r="K7109" s="5">
        <f t="shared" si="254"/>
        <v>0.78573797678284807</v>
      </c>
    </row>
    <row r="7110" spans="1:11" x14ac:dyDescent="0.25">
      <c r="A7110" t="s">
        <v>13797</v>
      </c>
      <c r="C7110" t="s">
        <v>13798</v>
      </c>
      <c r="D7110" t="s">
        <v>8760</v>
      </c>
      <c r="E7110" t="s">
        <v>6</v>
      </c>
      <c r="F7110" t="s">
        <v>251</v>
      </c>
      <c r="G7110">
        <v>1</v>
      </c>
      <c r="H7110" s="2">
        <f>Tabelle13[[#This Row],[commits]]/Tabelle13[[#Totals],[commits]]</f>
        <v>4.6477904404246225E-6</v>
      </c>
      <c r="I7110" s="5">
        <f>Tabelle13[[#This Row],[%]]+I7109</f>
        <v>0.99099722991681705</v>
      </c>
      <c r="J7110" s="4">
        <f t="shared" si="255"/>
        <v>1.105583195135434E-4</v>
      </c>
      <c r="K7110" s="5">
        <f t="shared" ref="K7110:K7173" si="256">J7110+K7109</f>
        <v>0.78584853510236163</v>
      </c>
    </row>
    <row r="7111" spans="1:11" x14ac:dyDescent="0.25">
      <c r="A7111" t="s">
        <v>13799</v>
      </c>
      <c r="C7111" t="s">
        <v>13800</v>
      </c>
      <c r="D7111" t="s">
        <v>309</v>
      </c>
      <c r="E7111" t="s">
        <v>6</v>
      </c>
      <c r="F7111" t="s">
        <v>251</v>
      </c>
      <c r="G7111">
        <v>1</v>
      </c>
      <c r="H7111" s="2">
        <f>Tabelle13[[#This Row],[commits]]/Tabelle13[[#Totals],[commits]]</f>
        <v>4.6477904404246225E-6</v>
      </c>
      <c r="I7111" s="5">
        <f>Tabelle13[[#This Row],[%]]+I7110</f>
        <v>0.99100187770725745</v>
      </c>
      <c r="J7111" s="4">
        <f t="shared" si="255"/>
        <v>1.105583195135434E-4</v>
      </c>
      <c r="K7111" s="5">
        <f t="shared" si="256"/>
        <v>0.7859590934218752</v>
      </c>
    </row>
    <row r="7112" spans="1:11" x14ac:dyDescent="0.25">
      <c r="A7112" t="s">
        <v>13801</v>
      </c>
      <c r="C7112" t="s">
        <v>13802</v>
      </c>
      <c r="D7112" t="s">
        <v>309</v>
      </c>
      <c r="E7112" t="s">
        <v>6</v>
      </c>
      <c r="F7112" t="s">
        <v>251</v>
      </c>
      <c r="G7112">
        <v>1</v>
      </c>
      <c r="H7112" s="2">
        <f>Tabelle13[[#This Row],[commits]]/Tabelle13[[#Totals],[commits]]</f>
        <v>4.6477904404246225E-6</v>
      </c>
      <c r="I7112" s="5">
        <f>Tabelle13[[#This Row],[%]]+I7111</f>
        <v>0.99100652549769785</v>
      </c>
      <c r="J7112" s="4">
        <f t="shared" si="255"/>
        <v>1.105583195135434E-4</v>
      </c>
      <c r="K7112" s="5">
        <f t="shared" si="256"/>
        <v>0.78606965174138876</v>
      </c>
    </row>
    <row r="7113" spans="1:11" x14ac:dyDescent="0.25">
      <c r="A7113" t="s">
        <v>13803</v>
      </c>
      <c r="C7113" t="s">
        <v>13804</v>
      </c>
      <c r="D7113" t="s">
        <v>309</v>
      </c>
      <c r="E7113" t="s">
        <v>6</v>
      </c>
      <c r="F7113" t="s">
        <v>251</v>
      </c>
      <c r="G7113">
        <v>1</v>
      </c>
      <c r="H7113" s="2">
        <f>Tabelle13[[#This Row],[commits]]/Tabelle13[[#Totals],[commits]]</f>
        <v>4.6477904404246225E-6</v>
      </c>
      <c r="I7113" s="5">
        <f>Tabelle13[[#This Row],[%]]+I7112</f>
        <v>0.99101117328813826</v>
      </c>
      <c r="J7113" s="4">
        <f t="shared" si="255"/>
        <v>1.105583195135434E-4</v>
      </c>
      <c r="K7113" s="5">
        <f t="shared" si="256"/>
        <v>0.78618021006090233</v>
      </c>
    </row>
    <row r="7114" spans="1:11" x14ac:dyDescent="0.25">
      <c r="A7114" t="s">
        <v>13805</v>
      </c>
      <c r="C7114" t="s">
        <v>13806</v>
      </c>
      <c r="D7114" t="s">
        <v>309</v>
      </c>
      <c r="E7114" t="s">
        <v>6</v>
      </c>
      <c r="F7114" t="s">
        <v>251</v>
      </c>
      <c r="G7114">
        <v>1</v>
      </c>
      <c r="H7114" s="2">
        <f>Tabelle13[[#This Row],[commits]]/Tabelle13[[#Totals],[commits]]</f>
        <v>4.6477904404246225E-6</v>
      </c>
      <c r="I7114" s="5">
        <f>Tabelle13[[#This Row],[%]]+I7113</f>
        <v>0.99101582107857866</v>
      </c>
      <c r="J7114" s="4">
        <f t="shared" si="255"/>
        <v>1.105583195135434E-4</v>
      </c>
      <c r="K7114" s="5">
        <f t="shared" si="256"/>
        <v>0.78629076838041589</v>
      </c>
    </row>
    <row r="7115" spans="1:11" x14ac:dyDescent="0.25">
      <c r="A7115" t="s">
        <v>13807</v>
      </c>
      <c r="C7115" t="s">
        <v>13808</v>
      </c>
      <c r="D7115" t="s">
        <v>309</v>
      </c>
      <c r="E7115" t="s">
        <v>6</v>
      </c>
      <c r="F7115" t="s">
        <v>251</v>
      </c>
      <c r="G7115">
        <v>1</v>
      </c>
      <c r="H7115" s="2">
        <f>Tabelle13[[#This Row],[commits]]/Tabelle13[[#Totals],[commits]]</f>
        <v>4.6477904404246225E-6</v>
      </c>
      <c r="I7115" s="5">
        <f>Tabelle13[[#This Row],[%]]+I7114</f>
        <v>0.99102046886901907</v>
      </c>
      <c r="J7115" s="4">
        <f t="shared" si="255"/>
        <v>1.105583195135434E-4</v>
      </c>
      <c r="K7115" s="5">
        <f t="shared" si="256"/>
        <v>0.78640132669992946</v>
      </c>
    </row>
    <row r="7116" spans="1:11" x14ac:dyDescent="0.25">
      <c r="A7116" t="s">
        <v>13809</v>
      </c>
      <c r="C7116" t="s">
        <v>13810</v>
      </c>
      <c r="D7116" t="s">
        <v>5</v>
      </c>
      <c r="E7116" t="s">
        <v>6</v>
      </c>
      <c r="F7116" t="s">
        <v>251</v>
      </c>
      <c r="G7116">
        <v>1</v>
      </c>
      <c r="H7116" s="2">
        <f>Tabelle13[[#This Row],[commits]]/Tabelle13[[#Totals],[commits]]</f>
        <v>4.6477904404246225E-6</v>
      </c>
      <c r="I7116" s="5">
        <f>Tabelle13[[#This Row],[%]]+I7115</f>
        <v>0.99102511665945947</v>
      </c>
      <c r="J7116" s="4">
        <f t="shared" si="255"/>
        <v>1.105583195135434E-4</v>
      </c>
      <c r="K7116" s="5">
        <f t="shared" si="256"/>
        <v>0.78651188501944302</v>
      </c>
    </row>
    <row r="7117" spans="1:11" x14ac:dyDescent="0.25">
      <c r="A7117" t="s">
        <v>13811</v>
      </c>
      <c r="C7117" t="s">
        <v>13812</v>
      </c>
      <c r="D7117" t="s">
        <v>5</v>
      </c>
      <c r="E7117" t="s">
        <v>6</v>
      </c>
      <c r="F7117" t="s">
        <v>251</v>
      </c>
      <c r="G7117">
        <v>1</v>
      </c>
      <c r="H7117" s="2">
        <f>Tabelle13[[#This Row],[commits]]/Tabelle13[[#Totals],[commits]]</f>
        <v>4.6477904404246225E-6</v>
      </c>
      <c r="I7117" s="5">
        <f>Tabelle13[[#This Row],[%]]+I7116</f>
        <v>0.99102976444989987</v>
      </c>
      <c r="J7117" s="4">
        <f t="shared" si="255"/>
        <v>1.105583195135434E-4</v>
      </c>
      <c r="K7117" s="5">
        <f t="shared" si="256"/>
        <v>0.78662244333895659</v>
      </c>
    </row>
    <row r="7118" spans="1:11" x14ac:dyDescent="0.25">
      <c r="A7118" t="s">
        <v>13813</v>
      </c>
      <c r="C7118" t="s">
        <v>13814</v>
      </c>
      <c r="D7118" t="s">
        <v>5</v>
      </c>
      <c r="E7118" t="s">
        <v>6</v>
      </c>
      <c r="F7118" t="s">
        <v>251</v>
      </c>
      <c r="G7118">
        <v>1</v>
      </c>
      <c r="H7118" s="2">
        <f>Tabelle13[[#This Row],[commits]]/Tabelle13[[#Totals],[commits]]</f>
        <v>4.6477904404246225E-6</v>
      </c>
      <c r="I7118" s="5">
        <f>Tabelle13[[#This Row],[%]]+I7117</f>
        <v>0.99103441224034028</v>
      </c>
      <c r="J7118" s="4">
        <f t="shared" si="255"/>
        <v>1.105583195135434E-4</v>
      </c>
      <c r="K7118" s="5">
        <f t="shared" si="256"/>
        <v>0.78673300165847015</v>
      </c>
    </row>
    <row r="7119" spans="1:11" x14ac:dyDescent="0.25">
      <c r="A7119" t="s">
        <v>13815</v>
      </c>
      <c r="C7119" t="s">
        <v>13816</v>
      </c>
      <c r="D7119" t="s">
        <v>5</v>
      </c>
      <c r="E7119" t="s">
        <v>6</v>
      </c>
      <c r="F7119" t="s">
        <v>251</v>
      </c>
      <c r="G7119">
        <v>1</v>
      </c>
      <c r="H7119" s="2">
        <f>Tabelle13[[#This Row],[commits]]/Tabelle13[[#Totals],[commits]]</f>
        <v>4.6477904404246225E-6</v>
      </c>
      <c r="I7119" s="5">
        <f>Tabelle13[[#This Row],[%]]+I7118</f>
        <v>0.99103906003078068</v>
      </c>
      <c r="J7119" s="4">
        <f t="shared" si="255"/>
        <v>1.105583195135434E-4</v>
      </c>
      <c r="K7119" s="5">
        <f t="shared" si="256"/>
        <v>0.78684355997798372</v>
      </c>
    </row>
    <row r="7120" spans="1:11" x14ac:dyDescent="0.25">
      <c r="A7120" t="s">
        <v>13817</v>
      </c>
      <c r="C7120" t="s">
        <v>13818</v>
      </c>
      <c r="D7120" t="s">
        <v>5</v>
      </c>
      <c r="E7120" t="s">
        <v>6</v>
      </c>
      <c r="F7120" t="s">
        <v>251</v>
      </c>
      <c r="G7120">
        <v>1</v>
      </c>
      <c r="H7120" s="2">
        <f>Tabelle13[[#This Row],[commits]]/Tabelle13[[#Totals],[commits]]</f>
        <v>4.6477904404246225E-6</v>
      </c>
      <c r="I7120" s="5">
        <f>Tabelle13[[#This Row],[%]]+I7119</f>
        <v>0.99104370782122109</v>
      </c>
      <c r="J7120" s="4">
        <f t="shared" si="255"/>
        <v>1.105583195135434E-4</v>
      </c>
      <c r="K7120" s="5">
        <f t="shared" si="256"/>
        <v>0.78695411829749728</v>
      </c>
    </row>
    <row r="7121" spans="1:11" x14ac:dyDescent="0.25">
      <c r="A7121" t="s">
        <v>13819</v>
      </c>
      <c r="C7121" t="s">
        <v>13820</v>
      </c>
      <c r="D7121" t="s">
        <v>309</v>
      </c>
      <c r="E7121" t="s">
        <v>6</v>
      </c>
      <c r="F7121" t="s">
        <v>251</v>
      </c>
      <c r="G7121">
        <v>1</v>
      </c>
      <c r="H7121" s="2">
        <f>Tabelle13[[#This Row],[commits]]/Tabelle13[[#Totals],[commits]]</f>
        <v>4.6477904404246225E-6</v>
      </c>
      <c r="I7121" s="5">
        <f>Tabelle13[[#This Row],[%]]+I7120</f>
        <v>0.99104835561166149</v>
      </c>
      <c r="J7121" s="4">
        <f t="shared" si="255"/>
        <v>1.105583195135434E-4</v>
      </c>
      <c r="K7121" s="5">
        <f t="shared" si="256"/>
        <v>0.78706467661701085</v>
      </c>
    </row>
    <row r="7122" spans="1:11" x14ac:dyDescent="0.25">
      <c r="A7122" t="s">
        <v>13821</v>
      </c>
      <c r="C7122" t="s">
        <v>13822</v>
      </c>
      <c r="D7122" t="s">
        <v>5</v>
      </c>
      <c r="E7122" t="s">
        <v>6</v>
      </c>
      <c r="F7122" t="s">
        <v>251</v>
      </c>
      <c r="G7122">
        <v>1</v>
      </c>
      <c r="H7122" s="2">
        <f>Tabelle13[[#This Row],[commits]]/Tabelle13[[#Totals],[commits]]</f>
        <v>4.6477904404246225E-6</v>
      </c>
      <c r="I7122" s="5">
        <f>Tabelle13[[#This Row],[%]]+I7121</f>
        <v>0.9910530034021019</v>
      </c>
      <c r="J7122" s="4">
        <f t="shared" si="255"/>
        <v>1.105583195135434E-4</v>
      </c>
      <c r="K7122" s="5">
        <f t="shared" si="256"/>
        <v>0.78717523493652442</v>
      </c>
    </row>
    <row r="7123" spans="1:11" x14ac:dyDescent="0.25">
      <c r="A7123" t="s">
        <v>13823</v>
      </c>
      <c r="C7123" t="s">
        <v>13824</v>
      </c>
      <c r="D7123" t="s">
        <v>5</v>
      </c>
      <c r="E7123" t="s">
        <v>6</v>
      </c>
      <c r="F7123" t="s">
        <v>251</v>
      </c>
      <c r="G7123">
        <v>1</v>
      </c>
      <c r="H7123" s="2">
        <f>Tabelle13[[#This Row],[commits]]/Tabelle13[[#Totals],[commits]]</f>
        <v>4.6477904404246225E-6</v>
      </c>
      <c r="I7123" s="5">
        <f>Tabelle13[[#This Row],[%]]+I7122</f>
        <v>0.9910576511925423</v>
      </c>
      <c r="J7123" s="4">
        <f t="shared" si="255"/>
        <v>1.105583195135434E-4</v>
      </c>
      <c r="K7123" s="5">
        <f t="shared" si="256"/>
        <v>0.78728579325603798</v>
      </c>
    </row>
    <row r="7124" spans="1:11" x14ac:dyDescent="0.25">
      <c r="A7124" t="s">
        <v>13825</v>
      </c>
      <c r="C7124" t="s">
        <v>13826</v>
      </c>
      <c r="D7124" t="s">
        <v>5</v>
      </c>
      <c r="E7124" t="s">
        <v>6</v>
      </c>
      <c r="F7124" t="s">
        <v>251</v>
      </c>
      <c r="G7124">
        <v>1</v>
      </c>
      <c r="H7124" s="2">
        <f>Tabelle13[[#This Row],[commits]]/Tabelle13[[#Totals],[commits]]</f>
        <v>4.6477904404246225E-6</v>
      </c>
      <c r="I7124" s="5">
        <f>Tabelle13[[#This Row],[%]]+I7123</f>
        <v>0.9910622989829827</v>
      </c>
      <c r="J7124" s="4">
        <f t="shared" si="255"/>
        <v>1.105583195135434E-4</v>
      </c>
      <c r="K7124" s="5">
        <f t="shared" si="256"/>
        <v>0.78739635157555155</v>
      </c>
    </row>
    <row r="7125" spans="1:11" x14ac:dyDescent="0.25">
      <c r="A7125" t="s">
        <v>13827</v>
      </c>
      <c r="C7125" t="s">
        <v>13828</v>
      </c>
      <c r="D7125" t="s">
        <v>8874</v>
      </c>
      <c r="E7125" t="s">
        <v>6</v>
      </c>
      <c r="F7125" t="s">
        <v>251</v>
      </c>
      <c r="G7125">
        <v>1</v>
      </c>
      <c r="H7125" s="2">
        <f>Tabelle13[[#This Row],[commits]]/Tabelle13[[#Totals],[commits]]</f>
        <v>4.6477904404246225E-6</v>
      </c>
      <c r="I7125" s="5">
        <f>Tabelle13[[#This Row],[%]]+I7124</f>
        <v>0.99106694677342311</v>
      </c>
      <c r="J7125" s="4">
        <f t="shared" si="255"/>
        <v>1.105583195135434E-4</v>
      </c>
      <c r="K7125" s="5">
        <f t="shared" si="256"/>
        <v>0.78750690989506511</v>
      </c>
    </row>
    <row r="7126" spans="1:11" x14ac:dyDescent="0.25">
      <c r="A7126" t="s">
        <v>13829</v>
      </c>
      <c r="C7126" t="s">
        <v>13830</v>
      </c>
      <c r="D7126" t="s">
        <v>5</v>
      </c>
      <c r="E7126" t="s">
        <v>6</v>
      </c>
      <c r="F7126" t="s">
        <v>251</v>
      </c>
      <c r="G7126">
        <v>1</v>
      </c>
      <c r="H7126" s="2">
        <f>Tabelle13[[#This Row],[commits]]/Tabelle13[[#Totals],[commits]]</f>
        <v>4.6477904404246225E-6</v>
      </c>
      <c r="I7126" s="5">
        <f>Tabelle13[[#This Row],[%]]+I7125</f>
        <v>0.99107159456386351</v>
      </c>
      <c r="J7126" s="4">
        <f t="shared" si="255"/>
        <v>1.105583195135434E-4</v>
      </c>
      <c r="K7126" s="5">
        <f t="shared" si="256"/>
        <v>0.78761746821457868</v>
      </c>
    </row>
    <row r="7127" spans="1:11" x14ac:dyDescent="0.25">
      <c r="A7127" t="s">
        <v>13831</v>
      </c>
      <c r="C7127" t="s">
        <v>13832</v>
      </c>
      <c r="D7127" t="s">
        <v>13833</v>
      </c>
      <c r="E7127" t="s">
        <v>6</v>
      </c>
      <c r="F7127" t="s">
        <v>251</v>
      </c>
      <c r="G7127">
        <v>1</v>
      </c>
      <c r="H7127" s="2">
        <f>Tabelle13[[#This Row],[commits]]/Tabelle13[[#Totals],[commits]]</f>
        <v>4.6477904404246225E-6</v>
      </c>
      <c r="I7127" s="5">
        <f>Tabelle13[[#This Row],[%]]+I7126</f>
        <v>0.99107624235430392</v>
      </c>
      <c r="J7127" s="4">
        <f t="shared" si="255"/>
        <v>1.105583195135434E-4</v>
      </c>
      <c r="K7127" s="5">
        <f t="shared" si="256"/>
        <v>0.78772802653409224</v>
      </c>
    </row>
    <row r="7128" spans="1:11" x14ac:dyDescent="0.25">
      <c r="A7128" t="s">
        <v>13834</v>
      </c>
      <c r="C7128" t="s">
        <v>13835</v>
      </c>
      <c r="D7128" t="s">
        <v>309</v>
      </c>
      <c r="E7128" t="s">
        <v>6</v>
      </c>
      <c r="F7128" t="s">
        <v>251</v>
      </c>
      <c r="G7128">
        <v>1</v>
      </c>
      <c r="H7128" s="2">
        <f>Tabelle13[[#This Row],[commits]]/Tabelle13[[#Totals],[commits]]</f>
        <v>4.6477904404246225E-6</v>
      </c>
      <c r="I7128" s="5">
        <f>Tabelle13[[#This Row],[%]]+I7127</f>
        <v>0.99108089014474432</v>
      </c>
      <c r="J7128" s="4">
        <f t="shared" si="255"/>
        <v>1.105583195135434E-4</v>
      </c>
      <c r="K7128" s="5">
        <f t="shared" si="256"/>
        <v>0.78783858485360581</v>
      </c>
    </row>
    <row r="7129" spans="1:11" x14ac:dyDescent="0.25">
      <c r="A7129" t="s">
        <v>13836</v>
      </c>
      <c r="C7129" t="s">
        <v>13837</v>
      </c>
      <c r="D7129" t="s">
        <v>5</v>
      </c>
      <c r="E7129" t="s">
        <v>6</v>
      </c>
      <c r="F7129" t="s">
        <v>251</v>
      </c>
      <c r="G7129">
        <v>1</v>
      </c>
      <c r="H7129" s="2">
        <f>Tabelle13[[#This Row],[commits]]/Tabelle13[[#Totals],[commits]]</f>
        <v>4.6477904404246225E-6</v>
      </c>
      <c r="I7129" s="5">
        <f>Tabelle13[[#This Row],[%]]+I7128</f>
        <v>0.99108553793518472</v>
      </c>
      <c r="J7129" s="4">
        <f t="shared" si="255"/>
        <v>1.105583195135434E-4</v>
      </c>
      <c r="K7129" s="5">
        <f t="shared" si="256"/>
        <v>0.78794914317311937</v>
      </c>
    </row>
    <row r="7130" spans="1:11" x14ac:dyDescent="0.25">
      <c r="A7130" t="s">
        <v>13838</v>
      </c>
      <c r="C7130" t="s">
        <v>13839</v>
      </c>
      <c r="D7130" t="s">
        <v>5</v>
      </c>
      <c r="E7130" t="s">
        <v>6</v>
      </c>
      <c r="F7130" t="s">
        <v>251</v>
      </c>
      <c r="G7130">
        <v>1</v>
      </c>
      <c r="H7130" s="2">
        <f>Tabelle13[[#This Row],[commits]]/Tabelle13[[#Totals],[commits]]</f>
        <v>4.6477904404246225E-6</v>
      </c>
      <c r="I7130" s="5">
        <f>Tabelle13[[#This Row],[%]]+I7129</f>
        <v>0.99109018572562513</v>
      </c>
      <c r="J7130" s="4">
        <f t="shared" si="255"/>
        <v>1.105583195135434E-4</v>
      </c>
      <c r="K7130" s="5">
        <f t="shared" si="256"/>
        <v>0.78805970149263294</v>
      </c>
    </row>
    <row r="7131" spans="1:11" x14ac:dyDescent="0.25">
      <c r="A7131" t="s">
        <v>13840</v>
      </c>
      <c r="C7131" t="s">
        <v>13841</v>
      </c>
      <c r="D7131" t="s">
        <v>5</v>
      </c>
      <c r="E7131" t="s">
        <v>6</v>
      </c>
      <c r="F7131" t="s">
        <v>251</v>
      </c>
      <c r="G7131">
        <v>1</v>
      </c>
      <c r="H7131" s="2">
        <f>Tabelle13[[#This Row],[commits]]/Tabelle13[[#Totals],[commits]]</f>
        <v>4.6477904404246225E-6</v>
      </c>
      <c r="I7131" s="5">
        <f>Tabelle13[[#This Row],[%]]+I7130</f>
        <v>0.99109483351606553</v>
      </c>
      <c r="J7131" s="4">
        <f t="shared" si="255"/>
        <v>1.105583195135434E-4</v>
      </c>
      <c r="K7131" s="5">
        <f t="shared" si="256"/>
        <v>0.7881702598121465</v>
      </c>
    </row>
    <row r="7132" spans="1:11" x14ac:dyDescent="0.25">
      <c r="A7132" t="s">
        <v>13842</v>
      </c>
      <c r="C7132" t="s">
        <v>13843</v>
      </c>
      <c r="D7132" t="s">
        <v>8757</v>
      </c>
      <c r="E7132" t="s">
        <v>6</v>
      </c>
      <c r="F7132" t="s">
        <v>251</v>
      </c>
      <c r="G7132">
        <v>1</v>
      </c>
      <c r="H7132" s="2">
        <f>Tabelle13[[#This Row],[commits]]/Tabelle13[[#Totals],[commits]]</f>
        <v>4.6477904404246225E-6</v>
      </c>
      <c r="I7132" s="5">
        <f>Tabelle13[[#This Row],[%]]+I7131</f>
        <v>0.99109948130650594</v>
      </c>
      <c r="J7132" s="4">
        <f t="shared" si="255"/>
        <v>1.105583195135434E-4</v>
      </c>
      <c r="K7132" s="5">
        <f t="shared" si="256"/>
        <v>0.78828081813166007</v>
      </c>
    </row>
    <row r="7133" spans="1:11" x14ac:dyDescent="0.25">
      <c r="A7133" t="s">
        <v>13844</v>
      </c>
      <c r="C7133" t="s">
        <v>13845</v>
      </c>
      <c r="D7133" t="s">
        <v>7531</v>
      </c>
      <c r="E7133" t="s">
        <v>6</v>
      </c>
      <c r="F7133" t="s">
        <v>251</v>
      </c>
      <c r="G7133">
        <v>1</v>
      </c>
      <c r="H7133" s="2">
        <f>Tabelle13[[#This Row],[commits]]/Tabelle13[[#Totals],[commits]]</f>
        <v>4.6477904404246225E-6</v>
      </c>
      <c r="I7133" s="5">
        <f>Tabelle13[[#This Row],[%]]+I7132</f>
        <v>0.99110412909694634</v>
      </c>
      <c r="J7133" s="4">
        <f t="shared" si="255"/>
        <v>1.105583195135434E-4</v>
      </c>
      <c r="K7133" s="5">
        <f t="shared" si="256"/>
        <v>0.78839137645117363</v>
      </c>
    </row>
    <row r="7134" spans="1:11" x14ac:dyDescent="0.25">
      <c r="A7134" t="s">
        <v>13846</v>
      </c>
      <c r="C7134" t="s">
        <v>13847</v>
      </c>
      <c r="D7134" t="s">
        <v>5</v>
      </c>
      <c r="E7134" t="s">
        <v>6</v>
      </c>
      <c r="F7134" t="s">
        <v>251</v>
      </c>
      <c r="G7134">
        <v>1</v>
      </c>
      <c r="H7134" s="2">
        <f>Tabelle13[[#This Row],[commits]]/Tabelle13[[#Totals],[commits]]</f>
        <v>4.6477904404246225E-6</v>
      </c>
      <c r="I7134" s="5">
        <f>Tabelle13[[#This Row],[%]]+I7133</f>
        <v>0.99110877688738674</v>
      </c>
      <c r="J7134" s="4">
        <f t="shared" si="255"/>
        <v>1.105583195135434E-4</v>
      </c>
      <c r="K7134" s="5">
        <f t="shared" si="256"/>
        <v>0.7885019347706872</v>
      </c>
    </row>
    <row r="7135" spans="1:11" x14ac:dyDescent="0.25">
      <c r="A7135" t="s">
        <v>13848</v>
      </c>
      <c r="C7135" t="s">
        <v>13849</v>
      </c>
      <c r="D7135" t="s">
        <v>5</v>
      </c>
      <c r="E7135" t="s">
        <v>6</v>
      </c>
      <c r="F7135" t="s">
        <v>251</v>
      </c>
      <c r="G7135">
        <v>1</v>
      </c>
      <c r="H7135" s="2">
        <f>Tabelle13[[#This Row],[commits]]/Tabelle13[[#Totals],[commits]]</f>
        <v>4.6477904404246225E-6</v>
      </c>
      <c r="I7135" s="5">
        <f>Tabelle13[[#This Row],[%]]+I7134</f>
        <v>0.99111342467782715</v>
      </c>
      <c r="J7135" s="4">
        <f t="shared" si="255"/>
        <v>1.105583195135434E-4</v>
      </c>
      <c r="K7135" s="5">
        <f t="shared" si="256"/>
        <v>0.78861249309020076</v>
      </c>
    </row>
    <row r="7136" spans="1:11" x14ac:dyDescent="0.25">
      <c r="A7136" t="s">
        <v>13850</v>
      </c>
      <c r="C7136" t="s">
        <v>13851</v>
      </c>
      <c r="D7136" t="s">
        <v>309</v>
      </c>
      <c r="E7136" t="s">
        <v>6</v>
      </c>
      <c r="F7136" t="s">
        <v>251</v>
      </c>
      <c r="G7136">
        <v>1</v>
      </c>
      <c r="H7136" s="2">
        <f>Tabelle13[[#This Row],[commits]]/Tabelle13[[#Totals],[commits]]</f>
        <v>4.6477904404246225E-6</v>
      </c>
      <c r="I7136" s="5">
        <f>Tabelle13[[#This Row],[%]]+I7135</f>
        <v>0.99111807246826755</v>
      </c>
      <c r="J7136" s="4">
        <f t="shared" si="255"/>
        <v>1.105583195135434E-4</v>
      </c>
      <c r="K7136" s="5">
        <f t="shared" si="256"/>
        <v>0.78872305140971433</v>
      </c>
    </row>
    <row r="7137" spans="1:11" x14ac:dyDescent="0.25">
      <c r="A7137" t="s">
        <v>13852</v>
      </c>
      <c r="C7137" t="s">
        <v>13853</v>
      </c>
      <c r="D7137" t="s">
        <v>8760</v>
      </c>
      <c r="E7137" t="s">
        <v>6</v>
      </c>
      <c r="F7137" t="s">
        <v>251</v>
      </c>
      <c r="G7137">
        <v>1</v>
      </c>
      <c r="H7137" s="2">
        <f>Tabelle13[[#This Row],[commits]]/Tabelle13[[#Totals],[commits]]</f>
        <v>4.6477904404246225E-6</v>
      </c>
      <c r="I7137" s="5">
        <f>Tabelle13[[#This Row],[%]]+I7136</f>
        <v>0.99112272025870796</v>
      </c>
      <c r="J7137" s="4">
        <f t="shared" si="255"/>
        <v>1.105583195135434E-4</v>
      </c>
      <c r="K7137" s="5">
        <f t="shared" si="256"/>
        <v>0.78883360972922789</v>
      </c>
    </row>
    <row r="7138" spans="1:11" x14ac:dyDescent="0.25">
      <c r="A7138" t="s">
        <v>13854</v>
      </c>
      <c r="C7138" t="s">
        <v>13855</v>
      </c>
      <c r="D7138" t="s">
        <v>309</v>
      </c>
      <c r="E7138" t="s">
        <v>6</v>
      </c>
      <c r="F7138" t="s">
        <v>251</v>
      </c>
      <c r="G7138">
        <v>1</v>
      </c>
      <c r="H7138" s="2">
        <f>Tabelle13[[#This Row],[commits]]/Tabelle13[[#Totals],[commits]]</f>
        <v>4.6477904404246225E-6</v>
      </c>
      <c r="I7138" s="5">
        <f>Tabelle13[[#This Row],[%]]+I7137</f>
        <v>0.99112736804914836</v>
      </c>
      <c r="J7138" s="4">
        <f t="shared" si="255"/>
        <v>1.105583195135434E-4</v>
      </c>
      <c r="K7138" s="5">
        <f t="shared" si="256"/>
        <v>0.78894416804874146</v>
      </c>
    </row>
    <row r="7139" spans="1:11" x14ac:dyDescent="0.25">
      <c r="A7139" t="s">
        <v>13856</v>
      </c>
      <c r="C7139" t="s">
        <v>13857</v>
      </c>
      <c r="D7139" t="s">
        <v>5</v>
      </c>
      <c r="E7139" t="s">
        <v>6</v>
      </c>
      <c r="F7139" t="s">
        <v>251</v>
      </c>
      <c r="G7139">
        <v>1</v>
      </c>
      <c r="H7139" s="2">
        <f>Tabelle13[[#This Row],[commits]]/Tabelle13[[#Totals],[commits]]</f>
        <v>4.6477904404246225E-6</v>
      </c>
      <c r="I7139" s="5">
        <f>Tabelle13[[#This Row],[%]]+I7138</f>
        <v>0.99113201583958876</v>
      </c>
      <c r="J7139" s="4">
        <f t="shared" si="255"/>
        <v>1.105583195135434E-4</v>
      </c>
      <c r="K7139" s="5">
        <f t="shared" si="256"/>
        <v>0.78905472636825502</v>
      </c>
    </row>
    <row r="7140" spans="1:11" x14ac:dyDescent="0.25">
      <c r="A7140" t="s">
        <v>13858</v>
      </c>
      <c r="C7140" t="s">
        <v>13859</v>
      </c>
      <c r="D7140" t="s">
        <v>309</v>
      </c>
      <c r="E7140" t="s">
        <v>6</v>
      </c>
      <c r="F7140" t="s">
        <v>251</v>
      </c>
      <c r="G7140">
        <v>1</v>
      </c>
      <c r="H7140" s="2">
        <f>Tabelle13[[#This Row],[commits]]/Tabelle13[[#Totals],[commits]]</f>
        <v>4.6477904404246225E-6</v>
      </c>
      <c r="I7140" s="5">
        <f>Tabelle13[[#This Row],[%]]+I7139</f>
        <v>0.99113666363002917</v>
      </c>
      <c r="J7140" s="4">
        <f t="shared" si="255"/>
        <v>1.105583195135434E-4</v>
      </c>
      <c r="K7140" s="5">
        <f t="shared" si="256"/>
        <v>0.78916528468776859</v>
      </c>
    </row>
    <row r="7141" spans="1:11" x14ac:dyDescent="0.25">
      <c r="A7141" t="s">
        <v>13860</v>
      </c>
      <c r="C7141" t="s">
        <v>13861</v>
      </c>
      <c r="D7141" t="s">
        <v>5</v>
      </c>
      <c r="E7141" t="s">
        <v>6</v>
      </c>
      <c r="F7141" t="s">
        <v>251</v>
      </c>
      <c r="G7141">
        <v>1</v>
      </c>
      <c r="H7141" s="2">
        <f>Tabelle13[[#This Row],[commits]]/Tabelle13[[#Totals],[commits]]</f>
        <v>4.6477904404246225E-6</v>
      </c>
      <c r="I7141" s="5">
        <f>Tabelle13[[#This Row],[%]]+I7140</f>
        <v>0.99114131142046957</v>
      </c>
      <c r="J7141" s="4">
        <f t="shared" si="255"/>
        <v>1.105583195135434E-4</v>
      </c>
      <c r="K7141" s="5">
        <f t="shared" si="256"/>
        <v>0.78927584300728215</v>
      </c>
    </row>
    <row r="7142" spans="1:11" x14ac:dyDescent="0.25">
      <c r="A7142" t="s">
        <v>13862</v>
      </c>
      <c r="C7142" t="s">
        <v>13863</v>
      </c>
      <c r="D7142" t="s">
        <v>9035</v>
      </c>
      <c r="E7142" t="s">
        <v>6</v>
      </c>
      <c r="F7142" t="s">
        <v>251</v>
      </c>
      <c r="G7142">
        <v>1</v>
      </c>
      <c r="H7142" s="2">
        <f>Tabelle13[[#This Row],[commits]]/Tabelle13[[#Totals],[commits]]</f>
        <v>4.6477904404246225E-6</v>
      </c>
      <c r="I7142" s="5">
        <f>Tabelle13[[#This Row],[%]]+I7141</f>
        <v>0.99114595921090998</v>
      </c>
      <c r="J7142" s="4">
        <f t="shared" si="255"/>
        <v>1.105583195135434E-4</v>
      </c>
      <c r="K7142" s="5">
        <f t="shared" si="256"/>
        <v>0.78938640132679572</v>
      </c>
    </row>
    <row r="7143" spans="1:11" x14ac:dyDescent="0.25">
      <c r="A7143" t="s">
        <v>13864</v>
      </c>
      <c r="C7143" t="s">
        <v>13865</v>
      </c>
      <c r="D7143" t="s">
        <v>5</v>
      </c>
      <c r="E7143" t="s">
        <v>6</v>
      </c>
      <c r="F7143" t="s">
        <v>251</v>
      </c>
      <c r="G7143">
        <v>1</v>
      </c>
      <c r="H7143" s="2">
        <f>Tabelle13[[#This Row],[commits]]/Tabelle13[[#Totals],[commits]]</f>
        <v>4.6477904404246225E-6</v>
      </c>
      <c r="I7143" s="5">
        <f>Tabelle13[[#This Row],[%]]+I7142</f>
        <v>0.99115060700135038</v>
      </c>
      <c r="J7143" s="4">
        <f t="shared" si="255"/>
        <v>1.105583195135434E-4</v>
      </c>
      <c r="K7143" s="5">
        <f t="shared" si="256"/>
        <v>0.78949695964630928</v>
      </c>
    </row>
    <row r="7144" spans="1:11" x14ac:dyDescent="0.25">
      <c r="A7144" t="s">
        <v>13866</v>
      </c>
      <c r="C7144" t="s">
        <v>13867</v>
      </c>
      <c r="D7144" t="s">
        <v>5</v>
      </c>
      <c r="E7144" t="s">
        <v>6</v>
      </c>
      <c r="F7144" t="s">
        <v>251</v>
      </c>
      <c r="G7144">
        <v>1</v>
      </c>
      <c r="H7144" s="2">
        <f>Tabelle13[[#This Row],[commits]]/Tabelle13[[#Totals],[commits]]</f>
        <v>4.6477904404246225E-6</v>
      </c>
      <c r="I7144" s="5">
        <f>Tabelle13[[#This Row],[%]]+I7143</f>
        <v>0.99115525479179079</v>
      </c>
      <c r="J7144" s="4">
        <f t="shared" si="255"/>
        <v>1.105583195135434E-4</v>
      </c>
      <c r="K7144" s="5">
        <f t="shared" si="256"/>
        <v>0.78960751796582285</v>
      </c>
    </row>
    <row r="7145" spans="1:11" x14ac:dyDescent="0.25">
      <c r="A7145" t="s">
        <v>13868</v>
      </c>
      <c r="C7145" t="s">
        <v>13869</v>
      </c>
      <c r="D7145" t="s">
        <v>5</v>
      </c>
      <c r="E7145" t="s">
        <v>6</v>
      </c>
      <c r="F7145" t="s">
        <v>251</v>
      </c>
      <c r="G7145">
        <v>1</v>
      </c>
      <c r="H7145" s="2">
        <f>Tabelle13[[#This Row],[commits]]/Tabelle13[[#Totals],[commits]]</f>
        <v>4.6477904404246225E-6</v>
      </c>
      <c r="I7145" s="5">
        <f>Tabelle13[[#This Row],[%]]+I7144</f>
        <v>0.99115990258223119</v>
      </c>
      <c r="J7145" s="4">
        <f t="shared" si="255"/>
        <v>1.105583195135434E-4</v>
      </c>
      <c r="K7145" s="5">
        <f t="shared" si="256"/>
        <v>0.78971807628533641</v>
      </c>
    </row>
    <row r="7146" spans="1:11" x14ac:dyDescent="0.25">
      <c r="A7146" t="s">
        <v>13870</v>
      </c>
      <c r="C7146" t="s">
        <v>13871</v>
      </c>
      <c r="D7146" t="s">
        <v>5</v>
      </c>
      <c r="E7146" t="s">
        <v>6</v>
      </c>
      <c r="F7146" t="s">
        <v>251</v>
      </c>
      <c r="G7146">
        <v>1</v>
      </c>
      <c r="H7146" s="2">
        <f>Tabelle13[[#This Row],[commits]]/Tabelle13[[#Totals],[commits]]</f>
        <v>4.6477904404246225E-6</v>
      </c>
      <c r="I7146" s="5">
        <f>Tabelle13[[#This Row],[%]]+I7145</f>
        <v>0.99116455037267159</v>
      </c>
      <c r="J7146" s="4">
        <f t="shared" si="255"/>
        <v>1.105583195135434E-4</v>
      </c>
      <c r="K7146" s="5">
        <f t="shared" si="256"/>
        <v>0.78982863460484998</v>
      </c>
    </row>
    <row r="7147" spans="1:11" x14ac:dyDescent="0.25">
      <c r="A7147" t="s">
        <v>13872</v>
      </c>
      <c r="C7147" t="s">
        <v>13873</v>
      </c>
      <c r="D7147" t="s">
        <v>5</v>
      </c>
      <c r="E7147" t="s">
        <v>6</v>
      </c>
      <c r="F7147" t="s">
        <v>251</v>
      </c>
      <c r="G7147">
        <v>1</v>
      </c>
      <c r="H7147" s="2">
        <f>Tabelle13[[#This Row],[commits]]/Tabelle13[[#Totals],[commits]]</f>
        <v>4.6477904404246225E-6</v>
      </c>
      <c r="I7147" s="5">
        <f>Tabelle13[[#This Row],[%]]+I7146</f>
        <v>0.991169198163112</v>
      </c>
      <c r="J7147" s="4">
        <f t="shared" si="255"/>
        <v>1.105583195135434E-4</v>
      </c>
      <c r="K7147" s="5">
        <f t="shared" si="256"/>
        <v>0.78993919292436354</v>
      </c>
    </row>
    <row r="7148" spans="1:11" x14ac:dyDescent="0.25">
      <c r="A7148" t="s">
        <v>13874</v>
      </c>
      <c r="C7148" t="s">
        <v>13875</v>
      </c>
      <c r="D7148" t="s">
        <v>5</v>
      </c>
      <c r="E7148" t="s">
        <v>6</v>
      </c>
      <c r="F7148" t="s">
        <v>251</v>
      </c>
      <c r="G7148">
        <v>1</v>
      </c>
      <c r="H7148" s="2">
        <f>Tabelle13[[#This Row],[commits]]/Tabelle13[[#Totals],[commits]]</f>
        <v>4.6477904404246225E-6</v>
      </c>
      <c r="I7148" s="5">
        <f>Tabelle13[[#This Row],[%]]+I7147</f>
        <v>0.9911738459535524</v>
      </c>
      <c r="J7148" s="4">
        <f t="shared" si="255"/>
        <v>1.105583195135434E-4</v>
      </c>
      <c r="K7148" s="5">
        <f t="shared" si="256"/>
        <v>0.79004975124387711</v>
      </c>
    </row>
    <row r="7149" spans="1:11" x14ac:dyDescent="0.25">
      <c r="A7149" t="s">
        <v>13876</v>
      </c>
      <c r="C7149" t="s">
        <v>13877</v>
      </c>
      <c r="D7149" t="s">
        <v>309</v>
      </c>
      <c r="E7149" t="s">
        <v>6</v>
      </c>
      <c r="F7149" t="s">
        <v>251</v>
      </c>
      <c r="G7149">
        <v>1</v>
      </c>
      <c r="H7149" s="2">
        <f>Tabelle13[[#This Row],[commits]]/Tabelle13[[#Totals],[commits]]</f>
        <v>4.6477904404246225E-6</v>
      </c>
      <c r="I7149" s="5">
        <f>Tabelle13[[#This Row],[%]]+I7148</f>
        <v>0.99117849374399281</v>
      </c>
      <c r="J7149" s="4">
        <f t="shared" si="255"/>
        <v>1.105583195135434E-4</v>
      </c>
      <c r="K7149" s="5">
        <f t="shared" si="256"/>
        <v>0.79016030956339067</v>
      </c>
    </row>
    <row r="7150" spans="1:11" x14ac:dyDescent="0.25">
      <c r="A7150" t="s">
        <v>13878</v>
      </c>
      <c r="C7150" t="s">
        <v>13879</v>
      </c>
      <c r="D7150" t="s">
        <v>5</v>
      </c>
      <c r="E7150" t="s">
        <v>6</v>
      </c>
      <c r="F7150" t="s">
        <v>251</v>
      </c>
      <c r="G7150">
        <v>1</v>
      </c>
      <c r="H7150" s="2">
        <f>Tabelle13[[#This Row],[commits]]/Tabelle13[[#Totals],[commits]]</f>
        <v>4.6477904404246225E-6</v>
      </c>
      <c r="I7150" s="5">
        <f>Tabelle13[[#This Row],[%]]+I7149</f>
        <v>0.99118314153443321</v>
      </c>
      <c r="J7150" s="4">
        <f t="shared" si="255"/>
        <v>1.105583195135434E-4</v>
      </c>
      <c r="K7150" s="5">
        <f t="shared" si="256"/>
        <v>0.79027086788290424</v>
      </c>
    </row>
    <row r="7151" spans="1:11" x14ac:dyDescent="0.25">
      <c r="A7151" t="s">
        <v>13880</v>
      </c>
      <c r="C7151" t="s">
        <v>13881</v>
      </c>
      <c r="D7151" t="s">
        <v>5</v>
      </c>
      <c r="E7151" t="s">
        <v>6</v>
      </c>
      <c r="F7151" t="s">
        <v>251</v>
      </c>
      <c r="G7151">
        <v>1</v>
      </c>
      <c r="H7151" s="2">
        <f>Tabelle13[[#This Row],[commits]]/Tabelle13[[#Totals],[commits]]</f>
        <v>4.6477904404246225E-6</v>
      </c>
      <c r="I7151" s="5">
        <f>Tabelle13[[#This Row],[%]]+I7150</f>
        <v>0.99118778932487361</v>
      </c>
      <c r="J7151" s="4">
        <f t="shared" si="255"/>
        <v>1.105583195135434E-4</v>
      </c>
      <c r="K7151" s="5">
        <f t="shared" si="256"/>
        <v>0.7903814262024178</v>
      </c>
    </row>
    <row r="7152" spans="1:11" x14ac:dyDescent="0.25">
      <c r="A7152" t="s">
        <v>13882</v>
      </c>
      <c r="C7152" t="s">
        <v>13883</v>
      </c>
      <c r="D7152" t="s">
        <v>309</v>
      </c>
      <c r="E7152" t="s">
        <v>6</v>
      </c>
      <c r="F7152" t="s">
        <v>251</v>
      </c>
      <c r="G7152">
        <v>1</v>
      </c>
      <c r="H7152" s="2">
        <f>Tabelle13[[#This Row],[commits]]/Tabelle13[[#Totals],[commits]]</f>
        <v>4.6477904404246225E-6</v>
      </c>
      <c r="I7152" s="5">
        <f>Tabelle13[[#This Row],[%]]+I7151</f>
        <v>0.99119243711531402</v>
      </c>
      <c r="J7152" s="4">
        <f t="shared" si="255"/>
        <v>1.105583195135434E-4</v>
      </c>
      <c r="K7152" s="5">
        <f t="shared" si="256"/>
        <v>0.79049198452193137</v>
      </c>
    </row>
    <row r="7153" spans="1:11" x14ac:dyDescent="0.25">
      <c r="A7153" t="s">
        <v>13884</v>
      </c>
      <c r="C7153" t="s">
        <v>13885</v>
      </c>
      <c r="D7153" t="s">
        <v>5</v>
      </c>
      <c r="E7153" t="s">
        <v>6</v>
      </c>
      <c r="F7153" t="s">
        <v>251</v>
      </c>
      <c r="G7153">
        <v>1</v>
      </c>
      <c r="H7153" s="2">
        <f>Tabelle13[[#This Row],[commits]]/Tabelle13[[#Totals],[commits]]</f>
        <v>4.6477904404246225E-6</v>
      </c>
      <c r="I7153" s="5">
        <f>Tabelle13[[#This Row],[%]]+I7152</f>
        <v>0.99119708490575442</v>
      </c>
      <c r="J7153" s="4">
        <f t="shared" si="255"/>
        <v>1.105583195135434E-4</v>
      </c>
      <c r="K7153" s="5">
        <f t="shared" si="256"/>
        <v>0.79060254284144493</v>
      </c>
    </row>
    <row r="7154" spans="1:11" x14ac:dyDescent="0.25">
      <c r="A7154" t="s">
        <v>13886</v>
      </c>
      <c r="C7154" t="s">
        <v>13887</v>
      </c>
      <c r="D7154" t="s">
        <v>309</v>
      </c>
      <c r="E7154" t="s">
        <v>6</v>
      </c>
      <c r="F7154" t="s">
        <v>251</v>
      </c>
      <c r="G7154">
        <v>1</v>
      </c>
      <c r="H7154" s="2">
        <f>Tabelle13[[#This Row],[commits]]/Tabelle13[[#Totals],[commits]]</f>
        <v>4.6477904404246225E-6</v>
      </c>
      <c r="I7154" s="5">
        <f>Tabelle13[[#This Row],[%]]+I7153</f>
        <v>0.99120173269619483</v>
      </c>
      <c r="J7154" s="4">
        <f t="shared" si="255"/>
        <v>1.105583195135434E-4</v>
      </c>
      <c r="K7154" s="5">
        <f t="shared" si="256"/>
        <v>0.7907131011609585</v>
      </c>
    </row>
    <row r="7155" spans="1:11" x14ac:dyDescent="0.25">
      <c r="A7155" t="s">
        <v>13888</v>
      </c>
      <c r="C7155" t="s">
        <v>13889</v>
      </c>
      <c r="D7155" t="s">
        <v>5</v>
      </c>
      <c r="E7155" t="s">
        <v>6</v>
      </c>
      <c r="F7155" t="s">
        <v>251</v>
      </c>
      <c r="G7155">
        <v>1</v>
      </c>
      <c r="H7155" s="2">
        <f>Tabelle13[[#This Row],[commits]]/Tabelle13[[#Totals],[commits]]</f>
        <v>4.6477904404246225E-6</v>
      </c>
      <c r="I7155" s="5">
        <f>Tabelle13[[#This Row],[%]]+I7154</f>
        <v>0.99120638048663523</v>
      </c>
      <c r="J7155" s="4">
        <f t="shared" si="255"/>
        <v>1.105583195135434E-4</v>
      </c>
      <c r="K7155" s="5">
        <f t="shared" si="256"/>
        <v>0.79082365948047206</v>
      </c>
    </row>
    <row r="7156" spans="1:11" x14ac:dyDescent="0.25">
      <c r="A7156" t="s">
        <v>13890</v>
      </c>
      <c r="C7156" t="s">
        <v>13891</v>
      </c>
      <c r="D7156" t="s">
        <v>309</v>
      </c>
      <c r="E7156" t="s">
        <v>6</v>
      </c>
      <c r="F7156" t="s">
        <v>251</v>
      </c>
      <c r="G7156">
        <v>1</v>
      </c>
      <c r="H7156" s="2">
        <f>Tabelle13[[#This Row],[commits]]/Tabelle13[[#Totals],[commits]]</f>
        <v>4.6477904404246225E-6</v>
      </c>
      <c r="I7156" s="5">
        <f>Tabelle13[[#This Row],[%]]+I7155</f>
        <v>0.99121102827707563</v>
      </c>
      <c r="J7156" s="4">
        <f t="shared" si="255"/>
        <v>1.105583195135434E-4</v>
      </c>
      <c r="K7156" s="5">
        <f t="shared" si="256"/>
        <v>0.79093421779998563</v>
      </c>
    </row>
    <row r="7157" spans="1:11" x14ac:dyDescent="0.25">
      <c r="A7157" t="s">
        <v>13892</v>
      </c>
      <c r="C7157" t="s">
        <v>13893</v>
      </c>
      <c r="D7157" t="s">
        <v>5</v>
      </c>
      <c r="E7157" t="s">
        <v>6</v>
      </c>
      <c r="F7157" t="s">
        <v>251</v>
      </c>
      <c r="G7157">
        <v>1</v>
      </c>
      <c r="H7157" s="2">
        <f>Tabelle13[[#This Row],[commits]]/Tabelle13[[#Totals],[commits]]</f>
        <v>4.6477904404246225E-6</v>
      </c>
      <c r="I7157" s="5">
        <f>Tabelle13[[#This Row],[%]]+I7156</f>
        <v>0.99121567606751604</v>
      </c>
      <c r="J7157" s="4">
        <f t="shared" si="255"/>
        <v>1.105583195135434E-4</v>
      </c>
      <c r="K7157" s="5">
        <f t="shared" si="256"/>
        <v>0.79104477611949919</v>
      </c>
    </row>
    <row r="7158" spans="1:11" x14ac:dyDescent="0.25">
      <c r="A7158" t="s">
        <v>13894</v>
      </c>
      <c r="C7158" t="s">
        <v>13895</v>
      </c>
      <c r="D7158" t="s">
        <v>309</v>
      </c>
      <c r="E7158" t="s">
        <v>6</v>
      </c>
      <c r="F7158" t="s">
        <v>251</v>
      </c>
      <c r="G7158">
        <v>1</v>
      </c>
      <c r="H7158" s="2">
        <f>Tabelle13[[#This Row],[commits]]/Tabelle13[[#Totals],[commits]]</f>
        <v>4.6477904404246225E-6</v>
      </c>
      <c r="I7158" s="5">
        <f>Tabelle13[[#This Row],[%]]+I7157</f>
        <v>0.99122032385795644</v>
      </c>
      <c r="J7158" s="4">
        <f t="shared" si="255"/>
        <v>1.105583195135434E-4</v>
      </c>
      <c r="K7158" s="5">
        <f t="shared" si="256"/>
        <v>0.79115533443901276</v>
      </c>
    </row>
    <row r="7159" spans="1:11" x14ac:dyDescent="0.25">
      <c r="A7159" t="s">
        <v>13896</v>
      </c>
      <c r="C7159" t="s">
        <v>13897</v>
      </c>
      <c r="D7159" t="s">
        <v>13898</v>
      </c>
      <c r="E7159" t="s">
        <v>6</v>
      </c>
      <c r="F7159" t="s">
        <v>251</v>
      </c>
      <c r="G7159">
        <v>1</v>
      </c>
      <c r="H7159" s="2">
        <f>Tabelle13[[#This Row],[commits]]/Tabelle13[[#Totals],[commits]]</f>
        <v>4.6477904404246225E-6</v>
      </c>
      <c r="I7159" s="5">
        <f>Tabelle13[[#This Row],[%]]+I7158</f>
        <v>0.99122497164839685</v>
      </c>
      <c r="J7159" s="4">
        <f t="shared" si="255"/>
        <v>1.105583195135434E-4</v>
      </c>
      <c r="K7159" s="5">
        <f t="shared" si="256"/>
        <v>0.79126589275852632</v>
      </c>
    </row>
    <row r="7160" spans="1:11" x14ac:dyDescent="0.25">
      <c r="A7160" t="s">
        <v>13899</v>
      </c>
      <c r="C7160" t="s">
        <v>13900</v>
      </c>
      <c r="D7160" t="s">
        <v>5</v>
      </c>
      <c r="E7160" t="s">
        <v>6</v>
      </c>
      <c r="F7160" t="s">
        <v>251</v>
      </c>
      <c r="G7160">
        <v>1</v>
      </c>
      <c r="H7160" s="2">
        <f>Tabelle13[[#This Row],[commits]]/Tabelle13[[#Totals],[commits]]</f>
        <v>4.6477904404246225E-6</v>
      </c>
      <c r="I7160" s="5">
        <f>Tabelle13[[#This Row],[%]]+I7159</f>
        <v>0.99122961943883725</v>
      </c>
      <c r="J7160" s="4">
        <f t="shared" si="255"/>
        <v>1.105583195135434E-4</v>
      </c>
      <c r="K7160" s="5">
        <f t="shared" si="256"/>
        <v>0.79137645107803989</v>
      </c>
    </row>
    <row r="7161" spans="1:11" x14ac:dyDescent="0.25">
      <c r="A7161" t="s">
        <v>13901</v>
      </c>
      <c r="C7161" t="s">
        <v>13902</v>
      </c>
      <c r="D7161" t="s">
        <v>309</v>
      </c>
      <c r="E7161" t="s">
        <v>6</v>
      </c>
      <c r="F7161" t="s">
        <v>251</v>
      </c>
      <c r="G7161">
        <v>1</v>
      </c>
      <c r="H7161" s="2">
        <f>Tabelle13[[#This Row],[commits]]/Tabelle13[[#Totals],[commits]]</f>
        <v>4.6477904404246225E-6</v>
      </c>
      <c r="I7161" s="5">
        <f>Tabelle13[[#This Row],[%]]+I7160</f>
        <v>0.99123426722927765</v>
      </c>
      <c r="J7161" s="4">
        <f t="shared" si="255"/>
        <v>1.105583195135434E-4</v>
      </c>
      <c r="K7161" s="5">
        <f t="shared" si="256"/>
        <v>0.79148700939755345</v>
      </c>
    </row>
    <row r="7162" spans="1:11" x14ac:dyDescent="0.25">
      <c r="A7162" t="s">
        <v>13903</v>
      </c>
      <c r="C7162" t="s">
        <v>13904</v>
      </c>
      <c r="D7162" t="s">
        <v>309</v>
      </c>
      <c r="E7162" t="s">
        <v>6</v>
      </c>
      <c r="F7162" t="s">
        <v>251</v>
      </c>
      <c r="G7162">
        <v>1</v>
      </c>
      <c r="H7162" s="2">
        <f>Tabelle13[[#This Row],[commits]]/Tabelle13[[#Totals],[commits]]</f>
        <v>4.6477904404246225E-6</v>
      </c>
      <c r="I7162" s="5">
        <f>Tabelle13[[#This Row],[%]]+I7161</f>
        <v>0.99123891501971806</v>
      </c>
      <c r="J7162" s="4">
        <f t="shared" si="255"/>
        <v>1.105583195135434E-4</v>
      </c>
      <c r="K7162" s="5">
        <f t="shared" si="256"/>
        <v>0.79159756771706702</v>
      </c>
    </row>
    <row r="7163" spans="1:11" x14ac:dyDescent="0.25">
      <c r="A7163" t="s">
        <v>13905</v>
      </c>
      <c r="C7163" t="s">
        <v>13906</v>
      </c>
      <c r="D7163" t="s">
        <v>10461</v>
      </c>
      <c r="E7163" t="s">
        <v>6</v>
      </c>
      <c r="F7163" t="s">
        <v>251</v>
      </c>
      <c r="G7163">
        <v>1</v>
      </c>
      <c r="H7163" s="2">
        <f>Tabelle13[[#This Row],[commits]]/Tabelle13[[#Totals],[commits]]</f>
        <v>4.6477904404246225E-6</v>
      </c>
      <c r="I7163" s="5">
        <f>Tabelle13[[#This Row],[%]]+I7162</f>
        <v>0.99124356281015846</v>
      </c>
      <c r="J7163" s="4">
        <f t="shared" si="255"/>
        <v>1.105583195135434E-4</v>
      </c>
      <c r="K7163" s="5">
        <f t="shared" si="256"/>
        <v>0.79170812603658058</v>
      </c>
    </row>
    <row r="7164" spans="1:11" x14ac:dyDescent="0.25">
      <c r="A7164" t="s">
        <v>13907</v>
      </c>
      <c r="C7164" t="s">
        <v>13908</v>
      </c>
      <c r="D7164" t="s">
        <v>309</v>
      </c>
      <c r="E7164" t="s">
        <v>6</v>
      </c>
      <c r="F7164" t="s">
        <v>251</v>
      </c>
      <c r="G7164">
        <v>1</v>
      </c>
      <c r="H7164" s="2">
        <f>Tabelle13[[#This Row],[commits]]/Tabelle13[[#Totals],[commits]]</f>
        <v>4.6477904404246225E-6</v>
      </c>
      <c r="I7164" s="5">
        <f>Tabelle13[[#This Row],[%]]+I7163</f>
        <v>0.99124821060059887</v>
      </c>
      <c r="J7164" s="4">
        <f t="shared" si="255"/>
        <v>1.105583195135434E-4</v>
      </c>
      <c r="K7164" s="5">
        <f t="shared" si="256"/>
        <v>0.79181868435609415</v>
      </c>
    </row>
    <row r="7165" spans="1:11" x14ac:dyDescent="0.25">
      <c r="A7165" t="s">
        <v>13909</v>
      </c>
      <c r="C7165" t="s">
        <v>13910</v>
      </c>
      <c r="D7165" t="s">
        <v>8874</v>
      </c>
      <c r="E7165" t="s">
        <v>6</v>
      </c>
      <c r="F7165" t="s">
        <v>251</v>
      </c>
      <c r="G7165">
        <v>1</v>
      </c>
      <c r="H7165" s="2">
        <f>Tabelle13[[#This Row],[commits]]/Tabelle13[[#Totals],[commits]]</f>
        <v>4.6477904404246225E-6</v>
      </c>
      <c r="I7165" s="5">
        <f>Tabelle13[[#This Row],[%]]+I7164</f>
        <v>0.99125285839103927</v>
      </c>
      <c r="J7165" s="4">
        <f t="shared" si="255"/>
        <v>1.105583195135434E-4</v>
      </c>
      <c r="K7165" s="5">
        <f t="shared" si="256"/>
        <v>0.79192924267560771</v>
      </c>
    </row>
    <row r="7166" spans="1:11" x14ac:dyDescent="0.25">
      <c r="A7166" t="s">
        <v>13911</v>
      </c>
      <c r="C7166" t="s">
        <v>13912</v>
      </c>
      <c r="D7166" t="s">
        <v>13693</v>
      </c>
      <c r="E7166" t="s">
        <v>6</v>
      </c>
      <c r="F7166" t="s">
        <v>251</v>
      </c>
      <c r="G7166">
        <v>1</v>
      </c>
      <c r="H7166" s="2">
        <f>Tabelle13[[#This Row],[commits]]/Tabelle13[[#Totals],[commits]]</f>
        <v>4.6477904404246225E-6</v>
      </c>
      <c r="I7166" s="5">
        <f>Tabelle13[[#This Row],[%]]+I7165</f>
        <v>0.99125750618147968</v>
      </c>
      <c r="J7166" s="4">
        <f t="shared" si="255"/>
        <v>1.105583195135434E-4</v>
      </c>
      <c r="K7166" s="5">
        <f t="shared" si="256"/>
        <v>0.79203980099512128</v>
      </c>
    </row>
    <row r="7167" spans="1:11" x14ac:dyDescent="0.25">
      <c r="A7167" t="s">
        <v>13913</v>
      </c>
      <c r="C7167" t="s">
        <v>13914</v>
      </c>
      <c r="D7167" t="s">
        <v>5</v>
      </c>
      <c r="E7167" t="s">
        <v>6</v>
      </c>
      <c r="F7167" t="s">
        <v>251</v>
      </c>
      <c r="G7167">
        <v>1</v>
      </c>
      <c r="H7167" s="2">
        <f>Tabelle13[[#This Row],[commits]]/Tabelle13[[#Totals],[commits]]</f>
        <v>4.6477904404246225E-6</v>
      </c>
      <c r="I7167" s="5">
        <f>Tabelle13[[#This Row],[%]]+I7166</f>
        <v>0.99126215397192008</v>
      </c>
      <c r="J7167" s="4">
        <f t="shared" si="255"/>
        <v>1.105583195135434E-4</v>
      </c>
      <c r="K7167" s="5">
        <f t="shared" si="256"/>
        <v>0.79215035931463484</v>
      </c>
    </row>
    <row r="7168" spans="1:11" x14ac:dyDescent="0.25">
      <c r="A7168" t="s">
        <v>13915</v>
      </c>
      <c r="C7168" t="s">
        <v>13916</v>
      </c>
      <c r="D7168" t="s">
        <v>5</v>
      </c>
      <c r="E7168" t="s">
        <v>6</v>
      </c>
      <c r="F7168" t="s">
        <v>251</v>
      </c>
      <c r="G7168">
        <v>1</v>
      </c>
      <c r="H7168" s="2">
        <f>Tabelle13[[#This Row],[commits]]/Tabelle13[[#Totals],[commits]]</f>
        <v>4.6477904404246225E-6</v>
      </c>
      <c r="I7168" s="5">
        <f>Tabelle13[[#This Row],[%]]+I7167</f>
        <v>0.99126680176236048</v>
      </c>
      <c r="J7168" s="4">
        <f t="shared" si="255"/>
        <v>1.105583195135434E-4</v>
      </c>
      <c r="K7168" s="5">
        <f t="shared" si="256"/>
        <v>0.79226091763414841</v>
      </c>
    </row>
    <row r="7169" spans="1:11" x14ac:dyDescent="0.25">
      <c r="A7169" t="s">
        <v>13917</v>
      </c>
      <c r="C7169" t="s">
        <v>13918</v>
      </c>
      <c r="D7169" t="s">
        <v>5</v>
      </c>
      <c r="E7169" t="s">
        <v>6</v>
      </c>
      <c r="F7169" t="s">
        <v>251</v>
      </c>
      <c r="G7169">
        <v>1</v>
      </c>
      <c r="H7169" s="2">
        <f>Tabelle13[[#This Row],[commits]]/Tabelle13[[#Totals],[commits]]</f>
        <v>4.6477904404246225E-6</v>
      </c>
      <c r="I7169" s="5">
        <f>Tabelle13[[#This Row],[%]]+I7168</f>
        <v>0.99127144955280089</v>
      </c>
      <c r="J7169" s="4">
        <f t="shared" si="255"/>
        <v>1.105583195135434E-4</v>
      </c>
      <c r="K7169" s="5">
        <f t="shared" si="256"/>
        <v>0.79237147595366197</v>
      </c>
    </row>
    <row r="7170" spans="1:11" x14ac:dyDescent="0.25">
      <c r="A7170" t="s">
        <v>13919</v>
      </c>
      <c r="C7170" t="s">
        <v>13920</v>
      </c>
      <c r="D7170" t="s">
        <v>309</v>
      </c>
      <c r="E7170" t="s">
        <v>6</v>
      </c>
      <c r="F7170" t="s">
        <v>251</v>
      </c>
      <c r="G7170">
        <v>1</v>
      </c>
      <c r="H7170" s="2">
        <f>Tabelle13[[#This Row],[commits]]/Tabelle13[[#Totals],[commits]]</f>
        <v>4.6477904404246225E-6</v>
      </c>
      <c r="I7170" s="5">
        <f>Tabelle13[[#This Row],[%]]+I7169</f>
        <v>0.99127609734324129</v>
      </c>
      <c r="J7170" s="4">
        <f t="shared" si="255"/>
        <v>1.105583195135434E-4</v>
      </c>
      <c r="K7170" s="5">
        <f t="shared" si="256"/>
        <v>0.79248203427317554</v>
      </c>
    </row>
    <row r="7171" spans="1:11" x14ac:dyDescent="0.25">
      <c r="A7171" t="s">
        <v>13921</v>
      </c>
      <c r="C7171" t="s">
        <v>13922</v>
      </c>
      <c r="D7171" t="s">
        <v>309</v>
      </c>
      <c r="E7171" t="s">
        <v>6</v>
      </c>
      <c r="F7171" t="s">
        <v>251</v>
      </c>
      <c r="G7171">
        <v>1</v>
      </c>
      <c r="H7171" s="2">
        <f>Tabelle13[[#This Row],[commits]]/Tabelle13[[#Totals],[commits]]</f>
        <v>4.6477904404246225E-6</v>
      </c>
      <c r="I7171" s="5">
        <f>Tabelle13[[#This Row],[%]]+I7170</f>
        <v>0.9912807451336817</v>
      </c>
      <c r="J7171" s="4">
        <f t="shared" ref="J7171:J7234" si="257">1/9045</f>
        <v>1.105583195135434E-4</v>
      </c>
      <c r="K7171" s="5">
        <f t="shared" si="256"/>
        <v>0.7925925925926891</v>
      </c>
    </row>
    <row r="7172" spans="1:11" x14ac:dyDescent="0.25">
      <c r="A7172" t="s">
        <v>13923</v>
      </c>
      <c r="C7172" t="s">
        <v>13924</v>
      </c>
      <c r="D7172" t="s">
        <v>5</v>
      </c>
      <c r="E7172" t="s">
        <v>6</v>
      </c>
      <c r="F7172" t="s">
        <v>251</v>
      </c>
      <c r="G7172">
        <v>1</v>
      </c>
      <c r="H7172" s="2">
        <f>Tabelle13[[#This Row],[commits]]/Tabelle13[[#Totals],[commits]]</f>
        <v>4.6477904404246225E-6</v>
      </c>
      <c r="I7172" s="5">
        <f>Tabelle13[[#This Row],[%]]+I7171</f>
        <v>0.9912853929241221</v>
      </c>
      <c r="J7172" s="4">
        <f t="shared" si="257"/>
        <v>1.105583195135434E-4</v>
      </c>
      <c r="K7172" s="5">
        <f t="shared" si="256"/>
        <v>0.79270315091220267</v>
      </c>
    </row>
    <row r="7173" spans="1:11" x14ac:dyDescent="0.25">
      <c r="A7173" t="s">
        <v>13925</v>
      </c>
      <c r="C7173" t="s">
        <v>13926</v>
      </c>
      <c r="D7173" t="s">
        <v>309</v>
      </c>
      <c r="E7173" t="s">
        <v>6</v>
      </c>
      <c r="F7173" t="s">
        <v>251</v>
      </c>
      <c r="G7173">
        <v>1</v>
      </c>
      <c r="H7173" s="2">
        <f>Tabelle13[[#This Row],[commits]]/Tabelle13[[#Totals],[commits]]</f>
        <v>4.6477904404246225E-6</v>
      </c>
      <c r="I7173" s="5">
        <f>Tabelle13[[#This Row],[%]]+I7172</f>
        <v>0.9912900407145625</v>
      </c>
      <c r="J7173" s="4">
        <f t="shared" si="257"/>
        <v>1.105583195135434E-4</v>
      </c>
      <c r="K7173" s="5">
        <f t="shared" si="256"/>
        <v>0.79281370923171623</v>
      </c>
    </row>
    <row r="7174" spans="1:11" x14ac:dyDescent="0.25">
      <c r="A7174" t="s">
        <v>13927</v>
      </c>
      <c r="C7174" t="s">
        <v>13928</v>
      </c>
      <c r="D7174" t="s">
        <v>309</v>
      </c>
      <c r="E7174" t="s">
        <v>6</v>
      </c>
      <c r="F7174" t="s">
        <v>251</v>
      </c>
      <c r="G7174">
        <v>1</v>
      </c>
      <c r="H7174" s="2">
        <f>Tabelle13[[#This Row],[commits]]/Tabelle13[[#Totals],[commits]]</f>
        <v>4.6477904404246225E-6</v>
      </c>
      <c r="I7174" s="5">
        <f>Tabelle13[[#This Row],[%]]+I7173</f>
        <v>0.99129468850500291</v>
      </c>
      <c r="J7174" s="4">
        <f t="shared" si="257"/>
        <v>1.105583195135434E-4</v>
      </c>
      <c r="K7174" s="5">
        <f t="shared" ref="K7174:K7237" si="258">J7174+K7173</f>
        <v>0.7929242675512298</v>
      </c>
    </row>
    <row r="7175" spans="1:11" x14ac:dyDescent="0.25">
      <c r="A7175" t="s">
        <v>13929</v>
      </c>
      <c r="C7175" t="s">
        <v>13930</v>
      </c>
      <c r="D7175" t="s">
        <v>5</v>
      </c>
      <c r="E7175" t="s">
        <v>6</v>
      </c>
      <c r="F7175" t="s">
        <v>251</v>
      </c>
      <c r="G7175">
        <v>1</v>
      </c>
      <c r="H7175" s="2">
        <f>Tabelle13[[#This Row],[commits]]/Tabelle13[[#Totals],[commits]]</f>
        <v>4.6477904404246225E-6</v>
      </c>
      <c r="I7175" s="5">
        <f>Tabelle13[[#This Row],[%]]+I7174</f>
        <v>0.99129933629544331</v>
      </c>
      <c r="J7175" s="4">
        <f t="shared" si="257"/>
        <v>1.105583195135434E-4</v>
      </c>
      <c r="K7175" s="5">
        <f t="shared" si="258"/>
        <v>0.79303482587074337</v>
      </c>
    </row>
    <row r="7176" spans="1:11" x14ac:dyDescent="0.25">
      <c r="A7176" t="s">
        <v>13931</v>
      </c>
      <c r="C7176" t="s">
        <v>13932</v>
      </c>
      <c r="D7176" t="s">
        <v>5</v>
      </c>
      <c r="E7176" t="s">
        <v>6</v>
      </c>
      <c r="F7176" t="s">
        <v>251</v>
      </c>
      <c r="G7176">
        <v>1</v>
      </c>
      <c r="H7176" s="2">
        <f>Tabelle13[[#This Row],[commits]]/Tabelle13[[#Totals],[commits]]</f>
        <v>4.6477904404246225E-6</v>
      </c>
      <c r="I7176" s="5">
        <f>Tabelle13[[#This Row],[%]]+I7175</f>
        <v>0.99130398408588372</v>
      </c>
      <c r="J7176" s="4">
        <f t="shared" si="257"/>
        <v>1.105583195135434E-4</v>
      </c>
      <c r="K7176" s="5">
        <f t="shared" si="258"/>
        <v>0.79314538419025693</v>
      </c>
    </row>
    <row r="7177" spans="1:11" x14ac:dyDescent="0.25">
      <c r="A7177" t="s">
        <v>13933</v>
      </c>
      <c r="C7177" t="s">
        <v>13934</v>
      </c>
      <c r="D7177" t="s">
        <v>5</v>
      </c>
      <c r="E7177" t="s">
        <v>6</v>
      </c>
      <c r="F7177" t="s">
        <v>251</v>
      </c>
      <c r="G7177">
        <v>1</v>
      </c>
      <c r="H7177" s="2">
        <f>Tabelle13[[#This Row],[commits]]/Tabelle13[[#Totals],[commits]]</f>
        <v>4.6477904404246225E-6</v>
      </c>
      <c r="I7177" s="5">
        <f>Tabelle13[[#This Row],[%]]+I7176</f>
        <v>0.99130863187632412</v>
      </c>
      <c r="J7177" s="4">
        <f t="shared" si="257"/>
        <v>1.105583195135434E-4</v>
      </c>
      <c r="K7177" s="5">
        <f t="shared" si="258"/>
        <v>0.7932559425097705</v>
      </c>
    </row>
    <row r="7178" spans="1:11" x14ac:dyDescent="0.25">
      <c r="A7178" t="s">
        <v>13935</v>
      </c>
      <c r="C7178" t="s">
        <v>12795</v>
      </c>
      <c r="D7178" t="s">
        <v>13936</v>
      </c>
      <c r="E7178" t="s">
        <v>6</v>
      </c>
      <c r="F7178" t="s">
        <v>251</v>
      </c>
      <c r="G7178">
        <v>1</v>
      </c>
      <c r="H7178" s="2">
        <f>Tabelle13[[#This Row],[commits]]/Tabelle13[[#Totals],[commits]]</f>
        <v>4.6477904404246225E-6</v>
      </c>
      <c r="I7178" s="5">
        <f>Tabelle13[[#This Row],[%]]+I7177</f>
        <v>0.99131327966676452</v>
      </c>
      <c r="J7178" s="4">
        <f t="shared" si="257"/>
        <v>1.105583195135434E-4</v>
      </c>
      <c r="K7178" s="5">
        <f t="shared" si="258"/>
        <v>0.79336650082928406</v>
      </c>
    </row>
    <row r="7179" spans="1:11" x14ac:dyDescent="0.25">
      <c r="A7179" t="s">
        <v>13937</v>
      </c>
      <c r="C7179" t="s">
        <v>13938</v>
      </c>
      <c r="D7179" t="s">
        <v>5</v>
      </c>
      <c r="E7179" t="s">
        <v>6</v>
      </c>
      <c r="F7179" t="s">
        <v>251</v>
      </c>
      <c r="G7179">
        <v>1</v>
      </c>
      <c r="H7179" s="2">
        <f>Tabelle13[[#This Row],[commits]]/Tabelle13[[#Totals],[commits]]</f>
        <v>4.6477904404246225E-6</v>
      </c>
      <c r="I7179" s="5">
        <f>Tabelle13[[#This Row],[%]]+I7178</f>
        <v>0.99131792745720493</v>
      </c>
      <c r="J7179" s="4">
        <f t="shared" si="257"/>
        <v>1.105583195135434E-4</v>
      </c>
      <c r="K7179" s="5">
        <f t="shared" si="258"/>
        <v>0.79347705914879763</v>
      </c>
    </row>
    <row r="7180" spans="1:11" x14ac:dyDescent="0.25">
      <c r="A7180" t="s">
        <v>13939</v>
      </c>
      <c r="C7180" t="s">
        <v>13940</v>
      </c>
      <c r="D7180" t="s">
        <v>309</v>
      </c>
      <c r="E7180" t="s">
        <v>6</v>
      </c>
      <c r="F7180" t="s">
        <v>251</v>
      </c>
      <c r="G7180">
        <v>1</v>
      </c>
      <c r="H7180" s="2">
        <f>Tabelle13[[#This Row],[commits]]/Tabelle13[[#Totals],[commits]]</f>
        <v>4.6477904404246225E-6</v>
      </c>
      <c r="I7180" s="5">
        <f>Tabelle13[[#This Row],[%]]+I7179</f>
        <v>0.99132257524764533</v>
      </c>
      <c r="J7180" s="4">
        <f t="shared" si="257"/>
        <v>1.105583195135434E-4</v>
      </c>
      <c r="K7180" s="5">
        <f t="shared" si="258"/>
        <v>0.79358761746831119</v>
      </c>
    </row>
    <row r="7181" spans="1:11" x14ac:dyDescent="0.25">
      <c r="A7181" t="s">
        <v>13941</v>
      </c>
      <c r="C7181" t="s">
        <v>13942</v>
      </c>
      <c r="D7181" t="s">
        <v>5</v>
      </c>
      <c r="E7181" t="s">
        <v>6</v>
      </c>
      <c r="F7181" t="s">
        <v>251</v>
      </c>
      <c r="G7181">
        <v>1</v>
      </c>
      <c r="H7181" s="2">
        <f>Tabelle13[[#This Row],[commits]]/Tabelle13[[#Totals],[commits]]</f>
        <v>4.6477904404246225E-6</v>
      </c>
      <c r="I7181" s="5">
        <f>Tabelle13[[#This Row],[%]]+I7180</f>
        <v>0.99132722303808574</v>
      </c>
      <c r="J7181" s="4">
        <f t="shared" si="257"/>
        <v>1.105583195135434E-4</v>
      </c>
      <c r="K7181" s="5">
        <f t="shared" si="258"/>
        <v>0.79369817578782476</v>
      </c>
    </row>
    <row r="7182" spans="1:11" x14ac:dyDescent="0.25">
      <c r="A7182" t="s">
        <v>13943</v>
      </c>
      <c r="C7182" t="s">
        <v>13944</v>
      </c>
      <c r="D7182" t="s">
        <v>5</v>
      </c>
      <c r="E7182" t="s">
        <v>6</v>
      </c>
      <c r="F7182" t="s">
        <v>251</v>
      </c>
      <c r="G7182">
        <v>1</v>
      </c>
      <c r="H7182" s="2">
        <f>Tabelle13[[#This Row],[commits]]/Tabelle13[[#Totals],[commits]]</f>
        <v>4.6477904404246225E-6</v>
      </c>
      <c r="I7182" s="5">
        <f>Tabelle13[[#This Row],[%]]+I7181</f>
        <v>0.99133187082852614</v>
      </c>
      <c r="J7182" s="4">
        <f t="shared" si="257"/>
        <v>1.105583195135434E-4</v>
      </c>
      <c r="K7182" s="5">
        <f t="shared" si="258"/>
        <v>0.79380873410733832</v>
      </c>
    </row>
    <row r="7183" spans="1:11" x14ac:dyDescent="0.25">
      <c r="A7183" t="s">
        <v>13945</v>
      </c>
      <c r="C7183" t="s">
        <v>13946</v>
      </c>
      <c r="D7183" t="s">
        <v>5</v>
      </c>
      <c r="E7183" t="s">
        <v>6</v>
      </c>
      <c r="F7183" t="s">
        <v>251</v>
      </c>
      <c r="G7183">
        <v>1</v>
      </c>
      <c r="H7183" s="2">
        <f>Tabelle13[[#This Row],[commits]]/Tabelle13[[#Totals],[commits]]</f>
        <v>4.6477904404246225E-6</v>
      </c>
      <c r="I7183" s="5">
        <f>Tabelle13[[#This Row],[%]]+I7182</f>
        <v>0.99133651861896654</v>
      </c>
      <c r="J7183" s="4">
        <f t="shared" si="257"/>
        <v>1.105583195135434E-4</v>
      </c>
      <c r="K7183" s="5">
        <f t="shared" si="258"/>
        <v>0.79391929242685189</v>
      </c>
    </row>
    <row r="7184" spans="1:11" x14ac:dyDescent="0.25">
      <c r="A7184" t="s">
        <v>13947</v>
      </c>
      <c r="C7184" t="s">
        <v>13948</v>
      </c>
      <c r="D7184" t="s">
        <v>5</v>
      </c>
      <c r="E7184" t="s">
        <v>6</v>
      </c>
      <c r="F7184" t="s">
        <v>251</v>
      </c>
      <c r="G7184">
        <v>1</v>
      </c>
      <c r="H7184" s="2">
        <f>Tabelle13[[#This Row],[commits]]/Tabelle13[[#Totals],[commits]]</f>
        <v>4.6477904404246225E-6</v>
      </c>
      <c r="I7184" s="5">
        <f>Tabelle13[[#This Row],[%]]+I7183</f>
        <v>0.99134116640940695</v>
      </c>
      <c r="J7184" s="4">
        <f t="shared" si="257"/>
        <v>1.105583195135434E-4</v>
      </c>
      <c r="K7184" s="5">
        <f t="shared" si="258"/>
        <v>0.79402985074636545</v>
      </c>
    </row>
    <row r="7185" spans="1:11" x14ac:dyDescent="0.25">
      <c r="A7185" t="s">
        <v>13949</v>
      </c>
      <c r="C7185" t="s">
        <v>13950</v>
      </c>
      <c r="D7185" t="s">
        <v>5</v>
      </c>
      <c r="E7185" t="s">
        <v>6</v>
      </c>
      <c r="F7185" t="s">
        <v>251</v>
      </c>
      <c r="G7185">
        <v>1</v>
      </c>
      <c r="H7185" s="2">
        <f>Tabelle13[[#This Row],[commits]]/Tabelle13[[#Totals],[commits]]</f>
        <v>4.6477904404246225E-6</v>
      </c>
      <c r="I7185" s="5">
        <f>Tabelle13[[#This Row],[%]]+I7184</f>
        <v>0.99134581419984735</v>
      </c>
      <c r="J7185" s="4">
        <f t="shared" si="257"/>
        <v>1.105583195135434E-4</v>
      </c>
      <c r="K7185" s="5">
        <f t="shared" si="258"/>
        <v>0.79414040906587902</v>
      </c>
    </row>
    <row r="7186" spans="1:11" x14ac:dyDescent="0.25">
      <c r="A7186" t="s">
        <v>13951</v>
      </c>
      <c r="C7186" t="s">
        <v>13952</v>
      </c>
      <c r="D7186" t="s">
        <v>5</v>
      </c>
      <c r="E7186" t="s">
        <v>6</v>
      </c>
      <c r="F7186" t="s">
        <v>251</v>
      </c>
      <c r="G7186">
        <v>1</v>
      </c>
      <c r="H7186" s="2">
        <f>Tabelle13[[#This Row],[commits]]/Tabelle13[[#Totals],[commits]]</f>
        <v>4.6477904404246225E-6</v>
      </c>
      <c r="I7186" s="5">
        <f>Tabelle13[[#This Row],[%]]+I7185</f>
        <v>0.99135046199028776</v>
      </c>
      <c r="J7186" s="4">
        <f t="shared" si="257"/>
        <v>1.105583195135434E-4</v>
      </c>
      <c r="K7186" s="5">
        <f t="shared" si="258"/>
        <v>0.79425096738539258</v>
      </c>
    </row>
    <row r="7187" spans="1:11" x14ac:dyDescent="0.25">
      <c r="A7187" t="s">
        <v>13953</v>
      </c>
      <c r="C7187" t="s">
        <v>11</v>
      </c>
      <c r="D7187" t="s">
        <v>5</v>
      </c>
      <c r="E7187" t="s">
        <v>6</v>
      </c>
      <c r="F7187" t="s">
        <v>251</v>
      </c>
      <c r="G7187">
        <v>1</v>
      </c>
      <c r="H7187" s="2">
        <f>Tabelle13[[#This Row],[commits]]/Tabelle13[[#Totals],[commits]]</f>
        <v>4.6477904404246225E-6</v>
      </c>
      <c r="I7187" s="5">
        <f>Tabelle13[[#This Row],[%]]+I7186</f>
        <v>0.99135510978072816</v>
      </c>
      <c r="J7187" s="4">
        <f t="shared" si="257"/>
        <v>1.105583195135434E-4</v>
      </c>
      <c r="K7187" s="5">
        <f t="shared" si="258"/>
        <v>0.79436152570490615</v>
      </c>
    </row>
    <row r="7188" spans="1:11" x14ac:dyDescent="0.25">
      <c r="A7188" t="s">
        <v>13954</v>
      </c>
      <c r="C7188" t="s">
        <v>13955</v>
      </c>
      <c r="D7188" t="s">
        <v>5</v>
      </c>
      <c r="E7188" t="s">
        <v>6</v>
      </c>
      <c r="F7188" t="s">
        <v>251</v>
      </c>
      <c r="G7188">
        <v>1</v>
      </c>
      <c r="H7188" s="2">
        <f>Tabelle13[[#This Row],[commits]]/Tabelle13[[#Totals],[commits]]</f>
        <v>4.6477904404246225E-6</v>
      </c>
      <c r="I7188" s="5">
        <f>Tabelle13[[#This Row],[%]]+I7187</f>
        <v>0.99135975757116856</v>
      </c>
      <c r="J7188" s="4">
        <f t="shared" si="257"/>
        <v>1.105583195135434E-4</v>
      </c>
      <c r="K7188" s="5">
        <f t="shared" si="258"/>
        <v>0.79447208402441971</v>
      </c>
    </row>
    <row r="7189" spans="1:11" x14ac:dyDescent="0.25">
      <c r="A7189" t="s">
        <v>13956</v>
      </c>
      <c r="C7189" t="s">
        <v>13957</v>
      </c>
      <c r="D7189" t="s">
        <v>309</v>
      </c>
      <c r="E7189" t="s">
        <v>6</v>
      </c>
      <c r="F7189" t="s">
        <v>251</v>
      </c>
      <c r="G7189">
        <v>1</v>
      </c>
      <c r="H7189" s="2">
        <f>Tabelle13[[#This Row],[commits]]/Tabelle13[[#Totals],[commits]]</f>
        <v>4.6477904404246225E-6</v>
      </c>
      <c r="I7189" s="5">
        <f>Tabelle13[[#This Row],[%]]+I7188</f>
        <v>0.99136440536160897</v>
      </c>
      <c r="J7189" s="4">
        <f t="shared" si="257"/>
        <v>1.105583195135434E-4</v>
      </c>
      <c r="K7189" s="5">
        <f t="shared" si="258"/>
        <v>0.79458264234393328</v>
      </c>
    </row>
    <row r="7190" spans="1:11" x14ac:dyDescent="0.25">
      <c r="A7190" t="s">
        <v>13958</v>
      </c>
      <c r="C7190" t="s">
        <v>13959</v>
      </c>
      <c r="D7190" t="s">
        <v>309</v>
      </c>
      <c r="E7190" t="s">
        <v>6</v>
      </c>
      <c r="F7190" t="s">
        <v>251</v>
      </c>
      <c r="G7190">
        <v>1</v>
      </c>
      <c r="H7190" s="2">
        <f>Tabelle13[[#This Row],[commits]]/Tabelle13[[#Totals],[commits]]</f>
        <v>4.6477904404246225E-6</v>
      </c>
      <c r="I7190" s="5">
        <f>Tabelle13[[#This Row],[%]]+I7189</f>
        <v>0.99136905315204937</v>
      </c>
      <c r="J7190" s="4">
        <f t="shared" si="257"/>
        <v>1.105583195135434E-4</v>
      </c>
      <c r="K7190" s="5">
        <f t="shared" si="258"/>
        <v>0.79469320066344684</v>
      </c>
    </row>
    <row r="7191" spans="1:11" x14ac:dyDescent="0.25">
      <c r="A7191" t="s">
        <v>13960</v>
      </c>
      <c r="C7191" t="s">
        <v>13961</v>
      </c>
      <c r="D7191" t="s">
        <v>5</v>
      </c>
      <c r="E7191" t="s">
        <v>6</v>
      </c>
      <c r="F7191" t="s">
        <v>251</v>
      </c>
      <c r="G7191">
        <v>1</v>
      </c>
      <c r="H7191" s="2">
        <f>Tabelle13[[#This Row],[commits]]/Tabelle13[[#Totals],[commits]]</f>
        <v>4.6477904404246225E-6</v>
      </c>
      <c r="I7191" s="5">
        <f>Tabelle13[[#This Row],[%]]+I7190</f>
        <v>0.99137370094248978</v>
      </c>
      <c r="J7191" s="4">
        <f t="shared" si="257"/>
        <v>1.105583195135434E-4</v>
      </c>
      <c r="K7191" s="5">
        <f t="shared" si="258"/>
        <v>0.79480375898296041</v>
      </c>
    </row>
    <row r="7192" spans="1:11" x14ac:dyDescent="0.25">
      <c r="A7192" t="s">
        <v>13962</v>
      </c>
      <c r="C7192" t="s">
        <v>13963</v>
      </c>
      <c r="D7192" t="s">
        <v>5</v>
      </c>
      <c r="E7192" t="s">
        <v>6</v>
      </c>
      <c r="F7192" t="s">
        <v>251</v>
      </c>
      <c r="G7192">
        <v>1</v>
      </c>
      <c r="H7192" s="2">
        <f>Tabelle13[[#This Row],[commits]]/Tabelle13[[#Totals],[commits]]</f>
        <v>4.6477904404246225E-6</v>
      </c>
      <c r="I7192" s="5">
        <f>Tabelle13[[#This Row],[%]]+I7191</f>
        <v>0.99137834873293018</v>
      </c>
      <c r="J7192" s="4">
        <f t="shared" si="257"/>
        <v>1.105583195135434E-4</v>
      </c>
      <c r="K7192" s="5">
        <f t="shared" si="258"/>
        <v>0.79491431730247397</v>
      </c>
    </row>
    <row r="7193" spans="1:11" x14ac:dyDescent="0.25">
      <c r="A7193" t="s">
        <v>13964</v>
      </c>
      <c r="C7193" t="s">
        <v>13965</v>
      </c>
      <c r="D7193" t="s">
        <v>5</v>
      </c>
      <c r="E7193" t="s">
        <v>6</v>
      </c>
      <c r="F7193" t="s">
        <v>251</v>
      </c>
      <c r="G7193">
        <v>1</v>
      </c>
      <c r="H7193" s="2">
        <f>Tabelle13[[#This Row],[commits]]/Tabelle13[[#Totals],[commits]]</f>
        <v>4.6477904404246225E-6</v>
      </c>
      <c r="I7193" s="5">
        <f>Tabelle13[[#This Row],[%]]+I7192</f>
        <v>0.99138299652337059</v>
      </c>
      <c r="J7193" s="4">
        <f t="shared" si="257"/>
        <v>1.105583195135434E-4</v>
      </c>
      <c r="K7193" s="5">
        <f t="shared" si="258"/>
        <v>0.79502487562198754</v>
      </c>
    </row>
    <row r="7194" spans="1:11" x14ac:dyDescent="0.25">
      <c r="A7194" t="s">
        <v>13966</v>
      </c>
      <c r="C7194" t="s">
        <v>13967</v>
      </c>
      <c r="D7194" t="s">
        <v>5</v>
      </c>
      <c r="E7194" t="s">
        <v>6</v>
      </c>
      <c r="F7194" t="s">
        <v>251</v>
      </c>
      <c r="G7194">
        <v>1</v>
      </c>
      <c r="H7194" s="2">
        <f>Tabelle13[[#This Row],[commits]]/Tabelle13[[#Totals],[commits]]</f>
        <v>4.6477904404246225E-6</v>
      </c>
      <c r="I7194" s="5">
        <f>Tabelle13[[#This Row],[%]]+I7193</f>
        <v>0.99138764431381099</v>
      </c>
      <c r="J7194" s="4">
        <f t="shared" si="257"/>
        <v>1.105583195135434E-4</v>
      </c>
      <c r="K7194" s="5">
        <f t="shared" si="258"/>
        <v>0.7951354339415011</v>
      </c>
    </row>
    <row r="7195" spans="1:11" x14ac:dyDescent="0.25">
      <c r="A7195" t="s">
        <v>13968</v>
      </c>
      <c r="C7195" t="s">
        <v>13969</v>
      </c>
      <c r="D7195" t="s">
        <v>5</v>
      </c>
      <c r="E7195" t="s">
        <v>6</v>
      </c>
      <c r="F7195" t="s">
        <v>251</v>
      </c>
      <c r="G7195">
        <v>1</v>
      </c>
      <c r="H7195" s="2">
        <f>Tabelle13[[#This Row],[commits]]/Tabelle13[[#Totals],[commits]]</f>
        <v>4.6477904404246225E-6</v>
      </c>
      <c r="I7195" s="5">
        <f>Tabelle13[[#This Row],[%]]+I7194</f>
        <v>0.99139229210425139</v>
      </c>
      <c r="J7195" s="4">
        <f t="shared" si="257"/>
        <v>1.105583195135434E-4</v>
      </c>
      <c r="K7195" s="5">
        <f t="shared" si="258"/>
        <v>0.79524599226101467</v>
      </c>
    </row>
    <row r="7196" spans="1:11" x14ac:dyDescent="0.25">
      <c r="A7196" t="s">
        <v>13970</v>
      </c>
      <c r="C7196" t="s">
        <v>13971</v>
      </c>
      <c r="D7196" t="s">
        <v>5</v>
      </c>
      <c r="E7196" t="s">
        <v>6</v>
      </c>
      <c r="F7196" t="s">
        <v>251</v>
      </c>
      <c r="G7196">
        <v>1</v>
      </c>
      <c r="H7196" s="2">
        <f>Tabelle13[[#This Row],[commits]]/Tabelle13[[#Totals],[commits]]</f>
        <v>4.6477904404246225E-6</v>
      </c>
      <c r="I7196" s="5">
        <f>Tabelle13[[#This Row],[%]]+I7195</f>
        <v>0.9913969398946918</v>
      </c>
      <c r="J7196" s="4">
        <f t="shared" si="257"/>
        <v>1.105583195135434E-4</v>
      </c>
      <c r="K7196" s="5">
        <f t="shared" si="258"/>
        <v>0.79535655058052823</v>
      </c>
    </row>
    <row r="7197" spans="1:11" x14ac:dyDescent="0.25">
      <c r="A7197" t="s">
        <v>13972</v>
      </c>
      <c r="C7197">
        <v>1532745146</v>
      </c>
      <c r="D7197" t="s">
        <v>5</v>
      </c>
      <c r="E7197" t="s">
        <v>6</v>
      </c>
      <c r="F7197" t="s">
        <v>251</v>
      </c>
      <c r="G7197">
        <v>1</v>
      </c>
      <c r="H7197" s="2">
        <f>Tabelle13[[#This Row],[commits]]/Tabelle13[[#Totals],[commits]]</f>
        <v>4.6477904404246225E-6</v>
      </c>
      <c r="I7197" s="5">
        <f>Tabelle13[[#This Row],[%]]+I7196</f>
        <v>0.9914015876851322</v>
      </c>
      <c r="J7197" s="4">
        <f t="shared" si="257"/>
        <v>1.105583195135434E-4</v>
      </c>
      <c r="K7197" s="5">
        <f t="shared" si="258"/>
        <v>0.7954671089000418</v>
      </c>
    </row>
    <row r="7198" spans="1:11" x14ac:dyDescent="0.25">
      <c r="A7198" t="s">
        <v>13973</v>
      </c>
      <c r="C7198" t="s">
        <v>13974</v>
      </c>
      <c r="D7198" t="s">
        <v>5</v>
      </c>
      <c r="E7198" t="s">
        <v>6</v>
      </c>
      <c r="F7198" t="s">
        <v>251</v>
      </c>
      <c r="G7198">
        <v>1</v>
      </c>
      <c r="H7198" s="2">
        <f>Tabelle13[[#This Row],[commits]]/Tabelle13[[#Totals],[commits]]</f>
        <v>4.6477904404246225E-6</v>
      </c>
      <c r="I7198" s="5">
        <f>Tabelle13[[#This Row],[%]]+I7197</f>
        <v>0.99140623547557261</v>
      </c>
      <c r="J7198" s="4">
        <f t="shared" si="257"/>
        <v>1.105583195135434E-4</v>
      </c>
      <c r="K7198" s="5">
        <f t="shared" si="258"/>
        <v>0.79557766721955536</v>
      </c>
    </row>
    <row r="7199" spans="1:11" x14ac:dyDescent="0.25">
      <c r="A7199" t="s">
        <v>13975</v>
      </c>
      <c r="C7199" t="s">
        <v>13976</v>
      </c>
      <c r="D7199" t="s">
        <v>5</v>
      </c>
      <c r="E7199" t="s">
        <v>6</v>
      </c>
      <c r="F7199" t="s">
        <v>251</v>
      </c>
      <c r="G7199">
        <v>1</v>
      </c>
      <c r="H7199" s="2">
        <f>Tabelle13[[#This Row],[commits]]/Tabelle13[[#Totals],[commits]]</f>
        <v>4.6477904404246225E-6</v>
      </c>
      <c r="I7199" s="5">
        <f>Tabelle13[[#This Row],[%]]+I7198</f>
        <v>0.99141088326601301</v>
      </c>
      <c r="J7199" s="4">
        <f t="shared" si="257"/>
        <v>1.105583195135434E-4</v>
      </c>
      <c r="K7199" s="5">
        <f t="shared" si="258"/>
        <v>0.79568822553906893</v>
      </c>
    </row>
    <row r="7200" spans="1:11" x14ac:dyDescent="0.25">
      <c r="A7200" t="s">
        <v>13977</v>
      </c>
      <c r="C7200" t="s">
        <v>13978</v>
      </c>
      <c r="D7200" t="s">
        <v>5</v>
      </c>
      <c r="E7200" t="s">
        <v>6</v>
      </c>
      <c r="F7200" t="s">
        <v>251</v>
      </c>
      <c r="G7200">
        <v>1</v>
      </c>
      <c r="H7200" s="2">
        <f>Tabelle13[[#This Row],[commits]]/Tabelle13[[#Totals],[commits]]</f>
        <v>4.6477904404246225E-6</v>
      </c>
      <c r="I7200" s="5">
        <f>Tabelle13[[#This Row],[%]]+I7199</f>
        <v>0.99141553105645341</v>
      </c>
      <c r="J7200" s="4">
        <f t="shared" si="257"/>
        <v>1.105583195135434E-4</v>
      </c>
      <c r="K7200" s="5">
        <f t="shared" si="258"/>
        <v>0.79579878385858249</v>
      </c>
    </row>
    <row r="7201" spans="1:11" x14ac:dyDescent="0.25">
      <c r="A7201" t="s">
        <v>13979</v>
      </c>
      <c r="C7201" t="s">
        <v>13980</v>
      </c>
      <c r="D7201" t="s">
        <v>309</v>
      </c>
      <c r="E7201" t="s">
        <v>6</v>
      </c>
      <c r="F7201" t="s">
        <v>251</v>
      </c>
      <c r="G7201">
        <v>1</v>
      </c>
      <c r="H7201" s="2">
        <f>Tabelle13[[#This Row],[commits]]/Tabelle13[[#Totals],[commits]]</f>
        <v>4.6477904404246225E-6</v>
      </c>
      <c r="I7201" s="5">
        <f>Tabelle13[[#This Row],[%]]+I7200</f>
        <v>0.99142017884689382</v>
      </c>
      <c r="J7201" s="4">
        <f t="shared" si="257"/>
        <v>1.105583195135434E-4</v>
      </c>
      <c r="K7201" s="5">
        <f t="shared" si="258"/>
        <v>0.79590934217809606</v>
      </c>
    </row>
    <row r="7202" spans="1:11" x14ac:dyDescent="0.25">
      <c r="A7202" t="s">
        <v>13981</v>
      </c>
      <c r="C7202" t="s">
        <v>13982</v>
      </c>
      <c r="D7202" t="s">
        <v>5</v>
      </c>
      <c r="E7202" t="s">
        <v>6</v>
      </c>
      <c r="F7202" t="s">
        <v>251</v>
      </c>
      <c r="G7202">
        <v>1</v>
      </c>
      <c r="H7202" s="2">
        <f>Tabelle13[[#This Row],[commits]]/Tabelle13[[#Totals],[commits]]</f>
        <v>4.6477904404246225E-6</v>
      </c>
      <c r="I7202" s="5">
        <f>Tabelle13[[#This Row],[%]]+I7201</f>
        <v>0.99142482663733422</v>
      </c>
      <c r="J7202" s="4">
        <f t="shared" si="257"/>
        <v>1.105583195135434E-4</v>
      </c>
      <c r="K7202" s="5">
        <f t="shared" si="258"/>
        <v>0.79601990049760962</v>
      </c>
    </row>
    <row r="7203" spans="1:11" x14ac:dyDescent="0.25">
      <c r="A7203" t="s">
        <v>13983</v>
      </c>
      <c r="C7203" t="s">
        <v>13984</v>
      </c>
      <c r="D7203" t="s">
        <v>13985</v>
      </c>
      <c r="E7203" t="s">
        <v>6</v>
      </c>
      <c r="F7203" t="s">
        <v>251</v>
      </c>
      <c r="G7203">
        <v>1</v>
      </c>
      <c r="H7203" s="2">
        <f>Tabelle13[[#This Row],[commits]]/Tabelle13[[#Totals],[commits]]</f>
        <v>4.6477904404246225E-6</v>
      </c>
      <c r="I7203" s="5">
        <f>Tabelle13[[#This Row],[%]]+I7202</f>
        <v>0.99142947442777463</v>
      </c>
      <c r="J7203" s="4">
        <f t="shared" si="257"/>
        <v>1.105583195135434E-4</v>
      </c>
      <c r="K7203" s="5">
        <f t="shared" si="258"/>
        <v>0.79613045881712319</v>
      </c>
    </row>
    <row r="7204" spans="1:11" x14ac:dyDescent="0.25">
      <c r="A7204" t="s">
        <v>13986</v>
      </c>
      <c r="C7204" t="s">
        <v>13987</v>
      </c>
      <c r="D7204" t="s">
        <v>5</v>
      </c>
      <c r="E7204" t="s">
        <v>6</v>
      </c>
      <c r="F7204" t="s">
        <v>251</v>
      </c>
      <c r="G7204">
        <v>1</v>
      </c>
      <c r="H7204" s="2">
        <f>Tabelle13[[#This Row],[commits]]/Tabelle13[[#Totals],[commits]]</f>
        <v>4.6477904404246225E-6</v>
      </c>
      <c r="I7204" s="5">
        <f>Tabelle13[[#This Row],[%]]+I7203</f>
        <v>0.99143412221821503</v>
      </c>
      <c r="J7204" s="4">
        <f t="shared" si="257"/>
        <v>1.105583195135434E-4</v>
      </c>
      <c r="K7204" s="5">
        <f t="shared" si="258"/>
        <v>0.79624101713663675</v>
      </c>
    </row>
    <row r="7205" spans="1:11" x14ac:dyDescent="0.25">
      <c r="A7205" t="s">
        <v>13988</v>
      </c>
      <c r="C7205" t="s">
        <v>12019</v>
      </c>
      <c r="D7205" t="s">
        <v>5</v>
      </c>
      <c r="E7205" t="s">
        <v>6</v>
      </c>
      <c r="F7205" t="s">
        <v>251</v>
      </c>
      <c r="G7205">
        <v>1</v>
      </c>
      <c r="H7205" s="2">
        <f>Tabelle13[[#This Row],[commits]]/Tabelle13[[#Totals],[commits]]</f>
        <v>4.6477904404246225E-6</v>
      </c>
      <c r="I7205" s="5">
        <f>Tabelle13[[#This Row],[%]]+I7204</f>
        <v>0.99143877000865543</v>
      </c>
      <c r="J7205" s="4">
        <f t="shared" si="257"/>
        <v>1.105583195135434E-4</v>
      </c>
      <c r="K7205" s="5">
        <f t="shared" si="258"/>
        <v>0.79635157545615032</v>
      </c>
    </row>
    <row r="7206" spans="1:11" x14ac:dyDescent="0.25">
      <c r="A7206" t="s">
        <v>13989</v>
      </c>
      <c r="C7206" t="s">
        <v>13990</v>
      </c>
      <c r="D7206" t="s">
        <v>5</v>
      </c>
      <c r="E7206" t="s">
        <v>6</v>
      </c>
      <c r="F7206" t="s">
        <v>251</v>
      </c>
      <c r="G7206">
        <v>1</v>
      </c>
      <c r="H7206" s="2">
        <f>Tabelle13[[#This Row],[commits]]/Tabelle13[[#Totals],[commits]]</f>
        <v>4.6477904404246225E-6</v>
      </c>
      <c r="I7206" s="5">
        <f>Tabelle13[[#This Row],[%]]+I7205</f>
        <v>0.99144341779909584</v>
      </c>
      <c r="J7206" s="4">
        <f t="shared" si="257"/>
        <v>1.105583195135434E-4</v>
      </c>
      <c r="K7206" s="5">
        <f t="shared" si="258"/>
        <v>0.79646213377566388</v>
      </c>
    </row>
    <row r="7207" spans="1:11" x14ac:dyDescent="0.25">
      <c r="A7207" t="s">
        <v>13991</v>
      </c>
      <c r="C7207" t="s">
        <v>13992</v>
      </c>
      <c r="D7207" t="s">
        <v>5</v>
      </c>
      <c r="E7207" t="s">
        <v>6</v>
      </c>
      <c r="F7207" t="s">
        <v>251</v>
      </c>
      <c r="G7207">
        <v>1</v>
      </c>
      <c r="H7207" s="2">
        <f>Tabelle13[[#This Row],[commits]]/Tabelle13[[#Totals],[commits]]</f>
        <v>4.6477904404246225E-6</v>
      </c>
      <c r="I7207" s="5">
        <f>Tabelle13[[#This Row],[%]]+I7206</f>
        <v>0.99144806558953624</v>
      </c>
      <c r="J7207" s="4">
        <f t="shared" si="257"/>
        <v>1.105583195135434E-4</v>
      </c>
      <c r="K7207" s="5">
        <f t="shared" si="258"/>
        <v>0.79657269209517745</v>
      </c>
    </row>
    <row r="7208" spans="1:11" x14ac:dyDescent="0.25">
      <c r="A7208" t="s">
        <v>13993</v>
      </c>
      <c r="C7208" t="s">
        <v>13994</v>
      </c>
      <c r="D7208" t="s">
        <v>5</v>
      </c>
      <c r="E7208" t="s">
        <v>6</v>
      </c>
      <c r="F7208" t="s">
        <v>251</v>
      </c>
      <c r="G7208">
        <v>1</v>
      </c>
      <c r="H7208" s="2">
        <f>Tabelle13[[#This Row],[commits]]/Tabelle13[[#Totals],[commits]]</f>
        <v>4.6477904404246225E-6</v>
      </c>
      <c r="I7208" s="5">
        <f>Tabelle13[[#This Row],[%]]+I7207</f>
        <v>0.99145271337997665</v>
      </c>
      <c r="J7208" s="4">
        <f t="shared" si="257"/>
        <v>1.105583195135434E-4</v>
      </c>
      <c r="K7208" s="5">
        <f t="shared" si="258"/>
        <v>0.79668325041469101</v>
      </c>
    </row>
    <row r="7209" spans="1:11" x14ac:dyDescent="0.25">
      <c r="A7209" t="s">
        <v>13995</v>
      </c>
      <c r="C7209" t="s">
        <v>13996</v>
      </c>
      <c r="D7209" t="s">
        <v>5</v>
      </c>
      <c r="E7209" t="s">
        <v>6</v>
      </c>
      <c r="F7209" t="s">
        <v>251</v>
      </c>
      <c r="G7209">
        <v>1</v>
      </c>
      <c r="H7209" s="2">
        <f>Tabelle13[[#This Row],[commits]]/Tabelle13[[#Totals],[commits]]</f>
        <v>4.6477904404246225E-6</v>
      </c>
      <c r="I7209" s="5">
        <f>Tabelle13[[#This Row],[%]]+I7208</f>
        <v>0.99145736117041705</v>
      </c>
      <c r="J7209" s="4">
        <f t="shared" si="257"/>
        <v>1.105583195135434E-4</v>
      </c>
      <c r="K7209" s="5">
        <f t="shared" si="258"/>
        <v>0.79679380873420458</v>
      </c>
    </row>
    <row r="7210" spans="1:11" x14ac:dyDescent="0.25">
      <c r="A7210" t="s">
        <v>13997</v>
      </c>
      <c r="C7210" t="s">
        <v>13998</v>
      </c>
      <c r="D7210" t="s">
        <v>309</v>
      </c>
      <c r="E7210" t="s">
        <v>6</v>
      </c>
      <c r="F7210" t="s">
        <v>251</v>
      </c>
      <c r="G7210">
        <v>1</v>
      </c>
      <c r="H7210" s="2">
        <f>Tabelle13[[#This Row],[commits]]/Tabelle13[[#Totals],[commits]]</f>
        <v>4.6477904404246225E-6</v>
      </c>
      <c r="I7210" s="5">
        <f>Tabelle13[[#This Row],[%]]+I7209</f>
        <v>0.99146200896085745</v>
      </c>
      <c r="J7210" s="4">
        <f t="shared" si="257"/>
        <v>1.105583195135434E-4</v>
      </c>
      <c r="K7210" s="5">
        <f t="shared" si="258"/>
        <v>0.79690436705371814</v>
      </c>
    </row>
    <row r="7211" spans="1:11" x14ac:dyDescent="0.25">
      <c r="A7211" t="s">
        <v>13999</v>
      </c>
      <c r="C7211" t="s">
        <v>14000</v>
      </c>
      <c r="D7211" t="s">
        <v>5</v>
      </c>
      <c r="E7211" t="s">
        <v>6</v>
      </c>
      <c r="F7211" t="s">
        <v>251</v>
      </c>
      <c r="G7211">
        <v>1</v>
      </c>
      <c r="H7211" s="2">
        <f>Tabelle13[[#This Row],[commits]]/Tabelle13[[#Totals],[commits]]</f>
        <v>4.6477904404246225E-6</v>
      </c>
      <c r="I7211" s="5">
        <f>Tabelle13[[#This Row],[%]]+I7210</f>
        <v>0.99146665675129786</v>
      </c>
      <c r="J7211" s="4">
        <f t="shared" si="257"/>
        <v>1.105583195135434E-4</v>
      </c>
      <c r="K7211" s="5">
        <f t="shared" si="258"/>
        <v>0.79701492537323171</v>
      </c>
    </row>
    <row r="7212" spans="1:11" x14ac:dyDescent="0.25">
      <c r="A7212" t="s">
        <v>14001</v>
      </c>
      <c r="C7212" t="s">
        <v>14002</v>
      </c>
      <c r="D7212" t="s">
        <v>14003</v>
      </c>
      <c r="E7212" t="s">
        <v>6</v>
      </c>
      <c r="F7212" t="s">
        <v>251</v>
      </c>
      <c r="G7212">
        <v>1</v>
      </c>
      <c r="H7212" s="2">
        <f>Tabelle13[[#This Row],[commits]]/Tabelle13[[#Totals],[commits]]</f>
        <v>4.6477904404246225E-6</v>
      </c>
      <c r="I7212" s="5">
        <f>Tabelle13[[#This Row],[%]]+I7211</f>
        <v>0.99147130454173826</v>
      </c>
      <c r="J7212" s="4">
        <f t="shared" si="257"/>
        <v>1.105583195135434E-4</v>
      </c>
      <c r="K7212" s="5">
        <f t="shared" si="258"/>
        <v>0.79712548369274527</v>
      </c>
    </row>
    <row r="7213" spans="1:11" x14ac:dyDescent="0.25">
      <c r="A7213" t="s">
        <v>14004</v>
      </c>
      <c r="C7213" t="s">
        <v>14005</v>
      </c>
      <c r="D7213" t="s">
        <v>5</v>
      </c>
      <c r="E7213" t="s">
        <v>6</v>
      </c>
      <c r="F7213" t="s">
        <v>251</v>
      </c>
      <c r="G7213">
        <v>1</v>
      </c>
      <c r="H7213" s="2">
        <f>Tabelle13[[#This Row],[commits]]/Tabelle13[[#Totals],[commits]]</f>
        <v>4.6477904404246225E-6</v>
      </c>
      <c r="I7213" s="5">
        <f>Tabelle13[[#This Row],[%]]+I7212</f>
        <v>0.99147595233217867</v>
      </c>
      <c r="J7213" s="4">
        <f t="shared" si="257"/>
        <v>1.105583195135434E-4</v>
      </c>
      <c r="K7213" s="5">
        <f t="shared" si="258"/>
        <v>0.79723604201225884</v>
      </c>
    </row>
    <row r="7214" spans="1:11" x14ac:dyDescent="0.25">
      <c r="A7214" t="s">
        <v>14006</v>
      </c>
      <c r="C7214" t="s">
        <v>14007</v>
      </c>
      <c r="D7214" t="s">
        <v>5</v>
      </c>
      <c r="E7214" t="s">
        <v>6</v>
      </c>
      <c r="F7214" t="s">
        <v>251</v>
      </c>
      <c r="G7214">
        <v>1</v>
      </c>
      <c r="H7214" s="2">
        <f>Tabelle13[[#This Row],[commits]]/Tabelle13[[#Totals],[commits]]</f>
        <v>4.6477904404246225E-6</v>
      </c>
      <c r="I7214" s="5">
        <f>Tabelle13[[#This Row],[%]]+I7213</f>
        <v>0.99148060012261907</v>
      </c>
      <c r="J7214" s="4">
        <f t="shared" si="257"/>
        <v>1.105583195135434E-4</v>
      </c>
      <c r="K7214" s="5">
        <f t="shared" si="258"/>
        <v>0.7973466003317724</v>
      </c>
    </row>
    <row r="7215" spans="1:11" x14ac:dyDescent="0.25">
      <c r="A7215" t="s">
        <v>14008</v>
      </c>
      <c r="C7215" t="s">
        <v>14009</v>
      </c>
      <c r="D7215" t="s">
        <v>309</v>
      </c>
      <c r="E7215" t="s">
        <v>6</v>
      </c>
      <c r="F7215" t="s">
        <v>251</v>
      </c>
      <c r="G7215">
        <v>1</v>
      </c>
      <c r="H7215" s="2">
        <f>Tabelle13[[#This Row],[commits]]/Tabelle13[[#Totals],[commits]]</f>
        <v>4.6477904404246225E-6</v>
      </c>
      <c r="I7215" s="5">
        <f>Tabelle13[[#This Row],[%]]+I7214</f>
        <v>0.99148524791305948</v>
      </c>
      <c r="J7215" s="4">
        <f t="shared" si="257"/>
        <v>1.105583195135434E-4</v>
      </c>
      <c r="K7215" s="5">
        <f t="shared" si="258"/>
        <v>0.79745715865128597</v>
      </c>
    </row>
    <row r="7216" spans="1:11" x14ac:dyDescent="0.25">
      <c r="A7216" t="s">
        <v>14010</v>
      </c>
      <c r="C7216" t="s">
        <v>14011</v>
      </c>
      <c r="D7216" t="s">
        <v>5</v>
      </c>
      <c r="E7216" t="s">
        <v>6</v>
      </c>
      <c r="F7216" t="s">
        <v>251</v>
      </c>
      <c r="G7216">
        <v>1</v>
      </c>
      <c r="H7216" s="2">
        <f>Tabelle13[[#This Row],[commits]]/Tabelle13[[#Totals],[commits]]</f>
        <v>4.6477904404246225E-6</v>
      </c>
      <c r="I7216" s="5">
        <f>Tabelle13[[#This Row],[%]]+I7215</f>
        <v>0.99148989570349988</v>
      </c>
      <c r="J7216" s="4">
        <f t="shared" si="257"/>
        <v>1.105583195135434E-4</v>
      </c>
      <c r="K7216" s="5">
        <f t="shared" si="258"/>
        <v>0.79756771697079953</v>
      </c>
    </row>
    <row r="7217" spans="1:11" x14ac:dyDescent="0.25">
      <c r="A7217" t="s">
        <v>14012</v>
      </c>
      <c r="C7217" t="s">
        <v>14013</v>
      </c>
      <c r="D7217" t="s">
        <v>5</v>
      </c>
      <c r="E7217" t="s">
        <v>6</v>
      </c>
      <c r="F7217" t="s">
        <v>251</v>
      </c>
      <c r="G7217">
        <v>1</v>
      </c>
      <c r="H7217" s="2">
        <f>Tabelle13[[#This Row],[commits]]/Tabelle13[[#Totals],[commits]]</f>
        <v>4.6477904404246225E-6</v>
      </c>
      <c r="I7217" s="5">
        <f>Tabelle13[[#This Row],[%]]+I7216</f>
        <v>0.99149454349394028</v>
      </c>
      <c r="J7217" s="4">
        <f t="shared" si="257"/>
        <v>1.105583195135434E-4</v>
      </c>
      <c r="K7217" s="5">
        <f t="shared" si="258"/>
        <v>0.7976782752903131</v>
      </c>
    </row>
    <row r="7218" spans="1:11" x14ac:dyDescent="0.25">
      <c r="A7218" t="s">
        <v>14014</v>
      </c>
      <c r="C7218" t="s">
        <v>14015</v>
      </c>
      <c r="D7218" t="s">
        <v>5</v>
      </c>
      <c r="E7218" t="s">
        <v>6</v>
      </c>
      <c r="F7218" t="s">
        <v>251</v>
      </c>
      <c r="G7218">
        <v>1</v>
      </c>
      <c r="H7218" s="2">
        <f>Tabelle13[[#This Row],[commits]]/Tabelle13[[#Totals],[commits]]</f>
        <v>4.6477904404246225E-6</v>
      </c>
      <c r="I7218" s="5">
        <f>Tabelle13[[#This Row],[%]]+I7217</f>
        <v>0.99149919128438069</v>
      </c>
      <c r="J7218" s="4">
        <f t="shared" si="257"/>
        <v>1.105583195135434E-4</v>
      </c>
      <c r="K7218" s="5">
        <f t="shared" si="258"/>
        <v>0.79778883360982666</v>
      </c>
    </row>
    <row r="7219" spans="1:11" x14ac:dyDescent="0.25">
      <c r="A7219" t="s">
        <v>14016</v>
      </c>
      <c r="C7219" t="s">
        <v>14017</v>
      </c>
      <c r="D7219" t="s">
        <v>5</v>
      </c>
      <c r="E7219" t="s">
        <v>6</v>
      </c>
      <c r="F7219" t="s">
        <v>251</v>
      </c>
      <c r="G7219">
        <v>1</v>
      </c>
      <c r="H7219" s="2">
        <f>Tabelle13[[#This Row],[commits]]/Tabelle13[[#Totals],[commits]]</f>
        <v>4.6477904404246225E-6</v>
      </c>
      <c r="I7219" s="5">
        <f>Tabelle13[[#This Row],[%]]+I7218</f>
        <v>0.99150383907482109</v>
      </c>
      <c r="J7219" s="4">
        <f t="shared" si="257"/>
        <v>1.105583195135434E-4</v>
      </c>
      <c r="K7219" s="5">
        <f t="shared" si="258"/>
        <v>0.79789939192934023</v>
      </c>
    </row>
    <row r="7220" spans="1:11" x14ac:dyDescent="0.25">
      <c r="A7220" t="s">
        <v>14018</v>
      </c>
      <c r="C7220" t="s">
        <v>14019</v>
      </c>
      <c r="D7220" t="s">
        <v>5</v>
      </c>
      <c r="E7220" t="s">
        <v>6</v>
      </c>
      <c r="F7220" t="s">
        <v>251</v>
      </c>
      <c r="G7220">
        <v>1</v>
      </c>
      <c r="H7220" s="2">
        <f>Tabelle13[[#This Row],[commits]]/Tabelle13[[#Totals],[commits]]</f>
        <v>4.6477904404246225E-6</v>
      </c>
      <c r="I7220" s="5">
        <f>Tabelle13[[#This Row],[%]]+I7219</f>
        <v>0.9915084868652615</v>
      </c>
      <c r="J7220" s="4">
        <f t="shared" si="257"/>
        <v>1.105583195135434E-4</v>
      </c>
      <c r="K7220" s="5">
        <f t="shared" si="258"/>
        <v>0.79800995024885379</v>
      </c>
    </row>
    <row r="7221" spans="1:11" x14ac:dyDescent="0.25">
      <c r="A7221" t="s">
        <v>14020</v>
      </c>
      <c r="C7221" t="s">
        <v>14021</v>
      </c>
      <c r="D7221" t="s">
        <v>5</v>
      </c>
      <c r="E7221" t="s">
        <v>6</v>
      </c>
      <c r="F7221" t="s">
        <v>251</v>
      </c>
      <c r="G7221">
        <v>1</v>
      </c>
      <c r="H7221" s="2">
        <f>Tabelle13[[#This Row],[commits]]/Tabelle13[[#Totals],[commits]]</f>
        <v>4.6477904404246225E-6</v>
      </c>
      <c r="I7221" s="5">
        <f>Tabelle13[[#This Row],[%]]+I7220</f>
        <v>0.9915131346557019</v>
      </c>
      <c r="J7221" s="4">
        <f t="shared" si="257"/>
        <v>1.105583195135434E-4</v>
      </c>
      <c r="K7221" s="5">
        <f t="shared" si="258"/>
        <v>0.79812050856836736</v>
      </c>
    </row>
    <row r="7222" spans="1:11" x14ac:dyDescent="0.25">
      <c r="A7222" t="s">
        <v>14022</v>
      </c>
      <c r="C7222" t="s">
        <v>14023</v>
      </c>
      <c r="D7222" t="s">
        <v>5</v>
      </c>
      <c r="E7222" t="s">
        <v>6</v>
      </c>
      <c r="F7222" t="s">
        <v>251</v>
      </c>
      <c r="G7222">
        <v>1</v>
      </c>
      <c r="H7222" s="2">
        <f>Tabelle13[[#This Row],[commits]]/Tabelle13[[#Totals],[commits]]</f>
        <v>4.6477904404246225E-6</v>
      </c>
      <c r="I7222" s="5">
        <f>Tabelle13[[#This Row],[%]]+I7221</f>
        <v>0.9915177824461423</v>
      </c>
      <c r="J7222" s="4">
        <f t="shared" si="257"/>
        <v>1.105583195135434E-4</v>
      </c>
      <c r="K7222" s="5">
        <f t="shared" si="258"/>
        <v>0.79823106688788092</v>
      </c>
    </row>
    <row r="7223" spans="1:11" x14ac:dyDescent="0.25">
      <c r="A7223" t="s">
        <v>14024</v>
      </c>
      <c r="C7223" t="s">
        <v>14025</v>
      </c>
      <c r="D7223" t="s">
        <v>5</v>
      </c>
      <c r="E7223" t="s">
        <v>6</v>
      </c>
      <c r="F7223" t="s">
        <v>251</v>
      </c>
      <c r="G7223">
        <v>1</v>
      </c>
      <c r="H7223" s="2">
        <f>Tabelle13[[#This Row],[commits]]/Tabelle13[[#Totals],[commits]]</f>
        <v>4.6477904404246225E-6</v>
      </c>
      <c r="I7223" s="5">
        <f>Tabelle13[[#This Row],[%]]+I7222</f>
        <v>0.99152243023658271</v>
      </c>
      <c r="J7223" s="4">
        <f t="shared" si="257"/>
        <v>1.105583195135434E-4</v>
      </c>
      <c r="K7223" s="5">
        <f t="shared" si="258"/>
        <v>0.79834162520739449</v>
      </c>
    </row>
    <row r="7224" spans="1:11" x14ac:dyDescent="0.25">
      <c r="A7224" t="s">
        <v>14026</v>
      </c>
      <c r="C7224" t="s">
        <v>197</v>
      </c>
      <c r="D7224" t="s">
        <v>5</v>
      </c>
      <c r="E7224" t="s">
        <v>6</v>
      </c>
      <c r="F7224" t="s">
        <v>251</v>
      </c>
      <c r="G7224">
        <v>1</v>
      </c>
      <c r="H7224" s="2">
        <f>Tabelle13[[#This Row],[commits]]/Tabelle13[[#Totals],[commits]]</f>
        <v>4.6477904404246225E-6</v>
      </c>
      <c r="I7224" s="5">
        <f>Tabelle13[[#This Row],[%]]+I7223</f>
        <v>0.99152707802702311</v>
      </c>
      <c r="J7224" s="4">
        <f t="shared" si="257"/>
        <v>1.105583195135434E-4</v>
      </c>
      <c r="K7224" s="5">
        <f t="shared" si="258"/>
        <v>0.79845218352690805</v>
      </c>
    </row>
    <row r="7225" spans="1:11" x14ac:dyDescent="0.25">
      <c r="A7225" t="s">
        <v>14027</v>
      </c>
      <c r="C7225" t="s">
        <v>1843</v>
      </c>
      <c r="D7225" t="s">
        <v>11354</v>
      </c>
      <c r="E7225" t="s">
        <v>6</v>
      </c>
      <c r="F7225" t="s">
        <v>251</v>
      </c>
      <c r="G7225">
        <v>1</v>
      </c>
      <c r="H7225" s="2">
        <f>Tabelle13[[#This Row],[commits]]/Tabelle13[[#Totals],[commits]]</f>
        <v>4.6477904404246225E-6</v>
      </c>
      <c r="I7225" s="5">
        <f>Tabelle13[[#This Row],[%]]+I7224</f>
        <v>0.99153172581746352</v>
      </c>
      <c r="J7225" s="4">
        <f t="shared" si="257"/>
        <v>1.105583195135434E-4</v>
      </c>
      <c r="K7225" s="5">
        <f t="shared" si="258"/>
        <v>0.79856274184642162</v>
      </c>
    </row>
    <row r="7226" spans="1:11" x14ac:dyDescent="0.25">
      <c r="A7226" t="s">
        <v>14028</v>
      </c>
      <c r="C7226" t="s">
        <v>14029</v>
      </c>
      <c r="D7226" t="s">
        <v>5</v>
      </c>
      <c r="E7226" t="s">
        <v>6</v>
      </c>
      <c r="F7226" t="s">
        <v>251</v>
      </c>
      <c r="G7226">
        <v>1</v>
      </c>
      <c r="H7226" s="2">
        <f>Tabelle13[[#This Row],[commits]]/Tabelle13[[#Totals],[commits]]</f>
        <v>4.6477904404246225E-6</v>
      </c>
      <c r="I7226" s="5">
        <f>Tabelle13[[#This Row],[%]]+I7225</f>
        <v>0.99153637360790392</v>
      </c>
      <c r="J7226" s="4">
        <f t="shared" si="257"/>
        <v>1.105583195135434E-4</v>
      </c>
      <c r="K7226" s="5">
        <f t="shared" si="258"/>
        <v>0.79867330016593518</v>
      </c>
    </row>
    <row r="7227" spans="1:11" x14ac:dyDescent="0.25">
      <c r="A7227" t="s">
        <v>14030</v>
      </c>
      <c r="C7227" t="s">
        <v>14031</v>
      </c>
      <c r="D7227" t="s">
        <v>5</v>
      </c>
      <c r="E7227" t="s">
        <v>6</v>
      </c>
      <c r="F7227" t="s">
        <v>251</v>
      </c>
      <c r="G7227">
        <v>1</v>
      </c>
      <c r="H7227" s="2">
        <f>Tabelle13[[#This Row],[commits]]/Tabelle13[[#Totals],[commits]]</f>
        <v>4.6477904404246225E-6</v>
      </c>
      <c r="I7227" s="5">
        <f>Tabelle13[[#This Row],[%]]+I7226</f>
        <v>0.99154102139834432</v>
      </c>
      <c r="J7227" s="4">
        <f t="shared" si="257"/>
        <v>1.105583195135434E-4</v>
      </c>
      <c r="K7227" s="5">
        <f t="shared" si="258"/>
        <v>0.79878385848544875</v>
      </c>
    </row>
    <row r="7228" spans="1:11" x14ac:dyDescent="0.25">
      <c r="A7228" t="s">
        <v>14032</v>
      </c>
      <c r="C7228" t="s">
        <v>14033</v>
      </c>
      <c r="D7228" t="s">
        <v>5</v>
      </c>
      <c r="E7228" t="s">
        <v>6</v>
      </c>
      <c r="F7228" t="s">
        <v>251</v>
      </c>
      <c r="G7228">
        <v>1</v>
      </c>
      <c r="H7228" s="2">
        <f>Tabelle13[[#This Row],[commits]]/Tabelle13[[#Totals],[commits]]</f>
        <v>4.6477904404246225E-6</v>
      </c>
      <c r="I7228" s="5">
        <f>Tabelle13[[#This Row],[%]]+I7227</f>
        <v>0.99154566918878473</v>
      </c>
      <c r="J7228" s="4">
        <f t="shared" si="257"/>
        <v>1.105583195135434E-4</v>
      </c>
      <c r="K7228" s="5">
        <f t="shared" si="258"/>
        <v>0.79889441680496232</v>
      </c>
    </row>
    <row r="7229" spans="1:11" x14ac:dyDescent="0.25">
      <c r="A7229" t="s">
        <v>14034</v>
      </c>
      <c r="C7229" t="s">
        <v>14035</v>
      </c>
      <c r="D7229" t="s">
        <v>5</v>
      </c>
      <c r="E7229" t="s">
        <v>6</v>
      </c>
      <c r="F7229" t="s">
        <v>251</v>
      </c>
      <c r="G7229">
        <v>1</v>
      </c>
      <c r="H7229" s="2">
        <f>Tabelle13[[#This Row],[commits]]/Tabelle13[[#Totals],[commits]]</f>
        <v>4.6477904404246225E-6</v>
      </c>
      <c r="I7229" s="5">
        <f>Tabelle13[[#This Row],[%]]+I7228</f>
        <v>0.99155031697922513</v>
      </c>
      <c r="J7229" s="4">
        <f t="shared" si="257"/>
        <v>1.105583195135434E-4</v>
      </c>
      <c r="K7229" s="5">
        <f t="shared" si="258"/>
        <v>0.79900497512447588</v>
      </c>
    </row>
    <row r="7230" spans="1:11" x14ac:dyDescent="0.25">
      <c r="A7230" t="s">
        <v>14036</v>
      </c>
      <c r="C7230" t="s">
        <v>14037</v>
      </c>
      <c r="D7230" t="s">
        <v>5</v>
      </c>
      <c r="E7230" t="s">
        <v>6</v>
      </c>
      <c r="F7230" t="s">
        <v>251</v>
      </c>
      <c r="G7230">
        <v>1</v>
      </c>
      <c r="H7230" s="2">
        <f>Tabelle13[[#This Row],[commits]]/Tabelle13[[#Totals],[commits]]</f>
        <v>4.6477904404246225E-6</v>
      </c>
      <c r="I7230" s="5">
        <f>Tabelle13[[#This Row],[%]]+I7229</f>
        <v>0.99155496476966554</v>
      </c>
      <c r="J7230" s="4">
        <f t="shared" si="257"/>
        <v>1.105583195135434E-4</v>
      </c>
      <c r="K7230" s="5">
        <f t="shared" si="258"/>
        <v>0.79911553344398945</v>
      </c>
    </row>
    <row r="7231" spans="1:11" x14ac:dyDescent="0.25">
      <c r="A7231" t="s">
        <v>14038</v>
      </c>
      <c r="C7231" t="s">
        <v>14039</v>
      </c>
      <c r="D7231" t="s">
        <v>12384</v>
      </c>
      <c r="E7231" t="s">
        <v>6</v>
      </c>
      <c r="F7231" t="s">
        <v>251</v>
      </c>
      <c r="G7231">
        <v>1</v>
      </c>
      <c r="H7231" s="2">
        <f>Tabelle13[[#This Row],[commits]]/Tabelle13[[#Totals],[commits]]</f>
        <v>4.6477904404246225E-6</v>
      </c>
      <c r="I7231" s="5">
        <f>Tabelle13[[#This Row],[%]]+I7230</f>
        <v>0.99155961256010594</v>
      </c>
      <c r="J7231" s="4">
        <f t="shared" si="257"/>
        <v>1.105583195135434E-4</v>
      </c>
      <c r="K7231" s="5">
        <f t="shared" si="258"/>
        <v>0.79922609176350301</v>
      </c>
    </row>
    <row r="7232" spans="1:11" x14ac:dyDescent="0.25">
      <c r="A7232" t="s">
        <v>14040</v>
      </c>
      <c r="C7232" t="s">
        <v>14041</v>
      </c>
      <c r="D7232" t="s">
        <v>14042</v>
      </c>
      <c r="E7232" t="s">
        <v>6</v>
      </c>
      <c r="F7232" t="s">
        <v>251</v>
      </c>
      <c r="G7232">
        <v>1</v>
      </c>
      <c r="H7232" s="2">
        <f>Tabelle13[[#This Row],[commits]]/Tabelle13[[#Totals],[commits]]</f>
        <v>4.6477904404246225E-6</v>
      </c>
      <c r="I7232" s="5">
        <f>Tabelle13[[#This Row],[%]]+I7231</f>
        <v>0.99156426035054634</v>
      </c>
      <c r="J7232" s="4">
        <f t="shared" si="257"/>
        <v>1.105583195135434E-4</v>
      </c>
      <c r="K7232" s="5">
        <f t="shared" si="258"/>
        <v>0.79933665008301658</v>
      </c>
    </row>
    <row r="7233" spans="1:11" x14ac:dyDescent="0.25">
      <c r="A7233" t="s">
        <v>14043</v>
      </c>
      <c r="C7233" t="s">
        <v>14044</v>
      </c>
      <c r="D7233" t="s">
        <v>5</v>
      </c>
      <c r="E7233" t="s">
        <v>6</v>
      </c>
      <c r="F7233" t="s">
        <v>251</v>
      </c>
      <c r="G7233">
        <v>1</v>
      </c>
      <c r="H7233" s="2">
        <f>Tabelle13[[#This Row],[commits]]/Tabelle13[[#Totals],[commits]]</f>
        <v>4.6477904404246225E-6</v>
      </c>
      <c r="I7233" s="5">
        <f>Tabelle13[[#This Row],[%]]+I7232</f>
        <v>0.99156890814098675</v>
      </c>
      <c r="J7233" s="4">
        <f t="shared" si="257"/>
        <v>1.105583195135434E-4</v>
      </c>
      <c r="K7233" s="5">
        <f t="shared" si="258"/>
        <v>0.79944720840253014</v>
      </c>
    </row>
    <row r="7234" spans="1:11" x14ac:dyDescent="0.25">
      <c r="A7234" t="s">
        <v>14045</v>
      </c>
      <c r="C7234" t="s">
        <v>14046</v>
      </c>
      <c r="D7234" t="s">
        <v>5</v>
      </c>
      <c r="E7234" t="s">
        <v>6</v>
      </c>
      <c r="F7234" t="s">
        <v>251</v>
      </c>
      <c r="G7234">
        <v>1</v>
      </c>
      <c r="H7234" s="2">
        <f>Tabelle13[[#This Row],[commits]]/Tabelle13[[#Totals],[commits]]</f>
        <v>4.6477904404246225E-6</v>
      </c>
      <c r="I7234" s="5">
        <f>Tabelle13[[#This Row],[%]]+I7233</f>
        <v>0.99157355593142715</v>
      </c>
      <c r="J7234" s="4">
        <f t="shared" si="257"/>
        <v>1.105583195135434E-4</v>
      </c>
      <c r="K7234" s="5">
        <f t="shared" si="258"/>
        <v>0.79955776672204371</v>
      </c>
    </row>
    <row r="7235" spans="1:11" x14ac:dyDescent="0.25">
      <c r="A7235" t="s">
        <v>14047</v>
      </c>
      <c r="C7235" t="s">
        <v>14048</v>
      </c>
      <c r="D7235" t="s">
        <v>309</v>
      </c>
      <c r="E7235" t="s">
        <v>6</v>
      </c>
      <c r="F7235" t="s">
        <v>251</v>
      </c>
      <c r="G7235">
        <v>1</v>
      </c>
      <c r="H7235" s="2">
        <f>Tabelle13[[#This Row],[commits]]/Tabelle13[[#Totals],[commits]]</f>
        <v>4.6477904404246225E-6</v>
      </c>
      <c r="I7235" s="5">
        <f>Tabelle13[[#This Row],[%]]+I7234</f>
        <v>0.99157820372186756</v>
      </c>
      <c r="J7235" s="4">
        <f t="shared" ref="J7235:J7298" si="259">1/9045</f>
        <v>1.105583195135434E-4</v>
      </c>
      <c r="K7235" s="5">
        <f t="shared" si="258"/>
        <v>0.79966832504155727</v>
      </c>
    </row>
    <row r="7236" spans="1:11" x14ac:dyDescent="0.25">
      <c r="A7236" t="s">
        <v>14049</v>
      </c>
      <c r="C7236" t="s">
        <v>14050</v>
      </c>
      <c r="D7236" t="s">
        <v>4461</v>
      </c>
      <c r="E7236" t="s">
        <v>6</v>
      </c>
      <c r="F7236" t="s">
        <v>251</v>
      </c>
      <c r="G7236">
        <v>1</v>
      </c>
      <c r="H7236" s="2">
        <f>Tabelle13[[#This Row],[commits]]/Tabelle13[[#Totals],[commits]]</f>
        <v>4.6477904404246225E-6</v>
      </c>
      <c r="I7236" s="5">
        <f>Tabelle13[[#This Row],[%]]+I7235</f>
        <v>0.99158285151230796</v>
      </c>
      <c r="J7236" s="4">
        <f t="shared" si="259"/>
        <v>1.105583195135434E-4</v>
      </c>
      <c r="K7236" s="5">
        <f t="shared" si="258"/>
        <v>0.79977888336107084</v>
      </c>
    </row>
    <row r="7237" spans="1:11" x14ac:dyDescent="0.25">
      <c r="A7237" t="s">
        <v>14051</v>
      </c>
      <c r="C7237" t="s">
        <v>14052</v>
      </c>
      <c r="D7237" t="s">
        <v>14053</v>
      </c>
      <c r="E7237" t="s">
        <v>6</v>
      </c>
      <c r="F7237" t="s">
        <v>251</v>
      </c>
      <c r="G7237">
        <v>1</v>
      </c>
      <c r="H7237" s="2">
        <f>Tabelle13[[#This Row],[commits]]/Tabelle13[[#Totals],[commits]]</f>
        <v>4.6477904404246225E-6</v>
      </c>
      <c r="I7237" s="5">
        <f>Tabelle13[[#This Row],[%]]+I7236</f>
        <v>0.99158749930274837</v>
      </c>
      <c r="J7237" s="4">
        <f t="shared" si="259"/>
        <v>1.105583195135434E-4</v>
      </c>
      <c r="K7237" s="5">
        <f t="shared" si="258"/>
        <v>0.7998894416805844</v>
      </c>
    </row>
    <row r="7238" spans="1:11" x14ac:dyDescent="0.25">
      <c r="A7238" t="s">
        <v>14054</v>
      </c>
      <c r="C7238" t="s">
        <v>14055</v>
      </c>
      <c r="D7238" t="s">
        <v>309</v>
      </c>
      <c r="E7238" t="s">
        <v>6</v>
      </c>
      <c r="F7238" t="s">
        <v>251</v>
      </c>
      <c r="G7238">
        <v>1</v>
      </c>
      <c r="H7238" s="2">
        <f>Tabelle13[[#This Row],[commits]]/Tabelle13[[#Totals],[commits]]</f>
        <v>4.6477904404246225E-6</v>
      </c>
      <c r="I7238" s="5">
        <f>Tabelle13[[#This Row],[%]]+I7237</f>
        <v>0.99159214709318877</v>
      </c>
      <c r="J7238" s="4">
        <f t="shared" si="259"/>
        <v>1.105583195135434E-4</v>
      </c>
      <c r="K7238" s="5">
        <f t="shared" ref="K7238:K7301" si="260">J7238+K7237</f>
        <v>0.80000000000009797</v>
      </c>
    </row>
    <row r="7239" spans="1:11" x14ac:dyDescent="0.25">
      <c r="A7239" t="s">
        <v>14056</v>
      </c>
      <c r="C7239" t="s">
        <v>14057</v>
      </c>
      <c r="D7239" t="s">
        <v>5</v>
      </c>
      <c r="E7239" t="s">
        <v>6</v>
      </c>
      <c r="F7239" t="s">
        <v>251</v>
      </c>
      <c r="G7239">
        <v>1</v>
      </c>
      <c r="H7239" s="2">
        <f>Tabelle13[[#This Row],[commits]]/Tabelle13[[#Totals],[commits]]</f>
        <v>4.6477904404246225E-6</v>
      </c>
      <c r="I7239" s="5">
        <f>Tabelle13[[#This Row],[%]]+I7238</f>
        <v>0.99159679488362917</v>
      </c>
      <c r="J7239" s="4">
        <f t="shared" si="259"/>
        <v>1.105583195135434E-4</v>
      </c>
      <c r="K7239" s="5">
        <f t="shared" si="260"/>
        <v>0.80011055831961153</v>
      </c>
    </row>
    <row r="7240" spans="1:11" x14ac:dyDescent="0.25">
      <c r="A7240" t="s">
        <v>14058</v>
      </c>
      <c r="C7240" t="s">
        <v>14059</v>
      </c>
      <c r="D7240" t="s">
        <v>2659</v>
      </c>
      <c r="E7240" t="s">
        <v>6</v>
      </c>
      <c r="F7240" t="s">
        <v>251</v>
      </c>
      <c r="G7240">
        <v>1</v>
      </c>
      <c r="H7240" s="2">
        <f>Tabelle13[[#This Row],[commits]]/Tabelle13[[#Totals],[commits]]</f>
        <v>4.6477904404246225E-6</v>
      </c>
      <c r="I7240" s="5">
        <f>Tabelle13[[#This Row],[%]]+I7239</f>
        <v>0.99160144267406958</v>
      </c>
      <c r="J7240" s="4">
        <f t="shared" si="259"/>
        <v>1.105583195135434E-4</v>
      </c>
      <c r="K7240" s="5">
        <f t="shared" si="260"/>
        <v>0.8002211166391251</v>
      </c>
    </row>
    <row r="7241" spans="1:11" x14ac:dyDescent="0.25">
      <c r="A7241" t="s">
        <v>14060</v>
      </c>
      <c r="C7241" t="s">
        <v>14061</v>
      </c>
      <c r="D7241" t="s">
        <v>14062</v>
      </c>
      <c r="E7241" t="s">
        <v>6</v>
      </c>
      <c r="F7241" t="s">
        <v>251</v>
      </c>
      <c r="G7241">
        <v>1</v>
      </c>
      <c r="H7241" s="2">
        <f>Tabelle13[[#This Row],[commits]]/Tabelle13[[#Totals],[commits]]</f>
        <v>4.6477904404246225E-6</v>
      </c>
      <c r="I7241" s="5">
        <f>Tabelle13[[#This Row],[%]]+I7240</f>
        <v>0.99160609046450998</v>
      </c>
      <c r="J7241" s="4">
        <f t="shared" si="259"/>
        <v>1.105583195135434E-4</v>
      </c>
      <c r="K7241" s="5">
        <f t="shared" si="260"/>
        <v>0.80033167495863866</v>
      </c>
    </row>
    <row r="7242" spans="1:11" x14ac:dyDescent="0.25">
      <c r="A7242" t="s">
        <v>14063</v>
      </c>
      <c r="C7242" t="s">
        <v>14064</v>
      </c>
      <c r="D7242" t="s">
        <v>5</v>
      </c>
      <c r="E7242" t="s">
        <v>6</v>
      </c>
      <c r="F7242" t="s">
        <v>251</v>
      </c>
      <c r="G7242">
        <v>1</v>
      </c>
      <c r="H7242" s="2">
        <f>Tabelle13[[#This Row],[commits]]/Tabelle13[[#Totals],[commits]]</f>
        <v>4.6477904404246225E-6</v>
      </c>
      <c r="I7242" s="5">
        <f>Tabelle13[[#This Row],[%]]+I7241</f>
        <v>0.99161073825495039</v>
      </c>
      <c r="J7242" s="4">
        <f t="shared" si="259"/>
        <v>1.105583195135434E-4</v>
      </c>
      <c r="K7242" s="5">
        <f t="shared" si="260"/>
        <v>0.80044223327815223</v>
      </c>
    </row>
    <row r="7243" spans="1:11" x14ac:dyDescent="0.25">
      <c r="A7243" t="s">
        <v>14065</v>
      </c>
      <c r="C7243" t="s">
        <v>14066</v>
      </c>
      <c r="D7243" t="s">
        <v>5</v>
      </c>
      <c r="E7243" t="s">
        <v>6</v>
      </c>
      <c r="F7243" t="s">
        <v>251</v>
      </c>
      <c r="G7243">
        <v>1</v>
      </c>
      <c r="H7243" s="2">
        <f>Tabelle13[[#This Row],[commits]]/Tabelle13[[#Totals],[commits]]</f>
        <v>4.6477904404246225E-6</v>
      </c>
      <c r="I7243" s="5">
        <f>Tabelle13[[#This Row],[%]]+I7242</f>
        <v>0.99161538604539079</v>
      </c>
      <c r="J7243" s="4">
        <f t="shared" si="259"/>
        <v>1.105583195135434E-4</v>
      </c>
      <c r="K7243" s="5">
        <f t="shared" si="260"/>
        <v>0.80055279159766579</v>
      </c>
    </row>
    <row r="7244" spans="1:11" x14ac:dyDescent="0.25">
      <c r="A7244" t="s">
        <v>14067</v>
      </c>
      <c r="C7244" t="s">
        <v>14068</v>
      </c>
      <c r="D7244" t="s">
        <v>2659</v>
      </c>
      <c r="E7244" t="s">
        <v>6</v>
      </c>
      <c r="F7244" t="s">
        <v>251</v>
      </c>
      <c r="G7244">
        <v>1</v>
      </c>
      <c r="H7244" s="2">
        <f>Tabelle13[[#This Row],[commits]]/Tabelle13[[#Totals],[commits]]</f>
        <v>4.6477904404246225E-6</v>
      </c>
      <c r="I7244" s="5">
        <f>Tabelle13[[#This Row],[%]]+I7243</f>
        <v>0.99162003383583119</v>
      </c>
      <c r="J7244" s="4">
        <f t="shared" si="259"/>
        <v>1.105583195135434E-4</v>
      </c>
      <c r="K7244" s="5">
        <f t="shared" si="260"/>
        <v>0.80066334991717936</v>
      </c>
    </row>
    <row r="7245" spans="1:11" x14ac:dyDescent="0.25">
      <c r="A7245" t="s">
        <v>14069</v>
      </c>
      <c r="C7245" t="s">
        <v>14070</v>
      </c>
      <c r="D7245" t="s">
        <v>309</v>
      </c>
      <c r="E7245" t="s">
        <v>6</v>
      </c>
      <c r="F7245" t="s">
        <v>251</v>
      </c>
      <c r="G7245">
        <v>1</v>
      </c>
      <c r="H7245" s="2">
        <f>Tabelle13[[#This Row],[commits]]/Tabelle13[[#Totals],[commits]]</f>
        <v>4.6477904404246225E-6</v>
      </c>
      <c r="I7245" s="5">
        <f>Tabelle13[[#This Row],[%]]+I7244</f>
        <v>0.9916246816262716</v>
      </c>
      <c r="J7245" s="4">
        <f t="shared" si="259"/>
        <v>1.105583195135434E-4</v>
      </c>
      <c r="K7245" s="5">
        <f t="shared" si="260"/>
        <v>0.80077390823669292</v>
      </c>
    </row>
    <row r="7246" spans="1:11" x14ac:dyDescent="0.25">
      <c r="A7246" t="s">
        <v>14071</v>
      </c>
      <c r="C7246" t="s">
        <v>362</v>
      </c>
      <c r="D7246" t="s">
        <v>5</v>
      </c>
      <c r="E7246" t="s">
        <v>6</v>
      </c>
      <c r="F7246" t="s">
        <v>251</v>
      </c>
      <c r="G7246">
        <v>1</v>
      </c>
      <c r="H7246" s="2">
        <f>Tabelle13[[#This Row],[commits]]/Tabelle13[[#Totals],[commits]]</f>
        <v>4.6477904404246225E-6</v>
      </c>
      <c r="I7246" s="5">
        <f>Tabelle13[[#This Row],[%]]+I7245</f>
        <v>0.991629329416712</v>
      </c>
      <c r="J7246" s="4">
        <f t="shared" si="259"/>
        <v>1.105583195135434E-4</v>
      </c>
      <c r="K7246" s="5">
        <f t="shared" si="260"/>
        <v>0.80088446655620649</v>
      </c>
    </row>
    <row r="7247" spans="1:11" x14ac:dyDescent="0.25">
      <c r="A7247" t="s">
        <v>14072</v>
      </c>
      <c r="C7247" t="s">
        <v>14073</v>
      </c>
      <c r="D7247" t="s">
        <v>5</v>
      </c>
      <c r="E7247" t="s">
        <v>6</v>
      </c>
      <c r="F7247" t="s">
        <v>251</v>
      </c>
      <c r="G7247">
        <v>1</v>
      </c>
      <c r="H7247" s="2">
        <f>Tabelle13[[#This Row],[commits]]/Tabelle13[[#Totals],[commits]]</f>
        <v>4.6477904404246225E-6</v>
      </c>
      <c r="I7247" s="5">
        <f>Tabelle13[[#This Row],[%]]+I7246</f>
        <v>0.99163397720715241</v>
      </c>
      <c r="J7247" s="4">
        <f t="shared" si="259"/>
        <v>1.105583195135434E-4</v>
      </c>
      <c r="K7247" s="5">
        <f t="shared" si="260"/>
        <v>0.80099502487572005</v>
      </c>
    </row>
    <row r="7248" spans="1:11" x14ac:dyDescent="0.25">
      <c r="A7248" t="s">
        <v>14074</v>
      </c>
      <c r="C7248" t="s">
        <v>14075</v>
      </c>
      <c r="D7248" t="s">
        <v>5</v>
      </c>
      <c r="E7248" t="s">
        <v>6</v>
      </c>
      <c r="F7248" t="s">
        <v>251</v>
      </c>
      <c r="G7248">
        <v>1</v>
      </c>
      <c r="H7248" s="2">
        <f>Tabelle13[[#This Row],[commits]]/Tabelle13[[#Totals],[commits]]</f>
        <v>4.6477904404246225E-6</v>
      </c>
      <c r="I7248" s="5">
        <f>Tabelle13[[#This Row],[%]]+I7247</f>
        <v>0.99163862499759281</v>
      </c>
      <c r="J7248" s="4">
        <f t="shared" si="259"/>
        <v>1.105583195135434E-4</v>
      </c>
      <c r="K7248" s="5">
        <f t="shared" si="260"/>
        <v>0.80110558319523362</v>
      </c>
    </row>
    <row r="7249" spans="1:11" x14ac:dyDescent="0.25">
      <c r="A7249" t="s">
        <v>14076</v>
      </c>
      <c r="C7249" t="s">
        <v>14077</v>
      </c>
      <c r="D7249" t="s">
        <v>5</v>
      </c>
      <c r="E7249" t="s">
        <v>6</v>
      </c>
      <c r="F7249" t="s">
        <v>251</v>
      </c>
      <c r="G7249">
        <v>1</v>
      </c>
      <c r="H7249" s="2">
        <f>Tabelle13[[#This Row],[commits]]/Tabelle13[[#Totals],[commits]]</f>
        <v>4.6477904404246225E-6</v>
      </c>
      <c r="I7249" s="5">
        <f>Tabelle13[[#This Row],[%]]+I7248</f>
        <v>0.99164327278803321</v>
      </c>
      <c r="J7249" s="4">
        <f t="shared" si="259"/>
        <v>1.105583195135434E-4</v>
      </c>
      <c r="K7249" s="5">
        <f t="shared" si="260"/>
        <v>0.80121614151474718</v>
      </c>
    </row>
    <row r="7250" spans="1:11" x14ac:dyDescent="0.25">
      <c r="A7250" t="s">
        <v>14078</v>
      </c>
      <c r="C7250" t="s">
        <v>14079</v>
      </c>
      <c r="D7250" t="s">
        <v>5</v>
      </c>
      <c r="E7250" t="s">
        <v>6</v>
      </c>
      <c r="F7250" t="s">
        <v>251</v>
      </c>
      <c r="G7250">
        <v>1</v>
      </c>
      <c r="H7250" s="2">
        <f>Tabelle13[[#This Row],[commits]]/Tabelle13[[#Totals],[commits]]</f>
        <v>4.6477904404246225E-6</v>
      </c>
      <c r="I7250" s="5">
        <f>Tabelle13[[#This Row],[%]]+I7249</f>
        <v>0.99164792057847362</v>
      </c>
      <c r="J7250" s="4">
        <f t="shared" si="259"/>
        <v>1.105583195135434E-4</v>
      </c>
      <c r="K7250" s="5">
        <f t="shared" si="260"/>
        <v>0.80132669983426075</v>
      </c>
    </row>
    <row r="7251" spans="1:11" x14ac:dyDescent="0.25">
      <c r="A7251" t="s">
        <v>14080</v>
      </c>
      <c r="C7251" t="s">
        <v>14081</v>
      </c>
      <c r="D7251" t="s">
        <v>5</v>
      </c>
      <c r="E7251" t="s">
        <v>6</v>
      </c>
      <c r="F7251" t="s">
        <v>251</v>
      </c>
      <c r="G7251">
        <v>1</v>
      </c>
      <c r="H7251" s="2">
        <f>Tabelle13[[#This Row],[commits]]/Tabelle13[[#Totals],[commits]]</f>
        <v>4.6477904404246225E-6</v>
      </c>
      <c r="I7251" s="5">
        <f>Tabelle13[[#This Row],[%]]+I7250</f>
        <v>0.99165256836891402</v>
      </c>
      <c r="J7251" s="4">
        <f t="shared" si="259"/>
        <v>1.105583195135434E-4</v>
      </c>
      <c r="K7251" s="5">
        <f t="shared" si="260"/>
        <v>0.80143725815377431</v>
      </c>
    </row>
    <row r="7252" spans="1:11" x14ac:dyDescent="0.25">
      <c r="A7252" t="s">
        <v>14082</v>
      </c>
      <c r="C7252" t="s">
        <v>14083</v>
      </c>
      <c r="D7252" t="s">
        <v>5</v>
      </c>
      <c r="E7252" t="s">
        <v>6</v>
      </c>
      <c r="F7252" t="s">
        <v>251</v>
      </c>
      <c r="G7252">
        <v>1</v>
      </c>
      <c r="H7252" s="2">
        <f>Tabelle13[[#This Row],[commits]]/Tabelle13[[#Totals],[commits]]</f>
        <v>4.6477904404246225E-6</v>
      </c>
      <c r="I7252" s="5">
        <f>Tabelle13[[#This Row],[%]]+I7251</f>
        <v>0.99165721615935443</v>
      </c>
      <c r="J7252" s="4">
        <f t="shared" si="259"/>
        <v>1.105583195135434E-4</v>
      </c>
      <c r="K7252" s="5">
        <f t="shared" si="260"/>
        <v>0.80154781647328788</v>
      </c>
    </row>
    <row r="7253" spans="1:11" x14ac:dyDescent="0.25">
      <c r="A7253" t="s">
        <v>14084</v>
      </c>
      <c r="C7253" t="s">
        <v>14085</v>
      </c>
      <c r="D7253" t="s">
        <v>11359</v>
      </c>
      <c r="E7253" t="s">
        <v>6</v>
      </c>
      <c r="F7253" t="s">
        <v>251</v>
      </c>
      <c r="G7253">
        <v>1</v>
      </c>
      <c r="H7253" s="2">
        <f>Tabelle13[[#This Row],[commits]]/Tabelle13[[#Totals],[commits]]</f>
        <v>4.6477904404246225E-6</v>
      </c>
      <c r="I7253" s="5">
        <f>Tabelle13[[#This Row],[%]]+I7252</f>
        <v>0.99166186394979483</v>
      </c>
      <c r="J7253" s="4">
        <f t="shared" si="259"/>
        <v>1.105583195135434E-4</v>
      </c>
      <c r="K7253" s="5">
        <f t="shared" si="260"/>
        <v>0.80165837479280144</v>
      </c>
    </row>
    <row r="7254" spans="1:11" x14ac:dyDescent="0.25">
      <c r="A7254" t="s">
        <v>14086</v>
      </c>
      <c r="C7254" t="s">
        <v>14087</v>
      </c>
      <c r="D7254" t="s">
        <v>9035</v>
      </c>
      <c r="E7254" t="s">
        <v>6</v>
      </c>
      <c r="F7254" t="s">
        <v>251</v>
      </c>
      <c r="G7254">
        <v>1</v>
      </c>
      <c r="H7254" s="2">
        <f>Tabelle13[[#This Row],[commits]]/Tabelle13[[#Totals],[commits]]</f>
        <v>4.6477904404246225E-6</v>
      </c>
      <c r="I7254" s="5">
        <f>Tabelle13[[#This Row],[%]]+I7253</f>
        <v>0.99166651174023523</v>
      </c>
      <c r="J7254" s="4">
        <f t="shared" si="259"/>
        <v>1.105583195135434E-4</v>
      </c>
      <c r="K7254" s="5">
        <f t="shared" si="260"/>
        <v>0.80176893311231501</v>
      </c>
    </row>
    <row r="7255" spans="1:11" x14ac:dyDescent="0.25">
      <c r="A7255" t="s">
        <v>14088</v>
      </c>
      <c r="C7255" t="s">
        <v>14089</v>
      </c>
      <c r="D7255" t="s">
        <v>5</v>
      </c>
      <c r="E7255" t="s">
        <v>6</v>
      </c>
      <c r="F7255" t="s">
        <v>251</v>
      </c>
      <c r="G7255">
        <v>1</v>
      </c>
      <c r="H7255" s="2">
        <f>Tabelle13[[#This Row],[commits]]/Tabelle13[[#Totals],[commits]]</f>
        <v>4.6477904404246225E-6</v>
      </c>
      <c r="I7255" s="5">
        <f>Tabelle13[[#This Row],[%]]+I7254</f>
        <v>0.99167115953067564</v>
      </c>
      <c r="J7255" s="4">
        <f t="shared" si="259"/>
        <v>1.105583195135434E-4</v>
      </c>
      <c r="K7255" s="5">
        <f t="shared" si="260"/>
        <v>0.80187949143182857</v>
      </c>
    </row>
    <row r="7256" spans="1:11" x14ac:dyDescent="0.25">
      <c r="A7256" t="s">
        <v>14090</v>
      </c>
      <c r="C7256" t="s">
        <v>14091</v>
      </c>
      <c r="D7256" t="s">
        <v>5</v>
      </c>
      <c r="E7256" t="s">
        <v>6</v>
      </c>
      <c r="F7256" t="s">
        <v>251</v>
      </c>
      <c r="G7256">
        <v>1</v>
      </c>
      <c r="H7256" s="2">
        <f>Tabelle13[[#This Row],[commits]]/Tabelle13[[#Totals],[commits]]</f>
        <v>4.6477904404246225E-6</v>
      </c>
      <c r="I7256" s="5">
        <f>Tabelle13[[#This Row],[%]]+I7255</f>
        <v>0.99167580732111604</v>
      </c>
      <c r="J7256" s="4">
        <f t="shared" si="259"/>
        <v>1.105583195135434E-4</v>
      </c>
      <c r="K7256" s="5">
        <f t="shared" si="260"/>
        <v>0.80199004975134214</v>
      </c>
    </row>
    <row r="7257" spans="1:11" x14ac:dyDescent="0.25">
      <c r="A7257" t="s">
        <v>14092</v>
      </c>
      <c r="C7257" t="s">
        <v>14093</v>
      </c>
      <c r="D7257" t="s">
        <v>5</v>
      </c>
      <c r="E7257" t="s">
        <v>6</v>
      </c>
      <c r="F7257" t="s">
        <v>251</v>
      </c>
      <c r="G7257">
        <v>1</v>
      </c>
      <c r="H7257" s="2">
        <f>Tabelle13[[#This Row],[commits]]/Tabelle13[[#Totals],[commits]]</f>
        <v>4.6477904404246225E-6</v>
      </c>
      <c r="I7257" s="5">
        <f>Tabelle13[[#This Row],[%]]+I7256</f>
        <v>0.99168045511155645</v>
      </c>
      <c r="J7257" s="4">
        <f t="shared" si="259"/>
        <v>1.105583195135434E-4</v>
      </c>
      <c r="K7257" s="5">
        <f t="shared" si="260"/>
        <v>0.8021006080708557</v>
      </c>
    </row>
    <row r="7258" spans="1:11" x14ac:dyDescent="0.25">
      <c r="A7258" t="s">
        <v>14094</v>
      </c>
      <c r="C7258" t="s">
        <v>14095</v>
      </c>
      <c r="D7258" t="s">
        <v>5</v>
      </c>
      <c r="E7258" t="s">
        <v>6</v>
      </c>
      <c r="F7258" t="s">
        <v>251</v>
      </c>
      <c r="G7258">
        <v>1</v>
      </c>
      <c r="H7258" s="2">
        <f>Tabelle13[[#This Row],[commits]]/Tabelle13[[#Totals],[commits]]</f>
        <v>4.6477904404246225E-6</v>
      </c>
      <c r="I7258" s="5">
        <f>Tabelle13[[#This Row],[%]]+I7257</f>
        <v>0.99168510290199685</v>
      </c>
      <c r="J7258" s="4">
        <f t="shared" si="259"/>
        <v>1.105583195135434E-4</v>
      </c>
      <c r="K7258" s="5">
        <f t="shared" si="260"/>
        <v>0.80221116639036927</v>
      </c>
    </row>
    <row r="7259" spans="1:11" x14ac:dyDescent="0.25">
      <c r="A7259" t="s">
        <v>14096</v>
      </c>
      <c r="C7259" t="s">
        <v>14097</v>
      </c>
      <c r="D7259" t="s">
        <v>14098</v>
      </c>
      <c r="E7259" t="s">
        <v>6</v>
      </c>
      <c r="F7259" t="s">
        <v>251</v>
      </c>
      <c r="G7259">
        <v>1</v>
      </c>
      <c r="H7259" s="2">
        <f>Tabelle13[[#This Row],[commits]]/Tabelle13[[#Totals],[commits]]</f>
        <v>4.6477904404246225E-6</v>
      </c>
      <c r="I7259" s="5">
        <f>Tabelle13[[#This Row],[%]]+I7258</f>
        <v>0.99168975069243726</v>
      </c>
      <c r="J7259" s="4">
        <f t="shared" si="259"/>
        <v>1.105583195135434E-4</v>
      </c>
      <c r="K7259" s="5">
        <f t="shared" si="260"/>
        <v>0.80232172470988283</v>
      </c>
    </row>
    <row r="7260" spans="1:11" x14ac:dyDescent="0.25">
      <c r="A7260" t="s">
        <v>14099</v>
      </c>
      <c r="C7260" t="s">
        <v>14100</v>
      </c>
      <c r="D7260" t="s">
        <v>309</v>
      </c>
      <c r="E7260" t="s">
        <v>6</v>
      </c>
      <c r="F7260" t="s">
        <v>251</v>
      </c>
      <c r="G7260">
        <v>1</v>
      </c>
      <c r="H7260" s="2">
        <f>Tabelle13[[#This Row],[commits]]/Tabelle13[[#Totals],[commits]]</f>
        <v>4.6477904404246225E-6</v>
      </c>
      <c r="I7260" s="5">
        <f>Tabelle13[[#This Row],[%]]+I7259</f>
        <v>0.99169439848287766</v>
      </c>
      <c r="J7260" s="4">
        <f t="shared" si="259"/>
        <v>1.105583195135434E-4</v>
      </c>
      <c r="K7260" s="5">
        <f t="shared" si="260"/>
        <v>0.8024322830293964</v>
      </c>
    </row>
    <row r="7261" spans="1:11" x14ac:dyDescent="0.25">
      <c r="A7261" t="s">
        <v>14101</v>
      </c>
      <c r="C7261" t="s">
        <v>14102</v>
      </c>
      <c r="D7261" t="s">
        <v>5</v>
      </c>
      <c r="E7261" t="s">
        <v>6</v>
      </c>
      <c r="F7261" t="s">
        <v>251</v>
      </c>
      <c r="G7261">
        <v>1</v>
      </c>
      <c r="H7261" s="2">
        <f>Tabelle13[[#This Row],[commits]]/Tabelle13[[#Totals],[commits]]</f>
        <v>4.6477904404246225E-6</v>
      </c>
      <c r="I7261" s="5">
        <f>Tabelle13[[#This Row],[%]]+I7260</f>
        <v>0.99169904627331806</v>
      </c>
      <c r="J7261" s="4">
        <f t="shared" si="259"/>
        <v>1.105583195135434E-4</v>
      </c>
      <c r="K7261" s="5">
        <f t="shared" si="260"/>
        <v>0.80254284134890996</v>
      </c>
    </row>
    <row r="7262" spans="1:11" x14ac:dyDescent="0.25">
      <c r="A7262" t="s">
        <v>14103</v>
      </c>
      <c r="C7262" t="s">
        <v>14104</v>
      </c>
      <c r="D7262" t="s">
        <v>309</v>
      </c>
      <c r="E7262" t="s">
        <v>6</v>
      </c>
      <c r="F7262" t="s">
        <v>251</v>
      </c>
      <c r="G7262">
        <v>1</v>
      </c>
      <c r="H7262" s="2">
        <f>Tabelle13[[#This Row],[commits]]/Tabelle13[[#Totals],[commits]]</f>
        <v>4.6477904404246225E-6</v>
      </c>
      <c r="I7262" s="5">
        <f>Tabelle13[[#This Row],[%]]+I7261</f>
        <v>0.99170369406375847</v>
      </c>
      <c r="J7262" s="4">
        <f t="shared" si="259"/>
        <v>1.105583195135434E-4</v>
      </c>
      <c r="K7262" s="5">
        <f t="shared" si="260"/>
        <v>0.80265339966842353</v>
      </c>
    </row>
    <row r="7263" spans="1:11" x14ac:dyDescent="0.25">
      <c r="A7263" t="s">
        <v>14105</v>
      </c>
      <c r="C7263" t="s">
        <v>14091</v>
      </c>
      <c r="D7263" t="s">
        <v>5</v>
      </c>
      <c r="E7263" t="s">
        <v>6</v>
      </c>
      <c r="F7263" t="s">
        <v>251</v>
      </c>
      <c r="G7263">
        <v>1</v>
      </c>
      <c r="H7263" s="2">
        <f>Tabelle13[[#This Row],[commits]]/Tabelle13[[#Totals],[commits]]</f>
        <v>4.6477904404246225E-6</v>
      </c>
      <c r="I7263" s="5">
        <f>Tabelle13[[#This Row],[%]]+I7262</f>
        <v>0.99170834185419887</v>
      </c>
      <c r="J7263" s="4">
        <f t="shared" si="259"/>
        <v>1.105583195135434E-4</v>
      </c>
      <c r="K7263" s="5">
        <f t="shared" si="260"/>
        <v>0.80276395798793709</v>
      </c>
    </row>
    <row r="7264" spans="1:11" x14ac:dyDescent="0.25">
      <c r="A7264" t="s">
        <v>14106</v>
      </c>
      <c r="C7264" t="s">
        <v>14107</v>
      </c>
      <c r="D7264" t="s">
        <v>309</v>
      </c>
      <c r="E7264" t="s">
        <v>6</v>
      </c>
      <c r="F7264" t="s">
        <v>251</v>
      </c>
      <c r="G7264">
        <v>1</v>
      </c>
      <c r="H7264" s="2">
        <f>Tabelle13[[#This Row],[commits]]/Tabelle13[[#Totals],[commits]]</f>
        <v>4.6477904404246225E-6</v>
      </c>
      <c r="I7264" s="5">
        <f>Tabelle13[[#This Row],[%]]+I7263</f>
        <v>0.99171298964463928</v>
      </c>
      <c r="J7264" s="4">
        <f t="shared" si="259"/>
        <v>1.105583195135434E-4</v>
      </c>
      <c r="K7264" s="5">
        <f t="shared" si="260"/>
        <v>0.80287451630745066</v>
      </c>
    </row>
    <row r="7265" spans="1:11" x14ac:dyDescent="0.25">
      <c r="A7265" t="s">
        <v>14108</v>
      </c>
      <c r="C7265" t="s">
        <v>12079</v>
      </c>
      <c r="D7265" t="s">
        <v>5</v>
      </c>
      <c r="E7265" t="s">
        <v>6</v>
      </c>
      <c r="F7265" t="s">
        <v>251</v>
      </c>
      <c r="G7265">
        <v>1</v>
      </c>
      <c r="H7265" s="2">
        <f>Tabelle13[[#This Row],[commits]]/Tabelle13[[#Totals],[commits]]</f>
        <v>4.6477904404246225E-6</v>
      </c>
      <c r="I7265" s="5">
        <f>Tabelle13[[#This Row],[%]]+I7264</f>
        <v>0.99171763743507968</v>
      </c>
      <c r="J7265" s="4">
        <f t="shared" si="259"/>
        <v>1.105583195135434E-4</v>
      </c>
      <c r="K7265" s="5">
        <f t="shared" si="260"/>
        <v>0.80298507462696422</v>
      </c>
    </row>
    <row r="7266" spans="1:11" x14ac:dyDescent="0.25">
      <c r="A7266" t="s">
        <v>14109</v>
      </c>
      <c r="C7266" t="s">
        <v>14110</v>
      </c>
      <c r="D7266" t="s">
        <v>5</v>
      </c>
      <c r="E7266" t="s">
        <v>6</v>
      </c>
      <c r="F7266" t="s">
        <v>251</v>
      </c>
      <c r="G7266">
        <v>1</v>
      </c>
      <c r="H7266" s="2">
        <f>Tabelle13[[#This Row],[commits]]/Tabelle13[[#Totals],[commits]]</f>
        <v>4.6477904404246225E-6</v>
      </c>
      <c r="I7266" s="5">
        <f>Tabelle13[[#This Row],[%]]+I7265</f>
        <v>0.99172228522552008</v>
      </c>
      <c r="J7266" s="4">
        <f t="shared" si="259"/>
        <v>1.105583195135434E-4</v>
      </c>
      <c r="K7266" s="5">
        <f t="shared" si="260"/>
        <v>0.80309563294647779</v>
      </c>
    </row>
    <row r="7267" spans="1:11" x14ac:dyDescent="0.25">
      <c r="A7267" t="s">
        <v>14111</v>
      </c>
      <c r="C7267" t="s">
        <v>14112</v>
      </c>
      <c r="D7267" t="s">
        <v>5</v>
      </c>
      <c r="E7267" t="s">
        <v>6</v>
      </c>
      <c r="F7267" t="s">
        <v>251</v>
      </c>
      <c r="G7267">
        <v>1</v>
      </c>
      <c r="H7267" s="2">
        <f>Tabelle13[[#This Row],[commits]]/Tabelle13[[#Totals],[commits]]</f>
        <v>4.6477904404246225E-6</v>
      </c>
      <c r="I7267" s="5">
        <f>Tabelle13[[#This Row],[%]]+I7266</f>
        <v>0.99172693301596049</v>
      </c>
      <c r="J7267" s="4">
        <f t="shared" si="259"/>
        <v>1.105583195135434E-4</v>
      </c>
      <c r="K7267" s="5">
        <f t="shared" si="260"/>
        <v>0.80320619126599135</v>
      </c>
    </row>
    <row r="7268" spans="1:11" x14ac:dyDescent="0.25">
      <c r="A7268" t="s">
        <v>14113</v>
      </c>
      <c r="C7268" t="s">
        <v>14114</v>
      </c>
      <c r="D7268" t="s">
        <v>5</v>
      </c>
      <c r="E7268" t="s">
        <v>6</v>
      </c>
      <c r="F7268" t="s">
        <v>251</v>
      </c>
      <c r="G7268">
        <v>1</v>
      </c>
      <c r="H7268" s="2">
        <f>Tabelle13[[#This Row],[commits]]/Tabelle13[[#Totals],[commits]]</f>
        <v>4.6477904404246225E-6</v>
      </c>
      <c r="I7268" s="5">
        <f>Tabelle13[[#This Row],[%]]+I7267</f>
        <v>0.99173158080640089</v>
      </c>
      <c r="J7268" s="4">
        <f t="shared" si="259"/>
        <v>1.105583195135434E-4</v>
      </c>
      <c r="K7268" s="5">
        <f t="shared" si="260"/>
        <v>0.80331674958550492</v>
      </c>
    </row>
    <row r="7269" spans="1:11" x14ac:dyDescent="0.25">
      <c r="A7269" t="s">
        <v>14115</v>
      </c>
      <c r="C7269" t="s">
        <v>14116</v>
      </c>
      <c r="D7269" t="s">
        <v>309</v>
      </c>
      <c r="E7269" t="s">
        <v>6</v>
      </c>
      <c r="F7269" t="s">
        <v>251</v>
      </c>
      <c r="G7269">
        <v>1</v>
      </c>
      <c r="H7269" s="2">
        <f>Tabelle13[[#This Row],[commits]]/Tabelle13[[#Totals],[commits]]</f>
        <v>4.6477904404246225E-6</v>
      </c>
      <c r="I7269" s="5">
        <f>Tabelle13[[#This Row],[%]]+I7268</f>
        <v>0.9917362285968413</v>
      </c>
      <c r="J7269" s="4">
        <f t="shared" si="259"/>
        <v>1.105583195135434E-4</v>
      </c>
      <c r="K7269" s="5">
        <f t="shared" si="260"/>
        <v>0.80342730790501848</v>
      </c>
    </row>
    <row r="7270" spans="1:11" x14ac:dyDescent="0.25">
      <c r="A7270" t="s">
        <v>14117</v>
      </c>
      <c r="C7270" t="s">
        <v>14118</v>
      </c>
      <c r="D7270" t="s">
        <v>5</v>
      </c>
      <c r="E7270" t="s">
        <v>6</v>
      </c>
      <c r="F7270" t="s">
        <v>251</v>
      </c>
      <c r="G7270">
        <v>1</v>
      </c>
      <c r="H7270" s="2">
        <f>Tabelle13[[#This Row],[commits]]/Tabelle13[[#Totals],[commits]]</f>
        <v>4.6477904404246225E-6</v>
      </c>
      <c r="I7270" s="5">
        <f>Tabelle13[[#This Row],[%]]+I7269</f>
        <v>0.9917408763872817</v>
      </c>
      <c r="J7270" s="4">
        <f t="shared" si="259"/>
        <v>1.105583195135434E-4</v>
      </c>
      <c r="K7270" s="5">
        <f t="shared" si="260"/>
        <v>0.80353786622453205</v>
      </c>
    </row>
    <row r="7271" spans="1:11" x14ac:dyDescent="0.25">
      <c r="A7271" t="s">
        <v>14119</v>
      </c>
      <c r="C7271" t="s">
        <v>14120</v>
      </c>
      <c r="D7271" t="s">
        <v>5</v>
      </c>
      <c r="E7271" t="s">
        <v>6</v>
      </c>
      <c r="F7271" t="s">
        <v>251</v>
      </c>
      <c r="G7271">
        <v>1</v>
      </c>
      <c r="H7271" s="2">
        <f>Tabelle13[[#This Row],[commits]]/Tabelle13[[#Totals],[commits]]</f>
        <v>4.6477904404246225E-6</v>
      </c>
      <c r="I7271" s="5">
        <f>Tabelle13[[#This Row],[%]]+I7270</f>
        <v>0.9917455241777221</v>
      </c>
      <c r="J7271" s="4">
        <f t="shared" si="259"/>
        <v>1.105583195135434E-4</v>
      </c>
      <c r="K7271" s="5">
        <f t="shared" si="260"/>
        <v>0.80364842454404561</v>
      </c>
    </row>
    <row r="7272" spans="1:11" x14ac:dyDescent="0.25">
      <c r="A7272" t="s">
        <v>14121</v>
      </c>
      <c r="C7272" t="s">
        <v>14122</v>
      </c>
      <c r="D7272" t="s">
        <v>5</v>
      </c>
      <c r="E7272" t="s">
        <v>6</v>
      </c>
      <c r="F7272" t="s">
        <v>251</v>
      </c>
      <c r="G7272">
        <v>1</v>
      </c>
      <c r="H7272" s="2">
        <f>Tabelle13[[#This Row],[commits]]/Tabelle13[[#Totals],[commits]]</f>
        <v>4.6477904404246225E-6</v>
      </c>
      <c r="I7272" s="5">
        <f>Tabelle13[[#This Row],[%]]+I7271</f>
        <v>0.99175017196816251</v>
      </c>
      <c r="J7272" s="4">
        <f t="shared" si="259"/>
        <v>1.105583195135434E-4</v>
      </c>
      <c r="K7272" s="5">
        <f t="shared" si="260"/>
        <v>0.80375898286355918</v>
      </c>
    </row>
    <row r="7273" spans="1:11" x14ac:dyDescent="0.25">
      <c r="A7273" t="s">
        <v>14123</v>
      </c>
      <c r="C7273" t="s">
        <v>14124</v>
      </c>
      <c r="D7273" t="s">
        <v>5</v>
      </c>
      <c r="E7273" t="s">
        <v>6</v>
      </c>
      <c r="F7273" t="s">
        <v>251</v>
      </c>
      <c r="G7273">
        <v>1</v>
      </c>
      <c r="H7273" s="2">
        <f>Tabelle13[[#This Row],[commits]]/Tabelle13[[#Totals],[commits]]</f>
        <v>4.6477904404246225E-6</v>
      </c>
      <c r="I7273" s="5">
        <f>Tabelle13[[#This Row],[%]]+I7272</f>
        <v>0.99175481975860291</v>
      </c>
      <c r="J7273" s="4">
        <f t="shared" si="259"/>
        <v>1.105583195135434E-4</v>
      </c>
      <c r="K7273" s="5">
        <f t="shared" si="260"/>
        <v>0.80386954118307274</v>
      </c>
    </row>
    <row r="7274" spans="1:11" x14ac:dyDescent="0.25">
      <c r="A7274" t="s">
        <v>14125</v>
      </c>
      <c r="C7274" t="s">
        <v>14126</v>
      </c>
      <c r="D7274" t="s">
        <v>14127</v>
      </c>
      <c r="E7274" t="s">
        <v>6</v>
      </c>
      <c r="F7274" t="s">
        <v>251</v>
      </c>
      <c r="G7274">
        <v>1</v>
      </c>
      <c r="H7274" s="2">
        <f>Tabelle13[[#This Row],[commits]]/Tabelle13[[#Totals],[commits]]</f>
        <v>4.6477904404246225E-6</v>
      </c>
      <c r="I7274" s="5">
        <f>Tabelle13[[#This Row],[%]]+I7273</f>
        <v>0.99175946754904332</v>
      </c>
      <c r="J7274" s="4">
        <f t="shared" si="259"/>
        <v>1.105583195135434E-4</v>
      </c>
      <c r="K7274" s="5">
        <f t="shared" si="260"/>
        <v>0.80398009950258631</v>
      </c>
    </row>
    <row r="7275" spans="1:11" x14ac:dyDescent="0.25">
      <c r="A7275" t="s">
        <v>14128</v>
      </c>
      <c r="C7275" t="s">
        <v>14129</v>
      </c>
      <c r="D7275" t="s">
        <v>5</v>
      </c>
      <c r="E7275" t="s">
        <v>6</v>
      </c>
      <c r="F7275" t="s">
        <v>251</v>
      </c>
      <c r="G7275">
        <v>1</v>
      </c>
      <c r="H7275" s="2">
        <f>Tabelle13[[#This Row],[commits]]/Tabelle13[[#Totals],[commits]]</f>
        <v>4.6477904404246225E-6</v>
      </c>
      <c r="I7275" s="5">
        <f>Tabelle13[[#This Row],[%]]+I7274</f>
        <v>0.99176411533948372</v>
      </c>
      <c r="J7275" s="4">
        <f t="shared" si="259"/>
        <v>1.105583195135434E-4</v>
      </c>
      <c r="K7275" s="5">
        <f t="shared" si="260"/>
        <v>0.80409065782209987</v>
      </c>
    </row>
    <row r="7276" spans="1:11" x14ac:dyDescent="0.25">
      <c r="A7276" t="s">
        <v>14130</v>
      </c>
      <c r="C7276" t="s">
        <v>14131</v>
      </c>
      <c r="D7276" t="s">
        <v>14132</v>
      </c>
      <c r="E7276" t="s">
        <v>6</v>
      </c>
      <c r="F7276" t="s">
        <v>251</v>
      </c>
      <c r="G7276">
        <v>1</v>
      </c>
      <c r="H7276" s="2">
        <f>Tabelle13[[#This Row],[commits]]/Tabelle13[[#Totals],[commits]]</f>
        <v>4.6477904404246225E-6</v>
      </c>
      <c r="I7276" s="5">
        <f>Tabelle13[[#This Row],[%]]+I7275</f>
        <v>0.99176876312992412</v>
      </c>
      <c r="J7276" s="4">
        <f t="shared" si="259"/>
        <v>1.105583195135434E-4</v>
      </c>
      <c r="K7276" s="5">
        <f t="shared" si="260"/>
        <v>0.80420121614161344</v>
      </c>
    </row>
    <row r="7277" spans="1:11" x14ac:dyDescent="0.25">
      <c r="A7277" t="s">
        <v>14133</v>
      </c>
      <c r="C7277" t="s">
        <v>14134</v>
      </c>
      <c r="D7277" t="s">
        <v>5</v>
      </c>
      <c r="E7277" t="s">
        <v>6</v>
      </c>
      <c r="F7277" t="s">
        <v>251</v>
      </c>
      <c r="G7277">
        <v>1</v>
      </c>
      <c r="H7277" s="2">
        <f>Tabelle13[[#This Row],[commits]]/Tabelle13[[#Totals],[commits]]</f>
        <v>4.6477904404246225E-6</v>
      </c>
      <c r="I7277" s="5">
        <f>Tabelle13[[#This Row],[%]]+I7276</f>
        <v>0.99177341092036453</v>
      </c>
      <c r="J7277" s="4">
        <f t="shared" si="259"/>
        <v>1.105583195135434E-4</v>
      </c>
      <c r="K7277" s="5">
        <f t="shared" si="260"/>
        <v>0.804311774461127</v>
      </c>
    </row>
    <row r="7278" spans="1:11" x14ac:dyDescent="0.25">
      <c r="A7278" t="s">
        <v>14135</v>
      </c>
      <c r="C7278">
        <v>275331498</v>
      </c>
      <c r="D7278" t="s">
        <v>5</v>
      </c>
      <c r="E7278" t="s">
        <v>6</v>
      </c>
      <c r="F7278" t="s">
        <v>251</v>
      </c>
      <c r="G7278">
        <v>1</v>
      </c>
      <c r="H7278" s="2">
        <f>Tabelle13[[#This Row],[commits]]/Tabelle13[[#Totals],[commits]]</f>
        <v>4.6477904404246225E-6</v>
      </c>
      <c r="I7278" s="5">
        <f>Tabelle13[[#This Row],[%]]+I7277</f>
        <v>0.99177805871080493</v>
      </c>
      <c r="J7278" s="4">
        <f t="shared" si="259"/>
        <v>1.105583195135434E-4</v>
      </c>
      <c r="K7278" s="5">
        <f t="shared" si="260"/>
        <v>0.80442233278064057</v>
      </c>
    </row>
    <row r="7279" spans="1:11" x14ac:dyDescent="0.25">
      <c r="A7279" t="s">
        <v>14136</v>
      </c>
      <c r="C7279" t="s">
        <v>14137</v>
      </c>
      <c r="D7279" t="s">
        <v>5</v>
      </c>
      <c r="E7279" t="s">
        <v>6</v>
      </c>
      <c r="F7279" t="s">
        <v>251</v>
      </c>
      <c r="G7279">
        <v>1</v>
      </c>
      <c r="H7279" s="2">
        <f>Tabelle13[[#This Row],[commits]]/Tabelle13[[#Totals],[commits]]</f>
        <v>4.6477904404246225E-6</v>
      </c>
      <c r="I7279" s="5">
        <f>Tabelle13[[#This Row],[%]]+I7278</f>
        <v>0.99178270650124534</v>
      </c>
      <c r="J7279" s="4">
        <f t="shared" si="259"/>
        <v>1.105583195135434E-4</v>
      </c>
      <c r="K7279" s="5">
        <f t="shared" si="260"/>
        <v>0.80453289110015413</v>
      </c>
    </row>
    <row r="7280" spans="1:11" x14ac:dyDescent="0.25">
      <c r="A7280" t="s">
        <v>14138</v>
      </c>
      <c r="C7280" t="s">
        <v>14139</v>
      </c>
      <c r="D7280" t="s">
        <v>309</v>
      </c>
      <c r="E7280" t="s">
        <v>6</v>
      </c>
      <c r="F7280" t="s">
        <v>251</v>
      </c>
      <c r="G7280">
        <v>1</v>
      </c>
      <c r="H7280" s="2">
        <f>Tabelle13[[#This Row],[commits]]/Tabelle13[[#Totals],[commits]]</f>
        <v>4.6477904404246225E-6</v>
      </c>
      <c r="I7280" s="5">
        <f>Tabelle13[[#This Row],[%]]+I7279</f>
        <v>0.99178735429168574</v>
      </c>
      <c r="J7280" s="4">
        <f t="shared" si="259"/>
        <v>1.105583195135434E-4</v>
      </c>
      <c r="K7280" s="5">
        <f t="shared" si="260"/>
        <v>0.8046434494196677</v>
      </c>
    </row>
    <row r="7281" spans="1:11" x14ac:dyDescent="0.25">
      <c r="A7281" t="s">
        <v>14140</v>
      </c>
      <c r="C7281" t="s">
        <v>14141</v>
      </c>
      <c r="D7281" t="s">
        <v>5</v>
      </c>
      <c r="E7281" t="s">
        <v>6</v>
      </c>
      <c r="F7281" t="s">
        <v>251</v>
      </c>
      <c r="G7281">
        <v>1</v>
      </c>
      <c r="H7281" s="2">
        <f>Tabelle13[[#This Row],[commits]]/Tabelle13[[#Totals],[commits]]</f>
        <v>4.6477904404246225E-6</v>
      </c>
      <c r="I7281" s="5">
        <f>Tabelle13[[#This Row],[%]]+I7280</f>
        <v>0.99179200208212615</v>
      </c>
      <c r="J7281" s="4">
        <f t="shared" si="259"/>
        <v>1.105583195135434E-4</v>
      </c>
      <c r="K7281" s="5">
        <f t="shared" si="260"/>
        <v>0.80475400773918127</v>
      </c>
    </row>
    <row r="7282" spans="1:11" x14ac:dyDescent="0.25">
      <c r="A7282" t="s">
        <v>14142</v>
      </c>
      <c r="C7282" t="s">
        <v>14143</v>
      </c>
      <c r="D7282" t="s">
        <v>5</v>
      </c>
      <c r="E7282" t="s">
        <v>6</v>
      </c>
      <c r="F7282" t="s">
        <v>251</v>
      </c>
      <c r="G7282">
        <v>1</v>
      </c>
      <c r="H7282" s="2">
        <f>Tabelle13[[#This Row],[commits]]/Tabelle13[[#Totals],[commits]]</f>
        <v>4.6477904404246225E-6</v>
      </c>
      <c r="I7282" s="5">
        <f>Tabelle13[[#This Row],[%]]+I7281</f>
        <v>0.99179664987256655</v>
      </c>
      <c r="J7282" s="4">
        <f t="shared" si="259"/>
        <v>1.105583195135434E-4</v>
      </c>
      <c r="K7282" s="5">
        <f t="shared" si="260"/>
        <v>0.80486456605869483</v>
      </c>
    </row>
    <row r="7283" spans="1:11" x14ac:dyDescent="0.25">
      <c r="A7283" t="s">
        <v>14144</v>
      </c>
      <c r="C7283" t="s">
        <v>14145</v>
      </c>
      <c r="D7283" t="s">
        <v>14146</v>
      </c>
      <c r="E7283" t="s">
        <v>6</v>
      </c>
      <c r="F7283" t="s">
        <v>251</v>
      </c>
      <c r="G7283">
        <v>1</v>
      </c>
      <c r="H7283" s="2">
        <f>Tabelle13[[#This Row],[commits]]/Tabelle13[[#Totals],[commits]]</f>
        <v>4.6477904404246225E-6</v>
      </c>
      <c r="I7283" s="5">
        <f>Tabelle13[[#This Row],[%]]+I7282</f>
        <v>0.99180129766300695</v>
      </c>
      <c r="J7283" s="4">
        <f t="shared" si="259"/>
        <v>1.105583195135434E-4</v>
      </c>
      <c r="K7283" s="5">
        <f t="shared" si="260"/>
        <v>0.8049751243782084</v>
      </c>
    </row>
    <row r="7284" spans="1:11" x14ac:dyDescent="0.25">
      <c r="A7284" t="s">
        <v>14147</v>
      </c>
      <c r="C7284" t="s">
        <v>14148</v>
      </c>
      <c r="D7284" t="s">
        <v>309</v>
      </c>
      <c r="E7284" t="s">
        <v>6</v>
      </c>
      <c r="F7284" t="s">
        <v>251</v>
      </c>
      <c r="G7284">
        <v>1</v>
      </c>
      <c r="H7284" s="2">
        <f>Tabelle13[[#This Row],[commits]]/Tabelle13[[#Totals],[commits]]</f>
        <v>4.6477904404246225E-6</v>
      </c>
      <c r="I7284" s="5">
        <f>Tabelle13[[#This Row],[%]]+I7283</f>
        <v>0.99180594545344736</v>
      </c>
      <c r="J7284" s="4">
        <f t="shared" si="259"/>
        <v>1.105583195135434E-4</v>
      </c>
      <c r="K7284" s="5">
        <f t="shared" si="260"/>
        <v>0.80508568269772196</v>
      </c>
    </row>
    <row r="7285" spans="1:11" x14ac:dyDescent="0.25">
      <c r="A7285" t="s">
        <v>14149</v>
      </c>
      <c r="C7285" t="s">
        <v>14150</v>
      </c>
      <c r="D7285" t="s">
        <v>14151</v>
      </c>
      <c r="E7285" t="s">
        <v>6</v>
      </c>
      <c r="F7285" t="s">
        <v>251</v>
      </c>
      <c r="G7285">
        <v>1</v>
      </c>
      <c r="H7285" s="2">
        <f>Tabelle13[[#This Row],[commits]]/Tabelle13[[#Totals],[commits]]</f>
        <v>4.6477904404246225E-6</v>
      </c>
      <c r="I7285" s="5">
        <f>Tabelle13[[#This Row],[%]]+I7284</f>
        <v>0.99181059324388776</v>
      </c>
      <c r="J7285" s="4">
        <f t="shared" si="259"/>
        <v>1.105583195135434E-4</v>
      </c>
      <c r="K7285" s="5">
        <f t="shared" si="260"/>
        <v>0.80519624101723553</v>
      </c>
    </row>
    <row r="7286" spans="1:11" x14ac:dyDescent="0.25">
      <c r="A7286" t="s">
        <v>14152</v>
      </c>
      <c r="C7286" t="s">
        <v>14153</v>
      </c>
      <c r="D7286" t="s">
        <v>5</v>
      </c>
      <c r="E7286" t="s">
        <v>6</v>
      </c>
      <c r="F7286" t="s">
        <v>251</v>
      </c>
      <c r="G7286">
        <v>1</v>
      </c>
      <c r="H7286" s="2">
        <f>Tabelle13[[#This Row],[commits]]/Tabelle13[[#Totals],[commits]]</f>
        <v>4.6477904404246225E-6</v>
      </c>
      <c r="I7286" s="5">
        <f>Tabelle13[[#This Row],[%]]+I7285</f>
        <v>0.99181524103432817</v>
      </c>
      <c r="J7286" s="4">
        <f t="shared" si="259"/>
        <v>1.105583195135434E-4</v>
      </c>
      <c r="K7286" s="5">
        <f t="shared" si="260"/>
        <v>0.80530679933674909</v>
      </c>
    </row>
    <row r="7287" spans="1:11" x14ac:dyDescent="0.25">
      <c r="A7287" t="s">
        <v>14154</v>
      </c>
      <c r="C7287" t="s">
        <v>14155</v>
      </c>
      <c r="D7287" t="s">
        <v>12681</v>
      </c>
      <c r="E7287" t="s">
        <v>6</v>
      </c>
      <c r="F7287" t="s">
        <v>251</v>
      </c>
      <c r="G7287">
        <v>1</v>
      </c>
      <c r="H7287" s="2">
        <f>Tabelle13[[#This Row],[commits]]/Tabelle13[[#Totals],[commits]]</f>
        <v>4.6477904404246225E-6</v>
      </c>
      <c r="I7287" s="5">
        <f>Tabelle13[[#This Row],[%]]+I7286</f>
        <v>0.99181988882476857</v>
      </c>
      <c r="J7287" s="4">
        <f t="shared" si="259"/>
        <v>1.105583195135434E-4</v>
      </c>
      <c r="K7287" s="5">
        <f t="shared" si="260"/>
        <v>0.80541735765626266</v>
      </c>
    </row>
    <row r="7288" spans="1:11" x14ac:dyDescent="0.25">
      <c r="A7288" t="s">
        <v>14156</v>
      </c>
      <c r="C7288" t="s">
        <v>14157</v>
      </c>
      <c r="D7288" t="s">
        <v>9929</v>
      </c>
      <c r="E7288" t="s">
        <v>6</v>
      </c>
      <c r="F7288" t="s">
        <v>251</v>
      </c>
      <c r="G7288">
        <v>1</v>
      </c>
      <c r="H7288" s="2">
        <f>Tabelle13[[#This Row],[commits]]/Tabelle13[[#Totals],[commits]]</f>
        <v>4.6477904404246225E-6</v>
      </c>
      <c r="I7288" s="5">
        <f>Tabelle13[[#This Row],[%]]+I7287</f>
        <v>0.99182453661520897</v>
      </c>
      <c r="J7288" s="4">
        <f t="shared" si="259"/>
        <v>1.105583195135434E-4</v>
      </c>
      <c r="K7288" s="5">
        <f t="shared" si="260"/>
        <v>0.80552791597577622</v>
      </c>
    </row>
    <row r="7289" spans="1:11" x14ac:dyDescent="0.25">
      <c r="A7289" t="s">
        <v>14158</v>
      </c>
      <c r="C7289">
        <v>1151727370</v>
      </c>
      <c r="D7289" t="s">
        <v>5</v>
      </c>
      <c r="E7289" t="s">
        <v>6</v>
      </c>
      <c r="F7289" t="s">
        <v>251</v>
      </c>
      <c r="G7289">
        <v>1</v>
      </c>
      <c r="H7289" s="2">
        <f>Tabelle13[[#This Row],[commits]]/Tabelle13[[#Totals],[commits]]</f>
        <v>4.6477904404246225E-6</v>
      </c>
      <c r="I7289" s="5">
        <f>Tabelle13[[#This Row],[%]]+I7288</f>
        <v>0.99182918440564938</v>
      </c>
      <c r="J7289" s="4">
        <f t="shared" si="259"/>
        <v>1.105583195135434E-4</v>
      </c>
      <c r="K7289" s="5">
        <f t="shared" si="260"/>
        <v>0.80563847429528979</v>
      </c>
    </row>
    <row r="7290" spans="1:11" x14ac:dyDescent="0.25">
      <c r="A7290" t="s">
        <v>14159</v>
      </c>
      <c r="C7290" t="s">
        <v>2036</v>
      </c>
      <c r="D7290" t="s">
        <v>5</v>
      </c>
      <c r="E7290" t="s">
        <v>6</v>
      </c>
      <c r="F7290" t="s">
        <v>251</v>
      </c>
      <c r="G7290">
        <v>1</v>
      </c>
      <c r="H7290" s="2">
        <f>Tabelle13[[#This Row],[commits]]/Tabelle13[[#Totals],[commits]]</f>
        <v>4.6477904404246225E-6</v>
      </c>
      <c r="I7290" s="5">
        <f>Tabelle13[[#This Row],[%]]+I7289</f>
        <v>0.99183383219608978</v>
      </c>
      <c r="J7290" s="4">
        <f t="shared" si="259"/>
        <v>1.105583195135434E-4</v>
      </c>
      <c r="K7290" s="5">
        <f t="shared" si="260"/>
        <v>0.80574903261480335</v>
      </c>
    </row>
    <row r="7291" spans="1:11" x14ac:dyDescent="0.25">
      <c r="A7291" t="s">
        <v>14160</v>
      </c>
      <c r="C7291" t="s">
        <v>14161</v>
      </c>
      <c r="D7291" t="s">
        <v>9997</v>
      </c>
      <c r="E7291" t="s">
        <v>6</v>
      </c>
      <c r="F7291" t="s">
        <v>251</v>
      </c>
      <c r="G7291">
        <v>1</v>
      </c>
      <c r="H7291" s="2">
        <f>Tabelle13[[#This Row],[commits]]/Tabelle13[[#Totals],[commits]]</f>
        <v>4.6477904404246225E-6</v>
      </c>
      <c r="I7291" s="5">
        <f>Tabelle13[[#This Row],[%]]+I7290</f>
        <v>0.99183847998653019</v>
      </c>
      <c r="J7291" s="4">
        <f t="shared" si="259"/>
        <v>1.105583195135434E-4</v>
      </c>
      <c r="K7291" s="5">
        <f t="shared" si="260"/>
        <v>0.80585959093431692</v>
      </c>
    </row>
    <row r="7292" spans="1:11" x14ac:dyDescent="0.25">
      <c r="A7292" t="s">
        <v>14162</v>
      </c>
      <c r="C7292" t="s">
        <v>14163</v>
      </c>
      <c r="D7292" t="s">
        <v>309</v>
      </c>
      <c r="E7292" t="s">
        <v>6</v>
      </c>
      <c r="F7292" t="s">
        <v>251</v>
      </c>
      <c r="G7292">
        <v>1</v>
      </c>
      <c r="H7292" s="2">
        <f>Tabelle13[[#This Row],[commits]]/Tabelle13[[#Totals],[commits]]</f>
        <v>4.6477904404246225E-6</v>
      </c>
      <c r="I7292" s="5">
        <f>Tabelle13[[#This Row],[%]]+I7291</f>
        <v>0.99184312777697059</v>
      </c>
      <c r="J7292" s="4">
        <f t="shared" si="259"/>
        <v>1.105583195135434E-4</v>
      </c>
      <c r="K7292" s="5">
        <f t="shared" si="260"/>
        <v>0.80597014925383048</v>
      </c>
    </row>
    <row r="7293" spans="1:11" x14ac:dyDescent="0.25">
      <c r="A7293" t="s">
        <v>14164</v>
      </c>
      <c r="C7293" t="s">
        <v>14165</v>
      </c>
      <c r="D7293" t="s">
        <v>309</v>
      </c>
      <c r="E7293" t="s">
        <v>6</v>
      </c>
      <c r="F7293" t="s">
        <v>251</v>
      </c>
      <c r="G7293">
        <v>1</v>
      </c>
      <c r="H7293" s="2">
        <f>Tabelle13[[#This Row],[commits]]/Tabelle13[[#Totals],[commits]]</f>
        <v>4.6477904404246225E-6</v>
      </c>
      <c r="I7293" s="5">
        <f>Tabelle13[[#This Row],[%]]+I7292</f>
        <v>0.99184777556741099</v>
      </c>
      <c r="J7293" s="4">
        <f t="shared" si="259"/>
        <v>1.105583195135434E-4</v>
      </c>
      <c r="K7293" s="5">
        <f t="shared" si="260"/>
        <v>0.80608070757334405</v>
      </c>
    </row>
    <row r="7294" spans="1:11" x14ac:dyDescent="0.25">
      <c r="A7294" t="s">
        <v>14166</v>
      </c>
      <c r="C7294" t="s">
        <v>14167</v>
      </c>
      <c r="D7294" t="s">
        <v>5</v>
      </c>
      <c r="E7294" t="s">
        <v>6</v>
      </c>
      <c r="F7294" t="s">
        <v>251</v>
      </c>
      <c r="G7294">
        <v>1</v>
      </c>
      <c r="H7294" s="2">
        <f>Tabelle13[[#This Row],[commits]]/Tabelle13[[#Totals],[commits]]</f>
        <v>4.6477904404246225E-6</v>
      </c>
      <c r="I7294" s="5">
        <f>Tabelle13[[#This Row],[%]]+I7293</f>
        <v>0.9918524233578514</v>
      </c>
      <c r="J7294" s="4">
        <f t="shared" si="259"/>
        <v>1.105583195135434E-4</v>
      </c>
      <c r="K7294" s="5">
        <f t="shared" si="260"/>
        <v>0.80619126589285761</v>
      </c>
    </row>
    <row r="7295" spans="1:11" x14ac:dyDescent="0.25">
      <c r="A7295" t="s">
        <v>14168</v>
      </c>
      <c r="C7295" t="s">
        <v>11220</v>
      </c>
      <c r="D7295" t="s">
        <v>5</v>
      </c>
      <c r="E7295" t="s">
        <v>6</v>
      </c>
      <c r="F7295" t="s">
        <v>251</v>
      </c>
      <c r="G7295">
        <v>1</v>
      </c>
      <c r="H7295" s="2">
        <f>Tabelle13[[#This Row],[commits]]/Tabelle13[[#Totals],[commits]]</f>
        <v>4.6477904404246225E-6</v>
      </c>
      <c r="I7295" s="5">
        <f>Tabelle13[[#This Row],[%]]+I7294</f>
        <v>0.9918570711482918</v>
      </c>
      <c r="J7295" s="4">
        <f t="shared" si="259"/>
        <v>1.105583195135434E-4</v>
      </c>
      <c r="K7295" s="5">
        <f t="shared" si="260"/>
        <v>0.80630182421237118</v>
      </c>
    </row>
    <row r="7296" spans="1:11" x14ac:dyDescent="0.25">
      <c r="A7296" t="s">
        <v>14169</v>
      </c>
      <c r="C7296" t="s">
        <v>14170</v>
      </c>
      <c r="D7296" t="s">
        <v>12681</v>
      </c>
      <c r="E7296" t="s">
        <v>6</v>
      </c>
      <c r="F7296" t="s">
        <v>251</v>
      </c>
      <c r="G7296">
        <v>1</v>
      </c>
      <c r="H7296" s="2">
        <f>Tabelle13[[#This Row],[commits]]/Tabelle13[[#Totals],[commits]]</f>
        <v>4.6477904404246225E-6</v>
      </c>
      <c r="I7296" s="5">
        <f>Tabelle13[[#This Row],[%]]+I7295</f>
        <v>0.99186171893873221</v>
      </c>
      <c r="J7296" s="4">
        <f t="shared" si="259"/>
        <v>1.105583195135434E-4</v>
      </c>
      <c r="K7296" s="5">
        <f t="shared" si="260"/>
        <v>0.80641238253188474</v>
      </c>
    </row>
    <row r="7297" spans="1:11" x14ac:dyDescent="0.25">
      <c r="A7297" t="s">
        <v>14171</v>
      </c>
      <c r="C7297" t="s">
        <v>14172</v>
      </c>
      <c r="D7297" t="s">
        <v>5</v>
      </c>
      <c r="E7297" t="s">
        <v>6</v>
      </c>
      <c r="F7297" t="s">
        <v>251</v>
      </c>
      <c r="G7297">
        <v>1</v>
      </c>
      <c r="H7297" s="2">
        <f>Tabelle13[[#This Row],[commits]]/Tabelle13[[#Totals],[commits]]</f>
        <v>4.6477904404246225E-6</v>
      </c>
      <c r="I7297" s="5">
        <f>Tabelle13[[#This Row],[%]]+I7296</f>
        <v>0.99186636672917261</v>
      </c>
      <c r="J7297" s="4">
        <f t="shared" si="259"/>
        <v>1.105583195135434E-4</v>
      </c>
      <c r="K7297" s="5">
        <f t="shared" si="260"/>
        <v>0.80652294085139831</v>
      </c>
    </row>
    <row r="7298" spans="1:11" x14ac:dyDescent="0.25">
      <c r="A7298" t="s">
        <v>14173</v>
      </c>
      <c r="C7298" t="s">
        <v>14174</v>
      </c>
      <c r="D7298" t="s">
        <v>309</v>
      </c>
      <c r="E7298" t="s">
        <v>6</v>
      </c>
      <c r="F7298" t="s">
        <v>251</v>
      </c>
      <c r="G7298">
        <v>1</v>
      </c>
      <c r="H7298" s="2">
        <f>Tabelle13[[#This Row],[commits]]/Tabelle13[[#Totals],[commits]]</f>
        <v>4.6477904404246225E-6</v>
      </c>
      <c r="I7298" s="5">
        <f>Tabelle13[[#This Row],[%]]+I7297</f>
        <v>0.99187101451961301</v>
      </c>
      <c r="J7298" s="4">
        <f t="shared" si="259"/>
        <v>1.105583195135434E-4</v>
      </c>
      <c r="K7298" s="5">
        <f t="shared" si="260"/>
        <v>0.80663349917091187</v>
      </c>
    </row>
    <row r="7299" spans="1:11" x14ac:dyDescent="0.25">
      <c r="A7299" t="s">
        <v>14175</v>
      </c>
      <c r="C7299" t="s">
        <v>14176</v>
      </c>
      <c r="D7299" t="s">
        <v>309</v>
      </c>
      <c r="E7299" t="s">
        <v>6</v>
      </c>
      <c r="F7299" t="s">
        <v>251</v>
      </c>
      <c r="G7299">
        <v>1</v>
      </c>
      <c r="H7299" s="2">
        <f>Tabelle13[[#This Row],[commits]]/Tabelle13[[#Totals],[commits]]</f>
        <v>4.6477904404246225E-6</v>
      </c>
      <c r="I7299" s="5">
        <f>Tabelle13[[#This Row],[%]]+I7298</f>
        <v>0.99187566231005342</v>
      </c>
      <c r="J7299" s="4">
        <f t="shared" ref="J7299:J7362" si="261">1/9045</f>
        <v>1.105583195135434E-4</v>
      </c>
      <c r="K7299" s="5">
        <f t="shared" si="260"/>
        <v>0.80674405749042544</v>
      </c>
    </row>
    <row r="7300" spans="1:11" x14ac:dyDescent="0.25">
      <c r="A7300" t="s">
        <v>14177</v>
      </c>
      <c r="C7300" t="s">
        <v>14178</v>
      </c>
      <c r="D7300" t="s">
        <v>10094</v>
      </c>
      <c r="E7300" t="s">
        <v>6</v>
      </c>
      <c r="F7300" t="s">
        <v>251</v>
      </c>
      <c r="G7300">
        <v>1</v>
      </c>
      <c r="H7300" s="2">
        <f>Tabelle13[[#This Row],[commits]]/Tabelle13[[#Totals],[commits]]</f>
        <v>4.6477904404246225E-6</v>
      </c>
      <c r="I7300" s="5">
        <f>Tabelle13[[#This Row],[%]]+I7299</f>
        <v>0.99188031010049382</v>
      </c>
      <c r="J7300" s="4">
        <f t="shared" si="261"/>
        <v>1.105583195135434E-4</v>
      </c>
      <c r="K7300" s="5">
        <f t="shared" si="260"/>
        <v>0.806854615809939</v>
      </c>
    </row>
    <row r="7301" spans="1:11" x14ac:dyDescent="0.25">
      <c r="A7301" t="s">
        <v>14179</v>
      </c>
      <c r="C7301" t="s">
        <v>14180</v>
      </c>
      <c r="D7301" t="s">
        <v>5</v>
      </c>
      <c r="E7301" t="s">
        <v>6</v>
      </c>
      <c r="F7301" t="s">
        <v>251</v>
      </c>
      <c r="G7301">
        <v>1</v>
      </c>
      <c r="H7301" s="2">
        <f>Tabelle13[[#This Row],[commits]]/Tabelle13[[#Totals],[commits]]</f>
        <v>4.6477904404246225E-6</v>
      </c>
      <c r="I7301" s="5">
        <f>Tabelle13[[#This Row],[%]]+I7300</f>
        <v>0.99188495789093423</v>
      </c>
      <c r="J7301" s="4">
        <f t="shared" si="261"/>
        <v>1.105583195135434E-4</v>
      </c>
      <c r="K7301" s="5">
        <f t="shared" si="260"/>
        <v>0.80696517412945257</v>
      </c>
    </row>
    <row r="7302" spans="1:11" x14ac:dyDescent="0.25">
      <c r="A7302" t="s">
        <v>14181</v>
      </c>
      <c r="C7302" t="s">
        <v>14182</v>
      </c>
      <c r="D7302" t="s">
        <v>309</v>
      </c>
      <c r="E7302" t="s">
        <v>6</v>
      </c>
      <c r="F7302" t="s">
        <v>251</v>
      </c>
      <c r="G7302">
        <v>1</v>
      </c>
      <c r="H7302" s="2">
        <f>Tabelle13[[#This Row],[commits]]/Tabelle13[[#Totals],[commits]]</f>
        <v>4.6477904404246225E-6</v>
      </c>
      <c r="I7302" s="5">
        <f>Tabelle13[[#This Row],[%]]+I7301</f>
        <v>0.99188960568137463</v>
      </c>
      <c r="J7302" s="4">
        <f t="shared" si="261"/>
        <v>1.105583195135434E-4</v>
      </c>
      <c r="K7302" s="5">
        <f t="shared" ref="K7302:K7365" si="262">J7302+K7301</f>
        <v>0.80707573244896613</v>
      </c>
    </row>
    <row r="7303" spans="1:11" x14ac:dyDescent="0.25">
      <c r="A7303" t="s">
        <v>14183</v>
      </c>
      <c r="C7303" t="s">
        <v>14184</v>
      </c>
      <c r="D7303" t="s">
        <v>5</v>
      </c>
      <c r="E7303" t="s">
        <v>6</v>
      </c>
      <c r="F7303" t="s">
        <v>251</v>
      </c>
      <c r="G7303">
        <v>1</v>
      </c>
      <c r="H7303" s="2">
        <f>Tabelle13[[#This Row],[commits]]/Tabelle13[[#Totals],[commits]]</f>
        <v>4.6477904404246225E-6</v>
      </c>
      <c r="I7303" s="5">
        <f>Tabelle13[[#This Row],[%]]+I7302</f>
        <v>0.99189425347181504</v>
      </c>
      <c r="J7303" s="4">
        <f t="shared" si="261"/>
        <v>1.105583195135434E-4</v>
      </c>
      <c r="K7303" s="5">
        <f t="shared" si="262"/>
        <v>0.8071862907684797</v>
      </c>
    </row>
    <row r="7304" spans="1:11" x14ac:dyDescent="0.25">
      <c r="A7304" t="s">
        <v>14185</v>
      </c>
      <c r="C7304" t="s">
        <v>14186</v>
      </c>
      <c r="D7304" t="s">
        <v>5</v>
      </c>
      <c r="E7304" t="s">
        <v>6</v>
      </c>
      <c r="F7304" t="s">
        <v>251</v>
      </c>
      <c r="G7304">
        <v>1</v>
      </c>
      <c r="H7304" s="2">
        <f>Tabelle13[[#This Row],[commits]]/Tabelle13[[#Totals],[commits]]</f>
        <v>4.6477904404246225E-6</v>
      </c>
      <c r="I7304" s="5">
        <f>Tabelle13[[#This Row],[%]]+I7303</f>
        <v>0.99189890126225544</v>
      </c>
      <c r="J7304" s="4">
        <f t="shared" si="261"/>
        <v>1.105583195135434E-4</v>
      </c>
      <c r="K7304" s="5">
        <f t="shared" si="262"/>
        <v>0.80729684908799326</v>
      </c>
    </row>
    <row r="7305" spans="1:11" x14ac:dyDescent="0.25">
      <c r="A7305" t="s">
        <v>14187</v>
      </c>
      <c r="C7305" t="s">
        <v>14188</v>
      </c>
      <c r="D7305" t="s">
        <v>5</v>
      </c>
      <c r="E7305" t="s">
        <v>6</v>
      </c>
      <c r="F7305" t="s">
        <v>251</v>
      </c>
      <c r="G7305">
        <v>1</v>
      </c>
      <c r="H7305" s="2">
        <f>Tabelle13[[#This Row],[commits]]/Tabelle13[[#Totals],[commits]]</f>
        <v>4.6477904404246225E-6</v>
      </c>
      <c r="I7305" s="5">
        <f>Tabelle13[[#This Row],[%]]+I7304</f>
        <v>0.99190354905269584</v>
      </c>
      <c r="J7305" s="4">
        <f t="shared" si="261"/>
        <v>1.105583195135434E-4</v>
      </c>
      <c r="K7305" s="5">
        <f t="shared" si="262"/>
        <v>0.80740740740750683</v>
      </c>
    </row>
    <row r="7306" spans="1:11" x14ac:dyDescent="0.25">
      <c r="A7306" t="s">
        <v>14189</v>
      </c>
      <c r="C7306" t="s">
        <v>14190</v>
      </c>
      <c r="D7306" t="s">
        <v>309</v>
      </c>
      <c r="E7306" t="s">
        <v>6</v>
      </c>
      <c r="F7306" t="s">
        <v>251</v>
      </c>
      <c r="G7306">
        <v>1</v>
      </c>
      <c r="H7306" s="2">
        <f>Tabelle13[[#This Row],[commits]]/Tabelle13[[#Totals],[commits]]</f>
        <v>4.6477904404246225E-6</v>
      </c>
      <c r="I7306" s="5">
        <f>Tabelle13[[#This Row],[%]]+I7305</f>
        <v>0.99190819684313625</v>
      </c>
      <c r="J7306" s="4">
        <f t="shared" si="261"/>
        <v>1.105583195135434E-4</v>
      </c>
      <c r="K7306" s="5">
        <f t="shared" si="262"/>
        <v>0.80751796572702039</v>
      </c>
    </row>
    <row r="7307" spans="1:11" x14ac:dyDescent="0.25">
      <c r="A7307" t="s">
        <v>14191</v>
      </c>
      <c r="C7307" t="s">
        <v>14192</v>
      </c>
      <c r="D7307" t="s">
        <v>5</v>
      </c>
      <c r="E7307" t="s">
        <v>6</v>
      </c>
      <c r="F7307" t="s">
        <v>251</v>
      </c>
      <c r="G7307">
        <v>1</v>
      </c>
      <c r="H7307" s="2">
        <f>Tabelle13[[#This Row],[commits]]/Tabelle13[[#Totals],[commits]]</f>
        <v>4.6477904404246225E-6</v>
      </c>
      <c r="I7307" s="5">
        <f>Tabelle13[[#This Row],[%]]+I7306</f>
        <v>0.99191284463357665</v>
      </c>
      <c r="J7307" s="4">
        <f t="shared" si="261"/>
        <v>1.105583195135434E-4</v>
      </c>
      <c r="K7307" s="5">
        <f t="shared" si="262"/>
        <v>0.80762852404653396</v>
      </c>
    </row>
    <row r="7308" spans="1:11" x14ac:dyDescent="0.25">
      <c r="A7308" t="s">
        <v>14193</v>
      </c>
      <c r="C7308" t="s">
        <v>14194</v>
      </c>
      <c r="D7308" t="s">
        <v>5</v>
      </c>
      <c r="E7308" t="s">
        <v>6</v>
      </c>
      <c r="F7308" t="s">
        <v>251</v>
      </c>
      <c r="G7308">
        <v>1</v>
      </c>
      <c r="H7308" s="2">
        <f>Tabelle13[[#This Row],[commits]]/Tabelle13[[#Totals],[commits]]</f>
        <v>4.6477904404246225E-6</v>
      </c>
      <c r="I7308" s="5">
        <f>Tabelle13[[#This Row],[%]]+I7307</f>
        <v>0.99191749242401706</v>
      </c>
      <c r="J7308" s="4">
        <f t="shared" si="261"/>
        <v>1.105583195135434E-4</v>
      </c>
      <c r="K7308" s="5">
        <f t="shared" si="262"/>
        <v>0.80773908236604752</v>
      </c>
    </row>
    <row r="7309" spans="1:11" x14ac:dyDescent="0.25">
      <c r="A7309" t="s">
        <v>14195</v>
      </c>
      <c r="C7309" t="s">
        <v>14196</v>
      </c>
      <c r="D7309" t="s">
        <v>8874</v>
      </c>
      <c r="E7309" t="s">
        <v>6</v>
      </c>
      <c r="F7309" t="s">
        <v>251</v>
      </c>
      <c r="G7309">
        <v>1</v>
      </c>
      <c r="H7309" s="2">
        <f>Tabelle13[[#This Row],[commits]]/Tabelle13[[#Totals],[commits]]</f>
        <v>4.6477904404246225E-6</v>
      </c>
      <c r="I7309" s="5">
        <f>Tabelle13[[#This Row],[%]]+I7308</f>
        <v>0.99192214021445746</v>
      </c>
      <c r="J7309" s="4">
        <f t="shared" si="261"/>
        <v>1.105583195135434E-4</v>
      </c>
      <c r="K7309" s="5">
        <f t="shared" si="262"/>
        <v>0.80784964068556109</v>
      </c>
    </row>
    <row r="7310" spans="1:11" x14ac:dyDescent="0.25">
      <c r="A7310" t="s">
        <v>14197</v>
      </c>
      <c r="C7310" t="s">
        <v>14198</v>
      </c>
      <c r="D7310" t="s">
        <v>5</v>
      </c>
      <c r="E7310" t="s">
        <v>6</v>
      </c>
      <c r="F7310" t="s">
        <v>251</v>
      </c>
      <c r="G7310">
        <v>1</v>
      </c>
      <c r="H7310" s="2">
        <f>Tabelle13[[#This Row],[commits]]/Tabelle13[[#Totals],[commits]]</f>
        <v>4.6477904404246225E-6</v>
      </c>
      <c r="I7310" s="5">
        <f>Tabelle13[[#This Row],[%]]+I7309</f>
        <v>0.99192678800489786</v>
      </c>
      <c r="J7310" s="4">
        <f t="shared" si="261"/>
        <v>1.105583195135434E-4</v>
      </c>
      <c r="K7310" s="5">
        <f t="shared" si="262"/>
        <v>0.80796019900507465</v>
      </c>
    </row>
    <row r="7311" spans="1:11" x14ac:dyDescent="0.25">
      <c r="A7311" t="s">
        <v>14199</v>
      </c>
      <c r="C7311" t="s">
        <v>14200</v>
      </c>
      <c r="D7311" t="s">
        <v>9035</v>
      </c>
      <c r="E7311" t="s">
        <v>6</v>
      </c>
      <c r="F7311" t="s">
        <v>251</v>
      </c>
      <c r="G7311">
        <v>1</v>
      </c>
      <c r="H7311" s="2">
        <f>Tabelle13[[#This Row],[commits]]/Tabelle13[[#Totals],[commits]]</f>
        <v>4.6477904404246225E-6</v>
      </c>
      <c r="I7311" s="5">
        <f>Tabelle13[[#This Row],[%]]+I7310</f>
        <v>0.99193143579533827</v>
      </c>
      <c r="J7311" s="4">
        <f t="shared" si="261"/>
        <v>1.105583195135434E-4</v>
      </c>
      <c r="K7311" s="5">
        <f t="shared" si="262"/>
        <v>0.80807075732458822</v>
      </c>
    </row>
    <row r="7312" spans="1:11" x14ac:dyDescent="0.25">
      <c r="A7312" t="s">
        <v>14201</v>
      </c>
      <c r="C7312" t="s">
        <v>14202</v>
      </c>
      <c r="D7312" t="s">
        <v>5</v>
      </c>
      <c r="E7312" t="s">
        <v>6</v>
      </c>
      <c r="F7312" t="s">
        <v>251</v>
      </c>
      <c r="G7312">
        <v>1</v>
      </c>
      <c r="H7312" s="2">
        <f>Tabelle13[[#This Row],[commits]]/Tabelle13[[#Totals],[commits]]</f>
        <v>4.6477904404246225E-6</v>
      </c>
      <c r="I7312" s="5">
        <f>Tabelle13[[#This Row],[%]]+I7311</f>
        <v>0.99193608358577867</v>
      </c>
      <c r="J7312" s="4">
        <f t="shared" si="261"/>
        <v>1.105583195135434E-4</v>
      </c>
      <c r="K7312" s="5">
        <f t="shared" si="262"/>
        <v>0.80818131564410178</v>
      </c>
    </row>
    <row r="7313" spans="1:11" x14ac:dyDescent="0.25">
      <c r="A7313" t="s">
        <v>14203</v>
      </c>
      <c r="C7313" t="s">
        <v>14204</v>
      </c>
      <c r="D7313" t="s">
        <v>309</v>
      </c>
      <c r="E7313" t="s">
        <v>6</v>
      </c>
      <c r="F7313" t="s">
        <v>251</v>
      </c>
      <c r="G7313">
        <v>1</v>
      </c>
      <c r="H7313" s="2">
        <f>Tabelle13[[#This Row],[commits]]/Tabelle13[[#Totals],[commits]]</f>
        <v>4.6477904404246225E-6</v>
      </c>
      <c r="I7313" s="5">
        <f>Tabelle13[[#This Row],[%]]+I7312</f>
        <v>0.99194073137621908</v>
      </c>
      <c r="J7313" s="4">
        <f t="shared" si="261"/>
        <v>1.105583195135434E-4</v>
      </c>
      <c r="K7313" s="5">
        <f t="shared" si="262"/>
        <v>0.80829187396361535</v>
      </c>
    </row>
    <row r="7314" spans="1:11" x14ac:dyDescent="0.25">
      <c r="A7314" t="s">
        <v>14205</v>
      </c>
      <c r="C7314" t="s">
        <v>14206</v>
      </c>
      <c r="D7314" t="s">
        <v>5</v>
      </c>
      <c r="E7314" t="s">
        <v>6</v>
      </c>
      <c r="F7314" t="s">
        <v>251</v>
      </c>
      <c r="G7314">
        <v>1</v>
      </c>
      <c r="H7314" s="2">
        <f>Tabelle13[[#This Row],[commits]]/Tabelle13[[#Totals],[commits]]</f>
        <v>4.6477904404246225E-6</v>
      </c>
      <c r="I7314" s="5">
        <f>Tabelle13[[#This Row],[%]]+I7313</f>
        <v>0.99194537916665948</v>
      </c>
      <c r="J7314" s="4">
        <f t="shared" si="261"/>
        <v>1.105583195135434E-4</v>
      </c>
      <c r="K7314" s="5">
        <f t="shared" si="262"/>
        <v>0.80840243228312891</v>
      </c>
    </row>
    <row r="7315" spans="1:11" x14ac:dyDescent="0.25">
      <c r="A7315" t="s">
        <v>14207</v>
      </c>
      <c r="C7315" t="s">
        <v>14208</v>
      </c>
      <c r="D7315" t="s">
        <v>5</v>
      </c>
      <c r="E7315" t="s">
        <v>6</v>
      </c>
      <c r="F7315" t="s">
        <v>251</v>
      </c>
      <c r="G7315">
        <v>1</v>
      </c>
      <c r="H7315" s="2">
        <f>Tabelle13[[#This Row],[commits]]/Tabelle13[[#Totals],[commits]]</f>
        <v>4.6477904404246225E-6</v>
      </c>
      <c r="I7315" s="5">
        <f>Tabelle13[[#This Row],[%]]+I7314</f>
        <v>0.99195002695709988</v>
      </c>
      <c r="J7315" s="4">
        <f t="shared" si="261"/>
        <v>1.105583195135434E-4</v>
      </c>
      <c r="K7315" s="5">
        <f t="shared" si="262"/>
        <v>0.80851299060264248</v>
      </c>
    </row>
    <row r="7316" spans="1:11" x14ac:dyDescent="0.25">
      <c r="A7316" t="s">
        <v>14209</v>
      </c>
      <c r="C7316" t="s">
        <v>14210</v>
      </c>
      <c r="D7316" t="s">
        <v>5</v>
      </c>
      <c r="E7316" t="s">
        <v>6</v>
      </c>
      <c r="F7316" t="s">
        <v>251</v>
      </c>
      <c r="G7316">
        <v>1</v>
      </c>
      <c r="H7316" s="2">
        <f>Tabelle13[[#This Row],[commits]]/Tabelle13[[#Totals],[commits]]</f>
        <v>4.6477904404246225E-6</v>
      </c>
      <c r="I7316" s="5">
        <f>Tabelle13[[#This Row],[%]]+I7315</f>
        <v>0.99195467474754029</v>
      </c>
      <c r="J7316" s="4">
        <f t="shared" si="261"/>
        <v>1.105583195135434E-4</v>
      </c>
      <c r="K7316" s="5">
        <f t="shared" si="262"/>
        <v>0.80862354892215604</v>
      </c>
    </row>
    <row r="7317" spans="1:11" x14ac:dyDescent="0.25">
      <c r="A7317" t="s">
        <v>14211</v>
      </c>
      <c r="C7317" t="s">
        <v>14212</v>
      </c>
      <c r="D7317" t="s">
        <v>5</v>
      </c>
      <c r="E7317" t="s">
        <v>6</v>
      </c>
      <c r="F7317" t="s">
        <v>251</v>
      </c>
      <c r="G7317">
        <v>1</v>
      </c>
      <c r="H7317" s="2">
        <f>Tabelle13[[#This Row],[commits]]/Tabelle13[[#Totals],[commits]]</f>
        <v>4.6477904404246225E-6</v>
      </c>
      <c r="I7317" s="5">
        <f>Tabelle13[[#This Row],[%]]+I7316</f>
        <v>0.99195932253798069</v>
      </c>
      <c r="J7317" s="4">
        <f t="shared" si="261"/>
        <v>1.105583195135434E-4</v>
      </c>
      <c r="K7317" s="5">
        <f t="shared" si="262"/>
        <v>0.80873410724166961</v>
      </c>
    </row>
    <row r="7318" spans="1:11" x14ac:dyDescent="0.25">
      <c r="A7318" t="s">
        <v>14213</v>
      </c>
      <c r="C7318" t="s">
        <v>14214</v>
      </c>
      <c r="D7318" t="s">
        <v>5</v>
      </c>
      <c r="E7318" t="s">
        <v>6</v>
      </c>
      <c r="F7318" t="s">
        <v>251</v>
      </c>
      <c r="G7318">
        <v>1</v>
      </c>
      <c r="H7318" s="2">
        <f>Tabelle13[[#This Row],[commits]]/Tabelle13[[#Totals],[commits]]</f>
        <v>4.6477904404246225E-6</v>
      </c>
      <c r="I7318" s="5">
        <f>Tabelle13[[#This Row],[%]]+I7317</f>
        <v>0.9919639703284211</v>
      </c>
      <c r="J7318" s="4">
        <f t="shared" si="261"/>
        <v>1.105583195135434E-4</v>
      </c>
      <c r="K7318" s="5">
        <f t="shared" si="262"/>
        <v>0.80884466556118317</v>
      </c>
    </row>
    <row r="7319" spans="1:11" x14ac:dyDescent="0.25">
      <c r="A7319" t="s">
        <v>14215</v>
      </c>
      <c r="C7319" t="s">
        <v>14216</v>
      </c>
      <c r="D7319" t="s">
        <v>5</v>
      </c>
      <c r="E7319" t="s">
        <v>6</v>
      </c>
      <c r="F7319" t="s">
        <v>251</v>
      </c>
      <c r="G7319">
        <v>1</v>
      </c>
      <c r="H7319" s="2">
        <f>Tabelle13[[#This Row],[commits]]/Tabelle13[[#Totals],[commits]]</f>
        <v>4.6477904404246225E-6</v>
      </c>
      <c r="I7319" s="5">
        <f>Tabelle13[[#This Row],[%]]+I7318</f>
        <v>0.9919686181188615</v>
      </c>
      <c r="J7319" s="4">
        <f t="shared" si="261"/>
        <v>1.105583195135434E-4</v>
      </c>
      <c r="K7319" s="5">
        <f t="shared" si="262"/>
        <v>0.80895522388069674</v>
      </c>
    </row>
    <row r="7320" spans="1:11" x14ac:dyDescent="0.25">
      <c r="A7320" t="s">
        <v>14217</v>
      </c>
      <c r="C7320" t="s">
        <v>14218</v>
      </c>
      <c r="D7320" t="s">
        <v>5</v>
      </c>
      <c r="E7320" t="s">
        <v>6</v>
      </c>
      <c r="F7320" t="s">
        <v>251</v>
      </c>
      <c r="G7320">
        <v>1</v>
      </c>
      <c r="H7320" s="2">
        <f>Tabelle13[[#This Row],[commits]]/Tabelle13[[#Totals],[commits]]</f>
        <v>4.6477904404246225E-6</v>
      </c>
      <c r="I7320" s="5">
        <f>Tabelle13[[#This Row],[%]]+I7319</f>
        <v>0.9919732659093019</v>
      </c>
      <c r="J7320" s="4">
        <f t="shared" si="261"/>
        <v>1.105583195135434E-4</v>
      </c>
      <c r="K7320" s="5">
        <f t="shared" si="262"/>
        <v>0.8090657822002103</v>
      </c>
    </row>
    <row r="7321" spans="1:11" x14ac:dyDescent="0.25">
      <c r="A7321" t="s">
        <v>14219</v>
      </c>
      <c r="C7321" t="s">
        <v>14220</v>
      </c>
      <c r="D7321" t="s">
        <v>5</v>
      </c>
      <c r="E7321" t="s">
        <v>6</v>
      </c>
      <c r="F7321" t="s">
        <v>251</v>
      </c>
      <c r="G7321">
        <v>1</v>
      </c>
      <c r="H7321" s="2">
        <f>Tabelle13[[#This Row],[commits]]/Tabelle13[[#Totals],[commits]]</f>
        <v>4.6477904404246225E-6</v>
      </c>
      <c r="I7321" s="5">
        <f>Tabelle13[[#This Row],[%]]+I7320</f>
        <v>0.99197791369974231</v>
      </c>
      <c r="J7321" s="4">
        <f t="shared" si="261"/>
        <v>1.105583195135434E-4</v>
      </c>
      <c r="K7321" s="5">
        <f t="shared" si="262"/>
        <v>0.80917634051972387</v>
      </c>
    </row>
    <row r="7322" spans="1:11" x14ac:dyDescent="0.25">
      <c r="A7322" t="s">
        <v>14221</v>
      </c>
      <c r="C7322" t="s">
        <v>14222</v>
      </c>
      <c r="D7322" t="s">
        <v>5</v>
      </c>
      <c r="E7322" t="s">
        <v>6</v>
      </c>
      <c r="F7322" t="s">
        <v>251</v>
      </c>
      <c r="G7322">
        <v>1</v>
      </c>
      <c r="H7322" s="2">
        <f>Tabelle13[[#This Row],[commits]]/Tabelle13[[#Totals],[commits]]</f>
        <v>4.6477904404246225E-6</v>
      </c>
      <c r="I7322" s="5">
        <f>Tabelle13[[#This Row],[%]]+I7321</f>
        <v>0.99198256149018271</v>
      </c>
      <c r="J7322" s="4">
        <f t="shared" si="261"/>
        <v>1.105583195135434E-4</v>
      </c>
      <c r="K7322" s="5">
        <f t="shared" si="262"/>
        <v>0.80928689883923743</v>
      </c>
    </row>
    <row r="7323" spans="1:11" x14ac:dyDescent="0.25">
      <c r="A7323" t="s">
        <v>14223</v>
      </c>
      <c r="C7323" t="s">
        <v>14224</v>
      </c>
      <c r="D7323" t="s">
        <v>5</v>
      </c>
      <c r="E7323" t="s">
        <v>6</v>
      </c>
      <c r="F7323" t="s">
        <v>251</v>
      </c>
      <c r="G7323">
        <v>1</v>
      </c>
      <c r="H7323" s="2">
        <f>Tabelle13[[#This Row],[commits]]/Tabelle13[[#Totals],[commits]]</f>
        <v>4.6477904404246225E-6</v>
      </c>
      <c r="I7323" s="5">
        <f>Tabelle13[[#This Row],[%]]+I7322</f>
        <v>0.99198720928062312</v>
      </c>
      <c r="J7323" s="4">
        <f t="shared" si="261"/>
        <v>1.105583195135434E-4</v>
      </c>
      <c r="K7323" s="5">
        <f t="shared" si="262"/>
        <v>0.809397457158751</v>
      </c>
    </row>
    <row r="7324" spans="1:11" x14ac:dyDescent="0.25">
      <c r="A7324" t="s">
        <v>14225</v>
      </c>
      <c r="C7324" t="s">
        <v>14226</v>
      </c>
      <c r="D7324" t="s">
        <v>5</v>
      </c>
      <c r="E7324" t="s">
        <v>6</v>
      </c>
      <c r="F7324" t="s">
        <v>251</v>
      </c>
      <c r="G7324">
        <v>1</v>
      </c>
      <c r="H7324" s="2">
        <f>Tabelle13[[#This Row],[commits]]/Tabelle13[[#Totals],[commits]]</f>
        <v>4.6477904404246225E-6</v>
      </c>
      <c r="I7324" s="5">
        <f>Tabelle13[[#This Row],[%]]+I7323</f>
        <v>0.99199185707106352</v>
      </c>
      <c r="J7324" s="4">
        <f t="shared" si="261"/>
        <v>1.105583195135434E-4</v>
      </c>
      <c r="K7324" s="5">
        <f t="shared" si="262"/>
        <v>0.80950801547826456</v>
      </c>
    </row>
    <row r="7325" spans="1:11" x14ac:dyDescent="0.25">
      <c r="A7325" t="s">
        <v>14227</v>
      </c>
      <c r="C7325" t="s">
        <v>14228</v>
      </c>
      <c r="D7325" t="s">
        <v>5</v>
      </c>
      <c r="E7325" t="s">
        <v>6</v>
      </c>
      <c r="F7325" t="s">
        <v>251</v>
      </c>
      <c r="G7325">
        <v>1</v>
      </c>
      <c r="H7325" s="2">
        <f>Tabelle13[[#This Row],[commits]]/Tabelle13[[#Totals],[commits]]</f>
        <v>4.6477904404246225E-6</v>
      </c>
      <c r="I7325" s="5">
        <f>Tabelle13[[#This Row],[%]]+I7324</f>
        <v>0.99199650486150392</v>
      </c>
      <c r="J7325" s="4">
        <f t="shared" si="261"/>
        <v>1.105583195135434E-4</v>
      </c>
      <c r="K7325" s="5">
        <f t="shared" si="262"/>
        <v>0.80961857379777813</v>
      </c>
    </row>
    <row r="7326" spans="1:11" x14ac:dyDescent="0.25">
      <c r="A7326" t="s">
        <v>14229</v>
      </c>
      <c r="C7326" t="s">
        <v>14230</v>
      </c>
      <c r="D7326" t="s">
        <v>5</v>
      </c>
      <c r="E7326" t="s">
        <v>6</v>
      </c>
      <c r="F7326" t="s">
        <v>251</v>
      </c>
      <c r="G7326">
        <v>1</v>
      </c>
      <c r="H7326" s="2">
        <f>Tabelle13[[#This Row],[commits]]/Tabelle13[[#Totals],[commits]]</f>
        <v>4.6477904404246225E-6</v>
      </c>
      <c r="I7326" s="5">
        <f>Tabelle13[[#This Row],[%]]+I7325</f>
        <v>0.99200115265194433</v>
      </c>
      <c r="J7326" s="4">
        <f t="shared" si="261"/>
        <v>1.105583195135434E-4</v>
      </c>
      <c r="K7326" s="5">
        <f t="shared" si="262"/>
        <v>0.80972913211729169</v>
      </c>
    </row>
    <row r="7327" spans="1:11" x14ac:dyDescent="0.25">
      <c r="A7327" t="s">
        <v>14231</v>
      </c>
      <c r="C7327" t="s">
        <v>14232</v>
      </c>
      <c r="D7327" t="s">
        <v>14233</v>
      </c>
      <c r="E7327" t="s">
        <v>6</v>
      </c>
      <c r="F7327" t="s">
        <v>251</v>
      </c>
      <c r="G7327">
        <v>1</v>
      </c>
      <c r="H7327" s="2">
        <f>Tabelle13[[#This Row],[commits]]/Tabelle13[[#Totals],[commits]]</f>
        <v>4.6477904404246225E-6</v>
      </c>
      <c r="I7327" s="5">
        <f>Tabelle13[[#This Row],[%]]+I7326</f>
        <v>0.99200580044238473</v>
      </c>
      <c r="J7327" s="4">
        <f t="shared" si="261"/>
        <v>1.105583195135434E-4</v>
      </c>
      <c r="K7327" s="5">
        <f t="shared" si="262"/>
        <v>0.80983969043680526</v>
      </c>
    </row>
    <row r="7328" spans="1:11" x14ac:dyDescent="0.25">
      <c r="A7328" t="s">
        <v>14234</v>
      </c>
      <c r="C7328" t="s">
        <v>14235</v>
      </c>
      <c r="D7328" t="s">
        <v>5</v>
      </c>
      <c r="E7328" t="s">
        <v>6</v>
      </c>
      <c r="F7328" t="s">
        <v>251</v>
      </c>
      <c r="G7328">
        <v>1</v>
      </c>
      <c r="H7328" s="2">
        <f>Tabelle13[[#This Row],[commits]]/Tabelle13[[#Totals],[commits]]</f>
        <v>4.6477904404246225E-6</v>
      </c>
      <c r="I7328" s="5">
        <f>Tabelle13[[#This Row],[%]]+I7327</f>
        <v>0.99201044823282514</v>
      </c>
      <c r="J7328" s="4">
        <f t="shared" si="261"/>
        <v>1.105583195135434E-4</v>
      </c>
      <c r="K7328" s="5">
        <f t="shared" si="262"/>
        <v>0.80995024875631882</v>
      </c>
    </row>
    <row r="7329" spans="1:11" x14ac:dyDescent="0.25">
      <c r="A7329" t="s">
        <v>14236</v>
      </c>
      <c r="C7329" t="s">
        <v>14237</v>
      </c>
      <c r="D7329" t="s">
        <v>5</v>
      </c>
      <c r="E7329" t="s">
        <v>6</v>
      </c>
      <c r="F7329" t="s">
        <v>251</v>
      </c>
      <c r="G7329">
        <v>1</v>
      </c>
      <c r="H7329" s="2">
        <f>Tabelle13[[#This Row],[commits]]/Tabelle13[[#Totals],[commits]]</f>
        <v>4.6477904404246225E-6</v>
      </c>
      <c r="I7329" s="5">
        <f>Tabelle13[[#This Row],[%]]+I7328</f>
        <v>0.99201509602326554</v>
      </c>
      <c r="J7329" s="4">
        <f t="shared" si="261"/>
        <v>1.105583195135434E-4</v>
      </c>
      <c r="K7329" s="5">
        <f t="shared" si="262"/>
        <v>0.81006080707583239</v>
      </c>
    </row>
    <row r="7330" spans="1:11" x14ac:dyDescent="0.25">
      <c r="A7330" t="s">
        <v>14238</v>
      </c>
      <c r="C7330" t="s">
        <v>14239</v>
      </c>
      <c r="D7330" t="s">
        <v>5</v>
      </c>
      <c r="E7330" t="s">
        <v>6</v>
      </c>
      <c r="F7330" t="s">
        <v>251</v>
      </c>
      <c r="G7330">
        <v>1</v>
      </c>
      <c r="H7330" s="2">
        <f>Tabelle13[[#This Row],[commits]]/Tabelle13[[#Totals],[commits]]</f>
        <v>4.6477904404246225E-6</v>
      </c>
      <c r="I7330" s="5">
        <f>Tabelle13[[#This Row],[%]]+I7329</f>
        <v>0.99201974381370595</v>
      </c>
      <c r="J7330" s="4">
        <f t="shared" si="261"/>
        <v>1.105583195135434E-4</v>
      </c>
      <c r="K7330" s="5">
        <f t="shared" si="262"/>
        <v>0.81017136539534595</v>
      </c>
    </row>
    <row r="7331" spans="1:11" x14ac:dyDescent="0.25">
      <c r="A7331" t="s">
        <v>14240</v>
      </c>
      <c r="C7331" t="s">
        <v>14241</v>
      </c>
      <c r="D7331" t="s">
        <v>9085</v>
      </c>
      <c r="E7331" t="s">
        <v>6</v>
      </c>
      <c r="F7331" t="s">
        <v>251</v>
      </c>
      <c r="G7331">
        <v>1</v>
      </c>
      <c r="H7331" s="2">
        <f>Tabelle13[[#This Row],[commits]]/Tabelle13[[#Totals],[commits]]</f>
        <v>4.6477904404246225E-6</v>
      </c>
      <c r="I7331" s="5">
        <f>Tabelle13[[#This Row],[%]]+I7330</f>
        <v>0.99202439160414635</v>
      </c>
      <c r="J7331" s="4">
        <f t="shared" si="261"/>
        <v>1.105583195135434E-4</v>
      </c>
      <c r="K7331" s="5">
        <f t="shared" si="262"/>
        <v>0.81028192371485952</v>
      </c>
    </row>
    <row r="7332" spans="1:11" x14ac:dyDescent="0.25">
      <c r="A7332" t="s">
        <v>14242</v>
      </c>
      <c r="C7332" t="s">
        <v>14243</v>
      </c>
      <c r="D7332" t="s">
        <v>8874</v>
      </c>
      <c r="E7332" t="s">
        <v>6</v>
      </c>
      <c r="F7332" t="s">
        <v>251</v>
      </c>
      <c r="G7332">
        <v>1</v>
      </c>
      <c r="H7332" s="2">
        <f>Tabelle13[[#This Row],[commits]]/Tabelle13[[#Totals],[commits]]</f>
        <v>4.6477904404246225E-6</v>
      </c>
      <c r="I7332" s="5">
        <f>Tabelle13[[#This Row],[%]]+I7331</f>
        <v>0.99202903939458675</v>
      </c>
      <c r="J7332" s="4">
        <f t="shared" si="261"/>
        <v>1.105583195135434E-4</v>
      </c>
      <c r="K7332" s="5">
        <f t="shared" si="262"/>
        <v>0.81039248203437309</v>
      </c>
    </row>
    <row r="7333" spans="1:11" x14ac:dyDescent="0.25">
      <c r="A7333" t="s">
        <v>14244</v>
      </c>
      <c r="C7333" t="s">
        <v>14245</v>
      </c>
      <c r="D7333" t="s">
        <v>2659</v>
      </c>
      <c r="E7333" t="s">
        <v>6</v>
      </c>
      <c r="F7333" t="s">
        <v>251</v>
      </c>
      <c r="G7333">
        <v>1</v>
      </c>
      <c r="H7333" s="2">
        <f>Tabelle13[[#This Row],[commits]]/Tabelle13[[#Totals],[commits]]</f>
        <v>4.6477904404246225E-6</v>
      </c>
      <c r="I7333" s="5">
        <f>Tabelle13[[#This Row],[%]]+I7332</f>
        <v>0.99203368718502716</v>
      </c>
      <c r="J7333" s="4">
        <f t="shared" si="261"/>
        <v>1.105583195135434E-4</v>
      </c>
      <c r="K7333" s="5">
        <f t="shared" si="262"/>
        <v>0.81050304035388665</v>
      </c>
    </row>
    <row r="7334" spans="1:11" x14ac:dyDescent="0.25">
      <c r="A7334" t="s">
        <v>14246</v>
      </c>
      <c r="C7334" t="s">
        <v>14247</v>
      </c>
      <c r="D7334" t="s">
        <v>7531</v>
      </c>
      <c r="E7334" t="s">
        <v>6</v>
      </c>
      <c r="F7334" t="s">
        <v>251</v>
      </c>
      <c r="G7334">
        <v>1</v>
      </c>
      <c r="H7334" s="2">
        <f>Tabelle13[[#This Row],[commits]]/Tabelle13[[#Totals],[commits]]</f>
        <v>4.6477904404246225E-6</v>
      </c>
      <c r="I7334" s="5">
        <f>Tabelle13[[#This Row],[%]]+I7333</f>
        <v>0.99203833497546756</v>
      </c>
      <c r="J7334" s="4">
        <f t="shared" si="261"/>
        <v>1.105583195135434E-4</v>
      </c>
      <c r="K7334" s="5">
        <f t="shared" si="262"/>
        <v>0.81061359867340022</v>
      </c>
    </row>
    <row r="7335" spans="1:11" x14ac:dyDescent="0.25">
      <c r="A7335" t="s">
        <v>14248</v>
      </c>
      <c r="C7335" t="s">
        <v>14249</v>
      </c>
      <c r="D7335" t="s">
        <v>11367</v>
      </c>
      <c r="E7335" t="s">
        <v>6</v>
      </c>
      <c r="F7335" t="s">
        <v>251</v>
      </c>
      <c r="G7335">
        <v>1</v>
      </c>
      <c r="H7335" s="2">
        <f>Tabelle13[[#This Row],[commits]]/Tabelle13[[#Totals],[commits]]</f>
        <v>4.6477904404246225E-6</v>
      </c>
      <c r="I7335" s="5">
        <f>Tabelle13[[#This Row],[%]]+I7334</f>
        <v>0.99204298276590797</v>
      </c>
      <c r="J7335" s="4">
        <f t="shared" si="261"/>
        <v>1.105583195135434E-4</v>
      </c>
      <c r="K7335" s="5">
        <f t="shared" si="262"/>
        <v>0.81072415699291378</v>
      </c>
    </row>
    <row r="7336" spans="1:11" x14ac:dyDescent="0.25">
      <c r="A7336" t="s">
        <v>14250</v>
      </c>
      <c r="C7336" t="s">
        <v>14251</v>
      </c>
      <c r="D7336" t="s">
        <v>5</v>
      </c>
      <c r="E7336" t="s">
        <v>6</v>
      </c>
      <c r="F7336" t="s">
        <v>251</v>
      </c>
      <c r="G7336">
        <v>1</v>
      </c>
      <c r="H7336" s="2">
        <f>Tabelle13[[#This Row],[commits]]/Tabelle13[[#Totals],[commits]]</f>
        <v>4.6477904404246225E-6</v>
      </c>
      <c r="I7336" s="5">
        <f>Tabelle13[[#This Row],[%]]+I7335</f>
        <v>0.99204763055634837</v>
      </c>
      <c r="J7336" s="4">
        <f t="shared" si="261"/>
        <v>1.105583195135434E-4</v>
      </c>
      <c r="K7336" s="5">
        <f t="shared" si="262"/>
        <v>0.81083471531242735</v>
      </c>
    </row>
    <row r="7337" spans="1:11" x14ac:dyDescent="0.25">
      <c r="A7337" t="s">
        <v>14252</v>
      </c>
      <c r="C7337" t="s">
        <v>14253</v>
      </c>
      <c r="D7337" t="s">
        <v>14254</v>
      </c>
      <c r="E7337" t="s">
        <v>6</v>
      </c>
      <c r="F7337" t="s">
        <v>251</v>
      </c>
      <c r="G7337">
        <v>1</v>
      </c>
      <c r="H7337" s="2">
        <f>Tabelle13[[#This Row],[commits]]/Tabelle13[[#Totals],[commits]]</f>
        <v>4.6477904404246225E-6</v>
      </c>
      <c r="I7337" s="5">
        <f>Tabelle13[[#This Row],[%]]+I7336</f>
        <v>0.99205227834678877</v>
      </c>
      <c r="J7337" s="4">
        <f t="shared" si="261"/>
        <v>1.105583195135434E-4</v>
      </c>
      <c r="K7337" s="5">
        <f t="shared" si="262"/>
        <v>0.81094527363194091</v>
      </c>
    </row>
    <row r="7338" spans="1:11" x14ac:dyDescent="0.25">
      <c r="A7338" t="s">
        <v>14255</v>
      </c>
      <c r="C7338" t="s">
        <v>14256</v>
      </c>
      <c r="D7338" t="s">
        <v>13248</v>
      </c>
      <c r="E7338" t="s">
        <v>6</v>
      </c>
      <c r="F7338" t="s">
        <v>251</v>
      </c>
      <c r="G7338">
        <v>1</v>
      </c>
      <c r="H7338" s="2">
        <f>Tabelle13[[#This Row],[commits]]/Tabelle13[[#Totals],[commits]]</f>
        <v>4.6477904404246225E-6</v>
      </c>
      <c r="I7338" s="5">
        <f>Tabelle13[[#This Row],[%]]+I7337</f>
        <v>0.99205692613722918</v>
      </c>
      <c r="J7338" s="4">
        <f t="shared" si="261"/>
        <v>1.105583195135434E-4</v>
      </c>
      <c r="K7338" s="5">
        <f t="shared" si="262"/>
        <v>0.81105583195145448</v>
      </c>
    </row>
    <row r="7339" spans="1:11" x14ac:dyDescent="0.25">
      <c r="A7339" t="s">
        <v>14257</v>
      </c>
      <c r="C7339" t="s">
        <v>14258</v>
      </c>
      <c r="D7339" t="s">
        <v>11616</v>
      </c>
      <c r="E7339" t="s">
        <v>6</v>
      </c>
      <c r="F7339" t="s">
        <v>251</v>
      </c>
      <c r="G7339">
        <v>1</v>
      </c>
      <c r="H7339" s="2">
        <f>Tabelle13[[#This Row],[commits]]/Tabelle13[[#Totals],[commits]]</f>
        <v>4.6477904404246225E-6</v>
      </c>
      <c r="I7339" s="5">
        <f>Tabelle13[[#This Row],[%]]+I7338</f>
        <v>0.99206157392766958</v>
      </c>
      <c r="J7339" s="4">
        <f t="shared" si="261"/>
        <v>1.105583195135434E-4</v>
      </c>
      <c r="K7339" s="5">
        <f t="shared" si="262"/>
        <v>0.81116639027096804</v>
      </c>
    </row>
    <row r="7340" spans="1:11" x14ac:dyDescent="0.25">
      <c r="A7340" t="s">
        <v>14259</v>
      </c>
      <c r="C7340" t="s">
        <v>14260</v>
      </c>
      <c r="D7340" t="s">
        <v>5</v>
      </c>
      <c r="E7340" t="s">
        <v>6</v>
      </c>
      <c r="F7340" t="s">
        <v>251</v>
      </c>
      <c r="G7340">
        <v>1</v>
      </c>
      <c r="H7340" s="2">
        <f>Tabelle13[[#This Row],[commits]]/Tabelle13[[#Totals],[commits]]</f>
        <v>4.6477904404246225E-6</v>
      </c>
      <c r="I7340" s="5">
        <f>Tabelle13[[#This Row],[%]]+I7339</f>
        <v>0.99206622171810999</v>
      </c>
      <c r="J7340" s="4">
        <f t="shared" si="261"/>
        <v>1.105583195135434E-4</v>
      </c>
      <c r="K7340" s="5">
        <f t="shared" si="262"/>
        <v>0.81127694859048161</v>
      </c>
    </row>
    <row r="7341" spans="1:11" x14ac:dyDescent="0.25">
      <c r="A7341" t="s">
        <v>14261</v>
      </c>
      <c r="C7341" t="s">
        <v>14262</v>
      </c>
      <c r="D7341" t="s">
        <v>9636</v>
      </c>
      <c r="E7341" t="s">
        <v>6</v>
      </c>
      <c r="F7341" t="s">
        <v>251</v>
      </c>
      <c r="G7341">
        <v>1</v>
      </c>
      <c r="H7341" s="2">
        <f>Tabelle13[[#This Row],[commits]]/Tabelle13[[#Totals],[commits]]</f>
        <v>4.6477904404246225E-6</v>
      </c>
      <c r="I7341" s="5">
        <f>Tabelle13[[#This Row],[%]]+I7340</f>
        <v>0.99207086950855039</v>
      </c>
      <c r="J7341" s="4">
        <f t="shared" si="261"/>
        <v>1.105583195135434E-4</v>
      </c>
      <c r="K7341" s="5">
        <f t="shared" si="262"/>
        <v>0.81138750690999517</v>
      </c>
    </row>
    <row r="7342" spans="1:11" x14ac:dyDescent="0.25">
      <c r="A7342" t="s">
        <v>14263</v>
      </c>
      <c r="C7342" t="s">
        <v>14264</v>
      </c>
      <c r="D7342" t="s">
        <v>5</v>
      </c>
      <c r="E7342" t="s">
        <v>6</v>
      </c>
      <c r="F7342" t="s">
        <v>251</v>
      </c>
      <c r="G7342">
        <v>1</v>
      </c>
      <c r="H7342" s="2">
        <f>Tabelle13[[#This Row],[commits]]/Tabelle13[[#Totals],[commits]]</f>
        <v>4.6477904404246225E-6</v>
      </c>
      <c r="I7342" s="5">
        <f>Tabelle13[[#This Row],[%]]+I7341</f>
        <v>0.99207551729899079</v>
      </c>
      <c r="J7342" s="4">
        <f t="shared" si="261"/>
        <v>1.105583195135434E-4</v>
      </c>
      <c r="K7342" s="5">
        <f t="shared" si="262"/>
        <v>0.81149806522950874</v>
      </c>
    </row>
    <row r="7343" spans="1:11" x14ac:dyDescent="0.25">
      <c r="A7343" t="s">
        <v>14265</v>
      </c>
      <c r="C7343" t="s">
        <v>14266</v>
      </c>
      <c r="D7343" t="s">
        <v>5</v>
      </c>
      <c r="E7343" t="s">
        <v>6</v>
      </c>
      <c r="F7343" t="s">
        <v>251</v>
      </c>
      <c r="G7343">
        <v>1</v>
      </c>
      <c r="H7343" s="2">
        <f>Tabelle13[[#This Row],[commits]]/Tabelle13[[#Totals],[commits]]</f>
        <v>4.6477904404246225E-6</v>
      </c>
      <c r="I7343" s="5">
        <f>Tabelle13[[#This Row],[%]]+I7342</f>
        <v>0.9920801650894312</v>
      </c>
      <c r="J7343" s="4">
        <f t="shared" si="261"/>
        <v>1.105583195135434E-4</v>
      </c>
      <c r="K7343" s="5">
        <f t="shared" si="262"/>
        <v>0.8116086235490223</v>
      </c>
    </row>
    <row r="7344" spans="1:11" x14ac:dyDescent="0.25">
      <c r="A7344" t="s">
        <v>14267</v>
      </c>
      <c r="C7344" t="s">
        <v>14268</v>
      </c>
      <c r="D7344" t="s">
        <v>5</v>
      </c>
      <c r="E7344" t="s">
        <v>6</v>
      </c>
      <c r="F7344" t="s">
        <v>251</v>
      </c>
      <c r="G7344">
        <v>1</v>
      </c>
      <c r="H7344" s="2">
        <f>Tabelle13[[#This Row],[commits]]/Tabelle13[[#Totals],[commits]]</f>
        <v>4.6477904404246225E-6</v>
      </c>
      <c r="I7344" s="5">
        <f>Tabelle13[[#This Row],[%]]+I7343</f>
        <v>0.9920848128798716</v>
      </c>
      <c r="J7344" s="4">
        <f t="shared" si="261"/>
        <v>1.105583195135434E-4</v>
      </c>
      <c r="K7344" s="5">
        <f t="shared" si="262"/>
        <v>0.81171918186853587</v>
      </c>
    </row>
    <row r="7345" spans="1:11" x14ac:dyDescent="0.25">
      <c r="A7345" t="s">
        <v>14269</v>
      </c>
      <c r="C7345" t="s">
        <v>14270</v>
      </c>
      <c r="D7345" t="s">
        <v>5</v>
      </c>
      <c r="E7345" t="s">
        <v>6</v>
      </c>
      <c r="F7345" t="s">
        <v>251</v>
      </c>
      <c r="G7345">
        <v>1</v>
      </c>
      <c r="H7345" s="2">
        <f>Tabelle13[[#This Row],[commits]]/Tabelle13[[#Totals],[commits]]</f>
        <v>4.6477904404246225E-6</v>
      </c>
      <c r="I7345" s="5">
        <f>Tabelle13[[#This Row],[%]]+I7344</f>
        <v>0.99208946067031201</v>
      </c>
      <c r="J7345" s="4">
        <f t="shared" si="261"/>
        <v>1.105583195135434E-4</v>
      </c>
      <c r="K7345" s="5">
        <f t="shared" si="262"/>
        <v>0.81182974018804943</v>
      </c>
    </row>
    <row r="7346" spans="1:11" x14ac:dyDescent="0.25">
      <c r="A7346" t="s">
        <v>14271</v>
      </c>
      <c r="C7346" t="s">
        <v>14272</v>
      </c>
      <c r="D7346" t="s">
        <v>5</v>
      </c>
      <c r="E7346" t="s">
        <v>6</v>
      </c>
      <c r="F7346" t="s">
        <v>251</v>
      </c>
      <c r="G7346">
        <v>1</v>
      </c>
      <c r="H7346" s="2">
        <f>Tabelle13[[#This Row],[commits]]/Tabelle13[[#Totals],[commits]]</f>
        <v>4.6477904404246225E-6</v>
      </c>
      <c r="I7346" s="5">
        <f>Tabelle13[[#This Row],[%]]+I7345</f>
        <v>0.99209410846075241</v>
      </c>
      <c r="J7346" s="4">
        <f t="shared" si="261"/>
        <v>1.105583195135434E-4</v>
      </c>
      <c r="K7346" s="5">
        <f t="shared" si="262"/>
        <v>0.811940298507563</v>
      </c>
    </row>
    <row r="7347" spans="1:11" x14ac:dyDescent="0.25">
      <c r="A7347" t="s">
        <v>14273</v>
      </c>
      <c r="C7347" t="s">
        <v>14274</v>
      </c>
      <c r="D7347" t="s">
        <v>5</v>
      </c>
      <c r="E7347" t="s">
        <v>6</v>
      </c>
      <c r="F7347" t="s">
        <v>251</v>
      </c>
      <c r="G7347">
        <v>1</v>
      </c>
      <c r="H7347" s="2">
        <f>Tabelle13[[#This Row],[commits]]/Tabelle13[[#Totals],[commits]]</f>
        <v>4.6477904404246225E-6</v>
      </c>
      <c r="I7347" s="5">
        <f>Tabelle13[[#This Row],[%]]+I7346</f>
        <v>0.99209875625119281</v>
      </c>
      <c r="J7347" s="4">
        <f t="shared" si="261"/>
        <v>1.105583195135434E-4</v>
      </c>
      <c r="K7347" s="5">
        <f t="shared" si="262"/>
        <v>0.81205085682707656</v>
      </c>
    </row>
    <row r="7348" spans="1:11" x14ac:dyDescent="0.25">
      <c r="A7348" t="s">
        <v>14275</v>
      </c>
      <c r="C7348" t="s">
        <v>14276</v>
      </c>
      <c r="D7348" t="s">
        <v>309</v>
      </c>
      <c r="E7348" t="s">
        <v>6</v>
      </c>
      <c r="F7348" t="s">
        <v>251</v>
      </c>
      <c r="G7348">
        <v>1</v>
      </c>
      <c r="H7348" s="2">
        <f>Tabelle13[[#This Row],[commits]]/Tabelle13[[#Totals],[commits]]</f>
        <v>4.6477904404246225E-6</v>
      </c>
      <c r="I7348" s="5">
        <f>Tabelle13[[#This Row],[%]]+I7347</f>
        <v>0.99210340404163322</v>
      </c>
      <c r="J7348" s="4">
        <f t="shared" si="261"/>
        <v>1.105583195135434E-4</v>
      </c>
      <c r="K7348" s="5">
        <f t="shared" si="262"/>
        <v>0.81216141514659013</v>
      </c>
    </row>
    <row r="7349" spans="1:11" x14ac:dyDescent="0.25">
      <c r="A7349" t="s">
        <v>14277</v>
      </c>
      <c r="C7349" t="s">
        <v>14278</v>
      </c>
      <c r="D7349" t="s">
        <v>5</v>
      </c>
      <c r="E7349" t="s">
        <v>6</v>
      </c>
      <c r="F7349" t="s">
        <v>251</v>
      </c>
      <c r="G7349">
        <v>1</v>
      </c>
      <c r="H7349" s="2">
        <f>Tabelle13[[#This Row],[commits]]/Tabelle13[[#Totals],[commits]]</f>
        <v>4.6477904404246225E-6</v>
      </c>
      <c r="I7349" s="5">
        <f>Tabelle13[[#This Row],[%]]+I7348</f>
        <v>0.99210805183207362</v>
      </c>
      <c r="J7349" s="4">
        <f t="shared" si="261"/>
        <v>1.105583195135434E-4</v>
      </c>
      <c r="K7349" s="5">
        <f t="shared" si="262"/>
        <v>0.81227197346610369</v>
      </c>
    </row>
    <row r="7350" spans="1:11" x14ac:dyDescent="0.25">
      <c r="A7350" t="s">
        <v>14279</v>
      </c>
      <c r="C7350" t="s">
        <v>14280</v>
      </c>
      <c r="D7350" t="s">
        <v>5</v>
      </c>
      <c r="E7350" t="s">
        <v>6</v>
      </c>
      <c r="F7350" t="s">
        <v>251</v>
      </c>
      <c r="G7350">
        <v>1</v>
      </c>
      <c r="H7350" s="2">
        <f>Tabelle13[[#This Row],[commits]]/Tabelle13[[#Totals],[commits]]</f>
        <v>4.6477904404246225E-6</v>
      </c>
      <c r="I7350" s="5">
        <f>Tabelle13[[#This Row],[%]]+I7349</f>
        <v>0.99211269962251403</v>
      </c>
      <c r="J7350" s="4">
        <f t="shared" si="261"/>
        <v>1.105583195135434E-4</v>
      </c>
      <c r="K7350" s="5">
        <f t="shared" si="262"/>
        <v>0.81238253178561726</v>
      </c>
    </row>
    <row r="7351" spans="1:11" x14ac:dyDescent="0.25">
      <c r="A7351" t="s">
        <v>14281</v>
      </c>
      <c r="C7351" t="s">
        <v>14282</v>
      </c>
      <c r="D7351" t="s">
        <v>9929</v>
      </c>
      <c r="E7351" t="s">
        <v>6</v>
      </c>
      <c r="F7351" t="s">
        <v>251</v>
      </c>
      <c r="G7351">
        <v>1</v>
      </c>
      <c r="H7351" s="2">
        <f>Tabelle13[[#This Row],[commits]]/Tabelle13[[#Totals],[commits]]</f>
        <v>4.6477904404246225E-6</v>
      </c>
      <c r="I7351" s="5">
        <f>Tabelle13[[#This Row],[%]]+I7350</f>
        <v>0.99211734741295443</v>
      </c>
      <c r="J7351" s="4">
        <f t="shared" si="261"/>
        <v>1.105583195135434E-4</v>
      </c>
      <c r="K7351" s="5">
        <f t="shared" si="262"/>
        <v>0.81249309010513082</v>
      </c>
    </row>
    <row r="7352" spans="1:11" x14ac:dyDescent="0.25">
      <c r="A7352" t="s">
        <v>14283</v>
      </c>
      <c r="C7352" t="s">
        <v>14284</v>
      </c>
      <c r="D7352" t="s">
        <v>5</v>
      </c>
      <c r="E7352" t="s">
        <v>6</v>
      </c>
      <c r="F7352" t="s">
        <v>251</v>
      </c>
      <c r="G7352">
        <v>1</v>
      </c>
      <c r="H7352" s="2">
        <f>Tabelle13[[#This Row],[commits]]/Tabelle13[[#Totals],[commits]]</f>
        <v>4.6477904404246225E-6</v>
      </c>
      <c r="I7352" s="5">
        <f>Tabelle13[[#This Row],[%]]+I7351</f>
        <v>0.99212199520339484</v>
      </c>
      <c r="J7352" s="4">
        <f t="shared" si="261"/>
        <v>1.105583195135434E-4</v>
      </c>
      <c r="K7352" s="5">
        <f t="shared" si="262"/>
        <v>0.81260364842464439</v>
      </c>
    </row>
    <row r="7353" spans="1:11" x14ac:dyDescent="0.25">
      <c r="A7353" t="s">
        <v>14285</v>
      </c>
      <c r="C7353" t="s">
        <v>14286</v>
      </c>
      <c r="D7353" t="s">
        <v>5</v>
      </c>
      <c r="E7353" t="s">
        <v>6</v>
      </c>
      <c r="F7353" t="s">
        <v>251</v>
      </c>
      <c r="G7353">
        <v>1</v>
      </c>
      <c r="H7353" s="2">
        <f>Tabelle13[[#This Row],[commits]]/Tabelle13[[#Totals],[commits]]</f>
        <v>4.6477904404246225E-6</v>
      </c>
      <c r="I7353" s="5">
        <f>Tabelle13[[#This Row],[%]]+I7352</f>
        <v>0.99212664299383524</v>
      </c>
      <c r="J7353" s="4">
        <f t="shared" si="261"/>
        <v>1.105583195135434E-4</v>
      </c>
      <c r="K7353" s="5">
        <f t="shared" si="262"/>
        <v>0.81271420674415795</v>
      </c>
    </row>
    <row r="7354" spans="1:11" x14ac:dyDescent="0.25">
      <c r="A7354" t="s">
        <v>14287</v>
      </c>
      <c r="C7354" t="s">
        <v>14288</v>
      </c>
      <c r="D7354" t="s">
        <v>14289</v>
      </c>
      <c r="E7354" t="s">
        <v>6</v>
      </c>
      <c r="F7354" t="s">
        <v>251</v>
      </c>
      <c r="G7354">
        <v>1</v>
      </c>
      <c r="H7354" s="2">
        <f>Tabelle13[[#This Row],[commits]]/Tabelle13[[#Totals],[commits]]</f>
        <v>4.6477904404246225E-6</v>
      </c>
      <c r="I7354" s="5">
        <f>Tabelle13[[#This Row],[%]]+I7353</f>
        <v>0.99213129078427564</v>
      </c>
      <c r="J7354" s="4">
        <f t="shared" si="261"/>
        <v>1.105583195135434E-4</v>
      </c>
      <c r="K7354" s="5">
        <f t="shared" si="262"/>
        <v>0.81282476506367152</v>
      </c>
    </row>
    <row r="7355" spans="1:11" x14ac:dyDescent="0.25">
      <c r="A7355" t="s">
        <v>14290</v>
      </c>
      <c r="C7355" t="s">
        <v>14291</v>
      </c>
      <c r="D7355" t="s">
        <v>5</v>
      </c>
      <c r="E7355" t="s">
        <v>6</v>
      </c>
      <c r="F7355" t="s">
        <v>251</v>
      </c>
      <c r="G7355">
        <v>1</v>
      </c>
      <c r="H7355" s="2">
        <f>Tabelle13[[#This Row],[commits]]/Tabelle13[[#Totals],[commits]]</f>
        <v>4.6477904404246225E-6</v>
      </c>
      <c r="I7355" s="5">
        <f>Tabelle13[[#This Row],[%]]+I7354</f>
        <v>0.99213593857471605</v>
      </c>
      <c r="J7355" s="4">
        <f t="shared" si="261"/>
        <v>1.105583195135434E-4</v>
      </c>
      <c r="K7355" s="5">
        <f t="shared" si="262"/>
        <v>0.81293532338318508</v>
      </c>
    </row>
    <row r="7356" spans="1:11" x14ac:dyDescent="0.25">
      <c r="A7356" t="s">
        <v>14292</v>
      </c>
      <c r="C7356" t="s">
        <v>14293</v>
      </c>
      <c r="D7356" t="s">
        <v>5</v>
      </c>
      <c r="E7356" t="s">
        <v>6</v>
      </c>
      <c r="F7356" t="s">
        <v>251</v>
      </c>
      <c r="G7356">
        <v>1</v>
      </c>
      <c r="H7356" s="2">
        <f>Tabelle13[[#This Row],[commits]]/Tabelle13[[#Totals],[commits]]</f>
        <v>4.6477904404246225E-6</v>
      </c>
      <c r="I7356" s="5">
        <f>Tabelle13[[#This Row],[%]]+I7355</f>
        <v>0.99214058636515645</v>
      </c>
      <c r="J7356" s="4">
        <f t="shared" si="261"/>
        <v>1.105583195135434E-4</v>
      </c>
      <c r="K7356" s="5">
        <f t="shared" si="262"/>
        <v>0.81304588170269865</v>
      </c>
    </row>
    <row r="7357" spans="1:11" x14ac:dyDescent="0.25">
      <c r="A7357" t="s">
        <v>14294</v>
      </c>
      <c r="C7357" t="s">
        <v>14295</v>
      </c>
      <c r="D7357" t="s">
        <v>309</v>
      </c>
      <c r="E7357" t="s">
        <v>6</v>
      </c>
      <c r="F7357" t="s">
        <v>251</v>
      </c>
      <c r="G7357">
        <v>1</v>
      </c>
      <c r="H7357" s="2">
        <f>Tabelle13[[#This Row],[commits]]/Tabelle13[[#Totals],[commits]]</f>
        <v>4.6477904404246225E-6</v>
      </c>
      <c r="I7357" s="5">
        <f>Tabelle13[[#This Row],[%]]+I7356</f>
        <v>0.99214523415559686</v>
      </c>
      <c r="J7357" s="4">
        <f t="shared" si="261"/>
        <v>1.105583195135434E-4</v>
      </c>
      <c r="K7357" s="5">
        <f t="shared" si="262"/>
        <v>0.81315644002221221</v>
      </c>
    </row>
    <row r="7358" spans="1:11" x14ac:dyDescent="0.25">
      <c r="A7358" t="s">
        <v>14296</v>
      </c>
      <c r="C7358" t="s">
        <v>14297</v>
      </c>
      <c r="D7358" t="s">
        <v>5</v>
      </c>
      <c r="E7358" t="s">
        <v>6</v>
      </c>
      <c r="F7358" t="s">
        <v>251</v>
      </c>
      <c r="G7358">
        <v>1</v>
      </c>
      <c r="H7358" s="2">
        <f>Tabelle13[[#This Row],[commits]]/Tabelle13[[#Totals],[commits]]</f>
        <v>4.6477904404246225E-6</v>
      </c>
      <c r="I7358" s="5">
        <f>Tabelle13[[#This Row],[%]]+I7357</f>
        <v>0.99214988194603726</v>
      </c>
      <c r="J7358" s="4">
        <f t="shared" si="261"/>
        <v>1.105583195135434E-4</v>
      </c>
      <c r="K7358" s="5">
        <f t="shared" si="262"/>
        <v>0.81326699834172578</v>
      </c>
    </row>
    <row r="7359" spans="1:11" x14ac:dyDescent="0.25">
      <c r="A7359" t="s">
        <v>14298</v>
      </c>
      <c r="C7359" t="s">
        <v>14299</v>
      </c>
      <c r="D7359" t="s">
        <v>309</v>
      </c>
      <c r="E7359" t="s">
        <v>6</v>
      </c>
      <c r="F7359" t="s">
        <v>251</v>
      </c>
      <c r="G7359">
        <v>1</v>
      </c>
      <c r="H7359" s="2">
        <f>Tabelle13[[#This Row],[commits]]/Tabelle13[[#Totals],[commits]]</f>
        <v>4.6477904404246225E-6</v>
      </c>
      <c r="I7359" s="5">
        <f>Tabelle13[[#This Row],[%]]+I7358</f>
        <v>0.99215452973647766</v>
      </c>
      <c r="J7359" s="4">
        <f t="shared" si="261"/>
        <v>1.105583195135434E-4</v>
      </c>
      <c r="K7359" s="5">
        <f t="shared" si="262"/>
        <v>0.81337755666123934</v>
      </c>
    </row>
    <row r="7360" spans="1:11" x14ac:dyDescent="0.25">
      <c r="A7360" t="s">
        <v>14300</v>
      </c>
      <c r="C7360" t="s">
        <v>14301</v>
      </c>
      <c r="D7360" t="s">
        <v>5</v>
      </c>
      <c r="E7360" t="s">
        <v>6</v>
      </c>
      <c r="F7360" t="s">
        <v>251</v>
      </c>
      <c r="G7360">
        <v>1</v>
      </c>
      <c r="H7360" s="2">
        <f>Tabelle13[[#This Row],[commits]]/Tabelle13[[#Totals],[commits]]</f>
        <v>4.6477904404246225E-6</v>
      </c>
      <c r="I7360" s="5">
        <f>Tabelle13[[#This Row],[%]]+I7359</f>
        <v>0.99215917752691807</v>
      </c>
      <c r="J7360" s="4">
        <f t="shared" si="261"/>
        <v>1.105583195135434E-4</v>
      </c>
      <c r="K7360" s="5">
        <f t="shared" si="262"/>
        <v>0.81348811498075291</v>
      </c>
    </row>
    <row r="7361" spans="1:11" x14ac:dyDescent="0.25">
      <c r="A7361" t="s">
        <v>14302</v>
      </c>
      <c r="C7361" t="s">
        <v>14303</v>
      </c>
      <c r="D7361" t="s">
        <v>5</v>
      </c>
      <c r="E7361" t="s">
        <v>6</v>
      </c>
      <c r="F7361" t="s">
        <v>251</v>
      </c>
      <c r="G7361">
        <v>1</v>
      </c>
      <c r="H7361" s="2">
        <f>Tabelle13[[#This Row],[commits]]/Tabelle13[[#Totals],[commits]]</f>
        <v>4.6477904404246225E-6</v>
      </c>
      <c r="I7361" s="5">
        <f>Tabelle13[[#This Row],[%]]+I7360</f>
        <v>0.99216382531735847</v>
      </c>
      <c r="J7361" s="4">
        <f t="shared" si="261"/>
        <v>1.105583195135434E-4</v>
      </c>
      <c r="K7361" s="5">
        <f t="shared" si="262"/>
        <v>0.81359867330026647</v>
      </c>
    </row>
    <row r="7362" spans="1:11" x14ac:dyDescent="0.25">
      <c r="A7362" t="s">
        <v>14304</v>
      </c>
      <c r="C7362" t="s">
        <v>14305</v>
      </c>
      <c r="D7362" t="s">
        <v>5</v>
      </c>
      <c r="E7362" t="s">
        <v>6</v>
      </c>
      <c r="F7362" t="s">
        <v>251</v>
      </c>
      <c r="G7362">
        <v>1</v>
      </c>
      <c r="H7362" s="2">
        <f>Tabelle13[[#This Row],[commits]]/Tabelle13[[#Totals],[commits]]</f>
        <v>4.6477904404246225E-6</v>
      </c>
      <c r="I7362" s="5">
        <f>Tabelle13[[#This Row],[%]]+I7361</f>
        <v>0.99216847310779888</v>
      </c>
      <c r="J7362" s="4">
        <f t="shared" si="261"/>
        <v>1.105583195135434E-4</v>
      </c>
      <c r="K7362" s="5">
        <f t="shared" si="262"/>
        <v>0.81370923161978004</v>
      </c>
    </row>
    <row r="7363" spans="1:11" x14ac:dyDescent="0.25">
      <c r="A7363" t="s">
        <v>14306</v>
      </c>
      <c r="C7363" t="s">
        <v>14307</v>
      </c>
      <c r="D7363" t="s">
        <v>14308</v>
      </c>
      <c r="E7363" t="s">
        <v>6</v>
      </c>
      <c r="F7363" t="s">
        <v>251</v>
      </c>
      <c r="G7363">
        <v>1</v>
      </c>
      <c r="H7363" s="2">
        <f>Tabelle13[[#This Row],[commits]]/Tabelle13[[#Totals],[commits]]</f>
        <v>4.6477904404246225E-6</v>
      </c>
      <c r="I7363" s="5">
        <f>Tabelle13[[#This Row],[%]]+I7362</f>
        <v>0.99217312089823928</v>
      </c>
      <c r="J7363" s="4">
        <f t="shared" ref="J7363:J7426" si="263">1/9045</f>
        <v>1.105583195135434E-4</v>
      </c>
      <c r="K7363" s="5">
        <f t="shared" si="262"/>
        <v>0.8138197899392936</v>
      </c>
    </row>
    <row r="7364" spans="1:11" x14ac:dyDescent="0.25">
      <c r="A7364" t="s">
        <v>14309</v>
      </c>
      <c r="C7364" t="s">
        <v>14310</v>
      </c>
      <c r="D7364" t="s">
        <v>5</v>
      </c>
      <c r="E7364" t="s">
        <v>6</v>
      </c>
      <c r="F7364" t="s">
        <v>251</v>
      </c>
      <c r="G7364">
        <v>1</v>
      </c>
      <c r="H7364" s="2">
        <f>Tabelle13[[#This Row],[commits]]/Tabelle13[[#Totals],[commits]]</f>
        <v>4.6477904404246225E-6</v>
      </c>
      <c r="I7364" s="5">
        <f>Tabelle13[[#This Row],[%]]+I7363</f>
        <v>0.99217776868867968</v>
      </c>
      <c r="J7364" s="4">
        <f t="shared" si="263"/>
        <v>1.105583195135434E-4</v>
      </c>
      <c r="K7364" s="5">
        <f t="shared" si="262"/>
        <v>0.81393034825880717</v>
      </c>
    </row>
    <row r="7365" spans="1:11" x14ac:dyDescent="0.25">
      <c r="A7365" t="s">
        <v>14311</v>
      </c>
      <c r="C7365" t="s">
        <v>14312</v>
      </c>
      <c r="D7365" t="s">
        <v>5</v>
      </c>
      <c r="E7365" t="s">
        <v>6</v>
      </c>
      <c r="F7365" t="s">
        <v>251</v>
      </c>
      <c r="G7365">
        <v>1</v>
      </c>
      <c r="H7365" s="2">
        <f>Tabelle13[[#This Row],[commits]]/Tabelle13[[#Totals],[commits]]</f>
        <v>4.6477904404246225E-6</v>
      </c>
      <c r="I7365" s="5">
        <f>Tabelle13[[#This Row],[%]]+I7364</f>
        <v>0.99218241647912009</v>
      </c>
      <c r="J7365" s="4">
        <f t="shared" si="263"/>
        <v>1.105583195135434E-4</v>
      </c>
      <c r="K7365" s="5">
        <f t="shared" si="262"/>
        <v>0.81404090657832073</v>
      </c>
    </row>
    <row r="7366" spans="1:11" x14ac:dyDescent="0.25">
      <c r="A7366" t="s">
        <v>14313</v>
      </c>
      <c r="C7366" t="s">
        <v>14314</v>
      </c>
      <c r="D7366" t="s">
        <v>5</v>
      </c>
      <c r="E7366" t="s">
        <v>6</v>
      </c>
      <c r="F7366" t="s">
        <v>251</v>
      </c>
      <c r="G7366">
        <v>1</v>
      </c>
      <c r="H7366" s="2">
        <f>Tabelle13[[#This Row],[commits]]/Tabelle13[[#Totals],[commits]]</f>
        <v>4.6477904404246225E-6</v>
      </c>
      <c r="I7366" s="5">
        <f>Tabelle13[[#This Row],[%]]+I7365</f>
        <v>0.99218706426956049</v>
      </c>
      <c r="J7366" s="4">
        <f t="shared" si="263"/>
        <v>1.105583195135434E-4</v>
      </c>
      <c r="K7366" s="5">
        <f t="shared" ref="K7366:K7429" si="264">J7366+K7365</f>
        <v>0.8141514648978343</v>
      </c>
    </row>
    <row r="7367" spans="1:11" x14ac:dyDescent="0.25">
      <c r="A7367" t="s">
        <v>14315</v>
      </c>
      <c r="C7367" t="s">
        <v>14316</v>
      </c>
      <c r="D7367" t="s">
        <v>5</v>
      </c>
      <c r="E7367" t="s">
        <v>6</v>
      </c>
      <c r="F7367" t="s">
        <v>251</v>
      </c>
      <c r="G7367">
        <v>1</v>
      </c>
      <c r="H7367" s="2">
        <f>Tabelle13[[#This Row],[commits]]/Tabelle13[[#Totals],[commits]]</f>
        <v>4.6477904404246225E-6</v>
      </c>
      <c r="I7367" s="5">
        <f>Tabelle13[[#This Row],[%]]+I7366</f>
        <v>0.9921917120600009</v>
      </c>
      <c r="J7367" s="4">
        <f t="shared" si="263"/>
        <v>1.105583195135434E-4</v>
      </c>
      <c r="K7367" s="5">
        <f t="shared" si="264"/>
        <v>0.81426202321734786</v>
      </c>
    </row>
    <row r="7368" spans="1:11" x14ac:dyDescent="0.25">
      <c r="A7368" t="s">
        <v>14317</v>
      </c>
      <c r="C7368" t="s">
        <v>14318</v>
      </c>
      <c r="D7368" t="s">
        <v>5</v>
      </c>
      <c r="E7368" t="s">
        <v>6</v>
      </c>
      <c r="F7368" t="s">
        <v>251</v>
      </c>
      <c r="G7368">
        <v>1</v>
      </c>
      <c r="H7368" s="2">
        <f>Tabelle13[[#This Row],[commits]]/Tabelle13[[#Totals],[commits]]</f>
        <v>4.6477904404246225E-6</v>
      </c>
      <c r="I7368" s="5">
        <f>Tabelle13[[#This Row],[%]]+I7367</f>
        <v>0.9921963598504413</v>
      </c>
      <c r="J7368" s="4">
        <f t="shared" si="263"/>
        <v>1.105583195135434E-4</v>
      </c>
      <c r="K7368" s="5">
        <f t="shared" si="264"/>
        <v>0.81437258153686143</v>
      </c>
    </row>
    <row r="7369" spans="1:11" x14ac:dyDescent="0.25">
      <c r="A7369" t="s">
        <v>14319</v>
      </c>
      <c r="C7369" t="s">
        <v>14320</v>
      </c>
      <c r="D7369" t="s">
        <v>309</v>
      </c>
      <c r="E7369" t="s">
        <v>6</v>
      </c>
      <c r="F7369" t="s">
        <v>251</v>
      </c>
      <c r="G7369">
        <v>1</v>
      </c>
      <c r="H7369" s="2">
        <f>Tabelle13[[#This Row],[commits]]/Tabelle13[[#Totals],[commits]]</f>
        <v>4.6477904404246225E-6</v>
      </c>
      <c r="I7369" s="5">
        <f>Tabelle13[[#This Row],[%]]+I7368</f>
        <v>0.9922010076408817</v>
      </c>
      <c r="J7369" s="4">
        <f t="shared" si="263"/>
        <v>1.105583195135434E-4</v>
      </c>
      <c r="K7369" s="5">
        <f t="shared" si="264"/>
        <v>0.81448313985637499</v>
      </c>
    </row>
    <row r="7370" spans="1:11" x14ac:dyDescent="0.25">
      <c r="A7370" t="s">
        <v>14321</v>
      </c>
      <c r="C7370" t="s">
        <v>14322</v>
      </c>
      <c r="D7370" t="s">
        <v>14323</v>
      </c>
      <c r="E7370" t="s">
        <v>6</v>
      </c>
      <c r="F7370" t="s">
        <v>251</v>
      </c>
      <c r="G7370">
        <v>1</v>
      </c>
      <c r="H7370" s="2">
        <f>Tabelle13[[#This Row],[commits]]/Tabelle13[[#Totals],[commits]]</f>
        <v>4.6477904404246225E-6</v>
      </c>
      <c r="I7370" s="5">
        <f>Tabelle13[[#This Row],[%]]+I7369</f>
        <v>0.99220565543132211</v>
      </c>
      <c r="J7370" s="4">
        <f t="shared" si="263"/>
        <v>1.105583195135434E-4</v>
      </c>
      <c r="K7370" s="5">
        <f t="shared" si="264"/>
        <v>0.81459369817588856</v>
      </c>
    </row>
    <row r="7371" spans="1:11" x14ac:dyDescent="0.25">
      <c r="A7371" t="s">
        <v>14324</v>
      </c>
      <c r="C7371" t="s">
        <v>219</v>
      </c>
      <c r="D7371" t="s">
        <v>5</v>
      </c>
      <c r="E7371" t="s">
        <v>6</v>
      </c>
      <c r="F7371" t="s">
        <v>251</v>
      </c>
      <c r="G7371">
        <v>1</v>
      </c>
      <c r="H7371" s="2">
        <f>Tabelle13[[#This Row],[commits]]/Tabelle13[[#Totals],[commits]]</f>
        <v>4.6477904404246225E-6</v>
      </c>
      <c r="I7371" s="5">
        <f>Tabelle13[[#This Row],[%]]+I7370</f>
        <v>0.99221030322176251</v>
      </c>
      <c r="J7371" s="4">
        <f t="shared" si="263"/>
        <v>1.105583195135434E-4</v>
      </c>
      <c r="K7371" s="5">
        <f t="shared" si="264"/>
        <v>0.81470425649540212</v>
      </c>
    </row>
    <row r="7372" spans="1:11" x14ac:dyDescent="0.25">
      <c r="A7372" t="s">
        <v>14325</v>
      </c>
      <c r="C7372" t="s">
        <v>14326</v>
      </c>
      <c r="D7372" t="s">
        <v>5</v>
      </c>
      <c r="E7372" t="s">
        <v>6</v>
      </c>
      <c r="F7372" t="s">
        <v>251</v>
      </c>
      <c r="G7372">
        <v>1</v>
      </c>
      <c r="H7372" s="2">
        <f>Tabelle13[[#This Row],[commits]]/Tabelle13[[#Totals],[commits]]</f>
        <v>4.6477904404246225E-6</v>
      </c>
      <c r="I7372" s="5">
        <f>Tabelle13[[#This Row],[%]]+I7371</f>
        <v>0.99221495101220292</v>
      </c>
      <c r="J7372" s="4">
        <f t="shared" si="263"/>
        <v>1.105583195135434E-4</v>
      </c>
      <c r="K7372" s="5">
        <f t="shared" si="264"/>
        <v>0.81481481481491569</v>
      </c>
    </row>
    <row r="7373" spans="1:11" x14ac:dyDescent="0.25">
      <c r="A7373" t="s">
        <v>14327</v>
      </c>
      <c r="C7373" t="s">
        <v>14328</v>
      </c>
      <c r="D7373" t="s">
        <v>5</v>
      </c>
      <c r="E7373" t="s">
        <v>6</v>
      </c>
      <c r="F7373" t="s">
        <v>251</v>
      </c>
      <c r="G7373">
        <v>1</v>
      </c>
      <c r="H7373" s="2">
        <f>Tabelle13[[#This Row],[commits]]/Tabelle13[[#Totals],[commits]]</f>
        <v>4.6477904404246225E-6</v>
      </c>
      <c r="I7373" s="5">
        <f>Tabelle13[[#This Row],[%]]+I7372</f>
        <v>0.99221959880264332</v>
      </c>
      <c r="J7373" s="4">
        <f t="shared" si="263"/>
        <v>1.105583195135434E-4</v>
      </c>
      <c r="K7373" s="5">
        <f t="shared" si="264"/>
        <v>0.81492537313442925</v>
      </c>
    </row>
    <row r="7374" spans="1:11" x14ac:dyDescent="0.25">
      <c r="A7374" t="s">
        <v>14329</v>
      </c>
      <c r="C7374" t="s">
        <v>14330</v>
      </c>
      <c r="D7374" t="s">
        <v>309</v>
      </c>
      <c r="E7374" t="s">
        <v>6</v>
      </c>
      <c r="F7374" t="s">
        <v>251</v>
      </c>
      <c r="G7374">
        <v>1</v>
      </c>
      <c r="H7374" s="2">
        <f>Tabelle13[[#This Row],[commits]]/Tabelle13[[#Totals],[commits]]</f>
        <v>4.6477904404246225E-6</v>
      </c>
      <c r="I7374" s="5">
        <f>Tabelle13[[#This Row],[%]]+I7373</f>
        <v>0.99222424659308373</v>
      </c>
      <c r="J7374" s="4">
        <f t="shared" si="263"/>
        <v>1.105583195135434E-4</v>
      </c>
      <c r="K7374" s="5">
        <f t="shared" si="264"/>
        <v>0.81503593145394282</v>
      </c>
    </row>
    <row r="7375" spans="1:11" x14ac:dyDescent="0.25">
      <c r="A7375" t="s">
        <v>14331</v>
      </c>
      <c r="C7375" t="s">
        <v>14332</v>
      </c>
      <c r="D7375" t="s">
        <v>5</v>
      </c>
      <c r="E7375" t="s">
        <v>6</v>
      </c>
      <c r="F7375" t="s">
        <v>251</v>
      </c>
      <c r="G7375">
        <v>1</v>
      </c>
      <c r="H7375" s="2">
        <f>Tabelle13[[#This Row],[commits]]/Tabelle13[[#Totals],[commits]]</f>
        <v>4.6477904404246225E-6</v>
      </c>
      <c r="I7375" s="5">
        <f>Tabelle13[[#This Row],[%]]+I7374</f>
        <v>0.99222889438352413</v>
      </c>
      <c r="J7375" s="4">
        <f t="shared" si="263"/>
        <v>1.105583195135434E-4</v>
      </c>
      <c r="K7375" s="5">
        <f t="shared" si="264"/>
        <v>0.81514648977345638</v>
      </c>
    </row>
    <row r="7376" spans="1:11" x14ac:dyDescent="0.25">
      <c r="A7376" t="s">
        <v>14333</v>
      </c>
      <c r="C7376" t="s">
        <v>14334</v>
      </c>
      <c r="D7376" t="s">
        <v>5</v>
      </c>
      <c r="E7376" t="s">
        <v>6</v>
      </c>
      <c r="F7376" t="s">
        <v>251</v>
      </c>
      <c r="G7376">
        <v>1</v>
      </c>
      <c r="H7376" s="2">
        <f>Tabelle13[[#This Row],[commits]]/Tabelle13[[#Totals],[commits]]</f>
        <v>4.6477904404246225E-6</v>
      </c>
      <c r="I7376" s="5">
        <f>Tabelle13[[#This Row],[%]]+I7375</f>
        <v>0.99223354217396453</v>
      </c>
      <c r="J7376" s="4">
        <f t="shared" si="263"/>
        <v>1.105583195135434E-4</v>
      </c>
      <c r="K7376" s="5">
        <f t="shared" si="264"/>
        <v>0.81525704809296995</v>
      </c>
    </row>
    <row r="7377" spans="1:11" x14ac:dyDescent="0.25">
      <c r="A7377" t="s">
        <v>14335</v>
      </c>
      <c r="C7377" t="s">
        <v>14336</v>
      </c>
      <c r="D7377" t="s">
        <v>11836</v>
      </c>
      <c r="E7377" t="s">
        <v>6</v>
      </c>
      <c r="F7377" t="s">
        <v>251</v>
      </c>
      <c r="G7377">
        <v>1</v>
      </c>
      <c r="H7377" s="2">
        <f>Tabelle13[[#This Row],[commits]]/Tabelle13[[#Totals],[commits]]</f>
        <v>4.6477904404246225E-6</v>
      </c>
      <c r="I7377" s="5">
        <f>Tabelle13[[#This Row],[%]]+I7376</f>
        <v>0.99223818996440494</v>
      </c>
      <c r="J7377" s="4">
        <f t="shared" si="263"/>
        <v>1.105583195135434E-4</v>
      </c>
      <c r="K7377" s="5">
        <f t="shared" si="264"/>
        <v>0.81536760641248351</v>
      </c>
    </row>
    <row r="7378" spans="1:11" x14ac:dyDescent="0.25">
      <c r="A7378" t="s">
        <v>14337</v>
      </c>
      <c r="C7378" t="s">
        <v>14338</v>
      </c>
      <c r="D7378" t="s">
        <v>309</v>
      </c>
      <c r="E7378" t="s">
        <v>6</v>
      </c>
      <c r="F7378" t="s">
        <v>251</v>
      </c>
      <c r="G7378">
        <v>1</v>
      </c>
      <c r="H7378" s="2">
        <f>Tabelle13[[#This Row],[commits]]/Tabelle13[[#Totals],[commits]]</f>
        <v>4.6477904404246225E-6</v>
      </c>
      <c r="I7378" s="5">
        <f>Tabelle13[[#This Row],[%]]+I7377</f>
        <v>0.99224283775484534</v>
      </c>
      <c r="J7378" s="4">
        <f t="shared" si="263"/>
        <v>1.105583195135434E-4</v>
      </c>
      <c r="K7378" s="5">
        <f t="shared" si="264"/>
        <v>0.81547816473199708</v>
      </c>
    </row>
    <row r="7379" spans="1:11" x14ac:dyDescent="0.25">
      <c r="A7379" t="s">
        <v>14339</v>
      </c>
      <c r="C7379" t="s">
        <v>14340</v>
      </c>
      <c r="D7379" t="s">
        <v>5</v>
      </c>
      <c r="E7379" t="s">
        <v>6</v>
      </c>
      <c r="F7379" t="s">
        <v>251</v>
      </c>
      <c r="G7379">
        <v>1</v>
      </c>
      <c r="H7379" s="2">
        <f>Tabelle13[[#This Row],[commits]]/Tabelle13[[#Totals],[commits]]</f>
        <v>4.6477904404246225E-6</v>
      </c>
      <c r="I7379" s="5">
        <f>Tabelle13[[#This Row],[%]]+I7378</f>
        <v>0.99224748554528575</v>
      </c>
      <c r="J7379" s="4">
        <f t="shared" si="263"/>
        <v>1.105583195135434E-4</v>
      </c>
      <c r="K7379" s="5">
        <f t="shared" si="264"/>
        <v>0.81558872305151064</v>
      </c>
    </row>
    <row r="7380" spans="1:11" x14ac:dyDescent="0.25">
      <c r="A7380" t="s">
        <v>14341</v>
      </c>
      <c r="C7380" t="s">
        <v>14342</v>
      </c>
      <c r="D7380" t="s">
        <v>5</v>
      </c>
      <c r="E7380" t="s">
        <v>6</v>
      </c>
      <c r="F7380" t="s">
        <v>251</v>
      </c>
      <c r="G7380">
        <v>1</v>
      </c>
      <c r="H7380" s="2">
        <f>Tabelle13[[#This Row],[commits]]/Tabelle13[[#Totals],[commits]]</f>
        <v>4.6477904404246225E-6</v>
      </c>
      <c r="I7380" s="5">
        <f>Tabelle13[[#This Row],[%]]+I7379</f>
        <v>0.99225213333572615</v>
      </c>
      <c r="J7380" s="4">
        <f t="shared" si="263"/>
        <v>1.105583195135434E-4</v>
      </c>
      <c r="K7380" s="5">
        <f t="shared" si="264"/>
        <v>0.81569928137102421</v>
      </c>
    </row>
    <row r="7381" spans="1:11" x14ac:dyDescent="0.25">
      <c r="A7381" t="s">
        <v>14343</v>
      </c>
      <c r="C7381" t="s">
        <v>14344</v>
      </c>
      <c r="D7381" t="s">
        <v>5</v>
      </c>
      <c r="E7381" t="s">
        <v>6</v>
      </c>
      <c r="F7381" t="s">
        <v>251</v>
      </c>
      <c r="G7381">
        <v>1</v>
      </c>
      <c r="H7381" s="2">
        <f>Tabelle13[[#This Row],[commits]]/Tabelle13[[#Totals],[commits]]</f>
        <v>4.6477904404246225E-6</v>
      </c>
      <c r="I7381" s="5">
        <f>Tabelle13[[#This Row],[%]]+I7380</f>
        <v>0.99225678112616655</v>
      </c>
      <c r="J7381" s="4">
        <f t="shared" si="263"/>
        <v>1.105583195135434E-4</v>
      </c>
      <c r="K7381" s="5">
        <f t="shared" si="264"/>
        <v>0.81580983969053777</v>
      </c>
    </row>
    <row r="7382" spans="1:11" x14ac:dyDescent="0.25">
      <c r="A7382" t="s">
        <v>14345</v>
      </c>
      <c r="C7382" t="s">
        <v>14346</v>
      </c>
      <c r="D7382" t="s">
        <v>5</v>
      </c>
      <c r="E7382" t="s">
        <v>6</v>
      </c>
      <c r="F7382" t="s">
        <v>251</v>
      </c>
      <c r="G7382">
        <v>1</v>
      </c>
      <c r="H7382" s="2">
        <f>Tabelle13[[#This Row],[commits]]/Tabelle13[[#Totals],[commits]]</f>
        <v>4.6477904404246225E-6</v>
      </c>
      <c r="I7382" s="5">
        <f>Tabelle13[[#This Row],[%]]+I7381</f>
        <v>0.99226142891660696</v>
      </c>
      <c r="J7382" s="4">
        <f t="shared" si="263"/>
        <v>1.105583195135434E-4</v>
      </c>
      <c r="K7382" s="5">
        <f t="shared" si="264"/>
        <v>0.81592039801005134</v>
      </c>
    </row>
    <row r="7383" spans="1:11" x14ac:dyDescent="0.25">
      <c r="A7383" t="s">
        <v>14347</v>
      </c>
      <c r="C7383" t="s">
        <v>14348</v>
      </c>
      <c r="D7383" t="s">
        <v>14349</v>
      </c>
      <c r="E7383" t="s">
        <v>6</v>
      </c>
      <c r="F7383" t="s">
        <v>251</v>
      </c>
      <c r="G7383">
        <v>1</v>
      </c>
      <c r="H7383" s="2">
        <f>Tabelle13[[#This Row],[commits]]/Tabelle13[[#Totals],[commits]]</f>
        <v>4.6477904404246225E-6</v>
      </c>
      <c r="I7383" s="5">
        <f>Tabelle13[[#This Row],[%]]+I7382</f>
        <v>0.99226607670704736</v>
      </c>
      <c r="J7383" s="4">
        <f t="shared" si="263"/>
        <v>1.105583195135434E-4</v>
      </c>
      <c r="K7383" s="5">
        <f t="shared" si="264"/>
        <v>0.8160309563295649</v>
      </c>
    </row>
    <row r="7384" spans="1:11" x14ac:dyDescent="0.25">
      <c r="A7384" t="s">
        <v>14350</v>
      </c>
      <c r="C7384" t="s">
        <v>14351</v>
      </c>
      <c r="D7384" t="s">
        <v>5</v>
      </c>
      <c r="E7384" t="s">
        <v>6</v>
      </c>
      <c r="F7384" t="s">
        <v>251</v>
      </c>
      <c r="G7384">
        <v>1</v>
      </c>
      <c r="H7384" s="2">
        <f>Tabelle13[[#This Row],[commits]]/Tabelle13[[#Totals],[commits]]</f>
        <v>4.6477904404246225E-6</v>
      </c>
      <c r="I7384" s="5">
        <f>Tabelle13[[#This Row],[%]]+I7383</f>
        <v>0.99227072449748777</v>
      </c>
      <c r="J7384" s="4">
        <f t="shared" si="263"/>
        <v>1.105583195135434E-4</v>
      </c>
      <c r="K7384" s="5">
        <f t="shared" si="264"/>
        <v>0.81614151464907847</v>
      </c>
    </row>
    <row r="7385" spans="1:11" x14ac:dyDescent="0.25">
      <c r="A7385" t="s">
        <v>14352</v>
      </c>
      <c r="C7385" t="s">
        <v>14353</v>
      </c>
      <c r="D7385" t="s">
        <v>14349</v>
      </c>
      <c r="E7385" t="s">
        <v>6</v>
      </c>
      <c r="F7385" t="s">
        <v>251</v>
      </c>
      <c r="G7385">
        <v>1</v>
      </c>
      <c r="H7385" s="2">
        <f>Tabelle13[[#This Row],[commits]]/Tabelle13[[#Totals],[commits]]</f>
        <v>4.6477904404246225E-6</v>
      </c>
      <c r="I7385" s="5">
        <f>Tabelle13[[#This Row],[%]]+I7384</f>
        <v>0.99227537228792817</v>
      </c>
      <c r="J7385" s="4">
        <f t="shared" si="263"/>
        <v>1.105583195135434E-4</v>
      </c>
      <c r="K7385" s="5">
        <f t="shared" si="264"/>
        <v>0.81625207296859204</v>
      </c>
    </row>
    <row r="7386" spans="1:11" x14ac:dyDescent="0.25">
      <c r="A7386" t="s">
        <v>14354</v>
      </c>
      <c r="C7386" t="s">
        <v>14355</v>
      </c>
      <c r="D7386" t="s">
        <v>5</v>
      </c>
      <c r="E7386" t="s">
        <v>6</v>
      </c>
      <c r="F7386" t="s">
        <v>251</v>
      </c>
      <c r="G7386">
        <v>1</v>
      </c>
      <c r="H7386" s="2">
        <f>Tabelle13[[#This Row],[commits]]/Tabelle13[[#Totals],[commits]]</f>
        <v>4.6477904404246225E-6</v>
      </c>
      <c r="I7386" s="5">
        <f>Tabelle13[[#This Row],[%]]+I7385</f>
        <v>0.99228002007836857</v>
      </c>
      <c r="J7386" s="4">
        <f t="shared" si="263"/>
        <v>1.105583195135434E-4</v>
      </c>
      <c r="K7386" s="5">
        <f t="shared" si="264"/>
        <v>0.8163626312881056</v>
      </c>
    </row>
    <row r="7387" spans="1:11" x14ac:dyDescent="0.25">
      <c r="A7387" t="s">
        <v>14356</v>
      </c>
      <c r="C7387" t="s">
        <v>14357</v>
      </c>
      <c r="D7387" t="s">
        <v>309</v>
      </c>
      <c r="E7387" t="s">
        <v>6</v>
      </c>
      <c r="F7387" t="s">
        <v>251</v>
      </c>
      <c r="G7387">
        <v>1</v>
      </c>
      <c r="H7387" s="2">
        <f>Tabelle13[[#This Row],[commits]]/Tabelle13[[#Totals],[commits]]</f>
        <v>4.6477904404246225E-6</v>
      </c>
      <c r="I7387" s="5">
        <f>Tabelle13[[#This Row],[%]]+I7386</f>
        <v>0.99228466786880898</v>
      </c>
      <c r="J7387" s="4">
        <f t="shared" si="263"/>
        <v>1.105583195135434E-4</v>
      </c>
      <c r="K7387" s="5">
        <f t="shared" si="264"/>
        <v>0.81647318960761917</v>
      </c>
    </row>
    <row r="7388" spans="1:11" x14ac:dyDescent="0.25">
      <c r="A7388" t="s">
        <v>14358</v>
      </c>
      <c r="C7388" t="s">
        <v>14359</v>
      </c>
      <c r="D7388" t="s">
        <v>5</v>
      </c>
      <c r="E7388" t="s">
        <v>6</v>
      </c>
      <c r="F7388" t="s">
        <v>251</v>
      </c>
      <c r="G7388">
        <v>1</v>
      </c>
      <c r="H7388" s="2">
        <f>Tabelle13[[#This Row],[commits]]/Tabelle13[[#Totals],[commits]]</f>
        <v>4.6477904404246225E-6</v>
      </c>
      <c r="I7388" s="5">
        <f>Tabelle13[[#This Row],[%]]+I7387</f>
        <v>0.99228931565924938</v>
      </c>
      <c r="J7388" s="4">
        <f t="shared" si="263"/>
        <v>1.105583195135434E-4</v>
      </c>
      <c r="K7388" s="5">
        <f t="shared" si="264"/>
        <v>0.81658374792713273</v>
      </c>
    </row>
    <row r="7389" spans="1:11" x14ac:dyDescent="0.25">
      <c r="A7389" t="s">
        <v>14360</v>
      </c>
      <c r="C7389" t="s">
        <v>14361</v>
      </c>
      <c r="D7389" t="s">
        <v>5</v>
      </c>
      <c r="E7389" t="s">
        <v>6</v>
      </c>
      <c r="F7389" t="s">
        <v>251</v>
      </c>
      <c r="G7389">
        <v>1</v>
      </c>
      <c r="H7389" s="2">
        <f>Tabelle13[[#This Row],[commits]]/Tabelle13[[#Totals],[commits]]</f>
        <v>4.6477904404246225E-6</v>
      </c>
      <c r="I7389" s="5">
        <f>Tabelle13[[#This Row],[%]]+I7388</f>
        <v>0.99229396344968979</v>
      </c>
      <c r="J7389" s="4">
        <f t="shared" si="263"/>
        <v>1.105583195135434E-4</v>
      </c>
      <c r="K7389" s="5">
        <f t="shared" si="264"/>
        <v>0.8166943062466463</v>
      </c>
    </row>
    <row r="7390" spans="1:11" x14ac:dyDescent="0.25">
      <c r="A7390" t="s">
        <v>14362</v>
      </c>
      <c r="C7390" t="s">
        <v>14363</v>
      </c>
      <c r="D7390" t="s">
        <v>5</v>
      </c>
      <c r="E7390" t="s">
        <v>6</v>
      </c>
      <c r="F7390" t="s">
        <v>251</v>
      </c>
      <c r="G7390">
        <v>1</v>
      </c>
      <c r="H7390" s="2">
        <f>Tabelle13[[#This Row],[commits]]/Tabelle13[[#Totals],[commits]]</f>
        <v>4.6477904404246225E-6</v>
      </c>
      <c r="I7390" s="5">
        <f>Tabelle13[[#This Row],[%]]+I7389</f>
        <v>0.99229861124013019</v>
      </c>
      <c r="J7390" s="4">
        <f t="shared" si="263"/>
        <v>1.105583195135434E-4</v>
      </c>
      <c r="K7390" s="5">
        <f t="shared" si="264"/>
        <v>0.81680486456615986</v>
      </c>
    </row>
    <row r="7391" spans="1:11" x14ac:dyDescent="0.25">
      <c r="A7391" t="s">
        <v>14364</v>
      </c>
      <c r="C7391" t="s">
        <v>14365</v>
      </c>
      <c r="D7391" t="s">
        <v>5</v>
      </c>
      <c r="E7391" t="s">
        <v>6</v>
      </c>
      <c r="F7391" t="s">
        <v>251</v>
      </c>
      <c r="G7391">
        <v>1</v>
      </c>
      <c r="H7391" s="2">
        <f>Tabelle13[[#This Row],[commits]]/Tabelle13[[#Totals],[commits]]</f>
        <v>4.6477904404246225E-6</v>
      </c>
      <c r="I7391" s="5">
        <f>Tabelle13[[#This Row],[%]]+I7390</f>
        <v>0.99230325903057059</v>
      </c>
      <c r="J7391" s="4">
        <f t="shared" si="263"/>
        <v>1.105583195135434E-4</v>
      </c>
      <c r="K7391" s="5">
        <f t="shared" si="264"/>
        <v>0.81691542288567343</v>
      </c>
    </row>
    <row r="7392" spans="1:11" x14ac:dyDescent="0.25">
      <c r="A7392" t="s">
        <v>14366</v>
      </c>
      <c r="C7392" t="s">
        <v>14367</v>
      </c>
      <c r="D7392" t="s">
        <v>5</v>
      </c>
      <c r="E7392" t="s">
        <v>6</v>
      </c>
      <c r="F7392" t="s">
        <v>251</v>
      </c>
      <c r="G7392">
        <v>1</v>
      </c>
      <c r="H7392" s="2">
        <f>Tabelle13[[#This Row],[commits]]/Tabelle13[[#Totals],[commits]]</f>
        <v>4.6477904404246225E-6</v>
      </c>
      <c r="I7392" s="5">
        <f>Tabelle13[[#This Row],[%]]+I7391</f>
        <v>0.992307906821011</v>
      </c>
      <c r="J7392" s="4">
        <f t="shared" si="263"/>
        <v>1.105583195135434E-4</v>
      </c>
      <c r="K7392" s="5">
        <f t="shared" si="264"/>
        <v>0.81702598120518699</v>
      </c>
    </row>
    <row r="7393" spans="1:11" x14ac:dyDescent="0.25">
      <c r="A7393" t="s">
        <v>14368</v>
      </c>
      <c r="C7393" t="s">
        <v>14369</v>
      </c>
      <c r="D7393" t="s">
        <v>5</v>
      </c>
      <c r="E7393" t="s">
        <v>6</v>
      </c>
      <c r="F7393" t="s">
        <v>251</v>
      </c>
      <c r="G7393">
        <v>1</v>
      </c>
      <c r="H7393" s="2">
        <f>Tabelle13[[#This Row],[commits]]/Tabelle13[[#Totals],[commits]]</f>
        <v>4.6477904404246225E-6</v>
      </c>
      <c r="I7393" s="5">
        <f>Tabelle13[[#This Row],[%]]+I7392</f>
        <v>0.9923125546114514</v>
      </c>
      <c r="J7393" s="4">
        <f t="shared" si="263"/>
        <v>1.105583195135434E-4</v>
      </c>
      <c r="K7393" s="5">
        <f t="shared" si="264"/>
        <v>0.81713653952470056</v>
      </c>
    </row>
    <row r="7394" spans="1:11" x14ac:dyDescent="0.25">
      <c r="A7394" t="s">
        <v>14370</v>
      </c>
      <c r="C7394" t="s">
        <v>14371</v>
      </c>
      <c r="D7394" t="s">
        <v>5</v>
      </c>
      <c r="E7394" t="s">
        <v>6</v>
      </c>
      <c r="F7394" t="s">
        <v>251</v>
      </c>
      <c r="G7394">
        <v>1</v>
      </c>
      <c r="H7394" s="2">
        <f>Tabelle13[[#This Row],[commits]]/Tabelle13[[#Totals],[commits]]</f>
        <v>4.6477904404246225E-6</v>
      </c>
      <c r="I7394" s="5">
        <f>Tabelle13[[#This Row],[%]]+I7393</f>
        <v>0.99231720240189181</v>
      </c>
      <c r="J7394" s="4">
        <f t="shared" si="263"/>
        <v>1.105583195135434E-4</v>
      </c>
      <c r="K7394" s="5">
        <f t="shared" si="264"/>
        <v>0.81724709784421412</v>
      </c>
    </row>
    <row r="7395" spans="1:11" x14ac:dyDescent="0.25">
      <c r="A7395" t="s">
        <v>14372</v>
      </c>
      <c r="C7395" t="s">
        <v>14373</v>
      </c>
      <c r="D7395" t="s">
        <v>5</v>
      </c>
      <c r="E7395" t="s">
        <v>6</v>
      </c>
      <c r="F7395" t="s">
        <v>251</v>
      </c>
      <c r="G7395">
        <v>1</v>
      </c>
      <c r="H7395" s="2">
        <f>Tabelle13[[#This Row],[commits]]/Tabelle13[[#Totals],[commits]]</f>
        <v>4.6477904404246225E-6</v>
      </c>
      <c r="I7395" s="5">
        <f>Tabelle13[[#This Row],[%]]+I7394</f>
        <v>0.99232185019233221</v>
      </c>
      <c r="J7395" s="4">
        <f t="shared" si="263"/>
        <v>1.105583195135434E-4</v>
      </c>
      <c r="K7395" s="5">
        <f t="shared" si="264"/>
        <v>0.81735765616372769</v>
      </c>
    </row>
    <row r="7396" spans="1:11" x14ac:dyDescent="0.25">
      <c r="A7396" t="s">
        <v>14374</v>
      </c>
      <c r="C7396" t="s">
        <v>14375</v>
      </c>
      <c r="D7396" t="s">
        <v>5</v>
      </c>
      <c r="E7396" t="s">
        <v>6</v>
      </c>
      <c r="F7396" t="s">
        <v>251</v>
      </c>
      <c r="G7396">
        <v>1</v>
      </c>
      <c r="H7396" s="2">
        <f>Tabelle13[[#This Row],[commits]]/Tabelle13[[#Totals],[commits]]</f>
        <v>4.6477904404246225E-6</v>
      </c>
      <c r="I7396" s="5">
        <f>Tabelle13[[#This Row],[%]]+I7395</f>
        <v>0.99232649798277262</v>
      </c>
      <c r="J7396" s="4">
        <f t="shared" si="263"/>
        <v>1.105583195135434E-4</v>
      </c>
      <c r="K7396" s="5">
        <f t="shared" si="264"/>
        <v>0.81746821448324125</v>
      </c>
    </row>
    <row r="7397" spans="1:11" x14ac:dyDescent="0.25">
      <c r="A7397" t="s">
        <v>14376</v>
      </c>
      <c r="C7397" t="s">
        <v>14377</v>
      </c>
      <c r="D7397" t="s">
        <v>5</v>
      </c>
      <c r="E7397" t="s">
        <v>6</v>
      </c>
      <c r="F7397" t="s">
        <v>251</v>
      </c>
      <c r="G7397">
        <v>1</v>
      </c>
      <c r="H7397" s="2">
        <f>Tabelle13[[#This Row],[commits]]/Tabelle13[[#Totals],[commits]]</f>
        <v>4.6477904404246225E-6</v>
      </c>
      <c r="I7397" s="5">
        <f>Tabelle13[[#This Row],[%]]+I7396</f>
        <v>0.99233114577321302</v>
      </c>
      <c r="J7397" s="4">
        <f t="shared" si="263"/>
        <v>1.105583195135434E-4</v>
      </c>
      <c r="K7397" s="5">
        <f t="shared" si="264"/>
        <v>0.81757877280275482</v>
      </c>
    </row>
    <row r="7398" spans="1:11" x14ac:dyDescent="0.25">
      <c r="A7398" t="s">
        <v>14378</v>
      </c>
      <c r="C7398" t="s">
        <v>14379</v>
      </c>
      <c r="D7398" t="s">
        <v>5</v>
      </c>
      <c r="E7398" t="s">
        <v>6</v>
      </c>
      <c r="F7398" t="s">
        <v>251</v>
      </c>
      <c r="G7398">
        <v>1</v>
      </c>
      <c r="H7398" s="2">
        <f>Tabelle13[[#This Row],[commits]]/Tabelle13[[#Totals],[commits]]</f>
        <v>4.6477904404246225E-6</v>
      </c>
      <c r="I7398" s="5">
        <f>Tabelle13[[#This Row],[%]]+I7397</f>
        <v>0.99233579356365342</v>
      </c>
      <c r="J7398" s="4">
        <f t="shared" si="263"/>
        <v>1.105583195135434E-4</v>
      </c>
      <c r="K7398" s="5">
        <f t="shared" si="264"/>
        <v>0.81768933112226838</v>
      </c>
    </row>
    <row r="7399" spans="1:11" x14ac:dyDescent="0.25">
      <c r="A7399" t="s">
        <v>14380</v>
      </c>
      <c r="C7399" t="s">
        <v>14381</v>
      </c>
      <c r="D7399" t="s">
        <v>9453</v>
      </c>
      <c r="E7399" t="s">
        <v>6</v>
      </c>
      <c r="F7399" t="s">
        <v>251</v>
      </c>
      <c r="G7399">
        <v>1</v>
      </c>
      <c r="H7399" s="2">
        <f>Tabelle13[[#This Row],[commits]]/Tabelle13[[#Totals],[commits]]</f>
        <v>4.6477904404246225E-6</v>
      </c>
      <c r="I7399" s="5">
        <f>Tabelle13[[#This Row],[%]]+I7398</f>
        <v>0.99234044135409383</v>
      </c>
      <c r="J7399" s="4">
        <f t="shared" si="263"/>
        <v>1.105583195135434E-4</v>
      </c>
      <c r="K7399" s="5">
        <f t="shared" si="264"/>
        <v>0.81779988944178195</v>
      </c>
    </row>
    <row r="7400" spans="1:11" x14ac:dyDescent="0.25">
      <c r="A7400" t="s">
        <v>14382</v>
      </c>
      <c r="C7400" t="s">
        <v>14383</v>
      </c>
      <c r="D7400" t="s">
        <v>5</v>
      </c>
      <c r="E7400" t="s">
        <v>6</v>
      </c>
      <c r="F7400" t="s">
        <v>251</v>
      </c>
      <c r="G7400">
        <v>1</v>
      </c>
      <c r="H7400" s="2">
        <f>Tabelle13[[#This Row],[commits]]/Tabelle13[[#Totals],[commits]]</f>
        <v>4.6477904404246225E-6</v>
      </c>
      <c r="I7400" s="5">
        <f>Tabelle13[[#This Row],[%]]+I7399</f>
        <v>0.99234508914453423</v>
      </c>
      <c r="J7400" s="4">
        <f t="shared" si="263"/>
        <v>1.105583195135434E-4</v>
      </c>
      <c r="K7400" s="5">
        <f t="shared" si="264"/>
        <v>0.81791044776129551</v>
      </c>
    </row>
    <row r="7401" spans="1:11" x14ac:dyDescent="0.25">
      <c r="A7401" t="s">
        <v>14384</v>
      </c>
      <c r="C7401" t="s">
        <v>14385</v>
      </c>
      <c r="D7401" t="s">
        <v>2659</v>
      </c>
      <c r="E7401" t="s">
        <v>6</v>
      </c>
      <c r="F7401" t="s">
        <v>251</v>
      </c>
      <c r="G7401">
        <v>1</v>
      </c>
      <c r="H7401" s="2">
        <f>Tabelle13[[#This Row],[commits]]/Tabelle13[[#Totals],[commits]]</f>
        <v>4.6477904404246225E-6</v>
      </c>
      <c r="I7401" s="5">
        <f>Tabelle13[[#This Row],[%]]+I7400</f>
        <v>0.99234973693497464</v>
      </c>
      <c r="J7401" s="4">
        <f t="shared" si="263"/>
        <v>1.105583195135434E-4</v>
      </c>
      <c r="K7401" s="5">
        <f t="shared" si="264"/>
        <v>0.81802100608080908</v>
      </c>
    </row>
    <row r="7402" spans="1:11" x14ac:dyDescent="0.25">
      <c r="A7402" t="s">
        <v>14386</v>
      </c>
      <c r="C7402">
        <v>3391738016</v>
      </c>
      <c r="D7402" t="s">
        <v>5</v>
      </c>
      <c r="E7402" t="s">
        <v>6</v>
      </c>
      <c r="F7402" t="s">
        <v>251</v>
      </c>
      <c r="G7402">
        <v>1</v>
      </c>
      <c r="H7402" s="2">
        <f>Tabelle13[[#This Row],[commits]]/Tabelle13[[#Totals],[commits]]</f>
        <v>4.6477904404246225E-6</v>
      </c>
      <c r="I7402" s="5">
        <f>Tabelle13[[#This Row],[%]]+I7401</f>
        <v>0.99235438472541504</v>
      </c>
      <c r="J7402" s="4">
        <f t="shared" si="263"/>
        <v>1.105583195135434E-4</v>
      </c>
      <c r="K7402" s="5">
        <f t="shared" si="264"/>
        <v>0.81813156440032264</v>
      </c>
    </row>
    <row r="7403" spans="1:11" x14ac:dyDescent="0.25">
      <c r="A7403" t="s">
        <v>14387</v>
      </c>
      <c r="C7403" t="s">
        <v>14388</v>
      </c>
      <c r="D7403" t="s">
        <v>5</v>
      </c>
      <c r="E7403" t="s">
        <v>6</v>
      </c>
      <c r="F7403" t="s">
        <v>251</v>
      </c>
      <c r="G7403">
        <v>1</v>
      </c>
      <c r="H7403" s="2">
        <f>Tabelle13[[#This Row],[commits]]/Tabelle13[[#Totals],[commits]]</f>
        <v>4.6477904404246225E-6</v>
      </c>
      <c r="I7403" s="5">
        <f>Tabelle13[[#This Row],[%]]+I7402</f>
        <v>0.99235903251585544</v>
      </c>
      <c r="J7403" s="4">
        <f t="shared" si="263"/>
        <v>1.105583195135434E-4</v>
      </c>
      <c r="K7403" s="5">
        <f t="shared" si="264"/>
        <v>0.81824212271983621</v>
      </c>
    </row>
    <row r="7404" spans="1:11" x14ac:dyDescent="0.25">
      <c r="A7404" t="s">
        <v>14389</v>
      </c>
      <c r="C7404" t="s">
        <v>14390</v>
      </c>
      <c r="D7404" t="s">
        <v>5</v>
      </c>
      <c r="E7404" t="s">
        <v>6</v>
      </c>
      <c r="F7404" t="s">
        <v>251</v>
      </c>
      <c r="G7404">
        <v>1</v>
      </c>
      <c r="H7404" s="2">
        <f>Tabelle13[[#This Row],[commits]]/Tabelle13[[#Totals],[commits]]</f>
        <v>4.6477904404246225E-6</v>
      </c>
      <c r="I7404" s="5">
        <f>Tabelle13[[#This Row],[%]]+I7403</f>
        <v>0.99236368030629585</v>
      </c>
      <c r="J7404" s="4">
        <f t="shared" si="263"/>
        <v>1.105583195135434E-4</v>
      </c>
      <c r="K7404" s="5">
        <f t="shared" si="264"/>
        <v>0.81835268103934977</v>
      </c>
    </row>
    <row r="7405" spans="1:11" x14ac:dyDescent="0.25">
      <c r="A7405" t="s">
        <v>14391</v>
      </c>
      <c r="C7405" t="s">
        <v>14392</v>
      </c>
      <c r="D7405" t="s">
        <v>5</v>
      </c>
      <c r="E7405" t="s">
        <v>6</v>
      </c>
      <c r="F7405" t="s">
        <v>251</v>
      </c>
      <c r="G7405">
        <v>1</v>
      </c>
      <c r="H7405" s="2">
        <f>Tabelle13[[#This Row],[commits]]/Tabelle13[[#Totals],[commits]]</f>
        <v>4.6477904404246225E-6</v>
      </c>
      <c r="I7405" s="5">
        <f>Tabelle13[[#This Row],[%]]+I7404</f>
        <v>0.99236832809673625</v>
      </c>
      <c r="J7405" s="4">
        <f t="shared" si="263"/>
        <v>1.105583195135434E-4</v>
      </c>
      <c r="K7405" s="5">
        <f t="shared" si="264"/>
        <v>0.81846323935886334</v>
      </c>
    </row>
    <row r="7406" spans="1:11" x14ac:dyDescent="0.25">
      <c r="A7406" t="s">
        <v>14393</v>
      </c>
      <c r="C7406" t="s">
        <v>14394</v>
      </c>
      <c r="D7406" t="s">
        <v>5</v>
      </c>
      <c r="E7406" t="s">
        <v>6</v>
      </c>
      <c r="F7406" t="s">
        <v>251</v>
      </c>
      <c r="G7406">
        <v>1</v>
      </c>
      <c r="H7406" s="2">
        <f>Tabelle13[[#This Row],[commits]]/Tabelle13[[#Totals],[commits]]</f>
        <v>4.6477904404246225E-6</v>
      </c>
      <c r="I7406" s="5">
        <f>Tabelle13[[#This Row],[%]]+I7405</f>
        <v>0.99237297588717666</v>
      </c>
      <c r="J7406" s="4">
        <f t="shared" si="263"/>
        <v>1.105583195135434E-4</v>
      </c>
      <c r="K7406" s="5">
        <f t="shared" si="264"/>
        <v>0.8185737976783769</v>
      </c>
    </row>
    <row r="7407" spans="1:11" x14ac:dyDescent="0.25">
      <c r="A7407" t="s">
        <v>14395</v>
      </c>
      <c r="C7407" t="s">
        <v>14396</v>
      </c>
      <c r="D7407" t="s">
        <v>5</v>
      </c>
      <c r="E7407" t="s">
        <v>6</v>
      </c>
      <c r="F7407" t="s">
        <v>251</v>
      </c>
      <c r="G7407">
        <v>1</v>
      </c>
      <c r="H7407" s="2">
        <f>Tabelle13[[#This Row],[commits]]/Tabelle13[[#Totals],[commits]]</f>
        <v>4.6477904404246225E-6</v>
      </c>
      <c r="I7407" s="5">
        <f>Tabelle13[[#This Row],[%]]+I7406</f>
        <v>0.99237762367761706</v>
      </c>
      <c r="J7407" s="4">
        <f t="shared" si="263"/>
        <v>1.105583195135434E-4</v>
      </c>
      <c r="K7407" s="5">
        <f t="shared" si="264"/>
        <v>0.81868435599789047</v>
      </c>
    </row>
    <row r="7408" spans="1:11" x14ac:dyDescent="0.25">
      <c r="A7408" t="s">
        <v>14397</v>
      </c>
      <c r="C7408" t="s">
        <v>14398</v>
      </c>
      <c r="D7408" t="s">
        <v>309</v>
      </c>
      <c r="E7408" t="s">
        <v>6</v>
      </c>
      <c r="F7408" t="s">
        <v>251</v>
      </c>
      <c r="G7408">
        <v>1</v>
      </c>
      <c r="H7408" s="2">
        <f>Tabelle13[[#This Row],[commits]]/Tabelle13[[#Totals],[commits]]</f>
        <v>4.6477904404246225E-6</v>
      </c>
      <c r="I7408" s="5">
        <f>Tabelle13[[#This Row],[%]]+I7407</f>
        <v>0.99238227146805746</v>
      </c>
      <c r="J7408" s="4">
        <f t="shared" si="263"/>
        <v>1.105583195135434E-4</v>
      </c>
      <c r="K7408" s="5">
        <f t="shared" si="264"/>
        <v>0.81879491431740403</v>
      </c>
    </row>
    <row r="7409" spans="1:11" x14ac:dyDescent="0.25">
      <c r="A7409" t="s">
        <v>14399</v>
      </c>
      <c r="C7409" t="s">
        <v>14400</v>
      </c>
      <c r="D7409" t="s">
        <v>5</v>
      </c>
      <c r="E7409" t="s">
        <v>6</v>
      </c>
      <c r="F7409" t="s">
        <v>251</v>
      </c>
      <c r="G7409">
        <v>1</v>
      </c>
      <c r="H7409" s="2">
        <f>Tabelle13[[#This Row],[commits]]/Tabelle13[[#Totals],[commits]]</f>
        <v>4.6477904404246225E-6</v>
      </c>
      <c r="I7409" s="5">
        <f>Tabelle13[[#This Row],[%]]+I7408</f>
        <v>0.99238691925849787</v>
      </c>
      <c r="J7409" s="4">
        <f t="shared" si="263"/>
        <v>1.105583195135434E-4</v>
      </c>
      <c r="K7409" s="5">
        <f t="shared" si="264"/>
        <v>0.8189054726369176</v>
      </c>
    </row>
    <row r="7410" spans="1:11" x14ac:dyDescent="0.25">
      <c r="A7410" t="s">
        <v>14401</v>
      </c>
      <c r="C7410" t="s">
        <v>14402</v>
      </c>
      <c r="D7410" t="s">
        <v>5</v>
      </c>
      <c r="E7410" t="s">
        <v>6</v>
      </c>
      <c r="F7410" t="s">
        <v>251</v>
      </c>
      <c r="G7410">
        <v>1</v>
      </c>
      <c r="H7410" s="2">
        <f>Tabelle13[[#This Row],[commits]]/Tabelle13[[#Totals],[commits]]</f>
        <v>4.6477904404246225E-6</v>
      </c>
      <c r="I7410" s="5">
        <f>Tabelle13[[#This Row],[%]]+I7409</f>
        <v>0.99239156704893827</v>
      </c>
      <c r="J7410" s="4">
        <f t="shared" si="263"/>
        <v>1.105583195135434E-4</v>
      </c>
      <c r="K7410" s="5">
        <f t="shared" si="264"/>
        <v>0.81901603095643116</v>
      </c>
    </row>
    <row r="7411" spans="1:11" x14ac:dyDescent="0.25">
      <c r="A7411" t="s">
        <v>14403</v>
      </c>
      <c r="C7411" t="s">
        <v>14404</v>
      </c>
      <c r="D7411" t="s">
        <v>5</v>
      </c>
      <c r="E7411" t="s">
        <v>6</v>
      </c>
      <c r="F7411" t="s">
        <v>251</v>
      </c>
      <c r="G7411">
        <v>1</v>
      </c>
      <c r="H7411" s="2">
        <f>Tabelle13[[#This Row],[commits]]/Tabelle13[[#Totals],[commits]]</f>
        <v>4.6477904404246225E-6</v>
      </c>
      <c r="I7411" s="5">
        <f>Tabelle13[[#This Row],[%]]+I7410</f>
        <v>0.99239621483937868</v>
      </c>
      <c r="J7411" s="4">
        <f t="shared" si="263"/>
        <v>1.105583195135434E-4</v>
      </c>
      <c r="K7411" s="5">
        <f t="shared" si="264"/>
        <v>0.81912658927594473</v>
      </c>
    </row>
    <row r="7412" spans="1:11" x14ac:dyDescent="0.25">
      <c r="A7412" t="s">
        <v>14405</v>
      </c>
      <c r="C7412" t="s">
        <v>14406</v>
      </c>
      <c r="D7412" t="s">
        <v>5</v>
      </c>
      <c r="E7412" t="s">
        <v>6</v>
      </c>
      <c r="F7412" t="s">
        <v>251</v>
      </c>
      <c r="G7412">
        <v>1</v>
      </c>
      <c r="H7412" s="2">
        <f>Tabelle13[[#This Row],[commits]]/Tabelle13[[#Totals],[commits]]</f>
        <v>4.6477904404246225E-6</v>
      </c>
      <c r="I7412" s="5">
        <f>Tabelle13[[#This Row],[%]]+I7411</f>
        <v>0.99240086262981908</v>
      </c>
      <c r="J7412" s="4">
        <f t="shared" si="263"/>
        <v>1.105583195135434E-4</v>
      </c>
      <c r="K7412" s="5">
        <f t="shared" si="264"/>
        <v>0.81923714759545829</v>
      </c>
    </row>
    <row r="7413" spans="1:11" x14ac:dyDescent="0.25">
      <c r="A7413" t="s">
        <v>14407</v>
      </c>
      <c r="C7413" t="s">
        <v>14408</v>
      </c>
      <c r="D7413" t="s">
        <v>309</v>
      </c>
      <c r="E7413" t="s">
        <v>6</v>
      </c>
      <c r="F7413" t="s">
        <v>251</v>
      </c>
      <c r="G7413">
        <v>1</v>
      </c>
      <c r="H7413" s="2">
        <f>Tabelle13[[#This Row],[commits]]/Tabelle13[[#Totals],[commits]]</f>
        <v>4.6477904404246225E-6</v>
      </c>
      <c r="I7413" s="5">
        <f>Tabelle13[[#This Row],[%]]+I7412</f>
        <v>0.99240551042025948</v>
      </c>
      <c r="J7413" s="4">
        <f t="shared" si="263"/>
        <v>1.105583195135434E-4</v>
      </c>
      <c r="K7413" s="5">
        <f t="shared" si="264"/>
        <v>0.81934770591497186</v>
      </c>
    </row>
    <row r="7414" spans="1:11" x14ac:dyDescent="0.25">
      <c r="A7414" t="s">
        <v>14409</v>
      </c>
      <c r="C7414" t="s">
        <v>14410</v>
      </c>
      <c r="D7414" t="s">
        <v>5</v>
      </c>
      <c r="E7414" t="s">
        <v>6</v>
      </c>
      <c r="F7414" t="s">
        <v>251</v>
      </c>
      <c r="G7414">
        <v>1</v>
      </c>
      <c r="H7414" s="2">
        <f>Tabelle13[[#This Row],[commits]]/Tabelle13[[#Totals],[commits]]</f>
        <v>4.6477904404246225E-6</v>
      </c>
      <c r="I7414" s="5">
        <f>Tabelle13[[#This Row],[%]]+I7413</f>
        <v>0.99241015821069989</v>
      </c>
      <c r="J7414" s="4">
        <f t="shared" si="263"/>
        <v>1.105583195135434E-4</v>
      </c>
      <c r="K7414" s="5">
        <f t="shared" si="264"/>
        <v>0.81945826423448542</v>
      </c>
    </row>
    <row r="7415" spans="1:11" x14ac:dyDescent="0.25">
      <c r="A7415" t="s">
        <v>14411</v>
      </c>
      <c r="C7415" t="s">
        <v>14412</v>
      </c>
      <c r="D7415" t="s">
        <v>309</v>
      </c>
      <c r="E7415" t="s">
        <v>6</v>
      </c>
      <c r="F7415" t="s">
        <v>251</v>
      </c>
      <c r="G7415">
        <v>1</v>
      </c>
      <c r="H7415" s="2">
        <f>Tabelle13[[#This Row],[commits]]/Tabelle13[[#Totals],[commits]]</f>
        <v>4.6477904404246225E-6</v>
      </c>
      <c r="I7415" s="5">
        <f>Tabelle13[[#This Row],[%]]+I7414</f>
        <v>0.99241480600114029</v>
      </c>
      <c r="J7415" s="4">
        <f t="shared" si="263"/>
        <v>1.105583195135434E-4</v>
      </c>
      <c r="K7415" s="5">
        <f t="shared" si="264"/>
        <v>0.81956882255399899</v>
      </c>
    </row>
    <row r="7416" spans="1:11" x14ac:dyDescent="0.25">
      <c r="A7416" t="s">
        <v>14413</v>
      </c>
      <c r="C7416" t="s">
        <v>14414</v>
      </c>
      <c r="D7416" t="s">
        <v>5</v>
      </c>
      <c r="E7416" t="s">
        <v>6</v>
      </c>
      <c r="F7416" t="s">
        <v>251</v>
      </c>
      <c r="G7416">
        <v>1</v>
      </c>
      <c r="H7416" s="2">
        <f>Tabelle13[[#This Row],[commits]]/Tabelle13[[#Totals],[commits]]</f>
        <v>4.6477904404246225E-6</v>
      </c>
      <c r="I7416" s="5">
        <f>Tabelle13[[#This Row],[%]]+I7415</f>
        <v>0.9924194537915807</v>
      </c>
      <c r="J7416" s="4">
        <f t="shared" si="263"/>
        <v>1.105583195135434E-4</v>
      </c>
      <c r="K7416" s="5">
        <f t="shared" si="264"/>
        <v>0.81967938087351255</v>
      </c>
    </row>
    <row r="7417" spans="1:11" x14ac:dyDescent="0.25">
      <c r="A7417" t="s">
        <v>14415</v>
      </c>
      <c r="C7417" t="s">
        <v>12793</v>
      </c>
      <c r="D7417" t="s">
        <v>10461</v>
      </c>
      <c r="E7417" t="s">
        <v>6</v>
      </c>
      <c r="F7417" t="s">
        <v>251</v>
      </c>
      <c r="G7417">
        <v>1</v>
      </c>
      <c r="H7417" s="2">
        <f>Tabelle13[[#This Row],[commits]]/Tabelle13[[#Totals],[commits]]</f>
        <v>4.6477904404246225E-6</v>
      </c>
      <c r="I7417" s="5">
        <f>Tabelle13[[#This Row],[%]]+I7416</f>
        <v>0.9924241015820211</v>
      </c>
      <c r="J7417" s="4">
        <f t="shared" si="263"/>
        <v>1.105583195135434E-4</v>
      </c>
      <c r="K7417" s="5">
        <f t="shared" si="264"/>
        <v>0.81978993919302612</v>
      </c>
    </row>
    <row r="7418" spans="1:11" x14ac:dyDescent="0.25">
      <c r="A7418" t="s">
        <v>14416</v>
      </c>
      <c r="C7418" t="s">
        <v>14417</v>
      </c>
      <c r="D7418" t="s">
        <v>5</v>
      </c>
      <c r="E7418" t="s">
        <v>6</v>
      </c>
      <c r="F7418" t="s">
        <v>251</v>
      </c>
      <c r="G7418">
        <v>1</v>
      </c>
      <c r="H7418" s="2">
        <f>Tabelle13[[#This Row],[commits]]/Tabelle13[[#Totals],[commits]]</f>
        <v>4.6477904404246225E-6</v>
      </c>
      <c r="I7418" s="5">
        <f>Tabelle13[[#This Row],[%]]+I7417</f>
        <v>0.99242874937246151</v>
      </c>
      <c r="J7418" s="4">
        <f t="shared" si="263"/>
        <v>1.105583195135434E-4</v>
      </c>
      <c r="K7418" s="5">
        <f t="shared" si="264"/>
        <v>0.81990049751253968</v>
      </c>
    </row>
    <row r="7419" spans="1:11" x14ac:dyDescent="0.25">
      <c r="A7419" t="s">
        <v>14418</v>
      </c>
      <c r="C7419" t="s">
        <v>14419</v>
      </c>
      <c r="D7419" t="s">
        <v>5</v>
      </c>
      <c r="E7419" t="s">
        <v>6</v>
      </c>
      <c r="F7419" t="s">
        <v>251</v>
      </c>
      <c r="G7419">
        <v>1</v>
      </c>
      <c r="H7419" s="2">
        <f>Tabelle13[[#This Row],[commits]]/Tabelle13[[#Totals],[commits]]</f>
        <v>4.6477904404246225E-6</v>
      </c>
      <c r="I7419" s="5">
        <f>Tabelle13[[#This Row],[%]]+I7418</f>
        <v>0.99243339716290191</v>
      </c>
      <c r="J7419" s="4">
        <f t="shared" si="263"/>
        <v>1.105583195135434E-4</v>
      </c>
      <c r="K7419" s="5">
        <f t="shared" si="264"/>
        <v>0.82001105583205325</v>
      </c>
    </row>
    <row r="7420" spans="1:11" x14ac:dyDescent="0.25">
      <c r="A7420" t="s">
        <v>14420</v>
      </c>
      <c r="C7420" t="s">
        <v>14421</v>
      </c>
      <c r="D7420" t="s">
        <v>9453</v>
      </c>
      <c r="E7420" t="s">
        <v>6</v>
      </c>
      <c r="F7420" t="s">
        <v>251</v>
      </c>
      <c r="G7420">
        <v>1</v>
      </c>
      <c r="H7420" s="2">
        <f>Tabelle13[[#This Row],[commits]]/Tabelle13[[#Totals],[commits]]</f>
        <v>4.6477904404246225E-6</v>
      </c>
      <c r="I7420" s="5">
        <f>Tabelle13[[#This Row],[%]]+I7419</f>
        <v>0.99243804495334231</v>
      </c>
      <c r="J7420" s="4">
        <f t="shared" si="263"/>
        <v>1.105583195135434E-4</v>
      </c>
      <c r="K7420" s="5">
        <f t="shared" si="264"/>
        <v>0.82012161415156681</v>
      </c>
    </row>
    <row r="7421" spans="1:11" x14ac:dyDescent="0.25">
      <c r="A7421" t="s">
        <v>14422</v>
      </c>
      <c r="C7421" t="s">
        <v>14423</v>
      </c>
      <c r="D7421" t="s">
        <v>5</v>
      </c>
      <c r="E7421" t="s">
        <v>6</v>
      </c>
      <c r="F7421" t="s">
        <v>251</v>
      </c>
      <c r="G7421">
        <v>1</v>
      </c>
      <c r="H7421" s="2">
        <f>Tabelle13[[#This Row],[commits]]/Tabelle13[[#Totals],[commits]]</f>
        <v>4.6477904404246225E-6</v>
      </c>
      <c r="I7421" s="5">
        <f>Tabelle13[[#This Row],[%]]+I7420</f>
        <v>0.99244269274378272</v>
      </c>
      <c r="J7421" s="4">
        <f t="shared" si="263"/>
        <v>1.105583195135434E-4</v>
      </c>
      <c r="K7421" s="5">
        <f t="shared" si="264"/>
        <v>0.82023217247108038</v>
      </c>
    </row>
    <row r="7422" spans="1:11" x14ac:dyDescent="0.25">
      <c r="A7422" t="s">
        <v>14424</v>
      </c>
      <c r="C7422" t="s">
        <v>14425</v>
      </c>
      <c r="D7422" t="s">
        <v>5</v>
      </c>
      <c r="E7422" t="s">
        <v>6</v>
      </c>
      <c r="F7422" t="s">
        <v>251</v>
      </c>
      <c r="G7422">
        <v>1</v>
      </c>
      <c r="H7422" s="2">
        <f>Tabelle13[[#This Row],[commits]]/Tabelle13[[#Totals],[commits]]</f>
        <v>4.6477904404246225E-6</v>
      </c>
      <c r="I7422" s="5">
        <f>Tabelle13[[#This Row],[%]]+I7421</f>
        <v>0.99244734053422312</v>
      </c>
      <c r="J7422" s="4">
        <f t="shared" si="263"/>
        <v>1.105583195135434E-4</v>
      </c>
      <c r="K7422" s="5">
        <f t="shared" si="264"/>
        <v>0.82034273079059394</v>
      </c>
    </row>
    <row r="7423" spans="1:11" x14ac:dyDescent="0.25">
      <c r="A7423" t="s">
        <v>14426</v>
      </c>
      <c r="C7423" t="s">
        <v>14427</v>
      </c>
      <c r="D7423" t="s">
        <v>5</v>
      </c>
      <c r="E7423" t="s">
        <v>6</v>
      </c>
      <c r="F7423" t="s">
        <v>251</v>
      </c>
      <c r="G7423">
        <v>1</v>
      </c>
      <c r="H7423" s="2">
        <f>Tabelle13[[#This Row],[commits]]/Tabelle13[[#Totals],[commits]]</f>
        <v>4.6477904404246225E-6</v>
      </c>
      <c r="I7423" s="5">
        <f>Tabelle13[[#This Row],[%]]+I7422</f>
        <v>0.99245198832466353</v>
      </c>
      <c r="J7423" s="4">
        <f t="shared" si="263"/>
        <v>1.105583195135434E-4</v>
      </c>
      <c r="K7423" s="5">
        <f t="shared" si="264"/>
        <v>0.82045328911010751</v>
      </c>
    </row>
    <row r="7424" spans="1:11" x14ac:dyDescent="0.25">
      <c r="A7424" t="s">
        <v>14428</v>
      </c>
      <c r="C7424" t="s">
        <v>211</v>
      </c>
      <c r="D7424" t="s">
        <v>5</v>
      </c>
      <c r="E7424" t="s">
        <v>6</v>
      </c>
      <c r="F7424" t="s">
        <v>251</v>
      </c>
      <c r="G7424">
        <v>1</v>
      </c>
      <c r="H7424" s="2">
        <f>Tabelle13[[#This Row],[commits]]/Tabelle13[[#Totals],[commits]]</f>
        <v>4.6477904404246225E-6</v>
      </c>
      <c r="I7424" s="5">
        <f>Tabelle13[[#This Row],[%]]+I7423</f>
        <v>0.99245663611510393</v>
      </c>
      <c r="J7424" s="4">
        <f t="shared" si="263"/>
        <v>1.105583195135434E-4</v>
      </c>
      <c r="K7424" s="5">
        <f t="shared" si="264"/>
        <v>0.82056384742962107</v>
      </c>
    </row>
    <row r="7425" spans="1:11" x14ac:dyDescent="0.25">
      <c r="A7425" t="s">
        <v>14429</v>
      </c>
      <c r="C7425" t="s">
        <v>14430</v>
      </c>
      <c r="D7425" t="s">
        <v>5</v>
      </c>
      <c r="E7425" t="s">
        <v>6</v>
      </c>
      <c r="F7425" t="s">
        <v>251</v>
      </c>
      <c r="G7425">
        <v>1</v>
      </c>
      <c r="H7425" s="2">
        <f>Tabelle13[[#This Row],[commits]]/Tabelle13[[#Totals],[commits]]</f>
        <v>4.6477904404246225E-6</v>
      </c>
      <c r="I7425" s="5">
        <f>Tabelle13[[#This Row],[%]]+I7424</f>
        <v>0.99246128390554433</v>
      </c>
      <c r="J7425" s="4">
        <f t="shared" si="263"/>
        <v>1.105583195135434E-4</v>
      </c>
      <c r="K7425" s="5">
        <f t="shared" si="264"/>
        <v>0.82067440574913464</v>
      </c>
    </row>
    <row r="7426" spans="1:11" x14ac:dyDescent="0.25">
      <c r="A7426" t="s">
        <v>14431</v>
      </c>
      <c r="C7426" t="s">
        <v>14432</v>
      </c>
      <c r="D7426" t="s">
        <v>309</v>
      </c>
      <c r="E7426" t="s">
        <v>6</v>
      </c>
      <c r="F7426" t="s">
        <v>251</v>
      </c>
      <c r="G7426">
        <v>1</v>
      </c>
      <c r="H7426" s="2">
        <f>Tabelle13[[#This Row],[commits]]/Tabelle13[[#Totals],[commits]]</f>
        <v>4.6477904404246225E-6</v>
      </c>
      <c r="I7426" s="5">
        <f>Tabelle13[[#This Row],[%]]+I7425</f>
        <v>0.99246593169598474</v>
      </c>
      <c r="J7426" s="4">
        <f t="shared" si="263"/>
        <v>1.105583195135434E-4</v>
      </c>
      <c r="K7426" s="5">
        <f t="shared" si="264"/>
        <v>0.8207849640686482</v>
      </c>
    </row>
    <row r="7427" spans="1:11" x14ac:dyDescent="0.25">
      <c r="A7427" t="s">
        <v>14433</v>
      </c>
      <c r="C7427" t="s">
        <v>14434</v>
      </c>
      <c r="D7427" t="s">
        <v>5</v>
      </c>
      <c r="E7427" t="s">
        <v>6</v>
      </c>
      <c r="F7427" t="s">
        <v>251</v>
      </c>
      <c r="G7427">
        <v>1</v>
      </c>
      <c r="H7427" s="2">
        <f>Tabelle13[[#This Row],[commits]]/Tabelle13[[#Totals],[commits]]</f>
        <v>4.6477904404246225E-6</v>
      </c>
      <c r="I7427" s="5">
        <f>Tabelle13[[#This Row],[%]]+I7426</f>
        <v>0.99247057948642514</v>
      </c>
      <c r="J7427" s="4">
        <f t="shared" ref="J7427:J7490" si="265">1/9045</f>
        <v>1.105583195135434E-4</v>
      </c>
      <c r="K7427" s="5">
        <f t="shared" si="264"/>
        <v>0.82089552238816177</v>
      </c>
    </row>
    <row r="7428" spans="1:11" x14ac:dyDescent="0.25">
      <c r="A7428" t="s">
        <v>14435</v>
      </c>
      <c r="C7428" t="s">
        <v>14436</v>
      </c>
      <c r="D7428" t="s">
        <v>5</v>
      </c>
      <c r="E7428" t="s">
        <v>6</v>
      </c>
      <c r="F7428" t="s">
        <v>251</v>
      </c>
      <c r="G7428">
        <v>1</v>
      </c>
      <c r="H7428" s="2">
        <f>Tabelle13[[#This Row],[commits]]/Tabelle13[[#Totals],[commits]]</f>
        <v>4.6477904404246225E-6</v>
      </c>
      <c r="I7428" s="5">
        <f>Tabelle13[[#This Row],[%]]+I7427</f>
        <v>0.99247522727686555</v>
      </c>
      <c r="J7428" s="4">
        <f t="shared" si="265"/>
        <v>1.105583195135434E-4</v>
      </c>
      <c r="K7428" s="5">
        <f t="shared" si="264"/>
        <v>0.82100608070767533</v>
      </c>
    </row>
    <row r="7429" spans="1:11" x14ac:dyDescent="0.25">
      <c r="A7429" t="s">
        <v>14437</v>
      </c>
      <c r="C7429" t="s">
        <v>14438</v>
      </c>
      <c r="D7429" t="s">
        <v>5</v>
      </c>
      <c r="E7429" t="s">
        <v>6</v>
      </c>
      <c r="F7429" t="s">
        <v>251</v>
      </c>
      <c r="G7429">
        <v>1</v>
      </c>
      <c r="H7429" s="2">
        <f>Tabelle13[[#This Row],[commits]]/Tabelle13[[#Totals],[commits]]</f>
        <v>4.6477904404246225E-6</v>
      </c>
      <c r="I7429" s="5">
        <f>Tabelle13[[#This Row],[%]]+I7428</f>
        <v>0.99247987506730595</v>
      </c>
      <c r="J7429" s="4">
        <f t="shared" si="265"/>
        <v>1.105583195135434E-4</v>
      </c>
      <c r="K7429" s="5">
        <f t="shared" si="264"/>
        <v>0.8211166390271889</v>
      </c>
    </row>
    <row r="7430" spans="1:11" x14ac:dyDescent="0.25">
      <c r="A7430" t="s">
        <v>14439</v>
      </c>
      <c r="C7430" t="s">
        <v>14440</v>
      </c>
      <c r="D7430" t="s">
        <v>5</v>
      </c>
      <c r="E7430" t="s">
        <v>6</v>
      </c>
      <c r="F7430" t="s">
        <v>251</v>
      </c>
      <c r="G7430">
        <v>1</v>
      </c>
      <c r="H7430" s="2">
        <f>Tabelle13[[#This Row],[commits]]/Tabelle13[[#Totals],[commits]]</f>
        <v>4.6477904404246225E-6</v>
      </c>
      <c r="I7430" s="5">
        <f>Tabelle13[[#This Row],[%]]+I7429</f>
        <v>0.99248452285774635</v>
      </c>
      <c r="J7430" s="4">
        <f t="shared" si="265"/>
        <v>1.105583195135434E-4</v>
      </c>
      <c r="K7430" s="5">
        <f t="shared" ref="K7430:K7493" si="266">J7430+K7429</f>
        <v>0.82122719734670246</v>
      </c>
    </row>
    <row r="7431" spans="1:11" x14ac:dyDescent="0.25">
      <c r="A7431" t="s">
        <v>14441</v>
      </c>
      <c r="C7431" t="s">
        <v>14442</v>
      </c>
      <c r="D7431" t="s">
        <v>5</v>
      </c>
      <c r="E7431" t="s">
        <v>6</v>
      </c>
      <c r="F7431" t="s">
        <v>251</v>
      </c>
      <c r="G7431">
        <v>1</v>
      </c>
      <c r="H7431" s="2">
        <f>Tabelle13[[#This Row],[commits]]/Tabelle13[[#Totals],[commits]]</f>
        <v>4.6477904404246225E-6</v>
      </c>
      <c r="I7431" s="5">
        <f>Tabelle13[[#This Row],[%]]+I7430</f>
        <v>0.99248917064818676</v>
      </c>
      <c r="J7431" s="4">
        <f t="shared" si="265"/>
        <v>1.105583195135434E-4</v>
      </c>
      <c r="K7431" s="5">
        <f t="shared" si="266"/>
        <v>0.82133775566621603</v>
      </c>
    </row>
    <row r="7432" spans="1:11" x14ac:dyDescent="0.25">
      <c r="A7432" t="s">
        <v>14443</v>
      </c>
      <c r="C7432" t="s">
        <v>14444</v>
      </c>
      <c r="D7432" t="s">
        <v>5</v>
      </c>
      <c r="E7432" t="s">
        <v>6</v>
      </c>
      <c r="F7432" t="s">
        <v>251</v>
      </c>
      <c r="G7432">
        <v>1</v>
      </c>
      <c r="H7432" s="2">
        <f>Tabelle13[[#This Row],[commits]]/Tabelle13[[#Totals],[commits]]</f>
        <v>4.6477904404246225E-6</v>
      </c>
      <c r="I7432" s="5">
        <f>Tabelle13[[#This Row],[%]]+I7431</f>
        <v>0.99249381843862716</v>
      </c>
      <c r="J7432" s="4">
        <f t="shared" si="265"/>
        <v>1.105583195135434E-4</v>
      </c>
      <c r="K7432" s="5">
        <f t="shared" si="266"/>
        <v>0.82144831398572959</v>
      </c>
    </row>
    <row r="7433" spans="1:11" x14ac:dyDescent="0.25">
      <c r="A7433" t="s">
        <v>14445</v>
      </c>
      <c r="C7433" t="s">
        <v>14446</v>
      </c>
      <c r="D7433" t="s">
        <v>5</v>
      </c>
      <c r="E7433" t="s">
        <v>6</v>
      </c>
      <c r="F7433" t="s">
        <v>251</v>
      </c>
      <c r="G7433">
        <v>1</v>
      </c>
      <c r="H7433" s="2">
        <f>Tabelle13[[#This Row],[commits]]/Tabelle13[[#Totals],[commits]]</f>
        <v>4.6477904404246225E-6</v>
      </c>
      <c r="I7433" s="5">
        <f>Tabelle13[[#This Row],[%]]+I7432</f>
        <v>0.99249846622906757</v>
      </c>
      <c r="J7433" s="4">
        <f t="shared" si="265"/>
        <v>1.105583195135434E-4</v>
      </c>
      <c r="K7433" s="5">
        <f t="shared" si="266"/>
        <v>0.82155887230524316</v>
      </c>
    </row>
    <row r="7434" spans="1:11" x14ac:dyDescent="0.25">
      <c r="A7434" t="s">
        <v>14447</v>
      </c>
      <c r="C7434" t="s">
        <v>14448</v>
      </c>
      <c r="D7434" t="s">
        <v>309</v>
      </c>
      <c r="E7434" t="s">
        <v>6</v>
      </c>
      <c r="F7434" t="s">
        <v>251</v>
      </c>
      <c r="G7434">
        <v>1</v>
      </c>
      <c r="H7434" s="2">
        <f>Tabelle13[[#This Row],[commits]]/Tabelle13[[#Totals],[commits]]</f>
        <v>4.6477904404246225E-6</v>
      </c>
      <c r="I7434" s="5">
        <f>Tabelle13[[#This Row],[%]]+I7433</f>
        <v>0.99250311401950797</v>
      </c>
      <c r="J7434" s="4">
        <f t="shared" si="265"/>
        <v>1.105583195135434E-4</v>
      </c>
      <c r="K7434" s="5">
        <f t="shared" si="266"/>
        <v>0.82166943062475672</v>
      </c>
    </row>
    <row r="7435" spans="1:11" x14ac:dyDescent="0.25">
      <c r="A7435" t="s">
        <v>14449</v>
      </c>
      <c r="C7435" t="s">
        <v>14450</v>
      </c>
      <c r="D7435" t="s">
        <v>5</v>
      </c>
      <c r="E7435" t="s">
        <v>6</v>
      </c>
      <c r="F7435" t="s">
        <v>251</v>
      </c>
      <c r="G7435">
        <v>1</v>
      </c>
      <c r="H7435" s="2">
        <f>Tabelle13[[#This Row],[commits]]/Tabelle13[[#Totals],[commits]]</f>
        <v>4.6477904404246225E-6</v>
      </c>
      <c r="I7435" s="5">
        <f>Tabelle13[[#This Row],[%]]+I7434</f>
        <v>0.99250776180994837</v>
      </c>
      <c r="J7435" s="4">
        <f t="shared" si="265"/>
        <v>1.105583195135434E-4</v>
      </c>
      <c r="K7435" s="5">
        <f t="shared" si="266"/>
        <v>0.82177998894427029</v>
      </c>
    </row>
    <row r="7436" spans="1:11" x14ac:dyDescent="0.25">
      <c r="A7436" t="s">
        <v>14451</v>
      </c>
      <c r="C7436" t="s">
        <v>14452</v>
      </c>
      <c r="D7436" t="s">
        <v>309</v>
      </c>
      <c r="E7436" t="s">
        <v>6</v>
      </c>
      <c r="F7436" t="s">
        <v>251</v>
      </c>
      <c r="G7436">
        <v>1</v>
      </c>
      <c r="H7436" s="2">
        <f>Tabelle13[[#This Row],[commits]]/Tabelle13[[#Totals],[commits]]</f>
        <v>4.6477904404246225E-6</v>
      </c>
      <c r="I7436" s="5">
        <f>Tabelle13[[#This Row],[%]]+I7435</f>
        <v>0.99251240960038878</v>
      </c>
      <c r="J7436" s="4">
        <f t="shared" si="265"/>
        <v>1.105583195135434E-4</v>
      </c>
      <c r="K7436" s="5">
        <f t="shared" si="266"/>
        <v>0.82189054726378385</v>
      </c>
    </row>
    <row r="7437" spans="1:11" x14ac:dyDescent="0.25">
      <c r="A7437" t="s">
        <v>14453</v>
      </c>
      <c r="C7437" t="s">
        <v>14454</v>
      </c>
      <c r="D7437" t="s">
        <v>5</v>
      </c>
      <c r="E7437" t="s">
        <v>6</v>
      </c>
      <c r="F7437" t="s">
        <v>251</v>
      </c>
      <c r="G7437">
        <v>1</v>
      </c>
      <c r="H7437" s="2">
        <f>Tabelle13[[#This Row],[commits]]/Tabelle13[[#Totals],[commits]]</f>
        <v>4.6477904404246225E-6</v>
      </c>
      <c r="I7437" s="5">
        <f>Tabelle13[[#This Row],[%]]+I7436</f>
        <v>0.99251705739082918</v>
      </c>
      <c r="J7437" s="4">
        <f t="shared" si="265"/>
        <v>1.105583195135434E-4</v>
      </c>
      <c r="K7437" s="5">
        <f t="shared" si="266"/>
        <v>0.82200110558329742</v>
      </c>
    </row>
    <row r="7438" spans="1:11" x14ac:dyDescent="0.25">
      <c r="A7438" t="s">
        <v>14455</v>
      </c>
      <c r="C7438" t="s">
        <v>14456</v>
      </c>
      <c r="D7438" t="s">
        <v>5</v>
      </c>
      <c r="E7438" t="s">
        <v>6</v>
      </c>
      <c r="F7438" t="s">
        <v>251</v>
      </c>
      <c r="G7438">
        <v>1</v>
      </c>
      <c r="H7438" s="2">
        <f>Tabelle13[[#This Row],[commits]]/Tabelle13[[#Totals],[commits]]</f>
        <v>4.6477904404246225E-6</v>
      </c>
      <c r="I7438" s="5">
        <f>Tabelle13[[#This Row],[%]]+I7437</f>
        <v>0.99252170518126959</v>
      </c>
      <c r="J7438" s="4">
        <f t="shared" si="265"/>
        <v>1.105583195135434E-4</v>
      </c>
      <c r="K7438" s="5">
        <f t="shared" si="266"/>
        <v>0.82211166390281099</v>
      </c>
    </row>
    <row r="7439" spans="1:11" x14ac:dyDescent="0.25">
      <c r="A7439" t="s">
        <v>14457</v>
      </c>
      <c r="C7439" t="s">
        <v>14458</v>
      </c>
      <c r="D7439" t="s">
        <v>309</v>
      </c>
      <c r="E7439" t="s">
        <v>6</v>
      </c>
      <c r="F7439" t="s">
        <v>251</v>
      </c>
      <c r="G7439">
        <v>1</v>
      </c>
      <c r="H7439" s="2">
        <f>Tabelle13[[#This Row],[commits]]/Tabelle13[[#Totals],[commits]]</f>
        <v>4.6477904404246225E-6</v>
      </c>
      <c r="I7439" s="5">
        <f>Tabelle13[[#This Row],[%]]+I7438</f>
        <v>0.99252635297170999</v>
      </c>
      <c r="J7439" s="4">
        <f t="shared" si="265"/>
        <v>1.105583195135434E-4</v>
      </c>
      <c r="K7439" s="5">
        <f t="shared" si="266"/>
        <v>0.82222222222232455</v>
      </c>
    </row>
    <row r="7440" spans="1:11" x14ac:dyDescent="0.25">
      <c r="A7440" t="s">
        <v>14459</v>
      </c>
      <c r="C7440" t="s">
        <v>14460</v>
      </c>
      <c r="D7440" t="s">
        <v>5</v>
      </c>
      <c r="E7440" t="s">
        <v>6</v>
      </c>
      <c r="F7440" t="s">
        <v>251</v>
      </c>
      <c r="G7440">
        <v>1</v>
      </c>
      <c r="H7440" s="2">
        <f>Tabelle13[[#This Row],[commits]]/Tabelle13[[#Totals],[commits]]</f>
        <v>4.6477904404246225E-6</v>
      </c>
      <c r="I7440" s="5">
        <f>Tabelle13[[#This Row],[%]]+I7439</f>
        <v>0.99253100076215039</v>
      </c>
      <c r="J7440" s="4">
        <f t="shared" si="265"/>
        <v>1.105583195135434E-4</v>
      </c>
      <c r="K7440" s="5">
        <f t="shared" si="266"/>
        <v>0.82233278054183812</v>
      </c>
    </row>
    <row r="7441" spans="1:11" x14ac:dyDescent="0.25">
      <c r="A7441" t="s">
        <v>14461</v>
      </c>
      <c r="C7441" t="s">
        <v>14462</v>
      </c>
      <c r="D7441" t="s">
        <v>5</v>
      </c>
      <c r="E7441" t="s">
        <v>6</v>
      </c>
      <c r="F7441" t="s">
        <v>251</v>
      </c>
      <c r="G7441">
        <v>1</v>
      </c>
      <c r="H7441" s="2">
        <f>Tabelle13[[#This Row],[commits]]/Tabelle13[[#Totals],[commits]]</f>
        <v>4.6477904404246225E-6</v>
      </c>
      <c r="I7441" s="5">
        <f>Tabelle13[[#This Row],[%]]+I7440</f>
        <v>0.9925356485525908</v>
      </c>
      <c r="J7441" s="4">
        <f t="shared" si="265"/>
        <v>1.105583195135434E-4</v>
      </c>
      <c r="K7441" s="5">
        <f t="shared" si="266"/>
        <v>0.82244333886135168</v>
      </c>
    </row>
    <row r="7442" spans="1:11" x14ac:dyDescent="0.25">
      <c r="A7442" t="s">
        <v>14463</v>
      </c>
      <c r="C7442" t="s">
        <v>14464</v>
      </c>
      <c r="D7442" t="s">
        <v>5</v>
      </c>
      <c r="E7442" t="s">
        <v>6</v>
      </c>
      <c r="F7442" t="s">
        <v>251</v>
      </c>
      <c r="G7442">
        <v>1</v>
      </c>
      <c r="H7442" s="2">
        <f>Tabelle13[[#This Row],[commits]]/Tabelle13[[#Totals],[commits]]</f>
        <v>4.6477904404246225E-6</v>
      </c>
      <c r="I7442" s="5">
        <f>Tabelle13[[#This Row],[%]]+I7441</f>
        <v>0.9925402963430312</v>
      </c>
      <c r="J7442" s="4">
        <f t="shared" si="265"/>
        <v>1.105583195135434E-4</v>
      </c>
      <c r="K7442" s="5">
        <f t="shared" si="266"/>
        <v>0.82255389718086525</v>
      </c>
    </row>
    <row r="7443" spans="1:11" x14ac:dyDescent="0.25">
      <c r="A7443" t="s">
        <v>14465</v>
      </c>
      <c r="C7443" t="s">
        <v>14466</v>
      </c>
      <c r="D7443" t="s">
        <v>9929</v>
      </c>
      <c r="E7443" t="s">
        <v>6</v>
      </c>
      <c r="F7443" t="s">
        <v>251</v>
      </c>
      <c r="G7443">
        <v>1</v>
      </c>
      <c r="H7443" s="2">
        <f>Tabelle13[[#This Row],[commits]]/Tabelle13[[#Totals],[commits]]</f>
        <v>4.6477904404246225E-6</v>
      </c>
      <c r="I7443" s="5">
        <f>Tabelle13[[#This Row],[%]]+I7442</f>
        <v>0.99254494413347161</v>
      </c>
      <c r="J7443" s="4">
        <f t="shared" si="265"/>
        <v>1.105583195135434E-4</v>
      </c>
      <c r="K7443" s="5">
        <f t="shared" si="266"/>
        <v>0.82266445550037881</v>
      </c>
    </row>
    <row r="7444" spans="1:11" x14ac:dyDescent="0.25">
      <c r="A7444" t="s">
        <v>14467</v>
      </c>
      <c r="C7444" t="s">
        <v>14468</v>
      </c>
      <c r="D7444" t="s">
        <v>14469</v>
      </c>
      <c r="E7444" t="s">
        <v>6</v>
      </c>
      <c r="F7444" t="s">
        <v>251</v>
      </c>
      <c r="G7444">
        <v>1</v>
      </c>
      <c r="H7444" s="2">
        <f>Tabelle13[[#This Row],[commits]]/Tabelle13[[#Totals],[commits]]</f>
        <v>4.6477904404246225E-6</v>
      </c>
      <c r="I7444" s="5">
        <f>Tabelle13[[#This Row],[%]]+I7443</f>
        <v>0.99254959192391201</v>
      </c>
      <c r="J7444" s="4">
        <f t="shared" si="265"/>
        <v>1.105583195135434E-4</v>
      </c>
      <c r="K7444" s="5">
        <f t="shared" si="266"/>
        <v>0.82277501381989238</v>
      </c>
    </row>
    <row r="7445" spans="1:11" x14ac:dyDescent="0.25">
      <c r="A7445" t="s">
        <v>14470</v>
      </c>
      <c r="C7445" t="s">
        <v>14471</v>
      </c>
      <c r="D7445" t="s">
        <v>5</v>
      </c>
      <c r="E7445" t="s">
        <v>6</v>
      </c>
      <c r="F7445" t="s">
        <v>251</v>
      </c>
      <c r="G7445">
        <v>1</v>
      </c>
      <c r="H7445" s="2">
        <f>Tabelle13[[#This Row],[commits]]/Tabelle13[[#Totals],[commits]]</f>
        <v>4.6477904404246225E-6</v>
      </c>
      <c r="I7445" s="5">
        <f>Tabelle13[[#This Row],[%]]+I7444</f>
        <v>0.99255423971435242</v>
      </c>
      <c r="J7445" s="4">
        <f t="shared" si="265"/>
        <v>1.105583195135434E-4</v>
      </c>
      <c r="K7445" s="5">
        <f t="shared" si="266"/>
        <v>0.82288557213940594</v>
      </c>
    </row>
    <row r="7446" spans="1:11" x14ac:dyDescent="0.25">
      <c r="A7446" t="s">
        <v>14472</v>
      </c>
      <c r="C7446" t="s">
        <v>14473</v>
      </c>
      <c r="D7446" t="s">
        <v>5</v>
      </c>
      <c r="E7446" t="s">
        <v>6</v>
      </c>
      <c r="F7446" t="s">
        <v>251</v>
      </c>
      <c r="G7446">
        <v>1</v>
      </c>
      <c r="H7446" s="2">
        <f>Tabelle13[[#This Row],[commits]]/Tabelle13[[#Totals],[commits]]</f>
        <v>4.6477904404246225E-6</v>
      </c>
      <c r="I7446" s="5">
        <f>Tabelle13[[#This Row],[%]]+I7445</f>
        <v>0.99255888750479282</v>
      </c>
      <c r="J7446" s="4">
        <f t="shared" si="265"/>
        <v>1.105583195135434E-4</v>
      </c>
      <c r="K7446" s="5">
        <f t="shared" si="266"/>
        <v>0.82299613045891951</v>
      </c>
    </row>
    <row r="7447" spans="1:11" x14ac:dyDescent="0.25">
      <c r="A7447" t="s">
        <v>14474</v>
      </c>
      <c r="C7447" t="s">
        <v>14475</v>
      </c>
      <c r="D7447" t="s">
        <v>5</v>
      </c>
      <c r="E7447" t="s">
        <v>6</v>
      </c>
      <c r="F7447" t="s">
        <v>251</v>
      </c>
      <c r="G7447">
        <v>1</v>
      </c>
      <c r="H7447" s="2">
        <f>Tabelle13[[#This Row],[commits]]/Tabelle13[[#Totals],[commits]]</f>
        <v>4.6477904404246225E-6</v>
      </c>
      <c r="I7447" s="5">
        <f>Tabelle13[[#This Row],[%]]+I7446</f>
        <v>0.99256353529523322</v>
      </c>
      <c r="J7447" s="4">
        <f t="shared" si="265"/>
        <v>1.105583195135434E-4</v>
      </c>
      <c r="K7447" s="5">
        <f t="shared" si="266"/>
        <v>0.82310668877843307</v>
      </c>
    </row>
    <row r="7448" spans="1:11" x14ac:dyDescent="0.25">
      <c r="A7448" t="s">
        <v>14476</v>
      </c>
      <c r="C7448" t="s">
        <v>14477</v>
      </c>
      <c r="D7448" t="s">
        <v>5</v>
      </c>
      <c r="E7448" t="s">
        <v>6</v>
      </c>
      <c r="F7448" t="s">
        <v>251</v>
      </c>
      <c r="G7448">
        <v>1</v>
      </c>
      <c r="H7448" s="2">
        <f>Tabelle13[[#This Row],[commits]]/Tabelle13[[#Totals],[commits]]</f>
        <v>4.6477904404246225E-6</v>
      </c>
      <c r="I7448" s="5">
        <f>Tabelle13[[#This Row],[%]]+I7447</f>
        <v>0.99256818308567363</v>
      </c>
      <c r="J7448" s="4">
        <f t="shared" si="265"/>
        <v>1.105583195135434E-4</v>
      </c>
      <c r="K7448" s="5">
        <f t="shared" si="266"/>
        <v>0.82321724709794664</v>
      </c>
    </row>
    <row r="7449" spans="1:11" x14ac:dyDescent="0.25">
      <c r="A7449" t="s">
        <v>14478</v>
      </c>
      <c r="C7449" t="s">
        <v>14479</v>
      </c>
      <c r="D7449" t="s">
        <v>5</v>
      </c>
      <c r="E7449" t="s">
        <v>6</v>
      </c>
      <c r="F7449" t="s">
        <v>251</v>
      </c>
      <c r="G7449">
        <v>1</v>
      </c>
      <c r="H7449" s="2">
        <f>Tabelle13[[#This Row],[commits]]/Tabelle13[[#Totals],[commits]]</f>
        <v>4.6477904404246225E-6</v>
      </c>
      <c r="I7449" s="5">
        <f>Tabelle13[[#This Row],[%]]+I7448</f>
        <v>0.99257283087611403</v>
      </c>
      <c r="J7449" s="4">
        <f t="shared" si="265"/>
        <v>1.105583195135434E-4</v>
      </c>
      <c r="K7449" s="5">
        <f t="shared" si="266"/>
        <v>0.8233278054174602</v>
      </c>
    </row>
    <row r="7450" spans="1:11" x14ac:dyDescent="0.25">
      <c r="A7450" t="s">
        <v>14480</v>
      </c>
      <c r="C7450" t="s">
        <v>14481</v>
      </c>
      <c r="D7450" t="s">
        <v>5</v>
      </c>
      <c r="E7450" t="s">
        <v>6</v>
      </c>
      <c r="F7450" t="s">
        <v>251</v>
      </c>
      <c r="G7450">
        <v>1</v>
      </c>
      <c r="H7450" s="2">
        <f>Tabelle13[[#This Row],[commits]]/Tabelle13[[#Totals],[commits]]</f>
        <v>4.6477904404246225E-6</v>
      </c>
      <c r="I7450" s="5">
        <f>Tabelle13[[#This Row],[%]]+I7449</f>
        <v>0.99257747866655444</v>
      </c>
      <c r="J7450" s="4">
        <f t="shared" si="265"/>
        <v>1.105583195135434E-4</v>
      </c>
      <c r="K7450" s="5">
        <f t="shared" si="266"/>
        <v>0.82343836373697377</v>
      </c>
    </row>
    <row r="7451" spans="1:11" x14ac:dyDescent="0.25">
      <c r="A7451" t="s">
        <v>14482</v>
      </c>
      <c r="C7451" t="s">
        <v>14483</v>
      </c>
      <c r="D7451" t="s">
        <v>5</v>
      </c>
      <c r="E7451" t="s">
        <v>6</v>
      </c>
      <c r="F7451" t="s">
        <v>251</v>
      </c>
      <c r="G7451">
        <v>1</v>
      </c>
      <c r="H7451" s="2">
        <f>Tabelle13[[#This Row],[commits]]/Tabelle13[[#Totals],[commits]]</f>
        <v>4.6477904404246225E-6</v>
      </c>
      <c r="I7451" s="5">
        <f>Tabelle13[[#This Row],[%]]+I7450</f>
        <v>0.99258212645699484</v>
      </c>
      <c r="J7451" s="4">
        <f t="shared" si="265"/>
        <v>1.105583195135434E-4</v>
      </c>
      <c r="K7451" s="5">
        <f t="shared" si="266"/>
        <v>0.82354892205648733</v>
      </c>
    </row>
    <row r="7452" spans="1:11" x14ac:dyDescent="0.25">
      <c r="A7452" t="s">
        <v>14484</v>
      </c>
      <c r="C7452" t="s">
        <v>14485</v>
      </c>
      <c r="D7452" t="s">
        <v>9633</v>
      </c>
      <c r="E7452" t="s">
        <v>6</v>
      </c>
      <c r="F7452" t="s">
        <v>251</v>
      </c>
      <c r="G7452">
        <v>1</v>
      </c>
      <c r="H7452" s="2">
        <f>Tabelle13[[#This Row],[commits]]/Tabelle13[[#Totals],[commits]]</f>
        <v>4.6477904404246225E-6</v>
      </c>
      <c r="I7452" s="5">
        <f>Tabelle13[[#This Row],[%]]+I7451</f>
        <v>0.99258677424743524</v>
      </c>
      <c r="J7452" s="4">
        <f t="shared" si="265"/>
        <v>1.105583195135434E-4</v>
      </c>
      <c r="K7452" s="5">
        <f t="shared" si="266"/>
        <v>0.8236594803760009</v>
      </c>
    </row>
    <row r="7453" spans="1:11" x14ac:dyDescent="0.25">
      <c r="A7453" t="s">
        <v>14486</v>
      </c>
      <c r="C7453" t="s">
        <v>14487</v>
      </c>
      <c r="D7453" t="s">
        <v>5</v>
      </c>
      <c r="E7453" t="s">
        <v>6</v>
      </c>
      <c r="F7453" t="s">
        <v>251</v>
      </c>
      <c r="G7453">
        <v>1</v>
      </c>
      <c r="H7453" s="2">
        <f>Tabelle13[[#This Row],[commits]]/Tabelle13[[#Totals],[commits]]</f>
        <v>4.6477904404246225E-6</v>
      </c>
      <c r="I7453" s="5">
        <f>Tabelle13[[#This Row],[%]]+I7452</f>
        <v>0.99259142203787565</v>
      </c>
      <c r="J7453" s="4">
        <f t="shared" si="265"/>
        <v>1.105583195135434E-4</v>
      </c>
      <c r="K7453" s="5">
        <f t="shared" si="266"/>
        <v>0.82377003869551446</v>
      </c>
    </row>
    <row r="7454" spans="1:11" x14ac:dyDescent="0.25">
      <c r="A7454" t="s">
        <v>14488</v>
      </c>
      <c r="C7454" t="s">
        <v>14489</v>
      </c>
      <c r="D7454" t="s">
        <v>5</v>
      </c>
      <c r="E7454" t="s">
        <v>6</v>
      </c>
      <c r="F7454" t="s">
        <v>251</v>
      </c>
      <c r="G7454">
        <v>1</v>
      </c>
      <c r="H7454" s="2">
        <f>Tabelle13[[#This Row],[commits]]/Tabelle13[[#Totals],[commits]]</f>
        <v>4.6477904404246225E-6</v>
      </c>
      <c r="I7454" s="5">
        <f>Tabelle13[[#This Row],[%]]+I7453</f>
        <v>0.99259606982831605</v>
      </c>
      <c r="J7454" s="4">
        <f t="shared" si="265"/>
        <v>1.105583195135434E-4</v>
      </c>
      <c r="K7454" s="5">
        <f t="shared" si="266"/>
        <v>0.82388059701502803</v>
      </c>
    </row>
    <row r="7455" spans="1:11" x14ac:dyDescent="0.25">
      <c r="A7455" t="s">
        <v>14490</v>
      </c>
      <c r="C7455" t="s">
        <v>14491</v>
      </c>
      <c r="D7455" t="s">
        <v>309</v>
      </c>
      <c r="E7455" t="s">
        <v>6</v>
      </c>
      <c r="F7455" t="s">
        <v>251</v>
      </c>
      <c r="G7455">
        <v>1</v>
      </c>
      <c r="H7455" s="2">
        <f>Tabelle13[[#This Row],[commits]]/Tabelle13[[#Totals],[commits]]</f>
        <v>4.6477904404246225E-6</v>
      </c>
      <c r="I7455" s="5">
        <f>Tabelle13[[#This Row],[%]]+I7454</f>
        <v>0.99260071761875646</v>
      </c>
      <c r="J7455" s="4">
        <f t="shared" si="265"/>
        <v>1.105583195135434E-4</v>
      </c>
      <c r="K7455" s="5">
        <f t="shared" si="266"/>
        <v>0.82399115533454159</v>
      </c>
    </row>
    <row r="7456" spans="1:11" x14ac:dyDescent="0.25">
      <c r="A7456" t="s">
        <v>14492</v>
      </c>
      <c r="C7456" t="s">
        <v>14493</v>
      </c>
      <c r="D7456" t="s">
        <v>309</v>
      </c>
      <c r="E7456" t="s">
        <v>6</v>
      </c>
      <c r="F7456" t="s">
        <v>251</v>
      </c>
      <c r="G7456">
        <v>1</v>
      </c>
      <c r="H7456" s="2">
        <f>Tabelle13[[#This Row],[commits]]/Tabelle13[[#Totals],[commits]]</f>
        <v>4.6477904404246225E-6</v>
      </c>
      <c r="I7456" s="5">
        <f>Tabelle13[[#This Row],[%]]+I7455</f>
        <v>0.99260536540919686</v>
      </c>
      <c r="J7456" s="4">
        <f t="shared" si="265"/>
        <v>1.105583195135434E-4</v>
      </c>
      <c r="K7456" s="5">
        <f t="shared" si="266"/>
        <v>0.82410171365405516</v>
      </c>
    </row>
    <row r="7457" spans="1:11" x14ac:dyDescent="0.25">
      <c r="A7457" t="s">
        <v>14494</v>
      </c>
      <c r="C7457" t="s">
        <v>14495</v>
      </c>
      <c r="D7457" t="s">
        <v>5</v>
      </c>
      <c r="E7457" t="s">
        <v>6</v>
      </c>
      <c r="F7457" t="s">
        <v>251</v>
      </c>
      <c r="G7457">
        <v>1</v>
      </c>
      <c r="H7457" s="2">
        <f>Tabelle13[[#This Row],[commits]]/Tabelle13[[#Totals],[commits]]</f>
        <v>4.6477904404246225E-6</v>
      </c>
      <c r="I7457" s="5">
        <f>Tabelle13[[#This Row],[%]]+I7456</f>
        <v>0.99261001319963726</v>
      </c>
      <c r="J7457" s="4">
        <f t="shared" si="265"/>
        <v>1.105583195135434E-4</v>
      </c>
      <c r="K7457" s="5">
        <f t="shared" si="266"/>
        <v>0.82421227197356872</v>
      </c>
    </row>
    <row r="7458" spans="1:11" x14ac:dyDescent="0.25">
      <c r="A7458" t="s">
        <v>14496</v>
      </c>
      <c r="C7458" t="s">
        <v>14497</v>
      </c>
      <c r="D7458" t="s">
        <v>5</v>
      </c>
      <c r="E7458" t="s">
        <v>6</v>
      </c>
      <c r="F7458" t="s">
        <v>251</v>
      </c>
      <c r="G7458">
        <v>1</v>
      </c>
      <c r="H7458" s="2">
        <f>Tabelle13[[#This Row],[commits]]/Tabelle13[[#Totals],[commits]]</f>
        <v>4.6477904404246225E-6</v>
      </c>
      <c r="I7458" s="5">
        <f>Tabelle13[[#This Row],[%]]+I7457</f>
        <v>0.99261466099007767</v>
      </c>
      <c r="J7458" s="4">
        <f t="shared" si="265"/>
        <v>1.105583195135434E-4</v>
      </c>
      <c r="K7458" s="5">
        <f t="shared" si="266"/>
        <v>0.82432283029308229</v>
      </c>
    </row>
    <row r="7459" spans="1:11" x14ac:dyDescent="0.25">
      <c r="A7459" t="s">
        <v>14498</v>
      </c>
      <c r="C7459" t="s">
        <v>14499</v>
      </c>
      <c r="D7459" t="s">
        <v>5</v>
      </c>
      <c r="E7459" t="s">
        <v>6</v>
      </c>
      <c r="F7459" t="s">
        <v>251</v>
      </c>
      <c r="G7459">
        <v>1</v>
      </c>
      <c r="H7459" s="2">
        <f>Tabelle13[[#This Row],[commits]]/Tabelle13[[#Totals],[commits]]</f>
        <v>4.6477904404246225E-6</v>
      </c>
      <c r="I7459" s="5">
        <f>Tabelle13[[#This Row],[%]]+I7458</f>
        <v>0.99261930878051807</v>
      </c>
      <c r="J7459" s="4">
        <f t="shared" si="265"/>
        <v>1.105583195135434E-4</v>
      </c>
      <c r="K7459" s="5">
        <f t="shared" si="266"/>
        <v>0.82443338861259585</v>
      </c>
    </row>
    <row r="7460" spans="1:11" x14ac:dyDescent="0.25">
      <c r="A7460" t="s">
        <v>14500</v>
      </c>
      <c r="C7460" t="s">
        <v>14501</v>
      </c>
      <c r="D7460" t="s">
        <v>14502</v>
      </c>
      <c r="E7460" t="s">
        <v>6</v>
      </c>
      <c r="F7460" t="s">
        <v>251</v>
      </c>
      <c r="G7460">
        <v>1</v>
      </c>
      <c r="H7460" s="2">
        <f>Tabelle13[[#This Row],[commits]]/Tabelle13[[#Totals],[commits]]</f>
        <v>4.6477904404246225E-6</v>
      </c>
      <c r="I7460" s="5">
        <f>Tabelle13[[#This Row],[%]]+I7459</f>
        <v>0.99262395657095848</v>
      </c>
      <c r="J7460" s="4">
        <f t="shared" si="265"/>
        <v>1.105583195135434E-4</v>
      </c>
      <c r="K7460" s="5">
        <f t="shared" si="266"/>
        <v>0.82454394693210942</v>
      </c>
    </row>
    <row r="7461" spans="1:11" x14ac:dyDescent="0.25">
      <c r="A7461" t="s">
        <v>14503</v>
      </c>
      <c r="C7461" t="s">
        <v>14504</v>
      </c>
      <c r="D7461" t="s">
        <v>5</v>
      </c>
      <c r="E7461" t="s">
        <v>6</v>
      </c>
      <c r="F7461" t="s">
        <v>251</v>
      </c>
      <c r="G7461">
        <v>1</v>
      </c>
      <c r="H7461" s="2">
        <f>Tabelle13[[#This Row],[commits]]/Tabelle13[[#Totals],[commits]]</f>
        <v>4.6477904404246225E-6</v>
      </c>
      <c r="I7461" s="5">
        <f>Tabelle13[[#This Row],[%]]+I7460</f>
        <v>0.99262860436139888</v>
      </c>
      <c r="J7461" s="4">
        <f t="shared" si="265"/>
        <v>1.105583195135434E-4</v>
      </c>
      <c r="K7461" s="5">
        <f t="shared" si="266"/>
        <v>0.82465450525162298</v>
      </c>
    </row>
    <row r="7462" spans="1:11" x14ac:dyDescent="0.25">
      <c r="A7462" t="s">
        <v>14505</v>
      </c>
      <c r="C7462" t="s">
        <v>14506</v>
      </c>
      <c r="D7462" t="s">
        <v>5</v>
      </c>
      <c r="E7462" t="s">
        <v>6</v>
      </c>
      <c r="F7462" t="s">
        <v>251</v>
      </c>
      <c r="G7462">
        <v>1</v>
      </c>
      <c r="H7462" s="2">
        <f>Tabelle13[[#This Row],[commits]]/Tabelle13[[#Totals],[commits]]</f>
        <v>4.6477904404246225E-6</v>
      </c>
      <c r="I7462" s="5">
        <f>Tabelle13[[#This Row],[%]]+I7461</f>
        <v>0.99263325215183928</v>
      </c>
      <c r="J7462" s="4">
        <f t="shared" si="265"/>
        <v>1.105583195135434E-4</v>
      </c>
      <c r="K7462" s="5">
        <f t="shared" si="266"/>
        <v>0.82476506357113655</v>
      </c>
    </row>
    <row r="7463" spans="1:11" x14ac:dyDescent="0.25">
      <c r="A7463" t="s">
        <v>14507</v>
      </c>
      <c r="C7463" t="s">
        <v>9089</v>
      </c>
      <c r="D7463" t="s">
        <v>5</v>
      </c>
      <c r="E7463" t="s">
        <v>6</v>
      </c>
      <c r="F7463" t="s">
        <v>251</v>
      </c>
      <c r="G7463">
        <v>1</v>
      </c>
      <c r="H7463" s="2">
        <f>Tabelle13[[#This Row],[commits]]/Tabelle13[[#Totals],[commits]]</f>
        <v>4.6477904404246225E-6</v>
      </c>
      <c r="I7463" s="5">
        <f>Tabelle13[[#This Row],[%]]+I7462</f>
        <v>0.99263789994227969</v>
      </c>
      <c r="J7463" s="4">
        <f t="shared" si="265"/>
        <v>1.105583195135434E-4</v>
      </c>
      <c r="K7463" s="5">
        <f t="shared" si="266"/>
        <v>0.82487562189065011</v>
      </c>
    </row>
    <row r="7464" spans="1:11" x14ac:dyDescent="0.25">
      <c r="A7464" t="s">
        <v>14508</v>
      </c>
      <c r="C7464" t="s">
        <v>14509</v>
      </c>
      <c r="D7464" t="s">
        <v>5</v>
      </c>
      <c r="E7464" t="s">
        <v>6</v>
      </c>
      <c r="F7464" t="s">
        <v>251</v>
      </c>
      <c r="G7464">
        <v>1</v>
      </c>
      <c r="H7464" s="2">
        <f>Tabelle13[[#This Row],[commits]]/Tabelle13[[#Totals],[commits]]</f>
        <v>4.6477904404246225E-6</v>
      </c>
      <c r="I7464" s="5">
        <f>Tabelle13[[#This Row],[%]]+I7463</f>
        <v>0.99264254773272009</v>
      </c>
      <c r="J7464" s="4">
        <f t="shared" si="265"/>
        <v>1.105583195135434E-4</v>
      </c>
      <c r="K7464" s="5">
        <f t="shared" si="266"/>
        <v>0.82498618021016368</v>
      </c>
    </row>
    <row r="7465" spans="1:11" x14ac:dyDescent="0.25">
      <c r="A7465" t="s">
        <v>14510</v>
      </c>
      <c r="C7465" t="s">
        <v>14511</v>
      </c>
      <c r="D7465" t="s">
        <v>5</v>
      </c>
      <c r="E7465" t="s">
        <v>6</v>
      </c>
      <c r="F7465" t="s">
        <v>251</v>
      </c>
      <c r="G7465">
        <v>1</v>
      </c>
      <c r="H7465" s="2">
        <f>Tabelle13[[#This Row],[commits]]/Tabelle13[[#Totals],[commits]]</f>
        <v>4.6477904404246225E-6</v>
      </c>
      <c r="I7465" s="5">
        <f>Tabelle13[[#This Row],[%]]+I7464</f>
        <v>0.9926471955231605</v>
      </c>
      <c r="J7465" s="4">
        <f t="shared" si="265"/>
        <v>1.105583195135434E-4</v>
      </c>
      <c r="K7465" s="5">
        <f t="shared" si="266"/>
        <v>0.82509673852967724</v>
      </c>
    </row>
    <row r="7466" spans="1:11" x14ac:dyDescent="0.25">
      <c r="A7466" t="s">
        <v>14512</v>
      </c>
      <c r="C7466" t="s">
        <v>14513</v>
      </c>
      <c r="D7466" t="s">
        <v>8948</v>
      </c>
      <c r="E7466" t="s">
        <v>6</v>
      </c>
      <c r="F7466" t="s">
        <v>251</v>
      </c>
      <c r="G7466">
        <v>1</v>
      </c>
      <c r="H7466" s="2">
        <f>Tabelle13[[#This Row],[commits]]/Tabelle13[[#Totals],[commits]]</f>
        <v>4.6477904404246225E-6</v>
      </c>
      <c r="I7466" s="5">
        <f>Tabelle13[[#This Row],[%]]+I7465</f>
        <v>0.9926518433136009</v>
      </c>
      <c r="J7466" s="4">
        <f t="shared" si="265"/>
        <v>1.105583195135434E-4</v>
      </c>
      <c r="K7466" s="5">
        <f t="shared" si="266"/>
        <v>0.82520729684919081</v>
      </c>
    </row>
    <row r="7467" spans="1:11" x14ac:dyDescent="0.25">
      <c r="A7467" t="s">
        <v>14514</v>
      </c>
      <c r="C7467" t="s">
        <v>14515</v>
      </c>
      <c r="D7467" t="s">
        <v>5</v>
      </c>
      <c r="E7467" t="s">
        <v>6</v>
      </c>
      <c r="F7467" t="s">
        <v>251</v>
      </c>
      <c r="G7467">
        <v>1</v>
      </c>
      <c r="H7467" s="2">
        <f>Tabelle13[[#This Row],[commits]]/Tabelle13[[#Totals],[commits]]</f>
        <v>4.6477904404246225E-6</v>
      </c>
      <c r="I7467" s="5">
        <f>Tabelle13[[#This Row],[%]]+I7466</f>
        <v>0.99265649110404131</v>
      </c>
      <c r="J7467" s="4">
        <f t="shared" si="265"/>
        <v>1.105583195135434E-4</v>
      </c>
      <c r="K7467" s="5">
        <f t="shared" si="266"/>
        <v>0.82531785516870437</v>
      </c>
    </row>
    <row r="7468" spans="1:11" x14ac:dyDescent="0.25">
      <c r="A7468" t="s">
        <v>14516</v>
      </c>
      <c r="C7468" t="s">
        <v>14517</v>
      </c>
      <c r="D7468" t="s">
        <v>5</v>
      </c>
      <c r="E7468" t="s">
        <v>6</v>
      </c>
      <c r="F7468" t="s">
        <v>251</v>
      </c>
      <c r="G7468">
        <v>1</v>
      </c>
      <c r="H7468" s="2">
        <f>Tabelle13[[#This Row],[commits]]/Tabelle13[[#Totals],[commits]]</f>
        <v>4.6477904404246225E-6</v>
      </c>
      <c r="I7468" s="5">
        <f>Tabelle13[[#This Row],[%]]+I7467</f>
        <v>0.99266113889448171</v>
      </c>
      <c r="J7468" s="4">
        <f t="shared" si="265"/>
        <v>1.105583195135434E-4</v>
      </c>
      <c r="K7468" s="5">
        <f t="shared" si="266"/>
        <v>0.82542841348821794</v>
      </c>
    </row>
    <row r="7469" spans="1:11" x14ac:dyDescent="0.25">
      <c r="A7469" t="s">
        <v>14518</v>
      </c>
      <c r="C7469" t="s">
        <v>14519</v>
      </c>
      <c r="D7469" t="s">
        <v>5</v>
      </c>
      <c r="E7469" t="s">
        <v>6</v>
      </c>
      <c r="F7469" t="s">
        <v>251</v>
      </c>
      <c r="G7469">
        <v>1</v>
      </c>
      <c r="H7469" s="2">
        <f>Tabelle13[[#This Row],[commits]]/Tabelle13[[#Totals],[commits]]</f>
        <v>4.6477904404246225E-6</v>
      </c>
      <c r="I7469" s="5">
        <f>Tabelle13[[#This Row],[%]]+I7468</f>
        <v>0.99266578668492211</v>
      </c>
      <c r="J7469" s="4">
        <f t="shared" si="265"/>
        <v>1.105583195135434E-4</v>
      </c>
      <c r="K7469" s="5">
        <f t="shared" si="266"/>
        <v>0.8255389718077315</v>
      </c>
    </row>
    <row r="7470" spans="1:11" x14ac:dyDescent="0.25">
      <c r="A7470" t="s">
        <v>14520</v>
      </c>
      <c r="C7470" t="s">
        <v>14521</v>
      </c>
      <c r="D7470" t="s">
        <v>5</v>
      </c>
      <c r="E7470" t="s">
        <v>6</v>
      </c>
      <c r="F7470" t="s">
        <v>251</v>
      </c>
      <c r="G7470">
        <v>1</v>
      </c>
      <c r="H7470" s="2">
        <f>Tabelle13[[#This Row],[commits]]/Tabelle13[[#Totals],[commits]]</f>
        <v>4.6477904404246225E-6</v>
      </c>
      <c r="I7470" s="5">
        <f>Tabelle13[[#This Row],[%]]+I7469</f>
        <v>0.99267043447536252</v>
      </c>
      <c r="J7470" s="4">
        <f t="shared" si="265"/>
        <v>1.105583195135434E-4</v>
      </c>
      <c r="K7470" s="5">
        <f t="shared" si="266"/>
        <v>0.82564953012724507</v>
      </c>
    </row>
    <row r="7471" spans="1:11" x14ac:dyDescent="0.25">
      <c r="A7471" t="s">
        <v>14522</v>
      </c>
      <c r="C7471" t="s">
        <v>14523</v>
      </c>
      <c r="D7471" t="s">
        <v>5</v>
      </c>
      <c r="E7471" t="s">
        <v>6</v>
      </c>
      <c r="F7471" t="s">
        <v>251</v>
      </c>
      <c r="G7471">
        <v>1</v>
      </c>
      <c r="H7471" s="2">
        <f>Tabelle13[[#This Row],[commits]]/Tabelle13[[#Totals],[commits]]</f>
        <v>4.6477904404246225E-6</v>
      </c>
      <c r="I7471" s="5">
        <f>Tabelle13[[#This Row],[%]]+I7470</f>
        <v>0.99267508226580292</v>
      </c>
      <c r="J7471" s="4">
        <f t="shared" si="265"/>
        <v>1.105583195135434E-4</v>
      </c>
      <c r="K7471" s="5">
        <f t="shared" si="266"/>
        <v>0.82576008844675863</v>
      </c>
    </row>
    <row r="7472" spans="1:11" x14ac:dyDescent="0.25">
      <c r="A7472" t="s">
        <v>14524</v>
      </c>
      <c r="C7472" t="s">
        <v>14525</v>
      </c>
      <c r="D7472" t="s">
        <v>5</v>
      </c>
      <c r="E7472" t="s">
        <v>6</v>
      </c>
      <c r="F7472" t="s">
        <v>251</v>
      </c>
      <c r="G7472">
        <v>1</v>
      </c>
      <c r="H7472" s="2">
        <f>Tabelle13[[#This Row],[commits]]/Tabelle13[[#Totals],[commits]]</f>
        <v>4.6477904404246225E-6</v>
      </c>
      <c r="I7472" s="5">
        <f>Tabelle13[[#This Row],[%]]+I7471</f>
        <v>0.99267973005624333</v>
      </c>
      <c r="J7472" s="4">
        <f t="shared" si="265"/>
        <v>1.105583195135434E-4</v>
      </c>
      <c r="K7472" s="5">
        <f t="shared" si="266"/>
        <v>0.8258706467662722</v>
      </c>
    </row>
    <row r="7473" spans="1:11" x14ac:dyDescent="0.25">
      <c r="A7473" t="s">
        <v>14526</v>
      </c>
      <c r="C7473" t="s">
        <v>14527</v>
      </c>
      <c r="D7473" t="s">
        <v>5</v>
      </c>
      <c r="E7473" t="s">
        <v>6</v>
      </c>
      <c r="F7473" t="s">
        <v>251</v>
      </c>
      <c r="G7473">
        <v>1</v>
      </c>
      <c r="H7473" s="2">
        <f>Tabelle13[[#This Row],[commits]]/Tabelle13[[#Totals],[commits]]</f>
        <v>4.6477904404246225E-6</v>
      </c>
      <c r="I7473" s="5">
        <f>Tabelle13[[#This Row],[%]]+I7472</f>
        <v>0.99268437784668373</v>
      </c>
      <c r="J7473" s="4">
        <f t="shared" si="265"/>
        <v>1.105583195135434E-4</v>
      </c>
      <c r="K7473" s="5">
        <f t="shared" si="266"/>
        <v>0.82598120508578576</v>
      </c>
    </row>
    <row r="7474" spans="1:11" x14ac:dyDescent="0.25">
      <c r="A7474" t="s">
        <v>14528</v>
      </c>
      <c r="C7474">
        <v>2013103902</v>
      </c>
      <c r="D7474" t="s">
        <v>5</v>
      </c>
      <c r="E7474" t="s">
        <v>6</v>
      </c>
      <c r="F7474" t="s">
        <v>251</v>
      </c>
      <c r="G7474">
        <v>1</v>
      </c>
      <c r="H7474" s="2">
        <f>Tabelle13[[#This Row],[commits]]/Tabelle13[[#Totals],[commits]]</f>
        <v>4.6477904404246225E-6</v>
      </c>
      <c r="I7474" s="5">
        <f>Tabelle13[[#This Row],[%]]+I7473</f>
        <v>0.99268902563712413</v>
      </c>
      <c r="J7474" s="4">
        <f t="shared" si="265"/>
        <v>1.105583195135434E-4</v>
      </c>
      <c r="K7474" s="5">
        <f t="shared" si="266"/>
        <v>0.82609176340529933</v>
      </c>
    </row>
    <row r="7475" spans="1:11" x14ac:dyDescent="0.25">
      <c r="A7475" t="s">
        <v>14529</v>
      </c>
      <c r="C7475" t="s">
        <v>14530</v>
      </c>
      <c r="D7475" t="s">
        <v>5</v>
      </c>
      <c r="E7475" t="s">
        <v>6</v>
      </c>
      <c r="F7475" t="s">
        <v>251</v>
      </c>
      <c r="G7475">
        <v>1</v>
      </c>
      <c r="H7475" s="2">
        <f>Tabelle13[[#This Row],[commits]]/Tabelle13[[#Totals],[commits]]</f>
        <v>4.6477904404246225E-6</v>
      </c>
      <c r="I7475" s="5">
        <f>Tabelle13[[#This Row],[%]]+I7474</f>
        <v>0.99269367342756454</v>
      </c>
      <c r="J7475" s="4">
        <f t="shared" si="265"/>
        <v>1.105583195135434E-4</v>
      </c>
      <c r="K7475" s="5">
        <f t="shared" si="266"/>
        <v>0.82620232172481289</v>
      </c>
    </row>
    <row r="7476" spans="1:11" x14ac:dyDescent="0.25">
      <c r="A7476" t="s">
        <v>14531</v>
      </c>
      <c r="C7476" t="s">
        <v>14532</v>
      </c>
      <c r="D7476" t="s">
        <v>5</v>
      </c>
      <c r="E7476" t="s">
        <v>6</v>
      </c>
      <c r="F7476" t="s">
        <v>251</v>
      </c>
      <c r="G7476">
        <v>1</v>
      </c>
      <c r="H7476" s="2">
        <f>Tabelle13[[#This Row],[commits]]/Tabelle13[[#Totals],[commits]]</f>
        <v>4.6477904404246225E-6</v>
      </c>
      <c r="I7476" s="5">
        <f>Tabelle13[[#This Row],[%]]+I7475</f>
        <v>0.99269832121800494</v>
      </c>
      <c r="J7476" s="4">
        <f t="shared" si="265"/>
        <v>1.105583195135434E-4</v>
      </c>
      <c r="K7476" s="5">
        <f t="shared" si="266"/>
        <v>0.82631288004432646</v>
      </c>
    </row>
    <row r="7477" spans="1:11" x14ac:dyDescent="0.25">
      <c r="A7477" t="s">
        <v>14533</v>
      </c>
      <c r="C7477" t="s">
        <v>14534</v>
      </c>
      <c r="D7477" t="s">
        <v>14535</v>
      </c>
      <c r="E7477" t="s">
        <v>6</v>
      </c>
      <c r="F7477" t="s">
        <v>251</v>
      </c>
      <c r="G7477">
        <v>1</v>
      </c>
      <c r="H7477" s="2">
        <f>Tabelle13[[#This Row],[commits]]/Tabelle13[[#Totals],[commits]]</f>
        <v>4.6477904404246225E-6</v>
      </c>
      <c r="I7477" s="5">
        <f>Tabelle13[[#This Row],[%]]+I7476</f>
        <v>0.99270296900844535</v>
      </c>
      <c r="J7477" s="4">
        <f t="shared" si="265"/>
        <v>1.105583195135434E-4</v>
      </c>
      <c r="K7477" s="5">
        <f t="shared" si="266"/>
        <v>0.82642343836384002</v>
      </c>
    </row>
    <row r="7478" spans="1:11" x14ac:dyDescent="0.25">
      <c r="A7478" t="s">
        <v>14536</v>
      </c>
      <c r="C7478" t="s">
        <v>315</v>
      </c>
      <c r="D7478" t="s">
        <v>5</v>
      </c>
      <c r="E7478" t="s">
        <v>6</v>
      </c>
      <c r="F7478" t="s">
        <v>251</v>
      </c>
      <c r="G7478">
        <v>1</v>
      </c>
      <c r="H7478" s="2">
        <f>Tabelle13[[#This Row],[commits]]/Tabelle13[[#Totals],[commits]]</f>
        <v>4.6477904404246225E-6</v>
      </c>
      <c r="I7478" s="5">
        <f>Tabelle13[[#This Row],[%]]+I7477</f>
        <v>0.99270761679888575</v>
      </c>
      <c r="J7478" s="4">
        <f t="shared" si="265"/>
        <v>1.105583195135434E-4</v>
      </c>
      <c r="K7478" s="5">
        <f t="shared" si="266"/>
        <v>0.82653399668335359</v>
      </c>
    </row>
    <row r="7479" spans="1:11" x14ac:dyDescent="0.25">
      <c r="A7479" t="s">
        <v>14537</v>
      </c>
      <c r="C7479" t="s">
        <v>14538</v>
      </c>
      <c r="D7479" t="s">
        <v>5</v>
      </c>
      <c r="E7479" t="s">
        <v>6</v>
      </c>
      <c r="F7479" t="s">
        <v>251</v>
      </c>
      <c r="G7479">
        <v>1</v>
      </c>
      <c r="H7479" s="2">
        <f>Tabelle13[[#This Row],[commits]]/Tabelle13[[#Totals],[commits]]</f>
        <v>4.6477904404246225E-6</v>
      </c>
      <c r="I7479" s="5">
        <f>Tabelle13[[#This Row],[%]]+I7478</f>
        <v>0.99271226458932615</v>
      </c>
      <c r="J7479" s="4">
        <f t="shared" si="265"/>
        <v>1.105583195135434E-4</v>
      </c>
      <c r="K7479" s="5">
        <f t="shared" si="266"/>
        <v>0.82664455500286715</v>
      </c>
    </row>
    <row r="7480" spans="1:11" x14ac:dyDescent="0.25">
      <c r="A7480" t="s">
        <v>14539</v>
      </c>
      <c r="C7480" t="s">
        <v>14540</v>
      </c>
      <c r="D7480" t="s">
        <v>14541</v>
      </c>
      <c r="E7480" t="s">
        <v>6</v>
      </c>
      <c r="F7480" t="s">
        <v>251</v>
      </c>
      <c r="G7480">
        <v>1</v>
      </c>
      <c r="H7480" s="2">
        <f>Tabelle13[[#This Row],[commits]]/Tabelle13[[#Totals],[commits]]</f>
        <v>4.6477904404246225E-6</v>
      </c>
      <c r="I7480" s="5">
        <f>Tabelle13[[#This Row],[%]]+I7479</f>
        <v>0.99271691237976656</v>
      </c>
      <c r="J7480" s="4">
        <f t="shared" si="265"/>
        <v>1.105583195135434E-4</v>
      </c>
      <c r="K7480" s="5">
        <f t="shared" si="266"/>
        <v>0.82675511332238072</v>
      </c>
    </row>
    <row r="7481" spans="1:11" x14ac:dyDescent="0.25">
      <c r="A7481" t="s">
        <v>14542</v>
      </c>
      <c r="C7481" t="s">
        <v>14543</v>
      </c>
      <c r="D7481" t="s">
        <v>5</v>
      </c>
      <c r="E7481" t="s">
        <v>6</v>
      </c>
      <c r="F7481" t="s">
        <v>251</v>
      </c>
      <c r="G7481">
        <v>1</v>
      </c>
      <c r="H7481" s="2">
        <f>Tabelle13[[#This Row],[commits]]/Tabelle13[[#Totals],[commits]]</f>
        <v>4.6477904404246225E-6</v>
      </c>
      <c r="I7481" s="5">
        <f>Tabelle13[[#This Row],[%]]+I7480</f>
        <v>0.99272156017020696</v>
      </c>
      <c r="J7481" s="4">
        <f t="shared" si="265"/>
        <v>1.105583195135434E-4</v>
      </c>
      <c r="K7481" s="5">
        <f t="shared" si="266"/>
        <v>0.82686567164189428</v>
      </c>
    </row>
    <row r="7482" spans="1:11" x14ac:dyDescent="0.25">
      <c r="A7482" t="s">
        <v>14544</v>
      </c>
      <c r="C7482" t="s">
        <v>14545</v>
      </c>
      <c r="D7482" t="s">
        <v>14546</v>
      </c>
      <c r="E7482" t="s">
        <v>6</v>
      </c>
      <c r="F7482" t="s">
        <v>251</v>
      </c>
      <c r="G7482">
        <v>1</v>
      </c>
      <c r="H7482" s="2">
        <f>Tabelle13[[#This Row],[commits]]/Tabelle13[[#Totals],[commits]]</f>
        <v>4.6477904404246225E-6</v>
      </c>
      <c r="I7482" s="5">
        <f>Tabelle13[[#This Row],[%]]+I7481</f>
        <v>0.99272620796064737</v>
      </c>
      <c r="J7482" s="4">
        <f t="shared" si="265"/>
        <v>1.105583195135434E-4</v>
      </c>
      <c r="K7482" s="5">
        <f t="shared" si="266"/>
        <v>0.82697622996140785</v>
      </c>
    </row>
    <row r="7483" spans="1:11" x14ac:dyDescent="0.25">
      <c r="A7483" t="s">
        <v>14547</v>
      </c>
      <c r="C7483" t="s">
        <v>14548</v>
      </c>
      <c r="D7483" t="s">
        <v>5</v>
      </c>
      <c r="E7483" t="s">
        <v>6</v>
      </c>
      <c r="F7483" t="s">
        <v>251</v>
      </c>
      <c r="G7483">
        <v>1</v>
      </c>
      <c r="H7483" s="2">
        <f>Tabelle13[[#This Row],[commits]]/Tabelle13[[#Totals],[commits]]</f>
        <v>4.6477904404246225E-6</v>
      </c>
      <c r="I7483" s="5">
        <f>Tabelle13[[#This Row],[%]]+I7482</f>
        <v>0.99273085575108777</v>
      </c>
      <c r="J7483" s="4">
        <f t="shared" si="265"/>
        <v>1.105583195135434E-4</v>
      </c>
      <c r="K7483" s="5">
        <f t="shared" si="266"/>
        <v>0.82708678828092141</v>
      </c>
    </row>
    <row r="7484" spans="1:11" x14ac:dyDescent="0.25">
      <c r="A7484" t="s">
        <v>14549</v>
      </c>
      <c r="C7484" t="s">
        <v>14550</v>
      </c>
      <c r="D7484" t="s">
        <v>5</v>
      </c>
      <c r="E7484" t="s">
        <v>6</v>
      </c>
      <c r="F7484" t="s">
        <v>251</v>
      </c>
      <c r="G7484">
        <v>1</v>
      </c>
      <c r="H7484" s="2">
        <f>Tabelle13[[#This Row],[commits]]/Tabelle13[[#Totals],[commits]]</f>
        <v>4.6477904404246225E-6</v>
      </c>
      <c r="I7484" s="5">
        <f>Tabelle13[[#This Row],[%]]+I7483</f>
        <v>0.99273550354152817</v>
      </c>
      <c r="J7484" s="4">
        <f t="shared" si="265"/>
        <v>1.105583195135434E-4</v>
      </c>
      <c r="K7484" s="5">
        <f t="shared" si="266"/>
        <v>0.82719734660043498</v>
      </c>
    </row>
    <row r="7485" spans="1:11" x14ac:dyDescent="0.25">
      <c r="A7485" t="s">
        <v>14551</v>
      </c>
      <c r="C7485" t="s">
        <v>14552</v>
      </c>
      <c r="D7485" t="s">
        <v>309</v>
      </c>
      <c r="E7485" t="s">
        <v>6</v>
      </c>
      <c r="F7485" t="s">
        <v>251</v>
      </c>
      <c r="G7485">
        <v>1</v>
      </c>
      <c r="H7485" s="2">
        <f>Tabelle13[[#This Row],[commits]]/Tabelle13[[#Totals],[commits]]</f>
        <v>4.6477904404246225E-6</v>
      </c>
      <c r="I7485" s="5">
        <f>Tabelle13[[#This Row],[%]]+I7484</f>
        <v>0.99274015133196858</v>
      </c>
      <c r="J7485" s="4">
        <f t="shared" si="265"/>
        <v>1.105583195135434E-4</v>
      </c>
      <c r="K7485" s="5">
        <f t="shared" si="266"/>
        <v>0.82730790491994854</v>
      </c>
    </row>
    <row r="7486" spans="1:11" x14ac:dyDescent="0.25">
      <c r="A7486" t="s">
        <v>14553</v>
      </c>
      <c r="C7486" t="s">
        <v>14554</v>
      </c>
      <c r="D7486" t="s">
        <v>5</v>
      </c>
      <c r="E7486" t="s">
        <v>6</v>
      </c>
      <c r="F7486" t="s">
        <v>251</v>
      </c>
      <c r="G7486">
        <v>1</v>
      </c>
      <c r="H7486" s="2">
        <f>Tabelle13[[#This Row],[commits]]/Tabelle13[[#Totals],[commits]]</f>
        <v>4.6477904404246225E-6</v>
      </c>
      <c r="I7486" s="5">
        <f>Tabelle13[[#This Row],[%]]+I7485</f>
        <v>0.99274479912240898</v>
      </c>
      <c r="J7486" s="4">
        <f t="shared" si="265"/>
        <v>1.105583195135434E-4</v>
      </c>
      <c r="K7486" s="5">
        <f t="shared" si="266"/>
        <v>0.82741846323946211</v>
      </c>
    </row>
    <row r="7487" spans="1:11" x14ac:dyDescent="0.25">
      <c r="A7487" t="s">
        <v>14555</v>
      </c>
      <c r="C7487" t="s">
        <v>14556</v>
      </c>
      <c r="D7487" t="s">
        <v>5</v>
      </c>
      <c r="E7487" t="s">
        <v>6</v>
      </c>
      <c r="F7487" t="s">
        <v>251</v>
      </c>
      <c r="G7487">
        <v>1</v>
      </c>
      <c r="H7487" s="2">
        <f>Tabelle13[[#This Row],[commits]]/Tabelle13[[#Totals],[commits]]</f>
        <v>4.6477904404246225E-6</v>
      </c>
      <c r="I7487" s="5">
        <f>Tabelle13[[#This Row],[%]]+I7486</f>
        <v>0.99274944691284939</v>
      </c>
      <c r="J7487" s="4">
        <f t="shared" si="265"/>
        <v>1.105583195135434E-4</v>
      </c>
      <c r="K7487" s="5">
        <f t="shared" si="266"/>
        <v>0.82752902155897567</v>
      </c>
    </row>
    <row r="7488" spans="1:11" x14ac:dyDescent="0.25">
      <c r="A7488" t="s">
        <v>14557</v>
      </c>
      <c r="C7488" t="s">
        <v>14085</v>
      </c>
      <c r="D7488" t="s">
        <v>5</v>
      </c>
      <c r="E7488" t="s">
        <v>6</v>
      </c>
      <c r="F7488" t="s">
        <v>251</v>
      </c>
      <c r="G7488">
        <v>1</v>
      </c>
      <c r="H7488" s="2">
        <f>Tabelle13[[#This Row],[commits]]/Tabelle13[[#Totals],[commits]]</f>
        <v>4.6477904404246225E-6</v>
      </c>
      <c r="I7488" s="5">
        <f>Tabelle13[[#This Row],[%]]+I7487</f>
        <v>0.99275409470328979</v>
      </c>
      <c r="J7488" s="4">
        <f t="shared" si="265"/>
        <v>1.105583195135434E-4</v>
      </c>
      <c r="K7488" s="5">
        <f t="shared" si="266"/>
        <v>0.82763957987848924</v>
      </c>
    </row>
    <row r="7489" spans="1:11" x14ac:dyDescent="0.25">
      <c r="A7489" t="s">
        <v>14558</v>
      </c>
      <c r="C7489" t="s">
        <v>14559</v>
      </c>
      <c r="D7489" t="s">
        <v>5</v>
      </c>
      <c r="E7489" t="s">
        <v>6</v>
      </c>
      <c r="F7489" t="s">
        <v>251</v>
      </c>
      <c r="G7489">
        <v>1</v>
      </c>
      <c r="H7489" s="2">
        <f>Tabelle13[[#This Row],[commits]]/Tabelle13[[#Totals],[commits]]</f>
        <v>4.6477904404246225E-6</v>
      </c>
      <c r="I7489" s="5">
        <f>Tabelle13[[#This Row],[%]]+I7488</f>
        <v>0.9927587424937302</v>
      </c>
      <c r="J7489" s="4">
        <f t="shared" si="265"/>
        <v>1.105583195135434E-4</v>
      </c>
      <c r="K7489" s="5">
        <f t="shared" si="266"/>
        <v>0.82775013819800281</v>
      </c>
    </row>
    <row r="7490" spans="1:11" x14ac:dyDescent="0.25">
      <c r="A7490" t="s">
        <v>14560</v>
      </c>
      <c r="C7490" t="s">
        <v>14561</v>
      </c>
      <c r="D7490" t="s">
        <v>5</v>
      </c>
      <c r="E7490" t="s">
        <v>6</v>
      </c>
      <c r="F7490" t="s">
        <v>251</v>
      </c>
      <c r="G7490">
        <v>1</v>
      </c>
      <c r="H7490" s="2">
        <f>Tabelle13[[#This Row],[commits]]/Tabelle13[[#Totals],[commits]]</f>
        <v>4.6477904404246225E-6</v>
      </c>
      <c r="I7490" s="5">
        <f>Tabelle13[[#This Row],[%]]+I7489</f>
        <v>0.9927633902841706</v>
      </c>
      <c r="J7490" s="4">
        <f t="shared" si="265"/>
        <v>1.105583195135434E-4</v>
      </c>
      <c r="K7490" s="5">
        <f t="shared" si="266"/>
        <v>0.82786069651751637</v>
      </c>
    </row>
    <row r="7491" spans="1:11" x14ac:dyDescent="0.25">
      <c r="A7491" t="s">
        <v>14562</v>
      </c>
      <c r="C7491" t="s">
        <v>14563</v>
      </c>
      <c r="D7491" t="s">
        <v>14564</v>
      </c>
      <c r="E7491" t="s">
        <v>6</v>
      </c>
      <c r="F7491" t="s">
        <v>251</v>
      </c>
      <c r="G7491">
        <v>1</v>
      </c>
      <c r="H7491" s="2">
        <f>Tabelle13[[#This Row],[commits]]/Tabelle13[[#Totals],[commits]]</f>
        <v>4.6477904404246225E-6</v>
      </c>
      <c r="I7491" s="5">
        <f>Tabelle13[[#This Row],[%]]+I7490</f>
        <v>0.992768038074611</v>
      </c>
      <c r="J7491" s="4">
        <f t="shared" ref="J7491:J7554" si="267">1/9045</f>
        <v>1.105583195135434E-4</v>
      </c>
      <c r="K7491" s="5">
        <f t="shared" si="266"/>
        <v>0.82797125483702994</v>
      </c>
    </row>
    <row r="7492" spans="1:11" x14ac:dyDescent="0.25">
      <c r="A7492" t="s">
        <v>14565</v>
      </c>
      <c r="C7492" t="s">
        <v>14566</v>
      </c>
      <c r="D7492" t="s">
        <v>5</v>
      </c>
      <c r="E7492" t="s">
        <v>6</v>
      </c>
      <c r="F7492" t="s">
        <v>251</v>
      </c>
      <c r="G7492">
        <v>1</v>
      </c>
      <c r="H7492" s="2">
        <f>Tabelle13[[#This Row],[commits]]/Tabelle13[[#Totals],[commits]]</f>
        <v>4.6477904404246225E-6</v>
      </c>
      <c r="I7492" s="5">
        <f>Tabelle13[[#This Row],[%]]+I7491</f>
        <v>0.99277268586505141</v>
      </c>
      <c r="J7492" s="4">
        <f t="shared" si="267"/>
        <v>1.105583195135434E-4</v>
      </c>
      <c r="K7492" s="5">
        <f t="shared" si="266"/>
        <v>0.8280818131565435</v>
      </c>
    </row>
    <row r="7493" spans="1:11" x14ac:dyDescent="0.25">
      <c r="A7493" t="s">
        <v>14567</v>
      </c>
      <c r="C7493" t="s">
        <v>14568</v>
      </c>
      <c r="D7493" t="s">
        <v>5</v>
      </c>
      <c r="E7493" t="s">
        <v>6</v>
      </c>
      <c r="F7493" t="s">
        <v>251</v>
      </c>
      <c r="G7493">
        <v>1</v>
      </c>
      <c r="H7493" s="2">
        <f>Tabelle13[[#This Row],[commits]]/Tabelle13[[#Totals],[commits]]</f>
        <v>4.6477904404246225E-6</v>
      </c>
      <c r="I7493" s="5">
        <f>Tabelle13[[#This Row],[%]]+I7492</f>
        <v>0.99277733365549181</v>
      </c>
      <c r="J7493" s="4">
        <f t="shared" si="267"/>
        <v>1.105583195135434E-4</v>
      </c>
      <c r="K7493" s="5">
        <f t="shared" si="266"/>
        <v>0.82819237147605707</v>
      </c>
    </row>
    <row r="7494" spans="1:11" x14ac:dyDescent="0.25">
      <c r="A7494" t="s">
        <v>14569</v>
      </c>
      <c r="C7494" t="s">
        <v>14570</v>
      </c>
      <c r="D7494" t="s">
        <v>5</v>
      </c>
      <c r="E7494" t="s">
        <v>6</v>
      </c>
      <c r="F7494" t="s">
        <v>251</v>
      </c>
      <c r="G7494">
        <v>1</v>
      </c>
      <c r="H7494" s="2">
        <f>Tabelle13[[#This Row],[commits]]/Tabelle13[[#Totals],[commits]]</f>
        <v>4.6477904404246225E-6</v>
      </c>
      <c r="I7494" s="5">
        <f>Tabelle13[[#This Row],[%]]+I7493</f>
        <v>0.99278198144593222</v>
      </c>
      <c r="J7494" s="4">
        <f t="shared" si="267"/>
        <v>1.105583195135434E-4</v>
      </c>
      <c r="K7494" s="5">
        <f t="shared" ref="K7494:K7557" si="268">J7494+K7493</f>
        <v>0.82830292979557063</v>
      </c>
    </row>
    <row r="7495" spans="1:11" x14ac:dyDescent="0.25">
      <c r="A7495" t="s">
        <v>14571</v>
      </c>
      <c r="C7495" t="s">
        <v>14572</v>
      </c>
      <c r="D7495" t="s">
        <v>5</v>
      </c>
      <c r="E7495" t="s">
        <v>6</v>
      </c>
      <c r="F7495" t="s">
        <v>251</v>
      </c>
      <c r="G7495">
        <v>1</v>
      </c>
      <c r="H7495" s="2">
        <f>Tabelle13[[#This Row],[commits]]/Tabelle13[[#Totals],[commits]]</f>
        <v>4.6477904404246225E-6</v>
      </c>
      <c r="I7495" s="5">
        <f>Tabelle13[[#This Row],[%]]+I7494</f>
        <v>0.99278662923637262</v>
      </c>
      <c r="J7495" s="4">
        <f t="shared" si="267"/>
        <v>1.105583195135434E-4</v>
      </c>
      <c r="K7495" s="5">
        <f t="shared" si="268"/>
        <v>0.8284134881150842</v>
      </c>
    </row>
    <row r="7496" spans="1:11" x14ac:dyDescent="0.25">
      <c r="A7496" t="s">
        <v>14573</v>
      </c>
      <c r="C7496" t="s">
        <v>14574</v>
      </c>
      <c r="D7496" t="s">
        <v>5</v>
      </c>
      <c r="E7496" t="s">
        <v>6</v>
      </c>
      <c r="F7496" t="s">
        <v>251</v>
      </c>
      <c r="G7496">
        <v>1</v>
      </c>
      <c r="H7496" s="2">
        <f>Tabelle13[[#This Row],[commits]]/Tabelle13[[#Totals],[commits]]</f>
        <v>4.6477904404246225E-6</v>
      </c>
      <c r="I7496" s="5">
        <f>Tabelle13[[#This Row],[%]]+I7495</f>
        <v>0.99279127702681302</v>
      </c>
      <c r="J7496" s="4">
        <f t="shared" si="267"/>
        <v>1.105583195135434E-4</v>
      </c>
      <c r="K7496" s="5">
        <f t="shared" si="268"/>
        <v>0.82852404643459776</v>
      </c>
    </row>
    <row r="7497" spans="1:11" x14ac:dyDescent="0.25">
      <c r="A7497" t="s">
        <v>14575</v>
      </c>
      <c r="C7497" t="s">
        <v>14576</v>
      </c>
      <c r="D7497" t="s">
        <v>309</v>
      </c>
      <c r="E7497" t="s">
        <v>6</v>
      </c>
      <c r="F7497" t="s">
        <v>251</v>
      </c>
      <c r="G7497">
        <v>1</v>
      </c>
      <c r="H7497" s="2">
        <f>Tabelle13[[#This Row],[commits]]/Tabelle13[[#Totals],[commits]]</f>
        <v>4.6477904404246225E-6</v>
      </c>
      <c r="I7497" s="5">
        <f>Tabelle13[[#This Row],[%]]+I7496</f>
        <v>0.99279592481725343</v>
      </c>
      <c r="J7497" s="4">
        <f t="shared" si="267"/>
        <v>1.105583195135434E-4</v>
      </c>
      <c r="K7497" s="5">
        <f t="shared" si="268"/>
        <v>0.82863460475411133</v>
      </c>
    </row>
    <row r="7498" spans="1:11" x14ac:dyDescent="0.25">
      <c r="A7498" t="s">
        <v>14577</v>
      </c>
      <c r="C7498" t="s">
        <v>14578</v>
      </c>
      <c r="D7498" t="s">
        <v>309</v>
      </c>
      <c r="E7498" t="s">
        <v>6</v>
      </c>
      <c r="F7498" t="s">
        <v>251</v>
      </c>
      <c r="G7498">
        <v>1</v>
      </c>
      <c r="H7498" s="2">
        <f>Tabelle13[[#This Row],[commits]]/Tabelle13[[#Totals],[commits]]</f>
        <v>4.6477904404246225E-6</v>
      </c>
      <c r="I7498" s="5">
        <f>Tabelle13[[#This Row],[%]]+I7497</f>
        <v>0.99280057260769383</v>
      </c>
      <c r="J7498" s="4">
        <f t="shared" si="267"/>
        <v>1.105583195135434E-4</v>
      </c>
      <c r="K7498" s="5">
        <f t="shared" si="268"/>
        <v>0.82874516307362489</v>
      </c>
    </row>
    <row r="7499" spans="1:11" x14ac:dyDescent="0.25">
      <c r="A7499" t="s">
        <v>14579</v>
      </c>
      <c r="C7499" t="s">
        <v>14580</v>
      </c>
      <c r="D7499" t="s">
        <v>5</v>
      </c>
      <c r="E7499" t="s">
        <v>6</v>
      </c>
      <c r="F7499" t="s">
        <v>251</v>
      </c>
      <c r="G7499">
        <v>1</v>
      </c>
      <c r="H7499" s="2">
        <f>Tabelle13[[#This Row],[commits]]/Tabelle13[[#Totals],[commits]]</f>
        <v>4.6477904404246225E-6</v>
      </c>
      <c r="I7499" s="5">
        <f>Tabelle13[[#This Row],[%]]+I7498</f>
        <v>0.99280522039813424</v>
      </c>
      <c r="J7499" s="4">
        <f t="shared" si="267"/>
        <v>1.105583195135434E-4</v>
      </c>
      <c r="K7499" s="5">
        <f t="shared" si="268"/>
        <v>0.82885572139313846</v>
      </c>
    </row>
    <row r="7500" spans="1:11" x14ac:dyDescent="0.25">
      <c r="A7500" t="s">
        <v>14581</v>
      </c>
      <c r="C7500" t="s">
        <v>14582</v>
      </c>
      <c r="D7500" t="s">
        <v>5</v>
      </c>
      <c r="E7500" t="s">
        <v>6</v>
      </c>
      <c r="F7500" t="s">
        <v>251</v>
      </c>
      <c r="G7500">
        <v>1</v>
      </c>
      <c r="H7500" s="2">
        <f>Tabelle13[[#This Row],[commits]]/Tabelle13[[#Totals],[commits]]</f>
        <v>4.6477904404246225E-6</v>
      </c>
      <c r="I7500" s="5">
        <f>Tabelle13[[#This Row],[%]]+I7499</f>
        <v>0.99280986818857464</v>
      </c>
      <c r="J7500" s="4">
        <f t="shared" si="267"/>
        <v>1.105583195135434E-4</v>
      </c>
      <c r="K7500" s="5">
        <f t="shared" si="268"/>
        <v>0.82896627971265202</v>
      </c>
    </row>
    <row r="7501" spans="1:11" x14ac:dyDescent="0.25">
      <c r="A7501" t="s">
        <v>14583</v>
      </c>
      <c r="C7501" t="s">
        <v>14584</v>
      </c>
      <c r="D7501" t="s">
        <v>5</v>
      </c>
      <c r="E7501" t="s">
        <v>6</v>
      </c>
      <c r="F7501" t="s">
        <v>251</v>
      </c>
      <c r="G7501">
        <v>1</v>
      </c>
      <c r="H7501" s="2">
        <f>Tabelle13[[#This Row],[commits]]/Tabelle13[[#Totals],[commits]]</f>
        <v>4.6477904404246225E-6</v>
      </c>
      <c r="I7501" s="5">
        <f>Tabelle13[[#This Row],[%]]+I7500</f>
        <v>0.99281451597901504</v>
      </c>
      <c r="J7501" s="4">
        <f t="shared" si="267"/>
        <v>1.105583195135434E-4</v>
      </c>
      <c r="K7501" s="5">
        <f t="shared" si="268"/>
        <v>0.82907683803216559</v>
      </c>
    </row>
    <row r="7502" spans="1:11" x14ac:dyDescent="0.25">
      <c r="A7502" t="s">
        <v>14585</v>
      </c>
      <c r="C7502" t="s">
        <v>14586</v>
      </c>
      <c r="D7502" t="s">
        <v>5</v>
      </c>
      <c r="E7502" t="s">
        <v>6</v>
      </c>
      <c r="F7502" t="s">
        <v>251</v>
      </c>
      <c r="G7502">
        <v>1</v>
      </c>
      <c r="H7502" s="2">
        <f>Tabelle13[[#This Row],[commits]]/Tabelle13[[#Totals],[commits]]</f>
        <v>4.6477904404246225E-6</v>
      </c>
      <c r="I7502" s="5">
        <f>Tabelle13[[#This Row],[%]]+I7501</f>
        <v>0.99281916376945545</v>
      </c>
      <c r="J7502" s="4">
        <f t="shared" si="267"/>
        <v>1.105583195135434E-4</v>
      </c>
      <c r="K7502" s="5">
        <f t="shared" si="268"/>
        <v>0.82918739635167915</v>
      </c>
    </row>
    <row r="7503" spans="1:11" x14ac:dyDescent="0.25">
      <c r="A7503" t="s">
        <v>14587</v>
      </c>
      <c r="C7503" t="s">
        <v>14588</v>
      </c>
      <c r="D7503" t="s">
        <v>14589</v>
      </c>
      <c r="E7503" t="s">
        <v>6</v>
      </c>
      <c r="F7503" t="s">
        <v>251</v>
      </c>
      <c r="G7503">
        <v>1</v>
      </c>
      <c r="H7503" s="2">
        <f>Tabelle13[[#This Row],[commits]]/Tabelle13[[#Totals],[commits]]</f>
        <v>4.6477904404246225E-6</v>
      </c>
      <c r="I7503" s="5">
        <f>Tabelle13[[#This Row],[%]]+I7502</f>
        <v>0.99282381155989585</v>
      </c>
      <c r="J7503" s="4">
        <f t="shared" si="267"/>
        <v>1.105583195135434E-4</v>
      </c>
      <c r="K7503" s="5">
        <f t="shared" si="268"/>
        <v>0.82929795467119272</v>
      </c>
    </row>
    <row r="7504" spans="1:11" x14ac:dyDescent="0.25">
      <c r="A7504" t="s">
        <v>14590</v>
      </c>
      <c r="C7504" t="s">
        <v>14591</v>
      </c>
      <c r="D7504" t="s">
        <v>5</v>
      </c>
      <c r="E7504" t="s">
        <v>6</v>
      </c>
      <c r="F7504" t="s">
        <v>251</v>
      </c>
      <c r="G7504">
        <v>1</v>
      </c>
      <c r="H7504" s="2">
        <f>Tabelle13[[#This Row],[commits]]/Tabelle13[[#Totals],[commits]]</f>
        <v>4.6477904404246225E-6</v>
      </c>
      <c r="I7504" s="5">
        <f>Tabelle13[[#This Row],[%]]+I7503</f>
        <v>0.99282845935033626</v>
      </c>
      <c r="J7504" s="4">
        <f t="shared" si="267"/>
        <v>1.105583195135434E-4</v>
      </c>
      <c r="K7504" s="5">
        <f t="shared" si="268"/>
        <v>0.82940851299070628</v>
      </c>
    </row>
    <row r="7505" spans="1:11" x14ac:dyDescent="0.25">
      <c r="A7505" t="s">
        <v>14592</v>
      </c>
      <c r="C7505" t="s">
        <v>14593</v>
      </c>
      <c r="D7505" t="s">
        <v>5</v>
      </c>
      <c r="E7505" t="s">
        <v>6</v>
      </c>
      <c r="F7505" t="s">
        <v>251</v>
      </c>
      <c r="G7505">
        <v>1</v>
      </c>
      <c r="H7505" s="2">
        <f>Tabelle13[[#This Row],[commits]]/Tabelle13[[#Totals],[commits]]</f>
        <v>4.6477904404246225E-6</v>
      </c>
      <c r="I7505" s="5">
        <f>Tabelle13[[#This Row],[%]]+I7504</f>
        <v>0.99283310714077666</v>
      </c>
      <c r="J7505" s="4">
        <f t="shared" si="267"/>
        <v>1.105583195135434E-4</v>
      </c>
      <c r="K7505" s="5">
        <f t="shared" si="268"/>
        <v>0.82951907131021985</v>
      </c>
    </row>
    <row r="7506" spans="1:11" x14ac:dyDescent="0.25">
      <c r="A7506" t="s">
        <v>14594</v>
      </c>
      <c r="C7506" t="s">
        <v>14595</v>
      </c>
      <c r="D7506" t="s">
        <v>5</v>
      </c>
      <c r="E7506" t="s">
        <v>6</v>
      </c>
      <c r="F7506" t="s">
        <v>251</v>
      </c>
      <c r="G7506">
        <v>1</v>
      </c>
      <c r="H7506" s="2">
        <f>Tabelle13[[#This Row],[commits]]/Tabelle13[[#Totals],[commits]]</f>
        <v>4.6477904404246225E-6</v>
      </c>
      <c r="I7506" s="5">
        <f>Tabelle13[[#This Row],[%]]+I7505</f>
        <v>0.99283775493121706</v>
      </c>
      <c r="J7506" s="4">
        <f t="shared" si="267"/>
        <v>1.105583195135434E-4</v>
      </c>
      <c r="K7506" s="5">
        <f t="shared" si="268"/>
        <v>0.82962962962973341</v>
      </c>
    </row>
    <row r="7507" spans="1:11" x14ac:dyDescent="0.25">
      <c r="A7507" t="s">
        <v>14596</v>
      </c>
      <c r="C7507" t="s">
        <v>14597</v>
      </c>
      <c r="D7507" t="s">
        <v>8948</v>
      </c>
      <c r="E7507" t="s">
        <v>6</v>
      </c>
      <c r="F7507" t="s">
        <v>251</v>
      </c>
      <c r="G7507">
        <v>1</v>
      </c>
      <c r="H7507" s="2">
        <f>Tabelle13[[#This Row],[commits]]/Tabelle13[[#Totals],[commits]]</f>
        <v>4.6477904404246225E-6</v>
      </c>
      <c r="I7507" s="5">
        <f>Tabelle13[[#This Row],[%]]+I7506</f>
        <v>0.99284240272165747</v>
      </c>
      <c r="J7507" s="4">
        <f t="shared" si="267"/>
        <v>1.105583195135434E-4</v>
      </c>
      <c r="K7507" s="5">
        <f t="shared" si="268"/>
        <v>0.82974018794924698</v>
      </c>
    </row>
    <row r="7508" spans="1:11" x14ac:dyDescent="0.25">
      <c r="A7508" t="s">
        <v>14598</v>
      </c>
      <c r="C7508" t="s">
        <v>14599</v>
      </c>
      <c r="D7508" t="s">
        <v>5</v>
      </c>
      <c r="E7508" t="s">
        <v>6</v>
      </c>
      <c r="F7508" t="s">
        <v>251</v>
      </c>
      <c r="G7508">
        <v>1</v>
      </c>
      <c r="H7508" s="2">
        <f>Tabelle13[[#This Row],[commits]]/Tabelle13[[#Totals],[commits]]</f>
        <v>4.6477904404246225E-6</v>
      </c>
      <c r="I7508" s="5">
        <f>Tabelle13[[#This Row],[%]]+I7507</f>
        <v>0.99284705051209787</v>
      </c>
      <c r="J7508" s="4">
        <f t="shared" si="267"/>
        <v>1.105583195135434E-4</v>
      </c>
      <c r="K7508" s="5">
        <f t="shared" si="268"/>
        <v>0.82985074626876054</v>
      </c>
    </row>
    <row r="7509" spans="1:11" x14ac:dyDescent="0.25">
      <c r="A7509" t="s">
        <v>14600</v>
      </c>
      <c r="C7509" t="s">
        <v>14601</v>
      </c>
      <c r="D7509" t="s">
        <v>5</v>
      </c>
      <c r="E7509" t="s">
        <v>6</v>
      </c>
      <c r="F7509" t="s">
        <v>251</v>
      </c>
      <c r="G7509">
        <v>1</v>
      </c>
      <c r="H7509" s="2">
        <f>Tabelle13[[#This Row],[commits]]/Tabelle13[[#Totals],[commits]]</f>
        <v>4.6477904404246225E-6</v>
      </c>
      <c r="I7509" s="5">
        <f>Tabelle13[[#This Row],[%]]+I7508</f>
        <v>0.99285169830253828</v>
      </c>
      <c r="J7509" s="4">
        <f t="shared" si="267"/>
        <v>1.105583195135434E-4</v>
      </c>
      <c r="K7509" s="5">
        <f t="shared" si="268"/>
        <v>0.82996130458827411</v>
      </c>
    </row>
    <row r="7510" spans="1:11" x14ac:dyDescent="0.25">
      <c r="A7510" t="s">
        <v>14602</v>
      </c>
      <c r="C7510" t="s">
        <v>14603</v>
      </c>
      <c r="D7510" t="s">
        <v>5</v>
      </c>
      <c r="E7510" t="s">
        <v>6</v>
      </c>
      <c r="F7510" t="s">
        <v>251</v>
      </c>
      <c r="G7510">
        <v>1</v>
      </c>
      <c r="H7510" s="2">
        <f>Tabelle13[[#This Row],[commits]]/Tabelle13[[#Totals],[commits]]</f>
        <v>4.6477904404246225E-6</v>
      </c>
      <c r="I7510" s="5">
        <f>Tabelle13[[#This Row],[%]]+I7509</f>
        <v>0.99285634609297868</v>
      </c>
      <c r="J7510" s="4">
        <f t="shared" si="267"/>
        <v>1.105583195135434E-4</v>
      </c>
      <c r="K7510" s="5">
        <f t="shared" si="268"/>
        <v>0.83007186290778767</v>
      </c>
    </row>
    <row r="7511" spans="1:11" x14ac:dyDescent="0.25">
      <c r="A7511" t="s">
        <v>14604</v>
      </c>
      <c r="C7511" t="s">
        <v>14605</v>
      </c>
      <c r="D7511" t="s">
        <v>309</v>
      </c>
      <c r="E7511" t="s">
        <v>6</v>
      </c>
      <c r="F7511" t="s">
        <v>251</v>
      </c>
      <c r="G7511">
        <v>1</v>
      </c>
      <c r="H7511" s="2">
        <f>Tabelle13[[#This Row],[commits]]/Tabelle13[[#Totals],[commits]]</f>
        <v>4.6477904404246225E-6</v>
      </c>
      <c r="I7511" s="5">
        <f>Tabelle13[[#This Row],[%]]+I7510</f>
        <v>0.99286099388341909</v>
      </c>
      <c r="J7511" s="4">
        <f t="shared" si="267"/>
        <v>1.105583195135434E-4</v>
      </c>
      <c r="K7511" s="5">
        <f t="shared" si="268"/>
        <v>0.83018242122730124</v>
      </c>
    </row>
    <row r="7512" spans="1:11" x14ac:dyDescent="0.25">
      <c r="A7512" t="s">
        <v>14606</v>
      </c>
      <c r="C7512" t="s">
        <v>14607</v>
      </c>
      <c r="D7512" t="s">
        <v>11146</v>
      </c>
      <c r="E7512" t="s">
        <v>6</v>
      </c>
      <c r="F7512" t="s">
        <v>251</v>
      </c>
      <c r="G7512">
        <v>1</v>
      </c>
      <c r="H7512" s="2">
        <f>Tabelle13[[#This Row],[commits]]/Tabelle13[[#Totals],[commits]]</f>
        <v>4.6477904404246225E-6</v>
      </c>
      <c r="I7512" s="5">
        <f>Tabelle13[[#This Row],[%]]+I7511</f>
        <v>0.99286564167385949</v>
      </c>
      <c r="J7512" s="4">
        <f t="shared" si="267"/>
        <v>1.105583195135434E-4</v>
      </c>
      <c r="K7512" s="5">
        <f t="shared" si="268"/>
        <v>0.8302929795468148</v>
      </c>
    </row>
    <row r="7513" spans="1:11" x14ac:dyDescent="0.25">
      <c r="A7513" t="s">
        <v>14608</v>
      </c>
      <c r="C7513" t="s">
        <v>14609</v>
      </c>
      <c r="D7513" t="s">
        <v>5</v>
      </c>
      <c r="E7513" t="s">
        <v>6</v>
      </c>
      <c r="F7513" t="s">
        <v>251</v>
      </c>
      <c r="G7513">
        <v>1</v>
      </c>
      <c r="H7513" s="2">
        <f>Tabelle13[[#This Row],[commits]]/Tabelle13[[#Totals],[commits]]</f>
        <v>4.6477904404246225E-6</v>
      </c>
      <c r="I7513" s="5">
        <f>Tabelle13[[#This Row],[%]]+I7512</f>
        <v>0.99287028946429989</v>
      </c>
      <c r="J7513" s="4">
        <f t="shared" si="267"/>
        <v>1.105583195135434E-4</v>
      </c>
      <c r="K7513" s="5">
        <f t="shared" si="268"/>
        <v>0.83040353786632837</v>
      </c>
    </row>
    <row r="7514" spans="1:11" x14ac:dyDescent="0.25">
      <c r="A7514" t="s">
        <v>14610</v>
      </c>
      <c r="C7514" t="s">
        <v>14611</v>
      </c>
      <c r="D7514" t="s">
        <v>5</v>
      </c>
      <c r="E7514" t="s">
        <v>6</v>
      </c>
      <c r="F7514" t="s">
        <v>251</v>
      </c>
      <c r="G7514">
        <v>1</v>
      </c>
      <c r="H7514" s="2">
        <f>Tabelle13[[#This Row],[commits]]/Tabelle13[[#Totals],[commits]]</f>
        <v>4.6477904404246225E-6</v>
      </c>
      <c r="I7514" s="5">
        <f>Tabelle13[[#This Row],[%]]+I7513</f>
        <v>0.9928749372547403</v>
      </c>
      <c r="J7514" s="4">
        <f t="shared" si="267"/>
        <v>1.105583195135434E-4</v>
      </c>
      <c r="K7514" s="5">
        <f t="shared" si="268"/>
        <v>0.83051409618584193</v>
      </c>
    </row>
    <row r="7515" spans="1:11" x14ac:dyDescent="0.25">
      <c r="A7515" t="s">
        <v>14612</v>
      </c>
      <c r="C7515" t="s">
        <v>14613</v>
      </c>
      <c r="D7515" t="s">
        <v>5</v>
      </c>
      <c r="E7515" t="s">
        <v>6</v>
      </c>
      <c r="F7515" t="s">
        <v>251</v>
      </c>
      <c r="G7515">
        <v>1</v>
      </c>
      <c r="H7515" s="2">
        <f>Tabelle13[[#This Row],[commits]]/Tabelle13[[#Totals],[commits]]</f>
        <v>4.6477904404246225E-6</v>
      </c>
      <c r="I7515" s="5">
        <f>Tabelle13[[#This Row],[%]]+I7514</f>
        <v>0.9928795850451807</v>
      </c>
      <c r="J7515" s="4">
        <f t="shared" si="267"/>
        <v>1.105583195135434E-4</v>
      </c>
      <c r="K7515" s="5">
        <f t="shared" si="268"/>
        <v>0.8306246545053555</v>
      </c>
    </row>
    <row r="7516" spans="1:11" x14ac:dyDescent="0.25">
      <c r="A7516" t="s">
        <v>14614</v>
      </c>
      <c r="C7516" t="s">
        <v>14615</v>
      </c>
      <c r="D7516" t="s">
        <v>8757</v>
      </c>
      <c r="E7516" t="s">
        <v>6</v>
      </c>
      <c r="F7516" t="s">
        <v>251</v>
      </c>
      <c r="G7516">
        <v>1</v>
      </c>
      <c r="H7516" s="2">
        <f>Tabelle13[[#This Row],[commits]]/Tabelle13[[#Totals],[commits]]</f>
        <v>4.6477904404246225E-6</v>
      </c>
      <c r="I7516" s="5">
        <f>Tabelle13[[#This Row],[%]]+I7515</f>
        <v>0.99288423283562111</v>
      </c>
      <c r="J7516" s="4">
        <f t="shared" si="267"/>
        <v>1.105583195135434E-4</v>
      </c>
      <c r="K7516" s="5">
        <f t="shared" si="268"/>
        <v>0.83073521282486906</v>
      </c>
    </row>
    <row r="7517" spans="1:11" x14ac:dyDescent="0.25">
      <c r="A7517" t="s">
        <v>14616</v>
      </c>
      <c r="C7517" t="s">
        <v>14617</v>
      </c>
      <c r="D7517" t="s">
        <v>309</v>
      </c>
      <c r="E7517" t="s">
        <v>6</v>
      </c>
      <c r="F7517" t="s">
        <v>251</v>
      </c>
      <c r="G7517">
        <v>1</v>
      </c>
      <c r="H7517" s="2">
        <f>Tabelle13[[#This Row],[commits]]/Tabelle13[[#Totals],[commits]]</f>
        <v>4.6477904404246225E-6</v>
      </c>
      <c r="I7517" s="5">
        <f>Tabelle13[[#This Row],[%]]+I7516</f>
        <v>0.99288888062606151</v>
      </c>
      <c r="J7517" s="4">
        <f t="shared" si="267"/>
        <v>1.105583195135434E-4</v>
      </c>
      <c r="K7517" s="5">
        <f t="shared" si="268"/>
        <v>0.83084577114438263</v>
      </c>
    </row>
    <row r="7518" spans="1:11" x14ac:dyDescent="0.25">
      <c r="A7518" t="s">
        <v>14618</v>
      </c>
      <c r="C7518" t="s">
        <v>14619</v>
      </c>
      <c r="D7518" t="s">
        <v>309</v>
      </c>
      <c r="E7518" t="s">
        <v>6</v>
      </c>
      <c r="F7518" t="s">
        <v>251</v>
      </c>
      <c r="G7518">
        <v>1</v>
      </c>
      <c r="H7518" s="2">
        <f>Tabelle13[[#This Row],[commits]]/Tabelle13[[#Totals],[commits]]</f>
        <v>4.6477904404246225E-6</v>
      </c>
      <c r="I7518" s="5">
        <f>Tabelle13[[#This Row],[%]]+I7517</f>
        <v>0.99289352841650191</v>
      </c>
      <c r="J7518" s="4">
        <f t="shared" si="267"/>
        <v>1.105583195135434E-4</v>
      </c>
      <c r="K7518" s="5">
        <f t="shared" si="268"/>
        <v>0.83095632946389619</v>
      </c>
    </row>
    <row r="7519" spans="1:11" x14ac:dyDescent="0.25">
      <c r="A7519" t="s">
        <v>14620</v>
      </c>
      <c r="C7519" t="s">
        <v>14621</v>
      </c>
      <c r="D7519" t="s">
        <v>5</v>
      </c>
      <c r="E7519" t="s">
        <v>6</v>
      </c>
      <c r="F7519" t="s">
        <v>251</v>
      </c>
      <c r="G7519">
        <v>1</v>
      </c>
      <c r="H7519" s="2">
        <f>Tabelle13[[#This Row],[commits]]/Tabelle13[[#Totals],[commits]]</f>
        <v>4.6477904404246225E-6</v>
      </c>
      <c r="I7519" s="5">
        <f>Tabelle13[[#This Row],[%]]+I7518</f>
        <v>0.99289817620694232</v>
      </c>
      <c r="J7519" s="4">
        <f t="shared" si="267"/>
        <v>1.105583195135434E-4</v>
      </c>
      <c r="K7519" s="5">
        <f t="shared" si="268"/>
        <v>0.83106688778340976</v>
      </c>
    </row>
    <row r="7520" spans="1:11" x14ac:dyDescent="0.25">
      <c r="A7520" t="s">
        <v>14622</v>
      </c>
      <c r="C7520" t="s">
        <v>14623</v>
      </c>
      <c r="D7520" t="s">
        <v>8874</v>
      </c>
      <c r="E7520" t="s">
        <v>6</v>
      </c>
      <c r="F7520" t="s">
        <v>251</v>
      </c>
      <c r="G7520">
        <v>1</v>
      </c>
      <c r="H7520" s="2">
        <f>Tabelle13[[#This Row],[commits]]/Tabelle13[[#Totals],[commits]]</f>
        <v>4.6477904404246225E-6</v>
      </c>
      <c r="I7520" s="5">
        <f>Tabelle13[[#This Row],[%]]+I7519</f>
        <v>0.99290282399738272</v>
      </c>
      <c r="J7520" s="4">
        <f t="shared" si="267"/>
        <v>1.105583195135434E-4</v>
      </c>
      <c r="K7520" s="5">
        <f t="shared" si="268"/>
        <v>0.83117744610292332</v>
      </c>
    </row>
    <row r="7521" spans="1:11" x14ac:dyDescent="0.25">
      <c r="A7521" t="s">
        <v>14624</v>
      </c>
      <c r="C7521" t="s">
        <v>14625</v>
      </c>
      <c r="D7521" t="s">
        <v>309</v>
      </c>
      <c r="E7521" t="s">
        <v>6</v>
      </c>
      <c r="F7521" t="s">
        <v>251</v>
      </c>
      <c r="G7521">
        <v>1</v>
      </c>
      <c r="H7521" s="2">
        <f>Tabelle13[[#This Row],[commits]]/Tabelle13[[#Totals],[commits]]</f>
        <v>4.6477904404246225E-6</v>
      </c>
      <c r="I7521" s="5">
        <f>Tabelle13[[#This Row],[%]]+I7520</f>
        <v>0.99290747178782313</v>
      </c>
      <c r="J7521" s="4">
        <f t="shared" si="267"/>
        <v>1.105583195135434E-4</v>
      </c>
      <c r="K7521" s="5">
        <f t="shared" si="268"/>
        <v>0.83128800442243689</v>
      </c>
    </row>
    <row r="7522" spans="1:11" x14ac:dyDescent="0.25">
      <c r="A7522" t="s">
        <v>14626</v>
      </c>
      <c r="C7522" t="s">
        <v>14627</v>
      </c>
      <c r="D7522" t="s">
        <v>309</v>
      </c>
      <c r="E7522" t="s">
        <v>6</v>
      </c>
      <c r="F7522" t="s">
        <v>251</v>
      </c>
      <c r="G7522">
        <v>1</v>
      </c>
      <c r="H7522" s="2">
        <f>Tabelle13[[#This Row],[commits]]/Tabelle13[[#Totals],[commits]]</f>
        <v>4.6477904404246225E-6</v>
      </c>
      <c r="I7522" s="5">
        <f>Tabelle13[[#This Row],[%]]+I7521</f>
        <v>0.99291211957826353</v>
      </c>
      <c r="J7522" s="4">
        <f t="shared" si="267"/>
        <v>1.105583195135434E-4</v>
      </c>
      <c r="K7522" s="5">
        <f t="shared" si="268"/>
        <v>0.83139856274195045</v>
      </c>
    </row>
    <row r="7523" spans="1:11" x14ac:dyDescent="0.25">
      <c r="A7523" t="s">
        <v>14628</v>
      </c>
      <c r="C7523" t="s">
        <v>14629</v>
      </c>
      <c r="D7523" t="s">
        <v>5</v>
      </c>
      <c r="E7523" t="s">
        <v>6</v>
      </c>
      <c r="F7523" t="s">
        <v>251</v>
      </c>
      <c r="G7523">
        <v>1</v>
      </c>
      <c r="H7523" s="2">
        <f>Tabelle13[[#This Row],[commits]]/Tabelle13[[#Totals],[commits]]</f>
        <v>4.6477904404246225E-6</v>
      </c>
      <c r="I7523" s="5">
        <f>Tabelle13[[#This Row],[%]]+I7522</f>
        <v>0.99291676736870393</v>
      </c>
      <c r="J7523" s="4">
        <f t="shared" si="267"/>
        <v>1.105583195135434E-4</v>
      </c>
      <c r="K7523" s="5">
        <f t="shared" si="268"/>
        <v>0.83150912106146402</v>
      </c>
    </row>
    <row r="7524" spans="1:11" x14ac:dyDescent="0.25">
      <c r="A7524" t="s">
        <v>14630</v>
      </c>
      <c r="C7524" t="s">
        <v>14631</v>
      </c>
      <c r="D7524" t="s">
        <v>14632</v>
      </c>
      <c r="E7524" t="s">
        <v>6</v>
      </c>
      <c r="F7524" t="s">
        <v>251</v>
      </c>
      <c r="G7524">
        <v>1</v>
      </c>
      <c r="H7524" s="2">
        <f>Tabelle13[[#This Row],[commits]]/Tabelle13[[#Totals],[commits]]</f>
        <v>4.6477904404246225E-6</v>
      </c>
      <c r="I7524" s="5">
        <f>Tabelle13[[#This Row],[%]]+I7523</f>
        <v>0.99292141515914434</v>
      </c>
      <c r="J7524" s="4">
        <f t="shared" si="267"/>
        <v>1.105583195135434E-4</v>
      </c>
      <c r="K7524" s="5">
        <f t="shared" si="268"/>
        <v>0.83161967938097758</v>
      </c>
    </row>
    <row r="7525" spans="1:11" x14ac:dyDescent="0.25">
      <c r="A7525" t="s">
        <v>14633</v>
      </c>
      <c r="C7525" t="s">
        <v>14634</v>
      </c>
      <c r="D7525" t="s">
        <v>5</v>
      </c>
      <c r="E7525" t="s">
        <v>6</v>
      </c>
      <c r="F7525" t="s">
        <v>251</v>
      </c>
      <c r="G7525">
        <v>1</v>
      </c>
      <c r="H7525" s="2">
        <f>Tabelle13[[#This Row],[commits]]/Tabelle13[[#Totals],[commits]]</f>
        <v>4.6477904404246225E-6</v>
      </c>
      <c r="I7525" s="5">
        <f>Tabelle13[[#This Row],[%]]+I7524</f>
        <v>0.99292606294958474</v>
      </c>
      <c r="J7525" s="4">
        <f t="shared" si="267"/>
        <v>1.105583195135434E-4</v>
      </c>
      <c r="K7525" s="5">
        <f t="shared" si="268"/>
        <v>0.83173023770049115</v>
      </c>
    </row>
    <row r="7526" spans="1:11" x14ac:dyDescent="0.25">
      <c r="A7526" t="s">
        <v>14635</v>
      </c>
      <c r="C7526" t="s">
        <v>9835</v>
      </c>
      <c r="D7526" t="s">
        <v>5</v>
      </c>
      <c r="E7526" t="s">
        <v>6</v>
      </c>
      <c r="F7526" t="s">
        <v>251</v>
      </c>
      <c r="G7526">
        <v>1</v>
      </c>
      <c r="H7526" s="2">
        <f>Tabelle13[[#This Row],[commits]]/Tabelle13[[#Totals],[commits]]</f>
        <v>4.6477904404246225E-6</v>
      </c>
      <c r="I7526" s="5">
        <f>Tabelle13[[#This Row],[%]]+I7525</f>
        <v>0.99293071074002515</v>
      </c>
      <c r="J7526" s="4">
        <f t="shared" si="267"/>
        <v>1.105583195135434E-4</v>
      </c>
      <c r="K7526" s="5">
        <f t="shared" si="268"/>
        <v>0.83184079602000471</v>
      </c>
    </row>
    <row r="7527" spans="1:11" x14ac:dyDescent="0.25">
      <c r="A7527" t="s">
        <v>14636</v>
      </c>
      <c r="C7527" t="s">
        <v>14637</v>
      </c>
      <c r="D7527" t="s">
        <v>14638</v>
      </c>
      <c r="E7527" t="s">
        <v>6</v>
      </c>
      <c r="F7527" t="s">
        <v>251</v>
      </c>
      <c r="G7527">
        <v>1</v>
      </c>
      <c r="H7527" s="2">
        <f>Tabelle13[[#This Row],[commits]]/Tabelle13[[#Totals],[commits]]</f>
        <v>4.6477904404246225E-6</v>
      </c>
      <c r="I7527" s="5">
        <f>Tabelle13[[#This Row],[%]]+I7526</f>
        <v>0.99293535853046555</v>
      </c>
      <c r="J7527" s="4">
        <f t="shared" si="267"/>
        <v>1.105583195135434E-4</v>
      </c>
      <c r="K7527" s="5">
        <f t="shared" si="268"/>
        <v>0.83195135433951828</v>
      </c>
    </row>
    <row r="7528" spans="1:11" x14ac:dyDescent="0.25">
      <c r="A7528" t="s">
        <v>14639</v>
      </c>
      <c r="C7528" t="s">
        <v>14640</v>
      </c>
      <c r="D7528" t="s">
        <v>5</v>
      </c>
      <c r="E7528" t="s">
        <v>6</v>
      </c>
      <c r="F7528" t="s">
        <v>251</v>
      </c>
      <c r="G7528">
        <v>1</v>
      </c>
      <c r="H7528" s="2">
        <f>Tabelle13[[#This Row],[commits]]/Tabelle13[[#Totals],[commits]]</f>
        <v>4.6477904404246225E-6</v>
      </c>
      <c r="I7528" s="5">
        <f>Tabelle13[[#This Row],[%]]+I7527</f>
        <v>0.99294000632090595</v>
      </c>
      <c r="J7528" s="4">
        <f t="shared" si="267"/>
        <v>1.105583195135434E-4</v>
      </c>
      <c r="K7528" s="5">
        <f t="shared" si="268"/>
        <v>0.83206191265903184</v>
      </c>
    </row>
    <row r="7529" spans="1:11" x14ac:dyDescent="0.25">
      <c r="A7529" t="s">
        <v>14641</v>
      </c>
      <c r="C7529" t="s">
        <v>14642</v>
      </c>
      <c r="D7529" t="s">
        <v>5</v>
      </c>
      <c r="E7529" t="s">
        <v>6</v>
      </c>
      <c r="F7529" t="s">
        <v>251</v>
      </c>
      <c r="G7529">
        <v>1</v>
      </c>
      <c r="H7529" s="2">
        <f>Tabelle13[[#This Row],[commits]]/Tabelle13[[#Totals],[commits]]</f>
        <v>4.6477904404246225E-6</v>
      </c>
      <c r="I7529" s="5">
        <f>Tabelle13[[#This Row],[%]]+I7528</f>
        <v>0.99294465411134636</v>
      </c>
      <c r="J7529" s="4">
        <f t="shared" si="267"/>
        <v>1.105583195135434E-4</v>
      </c>
      <c r="K7529" s="5">
        <f t="shared" si="268"/>
        <v>0.83217247097854541</v>
      </c>
    </row>
    <row r="7530" spans="1:11" x14ac:dyDescent="0.25">
      <c r="A7530" t="s">
        <v>14643</v>
      </c>
      <c r="C7530" t="s">
        <v>14644</v>
      </c>
      <c r="D7530" t="s">
        <v>5</v>
      </c>
      <c r="E7530" t="s">
        <v>6</v>
      </c>
      <c r="F7530" t="s">
        <v>251</v>
      </c>
      <c r="G7530">
        <v>1</v>
      </c>
      <c r="H7530" s="2">
        <f>Tabelle13[[#This Row],[commits]]/Tabelle13[[#Totals],[commits]]</f>
        <v>4.6477904404246225E-6</v>
      </c>
      <c r="I7530" s="5">
        <f>Tabelle13[[#This Row],[%]]+I7529</f>
        <v>0.99294930190178676</v>
      </c>
      <c r="J7530" s="4">
        <f t="shared" si="267"/>
        <v>1.105583195135434E-4</v>
      </c>
      <c r="K7530" s="5">
        <f t="shared" si="268"/>
        <v>0.83228302929805897</v>
      </c>
    </row>
    <row r="7531" spans="1:11" x14ac:dyDescent="0.25">
      <c r="A7531" t="s">
        <v>14645</v>
      </c>
      <c r="C7531" t="s">
        <v>14646</v>
      </c>
      <c r="D7531" t="s">
        <v>5</v>
      </c>
      <c r="E7531" t="s">
        <v>6</v>
      </c>
      <c r="F7531" t="s">
        <v>251</v>
      </c>
      <c r="G7531">
        <v>1</v>
      </c>
      <c r="H7531" s="2">
        <f>Tabelle13[[#This Row],[commits]]/Tabelle13[[#Totals],[commits]]</f>
        <v>4.6477904404246225E-6</v>
      </c>
      <c r="I7531" s="5">
        <f>Tabelle13[[#This Row],[%]]+I7530</f>
        <v>0.99295394969222717</v>
      </c>
      <c r="J7531" s="4">
        <f t="shared" si="267"/>
        <v>1.105583195135434E-4</v>
      </c>
      <c r="K7531" s="5">
        <f t="shared" si="268"/>
        <v>0.83239358761757254</v>
      </c>
    </row>
    <row r="7532" spans="1:11" x14ac:dyDescent="0.25">
      <c r="A7532" t="s">
        <v>14647</v>
      </c>
      <c r="C7532" t="s">
        <v>14648</v>
      </c>
      <c r="D7532" t="s">
        <v>14649</v>
      </c>
      <c r="E7532" t="s">
        <v>6</v>
      </c>
      <c r="F7532" t="s">
        <v>251</v>
      </c>
      <c r="G7532">
        <v>1</v>
      </c>
      <c r="H7532" s="2">
        <f>Tabelle13[[#This Row],[commits]]/Tabelle13[[#Totals],[commits]]</f>
        <v>4.6477904404246225E-6</v>
      </c>
      <c r="I7532" s="5">
        <f>Tabelle13[[#This Row],[%]]+I7531</f>
        <v>0.99295859748266757</v>
      </c>
      <c r="J7532" s="4">
        <f t="shared" si="267"/>
        <v>1.105583195135434E-4</v>
      </c>
      <c r="K7532" s="5">
        <f t="shared" si="268"/>
        <v>0.8325041459370861</v>
      </c>
    </row>
    <row r="7533" spans="1:11" x14ac:dyDescent="0.25">
      <c r="A7533" t="s">
        <v>14650</v>
      </c>
      <c r="C7533" t="s">
        <v>14651</v>
      </c>
      <c r="D7533" t="s">
        <v>309</v>
      </c>
      <c r="E7533" t="s">
        <v>6</v>
      </c>
      <c r="F7533" t="s">
        <v>251</v>
      </c>
      <c r="G7533">
        <v>1</v>
      </c>
      <c r="H7533" s="2">
        <f>Tabelle13[[#This Row],[commits]]/Tabelle13[[#Totals],[commits]]</f>
        <v>4.6477904404246225E-6</v>
      </c>
      <c r="I7533" s="5">
        <f>Tabelle13[[#This Row],[%]]+I7532</f>
        <v>0.99296324527310798</v>
      </c>
      <c r="J7533" s="4">
        <f t="shared" si="267"/>
        <v>1.105583195135434E-4</v>
      </c>
      <c r="K7533" s="5">
        <f t="shared" si="268"/>
        <v>0.83261470425659967</v>
      </c>
    </row>
    <row r="7534" spans="1:11" x14ac:dyDescent="0.25">
      <c r="A7534" t="s">
        <v>14652</v>
      </c>
      <c r="C7534" t="s">
        <v>14653</v>
      </c>
      <c r="D7534" t="s">
        <v>5</v>
      </c>
      <c r="E7534" t="s">
        <v>6</v>
      </c>
      <c r="F7534" t="s">
        <v>251</v>
      </c>
      <c r="G7534">
        <v>1</v>
      </c>
      <c r="H7534" s="2">
        <f>Tabelle13[[#This Row],[commits]]/Tabelle13[[#Totals],[commits]]</f>
        <v>4.6477904404246225E-6</v>
      </c>
      <c r="I7534" s="5">
        <f>Tabelle13[[#This Row],[%]]+I7533</f>
        <v>0.99296789306354838</v>
      </c>
      <c r="J7534" s="4">
        <f t="shared" si="267"/>
        <v>1.105583195135434E-4</v>
      </c>
      <c r="K7534" s="5">
        <f t="shared" si="268"/>
        <v>0.83272526257611323</v>
      </c>
    </row>
    <row r="7535" spans="1:11" x14ac:dyDescent="0.25">
      <c r="A7535" t="s">
        <v>14654</v>
      </c>
      <c r="C7535" t="s">
        <v>14655</v>
      </c>
      <c r="D7535" t="s">
        <v>5</v>
      </c>
      <c r="E7535" t="s">
        <v>6</v>
      </c>
      <c r="F7535" t="s">
        <v>251</v>
      </c>
      <c r="G7535">
        <v>1</v>
      </c>
      <c r="H7535" s="2">
        <f>Tabelle13[[#This Row],[commits]]/Tabelle13[[#Totals],[commits]]</f>
        <v>4.6477904404246225E-6</v>
      </c>
      <c r="I7535" s="5">
        <f>Tabelle13[[#This Row],[%]]+I7534</f>
        <v>0.99297254085398878</v>
      </c>
      <c r="J7535" s="4">
        <f t="shared" si="267"/>
        <v>1.105583195135434E-4</v>
      </c>
      <c r="K7535" s="5">
        <f t="shared" si="268"/>
        <v>0.8328358208956268</v>
      </c>
    </row>
    <row r="7536" spans="1:11" x14ac:dyDescent="0.25">
      <c r="A7536" t="s">
        <v>14656</v>
      </c>
      <c r="C7536" t="s">
        <v>14657</v>
      </c>
      <c r="D7536" t="s">
        <v>5</v>
      </c>
      <c r="E7536" t="s">
        <v>6</v>
      </c>
      <c r="F7536" t="s">
        <v>251</v>
      </c>
      <c r="G7536">
        <v>1</v>
      </c>
      <c r="H7536" s="2">
        <f>Tabelle13[[#This Row],[commits]]/Tabelle13[[#Totals],[commits]]</f>
        <v>4.6477904404246225E-6</v>
      </c>
      <c r="I7536" s="5">
        <f>Tabelle13[[#This Row],[%]]+I7535</f>
        <v>0.99297718864442919</v>
      </c>
      <c r="J7536" s="4">
        <f t="shared" si="267"/>
        <v>1.105583195135434E-4</v>
      </c>
      <c r="K7536" s="5">
        <f t="shared" si="268"/>
        <v>0.83294637921514036</v>
      </c>
    </row>
    <row r="7537" spans="1:11" x14ac:dyDescent="0.25">
      <c r="A7537" t="s">
        <v>14658</v>
      </c>
      <c r="C7537" t="s">
        <v>14659</v>
      </c>
      <c r="D7537" t="s">
        <v>5</v>
      </c>
      <c r="E7537" t="s">
        <v>6</v>
      </c>
      <c r="F7537" t="s">
        <v>251</v>
      </c>
      <c r="G7537">
        <v>1</v>
      </c>
      <c r="H7537" s="2">
        <f>Tabelle13[[#This Row],[commits]]/Tabelle13[[#Totals],[commits]]</f>
        <v>4.6477904404246225E-6</v>
      </c>
      <c r="I7537" s="5">
        <f>Tabelle13[[#This Row],[%]]+I7536</f>
        <v>0.99298183643486959</v>
      </c>
      <c r="J7537" s="4">
        <f t="shared" si="267"/>
        <v>1.105583195135434E-4</v>
      </c>
      <c r="K7537" s="5">
        <f t="shared" si="268"/>
        <v>0.83305693753465393</v>
      </c>
    </row>
    <row r="7538" spans="1:11" x14ac:dyDescent="0.25">
      <c r="A7538" t="s">
        <v>14660</v>
      </c>
      <c r="C7538" t="s">
        <v>14661</v>
      </c>
      <c r="D7538" t="s">
        <v>5</v>
      </c>
      <c r="E7538" t="s">
        <v>6</v>
      </c>
      <c r="F7538" t="s">
        <v>251</v>
      </c>
      <c r="G7538">
        <v>1</v>
      </c>
      <c r="H7538" s="2">
        <f>Tabelle13[[#This Row],[commits]]/Tabelle13[[#Totals],[commits]]</f>
        <v>4.6477904404246225E-6</v>
      </c>
      <c r="I7538" s="5">
        <f>Tabelle13[[#This Row],[%]]+I7537</f>
        <v>0.99298648422531</v>
      </c>
      <c r="J7538" s="4">
        <f t="shared" si="267"/>
        <v>1.105583195135434E-4</v>
      </c>
      <c r="K7538" s="5">
        <f t="shared" si="268"/>
        <v>0.83316749585416749</v>
      </c>
    </row>
    <row r="7539" spans="1:11" x14ac:dyDescent="0.25">
      <c r="A7539" t="s">
        <v>14662</v>
      </c>
      <c r="C7539" t="s">
        <v>14663</v>
      </c>
      <c r="D7539" t="s">
        <v>5</v>
      </c>
      <c r="E7539" t="s">
        <v>6</v>
      </c>
      <c r="F7539" t="s">
        <v>251</v>
      </c>
      <c r="G7539">
        <v>1</v>
      </c>
      <c r="H7539" s="2">
        <f>Tabelle13[[#This Row],[commits]]/Tabelle13[[#Totals],[commits]]</f>
        <v>4.6477904404246225E-6</v>
      </c>
      <c r="I7539" s="5">
        <f>Tabelle13[[#This Row],[%]]+I7538</f>
        <v>0.9929911320157504</v>
      </c>
      <c r="J7539" s="4">
        <f t="shared" si="267"/>
        <v>1.105583195135434E-4</v>
      </c>
      <c r="K7539" s="5">
        <f t="shared" si="268"/>
        <v>0.83327805417368106</v>
      </c>
    </row>
    <row r="7540" spans="1:11" x14ac:dyDescent="0.25">
      <c r="A7540" t="s">
        <v>14664</v>
      </c>
      <c r="C7540" t="s">
        <v>14665</v>
      </c>
      <c r="D7540" t="s">
        <v>5</v>
      </c>
      <c r="E7540" t="s">
        <v>6</v>
      </c>
      <c r="F7540" t="s">
        <v>251</v>
      </c>
      <c r="G7540">
        <v>1</v>
      </c>
      <c r="H7540" s="2">
        <f>Tabelle13[[#This Row],[commits]]/Tabelle13[[#Totals],[commits]]</f>
        <v>4.6477904404246225E-6</v>
      </c>
      <c r="I7540" s="5">
        <f>Tabelle13[[#This Row],[%]]+I7539</f>
        <v>0.9929957798061908</v>
      </c>
      <c r="J7540" s="4">
        <f t="shared" si="267"/>
        <v>1.105583195135434E-4</v>
      </c>
      <c r="K7540" s="5">
        <f t="shared" si="268"/>
        <v>0.83338861249319462</v>
      </c>
    </row>
    <row r="7541" spans="1:11" x14ac:dyDescent="0.25">
      <c r="A7541" t="s">
        <v>14666</v>
      </c>
      <c r="C7541" t="s">
        <v>14667</v>
      </c>
      <c r="D7541" t="s">
        <v>14668</v>
      </c>
      <c r="E7541" t="s">
        <v>6</v>
      </c>
      <c r="F7541" t="s">
        <v>251</v>
      </c>
      <c r="G7541">
        <v>1</v>
      </c>
      <c r="H7541" s="2">
        <f>Tabelle13[[#This Row],[commits]]/Tabelle13[[#Totals],[commits]]</f>
        <v>4.6477904404246225E-6</v>
      </c>
      <c r="I7541" s="5">
        <f>Tabelle13[[#This Row],[%]]+I7540</f>
        <v>0.99300042759663121</v>
      </c>
      <c r="J7541" s="4">
        <f t="shared" si="267"/>
        <v>1.105583195135434E-4</v>
      </c>
      <c r="K7541" s="5">
        <f t="shared" si="268"/>
        <v>0.83349917081270819</v>
      </c>
    </row>
    <row r="7542" spans="1:11" x14ac:dyDescent="0.25">
      <c r="A7542" t="s">
        <v>14669</v>
      </c>
      <c r="C7542" t="s">
        <v>14670</v>
      </c>
      <c r="D7542" t="s">
        <v>5</v>
      </c>
      <c r="E7542" t="s">
        <v>6</v>
      </c>
      <c r="F7542" t="s">
        <v>251</v>
      </c>
      <c r="G7542">
        <v>1</v>
      </c>
      <c r="H7542" s="2">
        <f>Tabelle13[[#This Row],[commits]]/Tabelle13[[#Totals],[commits]]</f>
        <v>4.6477904404246225E-6</v>
      </c>
      <c r="I7542" s="5">
        <f>Tabelle13[[#This Row],[%]]+I7541</f>
        <v>0.99300507538707161</v>
      </c>
      <c r="J7542" s="4">
        <f t="shared" si="267"/>
        <v>1.105583195135434E-4</v>
      </c>
      <c r="K7542" s="5">
        <f t="shared" si="268"/>
        <v>0.83360972913222176</v>
      </c>
    </row>
    <row r="7543" spans="1:11" x14ac:dyDescent="0.25">
      <c r="A7543" t="s">
        <v>14671</v>
      </c>
      <c r="C7543" t="s">
        <v>14672</v>
      </c>
      <c r="D7543" t="s">
        <v>5</v>
      </c>
      <c r="E7543" t="s">
        <v>6</v>
      </c>
      <c r="F7543" t="s">
        <v>251</v>
      </c>
      <c r="G7543">
        <v>1</v>
      </c>
      <c r="H7543" s="2">
        <f>Tabelle13[[#This Row],[commits]]/Tabelle13[[#Totals],[commits]]</f>
        <v>4.6477904404246225E-6</v>
      </c>
      <c r="I7543" s="5">
        <f>Tabelle13[[#This Row],[%]]+I7542</f>
        <v>0.99300972317751202</v>
      </c>
      <c r="J7543" s="4">
        <f t="shared" si="267"/>
        <v>1.105583195135434E-4</v>
      </c>
      <c r="K7543" s="5">
        <f t="shared" si="268"/>
        <v>0.83372028745173532</v>
      </c>
    </row>
    <row r="7544" spans="1:11" x14ac:dyDescent="0.25">
      <c r="A7544" t="s">
        <v>14673</v>
      </c>
      <c r="C7544" t="s">
        <v>14674</v>
      </c>
      <c r="D7544" t="s">
        <v>2641</v>
      </c>
      <c r="E7544" t="s">
        <v>6</v>
      </c>
      <c r="F7544" t="s">
        <v>251</v>
      </c>
      <c r="G7544">
        <v>1</v>
      </c>
      <c r="H7544" s="2">
        <f>Tabelle13[[#This Row],[commits]]/Tabelle13[[#Totals],[commits]]</f>
        <v>4.6477904404246225E-6</v>
      </c>
      <c r="I7544" s="5">
        <f>Tabelle13[[#This Row],[%]]+I7543</f>
        <v>0.99301437096795242</v>
      </c>
      <c r="J7544" s="4">
        <f t="shared" si="267"/>
        <v>1.105583195135434E-4</v>
      </c>
      <c r="K7544" s="5">
        <f t="shared" si="268"/>
        <v>0.83383084577124889</v>
      </c>
    </row>
    <row r="7545" spans="1:11" x14ac:dyDescent="0.25">
      <c r="A7545" t="s">
        <v>14675</v>
      </c>
      <c r="C7545" t="s">
        <v>14676</v>
      </c>
      <c r="D7545" t="s">
        <v>5</v>
      </c>
      <c r="E7545" t="s">
        <v>6</v>
      </c>
      <c r="F7545" t="s">
        <v>251</v>
      </c>
      <c r="G7545">
        <v>1</v>
      </c>
      <c r="H7545" s="2">
        <f>Tabelle13[[#This Row],[commits]]/Tabelle13[[#Totals],[commits]]</f>
        <v>4.6477904404246225E-6</v>
      </c>
      <c r="I7545" s="5">
        <f>Tabelle13[[#This Row],[%]]+I7544</f>
        <v>0.99301901875839282</v>
      </c>
      <c r="J7545" s="4">
        <f t="shared" si="267"/>
        <v>1.105583195135434E-4</v>
      </c>
      <c r="K7545" s="5">
        <f t="shared" si="268"/>
        <v>0.83394140409076245</v>
      </c>
    </row>
    <row r="7546" spans="1:11" x14ac:dyDescent="0.25">
      <c r="A7546" t="s">
        <v>14677</v>
      </c>
      <c r="C7546" t="s">
        <v>14678</v>
      </c>
      <c r="D7546" t="s">
        <v>5</v>
      </c>
      <c r="E7546" t="s">
        <v>6</v>
      </c>
      <c r="F7546" t="s">
        <v>251</v>
      </c>
      <c r="G7546">
        <v>1</v>
      </c>
      <c r="H7546" s="2">
        <f>Tabelle13[[#This Row],[commits]]/Tabelle13[[#Totals],[commits]]</f>
        <v>4.6477904404246225E-6</v>
      </c>
      <c r="I7546" s="5">
        <f>Tabelle13[[#This Row],[%]]+I7545</f>
        <v>0.99302366654883323</v>
      </c>
      <c r="J7546" s="4">
        <f t="shared" si="267"/>
        <v>1.105583195135434E-4</v>
      </c>
      <c r="K7546" s="5">
        <f t="shared" si="268"/>
        <v>0.83405196241027602</v>
      </c>
    </row>
    <row r="7547" spans="1:11" x14ac:dyDescent="0.25">
      <c r="A7547" t="s">
        <v>14679</v>
      </c>
      <c r="C7547" t="s">
        <v>14680</v>
      </c>
      <c r="D7547" t="s">
        <v>5</v>
      </c>
      <c r="E7547" t="s">
        <v>6</v>
      </c>
      <c r="F7547" t="s">
        <v>251</v>
      </c>
      <c r="G7547">
        <v>1</v>
      </c>
      <c r="H7547" s="2">
        <f>Tabelle13[[#This Row],[commits]]/Tabelle13[[#Totals],[commits]]</f>
        <v>4.6477904404246225E-6</v>
      </c>
      <c r="I7547" s="5">
        <f>Tabelle13[[#This Row],[%]]+I7546</f>
        <v>0.99302831433927363</v>
      </c>
      <c r="J7547" s="4">
        <f t="shared" si="267"/>
        <v>1.105583195135434E-4</v>
      </c>
      <c r="K7547" s="5">
        <f t="shared" si="268"/>
        <v>0.83416252072978958</v>
      </c>
    </row>
    <row r="7548" spans="1:11" x14ac:dyDescent="0.25">
      <c r="A7548" t="s">
        <v>14681</v>
      </c>
      <c r="C7548" t="s">
        <v>14682</v>
      </c>
      <c r="D7548" t="s">
        <v>5</v>
      </c>
      <c r="E7548" t="s">
        <v>6</v>
      </c>
      <c r="F7548" t="s">
        <v>251</v>
      </c>
      <c r="G7548">
        <v>1</v>
      </c>
      <c r="H7548" s="2">
        <f>Tabelle13[[#This Row],[commits]]/Tabelle13[[#Totals],[commits]]</f>
        <v>4.6477904404246225E-6</v>
      </c>
      <c r="I7548" s="5">
        <f>Tabelle13[[#This Row],[%]]+I7547</f>
        <v>0.99303296212971404</v>
      </c>
      <c r="J7548" s="4">
        <f t="shared" si="267"/>
        <v>1.105583195135434E-4</v>
      </c>
      <c r="K7548" s="5">
        <f t="shared" si="268"/>
        <v>0.83427307904930315</v>
      </c>
    </row>
    <row r="7549" spans="1:11" x14ac:dyDescent="0.25">
      <c r="A7549" t="s">
        <v>14683</v>
      </c>
      <c r="C7549" t="s">
        <v>14684</v>
      </c>
      <c r="D7549" t="s">
        <v>12681</v>
      </c>
      <c r="E7549" t="s">
        <v>6</v>
      </c>
      <c r="F7549" t="s">
        <v>251</v>
      </c>
      <c r="G7549">
        <v>1</v>
      </c>
      <c r="H7549" s="2">
        <f>Tabelle13[[#This Row],[commits]]/Tabelle13[[#Totals],[commits]]</f>
        <v>4.6477904404246225E-6</v>
      </c>
      <c r="I7549" s="5">
        <f>Tabelle13[[#This Row],[%]]+I7548</f>
        <v>0.99303760992015444</v>
      </c>
      <c r="J7549" s="4">
        <f t="shared" si="267"/>
        <v>1.105583195135434E-4</v>
      </c>
      <c r="K7549" s="5">
        <f t="shared" si="268"/>
        <v>0.83438363736881671</v>
      </c>
    </row>
    <row r="7550" spans="1:11" x14ac:dyDescent="0.25">
      <c r="A7550" t="s">
        <v>14685</v>
      </c>
      <c r="C7550" t="s">
        <v>14686</v>
      </c>
      <c r="D7550" t="s">
        <v>2641</v>
      </c>
      <c r="E7550" t="s">
        <v>6</v>
      </c>
      <c r="F7550" t="s">
        <v>251</v>
      </c>
      <c r="G7550">
        <v>1</v>
      </c>
      <c r="H7550" s="2">
        <f>Tabelle13[[#This Row],[commits]]/Tabelle13[[#Totals],[commits]]</f>
        <v>4.6477904404246225E-6</v>
      </c>
      <c r="I7550" s="5">
        <f>Tabelle13[[#This Row],[%]]+I7549</f>
        <v>0.99304225771059484</v>
      </c>
      <c r="J7550" s="4">
        <f t="shared" si="267"/>
        <v>1.105583195135434E-4</v>
      </c>
      <c r="K7550" s="5">
        <f t="shared" si="268"/>
        <v>0.83449419568833028</v>
      </c>
    </row>
    <row r="7551" spans="1:11" x14ac:dyDescent="0.25">
      <c r="A7551" t="s">
        <v>14687</v>
      </c>
      <c r="C7551" t="s">
        <v>14688</v>
      </c>
      <c r="D7551" t="s">
        <v>309</v>
      </c>
      <c r="E7551" t="s">
        <v>6</v>
      </c>
      <c r="F7551" t="s">
        <v>251</v>
      </c>
      <c r="G7551">
        <v>1</v>
      </c>
      <c r="H7551" s="2">
        <f>Tabelle13[[#This Row],[commits]]/Tabelle13[[#Totals],[commits]]</f>
        <v>4.6477904404246225E-6</v>
      </c>
      <c r="I7551" s="5">
        <f>Tabelle13[[#This Row],[%]]+I7550</f>
        <v>0.99304690550103525</v>
      </c>
      <c r="J7551" s="4">
        <f t="shared" si="267"/>
        <v>1.105583195135434E-4</v>
      </c>
      <c r="K7551" s="5">
        <f t="shared" si="268"/>
        <v>0.83460475400784384</v>
      </c>
    </row>
    <row r="7552" spans="1:11" x14ac:dyDescent="0.25">
      <c r="A7552" t="s">
        <v>14689</v>
      </c>
      <c r="C7552" t="s">
        <v>11838</v>
      </c>
      <c r="D7552" t="s">
        <v>309</v>
      </c>
      <c r="E7552" t="s">
        <v>6</v>
      </c>
      <c r="F7552" t="s">
        <v>251</v>
      </c>
      <c r="G7552">
        <v>1</v>
      </c>
      <c r="H7552" s="2">
        <f>Tabelle13[[#This Row],[commits]]/Tabelle13[[#Totals],[commits]]</f>
        <v>4.6477904404246225E-6</v>
      </c>
      <c r="I7552" s="5">
        <f>Tabelle13[[#This Row],[%]]+I7551</f>
        <v>0.99305155329147565</v>
      </c>
      <c r="J7552" s="4">
        <f t="shared" si="267"/>
        <v>1.105583195135434E-4</v>
      </c>
      <c r="K7552" s="5">
        <f t="shared" si="268"/>
        <v>0.83471531232735741</v>
      </c>
    </row>
    <row r="7553" spans="1:11" x14ac:dyDescent="0.25">
      <c r="A7553" t="s">
        <v>14690</v>
      </c>
      <c r="C7553" t="s">
        <v>197</v>
      </c>
      <c r="D7553" t="s">
        <v>5</v>
      </c>
      <c r="E7553" t="s">
        <v>6</v>
      </c>
      <c r="F7553" t="s">
        <v>251</v>
      </c>
      <c r="G7553">
        <v>1</v>
      </c>
      <c r="H7553" s="2">
        <f>Tabelle13[[#This Row],[commits]]/Tabelle13[[#Totals],[commits]]</f>
        <v>4.6477904404246225E-6</v>
      </c>
      <c r="I7553" s="5">
        <f>Tabelle13[[#This Row],[%]]+I7552</f>
        <v>0.99305620108191606</v>
      </c>
      <c r="J7553" s="4">
        <f t="shared" si="267"/>
        <v>1.105583195135434E-4</v>
      </c>
      <c r="K7553" s="5">
        <f t="shared" si="268"/>
        <v>0.83482587064687097</v>
      </c>
    </row>
    <row r="7554" spans="1:11" x14ac:dyDescent="0.25">
      <c r="A7554" t="s">
        <v>14691</v>
      </c>
      <c r="C7554" t="s">
        <v>14692</v>
      </c>
      <c r="D7554" t="s">
        <v>5</v>
      </c>
      <c r="E7554" t="s">
        <v>6</v>
      </c>
      <c r="F7554" t="s">
        <v>251</v>
      </c>
      <c r="G7554">
        <v>1</v>
      </c>
      <c r="H7554" s="2">
        <f>Tabelle13[[#This Row],[commits]]/Tabelle13[[#Totals],[commits]]</f>
        <v>4.6477904404246225E-6</v>
      </c>
      <c r="I7554" s="5">
        <f>Tabelle13[[#This Row],[%]]+I7553</f>
        <v>0.99306084887235646</v>
      </c>
      <c r="J7554" s="4">
        <f t="shared" si="267"/>
        <v>1.105583195135434E-4</v>
      </c>
      <c r="K7554" s="5">
        <f t="shared" si="268"/>
        <v>0.83493642896638454</v>
      </c>
    </row>
    <row r="7555" spans="1:11" x14ac:dyDescent="0.25">
      <c r="A7555" t="s">
        <v>14693</v>
      </c>
      <c r="C7555" t="s">
        <v>14694</v>
      </c>
      <c r="D7555" t="s">
        <v>14695</v>
      </c>
      <c r="E7555" t="s">
        <v>6</v>
      </c>
      <c r="F7555" t="s">
        <v>251</v>
      </c>
      <c r="G7555">
        <v>1</v>
      </c>
      <c r="H7555" s="2">
        <f>Tabelle13[[#This Row],[commits]]/Tabelle13[[#Totals],[commits]]</f>
        <v>4.6477904404246225E-6</v>
      </c>
      <c r="I7555" s="5">
        <f>Tabelle13[[#This Row],[%]]+I7554</f>
        <v>0.99306549666279686</v>
      </c>
      <c r="J7555" s="4">
        <f t="shared" ref="J7555:J7618" si="269">1/9045</f>
        <v>1.105583195135434E-4</v>
      </c>
      <c r="K7555" s="5">
        <f t="shared" si="268"/>
        <v>0.8350469872858981</v>
      </c>
    </row>
    <row r="7556" spans="1:11" x14ac:dyDescent="0.25">
      <c r="A7556" t="s">
        <v>14696</v>
      </c>
      <c r="C7556" t="s">
        <v>14697</v>
      </c>
      <c r="D7556" t="s">
        <v>6702</v>
      </c>
      <c r="E7556" t="s">
        <v>6</v>
      </c>
      <c r="F7556" t="s">
        <v>251</v>
      </c>
      <c r="G7556">
        <v>1</v>
      </c>
      <c r="H7556" s="2">
        <f>Tabelle13[[#This Row],[commits]]/Tabelle13[[#Totals],[commits]]</f>
        <v>4.6477904404246225E-6</v>
      </c>
      <c r="I7556" s="5">
        <f>Tabelle13[[#This Row],[%]]+I7555</f>
        <v>0.99307014445323727</v>
      </c>
      <c r="J7556" s="4">
        <f t="shared" si="269"/>
        <v>1.105583195135434E-4</v>
      </c>
      <c r="K7556" s="5">
        <f t="shared" si="268"/>
        <v>0.83515754560541167</v>
      </c>
    </row>
    <row r="7557" spans="1:11" x14ac:dyDescent="0.25">
      <c r="A7557" t="s">
        <v>14698</v>
      </c>
      <c r="C7557" t="s">
        <v>14699</v>
      </c>
      <c r="D7557" t="s">
        <v>5</v>
      </c>
      <c r="E7557" t="s">
        <v>6</v>
      </c>
      <c r="F7557" t="s">
        <v>251</v>
      </c>
      <c r="G7557">
        <v>1</v>
      </c>
      <c r="H7557" s="2">
        <f>Tabelle13[[#This Row],[commits]]/Tabelle13[[#Totals],[commits]]</f>
        <v>4.6477904404246225E-6</v>
      </c>
      <c r="I7557" s="5">
        <f>Tabelle13[[#This Row],[%]]+I7556</f>
        <v>0.99307479224367767</v>
      </c>
      <c r="J7557" s="4">
        <f t="shared" si="269"/>
        <v>1.105583195135434E-4</v>
      </c>
      <c r="K7557" s="5">
        <f t="shared" si="268"/>
        <v>0.83526810392492523</v>
      </c>
    </row>
    <row r="7558" spans="1:11" x14ac:dyDescent="0.25">
      <c r="A7558" t="s">
        <v>14700</v>
      </c>
      <c r="C7558" t="s">
        <v>14701</v>
      </c>
      <c r="D7558" t="s">
        <v>5</v>
      </c>
      <c r="E7558" t="s">
        <v>6</v>
      </c>
      <c r="F7558" t="s">
        <v>251</v>
      </c>
      <c r="G7558">
        <v>1</v>
      </c>
      <c r="H7558" s="2">
        <f>Tabelle13[[#This Row],[commits]]/Tabelle13[[#Totals],[commits]]</f>
        <v>4.6477904404246225E-6</v>
      </c>
      <c r="I7558" s="5">
        <f>Tabelle13[[#This Row],[%]]+I7557</f>
        <v>0.99307944003411808</v>
      </c>
      <c r="J7558" s="4">
        <f t="shared" si="269"/>
        <v>1.105583195135434E-4</v>
      </c>
      <c r="K7558" s="5">
        <f t="shared" ref="K7558:K7621" si="270">J7558+K7557</f>
        <v>0.8353786622444388</v>
      </c>
    </row>
    <row r="7559" spans="1:11" x14ac:dyDescent="0.25">
      <c r="A7559" t="s">
        <v>14702</v>
      </c>
      <c r="C7559" t="s">
        <v>14703</v>
      </c>
      <c r="D7559" t="s">
        <v>5</v>
      </c>
      <c r="E7559" t="s">
        <v>6</v>
      </c>
      <c r="F7559" t="s">
        <v>251</v>
      </c>
      <c r="G7559">
        <v>1</v>
      </c>
      <c r="H7559" s="2">
        <f>Tabelle13[[#This Row],[commits]]/Tabelle13[[#Totals],[commits]]</f>
        <v>4.6477904404246225E-6</v>
      </c>
      <c r="I7559" s="5">
        <f>Tabelle13[[#This Row],[%]]+I7558</f>
        <v>0.99308408782455848</v>
      </c>
      <c r="J7559" s="4">
        <f t="shared" si="269"/>
        <v>1.105583195135434E-4</v>
      </c>
      <c r="K7559" s="5">
        <f t="shared" si="270"/>
        <v>0.83548922056395236</v>
      </c>
    </row>
    <row r="7560" spans="1:11" x14ac:dyDescent="0.25">
      <c r="A7560" t="s">
        <v>14704</v>
      </c>
      <c r="C7560" t="s">
        <v>14705</v>
      </c>
      <c r="D7560" t="s">
        <v>309</v>
      </c>
      <c r="E7560" t="s">
        <v>6</v>
      </c>
      <c r="F7560" t="s">
        <v>251</v>
      </c>
      <c r="G7560">
        <v>1</v>
      </c>
      <c r="H7560" s="2">
        <f>Tabelle13[[#This Row],[commits]]/Tabelle13[[#Totals],[commits]]</f>
        <v>4.6477904404246225E-6</v>
      </c>
      <c r="I7560" s="5">
        <f>Tabelle13[[#This Row],[%]]+I7559</f>
        <v>0.99308873561499889</v>
      </c>
      <c r="J7560" s="4">
        <f t="shared" si="269"/>
        <v>1.105583195135434E-4</v>
      </c>
      <c r="K7560" s="5">
        <f t="shared" si="270"/>
        <v>0.83559977888346593</v>
      </c>
    </row>
    <row r="7561" spans="1:11" x14ac:dyDescent="0.25">
      <c r="A7561" t="s">
        <v>14706</v>
      </c>
      <c r="C7561" t="s">
        <v>14707</v>
      </c>
      <c r="D7561" t="s">
        <v>5</v>
      </c>
      <c r="E7561" t="s">
        <v>6</v>
      </c>
      <c r="F7561" t="s">
        <v>251</v>
      </c>
      <c r="G7561">
        <v>1</v>
      </c>
      <c r="H7561" s="2">
        <f>Tabelle13[[#This Row],[commits]]/Tabelle13[[#Totals],[commits]]</f>
        <v>4.6477904404246225E-6</v>
      </c>
      <c r="I7561" s="5">
        <f>Tabelle13[[#This Row],[%]]+I7560</f>
        <v>0.99309338340543929</v>
      </c>
      <c r="J7561" s="4">
        <f t="shared" si="269"/>
        <v>1.105583195135434E-4</v>
      </c>
      <c r="K7561" s="5">
        <f t="shared" si="270"/>
        <v>0.83571033720297949</v>
      </c>
    </row>
    <row r="7562" spans="1:11" x14ac:dyDescent="0.25">
      <c r="A7562" t="s">
        <v>14708</v>
      </c>
      <c r="C7562" t="s">
        <v>14709</v>
      </c>
      <c r="D7562" t="s">
        <v>5</v>
      </c>
      <c r="E7562" t="s">
        <v>6</v>
      </c>
      <c r="F7562" t="s">
        <v>251</v>
      </c>
      <c r="G7562">
        <v>1</v>
      </c>
      <c r="H7562" s="2">
        <f>Tabelle13[[#This Row],[commits]]/Tabelle13[[#Totals],[commits]]</f>
        <v>4.6477904404246225E-6</v>
      </c>
      <c r="I7562" s="5">
        <f>Tabelle13[[#This Row],[%]]+I7561</f>
        <v>0.99309803119587969</v>
      </c>
      <c r="J7562" s="4">
        <f t="shared" si="269"/>
        <v>1.105583195135434E-4</v>
      </c>
      <c r="K7562" s="5">
        <f t="shared" si="270"/>
        <v>0.83582089552249306</v>
      </c>
    </row>
    <row r="7563" spans="1:11" x14ac:dyDescent="0.25">
      <c r="A7563" t="s">
        <v>14710</v>
      </c>
      <c r="C7563" t="s">
        <v>14711</v>
      </c>
      <c r="D7563" t="s">
        <v>14712</v>
      </c>
      <c r="E7563" t="s">
        <v>6</v>
      </c>
      <c r="F7563" t="s">
        <v>251</v>
      </c>
      <c r="G7563">
        <v>1</v>
      </c>
      <c r="H7563" s="2">
        <f>Tabelle13[[#This Row],[commits]]/Tabelle13[[#Totals],[commits]]</f>
        <v>4.6477904404246225E-6</v>
      </c>
      <c r="I7563" s="5">
        <f>Tabelle13[[#This Row],[%]]+I7562</f>
        <v>0.9931026789863201</v>
      </c>
      <c r="J7563" s="4">
        <f t="shared" si="269"/>
        <v>1.105583195135434E-4</v>
      </c>
      <c r="K7563" s="5">
        <f t="shared" si="270"/>
        <v>0.83593145384200662</v>
      </c>
    </row>
    <row r="7564" spans="1:11" x14ac:dyDescent="0.25">
      <c r="A7564" t="s">
        <v>14713</v>
      </c>
      <c r="C7564" t="s">
        <v>14714</v>
      </c>
      <c r="D7564" t="s">
        <v>5</v>
      </c>
      <c r="E7564" t="s">
        <v>6</v>
      </c>
      <c r="F7564" t="s">
        <v>251</v>
      </c>
      <c r="G7564">
        <v>1</v>
      </c>
      <c r="H7564" s="2">
        <f>Tabelle13[[#This Row],[commits]]/Tabelle13[[#Totals],[commits]]</f>
        <v>4.6477904404246225E-6</v>
      </c>
      <c r="I7564" s="5">
        <f>Tabelle13[[#This Row],[%]]+I7563</f>
        <v>0.9931073267767605</v>
      </c>
      <c r="J7564" s="4">
        <f t="shared" si="269"/>
        <v>1.105583195135434E-4</v>
      </c>
      <c r="K7564" s="5">
        <f t="shared" si="270"/>
        <v>0.83604201216152019</v>
      </c>
    </row>
    <row r="7565" spans="1:11" x14ac:dyDescent="0.25">
      <c r="A7565" t="s">
        <v>14715</v>
      </c>
      <c r="C7565" t="s">
        <v>14716</v>
      </c>
      <c r="D7565" t="s">
        <v>5</v>
      </c>
      <c r="E7565" t="s">
        <v>6</v>
      </c>
      <c r="F7565" t="s">
        <v>251</v>
      </c>
      <c r="G7565">
        <v>1</v>
      </c>
      <c r="H7565" s="2">
        <f>Tabelle13[[#This Row],[commits]]/Tabelle13[[#Totals],[commits]]</f>
        <v>4.6477904404246225E-6</v>
      </c>
      <c r="I7565" s="5">
        <f>Tabelle13[[#This Row],[%]]+I7564</f>
        <v>0.99311197456720091</v>
      </c>
      <c r="J7565" s="4">
        <f t="shared" si="269"/>
        <v>1.105583195135434E-4</v>
      </c>
      <c r="K7565" s="5">
        <f t="shared" si="270"/>
        <v>0.83615257048103375</v>
      </c>
    </row>
    <row r="7566" spans="1:11" x14ac:dyDescent="0.25">
      <c r="A7566" t="s">
        <v>14717</v>
      </c>
      <c r="C7566" t="s">
        <v>14718</v>
      </c>
      <c r="D7566" t="s">
        <v>5</v>
      </c>
      <c r="E7566" t="s">
        <v>6</v>
      </c>
      <c r="F7566" t="s">
        <v>251</v>
      </c>
      <c r="G7566">
        <v>1</v>
      </c>
      <c r="H7566" s="2">
        <f>Tabelle13[[#This Row],[commits]]/Tabelle13[[#Totals],[commits]]</f>
        <v>4.6477904404246225E-6</v>
      </c>
      <c r="I7566" s="5">
        <f>Tabelle13[[#This Row],[%]]+I7565</f>
        <v>0.99311662235764131</v>
      </c>
      <c r="J7566" s="4">
        <f t="shared" si="269"/>
        <v>1.105583195135434E-4</v>
      </c>
      <c r="K7566" s="5">
        <f t="shared" si="270"/>
        <v>0.83626312880054732</v>
      </c>
    </row>
    <row r="7567" spans="1:11" x14ac:dyDescent="0.25">
      <c r="A7567" t="s">
        <v>14719</v>
      </c>
      <c r="C7567" t="s">
        <v>14720</v>
      </c>
      <c r="D7567" t="s">
        <v>5</v>
      </c>
      <c r="E7567" t="s">
        <v>6</v>
      </c>
      <c r="F7567" t="s">
        <v>251</v>
      </c>
      <c r="G7567">
        <v>1</v>
      </c>
      <c r="H7567" s="2">
        <f>Tabelle13[[#This Row],[commits]]/Tabelle13[[#Totals],[commits]]</f>
        <v>4.6477904404246225E-6</v>
      </c>
      <c r="I7567" s="5">
        <f>Tabelle13[[#This Row],[%]]+I7566</f>
        <v>0.99312127014808171</v>
      </c>
      <c r="J7567" s="4">
        <f t="shared" si="269"/>
        <v>1.105583195135434E-4</v>
      </c>
      <c r="K7567" s="5">
        <f t="shared" si="270"/>
        <v>0.83637368712006088</v>
      </c>
    </row>
    <row r="7568" spans="1:11" x14ac:dyDescent="0.25">
      <c r="A7568" t="s">
        <v>14721</v>
      </c>
      <c r="C7568" t="s">
        <v>14722</v>
      </c>
      <c r="D7568" t="s">
        <v>14723</v>
      </c>
      <c r="E7568" t="s">
        <v>6</v>
      </c>
      <c r="F7568" t="s">
        <v>334</v>
      </c>
      <c r="G7568">
        <v>1</v>
      </c>
      <c r="H7568" s="2">
        <f>Tabelle13[[#This Row],[commits]]/Tabelle13[[#Totals],[commits]]</f>
        <v>4.6477904404246225E-6</v>
      </c>
      <c r="I7568" s="5">
        <f>Tabelle13[[#This Row],[%]]+I7567</f>
        <v>0.99312591793852212</v>
      </c>
      <c r="J7568" s="4">
        <f t="shared" si="269"/>
        <v>1.105583195135434E-4</v>
      </c>
      <c r="K7568" s="5">
        <f t="shared" si="270"/>
        <v>0.83648424543957445</v>
      </c>
    </row>
    <row r="7569" spans="1:11" x14ac:dyDescent="0.25">
      <c r="A7569" t="s">
        <v>14724</v>
      </c>
      <c r="C7569" t="s">
        <v>14725</v>
      </c>
      <c r="D7569" t="s">
        <v>14726</v>
      </c>
      <c r="E7569" t="s">
        <v>6</v>
      </c>
      <c r="F7569" t="s">
        <v>251</v>
      </c>
      <c r="G7569">
        <v>1</v>
      </c>
      <c r="H7569" s="2">
        <f>Tabelle13[[#This Row],[commits]]/Tabelle13[[#Totals],[commits]]</f>
        <v>4.6477904404246225E-6</v>
      </c>
      <c r="I7569" s="5">
        <f>Tabelle13[[#This Row],[%]]+I7568</f>
        <v>0.99313056572896252</v>
      </c>
      <c r="J7569" s="4">
        <f t="shared" si="269"/>
        <v>1.105583195135434E-4</v>
      </c>
      <c r="K7569" s="5">
        <f t="shared" si="270"/>
        <v>0.83659480375908801</v>
      </c>
    </row>
    <row r="7570" spans="1:11" x14ac:dyDescent="0.25">
      <c r="A7570" t="s">
        <v>14727</v>
      </c>
      <c r="C7570" t="s">
        <v>14728</v>
      </c>
      <c r="D7570" t="s">
        <v>8874</v>
      </c>
      <c r="E7570" t="s">
        <v>6</v>
      </c>
      <c r="F7570" t="s">
        <v>251</v>
      </c>
      <c r="G7570">
        <v>1</v>
      </c>
      <c r="H7570" s="2">
        <f>Tabelle13[[#This Row],[commits]]/Tabelle13[[#Totals],[commits]]</f>
        <v>4.6477904404246225E-6</v>
      </c>
      <c r="I7570" s="5">
        <f>Tabelle13[[#This Row],[%]]+I7569</f>
        <v>0.99313521351940293</v>
      </c>
      <c r="J7570" s="4">
        <f t="shared" si="269"/>
        <v>1.105583195135434E-4</v>
      </c>
      <c r="K7570" s="5">
        <f t="shared" si="270"/>
        <v>0.83670536207860158</v>
      </c>
    </row>
    <row r="7571" spans="1:11" x14ac:dyDescent="0.25">
      <c r="A7571" t="s">
        <v>14729</v>
      </c>
      <c r="C7571" t="s">
        <v>14730</v>
      </c>
      <c r="D7571" t="s">
        <v>5</v>
      </c>
      <c r="E7571" t="s">
        <v>6</v>
      </c>
      <c r="F7571" t="s">
        <v>251</v>
      </c>
      <c r="G7571">
        <v>1</v>
      </c>
      <c r="H7571" s="2">
        <f>Tabelle13[[#This Row],[commits]]/Tabelle13[[#Totals],[commits]]</f>
        <v>4.6477904404246225E-6</v>
      </c>
      <c r="I7571" s="5">
        <f>Tabelle13[[#This Row],[%]]+I7570</f>
        <v>0.99313986130984333</v>
      </c>
      <c r="J7571" s="4">
        <f t="shared" si="269"/>
        <v>1.105583195135434E-4</v>
      </c>
      <c r="K7571" s="5">
        <f t="shared" si="270"/>
        <v>0.83681592039811514</v>
      </c>
    </row>
    <row r="7572" spans="1:11" x14ac:dyDescent="0.25">
      <c r="A7572" t="s">
        <v>14731</v>
      </c>
      <c r="C7572" t="s">
        <v>14732</v>
      </c>
      <c r="D7572" t="s">
        <v>8760</v>
      </c>
      <c r="E7572" t="s">
        <v>6</v>
      </c>
      <c r="F7572" t="s">
        <v>251</v>
      </c>
      <c r="G7572">
        <v>1</v>
      </c>
      <c r="H7572" s="2">
        <f>Tabelle13[[#This Row],[commits]]/Tabelle13[[#Totals],[commits]]</f>
        <v>4.6477904404246225E-6</v>
      </c>
      <c r="I7572" s="5">
        <f>Tabelle13[[#This Row],[%]]+I7571</f>
        <v>0.99314450910028373</v>
      </c>
      <c r="J7572" s="4">
        <f t="shared" si="269"/>
        <v>1.105583195135434E-4</v>
      </c>
      <c r="K7572" s="5">
        <f t="shared" si="270"/>
        <v>0.83692647871762871</v>
      </c>
    </row>
    <row r="7573" spans="1:11" x14ac:dyDescent="0.25">
      <c r="A7573" t="s">
        <v>14733</v>
      </c>
      <c r="C7573" t="s">
        <v>14734</v>
      </c>
      <c r="D7573" t="s">
        <v>5</v>
      </c>
      <c r="E7573" t="s">
        <v>6</v>
      </c>
      <c r="F7573" t="s">
        <v>251</v>
      </c>
      <c r="G7573">
        <v>1</v>
      </c>
      <c r="H7573" s="2">
        <f>Tabelle13[[#This Row],[commits]]/Tabelle13[[#Totals],[commits]]</f>
        <v>4.6477904404246225E-6</v>
      </c>
      <c r="I7573" s="5">
        <f>Tabelle13[[#This Row],[%]]+I7572</f>
        <v>0.99314915689072414</v>
      </c>
      <c r="J7573" s="4">
        <f t="shared" si="269"/>
        <v>1.105583195135434E-4</v>
      </c>
      <c r="K7573" s="5">
        <f t="shared" si="270"/>
        <v>0.83703703703714227</v>
      </c>
    </row>
    <row r="7574" spans="1:11" x14ac:dyDescent="0.25">
      <c r="A7574" t="s">
        <v>14735</v>
      </c>
      <c r="C7574" t="s">
        <v>14736</v>
      </c>
      <c r="D7574" t="s">
        <v>8760</v>
      </c>
      <c r="E7574" t="s">
        <v>6</v>
      </c>
      <c r="F7574" t="s">
        <v>251</v>
      </c>
      <c r="G7574">
        <v>1</v>
      </c>
      <c r="H7574" s="2">
        <f>Tabelle13[[#This Row],[commits]]/Tabelle13[[#Totals],[commits]]</f>
        <v>4.6477904404246225E-6</v>
      </c>
      <c r="I7574" s="5">
        <f>Tabelle13[[#This Row],[%]]+I7573</f>
        <v>0.99315380468116454</v>
      </c>
      <c r="J7574" s="4">
        <f t="shared" si="269"/>
        <v>1.105583195135434E-4</v>
      </c>
      <c r="K7574" s="5">
        <f t="shared" si="270"/>
        <v>0.83714759535665584</v>
      </c>
    </row>
    <row r="7575" spans="1:11" x14ac:dyDescent="0.25">
      <c r="A7575" t="s">
        <v>14737</v>
      </c>
      <c r="C7575" t="s">
        <v>14738</v>
      </c>
      <c r="D7575" t="s">
        <v>5</v>
      </c>
      <c r="E7575" t="s">
        <v>6</v>
      </c>
      <c r="F7575" t="s">
        <v>251</v>
      </c>
      <c r="G7575">
        <v>1</v>
      </c>
      <c r="H7575" s="2">
        <f>Tabelle13[[#This Row],[commits]]/Tabelle13[[#Totals],[commits]]</f>
        <v>4.6477904404246225E-6</v>
      </c>
      <c r="I7575" s="5">
        <f>Tabelle13[[#This Row],[%]]+I7574</f>
        <v>0.99315845247160495</v>
      </c>
      <c r="J7575" s="4">
        <f t="shared" si="269"/>
        <v>1.105583195135434E-4</v>
      </c>
      <c r="K7575" s="5">
        <f t="shared" si="270"/>
        <v>0.8372581536761694</v>
      </c>
    </row>
    <row r="7576" spans="1:11" x14ac:dyDescent="0.25">
      <c r="A7576" t="s">
        <v>14739</v>
      </c>
      <c r="C7576" t="s">
        <v>14740</v>
      </c>
      <c r="D7576" t="s">
        <v>309</v>
      </c>
      <c r="E7576" t="s">
        <v>6</v>
      </c>
      <c r="F7576" t="s">
        <v>251</v>
      </c>
      <c r="G7576">
        <v>1</v>
      </c>
      <c r="H7576" s="2">
        <f>Tabelle13[[#This Row],[commits]]/Tabelle13[[#Totals],[commits]]</f>
        <v>4.6477904404246225E-6</v>
      </c>
      <c r="I7576" s="5">
        <f>Tabelle13[[#This Row],[%]]+I7575</f>
        <v>0.99316310026204535</v>
      </c>
      <c r="J7576" s="4">
        <f t="shared" si="269"/>
        <v>1.105583195135434E-4</v>
      </c>
      <c r="K7576" s="5">
        <f t="shared" si="270"/>
        <v>0.83736871199568297</v>
      </c>
    </row>
    <row r="7577" spans="1:11" x14ac:dyDescent="0.25">
      <c r="A7577" t="s">
        <v>14741</v>
      </c>
      <c r="C7577" t="s">
        <v>14742</v>
      </c>
      <c r="D7577" t="s">
        <v>2659</v>
      </c>
      <c r="E7577" t="s">
        <v>6</v>
      </c>
      <c r="F7577" t="s">
        <v>251</v>
      </c>
      <c r="G7577">
        <v>1</v>
      </c>
      <c r="H7577" s="2">
        <f>Tabelle13[[#This Row],[commits]]/Tabelle13[[#Totals],[commits]]</f>
        <v>4.6477904404246225E-6</v>
      </c>
      <c r="I7577" s="5">
        <f>Tabelle13[[#This Row],[%]]+I7576</f>
        <v>0.99316774805248575</v>
      </c>
      <c r="J7577" s="4">
        <f t="shared" si="269"/>
        <v>1.105583195135434E-4</v>
      </c>
      <c r="K7577" s="5">
        <f t="shared" si="270"/>
        <v>0.83747927031519653</v>
      </c>
    </row>
    <row r="7578" spans="1:11" x14ac:dyDescent="0.25">
      <c r="A7578" t="s">
        <v>14743</v>
      </c>
      <c r="C7578" t="s">
        <v>14744</v>
      </c>
      <c r="D7578" t="s">
        <v>14745</v>
      </c>
      <c r="E7578" t="s">
        <v>6</v>
      </c>
      <c r="F7578" t="s">
        <v>251</v>
      </c>
      <c r="G7578">
        <v>1</v>
      </c>
      <c r="H7578" s="2">
        <f>Tabelle13[[#This Row],[commits]]/Tabelle13[[#Totals],[commits]]</f>
        <v>4.6477904404246225E-6</v>
      </c>
      <c r="I7578" s="5">
        <f>Tabelle13[[#This Row],[%]]+I7577</f>
        <v>0.99317239584292616</v>
      </c>
      <c r="J7578" s="4">
        <f t="shared" si="269"/>
        <v>1.105583195135434E-4</v>
      </c>
      <c r="K7578" s="5">
        <f t="shared" si="270"/>
        <v>0.8375898286347101</v>
      </c>
    </row>
    <row r="7579" spans="1:11" x14ac:dyDescent="0.25">
      <c r="A7579" t="s">
        <v>14746</v>
      </c>
      <c r="C7579" t="s">
        <v>14747</v>
      </c>
      <c r="D7579" t="s">
        <v>5</v>
      </c>
      <c r="E7579" t="s">
        <v>6</v>
      </c>
      <c r="F7579" t="s">
        <v>251</v>
      </c>
      <c r="G7579">
        <v>1</v>
      </c>
      <c r="H7579" s="2">
        <f>Tabelle13[[#This Row],[commits]]/Tabelle13[[#Totals],[commits]]</f>
        <v>4.6477904404246225E-6</v>
      </c>
      <c r="I7579" s="5">
        <f>Tabelle13[[#This Row],[%]]+I7578</f>
        <v>0.99317704363336656</v>
      </c>
      <c r="J7579" s="4">
        <f t="shared" si="269"/>
        <v>1.105583195135434E-4</v>
      </c>
      <c r="K7579" s="5">
        <f t="shared" si="270"/>
        <v>0.83770038695422366</v>
      </c>
    </row>
    <row r="7580" spans="1:11" x14ac:dyDescent="0.25">
      <c r="A7580" t="s">
        <v>14748</v>
      </c>
      <c r="C7580" t="s">
        <v>14749</v>
      </c>
      <c r="D7580" t="s">
        <v>309</v>
      </c>
      <c r="E7580" t="s">
        <v>6</v>
      </c>
      <c r="F7580" t="s">
        <v>251</v>
      </c>
      <c r="G7580">
        <v>1</v>
      </c>
      <c r="H7580" s="2">
        <f>Tabelle13[[#This Row],[commits]]/Tabelle13[[#Totals],[commits]]</f>
        <v>4.6477904404246225E-6</v>
      </c>
      <c r="I7580" s="5">
        <f>Tabelle13[[#This Row],[%]]+I7579</f>
        <v>0.99318169142380697</v>
      </c>
      <c r="J7580" s="4">
        <f t="shared" si="269"/>
        <v>1.105583195135434E-4</v>
      </c>
      <c r="K7580" s="5">
        <f t="shared" si="270"/>
        <v>0.83781094527373723</v>
      </c>
    </row>
    <row r="7581" spans="1:11" x14ac:dyDescent="0.25">
      <c r="A7581" t="s">
        <v>14750</v>
      </c>
      <c r="C7581" t="s">
        <v>14751</v>
      </c>
      <c r="D7581" t="s">
        <v>309</v>
      </c>
      <c r="E7581" t="s">
        <v>6</v>
      </c>
      <c r="F7581" t="s">
        <v>251</v>
      </c>
      <c r="G7581">
        <v>1</v>
      </c>
      <c r="H7581" s="2">
        <f>Tabelle13[[#This Row],[commits]]/Tabelle13[[#Totals],[commits]]</f>
        <v>4.6477904404246225E-6</v>
      </c>
      <c r="I7581" s="5">
        <f>Tabelle13[[#This Row],[%]]+I7580</f>
        <v>0.99318633921424737</v>
      </c>
      <c r="J7581" s="4">
        <f t="shared" si="269"/>
        <v>1.105583195135434E-4</v>
      </c>
      <c r="K7581" s="5">
        <f t="shared" si="270"/>
        <v>0.83792150359325079</v>
      </c>
    </row>
    <row r="7582" spans="1:11" x14ac:dyDescent="0.25">
      <c r="A7582" t="s">
        <v>14752</v>
      </c>
      <c r="C7582" t="s">
        <v>14753</v>
      </c>
      <c r="D7582" t="s">
        <v>309</v>
      </c>
      <c r="E7582" t="s">
        <v>6</v>
      </c>
      <c r="F7582" t="s">
        <v>251</v>
      </c>
      <c r="G7582">
        <v>1</v>
      </c>
      <c r="H7582" s="2">
        <f>Tabelle13[[#This Row],[commits]]/Tabelle13[[#Totals],[commits]]</f>
        <v>4.6477904404246225E-6</v>
      </c>
      <c r="I7582" s="5">
        <f>Tabelle13[[#This Row],[%]]+I7581</f>
        <v>0.99319098700468778</v>
      </c>
      <c r="J7582" s="4">
        <f t="shared" si="269"/>
        <v>1.105583195135434E-4</v>
      </c>
      <c r="K7582" s="5">
        <f t="shared" si="270"/>
        <v>0.83803206191276436</v>
      </c>
    </row>
    <row r="7583" spans="1:11" x14ac:dyDescent="0.25">
      <c r="A7583" t="s">
        <v>14754</v>
      </c>
      <c r="C7583" t="s">
        <v>14755</v>
      </c>
      <c r="D7583" t="s">
        <v>5</v>
      </c>
      <c r="E7583" t="s">
        <v>6</v>
      </c>
      <c r="F7583" t="s">
        <v>251</v>
      </c>
      <c r="G7583">
        <v>1</v>
      </c>
      <c r="H7583" s="2">
        <f>Tabelle13[[#This Row],[commits]]/Tabelle13[[#Totals],[commits]]</f>
        <v>4.6477904404246225E-6</v>
      </c>
      <c r="I7583" s="5">
        <f>Tabelle13[[#This Row],[%]]+I7582</f>
        <v>0.99319563479512818</v>
      </c>
      <c r="J7583" s="4">
        <f t="shared" si="269"/>
        <v>1.105583195135434E-4</v>
      </c>
      <c r="K7583" s="5">
        <f t="shared" si="270"/>
        <v>0.83814262023227792</v>
      </c>
    </row>
    <row r="7584" spans="1:11" x14ac:dyDescent="0.25">
      <c r="A7584" t="s">
        <v>14756</v>
      </c>
      <c r="C7584" t="s">
        <v>14757</v>
      </c>
      <c r="D7584" t="s">
        <v>9035</v>
      </c>
      <c r="E7584" t="s">
        <v>6</v>
      </c>
      <c r="F7584" t="s">
        <v>251</v>
      </c>
      <c r="G7584">
        <v>1</v>
      </c>
      <c r="H7584" s="2">
        <f>Tabelle13[[#This Row],[commits]]/Tabelle13[[#Totals],[commits]]</f>
        <v>4.6477904404246225E-6</v>
      </c>
      <c r="I7584" s="5">
        <f>Tabelle13[[#This Row],[%]]+I7583</f>
        <v>0.99320028258556858</v>
      </c>
      <c r="J7584" s="4">
        <f t="shared" si="269"/>
        <v>1.105583195135434E-4</v>
      </c>
      <c r="K7584" s="5">
        <f t="shared" si="270"/>
        <v>0.83825317855179149</v>
      </c>
    </row>
    <row r="7585" spans="1:11" x14ac:dyDescent="0.25">
      <c r="A7585" t="s">
        <v>14758</v>
      </c>
      <c r="C7585" t="s">
        <v>14759</v>
      </c>
      <c r="D7585" t="s">
        <v>8760</v>
      </c>
      <c r="E7585" t="s">
        <v>6</v>
      </c>
      <c r="F7585" t="s">
        <v>251</v>
      </c>
      <c r="G7585">
        <v>1</v>
      </c>
      <c r="H7585" s="2">
        <f>Tabelle13[[#This Row],[commits]]/Tabelle13[[#Totals],[commits]]</f>
        <v>4.6477904404246225E-6</v>
      </c>
      <c r="I7585" s="5">
        <f>Tabelle13[[#This Row],[%]]+I7584</f>
        <v>0.99320493037600899</v>
      </c>
      <c r="J7585" s="4">
        <f t="shared" si="269"/>
        <v>1.105583195135434E-4</v>
      </c>
      <c r="K7585" s="5">
        <f t="shared" si="270"/>
        <v>0.83836373687130505</v>
      </c>
    </row>
    <row r="7586" spans="1:11" x14ac:dyDescent="0.25">
      <c r="A7586" t="s">
        <v>14760</v>
      </c>
      <c r="C7586" t="s">
        <v>14761</v>
      </c>
      <c r="D7586" t="s">
        <v>309</v>
      </c>
      <c r="E7586" t="s">
        <v>6</v>
      </c>
      <c r="F7586" t="s">
        <v>251</v>
      </c>
      <c r="G7586">
        <v>1</v>
      </c>
      <c r="H7586" s="2">
        <f>Tabelle13[[#This Row],[commits]]/Tabelle13[[#Totals],[commits]]</f>
        <v>4.6477904404246225E-6</v>
      </c>
      <c r="I7586" s="5">
        <f>Tabelle13[[#This Row],[%]]+I7585</f>
        <v>0.99320957816644939</v>
      </c>
      <c r="J7586" s="4">
        <f t="shared" si="269"/>
        <v>1.105583195135434E-4</v>
      </c>
      <c r="K7586" s="5">
        <f t="shared" si="270"/>
        <v>0.83847429519081862</v>
      </c>
    </row>
    <row r="7587" spans="1:11" x14ac:dyDescent="0.25">
      <c r="A7587" t="s">
        <v>14762</v>
      </c>
      <c r="C7587" t="s">
        <v>14763</v>
      </c>
      <c r="D7587" t="s">
        <v>9062</v>
      </c>
      <c r="E7587" t="s">
        <v>6</v>
      </c>
      <c r="F7587" t="s">
        <v>251</v>
      </c>
      <c r="G7587">
        <v>1</v>
      </c>
      <c r="H7587" s="2">
        <f>Tabelle13[[#This Row],[commits]]/Tabelle13[[#Totals],[commits]]</f>
        <v>4.6477904404246225E-6</v>
      </c>
      <c r="I7587" s="5">
        <f>Tabelle13[[#This Row],[%]]+I7586</f>
        <v>0.9932142259568898</v>
      </c>
      <c r="J7587" s="4">
        <f t="shared" si="269"/>
        <v>1.105583195135434E-4</v>
      </c>
      <c r="K7587" s="5">
        <f t="shared" si="270"/>
        <v>0.83858485351033218</v>
      </c>
    </row>
    <row r="7588" spans="1:11" x14ac:dyDescent="0.25">
      <c r="A7588" t="s">
        <v>14764</v>
      </c>
      <c r="C7588" t="s">
        <v>14765</v>
      </c>
      <c r="D7588" t="s">
        <v>5</v>
      </c>
      <c r="E7588" t="s">
        <v>6</v>
      </c>
      <c r="F7588" t="s">
        <v>251</v>
      </c>
      <c r="G7588">
        <v>1</v>
      </c>
      <c r="H7588" s="2">
        <f>Tabelle13[[#This Row],[commits]]/Tabelle13[[#Totals],[commits]]</f>
        <v>4.6477904404246225E-6</v>
      </c>
      <c r="I7588" s="5">
        <f>Tabelle13[[#This Row],[%]]+I7587</f>
        <v>0.9932188737473302</v>
      </c>
      <c r="J7588" s="4">
        <f t="shared" si="269"/>
        <v>1.105583195135434E-4</v>
      </c>
      <c r="K7588" s="5">
        <f t="shared" si="270"/>
        <v>0.83869541182984575</v>
      </c>
    </row>
    <row r="7589" spans="1:11" x14ac:dyDescent="0.25">
      <c r="A7589" t="s">
        <v>14766</v>
      </c>
      <c r="C7589" t="s">
        <v>10235</v>
      </c>
      <c r="D7589" t="s">
        <v>14767</v>
      </c>
      <c r="E7589" t="s">
        <v>6</v>
      </c>
      <c r="F7589" t="s">
        <v>251</v>
      </c>
      <c r="G7589">
        <v>1</v>
      </c>
      <c r="H7589" s="2">
        <f>Tabelle13[[#This Row],[commits]]/Tabelle13[[#Totals],[commits]]</f>
        <v>4.6477904404246225E-6</v>
      </c>
      <c r="I7589" s="5">
        <f>Tabelle13[[#This Row],[%]]+I7588</f>
        <v>0.9932235215377706</v>
      </c>
      <c r="J7589" s="4">
        <f t="shared" si="269"/>
        <v>1.105583195135434E-4</v>
      </c>
      <c r="K7589" s="5">
        <f t="shared" si="270"/>
        <v>0.83880597014935931</v>
      </c>
    </row>
    <row r="7590" spans="1:11" x14ac:dyDescent="0.25">
      <c r="A7590" t="s">
        <v>14768</v>
      </c>
      <c r="C7590" t="s">
        <v>14769</v>
      </c>
      <c r="D7590" t="s">
        <v>5</v>
      </c>
      <c r="E7590" t="s">
        <v>6</v>
      </c>
      <c r="F7590" t="s">
        <v>251</v>
      </c>
      <c r="G7590">
        <v>1</v>
      </c>
      <c r="H7590" s="2">
        <f>Tabelle13[[#This Row],[commits]]/Tabelle13[[#Totals],[commits]]</f>
        <v>4.6477904404246225E-6</v>
      </c>
      <c r="I7590" s="5">
        <f>Tabelle13[[#This Row],[%]]+I7589</f>
        <v>0.99322816932821101</v>
      </c>
      <c r="J7590" s="4">
        <f t="shared" si="269"/>
        <v>1.105583195135434E-4</v>
      </c>
      <c r="K7590" s="5">
        <f t="shared" si="270"/>
        <v>0.83891652846887288</v>
      </c>
    </row>
    <row r="7591" spans="1:11" x14ac:dyDescent="0.25">
      <c r="A7591" t="s">
        <v>14770</v>
      </c>
      <c r="C7591" t="s">
        <v>14771</v>
      </c>
      <c r="D7591" t="s">
        <v>5</v>
      </c>
      <c r="E7591" t="s">
        <v>6</v>
      </c>
      <c r="F7591" t="s">
        <v>251</v>
      </c>
      <c r="G7591">
        <v>1</v>
      </c>
      <c r="H7591" s="2">
        <f>Tabelle13[[#This Row],[commits]]/Tabelle13[[#Totals],[commits]]</f>
        <v>4.6477904404246225E-6</v>
      </c>
      <c r="I7591" s="5">
        <f>Tabelle13[[#This Row],[%]]+I7590</f>
        <v>0.99323281711865141</v>
      </c>
      <c r="J7591" s="4">
        <f t="shared" si="269"/>
        <v>1.105583195135434E-4</v>
      </c>
      <c r="K7591" s="5">
        <f t="shared" si="270"/>
        <v>0.83902708678838644</v>
      </c>
    </row>
    <row r="7592" spans="1:11" x14ac:dyDescent="0.25">
      <c r="A7592" t="s">
        <v>14772</v>
      </c>
      <c r="C7592" t="s">
        <v>14773</v>
      </c>
      <c r="D7592" t="s">
        <v>5</v>
      </c>
      <c r="E7592" t="s">
        <v>6</v>
      </c>
      <c r="F7592" t="s">
        <v>251</v>
      </c>
      <c r="G7592">
        <v>1</v>
      </c>
      <c r="H7592" s="2">
        <f>Tabelle13[[#This Row],[commits]]/Tabelle13[[#Totals],[commits]]</f>
        <v>4.6477904404246225E-6</v>
      </c>
      <c r="I7592" s="5">
        <f>Tabelle13[[#This Row],[%]]+I7591</f>
        <v>0.99323746490909182</v>
      </c>
      <c r="J7592" s="4">
        <f t="shared" si="269"/>
        <v>1.105583195135434E-4</v>
      </c>
      <c r="K7592" s="5">
        <f t="shared" si="270"/>
        <v>0.83913764510790001</v>
      </c>
    </row>
    <row r="7593" spans="1:11" x14ac:dyDescent="0.25">
      <c r="A7593" t="s">
        <v>14774</v>
      </c>
      <c r="C7593" t="s">
        <v>14775</v>
      </c>
      <c r="D7593" t="s">
        <v>9453</v>
      </c>
      <c r="E7593" t="s">
        <v>6</v>
      </c>
      <c r="F7593" t="s">
        <v>251</v>
      </c>
      <c r="G7593">
        <v>1</v>
      </c>
      <c r="H7593" s="2">
        <f>Tabelle13[[#This Row],[commits]]/Tabelle13[[#Totals],[commits]]</f>
        <v>4.6477904404246225E-6</v>
      </c>
      <c r="I7593" s="5">
        <f>Tabelle13[[#This Row],[%]]+I7592</f>
        <v>0.99324211269953222</v>
      </c>
      <c r="J7593" s="4">
        <f t="shared" si="269"/>
        <v>1.105583195135434E-4</v>
      </c>
      <c r="K7593" s="5">
        <f t="shared" si="270"/>
        <v>0.83924820342741357</v>
      </c>
    </row>
    <row r="7594" spans="1:11" x14ac:dyDescent="0.25">
      <c r="A7594" t="s">
        <v>14776</v>
      </c>
      <c r="C7594" t="s">
        <v>14777</v>
      </c>
      <c r="D7594" t="s">
        <v>5</v>
      </c>
      <c r="E7594" t="s">
        <v>6</v>
      </c>
      <c r="F7594" t="s">
        <v>251</v>
      </c>
      <c r="G7594">
        <v>1</v>
      </c>
      <c r="H7594" s="2">
        <f>Tabelle13[[#This Row],[commits]]/Tabelle13[[#Totals],[commits]]</f>
        <v>4.6477904404246225E-6</v>
      </c>
      <c r="I7594" s="5">
        <f>Tabelle13[[#This Row],[%]]+I7593</f>
        <v>0.99324676048997262</v>
      </c>
      <c r="J7594" s="4">
        <f t="shared" si="269"/>
        <v>1.105583195135434E-4</v>
      </c>
      <c r="K7594" s="5">
        <f t="shared" si="270"/>
        <v>0.83935876174692714</v>
      </c>
    </row>
    <row r="7595" spans="1:11" x14ac:dyDescent="0.25">
      <c r="A7595" t="s">
        <v>14778</v>
      </c>
      <c r="C7595" t="s">
        <v>14779</v>
      </c>
      <c r="D7595" t="s">
        <v>5</v>
      </c>
      <c r="E7595" t="s">
        <v>6</v>
      </c>
      <c r="F7595" t="s">
        <v>251</v>
      </c>
      <c r="G7595">
        <v>1</v>
      </c>
      <c r="H7595" s="2">
        <f>Tabelle13[[#This Row],[commits]]/Tabelle13[[#Totals],[commits]]</f>
        <v>4.6477904404246225E-6</v>
      </c>
      <c r="I7595" s="5">
        <f>Tabelle13[[#This Row],[%]]+I7594</f>
        <v>0.99325140828041303</v>
      </c>
      <c r="J7595" s="4">
        <f t="shared" si="269"/>
        <v>1.105583195135434E-4</v>
      </c>
      <c r="K7595" s="5">
        <f t="shared" si="270"/>
        <v>0.83946932006644071</v>
      </c>
    </row>
    <row r="7596" spans="1:11" x14ac:dyDescent="0.25">
      <c r="A7596" t="s">
        <v>14780</v>
      </c>
      <c r="C7596">
        <v>535370561</v>
      </c>
      <c r="D7596" t="s">
        <v>5</v>
      </c>
      <c r="E7596" t="s">
        <v>6</v>
      </c>
      <c r="F7596" t="s">
        <v>251</v>
      </c>
      <c r="G7596">
        <v>1</v>
      </c>
      <c r="H7596" s="2">
        <f>Tabelle13[[#This Row],[commits]]/Tabelle13[[#Totals],[commits]]</f>
        <v>4.6477904404246225E-6</v>
      </c>
      <c r="I7596" s="5">
        <f>Tabelle13[[#This Row],[%]]+I7595</f>
        <v>0.99325605607085343</v>
      </c>
      <c r="J7596" s="4">
        <f t="shared" si="269"/>
        <v>1.105583195135434E-4</v>
      </c>
      <c r="K7596" s="5">
        <f t="shared" si="270"/>
        <v>0.83957987838595427</v>
      </c>
    </row>
    <row r="7597" spans="1:11" x14ac:dyDescent="0.25">
      <c r="A7597" t="s">
        <v>14781</v>
      </c>
      <c r="C7597" t="s">
        <v>14782</v>
      </c>
      <c r="D7597" t="s">
        <v>11585</v>
      </c>
      <c r="E7597" t="s">
        <v>6</v>
      </c>
      <c r="F7597" t="s">
        <v>251</v>
      </c>
      <c r="G7597">
        <v>1</v>
      </c>
      <c r="H7597" s="2">
        <f>Tabelle13[[#This Row],[commits]]/Tabelle13[[#Totals],[commits]]</f>
        <v>4.6477904404246225E-6</v>
      </c>
      <c r="I7597" s="5">
        <f>Tabelle13[[#This Row],[%]]+I7596</f>
        <v>0.99326070386129384</v>
      </c>
      <c r="J7597" s="4">
        <f t="shared" si="269"/>
        <v>1.105583195135434E-4</v>
      </c>
      <c r="K7597" s="5">
        <f t="shared" si="270"/>
        <v>0.83969043670546784</v>
      </c>
    </row>
    <row r="7598" spans="1:11" x14ac:dyDescent="0.25">
      <c r="A7598" t="s">
        <v>14783</v>
      </c>
      <c r="C7598" t="s">
        <v>14784</v>
      </c>
      <c r="D7598" t="s">
        <v>5</v>
      </c>
      <c r="E7598" t="s">
        <v>6</v>
      </c>
      <c r="F7598" t="s">
        <v>251</v>
      </c>
      <c r="G7598">
        <v>1</v>
      </c>
      <c r="H7598" s="2">
        <f>Tabelle13[[#This Row],[commits]]/Tabelle13[[#Totals],[commits]]</f>
        <v>4.6477904404246225E-6</v>
      </c>
      <c r="I7598" s="5">
        <f>Tabelle13[[#This Row],[%]]+I7597</f>
        <v>0.99326535165173424</v>
      </c>
      <c r="J7598" s="4">
        <f t="shared" si="269"/>
        <v>1.105583195135434E-4</v>
      </c>
      <c r="K7598" s="5">
        <f t="shared" si="270"/>
        <v>0.8398009950249814</v>
      </c>
    </row>
    <row r="7599" spans="1:11" x14ac:dyDescent="0.25">
      <c r="A7599" t="s">
        <v>14785</v>
      </c>
      <c r="C7599" t="s">
        <v>14786</v>
      </c>
      <c r="D7599" t="s">
        <v>5</v>
      </c>
      <c r="E7599" t="s">
        <v>6</v>
      </c>
      <c r="F7599" t="s">
        <v>251</v>
      </c>
      <c r="G7599">
        <v>1</v>
      </c>
      <c r="H7599" s="2">
        <f>Tabelle13[[#This Row],[commits]]/Tabelle13[[#Totals],[commits]]</f>
        <v>4.6477904404246225E-6</v>
      </c>
      <c r="I7599" s="5">
        <f>Tabelle13[[#This Row],[%]]+I7598</f>
        <v>0.99326999944217464</v>
      </c>
      <c r="J7599" s="4">
        <f t="shared" si="269"/>
        <v>1.105583195135434E-4</v>
      </c>
      <c r="K7599" s="5">
        <f t="shared" si="270"/>
        <v>0.83991155334449497</v>
      </c>
    </row>
    <row r="7600" spans="1:11" x14ac:dyDescent="0.25">
      <c r="A7600" t="s">
        <v>14787</v>
      </c>
      <c r="C7600" t="s">
        <v>14788</v>
      </c>
      <c r="D7600" t="s">
        <v>5</v>
      </c>
      <c r="E7600" t="s">
        <v>6</v>
      </c>
      <c r="F7600" t="s">
        <v>251</v>
      </c>
      <c r="G7600">
        <v>1</v>
      </c>
      <c r="H7600" s="2">
        <f>Tabelle13[[#This Row],[commits]]/Tabelle13[[#Totals],[commits]]</f>
        <v>4.6477904404246225E-6</v>
      </c>
      <c r="I7600" s="5">
        <f>Tabelle13[[#This Row],[%]]+I7599</f>
        <v>0.99327464723261505</v>
      </c>
      <c r="J7600" s="4">
        <f t="shared" si="269"/>
        <v>1.105583195135434E-4</v>
      </c>
      <c r="K7600" s="5">
        <f t="shared" si="270"/>
        <v>0.84002211166400853</v>
      </c>
    </row>
    <row r="7601" spans="1:11" x14ac:dyDescent="0.25">
      <c r="A7601" t="s">
        <v>14789</v>
      </c>
      <c r="C7601" t="s">
        <v>14790</v>
      </c>
      <c r="D7601" t="s">
        <v>14791</v>
      </c>
      <c r="E7601" t="s">
        <v>6</v>
      </c>
      <c r="F7601" t="s">
        <v>251</v>
      </c>
      <c r="G7601">
        <v>1</v>
      </c>
      <c r="H7601" s="2">
        <f>Tabelle13[[#This Row],[commits]]/Tabelle13[[#Totals],[commits]]</f>
        <v>4.6477904404246225E-6</v>
      </c>
      <c r="I7601" s="5">
        <f>Tabelle13[[#This Row],[%]]+I7600</f>
        <v>0.99327929502305545</v>
      </c>
      <c r="J7601" s="4">
        <f t="shared" si="269"/>
        <v>1.105583195135434E-4</v>
      </c>
      <c r="K7601" s="5">
        <f t="shared" si="270"/>
        <v>0.8401326699835221</v>
      </c>
    </row>
    <row r="7602" spans="1:11" x14ac:dyDescent="0.25">
      <c r="A7602" t="s">
        <v>14792</v>
      </c>
      <c r="C7602" t="s">
        <v>14793</v>
      </c>
      <c r="D7602" t="s">
        <v>5</v>
      </c>
      <c r="E7602" t="s">
        <v>6</v>
      </c>
      <c r="F7602" t="s">
        <v>251</v>
      </c>
      <c r="G7602">
        <v>1</v>
      </c>
      <c r="H7602" s="2">
        <f>Tabelle13[[#This Row],[commits]]/Tabelle13[[#Totals],[commits]]</f>
        <v>4.6477904404246225E-6</v>
      </c>
      <c r="I7602" s="5">
        <f>Tabelle13[[#This Row],[%]]+I7601</f>
        <v>0.99328394281349586</v>
      </c>
      <c r="J7602" s="4">
        <f t="shared" si="269"/>
        <v>1.105583195135434E-4</v>
      </c>
      <c r="K7602" s="5">
        <f t="shared" si="270"/>
        <v>0.84024322830303566</v>
      </c>
    </row>
    <row r="7603" spans="1:11" x14ac:dyDescent="0.25">
      <c r="A7603" t="s">
        <v>14794</v>
      </c>
      <c r="C7603" t="s">
        <v>14795</v>
      </c>
      <c r="D7603" t="s">
        <v>309</v>
      </c>
      <c r="E7603" t="s">
        <v>6</v>
      </c>
      <c r="F7603" t="s">
        <v>251</v>
      </c>
      <c r="G7603">
        <v>1</v>
      </c>
      <c r="H7603" s="2">
        <f>Tabelle13[[#This Row],[commits]]/Tabelle13[[#Totals],[commits]]</f>
        <v>4.6477904404246225E-6</v>
      </c>
      <c r="I7603" s="5">
        <f>Tabelle13[[#This Row],[%]]+I7602</f>
        <v>0.99328859060393626</v>
      </c>
      <c r="J7603" s="4">
        <f t="shared" si="269"/>
        <v>1.105583195135434E-4</v>
      </c>
      <c r="K7603" s="5">
        <f t="shared" si="270"/>
        <v>0.84035378662254923</v>
      </c>
    </row>
    <row r="7604" spans="1:11" x14ac:dyDescent="0.25">
      <c r="A7604" t="s">
        <v>14796</v>
      </c>
      <c r="C7604" t="s">
        <v>14797</v>
      </c>
      <c r="D7604" t="s">
        <v>5</v>
      </c>
      <c r="E7604" t="s">
        <v>6</v>
      </c>
      <c r="F7604" t="s">
        <v>251</v>
      </c>
      <c r="G7604">
        <v>1</v>
      </c>
      <c r="H7604" s="2">
        <f>Tabelle13[[#This Row],[commits]]/Tabelle13[[#Totals],[commits]]</f>
        <v>4.6477904404246225E-6</v>
      </c>
      <c r="I7604" s="5">
        <f>Tabelle13[[#This Row],[%]]+I7603</f>
        <v>0.99329323839437667</v>
      </c>
      <c r="J7604" s="4">
        <f t="shared" si="269"/>
        <v>1.105583195135434E-4</v>
      </c>
      <c r="K7604" s="5">
        <f t="shared" si="270"/>
        <v>0.84046434494206279</v>
      </c>
    </row>
    <row r="7605" spans="1:11" x14ac:dyDescent="0.25">
      <c r="A7605" t="s">
        <v>14798</v>
      </c>
      <c r="C7605" t="s">
        <v>14799</v>
      </c>
      <c r="D7605" t="s">
        <v>5</v>
      </c>
      <c r="E7605" t="s">
        <v>6</v>
      </c>
      <c r="F7605" t="s">
        <v>251</v>
      </c>
      <c r="G7605">
        <v>1</v>
      </c>
      <c r="H7605" s="2">
        <f>Tabelle13[[#This Row],[commits]]/Tabelle13[[#Totals],[commits]]</f>
        <v>4.6477904404246225E-6</v>
      </c>
      <c r="I7605" s="5">
        <f>Tabelle13[[#This Row],[%]]+I7604</f>
        <v>0.99329788618481707</v>
      </c>
      <c r="J7605" s="4">
        <f t="shared" si="269"/>
        <v>1.105583195135434E-4</v>
      </c>
      <c r="K7605" s="5">
        <f t="shared" si="270"/>
        <v>0.84057490326157636</v>
      </c>
    </row>
    <row r="7606" spans="1:11" x14ac:dyDescent="0.25">
      <c r="A7606" t="s">
        <v>14800</v>
      </c>
      <c r="C7606" t="s">
        <v>14801</v>
      </c>
      <c r="D7606" t="s">
        <v>5</v>
      </c>
      <c r="E7606" t="s">
        <v>6</v>
      </c>
      <c r="F7606" t="s">
        <v>251</v>
      </c>
      <c r="G7606">
        <v>1</v>
      </c>
      <c r="H7606" s="2">
        <f>Tabelle13[[#This Row],[commits]]/Tabelle13[[#Totals],[commits]]</f>
        <v>4.6477904404246225E-6</v>
      </c>
      <c r="I7606" s="5">
        <f>Tabelle13[[#This Row],[%]]+I7605</f>
        <v>0.99330253397525747</v>
      </c>
      <c r="J7606" s="4">
        <f t="shared" si="269"/>
        <v>1.105583195135434E-4</v>
      </c>
      <c r="K7606" s="5">
        <f t="shared" si="270"/>
        <v>0.84068546158108992</v>
      </c>
    </row>
    <row r="7607" spans="1:11" x14ac:dyDescent="0.25">
      <c r="A7607" t="s">
        <v>14802</v>
      </c>
      <c r="C7607" t="s">
        <v>14803</v>
      </c>
      <c r="D7607" t="s">
        <v>5</v>
      </c>
      <c r="E7607" t="s">
        <v>6</v>
      </c>
      <c r="F7607" t="s">
        <v>251</v>
      </c>
      <c r="G7607">
        <v>1</v>
      </c>
      <c r="H7607" s="2">
        <f>Tabelle13[[#This Row],[commits]]/Tabelle13[[#Totals],[commits]]</f>
        <v>4.6477904404246225E-6</v>
      </c>
      <c r="I7607" s="5">
        <f>Tabelle13[[#This Row],[%]]+I7606</f>
        <v>0.99330718176569788</v>
      </c>
      <c r="J7607" s="4">
        <f t="shared" si="269"/>
        <v>1.105583195135434E-4</v>
      </c>
      <c r="K7607" s="5">
        <f t="shared" si="270"/>
        <v>0.84079601990060349</v>
      </c>
    </row>
    <row r="7608" spans="1:11" x14ac:dyDescent="0.25">
      <c r="A7608" t="s">
        <v>14804</v>
      </c>
      <c r="C7608" t="s">
        <v>14805</v>
      </c>
      <c r="D7608" t="s">
        <v>5</v>
      </c>
      <c r="E7608" t="s">
        <v>6</v>
      </c>
      <c r="F7608" t="s">
        <v>251</v>
      </c>
      <c r="G7608">
        <v>1</v>
      </c>
      <c r="H7608" s="2">
        <f>Tabelle13[[#This Row],[commits]]/Tabelle13[[#Totals],[commits]]</f>
        <v>4.6477904404246225E-6</v>
      </c>
      <c r="I7608" s="5">
        <f>Tabelle13[[#This Row],[%]]+I7607</f>
        <v>0.99331182955613828</v>
      </c>
      <c r="J7608" s="4">
        <f t="shared" si="269"/>
        <v>1.105583195135434E-4</v>
      </c>
      <c r="K7608" s="5">
        <f t="shared" si="270"/>
        <v>0.84090657822011705</v>
      </c>
    </row>
    <row r="7609" spans="1:11" x14ac:dyDescent="0.25">
      <c r="A7609" t="s">
        <v>14806</v>
      </c>
      <c r="C7609" t="s">
        <v>14807</v>
      </c>
      <c r="D7609" t="s">
        <v>5</v>
      </c>
      <c r="E7609" t="s">
        <v>6</v>
      </c>
      <c r="F7609" t="s">
        <v>251</v>
      </c>
      <c r="G7609">
        <v>1</v>
      </c>
      <c r="H7609" s="2">
        <f>Tabelle13[[#This Row],[commits]]/Tabelle13[[#Totals],[commits]]</f>
        <v>4.6477904404246225E-6</v>
      </c>
      <c r="I7609" s="5">
        <f>Tabelle13[[#This Row],[%]]+I7608</f>
        <v>0.99331647734657869</v>
      </c>
      <c r="J7609" s="4">
        <f t="shared" si="269"/>
        <v>1.105583195135434E-4</v>
      </c>
      <c r="K7609" s="5">
        <f t="shared" si="270"/>
        <v>0.84101713653963062</v>
      </c>
    </row>
    <row r="7610" spans="1:11" x14ac:dyDescent="0.25">
      <c r="A7610" t="s">
        <v>14808</v>
      </c>
      <c r="C7610" t="s">
        <v>14809</v>
      </c>
      <c r="D7610" t="s">
        <v>5</v>
      </c>
      <c r="E7610" t="s">
        <v>6</v>
      </c>
      <c r="F7610" t="s">
        <v>251</v>
      </c>
      <c r="G7610">
        <v>1</v>
      </c>
      <c r="H7610" s="2">
        <f>Tabelle13[[#This Row],[commits]]/Tabelle13[[#Totals],[commits]]</f>
        <v>4.6477904404246225E-6</v>
      </c>
      <c r="I7610" s="5">
        <f>Tabelle13[[#This Row],[%]]+I7609</f>
        <v>0.99332112513701909</v>
      </c>
      <c r="J7610" s="4">
        <f t="shared" si="269"/>
        <v>1.105583195135434E-4</v>
      </c>
      <c r="K7610" s="5">
        <f t="shared" si="270"/>
        <v>0.84112769485914418</v>
      </c>
    </row>
    <row r="7611" spans="1:11" x14ac:dyDescent="0.25">
      <c r="A7611" t="s">
        <v>14810</v>
      </c>
      <c r="C7611" t="s">
        <v>14811</v>
      </c>
      <c r="D7611" t="s">
        <v>9035</v>
      </c>
      <c r="E7611" t="s">
        <v>6</v>
      </c>
      <c r="F7611" t="s">
        <v>251</v>
      </c>
      <c r="G7611">
        <v>1</v>
      </c>
      <c r="H7611" s="2">
        <f>Tabelle13[[#This Row],[commits]]/Tabelle13[[#Totals],[commits]]</f>
        <v>4.6477904404246225E-6</v>
      </c>
      <c r="I7611" s="5">
        <f>Tabelle13[[#This Row],[%]]+I7610</f>
        <v>0.99332577292745949</v>
      </c>
      <c r="J7611" s="4">
        <f t="shared" si="269"/>
        <v>1.105583195135434E-4</v>
      </c>
      <c r="K7611" s="5">
        <f t="shared" si="270"/>
        <v>0.84123825317865775</v>
      </c>
    </row>
    <row r="7612" spans="1:11" x14ac:dyDescent="0.25">
      <c r="A7612" t="s">
        <v>14812</v>
      </c>
      <c r="C7612" t="s">
        <v>14813</v>
      </c>
      <c r="D7612" t="s">
        <v>5</v>
      </c>
      <c r="E7612" t="s">
        <v>6</v>
      </c>
      <c r="F7612" t="s">
        <v>251</v>
      </c>
      <c r="G7612">
        <v>1</v>
      </c>
      <c r="H7612" s="2">
        <f>Tabelle13[[#This Row],[commits]]/Tabelle13[[#Totals],[commits]]</f>
        <v>4.6477904404246225E-6</v>
      </c>
      <c r="I7612" s="5">
        <f>Tabelle13[[#This Row],[%]]+I7611</f>
        <v>0.9933304207178999</v>
      </c>
      <c r="J7612" s="4">
        <f t="shared" si="269"/>
        <v>1.105583195135434E-4</v>
      </c>
      <c r="K7612" s="5">
        <f t="shared" si="270"/>
        <v>0.84134881149817131</v>
      </c>
    </row>
    <row r="7613" spans="1:11" x14ac:dyDescent="0.25">
      <c r="A7613" t="s">
        <v>14814</v>
      </c>
      <c r="C7613" t="s">
        <v>14815</v>
      </c>
      <c r="D7613" t="s">
        <v>5</v>
      </c>
      <c r="E7613" t="s">
        <v>6</v>
      </c>
      <c r="F7613" t="s">
        <v>251</v>
      </c>
      <c r="G7613">
        <v>1</v>
      </c>
      <c r="H7613" s="2">
        <f>Tabelle13[[#This Row],[commits]]/Tabelle13[[#Totals],[commits]]</f>
        <v>4.6477904404246225E-6</v>
      </c>
      <c r="I7613" s="5">
        <f>Tabelle13[[#This Row],[%]]+I7612</f>
        <v>0.9933350685083403</v>
      </c>
      <c r="J7613" s="4">
        <f t="shared" si="269"/>
        <v>1.105583195135434E-4</v>
      </c>
      <c r="K7613" s="5">
        <f t="shared" si="270"/>
        <v>0.84145936981768488</v>
      </c>
    </row>
    <row r="7614" spans="1:11" x14ac:dyDescent="0.25">
      <c r="A7614" t="s">
        <v>14816</v>
      </c>
      <c r="C7614" t="s">
        <v>9436</v>
      </c>
      <c r="D7614" t="s">
        <v>5</v>
      </c>
      <c r="E7614" t="s">
        <v>6</v>
      </c>
      <c r="F7614" t="s">
        <v>251</v>
      </c>
      <c r="G7614">
        <v>1</v>
      </c>
      <c r="H7614" s="2">
        <f>Tabelle13[[#This Row],[commits]]/Tabelle13[[#Totals],[commits]]</f>
        <v>4.6477904404246225E-6</v>
      </c>
      <c r="I7614" s="5">
        <f>Tabelle13[[#This Row],[%]]+I7613</f>
        <v>0.99333971629878071</v>
      </c>
      <c r="J7614" s="4">
        <f t="shared" si="269"/>
        <v>1.105583195135434E-4</v>
      </c>
      <c r="K7614" s="5">
        <f t="shared" si="270"/>
        <v>0.84156992813719844</v>
      </c>
    </row>
    <row r="7615" spans="1:11" x14ac:dyDescent="0.25">
      <c r="A7615" t="s">
        <v>14817</v>
      </c>
      <c r="C7615" t="s">
        <v>14818</v>
      </c>
      <c r="D7615" t="s">
        <v>5</v>
      </c>
      <c r="E7615" t="s">
        <v>6</v>
      </c>
      <c r="F7615" t="s">
        <v>251</v>
      </c>
      <c r="G7615">
        <v>1</v>
      </c>
      <c r="H7615" s="2">
        <f>Tabelle13[[#This Row],[commits]]/Tabelle13[[#Totals],[commits]]</f>
        <v>4.6477904404246225E-6</v>
      </c>
      <c r="I7615" s="5">
        <f>Tabelle13[[#This Row],[%]]+I7614</f>
        <v>0.99334436408922111</v>
      </c>
      <c r="J7615" s="4">
        <f t="shared" si="269"/>
        <v>1.105583195135434E-4</v>
      </c>
      <c r="K7615" s="5">
        <f t="shared" si="270"/>
        <v>0.84168048645671201</v>
      </c>
    </row>
    <row r="7616" spans="1:11" x14ac:dyDescent="0.25">
      <c r="A7616" t="s">
        <v>14819</v>
      </c>
      <c r="C7616" t="s">
        <v>14820</v>
      </c>
      <c r="D7616" t="s">
        <v>5</v>
      </c>
      <c r="E7616" t="s">
        <v>6</v>
      </c>
      <c r="F7616" t="s">
        <v>251</v>
      </c>
      <c r="G7616">
        <v>1</v>
      </c>
      <c r="H7616" s="2">
        <f>Tabelle13[[#This Row],[commits]]/Tabelle13[[#Totals],[commits]]</f>
        <v>4.6477904404246225E-6</v>
      </c>
      <c r="I7616" s="5">
        <f>Tabelle13[[#This Row],[%]]+I7615</f>
        <v>0.99334901187966151</v>
      </c>
      <c r="J7616" s="4">
        <f t="shared" si="269"/>
        <v>1.105583195135434E-4</v>
      </c>
      <c r="K7616" s="5">
        <f t="shared" si="270"/>
        <v>0.84179104477622557</v>
      </c>
    </row>
    <row r="7617" spans="1:11" x14ac:dyDescent="0.25">
      <c r="A7617" t="s">
        <v>14821</v>
      </c>
      <c r="C7617" t="s">
        <v>14822</v>
      </c>
      <c r="D7617" t="s">
        <v>5</v>
      </c>
      <c r="E7617" t="s">
        <v>6</v>
      </c>
      <c r="F7617" t="s">
        <v>251</v>
      </c>
      <c r="G7617">
        <v>1</v>
      </c>
      <c r="H7617" s="2">
        <f>Tabelle13[[#This Row],[commits]]/Tabelle13[[#Totals],[commits]]</f>
        <v>4.6477904404246225E-6</v>
      </c>
      <c r="I7617" s="5">
        <f>Tabelle13[[#This Row],[%]]+I7616</f>
        <v>0.99335365967010192</v>
      </c>
      <c r="J7617" s="4">
        <f t="shared" si="269"/>
        <v>1.105583195135434E-4</v>
      </c>
      <c r="K7617" s="5">
        <f t="shared" si="270"/>
        <v>0.84190160309573914</v>
      </c>
    </row>
    <row r="7618" spans="1:11" x14ac:dyDescent="0.25">
      <c r="A7618" t="s">
        <v>14823</v>
      </c>
      <c r="C7618" t="s">
        <v>14824</v>
      </c>
      <c r="D7618" t="s">
        <v>5</v>
      </c>
      <c r="E7618" t="s">
        <v>6</v>
      </c>
      <c r="F7618" t="s">
        <v>251</v>
      </c>
      <c r="G7618">
        <v>1</v>
      </c>
      <c r="H7618" s="2">
        <f>Tabelle13[[#This Row],[commits]]/Tabelle13[[#Totals],[commits]]</f>
        <v>4.6477904404246225E-6</v>
      </c>
      <c r="I7618" s="5">
        <f>Tabelle13[[#This Row],[%]]+I7617</f>
        <v>0.99335830746054232</v>
      </c>
      <c r="J7618" s="4">
        <f t="shared" si="269"/>
        <v>1.105583195135434E-4</v>
      </c>
      <c r="K7618" s="5">
        <f t="shared" si="270"/>
        <v>0.8420121614152527</v>
      </c>
    </row>
    <row r="7619" spans="1:11" x14ac:dyDescent="0.25">
      <c r="A7619" t="s">
        <v>14825</v>
      </c>
      <c r="C7619" t="s">
        <v>14826</v>
      </c>
      <c r="D7619" t="s">
        <v>5</v>
      </c>
      <c r="E7619" t="s">
        <v>6</v>
      </c>
      <c r="F7619" t="s">
        <v>251</v>
      </c>
      <c r="G7619">
        <v>1</v>
      </c>
      <c r="H7619" s="2">
        <f>Tabelle13[[#This Row],[commits]]/Tabelle13[[#Totals],[commits]]</f>
        <v>4.6477904404246225E-6</v>
      </c>
      <c r="I7619" s="5">
        <f>Tabelle13[[#This Row],[%]]+I7618</f>
        <v>0.99336295525098273</v>
      </c>
      <c r="J7619" s="4">
        <f t="shared" ref="J7619:J7682" si="271">1/9045</f>
        <v>1.105583195135434E-4</v>
      </c>
      <c r="K7619" s="5">
        <f t="shared" si="270"/>
        <v>0.84212271973476627</v>
      </c>
    </row>
    <row r="7620" spans="1:11" x14ac:dyDescent="0.25">
      <c r="A7620" t="s">
        <v>14827</v>
      </c>
      <c r="C7620" t="s">
        <v>14828</v>
      </c>
      <c r="D7620" t="s">
        <v>5</v>
      </c>
      <c r="E7620" t="s">
        <v>6</v>
      </c>
      <c r="F7620" t="s">
        <v>251</v>
      </c>
      <c r="G7620">
        <v>1</v>
      </c>
      <c r="H7620" s="2">
        <f>Tabelle13[[#This Row],[commits]]/Tabelle13[[#Totals],[commits]]</f>
        <v>4.6477904404246225E-6</v>
      </c>
      <c r="I7620" s="5">
        <f>Tabelle13[[#This Row],[%]]+I7619</f>
        <v>0.99336760304142313</v>
      </c>
      <c r="J7620" s="4">
        <f t="shared" si="271"/>
        <v>1.105583195135434E-4</v>
      </c>
      <c r="K7620" s="5">
        <f t="shared" si="270"/>
        <v>0.84223327805427983</v>
      </c>
    </row>
    <row r="7621" spans="1:11" x14ac:dyDescent="0.25">
      <c r="A7621" t="s">
        <v>14829</v>
      </c>
      <c r="C7621" t="s">
        <v>14830</v>
      </c>
      <c r="D7621" t="s">
        <v>5</v>
      </c>
      <c r="E7621" t="s">
        <v>6</v>
      </c>
      <c r="F7621" t="s">
        <v>251</v>
      </c>
      <c r="G7621">
        <v>1</v>
      </c>
      <c r="H7621" s="2">
        <f>Tabelle13[[#This Row],[commits]]/Tabelle13[[#Totals],[commits]]</f>
        <v>4.6477904404246225E-6</v>
      </c>
      <c r="I7621" s="5">
        <f>Tabelle13[[#This Row],[%]]+I7620</f>
        <v>0.99337225083186353</v>
      </c>
      <c r="J7621" s="4">
        <f t="shared" si="271"/>
        <v>1.105583195135434E-4</v>
      </c>
      <c r="K7621" s="5">
        <f t="shared" si="270"/>
        <v>0.8423438363737934</v>
      </c>
    </row>
    <row r="7622" spans="1:11" x14ac:dyDescent="0.25">
      <c r="A7622" t="s">
        <v>14831</v>
      </c>
      <c r="C7622" t="s">
        <v>14832</v>
      </c>
      <c r="D7622" t="s">
        <v>13248</v>
      </c>
      <c r="E7622" t="s">
        <v>6</v>
      </c>
      <c r="F7622" t="s">
        <v>251</v>
      </c>
      <c r="G7622">
        <v>1</v>
      </c>
      <c r="H7622" s="2">
        <f>Tabelle13[[#This Row],[commits]]/Tabelle13[[#Totals],[commits]]</f>
        <v>4.6477904404246225E-6</v>
      </c>
      <c r="I7622" s="5">
        <f>Tabelle13[[#This Row],[%]]+I7621</f>
        <v>0.99337689862230394</v>
      </c>
      <c r="J7622" s="4">
        <f t="shared" si="271"/>
        <v>1.105583195135434E-4</v>
      </c>
      <c r="K7622" s="5">
        <f t="shared" ref="K7622:K7685" si="272">J7622+K7621</f>
        <v>0.84245439469330696</v>
      </c>
    </row>
    <row r="7623" spans="1:11" x14ac:dyDescent="0.25">
      <c r="A7623" t="s">
        <v>14833</v>
      </c>
      <c r="C7623" t="s">
        <v>14834</v>
      </c>
      <c r="D7623" t="s">
        <v>5</v>
      </c>
      <c r="E7623" t="s">
        <v>6</v>
      </c>
      <c r="F7623" t="s">
        <v>251</v>
      </c>
      <c r="G7623">
        <v>1</v>
      </c>
      <c r="H7623" s="2">
        <f>Tabelle13[[#This Row],[commits]]/Tabelle13[[#Totals],[commits]]</f>
        <v>4.6477904404246225E-6</v>
      </c>
      <c r="I7623" s="5">
        <f>Tabelle13[[#This Row],[%]]+I7622</f>
        <v>0.99338154641274434</v>
      </c>
      <c r="J7623" s="4">
        <f t="shared" si="271"/>
        <v>1.105583195135434E-4</v>
      </c>
      <c r="K7623" s="5">
        <f t="shared" si="272"/>
        <v>0.84256495301282053</v>
      </c>
    </row>
    <row r="7624" spans="1:11" x14ac:dyDescent="0.25">
      <c r="A7624" t="s">
        <v>14835</v>
      </c>
      <c r="C7624" t="s">
        <v>14836</v>
      </c>
      <c r="D7624" t="s">
        <v>5</v>
      </c>
      <c r="E7624" t="s">
        <v>6</v>
      </c>
      <c r="F7624" t="s">
        <v>251</v>
      </c>
      <c r="G7624">
        <v>1</v>
      </c>
      <c r="H7624" s="2">
        <f>Tabelle13[[#This Row],[commits]]/Tabelle13[[#Totals],[commits]]</f>
        <v>4.6477904404246225E-6</v>
      </c>
      <c r="I7624" s="5">
        <f>Tabelle13[[#This Row],[%]]+I7623</f>
        <v>0.99338619420318475</v>
      </c>
      <c r="J7624" s="4">
        <f t="shared" si="271"/>
        <v>1.105583195135434E-4</v>
      </c>
      <c r="K7624" s="5">
        <f t="shared" si="272"/>
        <v>0.84267551133233409</v>
      </c>
    </row>
    <row r="7625" spans="1:11" x14ac:dyDescent="0.25">
      <c r="A7625" t="s">
        <v>14837</v>
      </c>
      <c r="C7625" t="s">
        <v>14838</v>
      </c>
      <c r="D7625" t="s">
        <v>5</v>
      </c>
      <c r="E7625" t="s">
        <v>6</v>
      </c>
      <c r="F7625" t="s">
        <v>251</v>
      </c>
      <c r="G7625">
        <v>1</v>
      </c>
      <c r="H7625" s="2">
        <f>Tabelle13[[#This Row],[commits]]/Tabelle13[[#Totals],[commits]]</f>
        <v>4.6477904404246225E-6</v>
      </c>
      <c r="I7625" s="5">
        <f>Tabelle13[[#This Row],[%]]+I7624</f>
        <v>0.99339084199362515</v>
      </c>
      <c r="J7625" s="4">
        <f t="shared" si="271"/>
        <v>1.105583195135434E-4</v>
      </c>
      <c r="K7625" s="5">
        <f t="shared" si="272"/>
        <v>0.84278606965184766</v>
      </c>
    </row>
    <row r="7626" spans="1:11" x14ac:dyDescent="0.25">
      <c r="A7626" t="s">
        <v>14839</v>
      </c>
      <c r="C7626" t="s">
        <v>14840</v>
      </c>
      <c r="D7626" t="s">
        <v>5</v>
      </c>
      <c r="E7626" t="s">
        <v>6</v>
      </c>
      <c r="F7626" t="s">
        <v>251</v>
      </c>
      <c r="G7626">
        <v>1</v>
      </c>
      <c r="H7626" s="2">
        <f>Tabelle13[[#This Row],[commits]]/Tabelle13[[#Totals],[commits]]</f>
        <v>4.6477904404246225E-6</v>
      </c>
      <c r="I7626" s="5">
        <f>Tabelle13[[#This Row],[%]]+I7625</f>
        <v>0.99339548978406556</v>
      </c>
      <c r="J7626" s="4">
        <f t="shared" si="271"/>
        <v>1.105583195135434E-4</v>
      </c>
      <c r="K7626" s="5">
        <f t="shared" si="272"/>
        <v>0.84289662797136122</v>
      </c>
    </row>
    <row r="7627" spans="1:11" x14ac:dyDescent="0.25">
      <c r="A7627" t="s">
        <v>14841</v>
      </c>
      <c r="C7627" t="s">
        <v>14842</v>
      </c>
      <c r="D7627" t="s">
        <v>5</v>
      </c>
      <c r="E7627" t="s">
        <v>6</v>
      </c>
      <c r="F7627" t="s">
        <v>251</v>
      </c>
      <c r="G7627">
        <v>1</v>
      </c>
      <c r="H7627" s="2">
        <f>Tabelle13[[#This Row],[commits]]/Tabelle13[[#Totals],[commits]]</f>
        <v>4.6477904404246225E-6</v>
      </c>
      <c r="I7627" s="5">
        <f>Tabelle13[[#This Row],[%]]+I7626</f>
        <v>0.99340013757450596</v>
      </c>
      <c r="J7627" s="4">
        <f t="shared" si="271"/>
        <v>1.105583195135434E-4</v>
      </c>
      <c r="K7627" s="5">
        <f t="shared" si="272"/>
        <v>0.84300718629087479</v>
      </c>
    </row>
    <row r="7628" spans="1:11" x14ac:dyDescent="0.25">
      <c r="A7628" t="s">
        <v>14843</v>
      </c>
      <c r="C7628" t="s">
        <v>14844</v>
      </c>
      <c r="D7628" t="s">
        <v>5</v>
      </c>
      <c r="E7628" t="s">
        <v>6</v>
      </c>
      <c r="F7628" t="s">
        <v>251</v>
      </c>
      <c r="G7628">
        <v>1</v>
      </c>
      <c r="H7628" s="2">
        <f>Tabelle13[[#This Row],[commits]]/Tabelle13[[#Totals],[commits]]</f>
        <v>4.6477904404246225E-6</v>
      </c>
      <c r="I7628" s="5">
        <f>Tabelle13[[#This Row],[%]]+I7627</f>
        <v>0.99340478536494636</v>
      </c>
      <c r="J7628" s="4">
        <f t="shared" si="271"/>
        <v>1.105583195135434E-4</v>
      </c>
      <c r="K7628" s="5">
        <f t="shared" si="272"/>
        <v>0.84311774461038835</v>
      </c>
    </row>
    <row r="7629" spans="1:11" x14ac:dyDescent="0.25">
      <c r="A7629" t="s">
        <v>14845</v>
      </c>
      <c r="C7629" t="s">
        <v>14846</v>
      </c>
      <c r="D7629" t="s">
        <v>8948</v>
      </c>
      <c r="E7629" t="s">
        <v>6</v>
      </c>
      <c r="F7629" t="s">
        <v>251</v>
      </c>
      <c r="G7629">
        <v>1</v>
      </c>
      <c r="H7629" s="2">
        <f>Tabelle13[[#This Row],[commits]]/Tabelle13[[#Totals],[commits]]</f>
        <v>4.6477904404246225E-6</v>
      </c>
      <c r="I7629" s="5">
        <f>Tabelle13[[#This Row],[%]]+I7628</f>
        <v>0.99340943315538677</v>
      </c>
      <c r="J7629" s="4">
        <f t="shared" si="271"/>
        <v>1.105583195135434E-4</v>
      </c>
      <c r="K7629" s="5">
        <f t="shared" si="272"/>
        <v>0.84322830292990192</v>
      </c>
    </row>
    <row r="7630" spans="1:11" x14ac:dyDescent="0.25">
      <c r="A7630" t="s">
        <v>14847</v>
      </c>
      <c r="C7630" t="s">
        <v>14848</v>
      </c>
      <c r="D7630" t="s">
        <v>5</v>
      </c>
      <c r="E7630" t="s">
        <v>6</v>
      </c>
      <c r="F7630" t="s">
        <v>251</v>
      </c>
      <c r="G7630">
        <v>1</v>
      </c>
      <c r="H7630" s="2">
        <f>Tabelle13[[#This Row],[commits]]/Tabelle13[[#Totals],[commits]]</f>
        <v>4.6477904404246225E-6</v>
      </c>
      <c r="I7630" s="5">
        <f>Tabelle13[[#This Row],[%]]+I7629</f>
        <v>0.99341408094582717</v>
      </c>
      <c r="J7630" s="4">
        <f t="shared" si="271"/>
        <v>1.105583195135434E-4</v>
      </c>
      <c r="K7630" s="5">
        <f t="shared" si="272"/>
        <v>0.84333886124941548</v>
      </c>
    </row>
    <row r="7631" spans="1:11" x14ac:dyDescent="0.25">
      <c r="A7631" t="s">
        <v>14849</v>
      </c>
      <c r="C7631" t="s">
        <v>14850</v>
      </c>
      <c r="D7631" t="s">
        <v>5</v>
      </c>
      <c r="E7631" t="s">
        <v>6</v>
      </c>
      <c r="F7631" t="s">
        <v>251</v>
      </c>
      <c r="G7631">
        <v>1</v>
      </c>
      <c r="H7631" s="2">
        <f>Tabelle13[[#This Row],[commits]]/Tabelle13[[#Totals],[commits]]</f>
        <v>4.6477904404246225E-6</v>
      </c>
      <c r="I7631" s="5">
        <f>Tabelle13[[#This Row],[%]]+I7630</f>
        <v>0.99341872873626758</v>
      </c>
      <c r="J7631" s="4">
        <f t="shared" si="271"/>
        <v>1.105583195135434E-4</v>
      </c>
      <c r="K7631" s="5">
        <f t="shared" si="272"/>
        <v>0.84344941956892905</v>
      </c>
    </row>
    <row r="7632" spans="1:11" x14ac:dyDescent="0.25">
      <c r="A7632" t="s">
        <v>14851</v>
      </c>
      <c r="C7632" t="s">
        <v>14852</v>
      </c>
      <c r="D7632" t="s">
        <v>5</v>
      </c>
      <c r="E7632" t="s">
        <v>6</v>
      </c>
      <c r="F7632" t="s">
        <v>251</v>
      </c>
      <c r="G7632">
        <v>1</v>
      </c>
      <c r="H7632" s="2">
        <f>Tabelle13[[#This Row],[commits]]/Tabelle13[[#Totals],[commits]]</f>
        <v>4.6477904404246225E-6</v>
      </c>
      <c r="I7632" s="5">
        <f>Tabelle13[[#This Row],[%]]+I7631</f>
        <v>0.99342337652670798</v>
      </c>
      <c r="J7632" s="4">
        <f t="shared" si="271"/>
        <v>1.105583195135434E-4</v>
      </c>
      <c r="K7632" s="5">
        <f t="shared" si="272"/>
        <v>0.84355997788844261</v>
      </c>
    </row>
    <row r="7633" spans="1:11" x14ac:dyDescent="0.25">
      <c r="A7633" t="s">
        <v>14853</v>
      </c>
      <c r="C7633" t="s">
        <v>14854</v>
      </c>
      <c r="D7633" t="s">
        <v>5</v>
      </c>
      <c r="E7633" t="s">
        <v>6</v>
      </c>
      <c r="F7633" t="s">
        <v>251</v>
      </c>
      <c r="G7633">
        <v>1</v>
      </c>
      <c r="H7633" s="2">
        <f>Tabelle13[[#This Row],[commits]]/Tabelle13[[#Totals],[commits]]</f>
        <v>4.6477904404246225E-6</v>
      </c>
      <c r="I7633" s="5">
        <f>Tabelle13[[#This Row],[%]]+I7632</f>
        <v>0.99342802431714838</v>
      </c>
      <c r="J7633" s="4">
        <f t="shared" si="271"/>
        <v>1.105583195135434E-4</v>
      </c>
      <c r="K7633" s="5">
        <f t="shared" si="272"/>
        <v>0.84367053620795618</v>
      </c>
    </row>
    <row r="7634" spans="1:11" x14ac:dyDescent="0.25">
      <c r="A7634" t="s">
        <v>14855</v>
      </c>
      <c r="C7634" t="s">
        <v>14856</v>
      </c>
      <c r="D7634" t="s">
        <v>5</v>
      </c>
      <c r="E7634" t="s">
        <v>6</v>
      </c>
      <c r="F7634" t="s">
        <v>251</v>
      </c>
      <c r="G7634">
        <v>1</v>
      </c>
      <c r="H7634" s="2">
        <f>Tabelle13[[#This Row],[commits]]/Tabelle13[[#Totals],[commits]]</f>
        <v>4.6477904404246225E-6</v>
      </c>
      <c r="I7634" s="5">
        <f>Tabelle13[[#This Row],[%]]+I7633</f>
        <v>0.99343267210758879</v>
      </c>
      <c r="J7634" s="4">
        <f t="shared" si="271"/>
        <v>1.105583195135434E-4</v>
      </c>
      <c r="K7634" s="5">
        <f t="shared" si="272"/>
        <v>0.84378109452746974</v>
      </c>
    </row>
    <row r="7635" spans="1:11" x14ac:dyDescent="0.25">
      <c r="A7635" t="s">
        <v>14857</v>
      </c>
      <c r="C7635" t="s">
        <v>14858</v>
      </c>
      <c r="D7635" t="s">
        <v>2659</v>
      </c>
      <c r="E7635" t="s">
        <v>6</v>
      </c>
      <c r="F7635" t="s">
        <v>251</v>
      </c>
      <c r="G7635">
        <v>1</v>
      </c>
      <c r="H7635" s="2">
        <f>Tabelle13[[#This Row],[commits]]/Tabelle13[[#Totals],[commits]]</f>
        <v>4.6477904404246225E-6</v>
      </c>
      <c r="I7635" s="5">
        <f>Tabelle13[[#This Row],[%]]+I7634</f>
        <v>0.99343731989802919</v>
      </c>
      <c r="J7635" s="4">
        <f t="shared" si="271"/>
        <v>1.105583195135434E-4</v>
      </c>
      <c r="K7635" s="5">
        <f t="shared" si="272"/>
        <v>0.84389165284698331</v>
      </c>
    </row>
    <row r="7636" spans="1:11" x14ac:dyDescent="0.25">
      <c r="A7636" t="s">
        <v>14859</v>
      </c>
      <c r="C7636" t="s">
        <v>14860</v>
      </c>
      <c r="D7636" t="s">
        <v>5</v>
      </c>
      <c r="E7636" t="s">
        <v>6</v>
      </c>
      <c r="F7636" t="s">
        <v>251</v>
      </c>
      <c r="G7636">
        <v>1</v>
      </c>
      <c r="H7636" s="2">
        <f>Tabelle13[[#This Row],[commits]]/Tabelle13[[#Totals],[commits]]</f>
        <v>4.6477904404246225E-6</v>
      </c>
      <c r="I7636" s="5">
        <f>Tabelle13[[#This Row],[%]]+I7635</f>
        <v>0.9934419676884696</v>
      </c>
      <c r="J7636" s="4">
        <f t="shared" si="271"/>
        <v>1.105583195135434E-4</v>
      </c>
      <c r="K7636" s="5">
        <f t="shared" si="272"/>
        <v>0.84400221116649687</v>
      </c>
    </row>
    <row r="7637" spans="1:11" x14ac:dyDescent="0.25">
      <c r="A7637" t="s">
        <v>14861</v>
      </c>
      <c r="C7637" t="s">
        <v>14862</v>
      </c>
      <c r="D7637" t="s">
        <v>5</v>
      </c>
      <c r="E7637" t="s">
        <v>6</v>
      </c>
      <c r="F7637" t="s">
        <v>251</v>
      </c>
      <c r="G7637">
        <v>1</v>
      </c>
      <c r="H7637" s="2">
        <f>Tabelle13[[#This Row],[commits]]/Tabelle13[[#Totals],[commits]]</f>
        <v>4.6477904404246225E-6</v>
      </c>
      <c r="I7637" s="5">
        <f>Tabelle13[[#This Row],[%]]+I7636</f>
        <v>0.99344661547891</v>
      </c>
      <c r="J7637" s="4">
        <f t="shared" si="271"/>
        <v>1.105583195135434E-4</v>
      </c>
      <c r="K7637" s="5">
        <f t="shared" si="272"/>
        <v>0.84411276948601044</v>
      </c>
    </row>
    <row r="7638" spans="1:11" x14ac:dyDescent="0.25">
      <c r="A7638" t="s">
        <v>14863</v>
      </c>
      <c r="C7638" t="s">
        <v>14864</v>
      </c>
      <c r="D7638" t="s">
        <v>5</v>
      </c>
      <c r="E7638" t="s">
        <v>6</v>
      </c>
      <c r="F7638" t="s">
        <v>251</v>
      </c>
      <c r="G7638">
        <v>1</v>
      </c>
      <c r="H7638" s="2">
        <f>Tabelle13[[#This Row],[commits]]/Tabelle13[[#Totals],[commits]]</f>
        <v>4.6477904404246225E-6</v>
      </c>
      <c r="I7638" s="5">
        <f>Tabelle13[[#This Row],[%]]+I7637</f>
        <v>0.9934512632693504</v>
      </c>
      <c r="J7638" s="4">
        <f t="shared" si="271"/>
        <v>1.105583195135434E-4</v>
      </c>
      <c r="K7638" s="5">
        <f t="shared" si="272"/>
        <v>0.844223327805524</v>
      </c>
    </row>
    <row r="7639" spans="1:11" x14ac:dyDescent="0.25">
      <c r="A7639" t="s">
        <v>14865</v>
      </c>
      <c r="C7639" t="s">
        <v>14866</v>
      </c>
      <c r="D7639" t="s">
        <v>5</v>
      </c>
      <c r="E7639" t="s">
        <v>6</v>
      </c>
      <c r="F7639" t="s">
        <v>251</v>
      </c>
      <c r="G7639">
        <v>1</v>
      </c>
      <c r="H7639" s="2">
        <f>Tabelle13[[#This Row],[commits]]/Tabelle13[[#Totals],[commits]]</f>
        <v>4.6477904404246225E-6</v>
      </c>
      <c r="I7639" s="5">
        <f>Tabelle13[[#This Row],[%]]+I7638</f>
        <v>0.99345591105979081</v>
      </c>
      <c r="J7639" s="4">
        <f t="shared" si="271"/>
        <v>1.105583195135434E-4</v>
      </c>
      <c r="K7639" s="5">
        <f t="shared" si="272"/>
        <v>0.84433388612503757</v>
      </c>
    </row>
    <row r="7640" spans="1:11" x14ac:dyDescent="0.25">
      <c r="A7640" t="s">
        <v>14867</v>
      </c>
      <c r="C7640" t="s">
        <v>14868</v>
      </c>
      <c r="D7640" t="s">
        <v>5</v>
      </c>
      <c r="E7640" t="s">
        <v>6</v>
      </c>
      <c r="F7640" t="s">
        <v>251</v>
      </c>
      <c r="G7640">
        <v>1</v>
      </c>
      <c r="H7640" s="2">
        <f>Tabelle13[[#This Row],[commits]]/Tabelle13[[#Totals],[commits]]</f>
        <v>4.6477904404246225E-6</v>
      </c>
      <c r="I7640" s="5">
        <f>Tabelle13[[#This Row],[%]]+I7639</f>
        <v>0.99346055885023121</v>
      </c>
      <c r="J7640" s="4">
        <f t="shared" si="271"/>
        <v>1.105583195135434E-4</v>
      </c>
      <c r="K7640" s="5">
        <f t="shared" si="272"/>
        <v>0.84444444444455113</v>
      </c>
    </row>
    <row r="7641" spans="1:11" x14ac:dyDescent="0.25">
      <c r="A7641" t="s">
        <v>14869</v>
      </c>
      <c r="C7641" t="s">
        <v>14870</v>
      </c>
      <c r="D7641" t="s">
        <v>5</v>
      </c>
      <c r="E7641" t="s">
        <v>6</v>
      </c>
      <c r="F7641" t="s">
        <v>251</v>
      </c>
      <c r="G7641">
        <v>1</v>
      </c>
      <c r="H7641" s="2">
        <f>Tabelle13[[#This Row],[commits]]/Tabelle13[[#Totals],[commits]]</f>
        <v>4.6477904404246225E-6</v>
      </c>
      <c r="I7641" s="5">
        <f>Tabelle13[[#This Row],[%]]+I7640</f>
        <v>0.99346520664067162</v>
      </c>
      <c r="J7641" s="4">
        <f t="shared" si="271"/>
        <v>1.105583195135434E-4</v>
      </c>
      <c r="K7641" s="5">
        <f t="shared" si="272"/>
        <v>0.8445550027640647</v>
      </c>
    </row>
    <row r="7642" spans="1:11" x14ac:dyDescent="0.25">
      <c r="A7642" t="s">
        <v>14871</v>
      </c>
      <c r="C7642" t="s">
        <v>14872</v>
      </c>
      <c r="D7642" t="s">
        <v>309</v>
      </c>
      <c r="E7642" t="s">
        <v>6</v>
      </c>
      <c r="F7642" t="s">
        <v>251</v>
      </c>
      <c r="G7642">
        <v>1</v>
      </c>
      <c r="H7642" s="2">
        <f>Tabelle13[[#This Row],[commits]]/Tabelle13[[#Totals],[commits]]</f>
        <v>4.6477904404246225E-6</v>
      </c>
      <c r="I7642" s="5">
        <f>Tabelle13[[#This Row],[%]]+I7641</f>
        <v>0.99346985443111202</v>
      </c>
      <c r="J7642" s="4">
        <f t="shared" si="271"/>
        <v>1.105583195135434E-4</v>
      </c>
      <c r="K7642" s="5">
        <f t="shared" si="272"/>
        <v>0.84466556108357826</v>
      </c>
    </row>
    <row r="7643" spans="1:11" x14ac:dyDescent="0.25">
      <c r="A7643" t="s">
        <v>14873</v>
      </c>
      <c r="C7643" t="s">
        <v>14874</v>
      </c>
      <c r="D7643" t="s">
        <v>5</v>
      </c>
      <c r="E7643" t="s">
        <v>6</v>
      </c>
      <c r="F7643" t="s">
        <v>251</v>
      </c>
      <c r="G7643">
        <v>1</v>
      </c>
      <c r="H7643" s="2">
        <f>Tabelle13[[#This Row],[commits]]/Tabelle13[[#Totals],[commits]]</f>
        <v>4.6477904404246225E-6</v>
      </c>
      <c r="I7643" s="5">
        <f>Tabelle13[[#This Row],[%]]+I7642</f>
        <v>0.99347450222155242</v>
      </c>
      <c r="J7643" s="4">
        <f t="shared" si="271"/>
        <v>1.105583195135434E-4</v>
      </c>
      <c r="K7643" s="5">
        <f t="shared" si="272"/>
        <v>0.84477611940309183</v>
      </c>
    </row>
    <row r="7644" spans="1:11" x14ac:dyDescent="0.25">
      <c r="A7644" t="s">
        <v>14875</v>
      </c>
      <c r="C7644" t="s">
        <v>14876</v>
      </c>
      <c r="D7644" t="s">
        <v>5</v>
      </c>
      <c r="E7644" t="s">
        <v>6</v>
      </c>
      <c r="F7644" t="s">
        <v>251</v>
      </c>
      <c r="G7644">
        <v>1</v>
      </c>
      <c r="H7644" s="2">
        <f>Tabelle13[[#This Row],[commits]]/Tabelle13[[#Totals],[commits]]</f>
        <v>4.6477904404246225E-6</v>
      </c>
      <c r="I7644" s="5">
        <f>Tabelle13[[#This Row],[%]]+I7643</f>
        <v>0.99347915001199283</v>
      </c>
      <c r="J7644" s="4">
        <f t="shared" si="271"/>
        <v>1.105583195135434E-4</v>
      </c>
      <c r="K7644" s="5">
        <f t="shared" si="272"/>
        <v>0.84488667772260539</v>
      </c>
    </row>
    <row r="7645" spans="1:11" x14ac:dyDescent="0.25">
      <c r="A7645" t="s">
        <v>14877</v>
      </c>
      <c r="C7645" t="s">
        <v>14878</v>
      </c>
      <c r="D7645" t="s">
        <v>309</v>
      </c>
      <c r="E7645" t="s">
        <v>6</v>
      </c>
      <c r="F7645" t="s">
        <v>251</v>
      </c>
      <c r="G7645">
        <v>1</v>
      </c>
      <c r="H7645" s="2">
        <f>Tabelle13[[#This Row],[commits]]/Tabelle13[[#Totals],[commits]]</f>
        <v>4.6477904404246225E-6</v>
      </c>
      <c r="I7645" s="5">
        <f>Tabelle13[[#This Row],[%]]+I7644</f>
        <v>0.99348379780243323</v>
      </c>
      <c r="J7645" s="4">
        <f t="shared" si="271"/>
        <v>1.105583195135434E-4</v>
      </c>
      <c r="K7645" s="5">
        <f t="shared" si="272"/>
        <v>0.84499723604211896</v>
      </c>
    </row>
    <row r="7646" spans="1:11" x14ac:dyDescent="0.25">
      <c r="A7646" t="s">
        <v>14879</v>
      </c>
      <c r="C7646" t="s">
        <v>14880</v>
      </c>
      <c r="D7646" t="s">
        <v>5</v>
      </c>
      <c r="E7646" t="s">
        <v>6</v>
      </c>
      <c r="F7646" t="s">
        <v>251</v>
      </c>
      <c r="G7646">
        <v>1</v>
      </c>
      <c r="H7646" s="2">
        <f>Tabelle13[[#This Row],[commits]]/Tabelle13[[#Totals],[commits]]</f>
        <v>4.6477904404246225E-6</v>
      </c>
      <c r="I7646" s="5">
        <f>Tabelle13[[#This Row],[%]]+I7645</f>
        <v>0.99348844559287364</v>
      </c>
      <c r="J7646" s="4">
        <f t="shared" si="271"/>
        <v>1.105583195135434E-4</v>
      </c>
      <c r="K7646" s="5">
        <f t="shared" si="272"/>
        <v>0.84510779436163252</v>
      </c>
    </row>
    <row r="7647" spans="1:11" x14ac:dyDescent="0.25">
      <c r="A7647" t="s">
        <v>14881</v>
      </c>
      <c r="C7647" t="s">
        <v>14882</v>
      </c>
      <c r="D7647" t="s">
        <v>309</v>
      </c>
      <c r="E7647" t="s">
        <v>6</v>
      </c>
      <c r="F7647" t="s">
        <v>251</v>
      </c>
      <c r="G7647">
        <v>1</v>
      </c>
      <c r="H7647" s="2">
        <f>Tabelle13[[#This Row],[commits]]/Tabelle13[[#Totals],[commits]]</f>
        <v>4.6477904404246225E-6</v>
      </c>
      <c r="I7647" s="5">
        <f>Tabelle13[[#This Row],[%]]+I7646</f>
        <v>0.99349309338331404</v>
      </c>
      <c r="J7647" s="4">
        <f t="shared" si="271"/>
        <v>1.105583195135434E-4</v>
      </c>
      <c r="K7647" s="5">
        <f t="shared" si="272"/>
        <v>0.84521835268114609</v>
      </c>
    </row>
    <row r="7648" spans="1:11" x14ac:dyDescent="0.25">
      <c r="A7648" t="s">
        <v>14883</v>
      </c>
      <c r="C7648" t="s">
        <v>14884</v>
      </c>
      <c r="D7648" t="s">
        <v>5</v>
      </c>
      <c r="E7648" t="s">
        <v>6</v>
      </c>
      <c r="F7648" t="s">
        <v>251</v>
      </c>
      <c r="G7648">
        <v>1</v>
      </c>
      <c r="H7648" s="2">
        <f>Tabelle13[[#This Row],[commits]]/Tabelle13[[#Totals],[commits]]</f>
        <v>4.6477904404246225E-6</v>
      </c>
      <c r="I7648" s="5">
        <f>Tabelle13[[#This Row],[%]]+I7647</f>
        <v>0.99349774117375445</v>
      </c>
      <c r="J7648" s="4">
        <f t="shared" si="271"/>
        <v>1.105583195135434E-4</v>
      </c>
      <c r="K7648" s="5">
        <f t="shared" si="272"/>
        <v>0.84532891100065966</v>
      </c>
    </row>
    <row r="7649" spans="1:11" x14ac:dyDescent="0.25">
      <c r="A7649" t="s">
        <v>14885</v>
      </c>
      <c r="C7649" t="s">
        <v>14886</v>
      </c>
      <c r="D7649" t="s">
        <v>11709</v>
      </c>
      <c r="E7649" t="s">
        <v>6</v>
      </c>
      <c r="F7649" t="s">
        <v>251</v>
      </c>
      <c r="G7649">
        <v>1</v>
      </c>
      <c r="H7649" s="2">
        <f>Tabelle13[[#This Row],[commits]]/Tabelle13[[#Totals],[commits]]</f>
        <v>4.6477904404246225E-6</v>
      </c>
      <c r="I7649" s="5">
        <f>Tabelle13[[#This Row],[%]]+I7648</f>
        <v>0.99350238896419485</v>
      </c>
      <c r="J7649" s="4">
        <f t="shared" si="271"/>
        <v>1.105583195135434E-4</v>
      </c>
      <c r="K7649" s="5">
        <f t="shared" si="272"/>
        <v>0.84543946932017322</v>
      </c>
    </row>
    <row r="7650" spans="1:11" x14ac:dyDescent="0.25">
      <c r="A7650" t="s">
        <v>14887</v>
      </c>
      <c r="C7650" t="s">
        <v>14888</v>
      </c>
      <c r="D7650" t="s">
        <v>14889</v>
      </c>
      <c r="E7650" t="s">
        <v>6</v>
      </c>
      <c r="F7650" t="s">
        <v>251</v>
      </c>
      <c r="G7650">
        <v>1</v>
      </c>
      <c r="H7650" s="2">
        <f>Tabelle13[[#This Row],[commits]]/Tabelle13[[#Totals],[commits]]</f>
        <v>4.6477904404246225E-6</v>
      </c>
      <c r="I7650" s="5">
        <f>Tabelle13[[#This Row],[%]]+I7649</f>
        <v>0.99350703675463525</v>
      </c>
      <c r="J7650" s="4">
        <f t="shared" si="271"/>
        <v>1.105583195135434E-4</v>
      </c>
      <c r="K7650" s="5">
        <f t="shared" si="272"/>
        <v>0.84555002763968679</v>
      </c>
    </row>
    <row r="7651" spans="1:11" x14ac:dyDescent="0.25">
      <c r="A7651" t="s">
        <v>14890</v>
      </c>
      <c r="C7651" t="s">
        <v>14891</v>
      </c>
      <c r="D7651" t="s">
        <v>8874</v>
      </c>
      <c r="E7651" t="s">
        <v>6</v>
      </c>
      <c r="F7651" t="s">
        <v>251</v>
      </c>
      <c r="G7651">
        <v>1</v>
      </c>
      <c r="H7651" s="2">
        <f>Tabelle13[[#This Row],[commits]]/Tabelle13[[#Totals],[commits]]</f>
        <v>4.6477904404246225E-6</v>
      </c>
      <c r="I7651" s="5">
        <f>Tabelle13[[#This Row],[%]]+I7650</f>
        <v>0.99351168454507566</v>
      </c>
      <c r="J7651" s="4">
        <f t="shared" si="271"/>
        <v>1.105583195135434E-4</v>
      </c>
      <c r="K7651" s="5">
        <f t="shared" si="272"/>
        <v>0.84566058595920035</v>
      </c>
    </row>
    <row r="7652" spans="1:11" x14ac:dyDescent="0.25">
      <c r="A7652" t="s">
        <v>14892</v>
      </c>
      <c r="C7652" t="s">
        <v>14893</v>
      </c>
      <c r="D7652" t="s">
        <v>14894</v>
      </c>
      <c r="E7652" t="s">
        <v>6</v>
      </c>
      <c r="F7652" t="s">
        <v>251</v>
      </c>
      <c r="G7652">
        <v>1</v>
      </c>
      <c r="H7652" s="2">
        <f>Tabelle13[[#This Row],[commits]]/Tabelle13[[#Totals],[commits]]</f>
        <v>4.6477904404246225E-6</v>
      </c>
      <c r="I7652" s="5">
        <f>Tabelle13[[#This Row],[%]]+I7651</f>
        <v>0.99351633233551606</v>
      </c>
      <c r="J7652" s="4">
        <f t="shared" si="271"/>
        <v>1.105583195135434E-4</v>
      </c>
      <c r="K7652" s="5">
        <f t="shared" si="272"/>
        <v>0.84577114427871392</v>
      </c>
    </row>
    <row r="7653" spans="1:11" x14ac:dyDescent="0.25">
      <c r="A7653" t="s">
        <v>14895</v>
      </c>
      <c r="C7653" t="s">
        <v>14896</v>
      </c>
      <c r="D7653" t="s">
        <v>14897</v>
      </c>
      <c r="E7653" t="s">
        <v>6</v>
      </c>
      <c r="F7653" t="s">
        <v>251</v>
      </c>
      <c r="G7653">
        <v>1</v>
      </c>
      <c r="H7653" s="2">
        <f>Tabelle13[[#This Row],[commits]]/Tabelle13[[#Totals],[commits]]</f>
        <v>4.6477904404246225E-6</v>
      </c>
      <c r="I7653" s="5">
        <f>Tabelle13[[#This Row],[%]]+I7652</f>
        <v>0.99352098012595647</v>
      </c>
      <c r="J7653" s="4">
        <f t="shared" si="271"/>
        <v>1.105583195135434E-4</v>
      </c>
      <c r="K7653" s="5">
        <f t="shared" si="272"/>
        <v>0.84588170259822748</v>
      </c>
    </row>
    <row r="7654" spans="1:11" x14ac:dyDescent="0.25">
      <c r="A7654" t="s">
        <v>14898</v>
      </c>
      <c r="C7654" t="s">
        <v>14899</v>
      </c>
      <c r="D7654" t="s">
        <v>5</v>
      </c>
      <c r="E7654" t="s">
        <v>6</v>
      </c>
      <c r="F7654" t="s">
        <v>251</v>
      </c>
      <c r="G7654">
        <v>1</v>
      </c>
      <c r="H7654" s="2">
        <f>Tabelle13[[#This Row],[commits]]/Tabelle13[[#Totals],[commits]]</f>
        <v>4.6477904404246225E-6</v>
      </c>
      <c r="I7654" s="5">
        <f>Tabelle13[[#This Row],[%]]+I7653</f>
        <v>0.99352562791639687</v>
      </c>
      <c r="J7654" s="4">
        <f t="shared" si="271"/>
        <v>1.105583195135434E-4</v>
      </c>
      <c r="K7654" s="5">
        <f t="shared" si="272"/>
        <v>0.84599226091774105</v>
      </c>
    </row>
    <row r="7655" spans="1:11" x14ac:dyDescent="0.25">
      <c r="A7655" t="s">
        <v>14900</v>
      </c>
      <c r="C7655" t="s">
        <v>14901</v>
      </c>
      <c r="D7655" t="s">
        <v>11359</v>
      </c>
      <c r="E7655" t="s">
        <v>6</v>
      </c>
      <c r="F7655" t="s">
        <v>251</v>
      </c>
      <c r="G7655">
        <v>1</v>
      </c>
      <c r="H7655" s="2">
        <f>Tabelle13[[#This Row],[commits]]/Tabelle13[[#Totals],[commits]]</f>
        <v>4.6477904404246225E-6</v>
      </c>
      <c r="I7655" s="5">
        <f>Tabelle13[[#This Row],[%]]+I7654</f>
        <v>0.99353027570683727</v>
      </c>
      <c r="J7655" s="4">
        <f t="shared" si="271"/>
        <v>1.105583195135434E-4</v>
      </c>
      <c r="K7655" s="5">
        <f t="shared" si="272"/>
        <v>0.84610281923725461</v>
      </c>
    </row>
    <row r="7656" spans="1:11" x14ac:dyDescent="0.25">
      <c r="A7656" t="s">
        <v>14902</v>
      </c>
      <c r="C7656" t="s">
        <v>14903</v>
      </c>
      <c r="D7656" t="s">
        <v>5</v>
      </c>
      <c r="E7656" t="s">
        <v>6</v>
      </c>
      <c r="F7656" t="s">
        <v>251</v>
      </c>
      <c r="G7656">
        <v>1</v>
      </c>
      <c r="H7656" s="2">
        <f>Tabelle13[[#This Row],[commits]]/Tabelle13[[#Totals],[commits]]</f>
        <v>4.6477904404246225E-6</v>
      </c>
      <c r="I7656" s="5">
        <f>Tabelle13[[#This Row],[%]]+I7655</f>
        <v>0.99353492349727768</v>
      </c>
      <c r="J7656" s="4">
        <f t="shared" si="271"/>
        <v>1.105583195135434E-4</v>
      </c>
      <c r="K7656" s="5">
        <f t="shared" si="272"/>
        <v>0.84621337755676818</v>
      </c>
    </row>
    <row r="7657" spans="1:11" x14ac:dyDescent="0.25">
      <c r="A7657" t="s">
        <v>14904</v>
      </c>
      <c r="C7657" t="s">
        <v>14905</v>
      </c>
      <c r="D7657" t="s">
        <v>5</v>
      </c>
      <c r="E7657" t="s">
        <v>6</v>
      </c>
      <c r="F7657" t="s">
        <v>251</v>
      </c>
      <c r="G7657">
        <v>1</v>
      </c>
      <c r="H7657" s="2">
        <f>Tabelle13[[#This Row],[commits]]/Tabelle13[[#Totals],[commits]]</f>
        <v>4.6477904404246225E-6</v>
      </c>
      <c r="I7657" s="5">
        <f>Tabelle13[[#This Row],[%]]+I7656</f>
        <v>0.99353957128771808</v>
      </c>
      <c r="J7657" s="4">
        <f t="shared" si="271"/>
        <v>1.105583195135434E-4</v>
      </c>
      <c r="K7657" s="5">
        <f t="shared" si="272"/>
        <v>0.84632393587628174</v>
      </c>
    </row>
    <row r="7658" spans="1:11" x14ac:dyDescent="0.25">
      <c r="A7658" t="s">
        <v>14906</v>
      </c>
      <c r="C7658" t="s">
        <v>14907</v>
      </c>
      <c r="D7658" t="s">
        <v>5</v>
      </c>
      <c r="E7658" t="s">
        <v>6</v>
      </c>
      <c r="F7658" t="s">
        <v>251</v>
      </c>
      <c r="G7658">
        <v>1</v>
      </c>
      <c r="H7658" s="2">
        <f>Tabelle13[[#This Row],[commits]]/Tabelle13[[#Totals],[commits]]</f>
        <v>4.6477904404246225E-6</v>
      </c>
      <c r="I7658" s="5">
        <f>Tabelle13[[#This Row],[%]]+I7657</f>
        <v>0.99354421907815849</v>
      </c>
      <c r="J7658" s="4">
        <f t="shared" si="271"/>
        <v>1.105583195135434E-4</v>
      </c>
      <c r="K7658" s="5">
        <f t="shared" si="272"/>
        <v>0.84643449419579531</v>
      </c>
    </row>
    <row r="7659" spans="1:11" x14ac:dyDescent="0.25">
      <c r="A7659" t="s">
        <v>14908</v>
      </c>
      <c r="C7659" t="s">
        <v>14909</v>
      </c>
      <c r="D7659" t="s">
        <v>5</v>
      </c>
      <c r="E7659" t="s">
        <v>6</v>
      </c>
      <c r="F7659" t="s">
        <v>251</v>
      </c>
      <c r="G7659">
        <v>1</v>
      </c>
      <c r="H7659" s="2">
        <f>Tabelle13[[#This Row],[commits]]/Tabelle13[[#Totals],[commits]]</f>
        <v>4.6477904404246225E-6</v>
      </c>
      <c r="I7659" s="5">
        <f>Tabelle13[[#This Row],[%]]+I7658</f>
        <v>0.99354886686859889</v>
      </c>
      <c r="J7659" s="4">
        <f t="shared" si="271"/>
        <v>1.105583195135434E-4</v>
      </c>
      <c r="K7659" s="5">
        <f t="shared" si="272"/>
        <v>0.84654505251530887</v>
      </c>
    </row>
    <row r="7660" spans="1:11" x14ac:dyDescent="0.25">
      <c r="A7660" t="s">
        <v>14910</v>
      </c>
      <c r="C7660" t="s">
        <v>14911</v>
      </c>
      <c r="D7660" t="s">
        <v>5</v>
      </c>
      <c r="E7660" t="s">
        <v>6</v>
      </c>
      <c r="F7660" t="s">
        <v>251</v>
      </c>
      <c r="G7660">
        <v>1</v>
      </c>
      <c r="H7660" s="2">
        <f>Tabelle13[[#This Row],[commits]]/Tabelle13[[#Totals],[commits]]</f>
        <v>4.6477904404246225E-6</v>
      </c>
      <c r="I7660" s="5">
        <f>Tabelle13[[#This Row],[%]]+I7659</f>
        <v>0.99355351465903929</v>
      </c>
      <c r="J7660" s="4">
        <f t="shared" si="271"/>
        <v>1.105583195135434E-4</v>
      </c>
      <c r="K7660" s="5">
        <f t="shared" si="272"/>
        <v>0.84665561083482244</v>
      </c>
    </row>
    <row r="7661" spans="1:11" x14ac:dyDescent="0.25">
      <c r="A7661" t="s">
        <v>14912</v>
      </c>
      <c r="C7661" t="s">
        <v>3122</v>
      </c>
      <c r="D7661" t="s">
        <v>14913</v>
      </c>
      <c r="E7661" t="s">
        <v>6</v>
      </c>
      <c r="F7661" t="s">
        <v>251</v>
      </c>
      <c r="G7661">
        <v>1</v>
      </c>
      <c r="H7661" s="2">
        <f>Tabelle13[[#This Row],[commits]]/Tabelle13[[#Totals],[commits]]</f>
        <v>4.6477904404246225E-6</v>
      </c>
      <c r="I7661" s="5">
        <f>Tabelle13[[#This Row],[%]]+I7660</f>
        <v>0.9935581624494797</v>
      </c>
      <c r="J7661" s="4">
        <f t="shared" si="271"/>
        <v>1.105583195135434E-4</v>
      </c>
      <c r="K7661" s="5">
        <f t="shared" si="272"/>
        <v>0.846766169154336</v>
      </c>
    </row>
    <row r="7662" spans="1:11" x14ac:dyDescent="0.25">
      <c r="A7662" t="s">
        <v>14914</v>
      </c>
      <c r="C7662" t="s">
        <v>14915</v>
      </c>
      <c r="D7662" t="s">
        <v>5</v>
      </c>
      <c r="E7662" t="s">
        <v>6</v>
      </c>
      <c r="F7662" t="s">
        <v>251</v>
      </c>
      <c r="G7662">
        <v>1</v>
      </c>
      <c r="H7662" s="2">
        <f>Tabelle13[[#This Row],[commits]]/Tabelle13[[#Totals],[commits]]</f>
        <v>4.6477904404246225E-6</v>
      </c>
      <c r="I7662" s="5">
        <f>Tabelle13[[#This Row],[%]]+I7661</f>
        <v>0.9935628102399201</v>
      </c>
      <c r="J7662" s="4">
        <f t="shared" si="271"/>
        <v>1.105583195135434E-4</v>
      </c>
      <c r="K7662" s="5">
        <f t="shared" si="272"/>
        <v>0.84687672747384957</v>
      </c>
    </row>
    <row r="7663" spans="1:11" x14ac:dyDescent="0.25">
      <c r="A7663" t="s">
        <v>14916</v>
      </c>
      <c r="C7663" t="s">
        <v>14917</v>
      </c>
      <c r="D7663" t="s">
        <v>5</v>
      </c>
      <c r="E7663" t="s">
        <v>6</v>
      </c>
      <c r="F7663" t="s">
        <v>251</v>
      </c>
      <c r="G7663">
        <v>1</v>
      </c>
      <c r="H7663" s="2">
        <f>Tabelle13[[#This Row],[commits]]/Tabelle13[[#Totals],[commits]]</f>
        <v>4.6477904404246225E-6</v>
      </c>
      <c r="I7663" s="5">
        <f>Tabelle13[[#This Row],[%]]+I7662</f>
        <v>0.99356745803036051</v>
      </c>
      <c r="J7663" s="4">
        <f t="shared" si="271"/>
        <v>1.105583195135434E-4</v>
      </c>
      <c r="K7663" s="5">
        <f t="shared" si="272"/>
        <v>0.84698728579336313</v>
      </c>
    </row>
    <row r="7664" spans="1:11" x14ac:dyDescent="0.25">
      <c r="A7664" t="s">
        <v>14918</v>
      </c>
      <c r="C7664" t="s">
        <v>14919</v>
      </c>
      <c r="D7664" t="s">
        <v>309</v>
      </c>
      <c r="E7664" t="s">
        <v>6</v>
      </c>
      <c r="F7664" t="s">
        <v>251</v>
      </c>
      <c r="G7664">
        <v>1</v>
      </c>
      <c r="H7664" s="2">
        <f>Tabelle13[[#This Row],[commits]]/Tabelle13[[#Totals],[commits]]</f>
        <v>4.6477904404246225E-6</v>
      </c>
      <c r="I7664" s="5">
        <f>Tabelle13[[#This Row],[%]]+I7663</f>
        <v>0.99357210582080091</v>
      </c>
      <c r="J7664" s="4">
        <f t="shared" si="271"/>
        <v>1.105583195135434E-4</v>
      </c>
      <c r="K7664" s="5">
        <f t="shared" si="272"/>
        <v>0.8470978441128767</v>
      </c>
    </row>
    <row r="7665" spans="1:11" x14ac:dyDescent="0.25">
      <c r="A7665" t="s">
        <v>14920</v>
      </c>
      <c r="C7665">
        <v>281327827</v>
      </c>
      <c r="D7665" t="s">
        <v>5</v>
      </c>
      <c r="E7665" t="s">
        <v>6</v>
      </c>
      <c r="F7665" t="s">
        <v>251</v>
      </c>
      <c r="G7665">
        <v>1</v>
      </c>
      <c r="H7665" s="2">
        <f>Tabelle13[[#This Row],[commits]]/Tabelle13[[#Totals],[commits]]</f>
        <v>4.6477904404246225E-6</v>
      </c>
      <c r="I7665" s="5">
        <f>Tabelle13[[#This Row],[%]]+I7664</f>
        <v>0.99357675361124131</v>
      </c>
      <c r="J7665" s="4">
        <f t="shared" si="271"/>
        <v>1.105583195135434E-4</v>
      </c>
      <c r="K7665" s="5">
        <f t="shared" si="272"/>
        <v>0.84720840243239026</v>
      </c>
    </row>
    <row r="7666" spans="1:11" x14ac:dyDescent="0.25">
      <c r="A7666" t="s">
        <v>14921</v>
      </c>
      <c r="C7666" t="s">
        <v>14922</v>
      </c>
      <c r="D7666" t="s">
        <v>5</v>
      </c>
      <c r="E7666" t="s">
        <v>6</v>
      </c>
      <c r="F7666" t="s">
        <v>251</v>
      </c>
      <c r="G7666">
        <v>1</v>
      </c>
      <c r="H7666" s="2">
        <f>Tabelle13[[#This Row],[commits]]/Tabelle13[[#Totals],[commits]]</f>
        <v>4.6477904404246225E-6</v>
      </c>
      <c r="I7666" s="5">
        <f>Tabelle13[[#This Row],[%]]+I7665</f>
        <v>0.99358140140168172</v>
      </c>
      <c r="J7666" s="4">
        <f t="shared" si="271"/>
        <v>1.105583195135434E-4</v>
      </c>
      <c r="K7666" s="5">
        <f t="shared" si="272"/>
        <v>0.84731896075190383</v>
      </c>
    </row>
    <row r="7667" spans="1:11" x14ac:dyDescent="0.25">
      <c r="A7667" t="s">
        <v>14923</v>
      </c>
      <c r="C7667" t="s">
        <v>14924</v>
      </c>
      <c r="D7667" t="s">
        <v>5</v>
      </c>
      <c r="E7667" t="s">
        <v>6</v>
      </c>
      <c r="F7667" t="s">
        <v>251</v>
      </c>
      <c r="G7667">
        <v>1</v>
      </c>
      <c r="H7667" s="2">
        <f>Tabelle13[[#This Row],[commits]]/Tabelle13[[#Totals],[commits]]</f>
        <v>4.6477904404246225E-6</v>
      </c>
      <c r="I7667" s="5">
        <f>Tabelle13[[#This Row],[%]]+I7666</f>
        <v>0.99358604919212212</v>
      </c>
      <c r="J7667" s="4">
        <f t="shared" si="271"/>
        <v>1.105583195135434E-4</v>
      </c>
      <c r="K7667" s="5">
        <f t="shared" si="272"/>
        <v>0.84742951907141739</v>
      </c>
    </row>
    <row r="7668" spans="1:11" x14ac:dyDescent="0.25">
      <c r="A7668" t="s">
        <v>14925</v>
      </c>
      <c r="C7668" t="s">
        <v>14926</v>
      </c>
      <c r="D7668" t="s">
        <v>5</v>
      </c>
      <c r="E7668" t="s">
        <v>6</v>
      </c>
      <c r="F7668" t="s">
        <v>251</v>
      </c>
      <c r="G7668">
        <v>1</v>
      </c>
      <c r="H7668" s="2">
        <f>Tabelle13[[#This Row],[commits]]/Tabelle13[[#Totals],[commits]]</f>
        <v>4.6477904404246225E-6</v>
      </c>
      <c r="I7668" s="5">
        <f>Tabelle13[[#This Row],[%]]+I7667</f>
        <v>0.99359069698256253</v>
      </c>
      <c r="J7668" s="4">
        <f t="shared" si="271"/>
        <v>1.105583195135434E-4</v>
      </c>
      <c r="K7668" s="5">
        <f t="shared" si="272"/>
        <v>0.84754007739093096</v>
      </c>
    </row>
    <row r="7669" spans="1:11" x14ac:dyDescent="0.25">
      <c r="A7669" t="s">
        <v>14927</v>
      </c>
      <c r="C7669" t="s">
        <v>14928</v>
      </c>
      <c r="D7669" t="s">
        <v>5</v>
      </c>
      <c r="E7669" t="s">
        <v>6</v>
      </c>
      <c r="F7669" t="s">
        <v>251</v>
      </c>
      <c r="G7669">
        <v>1</v>
      </c>
      <c r="H7669" s="2">
        <f>Tabelle13[[#This Row],[commits]]/Tabelle13[[#Totals],[commits]]</f>
        <v>4.6477904404246225E-6</v>
      </c>
      <c r="I7669" s="5">
        <f>Tabelle13[[#This Row],[%]]+I7668</f>
        <v>0.99359534477300293</v>
      </c>
      <c r="J7669" s="4">
        <f t="shared" si="271"/>
        <v>1.105583195135434E-4</v>
      </c>
      <c r="K7669" s="5">
        <f t="shared" si="272"/>
        <v>0.84765063571044452</v>
      </c>
    </row>
    <row r="7670" spans="1:11" x14ac:dyDescent="0.25">
      <c r="A7670" t="s">
        <v>14929</v>
      </c>
      <c r="C7670" t="s">
        <v>14930</v>
      </c>
      <c r="D7670" t="s">
        <v>5</v>
      </c>
      <c r="E7670" t="s">
        <v>6</v>
      </c>
      <c r="F7670" t="s">
        <v>251</v>
      </c>
      <c r="G7670">
        <v>1</v>
      </c>
      <c r="H7670" s="2">
        <f>Tabelle13[[#This Row],[commits]]/Tabelle13[[#Totals],[commits]]</f>
        <v>4.6477904404246225E-6</v>
      </c>
      <c r="I7670" s="5">
        <f>Tabelle13[[#This Row],[%]]+I7669</f>
        <v>0.99359999256344333</v>
      </c>
      <c r="J7670" s="4">
        <f t="shared" si="271"/>
        <v>1.105583195135434E-4</v>
      </c>
      <c r="K7670" s="5">
        <f t="shared" si="272"/>
        <v>0.84776119402995809</v>
      </c>
    </row>
    <row r="7671" spans="1:11" x14ac:dyDescent="0.25">
      <c r="A7671" t="s">
        <v>14931</v>
      </c>
      <c r="C7671" t="s">
        <v>14932</v>
      </c>
      <c r="D7671" t="s">
        <v>5</v>
      </c>
      <c r="E7671" t="s">
        <v>6</v>
      </c>
      <c r="F7671" t="s">
        <v>251</v>
      </c>
      <c r="G7671">
        <v>1</v>
      </c>
      <c r="H7671" s="2">
        <f>Tabelle13[[#This Row],[commits]]/Tabelle13[[#Totals],[commits]]</f>
        <v>4.6477904404246225E-6</v>
      </c>
      <c r="I7671" s="5">
        <f>Tabelle13[[#This Row],[%]]+I7670</f>
        <v>0.99360464035388374</v>
      </c>
      <c r="J7671" s="4">
        <f t="shared" si="271"/>
        <v>1.105583195135434E-4</v>
      </c>
      <c r="K7671" s="5">
        <f t="shared" si="272"/>
        <v>0.84787175234947165</v>
      </c>
    </row>
    <row r="7672" spans="1:11" x14ac:dyDescent="0.25">
      <c r="A7672" t="s">
        <v>14933</v>
      </c>
      <c r="C7672" t="s">
        <v>14934</v>
      </c>
      <c r="D7672" t="s">
        <v>5</v>
      </c>
      <c r="E7672" t="s">
        <v>6</v>
      </c>
      <c r="F7672" t="s">
        <v>251</v>
      </c>
      <c r="G7672">
        <v>1</v>
      </c>
      <c r="H7672" s="2">
        <f>Tabelle13[[#This Row],[commits]]/Tabelle13[[#Totals],[commits]]</f>
        <v>4.6477904404246225E-6</v>
      </c>
      <c r="I7672" s="5">
        <f>Tabelle13[[#This Row],[%]]+I7671</f>
        <v>0.99360928814432414</v>
      </c>
      <c r="J7672" s="4">
        <f t="shared" si="271"/>
        <v>1.105583195135434E-4</v>
      </c>
      <c r="K7672" s="5">
        <f t="shared" si="272"/>
        <v>0.84798231066898522</v>
      </c>
    </row>
    <row r="7673" spans="1:11" x14ac:dyDescent="0.25">
      <c r="A7673" t="s">
        <v>14935</v>
      </c>
      <c r="C7673" t="s">
        <v>14936</v>
      </c>
      <c r="D7673" t="s">
        <v>5</v>
      </c>
      <c r="E7673" t="s">
        <v>6</v>
      </c>
      <c r="F7673" t="s">
        <v>251</v>
      </c>
      <c r="G7673">
        <v>1</v>
      </c>
      <c r="H7673" s="2">
        <f>Tabelle13[[#This Row],[commits]]/Tabelle13[[#Totals],[commits]]</f>
        <v>4.6477904404246225E-6</v>
      </c>
      <c r="I7673" s="5">
        <f>Tabelle13[[#This Row],[%]]+I7672</f>
        <v>0.99361393593476455</v>
      </c>
      <c r="J7673" s="4">
        <f t="shared" si="271"/>
        <v>1.105583195135434E-4</v>
      </c>
      <c r="K7673" s="5">
        <f t="shared" si="272"/>
        <v>0.84809286898849878</v>
      </c>
    </row>
    <row r="7674" spans="1:11" x14ac:dyDescent="0.25">
      <c r="A7674" t="s">
        <v>14937</v>
      </c>
      <c r="C7674" t="s">
        <v>14938</v>
      </c>
      <c r="D7674" t="s">
        <v>5</v>
      </c>
      <c r="E7674" t="s">
        <v>6</v>
      </c>
      <c r="F7674" t="s">
        <v>251</v>
      </c>
      <c r="G7674">
        <v>1</v>
      </c>
      <c r="H7674" s="2">
        <f>Tabelle13[[#This Row],[commits]]/Tabelle13[[#Totals],[commits]]</f>
        <v>4.6477904404246225E-6</v>
      </c>
      <c r="I7674" s="5">
        <f>Tabelle13[[#This Row],[%]]+I7673</f>
        <v>0.99361858372520495</v>
      </c>
      <c r="J7674" s="4">
        <f t="shared" si="271"/>
        <v>1.105583195135434E-4</v>
      </c>
      <c r="K7674" s="5">
        <f t="shared" si="272"/>
        <v>0.84820342730801235</v>
      </c>
    </row>
    <row r="7675" spans="1:11" x14ac:dyDescent="0.25">
      <c r="A7675" t="s">
        <v>14939</v>
      </c>
      <c r="C7675" t="s">
        <v>14940</v>
      </c>
      <c r="D7675" t="s">
        <v>5</v>
      </c>
      <c r="E7675" t="s">
        <v>6</v>
      </c>
      <c r="F7675" t="s">
        <v>251</v>
      </c>
      <c r="G7675">
        <v>1</v>
      </c>
      <c r="H7675" s="2">
        <f>Tabelle13[[#This Row],[commits]]/Tabelle13[[#Totals],[commits]]</f>
        <v>4.6477904404246225E-6</v>
      </c>
      <c r="I7675" s="5">
        <f>Tabelle13[[#This Row],[%]]+I7674</f>
        <v>0.99362323151564536</v>
      </c>
      <c r="J7675" s="4">
        <f t="shared" si="271"/>
        <v>1.105583195135434E-4</v>
      </c>
      <c r="K7675" s="5">
        <f t="shared" si="272"/>
        <v>0.84831398562752591</v>
      </c>
    </row>
    <row r="7676" spans="1:11" x14ac:dyDescent="0.25">
      <c r="A7676" t="s">
        <v>14941</v>
      </c>
      <c r="C7676" t="s">
        <v>14942</v>
      </c>
      <c r="D7676" t="s">
        <v>5</v>
      </c>
      <c r="E7676" t="s">
        <v>6</v>
      </c>
      <c r="F7676" t="s">
        <v>251</v>
      </c>
      <c r="G7676">
        <v>1</v>
      </c>
      <c r="H7676" s="2">
        <f>Tabelle13[[#This Row],[commits]]/Tabelle13[[#Totals],[commits]]</f>
        <v>4.6477904404246225E-6</v>
      </c>
      <c r="I7676" s="5">
        <f>Tabelle13[[#This Row],[%]]+I7675</f>
        <v>0.99362787930608576</v>
      </c>
      <c r="J7676" s="4">
        <f t="shared" si="271"/>
        <v>1.105583195135434E-4</v>
      </c>
      <c r="K7676" s="5">
        <f t="shared" si="272"/>
        <v>0.84842454394703948</v>
      </c>
    </row>
    <row r="7677" spans="1:11" x14ac:dyDescent="0.25">
      <c r="A7677" t="s">
        <v>14943</v>
      </c>
      <c r="C7677" t="s">
        <v>14944</v>
      </c>
      <c r="D7677" t="s">
        <v>5</v>
      </c>
      <c r="E7677" t="s">
        <v>6</v>
      </c>
      <c r="F7677" t="s">
        <v>251</v>
      </c>
      <c r="G7677">
        <v>1</v>
      </c>
      <c r="H7677" s="2">
        <f>Tabelle13[[#This Row],[commits]]/Tabelle13[[#Totals],[commits]]</f>
        <v>4.6477904404246225E-6</v>
      </c>
      <c r="I7677" s="5">
        <f>Tabelle13[[#This Row],[%]]+I7676</f>
        <v>0.99363252709652616</v>
      </c>
      <c r="J7677" s="4">
        <f t="shared" si="271"/>
        <v>1.105583195135434E-4</v>
      </c>
      <c r="K7677" s="5">
        <f t="shared" si="272"/>
        <v>0.84853510226655304</v>
      </c>
    </row>
    <row r="7678" spans="1:11" x14ac:dyDescent="0.25">
      <c r="A7678" t="s">
        <v>14945</v>
      </c>
      <c r="C7678" t="s">
        <v>10164</v>
      </c>
      <c r="D7678" t="s">
        <v>8757</v>
      </c>
      <c r="E7678" t="s">
        <v>6</v>
      </c>
      <c r="F7678" t="s">
        <v>251</v>
      </c>
      <c r="G7678">
        <v>1</v>
      </c>
      <c r="H7678" s="2">
        <f>Tabelle13[[#This Row],[commits]]/Tabelle13[[#Totals],[commits]]</f>
        <v>4.6477904404246225E-6</v>
      </c>
      <c r="I7678" s="5">
        <f>Tabelle13[[#This Row],[%]]+I7677</f>
        <v>0.99363717488696657</v>
      </c>
      <c r="J7678" s="4">
        <f t="shared" si="271"/>
        <v>1.105583195135434E-4</v>
      </c>
      <c r="K7678" s="5">
        <f t="shared" si="272"/>
        <v>0.84864566058606661</v>
      </c>
    </row>
    <row r="7679" spans="1:11" x14ac:dyDescent="0.25">
      <c r="A7679" t="s">
        <v>14946</v>
      </c>
      <c r="C7679" t="s">
        <v>14947</v>
      </c>
      <c r="D7679" t="s">
        <v>5175</v>
      </c>
      <c r="E7679" t="s">
        <v>6</v>
      </c>
      <c r="F7679" t="s">
        <v>251</v>
      </c>
      <c r="G7679">
        <v>1</v>
      </c>
      <c r="H7679" s="2">
        <f>Tabelle13[[#This Row],[commits]]/Tabelle13[[#Totals],[commits]]</f>
        <v>4.6477904404246225E-6</v>
      </c>
      <c r="I7679" s="5">
        <f>Tabelle13[[#This Row],[%]]+I7678</f>
        <v>0.99364182267740697</v>
      </c>
      <c r="J7679" s="4">
        <f t="shared" si="271"/>
        <v>1.105583195135434E-4</v>
      </c>
      <c r="K7679" s="5">
        <f t="shared" si="272"/>
        <v>0.84875621890558017</v>
      </c>
    </row>
    <row r="7680" spans="1:11" x14ac:dyDescent="0.25">
      <c r="A7680" t="s">
        <v>14948</v>
      </c>
      <c r="C7680" t="s">
        <v>14949</v>
      </c>
      <c r="D7680" t="s">
        <v>5</v>
      </c>
      <c r="E7680" t="s">
        <v>6</v>
      </c>
      <c r="F7680" t="s">
        <v>251</v>
      </c>
      <c r="G7680">
        <v>1</v>
      </c>
      <c r="H7680" s="2">
        <f>Tabelle13[[#This Row],[commits]]/Tabelle13[[#Totals],[commits]]</f>
        <v>4.6477904404246225E-6</v>
      </c>
      <c r="I7680" s="5">
        <f>Tabelle13[[#This Row],[%]]+I7679</f>
        <v>0.99364647046784738</v>
      </c>
      <c r="J7680" s="4">
        <f t="shared" si="271"/>
        <v>1.105583195135434E-4</v>
      </c>
      <c r="K7680" s="5">
        <f t="shared" si="272"/>
        <v>0.84886677722509374</v>
      </c>
    </row>
    <row r="7681" spans="1:11" x14ac:dyDescent="0.25">
      <c r="A7681" t="s">
        <v>14950</v>
      </c>
      <c r="C7681" t="s">
        <v>14951</v>
      </c>
      <c r="D7681" t="s">
        <v>5</v>
      </c>
      <c r="E7681" t="s">
        <v>6</v>
      </c>
      <c r="F7681" t="s">
        <v>251</v>
      </c>
      <c r="G7681">
        <v>1</v>
      </c>
      <c r="H7681" s="2">
        <f>Tabelle13[[#This Row],[commits]]/Tabelle13[[#Totals],[commits]]</f>
        <v>4.6477904404246225E-6</v>
      </c>
      <c r="I7681" s="5">
        <f>Tabelle13[[#This Row],[%]]+I7680</f>
        <v>0.99365111825828778</v>
      </c>
      <c r="J7681" s="4">
        <f t="shared" si="271"/>
        <v>1.105583195135434E-4</v>
      </c>
      <c r="K7681" s="5">
        <f t="shared" si="272"/>
        <v>0.8489773355446073</v>
      </c>
    </row>
    <row r="7682" spans="1:11" x14ac:dyDescent="0.25">
      <c r="A7682" t="s">
        <v>14952</v>
      </c>
      <c r="C7682" t="s">
        <v>14953</v>
      </c>
      <c r="D7682" t="s">
        <v>14954</v>
      </c>
      <c r="E7682" t="s">
        <v>6</v>
      </c>
      <c r="F7682" t="s">
        <v>251</v>
      </c>
      <c r="G7682">
        <v>1</v>
      </c>
      <c r="H7682" s="2">
        <f>Tabelle13[[#This Row],[commits]]/Tabelle13[[#Totals],[commits]]</f>
        <v>4.6477904404246225E-6</v>
      </c>
      <c r="I7682" s="5">
        <f>Tabelle13[[#This Row],[%]]+I7681</f>
        <v>0.99365576604872818</v>
      </c>
      <c r="J7682" s="4">
        <f t="shared" si="271"/>
        <v>1.105583195135434E-4</v>
      </c>
      <c r="K7682" s="5">
        <f t="shared" si="272"/>
        <v>0.84908789386412087</v>
      </c>
    </row>
    <row r="7683" spans="1:11" x14ac:dyDescent="0.25">
      <c r="A7683" t="s">
        <v>14955</v>
      </c>
      <c r="C7683" t="s">
        <v>14956</v>
      </c>
      <c r="D7683" t="s">
        <v>309</v>
      </c>
      <c r="E7683" t="s">
        <v>6</v>
      </c>
      <c r="F7683" t="s">
        <v>251</v>
      </c>
      <c r="G7683">
        <v>1</v>
      </c>
      <c r="H7683" s="2">
        <f>Tabelle13[[#This Row],[commits]]/Tabelle13[[#Totals],[commits]]</f>
        <v>4.6477904404246225E-6</v>
      </c>
      <c r="I7683" s="5">
        <f>Tabelle13[[#This Row],[%]]+I7682</f>
        <v>0.99366041383916859</v>
      </c>
      <c r="J7683" s="4">
        <f t="shared" ref="J7683:J7746" si="273">1/9045</f>
        <v>1.105583195135434E-4</v>
      </c>
      <c r="K7683" s="5">
        <f t="shared" si="272"/>
        <v>0.84919845218363443</v>
      </c>
    </row>
    <row r="7684" spans="1:11" x14ac:dyDescent="0.25">
      <c r="A7684" t="s">
        <v>14957</v>
      </c>
      <c r="C7684" t="s">
        <v>14958</v>
      </c>
      <c r="D7684" t="s">
        <v>5</v>
      </c>
      <c r="E7684" t="s">
        <v>6</v>
      </c>
      <c r="F7684" t="s">
        <v>251</v>
      </c>
      <c r="G7684">
        <v>1</v>
      </c>
      <c r="H7684" s="2">
        <f>Tabelle13[[#This Row],[commits]]/Tabelle13[[#Totals],[commits]]</f>
        <v>4.6477904404246225E-6</v>
      </c>
      <c r="I7684" s="5">
        <f>Tabelle13[[#This Row],[%]]+I7683</f>
        <v>0.99366506162960899</v>
      </c>
      <c r="J7684" s="4">
        <f t="shared" si="273"/>
        <v>1.105583195135434E-4</v>
      </c>
      <c r="K7684" s="5">
        <f t="shared" si="272"/>
        <v>0.849309010503148</v>
      </c>
    </row>
    <row r="7685" spans="1:11" x14ac:dyDescent="0.25">
      <c r="A7685" t="s">
        <v>14959</v>
      </c>
      <c r="C7685" t="s">
        <v>14960</v>
      </c>
      <c r="D7685" t="s">
        <v>14961</v>
      </c>
      <c r="E7685" t="s">
        <v>6</v>
      </c>
      <c r="F7685" t="s">
        <v>251</v>
      </c>
      <c r="G7685">
        <v>1</v>
      </c>
      <c r="H7685" s="2">
        <f>Tabelle13[[#This Row],[commits]]/Tabelle13[[#Totals],[commits]]</f>
        <v>4.6477904404246225E-6</v>
      </c>
      <c r="I7685" s="5">
        <f>Tabelle13[[#This Row],[%]]+I7684</f>
        <v>0.9936697094200494</v>
      </c>
      <c r="J7685" s="4">
        <f t="shared" si="273"/>
        <v>1.105583195135434E-4</v>
      </c>
      <c r="K7685" s="5">
        <f t="shared" si="272"/>
        <v>0.84941956882266156</v>
      </c>
    </row>
    <row r="7686" spans="1:11" x14ac:dyDescent="0.25">
      <c r="A7686" t="s">
        <v>14962</v>
      </c>
      <c r="C7686" t="s">
        <v>14963</v>
      </c>
      <c r="D7686" t="s">
        <v>309</v>
      </c>
      <c r="E7686" t="s">
        <v>6</v>
      </c>
      <c r="F7686" t="s">
        <v>251</v>
      </c>
      <c r="G7686">
        <v>1</v>
      </c>
      <c r="H7686" s="2">
        <f>Tabelle13[[#This Row],[commits]]/Tabelle13[[#Totals],[commits]]</f>
        <v>4.6477904404246225E-6</v>
      </c>
      <c r="I7686" s="5">
        <f>Tabelle13[[#This Row],[%]]+I7685</f>
        <v>0.9936743572104898</v>
      </c>
      <c r="J7686" s="4">
        <f t="shared" si="273"/>
        <v>1.105583195135434E-4</v>
      </c>
      <c r="K7686" s="5">
        <f t="shared" ref="K7686:K7749" si="274">J7686+K7685</f>
        <v>0.84953012714217513</v>
      </c>
    </row>
    <row r="7687" spans="1:11" x14ac:dyDescent="0.25">
      <c r="A7687" t="s">
        <v>14964</v>
      </c>
      <c r="C7687" t="s">
        <v>14965</v>
      </c>
      <c r="D7687" t="s">
        <v>5</v>
      </c>
      <c r="E7687" t="s">
        <v>6</v>
      </c>
      <c r="F7687" t="s">
        <v>251</v>
      </c>
      <c r="G7687">
        <v>1</v>
      </c>
      <c r="H7687" s="2">
        <f>Tabelle13[[#This Row],[commits]]/Tabelle13[[#Totals],[commits]]</f>
        <v>4.6477904404246225E-6</v>
      </c>
      <c r="I7687" s="5">
        <f>Tabelle13[[#This Row],[%]]+I7686</f>
        <v>0.9936790050009302</v>
      </c>
      <c r="J7687" s="4">
        <f t="shared" si="273"/>
        <v>1.105583195135434E-4</v>
      </c>
      <c r="K7687" s="5">
        <f t="shared" si="274"/>
        <v>0.84964068546168869</v>
      </c>
    </row>
    <row r="7688" spans="1:11" x14ac:dyDescent="0.25">
      <c r="A7688" t="s">
        <v>14966</v>
      </c>
      <c r="C7688" t="s">
        <v>14967</v>
      </c>
      <c r="D7688" t="s">
        <v>5</v>
      </c>
      <c r="E7688" t="s">
        <v>6</v>
      </c>
      <c r="F7688" t="s">
        <v>251</v>
      </c>
      <c r="G7688">
        <v>1</v>
      </c>
      <c r="H7688" s="2">
        <f>Tabelle13[[#This Row],[commits]]/Tabelle13[[#Totals],[commits]]</f>
        <v>4.6477904404246225E-6</v>
      </c>
      <c r="I7688" s="5">
        <f>Tabelle13[[#This Row],[%]]+I7687</f>
        <v>0.99368365279137061</v>
      </c>
      <c r="J7688" s="4">
        <f t="shared" si="273"/>
        <v>1.105583195135434E-4</v>
      </c>
      <c r="K7688" s="5">
        <f t="shared" si="274"/>
        <v>0.84975124378120226</v>
      </c>
    </row>
    <row r="7689" spans="1:11" x14ac:dyDescent="0.25">
      <c r="A7689" t="s">
        <v>14968</v>
      </c>
      <c r="C7689" t="s">
        <v>14969</v>
      </c>
      <c r="D7689" t="s">
        <v>5</v>
      </c>
      <c r="E7689" t="s">
        <v>6</v>
      </c>
      <c r="F7689" t="s">
        <v>251</v>
      </c>
      <c r="G7689">
        <v>1</v>
      </c>
      <c r="H7689" s="2">
        <f>Tabelle13[[#This Row],[commits]]/Tabelle13[[#Totals],[commits]]</f>
        <v>4.6477904404246225E-6</v>
      </c>
      <c r="I7689" s="5">
        <f>Tabelle13[[#This Row],[%]]+I7688</f>
        <v>0.99368830058181101</v>
      </c>
      <c r="J7689" s="4">
        <f t="shared" si="273"/>
        <v>1.105583195135434E-4</v>
      </c>
      <c r="K7689" s="5">
        <f t="shared" si="274"/>
        <v>0.84986180210071582</v>
      </c>
    </row>
    <row r="7690" spans="1:11" x14ac:dyDescent="0.25">
      <c r="A7690" t="s">
        <v>14970</v>
      </c>
      <c r="C7690" t="s">
        <v>14971</v>
      </c>
      <c r="D7690" t="s">
        <v>13248</v>
      </c>
      <c r="E7690" t="s">
        <v>6</v>
      </c>
      <c r="F7690" t="s">
        <v>251</v>
      </c>
      <c r="G7690">
        <v>1</v>
      </c>
      <c r="H7690" s="2">
        <f>Tabelle13[[#This Row],[commits]]/Tabelle13[[#Totals],[commits]]</f>
        <v>4.6477904404246225E-6</v>
      </c>
      <c r="I7690" s="5">
        <f>Tabelle13[[#This Row],[%]]+I7689</f>
        <v>0.99369294837225142</v>
      </c>
      <c r="J7690" s="4">
        <f t="shared" si="273"/>
        <v>1.105583195135434E-4</v>
      </c>
      <c r="K7690" s="5">
        <f t="shared" si="274"/>
        <v>0.84997236042022939</v>
      </c>
    </row>
    <row r="7691" spans="1:11" x14ac:dyDescent="0.25">
      <c r="A7691" t="s">
        <v>14972</v>
      </c>
      <c r="C7691" t="s">
        <v>14973</v>
      </c>
      <c r="D7691" t="s">
        <v>5</v>
      </c>
      <c r="E7691" t="s">
        <v>6</v>
      </c>
      <c r="F7691" t="s">
        <v>251</v>
      </c>
      <c r="G7691">
        <v>1</v>
      </c>
      <c r="H7691" s="2">
        <f>Tabelle13[[#This Row],[commits]]/Tabelle13[[#Totals],[commits]]</f>
        <v>4.6477904404246225E-6</v>
      </c>
      <c r="I7691" s="5">
        <f>Tabelle13[[#This Row],[%]]+I7690</f>
        <v>0.99369759616269182</v>
      </c>
      <c r="J7691" s="4">
        <f t="shared" si="273"/>
        <v>1.105583195135434E-4</v>
      </c>
      <c r="K7691" s="5">
        <f t="shared" si="274"/>
        <v>0.85008291873974295</v>
      </c>
    </row>
    <row r="7692" spans="1:11" x14ac:dyDescent="0.25">
      <c r="A7692" t="s">
        <v>14974</v>
      </c>
      <c r="C7692" t="s">
        <v>14975</v>
      </c>
      <c r="D7692" t="s">
        <v>5</v>
      </c>
      <c r="E7692" t="s">
        <v>6</v>
      </c>
      <c r="F7692" t="s">
        <v>251</v>
      </c>
      <c r="G7692">
        <v>1</v>
      </c>
      <c r="H7692" s="2">
        <f>Tabelle13[[#This Row],[commits]]/Tabelle13[[#Totals],[commits]]</f>
        <v>4.6477904404246225E-6</v>
      </c>
      <c r="I7692" s="5">
        <f>Tabelle13[[#This Row],[%]]+I7691</f>
        <v>0.99370224395313222</v>
      </c>
      <c r="J7692" s="4">
        <f t="shared" si="273"/>
        <v>1.105583195135434E-4</v>
      </c>
      <c r="K7692" s="5">
        <f t="shared" si="274"/>
        <v>0.85019347705925652</v>
      </c>
    </row>
    <row r="7693" spans="1:11" x14ac:dyDescent="0.25">
      <c r="A7693" t="s">
        <v>14976</v>
      </c>
      <c r="C7693" t="s">
        <v>14977</v>
      </c>
      <c r="D7693" t="s">
        <v>5</v>
      </c>
      <c r="E7693" t="s">
        <v>6</v>
      </c>
      <c r="F7693" t="s">
        <v>251</v>
      </c>
      <c r="G7693">
        <v>1</v>
      </c>
      <c r="H7693" s="2">
        <f>Tabelle13[[#This Row],[commits]]/Tabelle13[[#Totals],[commits]]</f>
        <v>4.6477904404246225E-6</v>
      </c>
      <c r="I7693" s="5">
        <f>Tabelle13[[#This Row],[%]]+I7692</f>
        <v>0.99370689174357263</v>
      </c>
      <c r="J7693" s="4">
        <f t="shared" si="273"/>
        <v>1.105583195135434E-4</v>
      </c>
      <c r="K7693" s="5">
        <f t="shared" si="274"/>
        <v>0.85030403537877008</v>
      </c>
    </row>
    <row r="7694" spans="1:11" x14ac:dyDescent="0.25">
      <c r="A7694" t="s">
        <v>14978</v>
      </c>
      <c r="C7694" t="s">
        <v>14979</v>
      </c>
      <c r="D7694" t="s">
        <v>5</v>
      </c>
      <c r="E7694" t="s">
        <v>6</v>
      </c>
      <c r="F7694" t="s">
        <v>251</v>
      </c>
      <c r="G7694">
        <v>1</v>
      </c>
      <c r="H7694" s="2">
        <f>Tabelle13[[#This Row],[commits]]/Tabelle13[[#Totals],[commits]]</f>
        <v>4.6477904404246225E-6</v>
      </c>
      <c r="I7694" s="5">
        <f>Tabelle13[[#This Row],[%]]+I7693</f>
        <v>0.99371153953401303</v>
      </c>
      <c r="J7694" s="4">
        <f t="shared" si="273"/>
        <v>1.105583195135434E-4</v>
      </c>
      <c r="K7694" s="5">
        <f t="shared" si="274"/>
        <v>0.85041459369828365</v>
      </c>
    </row>
    <row r="7695" spans="1:11" x14ac:dyDescent="0.25">
      <c r="A7695" t="s">
        <v>14980</v>
      </c>
      <c r="C7695" t="s">
        <v>14981</v>
      </c>
      <c r="D7695" t="s">
        <v>5</v>
      </c>
      <c r="E7695" t="s">
        <v>6</v>
      </c>
      <c r="F7695" t="s">
        <v>251</v>
      </c>
      <c r="G7695">
        <v>1</v>
      </c>
      <c r="H7695" s="2">
        <f>Tabelle13[[#This Row],[commits]]/Tabelle13[[#Totals],[commits]]</f>
        <v>4.6477904404246225E-6</v>
      </c>
      <c r="I7695" s="5">
        <f>Tabelle13[[#This Row],[%]]+I7694</f>
        <v>0.99371618732445344</v>
      </c>
      <c r="J7695" s="4">
        <f t="shared" si="273"/>
        <v>1.105583195135434E-4</v>
      </c>
      <c r="K7695" s="5">
        <f t="shared" si="274"/>
        <v>0.85052515201779721</v>
      </c>
    </row>
    <row r="7696" spans="1:11" x14ac:dyDescent="0.25">
      <c r="A7696" t="s">
        <v>14982</v>
      </c>
      <c r="C7696" t="s">
        <v>14983</v>
      </c>
      <c r="D7696" t="s">
        <v>5</v>
      </c>
      <c r="E7696" t="s">
        <v>6</v>
      </c>
      <c r="F7696" t="s">
        <v>251</v>
      </c>
      <c r="G7696">
        <v>1</v>
      </c>
      <c r="H7696" s="2">
        <f>Tabelle13[[#This Row],[commits]]/Tabelle13[[#Totals],[commits]]</f>
        <v>4.6477904404246225E-6</v>
      </c>
      <c r="I7696" s="5">
        <f>Tabelle13[[#This Row],[%]]+I7695</f>
        <v>0.99372083511489384</v>
      </c>
      <c r="J7696" s="4">
        <f t="shared" si="273"/>
        <v>1.105583195135434E-4</v>
      </c>
      <c r="K7696" s="5">
        <f t="shared" si="274"/>
        <v>0.85063571033731078</v>
      </c>
    </row>
    <row r="7697" spans="1:11" x14ac:dyDescent="0.25">
      <c r="A7697" t="s">
        <v>14984</v>
      </c>
      <c r="C7697" t="s">
        <v>14985</v>
      </c>
      <c r="D7697" t="s">
        <v>14986</v>
      </c>
      <c r="E7697" t="s">
        <v>6</v>
      </c>
      <c r="F7697" t="s">
        <v>251</v>
      </c>
      <c r="G7697">
        <v>1</v>
      </c>
      <c r="H7697" s="2">
        <f>Tabelle13[[#This Row],[commits]]/Tabelle13[[#Totals],[commits]]</f>
        <v>4.6477904404246225E-6</v>
      </c>
      <c r="I7697" s="5">
        <f>Tabelle13[[#This Row],[%]]+I7696</f>
        <v>0.99372548290533425</v>
      </c>
      <c r="J7697" s="4">
        <f t="shared" si="273"/>
        <v>1.105583195135434E-4</v>
      </c>
      <c r="K7697" s="5">
        <f t="shared" si="274"/>
        <v>0.85074626865682434</v>
      </c>
    </row>
    <row r="7698" spans="1:11" x14ac:dyDescent="0.25">
      <c r="A7698" t="s">
        <v>14987</v>
      </c>
      <c r="C7698" t="s">
        <v>14988</v>
      </c>
      <c r="D7698" t="s">
        <v>5</v>
      </c>
      <c r="E7698" t="s">
        <v>6</v>
      </c>
      <c r="F7698" t="s">
        <v>251</v>
      </c>
      <c r="G7698">
        <v>1</v>
      </c>
      <c r="H7698" s="2">
        <f>Tabelle13[[#This Row],[commits]]/Tabelle13[[#Totals],[commits]]</f>
        <v>4.6477904404246225E-6</v>
      </c>
      <c r="I7698" s="5">
        <f>Tabelle13[[#This Row],[%]]+I7697</f>
        <v>0.99373013069577465</v>
      </c>
      <c r="J7698" s="4">
        <f t="shared" si="273"/>
        <v>1.105583195135434E-4</v>
      </c>
      <c r="K7698" s="5">
        <f t="shared" si="274"/>
        <v>0.85085682697633791</v>
      </c>
    </row>
    <row r="7699" spans="1:11" x14ac:dyDescent="0.25">
      <c r="A7699" t="s">
        <v>14989</v>
      </c>
      <c r="C7699" t="s">
        <v>230</v>
      </c>
      <c r="D7699" t="s">
        <v>5</v>
      </c>
      <c r="E7699" t="s">
        <v>6</v>
      </c>
      <c r="F7699" t="s">
        <v>251</v>
      </c>
      <c r="G7699">
        <v>1</v>
      </c>
      <c r="H7699" s="2">
        <f>Tabelle13[[#This Row],[commits]]/Tabelle13[[#Totals],[commits]]</f>
        <v>4.6477904404246225E-6</v>
      </c>
      <c r="I7699" s="5">
        <f>Tabelle13[[#This Row],[%]]+I7698</f>
        <v>0.99373477848621505</v>
      </c>
      <c r="J7699" s="4">
        <f t="shared" si="273"/>
        <v>1.105583195135434E-4</v>
      </c>
      <c r="K7699" s="5">
        <f t="shared" si="274"/>
        <v>0.85096738529585148</v>
      </c>
    </row>
    <row r="7700" spans="1:11" x14ac:dyDescent="0.25">
      <c r="A7700" t="s">
        <v>14990</v>
      </c>
      <c r="C7700" t="s">
        <v>14991</v>
      </c>
      <c r="D7700" t="s">
        <v>5175</v>
      </c>
      <c r="E7700" t="s">
        <v>6</v>
      </c>
      <c r="F7700" t="s">
        <v>251</v>
      </c>
      <c r="G7700">
        <v>1</v>
      </c>
      <c r="H7700" s="2">
        <f>Tabelle13[[#This Row],[commits]]/Tabelle13[[#Totals],[commits]]</f>
        <v>4.6477904404246225E-6</v>
      </c>
      <c r="I7700" s="5">
        <f>Tabelle13[[#This Row],[%]]+I7699</f>
        <v>0.99373942627665546</v>
      </c>
      <c r="J7700" s="4">
        <f t="shared" si="273"/>
        <v>1.105583195135434E-4</v>
      </c>
      <c r="K7700" s="5">
        <f t="shared" si="274"/>
        <v>0.85107794361536504</v>
      </c>
    </row>
    <row r="7701" spans="1:11" x14ac:dyDescent="0.25">
      <c r="A7701" t="s">
        <v>14992</v>
      </c>
      <c r="C7701" t="s">
        <v>14993</v>
      </c>
      <c r="D7701" t="s">
        <v>5</v>
      </c>
      <c r="E7701" t="s">
        <v>6</v>
      </c>
      <c r="F7701" t="s">
        <v>251</v>
      </c>
      <c r="G7701">
        <v>1</v>
      </c>
      <c r="H7701" s="2">
        <f>Tabelle13[[#This Row],[commits]]/Tabelle13[[#Totals],[commits]]</f>
        <v>4.6477904404246225E-6</v>
      </c>
      <c r="I7701" s="5">
        <f>Tabelle13[[#This Row],[%]]+I7700</f>
        <v>0.99374407406709586</v>
      </c>
      <c r="J7701" s="4">
        <f t="shared" si="273"/>
        <v>1.105583195135434E-4</v>
      </c>
      <c r="K7701" s="5">
        <f t="shared" si="274"/>
        <v>0.85118850193487861</v>
      </c>
    </row>
    <row r="7702" spans="1:11" x14ac:dyDescent="0.25">
      <c r="A7702" t="s">
        <v>14994</v>
      </c>
      <c r="C7702" t="s">
        <v>14995</v>
      </c>
      <c r="D7702" t="s">
        <v>8760</v>
      </c>
      <c r="E7702" t="s">
        <v>6</v>
      </c>
      <c r="F7702" t="s">
        <v>251</v>
      </c>
      <c r="G7702">
        <v>1</v>
      </c>
      <c r="H7702" s="2">
        <f>Tabelle13[[#This Row],[commits]]/Tabelle13[[#Totals],[commits]]</f>
        <v>4.6477904404246225E-6</v>
      </c>
      <c r="I7702" s="5">
        <f>Tabelle13[[#This Row],[%]]+I7701</f>
        <v>0.99374872185753627</v>
      </c>
      <c r="J7702" s="4">
        <f t="shared" si="273"/>
        <v>1.105583195135434E-4</v>
      </c>
      <c r="K7702" s="5">
        <f t="shared" si="274"/>
        <v>0.85129906025439217</v>
      </c>
    </row>
    <row r="7703" spans="1:11" x14ac:dyDescent="0.25">
      <c r="A7703" t="s">
        <v>14996</v>
      </c>
      <c r="C7703" t="s">
        <v>14997</v>
      </c>
      <c r="D7703" t="s">
        <v>5</v>
      </c>
      <c r="E7703" t="s">
        <v>6</v>
      </c>
      <c r="F7703" t="s">
        <v>251</v>
      </c>
      <c r="G7703">
        <v>1</v>
      </c>
      <c r="H7703" s="2">
        <f>Tabelle13[[#This Row],[commits]]/Tabelle13[[#Totals],[commits]]</f>
        <v>4.6477904404246225E-6</v>
      </c>
      <c r="I7703" s="5">
        <f>Tabelle13[[#This Row],[%]]+I7702</f>
        <v>0.99375336964797667</v>
      </c>
      <c r="J7703" s="4">
        <f t="shared" si="273"/>
        <v>1.105583195135434E-4</v>
      </c>
      <c r="K7703" s="5">
        <f t="shared" si="274"/>
        <v>0.85140961857390574</v>
      </c>
    </row>
    <row r="7704" spans="1:11" x14ac:dyDescent="0.25">
      <c r="A7704" t="s">
        <v>14998</v>
      </c>
      <c r="C7704" t="s">
        <v>14999</v>
      </c>
      <c r="D7704" t="s">
        <v>5</v>
      </c>
      <c r="E7704" t="s">
        <v>6</v>
      </c>
      <c r="F7704" t="s">
        <v>251</v>
      </c>
      <c r="G7704">
        <v>1</v>
      </c>
      <c r="H7704" s="2">
        <f>Tabelle13[[#This Row],[commits]]/Tabelle13[[#Totals],[commits]]</f>
        <v>4.6477904404246225E-6</v>
      </c>
      <c r="I7704" s="5">
        <f>Tabelle13[[#This Row],[%]]+I7703</f>
        <v>0.99375801743841707</v>
      </c>
      <c r="J7704" s="4">
        <f t="shared" si="273"/>
        <v>1.105583195135434E-4</v>
      </c>
      <c r="K7704" s="5">
        <f t="shared" si="274"/>
        <v>0.8515201768934193</v>
      </c>
    </row>
    <row r="7705" spans="1:11" x14ac:dyDescent="0.25">
      <c r="A7705" t="s">
        <v>15000</v>
      </c>
      <c r="C7705" t="s">
        <v>15001</v>
      </c>
      <c r="D7705" t="s">
        <v>5</v>
      </c>
      <c r="E7705" t="s">
        <v>6</v>
      </c>
      <c r="F7705" t="s">
        <v>251</v>
      </c>
      <c r="G7705">
        <v>1</v>
      </c>
      <c r="H7705" s="2">
        <f>Tabelle13[[#This Row],[commits]]/Tabelle13[[#Totals],[commits]]</f>
        <v>4.6477904404246225E-6</v>
      </c>
      <c r="I7705" s="5">
        <f>Tabelle13[[#This Row],[%]]+I7704</f>
        <v>0.99376266522885748</v>
      </c>
      <c r="J7705" s="4">
        <f t="shared" si="273"/>
        <v>1.105583195135434E-4</v>
      </c>
      <c r="K7705" s="5">
        <f t="shared" si="274"/>
        <v>0.85163073521293287</v>
      </c>
    </row>
    <row r="7706" spans="1:11" x14ac:dyDescent="0.25">
      <c r="A7706" t="s">
        <v>15002</v>
      </c>
      <c r="C7706" t="s">
        <v>15003</v>
      </c>
      <c r="D7706" t="s">
        <v>5</v>
      </c>
      <c r="E7706" t="s">
        <v>6</v>
      </c>
      <c r="F7706" t="s">
        <v>251</v>
      </c>
      <c r="G7706">
        <v>1</v>
      </c>
      <c r="H7706" s="2">
        <f>Tabelle13[[#This Row],[commits]]/Tabelle13[[#Totals],[commits]]</f>
        <v>4.6477904404246225E-6</v>
      </c>
      <c r="I7706" s="5">
        <f>Tabelle13[[#This Row],[%]]+I7705</f>
        <v>0.99376731301929788</v>
      </c>
      <c r="J7706" s="4">
        <f t="shared" si="273"/>
        <v>1.105583195135434E-4</v>
      </c>
      <c r="K7706" s="5">
        <f t="shared" si="274"/>
        <v>0.85174129353244643</v>
      </c>
    </row>
    <row r="7707" spans="1:11" x14ac:dyDescent="0.25">
      <c r="A7707" t="s">
        <v>15004</v>
      </c>
      <c r="C7707" t="s">
        <v>15005</v>
      </c>
      <c r="D7707" t="s">
        <v>309</v>
      </c>
      <c r="E7707" t="s">
        <v>6</v>
      </c>
      <c r="F7707" t="s">
        <v>251</v>
      </c>
      <c r="G7707">
        <v>1</v>
      </c>
      <c r="H7707" s="2">
        <f>Tabelle13[[#This Row],[commits]]/Tabelle13[[#Totals],[commits]]</f>
        <v>4.6477904404246225E-6</v>
      </c>
      <c r="I7707" s="5">
        <f>Tabelle13[[#This Row],[%]]+I7706</f>
        <v>0.99377196080973829</v>
      </c>
      <c r="J7707" s="4">
        <f t="shared" si="273"/>
        <v>1.105583195135434E-4</v>
      </c>
      <c r="K7707" s="5">
        <f t="shared" si="274"/>
        <v>0.85185185185196</v>
      </c>
    </row>
    <row r="7708" spans="1:11" x14ac:dyDescent="0.25">
      <c r="A7708" t="s">
        <v>15006</v>
      </c>
      <c r="C7708" t="s">
        <v>15007</v>
      </c>
      <c r="D7708" t="s">
        <v>5</v>
      </c>
      <c r="E7708" t="s">
        <v>6</v>
      </c>
      <c r="F7708" t="s">
        <v>251</v>
      </c>
      <c r="G7708">
        <v>1</v>
      </c>
      <c r="H7708" s="2">
        <f>Tabelle13[[#This Row],[commits]]/Tabelle13[[#Totals],[commits]]</f>
        <v>4.6477904404246225E-6</v>
      </c>
      <c r="I7708" s="5">
        <f>Tabelle13[[#This Row],[%]]+I7707</f>
        <v>0.99377660860017869</v>
      </c>
      <c r="J7708" s="4">
        <f t="shared" si="273"/>
        <v>1.105583195135434E-4</v>
      </c>
      <c r="K7708" s="5">
        <f t="shared" si="274"/>
        <v>0.85196241017147356</v>
      </c>
    </row>
    <row r="7709" spans="1:11" x14ac:dyDescent="0.25">
      <c r="A7709" t="s">
        <v>15008</v>
      </c>
      <c r="C7709" t="s">
        <v>15009</v>
      </c>
      <c r="D7709" t="s">
        <v>5</v>
      </c>
      <c r="E7709" t="s">
        <v>6</v>
      </c>
      <c r="F7709" t="s">
        <v>251</v>
      </c>
      <c r="G7709">
        <v>1</v>
      </c>
      <c r="H7709" s="2">
        <f>Tabelle13[[#This Row],[commits]]/Tabelle13[[#Totals],[commits]]</f>
        <v>4.6477904404246225E-6</v>
      </c>
      <c r="I7709" s="5">
        <f>Tabelle13[[#This Row],[%]]+I7708</f>
        <v>0.99378125639061909</v>
      </c>
      <c r="J7709" s="4">
        <f t="shared" si="273"/>
        <v>1.105583195135434E-4</v>
      </c>
      <c r="K7709" s="5">
        <f t="shared" si="274"/>
        <v>0.85207296849098713</v>
      </c>
    </row>
    <row r="7710" spans="1:11" x14ac:dyDescent="0.25">
      <c r="A7710" t="s">
        <v>15010</v>
      </c>
      <c r="C7710" t="s">
        <v>15011</v>
      </c>
      <c r="D7710" t="s">
        <v>5</v>
      </c>
      <c r="E7710" t="s">
        <v>6</v>
      </c>
      <c r="F7710" t="s">
        <v>251</v>
      </c>
      <c r="G7710">
        <v>1</v>
      </c>
      <c r="H7710" s="2">
        <f>Tabelle13[[#This Row],[commits]]/Tabelle13[[#Totals],[commits]]</f>
        <v>4.6477904404246225E-6</v>
      </c>
      <c r="I7710" s="5">
        <f>Tabelle13[[#This Row],[%]]+I7709</f>
        <v>0.9937859041810595</v>
      </c>
      <c r="J7710" s="4">
        <f t="shared" si="273"/>
        <v>1.105583195135434E-4</v>
      </c>
      <c r="K7710" s="5">
        <f t="shared" si="274"/>
        <v>0.85218352681050069</v>
      </c>
    </row>
    <row r="7711" spans="1:11" x14ac:dyDescent="0.25">
      <c r="A7711" t="s">
        <v>15012</v>
      </c>
      <c r="C7711" t="s">
        <v>1843</v>
      </c>
      <c r="D7711" t="s">
        <v>5</v>
      </c>
      <c r="E7711" t="s">
        <v>6</v>
      </c>
      <c r="F7711" t="s">
        <v>251</v>
      </c>
      <c r="G7711">
        <v>1</v>
      </c>
      <c r="H7711" s="2">
        <f>Tabelle13[[#This Row],[commits]]/Tabelle13[[#Totals],[commits]]</f>
        <v>4.6477904404246225E-6</v>
      </c>
      <c r="I7711" s="5">
        <f>Tabelle13[[#This Row],[%]]+I7710</f>
        <v>0.9937905519714999</v>
      </c>
      <c r="J7711" s="4">
        <f t="shared" si="273"/>
        <v>1.105583195135434E-4</v>
      </c>
      <c r="K7711" s="5">
        <f t="shared" si="274"/>
        <v>0.85229408513001426</v>
      </c>
    </row>
    <row r="7712" spans="1:11" x14ac:dyDescent="0.25">
      <c r="A7712" t="s">
        <v>15013</v>
      </c>
      <c r="C7712" t="s">
        <v>15014</v>
      </c>
      <c r="D7712" t="s">
        <v>5</v>
      </c>
      <c r="E7712" t="s">
        <v>6</v>
      </c>
      <c r="F7712" t="s">
        <v>251</v>
      </c>
      <c r="G7712">
        <v>1</v>
      </c>
      <c r="H7712" s="2">
        <f>Tabelle13[[#This Row],[commits]]/Tabelle13[[#Totals],[commits]]</f>
        <v>4.6477904404246225E-6</v>
      </c>
      <c r="I7712" s="5">
        <f>Tabelle13[[#This Row],[%]]+I7711</f>
        <v>0.99379519976194031</v>
      </c>
      <c r="J7712" s="4">
        <f t="shared" si="273"/>
        <v>1.105583195135434E-4</v>
      </c>
      <c r="K7712" s="5">
        <f t="shared" si="274"/>
        <v>0.85240464344952782</v>
      </c>
    </row>
    <row r="7713" spans="1:11" x14ac:dyDescent="0.25">
      <c r="A7713" t="s">
        <v>15015</v>
      </c>
      <c r="C7713" t="s">
        <v>15016</v>
      </c>
      <c r="D7713" t="s">
        <v>5</v>
      </c>
      <c r="E7713" t="s">
        <v>6</v>
      </c>
      <c r="F7713" t="s">
        <v>251</v>
      </c>
      <c r="G7713">
        <v>1</v>
      </c>
      <c r="H7713" s="2">
        <f>Tabelle13[[#This Row],[commits]]/Tabelle13[[#Totals],[commits]]</f>
        <v>4.6477904404246225E-6</v>
      </c>
      <c r="I7713" s="5">
        <f>Tabelle13[[#This Row],[%]]+I7712</f>
        <v>0.99379984755238071</v>
      </c>
      <c r="J7713" s="4">
        <f t="shared" si="273"/>
        <v>1.105583195135434E-4</v>
      </c>
      <c r="K7713" s="5">
        <f t="shared" si="274"/>
        <v>0.85251520176904139</v>
      </c>
    </row>
    <row r="7714" spans="1:11" x14ac:dyDescent="0.25">
      <c r="A7714" t="s">
        <v>15017</v>
      </c>
      <c r="C7714" t="s">
        <v>15018</v>
      </c>
      <c r="D7714" t="s">
        <v>5</v>
      </c>
      <c r="E7714" t="s">
        <v>6</v>
      </c>
      <c r="F7714" t="s">
        <v>251</v>
      </c>
      <c r="G7714">
        <v>1</v>
      </c>
      <c r="H7714" s="2">
        <f>Tabelle13[[#This Row],[commits]]/Tabelle13[[#Totals],[commits]]</f>
        <v>4.6477904404246225E-6</v>
      </c>
      <c r="I7714" s="5">
        <f>Tabelle13[[#This Row],[%]]+I7713</f>
        <v>0.99380449534282111</v>
      </c>
      <c r="J7714" s="4">
        <f t="shared" si="273"/>
        <v>1.105583195135434E-4</v>
      </c>
      <c r="K7714" s="5">
        <f t="shared" si="274"/>
        <v>0.85262576008855495</v>
      </c>
    </row>
    <row r="7715" spans="1:11" x14ac:dyDescent="0.25">
      <c r="A7715" t="s">
        <v>15019</v>
      </c>
      <c r="C7715" t="s">
        <v>15020</v>
      </c>
      <c r="D7715" t="s">
        <v>5</v>
      </c>
      <c r="E7715" t="s">
        <v>6</v>
      </c>
      <c r="F7715" t="s">
        <v>251</v>
      </c>
      <c r="G7715">
        <v>1</v>
      </c>
      <c r="H7715" s="2">
        <f>Tabelle13[[#This Row],[commits]]/Tabelle13[[#Totals],[commits]]</f>
        <v>4.6477904404246225E-6</v>
      </c>
      <c r="I7715" s="5">
        <f>Tabelle13[[#This Row],[%]]+I7714</f>
        <v>0.99380914313326152</v>
      </c>
      <c r="J7715" s="4">
        <f t="shared" si="273"/>
        <v>1.105583195135434E-4</v>
      </c>
      <c r="K7715" s="5">
        <f t="shared" si="274"/>
        <v>0.85273631840806852</v>
      </c>
    </row>
    <row r="7716" spans="1:11" x14ac:dyDescent="0.25">
      <c r="A7716" t="s">
        <v>15021</v>
      </c>
      <c r="C7716">
        <v>819123722</v>
      </c>
      <c r="D7716" t="s">
        <v>5</v>
      </c>
      <c r="E7716" t="s">
        <v>6</v>
      </c>
      <c r="F7716" t="s">
        <v>251</v>
      </c>
      <c r="G7716">
        <v>1</v>
      </c>
      <c r="H7716" s="2">
        <f>Tabelle13[[#This Row],[commits]]/Tabelle13[[#Totals],[commits]]</f>
        <v>4.6477904404246225E-6</v>
      </c>
      <c r="I7716" s="5">
        <f>Tabelle13[[#This Row],[%]]+I7715</f>
        <v>0.99381379092370192</v>
      </c>
      <c r="J7716" s="4">
        <f t="shared" si="273"/>
        <v>1.105583195135434E-4</v>
      </c>
      <c r="K7716" s="5">
        <f t="shared" si="274"/>
        <v>0.85284687672758208</v>
      </c>
    </row>
    <row r="7717" spans="1:11" x14ac:dyDescent="0.25">
      <c r="A7717" t="s">
        <v>15022</v>
      </c>
      <c r="C7717" t="s">
        <v>15023</v>
      </c>
      <c r="D7717" t="s">
        <v>5</v>
      </c>
      <c r="E7717" t="s">
        <v>6</v>
      </c>
      <c r="F7717" t="s">
        <v>251</v>
      </c>
      <c r="G7717">
        <v>1</v>
      </c>
      <c r="H7717" s="2">
        <f>Tabelle13[[#This Row],[commits]]/Tabelle13[[#Totals],[commits]]</f>
        <v>4.6477904404246225E-6</v>
      </c>
      <c r="I7717" s="5">
        <f>Tabelle13[[#This Row],[%]]+I7716</f>
        <v>0.99381843871414233</v>
      </c>
      <c r="J7717" s="4">
        <f t="shared" si="273"/>
        <v>1.105583195135434E-4</v>
      </c>
      <c r="K7717" s="5">
        <f t="shared" si="274"/>
        <v>0.85295743504709565</v>
      </c>
    </row>
    <row r="7718" spans="1:11" x14ac:dyDescent="0.25">
      <c r="A7718" t="s">
        <v>15024</v>
      </c>
      <c r="C7718" t="s">
        <v>15025</v>
      </c>
      <c r="D7718" t="s">
        <v>5</v>
      </c>
      <c r="E7718" t="s">
        <v>6</v>
      </c>
      <c r="F7718" t="s">
        <v>251</v>
      </c>
      <c r="G7718">
        <v>1</v>
      </c>
      <c r="H7718" s="2">
        <f>Tabelle13[[#This Row],[commits]]/Tabelle13[[#Totals],[commits]]</f>
        <v>4.6477904404246225E-6</v>
      </c>
      <c r="I7718" s="5">
        <f>Tabelle13[[#This Row],[%]]+I7717</f>
        <v>0.99382308650458273</v>
      </c>
      <c r="J7718" s="4">
        <f t="shared" si="273"/>
        <v>1.105583195135434E-4</v>
      </c>
      <c r="K7718" s="5">
        <f t="shared" si="274"/>
        <v>0.85306799336660921</v>
      </c>
    </row>
    <row r="7719" spans="1:11" x14ac:dyDescent="0.25">
      <c r="A7719" t="s">
        <v>15026</v>
      </c>
      <c r="C7719" t="s">
        <v>15027</v>
      </c>
      <c r="D7719" t="s">
        <v>5</v>
      </c>
      <c r="E7719" t="s">
        <v>6</v>
      </c>
      <c r="F7719" t="s">
        <v>251</v>
      </c>
      <c r="G7719">
        <v>1</v>
      </c>
      <c r="H7719" s="2">
        <f>Tabelle13[[#This Row],[commits]]/Tabelle13[[#Totals],[commits]]</f>
        <v>4.6477904404246225E-6</v>
      </c>
      <c r="I7719" s="5">
        <f>Tabelle13[[#This Row],[%]]+I7718</f>
        <v>0.99382773429502314</v>
      </c>
      <c r="J7719" s="4">
        <f t="shared" si="273"/>
        <v>1.105583195135434E-4</v>
      </c>
      <c r="K7719" s="5">
        <f t="shared" si="274"/>
        <v>0.85317855168612278</v>
      </c>
    </row>
    <row r="7720" spans="1:11" x14ac:dyDescent="0.25">
      <c r="A7720" t="s">
        <v>15028</v>
      </c>
      <c r="C7720" t="s">
        <v>15029</v>
      </c>
      <c r="D7720" t="s">
        <v>5</v>
      </c>
      <c r="E7720" t="s">
        <v>6</v>
      </c>
      <c r="F7720" t="s">
        <v>251</v>
      </c>
      <c r="G7720">
        <v>1</v>
      </c>
      <c r="H7720" s="2">
        <f>Tabelle13[[#This Row],[commits]]/Tabelle13[[#Totals],[commits]]</f>
        <v>4.6477904404246225E-6</v>
      </c>
      <c r="I7720" s="5">
        <f>Tabelle13[[#This Row],[%]]+I7719</f>
        <v>0.99383238208546354</v>
      </c>
      <c r="J7720" s="4">
        <f t="shared" si="273"/>
        <v>1.105583195135434E-4</v>
      </c>
      <c r="K7720" s="5">
        <f t="shared" si="274"/>
        <v>0.85328911000563634</v>
      </c>
    </row>
    <row r="7721" spans="1:11" x14ac:dyDescent="0.25">
      <c r="A7721" t="s">
        <v>15030</v>
      </c>
      <c r="C7721" t="s">
        <v>15031</v>
      </c>
      <c r="D7721" t="s">
        <v>5</v>
      </c>
      <c r="E7721" t="s">
        <v>6</v>
      </c>
      <c r="F7721" t="s">
        <v>251</v>
      </c>
      <c r="G7721">
        <v>1</v>
      </c>
      <c r="H7721" s="2">
        <f>Tabelle13[[#This Row],[commits]]/Tabelle13[[#Totals],[commits]]</f>
        <v>4.6477904404246225E-6</v>
      </c>
      <c r="I7721" s="5">
        <f>Tabelle13[[#This Row],[%]]+I7720</f>
        <v>0.99383702987590394</v>
      </c>
      <c r="J7721" s="4">
        <f t="shared" si="273"/>
        <v>1.105583195135434E-4</v>
      </c>
      <c r="K7721" s="5">
        <f t="shared" si="274"/>
        <v>0.85339966832514991</v>
      </c>
    </row>
    <row r="7722" spans="1:11" x14ac:dyDescent="0.25">
      <c r="A7722" t="s">
        <v>15032</v>
      </c>
      <c r="C7722" t="s">
        <v>15033</v>
      </c>
      <c r="D7722" t="s">
        <v>8760</v>
      </c>
      <c r="E7722" t="s">
        <v>6</v>
      </c>
      <c r="F7722" t="s">
        <v>251</v>
      </c>
      <c r="G7722">
        <v>1</v>
      </c>
      <c r="H7722" s="2">
        <f>Tabelle13[[#This Row],[commits]]/Tabelle13[[#Totals],[commits]]</f>
        <v>4.6477904404246225E-6</v>
      </c>
      <c r="I7722" s="5">
        <f>Tabelle13[[#This Row],[%]]+I7721</f>
        <v>0.99384167766634435</v>
      </c>
      <c r="J7722" s="4">
        <f t="shared" si="273"/>
        <v>1.105583195135434E-4</v>
      </c>
      <c r="K7722" s="5">
        <f t="shared" si="274"/>
        <v>0.85351022664466347</v>
      </c>
    </row>
    <row r="7723" spans="1:11" x14ac:dyDescent="0.25">
      <c r="A7723" t="s">
        <v>15034</v>
      </c>
      <c r="C7723" t="s">
        <v>15035</v>
      </c>
      <c r="D7723" t="s">
        <v>5</v>
      </c>
      <c r="E7723" t="s">
        <v>6</v>
      </c>
      <c r="F7723" t="s">
        <v>251</v>
      </c>
      <c r="G7723">
        <v>1</v>
      </c>
      <c r="H7723" s="2">
        <f>Tabelle13[[#This Row],[commits]]/Tabelle13[[#Totals],[commits]]</f>
        <v>4.6477904404246225E-6</v>
      </c>
      <c r="I7723" s="5">
        <f>Tabelle13[[#This Row],[%]]+I7722</f>
        <v>0.99384632545678475</v>
      </c>
      <c r="J7723" s="4">
        <f t="shared" si="273"/>
        <v>1.105583195135434E-4</v>
      </c>
      <c r="K7723" s="5">
        <f t="shared" si="274"/>
        <v>0.85362078496417704</v>
      </c>
    </row>
    <row r="7724" spans="1:11" x14ac:dyDescent="0.25">
      <c r="A7724" t="s">
        <v>15036</v>
      </c>
      <c r="C7724" t="s">
        <v>15037</v>
      </c>
      <c r="D7724" t="s">
        <v>5</v>
      </c>
      <c r="E7724" t="s">
        <v>6</v>
      </c>
      <c r="F7724" t="s">
        <v>251</v>
      </c>
      <c r="G7724">
        <v>1</v>
      </c>
      <c r="H7724" s="2">
        <f>Tabelle13[[#This Row],[commits]]/Tabelle13[[#Totals],[commits]]</f>
        <v>4.6477904404246225E-6</v>
      </c>
      <c r="I7724" s="5">
        <f>Tabelle13[[#This Row],[%]]+I7723</f>
        <v>0.99385097324722516</v>
      </c>
      <c r="J7724" s="4">
        <f t="shared" si="273"/>
        <v>1.105583195135434E-4</v>
      </c>
      <c r="K7724" s="5">
        <f t="shared" si="274"/>
        <v>0.8537313432836906</v>
      </c>
    </row>
    <row r="7725" spans="1:11" x14ac:dyDescent="0.25">
      <c r="A7725" t="s">
        <v>15038</v>
      </c>
      <c r="C7725" t="s">
        <v>15039</v>
      </c>
      <c r="D7725" t="s">
        <v>5</v>
      </c>
      <c r="E7725" t="s">
        <v>6</v>
      </c>
      <c r="F7725" t="s">
        <v>251</v>
      </c>
      <c r="G7725">
        <v>1</v>
      </c>
      <c r="H7725" s="2">
        <f>Tabelle13[[#This Row],[commits]]/Tabelle13[[#Totals],[commits]]</f>
        <v>4.6477904404246225E-6</v>
      </c>
      <c r="I7725" s="5">
        <f>Tabelle13[[#This Row],[%]]+I7724</f>
        <v>0.99385562103766556</v>
      </c>
      <c r="J7725" s="4">
        <f t="shared" si="273"/>
        <v>1.105583195135434E-4</v>
      </c>
      <c r="K7725" s="5">
        <f t="shared" si="274"/>
        <v>0.85384190160320417</v>
      </c>
    </row>
    <row r="7726" spans="1:11" x14ac:dyDescent="0.25">
      <c r="A7726" t="s">
        <v>15040</v>
      </c>
      <c r="C7726" t="s">
        <v>15041</v>
      </c>
      <c r="D7726" t="s">
        <v>5</v>
      </c>
      <c r="E7726" t="s">
        <v>6</v>
      </c>
      <c r="F7726" t="s">
        <v>251</v>
      </c>
      <c r="G7726">
        <v>1</v>
      </c>
      <c r="H7726" s="2">
        <f>Tabelle13[[#This Row],[commits]]/Tabelle13[[#Totals],[commits]]</f>
        <v>4.6477904404246225E-6</v>
      </c>
      <c r="I7726" s="5">
        <f>Tabelle13[[#This Row],[%]]+I7725</f>
        <v>0.99386026882810596</v>
      </c>
      <c r="J7726" s="4">
        <f t="shared" si="273"/>
        <v>1.105583195135434E-4</v>
      </c>
      <c r="K7726" s="5">
        <f t="shared" si="274"/>
        <v>0.85395245992271773</v>
      </c>
    </row>
    <row r="7727" spans="1:11" x14ac:dyDescent="0.25">
      <c r="A7727" t="s">
        <v>15042</v>
      </c>
      <c r="C7727" t="s">
        <v>2001</v>
      </c>
      <c r="D7727" t="s">
        <v>5</v>
      </c>
      <c r="E7727" t="s">
        <v>6</v>
      </c>
      <c r="F7727" t="s">
        <v>251</v>
      </c>
      <c r="G7727">
        <v>1</v>
      </c>
      <c r="H7727" s="2">
        <f>Tabelle13[[#This Row],[commits]]/Tabelle13[[#Totals],[commits]]</f>
        <v>4.6477904404246225E-6</v>
      </c>
      <c r="I7727" s="5">
        <f>Tabelle13[[#This Row],[%]]+I7726</f>
        <v>0.99386491661854637</v>
      </c>
      <c r="J7727" s="4">
        <f t="shared" si="273"/>
        <v>1.105583195135434E-4</v>
      </c>
      <c r="K7727" s="5">
        <f t="shared" si="274"/>
        <v>0.8540630182422313</v>
      </c>
    </row>
    <row r="7728" spans="1:11" x14ac:dyDescent="0.25">
      <c r="A7728" t="s">
        <v>15043</v>
      </c>
      <c r="C7728" t="s">
        <v>15044</v>
      </c>
      <c r="D7728" t="s">
        <v>5</v>
      </c>
      <c r="E7728" t="s">
        <v>6</v>
      </c>
      <c r="F7728" t="s">
        <v>251</v>
      </c>
      <c r="G7728">
        <v>1</v>
      </c>
      <c r="H7728" s="2">
        <f>Tabelle13[[#This Row],[commits]]/Tabelle13[[#Totals],[commits]]</f>
        <v>4.6477904404246225E-6</v>
      </c>
      <c r="I7728" s="5">
        <f>Tabelle13[[#This Row],[%]]+I7727</f>
        <v>0.99386956440898677</v>
      </c>
      <c r="J7728" s="4">
        <f t="shared" si="273"/>
        <v>1.105583195135434E-4</v>
      </c>
      <c r="K7728" s="5">
        <f t="shared" si="274"/>
        <v>0.85417357656174486</v>
      </c>
    </row>
    <row r="7729" spans="1:11" x14ac:dyDescent="0.25">
      <c r="A7729" t="s">
        <v>15045</v>
      </c>
      <c r="C7729" t="s">
        <v>15046</v>
      </c>
      <c r="D7729" t="s">
        <v>5</v>
      </c>
      <c r="E7729" t="s">
        <v>6</v>
      </c>
      <c r="F7729" t="s">
        <v>251</v>
      </c>
      <c r="G7729">
        <v>1</v>
      </c>
      <c r="H7729" s="2">
        <f>Tabelle13[[#This Row],[commits]]/Tabelle13[[#Totals],[commits]]</f>
        <v>4.6477904404246225E-6</v>
      </c>
      <c r="I7729" s="5">
        <f>Tabelle13[[#This Row],[%]]+I7728</f>
        <v>0.99387421219942718</v>
      </c>
      <c r="J7729" s="4">
        <f t="shared" si="273"/>
        <v>1.105583195135434E-4</v>
      </c>
      <c r="K7729" s="5">
        <f t="shared" si="274"/>
        <v>0.85428413488125843</v>
      </c>
    </row>
    <row r="7730" spans="1:11" x14ac:dyDescent="0.25">
      <c r="A7730" t="s">
        <v>15047</v>
      </c>
      <c r="C7730" t="s">
        <v>197</v>
      </c>
      <c r="D7730" t="s">
        <v>5</v>
      </c>
      <c r="E7730" t="s">
        <v>6</v>
      </c>
      <c r="F7730" t="s">
        <v>251</v>
      </c>
      <c r="G7730">
        <v>1</v>
      </c>
      <c r="H7730" s="2">
        <f>Tabelle13[[#This Row],[commits]]/Tabelle13[[#Totals],[commits]]</f>
        <v>4.6477904404246225E-6</v>
      </c>
      <c r="I7730" s="5">
        <f>Tabelle13[[#This Row],[%]]+I7729</f>
        <v>0.99387885998986758</v>
      </c>
      <c r="J7730" s="4">
        <f t="shared" si="273"/>
        <v>1.105583195135434E-4</v>
      </c>
      <c r="K7730" s="5">
        <f t="shared" si="274"/>
        <v>0.85439469320077199</v>
      </c>
    </row>
    <row r="7731" spans="1:11" x14ac:dyDescent="0.25">
      <c r="A7731" t="s">
        <v>15048</v>
      </c>
      <c r="C7731" t="s">
        <v>15049</v>
      </c>
      <c r="D7731" t="s">
        <v>11686</v>
      </c>
      <c r="E7731" t="s">
        <v>6</v>
      </c>
      <c r="F7731" t="s">
        <v>251</v>
      </c>
      <c r="G7731">
        <v>1</v>
      </c>
      <c r="H7731" s="2">
        <f>Tabelle13[[#This Row],[commits]]/Tabelle13[[#Totals],[commits]]</f>
        <v>4.6477904404246225E-6</v>
      </c>
      <c r="I7731" s="5">
        <f>Tabelle13[[#This Row],[%]]+I7730</f>
        <v>0.99388350778030798</v>
      </c>
      <c r="J7731" s="4">
        <f t="shared" si="273"/>
        <v>1.105583195135434E-4</v>
      </c>
      <c r="K7731" s="5">
        <f t="shared" si="274"/>
        <v>0.85450525152028556</v>
      </c>
    </row>
    <row r="7732" spans="1:11" x14ac:dyDescent="0.25">
      <c r="A7732" t="s">
        <v>15050</v>
      </c>
      <c r="C7732" t="s">
        <v>15051</v>
      </c>
      <c r="D7732" t="s">
        <v>15052</v>
      </c>
      <c r="E7732" t="s">
        <v>6</v>
      </c>
      <c r="F7732" t="s">
        <v>251</v>
      </c>
      <c r="G7732">
        <v>1</v>
      </c>
      <c r="H7732" s="2">
        <f>Tabelle13[[#This Row],[commits]]/Tabelle13[[#Totals],[commits]]</f>
        <v>4.6477904404246225E-6</v>
      </c>
      <c r="I7732" s="5">
        <f>Tabelle13[[#This Row],[%]]+I7731</f>
        <v>0.99388815557074839</v>
      </c>
      <c r="J7732" s="4">
        <f t="shared" si="273"/>
        <v>1.105583195135434E-4</v>
      </c>
      <c r="K7732" s="5">
        <f t="shared" si="274"/>
        <v>0.85461580983979912</v>
      </c>
    </row>
    <row r="7733" spans="1:11" x14ac:dyDescent="0.25">
      <c r="A7733" t="s">
        <v>15053</v>
      </c>
      <c r="C7733" t="s">
        <v>15054</v>
      </c>
      <c r="D7733" t="s">
        <v>5</v>
      </c>
      <c r="E7733" t="s">
        <v>6</v>
      </c>
      <c r="F7733" t="s">
        <v>251</v>
      </c>
      <c r="G7733">
        <v>1</v>
      </c>
      <c r="H7733" s="2">
        <f>Tabelle13[[#This Row],[commits]]/Tabelle13[[#Totals],[commits]]</f>
        <v>4.6477904404246225E-6</v>
      </c>
      <c r="I7733" s="5">
        <f>Tabelle13[[#This Row],[%]]+I7732</f>
        <v>0.99389280336118879</v>
      </c>
      <c r="J7733" s="4">
        <f t="shared" si="273"/>
        <v>1.105583195135434E-4</v>
      </c>
      <c r="K7733" s="5">
        <f t="shared" si="274"/>
        <v>0.85472636815931269</v>
      </c>
    </row>
    <row r="7734" spans="1:11" x14ac:dyDescent="0.25">
      <c r="A7734" t="s">
        <v>15055</v>
      </c>
      <c r="C7734" t="s">
        <v>15056</v>
      </c>
      <c r="D7734" t="s">
        <v>5</v>
      </c>
      <c r="E7734" t="s">
        <v>6</v>
      </c>
      <c r="F7734" t="s">
        <v>251</v>
      </c>
      <c r="G7734">
        <v>1</v>
      </c>
      <c r="H7734" s="2">
        <f>Tabelle13[[#This Row],[commits]]/Tabelle13[[#Totals],[commits]]</f>
        <v>4.6477904404246225E-6</v>
      </c>
      <c r="I7734" s="5">
        <f>Tabelle13[[#This Row],[%]]+I7733</f>
        <v>0.9938974511516292</v>
      </c>
      <c r="J7734" s="4">
        <f t="shared" si="273"/>
        <v>1.105583195135434E-4</v>
      </c>
      <c r="K7734" s="5">
        <f t="shared" si="274"/>
        <v>0.85483692647882625</v>
      </c>
    </row>
    <row r="7735" spans="1:11" x14ac:dyDescent="0.25">
      <c r="A7735" t="s">
        <v>15057</v>
      </c>
      <c r="C7735" t="s">
        <v>15058</v>
      </c>
      <c r="D7735" t="s">
        <v>5</v>
      </c>
      <c r="E7735" t="s">
        <v>6</v>
      </c>
      <c r="F7735" t="s">
        <v>251</v>
      </c>
      <c r="G7735">
        <v>1</v>
      </c>
      <c r="H7735" s="2">
        <f>Tabelle13[[#This Row],[commits]]/Tabelle13[[#Totals],[commits]]</f>
        <v>4.6477904404246225E-6</v>
      </c>
      <c r="I7735" s="5">
        <f>Tabelle13[[#This Row],[%]]+I7734</f>
        <v>0.9939020989420696</v>
      </c>
      <c r="J7735" s="4">
        <f t="shared" si="273"/>
        <v>1.105583195135434E-4</v>
      </c>
      <c r="K7735" s="5">
        <f t="shared" si="274"/>
        <v>0.85494748479833982</v>
      </c>
    </row>
    <row r="7736" spans="1:11" x14ac:dyDescent="0.25">
      <c r="A7736" t="s">
        <v>15059</v>
      </c>
      <c r="C7736" t="s">
        <v>15060</v>
      </c>
      <c r="D7736" t="s">
        <v>5</v>
      </c>
      <c r="E7736" t="s">
        <v>6</v>
      </c>
      <c r="F7736" t="s">
        <v>251</v>
      </c>
      <c r="G7736">
        <v>1</v>
      </c>
      <c r="H7736" s="2">
        <f>Tabelle13[[#This Row],[commits]]/Tabelle13[[#Totals],[commits]]</f>
        <v>4.6477904404246225E-6</v>
      </c>
      <c r="I7736" s="5">
        <f>Tabelle13[[#This Row],[%]]+I7735</f>
        <v>0.99390674673251</v>
      </c>
      <c r="J7736" s="4">
        <f t="shared" si="273"/>
        <v>1.105583195135434E-4</v>
      </c>
      <c r="K7736" s="5">
        <f t="shared" si="274"/>
        <v>0.85505804311785338</v>
      </c>
    </row>
    <row r="7737" spans="1:11" x14ac:dyDescent="0.25">
      <c r="A7737" t="s">
        <v>15061</v>
      </c>
      <c r="C7737" t="s">
        <v>15062</v>
      </c>
      <c r="D7737" t="s">
        <v>5</v>
      </c>
      <c r="E7737" t="s">
        <v>6</v>
      </c>
      <c r="F7737" t="s">
        <v>251</v>
      </c>
      <c r="G7737">
        <v>1</v>
      </c>
      <c r="H7737" s="2">
        <f>Tabelle13[[#This Row],[commits]]/Tabelle13[[#Totals],[commits]]</f>
        <v>4.6477904404246225E-6</v>
      </c>
      <c r="I7737" s="5">
        <f>Tabelle13[[#This Row],[%]]+I7736</f>
        <v>0.99391139452295041</v>
      </c>
      <c r="J7737" s="4">
        <f t="shared" si="273"/>
        <v>1.105583195135434E-4</v>
      </c>
      <c r="K7737" s="5">
        <f t="shared" si="274"/>
        <v>0.85516860143736695</v>
      </c>
    </row>
    <row r="7738" spans="1:11" x14ac:dyDescent="0.25">
      <c r="A7738" t="s">
        <v>15063</v>
      </c>
      <c r="C7738" t="s">
        <v>15064</v>
      </c>
      <c r="D7738" t="s">
        <v>5</v>
      </c>
      <c r="E7738" t="s">
        <v>6</v>
      </c>
      <c r="F7738" t="s">
        <v>251</v>
      </c>
      <c r="G7738">
        <v>1</v>
      </c>
      <c r="H7738" s="2">
        <f>Tabelle13[[#This Row],[commits]]/Tabelle13[[#Totals],[commits]]</f>
        <v>4.6477904404246225E-6</v>
      </c>
      <c r="I7738" s="5">
        <f>Tabelle13[[#This Row],[%]]+I7737</f>
        <v>0.99391604231339081</v>
      </c>
      <c r="J7738" s="4">
        <f t="shared" si="273"/>
        <v>1.105583195135434E-4</v>
      </c>
      <c r="K7738" s="5">
        <f t="shared" si="274"/>
        <v>0.85527915975688051</v>
      </c>
    </row>
    <row r="7739" spans="1:11" x14ac:dyDescent="0.25">
      <c r="A7739" t="s">
        <v>15065</v>
      </c>
      <c r="C7739" t="s">
        <v>15066</v>
      </c>
      <c r="D7739" t="s">
        <v>15067</v>
      </c>
      <c r="E7739" t="s">
        <v>6</v>
      </c>
      <c r="F7739" t="s">
        <v>251</v>
      </c>
      <c r="G7739">
        <v>1</v>
      </c>
      <c r="H7739" s="2">
        <f>Tabelle13[[#This Row],[commits]]/Tabelle13[[#Totals],[commits]]</f>
        <v>4.6477904404246225E-6</v>
      </c>
      <c r="I7739" s="5">
        <f>Tabelle13[[#This Row],[%]]+I7738</f>
        <v>0.99392069010383122</v>
      </c>
      <c r="J7739" s="4">
        <f t="shared" si="273"/>
        <v>1.105583195135434E-4</v>
      </c>
      <c r="K7739" s="5">
        <f t="shared" si="274"/>
        <v>0.85538971807639408</v>
      </c>
    </row>
    <row r="7740" spans="1:11" x14ac:dyDescent="0.25">
      <c r="A7740" t="s">
        <v>15068</v>
      </c>
      <c r="C7740" t="s">
        <v>15069</v>
      </c>
      <c r="D7740" t="s">
        <v>5</v>
      </c>
      <c r="E7740" t="s">
        <v>6</v>
      </c>
      <c r="F7740" t="s">
        <v>251</v>
      </c>
      <c r="G7740">
        <v>1</v>
      </c>
      <c r="H7740" s="2">
        <f>Tabelle13[[#This Row],[commits]]/Tabelle13[[#Totals],[commits]]</f>
        <v>4.6477904404246225E-6</v>
      </c>
      <c r="I7740" s="5">
        <f>Tabelle13[[#This Row],[%]]+I7739</f>
        <v>0.99392533789427162</v>
      </c>
      <c r="J7740" s="4">
        <f t="shared" si="273"/>
        <v>1.105583195135434E-4</v>
      </c>
      <c r="K7740" s="5">
        <f t="shared" si="274"/>
        <v>0.85550027639590764</v>
      </c>
    </row>
    <row r="7741" spans="1:11" x14ac:dyDescent="0.25">
      <c r="A7741" t="s">
        <v>15070</v>
      </c>
      <c r="C7741" t="s">
        <v>15071</v>
      </c>
      <c r="D7741" t="s">
        <v>5</v>
      </c>
      <c r="E7741" t="s">
        <v>6</v>
      </c>
      <c r="F7741" t="s">
        <v>251</v>
      </c>
      <c r="G7741">
        <v>1</v>
      </c>
      <c r="H7741" s="2">
        <f>Tabelle13[[#This Row],[commits]]/Tabelle13[[#Totals],[commits]]</f>
        <v>4.6477904404246225E-6</v>
      </c>
      <c r="I7741" s="5">
        <f>Tabelle13[[#This Row],[%]]+I7740</f>
        <v>0.99392998568471203</v>
      </c>
      <c r="J7741" s="4">
        <f t="shared" si="273"/>
        <v>1.105583195135434E-4</v>
      </c>
      <c r="K7741" s="5">
        <f t="shared" si="274"/>
        <v>0.85561083471542121</v>
      </c>
    </row>
    <row r="7742" spans="1:11" x14ac:dyDescent="0.25">
      <c r="A7742" t="s">
        <v>15072</v>
      </c>
      <c r="C7742" t="s">
        <v>15073</v>
      </c>
      <c r="D7742" t="s">
        <v>15074</v>
      </c>
      <c r="E7742" t="s">
        <v>6</v>
      </c>
      <c r="F7742" t="s">
        <v>251</v>
      </c>
      <c r="G7742">
        <v>1</v>
      </c>
      <c r="H7742" s="2">
        <f>Tabelle13[[#This Row],[commits]]/Tabelle13[[#Totals],[commits]]</f>
        <v>4.6477904404246225E-6</v>
      </c>
      <c r="I7742" s="5">
        <f>Tabelle13[[#This Row],[%]]+I7741</f>
        <v>0.99393463347515243</v>
      </c>
      <c r="J7742" s="4">
        <f t="shared" si="273"/>
        <v>1.105583195135434E-4</v>
      </c>
      <c r="K7742" s="5">
        <f t="shared" si="274"/>
        <v>0.85572139303493477</v>
      </c>
    </row>
    <row r="7743" spans="1:11" x14ac:dyDescent="0.25">
      <c r="A7743" t="s">
        <v>15075</v>
      </c>
      <c r="C7743" t="s">
        <v>15076</v>
      </c>
      <c r="D7743" t="s">
        <v>5</v>
      </c>
      <c r="E7743" t="s">
        <v>6</v>
      </c>
      <c r="F7743" t="s">
        <v>251</v>
      </c>
      <c r="G7743">
        <v>1</v>
      </c>
      <c r="H7743" s="2">
        <f>Tabelle13[[#This Row],[commits]]/Tabelle13[[#Totals],[commits]]</f>
        <v>4.6477904404246225E-6</v>
      </c>
      <c r="I7743" s="5">
        <f>Tabelle13[[#This Row],[%]]+I7742</f>
        <v>0.99393928126559283</v>
      </c>
      <c r="J7743" s="4">
        <f t="shared" si="273"/>
        <v>1.105583195135434E-4</v>
      </c>
      <c r="K7743" s="5">
        <f t="shared" si="274"/>
        <v>0.85583195135444834</v>
      </c>
    </row>
    <row r="7744" spans="1:11" x14ac:dyDescent="0.25">
      <c r="A7744" t="s">
        <v>15077</v>
      </c>
      <c r="C7744" t="s">
        <v>15078</v>
      </c>
      <c r="D7744" t="s">
        <v>5</v>
      </c>
      <c r="E7744" t="s">
        <v>6</v>
      </c>
      <c r="F7744" t="s">
        <v>251</v>
      </c>
      <c r="G7744">
        <v>1</v>
      </c>
      <c r="H7744" s="2">
        <f>Tabelle13[[#This Row],[commits]]/Tabelle13[[#Totals],[commits]]</f>
        <v>4.6477904404246225E-6</v>
      </c>
      <c r="I7744" s="5">
        <f>Tabelle13[[#This Row],[%]]+I7743</f>
        <v>0.99394392905603324</v>
      </c>
      <c r="J7744" s="4">
        <f t="shared" si="273"/>
        <v>1.105583195135434E-4</v>
      </c>
      <c r="K7744" s="5">
        <f t="shared" si="274"/>
        <v>0.8559425096739619</v>
      </c>
    </row>
    <row r="7745" spans="1:11" x14ac:dyDescent="0.25">
      <c r="A7745" t="s">
        <v>15079</v>
      </c>
      <c r="C7745" t="s">
        <v>15080</v>
      </c>
      <c r="D7745" t="s">
        <v>5</v>
      </c>
      <c r="E7745" t="s">
        <v>6</v>
      </c>
      <c r="F7745" t="s">
        <v>251</v>
      </c>
      <c r="G7745">
        <v>1</v>
      </c>
      <c r="H7745" s="2">
        <f>Tabelle13[[#This Row],[commits]]/Tabelle13[[#Totals],[commits]]</f>
        <v>4.6477904404246225E-6</v>
      </c>
      <c r="I7745" s="5">
        <f>Tabelle13[[#This Row],[%]]+I7744</f>
        <v>0.99394857684647364</v>
      </c>
      <c r="J7745" s="4">
        <f t="shared" si="273"/>
        <v>1.105583195135434E-4</v>
      </c>
      <c r="K7745" s="5">
        <f t="shared" si="274"/>
        <v>0.85605306799347547</v>
      </c>
    </row>
    <row r="7746" spans="1:11" x14ac:dyDescent="0.25">
      <c r="A7746" t="s">
        <v>15081</v>
      </c>
      <c r="C7746" t="s">
        <v>15082</v>
      </c>
      <c r="D7746" t="s">
        <v>5</v>
      </c>
      <c r="E7746" t="s">
        <v>6</v>
      </c>
      <c r="F7746" t="s">
        <v>251</v>
      </c>
      <c r="G7746">
        <v>1</v>
      </c>
      <c r="H7746" s="2">
        <f>Tabelle13[[#This Row],[commits]]/Tabelle13[[#Totals],[commits]]</f>
        <v>4.6477904404246225E-6</v>
      </c>
      <c r="I7746" s="5">
        <f>Tabelle13[[#This Row],[%]]+I7745</f>
        <v>0.99395322463691405</v>
      </c>
      <c r="J7746" s="4">
        <f t="shared" si="273"/>
        <v>1.105583195135434E-4</v>
      </c>
      <c r="K7746" s="5">
        <f t="shared" si="274"/>
        <v>0.85616362631298903</v>
      </c>
    </row>
    <row r="7747" spans="1:11" x14ac:dyDescent="0.25">
      <c r="A7747" t="s">
        <v>15083</v>
      </c>
      <c r="C7747" t="s">
        <v>15084</v>
      </c>
      <c r="D7747" t="s">
        <v>5</v>
      </c>
      <c r="E7747" t="s">
        <v>6</v>
      </c>
      <c r="F7747" t="s">
        <v>251</v>
      </c>
      <c r="G7747">
        <v>1</v>
      </c>
      <c r="H7747" s="2">
        <f>Tabelle13[[#This Row],[commits]]/Tabelle13[[#Totals],[commits]]</f>
        <v>4.6477904404246225E-6</v>
      </c>
      <c r="I7747" s="5">
        <f>Tabelle13[[#This Row],[%]]+I7746</f>
        <v>0.99395787242735445</v>
      </c>
      <c r="J7747" s="4">
        <f t="shared" ref="J7747:J7810" si="275">1/9045</f>
        <v>1.105583195135434E-4</v>
      </c>
      <c r="K7747" s="5">
        <f t="shared" si="274"/>
        <v>0.8562741846325026</v>
      </c>
    </row>
    <row r="7748" spans="1:11" x14ac:dyDescent="0.25">
      <c r="A7748" t="s">
        <v>15085</v>
      </c>
      <c r="C7748" t="s">
        <v>15086</v>
      </c>
      <c r="D7748" t="s">
        <v>5</v>
      </c>
      <c r="E7748" t="s">
        <v>6</v>
      </c>
      <c r="F7748" t="s">
        <v>251</v>
      </c>
      <c r="G7748">
        <v>1</v>
      </c>
      <c r="H7748" s="2">
        <f>Tabelle13[[#This Row],[commits]]/Tabelle13[[#Totals],[commits]]</f>
        <v>4.6477904404246225E-6</v>
      </c>
      <c r="I7748" s="5">
        <f>Tabelle13[[#This Row],[%]]+I7747</f>
        <v>0.99396252021779485</v>
      </c>
      <c r="J7748" s="4">
        <f t="shared" si="275"/>
        <v>1.105583195135434E-4</v>
      </c>
      <c r="K7748" s="5">
        <f t="shared" si="274"/>
        <v>0.85638474295201616</v>
      </c>
    </row>
    <row r="7749" spans="1:11" x14ac:dyDescent="0.25">
      <c r="A7749" t="s">
        <v>15087</v>
      </c>
      <c r="C7749" t="s">
        <v>15088</v>
      </c>
      <c r="D7749" t="s">
        <v>4461</v>
      </c>
      <c r="E7749" t="s">
        <v>6</v>
      </c>
      <c r="F7749" t="s">
        <v>251</v>
      </c>
      <c r="G7749">
        <v>1</v>
      </c>
      <c r="H7749" s="2">
        <f>Tabelle13[[#This Row],[commits]]/Tabelle13[[#Totals],[commits]]</f>
        <v>4.6477904404246225E-6</v>
      </c>
      <c r="I7749" s="5">
        <f>Tabelle13[[#This Row],[%]]+I7748</f>
        <v>0.99396716800823526</v>
      </c>
      <c r="J7749" s="4">
        <f t="shared" si="275"/>
        <v>1.105583195135434E-4</v>
      </c>
      <c r="K7749" s="5">
        <f t="shared" si="274"/>
        <v>0.85649530127152973</v>
      </c>
    </row>
    <row r="7750" spans="1:11" x14ac:dyDescent="0.25">
      <c r="A7750" t="s">
        <v>15089</v>
      </c>
      <c r="C7750" t="s">
        <v>15090</v>
      </c>
      <c r="D7750" t="s">
        <v>5</v>
      </c>
      <c r="E7750" t="s">
        <v>6</v>
      </c>
      <c r="F7750" t="s">
        <v>251</v>
      </c>
      <c r="G7750">
        <v>1</v>
      </c>
      <c r="H7750" s="2">
        <f>Tabelle13[[#This Row],[commits]]/Tabelle13[[#Totals],[commits]]</f>
        <v>4.6477904404246225E-6</v>
      </c>
      <c r="I7750" s="5">
        <f>Tabelle13[[#This Row],[%]]+I7749</f>
        <v>0.99397181579867566</v>
      </c>
      <c r="J7750" s="4">
        <f t="shared" si="275"/>
        <v>1.105583195135434E-4</v>
      </c>
      <c r="K7750" s="5">
        <f t="shared" ref="K7750:K7813" si="276">J7750+K7749</f>
        <v>0.85660585959104329</v>
      </c>
    </row>
    <row r="7751" spans="1:11" x14ac:dyDescent="0.25">
      <c r="A7751" t="s">
        <v>15091</v>
      </c>
      <c r="C7751" t="s">
        <v>15092</v>
      </c>
      <c r="D7751" t="s">
        <v>15093</v>
      </c>
      <c r="E7751" t="s">
        <v>6</v>
      </c>
      <c r="F7751" t="s">
        <v>251</v>
      </c>
      <c r="G7751">
        <v>1</v>
      </c>
      <c r="H7751" s="2">
        <f>Tabelle13[[#This Row],[commits]]/Tabelle13[[#Totals],[commits]]</f>
        <v>4.6477904404246225E-6</v>
      </c>
      <c r="I7751" s="5">
        <f>Tabelle13[[#This Row],[%]]+I7750</f>
        <v>0.99397646358911607</v>
      </c>
      <c r="J7751" s="4">
        <f t="shared" si="275"/>
        <v>1.105583195135434E-4</v>
      </c>
      <c r="K7751" s="5">
        <f t="shared" si="276"/>
        <v>0.85671641791055686</v>
      </c>
    </row>
    <row r="7752" spans="1:11" x14ac:dyDescent="0.25">
      <c r="A7752" t="s">
        <v>15094</v>
      </c>
      <c r="C7752" t="s">
        <v>15095</v>
      </c>
      <c r="D7752" t="s">
        <v>15096</v>
      </c>
      <c r="E7752" t="s">
        <v>6</v>
      </c>
      <c r="F7752" t="s">
        <v>251</v>
      </c>
      <c r="G7752">
        <v>1</v>
      </c>
      <c r="H7752" s="2">
        <f>Tabelle13[[#This Row],[commits]]/Tabelle13[[#Totals],[commits]]</f>
        <v>4.6477904404246225E-6</v>
      </c>
      <c r="I7752" s="5">
        <f>Tabelle13[[#This Row],[%]]+I7751</f>
        <v>0.99398111137955647</v>
      </c>
      <c r="J7752" s="4">
        <f t="shared" si="275"/>
        <v>1.105583195135434E-4</v>
      </c>
      <c r="K7752" s="5">
        <f t="shared" si="276"/>
        <v>0.85682697623007043</v>
      </c>
    </row>
    <row r="7753" spans="1:11" x14ac:dyDescent="0.25">
      <c r="A7753" t="s">
        <v>15097</v>
      </c>
      <c r="C7753" t="s">
        <v>15098</v>
      </c>
      <c r="D7753" t="s">
        <v>309</v>
      </c>
      <c r="E7753" t="s">
        <v>6</v>
      </c>
      <c r="F7753" t="s">
        <v>251</v>
      </c>
      <c r="G7753">
        <v>1</v>
      </c>
      <c r="H7753" s="2">
        <f>Tabelle13[[#This Row],[commits]]/Tabelle13[[#Totals],[commits]]</f>
        <v>4.6477904404246225E-6</v>
      </c>
      <c r="I7753" s="5">
        <f>Tabelle13[[#This Row],[%]]+I7752</f>
        <v>0.99398575916999687</v>
      </c>
      <c r="J7753" s="4">
        <f t="shared" si="275"/>
        <v>1.105583195135434E-4</v>
      </c>
      <c r="K7753" s="5">
        <f t="shared" si="276"/>
        <v>0.85693753454958399</v>
      </c>
    </row>
    <row r="7754" spans="1:11" x14ac:dyDescent="0.25">
      <c r="A7754" t="s">
        <v>15099</v>
      </c>
      <c r="C7754" t="s">
        <v>15100</v>
      </c>
      <c r="D7754" t="s">
        <v>5</v>
      </c>
      <c r="E7754" t="s">
        <v>6</v>
      </c>
      <c r="F7754" t="s">
        <v>251</v>
      </c>
      <c r="G7754">
        <v>1</v>
      </c>
      <c r="H7754" s="2">
        <f>Tabelle13[[#This Row],[commits]]/Tabelle13[[#Totals],[commits]]</f>
        <v>4.6477904404246225E-6</v>
      </c>
      <c r="I7754" s="5">
        <f>Tabelle13[[#This Row],[%]]+I7753</f>
        <v>0.99399040696043728</v>
      </c>
      <c r="J7754" s="4">
        <f t="shared" si="275"/>
        <v>1.105583195135434E-4</v>
      </c>
      <c r="K7754" s="5">
        <f t="shared" si="276"/>
        <v>0.85704809286909756</v>
      </c>
    </row>
    <row r="7755" spans="1:11" x14ac:dyDescent="0.25">
      <c r="A7755" t="s">
        <v>15101</v>
      </c>
      <c r="C7755" t="s">
        <v>15102</v>
      </c>
      <c r="D7755" t="s">
        <v>5</v>
      </c>
      <c r="E7755" t="s">
        <v>6</v>
      </c>
      <c r="F7755" t="s">
        <v>251</v>
      </c>
      <c r="G7755">
        <v>1</v>
      </c>
      <c r="H7755" s="2">
        <f>Tabelle13[[#This Row],[commits]]/Tabelle13[[#Totals],[commits]]</f>
        <v>4.6477904404246225E-6</v>
      </c>
      <c r="I7755" s="5">
        <f>Tabelle13[[#This Row],[%]]+I7754</f>
        <v>0.99399505475087768</v>
      </c>
      <c r="J7755" s="4">
        <f t="shared" si="275"/>
        <v>1.105583195135434E-4</v>
      </c>
      <c r="K7755" s="5">
        <f t="shared" si="276"/>
        <v>0.85715865118861112</v>
      </c>
    </row>
    <row r="7756" spans="1:11" x14ac:dyDescent="0.25">
      <c r="A7756" t="s">
        <v>15103</v>
      </c>
      <c r="C7756" t="s">
        <v>15104</v>
      </c>
      <c r="D7756" t="s">
        <v>5</v>
      </c>
      <c r="E7756" t="s">
        <v>6</v>
      </c>
      <c r="F7756" t="s">
        <v>251</v>
      </c>
      <c r="G7756">
        <v>1</v>
      </c>
      <c r="H7756" s="2">
        <f>Tabelle13[[#This Row],[commits]]/Tabelle13[[#Totals],[commits]]</f>
        <v>4.6477904404246225E-6</v>
      </c>
      <c r="I7756" s="5">
        <f>Tabelle13[[#This Row],[%]]+I7755</f>
        <v>0.99399970254131809</v>
      </c>
      <c r="J7756" s="4">
        <f t="shared" si="275"/>
        <v>1.105583195135434E-4</v>
      </c>
      <c r="K7756" s="5">
        <f t="shared" si="276"/>
        <v>0.85726920950812469</v>
      </c>
    </row>
    <row r="7757" spans="1:11" x14ac:dyDescent="0.25">
      <c r="A7757" t="s">
        <v>15105</v>
      </c>
      <c r="C7757" t="s">
        <v>15106</v>
      </c>
      <c r="D7757" t="s">
        <v>5</v>
      </c>
      <c r="E7757" t="s">
        <v>6</v>
      </c>
      <c r="F7757" t="s">
        <v>251</v>
      </c>
      <c r="G7757">
        <v>1</v>
      </c>
      <c r="H7757" s="2">
        <f>Tabelle13[[#This Row],[commits]]/Tabelle13[[#Totals],[commits]]</f>
        <v>4.6477904404246225E-6</v>
      </c>
      <c r="I7757" s="5">
        <f>Tabelle13[[#This Row],[%]]+I7756</f>
        <v>0.99400435033175849</v>
      </c>
      <c r="J7757" s="4">
        <f t="shared" si="275"/>
        <v>1.105583195135434E-4</v>
      </c>
      <c r="K7757" s="5">
        <f t="shared" si="276"/>
        <v>0.85737976782763825</v>
      </c>
    </row>
    <row r="7758" spans="1:11" x14ac:dyDescent="0.25">
      <c r="A7758" t="s">
        <v>15107</v>
      </c>
      <c r="C7758" t="s">
        <v>15108</v>
      </c>
      <c r="D7758" t="s">
        <v>5</v>
      </c>
      <c r="E7758" t="s">
        <v>6</v>
      </c>
      <c r="F7758" t="s">
        <v>251</v>
      </c>
      <c r="G7758">
        <v>1</v>
      </c>
      <c r="H7758" s="2">
        <f>Tabelle13[[#This Row],[commits]]/Tabelle13[[#Totals],[commits]]</f>
        <v>4.6477904404246225E-6</v>
      </c>
      <c r="I7758" s="5">
        <f>Tabelle13[[#This Row],[%]]+I7757</f>
        <v>0.99400899812219889</v>
      </c>
      <c r="J7758" s="4">
        <f t="shared" si="275"/>
        <v>1.105583195135434E-4</v>
      </c>
      <c r="K7758" s="5">
        <f t="shared" si="276"/>
        <v>0.85749032614715182</v>
      </c>
    </row>
    <row r="7759" spans="1:11" x14ac:dyDescent="0.25">
      <c r="A7759" t="s">
        <v>15109</v>
      </c>
      <c r="C7759" t="s">
        <v>15110</v>
      </c>
      <c r="D7759" t="s">
        <v>5</v>
      </c>
      <c r="E7759" t="s">
        <v>6</v>
      </c>
      <c r="F7759" t="s">
        <v>251</v>
      </c>
      <c r="G7759">
        <v>1</v>
      </c>
      <c r="H7759" s="2">
        <f>Tabelle13[[#This Row],[commits]]/Tabelle13[[#Totals],[commits]]</f>
        <v>4.6477904404246225E-6</v>
      </c>
      <c r="I7759" s="5">
        <f>Tabelle13[[#This Row],[%]]+I7758</f>
        <v>0.9940136459126393</v>
      </c>
      <c r="J7759" s="4">
        <f t="shared" si="275"/>
        <v>1.105583195135434E-4</v>
      </c>
      <c r="K7759" s="5">
        <f t="shared" si="276"/>
        <v>0.85760088446666538</v>
      </c>
    </row>
    <row r="7760" spans="1:11" x14ac:dyDescent="0.25">
      <c r="A7760" t="s">
        <v>15111</v>
      </c>
      <c r="C7760" t="s">
        <v>15112</v>
      </c>
      <c r="D7760" t="s">
        <v>5</v>
      </c>
      <c r="E7760" t="s">
        <v>6</v>
      </c>
      <c r="F7760" t="s">
        <v>251</v>
      </c>
      <c r="G7760">
        <v>1</v>
      </c>
      <c r="H7760" s="2">
        <f>Tabelle13[[#This Row],[commits]]/Tabelle13[[#Totals],[commits]]</f>
        <v>4.6477904404246225E-6</v>
      </c>
      <c r="I7760" s="5">
        <f>Tabelle13[[#This Row],[%]]+I7759</f>
        <v>0.9940182937030797</v>
      </c>
      <c r="J7760" s="4">
        <f t="shared" si="275"/>
        <v>1.105583195135434E-4</v>
      </c>
      <c r="K7760" s="5">
        <f t="shared" si="276"/>
        <v>0.85771144278617895</v>
      </c>
    </row>
    <row r="7761" spans="1:11" x14ac:dyDescent="0.25">
      <c r="A7761" t="s">
        <v>15113</v>
      </c>
      <c r="C7761" t="s">
        <v>15114</v>
      </c>
      <c r="D7761" t="s">
        <v>5</v>
      </c>
      <c r="E7761" t="s">
        <v>6</v>
      </c>
      <c r="F7761" t="s">
        <v>251</v>
      </c>
      <c r="G7761">
        <v>1</v>
      </c>
      <c r="H7761" s="2">
        <f>Tabelle13[[#This Row],[commits]]/Tabelle13[[#Totals],[commits]]</f>
        <v>4.6477904404246225E-6</v>
      </c>
      <c r="I7761" s="5">
        <f>Tabelle13[[#This Row],[%]]+I7760</f>
        <v>0.99402294149352011</v>
      </c>
      <c r="J7761" s="4">
        <f t="shared" si="275"/>
        <v>1.105583195135434E-4</v>
      </c>
      <c r="K7761" s="5">
        <f t="shared" si="276"/>
        <v>0.85782200110569251</v>
      </c>
    </row>
    <row r="7762" spans="1:11" x14ac:dyDescent="0.25">
      <c r="A7762" t="s">
        <v>15115</v>
      </c>
      <c r="C7762" t="s">
        <v>15116</v>
      </c>
      <c r="D7762" t="s">
        <v>8874</v>
      </c>
      <c r="E7762" t="s">
        <v>6</v>
      </c>
      <c r="F7762" t="s">
        <v>251</v>
      </c>
      <c r="G7762">
        <v>1</v>
      </c>
      <c r="H7762" s="2">
        <f>Tabelle13[[#This Row],[commits]]/Tabelle13[[#Totals],[commits]]</f>
        <v>4.6477904404246225E-6</v>
      </c>
      <c r="I7762" s="5">
        <f>Tabelle13[[#This Row],[%]]+I7761</f>
        <v>0.99402758928396051</v>
      </c>
      <c r="J7762" s="4">
        <f t="shared" si="275"/>
        <v>1.105583195135434E-4</v>
      </c>
      <c r="K7762" s="5">
        <f t="shared" si="276"/>
        <v>0.85793255942520608</v>
      </c>
    </row>
    <row r="7763" spans="1:11" x14ac:dyDescent="0.25">
      <c r="A7763" t="s">
        <v>15117</v>
      </c>
      <c r="C7763" t="s">
        <v>15118</v>
      </c>
      <c r="D7763" t="s">
        <v>309</v>
      </c>
      <c r="E7763" t="s">
        <v>6</v>
      </c>
      <c r="F7763" t="s">
        <v>251</v>
      </c>
      <c r="G7763">
        <v>1</v>
      </c>
      <c r="H7763" s="2">
        <f>Tabelle13[[#This Row],[commits]]/Tabelle13[[#Totals],[commits]]</f>
        <v>4.6477904404246225E-6</v>
      </c>
      <c r="I7763" s="5">
        <f>Tabelle13[[#This Row],[%]]+I7762</f>
        <v>0.99403223707440092</v>
      </c>
      <c r="J7763" s="4">
        <f t="shared" si="275"/>
        <v>1.105583195135434E-4</v>
      </c>
      <c r="K7763" s="5">
        <f t="shared" si="276"/>
        <v>0.85804311774471964</v>
      </c>
    </row>
    <row r="7764" spans="1:11" x14ac:dyDescent="0.25">
      <c r="A7764" t="s">
        <v>15119</v>
      </c>
      <c r="C7764" t="s">
        <v>15120</v>
      </c>
      <c r="D7764" t="s">
        <v>15121</v>
      </c>
      <c r="E7764" t="s">
        <v>6</v>
      </c>
      <c r="F7764" t="s">
        <v>251</v>
      </c>
      <c r="G7764">
        <v>1</v>
      </c>
      <c r="H7764" s="2">
        <f>Tabelle13[[#This Row],[commits]]/Tabelle13[[#Totals],[commits]]</f>
        <v>4.6477904404246225E-6</v>
      </c>
      <c r="I7764" s="5">
        <f>Tabelle13[[#This Row],[%]]+I7763</f>
        <v>0.99403688486484132</v>
      </c>
      <c r="J7764" s="4">
        <f t="shared" si="275"/>
        <v>1.105583195135434E-4</v>
      </c>
      <c r="K7764" s="5">
        <f t="shared" si="276"/>
        <v>0.85815367606423321</v>
      </c>
    </row>
    <row r="7765" spans="1:11" x14ac:dyDescent="0.25">
      <c r="A7765" t="s">
        <v>15122</v>
      </c>
      <c r="C7765" t="s">
        <v>15120</v>
      </c>
      <c r="D7765" t="s">
        <v>5</v>
      </c>
      <c r="E7765" t="s">
        <v>6</v>
      </c>
      <c r="F7765" t="s">
        <v>251</v>
      </c>
      <c r="G7765">
        <v>1</v>
      </c>
      <c r="H7765" s="2">
        <f>Tabelle13[[#This Row],[commits]]/Tabelle13[[#Totals],[commits]]</f>
        <v>4.6477904404246225E-6</v>
      </c>
      <c r="I7765" s="5">
        <f>Tabelle13[[#This Row],[%]]+I7764</f>
        <v>0.99404153265528172</v>
      </c>
      <c r="J7765" s="4">
        <f t="shared" si="275"/>
        <v>1.105583195135434E-4</v>
      </c>
      <c r="K7765" s="5">
        <f t="shared" si="276"/>
        <v>0.85826423438374677</v>
      </c>
    </row>
    <row r="7766" spans="1:11" x14ac:dyDescent="0.25">
      <c r="A7766" t="s">
        <v>15123</v>
      </c>
      <c r="C7766" t="s">
        <v>15124</v>
      </c>
      <c r="D7766" t="s">
        <v>5</v>
      </c>
      <c r="E7766" t="s">
        <v>6</v>
      </c>
      <c r="F7766" t="s">
        <v>251</v>
      </c>
      <c r="G7766">
        <v>1</v>
      </c>
      <c r="H7766" s="2">
        <f>Tabelle13[[#This Row],[commits]]/Tabelle13[[#Totals],[commits]]</f>
        <v>4.6477904404246225E-6</v>
      </c>
      <c r="I7766" s="5">
        <f>Tabelle13[[#This Row],[%]]+I7765</f>
        <v>0.99404618044572213</v>
      </c>
      <c r="J7766" s="4">
        <f t="shared" si="275"/>
        <v>1.105583195135434E-4</v>
      </c>
      <c r="K7766" s="5">
        <f t="shared" si="276"/>
        <v>0.85837479270326034</v>
      </c>
    </row>
    <row r="7767" spans="1:11" x14ac:dyDescent="0.25">
      <c r="A7767" t="s">
        <v>15125</v>
      </c>
      <c r="C7767" t="s">
        <v>15126</v>
      </c>
      <c r="D7767" t="s">
        <v>5</v>
      </c>
      <c r="E7767" t="s">
        <v>6</v>
      </c>
      <c r="F7767" t="s">
        <v>251</v>
      </c>
      <c r="G7767">
        <v>1</v>
      </c>
      <c r="H7767" s="2">
        <f>Tabelle13[[#This Row],[commits]]/Tabelle13[[#Totals],[commits]]</f>
        <v>4.6477904404246225E-6</v>
      </c>
      <c r="I7767" s="5">
        <f>Tabelle13[[#This Row],[%]]+I7766</f>
        <v>0.99405082823616253</v>
      </c>
      <c r="J7767" s="4">
        <f t="shared" si="275"/>
        <v>1.105583195135434E-4</v>
      </c>
      <c r="K7767" s="5">
        <f t="shared" si="276"/>
        <v>0.8584853510227739</v>
      </c>
    </row>
    <row r="7768" spans="1:11" x14ac:dyDescent="0.25">
      <c r="A7768" t="s">
        <v>15127</v>
      </c>
      <c r="C7768" t="s">
        <v>15128</v>
      </c>
      <c r="D7768" t="s">
        <v>5</v>
      </c>
      <c r="E7768" t="s">
        <v>6</v>
      </c>
      <c r="F7768" t="s">
        <v>251</v>
      </c>
      <c r="G7768">
        <v>1</v>
      </c>
      <c r="H7768" s="2">
        <f>Tabelle13[[#This Row],[commits]]/Tabelle13[[#Totals],[commits]]</f>
        <v>4.6477904404246225E-6</v>
      </c>
      <c r="I7768" s="5">
        <f>Tabelle13[[#This Row],[%]]+I7767</f>
        <v>0.99405547602660294</v>
      </c>
      <c r="J7768" s="4">
        <f t="shared" si="275"/>
        <v>1.105583195135434E-4</v>
      </c>
      <c r="K7768" s="5">
        <f t="shared" si="276"/>
        <v>0.85859590934228747</v>
      </c>
    </row>
    <row r="7769" spans="1:11" x14ac:dyDescent="0.25">
      <c r="A7769" t="s">
        <v>15129</v>
      </c>
      <c r="C7769" t="s">
        <v>15130</v>
      </c>
      <c r="D7769" t="s">
        <v>5</v>
      </c>
      <c r="E7769" t="s">
        <v>6</v>
      </c>
      <c r="F7769" t="s">
        <v>251</v>
      </c>
      <c r="G7769">
        <v>1</v>
      </c>
      <c r="H7769" s="2">
        <f>Tabelle13[[#This Row],[commits]]/Tabelle13[[#Totals],[commits]]</f>
        <v>4.6477904404246225E-6</v>
      </c>
      <c r="I7769" s="5">
        <f>Tabelle13[[#This Row],[%]]+I7768</f>
        <v>0.99406012381704334</v>
      </c>
      <c r="J7769" s="4">
        <f t="shared" si="275"/>
        <v>1.105583195135434E-4</v>
      </c>
      <c r="K7769" s="5">
        <f t="shared" si="276"/>
        <v>0.85870646766180103</v>
      </c>
    </row>
    <row r="7770" spans="1:11" x14ac:dyDescent="0.25">
      <c r="A7770" t="s">
        <v>15131</v>
      </c>
      <c r="C7770" t="s">
        <v>15132</v>
      </c>
      <c r="D7770" t="s">
        <v>5</v>
      </c>
      <c r="E7770" t="s">
        <v>6</v>
      </c>
      <c r="F7770" t="s">
        <v>251</v>
      </c>
      <c r="G7770">
        <v>1</v>
      </c>
      <c r="H7770" s="2">
        <f>Tabelle13[[#This Row],[commits]]/Tabelle13[[#Totals],[commits]]</f>
        <v>4.6477904404246225E-6</v>
      </c>
      <c r="I7770" s="5">
        <f>Tabelle13[[#This Row],[%]]+I7769</f>
        <v>0.99406477160748374</v>
      </c>
      <c r="J7770" s="4">
        <f t="shared" si="275"/>
        <v>1.105583195135434E-4</v>
      </c>
      <c r="K7770" s="5">
        <f t="shared" si="276"/>
        <v>0.8588170259813146</v>
      </c>
    </row>
    <row r="7771" spans="1:11" x14ac:dyDescent="0.25">
      <c r="A7771" t="s">
        <v>15133</v>
      </c>
      <c r="C7771" t="s">
        <v>15134</v>
      </c>
      <c r="D7771" t="s">
        <v>5</v>
      </c>
      <c r="E7771" t="s">
        <v>6</v>
      </c>
      <c r="F7771" t="s">
        <v>251</v>
      </c>
      <c r="G7771">
        <v>1</v>
      </c>
      <c r="H7771" s="2">
        <f>Tabelle13[[#This Row],[commits]]/Tabelle13[[#Totals],[commits]]</f>
        <v>4.6477904404246225E-6</v>
      </c>
      <c r="I7771" s="5">
        <f>Tabelle13[[#This Row],[%]]+I7770</f>
        <v>0.99406941939792415</v>
      </c>
      <c r="J7771" s="4">
        <f t="shared" si="275"/>
        <v>1.105583195135434E-4</v>
      </c>
      <c r="K7771" s="5">
        <f t="shared" si="276"/>
        <v>0.85892758430082816</v>
      </c>
    </row>
    <row r="7772" spans="1:11" x14ac:dyDescent="0.25">
      <c r="A7772" t="s">
        <v>15135</v>
      </c>
      <c r="C7772" t="s">
        <v>15136</v>
      </c>
      <c r="D7772" t="s">
        <v>15137</v>
      </c>
      <c r="E7772" t="s">
        <v>6</v>
      </c>
      <c r="F7772" t="s">
        <v>251</v>
      </c>
      <c r="G7772">
        <v>1</v>
      </c>
      <c r="H7772" s="2">
        <f>Tabelle13[[#This Row],[commits]]/Tabelle13[[#Totals],[commits]]</f>
        <v>4.6477904404246225E-6</v>
      </c>
      <c r="I7772" s="5">
        <f>Tabelle13[[#This Row],[%]]+I7771</f>
        <v>0.99407406718836455</v>
      </c>
      <c r="J7772" s="4">
        <f t="shared" si="275"/>
        <v>1.105583195135434E-4</v>
      </c>
      <c r="K7772" s="5">
        <f t="shared" si="276"/>
        <v>0.85903814262034173</v>
      </c>
    </row>
    <row r="7773" spans="1:11" x14ac:dyDescent="0.25">
      <c r="A7773" t="s">
        <v>15138</v>
      </c>
      <c r="C7773" t="s">
        <v>15139</v>
      </c>
      <c r="D7773" t="s">
        <v>5</v>
      </c>
      <c r="E7773" t="s">
        <v>6</v>
      </c>
      <c r="F7773" t="s">
        <v>251</v>
      </c>
      <c r="G7773">
        <v>1</v>
      </c>
      <c r="H7773" s="2">
        <f>Tabelle13[[#This Row],[commits]]/Tabelle13[[#Totals],[commits]]</f>
        <v>4.6477904404246225E-6</v>
      </c>
      <c r="I7773" s="5">
        <f>Tabelle13[[#This Row],[%]]+I7772</f>
        <v>0.99407871497880496</v>
      </c>
      <c r="J7773" s="4">
        <f t="shared" si="275"/>
        <v>1.105583195135434E-4</v>
      </c>
      <c r="K7773" s="5">
        <f t="shared" si="276"/>
        <v>0.85914870093985529</v>
      </c>
    </row>
    <row r="7774" spans="1:11" x14ac:dyDescent="0.25">
      <c r="A7774" t="s">
        <v>15140</v>
      </c>
      <c r="C7774" t="s">
        <v>15141</v>
      </c>
      <c r="D7774" t="s">
        <v>5</v>
      </c>
      <c r="E7774" t="s">
        <v>6</v>
      </c>
      <c r="F7774" t="s">
        <v>251</v>
      </c>
      <c r="G7774">
        <v>1</v>
      </c>
      <c r="H7774" s="2">
        <f>Tabelle13[[#This Row],[commits]]/Tabelle13[[#Totals],[commits]]</f>
        <v>4.6477904404246225E-6</v>
      </c>
      <c r="I7774" s="5">
        <f>Tabelle13[[#This Row],[%]]+I7773</f>
        <v>0.99408336276924536</v>
      </c>
      <c r="J7774" s="4">
        <f t="shared" si="275"/>
        <v>1.105583195135434E-4</v>
      </c>
      <c r="K7774" s="5">
        <f t="shared" si="276"/>
        <v>0.85925925925936886</v>
      </c>
    </row>
    <row r="7775" spans="1:11" x14ac:dyDescent="0.25">
      <c r="A7775" t="s">
        <v>15142</v>
      </c>
      <c r="C7775" t="s">
        <v>15143</v>
      </c>
      <c r="D7775" t="s">
        <v>5</v>
      </c>
      <c r="E7775" t="s">
        <v>6</v>
      </c>
      <c r="F7775" t="s">
        <v>251</v>
      </c>
      <c r="G7775">
        <v>1</v>
      </c>
      <c r="H7775" s="2">
        <f>Tabelle13[[#This Row],[commits]]/Tabelle13[[#Totals],[commits]]</f>
        <v>4.6477904404246225E-6</v>
      </c>
      <c r="I7775" s="5">
        <f>Tabelle13[[#This Row],[%]]+I7774</f>
        <v>0.99408801055968576</v>
      </c>
      <c r="J7775" s="4">
        <f t="shared" si="275"/>
        <v>1.105583195135434E-4</v>
      </c>
      <c r="K7775" s="5">
        <f t="shared" si="276"/>
        <v>0.85936981757888242</v>
      </c>
    </row>
    <row r="7776" spans="1:11" x14ac:dyDescent="0.25">
      <c r="A7776" t="s">
        <v>15144</v>
      </c>
      <c r="C7776" t="s">
        <v>15145</v>
      </c>
      <c r="D7776" t="s">
        <v>5</v>
      </c>
      <c r="E7776" t="s">
        <v>6</v>
      </c>
      <c r="F7776" t="s">
        <v>251</v>
      </c>
      <c r="G7776">
        <v>1</v>
      </c>
      <c r="H7776" s="2">
        <f>Tabelle13[[#This Row],[commits]]/Tabelle13[[#Totals],[commits]]</f>
        <v>4.6477904404246225E-6</v>
      </c>
      <c r="I7776" s="5">
        <f>Tabelle13[[#This Row],[%]]+I7775</f>
        <v>0.99409265835012617</v>
      </c>
      <c r="J7776" s="4">
        <f t="shared" si="275"/>
        <v>1.105583195135434E-4</v>
      </c>
      <c r="K7776" s="5">
        <f t="shared" si="276"/>
        <v>0.85948037589839599</v>
      </c>
    </row>
    <row r="7777" spans="1:11" x14ac:dyDescent="0.25">
      <c r="A7777" t="s">
        <v>15146</v>
      </c>
      <c r="C7777" t="s">
        <v>15147</v>
      </c>
      <c r="D7777" t="s">
        <v>5</v>
      </c>
      <c r="E7777" t="s">
        <v>6</v>
      </c>
      <c r="F7777" t="s">
        <v>251</v>
      </c>
      <c r="G7777">
        <v>1</v>
      </c>
      <c r="H7777" s="2">
        <f>Tabelle13[[#This Row],[commits]]/Tabelle13[[#Totals],[commits]]</f>
        <v>4.6477904404246225E-6</v>
      </c>
      <c r="I7777" s="5">
        <f>Tabelle13[[#This Row],[%]]+I7776</f>
        <v>0.99409730614056657</v>
      </c>
      <c r="J7777" s="4">
        <f t="shared" si="275"/>
        <v>1.105583195135434E-4</v>
      </c>
      <c r="K7777" s="5">
        <f t="shared" si="276"/>
        <v>0.85959093421790955</v>
      </c>
    </row>
    <row r="7778" spans="1:11" x14ac:dyDescent="0.25">
      <c r="A7778" t="s">
        <v>15148</v>
      </c>
      <c r="C7778" t="s">
        <v>13930</v>
      </c>
      <c r="D7778" t="s">
        <v>8948</v>
      </c>
      <c r="E7778" t="s">
        <v>6</v>
      </c>
      <c r="F7778" t="s">
        <v>251</v>
      </c>
      <c r="G7778">
        <v>1</v>
      </c>
      <c r="H7778" s="2">
        <f>Tabelle13[[#This Row],[commits]]/Tabelle13[[#Totals],[commits]]</f>
        <v>4.6477904404246225E-6</v>
      </c>
      <c r="I7778" s="5">
        <f>Tabelle13[[#This Row],[%]]+I7777</f>
        <v>0.99410195393100698</v>
      </c>
      <c r="J7778" s="4">
        <f t="shared" si="275"/>
        <v>1.105583195135434E-4</v>
      </c>
      <c r="K7778" s="5">
        <f t="shared" si="276"/>
        <v>0.85970149253742312</v>
      </c>
    </row>
    <row r="7779" spans="1:11" x14ac:dyDescent="0.25">
      <c r="A7779" t="s">
        <v>15149</v>
      </c>
      <c r="C7779" t="s">
        <v>15150</v>
      </c>
      <c r="D7779" t="s">
        <v>309</v>
      </c>
      <c r="E7779" t="s">
        <v>6</v>
      </c>
      <c r="F7779" t="s">
        <v>251</v>
      </c>
      <c r="G7779">
        <v>1</v>
      </c>
      <c r="H7779" s="2">
        <f>Tabelle13[[#This Row],[commits]]/Tabelle13[[#Totals],[commits]]</f>
        <v>4.6477904404246225E-6</v>
      </c>
      <c r="I7779" s="5">
        <f>Tabelle13[[#This Row],[%]]+I7778</f>
        <v>0.99410660172144738</v>
      </c>
      <c r="J7779" s="4">
        <f t="shared" si="275"/>
        <v>1.105583195135434E-4</v>
      </c>
      <c r="K7779" s="5">
        <f t="shared" si="276"/>
        <v>0.85981205085693668</v>
      </c>
    </row>
    <row r="7780" spans="1:11" x14ac:dyDescent="0.25">
      <c r="A7780" t="s">
        <v>15151</v>
      </c>
      <c r="C7780" t="s">
        <v>15152</v>
      </c>
      <c r="D7780" t="s">
        <v>12384</v>
      </c>
      <c r="E7780" t="s">
        <v>6</v>
      </c>
      <c r="F7780" t="s">
        <v>251</v>
      </c>
      <c r="G7780">
        <v>1</v>
      </c>
      <c r="H7780" s="2">
        <f>Tabelle13[[#This Row],[commits]]/Tabelle13[[#Totals],[commits]]</f>
        <v>4.6477904404246225E-6</v>
      </c>
      <c r="I7780" s="5">
        <f>Tabelle13[[#This Row],[%]]+I7779</f>
        <v>0.99411124951188778</v>
      </c>
      <c r="J7780" s="4">
        <f t="shared" si="275"/>
        <v>1.105583195135434E-4</v>
      </c>
      <c r="K7780" s="5">
        <f t="shared" si="276"/>
        <v>0.85992260917645025</v>
      </c>
    </row>
    <row r="7781" spans="1:11" x14ac:dyDescent="0.25">
      <c r="A7781" t="s">
        <v>15153</v>
      </c>
      <c r="C7781" t="s">
        <v>15154</v>
      </c>
      <c r="D7781" t="s">
        <v>12384</v>
      </c>
      <c r="E7781" t="s">
        <v>6</v>
      </c>
      <c r="F7781" t="s">
        <v>251</v>
      </c>
      <c r="G7781">
        <v>1</v>
      </c>
      <c r="H7781" s="2">
        <f>Tabelle13[[#This Row],[commits]]/Tabelle13[[#Totals],[commits]]</f>
        <v>4.6477904404246225E-6</v>
      </c>
      <c r="I7781" s="5">
        <f>Tabelle13[[#This Row],[%]]+I7780</f>
        <v>0.99411589730232819</v>
      </c>
      <c r="J7781" s="4">
        <f t="shared" si="275"/>
        <v>1.105583195135434E-4</v>
      </c>
      <c r="K7781" s="5">
        <f t="shared" si="276"/>
        <v>0.86003316749596381</v>
      </c>
    </row>
    <row r="7782" spans="1:11" x14ac:dyDescent="0.25">
      <c r="A7782" t="s">
        <v>15155</v>
      </c>
      <c r="C7782" t="s">
        <v>15156</v>
      </c>
      <c r="D7782" t="s">
        <v>5</v>
      </c>
      <c r="E7782" t="s">
        <v>6</v>
      </c>
      <c r="F7782" t="s">
        <v>251</v>
      </c>
      <c r="G7782">
        <v>1</v>
      </c>
      <c r="H7782" s="2">
        <f>Tabelle13[[#This Row],[commits]]/Tabelle13[[#Totals],[commits]]</f>
        <v>4.6477904404246225E-6</v>
      </c>
      <c r="I7782" s="5">
        <f>Tabelle13[[#This Row],[%]]+I7781</f>
        <v>0.99412054509276859</v>
      </c>
      <c r="J7782" s="4">
        <f t="shared" si="275"/>
        <v>1.105583195135434E-4</v>
      </c>
      <c r="K7782" s="5">
        <f t="shared" si="276"/>
        <v>0.86014372581547738</v>
      </c>
    </row>
    <row r="7783" spans="1:11" x14ac:dyDescent="0.25">
      <c r="A7783" t="s">
        <v>15157</v>
      </c>
      <c r="C7783" t="s">
        <v>15158</v>
      </c>
      <c r="D7783" t="s">
        <v>5</v>
      </c>
      <c r="E7783" t="s">
        <v>6</v>
      </c>
      <c r="F7783" t="s">
        <v>251</v>
      </c>
      <c r="G7783">
        <v>1</v>
      </c>
      <c r="H7783" s="2">
        <f>Tabelle13[[#This Row],[commits]]/Tabelle13[[#Totals],[commits]]</f>
        <v>4.6477904404246225E-6</v>
      </c>
      <c r="I7783" s="5">
        <f>Tabelle13[[#This Row],[%]]+I7782</f>
        <v>0.994125192883209</v>
      </c>
      <c r="J7783" s="4">
        <f t="shared" si="275"/>
        <v>1.105583195135434E-4</v>
      </c>
      <c r="K7783" s="5">
        <f t="shared" si="276"/>
        <v>0.86025428413499094</v>
      </c>
    </row>
    <row r="7784" spans="1:11" x14ac:dyDescent="0.25">
      <c r="A7784" t="s">
        <v>15159</v>
      </c>
      <c r="C7784" t="s">
        <v>15160</v>
      </c>
      <c r="D7784" t="s">
        <v>5</v>
      </c>
      <c r="E7784" t="s">
        <v>6</v>
      </c>
      <c r="F7784" t="s">
        <v>251</v>
      </c>
      <c r="G7784">
        <v>1</v>
      </c>
      <c r="H7784" s="2">
        <f>Tabelle13[[#This Row],[commits]]/Tabelle13[[#Totals],[commits]]</f>
        <v>4.6477904404246225E-6</v>
      </c>
      <c r="I7784" s="5">
        <f>Tabelle13[[#This Row],[%]]+I7783</f>
        <v>0.9941298406736494</v>
      </c>
      <c r="J7784" s="4">
        <f t="shared" si="275"/>
        <v>1.105583195135434E-4</v>
      </c>
      <c r="K7784" s="5">
        <f t="shared" si="276"/>
        <v>0.86036484245450451</v>
      </c>
    </row>
    <row r="7785" spans="1:11" x14ac:dyDescent="0.25">
      <c r="A7785" t="s">
        <v>15161</v>
      </c>
      <c r="C7785" t="s">
        <v>1027</v>
      </c>
      <c r="D7785" t="s">
        <v>15162</v>
      </c>
      <c r="E7785" t="s">
        <v>6</v>
      </c>
      <c r="F7785" t="s">
        <v>251</v>
      </c>
      <c r="G7785">
        <v>1</v>
      </c>
      <c r="H7785" s="2">
        <f>Tabelle13[[#This Row],[commits]]/Tabelle13[[#Totals],[commits]]</f>
        <v>4.6477904404246225E-6</v>
      </c>
      <c r="I7785" s="5">
        <f>Tabelle13[[#This Row],[%]]+I7784</f>
        <v>0.9941344884640898</v>
      </c>
      <c r="J7785" s="4">
        <f t="shared" si="275"/>
        <v>1.105583195135434E-4</v>
      </c>
      <c r="K7785" s="5">
        <f t="shared" si="276"/>
        <v>0.86047540077401807</v>
      </c>
    </row>
    <row r="7786" spans="1:11" x14ac:dyDescent="0.25">
      <c r="A7786" t="s">
        <v>15163</v>
      </c>
      <c r="C7786" t="s">
        <v>15164</v>
      </c>
      <c r="D7786" t="s">
        <v>15165</v>
      </c>
      <c r="E7786" t="s">
        <v>6</v>
      </c>
      <c r="F7786" t="s">
        <v>251</v>
      </c>
      <c r="G7786">
        <v>1</v>
      </c>
      <c r="H7786" s="2">
        <f>Tabelle13[[#This Row],[commits]]/Tabelle13[[#Totals],[commits]]</f>
        <v>4.6477904404246225E-6</v>
      </c>
      <c r="I7786" s="5">
        <f>Tabelle13[[#This Row],[%]]+I7785</f>
        <v>0.99413913625453021</v>
      </c>
      <c r="J7786" s="4">
        <f t="shared" si="275"/>
        <v>1.105583195135434E-4</v>
      </c>
      <c r="K7786" s="5">
        <f t="shared" si="276"/>
        <v>0.86058595909353164</v>
      </c>
    </row>
    <row r="7787" spans="1:11" x14ac:dyDescent="0.25">
      <c r="A7787" t="s">
        <v>15166</v>
      </c>
      <c r="C7787" t="s">
        <v>15167</v>
      </c>
      <c r="D7787" t="s">
        <v>309</v>
      </c>
      <c r="E7787" t="s">
        <v>6</v>
      </c>
      <c r="F7787" t="s">
        <v>251</v>
      </c>
      <c r="G7787">
        <v>1</v>
      </c>
      <c r="H7787" s="2">
        <f>Tabelle13[[#This Row],[commits]]/Tabelle13[[#Totals],[commits]]</f>
        <v>4.6477904404246225E-6</v>
      </c>
      <c r="I7787" s="5">
        <f>Tabelle13[[#This Row],[%]]+I7786</f>
        <v>0.99414378404497061</v>
      </c>
      <c r="J7787" s="4">
        <f t="shared" si="275"/>
        <v>1.105583195135434E-4</v>
      </c>
      <c r="K7787" s="5">
        <f t="shared" si="276"/>
        <v>0.8606965174130452</v>
      </c>
    </row>
    <row r="7788" spans="1:11" x14ac:dyDescent="0.25">
      <c r="A7788" t="s">
        <v>15168</v>
      </c>
      <c r="C7788" t="s">
        <v>15169</v>
      </c>
      <c r="D7788" t="s">
        <v>5</v>
      </c>
      <c r="E7788" t="s">
        <v>6</v>
      </c>
      <c r="F7788" t="s">
        <v>251</v>
      </c>
      <c r="G7788">
        <v>1</v>
      </c>
      <c r="H7788" s="2">
        <f>Tabelle13[[#This Row],[commits]]/Tabelle13[[#Totals],[commits]]</f>
        <v>4.6477904404246225E-6</v>
      </c>
      <c r="I7788" s="5">
        <f>Tabelle13[[#This Row],[%]]+I7787</f>
        <v>0.99414843183541102</v>
      </c>
      <c r="J7788" s="4">
        <f t="shared" si="275"/>
        <v>1.105583195135434E-4</v>
      </c>
      <c r="K7788" s="5">
        <f t="shared" si="276"/>
        <v>0.86080707573255877</v>
      </c>
    </row>
    <row r="7789" spans="1:11" x14ac:dyDescent="0.25">
      <c r="A7789" t="s">
        <v>15170</v>
      </c>
      <c r="C7789" t="s">
        <v>15171</v>
      </c>
      <c r="D7789" t="s">
        <v>7531</v>
      </c>
      <c r="E7789" t="s">
        <v>6</v>
      </c>
      <c r="F7789" t="s">
        <v>251</v>
      </c>
      <c r="G7789">
        <v>1</v>
      </c>
      <c r="H7789" s="2">
        <f>Tabelle13[[#This Row],[commits]]/Tabelle13[[#Totals],[commits]]</f>
        <v>4.6477904404246225E-6</v>
      </c>
      <c r="I7789" s="5">
        <f>Tabelle13[[#This Row],[%]]+I7788</f>
        <v>0.99415307962585142</v>
      </c>
      <c r="J7789" s="4">
        <f t="shared" si="275"/>
        <v>1.105583195135434E-4</v>
      </c>
      <c r="K7789" s="5">
        <f t="shared" si="276"/>
        <v>0.86091763405207233</v>
      </c>
    </row>
    <row r="7790" spans="1:11" x14ac:dyDescent="0.25">
      <c r="A7790" t="s">
        <v>15172</v>
      </c>
      <c r="C7790" t="s">
        <v>15173</v>
      </c>
      <c r="D7790" t="s">
        <v>5</v>
      </c>
      <c r="E7790" t="s">
        <v>6</v>
      </c>
      <c r="F7790" t="s">
        <v>251</v>
      </c>
      <c r="G7790">
        <v>1</v>
      </c>
      <c r="H7790" s="2">
        <f>Tabelle13[[#This Row],[commits]]/Tabelle13[[#Totals],[commits]]</f>
        <v>4.6477904404246225E-6</v>
      </c>
      <c r="I7790" s="5">
        <f>Tabelle13[[#This Row],[%]]+I7789</f>
        <v>0.99415772741629183</v>
      </c>
      <c r="J7790" s="4">
        <f t="shared" si="275"/>
        <v>1.105583195135434E-4</v>
      </c>
      <c r="K7790" s="5">
        <f t="shared" si="276"/>
        <v>0.8610281923715859</v>
      </c>
    </row>
    <row r="7791" spans="1:11" x14ac:dyDescent="0.25">
      <c r="A7791" t="s">
        <v>15174</v>
      </c>
      <c r="C7791" t="s">
        <v>15175</v>
      </c>
      <c r="D7791" t="s">
        <v>7531</v>
      </c>
      <c r="E7791" t="s">
        <v>6</v>
      </c>
      <c r="F7791" t="s">
        <v>251</v>
      </c>
      <c r="G7791">
        <v>1</v>
      </c>
      <c r="H7791" s="2">
        <f>Tabelle13[[#This Row],[commits]]/Tabelle13[[#Totals],[commits]]</f>
        <v>4.6477904404246225E-6</v>
      </c>
      <c r="I7791" s="5">
        <f>Tabelle13[[#This Row],[%]]+I7790</f>
        <v>0.99416237520673223</v>
      </c>
      <c r="J7791" s="4">
        <f t="shared" si="275"/>
        <v>1.105583195135434E-4</v>
      </c>
      <c r="K7791" s="5">
        <f t="shared" si="276"/>
        <v>0.86113875069109946</v>
      </c>
    </row>
    <row r="7792" spans="1:11" x14ac:dyDescent="0.25">
      <c r="A7792" t="s">
        <v>15176</v>
      </c>
      <c r="C7792" t="s">
        <v>15177</v>
      </c>
      <c r="D7792" t="s">
        <v>5</v>
      </c>
      <c r="E7792" t="s">
        <v>6</v>
      </c>
      <c r="F7792" t="s">
        <v>251</v>
      </c>
      <c r="G7792">
        <v>1</v>
      </c>
      <c r="H7792" s="2">
        <f>Tabelle13[[#This Row],[commits]]/Tabelle13[[#Totals],[commits]]</f>
        <v>4.6477904404246225E-6</v>
      </c>
      <c r="I7792" s="5">
        <f>Tabelle13[[#This Row],[%]]+I7791</f>
        <v>0.99416702299717263</v>
      </c>
      <c r="J7792" s="4">
        <f t="shared" si="275"/>
        <v>1.105583195135434E-4</v>
      </c>
      <c r="K7792" s="5">
        <f t="shared" si="276"/>
        <v>0.86124930901061303</v>
      </c>
    </row>
    <row r="7793" spans="1:11" x14ac:dyDescent="0.25">
      <c r="A7793" t="s">
        <v>15178</v>
      </c>
      <c r="C7793" t="s">
        <v>15179</v>
      </c>
      <c r="D7793" t="s">
        <v>5</v>
      </c>
      <c r="E7793" t="s">
        <v>6</v>
      </c>
      <c r="F7793" t="s">
        <v>251</v>
      </c>
      <c r="G7793">
        <v>1</v>
      </c>
      <c r="H7793" s="2">
        <f>Tabelle13[[#This Row],[commits]]/Tabelle13[[#Totals],[commits]]</f>
        <v>4.6477904404246225E-6</v>
      </c>
      <c r="I7793" s="5">
        <f>Tabelle13[[#This Row],[%]]+I7792</f>
        <v>0.99417167078761304</v>
      </c>
      <c r="J7793" s="4">
        <f t="shared" si="275"/>
        <v>1.105583195135434E-4</v>
      </c>
      <c r="K7793" s="5">
        <f t="shared" si="276"/>
        <v>0.86135986733012659</v>
      </c>
    </row>
    <row r="7794" spans="1:11" x14ac:dyDescent="0.25">
      <c r="A7794" t="s">
        <v>15180</v>
      </c>
      <c r="C7794" t="s">
        <v>15181</v>
      </c>
      <c r="D7794" t="s">
        <v>309</v>
      </c>
      <c r="E7794" t="s">
        <v>6</v>
      </c>
      <c r="F7794" t="s">
        <v>251</v>
      </c>
      <c r="G7794">
        <v>1</v>
      </c>
      <c r="H7794" s="2">
        <f>Tabelle13[[#This Row],[commits]]/Tabelle13[[#Totals],[commits]]</f>
        <v>4.6477904404246225E-6</v>
      </c>
      <c r="I7794" s="5">
        <f>Tabelle13[[#This Row],[%]]+I7793</f>
        <v>0.99417631857805344</v>
      </c>
      <c r="J7794" s="4">
        <f t="shared" si="275"/>
        <v>1.105583195135434E-4</v>
      </c>
      <c r="K7794" s="5">
        <f t="shared" si="276"/>
        <v>0.86147042564964016</v>
      </c>
    </row>
    <row r="7795" spans="1:11" x14ac:dyDescent="0.25">
      <c r="A7795" t="s">
        <v>15182</v>
      </c>
      <c r="C7795" t="s">
        <v>15183</v>
      </c>
      <c r="D7795" t="s">
        <v>5</v>
      </c>
      <c r="E7795" t="s">
        <v>6</v>
      </c>
      <c r="F7795" t="s">
        <v>251</v>
      </c>
      <c r="G7795">
        <v>1</v>
      </c>
      <c r="H7795" s="2">
        <f>Tabelle13[[#This Row],[commits]]/Tabelle13[[#Totals],[commits]]</f>
        <v>4.6477904404246225E-6</v>
      </c>
      <c r="I7795" s="5">
        <f>Tabelle13[[#This Row],[%]]+I7794</f>
        <v>0.99418096636849385</v>
      </c>
      <c r="J7795" s="4">
        <f t="shared" si="275"/>
        <v>1.105583195135434E-4</v>
      </c>
      <c r="K7795" s="5">
        <f t="shared" si="276"/>
        <v>0.86158098396915372</v>
      </c>
    </row>
    <row r="7796" spans="1:11" x14ac:dyDescent="0.25">
      <c r="A7796" t="s">
        <v>15184</v>
      </c>
      <c r="C7796" t="s">
        <v>15185</v>
      </c>
      <c r="D7796" t="s">
        <v>5</v>
      </c>
      <c r="E7796" t="s">
        <v>6</v>
      </c>
      <c r="F7796" t="s">
        <v>251</v>
      </c>
      <c r="G7796">
        <v>1</v>
      </c>
      <c r="H7796" s="2">
        <f>Tabelle13[[#This Row],[commits]]/Tabelle13[[#Totals],[commits]]</f>
        <v>4.6477904404246225E-6</v>
      </c>
      <c r="I7796" s="5">
        <f>Tabelle13[[#This Row],[%]]+I7795</f>
        <v>0.99418561415893425</v>
      </c>
      <c r="J7796" s="4">
        <f t="shared" si="275"/>
        <v>1.105583195135434E-4</v>
      </c>
      <c r="K7796" s="5">
        <f t="shared" si="276"/>
        <v>0.86169154228866729</v>
      </c>
    </row>
    <row r="7797" spans="1:11" x14ac:dyDescent="0.25">
      <c r="A7797" t="s">
        <v>15186</v>
      </c>
      <c r="C7797" t="s">
        <v>15187</v>
      </c>
      <c r="D7797" t="s">
        <v>5</v>
      </c>
      <c r="E7797" t="s">
        <v>6</v>
      </c>
      <c r="F7797" t="s">
        <v>251</v>
      </c>
      <c r="G7797">
        <v>1</v>
      </c>
      <c r="H7797" s="2">
        <f>Tabelle13[[#This Row],[commits]]/Tabelle13[[#Totals],[commits]]</f>
        <v>4.6477904404246225E-6</v>
      </c>
      <c r="I7797" s="5">
        <f>Tabelle13[[#This Row],[%]]+I7796</f>
        <v>0.99419026194937465</v>
      </c>
      <c r="J7797" s="4">
        <f t="shared" si="275"/>
        <v>1.105583195135434E-4</v>
      </c>
      <c r="K7797" s="5">
        <f t="shared" si="276"/>
        <v>0.86180210060818085</v>
      </c>
    </row>
    <row r="7798" spans="1:11" x14ac:dyDescent="0.25">
      <c r="A7798" t="s">
        <v>15188</v>
      </c>
      <c r="C7798" t="s">
        <v>15189</v>
      </c>
      <c r="D7798" t="s">
        <v>5</v>
      </c>
      <c r="E7798" t="s">
        <v>6</v>
      </c>
      <c r="F7798" t="s">
        <v>251</v>
      </c>
      <c r="G7798">
        <v>1</v>
      </c>
      <c r="H7798" s="2">
        <f>Tabelle13[[#This Row],[commits]]/Tabelle13[[#Totals],[commits]]</f>
        <v>4.6477904404246225E-6</v>
      </c>
      <c r="I7798" s="5">
        <f>Tabelle13[[#This Row],[%]]+I7797</f>
        <v>0.99419490973981506</v>
      </c>
      <c r="J7798" s="4">
        <f t="shared" si="275"/>
        <v>1.105583195135434E-4</v>
      </c>
      <c r="K7798" s="5">
        <f t="shared" si="276"/>
        <v>0.86191265892769442</v>
      </c>
    </row>
    <row r="7799" spans="1:11" x14ac:dyDescent="0.25">
      <c r="A7799" t="s">
        <v>15190</v>
      </c>
      <c r="C7799" t="s">
        <v>15191</v>
      </c>
      <c r="D7799" t="s">
        <v>5</v>
      </c>
      <c r="E7799" t="s">
        <v>6</v>
      </c>
      <c r="F7799" t="s">
        <v>251</v>
      </c>
      <c r="G7799">
        <v>1</v>
      </c>
      <c r="H7799" s="2">
        <f>Tabelle13[[#This Row],[commits]]/Tabelle13[[#Totals],[commits]]</f>
        <v>4.6477904404246225E-6</v>
      </c>
      <c r="I7799" s="5">
        <f>Tabelle13[[#This Row],[%]]+I7798</f>
        <v>0.99419955753025546</v>
      </c>
      <c r="J7799" s="4">
        <f t="shared" si="275"/>
        <v>1.105583195135434E-4</v>
      </c>
      <c r="K7799" s="5">
        <f t="shared" si="276"/>
        <v>0.86202321724720798</v>
      </c>
    </row>
    <row r="7800" spans="1:11" x14ac:dyDescent="0.25">
      <c r="A7800" t="s">
        <v>15192</v>
      </c>
      <c r="C7800" t="s">
        <v>4055</v>
      </c>
      <c r="D7800" t="s">
        <v>5</v>
      </c>
      <c r="E7800" t="s">
        <v>6</v>
      </c>
      <c r="F7800" t="s">
        <v>251</v>
      </c>
      <c r="G7800">
        <v>1</v>
      </c>
      <c r="H7800" s="2">
        <f>Tabelle13[[#This Row],[commits]]/Tabelle13[[#Totals],[commits]]</f>
        <v>4.6477904404246225E-6</v>
      </c>
      <c r="I7800" s="5">
        <f>Tabelle13[[#This Row],[%]]+I7799</f>
        <v>0.99420420532069587</v>
      </c>
      <c r="J7800" s="4">
        <f t="shared" si="275"/>
        <v>1.105583195135434E-4</v>
      </c>
      <c r="K7800" s="5">
        <f t="shared" si="276"/>
        <v>0.86213377556672155</v>
      </c>
    </row>
    <row r="7801" spans="1:11" x14ac:dyDescent="0.25">
      <c r="A7801" t="s">
        <v>15193</v>
      </c>
      <c r="C7801" t="s">
        <v>15194</v>
      </c>
      <c r="D7801" t="s">
        <v>13693</v>
      </c>
      <c r="E7801" t="s">
        <v>6</v>
      </c>
      <c r="F7801" t="s">
        <v>251</v>
      </c>
      <c r="G7801">
        <v>1</v>
      </c>
      <c r="H7801" s="2">
        <f>Tabelle13[[#This Row],[commits]]/Tabelle13[[#Totals],[commits]]</f>
        <v>4.6477904404246225E-6</v>
      </c>
      <c r="I7801" s="5">
        <f>Tabelle13[[#This Row],[%]]+I7800</f>
        <v>0.99420885311113627</v>
      </c>
      <c r="J7801" s="4">
        <f t="shared" si="275"/>
        <v>1.105583195135434E-4</v>
      </c>
      <c r="K7801" s="5">
        <f t="shared" si="276"/>
        <v>0.86224433388623511</v>
      </c>
    </row>
    <row r="7802" spans="1:11" x14ac:dyDescent="0.25">
      <c r="A7802" t="s">
        <v>15195</v>
      </c>
      <c r="C7802" t="s">
        <v>15196</v>
      </c>
      <c r="D7802" t="s">
        <v>5</v>
      </c>
      <c r="E7802" t="s">
        <v>6</v>
      </c>
      <c r="F7802" t="s">
        <v>251</v>
      </c>
      <c r="G7802">
        <v>1</v>
      </c>
      <c r="H7802" s="2">
        <f>Tabelle13[[#This Row],[commits]]/Tabelle13[[#Totals],[commits]]</f>
        <v>4.6477904404246225E-6</v>
      </c>
      <c r="I7802" s="5">
        <f>Tabelle13[[#This Row],[%]]+I7801</f>
        <v>0.99421350090157667</v>
      </c>
      <c r="J7802" s="4">
        <f t="shared" si="275"/>
        <v>1.105583195135434E-4</v>
      </c>
      <c r="K7802" s="5">
        <f t="shared" si="276"/>
        <v>0.86235489220574868</v>
      </c>
    </row>
    <row r="7803" spans="1:11" x14ac:dyDescent="0.25">
      <c r="A7803" t="s">
        <v>15197</v>
      </c>
      <c r="C7803" t="s">
        <v>15198</v>
      </c>
      <c r="D7803" t="s">
        <v>5</v>
      </c>
      <c r="E7803" t="s">
        <v>6</v>
      </c>
      <c r="F7803" t="s">
        <v>251</v>
      </c>
      <c r="G7803">
        <v>1</v>
      </c>
      <c r="H7803" s="2">
        <f>Tabelle13[[#This Row],[commits]]/Tabelle13[[#Totals],[commits]]</f>
        <v>4.6477904404246225E-6</v>
      </c>
      <c r="I7803" s="5">
        <f>Tabelle13[[#This Row],[%]]+I7802</f>
        <v>0.99421814869201708</v>
      </c>
      <c r="J7803" s="4">
        <f t="shared" si="275"/>
        <v>1.105583195135434E-4</v>
      </c>
      <c r="K7803" s="5">
        <f t="shared" si="276"/>
        <v>0.86246545052526224</v>
      </c>
    </row>
    <row r="7804" spans="1:11" x14ac:dyDescent="0.25">
      <c r="A7804" t="s">
        <v>15199</v>
      </c>
      <c r="C7804" t="s">
        <v>15200</v>
      </c>
      <c r="D7804" t="s">
        <v>5</v>
      </c>
      <c r="E7804" t="s">
        <v>6</v>
      </c>
      <c r="F7804" t="s">
        <v>251</v>
      </c>
      <c r="G7804">
        <v>1</v>
      </c>
      <c r="H7804" s="2">
        <f>Tabelle13[[#This Row],[commits]]/Tabelle13[[#Totals],[commits]]</f>
        <v>4.6477904404246225E-6</v>
      </c>
      <c r="I7804" s="5">
        <f>Tabelle13[[#This Row],[%]]+I7803</f>
        <v>0.99422279648245748</v>
      </c>
      <c r="J7804" s="4">
        <f t="shared" si="275"/>
        <v>1.105583195135434E-4</v>
      </c>
      <c r="K7804" s="5">
        <f t="shared" si="276"/>
        <v>0.86257600884477581</v>
      </c>
    </row>
    <row r="7805" spans="1:11" x14ac:dyDescent="0.25">
      <c r="A7805" t="s">
        <v>15201</v>
      </c>
      <c r="C7805" t="s">
        <v>15202</v>
      </c>
      <c r="D7805" t="s">
        <v>309</v>
      </c>
      <c r="E7805" t="s">
        <v>6</v>
      </c>
      <c r="F7805" t="s">
        <v>251</v>
      </c>
      <c r="G7805">
        <v>1</v>
      </c>
      <c r="H7805" s="2">
        <f>Tabelle13[[#This Row],[commits]]/Tabelle13[[#Totals],[commits]]</f>
        <v>4.6477904404246225E-6</v>
      </c>
      <c r="I7805" s="5">
        <f>Tabelle13[[#This Row],[%]]+I7804</f>
        <v>0.99422744427289789</v>
      </c>
      <c r="J7805" s="4">
        <f t="shared" si="275"/>
        <v>1.105583195135434E-4</v>
      </c>
      <c r="K7805" s="5">
        <f t="shared" si="276"/>
        <v>0.86268656716428938</v>
      </c>
    </row>
    <row r="7806" spans="1:11" x14ac:dyDescent="0.25">
      <c r="A7806" t="s">
        <v>15203</v>
      </c>
      <c r="C7806" t="s">
        <v>187</v>
      </c>
      <c r="D7806" t="s">
        <v>5</v>
      </c>
      <c r="E7806" t="s">
        <v>6</v>
      </c>
      <c r="F7806" t="s">
        <v>251</v>
      </c>
      <c r="G7806">
        <v>1</v>
      </c>
      <c r="H7806" s="2">
        <f>Tabelle13[[#This Row],[commits]]/Tabelle13[[#Totals],[commits]]</f>
        <v>4.6477904404246225E-6</v>
      </c>
      <c r="I7806" s="5">
        <f>Tabelle13[[#This Row],[%]]+I7805</f>
        <v>0.99423209206333829</v>
      </c>
      <c r="J7806" s="4">
        <f t="shared" si="275"/>
        <v>1.105583195135434E-4</v>
      </c>
      <c r="K7806" s="5">
        <f t="shared" si="276"/>
        <v>0.86279712548380294</v>
      </c>
    </row>
    <row r="7807" spans="1:11" x14ac:dyDescent="0.25">
      <c r="A7807" t="s">
        <v>15204</v>
      </c>
      <c r="C7807" t="s">
        <v>15205</v>
      </c>
      <c r="D7807" t="s">
        <v>5</v>
      </c>
      <c r="E7807" t="s">
        <v>6</v>
      </c>
      <c r="F7807" t="s">
        <v>251</v>
      </c>
      <c r="G7807">
        <v>1</v>
      </c>
      <c r="H7807" s="2">
        <f>Tabelle13[[#This Row],[commits]]/Tabelle13[[#Totals],[commits]]</f>
        <v>4.6477904404246225E-6</v>
      </c>
      <c r="I7807" s="5">
        <f>Tabelle13[[#This Row],[%]]+I7806</f>
        <v>0.99423673985377869</v>
      </c>
      <c r="J7807" s="4">
        <f t="shared" si="275"/>
        <v>1.105583195135434E-4</v>
      </c>
      <c r="K7807" s="5">
        <f t="shared" si="276"/>
        <v>0.86290768380331651</v>
      </c>
    </row>
    <row r="7808" spans="1:11" x14ac:dyDescent="0.25">
      <c r="A7808" t="s">
        <v>15206</v>
      </c>
      <c r="C7808" t="s">
        <v>15207</v>
      </c>
      <c r="D7808" t="s">
        <v>5</v>
      </c>
      <c r="E7808" t="s">
        <v>6</v>
      </c>
      <c r="F7808" t="s">
        <v>251</v>
      </c>
      <c r="G7808">
        <v>1</v>
      </c>
      <c r="H7808" s="2">
        <f>Tabelle13[[#This Row],[commits]]/Tabelle13[[#Totals],[commits]]</f>
        <v>4.6477904404246225E-6</v>
      </c>
      <c r="I7808" s="5">
        <f>Tabelle13[[#This Row],[%]]+I7807</f>
        <v>0.9942413876442191</v>
      </c>
      <c r="J7808" s="4">
        <f t="shared" si="275"/>
        <v>1.105583195135434E-4</v>
      </c>
      <c r="K7808" s="5">
        <f t="shared" si="276"/>
        <v>0.86301824212283007</v>
      </c>
    </row>
    <row r="7809" spans="1:11" x14ac:dyDescent="0.25">
      <c r="A7809" t="s">
        <v>15208</v>
      </c>
      <c r="C7809" t="s">
        <v>15209</v>
      </c>
      <c r="D7809" t="s">
        <v>5</v>
      </c>
      <c r="E7809" t="s">
        <v>6</v>
      </c>
      <c r="F7809" t="s">
        <v>251</v>
      </c>
      <c r="G7809">
        <v>1</v>
      </c>
      <c r="H7809" s="2">
        <f>Tabelle13[[#This Row],[commits]]/Tabelle13[[#Totals],[commits]]</f>
        <v>4.6477904404246225E-6</v>
      </c>
      <c r="I7809" s="5">
        <f>Tabelle13[[#This Row],[%]]+I7808</f>
        <v>0.9942460354346595</v>
      </c>
      <c r="J7809" s="4">
        <f t="shared" si="275"/>
        <v>1.105583195135434E-4</v>
      </c>
      <c r="K7809" s="5">
        <f t="shared" si="276"/>
        <v>0.86312880044234364</v>
      </c>
    </row>
    <row r="7810" spans="1:11" x14ac:dyDescent="0.25">
      <c r="A7810" t="s">
        <v>15210</v>
      </c>
      <c r="C7810" t="s">
        <v>15211</v>
      </c>
      <c r="D7810" t="s">
        <v>5</v>
      </c>
      <c r="E7810" t="s">
        <v>6</v>
      </c>
      <c r="F7810" t="s">
        <v>251</v>
      </c>
      <c r="G7810">
        <v>1</v>
      </c>
      <c r="H7810" s="2">
        <f>Tabelle13[[#This Row],[commits]]/Tabelle13[[#Totals],[commits]]</f>
        <v>4.6477904404246225E-6</v>
      </c>
      <c r="I7810" s="5">
        <f>Tabelle13[[#This Row],[%]]+I7809</f>
        <v>0.99425068322509991</v>
      </c>
      <c r="J7810" s="4">
        <f t="shared" si="275"/>
        <v>1.105583195135434E-4</v>
      </c>
      <c r="K7810" s="5">
        <f t="shared" si="276"/>
        <v>0.8632393587618572</v>
      </c>
    </row>
    <row r="7811" spans="1:11" x14ac:dyDescent="0.25">
      <c r="A7811" t="s">
        <v>15212</v>
      </c>
      <c r="C7811" t="s">
        <v>15213</v>
      </c>
      <c r="D7811" t="s">
        <v>4461</v>
      </c>
      <c r="E7811" t="s">
        <v>6</v>
      </c>
      <c r="F7811" t="s">
        <v>251</v>
      </c>
      <c r="G7811">
        <v>1</v>
      </c>
      <c r="H7811" s="2">
        <f>Tabelle13[[#This Row],[commits]]/Tabelle13[[#Totals],[commits]]</f>
        <v>4.6477904404246225E-6</v>
      </c>
      <c r="I7811" s="5">
        <f>Tabelle13[[#This Row],[%]]+I7810</f>
        <v>0.99425533101554031</v>
      </c>
      <c r="J7811" s="4">
        <f t="shared" ref="J7811:J7874" si="277">1/9045</f>
        <v>1.105583195135434E-4</v>
      </c>
      <c r="K7811" s="5">
        <f t="shared" si="276"/>
        <v>0.86334991708137077</v>
      </c>
    </row>
    <row r="7812" spans="1:11" x14ac:dyDescent="0.25">
      <c r="A7812" t="s">
        <v>15214</v>
      </c>
      <c r="C7812" t="s">
        <v>15215</v>
      </c>
      <c r="D7812" t="s">
        <v>309</v>
      </c>
      <c r="E7812" t="s">
        <v>6</v>
      </c>
      <c r="F7812" t="s">
        <v>251</v>
      </c>
      <c r="G7812">
        <v>1</v>
      </c>
      <c r="H7812" s="2">
        <f>Tabelle13[[#This Row],[commits]]/Tabelle13[[#Totals],[commits]]</f>
        <v>4.6477904404246225E-6</v>
      </c>
      <c r="I7812" s="5">
        <f>Tabelle13[[#This Row],[%]]+I7811</f>
        <v>0.99425997880598072</v>
      </c>
      <c r="J7812" s="4">
        <f t="shared" si="277"/>
        <v>1.105583195135434E-4</v>
      </c>
      <c r="K7812" s="5">
        <f t="shared" si="276"/>
        <v>0.86346047540088433</v>
      </c>
    </row>
    <row r="7813" spans="1:11" x14ac:dyDescent="0.25">
      <c r="A7813" t="s">
        <v>15216</v>
      </c>
      <c r="C7813" t="s">
        <v>15217</v>
      </c>
      <c r="D7813" t="s">
        <v>5</v>
      </c>
      <c r="E7813" t="s">
        <v>6</v>
      </c>
      <c r="F7813" t="s">
        <v>251</v>
      </c>
      <c r="G7813">
        <v>1</v>
      </c>
      <c r="H7813" s="2">
        <f>Tabelle13[[#This Row],[commits]]/Tabelle13[[#Totals],[commits]]</f>
        <v>4.6477904404246225E-6</v>
      </c>
      <c r="I7813" s="5">
        <f>Tabelle13[[#This Row],[%]]+I7812</f>
        <v>0.99426462659642112</v>
      </c>
      <c r="J7813" s="4">
        <f t="shared" si="277"/>
        <v>1.105583195135434E-4</v>
      </c>
      <c r="K7813" s="5">
        <f t="shared" si="276"/>
        <v>0.8635710337203979</v>
      </c>
    </row>
    <row r="7814" spans="1:11" x14ac:dyDescent="0.25">
      <c r="A7814" t="s">
        <v>15218</v>
      </c>
      <c r="C7814" t="s">
        <v>15219</v>
      </c>
      <c r="D7814" t="s">
        <v>15220</v>
      </c>
      <c r="E7814" t="s">
        <v>6</v>
      </c>
      <c r="F7814" t="s">
        <v>251</v>
      </c>
      <c r="G7814">
        <v>1</v>
      </c>
      <c r="H7814" s="2">
        <f>Tabelle13[[#This Row],[commits]]/Tabelle13[[#Totals],[commits]]</f>
        <v>4.6477904404246225E-6</v>
      </c>
      <c r="I7814" s="5">
        <f>Tabelle13[[#This Row],[%]]+I7813</f>
        <v>0.99426927438686152</v>
      </c>
      <c r="J7814" s="4">
        <f t="shared" si="277"/>
        <v>1.105583195135434E-4</v>
      </c>
      <c r="K7814" s="5">
        <f t="shared" ref="K7814:K7877" si="278">J7814+K7813</f>
        <v>0.86368159203991146</v>
      </c>
    </row>
    <row r="7815" spans="1:11" x14ac:dyDescent="0.25">
      <c r="A7815" t="s">
        <v>15221</v>
      </c>
      <c r="C7815" t="s">
        <v>15222</v>
      </c>
      <c r="D7815" t="s">
        <v>5</v>
      </c>
      <c r="E7815" t="s">
        <v>6</v>
      </c>
      <c r="F7815" t="s">
        <v>251</v>
      </c>
      <c r="G7815">
        <v>1</v>
      </c>
      <c r="H7815" s="2">
        <f>Tabelle13[[#This Row],[commits]]/Tabelle13[[#Totals],[commits]]</f>
        <v>4.6477904404246225E-6</v>
      </c>
      <c r="I7815" s="5">
        <f>Tabelle13[[#This Row],[%]]+I7814</f>
        <v>0.99427392217730193</v>
      </c>
      <c r="J7815" s="4">
        <f t="shared" si="277"/>
        <v>1.105583195135434E-4</v>
      </c>
      <c r="K7815" s="5">
        <f t="shared" si="278"/>
        <v>0.86379215035942503</v>
      </c>
    </row>
    <row r="7816" spans="1:11" x14ac:dyDescent="0.25">
      <c r="A7816" t="s">
        <v>15223</v>
      </c>
      <c r="C7816" t="s">
        <v>15224</v>
      </c>
      <c r="D7816" t="s">
        <v>5</v>
      </c>
      <c r="E7816" t="s">
        <v>6</v>
      </c>
      <c r="F7816" t="s">
        <v>251</v>
      </c>
      <c r="G7816">
        <v>1</v>
      </c>
      <c r="H7816" s="2">
        <f>Tabelle13[[#This Row],[commits]]/Tabelle13[[#Totals],[commits]]</f>
        <v>4.6477904404246225E-6</v>
      </c>
      <c r="I7816" s="5">
        <f>Tabelle13[[#This Row],[%]]+I7815</f>
        <v>0.99427856996774233</v>
      </c>
      <c r="J7816" s="4">
        <f t="shared" si="277"/>
        <v>1.105583195135434E-4</v>
      </c>
      <c r="K7816" s="5">
        <f t="shared" si="278"/>
        <v>0.86390270867893859</v>
      </c>
    </row>
    <row r="7817" spans="1:11" x14ac:dyDescent="0.25">
      <c r="A7817" t="s">
        <v>15225</v>
      </c>
      <c r="C7817" t="s">
        <v>15226</v>
      </c>
      <c r="D7817" t="s">
        <v>5</v>
      </c>
      <c r="E7817" t="s">
        <v>6</v>
      </c>
      <c r="F7817" t="s">
        <v>251</v>
      </c>
      <c r="G7817">
        <v>1</v>
      </c>
      <c r="H7817" s="2">
        <f>Tabelle13[[#This Row],[commits]]/Tabelle13[[#Totals],[commits]]</f>
        <v>4.6477904404246225E-6</v>
      </c>
      <c r="I7817" s="5">
        <f>Tabelle13[[#This Row],[%]]+I7816</f>
        <v>0.99428321775818274</v>
      </c>
      <c r="J7817" s="4">
        <f t="shared" si="277"/>
        <v>1.105583195135434E-4</v>
      </c>
      <c r="K7817" s="5">
        <f t="shared" si="278"/>
        <v>0.86401326699845216</v>
      </c>
    </row>
    <row r="7818" spans="1:11" x14ac:dyDescent="0.25">
      <c r="A7818" t="s">
        <v>15227</v>
      </c>
      <c r="C7818" t="s">
        <v>15228</v>
      </c>
      <c r="D7818" t="s">
        <v>5</v>
      </c>
      <c r="E7818" t="s">
        <v>6</v>
      </c>
      <c r="F7818" t="s">
        <v>251</v>
      </c>
      <c r="G7818">
        <v>1</v>
      </c>
      <c r="H7818" s="2">
        <f>Tabelle13[[#This Row],[commits]]/Tabelle13[[#Totals],[commits]]</f>
        <v>4.6477904404246225E-6</v>
      </c>
      <c r="I7818" s="5">
        <f>Tabelle13[[#This Row],[%]]+I7817</f>
        <v>0.99428786554862314</v>
      </c>
      <c r="J7818" s="4">
        <f t="shared" si="277"/>
        <v>1.105583195135434E-4</v>
      </c>
      <c r="K7818" s="5">
        <f t="shared" si="278"/>
        <v>0.86412382531796572</v>
      </c>
    </row>
    <row r="7819" spans="1:11" x14ac:dyDescent="0.25">
      <c r="A7819" t="s">
        <v>15229</v>
      </c>
      <c r="C7819" t="s">
        <v>15230</v>
      </c>
      <c r="D7819" t="s">
        <v>5</v>
      </c>
      <c r="E7819" t="s">
        <v>6</v>
      </c>
      <c r="F7819" t="s">
        <v>251</v>
      </c>
      <c r="G7819">
        <v>1</v>
      </c>
      <c r="H7819" s="2">
        <f>Tabelle13[[#This Row],[commits]]/Tabelle13[[#Totals],[commits]]</f>
        <v>4.6477904404246225E-6</v>
      </c>
      <c r="I7819" s="5">
        <f>Tabelle13[[#This Row],[%]]+I7818</f>
        <v>0.99429251333906354</v>
      </c>
      <c r="J7819" s="4">
        <f t="shared" si="277"/>
        <v>1.105583195135434E-4</v>
      </c>
      <c r="K7819" s="5">
        <f t="shared" si="278"/>
        <v>0.86423438363747929</v>
      </c>
    </row>
    <row r="7820" spans="1:11" x14ac:dyDescent="0.25">
      <c r="A7820" t="s">
        <v>15231</v>
      </c>
      <c r="C7820" t="s">
        <v>15232</v>
      </c>
      <c r="D7820" t="s">
        <v>5</v>
      </c>
      <c r="E7820" t="s">
        <v>6</v>
      </c>
      <c r="F7820" t="s">
        <v>251</v>
      </c>
      <c r="G7820">
        <v>1</v>
      </c>
      <c r="H7820" s="2">
        <f>Tabelle13[[#This Row],[commits]]/Tabelle13[[#Totals],[commits]]</f>
        <v>4.6477904404246225E-6</v>
      </c>
      <c r="I7820" s="5">
        <f>Tabelle13[[#This Row],[%]]+I7819</f>
        <v>0.99429716112950395</v>
      </c>
      <c r="J7820" s="4">
        <f t="shared" si="277"/>
        <v>1.105583195135434E-4</v>
      </c>
      <c r="K7820" s="5">
        <f t="shared" si="278"/>
        <v>0.86434494195699285</v>
      </c>
    </row>
    <row r="7821" spans="1:11" x14ac:dyDescent="0.25">
      <c r="A7821" t="s">
        <v>15233</v>
      </c>
      <c r="C7821" t="s">
        <v>15234</v>
      </c>
      <c r="D7821" t="s">
        <v>5</v>
      </c>
      <c r="E7821" t="s">
        <v>6</v>
      </c>
      <c r="F7821" t="s">
        <v>251</v>
      </c>
      <c r="G7821">
        <v>1</v>
      </c>
      <c r="H7821" s="2">
        <f>Tabelle13[[#This Row],[commits]]/Tabelle13[[#Totals],[commits]]</f>
        <v>4.6477904404246225E-6</v>
      </c>
      <c r="I7821" s="5">
        <f>Tabelle13[[#This Row],[%]]+I7820</f>
        <v>0.99430180891994435</v>
      </c>
      <c r="J7821" s="4">
        <f t="shared" si="277"/>
        <v>1.105583195135434E-4</v>
      </c>
      <c r="K7821" s="5">
        <f t="shared" si="278"/>
        <v>0.86445550027650642</v>
      </c>
    </row>
    <row r="7822" spans="1:11" x14ac:dyDescent="0.25">
      <c r="A7822" t="s">
        <v>15235</v>
      </c>
      <c r="C7822" t="s">
        <v>15236</v>
      </c>
      <c r="D7822" t="s">
        <v>5</v>
      </c>
      <c r="E7822" t="s">
        <v>6</v>
      </c>
      <c r="F7822" t="s">
        <v>251</v>
      </c>
      <c r="G7822">
        <v>1</v>
      </c>
      <c r="H7822" s="2">
        <f>Tabelle13[[#This Row],[commits]]/Tabelle13[[#Totals],[commits]]</f>
        <v>4.6477904404246225E-6</v>
      </c>
      <c r="I7822" s="5">
        <f>Tabelle13[[#This Row],[%]]+I7821</f>
        <v>0.99430645671038476</v>
      </c>
      <c r="J7822" s="4">
        <f t="shared" si="277"/>
        <v>1.105583195135434E-4</v>
      </c>
      <c r="K7822" s="5">
        <f t="shared" si="278"/>
        <v>0.86456605859601998</v>
      </c>
    </row>
    <row r="7823" spans="1:11" x14ac:dyDescent="0.25">
      <c r="A7823" t="s">
        <v>15237</v>
      </c>
      <c r="C7823" t="s">
        <v>15238</v>
      </c>
      <c r="D7823" t="s">
        <v>8948</v>
      </c>
      <c r="E7823" t="s">
        <v>6</v>
      </c>
      <c r="F7823" t="s">
        <v>251</v>
      </c>
      <c r="G7823">
        <v>1</v>
      </c>
      <c r="H7823" s="2">
        <f>Tabelle13[[#This Row],[commits]]/Tabelle13[[#Totals],[commits]]</f>
        <v>4.6477904404246225E-6</v>
      </c>
      <c r="I7823" s="5">
        <f>Tabelle13[[#This Row],[%]]+I7822</f>
        <v>0.99431110450082516</v>
      </c>
      <c r="J7823" s="4">
        <f t="shared" si="277"/>
        <v>1.105583195135434E-4</v>
      </c>
      <c r="K7823" s="5">
        <f t="shared" si="278"/>
        <v>0.86467661691553355</v>
      </c>
    </row>
    <row r="7824" spans="1:11" x14ac:dyDescent="0.25">
      <c r="A7824" t="s">
        <v>15239</v>
      </c>
      <c r="C7824" t="s">
        <v>15240</v>
      </c>
      <c r="D7824" t="s">
        <v>7531</v>
      </c>
      <c r="E7824" t="s">
        <v>6</v>
      </c>
      <c r="F7824" t="s">
        <v>251</v>
      </c>
      <c r="G7824">
        <v>1</v>
      </c>
      <c r="H7824" s="2">
        <f>Tabelle13[[#This Row],[commits]]/Tabelle13[[#Totals],[commits]]</f>
        <v>4.6477904404246225E-6</v>
      </c>
      <c r="I7824" s="5">
        <f>Tabelle13[[#This Row],[%]]+I7823</f>
        <v>0.99431575229126556</v>
      </c>
      <c r="J7824" s="4">
        <f t="shared" si="277"/>
        <v>1.105583195135434E-4</v>
      </c>
      <c r="K7824" s="5">
        <f t="shared" si="278"/>
        <v>0.86478717523504711</v>
      </c>
    </row>
    <row r="7825" spans="1:11" x14ac:dyDescent="0.25">
      <c r="A7825" t="s">
        <v>15241</v>
      </c>
      <c r="C7825" t="s">
        <v>15242</v>
      </c>
      <c r="D7825" t="s">
        <v>5</v>
      </c>
      <c r="E7825" t="s">
        <v>6</v>
      </c>
      <c r="F7825" t="s">
        <v>251</v>
      </c>
      <c r="G7825">
        <v>1</v>
      </c>
      <c r="H7825" s="2">
        <f>Tabelle13[[#This Row],[commits]]/Tabelle13[[#Totals],[commits]]</f>
        <v>4.6477904404246225E-6</v>
      </c>
      <c r="I7825" s="5">
        <f>Tabelle13[[#This Row],[%]]+I7824</f>
        <v>0.99432040008170597</v>
      </c>
      <c r="J7825" s="4">
        <f t="shared" si="277"/>
        <v>1.105583195135434E-4</v>
      </c>
      <c r="K7825" s="5">
        <f t="shared" si="278"/>
        <v>0.86489773355456068</v>
      </c>
    </row>
    <row r="7826" spans="1:11" x14ac:dyDescent="0.25">
      <c r="A7826" t="s">
        <v>15243</v>
      </c>
      <c r="C7826" t="s">
        <v>15244</v>
      </c>
      <c r="D7826" t="s">
        <v>8948</v>
      </c>
      <c r="E7826" t="s">
        <v>6</v>
      </c>
      <c r="F7826" t="s">
        <v>251</v>
      </c>
      <c r="G7826">
        <v>1</v>
      </c>
      <c r="H7826" s="2">
        <f>Tabelle13[[#This Row],[commits]]/Tabelle13[[#Totals],[commits]]</f>
        <v>4.6477904404246225E-6</v>
      </c>
      <c r="I7826" s="5">
        <f>Tabelle13[[#This Row],[%]]+I7825</f>
        <v>0.99432504787214637</v>
      </c>
      <c r="J7826" s="4">
        <f t="shared" si="277"/>
        <v>1.105583195135434E-4</v>
      </c>
      <c r="K7826" s="5">
        <f t="shared" si="278"/>
        <v>0.86500829187407424</v>
      </c>
    </row>
    <row r="7827" spans="1:11" x14ac:dyDescent="0.25">
      <c r="A7827" t="s">
        <v>15245</v>
      </c>
      <c r="C7827" t="s">
        <v>15246</v>
      </c>
      <c r="D7827" t="s">
        <v>5</v>
      </c>
      <c r="E7827" t="s">
        <v>6</v>
      </c>
      <c r="F7827" t="s">
        <v>251</v>
      </c>
      <c r="G7827">
        <v>1</v>
      </c>
      <c r="H7827" s="2">
        <f>Tabelle13[[#This Row],[commits]]/Tabelle13[[#Totals],[commits]]</f>
        <v>4.6477904404246225E-6</v>
      </c>
      <c r="I7827" s="5">
        <f>Tabelle13[[#This Row],[%]]+I7826</f>
        <v>0.99432969566258678</v>
      </c>
      <c r="J7827" s="4">
        <f t="shared" si="277"/>
        <v>1.105583195135434E-4</v>
      </c>
      <c r="K7827" s="5">
        <f t="shared" si="278"/>
        <v>0.86511885019358781</v>
      </c>
    </row>
    <row r="7828" spans="1:11" x14ac:dyDescent="0.25">
      <c r="A7828" t="s">
        <v>15247</v>
      </c>
      <c r="C7828" t="s">
        <v>15248</v>
      </c>
      <c r="D7828" t="s">
        <v>5</v>
      </c>
      <c r="E7828" t="s">
        <v>6</v>
      </c>
      <c r="F7828" t="s">
        <v>251</v>
      </c>
      <c r="G7828">
        <v>1</v>
      </c>
      <c r="H7828" s="2">
        <f>Tabelle13[[#This Row],[commits]]/Tabelle13[[#Totals],[commits]]</f>
        <v>4.6477904404246225E-6</v>
      </c>
      <c r="I7828" s="5">
        <f>Tabelle13[[#This Row],[%]]+I7827</f>
        <v>0.99433434345302718</v>
      </c>
      <c r="J7828" s="4">
        <f t="shared" si="277"/>
        <v>1.105583195135434E-4</v>
      </c>
      <c r="K7828" s="5">
        <f t="shared" si="278"/>
        <v>0.86522940851310137</v>
      </c>
    </row>
    <row r="7829" spans="1:11" x14ac:dyDescent="0.25">
      <c r="A7829" t="s">
        <v>15249</v>
      </c>
      <c r="C7829" t="s">
        <v>15250</v>
      </c>
      <c r="D7829" t="s">
        <v>5</v>
      </c>
      <c r="E7829" t="s">
        <v>6</v>
      </c>
      <c r="F7829" t="s">
        <v>251</v>
      </c>
      <c r="G7829">
        <v>1</v>
      </c>
      <c r="H7829" s="2">
        <f>Tabelle13[[#This Row],[commits]]/Tabelle13[[#Totals],[commits]]</f>
        <v>4.6477904404246225E-6</v>
      </c>
      <c r="I7829" s="5">
        <f>Tabelle13[[#This Row],[%]]+I7828</f>
        <v>0.99433899124346758</v>
      </c>
      <c r="J7829" s="4">
        <f t="shared" si="277"/>
        <v>1.105583195135434E-4</v>
      </c>
      <c r="K7829" s="5">
        <f t="shared" si="278"/>
        <v>0.86533996683261494</v>
      </c>
    </row>
    <row r="7830" spans="1:11" x14ac:dyDescent="0.25">
      <c r="A7830" t="s">
        <v>15251</v>
      </c>
      <c r="C7830" t="s">
        <v>15252</v>
      </c>
      <c r="D7830" t="s">
        <v>5</v>
      </c>
      <c r="E7830" t="s">
        <v>6</v>
      </c>
      <c r="F7830" t="s">
        <v>251</v>
      </c>
      <c r="G7830">
        <v>1</v>
      </c>
      <c r="H7830" s="2">
        <f>Tabelle13[[#This Row],[commits]]/Tabelle13[[#Totals],[commits]]</f>
        <v>4.6477904404246225E-6</v>
      </c>
      <c r="I7830" s="5">
        <f>Tabelle13[[#This Row],[%]]+I7829</f>
        <v>0.99434363903390799</v>
      </c>
      <c r="J7830" s="4">
        <f t="shared" si="277"/>
        <v>1.105583195135434E-4</v>
      </c>
      <c r="K7830" s="5">
        <f t="shared" si="278"/>
        <v>0.8654505251521285</v>
      </c>
    </row>
    <row r="7831" spans="1:11" x14ac:dyDescent="0.25">
      <c r="A7831" t="s">
        <v>15253</v>
      </c>
      <c r="C7831" t="s">
        <v>15254</v>
      </c>
      <c r="D7831" t="s">
        <v>2659</v>
      </c>
      <c r="E7831" t="s">
        <v>6</v>
      </c>
      <c r="F7831" t="s">
        <v>251</v>
      </c>
      <c r="G7831">
        <v>1</v>
      </c>
      <c r="H7831" s="2">
        <f>Tabelle13[[#This Row],[commits]]/Tabelle13[[#Totals],[commits]]</f>
        <v>4.6477904404246225E-6</v>
      </c>
      <c r="I7831" s="5">
        <f>Tabelle13[[#This Row],[%]]+I7830</f>
        <v>0.99434828682434839</v>
      </c>
      <c r="J7831" s="4">
        <f t="shared" si="277"/>
        <v>1.105583195135434E-4</v>
      </c>
      <c r="K7831" s="5">
        <f t="shared" si="278"/>
        <v>0.86556108347164207</v>
      </c>
    </row>
    <row r="7832" spans="1:11" x14ac:dyDescent="0.25">
      <c r="A7832" t="s">
        <v>15255</v>
      </c>
      <c r="C7832" t="s">
        <v>15256</v>
      </c>
      <c r="D7832" t="s">
        <v>5</v>
      </c>
      <c r="E7832" t="s">
        <v>6</v>
      </c>
      <c r="F7832" t="s">
        <v>251</v>
      </c>
      <c r="G7832">
        <v>1</v>
      </c>
      <c r="H7832" s="2">
        <f>Tabelle13[[#This Row],[commits]]/Tabelle13[[#Totals],[commits]]</f>
        <v>4.6477904404246225E-6</v>
      </c>
      <c r="I7832" s="5">
        <f>Tabelle13[[#This Row],[%]]+I7831</f>
        <v>0.9943529346147888</v>
      </c>
      <c r="J7832" s="4">
        <f t="shared" si="277"/>
        <v>1.105583195135434E-4</v>
      </c>
      <c r="K7832" s="5">
        <f t="shared" si="278"/>
        <v>0.86567164179115563</v>
      </c>
    </row>
    <row r="7833" spans="1:11" x14ac:dyDescent="0.25">
      <c r="A7833" t="s">
        <v>15257</v>
      </c>
      <c r="C7833" t="s">
        <v>15258</v>
      </c>
      <c r="D7833" t="s">
        <v>5</v>
      </c>
      <c r="E7833" t="s">
        <v>6</v>
      </c>
      <c r="F7833" t="s">
        <v>251</v>
      </c>
      <c r="G7833">
        <v>1</v>
      </c>
      <c r="H7833" s="2">
        <f>Tabelle13[[#This Row],[commits]]/Tabelle13[[#Totals],[commits]]</f>
        <v>4.6477904404246225E-6</v>
      </c>
      <c r="I7833" s="5">
        <f>Tabelle13[[#This Row],[%]]+I7832</f>
        <v>0.9943575824052292</v>
      </c>
      <c r="J7833" s="4">
        <f t="shared" si="277"/>
        <v>1.105583195135434E-4</v>
      </c>
      <c r="K7833" s="5">
        <f t="shared" si="278"/>
        <v>0.8657822001106692</v>
      </c>
    </row>
    <row r="7834" spans="1:11" x14ac:dyDescent="0.25">
      <c r="A7834" t="s">
        <v>15259</v>
      </c>
      <c r="C7834" t="s">
        <v>15260</v>
      </c>
      <c r="D7834" t="s">
        <v>5</v>
      </c>
      <c r="E7834" t="s">
        <v>6</v>
      </c>
      <c r="F7834" t="s">
        <v>251</v>
      </c>
      <c r="G7834">
        <v>1</v>
      </c>
      <c r="H7834" s="2">
        <f>Tabelle13[[#This Row],[commits]]/Tabelle13[[#Totals],[commits]]</f>
        <v>4.6477904404246225E-6</v>
      </c>
      <c r="I7834" s="5">
        <f>Tabelle13[[#This Row],[%]]+I7833</f>
        <v>0.99436223019566961</v>
      </c>
      <c r="J7834" s="4">
        <f t="shared" si="277"/>
        <v>1.105583195135434E-4</v>
      </c>
      <c r="K7834" s="5">
        <f t="shared" si="278"/>
        <v>0.86589275843018276</v>
      </c>
    </row>
    <row r="7835" spans="1:11" x14ac:dyDescent="0.25">
      <c r="A7835" t="s">
        <v>15261</v>
      </c>
      <c r="C7835" t="s">
        <v>15262</v>
      </c>
      <c r="D7835" t="s">
        <v>5</v>
      </c>
      <c r="E7835" t="s">
        <v>6</v>
      </c>
      <c r="F7835" t="s">
        <v>251</v>
      </c>
      <c r="G7835">
        <v>1</v>
      </c>
      <c r="H7835" s="2">
        <f>Tabelle13[[#This Row],[commits]]/Tabelle13[[#Totals],[commits]]</f>
        <v>4.6477904404246225E-6</v>
      </c>
      <c r="I7835" s="5">
        <f>Tabelle13[[#This Row],[%]]+I7834</f>
        <v>0.99436687798611001</v>
      </c>
      <c r="J7835" s="4">
        <f t="shared" si="277"/>
        <v>1.105583195135434E-4</v>
      </c>
      <c r="K7835" s="5">
        <f t="shared" si="278"/>
        <v>0.86600331674969633</v>
      </c>
    </row>
    <row r="7836" spans="1:11" x14ac:dyDescent="0.25">
      <c r="A7836" t="s">
        <v>15263</v>
      </c>
      <c r="C7836" t="s">
        <v>15264</v>
      </c>
      <c r="D7836" t="s">
        <v>5</v>
      </c>
      <c r="E7836" t="s">
        <v>6</v>
      </c>
      <c r="F7836" t="s">
        <v>251</v>
      </c>
      <c r="G7836">
        <v>1</v>
      </c>
      <c r="H7836" s="2">
        <f>Tabelle13[[#This Row],[commits]]/Tabelle13[[#Totals],[commits]]</f>
        <v>4.6477904404246225E-6</v>
      </c>
      <c r="I7836" s="5">
        <f>Tabelle13[[#This Row],[%]]+I7835</f>
        <v>0.99437152577655041</v>
      </c>
      <c r="J7836" s="4">
        <f t="shared" si="277"/>
        <v>1.105583195135434E-4</v>
      </c>
      <c r="K7836" s="5">
        <f t="shared" si="278"/>
        <v>0.86611387506920989</v>
      </c>
    </row>
    <row r="7837" spans="1:11" x14ac:dyDescent="0.25">
      <c r="A7837" t="s">
        <v>15265</v>
      </c>
      <c r="C7837" t="s">
        <v>15266</v>
      </c>
      <c r="D7837" t="s">
        <v>5</v>
      </c>
      <c r="E7837" t="s">
        <v>6</v>
      </c>
      <c r="F7837" t="s">
        <v>251</v>
      </c>
      <c r="G7837">
        <v>1</v>
      </c>
      <c r="H7837" s="2">
        <f>Tabelle13[[#This Row],[commits]]/Tabelle13[[#Totals],[commits]]</f>
        <v>4.6477904404246225E-6</v>
      </c>
      <c r="I7837" s="5">
        <f>Tabelle13[[#This Row],[%]]+I7836</f>
        <v>0.99437617356699082</v>
      </c>
      <c r="J7837" s="4">
        <f t="shared" si="277"/>
        <v>1.105583195135434E-4</v>
      </c>
      <c r="K7837" s="5">
        <f t="shared" si="278"/>
        <v>0.86622443338872346</v>
      </c>
    </row>
    <row r="7838" spans="1:11" x14ac:dyDescent="0.25">
      <c r="A7838" t="s">
        <v>15267</v>
      </c>
      <c r="C7838" t="s">
        <v>15268</v>
      </c>
      <c r="D7838" t="s">
        <v>5</v>
      </c>
      <c r="E7838" t="s">
        <v>6</v>
      </c>
      <c r="F7838" t="s">
        <v>251</v>
      </c>
      <c r="G7838">
        <v>1</v>
      </c>
      <c r="H7838" s="2">
        <f>Tabelle13[[#This Row],[commits]]/Tabelle13[[#Totals],[commits]]</f>
        <v>4.6477904404246225E-6</v>
      </c>
      <c r="I7838" s="5">
        <f>Tabelle13[[#This Row],[%]]+I7837</f>
        <v>0.99438082135743122</v>
      </c>
      <c r="J7838" s="4">
        <f t="shared" si="277"/>
        <v>1.105583195135434E-4</v>
      </c>
      <c r="K7838" s="5">
        <f t="shared" si="278"/>
        <v>0.86633499170823702</v>
      </c>
    </row>
    <row r="7839" spans="1:11" x14ac:dyDescent="0.25">
      <c r="A7839" t="s">
        <v>15269</v>
      </c>
      <c r="C7839" t="s">
        <v>15270</v>
      </c>
      <c r="D7839" t="s">
        <v>5</v>
      </c>
      <c r="E7839" t="s">
        <v>6</v>
      </c>
      <c r="F7839" t="s">
        <v>251</v>
      </c>
      <c r="G7839">
        <v>1</v>
      </c>
      <c r="H7839" s="2">
        <f>Tabelle13[[#This Row],[commits]]/Tabelle13[[#Totals],[commits]]</f>
        <v>4.6477904404246225E-6</v>
      </c>
      <c r="I7839" s="5">
        <f>Tabelle13[[#This Row],[%]]+I7838</f>
        <v>0.99438546914787163</v>
      </c>
      <c r="J7839" s="4">
        <f t="shared" si="277"/>
        <v>1.105583195135434E-4</v>
      </c>
      <c r="K7839" s="5">
        <f t="shared" si="278"/>
        <v>0.86644555002775059</v>
      </c>
    </row>
    <row r="7840" spans="1:11" x14ac:dyDescent="0.25">
      <c r="A7840" t="s">
        <v>15271</v>
      </c>
      <c r="C7840" t="s">
        <v>15272</v>
      </c>
      <c r="D7840" t="s">
        <v>15273</v>
      </c>
      <c r="E7840" t="s">
        <v>6</v>
      </c>
      <c r="F7840" t="s">
        <v>251</v>
      </c>
      <c r="G7840">
        <v>1</v>
      </c>
      <c r="H7840" s="2">
        <f>Tabelle13[[#This Row],[commits]]/Tabelle13[[#Totals],[commits]]</f>
        <v>4.6477904404246225E-6</v>
      </c>
      <c r="I7840" s="5">
        <f>Tabelle13[[#This Row],[%]]+I7839</f>
        <v>0.99439011693831203</v>
      </c>
      <c r="J7840" s="4">
        <f t="shared" si="277"/>
        <v>1.105583195135434E-4</v>
      </c>
      <c r="K7840" s="5">
        <f t="shared" si="278"/>
        <v>0.86655610834726415</v>
      </c>
    </row>
    <row r="7841" spans="1:11" x14ac:dyDescent="0.25">
      <c r="A7841" t="s">
        <v>15274</v>
      </c>
      <c r="C7841" t="s">
        <v>15275</v>
      </c>
      <c r="D7841" t="s">
        <v>5</v>
      </c>
      <c r="E7841" t="s">
        <v>6</v>
      </c>
      <c r="F7841" t="s">
        <v>251</v>
      </c>
      <c r="G7841">
        <v>1</v>
      </c>
      <c r="H7841" s="2">
        <f>Tabelle13[[#This Row],[commits]]/Tabelle13[[#Totals],[commits]]</f>
        <v>4.6477904404246225E-6</v>
      </c>
      <c r="I7841" s="5">
        <f>Tabelle13[[#This Row],[%]]+I7840</f>
        <v>0.99439476472875243</v>
      </c>
      <c r="J7841" s="4">
        <f t="shared" si="277"/>
        <v>1.105583195135434E-4</v>
      </c>
      <c r="K7841" s="5">
        <f t="shared" si="278"/>
        <v>0.86666666666677772</v>
      </c>
    </row>
    <row r="7842" spans="1:11" x14ac:dyDescent="0.25">
      <c r="A7842" t="s">
        <v>15276</v>
      </c>
      <c r="C7842" t="s">
        <v>15277</v>
      </c>
      <c r="D7842" t="s">
        <v>15278</v>
      </c>
      <c r="E7842" t="s">
        <v>6</v>
      </c>
      <c r="F7842" t="s">
        <v>251</v>
      </c>
      <c r="G7842">
        <v>1</v>
      </c>
      <c r="H7842" s="2">
        <f>Tabelle13[[#This Row],[commits]]/Tabelle13[[#Totals],[commits]]</f>
        <v>4.6477904404246225E-6</v>
      </c>
      <c r="I7842" s="5">
        <f>Tabelle13[[#This Row],[%]]+I7841</f>
        <v>0.99439941251919284</v>
      </c>
      <c r="J7842" s="4">
        <f t="shared" si="277"/>
        <v>1.105583195135434E-4</v>
      </c>
      <c r="K7842" s="5">
        <f t="shared" si="278"/>
        <v>0.86677722498629128</v>
      </c>
    </row>
    <row r="7843" spans="1:11" x14ac:dyDescent="0.25">
      <c r="A7843" t="s">
        <v>15279</v>
      </c>
      <c r="C7843" t="s">
        <v>15280</v>
      </c>
      <c r="D7843" t="s">
        <v>5</v>
      </c>
      <c r="E7843" t="s">
        <v>6</v>
      </c>
      <c r="F7843" t="s">
        <v>251</v>
      </c>
      <c r="G7843">
        <v>1</v>
      </c>
      <c r="H7843" s="2">
        <f>Tabelle13[[#This Row],[commits]]/Tabelle13[[#Totals],[commits]]</f>
        <v>4.6477904404246225E-6</v>
      </c>
      <c r="I7843" s="5">
        <f>Tabelle13[[#This Row],[%]]+I7842</f>
        <v>0.99440406030963324</v>
      </c>
      <c r="J7843" s="4">
        <f t="shared" si="277"/>
        <v>1.105583195135434E-4</v>
      </c>
      <c r="K7843" s="5">
        <f t="shared" si="278"/>
        <v>0.86688778330580485</v>
      </c>
    </row>
    <row r="7844" spans="1:11" x14ac:dyDescent="0.25">
      <c r="A7844" t="s">
        <v>15281</v>
      </c>
      <c r="C7844" t="s">
        <v>15282</v>
      </c>
      <c r="D7844" t="s">
        <v>5</v>
      </c>
      <c r="E7844" t="s">
        <v>6</v>
      </c>
      <c r="F7844" t="s">
        <v>251</v>
      </c>
      <c r="G7844">
        <v>1</v>
      </c>
      <c r="H7844" s="2">
        <f>Tabelle13[[#This Row],[commits]]/Tabelle13[[#Totals],[commits]]</f>
        <v>4.6477904404246225E-6</v>
      </c>
      <c r="I7844" s="5">
        <f>Tabelle13[[#This Row],[%]]+I7843</f>
        <v>0.99440870810007365</v>
      </c>
      <c r="J7844" s="4">
        <f t="shared" si="277"/>
        <v>1.105583195135434E-4</v>
      </c>
      <c r="K7844" s="5">
        <f t="shared" si="278"/>
        <v>0.86699834162531841</v>
      </c>
    </row>
    <row r="7845" spans="1:11" x14ac:dyDescent="0.25">
      <c r="A7845" t="s">
        <v>15283</v>
      </c>
      <c r="C7845" t="s">
        <v>15284</v>
      </c>
      <c r="D7845" t="s">
        <v>5</v>
      </c>
      <c r="E7845" t="s">
        <v>6</v>
      </c>
      <c r="F7845" t="s">
        <v>251</v>
      </c>
      <c r="G7845">
        <v>1</v>
      </c>
      <c r="H7845" s="2">
        <f>Tabelle13[[#This Row],[commits]]/Tabelle13[[#Totals],[commits]]</f>
        <v>4.6477904404246225E-6</v>
      </c>
      <c r="I7845" s="5">
        <f>Tabelle13[[#This Row],[%]]+I7844</f>
        <v>0.99441335589051405</v>
      </c>
      <c r="J7845" s="4">
        <f t="shared" si="277"/>
        <v>1.105583195135434E-4</v>
      </c>
      <c r="K7845" s="5">
        <f t="shared" si="278"/>
        <v>0.86710889994483198</v>
      </c>
    </row>
    <row r="7846" spans="1:11" x14ac:dyDescent="0.25">
      <c r="A7846" t="s">
        <v>15285</v>
      </c>
      <c r="C7846" t="s">
        <v>15286</v>
      </c>
      <c r="D7846" t="s">
        <v>5</v>
      </c>
      <c r="E7846" t="s">
        <v>6</v>
      </c>
      <c r="F7846" t="s">
        <v>251</v>
      </c>
      <c r="G7846">
        <v>1</v>
      </c>
      <c r="H7846" s="2">
        <f>Tabelle13[[#This Row],[commits]]/Tabelle13[[#Totals],[commits]]</f>
        <v>4.6477904404246225E-6</v>
      </c>
      <c r="I7846" s="5">
        <f>Tabelle13[[#This Row],[%]]+I7845</f>
        <v>0.99441800368095445</v>
      </c>
      <c r="J7846" s="4">
        <f t="shared" si="277"/>
        <v>1.105583195135434E-4</v>
      </c>
      <c r="K7846" s="5">
        <f t="shared" si="278"/>
        <v>0.86721945826434554</v>
      </c>
    </row>
    <row r="7847" spans="1:11" x14ac:dyDescent="0.25">
      <c r="A7847" t="s">
        <v>15287</v>
      </c>
      <c r="C7847" t="s">
        <v>15288</v>
      </c>
      <c r="D7847" t="s">
        <v>15289</v>
      </c>
      <c r="E7847" t="s">
        <v>6</v>
      </c>
      <c r="F7847" t="s">
        <v>251</v>
      </c>
      <c r="G7847">
        <v>1</v>
      </c>
      <c r="H7847" s="2">
        <f>Tabelle13[[#This Row],[commits]]/Tabelle13[[#Totals],[commits]]</f>
        <v>4.6477904404246225E-6</v>
      </c>
      <c r="I7847" s="5">
        <f>Tabelle13[[#This Row],[%]]+I7846</f>
        <v>0.99442265147139486</v>
      </c>
      <c r="J7847" s="4">
        <f t="shared" si="277"/>
        <v>1.105583195135434E-4</v>
      </c>
      <c r="K7847" s="5">
        <f t="shared" si="278"/>
        <v>0.86733001658385911</v>
      </c>
    </row>
    <row r="7848" spans="1:11" x14ac:dyDescent="0.25">
      <c r="A7848" t="s">
        <v>15290</v>
      </c>
      <c r="C7848" t="s">
        <v>15291</v>
      </c>
      <c r="D7848" t="s">
        <v>5</v>
      </c>
      <c r="E7848" t="s">
        <v>6</v>
      </c>
      <c r="F7848" t="s">
        <v>251</v>
      </c>
      <c r="G7848">
        <v>1</v>
      </c>
      <c r="H7848" s="2">
        <f>Tabelle13[[#This Row],[commits]]/Tabelle13[[#Totals],[commits]]</f>
        <v>4.6477904404246225E-6</v>
      </c>
      <c r="I7848" s="5">
        <f>Tabelle13[[#This Row],[%]]+I7847</f>
        <v>0.99442729926183526</v>
      </c>
      <c r="J7848" s="4">
        <f t="shared" si="277"/>
        <v>1.105583195135434E-4</v>
      </c>
      <c r="K7848" s="5">
        <f t="shared" si="278"/>
        <v>0.86744057490337267</v>
      </c>
    </row>
    <row r="7849" spans="1:11" x14ac:dyDescent="0.25">
      <c r="A7849" t="s">
        <v>15292</v>
      </c>
      <c r="C7849" t="s">
        <v>15293</v>
      </c>
      <c r="D7849" t="s">
        <v>5</v>
      </c>
      <c r="E7849" t="s">
        <v>6</v>
      </c>
      <c r="F7849" t="s">
        <v>251</v>
      </c>
      <c r="G7849">
        <v>1</v>
      </c>
      <c r="H7849" s="2">
        <f>Tabelle13[[#This Row],[commits]]/Tabelle13[[#Totals],[commits]]</f>
        <v>4.6477904404246225E-6</v>
      </c>
      <c r="I7849" s="5">
        <f>Tabelle13[[#This Row],[%]]+I7848</f>
        <v>0.99443194705227567</v>
      </c>
      <c r="J7849" s="4">
        <f t="shared" si="277"/>
        <v>1.105583195135434E-4</v>
      </c>
      <c r="K7849" s="5">
        <f t="shared" si="278"/>
        <v>0.86755113322288624</v>
      </c>
    </row>
    <row r="7850" spans="1:11" x14ac:dyDescent="0.25">
      <c r="A7850" t="s">
        <v>15294</v>
      </c>
      <c r="C7850" t="s">
        <v>15295</v>
      </c>
      <c r="D7850" t="s">
        <v>5</v>
      </c>
      <c r="E7850" t="s">
        <v>6</v>
      </c>
      <c r="F7850" t="s">
        <v>251</v>
      </c>
      <c r="G7850">
        <v>1</v>
      </c>
      <c r="H7850" s="2">
        <f>Tabelle13[[#This Row],[commits]]/Tabelle13[[#Totals],[commits]]</f>
        <v>4.6477904404246225E-6</v>
      </c>
      <c r="I7850" s="5">
        <f>Tabelle13[[#This Row],[%]]+I7849</f>
        <v>0.99443659484271607</v>
      </c>
      <c r="J7850" s="4">
        <f t="shared" si="277"/>
        <v>1.105583195135434E-4</v>
      </c>
      <c r="K7850" s="5">
        <f t="shared" si="278"/>
        <v>0.8676616915423998</v>
      </c>
    </row>
    <row r="7851" spans="1:11" x14ac:dyDescent="0.25">
      <c r="A7851" t="s">
        <v>15296</v>
      </c>
      <c r="C7851" t="s">
        <v>15297</v>
      </c>
      <c r="D7851" t="s">
        <v>5</v>
      </c>
      <c r="E7851" t="s">
        <v>6</v>
      </c>
      <c r="F7851" t="s">
        <v>251</v>
      </c>
      <c r="G7851">
        <v>1</v>
      </c>
      <c r="H7851" s="2">
        <f>Tabelle13[[#This Row],[commits]]/Tabelle13[[#Totals],[commits]]</f>
        <v>4.6477904404246225E-6</v>
      </c>
      <c r="I7851" s="5">
        <f>Tabelle13[[#This Row],[%]]+I7850</f>
        <v>0.99444124263315647</v>
      </c>
      <c r="J7851" s="4">
        <f t="shared" si="277"/>
        <v>1.105583195135434E-4</v>
      </c>
      <c r="K7851" s="5">
        <f t="shared" si="278"/>
        <v>0.86777224986191337</v>
      </c>
    </row>
    <row r="7852" spans="1:11" x14ac:dyDescent="0.25">
      <c r="A7852" t="s">
        <v>15298</v>
      </c>
      <c r="C7852" t="s">
        <v>15299</v>
      </c>
      <c r="D7852" t="s">
        <v>15220</v>
      </c>
      <c r="E7852" t="s">
        <v>6</v>
      </c>
      <c r="F7852" t="s">
        <v>251</v>
      </c>
      <c r="G7852">
        <v>1</v>
      </c>
      <c r="H7852" s="2">
        <f>Tabelle13[[#This Row],[commits]]/Tabelle13[[#Totals],[commits]]</f>
        <v>4.6477904404246225E-6</v>
      </c>
      <c r="I7852" s="5">
        <f>Tabelle13[[#This Row],[%]]+I7851</f>
        <v>0.99444589042359688</v>
      </c>
      <c r="J7852" s="4">
        <f t="shared" si="277"/>
        <v>1.105583195135434E-4</v>
      </c>
      <c r="K7852" s="5">
        <f t="shared" si="278"/>
        <v>0.86788280818142693</v>
      </c>
    </row>
    <row r="7853" spans="1:11" x14ac:dyDescent="0.25">
      <c r="A7853" t="s">
        <v>15300</v>
      </c>
      <c r="C7853" t="s">
        <v>15301</v>
      </c>
      <c r="D7853" t="s">
        <v>5</v>
      </c>
      <c r="E7853" t="s">
        <v>6</v>
      </c>
      <c r="F7853" t="s">
        <v>251</v>
      </c>
      <c r="G7853">
        <v>1</v>
      </c>
      <c r="H7853" s="2">
        <f>Tabelle13[[#This Row],[commits]]/Tabelle13[[#Totals],[commits]]</f>
        <v>4.6477904404246225E-6</v>
      </c>
      <c r="I7853" s="5">
        <f>Tabelle13[[#This Row],[%]]+I7852</f>
        <v>0.99445053821403728</v>
      </c>
      <c r="J7853" s="4">
        <f t="shared" si="277"/>
        <v>1.105583195135434E-4</v>
      </c>
      <c r="K7853" s="5">
        <f t="shared" si="278"/>
        <v>0.8679933665009405</v>
      </c>
    </row>
    <row r="7854" spans="1:11" x14ac:dyDescent="0.25">
      <c r="A7854" t="s">
        <v>15302</v>
      </c>
      <c r="C7854" t="s">
        <v>15303</v>
      </c>
      <c r="D7854" t="s">
        <v>5</v>
      </c>
      <c r="E7854" t="s">
        <v>6</v>
      </c>
      <c r="F7854" t="s">
        <v>251</v>
      </c>
      <c r="G7854">
        <v>1</v>
      </c>
      <c r="H7854" s="2">
        <f>Tabelle13[[#This Row],[commits]]/Tabelle13[[#Totals],[commits]]</f>
        <v>4.6477904404246225E-6</v>
      </c>
      <c r="I7854" s="5">
        <f>Tabelle13[[#This Row],[%]]+I7853</f>
        <v>0.99445518600447769</v>
      </c>
      <c r="J7854" s="4">
        <f t="shared" si="277"/>
        <v>1.105583195135434E-4</v>
      </c>
      <c r="K7854" s="5">
        <f t="shared" si="278"/>
        <v>0.86810392482045406</v>
      </c>
    </row>
    <row r="7855" spans="1:11" x14ac:dyDescent="0.25">
      <c r="A7855" t="s">
        <v>15304</v>
      </c>
      <c r="C7855" t="s">
        <v>15305</v>
      </c>
      <c r="D7855" t="s">
        <v>309</v>
      </c>
      <c r="E7855" t="s">
        <v>6</v>
      </c>
      <c r="F7855" t="s">
        <v>251</v>
      </c>
      <c r="G7855">
        <v>1</v>
      </c>
      <c r="H7855" s="2">
        <f>Tabelle13[[#This Row],[commits]]/Tabelle13[[#Totals],[commits]]</f>
        <v>4.6477904404246225E-6</v>
      </c>
      <c r="I7855" s="5">
        <f>Tabelle13[[#This Row],[%]]+I7854</f>
        <v>0.99445983379491809</v>
      </c>
      <c r="J7855" s="4">
        <f t="shared" si="277"/>
        <v>1.105583195135434E-4</v>
      </c>
      <c r="K7855" s="5">
        <f t="shared" si="278"/>
        <v>0.86821448313996763</v>
      </c>
    </row>
    <row r="7856" spans="1:11" x14ac:dyDescent="0.25">
      <c r="A7856" t="s">
        <v>15306</v>
      </c>
      <c r="C7856" t="s">
        <v>15307</v>
      </c>
      <c r="D7856" t="s">
        <v>5</v>
      </c>
      <c r="E7856" t="s">
        <v>6</v>
      </c>
      <c r="F7856" t="s">
        <v>251</v>
      </c>
      <c r="G7856">
        <v>1</v>
      </c>
      <c r="H7856" s="2">
        <f>Tabelle13[[#This Row],[commits]]/Tabelle13[[#Totals],[commits]]</f>
        <v>4.6477904404246225E-6</v>
      </c>
      <c r="I7856" s="5">
        <f>Tabelle13[[#This Row],[%]]+I7855</f>
        <v>0.9944644815853585</v>
      </c>
      <c r="J7856" s="4">
        <f t="shared" si="277"/>
        <v>1.105583195135434E-4</v>
      </c>
      <c r="K7856" s="5">
        <f t="shared" si="278"/>
        <v>0.8683250414594812</v>
      </c>
    </row>
    <row r="7857" spans="1:11" x14ac:dyDescent="0.25">
      <c r="A7857" t="s">
        <v>15308</v>
      </c>
      <c r="C7857" t="s">
        <v>15309</v>
      </c>
      <c r="D7857" t="s">
        <v>5</v>
      </c>
      <c r="E7857" t="s">
        <v>6</v>
      </c>
      <c r="F7857" t="s">
        <v>251</v>
      </c>
      <c r="G7857">
        <v>1</v>
      </c>
      <c r="H7857" s="2">
        <f>Tabelle13[[#This Row],[commits]]/Tabelle13[[#Totals],[commits]]</f>
        <v>4.6477904404246225E-6</v>
      </c>
      <c r="I7857" s="5">
        <f>Tabelle13[[#This Row],[%]]+I7856</f>
        <v>0.9944691293757989</v>
      </c>
      <c r="J7857" s="4">
        <f t="shared" si="277"/>
        <v>1.105583195135434E-4</v>
      </c>
      <c r="K7857" s="5">
        <f t="shared" si="278"/>
        <v>0.86843559977899476</v>
      </c>
    </row>
    <row r="7858" spans="1:11" x14ac:dyDescent="0.25">
      <c r="A7858" t="s">
        <v>15310</v>
      </c>
      <c r="C7858" t="s">
        <v>15307</v>
      </c>
      <c r="D7858" t="s">
        <v>309</v>
      </c>
      <c r="E7858" t="s">
        <v>6</v>
      </c>
      <c r="F7858" t="s">
        <v>251</v>
      </c>
      <c r="G7858">
        <v>1</v>
      </c>
      <c r="H7858" s="2">
        <f>Tabelle13[[#This Row],[commits]]/Tabelle13[[#Totals],[commits]]</f>
        <v>4.6477904404246225E-6</v>
      </c>
      <c r="I7858" s="5">
        <f>Tabelle13[[#This Row],[%]]+I7857</f>
        <v>0.9944737771662393</v>
      </c>
      <c r="J7858" s="4">
        <f t="shared" si="277"/>
        <v>1.105583195135434E-4</v>
      </c>
      <c r="K7858" s="5">
        <f t="shared" si="278"/>
        <v>0.86854615809850833</v>
      </c>
    </row>
    <row r="7859" spans="1:11" x14ac:dyDescent="0.25">
      <c r="A7859" t="s">
        <v>15311</v>
      </c>
      <c r="C7859" t="s">
        <v>15312</v>
      </c>
      <c r="D7859" t="s">
        <v>11585</v>
      </c>
      <c r="E7859" t="s">
        <v>6</v>
      </c>
      <c r="F7859" t="s">
        <v>251</v>
      </c>
      <c r="G7859">
        <v>1</v>
      </c>
      <c r="H7859" s="2">
        <f>Tabelle13[[#This Row],[commits]]/Tabelle13[[#Totals],[commits]]</f>
        <v>4.6477904404246225E-6</v>
      </c>
      <c r="I7859" s="5">
        <f>Tabelle13[[#This Row],[%]]+I7858</f>
        <v>0.99447842495667971</v>
      </c>
      <c r="J7859" s="4">
        <f t="shared" si="277"/>
        <v>1.105583195135434E-4</v>
      </c>
      <c r="K7859" s="5">
        <f t="shared" si="278"/>
        <v>0.86865671641802189</v>
      </c>
    </row>
    <row r="7860" spans="1:11" x14ac:dyDescent="0.25">
      <c r="A7860" t="s">
        <v>15313</v>
      </c>
      <c r="C7860" t="s">
        <v>15314</v>
      </c>
      <c r="D7860" t="s">
        <v>14349</v>
      </c>
      <c r="E7860" t="s">
        <v>6</v>
      </c>
      <c r="F7860" t="s">
        <v>251</v>
      </c>
      <c r="G7860">
        <v>1</v>
      </c>
      <c r="H7860" s="2">
        <f>Tabelle13[[#This Row],[commits]]/Tabelle13[[#Totals],[commits]]</f>
        <v>4.6477904404246225E-6</v>
      </c>
      <c r="I7860" s="5">
        <f>Tabelle13[[#This Row],[%]]+I7859</f>
        <v>0.99448307274712011</v>
      </c>
      <c r="J7860" s="4">
        <f t="shared" si="277"/>
        <v>1.105583195135434E-4</v>
      </c>
      <c r="K7860" s="5">
        <f t="shared" si="278"/>
        <v>0.86876727473753546</v>
      </c>
    </row>
    <row r="7861" spans="1:11" x14ac:dyDescent="0.25">
      <c r="A7861" t="s">
        <v>15315</v>
      </c>
      <c r="C7861" t="s">
        <v>15316</v>
      </c>
      <c r="D7861" t="s">
        <v>5</v>
      </c>
      <c r="E7861" t="s">
        <v>6</v>
      </c>
      <c r="F7861" t="s">
        <v>251</v>
      </c>
      <c r="G7861">
        <v>1</v>
      </c>
      <c r="H7861" s="2">
        <f>Tabelle13[[#This Row],[commits]]/Tabelle13[[#Totals],[commits]]</f>
        <v>4.6477904404246225E-6</v>
      </c>
      <c r="I7861" s="5">
        <f>Tabelle13[[#This Row],[%]]+I7860</f>
        <v>0.99448772053756052</v>
      </c>
      <c r="J7861" s="4">
        <f t="shared" si="277"/>
        <v>1.105583195135434E-4</v>
      </c>
      <c r="K7861" s="5">
        <f t="shared" si="278"/>
        <v>0.86887783305704902</v>
      </c>
    </row>
    <row r="7862" spans="1:11" x14ac:dyDescent="0.25">
      <c r="A7862" t="s">
        <v>15317</v>
      </c>
      <c r="C7862" t="s">
        <v>15318</v>
      </c>
      <c r="D7862" t="s">
        <v>5</v>
      </c>
      <c r="E7862" t="s">
        <v>6</v>
      </c>
      <c r="F7862" t="s">
        <v>251</v>
      </c>
      <c r="G7862">
        <v>1</v>
      </c>
      <c r="H7862" s="2">
        <f>Tabelle13[[#This Row],[commits]]/Tabelle13[[#Totals],[commits]]</f>
        <v>4.6477904404246225E-6</v>
      </c>
      <c r="I7862" s="5">
        <f>Tabelle13[[#This Row],[%]]+I7861</f>
        <v>0.99449236832800092</v>
      </c>
      <c r="J7862" s="4">
        <f t="shared" si="277"/>
        <v>1.105583195135434E-4</v>
      </c>
      <c r="K7862" s="5">
        <f t="shared" si="278"/>
        <v>0.86898839137656259</v>
      </c>
    </row>
    <row r="7863" spans="1:11" x14ac:dyDescent="0.25">
      <c r="A7863" t="s">
        <v>15319</v>
      </c>
      <c r="C7863" t="s">
        <v>15320</v>
      </c>
      <c r="D7863" t="s">
        <v>5</v>
      </c>
      <c r="E7863" t="s">
        <v>6</v>
      </c>
      <c r="F7863" t="s">
        <v>251</v>
      </c>
      <c r="G7863">
        <v>1</v>
      </c>
      <c r="H7863" s="2">
        <f>Tabelle13[[#This Row],[commits]]/Tabelle13[[#Totals],[commits]]</f>
        <v>4.6477904404246225E-6</v>
      </c>
      <c r="I7863" s="5">
        <f>Tabelle13[[#This Row],[%]]+I7862</f>
        <v>0.99449701611844132</v>
      </c>
      <c r="J7863" s="4">
        <f t="shared" si="277"/>
        <v>1.105583195135434E-4</v>
      </c>
      <c r="K7863" s="5">
        <f t="shared" si="278"/>
        <v>0.86909894969607615</v>
      </c>
    </row>
    <row r="7864" spans="1:11" x14ac:dyDescent="0.25">
      <c r="A7864" t="s">
        <v>15321</v>
      </c>
      <c r="C7864" t="s">
        <v>15322</v>
      </c>
      <c r="D7864" t="s">
        <v>5</v>
      </c>
      <c r="E7864" t="s">
        <v>6</v>
      </c>
      <c r="F7864" t="s">
        <v>251</v>
      </c>
      <c r="G7864">
        <v>1</v>
      </c>
      <c r="H7864" s="2">
        <f>Tabelle13[[#This Row],[commits]]/Tabelle13[[#Totals],[commits]]</f>
        <v>4.6477904404246225E-6</v>
      </c>
      <c r="I7864" s="5">
        <f>Tabelle13[[#This Row],[%]]+I7863</f>
        <v>0.99450166390888173</v>
      </c>
      <c r="J7864" s="4">
        <f t="shared" si="277"/>
        <v>1.105583195135434E-4</v>
      </c>
      <c r="K7864" s="5">
        <f t="shared" si="278"/>
        <v>0.86920950801558972</v>
      </c>
    </row>
    <row r="7865" spans="1:11" x14ac:dyDescent="0.25">
      <c r="A7865" t="s">
        <v>15323</v>
      </c>
      <c r="C7865" t="s">
        <v>15324</v>
      </c>
      <c r="D7865" t="s">
        <v>15325</v>
      </c>
      <c r="E7865" t="s">
        <v>6</v>
      </c>
      <c r="F7865" t="s">
        <v>251</v>
      </c>
      <c r="G7865">
        <v>1</v>
      </c>
      <c r="H7865" s="2">
        <f>Tabelle13[[#This Row],[commits]]/Tabelle13[[#Totals],[commits]]</f>
        <v>4.6477904404246225E-6</v>
      </c>
      <c r="I7865" s="5">
        <f>Tabelle13[[#This Row],[%]]+I7864</f>
        <v>0.99450631169932213</v>
      </c>
      <c r="J7865" s="4">
        <f t="shared" si="277"/>
        <v>1.105583195135434E-4</v>
      </c>
      <c r="K7865" s="5">
        <f t="shared" si="278"/>
        <v>0.86932006633510328</v>
      </c>
    </row>
    <row r="7866" spans="1:11" x14ac:dyDescent="0.25">
      <c r="A7866" t="s">
        <v>15326</v>
      </c>
      <c r="C7866" t="s">
        <v>15327</v>
      </c>
      <c r="D7866" t="s">
        <v>5</v>
      </c>
      <c r="E7866" t="s">
        <v>6</v>
      </c>
      <c r="F7866" t="s">
        <v>251</v>
      </c>
      <c r="G7866">
        <v>1</v>
      </c>
      <c r="H7866" s="2">
        <f>Tabelle13[[#This Row],[commits]]/Tabelle13[[#Totals],[commits]]</f>
        <v>4.6477904404246225E-6</v>
      </c>
      <c r="I7866" s="5">
        <f>Tabelle13[[#This Row],[%]]+I7865</f>
        <v>0.99451095948976254</v>
      </c>
      <c r="J7866" s="4">
        <f t="shared" si="277"/>
        <v>1.105583195135434E-4</v>
      </c>
      <c r="K7866" s="5">
        <f t="shared" si="278"/>
        <v>0.86943062465461685</v>
      </c>
    </row>
    <row r="7867" spans="1:11" x14ac:dyDescent="0.25">
      <c r="A7867" t="s">
        <v>15328</v>
      </c>
      <c r="C7867" t="s">
        <v>15329</v>
      </c>
      <c r="D7867" t="s">
        <v>15330</v>
      </c>
      <c r="E7867" t="s">
        <v>6</v>
      </c>
      <c r="F7867" t="s">
        <v>251</v>
      </c>
      <c r="G7867">
        <v>1</v>
      </c>
      <c r="H7867" s="2">
        <f>Tabelle13[[#This Row],[commits]]/Tabelle13[[#Totals],[commits]]</f>
        <v>4.6477904404246225E-6</v>
      </c>
      <c r="I7867" s="5">
        <f>Tabelle13[[#This Row],[%]]+I7866</f>
        <v>0.99451560728020294</v>
      </c>
      <c r="J7867" s="4">
        <f t="shared" si="277"/>
        <v>1.105583195135434E-4</v>
      </c>
      <c r="K7867" s="5">
        <f t="shared" si="278"/>
        <v>0.86954118297413041</v>
      </c>
    </row>
    <row r="7868" spans="1:11" x14ac:dyDescent="0.25">
      <c r="A7868" t="s">
        <v>15331</v>
      </c>
      <c r="C7868" t="s">
        <v>15332</v>
      </c>
      <c r="D7868" t="s">
        <v>15333</v>
      </c>
      <c r="E7868" t="s">
        <v>6</v>
      </c>
      <c r="F7868" t="s">
        <v>251</v>
      </c>
      <c r="G7868">
        <v>1</v>
      </c>
      <c r="H7868" s="2">
        <f>Tabelle13[[#This Row],[commits]]/Tabelle13[[#Totals],[commits]]</f>
        <v>4.6477904404246225E-6</v>
      </c>
      <c r="I7868" s="5">
        <f>Tabelle13[[#This Row],[%]]+I7867</f>
        <v>0.99452025507064334</v>
      </c>
      <c r="J7868" s="4">
        <f t="shared" si="277"/>
        <v>1.105583195135434E-4</v>
      </c>
      <c r="K7868" s="5">
        <f t="shared" si="278"/>
        <v>0.86965174129364398</v>
      </c>
    </row>
    <row r="7869" spans="1:11" x14ac:dyDescent="0.25">
      <c r="A7869" t="s">
        <v>15334</v>
      </c>
      <c r="C7869" t="s">
        <v>15335</v>
      </c>
      <c r="D7869" t="s">
        <v>5</v>
      </c>
      <c r="E7869" t="s">
        <v>6</v>
      </c>
      <c r="F7869" t="s">
        <v>251</v>
      </c>
      <c r="G7869">
        <v>1</v>
      </c>
      <c r="H7869" s="2">
        <f>Tabelle13[[#This Row],[commits]]/Tabelle13[[#Totals],[commits]]</f>
        <v>4.6477904404246225E-6</v>
      </c>
      <c r="I7869" s="5">
        <f>Tabelle13[[#This Row],[%]]+I7868</f>
        <v>0.99452490286108375</v>
      </c>
      <c r="J7869" s="4">
        <f t="shared" si="277"/>
        <v>1.105583195135434E-4</v>
      </c>
      <c r="K7869" s="5">
        <f t="shared" si="278"/>
        <v>0.86976229961315754</v>
      </c>
    </row>
    <row r="7870" spans="1:11" x14ac:dyDescent="0.25">
      <c r="A7870" t="s">
        <v>15336</v>
      </c>
      <c r="C7870" t="s">
        <v>15337</v>
      </c>
      <c r="D7870" t="s">
        <v>5</v>
      </c>
      <c r="E7870" t="s">
        <v>6</v>
      </c>
      <c r="F7870" t="s">
        <v>251</v>
      </c>
      <c r="G7870">
        <v>1</v>
      </c>
      <c r="H7870" s="2">
        <f>Tabelle13[[#This Row],[commits]]/Tabelle13[[#Totals],[commits]]</f>
        <v>4.6477904404246225E-6</v>
      </c>
      <c r="I7870" s="5">
        <f>Tabelle13[[#This Row],[%]]+I7869</f>
        <v>0.99452955065152415</v>
      </c>
      <c r="J7870" s="4">
        <f t="shared" si="277"/>
        <v>1.105583195135434E-4</v>
      </c>
      <c r="K7870" s="5">
        <f t="shared" si="278"/>
        <v>0.86987285793267111</v>
      </c>
    </row>
    <row r="7871" spans="1:11" x14ac:dyDescent="0.25">
      <c r="A7871" t="s">
        <v>15338</v>
      </c>
      <c r="C7871" t="s">
        <v>15339</v>
      </c>
      <c r="D7871" t="s">
        <v>5</v>
      </c>
      <c r="E7871" t="s">
        <v>6</v>
      </c>
      <c r="F7871" t="s">
        <v>251</v>
      </c>
      <c r="G7871">
        <v>1</v>
      </c>
      <c r="H7871" s="2">
        <f>Tabelle13[[#This Row],[commits]]/Tabelle13[[#Totals],[commits]]</f>
        <v>4.6477904404246225E-6</v>
      </c>
      <c r="I7871" s="5">
        <f>Tabelle13[[#This Row],[%]]+I7870</f>
        <v>0.99453419844196456</v>
      </c>
      <c r="J7871" s="4">
        <f t="shared" si="277"/>
        <v>1.105583195135434E-4</v>
      </c>
      <c r="K7871" s="5">
        <f t="shared" si="278"/>
        <v>0.86998341625218467</v>
      </c>
    </row>
    <row r="7872" spans="1:11" x14ac:dyDescent="0.25">
      <c r="A7872" t="s">
        <v>15340</v>
      </c>
      <c r="C7872" t="s">
        <v>15341</v>
      </c>
      <c r="D7872" t="s">
        <v>5</v>
      </c>
      <c r="E7872" t="s">
        <v>6</v>
      </c>
      <c r="F7872" t="s">
        <v>251</v>
      </c>
      <c r="G7872">
        <v>1</v>
      </c>
      <c r="H7872" s="2">
        <f>Tabelle13[[#This Row],[commits]]/Tabelle13[[#Totals],[commits]]</f>
        <v>4.6477904404246225E-6</v>
      </c>
      <c r="I7872" s="5">
        <f>Tabelle13[[#This Row],[%]]+I7871</f>
        <v>0.99453884623240496</v>
      </c>
      <c r="J7872" s="4">
        <f t="shared" si="277"/>
        <v>1.105583195135434E-4</v>
      </c>
      <c r="K7872" s="5">
        <f t="shared" si="278"/>
        <v>0.87009397457169824</v>
      </c>
    </row>
    <row r="7873" spans="1:11" x14ac:dyDescent="0.25">
      <c r="A7873" t="s">
        <v>15342</v>
      </c>
      <c r="C7873" t="s">
        <v>15343</v>
      </c>
      <c r="D7873" t="s">
        <v>5</v>
      </c>
      <c r="E7873" t="s">
        <v>6</v>
      </c>
      <c r="F7873" t="s">
        <v>251</v>
      </c>
      <c r="G7873">
        <v>1</v>
      </c>
      <c r="H7873" s="2">
        <f>Tabelle13[[#This Row],[commits]]/Tabelle13[[#Totals],[commits]]</f>
        <v>4.6477904404246225E-6</v>
      </c>
      <c r="I7873" s="5">
        <f>Tabelle13[[#This Row],[%]]+I7872</f>
        <v>0.99454349402284536</v>
      </c>
      <c r="J7873" s="4">
        <f t="shared" si="277"/>
        <v>1.105583195135434E-4</v>
      </c>
      <c r="K7873" s="5">
        <f t="shared" si="278"/>
        <v>0.8702045328912118</v>
      </c>
    </row>
    <row r="7874" spans="1:11" x14ac:dyDescent="0.25">
      <c r="A7874" t="s">
        <v>15344</v>
      </c>
      <c r="C7874" t="s">
        <v>15345</v>
      </c>
      <c r="D7874" t="s">
        <v>5</v>
      </c>
      <c r="E7874" t="s">
        <v>6</v>
      </c>
      <c r="F7874" t="s">
        <v>251</v>
      </c>
      <c r="G7874">
        <v>1</v>
      </c>
      <c r="H7874" s="2">
        <f>Tabelle13[[#This Row],[commits]]/Tabelle13[[#Totals],[commits]]</f>
        <v>4.6477904404246225E-6</v>
      </c>
      <c r="I7874" s="5">
        <f>Tabelle13[[#This Row],[%]]+I7873</f>
        <v>0.99454814181328577</v>
      </c>
      <c r="J7874" s="4">
        <f t="shared" si="277"/>
        <v>1.105583195135434E-4</v>
      </c>
      <c r="K7874" s="5">
        <f t="shared" si="278"/>
        <v>0.87031509121072537</v>
      </c>
    </row>
    <row r="7875" spans="1:11" x14ac:dyDescent="0.25">
      <c r="A7875" t="s">
        <v>15346</v>
      </c>
      <c r="C7875" t="s">
        <v>15347</v>
      </c>
      <c r="D7875" t="s">
        <v>5</v>
      </c>
      <c r="E7875" t="s">
        <v>6</v>
      </c>
      <c r="F7875" t="s">
        <v>251</v>
      </c>
      <c r="G7875">
        <v>1</v>
      </c>
      <c r="H7875" s="2">
        <f>Tabelle13[[#This Row],[commits]]/Tabelle13[[#Totals],[commits]]</f>
        <v>4.6477904404246225E-6</v>
      </c>
      <c r="I7875" s="5">
        <f>Tabelle13[[#This Row],[%]]+I7874</f>
        <v>0.99455278960372617</v>
      </c>
      <c r="J7875" s="4">
        <f t="shared" ref="J7875:J7938" si="279">1/9045</f>
        <v>1.105583195135434E-4</v>
      </c>
      <c r="K7875" s="5">
        <f t="shared" si="278"/>
        <v>0.87042564953023893</v>
      </c>
    </row>
    <row r="7876" spans="1:11" x14ac:dyDescent="0.25">
      <c r="A7876" t="s">
        <v>15348</v>
      </c>
      <c r="C7876">
        <v>516756148</v>
      </c>
      <c r="D7876" t="s">
        <v>5</v>
      </c>
      <c r="E7876" t="s">
        <v>6</v>
      </c>
      <c r="F7876" t="s">
        <v>251</v>
      </c>
      <c r="G7876">
        <v>1</v>
      </c>
      <c r="H7876" s="2">
        <f>Tabelle13[[#This Row],[commits]]/Tabelle13[[#Totals],[commits]]</f>
        <v>4.6477904404246225E-6</v>
      </c>
      <c r="I7876" s="5">
        <f>Tabelle13[[#This Row],[%]]+I7875</f>
        <v>0.99455743739416658</v>
      </c>
      <c r="J7876" s="4">
        <f t="shared" si="279"/>
        <v>1.105583195135434E-4</v>
      </c>
      <c r="K7876" s="5">
        <f t="shared" si="278"/>
        <v>0.8705362078497525</v>
      </c>
    </row>
    <row r="7877" spans="1:11" x14ac:dyDescent="0.25">
      <c r="A7877" t="s">
        <v>15349</v>
      </c>
      <c r="C7877" t="s">
        <v>15350</v>
      </c>
      <c r="D7877" t="s">
        <v>5</v>
      </c>
      <c r="E7877" t="s">
        <v>6</v>
      </c>
      <c r="F7877" t="s">
        <v>251</v>
      </c>
      <c r="G7877">
        <v>1</v>
      </c>
      <c r="H7877" s="2">
        <f>Tabelle13[[#This Row],[commits]]/Tabelle13[[#Totals],[commits]]</f>
        <v>4.6477904404246225E-6</v>
      </c>
      <c r="I7877" s="5">
        <f>Tabelle13[[#This Row],[%]]+I7876</f>
        <v>0.99456208518460698</v>
      </c>
      <c r="J7877" s="4">
        <f t="shared" si="279"/>
        <v>1.105583195135434E-4</v>
      </c>
      <c r="K7877" s="5">
        <f t="shared" si="278"/>
        <v>0.87064676616926606</v>
      </c>
    </row>
    <row r="7878" spans="1:11" x14ac:dyDescent="0.25">
      <c r="A7878" t="s">
        <v>15351</v>
      </c>
      <c r="C7878" t="s">
        <v>15352</v>
      </c>
      <c r="D7878" t="s">
        <v>15353</v>
      </c>
      <c r="E7878" t="s">
        <v>6</v>
      </c>
      <c r="F7878" t="s">
        <v>251</v>
      </c>
      <c r="G7878">
        <v>1</v>
      </c>
      <c r="H7878" s="2">
        <f>Tabelle13[[#This Row],[commits]]/Tabelle13[[#Totals],[commits]]</f>
        <v>4.6477904404246225E-6</v>
      </c>
      <c r="I7878" s="5">
        <f>Tabelle13[[#This Row],[%]]+I7877</f>
        <v>0.99456673297504739</v>
      </c>
      <c r="J7878" s="4">
        <f t="shared" si="279"/>
        <v>1.105583195135434E-4</v>
      </c>
      <c r="K7878" s="5">
        <f t="shared" ref="K7878:K7941" si="280">J7878+K7877</f>
        <v>0.87075732448877963</v>
      </c>
    </row>
    <row r="7879" spans="1:11" x14ac:dyDescent="0.25">
      <c r="A7879" t="s">
        <v>15354</v>
      </c>
      <c r="C7879" t="s">
        <v>15355</v>
      </c>
      <c r="D7879" t="s">
        <v>5</v>
      </c>
      <c r="E7879" t="s">
        <v>6</v>
      </c>
      <c r="F7879" t="s">
        <v>251</v>
      </c>
      <c r="G7879">
        <v>1</v>
      </c>
      <c r="H7879" s="2">
        <f>Tabelle13[[#This Row],[commits]]/Tabelle13[[#Totals],[commits]]</f>
        <v>4.6477904404246225E-6</v>
      </c>
      <c r="I7879" s="5">
        <f>Tabelle13[[#This Row],[%]]+I7878</f>
        <v>0.99457138076548779</v>
      </c>
      <c r="J7879" s="4">
        <f t="shared" si="279"/>
        <v>1.105583195135434E-4</v>
      </c>
      <c r="K7879" s="5">
        <f t="shared" si="280"/>
        <v>0.87086788280829319</v>
      </c>
    </row>
    <row r="7880" spans="1:11" x14ac:dyDescent="0.25">
      <c r="A7880" t="s">
        <v>15356</v>
      </c>
      <c r="C7880" t="s">
        <v>15357</v>
      </c>
      <c r="D7880" t="s">
        <v>5</v>
      </c>
      <c r="E7880" t="s">
        <v>6</v>
      </c>
      <c r="F7880" t="s">
        <v>251</v>
      </c>
      <c r="G7880">
        <v>1</v>
      </c>
      <c r="H7880" s="2">
        <f>Tabelle13[[#This Row],[commits]]/Tabelle13[[#Totals],[commits]]</f>
        <v>4.6477904404246225E-6</v>
      </c>
      <c r="I7880" s="5">
        <f>Tabelle13[[#This Row],[%]]+I7879</f>
        <v>0.99457602855592819</v>
      </c>
      <c r="J7880" s="4">
        <f t="shared" si="279"/>
        <v>1.105583195135434E-4</v>
      </c>
      <c r="K7880" s="5">
        <f t="shared" si="280"/>
        <v>0.87097844112780676</v>
      </c>
    </row>
    <row r="7881" spans="1:11" x14ac:dyDescent="0.25">
      <c r="A7881" t="s">
        <v>15358</v>
      </c>
      <c r="C7881" t="s">
        <v>15359</v>
      </c>
      <c r="D7881" t="s">
        <v>5</v>
      </c>
      <c r="E7881" t="s">
        <v>6</v>
      </c>
      <c r="F7881" t="s">
        <v>251</v>
      </c>
      <c r="G7881">
        <v>1</v>
      </c>
      <c r="H7881" s="2">
        <f>Tabelle13[[#This Row],[commits]]/Tabelle13[[#Totals],[commits]]</f>
        <v>4.6477904404246225E-6</v>
      </c>
      <c r="I7881" s="5">
        <f>Tabelle13[[#This Row],[%]]+I7880</f>
        <v>0.9945806763463686</v>
      </c>
      <c r="J7881" s="4">
        <f t="shared" si="279"/>
        <v>1.105583195135434E-4</v>
      </c>
      <c r="K7881" s="5">
        <f t="shared" si="280"/>
        <v>0.87108899944732032</v>
      </c>
    </row>
    <row r="7882" spans="1:11" x14ac:dyDescent="0.25">
      <c r="A7882" t="s">
        <v>15360</v>
      </c>
      <c r="C7882" t="s">
        <v>15361</v>
      </c>
      <c r="D7882" t="s">
        <v>5</v>
      </c>
      <c r="E7882" t="s">
        <v>6</v>
      </c>
      <c r="F7882" t="s">
        <v>251</v>
      </c>
      <c r="G7882">
        <v>1</v>
      </c>
      <c r="H7882" s="2">
        <f>Tabelle13[[#This Row],[commits]]/Tabelle13[[#Totals],[commits]]</f>
        <v>4.6477904404246225E-6</v>
      </c>
      <c r="I7882" s="5">
        <f>Tabelle13[[#This Row],[%]]+I7881</f>
        <v>0.994585324136809</v>
      </c>
      <c r="J7882" s="4">
        <f t="shared" si="279"/>
        <v>1.105583195135434E-4</v>
      </c>
      <c r="K7882" s="5">
        <f t="shared" si="280"/>
        <v>0.87119955776683389</v>
      </c>
    </row>
    <row r="7883" spans="1:11" x14ac:dyDescent="0.25">
      <c r="A7883" t="s">
        <v>15362</v>
      </c>
      <c r="C7883" t="s">
        <v>151</v>
      </c>
      <c r="D7883" t="s">
        <v>5</v>
      </c>
      <c r="E7883" t="s">
        <v>6</v>
      </c>
      <c r="F7883" t="s">
        <v>251</v>
      </c>
      <c r="G7883">
        <v>1</v>
      </c>
      <c r="H7883" s="2">
        <f>Tabelle13[[#This Row],[commits]]/Tabelle13[[#Totals],[commits]]</f>
        <v>4.6477904404246225E-6</v>
      </c>
      <c r="I7883" s="5">
        <f>Tabelle13[[#This Row],[%]]+I7882</f>
        <v>0.99458997192724941</v>
      </c>
      <c r="J7883" s="4">
        <f t="shared" si="279"/>
        <v>1.105583195135434E-4</v>
      </c>
      <c r="K7883" s="5">
        <f t="shared" si="280"/>
        <v>0.87131011608634745</v>
      </c>
    </row>
    <row r="7884" spans="1:11" x14ac:dyDescent="0.25">
      <c r="A7884" t="s">
        <v>15363</v>
      </c>
      <c r="C7884" t="s">
        <v>15364</v>
      </c>
      <c r="D7884" t="s">
        <v>5</v>
      </c>
      <c r="E7884" t="s">
        <v>6</v>
      </c>
      <c r="F7884" t="s">
        <v>251</v>
      </c>
      <c r="G7884">
        <v>1</v>
      </c>
      <c r="H7884" s="2">
        <f>Tabelle13[[#This Row],[commits]]/Tabelle13[[#Totals],[commits]]</f>
        <v>4.6477904404246225E-6</v>
      </c>
      <c r="I7884" s="5">
        <f>Tabelle13[[#This Row],[%]]+I7883</f>
        <v>0.99459461971768981</v>
      </c>
      <c r="J7884" s="4">
        <f t="shared" si="279"/>
        <v>1.105583195135434E-4</v>
      </c>
      <c r="K7884" s="5">
        <f t="shared" si="280"/>
        <v>0.87142067440586102</v>
      </c>
    </row>
    <row r="7885" spans="1:11" x14ac:dyDescent="0.25">
      <c r="A7885" t="s">
        <v>15365</v>
      </c>
      <c r="C7885" t="s">
        <v>15366</v>
      </c>
      <c r="D7885" t="s">
        <v>5</v>
      </c>
      <c r="E7885" t="s">
        <v>6</v>
      </c>
      <c r="F7885" t="s">
        <v>251</v>
      </c>
      <c r="G7885">
        <v>1</v>
      </c>
      <c r="H7885" s="2">
        <f>Tabelle13[[#This Row],[commits]]/Tabelle13[[#Totals],[commits]]</f>
        <v>4.6477904404246225E-6</v>
      </c>
      <c r="I7885" s="5">
        <f>Tabelle13[[#This Row],[%]]+I7884</f>
        <v>0.99459926750813021</v>
      </c>
      <c r="J7885" s="4">
        <f t="shared" si="279"/>
        <v>1.105583195135434E-4</v>
      </c>
      <c r="K7885" s="5">
        <f t="shared" si="280"/>
        <v>0.87153123272537458</v>
      </c>
    </row>
    <row r="7886" spans="1:11" x14ac:dyDescent="0.25">
      <c r="A7886" t="s">
        <v>15367</v>
      </c>
      <c r="C7886" t="s">
        <v>15368</v>
      </c>
      <c r="D7886" t="s">
        <v>5</v>
      </c>
      <c r="E7886" t="s">
        <v>6</v>
      </c>
      <c r="F7886" t="s">
        <v>251</v>
      </c>
      <c r="G7886">
        <v>1</v>
      </c>
      <c r="H7886" s="2">
        <f>Tabelle13[[#This Row],[commits]]/Tabelle13[[#Totals],[commits]]</f>
        <v>4.6477904404246225E-6</v>
      </c>
      <c r="I7886" s="5">
        <f>Tabelle13[[#This Row],[%]]+I7885</f>
        <v>0.99460391529857062</v>
      </c>
      <c r="J7886" s="4">
        <f t="shared" si="279"/>
        <v>1.105583195135434E-4</v>
      </c>
      <c r="K7886" s="5">
        <f t="shared" si="280"/>
        <v>0.87164179104488815</v>
      </c>
    </row>
    <row r="7887" spans="1:11" x14ac:dyDescent="0.25">
      <c r="A7887" t="s">
        <v>15369</v>
      </c>
      <c r="C7887" t="s">
        <v>15370</v>
      </c>
      <c r="D7887" t="s">
        <v>5</v>
      </c>
      <c r="E7887" t="s">
        <v>6</v>
      </c>
      <c r="F7887" t="s">
        <v>251</v>
      </c>
      <c r="G7887">
        <v>1</v>
      </c>
      <c r="H7887" s="2">
        <f>Tabelle13[[#This Row],[commits]]/Tabelle13[[#Totals],[commits]]</f>
        <v>4.6477904404246225E-6</v>
      </c>
      <c r="I7887" s="5">
        <f>Tabelle13[[#This Row],[%]]+I7886</f>
        <v>0.99460856308901102</v>
      </c>
      <c r="J7887" s="4">
        <f t="shared" si="279"/>
        <v>1.105583195135434E-4</v>
      </c>
      <c r="K7887" s="5">
        <f t="shared" si="280"/>
        <v>0.87175234936440171</v>
      </c>
    </row>
    <row r="7888" spans="1:11" x14ac:dyDescent="0.25">
      <c r="A7888" t="s">
        <v>15371</v>
      </c>
      <c r="C7888" t="s">
        <v>15372</v>
      </c>
      <c r="D7888" t="s">
        <v>9379</v>
      </c>
      <c r="E7888" t="s">
        <v>6</v>
      </c>
      <c r="F7888" t="s">
        <v>251</v>
      </c>
      <c r="G7888">
        <v>1</v>
      </c>
      <c r="H7888" s="2">
        <f>Tabelle13[[#This Row],[commits]]/Tabelle13[[#Totals],[commits]]</f>
        <v>4.6477904404246225E-6</v>
      </c>
      <c r="I7888" s="5">
        <f>Tabelle13[[#This Row],[%]]+I7887</f>
        <v>0.99461321087945143</v>
      </c>
      <c r="J7888" s="4">
        <f t="shared" si="279"/>
        <v>1.105583195135434E-4</v>
      </c>
      <c r="K7888" s="5">
        <f t="shared" si="280"/>
        <v>0.87186290768391528</v>
      </c>
    </row>
    <row r="7889" spans="1:11" x14ac:dyDescent="0.25">
      <c r="A7889" t="s">
        <v>15373</v>
      </c>
      <c r="C7889" t="s">
        <v>15374</v>
      </c>
      <c r="D7889" t="s">
        <v>5</v>
      </c>
      <c r="E7889" t="s">
        <v>6</v>
      </c>
      <c r="F7889" t="s">
        <v>251</v>
      </c>
      <c r="G7889">
        <v>1</v>
      </c>
      <c r="H7889" s="2">
        <f>Tabelle13[[#This Row],[commits]]/Tabelle13[[#Totals],[commits]]</f>
        <v>4.6477904404246225E-6</v>
      </c>
      <c r="I7889" s="5">
        <f>Tabelle13[[#This Row],[%]]+I7888</f>
        <v>0.99461785866989183</v>
      </c>
      <c r="J7889" s="4">
        <f t="shared" si="279"/>
        <v>1.105583195135434E-4</v>
      </c>
      <c r="K7889" s="5">
        <f t="shared" si="280"/>
        <v>0.87197346600342884</v>
      </c>
    </row>
    <row r="7890" spans="1:11" x14ac:dyDescent="0.25">
      <c r="A7890" t="s">
        <v>15375</v>
      </c>
      <c r="C7890" t="s">
        <v>15376</v>
      </c>
      <c r="D7890" t="s">
        <v>5</v>
      </c>
      <c r="E7890" t="s">
        <v>6</v>
      </c>
      <c r="F7890" t="s">
        <v>251</v>
      </c>
      <c r="G7890">
        <v>1</v>
      </c>
      <c r="H7890" s="2">
        <f>Tabelle13[[#This Row],[commits]]/Tabelle13[[#Totals],[commits]]</f>
        <v>4.6477904404246225E-6</v>
      </c>
      <c r="I7890" s="5">
        <f>Tabelle13[[#This Row],[%]]+I7889</f>
        <v>0.99462250646033223</v>
      </c>
      <c r="J7890" s="4">
        <f t="shared" si="279"/>
        <v>1.105583195135434E-4</v>
      </c>
      <c r="K7890" s="5">
        <f t="shared" si="280"/>
        <v>0.87208402432294241</v>
      </c>
    </row>
    <row r="7891" spans="1:11" x14ac:dyDescent="0.25">
      <c r="A7891" t="s">
        <v>15377</v>
      </c>
      <c r="C7891" t="s">
        <v>15378</v>
      </c>
      <c r="D7891" t="s">
        <v>5</v>
      </c>
      <c r="E7891" t="s">
        <v>6</v>
      </c>
      <c r="F7891" t="s">
        <v>251</v>
      </c>
      <c r="G7891">
        <v>1</v>
      </c>
      <c r="H7891" s="2">
        <f>Tabelle13[[#This Row],[commits]]/Tabelle13[[#Totals],[commits]]</f>
        <v>4.6477904404246225E-6</v>
      </c>
      <c r="I7891" s="5">
        <f>Tabelle13[[#This Row],[%]]+I7890</f>
        <v>0.99462715425077264</v>
      </c>
      <c r="J7891" s="4">
        <f t="shared" si="279"/>
        <v>1.105583195135434E-4</v>
      </c>
      <c r="K7891" s="5">
        <f t="shared" si="280"/>
        <v>0.87219458264245597</v>
      </c>
    </row>
    <row r="7892" spans="1:11" x14ac:dyDescent="0.25">
      <c r="A7892" t="s">
        <v>15379</v>
      </c>
      <c r="C7892" t="s">
        <v>15380</v>
      </c>
      <c r="D7892" t="s">
        <v>5</v>
      </c>
      <c r="E7892" t="s">
        <v>6</v>
      </c>
      <c r="F7892" t="s">
        <v>251</v>
      </c>
      <c r="G7892">
        <v>1</v>
      </c>
      <c r="H7892" s="2">
        <f>Tabelle13[[#This Row],[commits]]/Tabelle13[[#Totals],[commits]]</f>
        <v>4.6477904404246225E-6</v>
      </c>
      <c r="I7892" s="5">
        <f>Tabelle13[[#This Row],[%]]+I7891</f>
        <v>0.99463180204121304</v>
      </c>
      <c r="J7892" s="4">
        <f t="shared" si="279"/>
        <v>1.105583195135434E-4</v>
      </c>
      <c r="K7892" s="5">
        <f t="shared" si="280"/>
        <v>0.87230514096196954</v>
      </c>
    </row>
    <row r="7893" spans="1:11" x14ac:dyDescent="0.25">
      <c r="A7893" t="s">
        <v>15381</v>
      </c>
      <c r="C7893" t="s">
        <v>15382</v>
      </c>
      <c r="D7893" t="s">
        <v>5</v>
      </c>
      <c r="E7893" t="s">
        <v>6</v>
      </c>
      <c r="F7893" t="s">
        <v>251</v>
      </c>
      <c r="G7893">
        <v>1</v>
      </c>
      <c r="H7893" s="2">
        <f>Tabelle13[[#This Row],[commits]]/Tabelle13[[#Totals],[commits]]</f>
        <v>4.6477904404246225E-6</v>
      </c>
      <c r="I7893" s="5">
        <f>Tabelle13[[#This Row],[%]]+I7892</f>
        <v>0.99463644983165345</v>
      </c>
      <c r="J7893" s="4">
        <f t="shared" si="279"/>
        <v>1.105583195135434E-4</v>
      </c>
      <c r="K7893" s="5">
        <f t="shared" si="280"/>
        <v>0.8724156992814831</v>
      </c>
    </row>
    <row r="7894" spans="1:11" x14ac:dyDescent="0.25">
      <c r="A7894" t="s">
        <v>15383</v>
      </c>
      <c r="C7894" t="s">
        <v>15384</v>
      </c>
      <c r="D7894" t="s">
        <v>5</v>
      </c>
      <c r="E7894" t="s">
        <v>6</v>
      </c>
      <c r="F7894" t="s">
        <v>251</v>
      </c>
      <c r="G7894">
        <v>1</v>
      </c>
      <c r="H7894" s="2">
        <f>Tabelle13[[#This Row],[commits]]/Tabelle13[[#Totals],[commits]]</f>
        <v>4.6477904404246225E-6</v>
      </c>
      <c r="I7894" s="5">
        <f>Tabelle13[[#This Row],[%]]+I7893</f>
        <v>0.99464109762209385</v>
      </c>
      <c r="J7894" s="4">
        <f t="shared" si="279"/>
        <v>1.105583195135434E-4</v>
      </c>
      <c r="K7894" s="5">
        <f t="shared" si="280"/>
        <v>0.87252625760099667</v>
      </c>
    </row>
    <row r="7895" spans="1:11" x14ac:dyDescent="0.25">
      <c r="A7895" t="s">
        <v>15385</v>
      </c>
      <c r="C7895" t="s">
        <v>15386</v>
      </c>
      <c r="D7895" t="s">
        <v>5</v>
      </c>
      <c r="E7895" t="s">
        <v>6</v>
      </c>
      <c r="F7895" t="s">
        <v>251</v>
      </c>
      <c r="G7895">
        <v>1</v>
      </c>
      <c r="H7895" s="2">
        <f>Tabelle13[[#This Row],[commits]]/Tabelle13[[#Totals],[commits]]</f>
        <v>4.6477904404246225E-6</v>
      </c>
      <c r="I7895" s="5">
        <f>Tabelle13[[#This Row],[%]]+I7894</f>
        <v>0.99464574541253425</v>
      </c>
      <c r="J7895" s="4">
        <f t="shared" si="279"/>
        <v>1.105583195135434E-4</v>
      </c>
      <c r="K7895" s="5">
        <f t="shared" si="280"/>
        <v>0.87263681592051023</v>
      </c>
    </row>
    <row r="7896" spans="1:11" x14ac:dyDescent="0.25">
      <c r="A7896" t="s">
        <v>15387</v>
      </c>
      <c r="C7896" t="s">
        <v>211</v>
      </c>
      <c r="D7896" t="s">
        <v>5</v>
      </c>
      <c r="E7896" t="s">
        <v>6</v>
      </c>
      <c r="F7896" t="s">
        <v>251</v>
      </c>
      <c r="G7896">
        <v>1</v>
      </c>
      <c r="H7896" s="2">
        <f>Tabelle13[[#This Row],[commits]]/Tabelle13[[#Totals],[commits]]</f>
        <v>4.6477904404246225E-6</v>
      </c>
      <c r="I7896" s="5">
        <f>Tabelle13[[#This Row],[%]]+I7895</f>
        <v>0.99465039320297466</v>
      </c>
      <c r="J7896" s="4">
        <f t="shared" si="279"/>
        <v>1.105583195135434E-4</v>
      </c>
      <c r="K7896" s="5">
        <f t="shared" si="280"/>
        <v>0.8727473742400238</v>
      </c>
    </row>
    <row r="7897" spans="1:11" x14ac:dyDescent="0.25">
      <c r="A7897" t="s">
        <v>15388</v>
      </c>
      <c r="C7897" t="s">
        <v>15389</v>
      </c>
      <c r="D7897" t="s">
        <v>5</v>
      </c>
      <c r="E7897" t="s">
        <v>6</v>
      </c>
      <c r="F7897" t="s">
        <v>251</v>
      </c>
      <c r="G7897">
        <v>1</v>
      </c>
      <c r="H7897" s="2">
        <f>Tabelle13[[#This Row],[commits]]/Tabelle13[[#Totals],[commits]]</f>
        <v>4.6477904404246225E-6</v>
      </c>
      <c r="I7897" s="5">
        <f>Tabelle13[[#This Row],[%]]+I7896</f>
        <v>0.99465504099341506</v>
      </c>
      <c r="J7897" s="4">
        <f t="shared" si="279"/>
        <v>1.105583195135434E-4</v>
      </c>
      <c r="K7897" s="5">
        <f t="shared" si="280"/>
        <v>0.87285793255953736</v>
      </c>
    </row>
    <row r="7898" spans="1:11" x14ac:dyDescent="0.25">
      <c r="A7898" t="s">
        <v>15390</v>
      </c>
      <c r="C7898" t="s">
        <v>15391</v>
      </c>
      <c r="D7898" t="s">
        <v>5</v>
      </c>
      <c r="E7898" t="s">
        <v>6</v>
      </c>
      <c r="F7898" t="s">
        <v>251</v>
      </c>
      <c r="G7898">
        <v>1</v>
      </c>
      <c r="H7898" s="2">
        <f>Tabelle13[[#This Row],[commits]]/Tabelle13[[#Totals],[commits]]</f>
        <v>4.6477904404246225E-6</v>
      </c>
      <c r="I7898" s="5">
        <f>Tabelle13[[#This Row],[%]]+I7897</f>
        <v>0.99465968878385547</v>
      </c>
      <c r="J7898" s="4">
        <f t="shared" si="279"/>
        <v>1.105583195135434E-4</v>
      </c>
      <c r="K7898" s="5">
        <f t="shared" si="280"/>
        <v>0.87296849087905093</v>
      </c>
    </row>
    <row r="7899" spans="1:11" x14ac:dyDescent="0.25">
      <c r="A7899" t="s">
        <v>15392</v>
      </c>
      <c r="C7899" t="s">
        <v>15393</v>
      </c>
      <c r="D7899" t="s">
        <v>5</v>
      </c>
      <c r="E7899" t="s">
        <v>6</v>
      </c>
      <c r="F7899" t="s">
        <v>251</v>
      </c>
      <c r="G7899">
        <v>1</v>
      </c>
      <c r="H7899" s="2">
        <f>Tabelle13[[#This Row],[commits]]/Tabelle13[[#Totals],[commits]]</f>
        <v>4.6477904404246225E-6</v>
      </c>
      <c r="I7899" s="5">
        <f>Tabelle13[[#This Row],[%]]+I7898</f>
        <v>0.99466433657429587</v>
      </c>
      <c r="J7899" s="4">
        <f t="shared" si="279"/>
        <v>1.105583195135434E-4</v>
      </c>
      <c r="K7899" s="5">
        <f t="shared" si="280"/>
        <v>0.87307904919856449</v>
      </c>
    </row>
    <row r="7900" spans="1:11" x14ac:dyDescent="0.25">
      <c r="A7900" t="s">
        <v>15394</v>
      </c>
      <c r="C7900" t="s">
        <v>15395</v>
      </c>
      <c r="D7900" t="s">
        <v>5</v>
      </c>
      <c r="E7900" t="s">
        <v>6</v>
      </c>
      <c r="F7900" t="s">
        <v>251</v>
      </c>
      <c r="G7900">
        <v>1</v>
      </c>
      <c r="H7900" s="2">
        <f>Tabelle13[[#This Row],[commits]]/Tabelle13[[#Totals],[commits]]</f>
        <v>4.6477904404246225E-6</v>
      </c>
      <c r="I7900" s="5">
        <f>Tabelle13[[#This Row],[%]]+I7899</f>
        <v>0.99466898436473627</v>
      </c>
      <c r="J7900" s="4">
        <f t="shared" si="279"/>
        <v>1.105583195135434E-4</v>
      </c>
      <c r="K7900" s="5">
        <f t="shared" si="280"/>
        <v>0.87318960751807806</v>
      </c>
    </row>
    <row r="7901" spans="1:11" x14ac:dyDescent="0.25">
      <c r="A7901" t="s">
        <v>15396</v>
      </c>
      <c r="C7901" t="s">
        <v>15397</v>
      </c>
      <c r="D7901" t="s">
        <v>5</v>
      </c>
      <c r="E7901" t="s">
        <v>6</v>
      </c>
      <c r="F7901" t="s">
        <v>251</v>
      </c>
      <c r="G7901">
        <v>1</v>
      </c>
      <c r="H7901" s="2">
        <f>Tabelle13[[#This Row],[commits]]/Tabelle13[[#Totals],[commits]]</f>
        <v>4.6477904404246225E-6</v>
      </c>
      <c r="I7901" s="5">
        <f>Tabelle13[[#This Row],[%]]+I7900</f>
        <v>0.99467363215517668</v>
      </c>
      <c r="J7901" s="4">
        <f t="shared" si="279"/>
        <v>1.105583195135434E-4</v>
      </c>
      <c r="K7901" s="5">
        <f t="shared" si="280"/>
        <v>0.87330016583759162</v>
      </c>
    </row>
    <row r="7902" spans="1:11" x14ac:dyDescent="0.25">
      <c r="A7902" t="s">
        <v>15398</v>
      </c>
      <c r="C7902" t="s">
        <v>15399</v>
      </c>
      <c r="D7902" t="s">
        <v>5</v>
      </c>
      <c r="E7902" t="s">
        <v>6</v>
      </c>
      <c r="F7902" t="s">
        <v>251</v>
      </c>
      <c r="G7902">
        <v>1</v>
      </c>
      <c r="H7902" s="2">
        <f>Tabelle13[[#This Row],[commits]]/Tabelle13[[#Totals],[commits]]</f>
        <v>4.6477904404246225E-6</v>
      </c>
      <c r="I7902" s="5">
        <f>Tabelle13[[#This Row],[%]]+I7901</f>
        <v>0.99467827994561708</v>
      </c>
      <c r="J7902" s="4">
        <f t="shared" si="279"/>
        <v>1.105583195135434E-4</v>
      </c>
      <c r="K7902" s="5">
        <f t="shared" si="280"/>
        <v>0.87341072415710519</v>
      </c>
    </row>
    <row r="7903" spans="1:11" x14ac:dyDescent="0.25">
      <c r="A7903" t="s">
        <v>15400</v>
      </c>
      <c r="C7903" t="s">
        <v>15401</v>
      </c>
      <c r="D7903" t="s">
        <v>5</v>
      </c>
      <c r="E7903" t="s">
        <v>6</v>
      </c>
      <c r="F7903" t="s">
        <v>251</v>
      </c>
      <c r="G7903">
        <v>1</v>
      </c>
      <c r="H7903" s="2">
        <f>Tabelle13[[#This Row],[commits]]/Tabelle13[[#Totals],[commits]]</f>
        <v>4.6477904404246225E-6</v>
      </c>
      <c r="I7903" s="5">
        <f>Tabelle13[[#This Row],[%]]+I7902</f>
        <v>0.99468292773605749</v>
      </c>
      <c r="J7903" s="4">
        <f t="shared" si="279"/>
        <v>1.105583195135434E-4</v>
      </c>
      <c r="K7903" s="5">
        <f t="shared" si="280"/>
        <v>0.87352128247661875</v>
      </c>
    </row>
    <row r="7904" spans="1:11" x14ac:dyDescent="0.25">
      <c r="A7904" t="s">
        <v>15402</v>
      </c>
      <c r="C7904" t="s">
        <v>15403</v>
      </c>
      <c r="D7904" t="s">
        <v>5</v>
      </c>
      <c r="E7904" t="s">
        <v>6</v>
      </c>
      <c r="F7904" t="s">
        <v>251</v>
      </c>
      <c r="G7904">
        <v>1</v>
      </c>
      <c r="H7904" s="2">
        <f>Tabelle13[[#This Row],[commits]]/Tabelle13[[#Totals],[commits]]</f>
        <v>4.6477904404246225E-6</v>
      </c>
      <c r="I7904" s="5">
        <f>Tabelle13[[#This Row],[%]]+I7903</f>
        <v>0.99468757552649789</v>
      </c>
      <c r="J7904" s="4">
        <f t="shared" si="279"/>
        <v>1.105583195135434E-4</v>
      </c>
      <c r="K7904" s="5">
        <f t="shared" si="280"/>
        <v>0.87363184079613232</v>
      </c>
    </row>
    <row r="7905" spans="1:11" x14ac:dyDescent="0.25">
      <c r="A7905" t="s">
        <v>15404</v>
      </c>
      <c r="C7905" t="s">
        <v>15405</v>
      </c>
      <c r="D7905" t="s">
        <v>5</v>
      </c>
      <c r="E7905" t="s">
        <v>6</v>
      </c>
      <c r="F7905" t="s">
        <v>251</v>
      </c>
      <c r="G7905">
        <v>1</v>
      </c>
      <c r="H7905" s="2">
        <f>Tabelle13[[#This Row],[commits]]/Tabelle13[[#Totals],[commits]]</f>
        <v>4.6477904404246225E-6</v>
      </c>
      <c r="I7905" s="5">
        <f>Tabelle13[[#This Row],[%]]+I7904</f>
        <v>0.9946922233169383</v>
      </c>
      <c r="J7905" s="4">
        <f t="shared" si="279"/>
        <v>1.105583195135434E-4</v>
      </c>
      <c r="K7905" s="5">
        <f t="shared" si="280"/>
        <v>0.87374239911564588</v>
      </c>
    </row>
    <row r="7906" spans="1:11" x14ac:dyDescent="0.25">
      <c r="A7906" t="s">
        <v>15406</v>
      </c>
      <c r="C7906" t="s">
        <v>2057</v>
      </c>
      <c r="D7906" t="s">
        <v>5</v>
      </c>
      <c r="E7906" t="s">
        <v>6</v>
      </c>
      <c r="F7906" t="s">
        <v>251</v>
      </c>
      <c r="G7906">
        <v>1</v>
      </c>
      <c r="H7906" s="2">
        <f>Tabelle13[[#This Row],[commits]]/Tabelle13[[#Totals],[commits]]</f>
        <v>4.6477904404246225E-6</v>
      </c>
      <c r="I7906" s="5">
        <f>Tabelle13[[#This Row],[%]]+I7905</f>
        <v>0.9946968711073787</v>
      </c>
      <c r="J7906" s="4">
        <f t="shared" si="279"/>
        <v>1.105583195135434E-4</v>
      </c>
      <c r="K7906" s="5">
        <f t="shared" si="280"/>
        <v>0.87385295743515945</v>
      </c>
    </row>
    <row r="7907" spans="1:11" x14ac:dyDescent="0.25">
      <c r="A7907" t="s">
        <v>15407</v>
      </c>
      <c r="C7907" t="s">
        <v>15408</v>
      </c>
      <c r="D7907" t="s">
        <v>5</v>
      </c>
      <c r="E7907" t="s">
        <v>6</v>
      </c>
      <c r="F7907" t="s">
        <v>251</v>
      </c>
      <c r="G7907">
        <v>1</v>
      </c>
      <c r="H7907" s="2">
        <f>Tabelle13[[#This Row],[commits]]/Tabelle13[[#Totals],[commits]]</f>
        <v>4.6477904404246225E-6</v>
      </c>
      <c r="I7907" s="5">
        <f>Tabelle13[[#This Row],[%]]+I7906</f>
        <v>0.9947015188978191</v>
      </c>
      <c r="J7907" s="4">
        <f t="shared" si="279"/>
        <v>1.105583195135434E-4</v>
      </c>
      <c r="K7907" s="5">
        <f t="shared" si="280"/>
        <v>0.87396351575467301</v>
      </c>
    </row>
    <row r="7908" spans="1:11" x14ac:dyDescent="0.25">
      <c r="A7908" t="s">
        <v>15409</v>
      </c>
      <c r="C7908" t="s">
        <v>15410</v>
      </c>
      <c r="D7908" t="s">
        <v>15411</v>
      </c>
      <c r="E7908" t="s">
        <v>6</v>
      </c>
      <c r="F7908" t="s">
        <v>251</v>
      </c>
      <c r="G7908">
        <v>1</v>
      </c>
      <c r="H7908" s="2">
        <f>Tabelle13[[#This Row],[commits]]/Tabelle13[[#Totals],[commits]]</f>
        <v>4.6477904404246225E-6</v>
      </c>
      <c r="I7908" s="5">
        <f>Tabelle13[[#This Row],[%]]+I7907</f>
        <v>0.99470616668825951</v>
      </c>
      <c r="J7908" s="4">
        <f t="shared" si="279"/>
        <v>1.105583195135434E-4</v>
      </c>
      <c r="K7908" s="5">
        <f t="shared" si="280"/>
        <v>0.87407407407418658</v>
      </c>
    </row>
    <row r="7909" spans="1:11" x14ac:dyDescent="0.25">
      <c r="A7909" t="s">
        <v>15412</v>
      </c>
      <c r="C7909" t="s">
        <v>15413</v>
      </c>
      <c r="D7909" t="s">
        <v>5</v>
      </c>
      <c r="E7909" t="s">
        <v>6</v>
      </c>
      <c r="F7909" t="s">
        <v>251</v>
      </c>
      <c r="G7909">
        <v>1</v>
      </c>
      <c r="H7909" s="2">
        <f>Tabelle13[[#This Row],[commits]]/Tabelle13[[#Totals],[commits]]</f>
        <v>4.6477904404246225E-6</v>
      </c>
      <c r="I7909" s="5">
        <f>Tabelle13[[#This Row],[%]]+I7908</f>
        <v>0.99471081447869991</v>
      </c>
      <c r="J7909" s="4">
        <f t="shared" si="279"/>
        <v>1.105583195135434E-4</v>
      </c>
      <c r="K7909" s="5">
        <f t="shared" si="280"/>
        <v>0.87418463239370015</v>
      </c>
    </row>
    <row r="7910" spans="1:11" x14ac:dyDescent="0.25">
      <c r="A7910" t="s">
        <v>15414</v>
      </c>
      <c r="C7910" t="s">
        <v>15415</v>
      </c>
      <c r="D7910" t="s">
        <v>5</v>
      </c>
      <c r="E7910" t="s">
        <v>6</v>
      </c>
      <c r="F7910" t="s">
        <v>251</v>
      </c>
      <c r="G7910">
        <v>1</v>
      </c>
      <c r="H7910" s="2">
        <f>Tabelle13[[#This Row],[commits]]/Tabelle13[[#Totals],[commits]]</f>
        <v>4.6477904404246225E-6</v>
      </c>
      <c r="I7910" s="5">
        <f>Tabelle13[[#This Row],[%]]+I7909</f>
        <v>0.99471546226914032</v>
      </c>
      <c r="J7910" s="4">
        <f t="shared" si="279"/>
        <v>1.105583195135434E-4</v>
      </c>
      <c r="K7910" s="5">
        <f t="shared" si="280"/>
        <v>0.87429519071321371</v>
      </c>
    </row>
    <row r="7911" spans="1:11" x14ac:dyDescent="0.25">
      <c r="A7911" t="s">
        <v>15416</v>
      </c>
      <c r="C7911" t="s">
        <v>15417</v>
      </c>
      <c r="D7911" t="s">
        <v>5</v>
      </c>
      <c r="E7911" t="s">
        <v>6</v>
      </c>
      <c r="F7911" t="s">
        <v>251</v>
      </c>
      <c r="G7911">
        <v>1</v>
      </c>
      <c r="H7911" s="2">
        <f>Tabelle13[[#This Row],[commits]]/Tabelle13[[#Totals],[commits]]</f>
        <v>4.6477904404246225E-6</v>
      </c>
      <c r="I7911" s="5">
        <f>Tabelle13[[#This Row],[%]]+I7910</f>
        <v>0.99472011005958072</v>
      </c>
      <c r="J7911" s="4">
        <f t="shared" si="279"/>
        <v>1.105583195135434E-4</v>
      </c>
      <c r="K7911" s="5">
        <f t="shared" si="280"/>
        <v>0.87440574903272728</v>
      </c>
    </row>
    <row r="7912" spans="1:11" x14ac:dyDescent="0.25">
      <c r="A7912" t="s">
        <v>15418</v>
      </c>
      <c r="C7912" t="s">
        <v>15419</v>
      </c>
      <c r="D7912" t="s">
        <v>5</v>
      </c>
      <c r="E7912" t="s">
        <v>6</v>
      </c>
      <c r="F7912" t="s">
        <v>251</v>
      </c>
      <c r="G7912">
        <v>1</v>
      </c>
      <c r="H7912" s="2">
        <f>Tabelle13[[#This Row],[commits]]/Tabelle13[[#Totals],[commits]]</f>
        <v>4.6477904404246225E-6</v>
      </c>
      <c r="I7912" s="5">
        <f>Tabelle13[[#This Row],[%]]+I7911</f>
        <v>0.99472475785002112</v>
      </c>
      <c r="J7912" s="4">
        <f t="shared" si="279"/>
        <v>1.105583195135434E-4</v>
      </c>
      <c r="K7912" s="5">
        <f t="shared" si="280"/>
        <v>0.87451630735224084</v>
      </c>
    </row>
    <row r="7913" spans="1:11" x14ac:dyDescent="0.25">
      <c r="A7913" t="s">
        <v>15420</v>
      </c>
      <c r="C7913" t="s">
        <v>15421</v>
      </c>
      <c r="D7913" t="s">
        <v>5</v>
      </c>
      <c r="E7913" t="s">
        <v>6</v>
      </c>
      <c r="F7913" t="s">
        <v>251</v>
      </c>
      <c r="G7913">
        <v>1</v>
      </c>
      <c r="H7913" s="2">
        <f>Tabelle13[[#This Row],[commits]]/Tabelle13[[#Totals],[commits]]</f>
        <v>4.6477904404246225E-6</v>
      </c>
      <c r="I7913" s="5">
        <f>Tabelle13[[#This Row],[%]]+I7912</f>
        <v>0.99472940564046153</v>
      </c>
      <c r="J7913" s="4">
        <f t="shared" si="279"/>
        <v>1.105583195135434E-4</v>
      </c>
      <c r="K7913" s="5">
        <f t="shared" si="280"/>
        <v>0.87462686567175441</v>
      </c>
    </row>
    <row r="7914" spans="1:11" x14ac:dyDescent="0.25">
      <c r="A7914" t="s">
        <v>15422</v>
      </c>
      <c r="C7914" t="s">
        <v>15423</v>
      </c>
      <c r="D7914" t="s">
        <v>5</v>
      </c>
      <c r="E7914" t="s">
        <v>6</v>
      </c>
      <c r="F7914" t="s">
        <v>251</v>
      </c>
      <c r="G7914">
        <v>1</v>
      </c>
      <c r="H7914" s="2">
        <f>Tabelle13[[#This Row],[commits]]/Tabelle13[[#Totals],[commits]]</f>
        <v>4.6477904404246225E-6</v>
      </c>
      <c r="I7914" s="5">
        <f>Tabelle13[[#This Row],[%]]+I7913</f>
        <v>0.99473405343090193</v>
      </c>
      <c r="J7914" s="4">
        <f t="shared" si="279"/>
        <v>1.105583195135434E-4</v>
      </c>
      <c r="K7914" s="5">
        <f t="shared" si="280"/>
        <v>0.87473742399126797</v>
      </c>
    </row>
    <row r="7915" spans="1:11" x14ac:dyDescent="0.25">
      <c r="A7915" t="s">
        <v>15424</v>
      </c>
      <c r="C7915" t="s">
        <v>15425</v>
      </c>
      <c r="D7915" t="s">
        <v>5</v>
      </c>
      <c r="E7915" t="s">
        <v>6</v>
      </c>
      <c r="F7915" t="s">
        <v>251</v>
      </c>
      <c r="G7915">
        <v>1</v>
      </c>
      <c r="H7915" s="2">
        <f>Tabelle13[[#This Row],[commits]]/Tabelle13[[#Totals],[commits]]</f>
        <v>4.6477904404246225E-6</v>
      </c>
      <c r="I7915" s="5">
        <f>Tabelle13[[#This Row],[%]]+I7914</f>
        <v>0.99473870122134234</v>
      </c>
      <c r="J7915" s="4">
        <f t="shared" si="279"/>
        <v>1.105583195135434E-4</v>
      </c>
      <c r="K7915" s="5">
        <f t="shared" si="280"/>
        <v>0.87484798231078154</v>
      </c>
    </row>
    <row r="7916" spans="1:11" x14ac:dyDescent="0.25">
      <c r="A7916" t="s">
        <v>15426</v>
      </c>
      <c r="C7916" t="s">
        <v>15427</v>
      </c>
      <c r="D7916" t="s">
        <v>8948</v>
      </c>
      <c r="E7916" t="s">
        <v>6</v>
      </c>
      <c r="F7916" t="s">
        <v>251</v>
      </c>
      <c r="G7916">
        <v>1</v>
      </c>
      <c r="H7916" s="2">
        <f>Tabelle13[[#This Row],[commits]]/Tabelle13[[#Totals],[commits]]</f>
        <v>4.6477904404246225E-6</v>
      </c>
      <c r="I7916" s="5">
        <f>Tabelle13[[#This Row],[%]]+I7915</f>
        <v>0.99474334901178274</v>
      </c>
      <c r="J7916" s="4">
        <f t="shared" si="279"/>
        <v>1.105583195135434E-4</v>
      </c>
      <c r="K7916" s="5">
        <f t="shared" si="280"/>
        <v>0.8749585406302951</v>
      </c>
    </row>
    <row r="7917" spans="1:11" x14ac:dyDescent="0.25">
      <c r="A7917" t="s">
        <v>15428</v>
      </c>
      <c r="C7917" t="s">
        <v>15429</v>
      </c>
      <c r="D7917" t="s">
        <v>5</v>
      </c>
      <c r="E7917" t="s">
        <v>6</v>
      </c>
      <c r="F7917" t="s">
        <v>251</v>
      </c>
      <c r="G7917">
        <v>1</v>
      </c>
      <c r="H7917" s="2">
        <f>Tabelle13[[#This Row],[commits]]/Tabelle13[[#Totals],[commits]]</f>
        <v>4.6477904404246225E-6</v>
      </c>
      <c r="I7917" s="5">
        <f>Tabelle13[[#This Row],[%]]+I7916</f>
        <v>0.99474799680222314</v>
      </c>
      <c r="J7917" s="4">
        <f t="shared" si="279"/>
        <v>1.105583195135434E-4</v>
      </c>
      <c r="K7917" s="5">
        <f t="shared" si="280"/>
        <v>0.87506909894980867</v>
      </c>
    </row>
    <row r="7918" spans="1:11" x14ac:dyDescent="0.25">
      <c r="A7918" t="s">
        <v>15430</v>
      </c>
      <c r="C7918" t="s">
        <v>15431</v>
      </c>
      <c r="D7918" t="s">
        <v>5</v>
      </c>
      <c r="E7918" t="s">
        <v>6</v>
      </c>
      <c r="F7918" t="s">
        <v>251</v>
      </c>
      <c r="G7918">
        <v>1</v>
      </c>
      <c r="H7918" s="2">
        <f>Tabelle13[[#This Row],[commits]]/Tabelle13[[#Totals],[commits]]</f>
        <v>4.6477904404246225E-6</v>
      </c>
      <c r="I7918" s="5">
        <f>Tabelle13[[#This Row],[%]]+I7917</f>
        <v>0.99475264459266355</v>
      </c>
      <c r="J7918" s="4">
        <f t="shared" si="279"/>
        <v>1.105583195135434E-4</v>
      </c>
      <c r="K7918" s="5">
        <f t="shared" si="280"/>
        <v>0.87517965726932223</v>
      </c>
    </row>
    <row r="7919" spans="1:11" x14ac:dyDescent="0.25">
      <c r="A7919" t="s">
        <v>15432</v>
      </c>
      <c r="C7919" t="s">
        <v>15433</v>
      </c>
      <c r="D7919" t="s">
        <v>5</v>
      </c>
      <c r="E7919" t="s">
        <v>6</v>
      </c>
      <c r="F7919" t="s">
        <v>251</v>
      </c>
      <c r="G7919">
        <v>1</v>
      </c>
      <c r="H7919" s="2">
        <f>Tabelle13[[#This Row],[commits]]/Tabelle13[[#Totals],[commits]]</f>
        <v>4.6477904404246225E-6</v>
      </c>
      <c r="I7919" s="5">
        <f>Tabelle13[[#This Row],[%]]+I7918</f>
        <v>0.99475729238310395</v>
      </c>
      <c r="J7919" s="4">
        <f t="shared" si="279"/>
        <v>1.105583195135434E-4</v>
      </c>
      <c r="K7919" s="5">
        <f t="shared" si="280"/>
        <v>0.8752902155888358</v>
      </c>
    </row>
    <row r="7920" spans="1:11" x14ac:dyDescent="0.25">
      <c r="A7920" t="s">
        <v>15434</v>
      </c>
      <c r="C7920" t="s">
        <v>15435</v>
      </c>
      <c r="D7920" t="s">
        <v>11502</v>
      </c>
      <c r="E7920" t="s">
        <v>6</v>
      </c>
      <c r="F7920" t="s">
        <v>251</v>
      </c>
      <c r="G7920">
        <v>1</v>
      </c>
      <c r="H7920" s="2">
        <f>Tabelle13[[#This Row],[commits]]/Tabelle13[[#Totals],[commits]]</f>
        <v>4.6477904404246225E-6</v>
      </c>
      <c r="I7920" s="5">
        <f>Tabelle13[[#This Row],[%]]+I7919</f>
        <v>0.99476194017354436</v>
      </c>
      <c r="J7920" s="4">
        <f t="shared" si="279"/>
        <v>1.105583195135434E-4</v>
      </c>
      <c r="K7920" s="5">
        <f t="shared" si="280"/>
        <v>0.87540077390834936</v>
      </c>
    </row>
    <row r="7921" spans="1:11" x14ac:dyDescent="0.25">
      <c r="A7921" t="s">
        <v>15436</v>
      </c>
      <c r="C7921" t="s">
        <v>15437</v>
      </c>
      <c r="D7921" t="s">
        <v>5</v>
      </c>
      <c r="E7921" t="s">
        <v>6</v>
      </c>
      <c r="F7921" t="s">
        <v>251</v>
      </c>
      <c r="G7921">
        <v>1</v>
      </c>
      <c r="H7921" s="2">
        <f>Tabelle13[[#This Row],[commits]]/Tabelle13[[#Totals],[commits]]</f>
        <v>4.6477904404246225E-6</v>
      </c>
      <c r="I7921" s="5">
        <f>Tabelle13[[#This Row],[%]]+I7920</f>
        <v>0.99476658796398476</v>
      </c>
      <c r="J7921" s="4">
        <f t="shared" si="279"/>
        <v>1.105583195135434E-4</v>
      </c>
      <c r="K7921" s="5">
        <f t="shared" si="280"/>
        <v>0.87551133222786293</v>
      </c>
    </row>
    <row r="7922" spans="1:11" x14ac:dyDescent="0.25">
      <c r="A7922" t="s">
        <v>15438</v>
      </c>
      <c r="C7922" t="s">
        <v>15439</v>
      </c>
      <c r="D7922" t="s">
        <v>5</v>
      </c>
      <c r="E7922" t="s">
        <v>6</v>
      </c>
      <c r="F7922" t="s">
        <v>251</v>
      </c>
      <c r="G7922">
        <v>1</v>
      </c>
      <c r="H7922" s="2">
        <f>Tabelle13[[#This Row],[commits]]/Tabelle13[[#Totals],[commits]]</f>
        <v>4.6477904404246225E-6</v>
      </c>
      <c r="I7922" s="5">
        <f>Tabelle13[[#This Row],[%]]+I7921</f>
        <v>0.99477123575442516</v>
      </c>
      <c r="J7922" s="4">
        <f t="shared" si="279"/>
        <v>1.105583195135434E-4</v>
      </c>
      <c r="K7922" s="5">
        <f t="shared" si="280"/>
        <v>0.87562189054737649</v>
      </c>
    </row>
    <row r="7923" spans="1:11" x14ac:dyDescent="0.25">
      <c r="A7923" t="s">
        <v>15440</v>
      </c>
      <c r="C7923" t="s">
        <v>15441</v>
      </c>
      <c r="D7923" t="s">
        <v>8874</v>
      </c>
      <c r="E7923" t="s">
        <v>6</v>
      </c>
      <c r="F7923" t="s">
        <v>251</v>
      </c>
      <c r="G7923">
        <v>1</v>
      </c>
      <c r="H7923" s="2">
        <f>Tabelle13[[#This Row],[commits]]/Tabelle13[[#Totals],[commits]]</f>
        <v>4.6477904404246225E-6</v>
      </c>
      <c r="I7923" s="5">
        <f>Tabelle13[[#This Row],[%]]+I7922</f>
        <v>0.99477588354486557</v>
      </c>
      <c r="J7923" s="4">
        <f t="shared" si="279"/>
        <v>1.105583195135434E-4</v>
      </c>
      <c r="K7923" s="5">
        <f t="shared" si="280"/>
        <v>0.87573244886689006</v>
      </c>
    </row>
    <row r="7924" spans="1:11" x14ac:dyDescent="0.25">
      <c r="A7924" t="s">
        <v>15442</v>
      </c>
      <c r="C7924" t="s">
        <v>15443</v>
      </c>
      <c r="D7924" t="s">
        <v>5</v>
      </c>
      <c r="E7924" t="s">
        <v>6</v>
      </c>
      <c r="F7924" t="s">
        <v>251</v>
      </c>
      <c r="G7924">
        <v>1</v>
      </c>
      <c r="H7924" s="2">
        <f>Tabelle13[[#This Row],[commits]]/Tabelle13[[#Totals],[commits]]</f>
        <v>4.6477904404246225E-6</v>
      </c>
      <c r="I7924" s="5">
        <f>Tabelle13[[#This Row],[%]]+I7923</f>
        <v>0.99478053133530597</v>
      </c>
      <c r="J7924" s="4">
        <f t="shared" si="279"/>
        <v>1.105583195135434E-4</v>
      </c>
      <c r="K7924" s="5">
        <f t="shared" si="280"/>
        <v>0.87584300718640362</v>
      </c>
    </row>
    <row r="7925" spans="1:11" x14ac:dyDescent="0.25">
      <c r="A7925" t="s">
        <v>15444</v>
      </c>
      <c r="C7925" t="s">
        <v>15445</v>
      </c>
      <c r="D7925" t="s">
        <v>5</v>
      </c>
      <c r="E7925" t="s">
        <v>6</v>
      </c>
      <c r="F7925" t="s">
        <v>251</v>
      </c>
      <c r="G7925">
        <v>1</v>
      </c>
      <c r="H7925" s="2">
        <f>Tabelle13[[#This Row],[commits]]/Tabelle13[[#Totals],[commits]]</f>
        <v>4.6477904404246225E-6</v>
      </c>
      <c r="I7925" s="5">
        <f>Tabelle13[[#This Row],[%]]+I7924</f>
        <v>0.99478517912574638</v>
      </c>
      <c r="J7925" s="4">
        <f t="shared" si="279"/>
        <v>1.105583195135434E-4</v>
      </c>
      <c r="K7925" s="5">
        <f t="shared" si="280"/>
        <v>0.87595356550591719</v>
      </c>
    </row>
    <row r="7926" spans="1:11" x14ac:dyDescent="0.25">
      <c r="A7926" t="s">
        <v>15446</v>
      </c>
      <c r="C7926" t="s">
        <v>15447</v>
      </c>
      <c r="D7926" t="s">
        <v>10094</v>
      </c>
      <c r="E7926" t="s">
        <v>6</v>
      </c>
      <c r="F7926" t="s">
        <v>251</v>
      </c>
      <c r="G7926">
        <v>1</v>
      </c>
      <c r="H7926" s="2">
        <f>Tabelle13[[#This Row],[commits]]/Tabelle13[[#Totals],[commits]]</f>
        <v>4.6477904404246225E-6</v>
      </c>
      <c r="I7926" s="5">
        <f>Tabelle13[[#This Row],[%]]+I7925</f>
        <v>0.99478982691618678</v>
      </c>
      <c r="J7926" s="4">
        <f t="shared" si="279"/>
        <v>1.105583195135434E-4</v>
      </c>
      <c r="K7926" s="5">
        <f t="shared" si="280"/>
        <v>0.87606412382543075</v>
      </c>
    </row>
    <row r="7927" spans="1:11" x14ac:dyDescent="0.25">
      <c r="A7927" t="s">
        <v>15448</v>
      </c>
      <c r="C7927" t="s">
        <v>15449</v>
      </c>
      <c r="D7927" t="s">
        <v>5</v>
      </c>
      <c r="E7927" t="s">
        <v>6</v>
      </c>
      <c r="F7927" t="s">
        <v>251</v>
      </c>
      <c r="G7927">
        <v>1</v>
      </c>
      <c r="H7927" s="2">
        <f>Tabelle13[[#This Row],[commits]]/Tabelle13[[#Totals],[commits]]</f>
        <v>4.6477904404246225E-6</v>
      </c>
      <c r="I7927" s="5">
        <f>Tabelle13[[#This Row],[%]]+I7926</f>
        <v>0.99479447470662719</v>
      </c>
      <c r="J7927" s="4">
        <f t="shared" si="279"/>
        <v>1.105583195135434E-4</v>
      </c>
      <c r="K7927" s="5">
        <f t="shared" si="280"/>
        <v>0.87617468214494432</v>
      </c>
    </row>
    <row r="7928" spans="1:11" x14ac:dyDescent="0.25">
      <c r="A7928" t="s">
        <v>15450</v>
      </c>
      <c r="C7928" t="s">
        <v>15451</v>
      </c>
      <c r="D7928" t="s">
        <v>5</v>
      </c>
      <c r="E7928" t="s">
        <v>6</v>
      </c>
      <c r="F7928" t="s">
        <v>251</v>
      </c>
      <c r="G7928">
        <v>1</v>
      </c>
      <c r="H7928" s="2">
        <f>Tabelle13[[#This Row],[commits]]/Tabelle13[[#Totals],[commits]]</f>
        <v>4.6477904404246225E-6</v>
      </c>
      <c r="I7928" s="5">
        <f>Tabelle13[[#This Row],[%]]+I7927</f>
        <v>0.99479912249706759</v>
      </c>
      <c r="J7928" s="4">
        <f t="shared" si="279"/>
        <v>1.105583195135434E-4</v>
      </c>
      <c r="K7928" s="5">
        <f t="shared" si="280"/>
        <v>0.87628524046445788</v>
      </c>
    </row>
    <row r="7929" spans="1:11" x14ac:dyDescent="0.25">
      <c r="A7929" t="s">
        <v>15452</v>
      </c>
      <c r="C7929" t="s">
        <v>1773</v>
      </c>
      <c r="D7929" t="s">
        <v>5</v>
      </c>
      <c r="E7929" t="s">
        <v>6</v>
      </c>
      <c r="F7929" t="s">
        <v>251</v>
      </c>
      <c r="G7929">
        <v>1</v>
      </c>
      <c r="H7929" s="2">
        <f>Tabelle13[[#This Row],[commits]]/Tabelle13[[#Totals],[commits]]</f>
        <v>4.6477904404246225E-6</v>
      </c>
      <c r="I7929" s="5">
        <f>Tabelle13[[#This Row],[%]]+I7928</f>
        <v>0.99480377028750799</v>
      </c>
      <c r="J7929" s="4">
        <f t="shared" si="279"/>
        <v>1.105583195135434E-4</v>
      </c>
      <c r="K7929" s="5">
        <f t="shared" si="280"/>
        <v>0.87639579878397145</v>
      </c>
    </row>
    <row r="7930" spans="1:11" x14ac:dyDescent="0.25">
      <c r="A7930" t="s">
        <v>15453</v>
      </c>
      <c r="C7930" t="s">
        <v>15454</v>
      </c>
      <c r="D7930" t="s">
        <v>5</v>
      </c>
      <c r="E7930" t="s">
        <v>6</v>
      </c>
      <c r="F7930" t="s">
        <v>251</v>
      </c>
      <c r="G7930">
        <v>1</v>
      </c>
      <c r="H7930" s="2">
        <f>Tabelle13[[#This Row],[commits]]/Tabelle13[[#Totals],[commits]]</f>
        <v>4.6477904404246225E-6</v>
      </c>
      <c r="I7930" s="5">
        <f>Tabelle13[[#This Row],[%]]+I7929</f>
        <v>0.9948084180779484</v>
      </c>
      <c r="J7930" s="4">
        <f t="shared" si="279"/>
        <v>1.105583195135434E-4</v>
      </c>
      <c r="K7930" s="5">
        <f t="shared" si="280"/>
        <v>0.87650635710348501</v>
      </c>
    </row>
    <row r="7931" spans="1:11" x14ac:dyDescent="0.25">
      <c r="A7931" t="s">
        <v>15455</v>
      </c>
      <c r="C7931" t="s">
        <v>15456</v>
      </c>
      <c r="D7931" t="s">
        <v>5</v>
      </c>
      <c r="E7931" t="s">
        <v>6</v>
      </c>
      <c r="F7931" t="s">
        <v>251</v>
      </c>
      <c r="G7931">
        <v>1</v>
      </c>
      <c r="H7931" s="2">
        <f>Tabelle13[[#This Row],[commits]]/Tabelle13[[#Totals],[commits]]</f>
        <v>4.6477904404246225E-6</v>
      </c>
      <c r="I7931" s="5">
        <f>Tabelle13[[#This Row],[%]]+I7930</f>
        <v>0.9948130658683888</v>
      </c>
      <c r="J7931" s="4">
        <f t="shared" si="279"/>
        <v>1.105583195135434E-4</v>
      </c>
      <c r="K7931" s="5">
        <f t="shared" si="280"/>
        <v>0.87661691542299858</v>
      </c>
    </row>
    <row r="7932" spans="1:11" x14ac:dyDescent="0.25">
      <c r="A7932" t="s">
        <v>15457</v>
      </c>
      <c r="C7932" t="s">
        <v>15458</v>
      </c>
      <c r="D7932" t="s">
        <v>5</v>
      </c>
      <c r="E7932" t="s">
        <v>6</v>
      </c>
      <c r="F7932" t="s">
        <v>251</v>
      </c>
      <c r="G7932">
        <v>1</v>
      </c>
      <c r="H7932" s="2">
        <f>Tabelle13[[#This Row],[commits]]/Tabelle13[[#Totals],[commits]]</f>
        <v>4.6477904404246225E-6</v>
      </c>
      <c r="I7932" s="5">
        <f>Tabelle13[[#This Row],[%]]+I7931</f>
        <v>0.99481771365882921</v>
      </c>
      <c r="J7932" s="4">
        <f t="shared" si="279"/>
        <v>1.105583195135434E-4</v>
      </c>
      <c r="K7932" s="5">
        <f t="shared" si="280"/>
        <v>0.87672747374251214</v>
      </c>
    </row>
    <row r="7933" spans="1:11" x14ac:dyDescent="0.25">
      <c r="A7933" t="s">
        <v>15459</v>
      </c>
      <c r="C7933" t="s">
        <v>15460</v>
      </c>
      <c r="D7933" t="s">
        <v>5</v>
      </c>
      <c r="E7933" t="s">
        <v>6</v>
      </c>
      <c r="F7933" t="s">
        <v>251</v>
      </c>
      <c r="G7933">
        <v>1</v>
      </c>
      <c r="H7933" s="2">
        <f>Tabelle13[[#This Row],[commits]]/Tabelle13[[#Totals],[commits]]</f>
        <v>4.6477904404246225E-6</v>
      </c>
      <c r="I7933" s="5">
        <f>Tabelle13[[#This Row],[%]]+I7932</f>
        <v>0.99482236144926961</v>
      </c>
      <c r="J7933" s="4">
        <f t="shared" si="279"/>
        <v>1.105583195135434E-4</v>
      </c>
      <c r="K7933" s="5">
        <f t="shared" si="280"/>
        <v>0.87683803206202571</v>
      </c>
    </row>
    <row r="7934" spans="1:11" x14ac:dyDescent="0.25">
      <c r="A7934" t="s">
        <v>15461</v>
      </c>
      <c r="C7934" t="s">
        <v>15462</v>
      </c>
      <c r="D7934" t="s">
        <v>5</v>
      </c>
      <c r="E7934" t="s">
        <v>6</v>
      </c>
      <c r="F7934" t="s">
        <v>251</v>
      </c>
      <c r="G7934">
        <v>1</v>
      </c>
      <c r="H7934" s="2">
        <f>Tabelle13[[#This Row],[commits]]/Tabelle13[[#Totals],[commits]]</f>
        <v>4.6477904404246225E-6</v>
      </c>
      <c r="I7934" s="5">
        <f>Tabelle13[[#This Row],[%]]+I7933</f>
        <v>0.99482700923971001</v>
      </c>
      <c r="J7934" s="4">
        <f t="shared" si="279"/>
        <v>1.105583195135434E-4</v>
      </c>
      <c r="K7934" s="5">
        <f t="shared" si="280"/>
        <v>0.87694859038153927</v>
      </c>
    </row>
    <row r="7935" spans="1:11" x14ac:dyDescent="0.25">
      <c r="A7935" t="s">
        <v>15463</v>
      </c>
      <c r="C7935" t="s">
        <v>15464</v>
      </c>
      <c r="D7935" t="s">
        <v>15465</v>
      </c>
      <c r="E7935" t="s">
        <v>6</v>
      </c>
      <c r="F7935" t="s">
        <v>251</v>
      </c>
      <c r="G7935">
        <v>1</v>
      </c>
      <c r="H7935" s="2">
        <f>Tabelle13[[#This Row],[commits]]/Tabelle13[[#Totals],[commits]]</f>
        <v>4.6477904404246225E-6</v>
      </c>
      <c r="I7935" s="5">
        <f>Tabelle13[[#This Row],[%]]+I7934</f>
        <v>0.99483165703015042</v>
      </c>
      <c r="J7935" s="4">
        <f t="shared" si="279"/>
        <v>1.105583195135434E-4</v>
      </c>
      <c r="K7935" s="5">
        <f t="shared" si="280"/>
        <v>0.87705914870105284</v>
      </c>
    </row>
    <row r="7936" spans="1:11" x14ac:dyDescent="0.25">
      <c r="A7936" t="s">
        <v>15466</v>
      </c>
      <c r="C7936" t="s">
        <v>15467</v>
      </c>
      <c r="D7936" t="s">
        <v>5</v>
      </c>
      <c r="E7936" t="s">
        <v>6</v>
      </c>
      <c r="F7936" t="s">
        <v>251</v>
      </c>
      <c r="G7936">
        <v>1</v>
      </c>
      <c r="H7936" s="2">
        <f>Tabelle13[[#This Row],[commits]]/Tabelle13[[#Totals],[commits]]</f>
        <v>4.6477904404246225E-6</v>
      </c>
      <c r="I7936" s="5">
        <f>Tabelle13[[#This Row],[%]]+I7935</f>
        <v>0.99483630482059082</v>
      </c>
      <c r="J7936" s="4">
        <f t="shared" si="279"/>
        <v>1.105583195135434E-4</v>
      </c>
      <c r="K7936" s="5">
        <f t="shared" si="280"/>
        <v>0.8771697070205664</v>
      </c>
    </row>
    <row r="7937" spans="1:11" x14ac:dyDescent="0.25">
      <c r="A7937" t="s">
        <v>15468</v>
      </c>
      <c r="C7937" t="s">
        <v>15469</v>
      </c>
      <c r="D7937" t="s">
        <v>5</v>
      </c>
      <c r="E7937" t="s">
        <v>6</v>
      </c>
      <c r="F7937" t="s">
        <v>251</v>
      </c>
      <c r="G7937">
        <v>1</v>
      </c>
      <c r="H7937" s="2">
        <f>Tabelle13[[#This Row],[commits]]/Tabelle13[[#Totals],[commits]]</f>
        <v>4.6477904404246225E-6</v>
      </c>
      <c r="I7937" s="5">
        <f>Tabelle13[[#This Row],[%]]+I7936</f>
        <v>0.99484095261103123</v>
      </c>
      <c r="J7937" s="4">
        <f t="shared" si="279"/>
        <v>1.105583195135434E-4</v>
      </c>
      <c r="K7937" s="5">
        <f t="shared" si="280"/>
        <v>0.87728026534007997</v>
      </c>
    </row>
    <row r="7938" spans="1:11" x14ac:dyDescent="0.25">
      <c r="A7938" t="s">
        <v>15470</v>
      </c>
      <c r="C7938" t="s">
        <v>122</v>
      </c>
      <c r="D7938" t="s">
        <v>5</v>
      </c>
      <c r="E7938" t="s">
        <v>6</v>
      </c>
      <c r="F7938" t="s">
        <v>251</v>
      </c>
      <c r="G7938">
        <v>1</v>
      </c>
      <c r="H7938" s="2">
        <f>Tabelle13[[#This Row],[commits]]/Tabelle13[[#Totals],[commits]]</f>
        <v>4.6477904404246225E-6</v>
      </c>
      <c r="I7938" s="5">
        <f>Tabelle13[[#This Row],[%]]+I7937</f>
        <v>0.99484560040147163</v>
      </c>
      <c r="J7938" s="4">
        <f t="shared" si="279"/>
        <v>1.105583195135434E-4</v>
      </c>
      <c r="K7938" s="5">
        <f t="shared" si="280"/>
        <v>0.87739082365959353</v>
      </c>
    </row>
    <row r="7939" spans="1:11" x14ac:dyDescent="0.25">
      <c r="A7939" t="s">
        <v>15471</v>
      </c>
      <c r="C7939" t="s">
        <v>15472</v>
      </c>
      <c r="D7939" t="s">
        <v>5</v>
      </c>
      <c r="E7939" t="s">
        <v>6</v>
      </c>
      <c r="F7939" t="s">
        <v>251</v>
      </c>
      <c r="G7939">
        <v>1</v>
      </c>
      <c r="H7939" s="2">
        <f>Tabelle13[[#This Row],[commits]]/Tabelle13[[#Totals],[commits]]</f>
        <v>4.6477904404246225E-6</v>
      </c>
      <c r="I7939" s="5">
        <f>Tabelle13[[#This Row],[%]]+I7938</f>
        <v>0.99485024819191203</v>
      </c>
      <c r="J7939" s="4">
        <f t="shared" ref="J7939:J8002" si="281">1/9045</f>
        <v>1.105583195135434E-4</v>
      </c>
      <c r="K7939" s="5">
        <f t="shared" si="280"/>
        <v>0.8775013819791071</v>
      </c>
    </row>
    <row r="7940" spans="1:11" x14ac:dyDescent="0.25">
      <c r="A7940" t="s">
        <v>15473</v>
      </c>
      <c r="C7940" t="s">
        <v>297</v>
      </c>
      <c r="D7940" t="s">
        <v>5</v>
      </c>
      <c r="E7940" t="s">
        <v>6</v>
      </c>
      <c r="F7940" t="s">
        <v>251</v>
      </c>
      <c r="G7940">
        <v>1</v>
      </c>
      <c r="H7940" s="2">
        <f>Tabelle13[[#This Row],[commits]]/Tabelle13[[#Totals],[commits]]</f>
        <v>4.6477904404246225E-6</v>
      </c>
      <c r="I7940" s="5">
        <f>Tabelle13[[#This Row],[%]]+I7939</f>
        <v>0.99485489598235244</v>
      </c>
      <c r="J7940" s="4">
        <f t="shared" si="281"/>
        <v>1.105583195135434E-4</v>
      </c>
      <c r="K7940" s="5">
        <f t="shared" si="280"/>
        <v>0.87761194029862066</v>
      </c>
    </row>
    <row r="7941" spans="1:11" x14ac:dyDescent="0.25">
      <c r="A7941" t="s">
        <v>15474</v>
      </c>
      <c r="C7941" t="s">
        <v>15475</v>
      </c>
      <c r="D7941" t="s">
        <v>5</v>
      </c>
      <c r="E7941" t="s">
        <v>6</v>
      </c>
      <c r="F7941" t="s">
        <v>251</v>
      </c>
      <c r="G7941">
        <v>1</v>
      </c>
      <c r="H7941" s="2">
        <f>Tabelle13[[#This Row],[commits]]/Tabelle13[[#Totals],[commits]]</f>
        <v>4.6477904404246225E-6</v>
      </c>
      <c r="I7941" s="5">
        <f>Tabelle13[[#This Row],[%]]+I7940</f>
        <v>0.99485954377279284</v>
      </c>
      <c r="J7941" s="4">
        <f t="shared" si="281"/>
        <v>1.105583195135434E-4</v>
      </c>
      <c r="K7941" s="5">
        <f t="shared" si="280"/>
        <v>0.87772249861813423</v>
      </c>
    </row>
    <row r="7942" spans="1:11" x14ac:dyDescent="0.25">
      <c r="A7942" t="s">
        <v>15476</v>
      </c>
      <c r="C7942" t="s">
        <v>15477</v>
      </c>
      <c r="D7942" t="s">
        <v>5</v>
      </c>
      <c r="E7942" t="s">
        <v>6</v>
      </c>
      <c r="F7942" t="s">
        <v>251</v>
      </c>
      <c r="G7942">
        <v>1</v>
      </c>
      <c r="H7942" s="2">
        <f>Tabelle13[[#This Row],[commits]]/Tabelle13[[#Totals],[commits]]</f>
        <v>4.6477904404246225E-6</v>
      </c>
      <c r="I7942" s="5">
        <f>Tabelle13[[#This Row],[%]]+I7941</f>
        <v>0.99486419156323325</v>
      </c>
      <c r="J7942" s="4">
        <f t="shared" si="281"/>
        <v>1.105583195135434E-4</v>
      </c>
      <c r="K7942" s="5">
        <f t="shared" ref="K7942:K8005" si="282">J7942+K7941</f>
        <v>0.87783305693764779</v>
      </c>
    </row>
    <row r="7943" spans="1:11" x14ac:dyDescent="0.25">
      <c r="A7943" t="s">
        <v>15478</v>
      </c>
      <c r="C7943" t="s">
        <v>15479</v>
      </c>
      <c r="D7943" t="s">
        <v>9636</v>
      </c>
      <c r="E7943" t="s">
        <v>6</v>
      </c>
      <c r="F7943" t="s">
        <v>251</v>
      </c>
      <c r="G7943">
        <v>1</v>
      </c>
      <c r="H7943" s="2">
        <f>Tabelle13[[#This Row],[commits]]/Tabelle13[[#Totals],[commits]]</f>
        <v>4.6477904404246225E-6</v>
      </c>
      <c r="I7943" s="5">
        <f>Tabelle13[[#This Row],[%]]+I7942</f>
        <v>0.99486883935367365</v>
      </c>
      <c r="J7943" s="4">
        <f t="shared" si="281"/>
        <v>1.105583195135434E-4</v>
      </c>
      <c r="K7943" s="5">
        <f t="shared" si="282"/>
        <v>0.87794361525716136</v>
      </c>
    </row>
    <row r="7944" spans="1:11" x14ac:dyDescent="0.25">
      <c r="A7944" t="s">
        <v>15480</v>
      </c>
      <c r="C7944" t="s">
        <v>15481</v>
      </c>
      <c r="D7944" t="s">
        <v>5</v>
      </c>
      <c r="E7944" t="s">
        <v>6</v>
      </c>
      <c r="F7944" t="s">
        <v>251</v>
      </c>
      <c r="G7944">
        <v>1</v>
      </c>
      <c r="H7944" s="2">
        <f>Tabelle13[[#This Row],[commits]]/Tabelle13[[#Totals],[commits]]</f>
        <v>4.6477904404246225E-6</v>
      </c>
      <c r="I7944" s="5">
        <f>Tabelle13[[#This Row],[%]]+I7943</f>
        <v>0.99487348714411405</v>
      </c>
      <c r="J7944" s="4">
        <f t="shared" si="281"/>
        <v>1.105583195135434E-4</v>
      </c>
      <c r="K7944" s="5">
        <f t="shared" si="282"/>
        <v>0.87805417357667492</v>
      </c>
    </row>
    <row r="7945" spans="1:11" x14ac:dyDescent="0.25">
      <c r="A7945" t="s">
        <v>15482</v>
      </c>
      <c r="C7945" t="s">
        <v>15483</v>
      </c>
      <c r="D7945" t="s">
        <v>5</v>
      </c>
      <c r="E7945" t="s">
        <v>6</v>
      </c>
      <c r="F7945" t="s">
        <v>251</v>
      </c>
      <c r="G7945">
        <v>1</v>
      </c>
      <c r="H7945" s="2">
        <f>Tabelle13[[#This Row],[commits]]/Tabelle13[[#Totals],[commits]]</f>
        <v>4.6477904404246225E-6</v>
      </c>
      <c r="I7945" s="5">
        <f>Tabelle13[[#This Row],[%]]+I7944</f>
        <v>0.99487813493455446</v>
      </c>
      <c r="J7945" s="4">
        <f t="shared" si="281"/>
        <v>1.105583195135434E-4</v>
      </c>
      <c r="K7945" s="5">
        <f t="shared" si="282"/>
        <v>0.87816473189618849</v>
      </c>
    </row>
    <row r="7946" spans="1:11" x14ac:dyDescent="0.25">
      <c r="A7946" t="s">
        <v>15484</v>
      </c>
      <c r="C7946" t="s">
        <v>15485</v>
      </c>
      <c r="D7946" t="s">
        <v>15486</v>
      </c>
      <c r="E7946" t="s">
        <v>6</v>
      </c>
      <c r="F7946" t="s">
        <v>251</v>
      </c>
      <c r="G7946">
        <v>1</v>
      </c>
      <c r="H7946" s="2">
        <f>Tabelle13[[#This Row],[commits]]/Tabelle13[[#Totals],[commits]]</f>
        <v>4.6477904404246225E-6</v>
      </c>
      <c r="I7946" s="5">
        <f>Tabelle13[[#This Row],[%]]+I7945</f>
        <v>0.99488278272499486</v>
      </c>
      <c r="J7946" s="4">
        <f t="shared" si="281"/>
        <v>1.105583195135434E-4</v>
      </c>
      <c r="K7946" s="5">
        <f t="shared" si="282"/>
        <v>0.87827529021570205</v>
      </c>
    </row>
    <row r="7947" spans="1:11" x14ac:dyDescent="0.25">
      <c r="A7947" t="s">
        <v>15487</v>
      </c>
      <c r="C7947" t="s">
        <v>15488</v>
      </c>
      <c r="D7947" t="s">
        <v>5</v>
      </c>
      <c r="E7947" t="s">
        <v>6</v>
      </c>
      <c r="F7947" t="s">
        <v>251</v>
      </c>
      <c r="G7947">
        <v>1</v>
      </c>
      <c r="H7947" s="2">
        <f>Tabelle13[[#This Row],[commits]]/Tabelle13[[#Totals],[commits]]</f>
        <v>4.6477904404246225E-6</v>
      </c>
      <c r="I7947" s="5">
        <f>Tabelle13[[#This Row],[%]]+I7946</f>
        <v>0.99488743051543527</v>
      </c>
      <c r="J7947" s="4">
        <f t="shared" si="281"/>
        <v>1.105583195135434E-4</v>
      </c>
      <c r="K7947" s="5">
        <f t="shared" si="282"/>
        <v>0.87838584853521562</v>
      </c>
    </row>
    <row r="7948" spans="1:11" x14ac:dyDescent="0.25">
      <c r="A7948" t="s">
        <v>15489</v>
      </c>
      <c r="C7948" t="s">
        <v>15490</v>
      </c>
      <c r="D7948" t="s">
        <v>5</v>
      </c>
      <c r="E7948" t="s">
        <v>6</v>
      </c>
      <c r="F7948" t="s">
        <v>251</v>
      </c>
      <c r="G7948">
        <v>1</v>
      </c>
      <c r="H7948" s="2">
        <f>Tabelle13[[#This Row],[commits]]/Tabelle13[[#Totals],[commits]]</f>
        <v>4.6477904404246225E-6</v>
      </c>
      <c r="I7948" s="5">
        <f>Tabelle13[[#This Row],[%]]+I7947</f>
        <v>0.99489207830587567</v>
      </c>
      <c r="J7948" s="4">
        <f t="shared" si="281"/>
        <v>1.105583195135434E-4</v>
      </c>
      <c r="K7948" s="5">
        <f t="shared" si="282"/>
        <v>0.87849640685472918</v>
      </c>
    </row>
    <row r="7949" spans="1:11" x14ac:dyDescent="0.25">
      <c r="A7949" t="s">
        <v>15491</v>
      </c>
      <c r="C7949" t="s">
        <v>15492</v>
      </c>
      <c r="D7949" t="s">
        <v>5</v>
      </c>
      <c r="E7949" t="s">
        <v>6</v>
      </c>
      <c r="F7949" t="s">
        <v>251</v>
      </c>
      <c r="G7949">
        <v>1</v>
      </c>
      <c r="H7949" s="2">
        <f>Tabelle13[[#This Row],[commits]]/Tabelle13[[#Totals],[commits]]</f>
        <v>4.6477904404246225E-6</v>
      </c>
      <c r="I7949" s="5">
        <f>Tabelle13[[#This Row],[%]]+I7948</f>
        <v>0.99489672609631608</v>
      </c>
      <c r="J7949" s="4">
        <f t="shared" si="281"/>
        <v>1.105583195135434E-4</v>
      </c>
      <c r="K7949" s="5">
        <f t="shared" si="282"/>
        <v>0.87860696517424275</v>
      </c>
    </row>
    <row r="7950" spans="1:11" x14ac:dyDescent="0.25">
      <c r="A7950" t="s">
        <v>15493</v>
      </c>
      <c r="C7950" t="s">
        <v>15494</v>
      </c>
      <c r="D7950" t="s">
        <v>5</v>
      </c>
      <c r="E7950" t="s">
        <v>6</v>
      </c>
      <c r="F7950" t="s">
        <v>251</v>
      </c>
      <c r="G7950">
        <v>1</v>
      </c>
      <c r="H7950" s="2">
        <f>Tabelle13[[#This Row],[commits]]/Tabelle13[[#Totals],[commits]]</f>
        <v>4.6477904404246225E-6</v>
      </c>
      <c r="I7950" s="5">
        <f>Tabelle13[[#This Row],[%]]+I7949</f>
        <v>0.99490137388675648</v>
      </c>
      <c r="J7950" s="4">
        <f t="shared" si="281"/>
        <v>1.105583195135434E-4</v>
      </c>
      <c r="K7950" s="5">
        <f t="shared" si="282"/>
        <v>0.87871752349375631</v>
      </c>
    </row>
    <row r="7951" spans="1:11" x14ac:dyDescent="0.25">
      <c r="A7951" t="s">
        <v>15495</v>
      </c>
      <c r="C7951" t="s">
        <v>151</v>
      </c>
      <c r="D7951" t="s">
        <v>5</v>
      </c>
      <c r="E7951" t="s">
        <v>6</v>
      </c>
      <c r="F7951" t="s">
        <v>251</v>
      </c>
      <c r="G7951">
        <v>1</v>
      </c>
      <c r="H7951" s="2">
        <f>Tabelle13[[#This Row],[commits]]/Tabelle13[[#Totals],[commits]]</f>
        <v>4.6477904404246225E-6</v>
      </c>
      <c r="I7951" s="5">
        <f>Tabelle13[[#This Row],[%]]+I7950</f>
        <v>0.99490602167719688</v>
      </c>
      <c r="J7951" s="4">
        <f t="shared" si="281"/>
        <v>1.105583195135434E-4</v>
      </c>
      <c r="K7951" s="5">
        <f t="shared" si="282"/>
        <v>0.87882808181326988</v>
      </c>
    </row>
    <row r="7952" spans="1:11" x14ac:dyDescent="0.25">
      <c r="A7952" t="s">
        <v>15496</v>
      </c>
      <c r="C7952" t="s">
        <v>15497</v>
      </c>
      <c r="D7952" t="s">
        <v>5</v>
      </c>
      <c r="E7952" t="s">
        <v>6</v>
      </c>
      <c r="F7952" t="s">
        <v>251</v>
      </c>
      <c r="G7952">
        <v>1</v>
      </c>
      <c r="H7952" s="2">
        <f>Tabelle13[[#This Row],[commits]]/Tabelle13[[#Totals],[commits]]</f>
        <v>4.6477904404246225E-6</v>
      </c>
      <c r="I7952" s="5">
        <f>Tabelle13[[#This Row],[%]]+I7951</f>
        <v>0.99491066946763729</v>
      </c>
      <c r="J7952" s="4">
        <f t="shared" si="281"/>
        <v>1.105583195135434E-4</v>
      </c>
      <c r="K7952" s="5">
        <f t="shared" si="282"/>
        <v>0.87893864013278344</v>
      </c>
    </row>
    <row r="7953" spans="1:11" x14ac:dyDescent="0.25">
      <c r="A7953" t="s">
        <v>15498</v>
      </c>
      <c r="C7953" t="s">
        <v>15499</v>
      </c>
      <c r="D7953" t="s">
        <v>5</v>
      </c>
      <c r="E7953" t="s">
        <v>6</v>
      </c>
      <c r="F7953" t="s">
        <v>251</v>
      </c>
      <c r="G7953">
        <v>1</v>
      </c>
      <c r="H7953" s="2">
        <f>Tabelle13[[#This Row],[commits]]/Tabelle13[[#Totals],[commits]]</f>
        <v>4.6477904404246225E-6</v>
      </c>
      <c r="I7953" s="5">
        <f>Tabelle13[[#This Row],[%]]+I7952</f>
        <v>0.99491531725807769</v>
      </c>
      <c r="J7953" s="4">
        <f t="shared" si="281"/>
        <v>1.105583195135434E-4</v>
      </c>
      <c r="K7953" s="5">
        <f t="shared" si="282"/>
        <v>0.87904919845229701</v>
      </c>
    </row>
    <row r="7954" spans="1:11" x14ac:dyDescent="0.25">
      <c r="A7954" t="s">
        <v>15500</v>
      </c>
      <c r="C7954" t="s">
        <v>15501</v>
      </c>
      <c r="D7954" t="s">
        <v>15502</v>
      </c>
      <c r="E7954" t="s">
        <v>6</v>
      </c>
      <c r="F7954" t="s">
        <v>251</v>
      </c>
      <c r="G7954">
        <v>1</v>
      </c>
      <c r="H7954" s="2">
        <f>Tabelle13[[#This Row],[commits]]/Tabelle13[[#Totals],[commits]]</f>
        <v>4.6477904404246225E-6</v>
      </c>
      <c r="I7954" s="5">
        <f>Tabelle13[[#This Row],[%]]+I7953</f>
        <v>0.9949199650485181</v>
      </c>
      <c r="J7954" s="4">
        <f t="shared" si="281"/>
        <v>1.105583195135434E-4</v>
      </c>
      <c r="K7954" s="5">
        <f t="shared" si="282"/>
        <v>0.87915975677181057</v>
      </c>
    </row>
    <row r="7955" spans="1:11" x14ac:dyDescent="0.25">
      <c r="A7955" t="s">
        <v>15503</v>
      </c>
      <c r="C7955" t="s">
        <v>15504</v>
      </c>
      <c r="D7955" t="s">
        <v>5</v>
      </c>
      <c r="E7955" t="s">
        <v>6</v>
      </c>
      <c r="F7955" t="s">
        <v>251</v>
      </c>
      <c r="G7955">
        <v>1</v>
      </c>
      <c r="H7955" s="2">
        <f>Tabelle13[[#This Row],[commits]]/Tabelle13[[#Totals],[commits]]</f>
        <v>4.6477904404246225E-6</v>
      </c>
      <c r="I7955" s="5">
        <f>Tabelle13[[#This Row],[%]]+I7954</f>
        <v>0.9949246128389585</v>
      </c>
      <c r="J7955" s="4">
        <f t="shared" si="281"/>
        <v>1.105583195135434E-4</v>
      </c>
      <c r="K7955" s="5">
        <f t="shared" si="282"/>
        <v>0.87927031509132414</v>
      </c>
    </row>
    <row r="7956" spans="1:11" x14ac:dyDescent="0.25">
      <c r="A7956" t="s">
        <v>15505</v>
      </c>
      <c r="C7956" t="s">
        <v>15506</v>
      </c>
      <c r="D7956" t="s">
        <v>5</v>
      </c>
      <c r="E7956" t="s">
        <v>6</v>
      </c>
      <c r="F7956" t="s">
        <v>251</v>
      </c>
      <c r="G7956">
        <v>1</v>
      </c>
      <c r="H7956" s="2">
        <f>Tabelle13[[#This Row],[commits]]/Tabelle13[[#Totals],[commits]]</f>
        <v>4.6477904404246225E-6</v>
      </c>
      <c r="I7956" s="5">
        <f>Tabelle13[[#This Row],[%]]+I7955</f>
        <v>0.9949292606293989</v>
      </c>
      <c r="J7956" s="4">
        <f t="shared" si="281"/>
        <v>1.105583195135434E-4</v>
      </c>
      <c r="K7956" s="5">
        <f t="shared" si="282"/>
        <v>0.8793808734108377</v>
      </c>
    </row>
    <row r="7957" spans="1:11" x14ac:dyDescent="0.25">
      <c r="A7957" t="s">
        <v>15507</v>
      </c>
      <c r="C7957" t="s">
        <v>15508</v>
      </c>
      <c r="D7957" t="s">
        <v>5</v>
      </c>
      <c r="E7957" t="s">
        <v>6</v>
      </c>
      <c r="F7957" t="s">
        <v>251</v>
      </c>
      <c r="G7957">
        <v>1</v>
      </c>
      <c r="H7957" s="2">
        <f>Tabelle13[[#This Row],[commits]]/Tabelle13[[#Totals],[commits]]</f>
        <v>4.6477904404246225E-6</v>
      </c>
      <c r="I7957" s="5">
        <f>Tabelle13[[#This Row],[%]]+I7956</f>
        <v>0.99493390841983931</v>
      </c>
      <c r="J7957" s="4">
        <f t="shared" si="281"/>
        <v>1.105583195135434E-4</v>
      </c>
      <c r="K7957" s="5">
        <f t="shared" si="282"/>
        <v>0.87949143173035127</v>
      </c>
    </row>
    <row r="7958" spans="1:11" x14ac:dyDescent="0.25">
      <c r="A7958" t="s">
        <v>15509</v>
      </c>
      <c r="C7958" t="s">
        <v>15510</v>
      </c>
      <c r="D7958" t="s">
        <v>5</v>
      </c>
      <c r="E7958" t="s">
        <v>6</v>
      </c>
      <c r="F7958" t="s">
        <v>251</v>
      </c>
      <c r="G7958">
        <v>1</v>
      </c>
      <c r="H7958" s="2">
        <f>Tabelle13[[#This Row],[commits]]/Tabelle13[[#Totals],[commits]]</f>
        <v>4.6477904404246225E-6</v>
      </c>
      <c r="I7958" s="5">
        <f>Tabelle13[[#This Row],[%]]+I7957</f>
        <v>0.99493855621027971</v>
      </c>
      <c r="J7958" s="4">
        <f t="shared" si="281"/>
        <v>1.105583195135434E-4</v>
      </c>
      <c r="K7958" s="5">
        <f t="shared" si="282"/>
        <v>0.87960199004986483</v>
      </c>
    </row>
    <row r="7959" spans="1:11" x14ac:dyDescent="0.25">
      <c r="A7959" t="s">
        <v>15511</v>
      </c>
      <c r="C7959" t="s">
        <v>2775</v>
      </c>
      <c r="D7959" t="s">
        <v>5</v>
      </c>
      <c r="E7959" t="s">
        <v>6</v>
      </c>
      <c r="F7959" t="s">
        <v>251</v>
      </c>
      <c r="G7959">
        <v>1</v>
      </c>
      <c r="H7959" s="2">
        <f>Tabelle13[[#This Row],[commits]]/Tabelle13[[#Totals],[commits]]</f>
        <v>4.6477904404246225E-6</v>
      </c>
      <c r="I7959" s="5">
        <f>Tabelle13[[#This Row],[%]]+I7958</f>
        <v>0.99494320400072012</v>
      </c>
      <c r="J7959" s="4">
        <f t="shared" si="281"/>
        <v>1.105583195135434E-4</v>
      </c>
      <c r="K7959" s="5">
        <f t="shared" si="282"/>
        <v>0.8797125483693784</v>
      </c>
    </row>
    <row r="7960" spans="1:11" x14ac:dyDescent="0.25">
      <c r="A7960" t="s">
        <v>15512</v>
      </c>
      <c r="C7960" t="s">
        <v>15513</v>
      </c>
      <c r="D7960" t="s">
        <v>5</v>
      </c>
      <c r="E7960" t="s">
        <v>6</v>
      </c>
      <c r="F7960" t="s">
        <v>251</v>
      </c>
      <c r="G7960">
        <v>1</v>
      </c>
      <c r="H7960" s="2">
        <f>Tabelle13[[#This Row],[commits]]/Tabelle13[[#Totals],[commits]]</f>
        <v>4.6477904404246225E-6</v>
      </c>
      <c r="I7960" s="5">
        <f>Tabelle13[[#This Row],[%]]+I7959</f>
        <v>0.99494785179116052</v>
      </c>
      <c r="J7960" s="4">
        <f t="shared" si="281"/>
        <v>1.105583195135434E-4</v>
      </c>
      <c r="K7960" s="5">
        <f t="shared" si="282"/>
        <v>0.87982310668889196</v>
      </c>
    </row>
    <row r="7961" spans="1:11" x14ac:dyDescent="0.25">
      <c r="A7961" t="s">
        <v>15514</v>
      </c>
      <c r="C7961" t="s">
        <v>15515</v>
      </c>
      <c r="D7961" t="s">
        <v>5</v>
      </c>
      <c r="E7961" t="s">
        <v>6</v>
      </c>
      <c r="F7961" t="s">
        <v>251</v>
      </c>
      <c r="G7961">
        <v>1</v>
      </c>
      <c r="H7961" s="2">
        <f>Tabelle13[[#This Row],[commits]]/Tabelle13[[#Totals],[commits]]</f>
        <v>4.6477904404246225E-6</v>
      </c>
      <c r="I7961" s="5">
        <f>Tabelle13[[#This Row],[%]]+I7960</f>
        <v>0.99495249958160092</v>
      </c>
      <c r="J7961" s="4">
        <f t="shared" si="281"/>
        <v>1.105583195135434E-4</v>
      </c>
      <c r="K7961" s="5">
        <f t="shared" si="282"/>
        <v>0.87993366500840553</v>
      </c>
    </row>
    <row r="7962" spans="1:11" x14ac:dyDescent="0.25">
      <c r="A7962" t="s">
        <v>15516</v>
      </c>
      <c r="C7962" t="s">
        <v>938</v>
      </c>
      <c r="D7962" t="s">
        <v>5</v>
      </c>
      <c r="E7962" t="s">
        <v>6</v>
      </c>
      <c r="F7962" t="s">
        <v>251</v>
      </c>
      <c r="G7962">
        <v>1</v>
      </c>
      <c r="H7962" s="2">
        <f>Tabelle13[[#This Row],[commits]]/Tabelle13[[#Totals],[commits]]</f>
        <v>4.6477904404246225E-6</v>
      </c>
      <c r="I7962" s="5">
        <f>Tabelle13[[#This Row],[%]]+I7961</f>
        <v>0.99495714737204133</v>
      </c>
      <c r="J7962" s="4">
        <f t="shared" si="281"/>
        <v>1.105583195135434E-4</v>
      </c>
      <c r="K7962" s="5">
        <f t="shared" si="282"/>
        <v>0.8800442233279191</v>
      </c>
    </row>
    <row r="7963" spans="1:11" x14ac:dyDescent="0.25">
      <c r="A7963" t="s">
        <v>15517</v>
      </c>
      <c r="C7963" t="s">
        <v>1687</v>
      </c>
      <c r="D7963" t="s">
        <v>5</v>
      </c>
      <c r="E7963" t="s">
        <v>6</v>
      </c>
      <c r="F7963" t="s">
        <v>251</v>
      </c>
      <c r="G7963">
        <v>1</v>
      </c>
      <c r="H7963" s="2">
        <f>Tabelle13[[#This Row],[commits]]/Tabelle13[[#Totals],[commits]]</f>
        <v>4.6477904404246225E-6</v>
      </c>
      <c r="I7963" s="5">
        <f>Tabelle13[[#This Row],[%]]+I7962</f>
        <v>0.99496179516248173</v>
      </c>
      <c r="J7963" s="4">
        <f t="shared" si="281"/>
        <v>1.105583195135434E-4</v>
      </c>
      <c r="K7963" s="5">
        <f t="shared" si="282"/>
        <v>0.88015478164743266</v>
      </c>
    </row>
    <row r="7964" spans="1:11" x14ac:dyDescent="0.25">
      <c r="A7964" t="s">
        <v>15518</v>
      </c>
      <c r="C7964" t="s">
        <v>15519</v>
      </c>
      <c r="D7964" t="s">
        <v>5</v>
      </c>
      <c r="E7964" t="s">
        <v>6</v>
      </c>
      <c r="F7964" t="s">
        <v>251</v>
      </c>
      <c r="G7964">
        <v>1</v>
      </c>
      <c r="H7964" s="2">
        <f>Tabelle13[[#This Row],[commits]]/Tabelle13[[#Totals],[commits]]</f>
        <v>4.6477904404246225E-6</v>
      </c>
      <c r="I7964" s="5">
        <f>Tabelle13[[#This Row],[%]]+I7963</f>
        <v>0.99496644295292214</v>
      </c>
      <c r="J7964" s="4">
        <f t="shared" si="281"/>
        <v>1.105583195135434E-4</v>
      </c>
      <c r="K7964" s="5">
        <f t="shared" si="282"/>
        <v>0.88026533996694623</v>
      </c>
    </row>
    <row r="7965" spans="1:11" x14ac:dyDescent="0.25">
      <c r="A7965" t="s">
        <v>15520</v>
      </c>
      <c r="C7965" t="s">
        <v>15521</v>
      </c>
      <c r="D7965" t="s">
        <v>5</v>
      </c>
      <c r="E7965" t="s">
        <v>6</v>
      </c>
      <c r="F7965" t="s">
        <v>251</v>
      </c>
      <c r="G7965">
        <v>1</v>
      </c>
      <c r="H7965" s="2">
        <f>Tabelle13[[#This Row],[commits]]/Tabelle13[[#Totals],[commits]]</f>
        <v>4.6477904404246225E-6</v>
      </c>
      <c r="I7965" s="5">
        <f>Tabelle13[[#This Row],[%]]+I7964</f>
        <v>0.99497109074336254</v>
      </c>
      <c r="J7965" s="4">
        <f t="shared" si="281"/>
        <v>1.105583195135434E-4</v>
      </c>
      <c r="K7965" s="5">
        <f t="shared" si="282"/>
        <v>0.88037589828645979</v>
      </c>
    </row>
    <row r="7966" spans="1:11" x14ac:dyDescent="0.25">
      <c r="A7966" t="s">
        <v>15522</v>
      </c>
      <c r="C7966" t="s">
        <v>15523</v>
      </c>
      <c r="D7966" t="s">
        <v>5</v>
      </c>
      <c r="E7966" t="s">
        <v>6</v>
      </c>
      <c r="F7966" t="s">
        <v>251</v>
      </c>
      <c r="G7966">
        <v>1</v>
      </c>
      <c r="H7966" s="2">
        <f>Tabelle13[[#This Row],[commits]]/Tabelle13[[#Totals],[commits]]</f>
        <v>4.6477904404246225E-6</v>
      </c>
      <c r="I7966" s="5">
        <f>Tabelle13[[#This Row],[%]]+I7965</f>
        <v>0.99497573853380294</v>
      </c>
      <c r="J7966" s="4">
        <f t="shared" si="281"/>
        <v>1.105583195135434E-4</v>
      </c>
      <c r="K7966" s="5">
        <f t="shared" si="282"/>
        <v>0.88048645660597336</v>
      </c>
    </row>
    <row r="7967" spans="1:11" x14ac:dyDescent="0.25">
      <c r="A7967" t="s">
        <v>15524</v>
      </c>
      <c r="C7967" t="s">
        <v>15525</v>
      </c>
      <c r="D7967" t="s">
        <v>5</v>
      </c>
      <c r="E7967" t="s">
        <v>6</v>
      </c>
      <c r="F7967" t="s">
        <v>251</v>
      </c>
      <c r="G7967">
        <v>1</v>
      </c>
      <c r="H7967" s="2">
        <f>Tabelle13[[#This Row],[commits]]/Tabelle13[[#Totals],[commits]]</f>
        <v>4.6477904404246225E-6</v>
      </c>
      <c r="I7967" s="5">
        <f>Tabelle13[[#This Row],[%]]+I7966</f>
        <v>0.99498038632424335</v>
      </c>
      <c r="J7967" s="4">
        <f t="shared" si="281"/>
        <v>1.105583195135434E-4</v>
      </c>
      <c r="K7967" s="5">
        <f t="shared" si="282"/>
        <v>0.88059701492548692</v>
      </c>
    </row>
    <row r="7968" spans="1:11" x14ac:dyDescent="0.25">
      <c r="A7968" t="s">
        <v>15526</v>
      </c>
      <c r="C7968" t="s">
        <v>15527</v>
      </c>
      <c r="D7968" t="s">
        <v>5</v>
      </c>
      <c r="E7968" t="s">
        <v>6</v>
      </c>
      <c r="F7968" t="s">
        <v>251</v>
      </c>
      <c r="G7968">
        <v>1</v>
      </c>
      <c r="H7968" s="2">
        <f>Tabelle13[[#This Row],[commits]]/Tabelle13[[#Totals],[commits]]</f>
        <v>4.6477904404246225E-6</v>
      </c>
      <c r="I7968" s="5">
        <f>Tabelle13[[#This Row],[%]]+I7967</f>
        <v>0.99498503411468375</v>
      </c>
      <c r="J7968" s="4">
        <f t="shared" si="281"/>
        <v>1.105583195135434E-4</v>
      </c>
      <c r="K7968" s="5">
        <f t="shared" si="282"/>
        <v>0.88070757324500049</v>
      </c>
    </row>
    <row r="7969" spans="1:11" x14ac:dyDescent="0.25">
      <c r="A7969" t="s">
        <v>15528</v>
      </c>
      <c r="C7969" t="s">
        <v>15529</v>
      </c>
      <c r="D7969" t="s">
        <v>5</v>
      </c>
      <c r="E7969" t="s">
        <v>6</v>
      </c>
      <c r="F7969" t="s">
        <v>251</v>
      </c>
      <c r="G7969">
        <v>1</v>
      </c>
      <c r="H7969" s="2">
        <f>Tabelle13[[#This Row],[commits]]/Tabelle13[[#Totals],[commits]]</f>
        <v>4.6477904404246225E-6</v>
      </c>
      <c r="I7969" s="5">
        <f>Tabelle13[[#This Row],[%]]+I7968</f>
        <v>0.99498968190512416</v>
      </c>
      <c r="J7969" s="4">
        <f t="shared" si="281"/>
        <v>1.105583195135434E-4</v>
      </c>
      <c r="K7969" s="5">
        <f t="shared" si="282"/>
        <v>0.88081813156451405</v>
      </c>
    </row>
    <row r="7970" spans="1:11" x14ac:dyDescent="0.25">
      <c r="A7970" t="s">
        <v>15530</v>
      </c>
      <c r="C7970" t="s">
        <v>15531</v>
      </c>
      <c r="D7970" t="s">
        <v>5</v>
      </c>
      <c r="E7970" t="s">
        <v>6</v>
      </c>
      <c r="F7970" t="s">
        <v>251</v>
      </c>
      <c r="G7970">
        <v>1</v>
      </c>
      <c r="H7970" s="2">
        <f>Tabelle13[[#This Row],[commits]]/Tabelle13[[#Totals],[commits]]</f>
        <v>4.6477904404246225E-6</v>
      </c>
      <c r="I7970" s="5">
        <f>Tabelle13[[#This Row],[%]]+I7969</f>
        <v>0.99499432969556456</v>
      </c>
      <c r="J7970" s="4">
        <f t="shared" si="281"/>
        <v>1.105583195135434E-4</v>
      </c>
      <c r="K7970" s="5">
        <f t="shared" si="282"/>
        <v>0.88092868988402762</v>
      </c>
    </row>
    <row r="7971" spans="1:11" x14ac:dyDescent="0.25">
      <c r="A7971" t="s">
        <v>15532</v>
      </c>
      <c r="C7971" t="s">
        <v>15533</v>
      </c>
      <c r="D7971" t="s">
        <v>5</v>
      </c>
      <c r="E7971" t="s">
        <v>6</v>
      </c>
      <c r="F7971" t="s">
        <v>251</v>
      </c>
      <c r="G7971">
        <v>1</v>
      </c>
      <c r="H7971" s="2">
        <f>Tabelle13[[#This Row],[commits]]/Tabelle13[[#Totals],[commits]]</f>
        <v>4.6477904404246225E-6</v>
      </c>
      <c r="I7971" s="5">
        <f>Tabelle13[[#This Row],[%]]+I7970</f>
        <v>0.99499897748600497</v>
      </c>
      <c r="J7971" s="4">
        <f t="shared" si="281"/>
        <v>1.105583195135434E-4</v>
      </c>
      <c r="K7971" s="5">
        <f t="shared" si="282"/>
        <v>0.88103924820354118</v>
      </c>
    </row>
    <row r="7972" spans="1:11" x14ac:dyDescent="0.25">
      <c r="A7972" t="s">
        <v>15534</v>
      </c>
      <c r="C7972" t="s">
        <v>15535</v>
      </c>
      <c r="D7972" t="s">
        <v>5</v>
      </c>
      <c r="E7972" t="s">
        <v>6</v>
      </c>
      <c r="F7972" t="s">
        <v>251</v>
      </c>
      <c r="G7972">
        <v>1</v>
      </c>
      <c r="H7972" s="2">
        <f>Tabelle13[[#This Row],[commits]]/Tabelle13[[#Totals],[commits]]</f>
        <v>4.6477904404246225E-6</v>
      </c>
      <c r="I7972" s="5">
        <f>Tabelle13[[#This Row],[%]]+I7971</f>
        <v>0.99500362527644537</v>
      </c>
      <c r="J7972" s="4">
        <f t="shared" si="281"/>
        <v>1.105583195135434E-4</v>
      </c>
      <c r="K7972" s="5">
        <f t="shared" si="282"/>
        <v>0.88114980652305475</v>
      </c>
    </row>
    <row r="7973" spans="1:11" x14ac:dyDescent="0.25">
      <c r="A7973" t="s">
        <v>15536</v>
      </c>
      <c r="C7973" t="s">
        <v>15537</v>
      </c>
      <c r="D7973" t="s">
        <v>5</v>
      </c>
      <c r="E7973" t="s">
        <v>6</v>
      </c>
      <c r="F7973" t="s">
        <v>251</v>
      </c>
      <c r="G7973">
        <v>1</v>
      </c>
      <c r="H7973" s="2">
        <f>Tabelle13[[#This Row],[commits]]/Tabelle13[[#Totals],[commits]]</f>
        <v>4.6477904404246225E-6</v>
      </c>
      <c r="I7973" s="5">
        <f>Tabelle13[[#This Row],[%]]+I7972</f>
        <v>0.99500827306688577</v>
      </c>
      <c r="J7973" s="4">
        <f t="shared" si="281"/>
        <v>1.105583195135434E-4</v>
      </c>
      <c r="K7973" s="5">
        <f t="shared" si="282"/>
        <v>0.88126036484256831</v>
      </c>
    </row>
    <row r="7974" spans="1:11" x14ac:dyDescent="0.25">
      <c r="A7974" t="s">
        <v>15538</v>
      </c>
      <c r="C7974" t="s">
        <v>15539</v>
      </c>
      <c r="D7974" t="s">
        <v>5</v>
      </c>
      <c r="E7974" t="s">
        <v>6</v>
      </c>
      <c r="F7974" t="s">
        <v>251</v>
      </c>
      <c r="G7974">
        <v>1</v>
      </c>
      <c r="H7974" s="2">
        <f>Tabelle13[[#This Row],[commits]]/Tabelle13[[#Totals],[commits]]</f>
        <v>4.6477904404246225E-6</v>
      </c>
      <c r="I7974" s="5">
        <f>Tabelle13[[#This Row],[%]]+I7973</f>
        <v>0.99501292085732618</v>
      </c>
      <c r="J7974" s="4">
        <f t="shared" si="281"/>
        <v>1.105583195135434E-4</v>
      </c>
      <c r="K7974" s="5">
        <f t="shared" si="282"/>
        <v>0.88137092316208188</v>
      </c>
    </row>
    <row r="7975" spans="1:11" x14ac:dyDescent="0.25">
      <c r="A7975" t="s">
        <v>15540</v>
      </c>
      <c r="C7975" t="s">
        <v>15541</v>
      </c>
      <c r="D7975" t="s">
        <v>5</v>
      </c>
      <c r="E7975" t="s">
        <v>6</v>
      </c>
      <c r="F7975" t="s">
        <v>251</v>
      </c>
      <c r="G7975">
        <v>1</v>
      </c>
      <c r="H7975" s="2">
        <f>Tabelle13[[#This Row],[commits]]/Tabelle13[[#Totals],[commits]]</f>
        <v>4.6477904404246225E-6</v>
      </c>
      <c r="I7975" s="5">
        <f>Tabelle13[[#This Row],[%]]+I7974</f>
        <v>0.99501756864776658</v>
      </c>
      <c r="J7975" s="4">
        <f t="shared" si="281"/>
        <v>1.105583195135434E-4</v>
      </c>
      <c r="K7975" s="5">
        <f t="shared" si="282"/>
        <v>0.88148148148159544</v>
      </c>
    </row>
    <row r="7976" spans="1:11" x14ac:dyDescent="0.25">
      <c r="A7976" t="s">
        <v>15542</v>
      </c>
      <c r="C7976" t="s">
        <v>15543</v>
      </c>
      <c r="D7976" t="s">
        <v>5</v>
      </c>
      <c r="E7976" t="s">
        <v>6</v>
      </c>
      <c r="F7976" t="s">
        <v>251</v>
      </c>
      <c r="G7976">
        <v>1</v>
      </c>
      <c r="H7976" s="2">
        <f>Tabelle13[[#This Row],[commits]]/Tabelle13[[#Totals],[commits]]</f>
        <v>4.6477904404246225E-6</v>
      </c>
      <c r="I7976" s="5">
        <f>Tabelle13[[#This Row],[%]]+I7975</f>
        <v>0.99502221643820699</v>
      </c>
      <c r="J7976" s="4">
        <f t="shared" si="281"/>
        <v>1.105583195135434E-4</v>
      </c>
      <c r="K7976" s="5">
        <f t="shared" si="282"/>
        <v>0.88159203980110901</v>
      </c>
    </row>
    <row r="7977" spans="1:11" x14ac:dyDescent="0.25">
      <c r="A7977" t="s">
        <v>15544</v>
      </c>
      <c r="C7977" t="s">
        <v>15545</v>
      </c>
      <c r="D7977" t="s">
        <v>5</v>
      </c>
      <c r="E7977" t="s">
        <v>6</v>
      </c>
      <c r="F7977" t="s">
        <v>251</v>
      </c>
      <c r="G7977">
        <v>1</v>
      </c>
      <c r="H7977" s="2">
        <f>Tabelle13[[#This Row],[commits]]/Tabelle13[[#Totals],[commits]]</f>
        <v>4.6477904404246225E-6</v>
      </c>
      <c r="I7977" s="5">
        <f>Tabelle13[[#This Row],[%]]+I7976</f>
        <v>0.99502686422864739</v>
      </c>
      <c r="J7977" s="4">
        <f t="shared" si="281"/>
        <v>1.105583195135434E-4</v>
      </c>
      <c r="K7977" s="5">
        <f t="shared" si="282"/>
        <v>0.88170259812062257</v>
      </c>
    </row>
    <row r="7978" spans="1:11" x14ac:dyDescent="0.25">
      <c r="A7978" t="s">
        <v>15546</v>
      </c>
      <c r="C7978" t="s">
        <v>15547</v>
      </c>
      <c r="D7978" t="s">
        <v>5</v>
      </c>
      <c r="E7978" t="s">
        <v>6</v>
      </c>
      <c r="F7978" t="s">
        <v>251</v>
      </c>
      <c r="G7978">
        <v>1</v>
      </c>
      <c r="H7978" s="2">
        <f>Tabelle13[[#This Row],[commits]]/Tabelle13[[#Totals],[commits]]</f>
        <v>4.6477904404246225E-6</v>
      </c>
      <c r="I7978" s="5">
        <f>Tabelle13[[#This Row],[%]]+I7977</f>
        <v>0.99503151201908779</v>
      </c>
      <c r="J7978" s="4">
        <f t="shared" si="281"/>
        <v>1.105583195135434E-4</v>
      </c>
      <c r="K7978" s="5">
        <f t="shared" si="282"/>
        <v>0.88181315644013614</v>
      </c>
    </row>
    <row r="7979" spans="1:11" x14ac:dyDescent="0.25">
      <c r="A7979" t="s">
        <v>15548</v>
      </c>
      <c r="C7979" t="s">
        <v>15549</v>
      </c>
      <c r="D7979" t="s">
        <v>5</v>
      </c>
      <c r="E7979" t="s">
        <v>6</v>
      </c>
      <c r="F7979" t="s">
        <v>251</v>
      </c>
      <c r="G7979">
        <v>1</v>
      </c>
      <c r="H7979" s="2">
        <f>Tabelle13[[#This Row],[commits]]/Tabelle13[[#Totals],[commits]]</f>
        <v>4.6477904404246225E-6</v>
      </c>
      <c r="I7979" s="5">
        <f>Tabelle13[[#This Row],[%]]+I7978</f>
        <v>0.9950361598095282</v>
      </c>
      <c r="J7979" s="4">
        <f t="shared" si="281"/>
        <v>1.105583195135434E-4</v>
      </c>
      <c r="K7979" s="5">
        <f t="shared" si="282"/>
        <v>0.8819237147596497</v>
      </c>
    </row>
    <row r="7980" spans="1:11" x14ac:dyDescent="0.25">
      <c r="A7980" t="s">
        <v>15550</v>
      </c>
      <c r="C7980" t="s">
        <v>15551</v>
      </c>
      <c r="D7980" t="s">
        <v>5</v>
      </c>
      <c r="E7980" t="s">
        <v>6</v>
      </c>
      <c r="F7980" t="s">
        <v>251</v>
      </c>
      <c r="G7980">
        <v>1</v>
      </c>
      <c r="H7980" s="2">
        <f>Tabelle13[[#This Row],[commits]]/Tabelle13[[#Totals],[commits]]</f>
        <v>4.6477904404246225E-6</v>
      </c>
      <c r="I7980" s="5">
        <f>Tabelle13[[#This Row],[%]]+I7979</f>
        <v>0.9950408075999686</v>
      </c>
      <c r="J7980" s="4">
        <f t="shared" si="281"/>
        <v>1.105583195135434E-4</v>
      </c>
      <c r="K7980" s="5">
        <f t="shared" si="282"/>
        <v>0.88203427307916327</v>
      </c>
    </row>
    <row r="7981" spans="1:11" x14ac:dyDescent="0.25">
      <c r="A7981" t="s">
        <v>15552</v>
      </c>
      <c r="C7981" t="s">
        <v>15553</v>
      </c>
      <c r="D7981" t="s">
        <v>5</v>
      </c>
      <c r="E7981" t="s">
        <v>6</v>
      </c>
      <c r="F7981" t="s">
        <v>251</v>
      </c>
      <c r="G7981">
        <v>1</v>
      </c>
      <c r="H7981" s="2">
        <f>Tabelle13[[#This Row],[commits]]/Tabelle13[[#Totals],[commits]]</f>
        <v>4.6477904404246225E-6</v>
      </c>
      <c r="I7981" s="5">
        <f>Tabelle13[[#This Row],[%]]+I7980</f>
        <v>0.99504545539040901</v>
      </c>
      <c r="J7981" s="4">
        <f t="shared" si="281"/>
        <v>1.105583195135434E-4</v>
      </c>
      <c r="K7981" s="5">
        <f t="shared" si="282"/>
        <v>0.88214483139867683</v>
      </c>
    </row>
    <row r="7982" spans="1:11" x14ac:dyDescent="0.25">
      <c r="A7982" t="s">
        <v>15554</v>
      </c>
      <c r="C7982" t="s">
        <v>15555</v>
      </c>
      <c r="D7982" t="s">
        <v>5</v>
      </c>
      <c r="E7982" t="s">
        <v>6</v>
      </c>
      <c r="F7982" t="s">
        <v>251</v>
      </c>
      <c r="G7982">
        <v>1</v>
      </c>
      <c r="H7982" s="2">
        <f>Tabelle13[[#This Row],[commits]]/Tabelle13[[#Totals],[commits]]</f>
        <v>4.6477904404246225E-6</v>
      </c>
      <c r="I7982" s="5">
        <f>Tabelle13[[#This Row],[%]]+I7981</f>
        <v>0.99505010318084941</v>
      </c>
      <c r="J7982" s="4">
        <f t="shared" si="281"/>
        <v>1.105583195135434E-4</v>
      </c>
      <c r="K7982" s="5">
        <f t="shared" si="282"/>
        <v>0.8822553897181904</v>
      </c>
    </row>
    <row r="7983" spans="1:11" x14ac:dyDescent="0.25">
      <c r="A7983" t="s">
        <v>15556</v>
      </c>
      <c r="C7983" t="s">
        <v>15557</v>
      </c>
      <c r="D7983" t="s">
        <v>5</v>
      </c>
      <c r="E7983" t="s">
        <v>6</v>
      </c>
      <c r="F7983" t="s">
        <v>251</v>
      </c>
      <c r="G7983">
        <v>1</v>
      </c>
      <c r="H7983" s="2">
        <f>Tabelle13[[#This Row],[commits]]/Tabelle13[[#Totals],[commits]]</f>
        <v>4.6477904404246225E-6</v>
      </c>
      <c r="I7983" s="5">
        <f>Tabelle13[[#This Row],[%]]+I7982</f>
        <v>0.99505475097128981</v>
      </c>
      <c r="J7983" s="4">
        <f t="shared" si="281"/>
        <v>1.105583195135434E-4</v>
      </c>
      <c r="K7983" s="5">
        <f t="shared" si="282"/>
        <v>0.88236594803770396</v>
      </c>
    </row>
    <row r="7984" spans="1:11" x14ac:dyDescent="0.25">
      <c r="A7984" t="s">
        <v>15558</v>
      </c>
      <c r="C7984" t="s">
        <v>15559</v>
      </c>
      <c r="D7984" t="s">
        <v>5</v>
      </c>
      <c r="E7984" t="s">
        <v>6</v>
      </c>
      <c r="F7984" t="s">
        <v>251</v>
      </c>
      <c r="G7984">
        <v>1</v>
      </c>
      <c r="H7984" s="2">
        <f>Tabelle13[[#This Row],[commits]]/Tabelle13[[#Totals],[commits]]</f>
        <v>4.6477904404246225E-6</v>
      </c>
      <c r="I7984" s="5">
        <f>Tabelle13[[#This Row],[%]]+I7983</f>
        <v>0.99505939876173022</v>
      </c>
      <c r="J7984" s="4">
        <f t="shared" si="281"/>
        <v>1.105583195135434E-4</v>
      </c>
      <c r="K7984" s="5">
        <f t="shared" si="282"/>
        <v>0.88247650635721753</v>
      </c>
    </row>
    <row r="7985" spans="1:11" x14ac:dyDescent="0.25">
      <c r="A7985" t="s">
        <v>15560</v>
      </c>
      <c r="C7985" t="s">
        <v>15561</v>
      </c>
      <c r="D7985" t="s">
        <v>5</v>
      </c>
      <c r="E7985" t="s">
        <v>6</v>
      </c>
      <c r="F7985" t="s">
        <v>251</v>
      </c>
      <c r="G7985">
        <v>1</v>
      </c>
      <c r="H7985" s="2">
        <f>Tabelle13[[#This Row],[commits]]/Tabelle13[[#Totals],[commits]]</f>
        <v>4.6477904404246225E-6</v>
      </c>
      <c r="I7985" s="5">
        <f>Tabelle13[[#This Row],[%]]+I7984</f>
        <v>0.99506404655217062</v>
      </c>
      <c r="J7985" s="4">
        <f t="shared" si="281"/>
        <v>1.105583195135434E-4</v>
      </c>
      <c r="K7985" s="5">
        <f t="shared" si="282"/>
        <v>0.88258706467673109</v>
      </c>
    </row>
    <row r="7986" spans="1:11" x14ac:dyDescent="0.25">
      <c r="A7986" t="s">
        <v>15562</v>
      </c>
      <c r="C7986" t="s">
        <v>15563</v>
      </c>
      <c r="D7986" t="s">
        <v>5</v>
      </c>
      <c r="E7986" t="s">
        <v>6</v>
      </c>
      <c r="F7986" t="s">
        <v>251</v>
      </c>
      <c r="G7986">
        <v>1</v>
      </c>
      <c r="H7986" s="2">
        <f>Tabelle13[[#This Row],[commits]]/Tabelle13[[#Totals],[commits]]</f>
        <v>4.6477904404246225E-6</v>
      </c>
      <c r="I7986" s="5">
        <f>Tabelle13[[#This Row],[%]]+I7985</f>
        <v>0.99506869434261103</v>
      </c>
      <c r="J7986" s="4">
        <f t="shared" si="281"/>
        <v>1.105583195135434E-4</v>
      </c>
      <c r="K7986" s="5">
        <f t="shared" si="282"/>
        <v>0.88269762299624466</v>
      </c>
    </row>
    <row r="7987" spans="1:11" x14ac:dyDescent="0.25">
      <c r="A7987" t="s">
        <v>15564</v>
      </c>
      <c r="C7987" t="s">
        <v>15565</v>
      </c>
      <c r="D7987" t="s">
        <v>5</v>
      </c>
      <c r="E7987" t="s">
        <v>6</v>
      </c>
      <c r="F7987" t="s">
        <v>251</v>
      </c>
      <c r="G7987">
        <v>1</v>
      </c>
      <c r="H7987" s="2">
        <f>Tabelle13[[#This Row],[commits]]/Tabelle13[[#Totals],[commits]]</f>
        <v>4.6477904404246225E-6</v>
      </c>
      <c r="I7987" s="5">
        <f>Tabelle13[[#This Row],[%]]+I7986</f>
        <v>0.99507334213305143</v>
      </c>
      <c r="J7987" s="4">
        <f t="shared" si="281"/>
        <v>1.105583195135434E-4</v>
      </c>
      <c r="K7987" s="5">
        <f t="shared" si="282"/>
        <v>0.88280818131575822</v>
      </c>
    </row>
    <row r="7988" spans="1:11" x14ac:dyDescent="0.25">
      <c r="A7988" t="s">
        <v>15566</v>
      </c>
      <c r="C7988" t="s">
        <v>15567</v>
      </c>
      <c r="D7988" t="s">
        <v>5</v>
      </c>
      <c r="E7988" t="s">
        <v>6</v>
      </c>
      <c r="F7988" t="s">
        <v>251</v>
      </c>
      <c r="G7988">
        <v>1</v>
      </c>
      <c r="H7988" s="2">
        <f>Tabelle13[[#This Row],[commits]]/Tabelle13[[#Totals],[commits]]</f>
        <v>4.6477904404246225E-6</v>
      </c>
      <c r="I7988" s="5">
        <f>Tabelle13[[#This Row],[%]]+I7987</f>
        <v>0.99507798992349183</v>
      </c>
      <c r="J7988" s="4">
        <f t="shared" si="281"/>
        <v>1.105583195135434E-4</v>
      </c>
      <c r="K7988" s="5">
        <f t="shared" si="282"/>
        <v>0.88291873963527179</v>
      </c>
    </row>
    <row r="7989" spans="1:11" x14ac:dyDescent="0.25">
      <c r="A7989" t="s">
        <v>15568</v>
      </c>
      <c r="C7989" t="s">
        <v>15569</v>
      </c>
      <c r="D7989" t="s">
        <v>5</v>
      </c>
      <c r="E7989" t="s">
        <v>6</v>
      </c>
      <c r="F7989" t="s">
        <v>251</v>
      </c>
      <c r="G7989">
        <v>1</v>
      </c>
      <c r="H7989" s="2">
        <f>Tabelle13[[#This Row],[commits]]/Tabelle13[[#Totals],[commits]]</f>
        <v>4.6477904404246225E-6</v>
      </c>
      <c r="I7989" s="5">
        <f>Tabelle13[[#This Row],[%]]+I7988</f>
        <v>0.99508263771393224</v>
      </c>
      <c r="J7989" s="4">
        <f t="shared" si="281"/>
        <v>1.105583195135434E-4</v>
      </c>
      <c r="K7989" s="5">
        <f t="shared" si="282"/>
        <v>0.88302929795478535</v>
      </c>
    </row>
    <row r="7990" spans="1:11" x14ac:dyDescent="0.25">
      <c r="A7990" t="s">
        <v>15570</v>
      </c>
      <c r="C7990" t="s">
        <v>15571</v>
      </c>
      <c r="D7990" t="s">
        <v>5</v>
      </c>
      <c r="E7990" t="s">
        <v>6</v>
      </c>
      <c r="F7990" t="s">
        <v>251</v>
      </c>
      <c r="G7990">
        <v>1</v>
      </c>
      <c r="H7990" s="2">
        <f>Tabelle13[[#This Row],[commits]]/Tabelle13[[#Totals],[commits]]</f>
        <v>4.6477904404246225E-6</v>
      </c>
      <c r="I7990" s="5">
        <f>Tabelle13[[#This Row],[%]]+I7989</f>
        <v>0.99508728550437264</v>
      </c>
      <c r="J7990" s="4">
        <f t="shared" si="281"/>
        <v>1.105583195135434E-4</v>
      </c>
      <c r="K7990" s="5">
        <f t="shared" si="282"/>
        <v>0.88313985627429892</v>
      </c>
    </row>
    <row r="7991" spans="1:11" x14ac:dyDescent="0.25">
      <c r="A7991" t="s">
        <v>15572</v>
      </c>
      <c r="C7991" t="s">
        <v>15573</v>
      </c>
      <c r="D7991" t="s">
        <v>5</v>
      </c>
      <c r="E7991" t="s">
        <v>6</v>
      </c>
      <c r="F7991" t="s">
        <v>251</v>
      </c>
      <c r="G7991">
        <v>1</v>
      </c>
      <c r="H7991" s="2">
        <f>Tabelle13[[#This Row],[commits]]/Tabelle13[[#Totals],[commits]]</f>
        <v>4.6477904404246225E-6</v>
      </c>
      <c r="I7991" s="5">
        <f>Tabelle13[[#This Row],[%]]+I7990</f>
        <v>0.99509193329481305</v>
      </c>
      <c r="J7991" s="4">
        <f t="shared" si="281"/>
        <v>1.105583195135434E-4</v>
      </c>
      <c r="K7991" s="5">
        <f t="shared" si="282"/>
        <v>0.88325041459381248</v>
      </c>
    </row>
    <row r="7992" spans="1:11" x14ac:dyDescent="0.25">
      <c r="A7992" t="s">
        <v>15574</v>
      </c>
      <c r="C7992" t="s">
        <v>15575</v>
      </c>
      <c r="D7992" t="s">
        <v>5</v>
      </c>
      <c r="E7992" t="s">
        <v>6</v>
      </c>
      <c r="F7992" t="s">
        <v>251</v>
      </c>
      <c r="G7992">
        <v>1</v>
      </c>
      <c r="H7992" s="2">
        <f>Tabelle13[[#This Row],[commits]]/Tabelle13[[#Totals],[commits]]</f>
        <v>4.6477904404246225E-6</v>
      </c>
      <c r="I7992" s="5">
        <f>Tabelle13[[#This Row],[%]]+I7991</f>
        <v>0.99509658108525345</v>
      </c>
      <c r="J7992" s="4">
        <f t="shared" si="281"/>
        <v>1.105583195135434E-4</v>
      </c>
      <c r="K7992" s="5">
        <f t="shared" si="282"/>
        <v>0.88336097291332605</v>
      </c>
    </row>
    <row r="7993" spans="1:11" x14ac:dyDescent="0.25">
      <c r="A7993" t="s">
        <v>15576</v>
      </c>
      <c r="C7993" t="s">
        <v>15577</v>
      </c>
      <c r="D7993" t="s">
        <v>5</v>
      </c>
      <c r="E7993" t="s">
        <v>6</v>
      </c>
      <c r="F7993" t="s">
        <v>251</v>
      </c>
      <c r="G7993">
        <v>1</v>
      </c>
      <c r="H7993" s="2">
        <f>Tabelle13[[#This Row],[commits]]/Tabelle13[[#Totals],[commits]]</f>
        <v>4.6477904404246225E-6</v>
      </c>
      <c r="I7993" s="5">
        <f>Tabelle13[[#This Row],[%]]+I7992</f>
        <v>0.99510122887569386</v>
      </c>
      <c r="J7993" s="4">
        <f t="shared" si="281"/>
        <v>1.105583195135434E-4</v>
      </c>
      <c r="K7993" s="5">
        <f t="shared" si="282"/>
        <v>0.88347153123283961</v>
      </c>
    </row>
    <row r="7994" spans="1:11" x14ac:dyDescent="0.25">
      <c r="A7994" t="s">
        <v>15578</v>
      </c>
      <c r="C7994" t="s">
        <v>15579</v>
      </c>
      <c r="D7994" t="s">
        <v>5</v>
      </c>
      <c r="E7994" t="s">
        <v>6</v>
      </c>
      <c r="F7994" t="s">
        <v>251</v>
      </c>
      <c r="G7994">
        <v>1</v>
      </c>
      <c r="H7994" s="2">
        <f>Tabelle13[[#This Row],[commits]]/Tabelle13[[#Totals],[commits]]</f>
        <v>4.6477904404246225E-6</v>
      </c>
      <c r="I7994" s="5">
        <f>Tabelle13[[#This Row],[%]]+I7993</f>
        <v>0.99510587666613426</v>
      </c>
      <c r="J7994" s="4">
        <f t="shared" si="281"/>
        <v>1.105583195135434E-4</v>
      </c>
      <c r="K7994" s="5">
        <f t="shared" si="282"/>
        <v>0.88358208955235318</v>
      </c>
    </row>
    <row r="7995" spans="1:11" x14ac:dyDescent="0.25">
      <c r="A7995" t="s">
        <v>15580</v>
      </c>
      <c r="C7995" t="s">
        <v>15581</v>
      </c>
      <c r="D7995" t="s">
        <v>5</v>
      </c>
      <c r="E7995" t="s">
        <v>6</v>
      </c>
      <c r="F7995" t="s">
        <v>251</v>
      </c>
      <c r="G7995">
        <v>1</v>
      </c>
      <c r="H7995" s="2">
        <f>Tabelle13[[#This Row],[commits]]/Tabelle13[[#Totals],[commits]]</f>
        <v>4.6477904404246225E-6</v>
      </c>
      <c r="I7995" s="5">
        <f>Tabelle13[[#This Row],[%]]+I7994</f>
        <v>0.99511052445657466</v>
      </c>
      <c r="J7995" s="4">
        <f t="shared" si="281"/>
        <v>1.105583195135434E-4</v>
      </c>
      <c r="K7995" s="5">
        <f t="shared" si="282"/>
        <v>0.88369264787186674</v>
      </c>
    </row>
    <row r="7996" spans="1:11" x14ac:dyDescent="0.25">
      <c r="A7996" t="s">
        <v>15582</v>
      </c>
      <c r="C7996" t="s">
        <v>15583</v>
      </c>
      <c r="D7996" t="s">
        <v>5</v>
      </c>
      <c r="E7996" t="s">
        <v>6</v>
      </c>
      <c r="F7996" t="s">
        <v>251</v>
      </c>
      <c r="G7996">
        <v>1</v>
      </c>
      <c r="H7996" s="2">
        <f>Tabelle13[[#This Row],[commits]]/Tabelle13[[#Totals],[commits]]</f>
        <v>4.6477904404246225E-6</v>
      </c>
      <c r="I7996" s="5">
        <f>Tabelle13[[#This Row],[%]]+I7995</f>
        <v>0.99511517224701507</v>
      </c>
      <c r="J7996" s="4">
        <f t="shared" si="281"/>
        <v>1.105583195135434E-4</v>
      </c>
      <c r="K7996" s="5">
        <f t="shared" si="282"/>
        <v>0.88380320619138031</v>
      </c>
    </row>
    <row r="7997" spans="1:11" x14ac:dyDescent="0.25">
      <c r="A7997" t="s">
        <v>15584</v>
      </c>
      <c r="C7997" t="s">
        <v>15585</v>
      </c>
      <c r="D7997" t="s">
        <v>5</v>
      </c>
      <c r="E7997" t="s">
        <v>6</v>
      </c>
      <c r="F7997" t="s">
        <v>251</v>
      </c>
      <c r="G7997">
        <v>1</v>
      </c>
      <c r="H7997" s="2">
        <f>Tabelle13[[#This Row],[commits]]/Tabelle13[[#Totals],[commits]]</f>
        <v>4.6477904404246225E-6</v>
      </c>
      <c r="I7997" s="5">
        <f>Tabelle13[[#This Row],[%]]+I7996</f>
        <v>0.99511982003745547</v>
      </c>
      <c r="J7997" s="4">
        <f t="shared" si="281"/>
        <v>1.105583195135434E-4</v>
      </c>
      <c r="K7997" s="5">
        <f t="shared" si="282"/>
        <v>0.88391376451089387</v>
      </c>
    </row>
    <row r="7998" spans="1:11" x14ac:dyDescent="0.25">
      <c r="A7998" t="s">
        <v>15586</v>
      </c>
      <c r="C7998" t="s">
        <v>15587</v>
      </c>
      <c r="D7998" t="s">
        <v>5</v>
      </c>
      <c r="E7998" t="s">
        <v>6</v>
      </c>
      <c r="F7998" t="s">
        <v>251</v>
      </c>
      <c r="G7998">
        <v>1</v>
      </c>
      <c r="H7998" s="2">
        <f>Tabelle13[[#This Row],[commits]]/Tabelle13[[#Totals],[commits]]</f>
        <v>4.6477904404246225E-6</v>
      </c>
      <c r="I7998" s="5">
        <f>Tabelle13[[#This Row],[%]]+I7997</f>
        <v>0.99512446782789588</v>
      </c>
      <c r="J7998" s="4">
        <f t="shared" si="281"/>
        <v>1.105583195135434E-4</v>
      </c>
      <c r="K7998" s="5">
        <f t="shared" si="282"/>
        <v>0.88402432283040744</v>
      </c>
    </row>
    <row r="7999" spans="1:11" x14ac:dyDescent="0.25">
      <c r="A7999" t="s">
        <v>15588</v>
      </c>
      <c r="C7999" t="s">
        <v>15589</v>
      </c>
      <c r="D7999" t="s">
        <v>5</v>
      </c>
      <c r="E7999" t="s">
        <v>6</v>
      </c>
      <c r="F7999" t="s">
        <v>251</v>
      </c>
      <c r="G7999">
        <v>1</v>
      </c>
      <c r="H7999" s="2">
        <f>Tabelle13[[#This Row],[commits]]/Tabelle13[[#Totals],[commits]]</f>
        <v>4.6477904404246225E-6</v>
      </c>
      <c r="I7999" s="5">
        <f>Tabelle13[[#This Row],[%]]+I7998</f>
        <v>0.99512911561833628</v>
      </c>
      <c r="J7999" s="4">
        <f t="shared" si="281"/>
        <v>1.105583195135434E-4</v>
      </c>
      <c r="K7999" s="5">
        <f t="shared" si="282"/>
        <v>0.884134881149921</v>
      </c>
    </row>
    <row r="8000" spans="1:11" x14ac:dyDescent="0.25">
      <c r="A8000" t="s">
        <v>15590</v>
      </c>
      <c r="C8000" t="s">
        <v>15591</v>
      </c>
      <c r="D8000" t="s">
        <v>5</v>
      </c>
      <c r="E8000" t="s">
        <v>6</v>
      </c>
      <c r="F8000" t="s">
        <v>251</v>
      </c>
      <c r="G8000">
        <v>1</v>
      </c>
      <c r="H8000" s="2">
        <f>Tabelle13[[#This Row],[commits]]/Tabelle13[[#Totals],[commits]]</f>
        <v>4.6477904404246225E-6</v>
      </c>
      <c r="I8000" s="5">
        <f>Tabelle13[[#This Row],[%]]+I7999</f>
        <v>0.99513376340877668</v>
      </c>
      <c r="J8000" s="4">
        <f t="shared" si="281"/>
        <v>1.105583195135434E-4</v>
      </c>
      <c r="K8000" s="5">
        <f t="shared" si="282"/>
        <v>0.88424543946943457</v>
      </c>
    </row>
    <row r="8001" spans="1:11" x14ac:dyDescent="0.25">
      <c r="A8001" t="s">
        <v>15592</v>
      </c>
      <c r="C8001" t="s">
        <v>15593</v>
      </c>
      <c r="D8001" t="s">
        <v>5</v>
      </c>
      <c r="E8001" t="s">
        <v>6</v>
      </c>
      <c r="F8001" t="s">
        <v>251</v>
      </c>
      <c r="G8001">
        <v>1</v>
      </c>
      <c r="H8001" s="2">
        <f>Tabelle13[[#This Row],[commits]]/Tabelle13[[#Totals],[commits]]</f>
        <v>4.6477904404246225E-6</v>
      </c>
      <c r="I8001" s="5">
        <f>Tabelle13[[#This Row],[%]]+I8000</f>
        <v>0.99513841119921709</v>
      </c>
      <c r="J8001" s="4">
        <f t="shared" si="281"/>
        <v>1.105583195135434E-4</v>
      </c>
      <c r="K8001" s="5">
        <f t="shared" si="282"/>
        <v>0.88435599778894813</v>
      </c>
    </row>
    <row r="8002" spans="1:11" x14ac:dyDescent="0.25">
      <c r="A8002" t="s">
        <v>15594</v>
      </c>
      <c r="C8002" t="s">
        <v>15595</v>
      </c>
      <c r="D8002" t="s">
        <v>5</v>
      </c>
      <c r="E8002" t="s">
        <v>6</v>
      </c>
      <c r="F8002" t="s">
        <v>251</v>
      </c>
      <c r="G8002">
        <v>1</v>
      </c>
      <c r="H8002" s="2">
        <f>Tabelle13[[#This Row],[commits]]/Tabelle13[[#Totals],[commits]]</f>
        <v>4.6477904404246225E-6</v>
      </c>
      <c r="I8002" s="5">
        <f>Tabelle13[[#This Row],[%]]+I8001</f>
        <v>0.99514305898965749</v>
      </c>
      <c r="J8002" s="4">
        <f t="shared" si="281"/>
        <v>1.105583195135434E-4</v>
      </c>
      <c r="K8002" s="5">
        <f t="shared" si="282"/>
        <v>0.8844665561084617</v>
      </c>
    </row>
    <row r="8003" spans="1:11" x14ac:dyDescent="0.25">
      <c r="A8003" t="s">
        <v>15596</v>
      </c>
      <c r="C8003" t="s">
        <v>15597</v>
      </c>
      <c r="D8003" t="s">
        <v>5</v>
      </c>
      <c r="E8003" t="s">
        <v>6</v>
      </c>
      <c r="F8003" t="s">
        <v>251</v>
      </c>
      <c r="G8003">
        <v>1</v>
      </c>
      <c r="H8003" s="2">
        <f>Tabelle13[[#This Row],[commits]]/Tabelle13[[#Totals],[commits]]</f>
        <v>4.6477904404246225E-6</v>
      </c>
      <c r="I8003" s="5">
        <f>Tabelle13[[#This Row],[%]]+I8002</f>
        <v>0.9951477067800979</v>
      </c>
      <c r="J8003" s="4">
        <f t="shared" ref="J8003:J8066" si="283">1/9045</f>
        <v>1.105583195135434E-4</v>
      </c>
      <c r="K8003" s="5">
        <f t="shared" si="282"/>
        <v>0.88457711442797526</v>
      </c>
    </row>
    <row r="8004" spans="1:11" x14ac:dyDescent="0.25">
      <c r="A8004" t="s">
        <v>15598</v>
      </c>
      <c r="C8004" t="s">
        <v>15599</v>
      </c>
      <c r="D8004" t="s">
        <v>5</v>
      </c>
      <c r="E8004" t="s">
        <v>6</v>
      </c>
      <c r="F8004" t="s">
        <v>251</v>
      </c>
      <c r="G8004">
        <v>1</v>
      </c>
      <c r="H8004" s="2">
        <f>Tabelle13[[#This Row],[commits]]/Tabelle13[[#Totals],[commits]]</f>
        <v>4.6477904404246225E-6</v>
      </c>
      <c r="I8004" s="5">
        <f>Tabelle13[[#This Row],[%]]+I8003</f>
        <v>0.9951523545705383</v>
      </c>
      <c r="J8004" s="4">
        <f t="shared" si="283"/>
        <v>1.105583195135434E-4</v>
      </c>
      <c r="K8004" s="5">
        <f t="shared" si="282"/>
        <v>0.88468767274748883</v>
      </c>
    </row>
    <row r="8005" spans="1:11" x14ac:dyDescent="0.25">
      <c r="A8005" t="s">
        <v>15600</v>
      </c>
      <c r="C8005" t="s">
        <v>15601</v>
      </c>
      <c r="D8005" t="s">
        <v>5</v>
      </c>
      <c r="E8005" t="s">
        <v>6</v>
      </c>
      <c r="F8005" t="s">
        <v>251</v>
      </c>
      <c r="G8005">
        <v>1</v>
      </c>
      <c r="H8005" s="2">
        <f>Tabelle13[[#This Row],[commits]]/Tabelle13[[#Totals],[commits]]</f>
        <v>4.6477904404246225E-6</v>
      </c>
      <c r="I8005" s="5">
        <f>Tabelle13[[#This Row],[%]]+I8004</f>
        <v>0.9951570023609787</v>
      </c>
      <c r="J8005" s="4">
        <f t="shared" si="283"/>
        <v>1.105583195135434E-4</v>
      </c>
      <c r="K8005" s="5">
        <f t="shared" si="282"/>
        <v>0.88479823106700239</v>
      </c>
    </row>
    <row r="8006" spans="1:11" x14ac:dyDescent="0.25">
      <c r="A8006" t="s">
        <v>15602</v>
      </c>
      <c r="C8006" t="s">
        <v>15603</v>
      </c>
      <c r="D8006" t="s">
        <v>5</v>
      </c>
      <c r="E8006" t="s">
        <v>6</v>
      </c>
      <c r="F8006" t="s">
        <v>251</v>
      </c>
      <c r="G8006">
        <v>1</v>
      </c>
      <c r="H8006" s="2">
        <f>Tabelle13[[#This Row],[commits]]/Tabelle13[[#Totals],[commits]]</f>
        <v>4.6477904404246225E-6</v>
      </c>
      <c r="I8006" s="5">
        <f>Tabelle13[[#This Row],[%]]+I8005</f>
        <v>0.99516165015141911</v>
      </c>
      <c r="J8006" s="4">
        <f t="shared" si="283"/>
        <v>1.105583195135434E-4</v>
      </c>
      <c r="K8006" s="5">
        <f t="shared" ref="K8006:K8069" si="284">J8006+K8005</f>
        <v>0.88490878938651596</v>
      </c>
    </row>
    <row r="8007" spans="1:11" x14ac:dyDescent="0.25">
      <c r="A8007" t="s">
        <v>15604</v>
      </c>
      <c r="C8007" t="s">
        <v>15605</v>
      </c>
      <c r="D8007" t="s">
        <v>5</v>
      </c>
      <c r="E8007" t="s">
        <v>6</v>
      </c>
      <c r="F8007" t="s">
        <v>251</v>
      </c>
      <c r="G8007">
        <v>1</v>
      </c>
      <c r="H8007" s="2">
        <f>Tabelle13[[#This Row],[commits]]/Tabelle13[[#Totals],[commits]]</f>
        <v>4.6477904404246225E-6</v>
      </c>
      <c r="I8007" s="5">
        <f>Tabelle13[[#This Row],[%]]+I8006</f>
        <v>0.99516629794185951</v>
      </c>
      <c r="J8007" s="4">
        <f t="shared" si="283"/>
        <v>1.105583195135434E-4</v>
      </c>
      <c r="K8007" s="5">
        <f t="shared" si="284"/>
        <v>0.88501934770602952</v>
      </c>
    </row>
    <row r="8008" spans="1:11" x14ac:dyDescent="0.25">
      <c r="A8008" t="s">
        <v>15606</v>
      </c>
      <c r="C8008" t="s">
        <v>15607</v>
      </c>
      <c r="D8008" t="s">
        <v>5</v>
      </c>
      <c r="E8008" t="s">
        <v>6</v>
      </c>
      <c r="F8008" t="s">
        <v>251</v>
      </c>
      <c r="G8008">
        <v>1</v>
      </c>
      <c r="H8008" s="2">
        <f>Tabelle13[[#This Row],[commits]]/Tabelle13[[#Totals],[commits]]</f>
        <v>4.6477904404246225E-6</v>
      </c>
      <c r="I8008" s="5">
        <f>Tabelle13[[#This Row],[%]]+I8007</f>
        <v>0.99517094573229992</v>
      </c>
      <c r="J8008" s="4">
        <f t="shared" si="283"/>
        <v>1.105583195135434E-4</v>
      </c>
      <c r="K8008" s="5">
        <f t="shared" si="284"/>
        <v>0.88512990602554309</v>
      </c>
    </row>
    <row r="8009" spans="1:11" x14ac:dyDescent="0.25">
      <c r="A8009" t="s">
        <v>15608</v>
      </c>
      <c r="C8009" t="s">
        <v>15609</v>
      </c>
      <c r="D8009" t="s">
        <v>5</v>
      </c>
      <c r="E8009" t="s">
        <v>6</v>
      </c>
      <c r="F8009" t="s">
        <v>251</v>
      </c>
      <c r="G8009">
        <v>1</v>
      </c>
      <c r="H8009" s="2">
        <f>Tabelle13[[#This Row],[commits]]/Tabelle13[[#Totals],[commits]]</f>
        <v>4.6477904404246225E-6</v>
      </c>
      <c r="I8009" s="5">
        <f>Tabelle13[[#This Row],[%]]+I8008</f>
        <v>0.99517559352274032</v>
      </c>
      <c r="J8009" s="4">
        <f t="shared" si="283"/>
        <v>1.105583195135434E-4</v>
      </c>
      <c r="K8009" s="5">
        <f t="shared" si="284"/>
        <v>0.88524046434505665</v>
      </c>
    </row>
    <row r="8010" spans="1:11" x14ac:dyDescent="0.25">
      <c r="A8010" t="s">
        <v>15610</v>
      </c>
      <c r="C8010" t="s">
        <v>15611</v>
      </c>
      <c r="D8010" t="s">
        <v>5</v>
      </c>
      <c r="E8010" t="s">
        <v>6</v>
      </c>
      <c r="F8010" t="s">
        <v>251</v>
      </c>
      <c r="G8010">
        <v>1</v>
      </c>
      <c r="H8010" s="2">
        <f>Tabelle13[[#This Row],[commits]]/Tabelle13[[#Totals],[commits]]</f>
        <v>4.6477904404246225E-6</v>
      </c>
      <c r="I8010" s="5">
        <f>Tabelle13[[#This Row],[%]]+I8009</f>
        <v>0.99518024131318072</v>
      </c>
      <c r="J8010" s="4">
        <f t="shared" si="283"/>
        <v>1.105583195135434E-4</v>
      </c>
      <c r="K8010" s="5">
        <f t="shared" si="284"/>
        <v>0.88535102266457022</v>
      </c>
    </row>
    <row r="8011" spans="1:11" x14ac:dyDescent="0.25">
      <c r="A8011" t="s">
        <v>15612</v>
      </c>
      <c r="C8011" t="s">
        <v>15613</v>
      </c>
      <c r="D8011" t="s">
        <v>5</v>
      </c>
      <c r="E8011" t="s">
        <v>6</v>
      </c>
      <c r="F8011" t="s">
        <v>251</v>
      </c>
      <c r="G8011">
        <v>1</v>
      </c>
      <c r="H8011" s="2">
        <f>Tabelle13[[#This Row],[commits]]/Tabelle13[[#Totals],[commits]]</f>
        <v>4.6477904404246225E-6</v>
      </c>
      <c r="I8011" s="5">
        <f>Tabelle13[[#This Row],[%]]+I8010</f>
        <v>0.99518488910362113</v>
      </c>
      <c r="J8011" s="4">
        <f t="shared" si="283"/>
        <v>1.105583195135434E-4</v>
      </c>
      <c r="K8011" s="5">
        <f t="shared" si="284"/>
        <v>0.88546158098408378</v>
      </c>
    </row>
    <row r="8012" spans="1:11" x14ac:dyDescent="0.25">
      <c r="A8012" t="s">
        <v>15614</v>
      </c>
      <c r="C8012" t="s">
        <v>15615</v>
      </c>
      <c r="D8012" t="s">
        <v>5</v>
      </c>
      <c r="E8012" t="s">
        <v>6</v>
      </c>
      <c r="F8012" t="s">
        <v>251</v>
      </c>
      <c r="G8012">
        <v>1</v>
      </c>
      <c r="H8012" s="2">
        <f>Tabelle13[[#This Row],[commits]]/Tabelle13[[#Totals],[commits]]</f>
        <v>4.6477904404246225E-6</v>
      </c>
      <c r="I8012" s="5">
        <f>Tabelle13[[#This Row],[%]]+I8011</f>
        <v>0.99518953689406153</v>
      </c>
      <c r="J8012" s="4">
        <f t="shared" si="283"/>
        <v>1.105583195135434E-4</v>
      </c>
      <c r="K8012" s="5">
        <f t="shared" si="284"/>
        <v>0.88557213930359735</v>
      </c>
    </row>
    <row r="8013" spans="1:11" x14ac:dyDescent="0.25">
      <c r="A8013" t="s">
        <v>15616</v>
      </c>
      <c r="C8013" t="s">
        <v>15617</v>
      </c>
      <c r="D8013" t="s">
        <v>5</v>
      </c>
      <c r="E8013" t="s">
        <v>6</v>
      </c>
      <c r="F8013" t="s">
        <v>251</v>
      </c>
      <c r="G8013">
        <v>1</v>
      </c>
      <c r="H8013" s="2">
        <f>Tabelle13[[#This Row],[commits]]/Tabelle13[[#Totals],[commits]]</f>
        <v>4.6477904404246225E-6</v>
      </c>
      <c r="I8013" s="5">
        <f>Tabelle13[[#This Row],[%]]+I8012</f>
        <v>0.99519418468450194</v>
      </c>
      <c r="J8013" s="4">
        <f t="shared" si="283"/>
        <v>1.105583195135434E-4</v>
      </c>
      <c r="K8013" s="5">
        <f t="shared" si="284"/>
        <v>0.88568269762311091</v>
      </c>
    </row>
    <row r="8014" spans="1:11" x14ac:dyDescent="0.25">
      <c r="A8014" t="s">
        <v>15618</v>
      </c>
      <c r="C8014" t="s">
        <v>15619</v>
      </c>
      <c r="D8014" t="s">
        <v>15620</v>
      </c>
      <c r="E8014" t="s">
        <v>6</v>
      </c>
      <c r="F8014" t="s">
        <v>251</v>
      </c>
      <c r="G8014">
        <v>1</v>
      </c>
      <c r="H8014" s="2">
        <f>Tabelle13[[#This Row],[commits]]/Tabelle13[[#Totals],[commits]]</f>
        <v>4.6477904404246225E-6</v>
      </c>
      <c r="I8014" s="5">
        <f>Tabelle13[[#This Row],[%]]+I8013</f>
        <v>0.99519883247494234</v>
      </c>
      <c r="J8014" s="4">
        <f t="shared" si="283"/>
        <v>1.105583195135434E-4</v>
      </c>
      <c r="K8014" s="5">
        <f t="shared" si="284"/>
        <v>0.88579325594262448</v>
      </c>
    </row>
    <row r="8015" spans="1:11" x14ac:dyDescent="0.25">
      <c r="A8015" t="s">
        <v>15621</v>
      </c>
      <c r="C8015" t="s">
        <v>15622</v>
      </c>
      <c r="D8015" t="s">
        <v>5</v>
      </c>
      <c r="E8015" t="s">
        <v>6</v>
      </c>
      <c r="F8015" t="s">
        <v>251</v>
      </c>
      <c r="G8015">
        <v>1</v>
      </c>
      <c r="H8015" s="2">
        <f>Tabelle13[[#This Row],[commits]]/Tabelle13[[#Totals],[commits]]</f>
        <v>4.6477904404246225E-6</v>
      </c>
      <c r="I8015" s="5">
        <f>Tabelle13[[#This Row],[%]]+I8014</f>
        <v>0.99520348026538274</v>
      </c>
      <c r="J8015" s="4">
        <f t="shared" si="283"/>
        <v>1.105583195135434E-4</v>
      </c>
      <c r="K8015" s="5">
        <f t="shared" si="284"/>
        <v>0.88590381426213805</v>
      </c>
    </row>
    <row r="8016" spans="1:11" x14ac:dyDescent="0.25">
      <c r="A8016" t="s">
        <v>15623</v>
      </c>
      <c r="C8016" t="s">
        <v>15624</v>
      </c>
      <c r="D8016" t="s">
        <v>5</v>
      </c>
      <c r="E8016" t="s">
        <v>6</v>
      </c>
      <c r="F8016" t="s">
        <v>251</v>
      </c>
      <c r="G8016">
        <v>1</v>
      </c>
      <c r="H8016" s="2">
        <f>Tabelle13[[#This Row],[commits]]/Tabelle13[[#Totals],[commits]]</f>
        <v>4.6477904404246225E-6</v>
      </c>
      <c r="I8016" s="5">
        <f>Tabelle13[[#This Row],[%]]+I8015</f>
        <v>0.99520812805582315</v>
      </c>
      <c r="J8016" s="4">
        <f t="shared" si="283"/>
        <v>1.105583195135434E-4</v>
      </c>
      <c r="K8016" s="5">
        <f t="shared" si="284"/>
        <v>0.88601437258165161</v>
      </c>
    </row>
    <row r="8017" spans="1:11" x14ac:dyDescent="0.25">
      <c r="A8017" t="s">
        <v>15625</v>
      </c>
      <c r="C8017" t="s">
        <v>15626</v>
      </c>
      <c r="D8017" t="s">
        <v>5</v>
      </c>
      <c r="E8017" t="s">
        <v>6</v>
      </c>
      <c r="F8017" t="s">
        <v>251</v>
      </c>
      <c r="G8017">
        <v>1</v>
      </c>
      <c r="H8017" s="2">
        <f>Tabelle13[[#This Row],[commits]]/Tabelle13[[#Totals],[commits]]</f>
        <v>4.6477904404246225E-6</v>
      </c>
      <c r="I8017" s="5">
        <f>Tabelle13[[#This Row],[%]]+I8016</f>
        <v>0.99521277584626355</v>
      </c>
      <c r="J8017" s="4">
        <f t="shared" si="283"/>
        <v>1.105583195135434E-4</v>
      </c>
      <c r="K8017" s="5">
        <f t="shared" si="284"/>
        <v>0.88612493090116518</v>
      </c>
    </row>
    <row r="8018" spans="1:11" x14ac:dyDescent="0.25">
      <c r="A8018" t="s">
        <v>15627</v>
      </c>
      <c r="C8018" t="s">
        <v>15628</v>
      </c>
      <c r="D8018" t="s">
        <v>8760</v>
      </c>
      <c r="E8018" t="s">
        <v>6</v>
      </c>
      <c r="F8018" t="s">
        <v>251</v>
      </c>
      <c r="G8018">
        <v>1</v>
      </c>
      <c r="H8018" s="2">
        <f>Tabelle13[[#This Row],[commits]]/Tabelle13[[#Totals],[commits]]</f>
        <v>4.6477904404246225E-6</v>
      </c>
      <c r="I8018" s="5">
        <f>Tabelle13[[#This Row],[%]]+I8017</f>
        <v>0.99521742363670396</v>
      </c>
      <c r="J8018" s="4">
        <f t="shared" si="283"/>
        <v>1.105583195135434E-4</v>
      </c>
      <c r="K8018" s="5">
        <f t="shared" si="284"/>
        <v>0.88623548922067874</v>
      </c>
    </row>
    <row r="8019" spans="1:11" x14ac:dyDescent="0.25">
      <c r="A8019" t="s">
        <v>15629</v>
      </c>
      <c r="C8019" t="s">
        <v>15630</v>
      </c>
      <c r="D8019" t="s">
        <v>5</v>
      </c>
      <c r="E8019" t="s">
        <v>6</v>
      </c>
      <c r="F8019" t="s">
        <v>251</v>
      </c>
      <c r="G8019">
        <v>1</v>
      </c>
      <c r="H8019" s="2">
        <f>Tabelle13[[#This Row],[commits]]/Tabelle13[[#Totals],[commits]]</f>
        <v>4.6477904404246225E-6</v>
      </c>
      <c r="I8019" s="5">
        <f>Tabelle13[[#This Row],[%]]+I8018</f>
        <v>0.99522207142714436</v>
      </c>
      <c r="J8019" s="4">
        <f t="shared" si="283"/>
        <v>1.105583195135434E-4</v>
      </c>
      <c r="K8019" s="5">
        <f t="shared" si="284"/>
        <v>0.88634604754019231</v>
      </c>
    </row>
    <row r="8020" spans="1:11" x14ac:dyDescent="0.25">
      <c r="A8020" t="s">
        <v>15631</v>
      </c>
      <c r="C8020" t="s">
        <v>15632</v>
      </c>
      <c r="D8020" t="s">
        <v>5</v>
      </c>
      <c r="E8020" t="s">
        <v>6</v>
      </c>
      <c r="F8020" t="s">
        <v>251</v>
      </c>
      <c r="G8020">
        <v>1</v>
      </c>
      <c r="H8020" s="2">
        <f>Tabelle13[[#This Row],[commits]]/Tabelle13[[#Totals],[commits]]</f>
        <v>4.6477904404246225E-6</v>
      </c>
      <c r="I8020" s="5">
        <f>Tabelle13[[#This Row],[%]]+I8019</f>
        <v>0.99522671921758477</v>
      </c>
      <c r="J8020" s="4">
        <f t="shared" si="283"/>
        <v>1.105583195135434E-4</v>
      </c>
      <c r="K8020" s="5">
        <f t="shared" si="284"/>
        <v>0.88645660585970587</v>
      </c>
    </row>
    <row r="8021" spans="1:11" x14ac:dyDescent="0.25">
      <c r="A8021" t="s">
        <v>15633</v>
      </c>
      <c r="C8021" t="s">
        <v>15634</v>
      </c>
      <c r="D8021" t="s">
        <v>5</v>
      </c>
      <c r="E8021" t="s">
        <v>6</v>
      </c>
      <c r="F8021" t="s">
        <v>251</v>
      </c>
      <c r="G8021">
        <v>1</v>
      </c>
      <c r="H8021" s="2">
        <f>Tabelle13[[#This Row],[commits]]/Tabelle13[[#Totals],[commits]]</f>
        <v>4.6477904404246225E-6</v>
      </c>
      <c r="I8021" s="5">
        <f>Tabelle13[[#This Row],[%]]+I8020</f>
        <v>0.99523136700802517</v>
      </c>
      <c r="J8021" s="4">
        <f t="shared" si="283"/>
        <v>1.105583195135434E-4</v>
      </c>
      <c r="K8021" s="5">
        <f t="shared" si="284"/>
        <v>0.88656716417921944</v>
      </c>
    </row>
    <row r="8022" spans="1:11" x14ac:dyDescent="0.25">
      <c r="A8022" t="s">
        <v>15635</v>
      </c>
      <c r="C8022" t="s">
        <v>15636</v>
      </c>
      <c r="D8022" t="s">
        <v>5</v>
      </c>
      <c r="E8022" t="s">
        <v>6</v>
      </c>
      <c r="F8022" t="s">
        <v>251</v>
      </c>
      <c r="G8022">
        <v>1</v>
      </c>
      <c r="H8022" s="2">
        <f>Tabelle13[[#This Row],[commits]]/Tabelle13[[#Totals],[commits]]</f>
        <v>4.6477904404246225E-6</v>
      </c>
      <c r="I8022" s="5">
        <f>Tabelle13[[#This Row],[%]]+I8021</f>
        <v>0.99523601479846557</v>
      </c>
      <c r="J8022" s="4">
        <f t="shared" si="283"/>
        <v>1.105583195135434E-4</v>
      </c>
      <c r="K8022" s="5">
        <f t="shared" si="284"/>
        <v>0.886677722498733</v>
      </c>
    </row>
    <row r="8023" spans="1:11" x14ac:dyDescent="0.25">
      <c r="A8023" t="s">
        <v>15637</v>
      </c>
      <c r="C8023" t="s">
        <v>15638</v>
      </c>
      <c r="D8023" t="s">
        <v>5</v>
      </c>
      <c r="E8023" t="s">
        <v>6</v>
      </c>
      <c r="F8023" t="s">
        <v>251</v>
      </c>
      <c r="G8023">
        <v>1</v>
      </c>
      <c r="H8023" s="2">
        <f>Tabelle13[[#This Row],[commits]]/Tabelle13[[#Totals],[commits]]</f>
        <v>4.6477904404246225E-6</v>
      </c>
      <c r="I8023" s="5">
        <f>Tabelle13[[#This Row],[%]]+I8022</f>
        <v>0.99524066258890598</v>
      </c>
      <c r="J8023" s="4">
        <f t="shared" si="283"/>
        <v>1.105583195135434E-4</v>
      </c>
      <c r="K8023" s="5">
        <f t="shared" si="284"/>
        <v>0.88678828081824657</v>
      </c>
    </row>
    <row r="8024" spans="1:11" x14ac:dyDescent="0.25">
      <c r="A8024" t="s">
        <v>15639</v>
      </c>
      <c r="C8024" t="s">
        <v>15640</v>
      </c>
      <c r="D8024" t="s">
        <v>15641</v>
      </c>
      <c r="E8024" t="s">
        <v>6</v>
      </c>
      <c r="F8024" t="s">
        <v>251</v>
      </c>
      <c r="G8024">
        <v>1</v>
      </c>
      <c r="H8024" s="2">
        <f>Tabelle13[[#This Row],[commits]]/Tabelle13[[#Totals],[commits]]</f>
        <v>4.6477904404246225E-6</v>
      </c>
      <c r="I8024" s="5">
        <f>Tabelle13[[#This Row],[%]]+I8023</f>
        <v>0.99524531037934638</v>
      </c>
      <c r="J8024" s="4">
        <f t="shared" si="283"/>
        <v>1.105583195135434E-4</v>
      </c>
      <c r="K8024" s="5">
        <f t="shared" si="284"/>
        <v>0.88689883913776013</v>
      </c>
    </row>
    <row r="8025" spans="1:11" x14ac:dyDescent="0.25">
      <c r="A8025" t="s">
        <v>15642</v>
      </c>
      <c r="C8025" t="s">
        <v>15643</v>
      </c>
      <c r="D8025" t="s">
        <v>5</v>
      </c>
      <c r="E8025" t="s">
        <v>6</v>
      </c>
      <c r="F8025" t="s">
        <v>251</v>
      </c>
      <c r="G8025">
        <v>1</v>
      </c>
      <c r="H8025" s="2">
        <f>Tabelle13[[#This Row],[commits]]/Tabelle13[[#Totals],[commits]]</f>
        <v>4.6477904404246225E-6</v>
      </c>
      <c r="I8025" s="5">
        <f>Tabelle13[[#This Row],[%]]+I8024</f>
        <v>0.99524995816978679</v>
      </c>
      <c r="J8025" s="4">
        <f t="shared" si="283"/>
        <v>1.105583195135434E-4</v>
      </c>
      <c r="K8025" s="5">
        <f t="shared" si="284"/>
        <v>0.8870093974572737</v>
      </c>
    </row>
    <row r="8026" spans="1:11" x14ac:dyDescent="0.25">
      <c r="A8026" t="s">
        <v>15644</v>
      </c>
      <c r="C8026" t="s">
        <v>15645</v>
      </c>
      <c r="D8026" t="s">
        <v>5</v>
      </c>
      <c r="E8026" t="s">
        <v>6</v>
      </c>
      <c r="F8026" t="s">
        <v>251</v>
      </c>
      <c r="G8026">
        <v>1</v>
      </c>
      <c r="H8026" s="2">
        <f>Tabelle13[[#This Row],[commits]]/Tabelle13[[#Totals],[commits]]</f>
        <v>4.6477904404246225E-6</v>
      </c>
      <c r="I8026" s="5">
        <f>Tabelle13[[#This Row],[%]]+I8025</f>
        <v>0.99525460596022719</v>
      </c>
      <c r="J8026" s="4">
        <f t="shared" si="283"/>
        <v>1.105583195135434E-4</v>
      </c>
      <c r="K8026" s="5">
        <f t="shared" si="284"/>
        <v>0.88711995577678726</v>
      </c>
    </row>
    <row r="8027" spans="1:11" x14ac:dyDescent="0.25">
      <c r="A8027" t="s">
        <v>15646</v>
      </c>
      <c r="C8027" t="s">
        <v>15647</v>
      </c>
      <c r="D8027" t="s">
        <v>5</v>
      </c>
      <c r="E8027" t="s">
        <v>6</v>
      </c>
      <c r="F8027" t="s">
        <v>251</v>
      </c>
      <c r="G8027">
        <v>1</v>
      </c>
      <c r="H8027" s="2">
        <f>Tabelle13[[#This Row],[commits]]/Tabelle13[[#Totals],[commits]]</f>
        <v>4.6477904404246225E-6</v>
      </c>
      <c r="I8027" s="5">
        <f>Tabelle13[[#This Row],[%]]+I8026</f>
        <v>0.99525925375066759</v>
      </c>
      <c r="J8027" s="4">
        <f t="shared" si="283"/>
        <v>1.105583195135434E-4</v>
      </c>
      <c r="K8027" s="5">
        <f t="shared" si="284"/>
        <v>0.88723051409630083</v>
      </c>
    </row>
    <row r="8028" spans="1:11" x14ac:dyDescent="0.25">
      <c r="A8028" t="s">
        <v>15648</v>
      </c>
      <c r="C8028" t="s">
        <v>151</v>
      </c>
      <c r="D8028" t="s">
        <v>5</v>
      </c>
      <c r="E8028" t="s">
        <v>6</v>
      </c>
      <c r="F8028" t="s">
        <v>251</v>
      </c>
      <c r="G8028">
        <v>1</v>
      </c>
      <c r="H8028" s="2">
        <f>Tabelle13[[#This Row],[commits]]/Tabelle13[[#Totals],[commits]]</f>
        <v>4.6477904404246225E-6</v>
      </c>
      <c r="I8028" s="5">
        <f>Tabelle13[[#This Row],[%]]+I8027</f>
        <v>0.995263901541108</v>
      </c>
      <c r="J8028" s="4">
        <f t="shared" si="283"/>
        <v>1.105583195135434E-4</v>
      </c>
      <c r="K8028" s="5">
        <f t="shared" si="284"/>
        <v>0.88734107241581439</v>
      </c>
    </row>
    <row r="8029" spans="1:11" x14ac:dyDescent="0.25">
      <c r="A8029" t="s">
        <v>15649</v>
      </c>
      <c r="C8029" t="s">
        <v>15650</v>
      </c>
      <c r="D8029" t="s">
        <v>5</v>
      </c>
      <c r="E8029" t="s">
        <v>6</v>
      </c>
      <c r="F8029" t="s">
        <v>251</v>
      </c>
      <c r="G8029">
        <v>1</v>
      </c>
      <c r="H8029" s="2">
        <f>Tabelle13[[#This Row],[commits]]/Tabelle13[[#Totals],[commits]]</f>
        <v>4.6477904404246225E-6</v>
      </c>
      <c r="I8029" s="5">
        <f>Tabelle13[[#This Row],[%]]+I8028</f>
        <v>0.9952685493315484</v>
      </c>
      <c r="J8029" s="4">
        <f t="shared" si="283"/>
        <v>1.105583195135434E-4</v>
      </c>
      <c r="K8029" s="5">
        <f t="shared" si="284"/>
        <v>0.88745163073532796</v>
      </c>
    </row>
    <row r="8030" spans="1:11" x14ac:dyDescent="0.25">
      <c r="A8030" t="s">
        <v>15651</v>
      </c>
      <c r="C8030" t="s">
        <v>15652</v>
      </c>
      <c r="D8030" t="s">
        <v>5</v>
      </c>
      <c r="E8030" t="s">
        <v>6</v>
      </c>
      <c r="F8030" t="s">
        <v>251</v>
      </c>
      <c r="G8030">
        <v>1</v>
      </c>
      <c r="H8030" s="2">
        <f>Tabelle13[[#This Row],[commits]]/Tabelle13[[#Totals],[commits]]</f>
        <v>4.6477904404246225E-6</v>
      </c>
      <c r="I8030" s="5">
        <f>Tabelle13[[#This Row],[%]]+I8029</f>
        <v>0.99527319712198881</v>
      </c>
      <c r="J8030" s="4">
        <f t="shared" si="283"/>
        <v>1.105583195135434E-4</v>
      </c>
      <c r="K8030" s="5">
        <f t="shared" si="284"/>
        <v>0.88756218905484152</v>
      </c>
    </row>
    <row r="8031" spans="1:11" x14ac:dyDescent="0.25">
      <c r="A8031" t="s">
        <v>15653</v>
      </c>
      <c r="C8031" t="s">
        <v>15654</v>
      </c>
      <c r="D8031" t="s">
        <v>5</v>
      </c>
      <c r="E8031" t="s">
        <v>6</v>
      </c>
      <c r="F8031" t="s">
        <v>251</v>
      </c>
      <c r="G8031">
        <v>1</v>
      </c>
      <c r="H8031" s="2">
        <f>Tabelle13[[#This Row],[commits]]/Tabelle13[[#Totals],[commits]]</f>
        <v>4.6477904404246225E-6</v>
      </c>
      <c r="I8031" s="5">
        <f>Tabelle13[[#This Row],[%]]+I8030</f>
        <v>0.99527784491242921</v>
      </c>
      <c r="J8031" s="4">
        <f t="shared" si="283"/>
        <v>1.105583195135434E-4</v>
      </c>
      <c r="K8031" s="5">
        <f t="shared" si="284"/>
        <v>0.88767274737435509</v>
      </c>
    </row>
    <row r="8032" spans="1:11" x14ac:dyDescent="0.25">
      <c r="A8032" t="s">
        <v>15655</v>
      </c>
      <c r="C8032" t="s">
        <v>15656</v>
      </c>
      <c r="D8032" t="s">
        <v>5</v>
      </c>
      <c r="E8032" t="s">
        <v>6</v>
      </c>
      <c r="F8032" t="s">
        <v>251</v>
      </c>
      <c r="G8032">
        <v>1</v>
      </c>
      <c r="H8032" s="2">
        <f>Tabelle13[[#This Row],[commits]]/Tabelle13[[#Totals],[commits]]</f>
        <v>4.6477904404246225E-6</v>
      </c>
      <c r="I8032" s="5">
        <f>Tabelle13[[#This Row],[%]]+I8031</f>
        <v>0.99528249270286961</v>
      </c>
      <c r="J8032" s="4">
        <f t="shared" si="283"/>
        <v>1.105583195135434E-4</v>
      </c>
      <c r="K8032" s="5">
        <f t="shared" si="284"/>
        <v>0.88778330569386865</v>
      </c>
    </row>
    <row r="8033" spans="1:11" x14ac:dyDescent="0.25">
      <c r="A8033" t="s">
        <v>15657</v>
      </c>
      <c r="C8033" t="s">
        <v>15658</v>
      </c>
      <c r="D8033" t="s">
        <v>5</v>
      </c>
      <c r="E8033" t="s">
        <v>6</v>
      </c>
      <c r="F8033" t="s">
        <v>251</v>
      </c>
      <c r="G8033">
        <v>1</v>
      </c>
      <c r="H8033" s="2">
        <f>Tabelle13[[#This Row],[commits]]/Tabelle13[[#Totals],[commits]]</f>
        <v>4.6477904404246225E-6</v>
      </c>
      <c r="I8033" s="5">
        <f>Tabelle13[[#This Row],[%]]+I8032</f>
        <v>0.99528714049331002</v>
      </c>
      <c r="J8033" s="4">
        <f t="shared" si="283"/>
        <v>1.105583195135434E-4</v>
      </c>
      <c r="K8033" s="5">
        <f t="shared" si="284"/>
        <v>0.88789386401338222</v>
      </c>
    </row>
    <row r="8034" spans="1:11" x14ac:dyDescent="0.25">
      <c r="A8034" t="s">
        <v>15659</v>
      </c>
      <c r="C8034" t="s">
        <v>15660</v>
      </c>
      <c r="D8034" t="s">
        <v>15661</v>
      </c>
      <c r="E8034" t="s">
        <v>6</v>
      </c>
      <c r="F8034" t="s">
        <v>251</v>
      </c>
      <c r="G8034">
        <v>1</v>
      </c>
      <c r="H8034" s="2">
        <f>Tabelle13[[#This Row],[commits]]/Tabelle13[[#Totals],[commits]]</f>
        <v>4.6477904404246225E-6</v>
      </c>
      <c r="I8034" s="5">
        <f>Tabelle13[[#This Row],[%]]+I8033</f>
        <v>0.99529178828375042</v>
      </c>
      <c r="J8034" s="4">
        <f t="shared" si="283"/>
        <v>1.105583195135434E-4</v>
      </c>
      <c r="K8034" s="5">
        <f t="shared" si="284"/>
        <v>0.88800442233289578</v>
      </c>
    </row>
    <row r="8035" spans="1:11" x14ac:dyDescent="0.25">
      <c r="A8035" t="s">
        <v>15662</v>
      </c>
      <c r="C8035" t="s">
        <v>15663</v>
      </c>
      <c r="D8035" t="s">
        <v>5</v>
      </c>
      <c r="E8035" t="s">
        <v>6</v>
      </c>
      <c r="F8035" t="s">
        <v>251</v>
      </c>
      <c r="G8035">
        <v>1</v>
      </c>
      <c r="H8035" s="2">
        <f>Tabelle13[[#This Row],[commits]]/Tabelle13[[#Totals],[commits]]</f>
        <v>4.6477904404246225E-6</v>
      </c>
      <c r="I8035" s="5">
        <f>Tabelle13[[#This Row],[%]]+I8034</f>
        <v>0.99529643607419083</v>
      </c>
      <c r="J8035" s="4">
        <f t="shared" si="283"/>
        <v>1.105583195135434E-4</v>
      </c>
      <c r="K8035" s="5">
        <f t="shared" si="284"/>
        <v>0.88811498065240935</v>
      </c>
    </row>
    <row r="8036" spans="1:11" x14ac:dyDescent="0.25">
      <c r="A8036" t="s">
        <v>15664</v>
      </c>
      <c r="C8036" t="s">
        <v>15665</v>
      </c>
      <c r="D8036" t="s">
        <v>5</v>
      </c>
      <c r="E8036" t="s">
        <v>6</v>
      </c>
      <c r="F8036" t="s">
        <v>251</v>
      </c>
      <c r="G8036">
        <v>1</v>
      </c>
      <c r="H8036" s="2">
        <f>Tabelle13[[#This Row],[commits]]/Tabelle13[[#Totals],[commits]]</f>
        <v>4.6477904404246225E-6</v>
      </c>
      <c r="I8036" s="5">
        <f>Tabelle13[[#This Row],[%]]+I8035</f>
        <v>0.99530108386463123</v>
      </c>
      <c r="J8036" s="4">
        <f t="shared" si="283"/>
        <v>1.105583195135434E-4</v>
      </c>
      <c r="K8036" s="5">
        <f t="shared" si="284"/>
        <v>0.88822553897192291</v>
      </c>
    </row>
    <row r="8037" spans="1:11" x14ac:dyDescent="0.25">
      <c r="A8037" t="s">
        <v>15666</v>
      </c>
      <c r="C8037" t="s">
        <v>15667</v>
      </c>
      <c r="D8037" t="s">
        <v>5</v>
      </c>
      <c r="E8037" t="s">
        <v>6</v>
      </c>
      <c r="F8037" t="s">
        <v>251</v>
      </c>
      <c r="G8037">
        <v>1</v>
      </c>
      <c r="H8037" s="2">
        <f>Tabelle13[[#This Row],[commits]]/Tabelle13[[#Totals],[commits]]</f>
        <v>4.6477904404246225E-6</v>
      </c>
      <c r="I8037" s="5">
        <f>Tabelle13[[#This Row],[%]]+I8036</f>
        <v>0.99530573165507163</v>
      </c>
      <c r="J8037" s="4">
        <f t="shared" si="283"/>
        <v>1.105583195135434E-4</v>
      </c>
      <c r="K8037" s="5">
        <f t="shared" si="284"/>
        <v>0.88833609729143648</v>
      </c>
    </row>
    <row r="8038" spans="1:11" x14ac:dyDescent="0.25">
      <c r="A8038" t="s">
        <v>15668</v>
      </c>
      <c r="C8038" t="s">
        <v>15669</v>
      </c>
      <c r="D8038" t="s">
        <v>5</v>
      </c>
      <c r="E8038" t="s">
        <v>6</v>
      </c>
      <c r="F8038" t="s">
        <v>251</v>
      </c>
      <c r="G8038">
        <v>1</v>
      </c>
      <c r="H8038" s="2">
        <f>Tabelle13[[#This Row],[commits]]/Tabelle13[[#Totals],[commits]]</f>
        <v>4.6477904404246225E-6</v>
      </c>
      <c r="I8038" s="5">
        <f>Tabelle13[[#This Row],[%]]+I8037</f>
        <v>0.99531037944551204</v>
      </c>
      <c r="J8038" s="4">
        <f t="shared" si="283"/>
        <v>1.105583195135434E-4</v>
      </c>
      <c r="K8038" s="5">
        <f t="shared" si="284"/>
        <v>0.88844665561095004</v>
      </c>
    </row>
    <row r="8039" spans="1:11" x14ac:dyDescent="0.25">
      <c r="A8039" t="s">
        <v>15670</v>
      </c>
      <c r="C8039" t="s">
        <v>12386</v>
      </c>
      <c r="D8039" t="s">
        <v>5</v>
      </c>
      <c r="E8039" t="s">
        <v>6</v>
      </c>
      <c r="F8039" t="s">
        <v>251</v>
      </c>
      <c r="G8039">
        <v>1</v>
      </c>
      <c r="H8039" s="2">
        <f>Tabelle13[[#This Row],[commits]]/Tabelle13[[#Totals],[commits]]</f>
        <v>4.6477904404246225E-6</v>
      </c>
      <c r="I8039" s="5">
        <f>Tabelle13[[#This Row],[%]]+I8038</f>
        <v>0.99531502723595244</v>
      </c>
      <c r="J8039" s="4">
        <f t="shared" si="283"/>
        <v>1.105583195135434E-4</v>
      </c>
      <c r="K8039" s="5">
        <f t="shared" si="284"/>
        <v>0.88855721393046361</v>
      </c>
    </row>
    <row r="8040" spans="1:11" x14ac:dyDescent="0.25">
      <c r="A8040" t="s">
        <v>15671</v>
      </c>
      <c r="C8040" t="s">
        <v>15672</v>
      </c>
      <c r="D8040" t="s">
        <v>5</v>
      </c>
      <c r="E8040" t="s">
        <v>6</v>
      </c>
      <c r="F8040" t="s">
        <v>251</v>
      </c>
      <c r="G8040">
        <v>1</v>
      </c>
      <c r="H8040" s="2">
        <f>Tabelle13[[#This Row],[commits]]/Tabelle13[[#Totals],[commits]]</f>
        <v>4.6477904404246225E-6</v>
      </c>
      <c r="I8040" s="5">
        <f>Tabelle13[[#This Row],[%]]+I8039</f>
        <v>0.99531967502639285</v>
      </c>
      <c r="J8040" s="4">
        <f t="shared" si="283"/>
        <v>1.105583195135434E-4</v>
      </c>
      <c r="K8040" s="5">
        <f t="shared" si="284"/>
        <v>0.88866777224997717</v>
      </c>
    </row>
    <row r="8041" spans="1:11" x14ac:dyDescent="0.25">
      <c r="A8041" t="s">
        <v>15673</v>
      </c>
      <c r="C8041" t="s">
        <v>15674</v>
      </c>
      <c r="D8041" t="s">
        <v>5</v>
      </c>
      <c r="E8041" t="s">
        <v>6</v>
      </c>
      <c r="F8041" t="s">
        <v>251</v>
      </c>
      <c r="G8041">
        <v>1</v>
      </c>
      <c r="H8041" s="2">
        <f>Tabelle13[[#This Row],[commits]]/Tabelle13[[#Totals],[commits]]</f>
        <v>4.6477904404246225E-6</v>
      </c>
      <c r="I8041" s="5">
        <f>Tabelle13[[#This Row],[%]]+I8040</f>
        <v>0.99532432281683325</v>
      </c>
      <c r="J8041" s="4">
        <f t="shared" si="283"/>
        <v>1.105583195135434E-4</v>
      </c>
      <c r="K8041" s="5">
        <f t="shared" si="284"/>
        <v>0.88877833056949074</v>
      </c>
    </row>
    <row r="8042" spans="1:11" x14ac:dyDescent="0.25">
      <c r="A8042" t="s">
        <v>15675</v>
      </c>
      <c r="C8042" t="s">
        <v>15676</v>
      </c>
      <c r="D8042" t="s">
        <v>15677</v>
      </c>
      <c r="E8042" t="s">
        <v>6</v>
      </c>
      <c r="F8042" t="s">
        <v>251</v>
      </c>
      <c r="G8042">
        <v>1</v>
      </c>
      <c r="H8042" s="2">
        <f>Tabelle13[[#This Row],[commits]]/Tabelle13[[#Totals],[commits]]</f>
        <v>4.6477904404246225E-6</v>
      </c>
      <c r="I8042" s="5">
        <f>Tabelle13[[#This Row],[%]]+I8041</f>
        <v>0.99532897060727366</v>
      </c>
      <c r="J8042" s="4">
        <f t="shared" si="283"/>
        <v>1.105583195135434E-4</v>
      </c>
      <c r="K8042" s="5">
        <f t="shared" si="284"/>
        <v>0.8888888888890043</v>
      </c>
    </row>
    <row r="8043" spans="1:11" x14ac:dyDescent="0.25">
      <c r="A8043" t="s">
        <v>15678</v>
      </c>
      <c r="C8043" t="s">
        <v>15679</v>
      </c>
      <c r="D8043" t="s">
        <v>5</v>
      </c>
      <c r="E8043" t="s">
        <v>6</v>
      </c>
      <c r="F8043" t="s">
        <v>251</v>
      </c>
      <c r="G8043">
        <v>1</v>
      </c>
      <c r="H8043" s="2">
        <f>Tabelle13[[#This Row],[commits]]/Tabelle13[[#Totals],[commits]]</f>
        <v>4.6477904404246225E-6</v>
      </c>
      <c r="I8043" s="5">
        <f>Tabelle13[[#This Row],[%]]+I8042</f>
        <v>0.99533361839771406</v>
      </c>
      <c r="J8043" s="4">
        <f t="shared" si="283"/>
        <v>1.105583195135434E-4</v>
      </c>
      <c r="K8043" s="5">
        <f t="shared" si="284"/>
        <v>0.88899944720851787</v>
      </c>
    </row>
    <row r="8044" spans="1:11" x14ac:dyDescent="0.25">
      <c r="A8044" t="s">
        <v>15680</v>
      </c>
      <c r="C8044" t="s">
        <v>15681</v>
      </c>
      <c r="D8044" t="s">
        <v>5</v>
      </c>
      <c r="E8044" t="s">
        <v>6</v>
      </c>
      <c r="F8044" t="s">
        <v>251</v>
      </c>
      <c r="G8044">
        <v>1</v>
      </c>
      <c r="H8044" s="2">
        <f>Tabelle13[[#This Row],[commits]]/Tabelle13[[#Totals],[commits]]</f>
        <v>4.6477904404246225E-6</v>
      </c>
      <c r="I8044" s="5">
        <f>Tabelle13[[#This Row],[%]]+I8043</f>
        <v>0.99533826618815446</v>
      </c>
      <c r="J8044" s="4">
        <f t="shared" si="283"/>
        <v>1.105583195135434E-4</v>
      </c>
      <c r="K8044" s="5">
        <f t="shared" si="284"/>
        <v>0.88911000552803143</v>
      </c>
    </row>
    <row r="8045" spans="1:11" x14ac:dyDescent="0.25">
      <c r="A8045" t="s">
        <v>15682</v>
      </c>
      <c r="C8045" t="s">
        <v>15683</v>
      </c>
      <c r="D8045" t="s">
        <v>5</v>
      </c>
      <c r="E8045" t="s">
        <v>6</v>
      </c>
      <c r="F8045" t="s">
        <v>251</v>
      </c>
      <c r="G8045">
        <v>1</v>
      </c>
      <c r="H8045" s="2">
        <f>Tabelle13[[#This Row],[commits]]/Tabelle13[[#Totals],[commits]]</f>
        <v>4.6477904404246225E-6</v>
      </c>
      <c r="I8045" s="5">
        <f>Tabelle13[[#This Row],[%]]+I8044</f>
        <v>0.99534291397859487</v>
      </c>
      <c r="J8045" s="4">
        <f t="shared" si="283"/>
        <v>1.105583195135434E-4</v>
      </c>
      <c r="K8045" s="5">
        <f t="shared" si="284"/>
        <v>0.889220563847545</v>
      </c>
    </row>
    <row r="8046" spans="1:11" x14ac:dyDescent="0.25">
      <c r="A8046" t="s">
        <v>15684</v>
      </c>
      <c r="C8046" t="s">
        <v>15685</v>
      </c>
      <c r="D8046" t="s">
        <v>5</v>
      </c>
      <c r="E8046" t="s">
        <v>6</v>
      </c>
      <c r="F8046" t="s">
        <v>251</v>
      </c>
      <c r="G8046">
        <v>1</v>
      </c>
      <c r="H8046" s="2">
        <f>Tabelle13[[#This Row],[commits]]/Tabelle13[[#Totals],[commits]]</f>
        <v>4.6477904404246225E-6</v>
      </c>
      <c r="I8046" s="5">
        <f>Tabelle13[[#This Row],[%]]+I8045</f>
        <v>0.99534756176903527</v>
      </c>
      <c r="J8046" s="4">
        <f t="shared" si="283"/>
        <v>1.105583195135434E-4</v>
      </c>
      <c r="K8046" s="5">
        <f t="shared" si="284"/>
        <v>0.88933112216705856</v>
      </c>
    </row>
    <row r="8047" spans="1:11" x14ac:dyDescent="0.25">
      <c r="A8047" t="s">
        <v>15686</v>
      </c>
      <c r="C8047" t="s">
        <v>15687</v>
      </c>
      <c r="D8047" t="s">
        <v>5</v>
      </c>
      <c r="E8047" t="s">
        <v>6</v>
      </c>
      <c r="F8047" t="s">
        <v>251</v>
      </c>
      <c r="G8047">
        <v>1</v>
      </c>
      <c r="H8047" s="2">
        <f>Tabelle13[[#This Row],[commits]]/Tabelle13[[#Totals],[commits]]</f>
        <v>4.6477904404246225E-6</v>
      </c>
      <c r="I8047" s="5">
        <f>Tabelle13[[#This Row],[%]]+I8046</f>
        <v>0.99535220955947568</v>
      </c>
      <c r="J8047" s="4">
        <f t="shared" si="283"/>
        <v>1.105583195135434E-4</v>
      </c>
      <c r="K8047" s="5">
        <f t="shared" si="284"/>
        <v>0.88944168048657213</v>
      </c>
    </row>
    <row r="8048" spans="1:11" x14ac:dyDescent="0.25">
      <c r="A8048" t="s">
        <v>15688</v>
      </c>
      <c r="C8048" t="s">
        <v>15689</v>
      </c>
      <c r="D8048" t="s">
        <v>5</v>
      </c>
      <c r="E8048" t="s">
        <v>6</v>
      </c>
      <c r="F8048" t="s">
        <v>251</v>
      </c>
      <c r="G8048">
        <v>1</v>
      </c>
      <c r="H8048" s="2">
        <f>Tabelle13[[#This Row],[commits]]/Tabelle13[[#Totals],[commits]]</f>
        <v>4.6477904404246225E-6</v>
      </c>
      <c r="I8048" s="5">
        <f>Tabelle13[[#This Row],[%]]+I8047</f>
        <v>0.99535685734991608</v>
      </c>
      <c r="J8048" s="4">
        <f t="shared" si="283"/>
        <v>1.105583195135434E-4</v>
      </c>
      <c r="K8048" s="5">
        <f t="shared" si="284"/>
        <v>0.88955223880608569</v>
      </c>
    </row>
    <row r="8049" spans="1:11" x14ac:dyDescent="0.25">
      <c r="A8049" t="s">
        <v>15690</v>
      </c>
      <c r="C8049" t="s">
        <v>15691</v>
      </c>
      <c r="D8049" t="s">
        <v>5</v>
      </c>
      <c r="E8049" t="s">
        <v>6</v>
      </c>
      <c r="F8049" t="s">
        <v>251</v>
      </c>
      <c r="G8049">
        <v>1</v>
      </c>
      <c r="H8049" s="2">
        <f>Tabelle13[[#This Row],[commits]]/Tabelle13[[#Totals],[commits]]</f>
        <v>4.6477904404246225E-6</v>
      </c>
      <c r="I8049" s="5">
        <f>Tabelle13[[#This Row],[%]]+I8048</f>
        <v>0.99536150514035648</v>
      </c>
      <c r="J8049" s="4">
        <f t="shared" si="283"/>
        <v>1.105583195135434E-4</v>
      </c>
      <c r="K8049" s="5">
        <f t="shared" si="284"/>
        <v>0.88966279712559926</v>
      </c>
    </row>
    <row r="8050" spans="1:11" x14ac:dyDescent="0.25">
      <c r="A8050" t="s">
        <v>15692</v>
      </c>
      <c r="C8050" t="s">
        <v>26</v>
      </c>
      <c r="D8050" t="s">
        <v>5</v>
      </c>
      <c r="E8050" t="s">
        <v>6</v>
      </c>
      <c r="F8050" t="s">
        <v>251</v>
      </c>
      <c r="G8050">
        <v>1</v>
      </c>
      <c r="H8050" s="2">
        <f>Tabelle13[[#This Row],[commits]]/Tabelle13[[#Totals],[commits]]</f>
        <v>4.6477904404246225E-6</v>
      </c>
      <c r="I8050" s="5">
        <f>Tabelle13[[#This Row],[%]]+I8049</f>
        <v>0.99536615293079689</v>
      </c>
      <c r="J8050" s="4">
        <f t="shared" si="283"/>
        <v>1.105583195135434E-4</v>
      </c>
      <c r="K8050" s="5">
        <f t="shared" si="284"/>
        <v>0.88977335544511282</v>
      </c>
    </row>
    <row r="8051" spans="1:11" x14ac:dyDescent="0.25">
      <c r="A8051" t="s">
        <v>15693</v>
      </c>
      <c r="C8051" t="s">
        <v>15694</v>
      </c>
      <c r="D8051" t="s">
        <v>5</v>
      </c>
      <c r="E8051" t="s">
        <v>6</v>
      </c>
      <c r="F8051" t="s">
        <v>251</v>
      </c>
      <c r="G8051">
        <v>1</v>
      </c>
      <c r="H8051" s="2">
        <f>Tabelle13[[#This Row],[commits]]/Tabelle13[[#Totals],[commits]]</f>
        <v>4.6477904404246225E-6</v>
      </c>
      <c r="I8051" s="5">
        <f>Tabelle13[[#This Row],[%]]+I8050</f>
        <v>0.99537080072123729</v>
      </c>
      <c r="J8051" s="4">
        <f t="shared" si="283"/>
        <v>1.105583195135434E-4</v>
      </c>
      <c r="K8051" s="5">
        <f t="shared" si="284"/>
        <v>0.88988391376462639</v>
      </c>
    </row>
    <row r="8052" spans="1:11" x14ac:dyDescent="0.25">
      <c r="A8052" t="s">
        <v>15695</v>
      </c>
      <c r="C8052" t="s">
        <v>15696</v>
      </c>
      <c r="D8052" t="s">
        <v>5</v>
      </c>
      <c r="E8052" t="s">
        <v>6</v>
      </c>
      <c r="F8052" t="s">
        <v>251</v>
      </c>
      <c r="G8052">
        <v>1</v>
      </c>
      <c r="H8052" s="2">
        <f>Tabelle13[[#This Row],[commits]]/Tabelle13[[#Totals],[commits]]</f>
        <v>4.6477904404246225E-6</v>
      </c>
      <c r="I8052" s="5">
        <f>Tabelle13[[#This Row],[%]]+I8051</f>
        <v>0.9953754485116777</v>
      </c>
      <c r="J8052" s="4">
        <f t="shared" si="283"/>
        <v>1.105583195135434E-4</v>
      </c>
      <c r="K8052" s="5">
        <f t="shared" si="284"/>
        <v>0.88999447208413995</v>
      </c>
    </row>
    <row r="8053" spans="1:11" x14ac:dyDescent="0.25">
      <c r="A8053" t="s">
        <v>15697</v>
      </c>
      <c r="C8053" t="s">
        <v>15698</v>
      </c>
      <c r="D8053" t="s">
        <v>5</v>
      </c>
      <c r="E8053" t="s">
        <v>6</v>
      </c>
      <c r="F8053" t="s">
        <v>251</v>
      </c>
      <c r="G8053">
        <v>1</v>
      </c>
      <c r="H8053" s="2">
        <f>Tabelle13[[#This Row],[commits]]/Tabelle13[[#Totals],[commits]]</f>
        <v>4.6477904404246225E-6</v>
      </c>
      <c r="I8053" s="5">
        <f>Tabelle13[[#This Row],[%]]+I8052</f>
        <v>0.9953800963021181</v>
      </c>
      <c r="J8053" s="4">
        <f t="shared" si="283"/>
        <v>1.105583195135434E-4</v>
      </c>
      <c r="K8053" s="5">
        <f t="shared" si="284"/>
        <v>0.89010503040365352</v>
      </c>
    </row>
    <row r="8054" spans="1:11" x14ac:dyDescent="0.25">
      <c r="A8054" t="s">
        <v>15699</v>
      </c>
      <c r="C8054" t="s">
        <v>15700</v>
      </c>
      <c r="D8054" t="s">
        <v>5</v>
      </c>
      <c r="E8054" t="s">
        <v>6</v>
      </c>
      <c r="F8054" t="s">
        <v>251</v>
      </c>
      <c r="G8054">
        <v>1</v>
      </c>
      <c r="H8054" s="2">
        <f>Tabelle13[[#This Row],[commits]]/Tabelle13[[#Totals],[commits]]</f>
        <v>4.6477904404246225E-6</v>
      </c>
      <c r="I8054" s="5">
        <f>Tabelle13[[#This Row],[%]]+I8053</f>
        <v>0.9953847440925585</v>
      </c>
      <c r="J8054" s="4">
        <f t="shared" si="283"/>
        <v>1.105583195135434E-4</v>
      </c>
      <c r="K8054" s="5">
        <f t="shared" si="284"/>
        <v>0.89021558872316708</v>
      </c>
    </row>
    <row r="8055" spans="1:11" x14ac:dyDescent="0.25">
      <c r="A8055" t="s">
        <v>15701</v>
      </c>
      <c r="C8055" t="s">
        <v>15702</v>
      </c>
      <c r="D8055" t="s">
        <v>5</v>
      </c>
      <c r="E8055" t="s">
        <v>6</v>
      </c>
      <c r="F8055" t="s">
        <v>251</v>
      </c>
      <c r="G8055">
        <v>1</v>
      </c>
      <c r="H8055" s="2">
        <f>Tabelle13[[#This Row],[commits]]/Tabelle13[[#Totals],[commits]]</f>
        <v>4.6477904404246225E-6</v>
      </c>
      <c r="I8055" s="5">
        <f>Tabelle13[[#This Row],[%]]+I8054</f>
        <v>0.99538939188299891</v>
      </c>
      <c r="J8055" s="4">
        <f t="shared" si="283"/>
        <v>1.105583195135434E-4</v>
      </c>
      <c r="K8055" s="5">
        <f t="shared" si="284"/>
        <v>0.89032614704268065</v>
      </c>
    </row>
    <row r="8056" spans="1:11" x14ac:dyDescent="0.25">
      <c r="A8056" t="s">
        <v>15703</v>
      </c>
      <c r="C8056" t="s">
        <v>15704</v>
      </c>
      <c r="D8056" t="s">
        <v>5</v>
      </c>
      <c r="E8056" t="s">
        <v>6</v>
      </c>
      <c r="F8056" t="s">
        <v>251</v>
      </c>
      <c r="G8056">
        <v>1</v>
      </c>
      <c r="H8056" s="2">
        <f>Tabelle13[[#This Row],[commits]]/Tabelle13[[#Totals],[commits]]</f>
        <v>4.6477904404246225E-6</v>
      </c>
      <c r="I8056" s="5">
        <f>Tabelle13[[#This Row],[%]]+I8055</f>
        <v>0.99539403967343931</v>
      </c>
      <c r="J8056" s="4">
        <f t="shared" si="283"/>
        <v>1.105583195135434E-4</v>
      </c>
      <c r="K8056" s="5">
        <f t="shared" si="284"/>
        <v>0.89043670536219421</v>
      </c>
    </row>
    <row r="8057" spans="1:11" x14ac:dyDescent="0.25">
      <c r="A8057" t="s">
        <v>15705</v>
      </c>
      <c r="C8057" t="s">
        <v>15706</v>
      </c>
      <c r="D8057" t="s">
        <v>5</v>
      </c>
      <c r="E8057" t="s">
        <v>6</v>
      </c>
      <c r="F8057" t="s">
        <v>251</v>
      </c>
      <c r="G8057">
        <v>1</v>
      </c>
      <c r="H8057" s="2">
        <f>Tabelle13[[#This Row],[commits]]/Tabelle13[[#Totals],[commits]]</f>
        <v>4.6477904404246225E-6</v>
      </c>
      <c r="I8057" s="5">
        <f>Tabelle13[[#This Row],[%]]+I8056</f>
        <v>0.99539868746387972</v>
      </c>
      <c r="J8057" s="4">
        <f t="shared" si="283"/>
        <v>1.105583195135434E-4</v>
      </c>
      <c r="K8057" s="5">
        <f t="shared" si="284"/>
        <v>0.89054726368170778</v>
      </c>
    </row>
    <row r="8058" spans="1:11" x14ac:dyDescent="0.25">
      <c r="A8058" t="s">
        <v>15707</v>
      </c>
      <c r="C8058" t="s">
        <v>15708</v>
      </c>
      <c r="D8058" t="s">
        <v>5</v>
      </c>
      <c r="E8058" t="s">
        <v>6</v>
      </c>
      <c r="F8058" t="s">
        <v>251</v>
      </c>
      <c r="G8058">
        <v>1</v>
      </c>
      <c r="H8058" s="2">
        <f>Tabelle13[[#This Row],[commits]]/Tabelle13[[#Totals],[commits]]</f>
        <v>4.6477904404246225E-6</v>
      </c>
      <c r="I8058" s="5">
        <f>Tabelle13[[#This Row],[%]]+I8057</f>
        <v>0.99540333525432012</v>
      </c>
      <c r="J8058" s="4">
        <f t="shared" si="283"/>
        <v>1.105583195135434E-4</v>
      </c>
      <c r="K8058" s="5">
        <f t="shared" si="284"/>
        <v>0.89065782200122134</v>
      </c>
    </row>
    <row r="8059" spans="1:11" x14ac:dyDescent="0.25">
      <c r="A8059" t="s">
        <v>15709</v>
      </c>
      <c r="C8059" t="s">
        <v>15710</v>
      </c>
      <c r="D8059" t="s">
        <v>5</v>
      </c>
      <c r="E8059" t="s">
        <v>6</v>
      </c>
      <c r="F8059" t="s">
        <v>251</v>
      </c>
      <c r="G8059">
        <v>1</v>
      </c>
      <c r="H8059" s="2">
        <f>Tabelle13[[#This Row],[commits]]/Tabelle13[[#Totals],[commits]]</f>
        <v>4.6477904404246225E-6</v>
      </c>
      <c r="I8059" s="5">
        <f>Tabelle13[[#This Row],[%]]+I8058</f>
        <v>0.99540798304476052</v>
      </c>
      <c r="J8059" s="4">
        <f t="shared" si="283"/>
        <v>1.105583195135434E-4</v>
      </c>
      <c r="K8059" s="5">
        <f t="shared" si="284"/>
        <v>0.89076838032073491</v>
      </c>
    </row>
    <row r="8060" spans="1:11" x14ac:dyDescent="0.25">
      <c r="A8060" t="s">
        <v>15711</v>
      </c>
      <c r="C8060" t="s">
        <v>15712</v>
      </c>
      <c r="D8060" t="s">
        <v>5</v>
      </c>
      <c r="E8060" t="s">
        <v>6</v>
      </c>
      <c r="F8060" t="s">
        <v>251</v>
      </c>
      <c r="G8060">
        <v>1</v>
      </c>
      <c r="H8060" s="2">
        <f>Tabelle13[[#This Row],[commits]]/Tabelle13[[#Totals],[commits]]</f>
        <v>4.6477904404246225E-6</v>
      </c>
      <c r="I8060" s="5">
        <f>Tabelle13[[#This Row],[%]]+I8059</f>
        <v>0.99541263083520093</v>
      </c>
      <c r="J8060" s="4">
        <f t="shared" si="283"/>
        <v>1.105583195135434E-4</v>
      </c>
      <c r="K8060" s="5">
        <f t="shared" si="284"/>
        <v>0.89087893864024847</v>
      </c>
    </row>
    <row r="8061" spans="1:11" x14ac:dyDescent="0.25">
      <c r="A8061" t="s">
        <v>15713</v>
      </c>
      <c r="C8061" t="s">
        <v>15714</v>
      </c>
      <c r="D8061" t="s">
        <v>5</v>
      </c>
      <c r="E8061" t="s">
        <v>6</v>
      </c>
      <c r="F8061" t="s">
        <v>251</v>
      </c>
      <c r="G8061">
        <v>1</v>
      </c>
      <c r="H8061" s="2">
        <f>Tabelle13[[#This Row],[commits]]/Tabelle13[[#Totals],[commits]]</f>
        <v>4.6477904404246225E-6</v>
      </c>
      <c r="I8061" s="5">
        <f>Tabelle13[[#This Row],[%]]+I8060</f>
        <v>0.99541727862564133</v>
      </c>
      <c r="J8061" s="4">
        <f t="shared" si="283"/>
        <v>1.105583195135434E-4</v>
      </c>
      <c r="K8061" s="5">
        <f t="shared" si="284"/>
        <v>0.89098949695976204</v>
      </c>
    </row>
    <row r="8062" spans="1:11" x14ac:dyDescent="0.25">
      <c r="A8062" t="s">
        <v>15715</v>
      </c>
      <c r="C8062" t="s">
        <v>15716</v>
      </c>
      <c r="D8062" t="s">
        <v>5</v>
      </c>
      <c r="E8062" t="s">
        <v>6</v>
      </c>
      <c r="F8062" t="s">
        <v>251</v>
      </c>
      <c r="G8062">
        <v>1</v>
      </c>
      <c r="H8062" s="2">
        <f>Tabelle13[[#This Row],[commits]]/Tabelle13[[#Totals],[commits]]</f>
        <v>4.6477904404246225E-6</v>
      </c>
      <c r="I8062" s="5">
        <f>Tabelle13[[#This Row],[%]]+I8061</f>
        <v>0.99542192641608174</v>
      </c>
      <c r="J8062" s="4">
        <f t="shared" si="283"/>
        <v>1.105583195135434E-4</v>
      </c>
      <c r="K8062" s="5">
        <f t="shared" si="284"/>
        <v>0.8911000552792756</v>
      </c>
    </row>
    <row r="8063" spans="1:11" x14ac:dyDescent="0.25">
      <c r="A8063" t="s">
        <v>15717</v>
      </c>
      <c r="C8063" t="s">
        <v>15718</v>
      </c>
      <c r="D8063" t="s">
        <v>5</v>
      </c>
      <c r="E8063" t="s">
        <v>6</v>
      </c>
      <c r="F8063" t="s">
        <v>251</v>
      </c>
      <c r="G8063">
        <v>1</v>
      </c>
      <c r="H8063" s="2">
        <f>Tabelle13[[#This Row],[commits]]/Tabelle13[[#Totals],[commits]]</f>
        <v>4.6477904404246225E-6</v>
      </c>
      <c r="I8063" s="5">
        <f>Tabelle13[[#This Row],[%]]+I8062</f>
        <v>0.99542657420652214</v>
      </c>
      <c r="J8063" s="4">
        <f t="shared" si="283"/>
        <v>1.105583195135434E-4</v>
      </c>
      <c r="K8063" s="5">
        <f t="shared" si="284"/>
        <v>0.89121061359878917</v>
      </c>
    </row>
    <row r="8064" spans="1:11" x14ac:dyDescent="0.25">
      <c r="A8064" t="s">
        <v>15719</v>
      </c>
      <c r="C8064" t="s">
        <v>15720</v>
      </c>
      <c r="D8064" t="s">
        <v>5</v>
      </c>
      <c r="E8064" t="s">
        <v>6</v>
      </c>
      <c r="F8064" t="s">
        <v>251</v>
      </c>
      <c r="G8064">
        <v>1</v>
      </c>
      <c r="H8064" s="2">
        <f>Tabelle13[[#This Row],[commits]]/Tabelle13[[#Totals],[commits]]</f>
        <v>4.6477904404246225E-6</v>
      </c>
      <c r="I8064" s="5">
        <f>Tabelle13[[#This Row],[%]]+I8063</f>
        <v>0.99543122199696255</v>
      </c>
      <c r="J8064" s="4">
        <f t="shared" si="283"/>
        <v>1.105583195135434E-4</v>
      </c>
      <c r="K8064" s="5">
        <f t="shared" si="284"/>
        <v>0.89132117191830273</v>
      </c>
    </row>
    <row r="8065" spans="1:11" x14ac:dyDescent="0.25">
      <c r="A8065" t="s">
        <v>15721</v>
      </c>
      <c r="C8065" t="s">
        <v>15722</v>
      </c>
      <c r="D8065" t="s">
        <v>5</v>
      </c>
      <c r="E8065" t="s">
        <v>6</v>
      </c>
      <c r="F8065" t="s">
        <v>251</v>
      </c>
      <c r="G8065">
        <v>1</v>
      </c>
      <c r="H8065" s="2">
        <f>Tabelle13[[#This Row],[commits]]/Tabelle13[[#Totals],[commits]]</f>
        <v>4.6477904404246225E-6</v>
      </c>
      <c r="I8065" s="5">
        <f>Tabelle13[[#This Row],[%]]+I8064</f>
        <v>0.99543586978740295</v>
      </c>
      <c r="J8065" s="4">
        <f t="shared" si="283"/>
        <v>1.105583195135434E-4</v>
      </c>
      <c r="K8065" s="5">
        <f t="shared" si="284"/>
        <v>0.8914317302378163</v>
      </c>
    </row>
    <row r="8066" spans="1:11" x14ac:dyDescent="0.25">
      <c r="A8066" t="s">
        <v>15723</v>
      </c>
      <c r="C8066" t="s">
        <v>902</v>
      </c>
      <c r="D8066" t="s">
        <v>15724</v>
      </c>
      <c r="E8066" t="s">
        <v>6</v>
      </c>
      <c r="F8066" t="s">
        <v>251</v>
      </c>
      <c r="G8066">
        <v>1</v>
      </c>
      <c r="H8066" s="2">
        <f>Tabelle13[[#This Row],[commits]]/Tabelle13[[#Totals],[commits]]</f>
        <v>4.6477904404246225E-6</v>
      </c>
      <c r="I8066" s="5">
        <f>Tabelle13[[#This Row],[%]]+I8065</f>
        <v>0.99544051757784335</v>
      </c>
      <c r="J8066" s="4">
        <f t="shared" si="283"/>
        <v>1.105583195135434E-4</v>
      </c>
      <c r="K8066" s="5">
        <f t="shared" si="284"/>
        <v>0.89154228855732987</v>
      </c>
    </row>
    <row r="8067" spans="1:11" x14ac:dyDescent="0.25">
      <c r="A8067" t="s">
        <v>15725</v>
      </c>
      <c r="C8067" t="s">
        <v>15726</v>
      </c>
      <c r="D8067" t="s">
        <v>309</v>
      </c>
      <c r="E8067" t="s">
        <v>6</v>
      </c>
      <c r="F8067" t="s">
        <v>251</v>
      </c>
      <c r="G8067">
        <v>1</v>
      </c>
      <c r="H8067" s="2">
        <f>Tabelle13[[#This Row],[commits]]/Tabelle13[[#Totals],[commits]]</f>
        <v>4.6477904404246225E-6</v>
      </c>
      <c r="I8067" s="5">
        <f>Tabelle13[[#This Row],[%]]+I8066</f>
        <v>0.99544516536828376</v>
      </c>
      <c r="J8067" s="4">
        <f t="shared" ref="J8067:J8130" si="285">1/9045</f>
        <v>1.105583195135434E-4</v>
      </c>
      <c r="K8067" s="5">
        <f t="shared" si="284"/>
        <v>0.89165284687684343</v>
      </c>
    </row>
    <row r="8068" spans="1:11" x14ac:dyDescent="0.25">
      <c r="A8068" t="s">
        <v>15727</v>
      </c>
      <c r="C8068" t="s">
        <v>15728</v>
      </c>
      <c r="D8068" t="s">
        <v>5</v>
      </c>
      <c r="E8068" t="s">
        <v>6</v>
      </c>
      <c r="F8068" t="s">
        <v>251</v>
      </c>
      <c r="G8068">
        <v>1</v>
      </c>
      <c r="H8068" s="2">
        <f>Tabelle13[[#This Row],[commits]]/Tabelle13[[#Totals],[commits]]</f>
        <v>4.6477904404246225E-6</v>
      </c>
      <c r="I8068" s="5">
        <f>Tabelle13[[#This Row],[%]]+I8067</f>
        <v>0.99544981315872416</v>
      </c>
      <c r="J8068" s="4">
        <f t="shared" si="285"/>
        <v>1.105583195135434E-4</v>
      </c>
      <c r="K8068" s="5">
        <f t="shared" si="284"/>
        <v>0.891763405196357</v>
      </c>
    </row>
    <row r="8069" spans="1:11" x14ac:dyDescent="0.25">
      <c r="A8069" t="s">
        <v>15729</v>
      </c>
      <c r="C8069" t="s">
        <v>15730</v>
      </c>
      <c r="D8069" t="s">
        <v>5</v>
      </c>
      <c r="E8069" t="s">
        <v>6</v>
      </c>
      <c r="F8069" t="s">
        <v>251</v>
      </c>
      <c r="G8069">
        <v>1</v>
      </c>
      <c r="H8069" s="2">
        <f>Tabelle13[[#This Row],[commits]]/Tabelle13[[#Totals],[commits]]</f>
        <v>4.6477904404246225E-6</v>
      </c>
      <c r="I8069" s="5">
        <f>Tabelle13[[#This Row],[%]]+I8068</f>
        <v>0.99545446094916457</v>
      </c>
      <c r="J8069" s="4">
        <f t="shared" si="285"/>
        <v>1.105583195135434E-4</v>
      </c>
      <c r="K8069" s="5">
        <f t="shared" si="284"/>
        <v>0.89187396351587056</v>
      </c>
    </row>
    <row r="8070" spans="1:11" x14ac:dyDescent="0.25">
      <c r="A8070" t="s">
        <v>15731</v>
      </c>
      <c r="C8070" t="s">
        <v>15732</v>
      </c>
      <c r="D8070" t="s">
        <v>5</v>
      </c>
      <c r="E8070" t="s">
        <v>6</v>
      </c>
      <c r="F8070" t="s">
        <v>251</v>
      </c>
      <c r="G8070">
        <v>1</v>
      </c>
      <c r="H8070" s="2">
        <f>Tabelle13[[#This Row],[commits]]/Tabelle13[[#Totals],[commits]]</f>
        <v>4.6477904404246225E-6</v>
      </c>
      <c r="I8070" s="5">
        <f>Tabelle13[[#This Row],[%]]+I8069</f>
        <v>0.99545910873960497</v>
      </c>
      <c r="J8070" s="4">
        <f t="shared" si="285"/>
        <v>1.105583195135434E-4</v>
      </c>
      <c r="K8070" s="5">
        <f t="shared" ref="K8070:K8133" si="286">J8070+K8069</f>
        <v>0.89198452183538413</v>
      </c>
    </row>
    <row r="8071" spans="1:11" x14ac:dyDescent="0.25">
      <c r="A8071" t="s">
        <v>15733</v>
      </c>
      <c r="C8071" t="s">
        <v>15734</v>
      </c>
      <c r="D8071" t="s">
        <v>5</v>
      </c>
      <c r="E8071" t="s">
        <v>6</v>
      </c>
      <c r="F8071" t="s">
        <v>251</v>
      </c>
      <c r="G8071">
        <v>1</v>
      </c>
      <c r="H8071" s="2">
        <f>Tabelle13[[#This Row],[commits]]/Tabelle13[[#Totals],[commits]]</f>
        <v>4.6477904404246225E-6</v>
      </c>
      <c r="I8071" s="5">
        <f>Tabelle13[[#This Row],[%]]+I8070</f>
        <v>0.99546375653004537</v>
      </c>
      <c r="J8071" s="4">
        <f t="shared" si="285"/>
        <v>1.105583195135434E-4</v>
      </c>
      <c r="K8071" s="5">
        <f t="shared" si="286"/>
        <v>0.89209508015489769</v>
      </c>
    </row>
    <row r="8072" spans="1:11" x14ac:dyDescent="0.25">
      <c r="A8072" t="s">
        <v>15735</v>
      </c>
      <c r="C8072" t="s">
        <v>15736</v>
      </c>
      <c r="D8072" t="s">
        <v>5</v>
      </c>
      <c r="E8072" t="s">
        <v>6</v>
      </c>
      <c r="F8072" t="s">
        <v>251</v>
      </c>
      <c r="G8072">
        <v>1</v>
      </c>
      <c r="H8072" s="2">
        <f>Tabelle13[[#This Row],[commits]]/Tabelle13[[#Totals],[commits]]</f>
        <v>4.6477904404246225E-6</v>
      </c>
      <c r="I8072" s="5">
        <f>Tabelle13[[#This Row],[%]]+I8071</f>
        <v>0.99546840432048578</v>
      </c>
      <c r="J8072" s="4">
        <f t="shared" si="285"/>
        <v>1.105583195135434E-4</v>
      </c>
      <c r="K8072" s="5">
        <f t="shared" si="286"/>
        <v>0.89220563847441126</v>
      </c>
    </row>
    <row r="8073" spans="1:11" x14ac:dyDescent="0.25">
      <c r="A8073" t="s">
        <v>15737</v>
      </c>
      <c r="C8073" t="s">
        <v>15738</v>
      </c>
      <c r="D8073" t="s">
        <v>5</v>
      </c>
      <c r="E8073" t="s">
        <v>6</v>
      </c>
      <c r="F8073" t="s">
        <v>251</v>
      </c>
      <c r="G8073">
        <v>1</v>
      </c>
      <c r="H8073" s="2">
        <f>Tabelle13[[#This Row],[commits]]/Tabelle13[[#Totals],[commits]]</f>
        <v>4.6477904404246225E-6</v>
      </c>
      <c r="I8073" s="5">
        <f>Tabelle13[[#This Row],[%]]+I8072</f>
        <v>0.99547305211092618</v>
      </c>
      <c r="J8073" s="4">
        <f t="shared" si="285"/>
        <v>1.105583195135434E-4</v>
      </c>
      <c r="K8073" s="5">
        <f t="shared" si="286"/>
        <v>0.89231619679392482</v>
      </c>
    </row>
    <row r="8074" spans="1:11" x14ac:dyDescent="0.25">
      <c r="A8074" t="s">
        <v>15739</v>
      </c>
      <c r="C8074" t="s">
        <v>15740</v>
      </c>
      <c r="D8074" t="s">
        <v>5</v>
      </c>
      <c r="E8074" t="s">
        <v>6</v>
      </c>
      <c r="F8074" t="s">
        <v>251</v>
      </c>
      <c r="G8074">
        <v>1</v>
      </c>
      <c r="H8074" s="2">
        <f>Tabelle13[[#This Row],[commits]]/Tabelle13[[#Totals],[commits]]</f>
        <v>4.6477904404246225E-6</v>
      </c>
      <c r="I8074" s="5">
        <f>Tabelle13[[#This Row],[%]]+I8073</f>
        <v>0.99547769990136659</v>
      </c>
      <c r="J8074" s="4">
        <f t="shared" si="285"/>
        <v>1.105583195135434E-4</v>
      </c>
      <c r="K8074" s="5">
        <f t="shared" si="286"/>
        <v>0.89242675511343839</v>
      </c>
    </row>
    <row r="8075" spans="1:11" x14ac:dyDescent="0.25">
      <c r="A8075" t="s">
        <v>15741</v>
      </c>
      <c r="C8075" t="s">
        <v>15742</v>
      </c>
      <c r="D8075" t="s">
        <v>5</v>
      </c>
      <c r="E8075" t="s">
        <v>6</v>
      </c>
      <c r="F8075" t="s">
        <v>251</v>
      </c>
      <c r="G8075">
        <v>1</v>
      </c>
      <c r="H8075" s="2">
        <f>Tabelle13[[#This Row],[commits]]/Tabelle13[[#Totals],[commits]]</f>
        <v>4.6477904404246225E-6</v>
      </c>
      <c r="I8075" s="5">
        <f>Tabelle13[[#This Row],[%]]+I8074</f>
        <v>0.99548234769180699</v>
      </c>
      <c r="J8075" s="4">
        <f t="shared" si="285"/>
        <v>1.105583195135434E-4</v>
      </c>
      <c r="K8075" s="5">
        <f t="shared" si="286"/>
        <v>0.89253731343295195</v>
      </c>
    </row>
    <row r="8076" spans="1:11" x14ac:dyDescent="0.25">
      <c r="A8076" t="s">
        <v>15743</v>
      </c>
      <c r="C8076" t="s">
        <v>15744</v>
      </c>
      <c r="D8076" t="s">
        <v>5</v>
      </c>
      <c r="E8076" t="s">
        <v>6</v>
      </c>
      <c r="F8076" t="s">
        <v>251</v>
      </c>
      <c r="G8076">
        <v>1</v>
      </c>
      <c r="H8076" s="2">
        <f>Tabelle13[[#This Row],[commits]]/Tabelle13[[#Totals],[commits]]</f>
        <v>4.6477904404246225E-6</v>
      </c>
      <c r="I8076" s="5">
        <f>Tabelle13[[#This Row],[%]]+I8075</f>
        <v>0.99548699548224739</v>
      </c>
      <c r="J8076" s="4">
        <f t="shared" si="285"/>
        <v>1.105583195135434E-4</v>
      </c>
      <c r="K8076" s="5">
        <f t="shared" si="286"/>
        <v>0.89264787175246552</v>
      </c>
    </row>
    <row r="8077" spans="1:11" x14ac:dyDescent="0.25">
      <c r="A8077" t="s">
        <v>15745</v>
      </c>
      <c r="C8077" t="s">
        <v>15746</v>
      </c>
      <c r="D8077" t="s">
        <v>8760</v>
      </c>
      <c r="E8077" t="s">
        <v>6</v>
      </c>
      <c r="F8077" t="s">
        <v>251</v>
      </c>
      <c r="G8077">
        <v>1</v>
      </c>
      <c r="H8077" s="2">
        <f>Tabelle13[[#This Row],[commits]]/Tabelle13[[#Totals],[commits]]</f>
        <v>4.6477904404246225E-6</v>
      </c>
      <c r="I8077" s="5">
        <f>Tabelle13[[#This Row],[%]]+I8076</f>
        <v>0.9954916432726878</v>
      </c>
      <c r="J8077" s="4">
        <f t="shared" si="285"/>
        <v>1.105583195135434E-4</v>
      </c>
      <c r="K8077" s="5">
        <f t="shared" si="286"/>
        <v>0.89275843007197908</v>
      </c>
    </row>
    <row r="8078" spans="1:11" x14ac:dyDescent="0.25">
      <c r="A8078" t="s">
        <v>15747</v>
      </c>
      <c r="C8078" t="s">
        <v>15748</v>
      </c>
      <c r="D8078" t="s">
        <v>5</v>
      </c>
      <c r="E8078" t="s">
        <v>6</v>
      </c>
      <c r="F8078" t="s">
        <v>334</v>
      </c>
      <c r="G8078">
        <v>1</v>
      </c>
      <c r="H8078" s="2">
        <f>Tabelle13[[#This Row],[commits]]/Tabelle13[[#Totals],[commits]]</f>
        <v>4.6477904404246225E-6</v>
      </c>
      <c r="I8078" s="5">
        <f>Tabelle13[[#This Row],[%]]+I8077</f>
        <v>0.9954962910631282</v>
      </c>
      <c r="J8078" s="4">
        <f t="shared" si="285"/>
        <v>1.105583195135434E-4</v>
      </c>
      <c r="K8078" s="5">
        <f t="shared" si="286"/>
        <v>0.89286898839149265</v>
      </c>
    </row>
    <row r="8079" spans="1:11" x14ac:dyDescent="0.25">
      <c r="A8079" t="s">
        <v>15749</v>
      </c>
      <c r="C8079" t="s">
        <v>15750</v>
      </c>
      <c r="D8079" t="s">
        <v>5</v>
      </c>
      <c r="E8079" t="s">
        <v>6</v>
      </c>
      <c r="F8079" t="s">
        <v>251</v>
      </c>
      <c r="G8079">
        <v>1</v>
      </c>
      <c r="H8079" s="2">
        <f>Tabelle13[[#This Row],[commits]]/Tabelle13[[#Totals],[commits]]</f>
        <v>4.6477904404246225E-6</v>
      </c>
      <c r="I8079" s="5">
        <f>Tabelle13[[#This Row],[%]]+I8078</f>
        <v>0.99550093885356861</v>
      </c>
      <c r="J8079" s="4">
        <f t="shared" si="285"/>
        <v>1.105583195135434E-4</v>
      </c>
      <c r="K8079" s="5">
        <f t="shared" si="286"/>
        <v>0.89297954671100621</v>
      </c>
    </row>
    <row r="8080" spans="1:11" x14ac:dyDescent="0.25">
      <c r="A8080" t="s">
        <v>15751</v>
      </c>
      <c r="C8080" t="s">
        <v>26</v>
      </c>
      <c r="D8080" t="s">
        <v>5</v>
      </c>
      <c r="E8080" t="s">
        <v>6</v>
      </c>
      <c r="F8080" t="s">
        <v>251</v>
      </c>
      <c r="G8080">
        <v>1</v>
      </c>
      <c r="H8080" s="2">
        <f>Tabelle13[[#This Row],[commits]]/Tabelle13[[#Totals],[commits]]</f>
        <v>4.6477904404246225E-6</v>
      </c>
      <c r="I8080" s="5">
        <f>Tabelle13[[#This Row],[%]]+I8079</f>
        <v>0.99550558664400901</v>
      </c>
      <c r="J8080" s="4">
        <f t="shared" si="285"/>
        <v>1.105583195135434E-4</v>
      </c>
      <c r="K8080" s="5">
        <f t="shared" si="286"/>
        <v>0.89309010503051978</v>
      </c>
    </row>
    <row r="8081" spans="1:11" x14ac:dyDescent="0.25">
      <c r="A8081" t="s">
        <v>15752</v>
      </c>
      <c r="C8081" t="s">
        <v>15753</v>
      </c>
      <c r="D8081" t="s">
        <v>5</v>
      </c>
      <c r="E8081" t="s">
        <v>6</v>
      </c>
      <c r="F8081" t="s">
        <v>251</v>
      </c>
      <c r="G8081">
        <v>1</v>
      </c>
      <c r="H8081" s="2">
        <f>Tabelle13[[#This Row],[commits]]/Tabelle13[[#Totals],[commits]]</f>
        <v>4.6477904404246225E-6</v>
      </c>
      <c r="I8081" s="5">
        <f>Tabelle13[[#This Row],[%]]+I8080</f>
        <v>0.99551023443444941</v>
      </c>
      <c r="J8081" s="4">
        <f t="shared" si="285"/>
        <v>1.105583195135434E-4</v>
      </c>
      <c r="K8081" s="5">
        <f t="shared" si="286"/>
        <v>0.89320066335003334</v>
      </c>
    </row>
    <row r="8082" spans="1:11" x14ac:dyDescent="0.25">
      <c r="A8082" t="s">
        <v>15754</v>
      </c>
      <c r="C8082" t="s">
        <v>15755</v>
      </c>
      <c r="D8082" t="s">
        <v>5</v>
      </c>
      <c r="E8082" t="s">
        <v>6</v>
      </c>
      <c r="F8082" t="s">
        <v>251</v>
      </c>
      <c r="G8082">
        <v>1</v>
      </c>
      <c r="H8082" s="2">
        <f>Tabelle13[[#This Row],[commits]]/Tabelle13[[#Totals],[commits]]</f>
        <v>4.6477904404246225E-6</v>
      </c>
      <c r="I8082" s="5">
        <f>Tabelle13[[#This Row],[%]]+I8081</f>
        <v>0.99551488222488982</v>
      </c>
      <c r="J8082" s="4">
        <f t="shared" si="285"/>
        <v>1.105583195135434E-4</v>
      </c>
      <c r="K8082" s="5">
        <f t="shared" si="286"/>
        <v>0.89331122166954691</v>
      </c>
    </row>
    <row r="8083" spans="1:11" x14ac:dyDescent="0.25">
      <c r="A8083" t="s">
        <v>15756</v>
      </c>
      <c r="C8083" t="s">
        <v>15757</v>
      </c>
      <c r="D8083" t="s">
        <v>5</v>
      </c>
      <c r="E8083" t="s">
        <v>6</v>
      </c>
      <c r="F8083" t="s">
        <v>251</v>
      </c>
      <c r="G8083">
        <v>1</v>
      </c>
      <c r="H8083" s="2">
        <f>Tabelle13[[#This Row],[commits]]/Tabelle13[[#Totals],[commits]]</f>
        <v>4.6477904404246225E-6</v>
      </c>
      <c r="I8083" s="5">
        <f>Tabelle13[[#This Row],[%]]+I8082</f>
        <v>0.99551953001533022</v>
      </c>
      <c r="J8083" s="4">
        <f t="shared" si="285"/>
        <v>1.105583195135434E-4</v>
      </c>
      <c r="K8083" s="5">
        <f t="shared" si="286"/>
        <v>0.89342177998906047</v>
      </c>
    </row>
    <row r="8084" spans="1:11" x14ac:dyDescent="0.25">
      <c r="A8084" t="s">
        <v>15758</v>
      </c>
      <c r="C8084" t="s">
        <v>15759</v>
      </c>
      <c r="D8084" t="s">
        <v>5</v>
      </c>
      <c r="E8084" t="s">
        <v>6</v>
      </c>
      <c r="F8084" t="s">
        <v>251</v>
      </c>
      <c r="G8084">
        <v>1</v>
      </c>
      <c r="H8084" s="2">
        <f>Tabelle13[[#This Row],[commits]]/Tabelle13[[#Totals],[commits]]</f>
        <v>4.6477904404246225E-6</v>
      </c>
      <c r="I8084" s="5">
        <f>Tabelle13[[#This Row],[%]]+I8083</f>
        <v>0.99552417780577063</v>
      </c>
      <c r="J8084" s="4">
        <f t="shared" si="285"/>
        <v>1.105583195135434E-4</v>
      </c>
      <c r="K8084" s="5">
        <f t="shared" si="286"/>
        <v>0.89353233830857404</v>
      </c>
    </row>
    <row r="8085" spans="1:11" x14ac:dyDescent="0.25">
      <c r="A8085" t="s">
        <v>15760</v>
      </c>
      <c r="C8085" t="s">
        <v>15761</v>
      </c>
      <c r="D8085" t="s">
        <v>5</v>
      </c>
      <c r="E8085" t="s">
        <v>6</v>
      </c>
      <c r="F8085" t="s">
        <v>251</v>
      </c>
      <c r="G8085">
        <v>1</v>
      </c>
      <c r="H8085" s="2">
        <f>Tabelle13[[#This Row],[commits]]/Tabelle13[[#Totals],[commits]]</f>
        <v>4.6477904404246225E-6</v>
      </c>
      <c r="I8085" s="5">
        <f>Tabelle13[[#This Row],[%]]+I8084</f>
        <v>0.99552882559621103</v>
      </c>
      <c r="J8085" s="4">
        <f t="shared" si="285"/>
        <v>1.105583195135434E-4</v>
      </c>
      <c r="K8085" s="5">
        <f t="shared" si="286"/>
        <v>0.8936428966280876</v>
      </c>
    </row>
    <row r="8086" spans="1:11" x14ac:dyDescent="0.25">
      <c r="A8086" t="s">
        <v>15762</v>
      </c>
      <c r="C8086" t="s">
        <v>15763</v>
      </c>
      <c r="D8086" t="s">
        <v>5</v>
      </c>
      <c r="E8086" t="s">
        <v>6</v>
      </c>
      <c r="F8086" t="s">
        <v>251</v>
      </c>
      <c r="G8086">
        <v>1</v>
      </c>
      <c r="H8086" s="2">
        <f>Tabelle13[[#This Row],[commits]]/Tabelle13[[#Totals],[commits]]</f>
        <v>4.6477904404246225E-6</v>
      </c>
      <c r="I8086" s="5">
        <f>Tabelle13[[#This Row],[%]]+I8085</f>
        <v>0.99553347338665144</v>
      </c>
      <c r="J8086" s="4">
        <f t="shared" si="285"/>
        <v>1.105583195135434E-4</v>
      </c>
      <c r="K8086" s="5">
        <f t="shared" si="286"/>
        <v>0.89375345494760117</v>
      </c>
    </row>
    <row r="8087" spans="1:11" x14ac:dyDescent="0.25">
      <c r="A8087" t="s">
        <v>15764</v>
      </c>
      <c r="C8087" t="s">
        <v>15765</v>
      </c>
      <c r="D8087" t="s">
        <v>5</v>
      </c>
      <c r="E8087" t="s">
        <v>6</v>
      </c>
      <c r="F8087" t="s">
        <v>251</v>
      </c>
      <c r="G8087">
        <v>1</v>
      </c>
      <c r="H8087" s="2">
        <f>Tabelle13[[#This Row],[commits]]/Tabelle13[[#Totals],[commits]]</f>
        <v>4.6477904404246225E-6</v>
      </c>
      <c r="I8087" s="5">
        <f>Tabelle13[[#This Row],[%]]+I8086</f>
        <v>0.99553812117709184</v>
      </c>
      <c r="J8087" s="4">
        <f t="shared" si="285"/>
        <v>1.105583195135434E-4</v>
      </c>
      <c r="K8087" s="5">
        <f t="shared" si="286"/>
        <v>0.89386401326711473</v>
      </c>
    </row>
    <row r="8088" spans="1:11" x14ac:dyDescent="0.25">
      <c r="A8088" t="s">
        <v>15766</v>
      </c>
      <c r="C8088" t="s">
        <v>15767</v>
      </c>
      <c r="D8088" t="s">
        <v>15768</v>
      </c>
      <c r="E8088" t="s">
        <v>6</v>
      </c>
      <c r="F8088" t="s">
        <v>251</v>
      </c>
      <c r="G8088">
        <v>1</v>
      </c>
      <c r="H8088" s="2">
        <f>Tabelle13[[#This Row],[commits]]/Tabelle13[[#Totals],[commits]]</f>
        <v>4.6477904404246225E-6</v>
      </c>
      <c r="I8088" s="5">
        <f>Tabelle13[[#This Row],[%]]+I8087</f>
        <v>0.99554276896753224</v>
      </c>
      <c r="J8088" s="4">
        <f t="shared" si="285"/>
        <v>1.105583195135434E-4</v>
      </c>
      <c r="K8088" s="5">
        <f t="shared" si="286"/>
        <v>0.8939745715866283</v>
      </c>
    </row>
    <row r="8089" spans="1:11" x14ac:dyDescent="0.25">
      <c r="A8089" t="s">
        <v>15769</v>
      </c>
      <c r="C8089" t="s">
        <v>15770</v>
      </c>
      <c r="D8089" t="s">
        <v>5</v>
      </c>
      <c r="E8089" t="s">
        <v>6</v>
      </c>
      <c r="F8089" t="s">
        <v>251</v>
      </c>
      <c r="G8089">
        <v>1</v>
      </c>
      <c r="H8089" s="2">
        <f>Tabelle13[[#This Row],[commits]]/Tabelle13[[#Totals],[commits]]</f>
        <v>4.6477904404246225E-6</v>
      </c>
      <c r="I8089" s="5">
        <f>Tabelle13[[#This Row],[%]]+I8088</f>
        <v>0.99554741675797265</v>
      </c>
      <c r="J8089" s="4">
        <f t="shared" si="285"/>
        <v>1.105583195135434E-4</v>
      </c>
      <c r="K8089" s="5">
        <f t="shared" si="286"/>
        <v>0.89408512990614186</v>
      </c>
    </row>
    <row r="8090" spans="1:11" x14ac:dyDescent="0.25">
      <c r="A8090" t="s">
        <v>15771</v>
      </c>
      <c r="C8090" t="s">
        <v>15772</v>
      </c>
      <c r="D8090" t="s">
        <v>5</v>
      </c>
      <c r="E8090" t="s">
        <v>6</v>
      </c>
      <c r="F8090" t="s">
        <v>251</v>
      </c>
      <c r="G8090">
        <v>1</v>
      </c>
      <c r="H8090" s="2">
        <f>Tabelle13[[#This Row],[commits]]/Tabelle13[[#Totals],[commits]]</f>
        <v>4.6477904404246225E-6</v>
      </c>
      <c r="I8090" s="5">
        <f>Tabelle13[[#This Row],[%]]+I8089</f>
        <v>0.99555206454841305</v>
      </c>
      <c r="J8090" s="4">
        <f t="shared" si="285"/>
        <v>1.105583195135434E-4</v>
      </c>
      <c r="K8090" s="5">
        <f t="shared" si="286"/>
        <v>0.89419568822565543</v>
      </c>
    </row>
    <row r="8091" spans="1:11" x14ac:dyDescent="0.25">
      <c r="A8091" t="s">
        <v>15773</v>
      </c>
      <c r="C8091" t="s">
        <v>15774</v>
      </c>
      <c r="D8091" t="s">
        <v>11240</v>
      </c>
      <c r="E8091" t="s">
        <v>6</v>
      </c>
      <c r="F8091" t="s">
        <v>251</v>
      </c>
      <c r="G8091">
        <v>1</v>
      </c>
      <c r="H8091" s="2">
        <f>Tabelle13[[#This Row],[commits]]/Tabelle13[[#Totals],[commits]]</f>
        <v>4.6477904404246225E-6</v>
      </c>
      <c r="I8091" s="5">
        <f>Tabelle13[[#This Row],[%]]+I8090</f>
        <v>0.99555671233885346</v>
      </c>
      <c r="J8091" s="4">
        <f t="shared" si="285"/>
        <v>1.105583195135434E-4</v>
      </c>
      <c r="K8091" s="5">
        <f t="shared" si="286"/>
        <v>0.89430624654516899</v>
      </c>
    </row>
    <row r="8092" spans="1:11" x14ac:dyDescent="0.25">
      <c r="A8092" t="s">
        <v>15775</v>
      </c>
      <c r="C8092" t="s">
        <v>15776</v>
      </c>
      <c r="D8092" t="s">
        <v>5</v>
      </c>
      <c r="E8092" t="s">
        <v>6</v>
      </c>
      <c r="F8092" t="s">
        <v>251</v>
      </c>
      <c r="G8092">
        <v>1</v>
      </c>
      <c r="H8092" s="2">
        <f>Tabelle13[[#This Row],[commits]]/Tabelle13[[#Totals],[commits]]</f>
        <v>4.6477904404246225E-6</v>
      </c>
      <c r="I8092" s="5">
        <f>Tabelle13[[#This Row],[%]]+I8091</f>
        <v>0.99556136012929386</v>
      </c>
      <c r="J8092" s="4">
        <f t="shared" si="285"/>
        <v>1.105583195135434E-4</v>
      </c>
      <c r="K8092" s="5">
        <f t="shared" si="286"/>
        <v>0.89441680486468256</v>
      </c>
    </row>
    <row r="8093" spans="1:11" x14ac:dyDescent="0.25">
      <c r="A8093" t="s">
        <v>15777</v>
      </c>
      <c r="C8093" t="s">
        <v>15778</v>
      </c>
      <c r="D8093" t="s">
        <v>5</v>
      </c>
      <c r="E8093" t="s">
        <v>6</v>
      </c>
      <c r="F8093" t="s">
        <v>251</v>
      </c>
      <c r="G8093">
        <v>1</v>
      </c>
      <c r="H8093" s="2">
        <f>Tabelle13[[#This Row],[commits]]/Tabelle13[[#Totals],[commits]]</f>
        <v>4.6477904404246225E-6</v>
      </c>
      <c r="I8093" s="5">
        <f>Tabelle13[[#This Row],[%]]+I8092</f>
        <v>0.99556600791973426</v>
      </c>
      <c r="J8093" s="4">
        <f t="shared" si="285"/>
        <v>1.105583195135434E-4</v>
      </c>
      <c r="K8093" s="5">
        <f t="shared" si="286"/>
        <v>0.89452736318419612</v>
      </c>
    </row>
    <row r="8094" spans="1:11" x14ac:dyDescent="0.25">
      <c r="A8094" t="s">
        <v>15779</v>
      </c>
      <c r="C8094" t="s">
        <v>15780</v>
      </c>
      <c r="D8094" t="s">
        <v>8874</v>
      </c>
      <c r="E8094" t="s">
        <v>6</v>
      </c>
      <c r="F8094" t="s">
        <v>251</v>
      </c>
      <c r="G8094">
        <v>1</v>
      </c>
      <c r="H8094" s="2">
        <f>Tabelle13[[#This Row],[commits]]/Tabelle13[[#Totals],[commits]]</f>
        <v>4.6477904404246225E-6</v>
      </c>
      <c r="I8094" s="5">
        <f>Tabelle13[[#This Row],[%]]+I8093</f>
        <v>0.99557065571017467</v>
      </c>
      <c r="J8094" s="4">
        <f t="shared" si="285"/>
        <v>1.105583195135434E-4</v>
      </c>
      <c r="K8094" s="5">
        <f t="shared" si="286"/>
        <v>0.89463792150370969</v>
      </c>
    </row>
    <row r="8095" spans="1:11" x14ac:dyDescent="0.25">
      <c r="A8095" t="s">
        <v>15781</v>
      </c>
      <c r="C8095" t="s">
        <v>15782</v>
      </c>
      <c r="D8095" t="s">
        <v>5</v>
      </c>
      <c r="E8095" t="s">
        <v>6</v>
      </c>
      <c r="F8095" t="s">
        <v>251</v>
      </c>
      <c r="G8095">
        <v>1</v>
      </c>
      <c r="H8095" s="2">
        <f>Tabelle13[[#This Row],[commits]]/Tabelle13[[#Totals],[commits]]</f>
        <v>4.6477904404246225E-6</v>
      </c>
      <c r="I8095" s="5">
        <f>Tabelle13[[#This Row],[%]]+I8094</f>
        <v>0.99557530350061507</v>
      </c>
      <c r="J8095" s="4">
        <f t="shared" si="285"/>
        <v>1.105583195135434E-4</v>
      </c>
      <c r="K8095" s="5">
        <f t="shared" si="286"/>
        <v>0.89474847982322325</v>
      </c>
    </row>
    <row r="8096" spans="1:11" x14ac:dyDescent="0.25">
      <c r="A8096" t="s">
        <v>15783</v>
      </c>
      <c r="C8096" t="s">
        <v>15784</v>
      </c>
      <c r="D8096" t="s">
        <v>5</v>
      </c>
      <c r="E8096" t="s">
        <v>6</v>
      </c>
      <c r="F8096" t="s">
        <v>251</v>
      </c>
      <c r="G8096">
        <v>1</v>
      </c>
      <c r="H8096" s="2">
        <f>Tabelle13[[#This Row],[commits]]/Tabelle13[[#Totals],[commits]]</f>
        <v>4.6477904404246225E-6</v>
      </c>
      <c r="I8096" s="5">
        <f>Tabelle13[[#This Row],[%]]+I8095</f>
        <v>0.99557995129105548</v>
      </c>
      <c r="J8096" s="4">
        <f t="shared" si="285"/>
        <v>1.105583195135434E-4</v>
      </c>
      <c r="K8096" s="5">
        <f t="shared" si="286"/>
        <v>0.89485903814273682</v>
      </c>
    </row>
    <row r="8097" spans="1:11" x14ac:dyDescent="0.25">
      <c r="A8097" t="s">
        <v>15785</v>
      </c>
      <c r="C8097" t="s">
        <v>15786</v>
      </c>
      <c r="D8097" t="s">
        <v>5</v>
      </c>
      <c r="E8097" t="s">
        <v>6</v>
      </c>
      <c r="F8097" t="s">
        <v>251</v>
      </c>
      <c r="G8097">
        <v>1</v>
      </c>
      <c r="H8097" s="2">
        <f>Tabelle13[[#This Row],[commits]]/Tabelle13[[#Totals],[commits]]</f>
        <v>4.6477904404246225E-6</v>
      </c>
      <c r="I8097" s="5">
        <f>Tabelle13[[#This Row],[%]]+I8096</f>
        <v>0.99558459908149588</v>
      </c>
      <c r="J8097" s="4">
        <f t="shared" si="285"/>
        <v>1.105583195135434E-4</v>
      </c>
      <c r="K8097" s="5">
        <f t="shared" si="286"/>
        <v>0.89496959646225038</v>
      </c>
    </row>
    <row r="8098" spans="1:11" x14ac:dyDescent="0.25">
      <c r="A8098" t="s">
        <v>15787</v>
      </c>
      <c r="C8098" t="s">
        <v>15788</v>
      </c>
      <c r="D8098" t="s">
        <v>5</v>
      </c>
      <c r="E8098" t="s">
        <v>6</v>
      </c>
      <c r="F8098" t="s">
        <v>251</v>
      </c>
      <c r="G8098">
        <v>1</v>
      </c>
      <c r="H8098" s="2">
        <f>Tabelle13[[#This Row],[commits]]/Tabelle13[[#Totals],[commits]]</f>
        <v>4.6477904404246225E-6</v>
      </c>
      <c r="I8098" s="5">
        <f>Tabelle13[[#This Row],[%]]+I8097</f>
        <v>0.99558924687193628</v>
      </c>
      <c r="J8098" s="4">
        <f t="shared" si="285"/>
        <v>1.105583195135434E-4</v>
      </c>
      <c r="K8098" s="5">
        <f t="shared" si="286"/>
        <v>0.89508015478176395</v>
      </c>
    </row>
    <row r="8099" spans="1:11" x14ac:dyDescent="0.25">
      <c r="A8099" t="s">
        <v>15789</v>
      </c>
      <c r="C8099" t="s">
        <v>15790</v>
      </c>
      <c r="D8099" t="s">
        <v>5</v>
      </c>
      <c r="E8099" t="s">
        <v>6</v>
      </c>
      <c r="F8099" t="s">
        <v>251</v>
      </c>
      <c r="G8099">
        <v>1</v>
      </c>
      <c r="H8099" s="2">
        <f>Tabelle13[[#This Row],[commits]]/Tabelle13[[#Totals],[commits]]</f>
        <v>4.6477904404246225E-6</v>
      </c>
      <c r="I8099" s="5">
        <f>Tabelle13[[#This Row],[%]]+I8098</f>
        <v>0.99559389466237669</v>
      </c>
      <c r="J8099" s="4">
        <f t="shared" si="285"/>
        <v>1.105583195135434E-4</v>
      </c>
      <c r="K8099" s="5">
        <f t="shared" si="286"/>
        <v>0.89519071310127751</v>
      </c>
    </row>
    <row r="8100" spans="1:11" x14ac:dyDescent="0.25">
      <c r="A8100" t="s">
        <v>15791</v>
      </c>
      <c r="C8100" t="s">
        <v>15792</v>
      </c>
      <c r="D8100" t="s">
        <v>15793</v>
      </c>
      <c r="E8100" t="s">
        <v>6</v>
      </c>
      <c r="F8100" t="s">
        <v>251</v>
      </c>
      <c r="G8100">
        <v>1</v>
      </c>
      <c r="H8100" s="2">
        <f>Tabelle13[[#This Row],[commits]]/Tabelle13[[#Totals],[commits]]</f>
        <v>4.6477904404246225E-6</v>
      </c>
      <c r="I8100" s="5">
        <f>Tabelle13[[#This Row],[%]]+I8099</f>
        <v>0.99559854245281709</v>
      </c>
      <c r="J8100" s="4">
        <f t="shared" si="285"/>
        <v>1.105583195135434E-4</v>
      </c>
      <c r="K8100" s="5">
        <f t="shared" si="286"/>
        <v>0.89530127142079108</v>
      </c>
    </row>
    <row r="8101" spans="1:11" x14ac:dyDescent="0.25">
      <c r="A8101" t="s">
        <v>15794</v>
      </c>
      <c r="C8101" t="s">
        <v>15795</v>
      </c>
      <c r="D8101" t="s">
        <v>5</v>
      </c>
      <c r="E8101" t="s">
        <v>6</v>
      </c>
      <c r="F8101" t="s">
        <v>251</v>
      </c>
      <c r="G8101">
        <v>1</v>
      </c>
      <c r="H8101" s="2">
        <f>Tabelle13[[#This Row],[commits]]/Tabelle13[[#Totals],[commits]]</f>
        <v>4.6477904404246225E-6</v>
      </c>
      <c r="I8101" s="5">
        <f>Tabelle13[[#This Row],[%]]+I8100</f>
        <v>0.9956031902432575</v>
      </c>
      <c r="J8101" s="4">
        <f t="shared" si="285"/>
        <v>1.105583195135434E-4</v>
      </c>
      <c r="K8101" s="5">
        <f t="shared" si="286"/>
        <v>0.89541182974030464</v>
      </c>
    </row>
    <row r="8102" spans="1:11" x14ac:dyDescent="0.25">
      <c r="A8102" t="s">
        <v>15796</v>
      </c>
      <c r="C8102" t="s">
        <v>12308</v>
      </c>
      <c r="D8102" t="s">
        <v>13693</v>
      </c>
      <c r="E8102" t="s">
        <v>6</v>
      </c>
      <c r="F8102" t="s">
        <v>251</v>
      </c>
      <c r="G8102">
        <v>1</v>
      </c>
      <c r="H8102" s="2">
        <f>Tabelle13[[#This Row],[commits]]/Tabelle13[[#Totals],[commits]]</f>
        <v>4.6477904404246225E-6</v>
      </c>
      <c r="I8102" s="5">
        <f>Tabelle13[[#This Row],[%]]+I8101</f>
        <v>0.9956078380336979</v>
      </c>
      <c r="J8102" s="4">
        <f t="shared" si="285"/>
        <v>1.105583195135434E-4</v>
      </c>
      <c r="K8102" s="5">
        <f t="shared" si="286"/>
        <v>0.89552238805981821</v>
      </c>
    </row>
    <row r="8103" spans="1:11" x14ac:dyDescent="0.25">
      <c r="A8103" t="s">
        <v>15797</v>
      </c>
      <c r="C8103" t="s">
        <v>15798</v>
      </c>
      <c r="D8103" t="s">
        <v>5</v>
      </c>
      <c r="E8103" t="s">
        <v>6</v>
      </c>
      <c r="F8103" t="s">
        <v>251</v>
      </c>
      <c r="G8103">
        <v>1</v>
      </c>
      <c r="H8103" s="2">
        <f>Tabelle13[[#This Row],[commits]]/Tabelle13[[#Totals],[commits]]</f>
        <v>4.6477904404246225E-6</v>
      </c>
      <c r="I8103" s="5">
        <f>Tabelle13[[#This Row],[%]]+I8102</f>
        <v>0.9956124858241383</v>
      </c>
      <c r="J8103" s="4">
        <f t="shared" si="285"/>
        <v>1.105583195135434E-4</v>
      </c>
      <c r="K8103" s="5">
        <f t="shared" si="286"/>
        <v>0.89563294637933177</v>
      </c>
    </row>
    <row r="8104" spans="1:11" x14ac:dyDescent="0.25">
      <c r="A8104" t="s">
        <v>15799</v>
      </c>
      <c r="C8104" t="s">
        <v>15800</v>
      </c>
      <c r="D8104" t="s">
        <v>5</v>
      </c>
      <c r="E8104" t="s">
        <v>6</v>
      </c>
      <c r="F8104" t="s">
        <v>251</v>
      </c>
      <c r="G8104">
        <v>1</v>
      </c>
      <c r="H8104" s="2">
        <f>Tabelle13[[#This Row],[commits]]/Tabelle13[[#Totals],[commits]]</f>
        <v>4.6477904404246225E-6</v>
      </c>
      <c r="I8104" s="5">
        <f>Tabelle13[[#This Row],[%]]+I8103</f>
        <v>0.99561713361457871</v>
      </c>
      <c r="J8104" s="4">
        <f t="shared" si="285"/>
        <v>1.105583195135434E-4</v>
      </c>
      <c r="K8104" s="5">
        <f t="shared" si="286"/>
        <v>0.89574350469884534</v>
      </c>
    </row>
    <row r="8105" spans="1:11" x14ac:dyDescent="0.25">
      <c r="A8105" t="s">
        <v>15801</v>
      </c>
      <c r="C8105" t="s">
        <v>15802</v>
      </c>
      <c r="D8105" t="s">
        <v>15803</v>
      </c>
      <c r="E8105" t="s">
        <v>6</v>
      </c>
      <c r="F8105" t="s">
        <v>251</v>
      </c>
      <c r="G8105">
        <v>1</v>
      </c>
      <c r="H8105" s="2">
        <f>Tabelle13[[#This Row],[commits]]/Tabelle13[[#Totals],[commits]]</f>
        <v>4.6477904404246225E-6</v>
      </c>
      <c r="I8105" s="5">
        <f>Tabelle13[[#This Row],[%]]+I8104</f>
        <v>0.99562178140501911</v>
      </c>
      <c r="J8105" s="4">
        <f t="shared" si="285"/>
        <v>1.105583195135434E-4</v>
      </c>
      <c r="K8105" s="5">
        <f t="shared" si="286"/>
        <v>0.8958540630183589</v>
      </c>
    </row>
    <row r="8106" spans="1:11" x14ac:dyDescent="0.25">
      <c r="A8106" t="s">
        <v>15804</v>
      </c>
      <c r="C8106" t="s">
        <v>15805</v>
      </c>
      <c r="D8106" t="s">
        <v>5</v>
      </c>
      <c r="E8106" t="s">
        <v>6</v>
      </c>
      <c r="F8106" t="s">
        <v>251</v>
      </c>
      <c r="G8106">
        <v>1</v>
      </c>
      <c r="H8106" s="2">
        <f>Tabelle13[[#This Row],[commits]]/Tabelle13[[#Totals],[commits]]</f>
        <v>4.6477904404246225E-6</v>
      </c>
      <c r="I8106" s="5">
        <f>Tabelle13[[#This Row],[%]]+I8105</f>
        <v>0.99562642919545952</v>
      </c>
      <c r="J8106" s="4">
        <f t="shared" si="285"/>
        <v>1.105583195135434E-4</v>
      </c>
      <c r="K8106" s="5">
        <f t="shared" si="286"/>
        <v>0.89596462133787247</v>
      </c>
    </row>
    <row r="8107" spans="1:11" x14ac:dyDescent="0.25">
      <c r="A8107" t="s">
        <v>15806</v>
      </c>
      <c r="C8107" t="s">
        <v>15807</v>
      </c>
      <c r="D8107" t="s">
        <v>5</v>
      </c>
      <c r="E8107" t="s">
        <v>6</v>
      </c>
      <c r="F8107" t="s">
        <v>251</v>
      </c>
      <c r="G8107">
        <v>1</v>
      </c>
      <c r="H8107" s="2">
        <f>Tabelle13[[#This Row],[commits]]/Tabelle13[[#Totals],[commits]]</f>
        <v>4.6477904404246225E-6</v>
      </c>
      <c r="I8107" s="5">
        <f>Tabelle13[[#This Row],[%]]+I8106</f>
        <v>0.99563107698589992</v>
      </c>
      <c r="J8107" s="4">
        <f t="shared" si="285"/>
        <v>1.105583195135434E-4</v>
      </c>
      <c r="K8107" s="5">
        <f t="shared" si="286"/>
        <v>0.89607517965738603</v>
      </c>
    </row>
    <row r="8108" spans="1:11" x14ac:dyDescent="0.25">
      <c r="A8108" t="s">
        <v>15808</v>
      </c>
      <c r="C8108" t="s">
        <v>15809</v>
      </c>
      <c r="D8108" t="s">
        <v>5</v>
      </c>
      <c r="E8108" t="s">
        <v>6</v>
      </c>
      <c r="F8108" t="s">
        <v>251</v>
      </c>
      <c r="G8108">
        <v>1</v>
      </c>
      <c r="H8108" s="2">
        <f>Tabelle13[[#This Row],[commits]]/Tabelle13[[#Totals],[commits]]</f>
        <v>4.6477904404246225E-6</v>
      </c>
      <c r="I8108" s="5">
        <f>Tabelle13[[#This Row],[%]]+I8107</f>
        <v>0.99563572477634033</v>
      </c>
      <c r="J8108" s="4">
        <f t="shared" si="285"/>
        <v>1.105583195135434E-4</v>
      </c>
      <c r="K8108" s="5">
        <f t="shared" si="286"/>
        <v>0.8961857379768996</v>
      </c>
    </row>
    <row r="8109" spans="1:11" x14ac:dyDescent="0.25">
      <c r="A8109" t="s">
        <v>15810</v>
      </c>
      <c r="C8109" t="s">
        <v>15811</v>
      </c>
      <c r="D8109" t="s">
        <v>8760</v>
      </c>
      <c r="E8109" t="s">
        <v>6</v>
      </c>
      <c r="F8109" t="s">
        <v>251</v>
      </c>
      <c r="G8109">
        <v>1</v>
      </c>
      <c r="H8109" s="2">
        <f>Tabelle13[[#This Row],[commits]]/Tabelle13[[#Totals],[commits]]</f>
        <v>4.6477904404246225E-6</v>
      </c>
      <c r="I8109" s="5">
        <f>Tabelle13[[#This Row],[%]]+I8108</f>
        <v>0.99564037256678073</v>
      </c>
      <c r="J8109" s="4">
        <f t="shared" si="285"/>
        <v>1.105583195135434E-4</v>
      </c>
      <c r="K8109" s="5">
        <f t="shared" si="286"/>
        <v>0.89629629629641316</v>
      </c>
    </row>
    <row r="8110" spans="1:11" x14ac:dyDescent="0.25">
      <c r="A8110" t="s">
        <v>15812</v>
      </c>
      <c r="C8110" t="s">
        <v>15813</v>
      </c>
      <c r="D8110" t="s">
        <v>5</v>
      </c>
      <c r="E8110" t="s">
        <v>6</v>
      </c>
      <c r="F8110" t="s">
        <v>251</v>
      </c>
      <c r="G8110">
        <v>1</v>
      </c>
      <c r="H8110" s="2">
        <f>Tabelle13[[#This Row],[commits]]/Tabelle13[[#Totals],[commits]]</f>
        <v>4.6477904404246225E-6</v>
      </c>
      <c r="I8110" s="5">
        <f>Tabelle13[[#This Row],[%]]+I8109</f>
        <v>0.99564502035722113</v>
      </c>
      <c r="J8110" s="4">
        <f t="shared" si="285"/>
        <v>1.105583195135434E-4</v>
      </c>
      <c r="K8110" s="5">
        <f t="shared" si="286"/>
        <v>0.89640685461592673</v>
      </c>
    </row>
    <row r="8111" spans="1:11" x14ac:dyDescent="0.25">
      <c r="A8111" t="s">
        <v>15814</v>
      </c>
      <c r="C8111" t="s">
        <v>15815</v>
      </c>
      <c r="D8111" t="s">
        <v>5</v>
      </c>
      <c r="E8111" t="s">
        <v>6</v>
      </c>
      <c r="F8111" t="s">
        <v>251</v>
      </c>
      <c r="G8111">
        <v>1</v>
      </c>
      <c r="H8111" s="2">
        <f>Tabelle13[[#This Row],[commits]]/Tabelle13[[#Totals],[commits]]</f>
        <v>4.6477904404246225E-6</v>
      </c>
      <c r="I8111" s="5">
        <f>Tabelle13[[#This Row],[%]]+I8110</f>
        <v>0.99564966814766154</v>
      </c>
      <c r="J8111" s="4">
        <f t="shared" si="285"/>
        <v>1.105583195135434E-4</v>
      </c>
      <c r="K8111" s="5">
        <f t="shared" si="286"/>
        <v>0.89651741293544029</v>
      </c>
    </row>
    <row r="8112" spans="1:11" x14ac:dyDescent="0.25">
      <c r="A8112" t="s">
        <v>15816</v>
      </c>
      <c r="C8112" t="s">
        <v>15817</v>
      </c>
      <c r="D8112" t="s">
        <v>15818</v>
      </c>
      <c r="E8112" t="s">
        <v>6</v>
      </c>
      <c r="F8112" t="s">
        <v>251</v>
      </c>
      <c r="G8112">
        <v>1</v>
      </c>
      <c r="H8112" s="2">
        <f>Tabelle13[[#This Row],[commits]]/Tabelle13[[#Totals],[commits]]</f>
        <v>4.6477904404246225E-6</v>
      </c>
      <c r="I8112" s="5">
        <f>Tabelle13[[#This Row],[%]]+I8111</f>
        <v>0.99565431593810194</v>
      </c>
      <c r="J8112" s="4">
        <f t="shared" si="285"/>
        <v>1.105583195135434E-4</v>
      </c>
      <c r="K8112" s="5">
        <f t="shared" si="286"/>
        <v>0.89662797125495386</v>
      </c>
    </row>
    <row r="8113" spans="1:11" x14ac:dyDescent="0.25">
      <c r="A8113" t="s">
        <v>15819</v>
      </c>
      <c r="C8113" t="s">
        <v>15820</v>
      </c>
      <c r="D8113" t="s">
        <v>5</v>
      </c>
      <c r="E8113" t="s">
        <v>6</v>
      </c>
      <c r="F8113" t="s">
        <v>251</v>
      </c>
      <c r="G8113">
        <v>1</v>
      </c>
      <c r="H8113" s="2">
        <f>Tabelle13[[#This Row],[commits]]/Tabelle13[[#Totals],[commits]]</f>
        <v>4.6477904404246225E-6</v>
      </c>
      <c r="I8113" s="5">
        <f>Tabelle13[[#This Row],[%]]+I8112</f>
        <v>0.99565896372854235</v>
      </c>
      <c r="J8113" s="4">
        <f t="shared" si="285"/>
        <v>1.105583195135434E-4</v>
      </c>
      <c r="K8113" s="5">
        <f t="shared" si="286"/>
        <v>0.89673852957446742</v>
      </c>
    </row>
    <row r="8114" spans="1:11" x14ac:dyDescent="0.25">
      <c r="A8114" t="s">
        <v>15821</v>
      </c>
      <c r="C8114" t="s">
        <v>15822</v>
      </c>
      <c r="D8114" t="s">
        <v>5</v>
      </c>
      <c r="E8114" t="s">
        <v>6</v>
      </c>
      <c r="F8114" t="s">
        <v>251</v>
      </c>
      <c r="G8114">
        <v>1</v>
      </c>
      <c r="H8114" s="2">
        <f>Tabelle13[[#This Row],[commits]]/Tabelle13[[#Totals],[commits]]</f>
        <v>4.6477904404246225E-6</v>
      </c>
      <c r="I8114" s="5">
        <f>Tabelle13[[#This Row],[%]]+I8113</f>
        <v>0.99566361151898275</v>
      </c>
      <c r="J8114" s="4">
        <f t="shared" si="285"/>
        <v>1.105583195135434E-4</v>
      </c>
      <c r="K8114" s="5">
        <f t="shared" si="286"/>
        <v>0.89684908789398099</v>
      </c>
    </row>
    <row r="8115" spans="1:11" x14ac:dyDescent="0.25">
      <c r="A8115" t="s">
        <v>15823</v>
      </c>
      <c r="C8115" t="s">
        <v>15824</v>
      </c>
      <c r="D8115" t="s">
        <v>5</v>
      </c>
      <c r="E8115" t="s">
        <v>6</v>
      </c>
      <c r="F8115" t="s">
        <v>251</v>
      </c>
      <c r="G8115">
        <v>1</v>
      </c>
      <c r="H8115" s="2">
        <f>Tabelle13[[#This Row],[commits]]/Tabelle13[[#Totals],[commits]]</f>
        <v>4.6477904404246225E-6</v>
      </c>
      <c r="I8115" s="5">
        <f>Tabelle13[[#This Row],[%]]+I8114</f>
        <v>0.99566825930942315</v>
      </c>
      <c r="J8115" s="4">
        <f t="shared" si="285"/>
        <v>1.105583195135434E-4</v>
      </c>
      <c r="K8115" s="5">
        <f t="shared" si="286"/>
        <v>0.89695964621349455</v>
      </c>
    </row>
    <row r="8116" spans="1:11" x14ac:dyDescent="0.25">
      <c r="A8116" t="s">
        <v>15825</v>
      </c>
      <c r="C8116" t="s">
        <v>15826</v>
      </c>
      <c r="D8116" t="s">
        <v>5</v>
      </c>
      <c r="E8116" t="s">
        <v>6</v>
      </c>
      <c r="F8116" t="s">
        <v>251</v>
      </c>
      <c r="G8116">
        <v>1</v>
      </c>
      <c r="H8116" s="2">
        <f>Tabelle13[[#This Row],[commits]]/Tabelle13[[#Totals],[commits]]</f>
        <v>4.6477904404246225E-6</v>
      </c>
      <c r="I8116" s="5">
        <f>Tabelle13[[#This Row],[%]]+I8115</f>
        <v>0.99567290709986356</v>
      </c>
      <c r="J8116" s="4">
        <f t="shared" si="285"/>
        <v>1.105583195135434E-4</v>
      </c>
      <c r="K8116" s="5">
        <f t="shared" si="286"/>
        <v>0.89707020453300812</v>
      </c>
    </row>
    <row r="8117" spans="1:11" x14ac:dyDescent="0.25">
      <c r="A8117" t="s">
        <v>15827</v>
      </c>
      <c r="C8117" t="s">
        <v>15828</v>
      </c>
      <c r="D8117" t="s">
        <v>5</v>
      </c>
      <c r="E8117" t="s">
        <v>6</v>
      </c>
      <c r="F8117" t="s">
        <v>251</v>
      </c>
      <c r="G8117">
        <v>1</v>
      </c>
      <c r="H8117" s="2">
        <f>Tabelle13[[#This Row],[commits]]/Tabelle13[[#Totals],[commits]]</f>
        <v>4.6477904404246225E-6</v>
      </c>
      <c r="I8117" s="5">
        <f>Tabelle13[[#This Row],[%]]+I8116</f>
        <v>0.99567755489030396</v>
      </c>
      <c r="J8117" s="4">
        <f t="shared" si="285"/>
        <v>1.105583195135434E-4</v>
      </c>
      <c r="K8117" s="5">
        <f t="shared" si="286"/>
        <v>0.89718076285252168</v>
      </c>
    </row>
    <row r="8118" spans="1:11" x14ac:dyDescent="0.25">
      <c r="A8118" t="s">
        <v>15829</v>
      </c>
      <c r="C8118" t="s">
        <v>15830</v>
      </c>
      <c r="D8118" t="s">
        <v>5</v>
      </c>
      <c r="E8118" t="s">
        <v>6</v>
      </c>
      <c r="F8118" t="s">
        <v>251</v>
      </c>
      <c r="G8118">
        <v>1</v>
      </c>
      <c r="H8118" s="2">
        <f>Tabelle13[[#This Row],[commits]]/Tabelle13[[#Totals],[commits]]</f>
        <v>4.6477904404246225E-6</v>
      </c>
      <c r="I8118" s="5">
        <f>Tabelle13[[#This Row],[%]]+I8117</f>
        <v>0.99568220268074437</v>
      </c>
      <c r="J8118" s="4">
        <f t="shared" si="285"/>
        <v>1.105583195135434E-4</v>
      </c>
      <c r="K8118" s="5">
        <f t="shared" si="286"/>
        <v>0.89729132117203525</v>
      </c>
    </row>
    <row r="8119" spans="1:11" x14ac:dyDescent="0.25">
      <c r="A8119" t="s">
        <v>15831</v>
      </c>
      <c r="C8119" t="s">
        <v>15832</v>
      </c>
      <c r="D8119" t="s">
        <v>15833</v>
      </c>
      <c r="E8119" t="s">
        <v>6</v>
      </c>
      <c r="F8119" t="s">
        <v>251</v>
      </c>
      <c r="G8119">
        <v>1</v>
      </c>
      <c r="H8119" s="2">
        <f>Tabelle13[[#This Row],[commits]]/Tabelle13[[#Totals],[commits]]</f>
        <v>4.6477904404246225E-6</v>
      </c>
      <c r="I8119" s="5">
        <f>Tabelle13[[#This Row],[%]]+I8118</f>
        <v>0.99568685047118477</v>
      </c>
      <c r="J8119" s="4">
        <f t="shared" si="285"/>
        <v>1.105583195135434E-4</v>
      </c>
      <c r="K8119" s="5">
        <f t="shared" si="286"/>
        <v>0.89740187949154882</v>
      </c>
    </row>
    <row r="8120" spans="1:11" x14ac:dyDescent="0.25">
      <c r="A8120" t="s">
        <v>15834</v>
      </c>
      <c r="C8120" t="s">
        <v>15835</v>
      </c>
      <c r="D8120" t="s">
        <v>5</v>
      </c>
      <c r="E8120" t="s">
        <v>6</v>
      </c>
      <c r="F8120" t="s">
        <v>251</v>
      </c>
      <c r="G8120">
        <v>1</v>
      </c>
      <c r="H8120" s="2">
        <f>Tabelle13[[#This Row],[commits]]/Tabelle13[[#Totals],[commits]]</f>
        <v>4.6477904404246225E-6</v>
      </c>
      <c r="I8120" s="5">
        <f>Tabelle13[[#This Row],[%]]+I8119</f>
        <v>0.99569149826162517</v>
      </c>
      <c r="J8120" s="4">
        <f t="shared" si="285"/>
        <v>1.105583195135434E-4</v>
      </c>
      <c r="K8120" s="5">
        <f t="shared" si="286"/>
        <v>0.89751243781106238</v>
      </c>
    </row>
    <row r="8121" spans="1:11" x14ac:dyDescent="0.25">
      <c r="A8121" t="s">
        <v>15836</v>
      </c>
      <c r="C8121" t="s">
        <v>15837</v>
      </c>
      <c r="D8121" t="s">
        <v>5</v>
      </c>
      <c r="E8121" t="s">
        <v>6</v>
      </c>
      <c r="F8121" t="s">
        <v>251</v>
      </c>
      <c r="G8121">
        <v>1</v>
      </c>
      <c r="H8121" s="2">
        <f>Tabelle13[[#This Row],[commits]]/Tabelle13[[#Totals],[commits]]</f>
        <v>4.6477904404246225E-6</v>
      </c>
      <c r="I8121" s="5">
        <f>Tabelle13[[#This Row],[%]]+I8120</f>
        <v>0.99569614605206558</v>
      </c>
      <c r="J8121" s="4">
        <f t="shared" si="285"/>
        <v>1.105583195135434E-4</v>
      </c>
      <c r="K8121" s="5">
        <f t="shared" si="286"/>
        <v>0.89762299613057595</v>
      </c>
    </row>
    <row r="8122" spans="1:11" x14ac:dyDescent="0.25">
      <c r="A8122" t="s">
        <v>15838</v>
      </c>
      <c r="C8122" t="s">
        <v>15839</v>
      </c>
      <c r="D8122" t="s">
        <v>309</v>
      </c>
      <c r="E8122" t="s">
        <v>6</v>
      </c>
      <c r="F8122" t="s">
        <v>251</v>
      </c>
      <c r="G8122">
        <v>1</v>
      </c>
      <c r="H8122" s="2">
        <f>Tabelle13[[#This Row],[commits]]/Tabelle13[[#Totals],[commits]]</f>
        <v>4.6477904404246225E-6</v>
      </c>
      <c r="I8122" s="5">
        <f>Tabelle13[[#This Row],[%]]+I8121</f>
        <v>0.99570079384250598</v>
      </c>
      <c r="J8122" s="4">
        <f t="shared" si="285"/>
        <v>1.105583195135434E-4</v>
      </c>
      <c r="K8122" s="5">
        <f t="shared" si="286"/>
        <v>0.89773355445008951</v>
      </c>
    </row>
    <row r="8123" spans="1:11" x14ac:dyDescent="0.25">
      <c r="A8123" t="s">
        <v>15840</v>
      </c>
      <c r="C8123" t="s">
        <v>15841</v>
      </c>
      <c r="D8123" t="s">
        <v>5</v>
      </c>
      <c r="E8123" t="s">
        <v>6</v>
      </c>
      <c r="F8123" t="s">
        <v>251</v>
      </c>
      <c r="G8123">
        <v>1</v>
      </c>
      <c r="H8123" s="2">
        <f>Tabelle13[[#This Row],[commits]]/Tabelle13[[#Totals],[commits]]</f>
        <v>4.6477904404246225E-6</v>
      </c>
      <c r="I8123" s="5">
        <f>Tabelle13[[#This Row],[%]]+I8122</f>
        <v>0.99570544163294639</v>
      </c>
      <c r="J8123" s="4">
        <f t="shared" si="285"/>
        <v>1.105583195135434E-4</v>
      </c>
      <c r="K8123" s="5">
        <f t="shared" si="286"/>
        <v>0.89784411276960308</v>
      </c>
    </row>
    <row r="8124" spans="1:11" x14ac:dyDescent="0.25">
      <c r="A8124" t="s">
        <v>15842</v>
      </c>
      <c r="C8124" t="s">
        <v>15843</v>
      </c>
      <c r="D8124" t="s">
        <v>5</v>
      </c>
      <c r="E8124" t="s">
        <v>6</v>
      </c>
      <c r="F8124" t="s">
        <v>251</v>
      </c>
      <c r="G8124">
        <v>1</v>
      </c>
      <c r="H8124" s="2">
        <f>Tabelle13[[#This Row],[commits]]/Tabelle13[[#Totals],[commits]]</f>
        <v>4.6477904404246225E-6</v>
      </c>
      <c r="I8124" s="5">
        <f>Tabelle13[[#This Row],[%]]+I8123</f>
        <v>0.99571008942338679</v>
      </c>
      <c r="J8124" s="4">
        <f t="shared" si="285"/>
        <v>1.105583195135434E-4</v>
      </c>
      <c r="K8124" s="5">
        <f t="shared" si="286"/>
        <v>0.89795467108911664</v>
      </c>
    </row>
    <row r="8125" spans="1:11" x14ac:dyDescent="0.25">
      <c r="A8125" t="s">
        <v>15844</v>
      </c>
      <c r="C8125" t="s">
        <v>15845</v>
      </c>
      <c r="D8125" t="s">
        <v>5</v>
      </c>
      <c r="E8125" t="s">
        <v>6</v>
      </c>
      <c r="F8125" t="s">
        <v>251</v>
      </c>
      <c r="G8125">
        <v>1</v>
      </c>
      <c r="H8125" s="2">
        <f>Tabelle13[[#This Row],[commits]]/Tabelle13[[#Totals],[commits]]</f>
        <v>4.6477904404246225E-6</v>
      </c>
      <c r="I8125" s="5">
        <f>Tabelle13[[#This Row],[%]]+I8124</f>
        <v>0.99571473721382719</v>
      </c>
      <c r="J8125" s="4">
        <f t="shared" si="285"/>
        <v>1.105583195135434E-4</v>
      </c>
      <c r="K8125" s="5">
        <f t="shared" si="286"/>
        <v>0.89806522940863021</v>
      </c>
    </row>
    <row r="8126" spans="1:11" x14ac:dyDescent="0.25">
      <c r="A8126" t="s">
        <v>15846</v>
      </c>
      <c r="C8126" t="s">
        <v>14458</v>
      </c>
      <c r="D8126" t="s">
        <v>5</v>
      </c>
      <c r="E8126" t="s">
        <v>6</v>
      </c>
      <c r="F8126" t="s">
        <v>251</v>
      </c>
      <c r="G8126">
        <v>1</v>
      </c>
      <c r="H8126" s="2">
        <f>Tabelle13[[#This Row],[commits]]/Tabelle13[[#Totals],[commits]]</f>
        <v>4.6477904404246225E-6</v>
      </c>
      <c r="I8126" s="5">
        <f>Tabelle13[[#This Row],[%]]+I8125</f>
        <v>0.9957193850042676</v>
      </c>
      <c r="J8126" s="4">
        <f t="shared" si="285"/>
        <v>1.105583195135434E-4</v>
      </c>
      <c r="K8126" s="5">
        <f t="shared" si="286"/>
        <v>0.89817578772814377</v>
      </c>
    </row>
    <row r="8127" spans="1:11" x14ac:dyDescent="0.25">
      <c r="A8127" t="s">
        <v>15847</v>
      </c>
      <c r="C8127" t="s">
        <v>15848</v>
      </c>
      <c r="D8127" t="s">
        <v>15849</v>
      </c>
      <c r="E8127" t="s">
        <v>6</v>
      </c>
      <c r="F8127" t="s">
        <v>251</v>
      </c>
      <c r="G8127">
        <v>1</v>
      </c>
      <c r="H8127" s="2">
        <f>Tabelle13[[#This Row],[commits]]/Tabelle13[[#Totals],[commits]]</f>
        <v>4.6477904404246225E-6</v>
      </c>
      <c r="I8127" s="5">
        <f>Tabelle13[[#This Row],[%]]+I8126</f>
        <v>0.995724032794708</v>
      </c>
      <c r="J8127" s="4">
        <f t="shared" si="285"/>
        <v>1.105583195135434E-4</v>
      </c>
      <c r="K8127" s="5">
        <f t="shared" si="286"/>
        <v>0.89828634604765734</v>
      </c>
    </row>
    <row r="8128" spans="1:11" x14ac:dyDescent="0.25">
      <c r="A8128" t="s">
        <v>15850</v>
      </c>
      <c r="C8128" t="s">
        <v>15851</v>
      </c>
      <c r="D8128" t="s">
        <v>5</v>
      </c>
      <c r="E8128" t="s">
        <v>6</v>
      </c>
      <c r="F8128" t="s">
        <v>251</v>
      </c>
      <c r="G8128">
        <v>1</v>
      </c>
      <c r="H8128" s="2">
        <f>Tabelle13[[#This Row],[commits]]/Tabelle13[[#Totals],[commits]]</f>
        <v>4.6477904404246225E-6</v>
      </c>
      <c r="I8128" s="5">
        <f>Tabelle13[[#This Row],[%]]+I8127</f>
        <v>0.99572868058514841</v>
      </c>
      <c r="J8128" s="4">
        <f t="shared" si="285"/>
        <v>1.105583195135434E-4</v>
      </c>
      <c r="K8128" s="5">
        <f t="shared" si="286"/>
        <v>0.8983969043671709</v>
      </c>
    </row>
    <row r="8129" spans="1:11" x14ac:dyDescent="0.25">
      <c r="A8129" t="s">
        <v>15852</v>
      </c>
      <c r="C8129" t="s">
        <v>15853</v>
      </c>
      <c r="D8129" t="s">
        <v>5</v>
      </c>
      <c r="E8129" t="s">
        <v>6</v>
      </c>
      <c r="F8129" t="s">
        <v>251</v>
      </c>
      <c r="G8129">
        <v>1</v>
      </c>
      <c r="H8129" s="2">
        <f>Tabelle13[[#This Row],[commits]]/Tabelle13[[#Totals],[commits]]</f>
        <v>4.6477904404246225E-6</v>
      </c>
      <c r="I8129" s="5">
        <f>Tabelle13[[#This Row],[%]]+I8128</f>
        <v>0.99573332837558881</v>
      </c>
      <c r="J8129" s="4">
        <f t="shared" si="285"/>
        <v>1.105583195135434E-4</v>
      </c>
      <c r="K8129" s="5">
        <f t="shared" si="286"/>
        <v>0.89850746268668447</v>
      </c>
    </row>
    <row r="8130" spans="1:11" x14ac:dyDescent="0.25">
      <c r="A8130" t="s">
        <v>15854</v>
      </c>
      <c r="C8130" t="s">
        <v>15855</v>
      </c>
      <c r="D8130" t="s">
        <v>5</v>
      </c>
      <c r="E8130" t="s">
        <v>6</v>
      </c>
      <c r="F8130" t="s">
        <v>251</v>
      </c>
      <c r="G8130">
        <v>1</v>
      </c>
      <c r="H8130" s="2">
        <f>Tabelle13[[#This Row],[commits]]/Tabelle13[[#Totals],[commits]]</f>
        <v>4.6477904404246225E-6</v>
      </c>
      <c r="I8130" s="5">
        <f>Tabelle13[[#This Row],[%]]+I8129</f>
        <v>0.99573797616602922</v>
      </c>
      <c r="J8130" s="4">
        <f t="shared" si="285"/>
        <v>1.105583195135434E-4</v>
      </c>
      <c r="K8130" s="5">
        <f t="shared" si="286"/>
        <v>0.89861802100619803</v>
      </c>
    </row>
    <row r="8131" spans="1:11" x14ac:dyDescent="0.25">
      <c r="A8131" t="s">
        <v>15856</v>
      </c>
      <c r="C8131" t="s">
        <v>15857</v>
      </c>
      <c r="D8131" t="s">
        <v>309</v>
      </c>
      <c r="E8131" t="s">
        <v>6</v>
      </c>
      <c r="F8131" t="s">
        <v>251</v>
      </c>
      <c r="G8131">
        <v>1</v>
      </c>
      <c r="H8131" s="2">
        <f>Tabelle13[[#This Row],[commits]]/Tabelle13[[#Totals],[commits]]</f>
        <v>4.6477904404246225E-6</v>
      </c>
      <c r="I8131" s="5">
        <f>Tabelle13[[#This Row],[%]]+I8130</f>
        <v>0.99574262395646962</v>
      </c>
      <c r="J8131" s="4">
        <f t="shared" ref="J8131:J8194" si="287">1/9045</f>
        <v>1.105583195135434E-4</v>
      </c>
      <c r="K8131" s="5">
        <f t="shared" si="286"/>
        <v>0.8987285793257116</v>
      </c>
    </row>
    <row r="8132" spans="1:11" x14ac:dyDescent="0.25">
      <c r="A8132" t="s">
        <v>15858</v>
      </c>
      <c r="C8132" t="s">
        <v>15857</v>
      </c>
      <c r="D8132" t="s">
        <v>5</v>
      </c>
      <c r="E8132" t="s">
        <v>6</v>
      </c>
      <c r="F8132" t="s">
        <v>251</v>
      </c>
      <c r="G8132">
        <v>1</v>
      </c>
      <c r="H8132" s="2">
        <f>Tabelle13[[#This Row],[commits]]/Tabelle13[[#Totals],[commits]]</f>
        <v>4.6477904404246225E-6</v>
      </c>
      <c r="I8132" s="5">
        <f>Tabelle13[[#This Row],[%]]+I8131</f>
        <v>0.99574727174691002</v>
      </c>
      <c r="J8132" s="4">
        <f t="shared" si="287"/>
        <v>1.105583195135434E-4</v>
      </c>
      <c r="K8132" s="5">
        <f t="shared" si="286"/>
        <v>0.89883913764522516</v>
      </c>
    </row>
    <row r="8133" spans="1:11" x14ac:dyDescent="0.25">
      <c r="A8133" t="s">
        <v>15859</v>
      </c>
      <c r="C8133" t="s">
        <v>15860</v>
      </c>
      <c r="D8133" t="s">
        <v>10215</v>
      </c>
      <c r="E8133" t="s">
        <v>6</v>
      </c>
      <c r="F8133" t="s">
        <v>251</v>
      </c>
      <c r="G8133">
        <v>1</v>
      </c>
      <c r="H8133" s="2">
        <f>Tabelle13[[#This Row],[commits]]/Tabelle13[[#Totals],[commits]]</f>
        <v>4.6477904404246225E-6</v>
      </c>
      <c r="I8133" s="5">
        <f>Tabelle13[[#This Row],[%]]+I8132</f>
        <v>0.99575191953735043</v>
      </c>
      <c r="J8133" s="4">
        <f t="shared" si="287"/>
        <v>1.105583195135434E-4</v>
      </c>
      <c r="K8133" s="5">
        <f t="shared" si="286"/>
        <v>0.89894969596473873</v>
      </c>
    </row>
    <row r="8134" spans="1:11" x14ac:dyDescent="0.25">
      <c r="A8134" t="s">
        <v>15861</v>
      </c>
      <c r="C8134" t="s">
        <v>15862</v>
      </c>
      <c r="D8134" t="s">
        <v>5</v>
      </c>
      <c r="E8134" t="s">
        <v>6</v>
      </c>
      <c r="F8134" t="s">
        <v>251</v>
      </c>
      <c r="G8134">
        <v>1</v>
      </c>
      <c r="H8134" s="2">
        <f>Tabelle13[[#This Row],[commits]]/Tabelle13[[#Totals],[commits]]</f>
        <v>4.6477904404246225E-6</v>
      </c>
      <c r="I8134" s="5">
        <f>Tabelle13[[#This Row],[%]]+I8133</f>
        <v>0.99575656732779083</v>
      </c>
      <c r="J8134" s="4">
        <f t="shared" si="287"/>
        <v>1.105583195135434E-4</v>
      </c>
      <c r="K8134" s="5">
        <f t="shared" ref="K8134:K8197" si="288">J8134+K8133</f>
        <v>0.89906025428425229</v>
      </c>
    </row>
    <row r="8135" spans="1:11" x14ac:dyDescent="0.25">
      <c r="A8135" t="s">
        <v>15863</v>
      </c>
      <c r="C8135" t="s">
        <v>15864</v>
      </c>
      <c r="D8135" t="s">
        <v>5</v>
      </c>
      <c r="E8135" t="s">
        <v>6</v>
      </c>
      <c r="F8135" t="s">
        <v>251</v>
      </c>
      <c r="G8135">
        <v>1</v>
      </c>
      <c r="H8135" s="2">
        <f>Tabelle13[[#This Row],[commits]]/Tabelle13[[#Totals],[commits]]</f>
        <v>4.6477904404246225E-6</v>
      </c>
      <c r="I8135" s="5">
        <f>Tabelle13[[#This Row],[%]]+I8134</f>
        <v>0.99576121511823124</v>
      </c>
      <c r="J8135" s="4">
        <f t="shared" si="287"/>
        <v>1.105583195135434E-4</v>
      </c>
      <c r="K8135" s="5">
        <f t="shared" si="288"/>
        <v>0.89917081260376586</v>
      </c>
    </row>
    <row r="8136" spans="1:11" x14ac:dyDescent="0.25">
      <c r="A8136" t="s">
        <v>15865</v>
      </c>
      <c r="C8136" t="s">
        <v>15866</v>
      </c>
      <c r="D8136" t="s">
        <v>309</v>
      </c>
      <c r="E8136" t="s">
        <v>6</v>
      </c>
      <c r="F8136" t="s">
        <v>251</v>
      </c>
      <c r="G8136">
        <v>1</v>
      </c>
      <c r="H8136" s="2">
        <f>Tabelle13[[#This Row],[commits]]/Tabelle13[[#Totals],[commits]]</f>
        <v>4.6477904404246225E-6</v>
      </c>
      <c r="I8136" s="5">
        <f>Tabelle13[[#This Row],[%]]+I8135</f>
        <v>0.99576586290867164</v>
      </c>
      <c r="J8136" s="4">
        <f t="shared" si="287"/>
        <v>1.105583195135434E-4</v>
      </c>
      <c r="K8136" s="5">
        <f t="shared" si="288"/>
        <v>0.89928137092327942</v>
      </c>
    </row>
    <row r="8137" spans="1:11" x14ac:dyDescent="0.25">
      <c r="A8137" t="s">
        <v>15867</v>
      </c>
      <c r="C8137" t="s">
        <v>15868</v>
      </c>
      <c r="D8137" t="s">
        <v>5</v>
      </c>
      <c r="E8137" t="s">
        <v>6</v>
      </c>
      <c r="F8137" t="s">
        <v>251</v>
      </c>
      <c r="G8137">
        <v>1</v>
      </c>
      <c r="H8137" s="2">
        <f>Tabelle13[[#This Row],[commits]]/Tabelle13[[#Totals],[commits]]</f>
        <v>4.6477904404246225E-6</v>
      </c>
      <c r="I8137" s="5">
        <f>Tabelle13[[#This Row],[%]]+I8136</f>
        <v>0.99577051069911204</v>
      </c>
      <c r="J8137" s="4">
        <f t="shared" si="287"/>
        <v>1.105583195135434E-4</v>
      </c>
      <c r="K8137" s="5">
        <f t="shared" si="288"/>
        <v>0.89939192924279299</v>
      </c>
    </row>
    <row r="8138" spans="1:11" x14ac:dyDescent="0.25">
      <c r="A8138" t="s">
        <v>15869</v>
      </c>
      <c r="C8138" t="s">
        <v>15870</v>
      </c>
      <c r="D8138" t="s">
        <v>5</v>
      </c>
      <c r="E8138" t="s">
        <v>6</v>
      </c>
      <c r="F8138" t="s">
        <v>251</v>
      </c>
      <c r="G8138">
        <v>1</v>
      </c>
      <c r="H8138" s="2">
        <f>Tabelle13[[#This Row],[commits]]/Tabelle13[[#Totals],[commits]]</f>
        <v>4.6477904404246225E-6</v>
      </c>
      <c r="I8138" s="5">
        <f>Tabelle13[[#This Row],[%]]+I8137</f>
        <v>0.99577515848955245</v>
      </c>
      <c r="J8138" s="4">
        <f t="shared" si="287"/>
        <v>1.105583195135434E-4</v>
      </c>
      <c r="K8138" s="5">
        <f t="shared" si="288"/>
        <v>0.89950248756230655</v>
      </c>
    </row>
    <row r="8139" spans="1:11" x14ac:dyDescent="0.25">
      <c r="A8139" t="s">
        <v>15871</v>
      </c>
      <c r="C8139" t="s">
        <v>15872</v>
      </c>
      <c r="D8139" t="s">
        <v>5</v>
      </c>
      <c r="E8139" t="s">
        <v>6</v>
      </c>
      <c r="F8139" t="s">
        <v>251</v>
      </c>
      <c r="G8139">
        <v>1</v>
      </c>
      <c r="H8139" s="2">
        <f>Tabelle13[[#This Row],[commits]]/Tabelle13[[#Totals],[commits]]</f>
        <v>4.6477904404246225E-6</v>
      </c>
      <c r="I8139" s="5">
        <f>Tabelle13[[#This Row],[%]]+I8138</f>
        <v>0.99577980627999285</v>
      </c>
      <c r="J8139" s="4">
        <f t="shared" si="287"/>
        <v>1.105583195135434E-4</v>
      </c>
      <c r="K8139" s="5">
        <f t="shared" si="288"/>
        <v>0.89961304588182012</v>
      </c>
    </row>
    <row r="8140" spans="1:11" x14ac:dyDescent="0.25">
      <c r="A8140" t="s">
        <v>15873</v>
      </c>
      <c r="C8140" t="s">
        <v>15874</v>
      </c>
      <c r="D8140" t="s">
        <v>5</v>
      </c>
      <c r="E8140" t="s">
        <v>6</v>
      </c>
      <c r="F8140" t="s">
        <v>251</v>
      </c>
      <c r="G8140">
        <v>1</v>
      </c>
      <c r="H8140" s="2">
        <f>Tabelle13[[#This Row],[commits]]/Tabelle13[[#Totals],[commits]]</f>
        <v>4.6477904404246225E-6</v>
      </c>
      <c r="I8140" s="5">
        <f>Tabelle13[[#This Row],[%]]+I8139</f>
        <v>0.99578445407043326</v>
      </c>
      <c r="J8140" s="4">
        <f t="shared" si="287"/>
        <v>1.105583195135434E-4</v>
      </c>
      <c r="K8140" s="5">
        <f t="shared" si="288"/>
        <v>0.89972360420133368</v>
      </c>
    </row>
    <row r="8141" spans="1:11" x14ac:dyDescent="0.25">
      <c r="A8141" t="s">
        <v>15875</v>
      </c>
      <c r="C8141" t="s">
        <v>15876</v>
      </c>
      <c r="D8141" t="s">
        <v>5</v>
      </c>
      <c r="E8141" t="s">
        <v>6</v>
      </c>
      <c r="F8141" t="s">
        <v>251</v>
      </c>
      <c r="G8141">
        <v>1</v>
      </c>
      <c r="H8141" s="2">
        <f>Tabelle13[[#This Row],[commits]]/Tabelle13[[#Totals],[commits]]</f>
        <v>4.6477904404246225E-6</v>
      </c>
      <c r="I8141" s="5">
        <f>Tabelle13[[#This Row],[%]]+I8140</f>
        <v>0.99578910186087366</v>
      </c>
      <c r="J8141" s="4">
        <f t="shared" si="287"/>
        <v>1.105583195135434E-4</v>
      </c>
      <c r="K8141" s="5">
        <f t="shared" si="288"/>
        <v>0.89983416252084725</v>
      </c>
    </row>
    <row r="8142" spans="1:11" x14ac:dyDescent="0.25">
      <c r="A8142" t="s">
        <v>15877</v>
      </c>
      <c r="C8142" t="s">
        <v>15878</v>
      </c>
      <c r="D8142" t="s">
        <v>5</v>
      </c>
      <c r="E8142" t="s">
        <v>6</v>
      </c>
      <c r="F8142" t="s">
        <v>251</v>
      </c>
      <c r="G8142">
        <v>1</v>
      </c>
      <c r="H8142" s="2">
        <f>Tabelle13[[#This Row],[commits]]/Tabelle13[[#Totals],[commits]]</f>
        <v>4.6477904404246225E-6</v>
      </c>
      <c r="I8142" s="5">
        <f>Tabelle13[[#This Row],[%]]+I8141</f>
        <v>0.99579374965131406</v>
      </c>
      <c r="J8142" s="4">
        <f t="shared" si="287"/>
        <v>1.105583195135434E-4</v>
      </c>
      <c r="K8142" s="5">
        <f t="shared" si="288"/>
        <v>0.89994472084036081</v>
      </c>
    </row>
    <row r="8143" spans="1:11" x14ac:dyDescent="0.25">
      <c r="A8143" t="s">
        <v>15879</v>
      </c>
      <c r="C8143" t="s">
        <v>15880</v>
      </c>
      <c r="D8143" t="s">
        <v>5</v>
      </c>
      <c r="E8143" t="s">
        <v>6</v>
      </c>
      <c r="F8143" t="s">
        <v>251</v>
      </c>
      <c r="G8143">
        <v>1</v>
      </c>
      <c r="H8143" s="2">
        <f>Tabelle13[[#This Row],[commits]]/Tabelle13[[#Totals],[commits]]</f>
        <v>4.6477904404246225E-6</v>
      </c>
      <c r="I8143" s="5">
        <f>Tabelle13[[#This Row],[%]]+I8142</f>
        <v>0.99579839744175447</v>
      </c>
      <c r="J8143" s="4">
        <f t="shared" si="287"/>
        <v>1.105583195135434E-4</v>
      </c>
      <c r="K8143" s="5">
        <f t="shared" si="288"/>
        <v>0.90005527915987438</v>
      </c>
    </row>
    <row r="8144" spans="1:11" x14ac:dyDescent="0.25">
      <c r="A8144" t="s">
        <v>15881</v>
      </c>
      <c r="C8144" t="s">
        <v>15882</v>
      </c>
      <c r="D8144" t="s">
        <v>5</v>
      </c>
      <c r="E8144" t="s">
        <v>6</v>
      </c>
      <c r="F8144" t="s">
        <v>251</v>
      </c>
      <c r="G8144">
        <v>1</v>
      </c>
      <c r="H8144" s="2">
        <f>Tabelle13[[#This Row],[commits]]/Tabelle13[[#Totals],[commits]]</f>
        <v>4.6477904404246225E-6</v>
      </c>
      <c r="I8144" s="5">
        <f>Tabelle13[[#This Row],[%]]+I8143</f>
        <v>0.99580304523219487</v>
      </c>
      <c r="J8144" s="4">
        <f t="shared" si="287"/>
        <v>1.105583195135434E-4</v>
      </c>
      <c r="K8144" s="5">
        <f t="shared" si="288"/>
        <v>0.90016583747938794</v>
      </c>
    </row>
    <row r="8145" spans="1:11" x14ac:dyDescent="0.25">
      <c r="A8145" t="s">
        <v>15883</v>
      </c>
      <c r="C8145" t="s">
        <v>15884</v>
      </c>
      <c r="D8145" t="s">
        <v>5</v>
      </c>
      <c r="E8145" t="s">
        <v>6</v>
      </c>
      <c r="F8145" t="s">
        <v>251</v>
      </c>
      <c r="G8145">
        <v>1</v>
      </c>
      <c r="H8145" s="2">
        <f>Tabelle13[[#This Row],[commits]]/Tabelle13[[#Totals],[commits]]</f>
        <v>4.6477904404246225E-6</v>
      </c>
      <c r="I8145" s="5">
        <f>Tabelle13[[#This Row],[%]]+I8144</f>
        <v>0.99580769302263528</v>
      </c>
      <c r="J8145" s="4">
        <f t="shared" si="287"/>
        <v>1.105583195135434E-4</v>
      </c>
      <c r="K8145" s="5">
        <f t="shared" si="288"/>
        <v>0.90027639579890151</v>
      </c>
    </row>
    <row r="8146" spans="1:11" x14ac:dyDescent="0.25">
      <c r="A8146" t="s">
        <v>15885</v>
      </c>
      <c r="C8146" t="s">
        <v>15886</v>
      </c>
      <c r="D8146" t="s">
        <v>5</v>
      </c>
      <c r="E8146" t="s">
        <v>6</v>
      </c>
      <c r="F8146" t="s">
        <v>251</v>
      </c>
      <c r="G8146">
        <v>1</v>
      </c>
      <c r="H8146" s="2">
        <f>Tabelle13[[#This Row],[commits]]/Tabelle13[[#Totals],[commits]]</f>
        <v>4.6477904404246225E-6</v>
      </c>
      <c r="I8146" s="5">
        <f>Tabelle13[[#This Row],[%]]+I8145</f>
        <v>0.99581234081307568</v>
      </c>
      <c r="J8146" s="4">
        <f t="shared" si="287"/>
        <v>1.105583195135434E-4</v>
      </c>
      <c r="K8146" s="5">
        <f t="shared" si="288"/>
        <v>0.90038695411841507</v>
      </c>
    </row>
    <row r="8147" spans="1:11" x14ac:dyDescent="0.25">
      <c r="A8147" t="s">
        <v>15887</v>
      </c>
      <c r="C8147" t="s">
        <v>15888</v>
      </c>
      <c r="D8147" t="s">
        <v>5</v>
      </c>
      <c r="E8147" t="s">
        <v>6</v>
      </c>
      <c r="F8147" t="s">
        <v>251</v>
      </c>
      <c r="G8147">
        <v>1</v>
      </c>
      <c r="H8147" s="2">
        <f>Tabelle13[[#This Row],[commits]]/Tabelle13[[#Totals],[commits]]</f>
        <v>4.6477904404246225E-6</v>
      </c>
      <c r="I8147" s="5">
        <f>Tabelle13[[#This Row],[%]]+I8146</f>
        <v>0.99581698860351608</v>
      </c>
      <c r="J8147" s="4">
        <f t="shared" si="287"/>
        <v>1.105583195135434E-4</v>
      </c>
      <c r="K8147" s="5">
        <f t="shared" si="288"/>
        <v>0.90049751243792864</v>
      </c>
    </row>
    <row r="8148" spans="1:11" x14ac:dyDescent="0.25">
      <c r="A8148" t="s">
        <v>15889</v>
      </c>
      <c r="C8148" t="s">
        <v>15890</v>
      </c>
      <c r="D8148" t="s">
        <v>5</v>
      </c>
      <c r="E8148" t="s">
        <v>6</v>
      </c>
      <c r="F8148" t="s">
        <v>251</v>
      </c>
      <c r="G8148">
        <v>1</v>
      </c>
      <c r="H8148" s="2">
        <f>Tabelle13[[#This Row],[commits]]/Tabelle13[[#Totals],[commits]]</f>
        <v>4.6477904404246225E-6</v>
      </c>
      <c r="I8148" s="5">
        <f>Tabelle13[[#This Row],[%]]+I8147</f>
        <v>0.99582163639395649</v>
      </c>
      <c r="J8148" s="4">
        <f t="shared" si="287"/>
        <v>1.105583195135434E-4</v>
      </c>
      <c r="K8148" s="5">
        <f t="shared" si="288"/>
        <v>0.9006080707574422</v>
      </c>
    </row>
    <row r="8149" spans="1:11" x14ac:dyDescent="0.25">
      <c r="A8149" t="s">
        <v>15891</v>
      </c>
      <c r="C8149" t="s">
        <v>15892</v>
      </c>
      <c r="D8149" t="s">
        <v>5</v>
      </c>
      <c r="E8149" t="s">
        <v>6</v>
      </c>
      <c r="F8149" t="s">
        <v>251</v>
      </c>
      <c r="G8149">
        <v>1</v>
      </c>
      <c r="H8149" s="2">
        <f>Tabelle13[[#This Row],[commits]]/Tabelle13[[#Totals],[commits]]</f>
        <v>4.6477904404246225E-6</v>
      </c>
      <c r="I8149" s="5">
        <f>Tabelle13[[#This Row],[%]]+I8148</f>
        <v>0.99582628418439689</v>
      </c>
      <c r="J8149" s="4">
        <f t="shared" si="287"/>
        <v>1.105583195135434E-4</v>
      </c>
      <c r="K8149" s="5">
        <f t="shared" si="288"/>
        <v>0.90071862907695577</v>
      </c>
    </row>
    <row r="8150" spans="1:11" x14ac:dyDescent="0.25">
      <c r="A8150" t="s">
        <v>15893</v>
      </c>
      <c r="C8150" t="s">
        <v>15894</v>
      </c>
      <c r="D8150" t="s">
        <v>5</v>
      </c>
      <c r="E8150" t="s">
        <v>6</v>
      </c>
      <c r="F8150" t="s">
        <v>251</v>
      </c>
      <c r="G8150">
        <v>1</v>
      </c>
      <c r="H8150" s="2">
        <f>Tabelle13[[#This Row],[commits]]/Tabelle13[[#Totals],[commits]]</f>
        <v>4.6477904404246225E-6</v>
      </c>
      <c r="I8150" s="5">
        <f>Tabelle13[[#This Row],[%]]+I8149</f>
        <v>0.9958309319748373</v>
      </c>
      <c r="J8150" s="4">
        <f t="shared" si="287"/>
        <v>1.105583195135434E-4</v>
      </c>
      <c r="K8150" s="5">
        <f t="shared" si="288"/>
        <v>0.90082918739646933</v>
      </c>
    </row>
    <row r="8151" spans="1:11" x14ac:dyDescent="0.25">
      <c r="A8151" t="s">
        <v>15895</v>
      </c>
      <c r="C8151" t="s">
        <v>15896</v>
      </c>
      <c r="D8151" t="s">
        <v>5</v>
      </c>
      <c r="E8151" t="s">
        <v>6</v>
      </c>
      <c r="F8151" t="s">
        <v>251</v>
      </c>
      <c r="G8151">
        <v>1</v>
      </c>
      <c r="H8151" s="2">
        <f>Tabelle13[[#This Row],[commits]]/Tabelle13[[#Totals],[commits]]</f>
        <v>4.6477904404246225E-6</v>
      </c>
      <c r="I8151" s="5">
        <f>Tabelle13[[#This Row],[%]]+I8150</f>
        <v>0.9958355797652777</v>
      </c>
      <c r="J8151" s="4">
        <f t="shared" si="287"/>
        <v>1.105583195135434E-4</v>
      </c>
      <c r="K8151" s="5">
        <f t="shared" si="288"/>
        <v>0.9009397457159829</v>
      </c>
    </row>
    <row r="8152" spans="1:11" x14ac:dyDescent="0.25">
      <c r="A8152" t="s">
        <v>15897</v>
      </c>
      <c r="C8152" t="s">
        <v>15898</v>
      </c>
      <c r="D8152" t="s">
        <v>5</v>
      </c>
      <c r="E8152" t="s">
        <v>6</v>
      </c>
      <c r="F8152" t="s">
        <v>251</v>
      </c>
      <c r="G8152">
        <v>1</v>
      </c>
      <c r="H8152" s="2">
        <f>Tabelle13[[#This Row],[commits]]/Tabelle13[[#Totals],[commits]]</f>
        <v>4.6477904404246225E-6</v>
      </c>
      <c r="I8152" s="5">
        <f>Tabelle13[[#This Row],[%]]+I8151</f>
        <v>0.9958402275557181</v>
      </c>
      <c r="J8152" s="4">
        <f t="shared" si="287"/>
        <v>1.105583195135434E-4</v>
      </c>
      <c r="K8152" s="5">
        <f t="shared" si="288"/>
        <v>0.90105030403549646</v>
      </c>
    </row>
    <row r="8153" spans="1:11" x14ac:dyDescent="0.25">
      <c r="A8153" t="s">
        <v>15899</v>
      </c>
      <c r="C8153" t="s">
        <v>15900</v>
      </c>
      <c r="D8153" t="s">
        <v>5</v>
      </c>
      <c r="E8153" t="s">
        <v>6</v>
      </c>
      <c r="F8153" t="s">
        <v>251</v>
      </c>
      <c r="G8153">
        <v>1</v>
      </c>
      <c r="H8153" s="2">
        <f>Tabelle13[[#This Row],[commits]]/Tabelle13[[#Totals],[commits]]</f>
        <v>4.6477904404246225E-6</v>
      </c>
      <c r="I8153" s="5">
        <f>Tabelle13[[#This Row],[%]]+I8152</f>
        <v>0.99584487534615851</v>
      </c>
      <c r="J8153" s="4">
        <f t="shared" si="287"/>
        <v>1.105583195135434E-4</v>
      </c>
      <c r="K8153" s="5">
        <f t="shared" si="288"/>
        <v>0.90116086235501003</v>
      </c>
    </row>
    <row r="8154" spans="1:11" x14ac:dyDescent="0.25">
      <c r="A8154" t="s">
        <v>15901</v>
      </c>
      <c r="C8154" t="s">
        <v>15902</v>
      </c>
      <c r="D8154" t="s">
        <v>5</v>
      </c>
      <c r="E8154" t="s">
        <v>6</v>
      </c>
      <c r="F8154" t="s">
        <v>251</v>
      </c>
      <c r="G8154">
        <v>1</v>
      </c>
      <c r="H8154" s="2">
        <f>Tabelle13[[#This Row],[commits]]/Tabelle13[[#Totals],[commits]]</f>
        <v>4.6477904404246225E-6</v>
      </c>
      <c r="I8154" s="5">
        <f>Tabelle13[[#This Row],[%]]+I8153</f>
        <v>0.99584952313659891</v>
      </c>
      <c r="J8154" s="4">
        <f t="shared" si="287"/>
        <v>1.105583195135434E-4</v>
      </c>
      <c r="K8154" s="5">
        <f t="shared" si="288"/>
        <v>0.90127142067452359</v>
      </c>
    </row>
    <row r="8155" spans="1:11" x14ac:dyDescent="0.25">
      <c r="A8155" t="s">
        <v>15903</v>
      </c>
      <c r="C8155" t="s">
        <v>15904</v>
      </c>
      <c r="D8155" t="s">
        <v>5</v>
      </c>
      <c r="E8155" t="s">
        <v>6</v>
      </c>
      <c r="F8155" t="s">
        <v>251</v>
      </c>
      <c r="G8155">
        <v>1</v>
      </c>
      <c r="H8155" s="2">
        <f>Tabelle13[[#This Row],[commits]]/Tabelle13[[#Totals],[commits]]</f>
        <v>4.6477904404246225E-6</v>
      </c>
      <c r="I8155" s="5">
        <f>Tabelle13[[#This Row],[%]]+I8154</f>
        <v>0.99585417092703932</v>
      </c>
      <c r="J8155" s="4">
        <f t="shared" si="287"/>
        <v>1.105583195135434E-4</v>
      </c>
      <c r="K8155" s="5">
        <f t="shared" si="288"/>
        <v>0.90138197899403716</v>
      </c>
    </row>
    <row r="8156" spans="1:11" x14ac:dyDescent="0.25">
      <c r="A8156" t="s">
        <v>15905</v>
      </c>
      <c r="C8156" t="s">
        <v>15906</v>
      </c>
      <c r="D8156" t="s">
        <v>13556</v>
      </c>
      <c r="E8156" t="s">
        <v>6</v>
      </c>
      <c r="F8156" t="s">
        <v>251</v>
      </c>
      <c r="G8156">
        <v>1</v>
      </c>
      <c r="H8156" s="2">
        <f>Tabelle13[[#This Row],[commits]]/Tabelle13[[#Totals],[commits]]</f>
        <v>4.6477904404246225E-6</v>
      </c>
      <c r="I8156" s="5">
        <f>Tabelle13[[#This Row],[%]]+I8155</f>
        <v>0.99585881871747972</v>
      </c>
      <c r="J8156" s="4">
        <f t="shared" si="287"/>
        <v>1.105583195135434E-4</v>
      </c>
      <c r="K8156" s="5">
        <f t="shared" si="288"/>
        <v>0.90149253731355072</v>
      </c>
    </row>
    <row r="8157" spans="1:11" x14ac:dyDescent="0.25">
      <c r="A8157" t="s">
        <v>15907</v>
      </c>
      <c r="C8157" t="s">
        <v>15908</v>
      </c>
      <c r="D8157" t="s">
        <v>5</v>
      </c>
      <c r="E8157" t="s">
        <v>6</v>
      </c>
      <c r="F8157" t="s">
        <v>251</v>
      </c>
      <c r="G8157">
        <v>1</v>
      </c>
      <c r="H8157" s="2">
        <f>Tabelle13[[#This Row],[commits]]/Tabelle13[[#Totals],[commits]]</f>
        <v>4.6477904404246225E-6</v>
      </c>
      <c r="I8157" s="5">
        <f>Tabelle13[[#This Row],[%]]+I8156</f>
        <v>0.99586346650792013</v>
      </c>
      <c r="J8157" s="4">
        <f t="shared" si="287"/>
        <v>1.105583195135434E-4</v>
      </c>
      <c r="K8157" s="5">
        <f t="shared" si="288"/>
        <v>0.90160309563306429</v>
      </c>
    </row>
    <row r="8158" spans="1:11" x14ac:dyDescent="0.25">
      <c r="A8158" t="s">
        <v>15909</v>
      </c>
      <c r="C8158" t="s">
        <v>15910</v>
      </c>
      <c r="D8158" t="s">
        <v>5</v>
      </c>
      <c r="E8158" t="s">
        <v>6</v>
      </c>
      <c r="F8158" t="s">
        <v>251</v>
      </c>
      <c r="G8158">
        <v>1</v>
      </c>
      <c r="H8158" s="2">
        <f>Tabelle13[[#This Row],[commits]]/Tabelle13[[#Totals],[commits]]</f>
        <v>4.6477904404246225E-6</v>
      </c>
      <c r="I8158" s="5">
        <f>Tabelle13[[#This Row],[%]]+I8157</f>
        <v>0.99586811429836053</v>
      </c>
      <c r="J8158" s="4">
        <f t="shared" si="287"/>
        <v>1.105583195135434E-4</v>
      </c>
      <c r="K8158" s="5">
        <f t="shared" si="288"/>
        <v>0.90171365395257785</v>
      </c>
    </row>
    <row r="8159" spans="1:11" x14ac:dyDescent="0.25">
      <c r="A8159" t="s">
        <v>15911</v>
      </c>
      <c r="C8159" t="s">
        <v>15912</v>
      </c>
      <c r="D8159" t="s">
        <v>5</v>
      </c>
      <c r="E8159" t="s">
        <v>6</v>
      </c>
      <c r="F8159" t="s">
        <v>251</v>
      </c>
      <c r="G8159">
        <v>1</v>
      </c>
      <c r="H8159" s="2">
        <f>Tabelle13[[#This Row],[commits]]/Tabelle13[[#Totals],[commits]]</f>
        <v>4.6477904404246225E-6</v>
      </c>
      <c r="I8159" s="5">
        <f>Tabelle13[[#This Row],[%]]+I8158</f>
        <v>0.99587276208880093</v>
      </c>
      <c r="J8159" s="4">
        <f t="shared" si="287"/>
        <v>1.105583195135434E-4</v>
      </c>
      <c r="K8159" s="5">
        <f t="shared" si="288"/>
        <v>0.90182421227209142</v>
      </c>
    </row>
    <row r="8160" spans="1:11" x14ac:dyDescent="0.25">
      <c r="A8160" t="s">
        <v>15913</v>
      </c>
      <c r="C8160" t="s">
        <v>15914</v>
      </c>
      <c r="D8160" t="s">
        <v>5</v>
      </c>
      <c r="E8160" t="s">
        <v>6</v>
      </c>
      <c r="F8160" t="s">
        <v>251</v>
      </c>
      <c r="G8160">
        <v>1</v>
      </c>
      <c r="H8160" s="2">
        <f>Tabelle13[[#This Row],[commits]]/Tabelle13[[#Totals],[commits]]</f>
        <v>4.6477904404246225E-6</v>
      </c>
      <c r="I8160" s="5">
        <f>Tabelle13[[#This Row],[%]]+I8159</f>
        <v>0.99587740987924134</v>
      </c>
      <c r="J8160" s="4">
        <f t="shared" si="287"/>
        <v>1.105583195135434E-4</v>
      </c>
      <c r="K8160" s="5">
        <f t="shared" si="288"/>
        <v>0.90193477059160498</v>
      </c>
    </row>
    <row r="8161" spans="1:11" x14ac:dyDescent="0.25">
      <c r="A8161" t="s">
        <v>15915</v>
      </c>
      <c r="C8161" t="s">
        <v>15916</v>
      </c>
      <c r="D8161" t="s">
        <v>5</v>
      </c>
      <c r="E8161" t="s">
        <v>6</v>
      </c>
      <c r="F8161" t="s">
        <v>251</v>
      </c>
      <c r="G8161">
        <v>1</v>
      </c>
      <c r="H8161" s="2">
        <f>Tabelle13[[#This Row],[commits]]/Tabelle13[[#Totals],[commits]]</f>
        <v>4.6477904404246225E-6</v>
      </c>
      <c r="I8161" s="5">
        <f>Tabelle13[[#This Row],[%]]+I8160</f>
        <v>0.99588205766968174</v>
      </c>
      <c r="J8161" s="4">
        <f t="shared" si="287"/>
        <v>1.105583195135434E-4</v>
      </c>
      <c r="K8161" s="5">
        <f t="shared" si="288"/>
        <v>0.90204532891111855</v>
      </c>
    </row>
    <row r="8162" spans="1:11" x14ac:dyDescent="0.25">
      <c r="A8162" t="s">
        <v>15917</v>
      </c>
      <c r="C8162" t="s">
        <v>15918</v>
      </c>
      <c r="D8162" t="s">
        <v>5</v>
      </c>
      <c r="E8162" t="s">
        <v>6</v>
      </c>
      <c r="F8162" t="s">
        <v>251</v>
      </c>
      <c r="G8162">
        <v>1</v>
      </c>
      <c r="H8162" s="2">
        <f>Tabelle13[[#This Row],[commits]]/Tabelle13[[#Totals],[commits]]</f>
        <v>4.6477904404246225E-6</v>
      </c>
      <c r="I8162" s="5">
        <f>Tabelle13[[#This Row],[%]]+I8161</f>
        <v>0.99588670546012215</v>
      </c>
      <c r="J8162" s="4">
        <f t="shared" si="287"/>
        <v>1.105583195135434E-4</v>
      </c>
      <c r="K8162" s="5">
        <f t="shared" si="288"/>
        <v>0.90215588723063211</v>
      </c>
    </row>
    <row r="8163" spans="1:11" x14ac:dyDescent="0.25">
      <c r="A8163" t="s">
        <v>15919</v>
      </c>
      <c r="C8163" t="s">
        <v>15920</v>
      </c>
      <c r="D8163" t="s">
        <v>5</v>
      </c>
      <c r="E8163" t="s">
        <v>6</v>
      </c>
      <c r="F8163" t="s">
        <v>251</v>
      </c>
      <c r="G8163">
        <v>1</v>
      </c>
      <c r="H8163" s="2">
        <f>Tabelle13[[#This Row],[commits]]/Tabelle13[[#Totals],[commits]]</f>
        <v>4.6477904404246225E-6</v>
      </c>
      <c r="I8163" s="5">
        <f>Tabelle13[[#This Row],[%]]+I8162</f>
        <v>0.99589135325056255</v>
      </c>
      <c r="J8163" s="4">
        <f t="shared" si="287"/>
        <v>1.105583195135434E-4</v>
      </c>
      <c r="K8163" s="5">
        <f t="shared" si="288"/>
        <v>0.90226644555014568</v>
      </c>
    </row>
    <row r="8164" spans="1:11" x14ac:dyDescent="0.25">
      <c r="A8164" t="s">
        <v>15921</v>
      </c>
      <c r="C8164" t="s">
        <v>15922</v>
      </c>
      <c r="D8164" t="s">
        <v>5</v>
      </c>
      <c r="E8164" t="s">
        <v>6</v>
      </c>
      <c r="F8164" t="s">
        <v>251</v>
      </c>
      <c r="G8164">
        <v>1</v>
      </c>
      <c r="H8164" s="2">
        <f>Tabelle13[[#This Row],[commits]]/Tabelle13[[#Totals],[commits]]</f>
        <v>4.6477904404246225E-6</v>
      </c>
      <c r="I8164" s="5">
        <f>Tabelle13[[#This Row],[%]]+I8163</f>
        <v>0.99589600104100295</v>
      </c>
      <c r="J8164" s="4">
        <f t="shared" si="287"/>
        <v>1.105583195135434E-4</v>
      </c>
      <c r="K8164" s="5">
        <f t="shared" si="288"/>
        <v>0.90237700386965924</v>
      </c>
    </row>
    <row r="8165" spans="1:11" x14ac:dyDescent="0.25">
      <c r="A8165" t="s">
        <v>15923</v>
      </c>
      <c r="C8165" t="s">
        <v>15924</v>
      </c>
      <c r="D8165" t="s">
        <v>5</v>
      </c>
      <c r="E8165" t="s">
        <v>6</v>
      </c>
      <c r="F8165" t="s">
        <v>251</v>
      </c>
      <c r="G8165">
        <v>1</v>
      </c>
      <c r="H8165" s="2">
        <f>Tabelle13[[#This Row],[commits]]/Tabelle13[[#Totals],[commits]]</f>
        <v>4.6477904404246225E-6</v>
      </c>
      <c r="I8165" s="5">
        <f>Tabelle13[[#This Row],[%]]+I8164</f>
        <v>0.99590064883144336</v>
      </c>
      <c r="J8165" s="4">
        <f t="shared" si="287"/>
        <v>1.105583195135434E-4</v>
      </c>
      <c r="K8165" s="5">
        <f t="shared" si="288"/>
        <v>0.90248756218917281</v>
      </c>
    </row>
    <row r="8166" spans="1:11" x14ac:dyDescent="0.25">
      <c r="A8166" t="s">
        <v>15925</v>
      </c>
      <c r="C8166" t="s">
        <v>15926</v>
      </c>
      <c r="D8166" t="s">
        <v>5</v>
      </c>
      <c r="E8166" t="s">
        <v>6</v>
      </c>
      <c r="F8166" t="s">
        <v>251</v>
      </c>
      <c r="G8166">
        <v>1</v>
      </c>
      <c r="H8166" s="2">
        <f>Tabelle13[[#This Row],[commits]]/Tabelle13[[#Totals],[commits]]</f>
        <v>4.6477904404246225E-6</v>
      </c>
      <c r="I8166" s="5">
        <f>Tabelle13[[#This Row],[%]]+I8165</f>
        <v>0.99590529662188376</v>
      </c>
      <c r="J8166" s="4">
        <f t="shared" si="287"/>
        <v>1.105583195135434E-4</v>
      </c>
      <c r="K8166" s="5">
        <f t="shared" si="288"/>
        <v>0.90259812050868637</v>
      </c>
    </row>
    <row r="8167" spans="1:11" x14ac:dyDescent="0.25">
      <c r="A8167" t="s">
        <v>15927</v>
      </c>
      <c r="C8167" t="s">
        <v>15928</v>
      </c>
      <c r="D8167" t="s">
        <v>15929</v>
      </c>
      <c r="E8167" t="s">
        <v>6</v>
      </c>
      <c r="F8167" t="s">
        <v>251</v>
      </c>
      <c r="G8167">
        <v>1</v>
      </c>
      <c r="H8167" s="2">
        <f>Tabelle13[[#This Row],[commits]]/Tabelle13[[#Totals],[commits]]</f>
        <v>4.6477904404246225E-6</v>
      </c>
      <c r="I8167" s="5">
        <f>Tabelle13[[#This Row],[%]]+I8166</f>
        <v>0.99590994441232417</v>
      </c>
      <c r="J8167" s="4">
        <f t="shared" si="287"/>
        <v>1.105583195135434E-4</v>
      </c>
      <c r="K8167" s="5">
        <f t="shared" si="288"/>
        <v>0.90270867882819994</v>
      </c>
    </row>
    <row r="8168" spans="1:11" x14ac:dyDescent="0.25">
      <c r="A8168" t="s">
        <v>15930</v>
      </c>
      <c r="C8168" t="s">
        <v>15931</v>
      </c>
      <c r="D8168" t="s">
        <v>5</v>
      </c>
      <c r="E8168" t="s">
        <v>6</v>
      </c>
      <c r="F8168" t="s">
        <v>251</v>
      </c>
      <c r="G8168">
        <v>1</v>
      </c>
      <c r="H8168" s="2">
        <f>Tabelle13[[#This Row],[commits]]/Tabelle13[[#Totals],[commits]]</f>
        <v>4.6477904404246225E-6</v>
      </c>
      <c r="I8168" s="5">
        <f>Tabelle13[[#This Row],[%]]+I8167</f>
        <v>0.99591459220276457</v>
      </c>
      <c r="J8168" s="4">
        <f t="shared" si="287"/>
        <v>1.105583195135434E-4</v>
      </c>
      <c r="K8168" s="5">
        <f t="shared" si="288"/>
        <v>0.9028192371477135</v>
      </c>
    </row>
    <row r="8169" spans="1:11" x14ac:dyDescent="0.25">
      <c r="A8169" t="s">
        <v>15932</v>
      </c>
      <c r="C8169" t="s">
        <v>15933</v>
      </c>
      <c r="D8169" t="s">
        <v>5</v>
      </c>
      <c r="E8169" t="s">
        <v>6</v>
      </c>
      <c r="F8169" t="s">
        <v>251</v>
      </c>
      <c r="G8169">
        <v>1</v>
      </c>
      <c r="H8169" s="2">
        <f>Tabelle13[[#This Row],[commits]]/Tabelle13[[#Totals],[commits]]</f>
        <v>4.6477904404246225E-6</v>
      </c>
      <c r="I8169" s="5">
        <f>Tabelle13[[#This Row],[%]]+I8168</f>
        <v>0.99591923999320497</v>
      </c>
      <c r="J8169" s="4">
        <f t="shared" si="287"/>
        <v>1.105583195135434E-4</v>
      </c>
      <c r="K8169" s="5">
        <f t="shared" si="288"/>
        <v>0.90292979546722707</v>
      </c>
    </row>
    <row r="8170" spans="1:11" x14ac:dyDescent="0.25">
      <c r="A8170" t="s">
        <v>15934</v>
      </c>
      <c r="C8170" t="s">
        <v>15935</v>
      </c>
      <c r="D8170" t="s">
        <v>5</v>
      </c>
      <c r="E8170" t="s">
        <v>6</v>
      </c>
      <c r="F8170" t="s">
        <v>251</v>
      </c>
      <c r="G8170">
        <v>1</v>
      </c>
      <c r="H8170" s="2">
        <f>Tabelle13[[#This Row],[commits]]/Tabelle13[[#Totals],[commits]]</f>
        <v>4.6477904404246225E-6</v>
      </c>
      <c r="I8170" s="5">
        <f>Tabelle13[[#This Row],[%]]+I8169</f>
        <v>0.99592388778364538</v>
      </c>
      <c r="J8170" s="4">
        <f t="shared" si="287"/>
        <v>1.105583195135434E-4</v>
      </c>
      <c r="K8170" s="5">
        <f t="shared" si="288"/>
        <v>0.90304035378674063</v>
      </c>
    </row>
    <row r="8171" spans="1:11" x14ac:dyDescent="0.25">
      <c r="A8171" t="s">
        <v>15936</v>
      </c>
      <c r="C8171" t="s">
        <v>15937</v>
      </c>
      <c r="D8171" t="s">
        <v>5</v>
      </c>
      <c r="E8171" t="s">
        <v>6</v>
      </c>
      <c r="F8171" t="s">
        <v>251</v>
      </c>
      <c r="G8171">
        <v>1</v>
      </c>
      <c r="H8171" s="2">
        <f>Tabelle13[[#This Row],[commits]]/Tabelle13[[#Totals],[commits]]</f>
        <v>4.6477904404246225E-6</v>
      </c>
      <c r="I8171" s="5">
        <f>Tabelle13[[#This Row],[%]]+I8170</f>
        <v>0.99592853557408578</v>
      </c>
      <c r="J8171" s="4">
        <f t="shared" si="287"/>
        <v>1.105583195135434E-4</v>
      </c>
      <c r="K8171" s="5">
        <f t="shared" si="288"/>
        <v>0.9031509121062542</v>
      </c>
    </row>
    <row r="8172" spans="1:11" x14ac:dyDescent="0.25">
      <c r="A8172" t="s">
        <v>15938</v>
      </c>
      <c r="C8172" t="s">
        <v>114</v>
      </c>
      <c r="D8172" t="s">
        <v>5</v>
      </c>
      <c r="E8172" t="s">
        <v>6</v>
      </c>
      <c r="F8172" t="s">
        <v>251</v>
      </c>
      <c r="G8172">
        <v>1</v>
      </c>
      <c r="H8172" s="2">
        <f>Tabelle13[[#This Row],[commits]]/Tabelle13[[#Totals],[commits]]</f>
        <v>4.6477904404246225E-6</v>
      </c>
      <c r="I8172" s="5">
        <f>Tabelle13[[#This Row],[%]]+I8171</f>
        <v>0.99593318336452619</v>
      </c>
      <c r="J8172" s="4">
        <f t="shared" si="287"/>
        <v>1.105583195135434E-4</v>
      </c>
      <c r="K8172" s="5">
        <f t="shared" si="288"/>
        <v>0.90326147042576777</v>
      </c>
    </row>
    <row r="8173" spans="1:11" x14ac:dyDescent="0.25">
      <c r="A8173" t="s">
        <v>15939</v>
      </c>
      <c r="C8173" t="s">
        <v>15940</v>
      </c>
      <c r="D8173" t="s">
        <v>5</v>
      </c>
      <c r="E8173" t="s">
        <v>6</v>
      </c>
      <c r="F8173" t="s">
        <v>251</v>
      </c>
      <c r="G8173">
        <v>1</v>
      </c>
      <c r="H8173" s="2">
        <f>Tabelle13[[#This Row],[commits]]/Tabelle13[[#Totals],[commits]]</f>
        <v>4.6477904404246225E-6</v>
      </c>
      <c r="I8173" s="5">
        <f>Tabelle13[[#This Row],[%]]+I8172</f>
        <v>0.99593783115496659</v>
      </c>
      <c r="J8173" s="4">
        <f t="shared" si="287"/>
        <v>1.105583195135434E-4</v>
      </c>
      <c r="K8173" s="5">
        <f t="shared" si="288"/>
        <v>0.90337202874528133</v>
      </c>
    </row>
    <row r="8174" spans="1:11" x14ac:dyDescent="0.25">
      <c r="A8174" t="s">
        <v>15941</v>
      </c>
      <c r="C8174" t="s">
        <v>15942</v>
      </c>
      <c r="D8174" t="s">
        <v>5</v>
      </c>
      <c r="E8174" t="s">
        <v>6</v>
      </c>
      <c r="F8174" t="s">
        <v>251</v>
      </c>
      <c r="G8174">
        <v>1</v>
      </c>
      <c r="H8174" s="2">
        <f>Tabelle13[[#This Row],[commits]]/Tabelle13[[#Totals],[commits]]</f>
        <v>4.6477904404246225E-6</v>
      </c>
      <c r="I8174" s="5">
        <f>Tabelle13[[#This Row],[%]]+I8173</f>
        <v>0.99594247894540699</v>
      </c>
      <c r="J8174" s="4">
        <f t="shared" si="287"/>
        <v>1.105583195135434E-4</v>
      </c>
      <c r="K8174" s="5">
        <f t="shared" si="288"/>
        <v>0.9034825870647949</v>
      </c>
    </row>
    <row r="8175" spans="1:11" x14ac:dyDescent="0.25">
      <c r="A8175" t="s">
        <v>15943</v>
      </c>
      <c r="C8175" t="s">
        <v>15944</v>
      </c>
      <c r="D8175" t="s">
        <v>15945</v>
      </c>
      <c r="E8175" t="s">
        <v>6</v>
      </c>
      <c r="F8175" t="s">
        <v>251</v>
      </c>
      <c r="G8175">
        <v>1</v>
      </c>
      <c r="H8175" s="2">
        <f>Tabelle13[[#This Row],[commits]]/Tabelle13[[#Totals],[commits]]</f>
        <v>4.6477904404246225E-6</v>
      </c>
      <c r="I8175" s="5">
        <f>Tabelle13[[#This Row],[%]]+I8174</f>
        <v>0.9959471267358474</v>
      </c>
      <c r="J8175" s="4">
        <f t="shared" si="287"/>
        <v>1.105583195135434E-4</v>
      </c>
      <c r="K8175" s="5">
        <f t="shared" si="288"/>
        <v>0.90359314538430846</v>
      </c>
    </row>
    <row r="8176" spans="1:11" x14ac:dyDescent="0.25">
      <c r="A8176" t="s">
        <v>15946</v>
      </c>
      <c r="C8176" t="s">
        <v>15947</v>
      </c>
      <c r="D8176" t="s">
        <v>5</v>
      </c>
      <c r="E8176" t="s">
        <v>6</v>
      </c>
      <c r="F8176" t="s">
        <v>251</v>
      </c>
      <c r="G8176">
        <v>1</v>
      </c>
      <c r="H8176" s="2">
        <f>Tabelle13[[#This Row],[commits]]/Tabelle13[[#Totals],[commits]]</f>
        <v>4.6477904404246225E-6</v>
      </c>
      <c r="I8176" s="5">
        <f>Tabelle13[[#This Row],[%]]+I8175</f>
        <v>0.9959517745262878</v>
      </c>
      <c r="J8176" s="4">
        <f t="shared" si="287"/>
        <v>1.105583195135434E-4</v>
      </c>
      <c r="K8176" s="5">
        <f t="shared" si="288"/>
        <v>0.90370370370382203</v>
      </c>
    </row>
    <row r="8177" spans="1:11" x14ac:dyDescent="0.25">
      <c r="A8177" t="s">
        <v>15948</v>
      </c>
      <c r="C8177" t="s">
        <v>15303</v>
      </c>
      <c r="D8177" t="s">
        <v>15949</v>
      </c>
      <c r="E8177" t="s">
        <v>6</v>
      </c>
      <c r="F8177" t="s">
        <v>251</v>
      </c>
      <c r="G8177">
        <v>1</v>
      </c>
      <c r="H8177" s="2">
        <f>Tabelle13[[#This Row],[commits]]/Tabelle13[[#Totals],[commits]]</f>
        <v>4.6477904404246225E-6</v>
      </c>
      <c r="I8177" s="5">
        <f>Tabelle13[[#This Row],[%]]+I8176</f>
        <v>0.99595642231672821</v>
      </c>
      <c r="J8177" s="4">
        <f t="shared" si="287"/>
        <v>1.105583195135434E-4</v>
      </c>
      <c r="K8177" s="5">
        <f t="shared" si="288"/>
        <v>0.90381426202333559</v>
      </c>
    </row>
    <row r="8178" spans="1:11" x14ac:dyDescent="0.25">
      <c r="A8178" t="s">
        <v>15950</v>
      </c>
      <c r="C8178" t="s">
        <v>15951</v>
      </c>
      <c r="D8178" t="s">
        <v>5</v>
      </c>
      <c r="E8178" t="s">
        <v>6</v>
      </c>
      <c r="F8178" t="s">
        <v>251</v>
      </c>
      <c r="G8178">
        <v>1</v>
      </c>
      <c r="H8178" s="2">
        <f>Tabelle13[[#This Row],[commits]]/Tabelle13[[#Totals],[commits]]</f>
        <v>4.6477904404246225E-6</v>
      </c>
      <c r="I8178" s="5">
        <f>Tabelle13[[#This Row],[%]]+I8177</f>
        <v>0.99596107010716861</v>
      </c>
      <c r="J8178" s="4">
        <f t="shared" si="287"/>
        <v>1.105583195135434E-4</v>
      </c>
      <c r="K8178" s="5">
        <f t="shared" si="288"/>
        <v>0.90392482034284916</v>
      </c>
    </row>
    <row r="8179" spans="1:11" x14ac:dyDescent="0.25">
      <c r="A8179" t="s">
        <v>15952</v>
      </c>
      <c r="C8179" t="s">
        <v>15953</v>
      </c>
      <c r="D8179" t="s">
        <v>15954</v>
      </c>
      <c r="E8179" t="s">
        <v>6</v>
      </c>
      <c r="F8179" t="s">
        <v>251</v>
      </c>
      <c r="G8179">
        <v>1</v>
      </c>
      <c r="H8179" s="2">
        <f>Tabelle13[[#This Row],[commits]]/Tabelle13[[#Totals],[commits]]</f>
        <v>4.6477904404246225E-6</v>
      </c>
      <c r="I8179" s="5">
        <f>Tabelle13[[#This Row],[%]]+I8178</f>
        <v>0.99596571789760902</v>
      </c>
      <c r="J8179" s="4">
        <f t="shared" si="287"/>
        <v>1.105583195135434E-4</v>
      </c>
      <c r="K8179" s="5">
        <f t="shared" si="288"/>
        <v>0.90403537866236272</v>
      </c>
    </row>
    <row r="8180" spans="1:11" x14ac:dyDescent="0.25">
      <c r="A8180" t="s">
        <v>15955</v>
      </c>
      <c r="C8180" t="s">
        <v>15956</v>
      </c>
      <c r="D8180" t="s">
        <v>15957</v>
      </c>
      <c r="E8180" t="s">
        <v>6</v>
      </c>
      <c r="F8180" t="s">
        <v>251</v>
      </c>
      <c r="G8180">
        <v>1</v>
      </c>
      <c r="H8180" s="2">
        <f>Tabelle13[[#This Row],[commits]]/Tabelle13[[#Totals],[commits]]</f>
        <v>4.6477904404246225E-6</v>
      </c>
      <c r="I8180" s="5">
        <f>Tabelle13[[#This Row],[%]]+I8179</f>
        <v>0.99597036568804942</v>
      </c>
      <c r="J8180" s="4">
        <f t="shared" si="287"/>
        <v>1.105583195135434E-4</v>
      </c>
      <c r="K8180" s="5">
        <f t="shared" si="288"/>
        <v>0.90414593698187629</v>
      </c>
    </row>
    <row r="8181" spans="1:11" x14ac:dyDescent="0.25">
      <c r="A8181" t="s">
        <v>15958</v>
      </c>
      <c r="C8181" t="s">
        <v>15959</v>
      </c>
      <c r="D8181" t="s">
        <v>5</v>
      </c>
      <c r="E8181" t="s">
        <v>6</v>
      </c>
      <c r="F8181" t="s">
        <v>251</v>
      </c>
      <c r="G8181">
        <v>1</v>
      </c>
      <c r="H8181" s="2">
        <f>Tabelle13[[#This Row],[commits]]/Tabelle13[[#Totals],[commits]]</f>
        <v>4.6477904404246225E-6</v>
      </c>
      <c r="I8181" s="5">
        <f>Tabelle13[[#This Row],[%]]+I8180</f>
        <v>0.99597501347848982</v>
      </c>
      <c r="J8181" s="4">
        <f t="shared" si="287"/>
        <v>1.105583195135434E-4</v>
      </c>
      <c r="K8181" s="5">
        <f t="shared" si="288"/>
        <v>0.90425649530138985</v>
      </c>
    </row>
    <row r="8182" spans="1:11" x14ac:dyDescent="0.25">
      <c r="A8182" t="s">
        <v>15960</v>
      </c>
      <c r="C8182" t="s">
        <v>15961</v>
      </c>
      <c r="D8182" t="s">
        <v>5</v>
      </c>
      <c r="E8182" t="s">
        <v>6</v>
      </c>
      <c r="F8182" t="s">
        <v>251</v>
      </c>
      <c r="G8182">
        <v>1</v>
      </c>
      <c r="H8182" s="2">
        <f>Tabelle13[[#This Row],[commits]]/Tabelle13[[#Totals],[commits]]</f>
        <v>4.6477904404246225E-6</v>
      </c>
      <c r="I8182" s="5">
        <f>Tabelle13[[#This Row],[%]]+I8181</f>
        <v>0.99597966126893023</v>
      </c>
      <c r="J8182" s="4">
        <f t="shared" si="287"/>
        <v>1.105583195135434E-4</v>
      </c>
      <c r="K8182" s="5">
        <f t="shared" si="288"/>
        <v>0.90436705362090342</v>
      </c>
    </row>
    <row r="8183" spans="1:11" x14ac:dyDescent="0.25">
      <c r="A8183" t="s">
        <v>15962</v>
      </c>
      <c r="C8183" t="s">
        <v>15963</v>
      </c>
      <c r="D8183" t="s">
        <v>10452</v>
      </c>
      <c r="E8183" t="s">
        <v>6</v>
      </c>
      <c r="F8183" t="s">
        <v>251</v>
      </c>
      <c r="G8183">
        <v>1</v>
      </c>
      <c r="H8183" s="2">
        <f>Tabelle13[[#This Row],[commits]]/Tabelle13[[#Totals],[commits]]</f>
        <v>4.6477904404246225E-6</v>
      </c>
      <c r="I8183" s="5">
        <f>Tabelle13[[#This Row],[%]]+I8182</f>
        <v>0.99598430905937063</v>
      </c>
      <c r="J8183" s="4">
        <f t="shared" si="287"/>
        <v>1.105583195135434E-4</v>
      </c>
      <c r="K8183" s="5">
        <f t="shared" si="288"/>
        <v>0.90447761194041698</v>
      </c>
    </row>
    <row r="8184" spans="1:11" x14ac:dyDescent="0.25">
      <c r="A8184" t="s">
        <v>15964</v>
      </c>
      <c r="C8184" t="s">
        <v>15965</v>
      </c>
      <c r="D8184" t="s">
        <v>5</v>
      </c>
      <c r="E8184" t="s">
        <v>6</v>
      </c>
      <c r="F8184" t="s">
        <v>251</v>
      </c>
      <c r="G8184">
        <v>1</v>
      </c>
      <c r="H8184" s="2">
        <f>Tabelle13[[#This Row],[commits]]/Tabelle13[[#Totals],[commits]]</f>
        <v>4.6477904404246225E-6</v>
      </c>
      <c r="I8184" s="5">
        <f>Tabelle13[[#This Row],[%]]+I8183</f>
        <v>0.99598895684981104</v>
      </c>
      <c r="J8184" s="4">
        <f t="shared" si="287"/>
        <v>1.105583195135434E-4</v>
      </c>
      <c r="K8184" s="5">
        <f t="shared" si="288"/>
        <v>0.90458817025993055</v>
      </c>
    </row>
    <row r="8185" spans="1:11" x14ac:dyDescent="0.25">
      <c r="A8185" t="s">
        <v>15966</v>
      </c>
      <c r="C8185" t="s">
        <v>15967</v>
      </c>
      <c r="D8185" t="s">
        <v>5</v>
      </c>
      <c r="E8185" t="s">
        <v>6</v>
      </c>
      <c r="F8185" t="s">
        <v>251</v>
      </c>
      <c r="G8185">
        <v>1</v>
      </c>
      <c r="H8185" s="2">
        <f>Tabelle13[[#This Row],[commits]]/Tabelle13[[#Totals],[commits]]</f>
        <v>4.6477904404246225E-6</v>
      </c>
      <c r="I8185" s="5">
        <f>Tabelle13[[#This Row],[%]]+I8184</f>
        <v>0.99599360464025144</v>
      </c>
      <c r="J8185" s="4">
        <f t="shared" si="287"/>
        <v>1.105583195135434E-4</v>
      </c>
      <c r="K8185" s="5">
        <f t="shared" si="288"/>
        <v>0.90469872857944411</v>
      </c>
    </row>
    <row r="8186" spans="1:11" x14ac:dyDescent="0.25">
      <c r="A8186" t="s">
        <v>15968</v>
      </c>
      <c r="C8186" t="s">
        <v>15969</v>
      </c>
      <c r="D8186" t="s">
        <v>5</v>
      </c>
      <c r="E8186" t="s">
        <v>6</v>
      </c>
      <c r="F8186" t="s">
        <v>251</v>
      </c>
      <c r="G8186">
        <v>1</v>
      </c>
      <c r="H8186" s="2">
        <f>Tabelle13[[#This Row],[commits]]/Tabelle13[[#Totals],[commits]]</f>
        <v>4.6477904404246225E-6</v>
      </c>
      <c r="I8186" s="5">
        <f>Tabelle13[[#This Row],[%]]+I8185</f>
        <v>0.99599825243069184</v>
      </c>
      <c r="J8186" s="4">
        <f t="shared" si="287"/>
        <v>1.105583195135434E-4</v>
      </c>
      <c r="K8186" s="5">
        <f t="shared" si="288"/>
        <v>0.90480928689895768</v>
      </c>
    </row>
    <row r="8187" spans="1:11" x14ac:dyDescent="0.25">
      <c r="A8187" t="s">
        <v>15970</v>
      </c>
      <c r="C8187" t="s">
        <v>15971</v>
      </c>
      <c r="D8187" t="s">
        <v>5</v>
      </c>
      <c r="E8187" t="s">
        <v>6</v>
      </c>
      <c r="F8187" t="s">
        <v>251</v>
      </c>
      <c r="G8187">
        <v>1</v>
      </c>
      <c r="H8187" s="2">
        <f>Tabelle13[[#This Row],[commits]]/Tabelle13[[#Totals],[commits]]</f>
        <v>4.6477904404246225E-6</v>
      </c>
      <c r="I8187" s="5">
        <f>Tabelle13[[#This Row],[%]]+I8186</f>
        <v>0.99600290022113225</v>
      </c>
      <c r="J8187" s="4">
        <f t="shared" si="287"/>
        <v>1.105583195135434E-4</v>
      </c>
      <c r="K8187" s="5">
        <f t="shared" si="288"/>
        <v>0.90491984521847124</v>
      </c>
    </row>
    <row r="8188" spans="1:11" x14ac:dyDescent="0.25">
      <c r="A8188" t="s">
        <v>15972</v>
      </c>
      <c r="C8188" t="s">
        <v>15973</v>
      </c>
      <c r="D8188" t="s">
        <v>5</v>
      </c>
      <c r="E8188" t="s">
        <v>6</v>
      </c>
      <c r="F8188" t="s">
        <v>251</v>
      </c>
      <c r="G8188">
        <v>1</v>
      </c>
      <c r="H8188" s="2">
        <f>Tabelle13[[#This Row],[commits]]/Tabelle13[[#Totals],[commits]]</f>
        <v>4.6477904404246225E-6</v>
      </c>
      <c r="I8188" s="5">
        <f>Tabelle13[[#This Row],[%]]+I8187</f>
        <v>0.99600754801157265</v>
      </c>
      <c r="J8188" s="4">
        <f t="shared" si="287"/>
        <v>1.105583195135434E-4</v>
      </c>
      <c r="K8188" s="5">
        <f t="shared" si="288"/>
        <v>0.90503040353798481</v>
      </c>
    </row>
    <row r="8189" spans="1:11" x14ac:dyDescent="0.25">
      <c r="A8189" t="s">
        <v>15974</v>
      </c>
      <c r="C8189" t="s">
        <v>15975</v>
      </c>
      <c r="D8189" t="s">
        <v>5</v>
      </c>
      <c r="E8189" t="s">
        <v>6</v>
      </c>
      <c r="F8189" t="s">
        <v>251</v>
      </c>
      <c r="G8189">
        <v>1</v>
      </c>
      <c r="H8189" s="2">
        <f>Tabelle13[[#This Row],[commits]]/Tabelle13[[#Totals],[commits]]</f>
        <v>4.6477904404246225E-6</v>
      </c>
      <c r="I8189" s="5">
        <f>Tabelle13[[#This Row],[%]]+I8188</f>
        <v>0.99601219580201306</v>
      </c>
      <c r="J8189" s="4">
        <f t="shared" si="287"/>
        <v>1.105583195135434E-4</v>
      </c>
      <c r="K8189" s="5">
        <f t="shared" si="288"/>
        <v>0.90514096185749837</v>
      </c>
    </row>
    <row r="8190" spans="1:11" x14ac:dyDescent="0.25">
      <c r="A8190" t="s">
        <v>15976</v>
      </c>
      <c r="C8190" t="s">
        <v>15977</v>
      </c>
      <c r="D8190" t="s">
        <v>5</v>
      </c>
      <c r="E8190" t="s">
        <v>6</v>
      </c>
      <c r="F8190" t="s">
        <v>251</v>
      </c>
      <c r="G8190">
        <v>1</v>
      </c>
      <c r="H8190" s="2">
        <f>Tabelle13[[#This Row],[commits]]/Tabelle13[[#Totals],[commits]]</f>
        <v>4.6477904404246225E-6</v>
      </c>
      <c r="I8190" s="5">
        <f>Tabelle13[[#This Row],[%]]+I8189</f>
        <v>0.99601684359245346</v>
      </c>
      <c r="J8190" s="4">
        <f t="shared" si="287"/>
        <v>1.105583195135434E-4</v>
      </c>
      <c r="K8190" s="5">
        <f t="shared" si="288"/>
        <v>0.90525152017701194</v>
      </c>
    </row>
    <row r="8191" spans="1:11" x14ac:dyDescent="0.25">
      <c r="A8191" t="s">
        <v>15978</v>
      </c>
      <c r="C8191" t="s">
        <v>15979</v>
      </c>
      <c r="D8191" t="s">
        <v>5</v>
      </c>
      <c r="E8191" t="s">
        <v>6</v>
      </c>
      <c r="F8191" t="s">
        <v>251</v>
      </c>
      <c r="G8191">
        <v>1</v>
      </c>
      <c r="H8191" s="2">
        <f>Tabelle13[[#This Row],[commits]]/Tabelle13[[#Totals],[commits]]</f>
        <v>4.6477904404246225E-6</v>
      </c>
      <c r="I8191" s="5">
        <f>Tabelle13[[#This Row],[%]]+I8190</f>
        <v>0.99602149138289386</v>
      </c>
      <c r="J8191" s="4">
        <f t="shared" si="287"/>
        <v>1.105583195135434E-4</v>
      </c>
      <c r="K8191" s="5">
        <f t="shared" si="288"/>
        <v>0.9053620784965255</v>
      </c>
    </row>
    <row r="8192" spans="1:11" x14ac:dyDescent="0.25">
      <c r="A8192" t="s">
        <v>15980</v>
      </c>
      <c r="C8192" t="s">
        <v>15981</v>
      </c>
      <c r="D8192" t="s">
        <v>5</v>
      </c>
      <c r="E8192" t="s">
        <v>6</v>
      </c>
      <c r="F8192" t="s">
        <v>251</v>
      </c>
      <c r="G8192">
        <v>1</v>
      </c>
      <c r="H8192" s="2">
        <f>Tabelle13[[#This Row],[commits]]/Tabelle13[[#Totals],[commits]]</f>
        <v>4.6477904404246225E-6</v>
      </c>
      <c r="I8192" s="5">
        <f>Tabelle13[[#This Row],[%]]+I8191</f>
        <v>0.99602613917333427</v>
      </c>
      <c r="J8192" s="4">
        <f t="shared" si="287"/>
        <v>1.105583195135434E-4</v>
      </c>
      <c r="K8192" s="5">
        <f t="shared" si="288"/>
        <v>0.90547263681603907</v>
      </c>
    </row>
    <row r="8193" spans="1:11" x14ac:dyDescent="0.25">
      <c r="A8193" t="s">
        <v>15982</v>
      </c>
      <c r="C8193" t="s">
        <v>15983</v>
      </c>
      <c r="D8193" t="s">
        <v>5</v>
      </c>
      <c r="E8193" t="s">
        <v>6</v>
      </c>
      <c r="F8193" t="s">
        <v>251</v>
      </c>
      <c r="G8193">
        <v>1</v>
      </c>
      <c r="H8193" s="2">
        <f>Tabelle13[[#This Row],[commits]]/Tabelle13[[#Totals],[commits]]</f>
        <v>4.6477904404246225E-6</v>
      </c>
      <c r="I8193" s="5">
        <f>Tabelle13[[#This Row],[%]]+I8192</f>
        <v>0.99603078696377467</v>
      </c>
      <c r="J8193" s="4">
        <f t="shared" si="287"/>
        <v>1.105583195135434E-4</v>
      </c>
      <c r="K8193" s="5">
        <f t="shared" si="288"/>
        <v>0.90558319513555263</v>
      </c>
    </row>
    <row r="8194" spans="1:11" x14ac:dyDescent="0.25">
      <c r="A8194" t="s">
        <v>15984</v>
      </c>
      <c r="C8194" t="s">
        <v>15985</v>
      </c>
      <c r="D8194" t="s">
        <v>5</v>
      </c>
      <c r="E8194" t="s">
        <v>6</v>
      </c>
      <c r="F8194" t="s">
        <v>251</v>
      </c>
      <c r="G8194">
        <v>1</v>
      </c>
      <c r="H8194" s="2">
        <f>Tabelle13[[#This Row],[commits]]/Tabelle13[[#Totals],[commits]]</f>
        <v>4.6477904404246225E-6</v>
      </c>
      <c r="I8194" s="5">
        <f>Tabelle13[[#This Row],[%]]+I8193</f>
        <v>0.99603543475421508</v>
      </c>
      <c r="J8194" s="4">
        <f t="shared" si="287"/>
        <v>1.105583195135434E-4</v>
      </c>
      <c r="K8194" s="5">
        <f t="shared" si="288"/>
        <v>0.9056937534550662</v>
      </c>
    </row>
    <row r="8195" spans="1:11" x14ac:dyDescent="0.25">
      <c r="A8195" t="s">
        <v>15986</v>
      </c>
      <c r="C8195">
        <v>78355640</v>
      </c>
      <c r="D8195" t="s">
        <v>5</v>
      </c>
      <c r="E8195" t="s">
        <v>6</v>
      </c>
      <c r="F8195" t="s">
        <v>251</v>
      </c>
      <c r="G8195">
        <v>1</v>
      </c>
      <c r="H8195" s="2">
        <f>Tabelle13[[#This Row],[commits]]/Tabelle13[[#Totals],[commits]]</f>
        <v>4.6477904404246225E-6</v>
      </c>
      <c r="I8195" s="5">
        <f>Tabelle13[[#This Row],[%]]+I8194</f>
        <v>0.99604008254465548</v>
      </c>
      <c r="J8195" s="4">
        <f t="shared" ref="J8195:J8258" si="289">1/9045</f>
        <v>1.105583195135434E-4</v>
      </c>
      <c r="K8195" s="5">
        <f t="shared" si="288"/>
        <v>0.90580431177457976</v>
      </c>
    </row>
    <row r="8196" spans="1:11" x14ac:dyDescent="0.25">
      <c r="A8196" t="s">
        <v>15987</v>
      </c>
      <c r="C8196" t="s">
        <v>15988</v>
      </c>
      <c r="D8196" t="s">
        <v>5</v>
      </c>
      <c r="E8196" t="s">
        <v>6</v>
      </c>
      <c r="F8196" t="s">
        <v>251</v>
      </c>
      <c r="G8196">
        <v>1</v>
      </c>
      <c r="H8196" s="2">
        <f>Tabelle13[[#This Row],[commits]]/Tabelle13[[#Totals],[commits]]</f>
        <v>4.6477904404246225E-6</v>
      </c>
      <c r="I8196" s="5">
        <f>Tabelle13[[#This Row],[%]]+I8195</f>
        <v>0.99604473033509588</v>
      </c>
      <c r="J8196" s="4">
        <f t="shared" si="289"/>
        <v>1.105583195135434E-4</v>
      </c>
      <c r="K8196" s="5">
        <f t="shared" si="288"/>
        <v>0.90591487009409333</v>
      </c>
    </row>
    <row r="8197" spans="1:11" x14ac:dyDescent="0.25">
      <c r="A8197" t="s">
        <v>15989</v>
      </c>
      <c r="C8197" t="s">
        <v>15990</v>
      </c>
      <c r="D8197" t="s">
        <v>5</v>
      </c>
      <c r="E8197" t="s">
        <v>6</v>
      </c>
      <c r="F8197" t="s">
        <v>251</v>
      </c>
      <c r="G8197">
        <v>1</v>
      </c>
      <c r="H8197" s="2">
        <f>Tabelle13[[#This Row],[commits]]/Tabelle13[[#Totals],[commits]]</f>
        <v>4.6477904404246225E-6</v>
      </c>
      <c r="I8197" s="5">
        <f>Tabelle13[[#This Row],[%]]+I8196</f>
        <v>0.99604937812553629</v>
      </c>
      <c r="J8197" s="4">
        <f t="shared" si="289"/>
        <v>1.105583195135434E-4</v>
      </c>
      <c r="K8197" s="5">
        <f t="shared" si="288"/>
        <v>0.90602542841360689</v>
      </c>
    </row>
    <row r="8198" spans="1:11" x14ac:dyDescent="0.25">
      <c r="A8198" t="s">
        <v>15991</v>
      </c>
      <c r="C8198" t="s">
        <v>15992</v>
      </c>
      <c r="D8198" t="s">
        <v>5</v>
      </c>
      <c r="E8198" t="s">
        <v>6</v>
      </c>
      <c r="F8198" t="s">
        <v>251</v>
      </c>
      <c r="G8198">
        <v>1</v>
      </c>
      <c r="H8198" s="2">
        <f>Tabelle13[[#This Row],[commits]]/Tabelle13[[#Totals],[commits]]</f>
        <v>4.6477904404246225E-6</v>
      </c>
      <c r="I8198" s="5">
        <f>Tabelle13[[#This Row],[%]]+I8197</f>
        <v>0.99605402591597669</v>
      </c>
      <c r="J8198" s="4">
        <f t="shared" si="289"/>
        <v>1.105583195135434E-4</v>
      </c>
      <c r="K8198" s="5">
        <f t="shared" ref="K8198:K8261" si="290">J8198+K8197</f>
        <v>0.90613598673312046</v>
      </c>
    </row>
    <row r="8199" spans="1:11" x14ac:dyDescent="0.25">
      <c r="A8199" t="s">
        <v>15993</v>
      </c>
      <c r="C8199" t="s">
        <v>15994</v>
      </c>
      <c r="D8199" t="s">
        <v>7531</v>
      </c>
      <c r="E8199" t="s">
        <v>6</v>
      </c>
      <c r="F8199" t="s">
        <v>251</v>
      </c>
      <c r="G8199">
        <v>1</v>
      </c>
      <c r="H8199" s="2">
        <f>Tabelle13[[#This Row],[commits]]/Tabelle13[[#Totals],[commits]]</f>
        <v>4.6477904404246225E-6</v>
      </c>
      <c r="I8199" s="5">
        <f>Tabelle13[[#This Row],[%]]+I8198</f>
        <v>0.9960586737064171</v>
      </c>
      <c r="J8199" s="4">
        <f t="shared" si="289"/>
        <v>1.105583195135434E-4</v>
      </c>
      <c r="K8199" s="5">
        <f t="shared" si="290"/>
        <v>0.90624654505263402</v>
      </c>
    </row>
    <row r="8200" spans="1:11" x14ac:dyDescent="0.25">
      <c r="A8200" t="s">
        <v>15995</v>
      </c>
      <c r="C8200" t="s">
        <v>15996</v>
      </c>
      <c r="D8200" t="s">
        <v>8874</v>
      </c>
      <c r="E8200" t="s">
        <v>6</v>
      </c>
      <c r="F8200" t="s">
        <v>251</v>
      </c>
      <c r="G8200">
        <v>1</v>
      </c>
      <c r="H8200" s="2">
        <f>Tabelle13[[#This Row],[commits]]/Tabelle13[[#Totals],[commits]]</f>
        <v>4.6477904404246225E-6</v>
      </c>
      <c r="I8200" s="5">
        <f>Tabelle13[[#This Row],[%]]+I8199</f>
        <v>0.9960633214968575</v>
      </c>
      <c r="J8200" s="4">
        <f t="shared" si="289"/>
        <v>1.105583195135434E-4</v>
      </c>
      <c r="K8200" s="5">
        <f t="shared" si="290"/>
        <v>0.90635710337214759</v>
      </c>
    </row>
    <row r="8201" spans="1:11" x14ac:dyDescent="0.25">
      <c r="A8201" t="s">
        <v>15997</v>
      </c>
      <c r="C8201" t="s">
        <v>15998</v>
      </c>
      <c r="D8201" t="s">
        <v>7531</v>
      </c>
      <c r="E8201" t="s">
        <v>6</v>
      </c>
      <c r="F8201" t="s">
        <v>251</v>
      </c>
      <c r="G8201">
        <v>1</v>
      </c>
      <c r="H8201" s="2">
        <f>Tabelle13[[#This Row],[commits]]/Tabelle13[[#Totals],[commits]]</f>
        <v>4.6477904404246225E-6</v>
      </c>
      <c r="I8201" s="5">
        <f>Tabelle13[[#This Row],[%]]+I8200</f>
        <v>0.99606796928729791</v>
      </c>
      <c r="J8201" s="4">
        <f t="shared" si="289"/>
        <v>1.105583195135434E-4</v>
      </c>
      <c r="K8201" s="5">
        <f t="shared" si="290"/>
        <v>0.90646766169166115</v>
      </c>
    </row>
    <row r="8202" spans="1:11" x14ac:dyDescent="0.25">
      <c r="A8202" t="s">
        <v>15999</v>
      </c>
      <c r="C8202" t="s">
        <v>16000</v>
      </c>
      <c r="D8202" t="s">
        <v>7531</v>
      </c>
      <c r="E8202" t="s">
        <v>6</v>
      </c>
      <c r="F8202" t="s">
        <v>251</v>
      </c>
      <c r="G8202">
        <v>1</v>
      </c>
      <c r="H8202" s="2">
        <f>Tabelle13[[#This Row],[commits]]/Tabelle13[[#Totals],[commits]]</f>
        <v>4.6477904404246225E-6</v>
      </c>
      <c r="I8202" s="5">
        <f>Tabelle13[[#This Row],[%]]+I8201</f>
        <v>0.99607261707773831</v>
      </c>
      <c r="J8202" s="4">
        <f t="shared" si="289"/>
        <v>1.105583195135434E-4</v>
      </c>
      <c r="K8202" s="5">
        <f t="shared" si="290"/>
        <v>0.90657822001117472</v>
      </c>
    </row>
    <row r="8203" spans="1:11" x14ac:dyDescent="0.25">
      <c r="A8203" t="s">
        <v>16001</v>
      </c>
      <c r="C8203" t="s">
        <v>16002</v>
      </c>
      <c r="D8203" t="s">
        <v>5</v>
      </c>
      <c r="E8203" t="s">
        <v>6</v>
      </c>
      <c r="F8203" t="s">
        <v>251</v>
      </c>
      <c r="G8203">
        <v>1</v>
      </c>
      <c r="H8203" s="2">
        <f>Tabelle13[[#This Row],[commits]]/Tabelle13[[#Totals],[commits]]</f>
        <v>4.6477904404246225E-6</v>
      </c>
      <c r="I8203" s="5">
        <f>Tabelle13[[#This Row],[%]]+I8202</f>
        <v>0.99607726486817871</v>
      </c>
      <c r="J8203" s="4">
        <f t="shared" si="289"/>
        <v>1.105583195135434E-4</v>
      </c>
      <c r="K8203" s="5">
        <f t="shared" si="290"/>
        <v>0.90668877833068828</v>
      </c>
    </row>
    <row r="8204" spans="1:11" x14ac:dyDescent="0.25">
      <c r="A8204" t="s">
        <v>16003</v>
      </c>
      <c r="C8204" t="s">
        <v>16004</v>
      </c>
      <c r="D8204" t="s">
        <v>5</v>
      </c>
      <c r="E8204" t="s">
        <v>6</v>
      </c>
      <c r="F8204" t="s">
        <v>251</v>
      </c>
      <c r="G8204">
        <v>1</v>
      </c>
      <c r="H8204" s="2">
        <f>Tabelle13[[#This Row],[commits]]/Tabelle13[[#Totals],[commits]]</f>
        <v>4.6477904404246225E-6</v>
      </c>
      <c r="I8204" s="5">
        <f>Tabelle13[[#This Row],[%]]+I8203</f>
        <v>0.99608191265861912</v>
      </c>
      <c r="J8204" s="4">
        <f t="shared" si="289"/>
        <v>1.105583195135434E-4</v>
      </c>
      <c r="K8204" s="5">
        <f t="shared" si="290"/>
        <v>0.90679933665020185</v>
      </c>
    </row>
    <row r="8205" spans="1:11" x14ac:dyDescent="0.25">
      <c r="A8205" t="s">
        <v>16005</v>
      </c>
      <c r="C8205" t="s">
        <v>16006</v>
      </c>
      <c r="D8205" t="s">
        <v>5</v>
      </c>
      <c r="E8205" t="s">
        <v>6</v>
      </c>
      <c r="F8205" t="s">
        <v>251</v>
      </c>
      <c r="G8205">
        <v>1</v>
      </c>
      <c r="H8205" s="2">
        <f>Tabelle13[[#This Row],[commits]]/Tabelle13[[#Totals],[commits]]</f>
        <v>4.6477904404246225E-6</v>
      </c>
      <c r="I8205" s="5">
        <f>Tabelle13[[#This Row],[%]]+I8204</f>
        <v>0.99608656044905952</v>
      </c>
      <c r="J8205" s="4">
        <f t="shared" si="289"/>
        <v>1.105583195135434E-4</v>
      </c>
      <c r="K8205" s="5">
        <f t="shared" si="290"/>
        <v>0.90690989496971541</v>
      </c>
    </row>
    <row r="8206" spans="1:11" x14ac:dyDescent="0.25">
      <c r="A8206" t="s">
        <v>16007</v>
      </c>
      <c r="C8206" t="s">
        <v>16008</v>
      </c>
      <c r="D8206" t="s">
        <v>5</v>
      </c>
      <c r="E8206" t="s">
        <v>6</v>
      </c>
      <c r="F8206" t="s">
        <v>251</v>
      </c>
      <c r="G8206">
        <v>1</v>
      </c>
      <c r="H8206" s="2">
        <f>Tabelle13[[#This Row],[commits]]/Tabelle13[[#Totals],[commits]]</f>
        <v>4.6477904404246225E-6</v>
      </c>
      <c r="I8206" s="5">
        <f>Tabelle13[[#This Row],[%]]+I8205</f>
        <v>0.99609120823949993</v>
      </c>
      <c r="J8206" s="4">
        <f t="shared" si="289"/>
        <v>1.105583195135434E-4</v>
      </c>
      <c r="K8206" s="5">
        <f t="shared" si="290"/>
        <v>0.90702045328922898</v>
      </c>
    </row>
    <row r="8207" spans="1:11" x14ac:dyDescent="0.25">
      <c r="A8207" t="s">
        <v>16009</v>
      </c>
      <c r="C8207" t="s">
        <v>16010</v>
      </c>
      <c r="D8207" t="s">
        <v>5</v>
      </c>
      <c r="E8207" t="s">
        <v>6</v>
      </c>
      <c r="F8207" t="s">
        <v>251</v>
      </c>
      <c r="G8207">
        <v>1</v>
      </c>
      <c r="H8207" s="2">
        <f>Tabelle13[[#This Row],[commits]]/Tabelle13[[#Totals],[commits]]</f>
        <v>4.6477904404246225E-6</v>
      </c>
      <c r="I8207" s="5">
        <f>Tabelle13[[#This Row],[%]]+I8206</f>
        <v>0.99609585602994033</v>
      </c>
      <c r="J8207" s="4">
        <f t="shared" si="289"/>
        <v>1.105583195135434E-4</v>
      </c>
      <c r="K8207" s="5">
        <f t="shared" si="290"/>
        <v>0.90713101160874254</v>
      </c>
    </row>
    <row r="8208" spans="1:11" x14ac:dyDescent="0.25">
      <c r="A8208" t="s">
        <v>16011</v>
      </c>
      <c r="C8208" t="s">
        <v>16012</v>
      </c>
      <c r="D8208" t="s">
        <v>5</v>
      </c>
      <c r="E8208" t="s">
        <v>6</v>
      </c>
      <c r="F8208" t="s">
        <v>251</v>
      </c>
      <c r="G8208">
        <v>1</v>
      </c>
      <c r="H8208" s="2">
        <f>Tabelle13[[#This Row],[commits]]/Tabelle13[[#Totals],[commits]]</f>
        <v>4.6477904404246225E-6</v>
      </c>
      <c r="I8208" s="5">
        <f>Tabelle13[[#This Row],[%]]+I8207</f>
        <v>0.99610050382038073</v>
      </c>
      <c r="J8208" s="4">
        <f t="shared" si="289"/>
        <v>1.105583195135434E-4</v>
      </c>
      <c r="K8208" s="5">
        <f t="shared" si="290"/>
        <v>0.90724156992825611</v>
      </c>
    </row>
    <row r="8209" spans="1:11" x14ac:dyDescent="0.25">
      <c r="A8209" t="s">
        <v>16013</v>
      </c>
      <c r="C8209" t="s">
        <v>16014</v>
      </c>
      <c r="D8209" t="s">
        <v>5</v>
      </c>
      <c r="E8209" t="s">
        <v>6</v>
      </c>
      <c r="F8209" t="s">
        <v>251</v>
      </c>
      <c r="G8209">
        <v>1</v>
      </c>
      <c r="H8209" s="2">
        <f>Tabelle13[[#This Row],[commits]]/Tabelle13[[#Totals],[commits]]</f>
        <v>4.6477904404246225E-6</v>
      </c>
      <c r="I8209" s="5">
        <f>Tabelle13[[#This Row],[%]]+I8208</f>
        <v>0.99610515161082114</v>
      </c>
      <c r="J8209" s="4">
        <f t="shared" si="289"/>
        <v>1.105583195135434E-4</v>
      </c>
      <c r="K8209" s="5">
        <f t="shared" si="290"/>
        <v>0.90735212824776967</v>
      </c>
    </row>
    <row r="8210" spans="1:11" x14ac:dyDescent="0.25">
      <c r="A8210" t="s">
        <v>16015</v>
      </c>
      <c r="C8210" t="s">
        <v>16016</v>
      </c>
      <c r="D8210" t="s">
        <v>5</v>
      </c>
      <c r="E8210" t="s">
        <v>6</v>
      </c>
      <c r="F8210" t="s">
        <v>251</v>
      </c>
      <c r="G8210">
        <v>1</v>
      </c>
      <c r="H8210" s="2">
        <f>Tabelle13[[#This Row],[commits]]/Tabelle13[[#Totals],[commits]]</f>
        <v>4.6477904404246225E-6</v>
      </c>
      <c r="I8210" s="5">
        <f>Tabelle13[[#This Row],[%]]+I8209</f>
        <v>0.99610979940126154</v>
      </c>
      <c r="J8210" s="4">
        <f t="shared" si="289"/>
        <v>1.105583195135434E-4</v>
      </c>
      <c r="K8210" s="5">
        <f t="shared" si="290"/>
        <v>0.90746268656728324</v>
      </c>
    </row>
    <row r="8211" spans="1:11" x14ac:dyDescent="0.25">
      <c r="A8211" t="s">
        <v>16017</v>
      </c>
      <c r="C8211" t="s">
        <v>16018</v>
      </c>
      <c r="D8211" t="s">
        <v>5</v>
      </c>
      <c r="E8211" t="s">
        <v>6</v>
      </c>
      <c r="F8211" t="s">
        <v>251</v>
      </c>
      <c r="G8211">
        <v>1</v>
      </c>
      <c r="H8211" s="2">
        <f>Tabelle13[[#This Row],[commits]]/Tabelle13[[#Totals],[commits]]</f>
        <v>4.6477904404246225E-6</v>
      </c>
      <c r="I8211" s="5">
        <f>Tabelle13[[#This Row],[%]]+I8210</f>
        <v>0.99611444719170195</v>
      </c>
      <c r="J8211" s="4">
        <f t="shared" si="289"/>
        <v>1.105583195135434E-4</v>
      </c>
      <c r="K8211" s="5">
        <f t="shared" si="290"/>
        <v>0.9075732448867968</v>
      </c>
    </row>
    <row r="8212" spans="1:11" x14ac:dyDescent="0.25">
      <c r="A8212" t="s">
        <v>16019</v>
      </c>
      <c r="C8212" t="s">
        <v>8738</v>
      </c>
      <c r="D8212" t="s">
        <v>5</v>
      </c>
      <c r="E8212" t="s">
        <v>6</v>
      </c>
      <c r="F8212" t="s">
        <v>251</v>
      </c>
      <c r="G8212">
        <v>1</v>
      </c>
      <c r="H8212" s="2">
        <f>Tabelle13[[#This Row],[commits]]/Tabelle13[[#Totals],[commits]]</f>
        <v>4.6477904404246225E-6</v>
      </c>
      <c r="I8212" s="5">
        <f>Tabelle13[[#This Row],[%]]+I8211</f>
        <v>0.99611909498214235</v>
      </c>
      <c r="J8212" s="4">
        <f t="shared" si="289"/>
        <v>1.105583195135434E-4</v>
      </c>
      <c r="K8212" s="5">
        <f t="shared" si="290"/>
        <v>0.90768380320631037</v>
      </c>
    </row>
    <row r="8213" spans="1:11" x14ac:dyDescent="0.25">
      <c r="A8213" t="s">
        <v>16020</v>
      </c>
      <c r="C8213" t="s">
        <v>2001</v>
      </c>
      <c r="D8213" t="s">
        <v>16021</v>
      </c>
      <c r="E8213" t="s">
        <v>6</v>
      </c>
      <c r="F8213" t="s">
        <v>251</v>
      </c>
      <c r="G8213">
        <v>1</v>
      </c>
      <c r="H8213" s="2">
        <f>Tabelle13[[#This Row],[commits]]/Tabelle13[[#Totals],[commits]]</f>
        <v>4.6477904404246225E-6</v>
      </c>
      <c r="I8213" s="5">
        <f>Tabelle13[[#This Row],[%]]+I8212</f>
        <v>0.99612374277258275</v>
      </c>
      <c r="J8213" s="4">
        <f t="shared" si="289"/>
        <v>1.105583195135434E-4</v>
      </c>
      <c r="K8213" s="5">
        <f t="shared" si="290"/>
        <v>0.90779436152582393</v>
      </c>
    </row>
    <row r="8214" spans="1:11" x14ac:dyDescent="0.25">
      <c r="A8214" t="s">
        <v>16022</v>
      </c>
      <c r="C8214" t="s">
        <v>16023</v>
      </c>
      <c r="D8214" t="s">
        <v>5</v>
      </c>
      <c r="E8214" t="s">
        <v>6</v>
      </c>
      <c r="F8214" t="s">
        <v>251</v>
      </c>
      <c r="G8214">
        <v>1</v>
      </c>
      <c r="H8214" s="2">
        <f>Tabelle13[[#This Row],[commits]]/Tabelle13[[#Totals],[commits]]</f>
        <v>4.6477904404246225E-6</v>
      </c>
      <c r="I8214" s="5">
        <f>Tabelle13[[#This Row],[%]]+I8213</f>
        <v>0.99612839056302316</v>
      </c>
      <c r="J8214" s="4">
        <f t="shared" si="289"/>
        <v>1.105583195135434E-4</v>
      </c>
      <c r="K8214" s="5">
        <f t="shared" si="290"/>
        <v>0.9079049198453375</v>
      </c>
    </row>
    <row r="8215" spans="1:11" x14ac:dyDescent="0.25">
      <c r="A8215" t="s">
        <v>16024</v>
      </c>
      <c r="C8215" t="s">
        <v>16025</v>
      </c>
      <c r="D8215" t="s">
        <v>5</v>
      </c>
      <c r="E8215" t="s">
        <v>6</v>
      </c>
      <c r="F8215" t="s">
        <v>251</v>
      </c>
      <c r="G8215">
        <v>1</v>
      </c>
      <c r="H8215" s="2">
        <f>Tabelle13[[#This Row],[commits]]/Tabelle13[[#Totals],[commits]]</f>
        <v>4.6477904404246225E-6</v>
      </c>
      <c r="I8215" s="5">
        <f>Tabelle13[[#This Row],[%]]+I8214</f>
        <v>0.99613303835346356</v>
      </c>
      <c r="J8215" s="4">
        <f t="shared" si="289"/>
        <v>1.105583195135434E-4</v>
      </c>
      <c r="K8215" s="5">
        <f t="shared" si="290"/>
        <v>0.90801547816485106</v>
      </c>
    </row>
    <row r="8216" spans="1:11" x14ac:dyDescent="0.25">
      <c r="A8216" t="s">
        <v>16026</v>
      </c>
      <c r="C8216" t="s">
        <v>16027</v>
      </c>
      <c r="D8216" t="s">
        <v>16028</v>
      </c>
      <c r="E8216" t="s">
        <v>6</v>
      </c>
      <c r="F8216" t="s">
        <v>251</v>
      </c>
      <c r="G8216">
        <v>1</v>
      </c>
      <c r="H8216" s="2">
        <f>Tabelle13[[#This Row],[commits]]/Tabelle13[[#Totals],[commits]]</f>
        <v>4.6477904404246225E-6</v>
      </c>
      <c r="I8216" s="5">
        <f>Tabelle13[[#This Row],[%]]+I8215</f>
        <v>0.99613768614390397</v>
      </c>
      <c r="J8216" s="4">
        <f t="shared" si="289"/>
        <v>1.105583195135434E-4</v>
      </c>
      <c r="K8216" s="5">
        <f t="shared" si="290"/>
        <v>0.90812603648436463</v>
      </c>
    </row>
    <row r="8217" spans="1:11" x14ac:dyDescent="0.25">
      <c r="A8217" t="s">
        <v>16029</v>
      </c>
      <c r="C8217" t="s">
        <v>16030</v>
      </c>
      <c r="D8217" t="s">
        <v>5</v>
      </c>
      <c r="E8217" t="s">
        <v>6</v>
      </c>
      <c r="F8217" t="s">
        <v>251</v>
      </c>
      <c r="G8217">
        <v>1</v>
      </c>
      <c r="H8217" s="2">
        <f>Tabelle13[[#This Row],[commits]]/Tabelle13[[#Totals],[commits]]</f>
        <v>4.6477904404246225E-6</v>
      </c>
      <c r="I8217" s="5">
        <f>Tabelle13[[#This Row],[%]]+I8216</f>
        <v>0.99614233393434437</v>
      </c>
      <c r="J8217" s="4">
        <f t="shared" si="289"/>
        <v>1.105583195135434E-4</v>
      </c>
      <c r="K8217" s="5">
        <f t="shared" si="290"/>
        <v>0.90823659480387819</v>
      </c>
    </row>
    <row r="8218" spans="1:11" x14ac:dyDescent="0.25">
      <c r="A8218" t="s">
        <v>16031</v>
      </c>
      <c r="C8218" t="s">
        <v>16032</v>
      </c>
      <c r="D8218" t="s">
        <v>5</v>
      </c>
      <c r="E8218" t="s">
        <v>6</v>
      </c>
      <c r="F8218" t="s">
        <v>251</v>
      </c>
      <c r="G8218">
        <v>1</v>
      </c>
      <c r="H8218" s="2">
        <f>Tabelle13[[#This Row],[commits]]/Tabelle13[[#Totals],[commits]]</f>
        <v>4.6477904404246225E-6</v>
      </c>
      <c r="I8218" s="5">
        <f>Tabelle13[[#This Row],[%]]+I8217</f>
        <v>0.99614698172478477</v>
      </c>
      <c r="J8218" s="4">
        <f t="shared" si="289"/>
        <v>1.105583195135434E-4</v>
      </c>
      <c r="K8218" s="5">
        <f t="shared" si="290"/>
        <v>0.90834715312339176</v>
      </c>
    </row>
    <row r="8219" spans="1:11" x14ac:dyDescent="0.25">
      <c r="A8219" t="s">
        <v>16033</v>
      </c>
      <c r="C8219" t="s">
        <v>16034</v>
      </c>
      <c r="D8219" t="s">
        <v>5</v>
      </c>
      <c r="E8219" t="s">
        <v>6</v>
      </c>
      <c r="F8219" t="s">
        <v>251</v>
      </c>
      <c r="G8219">
        <v>1</v>
      </c>
      <c r="H8219" s="2">
        <f>Tabelle13[[#This Row],[commits]]/Tabelle13[[#Totals],[commits]]</f>
        <v>4.6477904404246225E-6</v>
      </c>
      <c r="I8219" s="5">
        <f>Tabelle13[[#This Row],[%]]+I8218</f>
        <v>0.99615162951522518</v>
      </c>
      <c r="J8219" s="4">
        <f t="shared" si="289"/>
        <v>1.105583195135434E-4</v>
      </c>
      <c r="K8219" s="5">
        <f t="shared" si="290"/>
        <v>0.90845771144290532</v>
      </c>
    </row>
    <row r="8220" spans="1:11" x14ac:dyDescent="0.25">
      <c r="A8220" t="s">
        <v>16035</v>
      </c>
      <c r="C8220" t="s">
        <v>16036</v>
      </c>
      <c r="D8220" t="s">
        <v>5</v>
      </c>
      <c r="E8220" t="s">
        <v>6</v>
      </c>
      <c r="F8220" t="s">
        <v>251</v>
      </c>
      <c r="G8220">
        <v>1</v>
      </c>
      <c r="H8220" s="2">
        <f>Tabelle13[[#This Row],[commits]]/Tabelle13[[#Totals],[commits]]</f>
        <v>4.6477904404246225E-6</v>
      </c>
      <c r="I8220" s="5">
        <f>Tabelle13[[#This Row],[%]]+I8219</f>
        <v>0.99615627730566558</v>
      </c>
      <c r="J8220" s="4">
        <f t="shared" si="289"/>
        <v>1.105583195135434E-4</v>
      </c>
      <c r="K8220" s="5">
        <f t="shared" si="290"/>
        <v>0.90856826976241889</v>
      </c>
    </row>
    <row r="8221" spans="1:11" x14ac:dyDescent="0.25">
      <c r="A8221" t="s">
        <v>16037</v>
      </c>
      <c r="C8221" t="s">
        <v>16038</v>
      </c>
      <c r="D8221" t="s">
        <v>16039</v>
      </c>
      <c r="E8221" t="s">
        <v>6</v>
      </c>
      <c r="F8221" t="s">
        <v>251</v>
      </c>
      <c r="G8221">
        <v>1</v>
      </c>
      <c r="H8221" s="2">
        <f>Tabelle13[[#This Row],[commits]]/Tabelle13[[#Totals],[commits]]</f>
        <v>4.6477904404246225E-6</v>
      </c>
      <c r="I8221" s="5">
        <f>Tabelle13[[#This Row],[%]]+I8220</f>
        <v>0.99616092509610599</v>
      </c>
      <c r="J8221" s="4">
        <f t="shared" si="289"/>
        <v>1.105583195135434E-4</v>
      </c>
      <c r="K8221" s="5">
        <f t="shared" si="290"/>
        <v>0.90867882808193245</v>
      </c>
    </row>
    <row r="8222" spans="1:11" x14ac:dyDescent="0.25">
      <c r="A8222" t="s">
        <v>16040</v>
      </c>
      <c r="C8222" t="s">
        <v>16041</v>
      </c>
      <c r="D8222" t="s">
        <v>8948</v>
      </c>
      <c r="E8222" t="s">
        <v>6</v>
      </c>
      <c r="F8222" t="s">
        <v>251</v>
      </c>
      <c r="G8222">
        <v>1</v>
      </c>
      <c r="H8222" s="2">
        <f>Tabelle13[[#This Row],[commits]]/Tabelle13[[#Totals],[commits]]</f>
        <v>4.6477904404246225E-6</v>
      </c>
      <c r="I8222" s="5">
        <f>Tabelle13[[#This Row],[%]]+I8221</f>
        <v>0.99616557288654639</v>
      </c>
      <c r="J8222" s="4">
        <f t="shared" si="289"/>
        <v>1.105583195135434E-4</v>
      </c>
      <c r="K8222" s="5">
        <f t="shared" si="290"/>
        <v>0.90878938640144602</v>
      </c>
    </row>
    <row r="8223" spans="1:11" x14ac:dyDescent="0.25">
      <c r="A8223" t="s">
        <v>16042</v>
      </c>
      <c r="C8223" t="s">
        <v>15497</v>
      </c>
      <c r="D8223" t="s">
        <v>5</v>
      </c>
      <c r="E8223" t="s">
        <v>6</v>
      </c>
      <c r="F8223" t="s">
        <v>251</v>
      </c>
      <c r="G8223">
        <v>1</v>
      </c>
      <c r="H8223" s="2">
        <f>Tabelle13[[#This Row],[commits]]/Tabelle13[[#Totals],[commits]]</f>
        <v>4.6477904404246225E-6</v>
      </c>
      <c r="I8223" s="5">
        <f>Tabelle13[[#This Row],[%]]+I8222</f>
        <v>0.9961702206769868</v>
      </c>
      <c r="J8223" s="4">
        <f t="shared" si="289"/>
        <v>1.105583195135434E-4</v>
      </c>
      <c r="K8223" s="5">
        <f t="shared" si="290"/>
        <v>0.90889994472095958</v>
      </c>
    </row>
    <row r="8224" spans="1:11" x14ac:dyDescent="0.25">
      <c r="A8224" t="s">
        <v>16043</v>
      </c>
      <c r="C8224" t="s">
        <v>16044</v>
      </c>
      <c r="D8224" t="s">
        <v>15945</v>
      </c>
      <c r="E8224" t="s">
        <v>6</v>
      </c>
      <c r="F8224" t="s">
        <v>251</v>
      </c>
      <c r="G8224">
        <v>1</v>
      </c>
      <c r="H8224" s="2">
        <f>Tabelle13[[#This Row],[commits]]/Tabelle13[[#Totals],[commits]]</f>
        <v>4.6477904404246225E-6</v>
      </c>
      <c r="I8224" s="5">
        <f>Tabelle13[[#This Row],[%]]+I8223</f>
        <v>0.9961748684674272</v>
      </c>
      <c r="J8224" s="4">
        <f t="shared" si="289"/>
        <v>1.105583195135434E-4</v>
      </c>
      <c r="K8224" s="5">
        <f t="shared" si="290"/>
        <v>0.90901050304047315</v>
      </c>
    </row>
    <row r="8225" spans="1:11" x14ac:dyDescent="0.25">
      <c r="A8225" t="s">
        <v>16045</v>
      </c>
      <c r="C8225" t="s">
        <v>16046</v>
      </c>
      <c r="D8225" t="s">
        <v>5</v>
      </c>
      <c r="E8225" t="s">
        <v>6</v>
      </c>
      <c r="F8225" t="s">
        <v>251</v>
      </c>
      <c r="G8225">
        <v>1</v>
      </c>
      <c r="H8225" s="2">
        <f>Tabelle13[[#This Row],[commits]]/Tabelle13[[#Totals],[commits]]</f>
        <v>4.6477904404246225E-6</v>
      </c>
      <c r="I8225" s="5">
        <f>Tabelle13[[#This Row],[%]]+I8224</f>
        <v>0.9961795162578676</v>
      </c>
      <c r="J8225" s="4">
        <f t="shared" si="289"/>
        <v>1.105583195135434E-4</v>
      </c>
      <c r="K8225" s="5">
        <f t="shared" si="290"/>
        <v>0.90912106135998672</v>
      </c>
    </row>
    <row r="8226" spans="1:11" x14ac:dyDescent="0.25">
      <c r="A8226" t="s">
        <v>16047</v>
      </c>
      <c r="C8226" t="s">
        <v>16048</v>
      </c>
      <c r="D8226" t="s">
        <v>16049</v>
      </c>
      <c r="E8226" t="s">
        <v>6</v>
      </c>
      <c r="F8226" t="s">
        <v>251</v>
      </c>
      <c r="G8226">
        <v>1</v>
      </c>
      <c r="H8226" s="2">
        <f>Tabelle13[[#This Row],[commits]]/Tabelle13[[#Totals],[commits]]</f>
        <v>4.6477904404246225E-6</v>
      </c>
      <c r="I8226" s="5">
        <f>Tabelle13[[#This Row],[%]]+I8225</f>
        <v>0.99618416404830801</v>
      </c>
      <c r="J8226" s="4">
        <f t="shared" si="289"/>
        <v>1.105583195135434E-4</v>
      </c>
      <c r="K8226" s="5">
        <f t="shared" si="290"/>
        <v>0.90923161967950028</v>
      </c>
    </row>
    <row r="8227" spans="1:11" x14ac:dyDescent="0.25">
      <c r="A8227" t="s">
        <v>16050</v>
      </c>
      <c r="C8227" t="s">
        <v>16051</v>
      </c>
      <c r="D8227" t="s">
        <v>5</v>
      </c>
      <c r="E8227" t="s">
        <v>6</v>
      </c>
      <c r="F8227" t="s">
        <v>251</v>
      </c>
      <c r="G8227">
        <v>1</v>
      </c>
      <c r="H8227" s="2">
        <f>Tabelle13[[#This Row],[commits]]/Tabelle13[[#Totals],[commits]]</f>
        <v>4.6477904404246225E-6</v>
      </c>
      <c r="I8227" s="5">
        <f>Tabelle13[[#This Row],[%]]+I8226</f>
        <v>0.99618881183874841</v>
      </c>
      <c r="J8227" s="4">
        <f t="shared" si="289"/>
        <v>1.105583195135434E-4</v>
      </c>
      <c r="K8227" s="5">
        <f t="shared" si="290"/>
        <v>0.90934217799901385</v>
      </c>
    </row>
    <row r="8228" spans="1:11" x14ac:dyDescent="0.25">
      <c r="A8228" t="s">
        <v>16052</v>
      </c>
      <c r="C8228" t="s">
        <v>16053</v>
      </c>
      <c r="D8228" t="s">
        <v>5</v>
      </c>
      <c r="E8228" t="s">
        <v>6</v>
      </c>
      <c r="F8228" t="s">
        <v>251</v>
      </c>
      <c r="G8228">
        <v>1</v>
      </c>
      <c r="H8228" s="2">
        <f>Tabelle13[[#This Row],[commits]]/Tabelle13[[#Totals],[commits]]</f>
        <v>4.6477904404246225E-6</v>
      </c>
      <c r="I8228" s="5">
        <f>Tabelle13[[#This Row],[%]]+I8227</f>
        <v>0.99619345962918882</v>
      </c>
      <c r="J8228" s="4">
        <f t="shared" si="289"/>
        <v>1.105583195135434E-4</v>
      </c>
      <c r="K8228" s="5">
        <f t="shared" si="290"/>
        <v>0.90945273631852741</v>
      </c>
    </row>
    <row r="8229" spans="1:11" x14ac:dyDescent="0.25">
      <c r="A8229" t="s">
        <v>16054</v>
      </c>
      <c r="C8229" t="s">
        <v>16055</v>
      </c>
      <c r="D8229" t="s">
        <v>5</v>
      </c>
      <c r="E8229" t="s">
        <v>6</v>
      </c>
      <c r="F8229" t="s">
        <v>251</v>
      </c>
      <c r="G8229">
        <v>1</v>
      </c>
      <c r="H8229" s="2">
        <f>Tabelle13[[#This Row],[commits]]/Tabelle13[[#Totals],[commits]]</f>
        <v>4.6477904404246225E-6</v>
      </c>
      <c r="I8229" s="5">
        <f>Tabelle13[[#This Row],[%]]+I8228</f>
        <v>0.99619810741962922</v>
      </c>
      <c r="J8229" s="4">
        <f t="shared" si="289"/>
        <v>1.105583195135434E-4</v>
      </c>
      <c r="K8229" s="5">
        <f t="shared" si="290"/>
        <v>0.90956329463804098</v>
      </c>
    </row>
    <row r="8230" spans="1:11" x14ac:dyDescent="0.25">
      <c r="A8230" t="s">
        <v>16056</v>
      </c>
      <c r="C8230" t="s">
        <v>16057</v>
      </c>
      <c r="D8230" t="s">
        <v>5</v>
      </c>
      <c r="E8230" t="s">
        <v>6</v>
      </c>
      <c r="F8230" t="s">
        <v>251</v>
      </c>
      <c r="G8230">
        <v>1</v>
      </c>
      <c r="H8230" s="2">
        <f>Tabelle13[[#This Row],[commits]]/Tabelle13[[#Totals],[commits]]</f>
        <v>4.6477904404246225E-6</v>
      </c>
      <c r="I8230" s="5">
        <f>Tabelle13[[#This Row],[%]]+I8229</f>
        <v>0.99620275521006962</v>
      </c>
      <c r="J8230" s="4">
        <f t="shared" si="289"/>
        <v>1.105583195135434E-4</v>
      </c>
      <c r="K8230" s="5">
        <f t="shared" si="290"/>
        <v>0.90967385295755454</v>
      </c>
    </row>
    <row r="8231" spans="1:11" x14ac:dyDescent="0.25">
      <c r="A8231" t="s">
        <v>16058</v>
      </c>
      <c r="C8231" t="s">
        <v>16059</v>
      </c>
      <c r="D8231" t="s">
        <v>5</v>
      </c>
      <c r="E8231" t="s">
        <v>6</v>
      </c>
      <c r="F8231" t="s">
        <v>251</v>
      </c>
      <c r="G8231">
        <v>1</v>
      </c>
      <c r="H8231" s="2">
        <f>Tabelle13[[#This Row],[commits]]/Tabelle13[[#Totals],[commits]]</f>
        <v>4.6477904404246225E-6</v>
      </c>
      <c r="I8231" s="5">
        <f>Tabelle13[[#This Row],[%]]+I8230</f>
        <v>0.99620740300051003</v>
      </c>
      <c r="J8231" s="4">
        <f t="shared" si="289"/>
        <v>1.105583195135434E-4</v>
      </c>
      <c r="K8231" s="5">
        <f t="shared" si="290"/>
        <v>0.90978441127706811</v>
      </c>
    </row>
    <row r="8232" spans="1:11" x14ac:dyDescent="0.25">
      <c r="A8232" t="s">
        <v>16060</v>
      </c>
      <c r="C8232" t="s">
        <v>16061</v>
      </c>
      <c r="D8232" t="s">
        <v>5</v>
      </c>
      <c r="E8232" t="s">
        <v>6</v>
      </c>
      <c r="F8232" t="s">
        <v>251</v>
      </c>
      <c r="G8232">
        <v>1</v>
      </c>
      <c r="H8232" s="2">
        <f>Tabelle13[[#This Row],[commits]]/Tabelle13[[#Totals],[commits]]</f>
        <v>4.6477904404246225E-6</v>
      </c>
      <c r="I8232" s="5">
        <f>Tabelle13[[#This Row],[%]]+I8231</f>
        <v>0.99621205079095043</v>
      </c>
      <c r="J8232" s="4">
        <f t="shared" si="289"/>
        <v>1.105583195135434E-4</v>
      </c>
      <c r="K8232" s="5">
        <f t="shared" si="290"/>
        <v>0.90989496959658167</v>
      </c>
    </row>
    <row r="8233" spans="1:11" x14ac:dyDescent="0.25">
      <c r="A8233" t="s">
        <v>16062</v>
      </c>
      <c r="C8233" t="s">
        <v>16063</v>
      </c>
      <c r="D8233" t="s">
        <v>309</v>
      </c>
      <c r="E8233" t="s">
        <v>6</v>
      </c>
      <c r="F8233" t="s">
        <v>251</v>
      </c>
      <c r="G8233">
        <v>1</v>
      </c>
      <c r="H8233" s="2">
        <f>Tabelle13[[#This Row],[commits]]/Tabelle13[[#Totals],[commits]]</f>
        <v>4.6477904404246225E-6</v>
      </c>
      <c r="I8233" s="5">
        <f>Tabelle13[[#This Row],[%]]+I8232</f>
        <v>0.99621669858139084</v>
      </c>
      <c r="J8233" s="4">
        <f t="shared" si="289"/>
        <v>1.105583195135434E-4</v>
      </c>
      <c r="K8233" s="5">
        <f t="shared" si="290"/>
        <v>0.91000552791609524</v>
      </c>
    </row>
    <row r="8234" spans="1:11" x14ac:dyDescent="0.25">
      <c r="A8234" t="s">
        <v>16064</v>
      </c>
      <c r="C8234" t="s">
        <v>16065</v>
      </c>
      <c r="D8234" t="s">
        <v>5</v>
      </c>
      <c r="E8234" t="s">
        <v>6</v>
      </c>
      <c r="F8234" t="s">
        <v>251</v>
      </c>
      <c r="G8234">
        <v>1</v>
      </c>
      <c r="H8234" s="2">
        <f>Tabelle13[[#This Row],[commits]]/Tabelle13[[#Totals],[commits]]</f>
        <v>4.6477904404246225E-6</v>
      </c>
      <c r="I8234" s="5">
        <f>Tabelle13[[#This Row],[%]]+I8233</f>
        <v>0.99622134637183124</v>
      </c>
      <c r="J8234" s="4">
        <f t="shared" si="289"/>
        <v>1.105583195135434E-4</v>
      </c>
      <c r="K8234" s="5">
        <f t="shared" si="290"/>
        <v>0.9101160862356088</v>
      </c>
    </row>
    <row r="8235" spans="1:11" x14ac:dyDescent="0.25">
      <c r="A8235" t="s">
        <v>16066</v>
      </c>
      <c r="C8235" t="s">
        <v>16067</v>
      </c>
      <c r="D8235" t="s">
        <v>5</v>
      </c>
      <c r="E8235" t="s">
        <v>6</v>
      </c>
      <c r="F8235" t="s">
        <v>251</v>
      </c>
      <c r="G8235">
        <v>1</v>
      </c>
      <c r="H8235" s="2">
        <f>Tabelle13[[#This Row],[commits]]/Tabelle13[[#Totals],[commits]]</f>
        <v>4.6477904404246225E-6</v>
      </c>
      <c r="I8235" s="5">
        <f>Tabelle13[[#This Row],[%]]+I8234</f>
        <v>0.99622599416227164</v>
      </c>
      <c r="J8235" s="4">
        <f t="shared" si="289"/>
        <v>1.105583195135434E-4</v>
      </c>
      <c r="K8235" s="5">
        <f t="shared" si="290"/>
        <v>0.91022664455512237</v>
      </c>
    </row>
    <row r="8236" spans="1:11" x14ac:dyDescent="0.25">
      <c r="A8236" t="s">
        <v>16068</v>
      </c>
      <c r="C8236" t="s">
        <v>16069</v>
      </c>
      <c r="D8236" t="s">
        <v>5</v>
      </c>
      <c r="E8236" t="s">
        <v>6</v>
      </c>
      <c r="F8236" t="s">
        <v>251</v>
      </c>
      <c r="G8236">
        <v>1</v>
      </c>
      <c r="H8236" s="2">
        <f>Tabelle13[[#This Row],[commits]]/Tabelle13[[#Totals],[commits]]</f>
        <v>4.6477904404246225E-6</v>
      </c>
      <c r="I8236" s="5">
        <f>Tabelle13[[#This Row],[%]]+I8235</f>
        <v>0.99623064195271205</v>
      </c>
      <c r="J8236" s="4">
        <f t="shared" si="289"/>
        <v>1.105583195135434E-4</v>
      </c>
      <c r="K8236" s="5">
        <f t="shared" si="290"/>
        <v>0.91033720287463593</v>
      </c>
    </row>
    <row r="8237" spans="1:11" x14ac:dyDescent="0.25">
      <c r="A8237" t="s">
        <v>16070</v>
      </c>
      <c r="C8237" t="s">
        <v>211</v>
      </c>
      <c r="D8237" t="s">
        <v>5</v>
      </c>
      <c r="E8237" t="s">
        <v>6</v>
      </c>
      <c r="F8237" t="s">
        <v>251</v>
      </c>
      <c r="G8237">
        <v>1</v>
      </c>
      <c r="H8237" s="2">
        <f>Tabelle13[[#This Row],[commits]]/Tabelle13[[#Totals],[commits]]</f>
        <v>4.6477904404246225E-6</v>
      </c>
      <c r="I8237" s="5">
        <f>Tabelle13[[#This Row],[%]]+I8236</f>
        <v>0.99623528974315245</v>
      </c>
      <c r="J8237" s="4">
        <f t="shared" si="289"/>
        <v>1.105583195135434E-4</v>
      </c>
      <c r="K8237" s="5">
        <f t="shared" si="290"/>
        <v>0.9104477611941495</v>
      </c>
    </row>
    <row r="8238" spans="1:11" x14ac:dyDescent="0.25">
      <c r="A8238" t="s">
        <v>16071</v>
      </c>
      <c r="C8238" t="s">
        <v>16072</v>
      </c>
      <c r="D8238" t="s">
        <v>5</v>
      </c>
      <c r="E8238" t="s">
        <v>6</v>
      </c>
      <c r="F8238" t="s">
        <v>251</v>
      </c>
      <c r="G8238">
        <v>1</v>
      </c>
      <c r="H8238" s="2">
        <f>Tabelle13[[#This Row],[commits]]/Tabelle13[[#Totals],[commits]]</f>
        <v>4.6477904404246225E-6</v>
      </c>
      <c r="I8238" s="5">
        <f>Tabelle13[[#This Row],[%]]+I8237</f>
        <v>0.99623993753359286</v>
      </c>
      <c r="J8238" s="4">
        <f t="shared" si="289"/>
        <v>1.105583195135434E-4</v>
      </c>
      <c r="K8238" s="5">
        <f t="shared" si="290"/>
        <v>0.91055831951366306</v>
      </c>
    </row>
    <row r="8239" spans="1:11" x14ac:dyDescent="0.25">
      <c r="A8239" t="s">
        <v>16073</v>
      </c>
      <c r="C8239" t="s">
        <v>16074</v>
      </c>
      <c r="D8239" t="s">
        <v>5</v>
      </c>
      <c r="E8239" t="s">
        <v>6</v>
      </c>
      <c r="F8239" t="s">
        <v>251</v>
      </c>
      <c r="G8239">
        <v>1</v>
      </c>
      <c r="H8239" s="2">
        <f>Tabelle13[[#This Row],[commits]]/Tabelle13[[#Totals],[commits]]</f>
        <v>4.6477904404246225E-6</v>
      </c>
      <c r="I8239" s="5">
        <f>Tabelle13[[#This Row],[%]]+I8238</f>
        <v>0.99624458532403326</v>
      </c>
      <c r="J8239" s="4">
        <f t="shared" si="289"/>
        <v>1.105583195135434E-4</v>
      </c>
      <c r="K8239" s="5">
        <f t="shared" si="290"/>
        <v>0.91066887783317663</v>
      </c>
    </row>
    <row r="8240" spans="1:11" x14ac:dyDescent="0.25">
      <c r="A8240" t="s">
        <v>16075</v>
      </c>
      <c r="C8240" t="s">
        <v>16076</v>
      </c>
      <c r="D8240" t="s">
        <v>5</v>
      </c>
      <c r="E8240" t="s">
        <v>6</v>
      </c>
      <c r="F8240" t="s">
        <v>251</v>
      </c>
      <c r="G8240">
        <v>1</v>
      </c>
      <c r="H8240" s="2">
        <f>Tabelle13[[#This Row],[commits]]/Tabelle13[[#Totals],[commits]]</f>
        <v>4.6477904404246225E-6</v>
      </c>
      <c r="I8240" s="5">
        <f>Tabelle13[[#This Row],[%]]+I8239</f>
        <v>0.99624923311447366</v>
      </c>
      <c r="J8240" s="4">
        <f t="shared" si="289"/>
        <v>1.105583195135434E-4</v>
      </c>
      <c r="K8240" s="5">
        <f t="shared" si="290"/>
        <v>0.91077943615269019</v>
      </c>
    </row>
    <row r="8241" spans="1:11" x14ac:dyDescent="0.25">
      <c r="A8241" t="s">
        <v>16077</v>
      </c>
      <c r="C8241" t="s">
        <v>16078</v>
      </c>
      <c r="D8241" t="s">
        <v>16079</v>
      </c>
      <c r="E8241" t="s">
        <v>6</v>
      </c>
      <c r="F8241" t="s">
        <v>251</v>
      </c>
      <c r="G8241">
        <v>1</v>
      </c>
      <c r="H8241" s="2">
        <f>Tabelle13[[#This Row],[commits]]/Tabelle13[[#Totals],[commits]]</f>
        <v>4.6477904404246225E-6</v>
      </c>
      <c r="I8241" s="5">
        <f>Tabelle13[[#This Row],[%]]+I8240</f>
        <v>0.99625388090491407</v>
      </c>
      <c r="J8241" s="4">
        <f t="shared" si="289"/>
        <v>1.105583195135434E-4</v>
      </c>
      <c r="K8241" s="5">
        <f t="shared" si="290"/>
        <v>0.91088999447220376</v>
      </c>
    </row>
    <row r="8242" spans="1:11" x14ac:dyDescent="0.25">
      <c r="A8242" t="s">
        <v>16080</v>
      </c>
      <c r="C8242" t="s">
        <v>16081</v>
      </c>
      <c r="D8242" t="s">
        <v>5</v>
      </c>
      <c r="E8242" t="s">
        <v>6</v>
      </c>
      <c r="F8242" t="s">
        <v>251</v>
      </c>
      <c r="G8242">
        <v>1</v>
      </c>
      <c r="H8242" s="2">
        <f>Tabelle13[[#This Row],[commits]]/Tabelle13[[#Totals],[commits]]</f>
        <v>4.6477904404246225E-6</v>
      </c>
      <c r="I8242" s="5">
        <f>Tabelle13[[#This Row],[%]]+I8241</f>
        <v>0.99625852869535447</v>
      </c>
      <c r="J8242" s="4">
        <f t="shared" si="289"/>
        <v>1.105583195135434E-4</v>
      </c>
      <c r="K8242" s="5">
        <f t="shared" si="290"/>
        <v>0.91100055279171732</v>
      </c>
    </row>
    <row r="8243" spans="1:11" x14ac:dyDescent="0.25">
      <c r="A8243" t="s">
        <v>16082</v>
      </c>
      <c r="C8243" t="s">
        <v>16083</v>
      </c>
      <c r="D8243" t="s">
        <v>5</v>
      </c>
      <c r="E8243" t="s">
        <v>6</v>
      </c>
      <c r="F8243" t="s">
        <v>251</v>
      </c>
      <c r="G8243">
        <v>1</v>
      </c>
      <c r="H8243" s="2">
        <f>Tabelle13[[#This Row],[commits]]/Tabelle13[[#Totals],[commits]]</f>
        <v>4.6477904404246225E-6</v>
      </c>
      <c r="I8243" s="5">
        <f>Tabelle13[[#This Row],[%]]+I8242</f>
        <v>0.99626317648579488</v>
      </c>
      <c r="J8243" s="4">
        <f t="shared" si="289"/>
        <v>1.105583195135434E-4</v>
      </c>
      <c r="K8243" s="5">
        <f t="shared" si="290"/>
        <v>0.91111111111123089</v>
      </c>
    </row>
    <row r="8244" spans="1:11" x14ac:dyDescent="0.25">
      <c r="A8244" t="s">
        <v>16084</v>
      </c>
      <c r="C8244" t="s">
        <v>16085</v>
      </c>
      <c r="D8244" t="s">
        <v>5</v>
      </c>
      <c r="E8244" t="s">
        <v>6</v>
      </c>
      <c r="F8244" t="s">
        <v>251</v>
      </c>
      <c r="G8244">
        <v>1</v>
      </c>
      <c r="H8244" s="2">
        <f>Tabelle13[[#This Row],[commits]]/Tabelle13[[#Totals],[commits]]</f>
        <v>4.6477904404246225E-6</v>
      </c>
      <c r="I8244" s="5">
        <f>Tabelle13[[#This Row],[%]]+I8243</f>
        <v>0.99626782427623528</v>
      </c>
      <c r="J8244" s="4">
        <f t="shared" si="289"/>
        <v>1.105583195135434E-4</v>
      </c>
      <c r="K8244" s="5">
        <f t="shared" si="290"/>
        <v>0.91122166943074445</v>
      </c>
    </row>
    <row r="8245" spans="1:11" x14ac:dyDescent="0.25">
      <c r="A8245" t="s">
        <v>16086</v>
      </c>
      <c r="C8245" t="s">
        <v>16087</v>
      </c>
      <c r="D8245" t="s">
        <v>5</v>
      </c>
      <c r="E8245" t="s">
        <v>6</v>
      </c>
      <c r="F8245" t="s">
        <v>251</v>
      </c>
      <c r="G8245">
        <v>1</v>
      </c>
      <c r="H8245" s="2">
        <f>Tabelle13[[#This Row],[commits]]/Tabelle13[[#Totals],[commits]]</f>
        <v>4.6477904404246225E-6</v>
      </c>
      <c r="I8245" s="5">
        <f>Tabelle13[[#This Row],[%]]+I8244</f>
        <v>0.99627247206667569</v>
      </c>
      <c r="J8245" s="4">
        <f t="shared" si="289"/>
        <v>1.105583195135434E-4</v>
      </c>
      <c r="K8245" s="5">
        <f t="shared" si="290"/>
        <v>0.91133222775025802</v>
      </c>
    </row>
    <row r="8246" spans="1:11" x14ac:dyDescent="0.25">
      <c r="A8246" t="s">
        <v>16088</v>
      </c>
      <c r="C8246" t="s">
        <v>16089</v>
      </c>
      <c r="D8246" t="s">
        <v>5</v>
      </c>
      <c r="E8246" t="s">
        <v>6</v>
      </c>
      <c r="F8246" t="s">
        <v>251</v>
      </c>
      <c r="G8246">
        <v>1</v>
      </c>
      <c r="H8246" s="2">
        <f>Tabelle13[[#This Row],[commits]]/Tabelle13[[#Totals],[commits]]</f>
        <v>4.6477904404246225E-6</v>
      </c>
      <c r="I8246" s="5">
        <f>Tabelle13[[#This Row],[%]]+I8245</f>
        <v>0.99627711985711609</v>
      </c>
      <c r="J8246" s="4">
        <f t="shared" si="289"/>
        <v>1.105583195135434E-4</v>
      </c>
      <c r="K8246" s="5">
        <f t="shared" si="290"/>
        <v>0.91144278606977158</v>
      </c>
    </row>
    <row r="8247" spans="1:11" x14ac:dyDescent="0.25">
      <c r="A8247" t="s">
        <v>16090</v>
      </c>
      <c r="C8247" t="s">
        <v>266</v>
      </c>
      <c r="D8247" t="s">
        <v>5</v>
      </c>
      <c r="E8247" t="s">
        <v>6</v>
      </c>
      <c r="F8247" t="s">
        <v>251</v>
      </c>
      <c r="G8247">
        <v>1</v>
      </c>
      <c r="H8247" s="2">
        <f>Tabelle13[[#This Row],[commits]]/Tabelle13[[#Totals],[commits]]</f>
        <v>4.6477904404246225E-6</v>
      </c>
      <c r="I8247" s="5">
        <f>Tabelle13[[#This Row],[%]]+I8246</f>
        <v>0.99628176764755649</v>
      </c>
      <c r="J8247" s="4">
        <f t="shared" si="289"/>
        <v>1.105583195135434E-4</v>
      </c>
      <c r="K8247" s="5">
        <f t="shared" si="290"/>
        <v>0.91155334438928515</v>
      </c>
    </row>
    <row r="8248" spans="1:11" x14ac:dyDescent="0.25">
      <c r="A8248" t="s">
        <v>16091</v>
      </c>
      <c r="C8248" t="s">
        <v>16092</v>
      </c>
      <c r="D8248" t="s">
        <v>5</v>
      </c>
      <c r="E8248" t="s">
        <v>6</v>
      </c>
      <c r="F8248" t="s">
        <v>251</v>
      </c>
      <c r="G8248">
        <v>1</v>
      </c>
      <c r="H8248" s="2">
        <f>Tabelle13[[#This Row],[commits]]/Tabelle13[[#Totals],[commits]]</f>
        <v>4.6477904404246225E-6</v>
      </c>
      <c r="I8248" s="5">
        <f>Tabelle13[[#This Row],[%]]+I8247</f>
        <v>0.9962864154379969</v>
      </c>
      <c r="J8248" s="4">
        <f t="shared" si="289"/>
        <v>1.105583195135434E-4</v>
      </c>
      <c r="K8248" s="5">
        <f t="shared" si="290"/>
        <v>0.91166390270879871</v>
      </c>
    </row>
    <row r="8249" spans="1:11" x14ac:dyDescent="0.25">
      <c r="A8249" t="s">
        <v>16093</v>
      </c>
      <c r="C8249" t="s">
        <v>16094</v>
      </c>
      <c r="D8249" t="s">
        <v>5</v>
      </c>
      <c r="E8249" t="s">
        <v>6</v>
      </c>
      <c r="F8249" t="s">
        <v>251</v>
      </c>
      <c r="G8249">
        <v>1</v>
      </c>
      <c r="H8249" s="2">
        <f>Tabelle13[[#This Row],[commits]]/Tabelle13[[#Totals],[commits]]</f>
        <v>4.6477904404246225E-6</v>
      </c>
      <c r="I8249" s="5">
        <f>Tabelle13[[#This Row],[%]]+I8248</f>
        <v>0.9962910632284373</v>
      </c>
      <c r="J8249" s="4">
        <f t="shared" si="289"/>
        <v>1.105583195135434E-4</v>
      </c>
      <c r="K8249" s="5">
        <f t="shared" si="290"/>
        <v>0.91177446102831228</v>
      </c>
    </row>
    <row r="8250" spans="1:11" x14ac:dyDescent="0.25">
      <c r="A8250" t="s">
        <v>16095</v>
      </c>
      <c r="C8250" t="s">
        <v>197</v>
      </c>
      <c r="D8250" t="s">
        <v>5</v>
      </c>
      <c r="E8250" t="s">
        <v>6</v>
      </c>
      <c r="F8250" t="s">
        <v>251</v>
      </c>
      <c r="G8250">
        <v>1</v>
      </c>
      <c r="H8250" s="2">
        <f>Tabelle13[[#This Row],[commits]]/Tabelle13[[#Totals],[commits]]</f>
        <v>4.6477904404246225E-6</v>
      </c>
      <c r="I8250" s="5">
        <f>Tabelle13[[#This Row],[%]]+I8249</f>
        <v>0.99629571101887771</v>
      </c>
      <c r="J8250" s="4">
        <f t="shared" si="289"/>
        <v>1.105583195135434E-4</v>
      </c>
      <c r="K8250" s="5">
        <f t="shared" si="290"/>
        <v>0.91188501934782584</v>
      </c>
    </row>
    <row r="8251" spans="1:11" x14ac:dyDescent="0.25">
      <c r="A8251" t="s">
        <v>16096</v>
      </c>
      <c r="C8251" t="s">
        <v>16097</v>
      </c>
      <c r="D8251" t="s">
        <v>5</v>
      </c>
      <c r="E8251" t="s">
        <v>6</v>
      </c>
      <c r="F8251" t="s">
        <v>251</v>
      </c>
      <c r="G8251">
        <v>1</v>
      </c>
      <c r="H8251" s="2">
        <f>Tabelle13[[#This Row],[commits]]/Tabelle13[[#Totals],[commits]]</f>
        <v>4.6477904404246225E-6</v>
      </c>
      <c r="I8251" s="5">
        <f>Tabelle13[[#This Row],[%]]+I8250</f>
        <v>0.99630035880931811</v>
      </c>
      <c r="J8251" s="4">
        <f t="shared" si="289"/>
        <v>1.105583195135434E-4</v>
      </c>
      <c r="K8251" s="5">
        <f t="shared" si="290"/>
        <v>0.91199557766733941</v>
      </c>
    </row>
    <row r="8252" spans="1:11" x14ac:dyDescent="0.25">
      <c r="A8252" t="s">
        <v>16098</v>
      </c>
      <c r="C8252" t="s">
        <v>16099</v>
      </c>
      <c r="D8252" t="s">
        <v>5</v>
      </c>
      <c r="E8252" t="s">
        <v>6</v>
      </c>
      <c r="F8252" t="s">
        <v>251</v>
      </c>
      <c r="G8252">
        <v>1</v>
      </c>
      <c r="H8252" s="2">
        <f>Tabelle13[[#This Row],[commits]]/Tabelle13[[#Totals],[commits]]</f>
        <v>4.6477904404246225E-6</v>
      </c>
      <c r="I8252" s="5">
        <f>Tabelle13[[#This Row],[%]]+I8251</f>
        <v>0.99630500659975851</v>
      </c>
      <c r="J8252" s="4">
        <f t="shared" si="289"/>
        <v>1.105583195135434E-4</v>
      </c>
      <c r="K8252" s="5">
        <f t="shared" si="290"/>
        <v>0.91210613598685297</v>
      </c>
    </row>
    <row r="8253" spans="1:11" x14ac:dyDescent="0.25">
      <c r="A8253" t="s">
        <v>16100</v>
      </c>
      <c r="C8253" t="s">
        <v>16101</v>
      </c>
      <c r="D8253" t="s">
        <v>5</v>
      </c>
      <c r="E8253" t="s">
        <v>6</v>
      </c>
      <c r="F8253" t="s">
        <v>251</v>
      </c>
      <c r="G8253">
        <v>1</v>
      </c>
      <c r="H8253" s="2">
        <f>Tabelle13[[#This Row],[commits]]/Tabelle13[[#Totals],[commits]]</f>
        <v>4.6477904404246225E-6</v>
      </c>
      <c r="I8253" s="5">
        <f>Tabelle13[[#This Row],[%]]+I8252</f>
        <v>0.99630965439019892</v>
      </c>
      <c r="J8253" s="4">
        <f t="shared" si="289"/>
        <v>1.105583195135434E-4</v>
      </c>
      <c r="K8253" s="5">
        <f t="shared" si="290"/>
        <v>0.91221669430636654</v>
      </c>
    </row>
    <row r="8254" spans="1:11" x14ac:dyDescent="0.25">
      <c r="A8254" t="s">
        <v>16102</v>
      </c>
      <c r="C8254" t="s">
        <v>16103</v>
      </c>
      <c r="D8254" t="s">
        <v>5</v>
      </c>
      <c r="E8254" t="s">
        <v>6</v>
      </c>
      <c r="F8254" t="s">
        <v>251</v>
      </c>
      <c r="G8254">
        <v>1</v>
      </c>
      <c r="H8254" s="2">
        <f>Tabelle13[[#This Row],[commits]]/Tabelle13[[#Totals],[commits]]</f>
        <v>4.6477904404246225E-6</v>
      </c>
      <c r="I8254" s="5">
        <f>Tabelle13[[#This Row],[%]]+I8253</f>
        <v>0.99631430218063932</v>
      </c>
      <c r="J8254" s="4">
        <f t="shared" si="289"/>
        <v>1.105583195135434E-4</v>
      </c>
      <c r="K8254" s="5">
        <f t="shared" si="290"/>
        <v>0.9123272526258801</v>
      </c>
    </row>
    <row r="8255" spans="1:11" x14ac:dyDescent="0.25">
      <c r="A8255" t="s">
        <v>16104</v>
      </c>
      <c r="C8255" t="s">
        <v>16105</v>
      </c>
      <c r="D8255" t="s">
        <v>5</v>
      </c>
      <c r="E8255" t="s">
        <v>6</v>
      </c>
      <c r="F8255" t="s">
        <v>251</v>
      </c>
      <c r="G8255">
        <v>1</v>
      </c>
      <c r="H8255" s="2">
        <f>Tabelle13[[#This Row],[commits]]/Tabelle13[[#Totals],[commits]]</f>
        <v>4.6477904404246225E-6</v>
      </c>
      <c r="I8255" s="5">
        <f>Tabelle13[[#This Row],[%]]+I8254</f>
        <v>0.99631894997107973</v>
      </c>
      <c r="J8255" s="4">
        <f t="shared" si="289"/>
        <v>1.105583195135434E-4</v>
      </c>
      <c r="K8255" s="5">
        <f t="shared" si="290"/>
        <v>0.91243781094539367</v>
      </c>
    </row>
    <row r="8256" spans="1:11" x14ac:dyDescent="0.25">
      <c r="A8256" t="s">
        <v>16106</v>
      </c>
      <c r="C8256" t="s">
        <v>16107</v>
      </c>
      <c r="D8256" t="s">
        <v>5</v>
      </c>
      <c r="E8256" t="s">
        <v>6</v>
      </c>
      <c r="F8256" t="s">
        <v>251</v>
      </c>
      <c r="G8256">
        <v>1</v>
      </c>
      <c r="H8256" s="2">
        <f>Tabelle13[[#This Row],[commits]]/Tabelle13[[#Totals],[commits]]</f>
        <v>4.6477904404246225E-6</v>
      </c>
      <c r="I8256" s="5">
        <f>Tabelle13[[#This Row],[%]]+I8255</f>
        <v>0.99632359776152013</v>
      </c>
      <c r="J8256" s="4">
        <f t="shared" si="289"/>
        <v>1.105583195135434E-4</v>
      </c>
      <c r="K8256" s="5">
        <f t="shared" si="290"/>
        <v>0.91254836926490723</v>
      </c>
    </row>
    <row r="8257" spans="1:11" x14ac:dyDescent="0.25">
      <c r="A8257" t="s">
        <v>16108</v>
      </c>
      <c r="C8257" t="s">
        <v>16109</v>
      </c>
      <c r="D8257" t="s">
        <v>7531</v>
      </c>
      <c r="E8257" t="s">
        <v>6</v>
      </c>
      <c r="F8257" t="s">
        <v>251</v>
      </c>
      <c r="G8257">
        <v>1</v>
      </c>
      <c r="H8257" s="2">
        <f>Tabelle13[[#This Row],[commits]]/Tabelle13[[#Totals],[commits]]</f>
        <v>4.6477904404246225E-6</v>
      </c>
      <c r="I8257" s="5">
        <f>Tabelle13[[#This Row],[%]]+I8256</f>
        <v>0.99632824555196053</v>
      </c>
      <c r="J8257" s="4">
        <f t="shared" si="289"/>
        <v>1.105583195135434E-4</v>
      </c>
      <c r="K8257" s="5">
        <f t="shared" si="290"/>
        <v>0.9126589275844208</v>
      </c>
    </row>
    <row r="8258" spans="1:11" x14ac:dyDescent="0.25">
      <c r="A8258" t="s">
        <v>16110</v>
      </c>
      <c r="C8258" t="s">
        <v>16111</v>
      </c>
      <c r="D8258" t="s">
        <v>5</v>
      </c>
      <c r="E8258" t="s">
        <v>6</v>
      </c>
      <c r="F8258" t="s">
        <v>251</v>
      </c>
      <c r="G8258">
        <v>1</v>
      </c>
      <c r="H8258" s="2">
        <f>Tabelle13[[#This Row],[commits]]/Tabelle13[[#Totals],[commits]]</f>
        <v>4.6477904404246225E-6</v>
      </c>
      <c r="I8258" s="5">
        <f>Tabelle13[[#This Row],[%]]+I8257</f>
        <v>0.99633289334240094</v>
      </c>
      <c r="J8258" s="4">
        <f t="shared" si="289"/>
        <v>1.105583195135434E-4</v>
      </c>
      <c r="K8258" s="5">
        <f t="shared" si="290"/>
        <v>0.91276948590393436</v>
      </c>
    </row>
    <row r="8259" spans="1:11" x14ac:dyDescent="0.25">
      <c r="A8259" t="s">
        <v>16112</v>
      </c>
      <c r="C8259" t="s">
        <v>16113</v>
      </c>
      <c r="D8259" t="s">
        <v>5</v>
      </c>
      <c r="E8259" t="s">
        <v>6</v>
      </c>
      <c r="F8259" t="s">
        <v>251</v>
      </c>
      <c r="G8259">
        <v>1</v>
      </c>
      <c r="H8259" s="2">
        <f>Tabelle13[[#This Row],[commits]]/Tabelle13[[#Totals],[commits]]</f>
        <v>4.6477904404246225E-6</v>
      </c>
      <c r="I8259" s="5">
        <f>Tabelle13[[#This Row],[%]]+I8258</f>
        <v>0.99633754113284134</v>
      </c>
      <c r="J8259" s="4">
        <f t="shared" ref="J8259:J8322" si="291">1/9045</f>
        <v>1.105583195135434E-4</v>
      </c>
      <c r="K8259" s="5">
        <f t="shared" si="290"/>
        <v>0.91288004422344793</v>
      </c>
    </row>
    <row r="8260" spans="1:11" x14ac:dyDescent="0.25">
      <c r="A8260" t="s">
        <v>16114</v>
      </c>
      <c r="C8260" t="s">
        <v>16115</v>
      </c>
      <c r="D8260" t="s">
        <v>5</v>
      </c>
      <c r="E8260" t="s">
        <v>6</v>
      </c>
      <c r="F8260" t="s">
        <v>251</v>
      </c>
      <c r="G8260">
        <v>1</v>
      </c>
      <c r="H8260" s="2">
        <f>Tabelle13[[#This Row],[commits]]/Tabelle13[[#Totals],[commits]]</f>
        <v>4.6477904404246225E-6</v>
      </c>
      <c r="I8260" s="5">
        <f>Tabelle13[[#This Row],[%]]+I8259</f>
        <v>0.99634218892328175</v>
      </c>
      <c r="J8260" s="4">
        <f t="shared" si="291"/>
        <v>1.105583195135434E-4</v>
      </c>
      <c r="K8260" s="5">
        <f t="shared" si="290"/>
        <v>0.91299060254296149</v>
      </c>
    </row>
    <row r="8261" spans="1:11" x14ac:dyDescent="0.25">
      <c r="A8261" t="s">
        <v>16116</v>
      </c>
      <c r="C8261" t="s">
        <v>16117</v>
      </c>
      <c r="D8261" t="s">
        <v>5</v>
      </c>
      <c r="E8261" t="s">
        <v>6</v>
      </c>
      <c r="F8261" t="s">
        <v>251</v>
      </c>
      <c r="G8261">
        <v>1</v>
      </c>
      <c r="H8261" s="2">
        <f>Tabelle13[[#This Row],[commits]]/Tabelle13[[#Totals],[commits]]</f>
        <v>4.6477904404246225E-6</v>
      </c>
      <c r="I8261" s="5">
        <f>Tabelle13[[#This Row],[%]]+I8260</f>
        <v>0.99634683671372215</v>
      </c>
      <c r="J8261" s="4">
        <f t="shared" si="291"/>
        <v>1.105583195135434E-4</v>
      </c>
      <c r="K8261" s="5">
        <f t="shared" si="290"/>
        <v>0.91310116086247506</v>
      </c>
    </row>
    <row r="8262" spans="1:11" x14ac:dyDescent="0.25">
      <c r="A8262" t="s">
        <v>16118</v>
      </c>
      <c r="C8262" t="s">
        <v>16119</v>
      </c>
      <c r="D8262" t="s">
        <v>5</v>
      </c>
      <c r="E8262" t="s">
        <v>6</v>
      </c>
      <c r="F8262" t="s">
        <v>251</v>
      </c>
      <c r="G8262">
        <v>1</v>
      </c>
      <c r="H8262" s="2">
        <f>Tabelle13[[#This Row],[commits]]/Tabelle13[[#Totals],[commits]]</f>
        <v>4.6477904404246225E-6</v>
      </c>
      <c r="I8262" s="5">
        <f>Tabelle13[[#This Row],[%]]+I8261</f>
        <v>0.99635148450416255</v>
      </c>
      <c r="J8262" s="4">
        <f t="shared" si="291"/>
        <v>1.105583195135434E-4</v>
      </c>
      <c r="K8262" s="5">
        <f t="shared" ref="K8262:K8325" si="292">J8262+K8261</f>
        <v>0.91321171918198862</v>
      </c>
    </row>
    <row r="8263" spans="1:11" x14ac:dyDescent="0.25">
      <c r="A8263" t="s">
        <v>16120</v>
      </c>
      <c r="C8263" t="s">
        <v>16121</v>
      </c>
      <c r="D8263" t="s">
        <v>309</v>
      </c>
      <c r="E8263" t="s">
        <v>6</v>
      </c>
      <c r="F8263" t="s">
        <v>251</v>
      </c>
      <c r="G8263">
        <v>1</v>
      </c>
      <c r="H8263" s="2">
        <f>Tabelle13[[#This Row],[commits]]/Tabelle13[[#Totals],[commits]]</f>
        <v>4.6477904404246225E-6</v>
      </c>
      <c r="I8263" s="5">
        <f>Tabelle13[[#This Row],[%]]+I8262</f>
        <v>0.99635613229460296</v>
      </c>
      <c r="J8263" s="4">
        <f t="shared" si="291"/>
        <v>1.105583195135434E-4</v>
      </c>
      <c r="K8263" s="5">
        <f t="shared" si="292"/>
        <v>0.91332227750150219</v>
      </c>
    </row>
    <row r="8264" spans="1:11" x14ac:dyDescent="0.25">
      <c r="A8264" t="s">
        <v>16122</v>
      </c>
      <c r="C8264" t="s">
        <v>16123</v>
      </c>
      <c r="D8264" t="s">
        <v>5</v>
      </c>
      <c r="E8264" t="s">
        <v>6</v>
      </c>
      <c r="F8264" t="s">
        <v>251</v>
      </c>
      <c r="G8264">
        <v>1</v>
      </c>
      <c r="H8264" s="2">
        <f>Tabelle13[[#This Row],[commits]]/Tabelle13[[#Totals],[commits]]</f>
        <v>4.6477904404246225E-6</v>
      </c>
      <c r="I8264" s="5">
        <f>Tabelle13[[#This Row],[%]]+I8263</f>
        <v>0.99636078008504336</v>
      </c>
      <c r="J8264" s="4">
        <f t="shared" si="291"/>
        <v>1.105583195135434E-4</v>
      </c>
      <c r="K8264" s="5">
        <f t="shared" si="292"/>
        <v>0.91343283582101575</v>
      </c>
    </row>
    <row r="8265" spans="1:11" x14ac:dyDescent="0.25">
      <c r="A8265" t="s">
        <v>16124</v>
      </c>
      <c r="C8265" t="s">
        <v>16125</v>
      </c>
      <c r="D8265" t="s">
        <v>5</v>
      </c>
      <c r="E8265" t="s">
        <v>6</v>
      </c>
      <c r="F8265" t="s">
        <v>251</v>
      </c>
      <c r="G8265">
        <v>1</v>
      </c>
      <c r="H8265" s="2">
        <f>Tabelle13[[#This Row],[commits]]/Tabelle13[[#Totals],[commits]]</f>
        <v>4.6477904404246225E-6</v>
      </c>
      <c r="I8265" s="5">
        <f>Tabelle13[[#This Row],[%]]+I8264</f>
        <v>0.99636542787548377</v>
      </c>
      <c r="J8265" s="4">
        <f t="shared" si="291"/>
        <v>1.105583195135434E-4</v>
      </c>
      <c r="K8265" s="5">
        <f t="shared" si="292"/>
        <v>0.91354339414052932</v>
      </c>
    </row>
    <row r="8266" spans="1:11" x14ac:dyDescent="0.25">
      <c r="A8266" t="s">
        <v>16126</v>
      </c>
      <c r="C8266" t="s">
        <v>16127</v>
      </c>
      <c r="D8266" t="s">
        <v>5</v>
      </c>
      <c r="E8266" t="s">
        <v>6</v>
      </c>
      <c r="F8266" t="s">
        <v>251</v>
      </c>
      <c r="G8266">
        <v>1</v>
      </c>
      <c r="H8266" s="2">
        <f>Tabelle13[[#This Row],[commits]]/Tabelle13[[#Totals],[commits]]</f>
        <v>4.6477904404246225E-6</v>
      </c>
      <c r="I8266" s="5">
        <f>Tabelle13[[#This Row],[%]]+I8265</f>
        <v>0.99637007566592417</v>
      </c>
      <c r="J8266" s="4">
        <f t="shared" si="291"/>
        <v>1.105583195135434E-4</v>
      </c>
      <c r="K8266" s="5">
        <f t="shared" si="292"/>
        <v>0.91365395246004288</v>
      </c>
    </row>
    <row r="8267" spans="1:11" x14ac:dyDescent="0.25">
      <c r="A8267" t="s">
        <v>16128</v>
      </c>
      <c r="C8267" t="s">
        <v>16129</v>
      </c>
      <c r="D8267" t="s">
        <v>5</v>
      </c>
      <c r="E8267" t="s">
        <v>6</v>
      </c>
      <c r="F8267" t="s">
        <v>251</v>
      </c>
      <c r="G8267">
        <v>1</v>
      </c>
      <c r="H8267" s="2">
        <f>Tabelle13[[#This Row],[commits]]/Tabelle13[[#Totals],[commits]]</f>
        <v>4.6477904404246225E-6</v>
      </c>
      <c r="I8267" s="5">
        <f>Tabelle13[[#This Row],[%]]+I8266</f>
        <v>0.99637472345636457</v>
      </c>
      <c r="J8267" s="4">
        <f t="shared" si="291"/>
        <v>1.105583195135434E-4</v>
      </c>
      <c r="K8267" s="5">
        <f t="shared" si="292"/>
        <v>0.91376451077955645</v>
      </c>
    </row>
    <row r="8268" spans="1:11" x14ac:dyDescent="0.25">
      <c r="A8268" t="s">
        <v>16130</v>
      </c>
      <c r="C8268" t="s">
        <v>16131</v>
      </c>
      <c r="D8268" t="s">
        <v>5</v>
      </c>
      <c r="E8268" t="s">
        <v>6</v>
      </c>
      <c r="F8268" t="s">
        <v>251</v>
      </c>
      <c r="G8268">
        <v>1</v>
      </c>
      <c r="H8268" s="2">
        <f>Tabelle13[[#This Row],[commits]]/Tabelle13[[#Totals],[commits]]</f>
        <v>4.6477904404246225E-6</v>
      </c>
      <c r="I8268" s="5">
        <f>Tabelle13[[#This Row],[%]]+I8267</f>
        <v>0.99637937124680498</v>
      </c>
      <c r="J8268" s="4">
        <f t="shared" si="291"/>
        <v>1.105583195135434E-4</v>
      </c>
      <c r="K8268" s="5">
        <f t="shared" si="292"/>
        <v>0.91387506909907001</v>
      </c>
    </row>
    <row r="8269" spans="1:11" x14ac:dyDescent="0.25">
      <c r="A8269" t="s">
        <v>16132</v>
      </c>
      <c r="C8269" t="s">
        <v>16133</v>
      </c>
      <c r="D8269" t="s">
        <v>5</v>
      </c>
      <c r="E8269" t="s">
        <v>6</v>
      </c>
      <c r="F8269" t="s">
        <v>251</v>
      </c>
      <c r="G8269">
        <v>1</v>
      </c>
      <c r="H8269" s="2">
        <f>Tabelle13[[#This Row],[commits]]/Tabelle13[[#Totals],[commits]]</f>
        <v>4.6477904404246225E-6</v>
      </c>
      <c r="I8269" s="5">
        <f>Tabelle13[[#This Row],[%]]+I8268</f>
        <v>0.99638401903724538</v>
      </c>
      <c r="J8269" s="4">
        <f t="shared" si="291"/>
        <v>1.105583195135434E-4</v>
      </c>
      <c r="K8269" s="5">
        <f t="shared" si="292"/>
        <v>0.91398562741858358</v>
      </c>
    </row>
    <row r="8270" spans="1:11" x14ac:dyDescent="0.25">
      <c r="A8270" t="s">
        <v>16134</v>
      </c>
      <c r="C8270" t="s">
        <v>16135</v>
      </c>
      <c r="D8270" t="s">
        <v>8948</v>
      </c>
      <c r="E8270" t="s">
        <v>6</v>
      </c>
      <c r="F8270" t="s">
        <v>251</v>
      </c>
      <c r="G8270">
        <v>1</v>
      </c>
      <c r="H8270" s="2">
        <f>Tabelle13[[#This Row],[commits]]/Tabelle13[[#Totals],[commits]]</f>
        <v>4.6477904404246225E-6</v>
      </c>
      <c r="I8270" s="5">
        <f>Tabelle13[[#This Row],[%]]+I8269</f>
        <v>0.99638866682768579</v>
      </c>
      <c r="J8270" s="4">
        <f t="shared" si="291"/>
        <v>1.105583195135434E-4</v>
      </c>
      <c r="K8270" s="5">
        <f t="shared" si="292"/>
        <v>0.91409618573809714</v>
      </c>
    </row>
    <row r="8271" spans="1:11" x14ac:dyDescent="0.25">
      <c r="A8271" t="s">
        <v>16136</v>
      </c>
      <c r="C8271" t="s">
        <v>16137</v>
      </c>
      <c r="D8271" t="s">
        <v>5</v>
      </c>
      <c r="E8271" t="s">
        <v>6</v>
      </c>
      <c r="F8271" t="s">
        <v>251</v>
      </c>
      <c r="G8271">
        <v>1</v>
      </c>
      <c r="H8271" s="2">
        <f>Tabelle13[[#This Row],[commits]]/Tabelle13[[#Totals],[commits]]</f>
        <v>4.6477904404246225E-6</v>
      </c>
      <c r="I8271" s="5">
        <f>Tabelle13[[#This Row],[%]]+I8270</f>
        <v>0.99639331461812619</v>
      </c>
      <c r="J8271" s="4">
        <f t="shared" si="291"/>
        <v>1.105583195135434E-4</v>
      </c>
      <c r="K8271" s="5">
        <f t="shared" si="292"/>
        <v>0.91420674405761071</v>
      </c>
    </row>
    <row r="8272" spans="1:11" x14ac:dyDescent="0.25">
      <c r="A8272" t="s">
        <v>16138</v>
      </c>
      <c r="C8272" t="s">
        <v>16139</v>
      </c>
      <c r="D8272" t="s">
        <v>5</v>
      </c>
      <c r="E8272" t="s">
        <v>6</v>
      </c>
      <c r="F8272" t="s">
        <v>251</v>
      </c>
      <c r="G8272">
        <v>1</v>
      </c>
      <c r="H8272" s="2">
        <f>Tabelle13[[#This Row],[commits]]/Tabelle13[[#Totals],[commits]]</f>
        <v>4.6477904404246225E-6</v>
      </c>
      <c r="I8272" s="5">
        <f>Tabelle13[[#This Row],[%]]+I8271</f>
        <v>0.9963979624085666</v>
      </c>
      <c r="J8272" s="4">
        <f t="shared" si="291"/>
        <v>1.105583195135434E-4</v>
      </c>
      <c r="K8272" s="5">
        <f t="shared" si="292"/>
        <v>0.91431730237712427</v>
      </c>
    </row>
    <row r="8273" spans="1:11" x14ac:dyDescent="0.25">
      <c r="A8273" t="s">
        <v>16140</v>
      </c>
      <c r="C8273" t="s">
        <v>16141</v>
      </c>
      <c r="D8273" t="s">
        <v>5</v>
      </c>
      <c r="E8273" t="s">
        <v>6</v>
      </c>
      <c r="F8273" t="s">
        <v>251</v>
      </c>
      <c r="G8273">
        <v>1</v>
      </c>
      <c r="H8273" s="2">
        <f>Tabelle13[[#This Row],[commits]]/Tabelle13[[#Totals],[commits]]</f>
        <v>4.6477904404246225E-6</v>
      </c>
      <c r="I8273" s="5">
        <f>Tabelle13[[#This Row],[%]]+I8272</f>
        <v>0.996402610199007</v>
      </c>
      <c r="J8273" s="4">
        <f t="shared" si="291"/>
        <v>1.105583195135434E-4</v>
      </c>
      <c r="K8273" s="5">
        <f t="shared" si="292"/>
        <v>0.91442786069663784</v>
      </c>
    </row>
    <row r="8274" spans="1:11" x14ac:dyDescent="0.25">
      <c r="A8274" t="s">
        <v>16142</v>
      </c>
      <c r="C8274" t="s">
        <v>16143</v>
      </c>
      <c r="D8274" t="s">
        <v>5</v>
      </c>
      <c r="E8274" t="s">
        <v>6</v>
      </c>
      <c r="F8274" t="s">
        <v>251</v>
      </c>
      <c r="G8274">
        <v>1</v>
      </c>
      <c r="H8274" s="2">
        <f>Tabelle13[[#This Row],[commits]]/Tabelle13[[#Totals],[commits]]</f>
        <v>4.6477904404246225E-6</v>
      </c>
      <c r="I8274" s="5">
        <f>Tabelle13[[#This Row],[%]]+I8273</f>
        <v>0.9964072579894474</v>
      </c>
      <c r="J8274" s="4">
        <f t="shared" si="291"/>
        <v>1.105583195135434E-4</v>
      </c>
      <c r="K8274" s="5">
        <f t="shared" si="292"/>
        <v>0.9145384190161514</v>
      </c>
    </row>
    <row r="8275" spans="1:11" x14ac:dyDescent="0.25">
      <c r="A8275" t="s">
        <v>16144</v>
      </c>
      <c r="C8275" t="s">
        <v>16145</v>
      </c>
      <c r="D8275" t="s">
        <v>5</v>
      </c>
      <c r="E8275" t="s">
        <v>6</v>
      </c>
      <c r="F8275" t="s">
        <v>251</v>
      </c>
      <c r="G8275">
        <v>1</v>
      </c>
      <c r="H8275" s="2">
        <f>Tabelle13[[#This Row],[commits]]/Tabelle13[[#Totals],[commits]]</f>
        <v>4.6477904404246225E-6</v>
      </c>
      <c r="I8275" s="5">
        <f>Tabelle13[[#This Row],[%]]+I8274</f>
        <v>0.99641190577988781</v>
      </c>
      <c r="J8275" s="4">
        <f t="shared" si="291"/>
        <v>1.105583195135434E-4</v>
      </c>
      <c r="K8275" s="5">
        <f t="shared" si="292"/>
        <v>0.91464897733566497</v>
      </c>
    </row>
    <row r="8276" spans="1:11" x14ac:dyDescent="0.25">
      <c r="A8276" t="s">
        <v>16146</v>
      </c>
      <c r="C8276" t="s">
        <v>16147</v>
      </c>
      <c r="D8276" t="s">
        <v>15768</v>
      </c>
      <c r="E8276" t="s">
        <v>6</v>
      </c>
      <c r="F8276" t="s">
        <v>251</v>
      </c>
      <c r="G8276">
        <v>1</v>
      </c>
      <c r="H8276" s="2">
        <f>Tabelle13[[#This Row],[commits]]/Tabelle13[[#Totals],[commits]]</f>
        <v>4.6477904404246225E-6</v>
      </c>
      <c r="I8276" s="5">
        <f>Tabelle13[[#This Row],[%]]+I8275</f>
        <v>0.99641655357032821</v>
      </c>
      <c r="J8276" s="4">
        <f t="shared" si="291"/>
        <v>1.105583195135434E-4</v>
      </c>
      <c r="K8276" s="5">
        <f t="shared" si="292"/>
        <v>0.91475953565517854</v>
      </c>
    </row>
    <row r="8277" spans="1:11" x14ac:dyDescent="0.25">
      <c r="A8277" t="s">
        <v>16148</v>
      </c>
      <c r="C8277" t="s">
        <v>16149</v>
      </c>
      <c r="D8277" t="s">
        <v>5</v>
      </c>
      <c r="E8277" t="s">
        <v>6</v>
      </c>
      <c r="F8277" t="s">
        <v>251</v>
      </c>
      <c r="G8277">
        <v>1</v>
      </c>
      <c r="H8277" s="2">
        <f>Tabelle13[[#This Row],[commits]]/Tabelle13[[#Totals],[commits]]</f>
        <v>4.6477904404246225E-6</v>
      </c>
      <c r="I8277" s="5">
        <f>Tabelle13[[#This Row],[%]]+I8276</f>
        <v>0.99642120136076862</v>
      </c>
      <c r="J8277" s="4">
        <f t="shared" si="291"/>
        <v>1.105583195135434E-4</v>
      </c>
      <c r="K8277" s="5">
        <f t="shared" si="292"/>
        <v>0.9148700939746921</v>
      </c>
    </row>
    <row r="8278" spans="1:11" x14ac:dyDescent="0.25">
      <c r="A8278" t="s">
        <v>16150</v>
      </c>
      <c r="C8278" t="s">
        <v>16151</v>
      </c>
      <c r="D8278" t="s">
        <v>5</v>
      </c>
      <c r="E8278" t="s">
        <v>6</v>
      </c>
      <c r="F8278" t="s">
        <v>251</v>
      </c>
      <c r="G8278">
        <v>1</v>
      </c>
      <c r="H8278" s="2">
        <f>Tabelle13[[#This Row],[commits]]/Tabelle13[[#Totals],[commits]]</f>
        <v>4.6477904404246225E-6</v>
      </c>
      <c r="I8278" s="5">
        <f>Tabelle13[[#This Row],[%]]+I8277</f>
        <v>0.99642584915120902</v>
      </c>
      <c r="J8278" s="4">
        <f t="shared" si="291"/>
        <v>1.105583195135434E-4</v>
      </c>
      <c r="K8278" s="5">
        <f t="shared" si="292"/>
        <v>0.91498065229420567</v>
      </c>
    </row>
    <row r="8279" spans="1:11" x14ac:dyDescent="0.25">
      <c r="A8279" t="s">
        <v>16152</v>
      </c>
      <c r="C8279" t="s">
        <v>16153</v>
      </c>
      <c r="D8279" t="s">
        <v>5</v>
      </c>
      <c r="E8279" t="s">
        <v>6</v>
      </c>
      <c r="F8279" t="s">
        <v>251</v>
      </c>
      <c r="G8279">
        <v>1</v>
      </c>
      <c r="H8279" s="2">
        <f>Tabelle13[[#This Row],[commits]]/Tabelle13[[#Totals],[commits]]</f>
        <v>4.6477904404246225E-6</v>
      </c>
      <c r="I8279" s="5">
        <f>Tabelle13[[#This Row],[%]]+I8278</f>
        <v>0.99643049694164942</v>
      </c>
      <c r="J8279" s="4">
        <f t="shared" si="291"/>
        <v>1.105583195135434E-4</v>
      </c>
      <c r="K8279" s="5">
        <f t="shared" si="292"/>
        <v>0.91509121061371923</v>
      </c>
    </row>
    <row r="8280" spans="1:11" x14ac:dyDescent="0.25">
      <c r="A8280" t="s">
        <v>16154</v>
      </c>
      <c r="C8280" t="s">
        <v>6974</v>
      </c>
      <c r="D8280" t="s">
        <v>5</v>
      </c>
      <c r="E8280" t="s">
        <v>6</v>
      </c>
      <c r="F8280" t="s">
        <v>251</v>
      </c>
      <c r="G8280">
        <v>1</v>
      </c>
      <c r="H8280" s="2">
        <f>Tabelle13[[#This Row],[commits]]/Tabelle13[[#Totals],[commits]]</f>
        <v>4.6477904404246225E-6</v>
      </c>
      <c r="I8280" s="5">
        <f>Tabelle13[[#This Row],[%]]+I8279</f>
        <v>0.99643514473208983</v>
      </c>
      <c r="J8280" s="4">
        <f t="shared" si="291"/>
        <v>1.105583195135434E-4</v>
      </c>
      <c r="K8280" s="5">
        <f t="shared" si="292"/>
        <v>0.9152017689332328</v>
      </c>
    </row>
    <row r="8281" spans="1:11" x14ac:dyDescent="0.25">
      <c r="A8281" t="s">
        <v>16155</v>
      </c>
      <c r="C8281" t="s">
        <v>16156</v>
      </c>
      <c r="D8281" t="s">
        <v>5</v>
      </c>
      <c r="E8281" t="s">
        <v>6</v>
      </c>
      <c r="F8281" t="s">
        <v>251</v>
      </c>
      <c r="G8281">
        <v>1</v>
      </c>
      <c r="H8281" s="2">
        <f>Tabelle13[[#This Row],[commits]]/Tabelle13[[#Totals],[commits]]</f>
        <v>4.6477904404246225E-6</v>
      </c>
      <c r="I8281" s="5">
        <f>Tabelle13[[#This Row],[%]]+I8280</f>
        <v>0.99643979252253023</v>
      </c>
      <c r="J8281" s="4">
        <f t="shared" si="291"/>
        <v>1.105583195135434E-4</v>
      </c>
      <c r="K8281" s="5">
        <f t="shared" si="292"/>
        <v>0.91531232725274636</v>
      </c>
    </row>
    <row r="8282" spans="1:11" x14ac:dyDescent="0.25">
      <c r="A8282" t="s">
        <v>16157</v>
      </c>
      <c r="C8282" t="s">
        <v>16158</v>
      </c>
      <c r="D8282" t="s">
        <v>5</v>
      </c>
      <c r="E8282" t="s">
        <v>6</v>
      </c>
      <c r="F8282" t="s">
        <v>251</v>
      </c>
      <c r="G8282">
        <v>1</v>
      </c>
      <c r="H8282" s="2">
        <f>Tabelle13[[#This Row],[commits]]/Tabelle13[[#Totals],[commits]]</f>
        <v>4.6477904404246225E-6</v>
      </c>
      <c r="I8282" s="5">
        <f>Tabelle13[[#This Row],[%]]+I8281</f>
        <v>0.99644444031297064</v>
      </c>
      <c r="J8282" s="4">
        <f t="shared" si="291"/>
        <v>1.105583195135434E-4</v>
      </c>
      <c r="K8282" s="5">
        <f t="shared" si="292"/>
        <v>0.91542288557225993</v>
      </c>
    </row>
    <row r="8283" spans="1:11" x14ac:dyDescent="0.25">
      <c r="A8283" t="s">
        <v>16159</v>
      </c>
      <c r="C8283" t="s">
        <v>16160</v>
      </c>
      <c r="D8283" t="s">
        <v>5</v>
      </c>
      <c r="E8283" t="s">
        <v>6</v>
      </c>
      <c r="F8283" t="s">
        <v>251</v>
      </c>
      <c r="G8283">
        <v>1</v>
      </c>
      <c r="H8283" s="2">
        <f>Tabelle13[[#This Row],[commits]]/Tabelle13[[#Totals],[commits]]</f>
        <v>4.6477904404246225E-6</v>
      </c>
      <c r="I8283" s="5">
        <f>Tabelle13[[#This Row],[%]]+I8282</f>
        <v>0.99644908810341104</v>
      </c>
      <c r="J8283" s="4">
        <f t="shared" si="291"/>
        <v>1.105583195135434E-4</v>
      </c>
      <c r="K8283" s="5">
        <f t="shared" si="292"/>
        <v>0.91553344389177349</v>
      </c>
    </row>
    <row r="8284" spans="1:11" x14ac:dyDescent="0.25">
      <c r="A8284" t="s">
        <v>16161</v>
      </c>
      <c r="C8284" t="s">
        <v>16162</v>
      </c>
      <c r="D8284" t="s">
        <v>5</v>
      </c>
      <c r="E8284" t="s">
        <v>6</v>
      </c>
      <c r="F8284" t="s">
        <v>251</v>
      </c>
      <c r="G8284">
        <v>1</v>
      </c>
      <c r="H8284" s="2">
        <f>Tabelle13[[#This Row],[commits]]/Tabelle13[[#Totals],[commits]]</f>
        <v>4.6477904404246225E-6</v>
      </c>
      <c r="I8284" s="5">
        <f>Tabelle13[[#This Row],[%]]+I8283</f>
        <v>0.99645373589385144</v>
      </c>
      <c r="J8284" s="4">
        <f t="shared" si="291"/>
        <v>1.105583195135434E-4</v>
      </c>
      <c r="K8284" s="5">
        <f t="shared" si="292"/>
        <v>0.91564400221128706</v>
      </c>
    </row>
    <row r="8285" spans="1:11" x14ac:dyDescent="0.25">
      <c r="A8285" t="s">
        <v>16163</v>
      </c>
      <c r="C8285" t="s">
        <v>16164</v>
      </c>
      <c r="D8285" t="s">
        <v>5</v>
      </c>
      <c r="E8285" t="s">
        <v>6</v>
      </c>
      <c r="F8285" t="s">
        <v>251</v>
      </c>
      <c r="G8285">
        <v>1</v>
      </c>
      <c r="H8285" s="2">
        <f>Tabelle13[[#This Row],[commits]]/Tabelle13[[#Totals],[commits]]</f>
        <v>4.6477904404246225E-6</v>
      </c>
      <c r="I8285" s="5">
        <f>Tabelle13[[#This Row],[%]]+I8284</f>
        <v>0.99645838368429185</v>
      </c>
      <c r="J8285" s="4">
        <f t="shared" si="291"/>
        <v>1.105583195135434E-4</v>
      </c>
      <c r="K8285" s="5">
        <f t="shared" si="292"/>
        <v>0.91575456053080062</v>
      </c>
    </row>
    <row r="8286" spans="1:11" x14ac:dyDescent="0.25">
      <c r="A8286" t="s">
        <v>16165</v>
      </c>
      <c r="C8286" t="s">
        <v>16166</v>
      </c>
      <c r="D8286" t="s">
        <v>5</v>
      </c>
      <c r="E8286" t="s">
        <v>6</v>
      </c>
      <c r="F8286" t="s">
        <v>251</v>
      </c>
      <c r="G8286">
        <v>1</v>
      </c>
      <c r="H8286" s="2">
        <f>Tabelle13[[#This Row],[commits]]/Tabelle13[[#Totals],[commits]]</f>
        <v>4.6477904404246225E-6</v>
      </c>
      <c r="I8286" s="5">
        <f>Tabelle13[[#This Row],[%]]+I8285</f>
        <v>0.99646303147473225</v>
      </c>
      <c r="J8286" s="4">
        <f t="shared" si="291"/>
        <v>1.105583195135434E-4</v>
      </c>
      <c r="K8286" s="5">
        <f t="shared" si="292"/>
        <v>0.91586511885031419</v>
      </c>
    </row>
    <row r="8287" spans="1:11" x14ac:dyDescent="0.25">
      <c r="A8287" t="s">
        <v>16167</v>
      </c>
      <c r="C8287" t="s">
        <v>16168</v>
      </c>
      <c r="D8287" t="s">
        <v>10094</v>
      </c>
      <c r="E8287" t="s">
        <v>6</v>
      </c>
      <c r="F8287" t="s">
        <v>251</v>
      </c>
      <c r="G8287">
        <v>1</v>
      </c>
      <c r="H8287" s="2">
        <f>Tabelle13[[#This Row],[commits]]/Tabelle13[[#Totals],[commits]]</f>
        <v>4.6477904404246225E-6</v>
      </c>
      <c r="I8287" s="5">
        <f>Tabelle13[[#This Row],[%]]+I8286</f>
        <v>0.99646767926517266</v>
      </c>
      <c r="J8287" s="4">
        <f t="shared" si="291"/>
        <v>1.105583195135434E-4</v>
      </c>
      <c r="K8287" s="5">
        <f t="shared" si="292"/>
        <v>0.91597567716982775</v>
      </c>
    </row>
    <row r="8288" spans="1:11" x14ac:dyDescent="0.25">
      <c r="A8288" t="s">
        <v>16169</v>
      </c>
      <c r="C8288" t="s">
        <v>16170</v>
      </c>
      <c r="D8288" t="s">
        <v>5</v>
      </c>
      <c r="E8288" t="s">
        <v>6</v>
      </c>
      <c r="F8288" t="s">
        <v>251</v>
      </c>
      <c r="G8288">
        <v>1</v>
      </c>
      <c r="H8288" s="2">
        <f>Tabelle13[[#This Row],[commits]]/Tabelle13[[#Totals],[commits]]</f>
        <v>4.6477904404246225E-6</v>
      </c>
      <c r="I8288" s="5">
        <f>Tabelle13[[#This Row],[%]]+I8287</f>
        <v>0.99647232705561306</v>
      </c>
      <c r="J8288" s="4">
        <f t="shared" si="291"/>
        <v>1.105583195135434E-4</v>
      </c>
      <c r="K8288" s="5">
        <f t="shared" si="292"/>
        <v>0.91608623548934132</v>
      </c>
    </row>
    <row r="8289" spans="1:11" x14ac:dyDescent="0.25">
      <c r="A8289" t="s">
        <v>16171</v>
      </c>
      <c r="C8289" t="s">
        <v>16172</v>
      </c>
      <c r="D8289" t="s">
        <v>5</v>
      </c>
      <c r="E8289" t="s">
        <v>6</v>
      </c>
      <c r="F8289" t="s">
        <v>251</v>
      </c>
      <c r="G8289">
        <v>1</v>
      </c>
      <c r="H8289" s="2">
        <f>Tabelle13[[#This Row],[commits]]/Tabelle13[[#Totals],[commits]]</f>
        <v>4.6477904404246225E-6</v>
      </c>
      <c r="I8289" s="5">
        <f>Tabelle13[[#This Row],[%]]+I8288</f>
        <v>0.99647697484605346</v>
      </c>
      <c r="J8289" s="4">
        <f t="shared" si="291"/>
        <v>1.105583195135434E-4</v>
      </c>
      <c r="K8289" s="5">
        <f t="shared" si="292"/>
        <v>0.91619679380885488</v>
      </c>
    </row>
    <row r="8290" spans="1:11" x14ac:dyDescent="0.25">
      <c r="A8290" t="s">
        <v>16173</v>
      </c>
      <c r="C8290" t="s">
        <v>16174</v>
      </c>
      <c r="D8290" t="s">
        <v>5</v>
      </c>
      <c r="E8290" t="s">
        <v>6</v>
      </c>
      <c r="F8290" t="s">
        <v>251</v>
      </c>
      <c r="G8290">
        <v>1</v>
      </c>
      <c r="H8290" s="2">
        <f>Tabelle13[[#This Row],[commits]]/Tabelle13[[#Totals],[commits]]</f>
        <v>4.6477904404246225E-6</v>
      </c>
      <c r="I8290" s="5">
        <f>Tabelle13[[#This Row],[%]]+I8289</f>
        <v>0.99648162263649387</v>
      </c>
      <c r="J8290" s="4">
        <f t="shared" si="291"/>
        <v>1.105583195135434E-4</v>
      </c>
      <c r="K8290" s="5">
        <f t="shared" si="292"/>
        <v>0.91630735212836845</v>
      </c>
    </row>
    <row r="8291" spans="1:11" x14ac:dyDescent="0.25">
      <c r="A8291" t="s">
        <v>16175</v>
      </c>
      <c r="C8291" t="s">
        <v>16176</v>
      </c>
      <c r="D8291" t="s">
        <v>5</v>
      </c>
      <c r="E8291" t="s">
        <v>6</v>
      </c>
      <c r="F8291" t="s">
        <v>251</v>
      </c>
      <c r="G8291">
        <v>1</v>
      </c>
      <c r="H8291" s="2">
        <f>Tabelle13[[#This Row],[commits]]/Tabelle13[[#Totals],[commits]]</f>
        <v>4.6477904404246225E-6</v>
      </c>
      <c r="I8291" s="5">
        <f>Tabelle13[[#This Row],[%]]+I8290</f>
        <v>0.99648627042693427</v>
      </c>
      <c r="J8291" s="4">
        <f t="shared" si="291"/>
        <v>1.105583195135434E-4</v>
      </c>
      <c r="K8291" s="5">
        <f t="shared" si="292"/>
        <v>0.91641791044788201</v>
      </c>
    </row>
    <row r="8292" spans="1:11" x14ac:dyDescent="0.25">
      <c r="A8292" t="s">
        <v>16177</v>
      </c>
      <c r="C8292" t="s">
        <v>16178</v>
      </c>
      <c r="D8292" t="s">
        <v>5</v>
      </c>
      <c r="E8292" t="s">
        <v>6</v>
      </c>
      <c r="F8292" t="s">
        <v>251</v>
      </c>
      <c r="G8292">
        <v>1</v>
      </c>
      <c r="H8292" s="2">
        <f>Tabelle13[[#This Row],[commits]]/Tabelle13[[#Totals],[commits]]</f>
        <v>4.6477904404246225E-6</v>
      </c>
      <c r="I8292" s="5">
        <f>Tabelle13[[#This Row],[%]]+I8291</f>
        <v>0.99649091821737468</v>
      </c>
      <c r="J8292" s="4">
        <f t="shared" si="291"/>
        <v>1.105583195135434E-4</v>
      </c>
      <c r="K8292" s="5">
        <f t="shared" si="292"/>
        <v>0.91652846876739558</v>
      </c>
    </row>
    <row r="8293" spans="1:11" x14ac:dyDescent="0.25">
      <c r="A8293" t="s">
        <v>16179</v>
      </c>
      <c r="C8293" t="s">
        <v>16180</v>
      </c>
      <c r="D8293" t="s">
        <v>16181</v>
      </c>
      <c r="E8293" t="s">
        <v>6</v>
      </c>
      <c r="F8293" t="s">
        <v>251</v>
      </c>
      <c r="G8293">
        <v>1</v>
      </c>
      <c r="H8293" s="2">
        <f>Tabelle13[[#This Row],[commits]]/Tabelle13[[#Totals],[commits]]</f>
        <v>4.6477904404246225E-6</v>
      </c>
      <c r="I8293" s="5">
        <f>Tabelle13[[#This Row],[%]]+I8292</f>
        <v>0.99649556600781508</v>
      </c>
      <c r="J8293" s="4">
        <f t="shared" si="291"/>
        <v>1.105583195135434E-4</v>
      </c>
      <c r="K8293" s="5">
        <f t="shared" si="292"/>
        <v>0.91663902708690914</v>
      </c>
    </row>
    <row r="8294" spans="1:11" x14ac:dyDescent="0.25">
      <c r="A8294" t="s">
        <v>16182</v>
      </c>
      <c r="C8294" t="s">
        <v>16183</v>
      </c>
      <c r="D8294" t="s">
        <v>5</v>
      </c>
      <c r="E8294" t="s">
        <v>6</v>
      </c>
      <c r="F8294" t="s">
        <v>251</v>
      </c>
      <c r="G8294">
        <v>1</v>
      </c>
      <c r="H8294" s="2">
        <f>Tabelle13[[#This Row],[commits]]/Tabelle13[[#Totals],[commits]]</f>
        <v>4.6477904404246225E-6</v>
      </c>
      <c r="I8294" s="5">
        <f>Tabelle13[[#This Row],[%]]+I8293</f>
        <v>0.99650021379825549</v>
      </c>
      <c r="J8294" s="4">
        <f t="shared" si="291"/>
        <v>1.105583195135434E-4</v>
      </c>
      <c r="K8294" s="5">
        <f t="shared" si="292"/>
        <v>0.91674958540642271</v>
      </c>
    </row>
    <row r="8295" spans="1:11" x14ac:dyDescent="0.25">
      <c r="A8295" t="s">
        <v>16184</v>
      </c>
      <c r="C8295" t="s">
        <v>12839</v>
      </c>
      <c r="D8295" t="s">
        <v>5</v>
      </c>
      <c r="E8295" t="s">
        <v>6</v>
      </c>
      <c r="F8295" t="s">
        <v>251</v>
      </c>
      <c r="G8295">
        <v>1</v>
      </c>
      <c r="H8295" s="2">
        <f>Tabelle13[[#This Row],[commits]]/Tabelle13[[#Totals],[commits]]</f>
        <v>4.6477904404246225E-6</v>
      </c>
      <c r="I8295" s="5">
        <f>Tabelle13[[#This Row],[%]]+I8294</f>
        <v>0.99650486158869589</v>
      </c>
      <c r="J8295" s="4">
        <f t="shared" si="291"/>
        <v>1.105583195135434E-4</v>
      </c>
      <c r="K8295" s="5">
        <f t="shared" si="292"/>
        <v>0.91686014372593627</v>
      </c>
    </row>
    <row r="8296" spans="1:11" x14ac:dyDescent="0.25">
      <c r="A8296" t="s">
        <v>16185</v>
      </c>
      <c r="C8296" t="s">
        <v>16186</v>
      </c>
      <c r="D8296" t="s">
        <v>11502</v>
      </c>
      <c r="E8296" t="s">
        <v>6</v>
      </c>
      <c r="F8296" t="s">
        <v>251</v>
      </c>
      <c r="G8296">
        <v>1</v>
      </c>
      <c r="H8296" s="2">
        <f>Tabelle13[[#This Row],[commits]]/Tabelle13[[#Totals],[commits]]</f>
        <v>4.6477904404246225E-6</v>
      </c>
      <c r="I8296" s="5">
        <f>Tabelle13[[#This Row],[%]]+I8295</f>
        <v>0.99650950937913629</v>
      </c>
      <c r="J8296" s="4">
        <f t="shared" si="291"/>
        <v>1.105583195135434E-4</v>
      </c>
      <c r="K8296" s="5">
        <f t="shared" si="292"/>
        <v>0.91697070204544984</v>
      </c>
    </row>
    <row r="8297" spans="1:11" x14ac:dyDescent="0.25">
      <c r="A8297" t="s">
        <v>16187</v>
      </c>
      <c r="C8297" t="s">
        <v>16188</v>
      </c>
      <c r="D8297" t="s">
        <v>5</v>
      </c>
      <c r="E8297" t="s">
        <v>6</v>
      </c>
      <c r="F8297" t="s">
        <v>251</v>
      </c>
      <c r="G8297">
        <v>1</v>
      </c>
      <c r="H8297" s="2">
        <f>Tabelle13[[#This Row],[commits]]/Tabelle13[[#Totals],[commits]]</f>
        <v>4.6477904404246225E-6</v>
      </c>
      <c r="I8297" s="5">
        <f>Tabelle13[[#This Row],[%]]+I8296</f>
        <v>0.9965141571695767</v>
      </c>
      <c r="J8297" s="4">
        <f t="shared" si="291"/>
        <v>1.105583195135434E-4</v>
      </c>
      <c r="K8297" s="5">
        <f t="shared" si="292"/>
        <v>0.9170812603649634</v>
      </c>
    </row>
    <row r="8298" spans="1:11" x14ac:dyDescent="0.25">
      <c r="A8298" t="s">
        <v>16189</v>
      </c>
      <c r="C8298" t="s">
        <v>16190</v>
      </c>
      <c r="D8298" t="s">
        <v>5</v>
      </c>
      <c r="E8298" t="s">
        <v>6</v>
      </c>
      <c r="F8298" t="s">
        <v>251</v>
      </c>
      <c r="G8298">
        <v>1</v>
      </c>
      <c r="H8298" s="2">
        <f>Tabelle13[[#This Row],[commits]]/Tabelle13[[#Totals],[commits]]</f>
        <v>4.6477904404246225E-6</v>
      </c>
      <c r="I8298" s="5">
        <f>Tabelle13[[#This Row],[%]]+I8297</f>
        <v>0.9965188049600171</v>
      </c>
      <c r="J8298" s="4">
        <f t="shared" si="291"/>
        <v>1.105583195135434E-4</v>
      </c>
      <c r="K8298" s="5">
        <f t="shared" si="292"/>
        <v>0.91719181868447697</v>
      </c>
    </row>
    <row r="8299" spans="1:11" x14ac:dyDescent="0.25">
      <c r="A8299" t="s">
        <v>16191</v>
      </c>
      <c r="C8299" t="s">
        <v>16192</v>
      </c>
      <c r="D8299" t="s">
        <v>5</v>
      </c>
      <c r="E8299" t="s">
        <v>6</v>
      </c>
      <c r="F8299" t="s">
        <v>251</v>
      </c>
      <c r="G8299">
        <v>1</v>
      </c>
      <c r="H8299" s="2">
        <f>Tabelle13[[#This Row],[commits]]/Tabelle13[[#Totals],[commits]]</f>
        <v>4.6477904404246225E-6</v>
      </c>
      <c r="I8299" s="5">
        <f>Tabelle13[[#This Row],[%]]+I8298</f>
        <v>0.99652345275045751</v>
      </c>
      <c r="J8299" s="4">
        <f t="shared" si="291"/>
        <v>1.105583195135434E-4</v>
      </c>
      <c r="K8299" s="5">
        <f t="shared" si="292"/>
        <v>0.91730237700399053</v>
      </c>
    </row>
    <row r="8300" spans="1:11" x14ac:dyDescent="0.25">
      <c r="A8300" t="s">
        <v>16193</v>
      </c>
      <c r="C8300" t="s">
        <v>16194</v>
      </c>
      <c r="D8300" t="s">
        <v>5</v>
      </c>
      <c r="E8300" t="s">
        <v>6</v>
      </c>
      <c r="F8300" t="s">
        <v>251</v>
      </c>
      <c r="G8300">
        <v>1</v>
      </c>
      <c r="H8300" s="2">
        <f>Tabelle13[[#This Row],[commits]]/Tabelle13[[#Totals],[commits]]</f>
        <v>4.6477904404246225E-6</v>
      </c>
      <c r="I8300" s="5">
        <f>Tabelle13[[#This Row],[%]]+I8299</f>
        <v>0.99652810054089791</v>
      </c>
      <c r="J8300" s="4">
        <f t="shared" si="291"/>
        <v>1.105583195135434E-4</v>
      </c>
      <c r="K8300" s="5">
        <f t="shared" si="292"/>
        <v>0.9174129353235041</v>
      </c>
    </row>
    <row r="8301" spans="1:11" x14ac:dyDescent="0.25">
      <c r="A8301" t="s">
        <v>16195</v>
      </c>
      <c r="C8301" t="s">
        <v>16196</v>
      </c>
      <c r="D8301" t="s">
        <v>5</v>
      </c>
      <c r="E8301" t="s">
        <v>6</v>
      </c>
      <c r="F8301" t="s">
        <v>251</v>
      </c>
      <c r="G8301">
        <v>1</v>
      </c>
      <c r="H8301" s="2">
        <f>Tabelle13[[#This Row],[commits]]/Tabelle13[[#Totals],[commits]]</f>
        <v>4.6477904404246225E-6</v>
      </c>
      <c r="I8301" s="5">
        <f>Tabelle13[[#This Row],[%]]+I8300</f>
        <v>0.99653274833133831</v>
      </c>
      <c r="J8301" s="4">
        <f t="shared" si="291"/>
        <v>1.105583195135434E-4</v>
      </c>
      <c r="K8301" s="5">
        <f t="shared" si="292"/>
        <v>0.91752349364301766</v>
      </c>
    </row>
    <row r="8302" spans="1:11" x14ac:dyDescent="0.25">
      <c r="A8302" t="s">
        <v>16197</v>
      </c>
      <c r="C8302" t="s">
        <v>16198</v>
      </c>
      <c r="D8302" t="s">
        <v>9813</v>
      </c>
      <c r="E8302" t="s">
        <v>6</v>
      </c>
      <c r="F8302" t="s">
        <v>251</v>
      </c>
      <c r="G8302">
        <v>1</v>
      </c>
      <c r="H8302" s="2">
        <f>Tabelle13[[#This Row],[commits]]/Tabelle13[[#Totals],[commits]]</f>
        <v>4.6477904404246225E-6</v>
      </c>
      <c r="I8302" s="5">
        <f>Tabelle13[[#This Row],[%]]+I8301</f>
        <v>0.99653739612177872</v>
      </c>
      <c r="J8302" s="4">
        <f t="shared" si="291"/>
        <v>1.105583195135434E-4</v>
      </c>
      <c r="K8302" s="5">
        <f t="shared" si="292"/>
        <v>0.91763405196253123</v>
      </c>
    </row>
    <row r="8303" spans="1:11" x14ac:dyDescent="0.25">
      <c r="A8303" t="s">
        <v>16199</v>
      </c>
      <c r="C8303" t="s">
        <v>16200</v>
      </c>
      <c r="D8303" t="s">
        <v>5</v>
      </c>
      <c r="E8303" t="s">
        <v>6</v>
      </c>
      <c r="F8303" t="s">
        <v>251</v>
      </c>
      <c r="G8303">
        <v>1</v>
      </c>
      <c r="H8303" s="2">
        <f>Tabelle13[[#This Row],[commits]]/Tabelle13[[#Totals],[commits]]</f>
        <v>4.6477904404246225E-6</v>
      </c>
      <c r="I8303" s="5">
        <f>Tabelle13[[#This Row],[%]]+I8302</f>
        <v>0.99654204391221912</v>
      </c>
      <c r="J8303" s="4">
        <f t="shared" si="291"/>
        <v>1.105583195135434E-4</v>
      </c>
      <c r="K8303" s="5">
        <f t="shared" si="292"/>
        <v>0.91774461028204479</v>
      </c>
    </row>
    <row r="8304" spans="1:11" x14ac:dyDescent="0.25">
      <c r="A8304" t="s">
        <v>16201</v>
      </c>
      <c r="C8304" t="s">
        <v>16202</v>
      </c>
      <c r="D8304" t="s">
        <v>5</v>
      </c>
      <c r="E8304" t="s">
        <v>6</v>
      </c>
      <c r="F8304" t="s">
        <v>251</v>
      </c>
      <c r="G8304">
        <v>1</v>
      </c>
      <c r="H8304" s="2">
        <f>Tabelle13[[#This Row],[commits]]/Tabelle13[[#Totals],[commits]]</f>
        <v>4.6477904404246225E-6</v>
      </c>
      <c r="I8304" s="5">
        <f>Tabelle13[[#This Row],[%]]+I8303</f>
        <v>0.99654669170265953</v>
      </c>
      <c r="J8304" s="4">
        <f t="shared" si="291"/>
        <v>1.105583195135434E-4</v>
      </c>
      <c r="K8304" s="5">
        <f t="shared" si="292"/>
        <v>0.91785516860155836</v>
      </c>
    </row>
    <row r="8305" spans="1:11" x14ac:dyDescent="0.25">
      <c r="A8305" t="s">
        <v>16203</v>
      </c>
      <c r="C8305" t="s">
        <v>16204</v>
      </c>
      <c r="D8305" t="s">
        <v>5</v>
      </c>
      <c r="E8305" t="s">
        <v>6</v>
      </c>
      <c r="F8305" t="s">
        <v>251</v>
      </c>
      <c r="G8305">
        <v>1</v>
      </c>
      <c r="H8305" s="2">
        <f>Tabelle13[[#This Row],[commits]]/Tabelle13[[#Totals],[commits]]</f>
        <v>4.6477904404246225E-6</v>
      </c>
      <c r="I8305" s="5">
        <f>Tabelle13[[#This Row],[%]]+I8304</f>
        <v>0.99655133949309993</v>
      </c>
      <c r="J8305" s="4">
        <f t="shared" si="291"/>
        <v>1.105583195135434E-4</v>
      </c>
      <c r="K8305" s="5">
        <f t="shared" si="292"/>
        <v>0.91796572692107192</v>
      </c>
    </row>
    <row r="8306" spans="1:11" x14ac:dyDescent="0.25">
      <c r="A8306" t="s">
        <v>16205</v>
      </c>
      <c r="C8306" t="s">
        <v>16206</v>
      </c>
      <c r="D8306" t="s">
        <v>5</v>
      </c>
      <c r="E8306" t="s">
        <v>6</v>
      </c>
      <c r="F8306" t="s">
        <v>251</v>
      </c>
      <c r="G8306">
        <v>1</v>
      </c>
      <c r="H8306" s="2">
        <f>Tabelle13[[#This Row],[commits]]/Tabelle13[[#Totals],[commits]]</f>
        <v>4.6477904404246225E-6</v>
      </c>
      <c r="I8306" s="5">
        <f>Tabelle13[[#This Row],[%]]+I8305</f>
        <v>0.99655598728354033</v>
      </c>
      <c r="J8306" s="4">
        <f t="shared" si="291"/>
        <v>1.105583195135434E-4</v>
      </c>
      <c r="K8306" s="5">
        <f t="shared" si="292"/>
        <v>0.91807628524058549</v>
      </c>
    </row>
    <row r="8307" spans="1:11" x14ac:dyDescent="0.25">
      <c r="A8307" t="s">
        <v>16207</v>
      </c>
      <c r="C8307">
        <v>1018919372</v>
      </c>
      <c r="D8307" t="s">
        <v>5</v>
      </c>
      <c r="E8307" t="s">
        <v>6</v>
      </c>
      <c r="F8307" t="s">
        <v>251</v>
      </c>
      <c r="G8307">
        <v>1</v>
      </c>
      <c r="H8307" s="2">
        <f>Tabelle13[[#This Row],[commits]]/Tabelle13[[#Totals],[commits]]</f>
        <v>4.6477904404246225E-6</v>
      </c>
      <c r="I8307" s="5">
        <f>Tabelle13[[#This Row],[%]]+I8306</f>
        <v>0.99656063507398074</v>
      </c>
      <c r="J8307" s="4">
        <f t="shared" si="291"/>
        <v>1.105583195135434E-4</v>
      </c>
      <c r="K8307" s="5">
        <f t="shared" si="292"/>
        <v>0.91818684356009905</v>
      </c>
    </row>
    <row r="8308" spans="1:11" x14ac:dyDescent="0.25">
      <c r="A8308" t="s">
        <v>16208</v>
      </c>
      <c r="C8308" t="s">
        <v>16209</v>
      </c>
      <c r="D8308" t="s">
        <v>5</v>
      </c>
      <c r="E8308" t="s">
        <v>6</v>
      </c>
      <c r="F8308" t="s">
        <v>251</v>
      </c>
      <c r="G8308">
        <v>1</v>
      </c>
      <c r="H8308" s="2">
        <f>Tabelle13[[#This Row],[commits]]/Tabelle13[[#Totals],[commits]]</f>
        <v>4.6477904404246225E-6</v>
      </c>
      <c r="I8308" s="5">
        <f>Tabelle13[[#This Row],[%]]+I8307</f>
        <v>0.99656528286442114</v>
      </c>
      <c r="J8308" s="4">
        <f t="shared" si="291"/>
        <v>1.105583195135434E-4</v>
      </c>
      <c r="K8308" s="5">
        <f t="shared" si="292"/>
        <v>0.91829740187961262</v>
      </c>
    </row>
    <row r="8309" spans="1:11" x14ac:dyDescent="0.25">
      <c r="A8309" t="s">
        <v>16210</v>
      </c>
      <c r="C8309" t="s">
        <v>16211</v>
      </c>
      <c r="D8309" t="s">
        <v>5</v>
      </c>
      <c r="E8309" t="s">
        <v>6</v>
      </c>
      <c r="F8309" t="s">
        <v>251</v>
      </c>
      <c r="G8309">
        <v>1</v>
      </c>
      <c r="H8309" s="2">
        <f>Tabelle13[[#This Row],[commits]]/Tabelle13[[#Totals],[commits]]</f>
        <v>4.6477904404246225E-6</v>
      </c>
      <c r="I8309" s="5">
        <f>Tabelle13[[#This Row],[%]]+I8308</f>
        <v>0.99656993065486155</v>
      </c>
      <c r="J8309" s="4">
        <f t="shared" si="291"/>
        <v>1.105583195135434E-4</v>
      </c>
      <c r="K8309" s="5">
        <f t="shared" si="292"/>
        <v>0.91840796019912618</v>
      </c>
    </row>
    <row r="8310" spans="1:11" x14ac:dyDescent="0.25">
      <c r="A8310" t="s">
        <v>16212</v>
      </c>
      <c r="C8310" t="s">
        <v>16213</v>
      </c>
      <c r="D8310" t="s">
        <v>5</v>
      </c>
      <c r="E8310" t="s">
        <v>6</v>
      </c>
      <c r="F8310" t="s">
        <v>251</v>
      </c>
      <c r="G8310">
        <v>1</v>
      </c>
      <c r="H8310" s="2">
        <f>Tabelle13[[#This Row],[commits]]/Tabelle13[[#Totals],[commits]]</f>
        <v>4.6477904404246225E-6</v>
      </c>
      <c r="I8310" s="5">
        <f>Tabelle13[[#This Row],[%]]+I8309</f>
        <v>0.99657457844530195</v>
      </c>
      <c r="J8310" s="4">
        <f t="shared" si="291"/>
        <v>1.105583195135434E-4</v>
      </c>
      <c r="K8310" s="5">
        <f t="shared" si="292"/>
        <v>0.91851851851863975</v>
      </c>
    </row>
    <row r="8311" spans="1:11" x14ac:dyDescent="0.25">
      <c r="A8311" t="s">
        <v>16214</v>
      </c>
      <c r="C8311" t="s">
        <v>211</v>
      </c>
      <c r="D8311" t="s">
        <v>5</v>
      </c>
      <c r="E8311" t="s">
        <v>6</v>
      </c>
      <c r="F8311" t="s">
        <v>251</v>
      </c>
      <c r="G8311">
        <v>1</v>
      </c>
      <c r="H8311" s="2">
        <f>Tabelle13[[#This Row],[commits]]/Tabelle13[[#Totals],[commits]]</f>
        <v>4.6477904404246225E-6</v>
      </c>
      <c r="I8311" s="5">
        <f>Tabelle13[[#This Row],[%]]+I8310</f>
        <v>0.99657922623574235</v>
      </c>
      <c r="J8311" s="4">
        <f t="shared" si="291"/>
        <v>1.105583195135434E-4</v>
      </c>
      <c r="K8311" s="5">
        <f t="shared" si="292"/>
        <v>0.91862907683815331</v>
      </c>
    </row>
    <row r="8312" spans="1:11" x14ac:dyDescent="0.25">
      <c r="A8312" t="s">
        <v>16215</v>
      </c>
      <c r="C8312" t="s">
        <v>16216</v>
      </c>
      <c r="D8312" t="s">
        <v>5</v>
      </c>
      <c r="E8312" t="s">
        <v>6</v>
      </c>
      <c r="F8312" t="s">
        <v>251</v>
      </c>
      <c r="G8312">
        <v>1</v>
      </c>
      <c r="H8312" s="2">
        <f>Tabelle13[[#This Row],[commits]]/Tabelle13[[#Totals],[commits]]</f>
        <v>4.6477904404246225E-6</v>
      </c>
      <c r="I8312" s="5">
        <f>Tabelle13[[#This Row],[%]]+I8311</f>
        <v>0.99658387402618276</v>
      </c>
      <c r="J8312" s="4">
        <f t="shared" si="291"/>
        <v>1.105583195135434E-4</v>
      </c>
      <c r="K8312" s="5">
        <f t="shared" si="292"/>
        <v>0.91873963515766688</v>
      </c>
    </row>
    <row r="8313" spans="1:11" x14ac:dyDescent="0.25">
      <c r="A8313" t="s">
        <v>16217</v>
      </c>
      <c r="C8313" t="s">
        <v>16218</v>
      </c>
      <c r="D8313" t="s">
        <v>5</v>
      </c>
      <c r="E8313" t="s">
        <v>6</v>
      </c>
      <c r="F8313" t="s">
        <v>251</v>
      </c>
      <c r="G8313">
        <v>1</v>
      </c>
      <c r="H8313" s="2">
        <f>Tabelle13[[#This Row],[commits]]/Tabelle13[[#Totals],[commits]]</f>
        <v>4.6477904404246225E-6</v>
      </c>
      <c r="I8313" s="5">
        <f>Tabelle13[[#This Row],[%]]+I8312</f>
        <v>0.99658852181662316</v>
      </c>
      <c r="J8313" s="4">
        <f t="shared" si="291"/>
        <v>1.105583195135434E-4</v>
      </c>
      <c r="K8313" s="5">
        <f t="shared" si="292"/>
        <v>0.91885019347718044</v>
      </c>
    </row>
    <row r="8314" spans="1:11" x14ac:dyDescent="0.25">
      <c r="A8314" t="s">
        <v>16219</v>
      </c>
      <c r="C8314" t="s">
        <v>4055</v>
      </c>
      <c r="D8314" t="s">
        <v>5</v>
      </c>
      <c r="E8314" t="s">
        <v>6</v>
      </c>
      <c r="F8314" t="s">
        <v>251</v>
      </c>
      <c r="G8314">
        <v>1</v>
      </c>
      <c r="H8314" s="2">
        <f>Tabelle13[[#This Row],[commits]]/Tabelle13[[#Totals],[commits]]</f>
        <v>4.6477904404246225E-6</v>
      </c>
      <c r="I8314" s="5">
        <f>Tabelle13[[#This Row],[%]]+I8313</f>
        <v>0.99659316960706357</v>
      </c>
      <c r="J8314" s="4">
        <f t="shared" si="291"/>
        <v>1.105583195135434E-4</v>
      </c>
      <c r="K8314" s="5">
        <f t="shared" si="292"/>
        <v>0.91896075179669401</v>
      </c>
    </row>
    <row r="8315" spans="1:11" x14ac:dyDescent="0.25">
      <c r="A8315" t="s">
        <v>16220</v>
      </c>
      <c r="C8315" t="s">
        <v>16221</v>
      </c>
      <c r="D8315" t="s">
        <v>5</v>
      </c>
      <c r="E8315" t="s">
        <v>6</v>
      </c>
      <c r="F8315" t="s">
        <v>251</v>
      </c>
      <c r="G8315">
        <v>1</v>
      </c>
      <c r="H8315" s="2">
        <f>Tabelle13[[#This Row],[commits]]/Tabelle13[[#Totals],[commits]]</f>
        <v>4.6477904404246225E-6</v>
      </c>
      <c r="I8315" s="5">
        <f>Tabelle13[[#This Row],[%]]+I8314</f>
        <v>0.99659781739750397</v>
      </c>
      <c r="J8315" s="4">
        <f t="shared" si="291"/>
        <v>1.105583195135434E-4</v>
      </c>
      <c r="K8315" s="5">
        <f t="shared" si="292"/>
        <v>0.91907131011620757</v>
      </c>
    </row>
    <row r="8316" spans="1:11" x14ac:dyDescent="0.25">
      <c r="A8316" t="s">
        <v>16222</v>
      </c>
      <c r="C8316" t="s">
        <v>16223</v>
      </c>
      <c r="D8316" t="s">
        <v>5</v>
      </c>
      <c r="E8316" t="s">
        <v>6</v>
      </c>
      <c r="F8316" t="s">
        <v>251</v>
      </c>
      <c r="G8316">
        <v>1</v>
      </c>
      <c r="H8316" s="2">
        <f>Tabelle13[[#This Row],[commits]]/Tabelle13[[#Totals],[commits]]</f>
        <v>4.6477904404246225E-6</v>
      </c>
      <c r="I8316" s="5">
        <f>Tabelle13[[#This Row],[%]]+I8315</f>
        <v>0.99660246518794438</v>
      </c>
      <c r="J8316" s="4">
        <f t="shared" si="291"/>
        <v>1.105583195135434E-4</v>
      </c>
      <c r="K8316" s="5">
        <f t="shared" si="292"/>
        <v>0.91918186843572114</v>
      </c>
    </row>
    <row r="8317" spans="1:11" x14ac:dyDescent="0.25">
      <c r="A8317" t="s">
        <v>16224</v>
      </c>
      <c r="C8317" t="s">
        <v>16225</v>
      </c>
      <c r="D8317" t="s">
        <v>5</v>
      </c>
      <c r="E8317" t="s">
        <v>6</v>
      </c>
      <c r="F8317" t="s">
        <v>251</v>
      </c>
      <c r="G8317">
        <v>1</v>
      </c>
      <c r="H8317" s="2">
        <f>Tabelle13[[#This Row],[commits]]/Tabelle13[[#Totals],[commits]]</f>
        <v>4.6477904404246225E-6</v>
      </c>
      <c r="I8317" s="5">
        <f>Tabelle13[[#This Row],[%]]+I8316</f>
        <v>0.99660711297838478</v>
      </c>
      <c r="J8317" s="4">
        <f t="shared" si="291"/>
        <v>1.105583195135434E-4</v>
      </c>
      <c r="K8317" s="5">
        <f t="shared" si="292"/>
        <v>0.9192924267552347</v>
      </c>
    </row>
    <row r="8318" spans="1:11" x14ac:dyDescent="0.25">
      <c r="A8318" t="s">
        <v>16226</v>
      </c>
      <c r="C8318" t="s">
        <v>16227</v>
      </c>
      <c r="D8318" t="s">
        <v>5</v>
      </c>
      <c r="E8318" t="s">
        <v>6</v>
      </c>
      <c r="F8318" t="s">
        <v>251</v>
      </c>
      <c r="G8318">
        <v>1</v>
      </c>
      <c r="H8318" s="2">
        <f>Tabelle13[[#This Row],[commits]]/Tabelle13[[#Totals],[commits]]</f>
        <v>4.6477904404246225E-6</v>
      </c>
      <c r="I8318" s="5">
        <f>Tabelle13[[#This Row],[%]]+I8317</f>
        <v>0.99661176076882518</v>
      </c>
      <c r="J8318" s="4">
        <f t="shared" si="291"/>
        <v>1.105583195135434E-4</v>
      </c>
      <c r="K8318" s="5">
        <f t="shared" si="292"/>
        <v>0.91940298507474827</v>
      </c>
    </row>
    <row r="8319" spans="1:11" x14ac:dyDescent="0.25">
      <c r="A8319" t="s">
        <v>16228</v>
      </c>
      <c r="C8319" t="s">
        <v>16229</v>
      </c>
      <c r="D8319" t="s">
        <v>5</v>
      </c>
      <c r="E8319" t="s">
        <v>6</v>
      </c>
      <c r="F8319" t="s">
        <v>251</v>
      </c>
      <c r="G8319">
        <v>1</v>
      </c>
      <c r="H8319" s="2">
        <f>Tabelle13[[#This Row],[commits]]/Tabelle13[[#Totals],[commits]]</f>
        <v>4.6477904404246225E-6</v>
      </c>
      <c r="I8319" s="5">
        <f>Tabelle13[[#This Row],[%]]+I8318</f>
        <v>0.99661640855926559</v>
      </c>
      <c r="J8319" s="4">
        <f t="shared" si="291"/>
        <v>1.105583195135434E-4</v>
      </c>
      <c r="K8319" s="5">
        <f t="shared" si="292"/>
        <v>0.91951354339426183</v>
      </c>
    </row>
    <row r="8320" spans="1:11" x14ac:dyDescent="0.25">
      <c r="A8320" t="s">
        <v>16230</v>
      </c>
      <c r="C8320" t="s">
        <v>16231</v>
      </c>
      <c r="D8320" t="s">
        <v>5</v>
      </c>
      <c r="E8320" t="s">
        <v>6</v>
      </c>
      <c r="F8320" t="s">
        <v>251</v>
      </c>
      <c r="G8320">
        <v>1</v>
      </c>
      <c r="H8320" s="2">
        <f>Tabelle13[[#This Row],[commits]]/Tabelle13[[#Totals],[commits]]</f>
        <v>4.6477904404246225E-6</v>
      </c>
      <c r="I8320" s="5">
        <f>Tabelle13[[#This Row],[%]]+I8319</f>
        <v>0.99662105634970599</v>
      </c>
      <c r="J8320" s="4">
        <f t="shared" si="291"/>
        <v>1.105583195135434E-4</v>
      </c>
      <c r="K8320" s="5">
        <f t="shared" si="292"/>
        <v>0.9196241017137754</v>
      </c>
    </row>
    <row r="8321" spans="1:11" x14ac:dyDescent="0.25">
      <c r="A8321" t="s">
        <v>16232</v>
      </c>
      <c r="C8321" t="s">
        <v>16233</v>
      </c>
      <c r="D8321" t="s">
        <v>15768</v>
      </c>
      <c r="E8321" t="s">
        <v>6</v>
      </c>
      <c r="F8321" t="s">
        <v>251</v>
      </c>
      <c r="G8321">
        <v>1</v>
      </c>
      <c r="H8321" s="2">
        <f>Tabelle13[[#This Row],[commits]]/Tabelle13[[#Totals],[commits]]</f>
        <v>4.6477904404246225E-6</v>
      </c>
      <c r="I8321" s="5">
        <f>Tabelle13[[#This Row],[%]]+I8320</f>
        <v>0.9966257041401464</v>
      </c>
      <c r="J8321" s="4">
        <f t="shared" si="291"/>
        <v>1.105583195135434E-4</v>
      </c>
      <c r="K8321" s="5">
        <f t="shared" si="292"/>
        <v>0.91973466003328896</v>
      </c>
    </row>
    <row r="8322" spans="1:11" x14ac:dyDescent="0.25">
      <c r="A8322" t="s">
        <v>16234</v>
      </c>
      <c r="C8322" t="s">
        <v>16235</v>
      </c>
      <c r="D8322" t="s">
        <v>5</v>
      </c>
      <c r="E8322" t="s">
        <v>6</v>
      </c>
      <c r="F8322" t="s">
        <v>251</v>
      </c>
      <c r="G8322">
        <v>1</v>
      </c>
      <c r="H8322" s="2">
        <f>Tabelle13[[#This Row],[commits]]/Tabelle13[[#Totals],[commits]]</f>
        <v>4.6477904404246225E-6</v>
      </c>
      <c r="I8322" s="5">
        <f>Tabelle13[[#This Row],[%]]+I8321</f>
        <v>0.9966303519305868</v>
      </c>
      <c r="J8322" s="4">
        <f t="shared" si="291"/>
        <v>1.105583195135434E-4</v>
      </c>
      <c r="K8322" s="5">
        <f t="shared" si="292"/>
        <v>0.91984521835280253</v>
      </c>
    </row>
    <row r="8323" spans="1:11" x14ac:dyDescent="0.25">
      <c r="A8323" t="s">
        <v>16236</v>
      </c>
      <c r="C8323" t="s">
        <v>16237</v>
      </c>
      <c r="D8323" t="s">
        <v>5</v>
      </c>
      <c r="E8323" t="s">
        <v>6</v>
      </c>
      <c r="F8323" t="s">
        <v>251</v>
      </c>
      <c r="G8323">
        <v>1</v>
      </c>
      <c r="H8323" s="2">
        <f>Tabelle13[[#This Row],[commits]]/Tabelle13[[#Totals],[commits]]</f>
        <v>4.6477904404246225E-6</v>
      </c>
      <c r="I8323" s="5">
        <f>Tabelle13[[#This Row],[%]]+I8322</f>
        <v>0.9966349997210272</v>
      </c>
      <c r="J8323" s="4">
        <f t="shared" ref="J8323:J8386" si="293">1/9045</f>
        <v>1.105583195135434E-4</v>
      </c>
      <c r="K8323" s="5">
        <f t="shared" si="292"/>
        <v>0.91995577667231609</v>
      </c>
    </row>
    <row r="8324" spans="1:11" x14ac:dyDescent="0.25">
      <c r="A8324" t="s">
        <v>16238</v>
      </c>
      <c r="C8324" t="s">
        <v>16239</v>
      </c>
      <c r="D8324" t="s">
        <v>5</v>
      </c>
      <c r="E8324" t="s">
        <v>6</v>
      </c>
      <c r="F8324" t="s">
        <v>251</v>
      </c>
      <c r="G8324">
        <v>1</v>
      </c>
      <c r="H8324" s="2">
        <f>Tabelle13[[#This Row],[commits]]/Tabelle13[[#Totals],[commits]]</f>
        <v>4.6477904404246225E-6</v>
      </c>
      <c r="I8324" s="5">
        <f>Tabelle13[[#This Row],[%]]+I8323</f>
        <v>0.99663964751146761</v>
      </c>
      <c r="J8324" s="4">
        <f t="shared" si="293"/>
        <v>1.105583195135434E-4</v>
      </c>
      <c r="K8324" s="5">
        <f t="shared" si="292"/>
        <v>0.92006633499182966</v>
      </c>
    </row>
    <row r="8325" spans="1:11" x14ac:dyDescent="0.25">
      <c r="A8325" t="s">
        <v>16240</v>
      </c>
      <c r="C8325" t="s">
        <v>16241</v>
      </c>
      <c r="D8325" t="s">
        <v>16242</v>
      </c>
      <c r="E8325" t="s">
        <v>6</v>
      </c>
      <c r="F8325" t="s">
        <v>251</v>
      </c>
      <c r="G8325">
        <v>1</v>
      </c>
      <c r="H8325" s="2">
        <f>Tabelle13[[#This Row],[commits]]/Tabelle13[[#Totals],[commits]]</f>
        <v>4.6477904404246225E-6</v>
      </c>
      <c r="I8325" s="5">
        <f>Tabelle13[[#This Row],[%]]+I8324</f>
        <v>0.99664429530190801</v>
      </c>
      <c r="J8325" s="4">
        <f t="shared" si="293"/>
        <v>1.105583195135434E-4</v>
      </c>
      <c r="K8325" s="5">
        <f t="shared" si="292"/>
        <v>0.92017689331134322</v>
      </c>
    </row>
    <row r="8326" spans="1:11" x14ac:dyDescent="0.25">
      <c r="A8326" t="s">
        <v>16243</v>
      </c>
      <c r="C8326" t="s">
        <v>16244</v>
      </c>
      <c r="D8326" t="s">
        <v>5</v>
      </c>
      <c r="E8326" t="s">
        <v>6</v>
      </c>
      <c r="F8326" t="s">
        <v>251</v>
      </c>
      <c r="G8326">
        <v>1</v>
      </c>
      <c r="H8326" s="2">
        <f>Tabelle13[[#This Row],[commits]]/Tabelle13[[#Totals],[commits]]</f>
        <v>4.6477904404246225E-6</v>
      </c>
      <c r="I8326" s="5">
        <f>Tabelle13[[#This Row],[%]]+I8325</f>
        <v>0.99664894309234842</v>
      </c>
      <c r="J8326" s="4">
        <f t="shared" si="293"/>
        <v>1.105583195135434E-4</v>
      </c>
      <c r="K8326" s="5">
        <f t="shared" ref="K8326:K8389" si="294">J8326+K8325</f>
        <v>0.92028745163085679</v>
      </c>
    </row>
    <row r="8327" spans="1:11" x14ac:dyDescent="0.25">
      <c r="A8327" t="s">
        <v>16245</v>
      </c>
      <c r="C8327" t="s">
        <v>16246</v>
      </c>
      <c r="D8327" t="s">
        <v>5</v>
      </c>
      <c r="E8327" t="s">
        <v>6</v>
      </c>
      <c r="F8327" t="s">
        <v>251</v>
      </c>
      <c r="G8327">
        <v>1</v>
      </c>
      <c r="H8327" s="2">
        <f>Tabelle13[[#This Row],[commits]]/Tabelle13[[#Totals],[commits]]</f>
        <v>4.6477904404246225E-6</v>
      </c>
      <c r="I8327" s="5">
        <f>Tabelle13[[#This Row],[%]]+I8326</f>
        <v>0.99665359088278882</v>
      </c>
      <c r="J8327" s="4">
        <f t="shared" si="293"/>
        <v>1.105583195135434E-4</v>
      </c>
      <c r="K8327" s="5">
        <f t="shared" si="294"/>
        <v>0.92039800995037035</v>
      </c>
    </row>
    <row r="8328" spans="1:11" x14ac:dyDescent="0.25">
      <c r="A8328" t="s">
        <v>16247</v>
      </c>
      <c r="C8328" t="s">
        <v>16248</v>
      </c>
      <c r="D8328" t="s">
        <v>5</v>
      </c>
      <c r="E8328" t="s">
        <v>6</v>
      </c>
      <c r="F8328" t="s">
        <v>251</v>
      </c>
      <c r="G8328">
        <v>1</v>
      </c>
      <c r="H8328" s="2">
        <f>Tabelle13[[#This Row],[commits]]/Tabelle13[[#Totals],[commits]]</f>
        <v>4.6477904404246225E-6</v>
      </c>
      <c r="I8328" s="5">
        <f>Tabelle13[[#This Row],[%]]+I8327</f>
        <v>0.99665823867322922</v>
      </c>
      <c r="J8328" s="4">
        <f t="shared" si="293"/>
        <v>1.105583195135434E-4</v>
      </c>
      <c r="K8328" s="5">
        <f t="shared" si="294"/>
        <v>0.92050856826988392</v>
      </c>
    </row>
    <row r="8329" spans="1:11" x14ac:dyDescent="0.25">
      <c r="A8329" t="s">
        <v>16249</v>
      </c>
      <c r="C8329" t="s">
        <v>16250</v>
      </c>
      <c r="D8329" t="s">
        <v>5</v>
      </c>
      <c r="E8329" t="s">
        <v>6</v>
      </c>
      <c r="F8329" t="s">
        <v>251</v>
      </c>
      <c r="G8329">
        <v>1</v>
      </c>
      <c r="H8329" s="2">
        <f>Tabelle13[[#This Row],[commits]]/Tabelle13[[#Totals],[commits]]</f>
        <v>4.6477904404246225E-6</v>
      </c>
      <c r="I8329" s="5">
        <f>Tabelle13[[#This Row],[%]]+I8328</f>
        <v>0.99666288646366963</v>
      </c>
      <c r="J8329" s="4">
        <f t="shared" si="293"/>
        <v>1.105583195135434E-4</v>
      </c>
      <c r="K8329" s="5">
        <f t="shared" si="294"/>
        <v>0.92061912658939749</v>
      </c>
    </row>
    <row r="8330" spans="1:11" x14ac:dyDescent="0.25">
      <c r="A8330" t="s">
        <v>16251</v>
      </c>
      <c r="C8330" t="s">
        <v>16252</v>
      </c>
      <c r="D8330" t="s">
        <v>5</v>
      </c>
      <c r="E8330" t="s">
        <v>6</v>
      </c>
      <c r="F8330" t="s">
        <v>251</v>
      </c>
      <c r="G8330">
        <v>1</v>
      </c>
      <c r="H8330" s="2">
        <f>Tabelle13[[#This Row],[commits]]/Tabelle13[[#Totals],[commits]]</f>
        <v>4.6477904404246225E-6</v>
      </c>
      <c r="I8330" s="5">
        <f>Tabelle13[[#This Row],[%]]+I8329</f>
        <v>0.99666753425411003</v>
      </c>
      <c r="J8330" s="4">
        <f t="shared" si="293"/>
        <v>1.105583195135434E-4</v>
      </c>
      <c r="K8330" s="5">
        <f t="shared" si="294"/>
        <v>0.92072968490891105</v>
      </c>
    </row>
    <row r="8331" spans="1:11" x14ac:dyDescent="0.25">
      <c r="A8331" t="s">
        <v>16253</v>
      </c>
      <c r="C8331" t="s">
        <v>16254</v>
      </c>
      <c r="D8331" t="s">
        <v>5</v>
      </c>
      <c r="E8331" t="s">
        <v>6</v>
      </c>
      <c r="F8331" t="s">
        <v>251</v>
      </c>
      <c r="G8331">
        <v>1</v>
      </c>
      <c r="H8331" s="2">
        <f>Tabelle13[[#This Row],[commits]]/Tabelle13[[#Totals],[commits]]</f>
        <v>4.6477904404246225E-6</v>
      </c>
      <c r="I8331" s="5">
        <f>Tabelle13[[#This Row],[%]]+I8330</f>
        <v>0.99667218204455044</v>
      </c>
      <c r="J8331" s="4">
        <f t="shared" si="293"/>
        <v>1.105583195135434E-4</v>
      </c>
      <c r="K8331" s="5">
        <f t="shared" si="294"/>
        <v>0.92084024322842462</v>
      </c>
    </row>
    <row r="8332" spans="1:11" x14ac:dyDescent="0.25">
      <c r="A8332" t="s">
        <v>16255</v>
      </c>
      <c r="C8332" t="s">
        <v>16256</v>
      </c>
      <c r="D8332" t="s">
        <v>5</v>
      </c>
      <c r="E8332" t="s">
        <v>6</v>
      </c>
      <c r="F8332" t="s">
        <v>251</v>
      </c>
      <c r="G8332">
        <v>1</v>
      </c>
      <c r="H8332" s="2">
        <f>Tabelle13[[#This Row],[commits]]/Tabelle13[[#Totals],[commits]]</f>
        <v>4.6477904404246225E-6</v>
      </c>
      <c r="I8332" s="5">
        <f>Tabelle13[[#This Row],[%]]+I8331</f>
        <v>0.99667682983499084</v>
      </c>
      <c r="J8332" s="4">
        <f t="shared" si="293"/>
        <v>1.105583195135434E-4</v>
      </c>
      <c r="K8332" s="5">
        <f t="shared" si="294"/>
        <v>0.92095080154793818</v>
      </c>
    </row>
    <row r="8333" spans="1:11" x14ac:dyDescent="0.25">
      <c r="A8333" t="s">
        <v>16257</v>
      </c>
      <c r="C8333" t="s">
        <v>16258</v>
      </c>
      <c r="D8333" t="s">
        <v>5</v>
      </c>
      <c r="E8333" t="s">
        <v>6</v>
      </c>
      <c r="F8333" t="s">
        <v>251</v>
      </c>
      <c r="G8333">
        <v>1</v>
      </c>
      <c r="H8333" s="2">
        <f>Tabelle13[[#This Row],[commits]]/Tabelle13[[#Totals],[commits]]</f>
        <v>4.6477904404246225E-6</v>
      </c>
      <c r="I8333" s="5">
        <f>Tabelle13[[#This Row],[%]]+I8332</f>
        <v>0.99668147762543124</v>
      </c>
      <c r="J8333" s="4">
        <f t="shared" si="293"/>
        <v>1.105583195135434E-4</v>
      </c>
      <c r="K8333" s="5">
        <f t="shared" si="294"/>
        <v>0.92106135986745175</v>
      </c>
    </row>
    <row r="8334" spans="1:11" x14ac:dyDescent="0.25">
      <c r="A8334" t="s">
        <v>16259</v>
      </c>
      <c r="C8334" t="s">
        <v>809</v>
      </c>
      <c r="D8334" t="s">
        <v>5</v>
      </c>
      <c r="E8334" t="s">
        <v>6</v>
      </c>
      <c r="F8334" t="s">
        <v>251</v>
      </c>
      <c r="G8334">
        <v>1</v>
      </c>
      <c r="H8334" s="2">
        <f>Tabelle13[[#This Row],[commits]]/Tabelle13[[#Totals],[commits]]</f>
        <v>4.6477904404246225E-6</v>
      </c>
      <c r="I8334" s="5">
        <f>Tabelle13[[#This Row],[%]]+I8333</f>
        <v>0.99668612541587165</v>
      </c>
      <c r="J8334" s="4">
        <f t="shared" si="293"/>
        <v>1.105583195135434E-4</v>
      </c>
      <c r="K8334" s="5">
        <f t="shared" si="294"/>
        <v>0.92117191818696531</v>
      </c>
    </row>
    <row r="8335" spans="1:11" x14ac:dyDescent="0.25">
      <c r="A8335" t="s">
        <v>16260</v>
      </c>
      <c r="C8335" t="s">
        <v>16261</v>
      </c>
      <c r="D8335" t="s">
        <v>5</v>
      </c>
      <c r="E8335" t="s">
        <v>6</v>
      </c>
      <c r="F8335" t="s">
        <v>251</v>
      </c>
      <c r="G8335">
        <v>1</v>
      </c>
      <c r="H8335" s="2">
        <f>Tabelle13[[#This Row],[commits]]/Tabelle13[[#Totals],[commits]]</f>
        <v>4.6477904404246225E-6</v>
      </c>
      <c r="I8335" s="5">
        <f>Tabelle13[[#This Row],[%]]+I8334</f>
        <v>0.99669077320631205</v>
      </c>
      <c r="J8335" s="4">
        <f t="shared" si="293"/>
        <v>1.105583195135434E-4</v>
      </c>
      <c r="K8335" s="5">
        <f t="shared" si="294"/>
        <v>0.92128247650647888</v>
      </c>
    </row>
    <row r="8336" spans="1:11" x14ac:dyDescent="0.25">
      <c r="A8336" t="s">
        <v>16262</v>
      </c>
      <c r="C8336" t="s">
        <v>16263</v>
      </c>
      <c r="D8336" t="s">
        <v>5</v>
      </c>
      <c r="E8336" t="s">
        <v>6</v>
      </c>
      <c r="F8336" t="s">
        <v>251</v>
      </c>
      <c r="G8336">
        <v>1</v>
      </c>
      <c r="H8336" s="2">
        <f>Tabelle13[[#This Row],[commits]]/Tabelle13[[#Totals],[commits]]</f>
        <v>4.6477904404246225E-6</v>
      </c>
      <c r="I8336" s="5">
        <f>Tabelle13[[#This Row],[%]]+I8335</f>
        <v>0.99669542099675246</v>
      </c>
      <c r="J8336" s="4">
        <f t="shared" si="293"/>
        <v>1.105583195135434E-4</v>
      </c>
      <c r="K8336" s="5">
        <f t="shared" si="294"/>
        <v>0.92139303482599244</v>
      </c>
    </row>
    <row r="8337" spans="1:11" x14ac:dyDescent="0.25">
      <c r="A8337" t="s">
        <v>16264</v>
      </c>
      <c r="C8337" t="s">
        <v>16265</v>
      </c>
      <c r="D8337" t="s">
        <v>5</v>
      </c>
      <c r="E8337" t="s">
        <v>6</v>
      </c>
      <c r="F8337" t="s">
        <v>251</v>
      </c>
      <c r="G8337">
        <v>1</v>
      </c>
      <c r="H8337" s="2">
        <f>Tabelle13[[#This Row],[commits]]/Tabelle13[[#Totals],[commits]]</f>
        <v>4.6477904404246225E-6</v>
      </c>
      <c r="I8337" s="5">
        <f>Tabelle13[[#This Row],[%]]+I8336</f>
        <v>0.99670006878719286</v>
      </c>
      <c r="J8337" s="4">
        <f t="shared" si="293"/>
        <v>1.105583195135434E-4</v>
      </c>
      <c r="K8337" s="5">
        <f t="shared" si="294"/>
        <v>0.92150359314550601</v>
      </c>
    </row>
    <row r="8338" spans="1:11" x14ac:dyDescent="0.25">
      <c r="A8338" t="s">
        <v>16266</v>
      </c>
      <c r="C8338" t="s">
        <v>16267</v>
      </c>
      <c r="D8338" t="s">
        <v>5</v>
      </c>
      <c r="E8338" t="s">
        <v>6</v>
      </c>
      <c r="F8338" t="s">
        <v>251</v>
      </c>
      <c r="G8338">
        <v>1</v>
      </c>
      <c r="H8338" s="2">
        <f>Tabelle13[[#This Row],[commits]]/Tabelle13[[#Totals],[commits]]</f>
        <v>4.6477904404246225E-6</v>
      </c>
      <c r="I8338" s="5">
        <f>Tabelle13[[#This Row],[%]]+I8337</f>
        <v>0.99670471657763327</v>
      </c>
      <c r="J8338" s="4">
        <f t="shared" si="293"/>
        <v>1.105583195135434E-4</v>
      </c>
      <c r="K8338" s="5">
        <f t="shared" si="294"/>
        <v>0.92161415146501957</v>
      </c>
    </row>
    <row r="8339" spans="1:11" x14ac:dyDescent="0.25">
      <c r="A8339" t="s">
        <v>16268</v>
      </c>
      <c r="C8339" t="s">
        <v>16269</v>
      </c>
      <c r="D8339" t="s">
        <v>5</v>
      </c>
      <c r="E8339" t="s">
        <v>6</v>
      </c>
      <c r="F8339" t="s">
        <v>251</v>
      </c>
      <c r="G8339">
        <v>1</v>
      </c>
      <c r="H8339" s="2">
        <f>Tabelle13[[#This Row],[commits]]/Tabelle13[[#Totals],[commits]]</f>
        <v>4.6477904404246225E-6</v>
      </c>
      <c r="I8339" s="5">
        <f>Tabelle13[[#This Row],[%]]+I8338</f>
        <v>0.99670936436807367</v>
      </c>
      <c r="J8339" s="4">
        <f t="shared" si="293"/>
        <v>1.105583195135434E-4</v>
      </c>
      <c r="K8339" s="5">
        <f t="shared" si="294"/>
        <v>0.92172470978453314</v>
      </c>
    </row>
    <row r="8340" spans="1:11" x14ac:dyDescent="0.25">
      <c r="A8340" t="s">
        <v>16270</v>
      </c>
      <c r="C8340" t="s">
        <v>16271</v>
      </c>
      <c r="D8340" t="s">
        <v>5</v>
      </c>
      <c r="E8340" t="s">
        <v>6</v>
      </c>
      <c r="F8340" t="s">
        <v>251</v>
      </c>
      <c r="G8340">
        <v>1</v>
      </c>
      <c r="H8340" s="2">
        <f>Tabelle13[[#This Row],[commits]]/Tabelle13[[#Totals],[commits]]</f>
        <v>4.6477904404246225E-6</v>
      </c>
      <c r="I8340" s="5">
        <f>Tabelle13[[#This Row],[%]]+I8339</f>
        <v>0.99671401215851407</v>
      </c>
      <c r="J8340" s="4">
        <f t="shared" si="293"/>
        <v>1.105583195135434E-4</v>
      </c>
      <c r="K8340" s="5">
        <f t="shared" si="294"/>
        <v>0.9218352681040467</v>
      </c>
    </row>
    <row r="8341" spans="1:11" x14ac:dyDescent="0.25">
      <c r="A8341" t="s">
        <v>16272</v>
      </c>
      <c r="C8341" t="s">
        <v>16273</v>
      </c>
      <c r="D8341" t="s">
        <v>5</v>
      </c>
      <c r="E8341" t="s">
        <v>6</v>
      </c>
      <c r="F8341" t="s">
        <v>251</v>
      </c>
      <c r="G8341">
        <v>1</v>
      </c>
      <c r="H8341" s="2">
        <f>Tabelle13[[#This Row],[commits]]/Tabelle13[[#Totals],[commits]]</f>
        <v>4.6477904404246225E-6</v>
      </c>
      <c r="I8341" s="5">
        <f>Tabelle13[[#This Row],[%]]+I8340</f>
        <v>0.99671865994895448</v>
      </c>
      <c r="J8341" s="4">
        <f t="shared" si="293"/>
        <v>1.105583195135434E-4</v>
      </c>
      <c r="K8341" s="5">
        <f t="shared" si="294"/>
        <v>0.92194582642356027</v>
      </c>
    </row>
    <row r="8342" spans="1:11" x14ac:dyDescent="0.25">
      <c r="A8342" t="s">
        <v>16274</v>
      </c>
      <c r="C8342" t="s">
        <v>16275</v>
      </c>
      <c r="D8342" t="s">
        <v>5</v>
      </c>
      <c r="E8342" t="s">
        <v>6</v>
      </c>
      <c r="F8342" t="s">
        <v>251</v>
      </c>
      <c r="G8342">
        <v>1</v>
      </c>
      <c r="H8342" s="2">
        <f>Tabelle13[[#This Row],[commits]]/Tabelle13[[#Totals],[commits]]</f>
        <v>4.6477904404246225E-6</v>
      </c>
      <c r="I8342" s="5">
        <f>Tabelle13[[#This Row],[%]]+I8341</f>
        <v>0.99672330773939488</v>
      </c>
      <c r="J8342" s="4">
        <f t="shared" si="293"/>
        <v>1.105583195135434E-4</v>
      </c>
      <c r="K8342" s="5">
        <f t="shared" si="294"/>
        <v>0.92205638474307383</v>
      </c>
    </row>
    <row r="8343" spans="1:11" x14ac:dyDescent="0.25">
      <c r="A8343" t="s">
        <v>16276</v>
      </c>
      <c r="C8343" t="s">
        <v>16277</v>
      </c>
      <c r="D8343" t="s">
        <v>5</v>
      </c>
      <c r="E8343" t="s">
        <v>6</v>
      </c>
      <c r="F8343" t="s">
        <v>251</v>
      </c>
      <c r="G8343">
        <v>1</v>
      </c>
      <c r="H8343" s="2">
        <f>Tabelle13[[#This Row],[commits]]/Tabelle13[[#Totals],[commits]]</f>
        <v>4.6477904404246225E-6</v>
      </c>
      <c r="I8343" s="5">
        <f>Tabelle13[[#This Row],[%]]+I8342</f>
        <v>0.99672795552983529</v>
      </c>
      <c r="J8343" s="4">
        <f t="shared" si="293"/>
        <v>1.105583195135434E-4</v>
      </c>
      <c r="K8343" s="5">
        <f t="shared" si="294"/>
        <v>0.9221669430625874</v>
      </c>
    </row>
    <row r="8344" spans="1:11" x14ac:dyDescent="0.25">
      <c r="A8344" t="s">
        <v>16278</v>
      </c>
      <c r="C8344" t="s">
        <v>16279</v>
      </c>
      <c r="D8344" t="s">
        <v>5</v>
      </c>
      <c r="E8344" t="s">
        <v>6</v>
      </c>
      <c r="F8344" t="s">
        <v>251</v>
      </c>
      <c r="G8344">
        <v>1</v>
      </c>
      <c r="H8344" s="2">
        <f>Tabelle13[[#This Row],[commits]]/Tabelle13[[#Totals],[commits]]</f>
        <v>4.6477904404246225E-6</v>
      </c>
      <c r="I8344" s="5">
        <f>Tabelle13[[#This Row],[%]]+I8343</f>
        <v>0.99673260332027569</v>
      </c>
      <c r="J8344" s="4">
        <f t="shared" si="293"/>
        <v>1.105583195135434E-4</v>
      </c>
      <c r="K8344" s="5">
        <f t="shared" si="294"/>
        <v>0.92227750138210096</v>
      </c>
    </row>
    <row r="8345" spans="1:11" x14ac:dyDescent="0.25">
      <c r="A8345" t="s">
        <v>16280</v>
      </c>
      <c r="C8345" t="s">
        <v>16281</v>
      </c>
      <c r="D8345" t="s">
        <v>5</v>
      </c>
      <c r="E8345" t="s">
        <v>6</v>
      </c>
      <c r="F8345" t="s">
        <v>251</v>
      </c>
      <c r="G8345">
        <v>1</v>
      </c>
      <c r="H8345" s="2">
        <f>Tabelle13[[#This Row],[commits]]/Tabelle13[[#Totals],[commits]]</f>
        <v>4.6477904404246225E-6</v>
      </c>
      <c r="I8345" s="5">
        <f>Tabelle13[[#This Row],[%]]+I8344</f>
        <v>0.99673725111071609</v>
      </c>
      <c r="J8345" s="4">
        <f t="shared" si="293"/>
        <v>1.105583195135434E-4</v>
      </c>
      <c r="K8345" s="5">
        <f t="shared" si="294"/>
        <v>0.92238805970161453</v>
      </c>
    </row>
    <row r="8346" spans="1:11" x14ac:dyDescent="0.25">
      <c r="A8346" t="s">
        <v>16282</v>
      </c>
      <c r="C8346" t="s">
        <v>16283</v>
      </c>
      <c r="D8346" t="s">
        <v>5</v>
      </c>
      <c r="E8346" t="s">
        <v>6</v>
      </c>
      <c r="F8346" t="s">
        <v>251</v>
      </c>
      <c r="G8346">
        <v>1</v>
      </c>
      <c r="H8346" s="2">
        <f>Tabelle13[[#This Row],[commits]]/Tabelle13[[#Totals],[commits]]</f>
        <v>4.6477904404246225E-6</v>
      </c>
      <c r="I8346" s="5">
        <f>Tabelle13[[#This Row],[%]]+I8345</f>
        <v>0.9967418989011565</v>
      </c>
      <c r="J8346" s="4">
        <f t="shared" si="293"/>
        <v>1.105583195135434E-4</v>
      </c>
      <c r="K8346" s="5">
        <f t="shared" si="294"/>
        <v>0.92249861802112809</v>
      </c>
    </row>
    <row r="8347" spans="1:11" x14ac:dyDescent="0.25">
      <c r="A8347" t="s">
        <v>16284</v>
      </c>
      <c r="C8347" t="s">
        <v>16285</v>
      </c>
      <c r="D8347" t="s">
        <v>5</v>
      </c>
      <c r="E8347" t="s">
        <v>6</v>
      </c>
      <c r="F8347" t="s">
        <v>251</v>
      </c>
      <c r="G8347">
        <v>1</v>
      </c>
      <c r="H8347" s="2">
        <f>Tabelle13[[#This Row],[commits]]/Tabelle13[[#Totals],[commits]]</f>
        <v>4.6477904404246225E-6</v>
      </c>
      <c r="I8347" s="5">
        <f>Tabelle13[[#This Row],[%]]+I8346</f>
        <v>0.9967465466915969</v>
      </c>
      <c r="J8347" s="4">
        <f t="shared" si="293"/>
        <v>1.105583195135434E-4</v>
      </c>
      <c r="K8347" s="5">
        <f t="shared" si="294"/>
        <v>0.92260917634064166</v>
      </c>
    </row>
    <row r="8348" spans="1:11" x14ac:dyDescent="0.25">
      <c r="A8348" t="s">
        <v>16286</v>
      </c>
      <c r="C8348" t="s">
        <v>16287</v>
      </c>
      <c r="D8348" t="s">
        <v>5</v>
      </c>
      <c r="E8348" t="s">
        <v>6</v>
      </c>
      <c r="F8348" t="s">
        <v>251</v>
      </c>
      <c r="G8348">
        <v>1</v>
      </c>
      <c r="H8348" s="2">
        <f>Tabelle13[[#This Row],[commits]]/Tabelle13[[#Totals],[commits]]</f>
        <v>4.6477904404246225E-6</v>
      </c>
      <c r="I8348" s="5">
        <f>Tabelle13[[#This Row],[%]]+I8347</f>
        <v>0.99675119448203731</v>
      </c>
      <c r="J8348" s="4">
        <f t="shared" si="293"/>
        <v>1.105583195135434E-4</v>
      </c>
      <c r="K8348" s="5">
        <f t="shared" si="294"/>
        <v>0.92271973466015522</v>
      </c>
    </row>
    <row r="8349" spans="1:11" x14ac:dyDescent="0.25">
      <c r="A8349" t="s">
        <v>16288</v>
      </c>
      <c r="C8349" t="s">
        <v>8720</v>
      </c>
      <c r="D8349" t="s">
        <v>5</v>
      </c>
      <c r="E8349" t="s">
        <v>6</v>
      </c>
      <c r="F8349" t="s">
        <v>251</v>
      </c>
      <c r="G8349">
        <v>1</v>
      </c>
      <c r="H8349" s="2">
        <f>Tabelle13[[#This Row],[commits]]/Tabelle13[[#Totals],[commits]]</f>
        <v>4.6477904404246225E-6</v>
      </c>
      <c r="I8349" s="5">
        <f>Tabelle13[[#This Row],[%]]+I8348</f>
        <v>0.99675584227247771</v>
      </c>
      <c r="J8349" s="4">
        <f t="shared" si="293"/>
        <v>1.105583195135434E-4</v>
      </c>
      <c r="K8349" s="5">
        <f t="shared" si="294"/>
        <v>0.92283029297966879</v>
      </c>
    </row>
    <row r="8350" spans="1:11" x14ac:dyDescent="0.25">
      <c r="A8350" t="s">
        <v>16289</v>
      </c>
      <c r="C8350" t="s">
        <v>16290</v>
      </c>
      <c r="D8350" t="s">
        <v>2641</v>
      </c>
      <c r="E8350" t="s">
        <v>6</v>
      </c>
      <c r="F8350" t="s">
        <v>251</v>
      </c>
      <c r="G8350">
        <v>1</v>
      </c>
      <c r="H8350" s="2">
        <f>Tabelle13[[#This Row],[commits]]/Tabelle13[[#Totals],[commits]]</f>
        <v>4.6477904404246225E-6</v>
      </c>
      <c r="I8350" s="5">
        <f>Tabelle13[[#This Row],[%]]+I8349</f>
        <v>0.99676049006291811</v>
      </c>
      <c r="J8350" s="4">
        <f t="shared" si="293"/>
        <v>1.105583195135434E-4</v>
      </c>
      <c r="K8350" s="5">
        <f t="shared" si="294"/>
        <v>0.92294085129918235</v>
      </c>
    </row>
    <row r="8351" spans="1:11" x14ac:dyDescent="0.25">
      <c r="A8351" t="s">
        <v>16291</v>
      </c>
      <c r="C8351" t="s">
        <v>16292</v>
      </c>
      <c r="D8351" t="s">
        <v>5</v>
      </c>
      <c r="E8351" t="s">
        <v>6</v>
      </c>
      <c r="F8351" t="s">
        <v>251</v>
      </c>
      <c r="G8351">
        <v>1</v>
      </c>
      <c r="H8351" s="2">
        <f>Tabelle13[[#This Row],[commits]]/Tabelle13[[#Totals],[commits]]</f>
        <v>4.6477904404246225E-6</v>
      </c>
      <c r="I8351" s="5">
        <f>Tabelle13[[#This Row],[%]]+I8350</f>
        <v>0.99676513785335852</v>
      </c>
      <c r="J8351" s="4">
        <f t="shared" si="293"/>
        <v>1.105583195135434E-4</v>
      </c>
      <c r="K8351" s="5">
        <f t="shared" si="294"/>
        <v>0.92305140961869592</v>
      </c>
    </row>
    <row r="8352" spans="1:11" x14ac:dyDescent="0.25">
      <c r="A8352" t="s">
        <v>16293</v>
      </c>
      <c r="C8352" t="s">
        <v>16294</v>
      </c>
      <c r="D8352" t="s">
        <v>5</v>
      </c>
      <c r="E8352" t="s">
        <v>6</v>
      </c>
      <c r="F8352" t="s">
        <v>251</v>
      </c>
      <c r="G8352">
        <v>1</v>
      </c>
      <c r="H8352" s="2">
        <f>Tabelle13[[#This Row],[commits]]/Tabelle13[[#Totals],[commits]]</f>
        <v>4.6477904404246225E-6</v>
      </c>
      <c r="I8352" s="5">
        <f>Tabelle13[[#This Row],[%]]+I8351</f>
        <v>0.99676978564379892</v>
      </c>
      <c r="J8352" s="4">
        <f t="shared" si="293"/>
        <v>1.105583195135434E-4</v>
      </c>
      <c r="K8352" s="5">
        <f t="shared" si="294"/>
        <v>0.92316196793820948</v>
      </c>
    </row>
    <row r="8353" spans="1:11" x14ac:dyDescent="0.25">
      <c r="A8353" t="s">
        <v>16295</v>
      </c>
      <c r="C8353" t="s">
        <v>16296</v>
      </c>
      <c r="D8353" t="s">
        <v>5</v>
      </c>
      <c r="E8353" t="s">
        <v>6</v>
      </c>
      <c r="F8353" t="s">
        <v>251</v>
      </c>
      <c r="G8353">
        <v>1</v>
      </c>
      <c r="H8353" s="2">
        <f>Tabelle13[[#This Row],[commits]]/Tabelle13[[#Totals],[commits]]</f>
        <v>4.6477904404246225E-6</v>
      </c>
      <c r="I8353" s="5">
        <f>Tabelle13[[#This Row],[%]]+I8352</f>
        <v>0.99677443343423933</v>
      </c>
      <c r="J8353" s="4">
        <f t="shared" si="293"/>
        <v>1.105583195135434E-4</v>
      </c>
      <c r="K8353" s="5">
        <f t="shared" si="294"/>
        <v>0.92327252625772305</v>
      </c>
    </row>
    <row r="8354" spans="1:11" x14ac:dyDescent="0.25">
      <c r="A8354" t="s">
        <v>16297</v>
      </c>
      <c r="C8354" t="s">
        <v>16298</v>
      </c>
      <c r="D8354" t="s">
        <v>5</v>
      </c>
      <c r="E8354" t="s">
        <v>6</v>
      </c>
      <c r="F8354" t="s">
        <v>251</v>
      </c>
      <c r="G8354">
        <v>1</v>
      </c>
      <c r="H8354" s="2">
        <f>Tabelle13[[#This Row],[commits]]/Tabelle13[[#Totals],[commits]]</f>
        <v>4.6477904404246225E-6</v>
      </c>
      <c r="I8354" s="5">
        <f>Tabelle13[[#This Row],[%]]+I8353</f>
        <v>0.99677908122467973</v>
      </c>
      <c r="J8354" s="4">
        <f t="shared" si="293"/>
        <v>1.105583195135434E-4</v>
      </c>
      <c r="K8354" s="5">
        <f t="shared" si="294"/>
        <v>0.92338308457723661</v>
      </c>
    </row>
    <row r="8355" spans="1:11" x14ac:dyDescent="0.25">
      <c r="A8355" t="s">
        <v>16299</v>
      </c>
      <c r="C8355" t="s">
        <v>16300</v>
      </c>
      <c r="D8355" t="s">
        <v>5</v>
      </c>
      <c r="E8355" t="s">
        <v>6</v>
      </c>
      <c r="F8355" t="s">
        <v>251</v>
      </c>
      <c r="G8355">
        <v>1</v>
      </c>
      <c r="H8355" s="2">
        <f>Tabelle13[[#This Row],[commits]]/Tabelle13[[#Totals],[commits]]</f>
        <v>4.6477904404246225E-6</v>
      </c>
      <c r="I8355" s="5">
        <f>Tabelle13[[#This Row],[%]]+I8354</f>
        <v>0.99678372901512013</v>
      </c>
      <c r="J8355" s="4">
        <f t="shared" si="293"/>
        <v>1.105583195135434E-4</v>
      </c>
      <c r="K8355" s="5">
        <f t="shared" si="294"/>
        <v>0.92349364289675018</v>
      </c>
    </row>
    <row r="8356" spans="1:11" x14ac:dyDescent="0.25">
      <c r="A8356" t="s">
        <v>16301</v>
      </c>
      <c r="C8356" t="s">
        <v>16302</v>
      </c>
      <c r="D8356" t="s">
        <v>5</v>
      </c>
      <c r="E8356" t="s">
        <v>6</v>
      </c>
      <c r="F8356" t="s">
        <v>251</v>
      </c>
      <c r="G8356">
        <v>1</v>
      </c>
      <c r="H8356" s="2">
        <f>Tabelle13[[#This Row],[commits]]/Tabelle13[[#Totals],[commits]]</f>
        <v>4.6477904404246225E-6</v>
      </c>
      <c r="I8356" s="5">
        <f>Tabelle13[[#This Row],[%]]+I8355</f>
        <v>0.99678837680556054</v>
      </c>
      <c r="J8356" s="4">
        <f t="shared" si="293"/>
        <v>1.105583195135434E-4</v>
      </c>
      <c r="K8356" s="5">
        <f t="shared" si="294"/>
        <v>0.92360420121626374</v>
      </c>
    </row>
    <row r="8357" spans="1:11" x14ac:dyDescent="0.25">
      <c r="A8357" t="s">
        <v>16303</v>
      </c>
      <c r="C8357" t="s">
        <v>16304</v>
      </c>
      <c r="D8357" t="s">
        <v>5</v>
      </c>
      <c r="E8357" t="s">
        <v>6</v>
      </c>
      <c r="F8357" t="s">
        <v>251</v>
      </c>
      <c r="G8357">
        <v>1</v>
      </c>
      <c r="H8357" s="2">
        <f>Tabelle13[[#This Row],[commits]]/Tabelle13[[#Totals],[commits]]</f>
        <v>4.6477904404246225E-6</v>
      </c>
      <c r="I8357" s="5">
        <f>Tabelle13[[#This Row],[%]]+I8356</f>
        <v>0.99679302459600094</v>
      </c>
      <c r="J8357" s="4">
        <f t="shared" si="293"/>
        <v>1.105583195135434E-4</v>
      </c>
      <c r="K8357" s="5">
        <f t="shared" si="294"/>
        <v>0.92371475953577731</v>
      </c>
    </row>
    <row r="8358" spans="1:11" x14ac:dyDescent="0.25">
      <c r="A8358" t="s">
        <v>16305</v>
      </c>
      <c r="C8358" t="s">
        <v>1220</v>
      </c>
      <c r="D8358" t="s">
        <v>5</v>
      </c>
      <c r="E8358" t="s">
        <v>6</v>
      </c>
      <c r="F8358" t="s">
        <v>251</v>
      </c>
      <c r="G8358">
        <v>1</v>
      </c>
      <c r="H8358" s="2">
        <f>Tabelle13[[#This Row],[commits]]/Tabelle13[[#Totals],[commits]]</f>
        <v>4.6477904404246225E-6</v>
      </c>
      <c r="I8358" s="5">
        <f>Tabelle13[[#This Row],[%]]+I8357</f>
        <v>0.99679767238644135</v>
      </c>
      <c r="J8358" s="4">
        <f t="shared" si="293"/>
        <v>1.105583195135434E-4</v>
      </c>
      <c r="K8358" s="5">
        <f t="shared" si="294"/>
        <v>0.92382531785529087</v>
      </c>
    </row>
    <row r="8359" spans="1:11" x14ac:dyDescent="0.25">
      <c r="A8359" t="s">
        <v>16306</v>
      </c>
      <c r="C8359" t="s">
        <v>16307</v>
      </c>
      <c r="D8359" t="s">
        <v>5</v>
      </c>
      <c r="E8359" t="s">
        <v>6</v>
      </c>
      <c r="F8359" t="s">
        <v>251</v>
      </c>
      <c r="G8359">
        <v>1</v>
      </c>
      <c r="H8359" s="2">
        <f>Tabelle13[[#This Row],[commits]]/Tabelle13[[#Totals],[commits]]</f>
        <v>4.6477904404246225E-6</v>
      </c>
      <c r="I8359" s="5">
        <f>Tabelle13[[#This Row],[%]]+I8358</f>
        <v>0.99680232017688175</v>
      </c>
      <c r="J8359" s="4">
        <f t="shared" si="293"/>
        <v>1.105583195135434E-4</v>
      </c>
      <c r="K8359" s="5">
        <f t="shared" si="294"/>
        <v>0.92393587617480444</v>
      </c>
    </row>
    <row r="8360" spans="1:11" x14ac:dyDescent="0.25">
      <c r="A8360" t="s">
        <v>16308</v>
      </c>
      <c r="C8360" t="s">
        <v>16309</v>
      </c>
      <c r="D8360" t="s">
        <v>5</v>
      </c>
      <c r="E8360" t="s">
        <v>6</v>
      </c>
      <c r="F8360" t="s">
        <v>251</v>
      </c>
      <c r="G8360">
        <v>1</v>
      </c>
      <c r="H8360" s="2">
        <f>Tabelle13[[#This Row],[commits]]/Tabelle13[[#Totals],[commits]]</f>
        <v>4.6477904404246225E-6</v>
      </c>
      <c r="I8360" s="5">
        <f>Tabelle13[[#This Row],[%]]+I8359</f>
        <v>0.99680696796732216</v>
      </c>
      <c r="J8360" s="4">
        <f t="shared" si="293"/>
        <v>1.105583195135434E-4</v>
      </c>
      <c r="K8360" s="5">
        <f t="shared" si="294"/>
        <v>0.924046434494318</v>
      </c>
    </row>
    <row r="8361" spans="1:11" x14ac:dyDescent="0.25">
      <c r="A8361" t="s">
        <v>16310</v>
      </c>
      <c r="C8361" t="s">
        <v>16311</v>
      </c>
      <c r="D8361" t="s">
        <v>5</v>
      </c>
      <c r="E8361" t="s">
        <v>6</v>
      </c>
      <c r="F8361" t="s">
        <v>251</v>
      </c>
      <c r="G8361">
        <v>1</v>
      </c>
      <c r="H8361" s="2">
        <f>Tabelle13[[#This Row],[commits]]/Tabelle13[[#Totals],[commits]]</f>
        <v>4.6477904404246225E-6</v>
      </c>
      <c r="I8361" s="5">
        <f>Tabelle13[[#This Row],[%]]+I8360</f>
        <v>0.99681161575776256</v>
      </c>
      <c r="J8361" s="4">
        <f t="shared" si="293"/>
        <v>1.105583195135434E-4</v>
      </c>
      <c r="K8361" s="5">
        <f t="shared" si="294"/>
        <v>0.92415699281383157</v>
      </c>
    </row>
    <row r="8362" spans="1:11" x14ac:dyDescent="0.25">
      <c r="A8362" t="s">
        <v>16312</v>
      </c>
      <c r="C8362" t="s">
        <v>16313</v>
      </c>
      <c r="D8362" t="s">
        <v>5</v>
      </c>
      <c r="E8362" t="s">
        <v>6</v>
      </c>
      <c r="F8362" t="s">
        <v>251</v>
      </c>
      <c r="G8362">
        <v>1</v>
      </c>
      <c r="H8362" s="2">
        <f>Tabelle13[[#This Row],[commits]]/Tabelle13[[#Totals],[commits]]</f>
        <v>4.6477904404246225E-6</v>
      </c>
      <c r="I8362" s="5">
        <f>Tabelle13[[#This Row],[%]]+I8361</f>
        <v>0.99681626354820296</v>
      </c>
      <c r="J8362" s="4">
        <f t="shared" si="293"/>
        <v>1.105583195135434E-4</v>
      </c>
      <c r="K8362" s="5">
        <f t="shared" si="294"/>
        <v>0.92426755113334513</v>
      </c>
    </row>
    <row r="8363" spans="1:11" x14ac:dyDescent="0.25">
      <c r="A8363" t="s">
        <v>16314</v>
      </c>
      <c r="C8363" t="s">
        <v>16315</v>
      </c>
      <c r="D8363" t="s">
        <v>5</v>
      </c>
      <c r="E8363" t="s">
        <v>6</v>
      </c>
      <c r="F8363" t="s">
        <v>251</v>
      </c>
      <c r="G8363">
        <v>1</v>
      </c>
      <c r="H8363" s="2">
        <f>Tabelle13[[#This Row],[commits]]/Tabelle13[[#Totals],[commits]]</f>
        <v>4.6477904404246225E-6</v>
      </c>
      <c r="I8363" s="5">
        <f>Tabelle13[[#This Row],[%]]+I8362</f>
        <v>0.99682091133864337</v>
      </c>
      <c r="J8363" s="4">
        <f t="shared" si="293"/>
        <v>1.105583195135434E-4</v>
      </c>
      <c r="K8363" s="5">
        <f t="shared" si="294"/>
        <v>0.9243781094528587</v>
      </c>
    </row>
    <row r="8364" spans="1:11" x14ac:dyDescent="0.25">
      <c r="A8364" t="s">
        <v>16316</v>
      </c>
      <c r="C8364" t="s">
        <v>16317</v>
      </c>
      <c r="D8364" t="s">
        <v>5</v>
      </c>
      <c r="E8364" t="s">
        <v>6</v>
      </c>
      <c r="F8364" t="s">
        <v>251</v>
      </c>
      <c r="G8364">
        <v>1</v>
      </c>
      <c r="H8364" s="2">
        <f>Tabelle13[[#This Row],[commits]]/Tabelle13[[#Totals],[commits]]</f>
        <v>4.6477904404246225E-6</v>
      </c>
      <c r="I8364" s="5">
        <f>Tabelle13[[#This Row],[%]]+I8363</f>
        <v>0.99682555912908377</v>
      </c>
      <c r="J8364" s="4">
        <f t="shared" si="293"/>
        <v>1.105583195135434E-4</v>
      </c>
      <c r="K8364" s="5">
        <f t="shared" si="294"/>
        <v>0.92448866777237226</v>
      </c>
    </row>
    <row r="8365" spans="1:11" x14ac:dyDescent="0.25">
      <c r="A8365" t="s">
        <v>16318</v>
      </c>
      <c r="C8365" t="s">
        <v>16319</v>
      </c>
      <c r="D8365" t="s">
        <v>5</v>
      </c>
      <c r="E8365" t="s">
        <v>6</v>
      </c>
      <c r="F8365" t="s">
        <v>251</v>
      </c>
      <c r="G8365">
        <v>1</v>
      </c>
      <c r="H8365" s="2">
        <f>Tabelle13[[#This Row],[commits]]/Tabelle13[[#Totals],[commits]]</f>
        <v>4.6477904404246225E-6</v>
      </c>
      <c r="I8365" s="5">
        <f>Tabelle13[[#This Row],[%]]+I8364</f>
        <v>0.99683020691952418</v>
      </c>
      <c r="J8365" s="4">
        <f t="shared" si="293"/>
        <v>1.105583195135434E-4</v>
      </c>
      <c r="K8365" s="5">
        <f t="shared" si="294"/>
        <v>0.92459922609188583</v>
      </c>
    </row>
    <row r="8366" spans="1:11" x14ac:dyDescent="0.25">
      <c r="A8366" t="s">
        <v>16320</v>
      </c>
      <c r="C8366" t="s">
        <v>16321</v>
      </c>
      <c r="D8366" t="s">
        <v>5</v>
      </c>
      <c r="E8366" t="s">
        <v>6</v>
      </c>
      <c r="F8366" t="s">
        <v>251</v>
      </c>
      <c r="G8366">
        <v>1</v>
      </c>
      <c r="H8366" s="2">
        <f>Tabelle13[[#This Row],[commits]]/Tabelle13[[#Totals],[commits]]</f>
        <v>4.6477904404246225E-6</v>
      </c>
      <c r="I8366" s="5">
        <f>Tabelle13[[#This Row],[%]]+I8365</f>
        <v>0.99683485470996458</v>
      </c>
      <c r="J8366" s="4">
        <f t="shared" si="293"/>
        <v>1.105583195135434E-4</v>
      </c>
      <c r="K8366" s="5">
        <f t="shared" si="294"/>
        <v>0.92470978441139939</v>
      </c>
    </row>
    <row r="8367" spans="1:11" x14ac:dyDescent="0.25">
      <c r="A8367" t="s">
        <v>16322</v>
      </c>
      <c r="C8367" t="s">
        <v>16323</v>
      </c>
      <c r="D8367" t="s">
        <v>5</v>
      </c>
      <c r="E8367" t="s">
        <v>6</v>
      </c>
      <c r="F8367" t="s">
        <v>251</v>
      </c>
      <c r="G8367">
        <v>1</v>
      </c>
      <c r="H8367" s="2">
        <f>Tabelle13[[#This Row],[commits]]/Tabelle13[[#Totals],[commits]]</f>
        <v>4.6477904404246225E-6</v>
      </c>
      <c r="I8367" s="5">
        <f>Tabelle13[[#This Row],[%]]+I8366</f>
        <v>0.99683950250040498</v>
      </c>
      <c r="J8367" s="4">
        <f t="shared" si="293"/>
        <v>1.105583195135434E-4</v>
      </c>
      <c r="K8367" s="5">
        <f t="shared" si="294"/>
        <v>0.92482034273091296</v>
      </c>
    </row>
    <row r="8368" spans="1:11" x14ac:dyDescent="0.25">
      <c r="A8368" t="s">
        <v>16324</v>
      </c>
      <c r="C8368" t="s">
        <v>16325</v>
      </c>
      <c r="D8368" t="s">
        <v>5</v>
      </c>
      <c r="E8368" t="s">
        <v>6</v>
      </c>
      <c r="F8368" t="s">
        <v>251</v>
      </c>
      <c r="G8368">
        <v>1</v>
      </c>
      <c r="H8368" s="2">
        <f>Tabelle13[[#This Row],[commits]]/Tabelle13[[#Totals],[commits]]</f>
        <v>4.6477904404246225E-6</v>
      </c>
      <c r="I8368" s="5">
        <f>Tabelle13[[#This Row],[%]]+I8367</f>
        <v>0.99684415029084539</v>
      </c>
      <c r="J8368" s="4">
        <f t="shared" si="293"/>
        <v>1.105583195135434E-4</v>
      </c>
      <c r="K8368" s="5">
        <f t="shared" si="294"/>
        <v>0.92493090105042652</v>
      </c>
    </row>
    <row r="8369" spans="1:11" x14ac:dyDescent="0.25">
      <c r="A8369" t="s">
        <v>16326</v>
      </c>
      <c r="C8369" t="s">
        <v>16327</v>
      </c>
      <c r="D8369" t="s">
        <v>5</v>
      </c>
      <c r="E8369" t="s">
        <v>6</v>
      </c>
      <c r="F8369" t="s">
        <v>251</v>
      </c>
      <c r="G8369">
        <v>1</v>
      </c>
      <c r="H8369" s="2">
        <f>Tabelle13[[#This Row],[commits]]/Tabelle13[[#Totals],[commits]]</f>
        <v>4.6477904404246225E-6</v>
      </c>
      <c r="I8369" s="5">
        <f>Tabelle13[[#This Row],[%]]+I8368</f>
        <v>0.99684879808128579</v>
      </c>
      <c r="J8369" s="4">
        <f t="shared" si="293"/>
        <v>1.105583195135434E-4</v>
      </c>
      <c r="K8369" s="5">
        <f t="shared" si="294"/>
        <v>0.92504145936994009</v>
      </c>
    </row>
    <row r="8370" spans="1:11" x14ac:dyDescent="0.25">
      <c r="A8370" t="s">
        <v>16328</v>
      </c>
      <c r="C8370" t="s">
        <v>16329</v>
      </c>
      <c r="D8370" t="s">
        <v>5</v>
      </c>
      <c r="E8370" t="s">
        <v>6</v>
      </c>
      <c r="F8370" t="s">
        <v>251</v>
      </c>
      <c r="G8370">
        <v>1</v>
      </c>
      <c r="H8370" s="2">
        <f>Tabelle13[[#This Row],[commits]]/Tabelle13[[#Totals],[commits]]</f>
        <v>4.6477904404246225E-6</v>
      </c>
      <c r="I8370" s="5">
        <f>Tabelle13[[#This Row],[%]]+I8369</f>
        <v>0.9968534458717262</v>
      </c>
      <c r="J8370" s="4">
        <f t="shared" si="293"/>
        <v>1.105583195135434E-4</v>
      </c>
      <c r="K8370" s="5">
        <f t="shared" si="294"/>
        <v>0.92515201768945365</v>
      </c>
    </row>
    <row r="8371" spans="1:11" x14ac:dyDescent="0.25">
      <c r="A8371" t="s">
        <v>16330</v>
      </c>
      <c r="C8371" t="s">
        <v>16331</v>
      </c>
      <c r="D8371" t="s">
        <v>5</v>
      </c>
      <c r="E8371" t="s">
        <v>6</v>
      </c>
      <c r="F8371" t="s">
        <v>251</v>
      </c>
      <c r="G8371">
        <v>1</v>
      </c>
      <c r="H8371" s="2">
        <f>Tabelle13[[#This Row],[commits]]/Tabelle13[[#Totals],[commits]]</f>
        <v>4.6477904404246225E-6</v>
      </c>
      <c r="I8371" s="5">
        <f>Tabelle13[[#This Row],[%]]+I8370</f>
        <v>0.9968580936621666</v>
      </c>
      <c r="J8371" s="4">
        <f t="shared" si="293"/>
        <v>1.105583195135434E-4</v>
      </c>
      <c r="K8371" s="5">
        <f t="shared" si="294"/>
        <v>0.92526257600896722</v>
      </c>
    </row>
    <row r="8372" spans="1:11" x14ac:dyDescent="0.25">
      <c r="A8372" t="s">
        <v>16332</v>
      </c>
      <c r="C8372" t="s">
        <v>16333</v>
      </c>
      <c r="D8372" t="s">
        <v>5</v>
      </c>
      <c r="E8372" t="s">
        <v>6</v>
      </c>
      <c r="F8372" t="s">
        <v>251</v>
      </c>
      <c r="G8372">
        <v>1</v>
      </c>
      <c r="H8372" s="2">
        <f>Tabelle13[[#This Row],[commits]]/Tabelle13[[#Totals],[commits]]</f>
        <v>4.6477904404246225E-6</v>
      </c>
      <c r="I8372" s="5">
        <f>Tabelle13[[#This Row],[%]]+I8371</f>
        <v>0.996862741452607</v>
      </c>
      <c r="J8372" s="4">
        <f t="shared" si="293"/>
        <v>1.105583195135434E-4</v>
      </c>
      <c r="K8372" s="5">
        <f t="shared" si="294"/>
        <v>0.92537313432848078</v>
      </c>
    </row>
    <row r="8373" spans="1:11" x14ac:dyDescent="0.25">
      <c r="A8373" t="s">
        <v>16334</v>
      </c>
      <c r="C8373" t="s">
        <v>16335</v>
      </c>
      <c r="D8373" t="s">
        <v>5</v>
      </c>
      <c r="E8373" t="s">
        <v>6</v>
      </c>
      <c r="F8373" t="s">
        <v>251</v>
      </c>
      <c r="G8373">
        <v>1</v>
      </c>
      <c r="H8373" s="2">
        <f>Tabelle13[[#This Row],[commits]]/Tabelle13[[#Totals],[commits]]</f>
        <v>4.6477904404246225E-6</v>
      </c>
      <c r="I8373" s="5">
        <f>Tabelle13[[#This Row],[%]]+I8372</f>
        <v>0.99686738924304741</v>
      </c>
      <c r="J8373" s="4">
        <f t="shared" si="293"/>
        <v>1.105583195135434E-4</v>
      </c>
      <c r="K8373" s="5">
        <f t="shared" si="294"/>
        <v>0.92548369264799435</v>
      </c>
    </row>
    <row r="8374" spans="1:11" x14ac:dyDescent="0.25">
      <c r="A8374" t="s">
        <v>16336</v>
      </c>
      <c r="C8374" t="s">
        <v>16337</v>
      </c>
      <c r="D8374" t="s">
        <v>16338</v>
      </c>
      <c r="E8374" t="s">
        <v>6</v>
      </c>
      <c r="F8374" t="s">
        <v>251</v>
      </c>
      <c r="G8374">
        <v>1</v>
      </c>
      <c r="H8374" s="2">
        <f>Tabelle13[[#This Row],[commits]]/Tabelle13[[#Totals],[commits]]</f>
        <v>4.6477904404246225E-6</v>
      </c>
      <c r="I8374" s="5">
        <f>Tabelle13[[#This Row],[%]]+I8373</f>
        <v>0.99687203703348781</v>
      </c>
      <c r="J8374" s="4">
        <f t="shared" si="293"/>
        <v>1.105583195135434E-4</v>
      </c>
      <c r="K8374" s="5">
        <f t="shared" si="294"/>
        <v>0.92559425096750791</v>
      </c>
    </row>
    <row r="8375" spans="1:11" x14ac:dyDescent="0.25">
      <c r="A8375" t="s">
        <v>16339</v>
      </c>
      <c r="C8375" t="s">
        <v>16340</v>
      </c>
      <c r="D8375" t="s">
        <v>5</v>
      </c>
      <c r="E8375" t="s">
        <v>6</v>
      </c>
      <c r="F8375" t="s">
        <v>251</v>
      </c>
      <c r="G8375">
        <v>1</v>
      </c>
      <c r="H8375" s="2">
        <f>Tabelle13[[#This Row],[commits]]/Tabelle13[[#Totals],[commits]]</f>
        <v>4.6477904404246225E-6</v>
      </c>
      <c r="I8375" s="5">
        <f>Tabelle13[[#This Row],[%]]+I8374</f>
        <v>0.99687668482392822</v>
      </c>
      <c r="J8375" s="4">
        <f t="shared" si="293"/>
        <v>1.105583195135434E-4</v>
      </c>
      <c r="K8375" s="5">
        <f t="shared" si="294"/>
        <v>0.92570480928702148</v>
      </c>
    </row>
    <row r="8376" spans="1:11" x14ac:dyDescent="0.25">
      <c r="A8376" t="s">
        <v>16341</v>
      </c>
      <c r="C8376" t="s">
        <v>16342</v>
      </c>
      <c r="D8376" t="s">
        <v>5</v>
      </c>
      <c r="E8376" t="s">
        <v>6</v>
      </c>
      <c r="F8376" t="s">
        <v>251</v>
      </c>
      <c r="G8376">
        <v>1</v>
      </c>
      <c r="H8376" s="2">
        <f>Tabelle13[[#This Row],[commits]]/Tabelle13[[#Totals],[commits]]</f>
        <v>4.6477904404246225E-6</v>
      </c>
      <c r="I8376" s="5">
        <f>Tabelle13[[#This Row],[%]]+I8375</f>
        <v>0.99688133261436862</v>
      </c>
      <c r="J8376" s="4">
        <f t="shared" si="293"/>
        <v>1.105583195135434E-4</v>
      </c>
      <c r="K8376" s="5">
        <f t="shared" si="294"/>
        <v>0.92581536760653504</v>
      </c>
    </row>
    <row r="8377" spans="1:11" x14ac:dyDescent="0.25">
      <c r="A8377" t="s">
        <v>16343</v>
      </c>
      <c r="C8377" t="s">
        <v>16344</v>
      </c>
      <c r="D8377" t="s">
        <v>5</v>
      </c>
      <c r="E8377" t="s">
        <v>6</v>
      </c>
      <c r="F8377" t="s">
        <v>251</v>
      </c>
      <c r="G8377">
        <v>1</v>
      </c>
      <c r="H8377" s="2">
        <f>Tabelle13[[#This Row],[commits]]/Tabelle13[[#Totals],[commits]]</f>
        <v>4.6477904404246225E-6</v>
      </c>
      <c r="I8377" s="5">
        <f>Tabelle13[[#This Row],[%]]+I8376</f>
        <v>0.99688598040480902</v>
      </c>
      <c r="J8377" s="4">
        <f t="shared" si="293"/>
        <v>1.105583195135434E-4</v>
      </c>
      <c r="K8377" s="5">
        <f t="shared" si="294"/>
        <v>0.92592592592604861</v>
      </c>
    </row>
    <row r="8378" spans="1:11" x14ac:dyDescent="0.25">
      <c r="A8378" t="s">
        <v>16345</v>
      </c>
      <c r="C8378" t="s">
        <v>16346</v>
      </c>
      <c r="D8378" t="s">
        <v>5</v>
      </c>
      <c r="E8378" t="s">
        <v>6</v>
      </c>
      <c r="F8378" t="s">
        <v>251</v>
      </c>
      <c r="G8378">
        <v>1</v>
      </c>
      <c r="H8378" s="2">
        <f>Tabelle13[[#This Row],[commits]]/Tabelle13[[#Totals],[commits]]</f>
        <v>4.6477904404246225E-6</v>
      </c>
      <c r="I8378" s="5">
        <f>Tabelle13[[#This Row],[%]]+I8377</f>
        <v>0.99689062819524943</v>
      </c>
      <c r="J8378" s="4">
        <f t="shared" si="293"/>
        <v>1.105583195135434E-4</v>
      </c>
      <c r="K8378" s="5">
        <f t="shared" si="294"/>
        <v>0.92603648424556217</v>
      </c>
    </row>
    <row r="8379" spans="1:11" x14ac:dyDescent="0.25">
      <c r="A8379" t="s">
        <v>16347</v>
      </c>
      <c r="C8379" t="s">
        <v>16348</v>
      </c>
      <c r="D8379" t="s">
        <v>5</v>
      </c>
      <c r="E8379" t="s">
        <v>6</v>
      </c>
      <c r="F8379" t="s">
        <v>251</v>
      </c>
      <c r="G8379">
        <v>1</v>
      </c>
      <c r="H8379" s="2">
        <f>Tabelle13[[#This Row],[commits]]/Tabelle13[[#Totals],[commits]]</f>
        <v>4.6477904404246225E-6</v>
      </c>
      <c r="I8379" s="5">
        <f>Tabelle13[[#This Row],[%]]+I8378</f>
        <v>0.99689527598568983</v>
      </c>
      <c r="J8379" s="4">
        <f t="shared" si="293"/>
        <v>1.105583195135434E-4</v>
      </c>
      <c r="K8379" s="5">
        <f t="shared" si="294"/>
        <v>0.92614704256507574</v>
      </c>
    </row>
    <row r="8380" spans="1:11" x14ac:dyDescent="0.25">
      <c r="A8380" t="s">
        <v>16349</v>
      </c>
      <c r="C8380" t="s">
        <v>16350</v>
      </c>
      <c r="D8380" t="s">
        <v>5</v>
      </c>
      <c r="E8380" t="s">
        <v>6</v>
      </c>
      <c r="F8380" t="s">
        <v>251</v>
      </c>
      <c r="G8380">
        <v>1</v>
      </c>
      <c r="H8380" s="2">
        <f>Tabelle13[[#This Row],[commits]]/Tabelle13[[#Totals],[commits]]</f>
        <v>4.6477904404246225E-6</v>
      </c>
      <c r="I8380" s="5">
        <f>Tabelle13[[#This Row],[%]]+I8379</f>
        <v>0.99689992377613024</v>
      </c>
      <c r="J8380" s="4">
        <f t="shared" si="293"/>
        <v>1.105583195135434E-4</v>
      </c>
      <c r="K8380" s="5">
        <f t="shared" si="294"/>
        <v>0.9262576008845893</v>
      </c>
    </row>
    <row r="8381" spans="1:11" x14ac:dyDescent="0.25">
      <c r="A8381" t="s">
        <v>16351</v>
      </c>
      <c r="C8381" t="s">
        <v>16352</v>
      </c>
      <c r="D8381" t="s">
        <v>5</v>
      </c>
      <c r="E8381" t="s">
        <v>6</v>
      </c>
      <c r="F8381" t="s">
        <v>251</v>
      </c>
      <c r="G8381">
        <v>1</v>
      </c>
      <c r="H8381" s="2">
        <f>Tabelle13[[#This Row],[commits]]/Tabelle13[[#Totals],[commits]]</f>
        <v>4.6477904404246225E-6</v>
      </c>
      <c r="I8381" s="5">
        <f>Tabelle13[[#This Row],[%]]+I8380</f>
        <v>0.99690457156657064</v>
      </c>
      <c r="J8381" s="4">
        <f t="shared" si="293"/>
        <v>1.105583195135434E-4</v>
      </c>
      <c r="K8381" s="5">
        <f t="shared" si="294"/>
        <v>0.92636815920410287</v>
      </c>
    </row>
    <row r="8382" spans="1:11" x14ac:dyDescent="0.25">
      <c r="A8382" t="s">
        <v>16353</v>
      </c>
      <c r="C8382" t="s">
        <v>16354</v>
      </c>
      <c r="D8382" t="s">
        <v>5</v>
      </c>
      <c r="E8382" t="s">
        <v>6</v>
      </c>
      <c r="F8382" t="s">
        <v>251</v>
      </c>
      <c r="G8382">
        <v>1</v>
      </c>
      <c r="H8382" s="2">
        <f>Tabelle13[[#This Row],[commits]]/Tabelle13[[#Totals],[commits]]</f>
        <v>4.6477904404246225E-6</v>
      </c>
      <c r="I8382" s="5">
        <f>Tabelle13[[#This Row],[%]]+I8381</f>
        <v>0.99690921935701104</v>
      </c>
      <c r="J8382" s="4">
        <f t="shared" si="293"/>
        <v>1.105583195135434E-4</v>
      </c>
      <c r="K8382" s="5">
        <f t="shared" si="294"/>
        <v>0.92647871752361644</v>
      </c>
    </row>
    <row r="8383" spans="1:11" x14ac:dyDescent="0.25">
      <c r="A8383" t="s">
        <v>16355</v>
      </c>
      <c r="C8383" t="s">
        <v>16356</v>
      </c>
      <c r="D8383" t="s">
        <v>5</v>
      </c>
      <c r="E8383" t="s">
        <v>6</v>
      </c>
      <c r="F8383" t="s">
        <v>251</v>
      </c>
      <c r="G8383">
        <v>1</v>
      </c>
      <c r="H8383" s="2">
        <f>Tabelle13[[#This Row],[commits]]/Tabelle13[[#Totals],[commits]]</f>
        <v>4.6477904404246225E-6</v>
      </c>
      <c r="I8383" s="5">
        <f>Tabelle13[[#This Row],[%]]+I8382</f>
        <v>0.99691386714745145</v>
      </c>
      <c r="J8383" s="4">
        <f t="shared" si="293"/>
        <v>1.105583195135434E-4</v>
      </c>
      <c r="K8383" s="5">
        <f t="shared" si="294"/>
        <v>0.92658927584313</v>
      </c>
    </row>
    <row r="8384" spans="1:11" x14ac:dyDescent="0.25">
      <c r="A8384" t="s">
        <v>16357</v>
      </c>
      <c r="C8384" t="s">
        <v>16358</v>
      </c>
      <c r="D8384" t="s">
        <v>5</v>
      </c>
      <c r="E8384" t="s">
        <v>6</v>
      </c>
      <c r="F8384" t="s">
        <v>251</v>
      </c>
      <c r="G8384">
        <v>1</v>
      </c>
      <c r="H8384" s="2">
        <f>Tabelle13[[#This Row],[commits]]/Tabelle13[[#Totals],[commits]]</f>
        <v>4.6477904404246225E-6</v>
      </c>
      <c r="I8384" s="5">
        <f>Tabelle13[[#This Row],[%]]+I8383</f>
        <v>0.99691851493789185</v>
      </c>
      <c r="J8384" s="4">
        <f t="shared" si="293"/>
        <v>1.105583195135434E-4</v>
      </c>
      <c r="K8384" s="5">
        <f t="shared" si="294"/>
        <v>0.92669983416264357</v>
      </c>
    </row>
    <row r="8385" spans="1:11" x14ac:dyDescent="0.25">
      <c r="A8385" t="s">
        <v>16359</v>
      </c>
      <c r="C8385" t="s">
        <v>16360</v>
      </c>
      <c r="D8385" t="s">
        <v>5</v>
      </c>
      <c r="E8385" t="s">
        <v>6</v>
      </c>
      <c r="F8385" t="s">
        <v>251</v>
      </c>
      <c r="G8385">
        <v>1</v>
      </c>
      <c r="H8385" s="2">
        <f>Tabelle13[[#This Row],[commits]]/Tabelle13[[#Totals],[commits]]</f>
        <v>4.6477904404246225E-6</v>
      </c>
      <c r="I8385" s="5">
        <f>Tabelle13[[#This Row],[%]]+I8384</f>
        <v>0.99692316272833226</v>
      </c>
      <c r="J8385" s="4">
        <f t="shared" si="293"/>
        <v>1.105583195135434E-4</v>
      </c>
      <c r="K8385" s="5">
        <f t="shared" si="294"/>
        <v>0.92681039248215713</v>
      </c>
    </row>
    <row r="8386" spans="1:11" x14ac:dyDescent="0.25">
      <c r="A8386" t="s">
        <v>16361</v>
      </c>
      <c r="C8386" t="s">
        <v>16362</v>
      </c>
      <c r="D8386" t="s">
        <v>5</v>
      </c>
      <c r="E8386" t="s">
        <v>6</v>
      </c>
      <c r="F8386" t="s">
        <v>251</v>
      </c>
      <c r="G8386">
        <v>1</v>
      </c>
      <c r="H8386" s="2">
        <f>Tabelle13[[#This Row],[commits]]/Tabelle13[[#Totals],[commits]]</f>
        <v>4.6477904404246225E-6</v>
      </c>
      <c r="I8386" s="5">
        <f>Tabelle13[[#This Row],[%]]+I8385</f>
        <v>0.99692781051877266</v>
      </c>
      <c r="J8386" s="4">
        <f t="shared" si="293"/>
        <v>1.105583195135434E-4</v>
      </c>
      <c r="K8386" s="5">
        <f t="shared" si="294"/>
        <v>0.9269209508016707</v>
      </c>
    </row>
    <row r="8387" spans="1:11" x14ac:dyDescent="0.25">
      <c r="A8387" t="s">
        <v>16363</v>
      </c>
      <c r="C8387" t="s">
        <v>16364</v>
      </c>
      <c r="D8387" t="s">
        <v>16365</v>
      </c>
      <c r="E8387" t="s">
        <v>6</v>
      </c>
      <c r="F8387" t="s">
        <v>251</v>
      </c>
      <c r="G8387">
        <v>1</v>
      </c>
      <c r="H8387" s="2">
        <f>Tabelle13[[#This Row],[commits]]/Tabelle13[[#Totals],[commits]]</f>
        <v>4.6477904404246225E-6</v>
      </c>
      <c r="I8387" s="5">
        <f>Tabelle13[[#This Row],[%]]+I8386</f>
        <v>0.99693245830921307</v>
      </c>
      <c r="J8387" s="4">
        <f t="shared" ref="J8387:J8450" si="295">1/9045</f>
        <v>1.105583195135434E-4</v>
      </c>
      <c r="K8387" s="5">
        <f t="shared" si="294"/>
        <v>0.92703150912118426</v>
      </c>
    </row>
    <row r="8388" spans="1:11" x14ac:dyDescent="0.25">
      <c r="A8388" t="s">
        <v>16366</v>
      </c>
      <c r="C8388" t="s">
        <v>16367</v>
      </c>
      <c r="D8388" t="s">
        <v>5</v>
      </c>
      <c r="E8388" t="s">
        <v>6</v>
      </c>
      <c r="F8388" t="s">
        <v>251</v>
      </c>
      <c r="G8388">
        <v>1</v>
      </c>
      <c r="H8388" s="2">
        <f>Tabelle13[[#This Row],[commits]]/Tabelle13[[#Totals],[commits]]</f>
        <v>4.6477904404246225E-6</v>
      </c>
      <c r="I8388" s="5">
        <f>Tabelle13[[#This Row],[%]]+I8387</f>
        <v>0.99693710609965347</v>
      </c>
      <c r="J8388" s="4">
        <f t="shared" si="295"/>
        <v>1.105583195135434E-4</v>
      </c>
      <c r="K8388" s="5">
        <f t="shared" si="294"/>
        <v>0.92714206744069783</v>
      </c>
    </row>
    <row r="8389" spans="1:11" x14ac:dyDescent="0.25">
      <c r="A8389" t="s">
        <v>16368</v>
      </c>
      <c r="C8389" t="s">
        <v>16369</v>
      </c>
      <c r="D8389" t="s">
        <v>5</v>
      </c>
      <c r="E8389" t="s">
        <v>6</v>
      </c>
      <c r="F8389" t="s">
        <v>251</v>
      </c>
      <c r="G8389">
        <v>1</v>
      </c>
      <c r="H8389" s="2">
        <f>Tabelle13[[#This Row],[commits]]/Tabelle13[[#Totals],[commits]]</f>
        <v>4.6477904404246225E-6</v>
      </c>
      <c r="I8389" s="5">
        <f>Tabelle13[[#This Row],[%]]+I8388</f>
        <v>0.99694175389009387</v>
      </c>
      <c r="J8389" s="4">
        <f t="shared" si="295"/>
        <v>1.105583195135434E-4</v>
      </c>
      <c r="K8389" s="5">
        <f t="shared" si="294"/>
        <v>0.92725262576021139</v>
      </c>
    </row>
    <row r="8390" spans="1:11" x14ac:dyDescent="0.25">
      <c r="A8390" t="s">
        <v>16370</v>
      </c>
      <c r="C8390" t="s">
        <v>16371</v>
      </c>
      <c r="D8390" t="s">
        <v>5</v>
      </c>
      <c r="E8390" t="s">
        <v>6</v>
      </c>
      <c r="F8390" t="s">
        <v>251</v>
      </c>
      <c r="G8390">
        <v>1</v>
      </c>
      <c r="H8390" s="2">
        <f>Tabelle13[[#This Row],[commits]]/Tabelle13[[#Totals],[commits]]</f>
        <v>4.6477904404246225E-6</v>
      </c>
      <c r="I8390" s="5">
        <f>Tabelle13[[#This Row],[%]]+I8389</f>
        <v>0.99694640168053428</v>
      </c>
      <c r="J8390" s="4">
        <f t="shared" si="295"/>
        <v>1.105583195135434E-4</v>
      </c>
      <c r="K8390" s="5">
        <f t="shared" ref="K8390:K8453" si="296">J8390+K8389</f>
        <v>0.92736318407972496</v>
      </c>
    </row>
    <row r="8391" spans="1:11" x14ac:dyDescent="0.25">
      <c r="A8391" t="s">
        <v>16372</v>
      </c>
      <c r="C8391" t="s">
        <v>16373</v>
      </c>
      <c r="D8391" t="s">
        <v>5</v>
      </c>
      <c r="E8391" t="s">
        <v>6</v>
      </c>
      <c r="F8391" t="s">
        <v>251</v>
      </c>
      <c r="G8391">
        <v>1</v>
      </c>
      <c r="H8391" s="2">
        <f>Tabelle13[[#This Row],[commits]]/Tabelle13[[#Totals],[commits]]</f>
        <v>4.6477904404246225E-6</v>
      </c>
      <c r="I8391" s="5">
        <f>Tabelle13[[#This Row],[%]]+I8390</f>
        <v>0.99695104947097468</v>
      </c>
      <c r="J8391" s="4">
        <f t="shared" si="295"/>
        <v>1.105583195135434E-4</v>
      </c>
      <c r="K8391" s="5">
        <f t="shared" si="296"/>
        <v>0.92747374239923852</v>
      </c>
    </row>
    <row r="8392" spans="1:11" x14ac:dyDescent="0.25">
      <c r="A8392" t="s">
        <v>16374</v>
      </c>
      <c r="C8392" t="s">
        <v>16375</v>
      </c>
      <c r="D8392" t="s">
        <v>5</v>
      </c>
      <c r="E8392" t="s">
        <v>6</v>
      </c>
      <c r="F8392" t="s">
        <v>251</v>
      </c>
      <c r="G8392">
        <v>1</v>
      </c>
      <c r="H8392" s="2">
        <f>Tabelle13[[#This Row],[commits]]/Tabelle13[[#Totals],[commits]]</f>
        <v>4.6477904404246225E-6</v>
      </c>
      <c r="I8392" s="5">
        <f>Tabelle13[[#This Row],[%]]+I8391</f>
        <v>0.99695569726141509</v>
      </c>
      <c r="J8392" s="4">
        <f t="shared" si="295"/>
        <v>1.105583195135434E-4</v>
      </c>
      <c r="K8392" s="5">
        <f t="shared" si="296"/>
        <v>0.92758430071875209</v>
      </c>
    </row>
    <row r="8393" spans="1:11" x14ac:dyDescent="0.25">
      <c r="A8393" t="s">
        <v>16376</v>
      </c>
      <c r="C8393" t="s">
        <v>16377</v>
      </c>
      <c r="D8393" t="s">
        <v>5</v>
      </c>
      <c r="E8393" t="s">
        <v>6</v>
      </c>
      <c r="F8393" t="s">
        <v>251</v>
      </c>
      <c r="G8393">
        <v>1</v>
      </c>
      <c r="H8393" s="2">
        <f>Tabelle13[[#This Row],[commits]]/Tabelle13[[#Totals],[commits]]</f>
        <v>4.6477904404246225E-6</v>
      </c>
      <c r="I8393" s="5">
        <f>Tabelle13[[#This Row],[%]]+I8392</f>
        <v>0.99696034505185549</v>
      </c>
      <c r="J8393" s="4">
        <f t="shared" si="295"/>
        <v>1.105583195135434E-4</v>
      </c>
      <c r="K8393" s="5">
        <f t="shared" si="296"/>
        <v>0.92769485903826565</v>
      </c>
    </row>
    <row r="8394" spans="1:11" x14ac:dyDescent="0.25">
      <c r="A8394" t="s">
        <v>16378</v>
      </c>
      <c r="C8394" t="s">
        <v>16379</v>
      </c>
      <c r="D8394" t="s">
        <v>309</v>
      </c>
      <c r="E8394" t="s">
        <v>6</v>
      </c>
      <c r="F8394" t="s">
        <v>251</v>
      </c>
      <c r="G8394">
        <v>1</v>
      </c>
      <c r="H8394" s="2">
        <f>Tabelle13[[#This Row],[commits]]/Tabelle13[[#Totals],[commits]]</f>
        <v>4.6477904404246225E-6</v>
      </c>
      <c r="I8394" s="5">
        <f>Tabelle13[[#This Row],[%]]+I8393</f>
        <v>0.99696499284229589</v>
      </c>
      <c r="J8394" s="4">
        <f t="shared" si="295"/>
        <v>1.105583195135434E-4</v>
      </c>
      <c r="K8394" s="5">
        <f t="shared" si="296"/>
        <v>0.92780541735777922</v>
      </c>
    </row>
    <row r="8395" spans="1:11" x14ac:dyDescent="0.25">
      <c r="A8395" t="s">
        <v>16380</v>
      </c>
      <c r="C8395" t="s">
        <v>16381</v>
      </c>
      <c r="D8395" t="s">
        <v>13898</v>
      </c>
      <c r="E8395" t="s">
        <v>6</v>
      </c>
      <c r="F8395" t="s">
        <v>251</v>
      </c>
      <c r="G8395">
        <v>1</v>
      </c>
      <c r="H8395" s="2">
        <f>Tabelle13[[#This Row],[commits]]/Tabelle13[[#Totals],[commits]]</f>
        <v>4.6477904404246225E-6</v>
      </c>
      <c r="I8395" s="5">
        <f>Tabelle13[[#This Row],[%]]+I8394</f>
        <v>0.9969696406327363</v>
      </c>
      <c r="J8395" s="4">
        <f t="shared" si="295"/>
        <v>1.105583195135434E-4</v>
      </c>
      <c r="K8395" s="5">
        <f t="shared" si="296"/>
        <v>0.92791597567729278</v>
      </c>
    </row>
    <row r="8396" spans="1:11" x14ac:dyDescent="0.25">
      <c r="A8396" t="s">
        <v>16382</v>
      </c>
      <c r="C8396" t="s">
        <v>16383</v>
      </c>
      <c r="D8396" t="s">
        <v>5</v>
      </c>
      <c r="E8396" t="s">
        <v>6</v>
      </c>
      <c r="F8396" t="s">
        <v>251</v>
      </c>
      <c r="G8396">
        <v>1</v>
      </c>
      <c r="H8396" s="2">
        <f>Tabelle13[[#This Row],[commits]]/Tabelle13[[#Totals],[commits]]</f>
        <v>4.6477904404246225E-6</v>
      </c>
      <c r="I8396" s="5">
        <f>Tabelle13[[#This Row],[%]]+I8395</f>
        <v>0.9969742884231767</v>
      </c>
      <c r="J8396" s="4">
        <f t="shared" si="295"/>
        <v>1.105583195135434E-4</v>
      </c>
      <c r="K8396" s="5">
        <f t="shared" si="296"/>
        <v>0.92802653399680635</v>
      </c>
    </row>
    <row r="8397" spans="1:11" x14ac:dyDescent="0.25">
      <c r="A8397" t="s">
        <v>16384</v>
      </c>
      <c r="C8397" t="s">
        <v>16385</v>
      </c>
      <c r="D8397" t="s">
        <v>5</v>
      </c>
      <c r="E8397" t="s">
        <v>6</v>
      </c>
      <c r="F8397" t="s">
        <v>251</v>
      </c>
      <c r="G8397">
        <v>1</v>
      </c>
      <c r="H8397" s="2">
        <f>Tabelle13[[#This Row],[commits]]/Tabelle13[[#Totals],[commits]]</f>
        <v>4.6477904404246225E-6</v>
      </c>
      <c r="I8397" s="5">
        <f>Tabelle13[[#This Row],[%]]+I8396</f>
        <v>0.99697893621361711</v>
      </c>
      <c r="J8397" s="4">
        <f t="shared" si="295"/>
        <v>1.105583195135434E-4</v>
      </c>
      <c r="K8397" s="5">
        <f t="shared" si="296"/>
        <v>0.92813709231631991</v>
      </c>
    </row>
    <row r="8398" spans="1:11" x14ac:dyDescent="0.25">
      <c r="A8398" t="s">
        <v>16386</v>
      </c>
      <c r="C8398" t="s">
        <v>16387</v>
      </c>
      <c r="D8398" t="s">
        <v>5</v>
      </c>
      <c r="E8398" t="s">
        <v>6</v>
      </c>
      <c r="F8398" t="s">
        <v>251</v>
      </c>
      <c r="G8398">
        <v>1</v>
      </c>
      <c r="H8398" s="2">
        <f>Tabelle13[[#This Row],[commits]]/Tabelle13[[#Totals],[commits]]</f>
        <v>4.6477904404246225E-6</v>
      </c>
      <c r="I8398" s="5">
        <f>Tabelle13[[#This Row],[%]]+I8397</f>
        <v>0.99698358400405751</v>
      </c>
      <c r="J8398" s="4">
        <f t="shared" si="295"/>
        <v>1.105583195135434E-4</v>
      </c>
      <c r="K8398" s="5">
        <f t="shared" si="296"/>
        <v>0.92824765063583348</v>
      </c>
    </row>
    <row r="8399" spans="1:11" x14ac:dyDescent="0.25">
      <c r="A8399" t="s">
        <v>16388</v>
      </c>
      <c r="C8399" t="s">
        <v>16389</v>
      </c>
      <c r="D8399" t="s">
        <v>5</v>
      </c>
      <c r="E8399" t="s">
        <v>6</v>
      </c>
      <c r="F8399" t="s">
        <v>251</v>
      </c>
      <c r="G8399">
        <v>1</v>
      </c>
      <c r="H8399" s="2">
        <f>Tabelle13[[#This Row],[commits]]/Tabelle13[[#Totals],[commits]]</f>
        <v>4.6477904404246225E-6</v>
      </c>
      <c r="I8399" s="5">
        <f>Tabelle13[[#This Row],[%]]+I8398</f>
        <v>0.99698823179449791</v>
      </c>
      <c r="J8399" s="4">
        <f t="shared" si="295"/>
        <v>1.105583195135434E-4</v>
      </c>
      <c r="K8399" s="5">
        <f t="shared" si="296"/>
        <v>0.92835820895534704</v>
      </c>
    </row>
    <row r="8400" spans="1:11" x14ac:dyDescent="0.25">
      <c r="A8400" t="s">
        <v>16390</v>
      </c>
      <c r="C8400" t="s">
        <v>16391</v>
      </c>
      <c r="D8400" t="s">
        <v>5</v>
      </c>
      <c r="E8400" t="s">
        <v>6</v>
      </c>
      <c r="F8400" t="s">
        <v>251</v>
      </c>
      <c r="G8400">
        <v>1</v>
      </c>
      <c r="H8400" s="2">
        <f>Tabelle13[[#This Row],[commits]]/Tabelle13[[#Totals],[commits]]</f>
        <v>4.6477904404246225E-6</v>
      </c>
      <c r="I8400" s="5">
        <f>Tabelle13[[#This Row],[%]]+I8399</f>
        <v>0.99699287958493832</v>
      </c>
      <c r="J8400" s="4">
        <f t="shared" si="295"/>
        <v>1.105583195135434E-4</v>
      </c>
      <c r="K8400" s="5">
        <f t="shared" si="296"/>
        <v>0.92846876727486061</v>
      </c>
    </row>
    <row r="8401" spans="1:11" x14ac:dyDescent="0.25">
      <c r="A8401" t="s">
        <v>16392</v>
      </c>
      <c r="C8401" t="s">
        <v>16393</v>
      </c>
      <c r="D8401" t="s">
        <v>5</v>
      </c>
      <c r="E8401" t="s">
        <v>6</v>
      </c>
      <c r="F8401" t="s">
        <v>251</v>
      </c>
      <c r="G8401">
        <v>1</v>
      </c>
      <c r="H8401" s="2">
        <f>Tabelle13[[#This Row],[commits]]/Tabelle13[[#Totals],[commits]]</f>
        <v>4.6477904404246225E-6</v>
      </c>
      <c r="I8401" s="5">
        <f>Tabelle13[[#This Row],[%]]+I8400</f>
        <v>0.99699752737537872</v>
      </c>
      <c r="J8401" s="4">
        <f t="shared" si="295"/>
        <v>1.105583195135434E-4</v>
      </c>
      <c r="K8401" s="5">
        <f t="shared" si="296"/>
        <v>0.92857932559437417</v>
      </c>
    </row>
    <row r="8402" spans="1:11" x14ac:dyDescent="0.25">
      <c r="A8402" t="s">
        <v>16394</v>
      </c>
      <c r="C8402" t="s">
        <v>16395</v>
      </c>
      <c r="D8402" t="s">
        <v>5</v>
      </c>
      <c r="E8402" t="s">
        <v>6</v>
      </c>
      <c r="F8402" t="s">
        <v>251</v>
      </c>
      <c r="G8402">
        <v>1</v>
      </c>
      <c r="H8402" s="2">
        <f>Tabelle13[[#This Row],[commits]]/Tabelle13[[#Totals],[commits]]</f>
        <v>4.6477904404246225E-6</v>
      </c>
      <c r="I8402" s="5">
        <f>Tabelle13[[#This Row],[%]]+I8401</f>
        <v>0.99700217516581913</v>
      </c>
      <c r="J8402" s="4">
        <f t="shared" si="295"/>
        <v>1.105583195135434E-4</v>
      </c>
      <c r="K8402" s="5">
        <f t="shared" si="296"/>
        <v>0.92868988391388774</v>
      </c>
    </row>
    <row r="8403" spans="1:11" x14ac:dyDescent="0.25">
      <c r="A8403" t="s">
        <v>16396</v>
      </c>
      <c r="C8403" t="s">
        <v>16397</v>
      </c>
      <c r="D8403" t="s">
        <v>5</v>
      </c>
      <c r="E8403" t="s">
        <v>6</v>
      </c>
      <c r="F8403" t="s">
        <v>251</v>
      </c>
      <c r="G8403">
        <v>1</v>
      </c>
      <c r="H8403" s="2">
        <f>Tabelle13[[#This Row],[commits]]/Tabelle13[[#Totals],[commits]]</f>
        <v>4.6477904404246225E-6</v>
      </c>
      <c r="I8403" s="5">
        <f>Tabelle13[[#This Row],[%]]+I8402</f>
        <v>0.99700682295625953</v>
      </c>
      <c r="J8403" s="4">
        <f t="shared" si="295"/>
        <v>1.105583195135434E-4</v>
      </c>
      <c r="K8403" s="5">
        <f t="shared" si="296"/>
        <v>0.9288004422334013</v>
      </c>
    </row>
    <row r="8404" spans="1:11" x14ac:dyDescent="0.25">
      <c r="A8404" t="s">
        <v>16398</v>
      </c>
      <c r="C8404" t="s">
        <v>16399</v>
      </c>
      <c r="D8404" t="s">
        <v>5</v>
      </c>
      <c r="E8404" t="s">
        <v>6</v>
      </c>
      <c r="F8404" t="s">
        <v>251</v>
      </c>
      <c r="G8404">
        <v>1</v>
      </c>
      <c r="H8404" s="2">
        <f>Tabelle13[[#This Row],[commits]]/Tabelle13[[#Totals],[commits]]</f>
        <v>4.6477904404246225E-6</v>
      </c>
      <c r="I8404" s="5">
        <f>Tabelle13[[#This Row],[%]]+I8403</f>
        <v>0.99701147074669993</v>
      </c>
      <c r="J8404" s="4">
        <f t="shared" si="295"/>
        <v>1.105583195135434E-4</v>
      </c>
      <c r="K8404" s="5">
        <f t="shared" si="296"/>
        <v>0.92891100055291487</v>
      </c>
    </row>
    <row r="8405" spans="1:11" x14ac:dyDescent="0.25">
      <c r="A8405" t="s">
        <v>16400</v>
      </c>
      <c r="C8405" t="s">
        <v>16401</v>
      </c>
      <c r="D8405" t="s">
        <v>5</v>
      </c>
      <c r="E8405" t="s">
        <v>6</v>
      </c>
      <c r="F8405" t="s">
        <v>251</v>
      </c>
      <c r="G8405">
        <v>1</v>
      </c>
      <c r="H8405" s="2">
        <f>Tabelle13[[#This Row],[commits]]/Tabelle13[[#Totals],[commits]]</f>
        <v>4.6477904404246225E-6</v>
      </c>
      <c r="I8405" s="5">
        <f>Tabelle13[[#This Row],[%]]+I8404</f>
        <v>0.99701611853714034</v>
      </c>
      <c r="J8405" s="4">
        <f t="shared" si="295"/>
        <v>1.105583195135434E-4</v>
      </c>
      <c r="K8405" s="5">
        <f t="shared" si="296"/>
        <v>0.92902155887242843</v>
      </c>
    </row>
    <row r="8406" spans="1:11" x14ac:dyDescent="0.25">
      <c r="A8406" t="s">
        <v>16402</v>
      </c>
      <c r="C8406" t="s">
        <v>16403</v>
      </c>
      <c r="D8406" t="s">
        <v>5</v>
      </c>
      <c r="E8406" t="s">
        <v>6</v>
      </c>
      <c r="F8406" t="s">
        <v>251</v>
      </c>
      <c r="G8406">
        <v>1</v>
      </c>
      <c r="H8406" s="2">
        <f>Tabelle13[[#This Row],[commits]]/Tabelle13[[#Totals],[commits]]</f>
        <v>4.6477904404246225E-6</v>
      </c>
      <c r="I8406" s="5">
        <f>Tabelle13[[#This Row],[%]]+I8405</f>
        <v>0.99702076632758074</v>
      </c>
      <c r="J8406" s="4">
        <f t="shared" si="295"/>
        <v>1.105583195135434E-4</v>
      </c>
      <c r="K8406" s="5">
        <f t="shared" si="296"/>
        <v>0.929132117191942</v>
      </c>
    </row>
    <row r="8407" spans="1:11" x14ac:dyDescent="0.25">
      <c r="A8407" t="s">
        <v>16404</v>
      </c>
      <c r="C8407" t="s">
        <v>16405</v>
      </c>
      <c r="D8407" t="s">
        <v>5</v>
      </c>
      <c r="E8407" t="s">
        <v>6</v>
      </c>
      <c r="F8407" t="s">
        <v>251</v>
      </c>
      <c r="G8407">
        <v>1</v>
      </c>
      <c r="H8407" s="2">
        <f>Tabelle13[[#This Row],[commits]]/Tabelle13[[#Totals],[commits]]</f>
        <v>4.6477904404246225E-6</v>
      </c>
      <c r="I8407" s="5">
        <f>Tabelle13[[#This Row],[%]]+I8406</f>
        <v>0.99702541411802115</v>
      </c>
      <c r="J8407" s="4">
        <f t="shared" si="295"/>
        <v>1.105583195135434E-4</v>
      </c>
      <c r="K8407" s="5">
        <f t="shared" si="296"/>
        <v>0.92924267551145556</v>
      </c>
    </row>
    <row r="8408" spans="1:11" x14ac:dyDescent="0.25">
      <c r="A8408" t="s">
        <v>16406</v>
      </c>
      <c r="C8408" t="s">
        <v>16407</v>
      </c>
      <c r="D8408" t="s">
        <v>5</v>
      </c>
      <c r="E8408" t="s">
        <v>6</v>
      </c>
      <c r="F8408" t="s">
        <v>251</v>
      </c>
      <c r="G8408">
        <v>1</v>
      </c>
      <c r="H8408" s="2">
        <f>Tabelle13[[#This Row],[commits]]/Tabelle13[[#Totals],[commits]]</f>
        <v>4.6477904404246225E-6</v>
      </c>
      <c r="I8408" s="5">
        <f>Tabelle13[[#This Row],[%]]+I8407</f>
        <v>0.99703006190846155</v>
      </c>
      <c r="J8408" s="4">
        <f t="shared" si="295"/>
        <v>1.105583195135434E-4</v>
      </c>
      <c r="K8408" s="5">
        <f t="shared" si="296"/>
        <v>0.92935323383096913</v>
      </c>
    </row>
    <row r="8409" spans="1:11" x14ac:dyDescent="0.25">
      <c r="A8409" t="s">
        <v>16408</v>
      </c>
      <c r="C8409" t="s">
        <v>16409</v>
      </c>
      <c r="D8409" t="s">
        <v>5</v>
      </c>
      <c r="E8409" t="s">
        <v>6</v>
      </c>
      <c r="F8409" t="s">
        <v>251</v>
      </c>
      <c r="G8409">
        <v>1</v>
      </c>
      <c r="H8409" s="2">
        <f>Tabelle13[[#This Row],[commits]]/Tabelle13[[#Totals],[commits]]</f>
        <v>4.6477904404246225E-6</v>
      </c>
      <c r="I8409" s="5">
        <f>Tabelle13[[#This Row],[%]]+I8408</f>
        <v>0.99703470969890196</v>
      </c>
      <c r="J8409" s="4">
        <f t="shared" si="295"/>
        <v>1.105583195135434E-4</v>
      </c>
      <c r="K8409" s="5">
        <f t="shared" si="296"/>
        <v>0.92946379215048269</v>
      </c>
    </row>
    <row r="8410" spans="1:11" x14ac:dyDescent="0.25">
      <c r="A8410" t="s">
        <v>16410</v>
      </c>
      <c r="C8410" t="s">
        <v>16411</v>
      </c>
      <c r="D8410" t="s">
        <v>5</v>
      </c>
      <c r="E8410" t="s">
        <v>6</v>
      </c>
      <c r="F8410" t="s">
        <v>251</v>
      </c>
      <c r="G8410">
        <v>1</v>
      </c>
      <c r="H8410" s="2">
        <f>Tabelle13[[#This Row],[commits]]/Tabelle13[[#Totals],[commits]]</f>
        <v>4.6477904404246225E-6</v>
      </c>
      <c r="I8410" s="5">
        <f>Tabelle13[[#This Row],[%]]+I8409</f>
        <v>0.99703935748934236</v>
      </c>
      <c r="J8410" s="4">
        <f t="shared" si="295"/>
        <v>1.105583195135434E-4</v>
      </c>
      <c r="K8410" s="5">
        <f t="shared" si="296"/>
        <v>0.92957435046999626</v>
      </c>
    </row>
    <row r="8411" spans="1:11" x14ac:dyDescent="0.25">
      <c r="A8411" t="s">
        <v>16412</v>
      </c>
      <c r="C8411" t="s">
        <v>16413</v>
      </c>
      <c r="D8411" t="s">
        <v>2471</v>
      </c>
      <c r="E8411" t="s">
        <v>6</v>
      </c>
      <c r="F8411" t="s">
        <v>251</v>
      </c>
      <c r="G8411">
        <v>1</v>
      </c>
      <c r="H8411" s="2">
        <f>Tabelle13[[#This Row],[commits]]/Tabelle13[[#Totals],[commits]]</f>
        <v>4.6477904404246225E-6</v>
      </c>
      <c r="I8411" s="5">
        <f>Tabelle13[[#This Row],[%]]+I8410</f>
        <v>0.99704400527978276</v>
      </c>
      <c r="J8411" s="4">
        <f t="shared" si="295"/>
        <v>1.105583195135434E-4</v>
      </c>
      <c r="K8411" s="5">
        <f t="shared" si="296"/>
        <v>0.92968490878950982</v>
      </c>
    </row>
    <row r="8412" spans="1:11" x14ac:dyDescent="0.25">
      <c r="A8412" t="s">
        <v>16414</v>
      </c>
      <c r="C8412" t="s">
        <v>16415</v>
      </c>
      <c r="D8412" t="s">
        <v>5</v>
      </c>
      <c r="E8412" t="s">
        <v>6</v>
      </c>
      <c r="F8412" t="s">
        <v>251</v>
      </c>
      <c r="G8412">
        <v>1</v>
      </c>
      <c r="H8412" s="2">
        <f>Tabelle13[[#This Row],[commits]]/Tabelle13[[#Totals],[commits]]</f>
        <v>4.6477904404246225E-6</v>
      </c>
      <c r="I8412" s="5">
        <f>Tabelle13[[#This Row],[%]]+I8411</f>
        <v>0.99704865307022317</v>
      </c>
      <c r="J8412" s="4">
        <f t="shared" si="295"/>
        <v>1.105583195135434E-4</v>
      </c>
      <c r="K8412" s="5">
        <f t="shared" si="296"/>
        <v>0.92979546710902339</v>
      </c>
    </row>
    <row r="8413" spans="1:11" x14ac:dyDescent="0.25">
      <c r="A8413" t="s">
        <v>16416</v>
      </c>
      <c r="C8413" t="s">
        <v>16417</v>
      </c>
      <c r="D8413" t="s">
        <v>5</v>
      </c>
      <c r="E8413" t="s">
        <v>6</v>
      </c>
      <c r="F8413" t="s">
        <v>251</v>
      </c>
      <c r="G8413">
        <v>1</v>
      </c>
      <c r="H8413" s="2">
        <f>Tabelle13[[#This Row],[commits]]/Tabelle13[[#Totals],[commits]]</f>
        <v>4.6477904404246225E-6</v>
      </c>
      <c r="I8413" s="5">
        <f>Tabelle13[[#This Row],[%]]+I8412</f>
        <v>0.99705330086066357</v>
      </c>
      <c r="J8413" s="4">
        <f t="shared" si="295"/>
        <v>1.105583195135434E-4</v>
      </c>
      <c r="K8413" s="5">
        <f t="shared" si="296"/>
        <v>0.92990602542853695</v>
      </c>
    </row>
    <row r="8414" spans="1:11" x14ac:dyDescent="0.25">
      <c r="A8414" t="s">
        <v>16418</v>
      </c>
      <c r="C8414" t="s">
        <v>16419</v>
      </c>
      <c r="D8414" t="s">
        <v>5</v>
      </c>
      <c r="E8414" t="s">
        <v>6</v>
      </c>
      <c r="F8414" t="s">
        <v>251</v>
      </c>
      <c r="G8414">
        <v>1</v>
      </c>
      <c r="H8414" s="2">
        <f>Tabelle13[[#This Row],[commits]]/Tabelle13[[#Totals],[commits]]</f>
        <v>4.6477904404246225E-6</v>
      </c>
      <c r="I8414" s="5">
        <f>Tabelle13[[#This Row],[%]]+I8413</f>
        <v>0.99705794865110398</v>
      </c>
      <c r="J8414" s="4">
        <f t="shared" si="295"/>
        <v>1.105583195135434E-4</v>
      </c>
      <c r="K8414" s="5">
        <f t="shared" si="296"/>
        <v>0.93001658374805052</v>
      </c>
    </row>
    <row r="8415" spans="1:11" x14ac:dyDescent="0.25">
      <c r="A8415" t="s">
        <v>16420</v>
      </c>
      <c r="C8415" t="s">
        <v>16421</v>
      </c>
      <c r="D8415" t="s">
        <v>16422</v>
      </c>
      <c r="E8415" t="s">
        <v>6</v>
      </c>
      <c r="F8415" t="s">
        <v>251</v>
      </c>
      <c r="G8415">
        <v>1</v>
      </c>
      <c r="H8415" s="2">
        <f>Tabelle13[[#This Row],[commits]]/Tabelle13[[#Totals],[commits]]</f>
        <v>4.6477904404246225E-6</v>
      </c>
      <c r="I8415" s="5">
        <f>Tabelle13[[#This Row],[%]]+I8414</f>
        <v>0.99706259644154438</v>
      </c>
      <c r="J8415" s="4">
        <f t="shared" si="295"/>
        <v>1.105583195135434E-4</v>
      </c>
      <c r="K8415" s="5">
        <f t="shared" si="296"/>
        <v>0.93012714206756408</v>
      </c>
    </row>
    <row r="8416" spans="1:11" x14ac:dyDescent="0.25">
      <c r="A8416" t="s">
        <v>16423</v>
      </c>
      <c r="C8416" t="s">
        <v>16424</v>
      </c>
      <c r="D8416" t="s">
        <v>5</v>
      </c>
      <c r="E8416" t="s">
        <v>6</v>
      </c>
      <c r="F8416" t="s">
        <v>251</v>
      </c>
      <c r="G8416">
        <v>1</v>
      </c>
      <c r="H8416" s="2">
        <f>Tabelle13[[#This Row],[commits]]/Tabelle13[[#Totals],[commits]]</f>
        <v>4.6477904404246225E-6</v>
      </c>
      <c r="I8416" s="5">
        <f>Tabelle13[[#This Row],[%]]+I8415</f>
        <v>0.99706724423198478</v>
      </c>
      <c r="J8416" s="4">
        <f t="shared" si="295"/>
        <v>1.105583195135434E-4</v>
      </c>
      <c r="K8416" s="5">
        <f t="shared" si="296"/>
        <v>0.93023770038707765</v>
      </c>
    </row>
    <row r="8417" spans="1:11" x14ac:dyDescent="0.25">
      <c r="A8417" t="s">
        <v>16425</v>
      </c>
      <c r="C8417" t="s">
        <v>16426</v>
      </c>
      <c r="D8417" t="s">
        <v>5</v>
      </c>
      <c r="E8417" t="s">
        <v>6</v>
      </c>
      <c r="F8417" t="s">
        <v>251</v>
      </c>
      <c r="G8417">
        <v>1</v>
      </c>
      <c r="H8417" s="2">
        <f>Tabelle13[[#This Row],[commits]]/Tabelle13[[#Totals],[commits]]</f>
        <v>4.6477904404246225E-6</v>
      </c>
      <c r="I8417" s="5">
        <f>Tabelle13[[#This Row],[%]]+I8416</f>
        <v>0.99707189202242519</v>
      </c>
      <c r="J8417" s="4">
        <f t="shared" si="295"/>
        <v>1.105583195135434E-4</v>
      </c>
      <c r="K8417" s="5">
        <f t="shared" si="296"/>
        <v>0.93034825870659121</v>
      </c>
    </row>
    <row r="8418" spans="1:11" x14ac:dyDescent="0.25">
      <c r="A8418" t="s">
        <v>16427</v>
      </c>
      <c r="C8418" t="s">
        <v>16428</v>
      </c>
      <c r="D8418" t="s">
        <v>5</v>
      </c>
      <c r="E8418" t="s">
        <v>6</v>
      </c>
      <c r="F8418" t="s">
        <v>251</v>
      </c>
      <c r="G8418">
        <v>1</v>
      </c>
      <c r="H8418" s="2">
        <f>Tabelle13[[#This Row],[commits]]/Tabelle13[[#Totals],[commits]]</f>
        <v>4.6477904404246225E-6</v>
      </c>
      <c r="I8418" s="5">
        <f>Tabelle13[[#This Row],[%]]+I8417</f>
        <v>0.99707653981286559</v>
      </c>
      <c r="J8418" s="4">
        <f t="shared" si="295"/>
        <v>1.105583195135434E-4</v>
      </c>
      <c r="K8418" s="5">
        <f t="shared" si="296"/>
        <v>0.93045881702610478</v>
      </c>
    </row>
    <row r="8419" spans="1:11" x14ac:dyDescent="0.25">
      <c r="A8419" t="s">
        <v>16429</v>
      </c>
      <c r="C8419" t="s">
        <v>16430</v>
      </c>
      <c r="D8419" t="s">
        <v>5</v>
      </c>
      <c r="E8419" t="s">
        <v>6</v>
      </c>
      <c r="F8419" t="s">
        <v>251</v>
      </c>
      <c r="G8419">
        <v>1</v>
      </c>
      <c r="H8419" s="2">
        <f>Tabelle13[[#This Row],[commits]]/Tabelle13[[#Totals],[commits]]</f>
        <v>4.6477904404246225E-6</v>
      </c>
      <c r="I8419" s="5">
        <f>Tabelle13[[#This Row],[%]]+I8418</f>
        <v>0.997081187603306</v>
      </c>
      <c r="J8419" s="4">
        <f t="shared" si="295"/>
        <v>1.105583195135434E-4</v>
      </c>
      <c r="K8419" s="5">
        <f t="shared" si="296"/>
        <v>0.93056937534561834</v>
      </c>
    </row>
    <row r="8420" spans="1:11" x14ac:dyDescent="0.25">
      <c r="A8420" t="s">
        <v>16431</v>
      </c>
      <c r="C8420" t="s">
        <v>16432</v>
      </c>
      <c r="D8420" t="s">
        <v>5</v>
      </c>
      <c r="E8420" t="s">
        <v>6</v>
      </c>
      <c r="F8420" t="s">
        <v>251</v>
      </c>
      <c r="G8420">
        <v>1</v>
      </c>
      <c r="H8420" s="2">
        <f>Tabelle13[[#This Row],[commits]]/Tabelle13[[#Totals],[commits]]</f>
        <v>4.6477904404246225E-6</v>
      </c>
      <c r="I8420" s="5">
        <f>Tabelle13[[#This Row],[%]]+I8419</f>
        <v>0.9970858353937464</v>
      </c>
      <c r="J8420" s="4">
        <f t="shared" si="295"/>
        <v>1.105583195135434E-4</v>
      </c>
      <c r="K8420" s="5">
        <f t="shared" si="296"/>
        <v>0.93067993366513191</v>
      </c>
    </row>
    <row r="8421" spans="1:11" x14ac:dyDescent="0.25">
      <c r="A8421" t="s">
        <v>16433</v>
      </c>
      <c r="C8421" t="s">
        <v>16434</v>
      </c>
      <c r="D8421" t="s">
        <v>5</v>
      </c>
      <c r="E8421" t="s">
        <v>6</v>
      </c>
      <c r="F8421" t="s">
        <v>251</v>
      </c>
      <c r="G8421">
        <v>1</v>
      </c>
      <c r="H8421" s="2">
        <f>Tabelle13[[#This Row],[commits]]/Tabelle13[[#Totals],[commits]]</f>
        <v>4.6477904404246225E-6</v>
      </c>
      <c r="I8421" s="5">
        <f>Tabelle13[[#This Row],[%]]+I8420</f>
        <v>0.9970904831841868</v>
      </c>
      <c r="J8421" s="4">
        <f t="shared" si="295"/>
        <v>1.105583195135434E-4</v>
      </c>
      <c r="K8421" s="5">
        <f t="shared" si="296"/>
        <v>0.93079049198464547</v>
      </c>
    </row>
    <row r="8422" spans="1:11" x14ac:dyDescent="0.25">
      <c r="A8422" t="s">
        <v>16435</v>
      </c>
      <c r="C8422" t="s">
        <v>16436</v>
      </c>
      <c r="D8422" t="s">
        <v>5</v>
      </c>
      <c r="E8422" t="s">
        <v>6</v>
      </c>
      <c r="F8422" t="s">
        <v>251</v>
      </c>
      <c r="G8422">
        <v>1</v>
      </c>
      <c r="H8422" s="2">
        <f>Tabelle13[[#This Row],[commits]]/Tabelle13[[#Totals],[commits]]</f>
        <v>4.6477904404246225E-6</v>
      </c>
      <c r="I8422" s="5">
        <f>Tabelle13[[#This Row],[%]]+I8421</f>
        <v>0.99709513097462721</v>
      </c>
      <c r="J8422" s="4">
        <f t="shared" si="295"/>
        <v>1.105583195135434E-4</v>
      </c>
      <c r="K8422" s="5">
        <f t="shared" si="296"/>
        <v>0.93090105030415904</v>
      </c>
    </row>
    <row r="8423" spans="1:11" x14ac:dyDescent="0.25">
      <c r="A8423" t="s">
        <v>16437</v>
      </c>
      <c r="C8423" t="s">
        <v>26</v>
      </c>
      <c r="D8423" t="s">
        <v>5</v>
      </c>
      <c r="E8423" t="s">
        <v>6</v>
      </c>
      <c r="F8423" t="s">
        <v>251</v>
      </c>
      <c r="G8423">
        <v>1</v>
      </c>
      <c r="H8423" s="2">
        <f>Tabelle13[[#This Row],[commits]]/Tabelle13[[#Totals],[commits]]</f>
        <v>4.6477904404246225E-6</v>
      </c>
      <c r="I8423" s="5">
        <f>Tabelle13[[#This Row],[%]]+I8422</f>
        <v>0.99709977876506761</v>
      </c>
      <c r="J8423" s="4">
        <f t="shared" si="295"/>
        <v>1.105583195135434E-4</v>
      </c>
      <c r="K8423" s="5">
        <f t="shared" si="296"/>
        <v>0.9310116086236726</v>
      </c>
    </row>
    <row r="8424" spans="1:11" x14ac:dyDescent="0.25">
      <c r="A8424" t="s">
        <v>16438</v>
      </c>
      <c r="C8424" t="s">
        <v>16439</v>
      </c>
      <c r="D8424" t="s">
        <v>11836</v>
      </c>
      <c r="E8424" t="s">
        <v>6</v>
      </c>
      <c r="F8424" t="s">
        <v>251</v>
      </c>
      <c r="G8424">
        <v>1</v>
      </c>
      <c r="H8424" s="2">
        <f>Tabelle13[[#This Row],[commits]]/Tabelle13[[#Totals],[commits]]</f>
        <v>4.6477904404246225E-6</v>
      </c>
      <c r="I8424" s="5">
        <f>Tabelle13[[#This Row],[%]]+I8423</f>
        <v>0.99710442655550802</v>
      </c>
      <c r="J8424" s="4">
        <f t="shared" si="295"/>
        <v>1.105583195135434E-4</v>
      </c>
      <c r="K8424" s="5">
        <f t="shared" si="296"/>
        <v>0.93112216694318617</v>
      </c>
    </row>
    <row r="8425" spans="1:11" x14ac:dyDescent="0.25">
      <c r="A8425" t="s">
        <v>16440</v>
      </c>
      <c r="C8425" t="s">
        <v>16441</v>
      </c>
      <c r="D8425" t="s">
        <v>5</v>
      </c>
      <c r="E8425" t="s">
        <v>6</v>
      </c>
      <c r="F8425" t="s">
        <v>251</v>
      </c>
      <c r="G8425">
        <v>1</v>
      </c>
      <c r="H8425" s="2">
        <f>Tabelle13[[#This Row],[commits]]/Tabelle13[[#Totals],[commits]]</f>
        <v>4.6477904404246225E-6</v>
      </c>
      <c r="I8425" s="5">
        <f>Tabelle13[[#This Row],[%]]+I8424</f>
        <v>0.99710907434594842</v>
      </c>
      <c r="J8425" s="4">
        <f t="shared" si="295"/>
        <v>1.105583195135434E-4</v>
      </c>
      <c r="K8425" s="5">
        <f t="shared" si="296"/>
        <v>0.93123272526269973</v>
      </c>
    </row>
    <row r="8426" spans="1:11" x14ac:dyDescent="0.25">
      <c r="A8426" t="s">
        <v>16442</v>
      </c>
      <c r="C8426" t="s">
        <v>16443</v>
      </c>
      <c r="D8426" t="s">
        <v>5</v>
      </c>
      <c r="E8426" t="s">
        <v>6</v>
      </c>
      <c r="F8426" t="s">
        <v>251</v>
      </c>
      <c r="G8426">
        <v>1</v>
      </c>
      <c r="H8426" s="2">
        <f>Tabelle13[[#This Row],[commits]]/Tabelle13[[#Totals],[commits]]</f>
        <v>4.6477904404246225E-6</v>
      </c>
      <c r="I8426" s="5">
        <f>Tabelle13[[#This Row],[%]]+I8425</f>
        <v>0.99711372213638882</v>
      </c>
      <c r="J8426" s="4">
        <f t="shared" si="295"/>
        <v>1.105583195135434E-4</v>
      </c>
      <c r="K8426" s="5">
        <f t="shared" si="296"/>
        <v>0.9313432835822133</v>
      </c>
    </row>
    <row r="8427" spans="1:11" x14ac:dyDescent="0.25">
      <c r="A8427" t="s">
        <v>16444</v>
      </c>
      <c r="C8427" t="s">
        <v>16445</v>
      </c>
      <c r="D8427" t="s">
        <v>5</v>
      </c>
      <c r="E8427" t="s">
        <v>6</v>
      </c>
      <c r="F8427" t="s">
        <v>251</v>
      </c>
      <c r="G8427">
        <v>1</v>
      </c>
      <c r="H8427" s="2">
        <f>Tabelle13[[#This Row],[commits]]/Tabelle13[[#Totals],[commits]]</f>
        <v>4.6477904404246225E-6</v>
      </c>
      <c r="I8427" s="5">
        <f>Tabelle13[[#This Row],[%]]+I8426</f>
        <v>0.99711836992682923</v>
      </c>
      <c r="J8427" s="4">
        <f t="shared" si="295"/>
        <v>1.105583195135434E-4</v>
      </c>
      <c r="K8427" s="5">
        <f t="shared" si="296"/>
        <v>0.93145384190172686</v>
      </c>
    </row>
    <row r="8428" spans="1:11" x14ac:dyDescent="0.25">
      <c r="A8428" t="s">
        <v>16446</v>
      </c>
      <c r="C8428" t="s">
        <v>16447</v>
      </c>
      <c r="D8428" t="s">
        <v>5</v>
      </c>
      <c r="E8428" t="s">
        <v>6</v>
      </c>
      <c r="F8428" t="s">
        <v>251</v>
      </c>
      <c r="G8428">
        <v>1</v>
      </c>
      <c r="H8428" s="2">
        <f>Tabelle13[[#This Row],[commits]]/Tabelle13[[#Totals],[commits]]</f>
        <v>4.6477904404246225E-6</v>
      </c>
      <c r="I8428" s="5">
        <f>Tabelle13[[#This Row],[%]]+I8427</f>
        <v>0.99712301771726963</v>
      </c>
      <c r="J8428" s="4">
        <f t="shared" si="295"/>
        <v>1.105583195135434E-4</v>
      </c>
      <c r="K8428" s="5">
        <f t="shared" si="296"/>
        <v>0.93156440022124043</v>
      </c>
    </row>
    <row r="8429" spans="1:11" x14ac:dyDescent="0.25">
      <c r="A8429" t="s">
        <v>16448</v>
      </c>
      <c r="C8429" t="s">
        <v>16449</v>
      </c>
      <c r="D8429" t="s">
        <v>5</v>
      </c>
      <c r="E8429" t="s">
        <v>6</v>
      </c>
      <c r="F8429" t="s">
        <v>251</v>
      </c>
      <c r="G8429">
        <v>1</v>
      </c>
      <c r="H8429" s="2">
        <f>Tabelle13[[#This Row],[commits]]/Tabelle13[[#Totals],[commits]]</f>
        <v>4.6477904404246225E-6</v>
      </c>
      <c r="I8429" s="5">
        <f>Tabelle13[[#This Row],[%]]+I8428</f>
        <v>0.99712766550771004</v>
      </c>
      <c r="J8429" s="4">
        <f t="shared" si="295"/>
        <v>1.105583195135434E-4</v>
      </c>
      <c r="K8429" s="5">
        <f t="shared" si="296"/>
        <v>0.93167495854075399</v>
      </c>
    </row>
    <row r="8430" spans="1:11" x14ac:dyDescent="0.25">
      <c r="A8430" t="s">
        <v>16450</v>
      </c>
      <c r="C8430" t="s">
        <v>16451</v>
      </c>
      <c r="D8430" t="s">
        <v>5</v>
      </c>
      <c r="E8430" t="s">
        <v>6</v>
      </c>
      <c r="F8430" t="s">
        <v>251</v>
      </c>
      <c r="G8430">
        <v>1</v>
      </c>
      <c r="H8430" s="2">
        <f>Tabelle13[[#This Row],[commits]]/Tabelle13[[#Totals],[commits]]</f>
        <v>4.6477904404246225E-6</v>
      </c>
      <c r="I8430" s="5">
        <f>Tabelle13[[#This Row],[%]]+I8429</f>
        <v>0.99713231329815044</v>
      </c>
      <c r="J8430" s="4">
        <f t="shared" si="295"/>
        <v>1.105583195135434E-4</v>
      </c>
      <c r="K8430" s="5">
        <f t="shared" si="296"/>
        <v>0.93178551686026756</v>
      </c>
    </row>
    <row r="8431" spans="1:11" x14ac:dyDescent="0.25">
      <c r="A8431" t="s">
        <v>16452</v>
      </c>
      <c r="C8431" t="s">
        <v>16453</v>
      </c>
      <c r="D8431" t="s">
        <v>5</v>
      </c>
      <c r="E8431" t="s">
        <v>6</v>
      </c>
      <c r="F8431" t="s">
        <v>251</v>
      </c>
      <c r="G8431">
        <v>1</v>
      </c>
      <c r="H8431" s="2">
        <f>Tabelle13[[#This Row],[commits]]/Tabelle13[[#Totals],[commits]]</f>
        <v>4.6477904404246225E-6</v>
      </c>
      <c r="I8431" s="5">
        <f>Tabelle13[[#This Row],[%]]+I8430</f>
        <v>0.99713696108859085</v>
      </c>
      <c r="J8431" s="4">
        <f t="shared" si="295"/>
        <v>1.105583195135434E-4</v>
      </c>
      <c r="K8431" s="5">
        <f t="shared" si="296"/>
        <v>0.93189607517978112</v>
      </c>
    </row>
    <row r="8432" spans="1:11" x14ac:dyDescent="0.25">
      <c r="A8432" t="s">
        <v>16454</v>
      </c>
      <c r="C8432" t="s">
        <v>16455</v>
      </c>
      <c r="D8432" t="s">
        <v>5</v>
      </c>
      <c r="E8432" t="s">
        <v>6</v>
      </c>
      <c r="F8432" t="s">
        <v>251</v>
      </c>
      <c r="G8432">
        <v>1</v>
      </c>
      <c r="H8432" s="2">
        <f>Tabelle13[[#This Row],[commits]]/Tabelle13[[#Totals],[commits]]</f>
        <v>4.6477904404246225E-6</v>
      </c>
      <c r="I8432" s="5">
        <f>Tabelle13[[#This Row],[%]]+I8431</f>
        <v>0.99714160887903125</v>
      </c>
      <c r="J8432" s="4">
        <f t="shared" si="295"/>
        <v>1.105583195135434E-4</v>
      </c>
      <c r="K8432" s="5">
        <f t="shared" si="296"/>
        <v>0.93200663349929469</v>
      </c>
    </row>
    <row r="8433" spans="1:11" x14ac:dyDescent="0.25">
      <c r="A8433" t="s">
        <v>16456</v>
      </c>
      <c r="C8433" t="s">
        <v>16457</v>
      </c>
      <c r="D8433" t="s">
        <v>5</v>
      </c>
      <c r="E8433" t="s">
        <v>6</v>
      </c>
      <c r="F8433" t="s">
        <v>251</v>
      </c>
      <c r="G8433">
        <v>1</v>
      </c>
      <c r="H8433" s="2">
        <f>Tabelle13[[#This Row],[commits]]/Tabelle13[[#Totals],[commits]]</f>
        <v>4.6477904404246225E-6</v>
      </c>
      <c r="I8433" s="5">
        <f>Tabelle13[[#This Row],[%]]+I8432</f>
        <v>0.99714625666947165</v>
      </c>
      <c r="J8433" s="4">
        <f t="shared" si="295"/>
        <v>1.105583195135434E-4</v>
      </c>
      <c r="K8433" s="5">
        <f t="shared" si="296"/>
        <v>0.93211719181880826</v>
      </c>
    </row>
    <row r="8434" spans="1:11" x14ac:dyDescent="0.25">
      <c r="A8434" t="s">
        <v>16458</v>
      </c>
      <c r="C8434" t="s">
        <v>16459</v>
      </c>
      <c r="D8434" t="s">
        <v>12381</v>
      </c>
      <c r="E8434" t="s">
        <v>6</v>
      </c>
      <c r="F8434" t="s">
        <v>251</v>
      </c>
      <c r="G8434">
        <v>1</v>
      </c>
      <c r="H8434" s="2">
        <f>Tabelle13[[#This Row],[commits]]/Tabelle13[[#Totals],[commits]]</f>
        <v>4.6477904404246225E-6</v>
      </c>
      <c r="I8434" s="5">
        <f>Tabelle13[[#This Row],[%]]+I8433</f>
        <v>0.99715090445991206</v>
      </c>
      <c r="J8434" s="4">
        <f t="shared" si="295"/>
        <v>1.105583195135434E-4</v>
      </c>
      <c r="K8434" s="5">
        <f t="shared" si="296"/>
        <v>0.93222775013832182</v>
      </c>
    </row>
    <row r="8435" spans="1:11" x14ac:dyDescent="0.25">
      <c r="A8435" t="s">
        <v>16460</v>
      </c>
      <c r="C8435" t="s">
        <v>16461</v>
      </c>
      <c r="D8435" t="s">
        <v>5</v>
      </c>
      <c r="E8435" t="s">
        <v>6</v>
      </c>
      <c r="F8435" t="s">
        <v>251</v>
      </c>
      <c r="G8435">
        <v>1</v>
      </c>
      <c r="H8435" s="2">
        <f>Tabelle13[[#This Row],[commits]]/Tabelle13[[#Totals],[commits]]</f>
        <v>4.6477904404246225E-6</v>
      </c>
      <c r="I8435" s="5">
        <f>Tabelle13[[#This Row],[%]]+I8434</f>
        <v>0.99715555225035246</v>
      </c>
      <c r="J8435" s="4">
        <f t="shared" si="295"/>
        <v>1.105583195135434E-4</v>
      </c>
      <c r="K8435" s="5">
        <f t="shared" si="296"/>
        <v>0.93233830845783539</v>
      </c>
    </row>
    <row r="8436" spans="1:11" x14ac:dyDescent="0.25">
      <c r="A8436" t="s">
        <v>16462</v>
      </c>
      <c r="C8436" t="s">
        <v>16463</v>
      </c>
      <c r="D8436" t="s">
        <v>5</v>
      </c>
      <c r="E8436" t="s">
        <v>6</v>
      </c>
      <c r="F8436" t="s">
        <v>251</v>
      </c>
      <c r="G8436">
        <v>1</v>
      </c>
      <c r="H8436" s="2">
        <f>Tabelle13[[#This Row],[commits]]/Tabelle13[[#Totals],[commits]]</f>
        <v>4.6477904404246225E-6</v>
      </c>
      <c r="I8436" s="5">
        <f>Tabelle13[[#This Row],[%]]+I8435</f>
        <v>0.99716020004079287</v>
      </c>
      <c r="J8436" s="4">
        <f t="shared" si="295"/>
        <v>1.105583195135434E-4</v>
      </c>
      <c r="K8436" s="5">
        <f t="shared" si="296"/>
        <v>0.93244886677734895</v>
      </c>
    </row>
    <row r="8437" spans="1:11" x14ac:dyDescent="0.25">
      <c r="A8437" t="s">
        <v>16464</v>
      </c>
      <c r="C8437" t="s">
        <v>16465</v>
      </c>
      <c r="D8437" t="s">
        <v>5</v>
      </c>
      <c r="E8437" t="s">
        <v>6</v>
      </c>
      <c r="F8437" t="s">
        <v>251</v>
      </c>
      <c r="G8437">
        <v>1</v>
      </c>
      <c r="H8437" s="2">
        <f>Tabelle13[[#This Row],[commits]]/Tabelle13[[#Totals],[commits]]</f>
        <v>4.6477904404246225E-6</v>
      </c>
      <c r="I8437" s="5">
        <f>Tabelle13[[#This Row],[%]]+I8436</f>
        <v>0.99716484783123327</v>
      </c>
      <c r="J8437" s="4">
        <f t="shared" si="295"/>
        <v>1.105583195135434E-4</v>
      </c>
      <c r="K8437" s="5">
        <f t="shared" si="296"/>
        <v>0.93255942509686252</v>
      </c>
    </row>
    <row r="8438" spans="1:11" x14ac:dyDescent="0.25">
      <c r="A8438" t="s">
        <v>16466</v>
      </c>
      <c r="C8438" t="s">
        <v>16467</v>
      </c>
      <c r="D8438" t="s">
        <v>5</v>
      </c>
      <c r="E8438" t="s">
        <v>6</v>
      </c>
      <c r="F8438" t="s">
        <v>251</v>
      </c>
      <c r="G8438">
        <v>1</v>
      </c>
      <c r="H8438" s="2">
        <f>Tabelle13[[#This Row],[commits]]/Tabelle13[[#Totals],[commits]]</f>
        <v>4.6477904404246225E-6</v>
      </c>
      <c r="I8438" s="5">
        <f>Tabelle13[[#This Row],[%]]+I8437</f>
        <v>0.99716949562167367</v>
      </c>
      <c r="J8438" s="4">
        <f t="shared" si="295"/>
        <v>1.105583195135434E-4</v>
      </c>
      <c r="K8438" s="5">
        <f t="shared" si="296"/>
        <v>0.93266998341637608</v>
      </c>
    </row>
    <row r="8439" spans="1:11" x14ac:dyDescent="0.25">
      <c r="A8439" t="s">
        <v>16468</v>
      </c>
      <c r="C8439" t="s">
        <v>16469</v>
      </c>
      <c r="D8439" t="s">
        <v>5</v>
      </c>
      <c r="E8439" t="s">
        <v>6</v>
      </c>
      <c r="F8439" t="s">
        <v>251</v>
      </c>
      <c r="G8439">
        <v>1</v>
      </c>
      <c r="H8439" s="2">
        <f>Tabelle13[[#This Row],[commits]]/Tabelle13[[#Totals],[commits]]</f>
        <v>4.6477904404246225E-6</v>
      </c>
      <c r="I8439" s="5">
        <f>Tabelle13[[#This Row],[%]]+I8438</f>
        <v>0.99717414341211408</v>
      </c>
      <c r="J8439" s="4">
        <f t="shared" si="295"/>
        <v>1.105583195135434E-4</v>
      </c>
      <c r="K8439" s="5">
        <f t="shared" si="296"/>
        <v>0.93278054173588965</v>
      </c>
    </row>
    <row r="8440" spans="1:11" x14ac:dyDescent="0.25">
      <c r="A8440" t="s">
        <v>16470</v>
      </c>
      <c r="C8440" t="s">
        <v>16471</v>
      </c>
      <c r="D8440" t="s">
        <v>8874</v>
      </c>
      <c r="E8440" t="s">
        <v>6</v>
      </c>
      <c r="F8440" t="s">
        <v>251</v>
      </c>
      <c r="G8440">
        <v>1</v>
      </c>
      <c r="H8440" s="2">
        <f>Tabelle13[[#This Row],[commits]]/Tabelle13[[#Totals],[commits]]</f>
        <v>4.6477904404246225E-6</v>
      </c>
      <c r="I8440" s="5">
        <f>Tabelle13[[#This Row],[%]]+I8439</f>
        <v>0.99717879120255448</v>
      </c>
      <c r="J8440" s="4">
        <f t="shared" si="295"/>
        <v>1.105583195135434E-4</v>
      </c>
      <c r="K8440" s="5">
        <f t="shared" si="296"/>
        <v>0.93289110005540321</v>
      </c>
    </row>
    <row r="8441" spans="1:11" x14ac:dyDescent="0.25">
      <c r="A8441" t="s">
        <v>16472</v>
      </c>
      <c r="C8441" t="s">
        <v>16473</v>
      </c>
      <c r="D8441" t="s">
        <v>5</v>
      </c>
      <c r="E8441" t="s">
        <v>6</v>
      </c>
      <c r="F8441" t="s">
        <v>251</v>
      </c>
      <c r="G8441">
        <v>1</v>
      </c>
      <c r="H8441" s="2">
        <f>Tabelle13[[#This Row],[commits]]/Tabelle13[[#Totals],[commits]]</f>
        <v>4.6477904404246225E-6</v>
      </c>
      <c r="I8441" s="5">
        <f>Tabelle13[[#This Row],[%]]+I8440</f>
        <v>0.99718343899299489</v>
      </c>
      <c r="J8441" s="4">
        <f t="shared" si="295"/>
        <v>1.105583195135434E-4</v>
      </c>
      <c r="K8441" s="5">
        <f t="shared" si="296"/>
        <v>0.93300165837491678</v>
      </c>
    </row>
    <row r="8442" spans="1:11" x14ac:dyDescent="0.25">
      <c r="A8442" t="s">
        <v>16474</v>
      </c>
      <c r="C8442" t="s">
        <v>16475</v>
      </c>
      <c r="D8442" t="s">
        <v>5</v>
      </c>
      <c r="E8442" t="s">
        <v>6</v>
      </c>
      <c r="F8442" t="s">
        <v>251</v>
      </c>
      <c r="G8442">
        <v>1</v>
      </c>
      <c r="H8442" s="2">
        <f>Tabelle13[[#This Row],[commits]]/Tabelle13[[#Totals],[commits]]</f>
        <v>4.6477904404246225E-6</v>
      </c>
      <c r="I8442" s="5">
        <f>Tabelle13[[#This Row],[%]]+I8441</f>
        <v>0.99718808678343529</v>
      </c>
      <c r="J8442" s="4">
        <f t="shared" si="295"/>
        <v>1.105583195135434E-4</v>
      </c>
      <c r="K8442" s="5">
        <f t="shared" si="296"/>
        <v>0.93311221669443034</v>
      </c>
    </row>
    <row r="8443" spans="1:11" x14ac:dyDescent="0.25">
      <c r="A8443" t="s">
        <v>16476</v>
      </c>
      <c r="C8443" t="s">
        <v>16477</v>
      </c>
      <c r="D8443" t="s">
        <v>5</v>
      </c>
      <c r="E8443" t="s">
        <v>6</v>
      </c>
      <c r="F8443" t="s">
        <v>251</v>
      </c>
      <c r="G8443">
        <v>1</v>
      </c>
      <c r="H8443" s="2">
        <f>Tabelle13[[#This Row],[commits]]/Tabelle13[[#Totals],[commits]]</f>
        <v>4.6477904404246225E-6</v>
      </c>
      <c r="I8443" s="5">
        <f>Tabelle13[[#This Row],[%]]+I8442</f>
        <v>0.99719273457387569</v>
      </c>
      <c r="J8443" s="4">
        <f t="shared" si="295"/>
        <v>1.105583195135434E-4</v>
      </c>
      <c r="K8443" s="5">
        <f t="shared" si="296"/>
        <v>0.93322277501394391</v>
      </c>
    </row>
    <row r="8444" spans="1:11" x14ac:dyDescent="0.25">
      <c r="A8444" t="s">
        <v>16478</v>
      </c>
      <c r="C8444" t="s">
        <v>16479</v>
      </c>
      <c r="D8444" t="s">
        <v>5</v>
      </c>
      <c r="E8444" t="s">
        <v>6</v>
      </c>
      <c r="F8444" t="s">
        <v>251</v>
      </c>
      <c r="G8444">
        <v>1</v>
      </c>
      <c r="H8444" s="2">
        <f>Tabelle13[[#This Row],[commits]]/Tabelle13[[#Totals],[commits]]</f>
        <v>4.6477904404246225E-6</v>
      </c>
      <c r="I8444" s="5">
        <f>Tabelle13[[#This Row],[%]]+I8443</f>
        <v>0.9971973823643161</v>
      </c>
      <c r="J8444" s="4">
        <f t="shared" si="295"/>
        <v>1.105583195135434E-4</v>
      </c>
      <c r="K8444" s="5">
        <f t="shared" si="296"/>
        <v>0.93333333333345747</v>
      </c>
    </row>
    <row r="8445" spans="1:11" x14ac:dyDescent="0.25">
      <c r="A8445" t="s">
        <v>16480</v>
      </c>
      <c r="C8445" t="s">
        <v>16481</v>
      </c>
      <c r="D8445" t="s">
        <v>5</v>
      </c>
      <c r="E8445" t="s">
        <v>6</v>
      </c>
      <c r="F8445" t="s">
        <v>251</v>
      </c>
      <c r="G8445">
        <v>1</v>
      </c>
      <c r="H8445" s="2">
        <f>Tabelle13[[#This Row],[commits]]/Tabelle13[[#Totals],[commits]]</f>
        <v>4.6477904404246225E-6</v>
      </c>
      <c r="I8445" s="5">
        <f>Tabelle13[[#This Row],[%]]+I8444</f>
        <v>0.9972020301547565</v>
      </c>
      <c r="J8445" s="4">
        <f t="shared" si="295"/>
        <v>1.105583195135434E-4</v>
      </c>
      <c r="K8445" s="5">
        <f t="shared" si="296"/>
        <v>0.93344389165297104</v>
      </c>
    </row>
    <row r="8446" spans="1:11" x14ac:dyDescent="0.25">
      <c r="A8446" t="s">
        <v>16482</v>
      </c>
      <c r="C8446" t="s">
        <v>16483</v>
      </c>
      <c r="D8446" t="s">
        <v>309</v>
      </c>
      <c r="E8446" t="s">
        <v>6</v>
      </c>
      <c r="F8446" t="s">
        <v>251</v>
      </c>
      <c r="G8446">
        <v>1</v>
      </c>
      <c r="H8446" s="2">
        <f>Tabelle13[[#This Row],[commits]]/Tabelle13[[#Totals],[commits]]</f>
        <v>4.6477904404246225E-6</v>
      </c>
      <c r="I8446" s="5">
        <f>Tabelle13[[#This Row],[%]]+I8445</f>
        <v>0.99720667794519691</v>
      </c>
      <c r="J8446" s="4">
        <f t="shared" si="295"/>
        <v>1.105583195135434E-4</v>
      </c>
      <c r="K8446" s="5">
        <f t="shared" si="296"/>
        <v>0.9335544499724846</v>
      </c>
    </row>
    <row r="8447" spans="1:11" x14ac:dyDescent="0.25">
      <c r="A8447" t="s">
        <v>16484</v>
      </c>
      <c r="C8447" t="s">
        <v>16485</v>
      </c>
      <c r="D8447" t="s">
        <v>5</v>
      </c>
      <c r="E8447" t="s">
        <v>6</v>
      </c>
      <c r="F8447" t="s">
        <v>251</v>
      </c>
      <c r="G8447">
        <v>1</v>
      </c>
      <c r="H8447" s="2">
        <f>Tabelle13[[#This Row],[commits]]/Tabelle13[[#Totals],[commits]]</f>
        <v>4.6477904404246225E-6</v>
      </c>
      <c r="I8447" s="5">
        <f>Tabelle13[[#This Row],[%]]+I8446</f>
        <v>0.99721132573563731</v>
      </c>
      <c r="J8447" s="4">
        <f t="shared" si="295"/>
        <v>1.105583195135434E-4</v>
      </c>
      <c r="K8447" s="5">
        <f t="shared" si="296"/>
        <v>0.93366500829199817</v>
      </c>
    </row>
    <row r="8448" spans="1:11" x14ac:dyDescent="0.25">
      <c r="A8448" t="s">
        <v>16486</v>
      </c>
      <c r="C8448" t="s">
        <v>16487</v>
      </c>
      <c r="D8448" t="s">
        <v>5</v>
      </c>
      <c r="E8448" t="s">
        <v>6</v>
      </c>
      <c r="F8448" t="s">
        <v>251</v>
      </c>
      <c r="G8448">
        <v>1</v>
      </c>
      <c r="H8448" s="2">
        <f>Tabelle13[[#This Row],[commits]]/Tabelle13[[#Totals],[commits]]</f>
        <v>4.6477904404246225E-6</v>
      </c>
      <c r="I8448" s="5">
        <f>Tabelle13[[#This Row],[%]]+I8447</f>
        <v>0.99721597352607771</v>
      </c>
      <c r="J8448" s="4">
        <f t="shared" si="295"/>
        <v>1.105583195135434E-4</v>
      </c>
      <c r="K8448" s="5">
        <f t="shared" si="296"/>
        <v>0.93377556661151173</v>
      </c>
    </row>
    <row r="8449" spans="1:11" x14ac:dyDescent="0.25">
      <c r="A8449" t="s">
        <v>16488</v>
      </c>
      <c r="C8449" t="s">
        <v>16489</v>
      </c>
      <c r="D8449" t="s">
        <v>5</v>
      </c>
      <c r="E8449" t="s">
        <v>6</v>
      </c>
      <c r="F8449" t="s">
        <v>251</v>
      </c>
      <c r="G8449">
        <v>1</v>
      </c>
      <c r="H8449" s="2">
        <f>Tabelle13[[#This Row],[commits]]/Tabelle13[[#Totals],[commits]]</f>
        <v>4.6477904404246225E-6</v>
      </c>
      <c r="I8449" s="5">
        <f>Tabelle13[[#This Row],[%]]+I8448</f>
        <v>0.99722062131651812</v>
      </c>
      <c r="J8449" s="4">
        <f t="shared" si="295"/>
        <v>1.105583195135434E-4</v>
      </c>
      <c r="K8449" s="5">
        <f t="shared" si="296"/>
        <v>0.9338861249310253</v>
      </c>
    </row>
    <row r="8450" spans="1:11" x14ac:dyDescent="0.25">
      <c r="A8450" t="s">
        <v>16490</v>
      </c>
      <c r="C8450" t="s">
        <v>16491</v>
      </c>
      <c r="D8450" t="s">
        <v>5</v>
      </c>
      <c r="E8450" t="s">
        <v>6</v>
      </c>
      <c r="F8450" t="s">
        <v>251</v>
      </c>
      <c r="G8450">
        <v>1</v>
      </c>
      <c r="H8450" s="2">
        <f>Tabelle13[[#This Row],[commits]]/Tabelle13[[#Totals],[commits]]</f>
        <v>4.6477904404246225E-6</v>
      </c>
      <c r="I8450" s="5">
        <f>Tabelle13[[#This Row],[%]]+I8449</f>
        <v>0.99722526910695852</v>
      </c>
      <c r="J8450" s="4">
        <f t="shared" si="295"/>
        <v>1.105583195135434E-4</v>
      </c>
      <c r="K8450" s="5">
        <f t="shared" si="296"/>
        <v>0.93399668325053886</v>
      </c>
    </row>
    <row r="8451" spans="1:11" x14ac:dyDescent="0.25">
      <c r="A8451" t="s">
        <v>16492</v>
      </c>
      <c r="C8451" t="s">
        <v>16493</v>
      </c>
      <c r="D8451" t="s">
        <v>5</v>
      </c>
      <c r="E8451" t="s">
        <v>6</v>
      </c>
      <c r="F8451" t="s">
        <v>251</v>
      </c>
      <c r="G8451">
        <v>1</v>
      </c>
      <c r="H8451" s="2">
        <f>Tabelle13[[#This Row],[commits]]/Tabelle13[[#Totals],[commits]]</f>
        <v>4.6477904404246225E-6</v>
      </c>
      <c r="I8451" s="5">
        <f>Tabelle13[[#This Row],[%]]+I8450</f>
        <v>0.99722991689739893</v>
      </c>
      <c r="J8451" s="4">
        <f t="shared" ref="J8451:J8514" si="297">1/9045</f>
        <v>1.105583195135434E-4</v>
      </c>
      <c r="K8451" s="5">
        <f t="shared" si="296"/>
        <v>0.93410724157005243</v>
      </c>
    </row>
    <row r="8452" spans="1:11" x14ac:dyDescent="0.25">
      <c r="A8452" t="s">
        <v>16494</v>
      </c>
      <c r="C8452" t="s">
        <v>16495</v>
      </c>
      <c r="D8452" t="s">
        <v>5</v>
      </c>
      <c r="E8452" t="s">
        <v>6</v>
      </c>
      <c r="F8452" t="s">
        <v>251</v>
      </c>
      <c r="G8452">
        <v>1</v>
      </c>
      <c r="H8452" s="2">
        <f>Tabelle13[[#This Row],[commits]]/Tabelle13[[#Totals],[commits]]</f>
        <v>4.6477904404246225E-6</v>
      </c>
      <c r="I8452" s="5">
        <f>Tabelle13[[#This Row],[%]]+I8451</f>
        <v>0.99723456468783933</v>
      </c>
      <c r="J8452" s="4">
        <f t="shared" si="297"/>
        <v>1.105583195135434E-4</v>
      </c>
      <c r="K8452" s="5">
        <f t="shared" si="296"/>
        <v>0.93421779988956599</v>
      </c>
    </row>
    <row r="8453" spans="1:11" x14ac:dyDescent="0.25">
      <c r="A8453" t="s">
        <v>16496</v>
      </c>
      <c r="C8453" t="s">
        <v>16497</v>
      </c>
      <c r="D8453" t="s">
        <v>5</v>
      </c>
      <c r="E8453" t="s">
        <v>6</v>
      </c>
      <c r="F8453" t="s">
        <v>251</v>
      </c>
      <c r="G8453">
        <v>1</v>
      </c>
      <c r="H8453" s="2">
        <f>Tabelle13[[#This Row],[commits]]/Tabelle13[[#Totals],[commits]]</f>
        <v>4.6477904404246225E-6</v>
      </c>
      <c r="I8453" s="5">
        <f>Tabelle13[[#This Row],[%]]+I8452</f>
        <v>0.99723921247827974</v>
      </c>
      <c r="J8453" s="4">
        <f t="shared" si="297"/>
        <v>1.105583195135434E-4</v>
      </c>
      <c r="K8453" s="5">
        <f t="shared" si="296"/>
        <v>0.93432835820907956</v>
      </c>
    </row>
    <row r="8454" spans="1:11" x14ac:dyDescent="0.25">
      <c r="A8454" t="s">
        <v>16498</v>
      </c>
      <c r="C8454" t="s">
        <v>16499</v>
      </c>
      <c r="D8454" t="s">
        <v>5</v>
      </c>
      <c r="E8454" t="s">
        <v>6</v>
      </c>
      <c r="F8454" t="s">
        <v>251</v>
      </c>
      <c r="G8454">
        <v>1</v>
      </c>
      <c r="H8454" s="2">
        <f>Tabelle13[[#This Row],[commits]]/Tabelle13[[#Totals],[commits]]</f>
        <v>4.6477904404246225E-6</v>
      </c>
      <c r="I8454" s="5">
        <f>Tabelle13[[#This Row],[%]]+I8453</f>
        <v>0.99724386026872014</v>
      </c>
      <c r="J8454" s="4">
        <f t="shared" si="297"/>
        <v>1.105583195135434E-4</v>
      </c>
      <c r="K8454" s="5">
        <f t="shared" ref="K8454:K8517" si="298">J8454+K8453</f>
        <v>0.93443891652859312</v>
      </c>
    </row>
    <row r="8455" spans="1:11" x14ac:dyDescent="0.25">
      <c r="A8455" t="s">
        <v>16500</v>
      </c>
      <c r="C8455" t="s">
        <v>16501</v>
      </c>
      <c r="D8455" t="s">
        <v>5</v>
      </c>
      <c r="E8455" t="s">
        <v>6</v>
      </c>
      <c r="F8455" t="s">
        <v>251</v>
      </c>
      <c r="G8455">
        <v>1</v>
      </c>
      <c r="H8455" s="2">
        <f>Tabelle13[[#This Row],[commits]]/Tabelle13[[#Totals],[commits]]</f>
        <v>4.6477904404246225E-6</v>
      </c>
      <c r="I8455" s="5">
        <f>Tabelle13[[#This Row],[%]]+I8454</f>
        <v>0.99724850805916054</v>
      </c>
      <c r="J8455" s="4">
        <f t="shared" si="297"/>
        <v>1.105583195135434E-4</v>
      </c>
      <c r="K8455" s="5">
        <f t="shared" si="298"/>
        <v>0.93454947484810669</v>
      </c>
    </row>
    <row r="8456" spans="1:11" x14ac:dyDescent="0.25">
      <c r="A8456" t="s">
        <v>16502</v>
      </c>
      <c r="C8456" t="s">
        <v>16503</v>
      </c>
      <c r="D8456" t="s">
        <v>5</v>
      </c>
      <c r="E8456" t="s">
        <v>6</v>
      </c>
      <c r="F8456" t="s">
        <v>251</v>
      </c>
      <c r="G8456">
        <v>1</v>
      </c>
      <c r="H8456" s="2">
        <f>Tabelle13[[#This Row],[commits]]/Tabelle13[[#Totals],[commits]]</f>
        <v>4.6477904404246225E-6</v>
      </c>
      <c r="I8456" s="5">
        <f>Tabelle13[[#This Row],[%]]+I8455</f>
        <v>0.99725315584960095</v>
      </c>
      <c r="J8456" s="4">
        <f t="shared" si="297"/>
        <v>1.105583195135434E-4</v>
      </c>
      <c r="K8456" s="5">
        <f t="shared" si="298"/>
        <v>0.93466003316762025</v>
      </c>
    </row>
    <row r="8457" spans="1:11" x14ac:dyDescent="0.25">
      <c r="A8457" t="s">
        <v>16504</v>
      </c>
      <c r="C8457" t="s">
        <v>16505</v>
      </c>
      <c r="D8457" t="s">
        <v>5</v>
      </c>
      <c r="E8457" t="s">
        <v>6</v>
      </c>
      <c r="F8457" t="s">
        <v>251</v>
      </c>
      <c r="G8457">
        <v>1</v>
      </c>
      <c r="H8457" s="2">
        <f>Tabelle13[[#This Row],[commits]]/Tabelle13[[#Totals],[commits]]</f>
        <v>4.6477904404246225E-6</v>
      </c>
      <c r="I8457" s="5">
        <f>Tabelle13[[#This Row],[%]]+I8456</f>
        <v>0.99725780364004135</v>
      </c>
      <c r="J8457" s="4">
        <f t="shared" si="297"/>
        <v>1.105583195135434E-4</v>
      </c>
      <c r="K8457" s="5">
        <f t="shared" si="298"/>
        <v>0.93477059148713382</v>
      </c>
    </row>
    <row r="8458" spans="1:11" x14ac:dyDescent="0.25">
      <c r="A8458" t="s">
        <v>16506</v>
      </c>
      <c r="C8458" t="s">
        <v>16507</v>
      </c>
      <c r="D8458" t="s">
        <v>5</v>
      </c>
      <c r="E8458" t="s">
        <v>6</v>
      </c>
      <c r="F8458" t="s">
        <v>251</v>
      </c>
      <c r="G8458">
        <v>1</v>
      </c>
      <c r="H8458" s="2">
        <f>Tabelle13[[#This Row],[commits]]/Tabelle13[[#Totals],[commits]]</f>
        <v>4.6477904404246225E-6</v>
      </c>
      <c r="I8458" s="5">
        <f>Tabelle13[[#This Row],[%]]+I8457</f>
        <v>0.99726245143048176</v>
      </c>
      <c r="J8458" s="4">
        <f t="shared" si="297"/>
        <v>1.105583195135434E-4</v>
      </c>
      <c r="K8458" s="5">
        <f t="shared" si="298"/>
        <v>0.93488114980664738</v>
      </c>
    </row>
    <row r="8459" spans="1:11" x14ac:dyDescent="0.25">
      <c r="A8459" t="s">
        <v>16508</v>
      </c>
      <c r="C8459" t="s">
        <v>16509</v>
      </c>
      <c r="D8459" t="s">
        <v>5</v>
      </c>
      <c r="E8459" t="s">
        <v>6</v>
      </c>
      <c r="F8459" t="s">
        <v>251</v>
      </c>
      <c r="G8459">
        <v>1</v>
      </c>
      <c r="H8459" s="2">
        <f>Tabelle13[[#This Row],[commits]]/Tabelle13[[#Totals],[commits]]</f>
        <v>4.6477904404246225E-6</v>
      </c>
      <c r="I8459" s="5">
        <f>Tabelle13[[#This Row],[%]]+I8458</f>
        <v>0.99726709922092216</v>
      </c>
      <c r="J8459" s="4">
        <f t="shared" si="297"/>
        <v>1.105583195135434E-4</v>
      </c>
      <c r="K8459" s="5">
        <f t="shared" si="298"/>
        <v>0.93499170812616095</v>
      </c>
    </row>
    <row r="8460" spans="1:11" x14ac:dyDescent="0.25">
      <c r="A8460" t="s">
        <v>16510</v>
      </c>
      <c r="C8460" t="s">
        <v>16511</v>
      </c>
      <c r="D8460" t="s">
        <v>5</v>
      </c>
      <c r="E8460" t="s">
        <v>6</v>
      </c>
      <c r="F8460" t="s">
        <v>251</v>
      </c>
      <c r="G8460">
        <v>1</v>
      </c>
      <c r="H8460" s="2">
        <f>Tabelle13[[#This Row],[commits]]/Tabelle13[[#Totals],[commits]]</f>
        <v>4.6477904404246225E-6</v>
      </c>
      <c r="I8460" s="5">
        <f>Tabelle13[[#This Row],[%]]+I8459</f>
        <v>0.99727174701136256</v>
      </c>
      <c r="J8460" s="4">
        <f t="shared" si="297"/>
        <v>1.105583195135434E-4</v>
      </c>
      <c r="K8460" s="5">
        <f t="shared" si="298"/>
        <v>0.93510226644567451</v>
      </c>
    </row>
    <row r="8461" spans="1:11" x14ac:dyDescent="0.25">
      <c r="A8461" t="s">
        <v>16512</v>
      </c>
      <c r="C8461" t="s">
        <v>16513</v>
      </c>
      <c r="D8461" t="s">
        <v>5</v>
      </c>
      <c r="E8461" t="s">
        <v>6</v>
      </c>
      <c r="F8461" t="s">
        <v>251</v>
      </c>
      <c r="G8461">
        <v>1</v>
      </c>
      <c r="H8461" s="2">
        <f>Tabelle13[[#This Row],[commits]]/Tabelle13[[#Totals],[commits]]</f>
        <v>4.6477904404246225E-6</v>
      </c>
      <c r="I8461" s="5">
        <f>Tabelle13[[#This Row],[%]]+I8460</f>
        <v>0.99727639480180297</v>
      </c>
      <c r="J8461" s="4">
        <f t="shared" si="297"/>
        <v>1.105583195135434E-4</v>
      </c>
      <c r="K8461" s="5">
        <f t="shared" si="298"/>
        <v>0.93521282476518808</v>
      </c>
    </row>
    <row r="8462" spans="1:11" x14ac:dyDescent="0.25">
      <c r="A8462" t="s">
        <v>16514</v>
      </c>
      <c r="C8462" t="s">
        <v>16515</v>
      </c>
      <c r="D8462" t="s">
        <v>5</v>
      </c>
      <c r="E8462" t="s">
        <v>6</v>
      </c>
      <c r="F8462" t="s">
        <v>251</v>
      </c>
      <c r="G8462">
        <v>1</v>
      </c>
      <c r="H8462" s="2">
        <f>Tabelle13[[#This Row],[commits]]/Tabelle13[[#Totals],[commits]]</f>
        <v>4.6477904404246225E-6</v>
      </c>
      <c r="I8462" s="5">
        <f>Tabelle13[[#This Row],[%]]+I8461</f>
        <v>0.99728104259224337</v>
      </c>
      <c r="J8462" s="4">
        <f t="shared" si="297"/>
        <v>1.105583195135434E-4</v>
      </c>
      <c r="K8462" s="5">
        <f t="shared" si="298"/>
        <v>0.93532338308470164</v>
      </c>
    </row>
    <row r="8463" spans="1:11" x14ac:dyDescent="0.25">
      <c r="A8463" t="s">
        <v>16516</v>
      </c>
      <c r="C8463" t="s">
        <v>16517</v>
      </c>
      <c r="D8463" t="s">
        <v>5</v>
      </c>
      <c r="E8463" t="s">
        <v>6</v>
      </c>
      <c r="F8463" t="s">
        <v>251</v>
      </c>
      <c r="G8463">
        <v>1</v>
      </c>
      <c r="H8463" s="2">
        <f>Tabelle13[[#This Row],[commits]]/Tabelle13[[#Totals],[commits]]</f>
        <v>4.6477904404246225E-6</v>
      </c>
      <c r="I8463" s="5">
        <f>Tabelle13[[#This Row],[%]]+I8462</f>
        <v>0.99728569038268378</v>
      </c>
      <c r="J8463" s="4">
        <f t="shared" si="297"/>
        <v>1.105583195135434E-4</v>
      </c>
      <c r="K8463" s="5">
        <f t="shared" si="298"/>
        <v>0.93543394140421521</v>
      </c>
    </row>
    <row r="8464" spans="1:11" x14ac:dyDescent="0.25">
      <c r="A8464" t="s">
        <v>16518</v>
      </c>
      <c r="C8464" t="s">
        <v>16519</v>
      </c>
      <c r="D8464" t="s">
        <v>5</v>
      </c>
      <c r="E8464" t="s">
        <v>6</v>
      </c>
      <c r="F8464" t="s">
        <v>251</v>
      </c>
      <c r="G8464">
        <v>1</v>
      </c>
      <c r="H8464" s="2">
        <f>Tabelle13[[#This Row],[commits]]/Tabelle13[[#Totals],[commits]]</f>
        <v>4.6477904404246225E-6</v>
      </c>
      <c r="I8464" s="5">
        <f>Tabelle13[[#This Row],[%]]+I8463</f>
        <v>0.99729033817312418</v>
      </c>
      <c r="J8464" s="4">
        <f t="shared" si="297"/>
        <v>1.105583195135434E-4</v>
      </c>
      <c r="K8464" s="5">
        <f t="shared" si="298"/>
        <v>0.93554449972372877</v>
      </c>
    </row>
    <row r="8465" spans="1:11" x14ac:dyDescent="0.25">
      <c r="A8465" t="s">
        <v>16520</v>
      </c>
      <c r="C8465" t="s">
        <v>16521</v>
      </c>
      <c r="D8465" t="s">
        <v>5</v>
      </c>
      <c r="E8465" t="s">
        <v>6</v>
      </c>
      <c r="F8465" t="s">
        <v>251</v>
      </c>
      <c r="G8465">
        <v>1</v>
      </c>
      <c r="H8465" s="2">
        <f>Tabelle13[[#This Row],[commits]]/Tabelle13[[#Totals],[commits]]</f>
        <v>4.6477904404246225E-6</v>
      </c>
      <c r="I8465" s="5">
        <f>Tabelle13[[#This Row],[%]]+I8464</f>
        <v>0.99729498596356458</v>
      </c>
      <c r="J8465" s="4">
        <f t="shared" si="297"/>
        <v>1.105583195135434E-4</v>
      </c>
      <c r="K8465" s="5">
        <f t="shared" si="298"/>
        <v>0.93565505804324234</v>
      </c>
    </row>
    <row r="8466" spans="1:11" x14ac:dyDescent="0.25">
      <c r="A8466" t="s">
        <v>16522</v>
      </c>
      <c r="C8466" t="s">
        <v>16523</v>
      </c>
      <c r="D8466" t="s">
        <v>5</v>
      </c>
      <c r="E8466" t="s">
        <v>6</v>
      </c>
      <c r="F8466" t="s">
        <v>251</v>
      </c>
      <c r="G8466">
        <v>1</v>
      </c>
      <c r="H8466" s="2">
        <f>Tabelle13[[#This Row],[commits]]/Tabelle13[[#Totals],[commits]]</f>
        <v>4.6477904404246225E-6</v>
      </c>
      <c r="I8466" s="5">
        <f>Tabelle13[[#This Row],[%]]+I8465</f>
        <v>0.99729963375400499</v>
      </c>
      <c r="J8466" s="4">
        <f t="shared" si="297"/>
        <v>1.105583195135434E-4</v>
      </c>
      <c r="K8466" s="5">
        <f t="shared" si="298"/>
        <v>0.9357656163627559</v>
      </c>
    </row>
    <row r="8467" spans="1:11" x14ac:dyDescent="0.25">
      <c r="A8467" t="s">
        <v>16524</v>
      </c>
      <c r="C8467" t="s">
        <v>16525</v>
      </c>
      <c r="D8467" t="s">
        <v>5</v>
      </c>
      <c r="E8467" t="s">
        <v>6</v>
      </c>
      <c r="F8467" t="s">
        <v>251</v>
      </c>
      <c r="G8467">
        <v>1</v>
      </c>
      <c r="H8467" s="2">
        <f>Tabelle13[[#This Row],[commits]]/Tabelle13[[#Totals],[commits]]</f>
        <v>4.6477904404246225E-6</v>
      </c>
      <c r="I8467" s="5">
        <f>Tabelle13[[#This Row],[%]]+I8466</f>
        <v>0.99730428154444539</v>
      </c>
      <c r="J8467" s="4">
        <f t="shared" si="297"/>
        <v>1.105583195135434E-4</v>
      </c>
      <c r="K8467" s="5">
        <f t="shared" si="298"/>
        <v>0.93587617468226947</v>
      </c>
    </row>
    <row r="8468" spans="1:11" x14ac:dyDescent="0.25">
      <c r="A8468" t="s">
        <v>16526</v>
      </c>
      <c r="C8468" t="s">
        <v>16527</v>
      </c>
      <c r="D8468" t="s">
        <v>5</v>
      </c>
      <c r="E8468" t="s">
        <v>6</v>
      </c>
      <c r="F8468" t="s">
        <v>251</v>
      </c>
      <c r="G8468">
        <v>1</v>
      </c>
      <c r="H8468" s="2">
        <f>Tabelle13[[#This Row],[commits]]/Tabelle13[[#Totals],[commits]]</f>
        <v>4.6477904404246225E-6</v>
      </c>
      <c r="I8468" s="5">
        <f>Tabelle13[[#This Row],[%]]+I8467</f>
        <v>0.9973089293348858</v>
      </c>
      <c r="J8468" s="4">
        <f t="shared" si="297"/>
        <v>1.105583195135434E-4</v>
      </c>
      <c r="K8468" s="5">
        <f t="shared" si="298"/>
        <v>0.93598673300178303</v>
      </c>
    </row>
    <row r="8469" spans="1:11" x14ac:dyDescent="0.25">
      <c r="A8469" t="s">
        <v>16528</v>
      </c>
      <c r="C8469" t="s">
        <v>16529</v>
      </c>
      <c r="D8469" t="s">
        <v>16530</v>
      </c>
      <c r="E8469" t="s">
        <v>6</v>
      </c>
      <c r="F8469" t="s">
        <v>251</v>
      </c>
      <c r="G8469">
        <v>1</v>
      </c>
      <c r="H8469" s="2">
        <f>Tabelle13[[#This Row],[commits]]/Tabelle13[[#Totals],[commits]]</f>
        <v>4.6477904404246225E-6</v>
      </c>
      <c r="I8469" s="5">
        <f>Tabelle13[[#This Row],[%]]+I8468</f>
        <v>0.9973135771253262</v>
      </c>
      <c r="J8469" s="4">
        <f t="shared" si="297"/>
        <v>1.105583195135434E-4</v>
      </c>
      <c r="K8469" s="5">
        <f t="shared" si="298"/>
        <v>0.9360972913212966</v>
      </c>
    </row>
    <row r="8470" spans="1:11" x14ac:dyDescent="0.25">
      <c r="A8470" t="s">
        <v>16531</v>
      </c>
      <c r="C8470" t="s">
        <v>16532</v>
      </c>
      <c r="D8470" t="s">
        <v>5</v>
      </c>
      <c r="E8470" t="s">
        <v>6</v>
      </c>
      <c r="F8470" t="s">
        <v>251</v>
      </c>
      <c r="G8470">
        <v>1</v>
      </c>
      <c r="H8470" s="2">
        <f>Tabelle13[[#This Row],[commits]]/Tabelle13[[#Totals],[commits]]</f>
        <v>4.6477904404246225E-6</v>
      </c>
      <c r="I8470" s="5">
        <f>Tabelle13[[#This Row],[%]]+I8469</f>
        <v>0.9973182249157666</v>
      </c>
      <c r="J8470" s="4">
        <f t="shared" si="297"/>
        <v>1.105583195135434E-4</v>
      </c>
      <c r="K8470" s="5">
        <f t="shared" si="298"/>
        <v>0.93620784964081016</v>
      </c>
    </row>
    <row r="8471" spans="1:11" x14ac:dyDescent="0.25">
      <c r="A8471" t="s">
        <v>16533</v>
      </c>
      <c r="C8471" t="s">
        <v>16534</v>
      </c>
      <c r="D8471" t="s">
        <v>5</v>
      </c>
      <c r="E8471" t="s">
        <v>6</v>
      </c>
      <c r="F8471" t="s">
        <v>251</v>
      </c>
      <c r="G8471">
        <v>1</v>
      </c>
      <c r="H8471" s="2">
        <f>Tabelle13[[#This Row],[commits]]/Tabelle13[[#Totals],[commits]]</f>
        <v>4.6477904404246225E-6</v>
      </c>
      <c r="I8471" s="5">
        <f>Tabelle13[[#This Row],[%]]+I8470</f>
        <v>0.99732287270620701</v>
      </c>
      <c r="J8471" s="4">
        <f t="shared" si="297"/>
        <v>1.105583195135434E-4</v>
      </c>
      <c r="K8471" s="5">
        <f t="shared" si="298"/>
        <v>0.93631840796032373</v>
      </c>
    </row>
    <row r="8472" spans="1:11" x14ac:dyDescent="0.25">
      <c r="A8472" t="s">
        <v>16535</v>
      </c>
      <c r="C8472" t="s">
        <v>16536</v>
      </c>
      <c r="D8472" t="s">
        <v>5</v>
      </c>
      <c r="E8472" t="s">
        <v>6</v>
      </c>
      <c r="F8472" t="s">
        <v>251</v>
      </c>
      <c r="G8472">
        <v>1</v>
      </c>
      <c r="H8472" s="2">
        <f>Tabelle13[[#This Row],[commits]]/Tabelle13[[#Totals],[commits]]</f>
        <v>4.6477904404246225E-6</v>
      </c>
      <c r="I8472" s="5">
        <f>Tabelle13[[#This Row],[%]]+I8471</f>
        <v>0.99732752049664741</v>
      </c>
      <c r="J8472" s="4">
        <f t="shared" si="297"/>
        <v>1.105583195135434E-4</v>
      </c>
      <c r="K8472" s="5">
        <f t="shared" si="298"/>
        <v>0.93642896627983729</v>
      </c>
    </row>
    <row r="8473" spans="1:11" x14ac:dyDescent="0.25">
      <c r="A8473" t="s">
        <v>16537</v>
      </c>
      <c r="C8473" t="s">
        <v>16538</v>
      </c>
      <c r="D8473" t="s">
        <v>5</v>
      </c>
      <c r="E8473" t="s">
        <v>6</v>
      </c>
      <c r="F8473" t="s">
        <v>251</v>
      </c>
      <c r="G8473">
        <v>1</v>
      </c>
      <c r="H8473" s="2">
        <f>Tabelle13[[#This Row],[commits]]/Tabelle13[[#Totals],[commits]]</f>
        <v>4.6477904404246225E-6</v>
      </c>
      <c r="I8473" s="5">
        <f>Tabelle13[[#This Row],[%]]+I8472</f>
        <v>0.99733216828708782</v>
      </c>
      <c r="J8473" s="4">
        <f t="shared" si="297"/>
        <v>1.105583195135434E-4</v>
      </c>
      <c r="K8473" s="5">
        <f t="shared" si="298"/>
        <v>0.93653952459935086</v>
      </c>
    </row>
    <row r="8474" spans="1:11" x14ac:dyDescent="0.25">
      <c r="A8474" t="s">
        <v>16539</v>
      </c>
      <c r="C8474" t="s">
        <v>16540</v>
      </c>
      <c r="D8474" t="s">
        <v>5</v>
      </c>
      <c r="E8474" t="s">
        <v>6</v>
      </c>
      <c r="F8474" t="s">
        <v>251</v>
      </c>
      <c r="G8474">
        <v>1</v>
      </c>
      <c r="H8474" s="2">
        <f>Tabelle13[[#This Row],[commits]]/Tabelle13[[#Totals],[commits]]</f>
        <v>4.6477904404246225E-6</v>
      </c>
      <c r="I8474" s="5">
        <f>Tabelle13[[#This Row],[%]]+I8473</f>
        <v>0.99733681607752822</v>
      </c>
      <c r="J8474" s="4">
        <f t="shared" si="297"/>
        <v>1.105583195135434E-4</v>
      </c>
      <c r="K8474" s="5">
        <f t="shared" si="298"/>
        <v>0.93665008291886442</v>
      </c>
    </row>
    <row r="8475" spans="1:11" x14ac:dyDescent="0.25">
      <c r="A8475" t="s">
        <v>16541</v>
      </c>
      <c r="C8475" t="s">
        <v>16542</v>
      </c>
      <c r="D8475" t="s">
        <v>5</v>
      </c>
      <c r="E8475" t="s">
        <v>6</v>
      </c>
      <c r="F8475" t="s">
        <v>251</v>
      </c>
      <c r="G8475">
        <v>1</v>
      </c>
      <c r="H8475" s="2">
        <f>Tabelle13[[#This Row],[commits]]/Tabelle13[[#Totals],[commits]]</f>
        <v>4.6477904404246225E-6</v>
      </c>
      <c r="I8475" s="5">
        <f>Tabelle13[[#This Row],[%]]+I8474</f>
        <v>0.99734146386796863</v>
      </c>
      <c r="J8475" s="4">
        <f t="shared" si="297"/>
        <v>1.105583195135434E-4</v>
      </c>
      <c r="K8475" s="5">
        <f t="shared" si="298"/>
        <v>0.93676064123837799</v>
      </c>
    </row>
    <row r="8476" spans="1:11" x14ac:dyDescent="0.25">
      <c r="A8476" t="s">
        <v>16543</v>
      </c>
      <c r="C8476" t="s">
        <v>16544</v>
      </c>
      <c r="D8476" t="s">
        <v>5</v>
      </c>
      <c r="E8476" t="s">
        <v>6</v>
      </c>
      <c r="F8476" t="s">
        <v>251</v>
      </c>
      <c r="G8476">
        <v>1</v>
      </c>
      <c r="H8476" s="2">
        <f>Tabelle13[[#This Row],[commits]]/Tabelle13[[#Totals],[commits]]</f>
        <v>4.6477904404246225E-6</v>
      </c>
      <c r="I8476" s="5">
        <f>Tabelle13[[#This Row],[%]]+I8475</f>
        <v>0.99734611165840903</v>
      </c>
      <c r="J8476" s="4">
        <f t="shared" si="297"/>
        <v>1.105583195135434E-4</v>
      </c>
      <c r="K8476" s="5">
        <f t="shared" si="298"/>
        <v>0.93687119955789155</v>
      </c>
    </row>
    <row r="8477" spans="1:11" x14ac:dyDescent="0.25">
      <c r="A8477" t="s">
        <v>16545</v>
      </c>
      <c r="C8477" t="s">
        <v>16546</v>
      </c>
      <c r="D8477" t="s">
        <v>5</v>
      </c>
      <c r="E8477" t="s">
        <v>6</v>
      </c>
      <c r="F8477" t="s">
        <v>251</v>
      </c>
      <c r="G8477">
        <v>1</v>
      </c>
      <c r="H8477" s="2">
        <f>Tabelle13[[#This Row],[commits]]/Tabelle13[[#Totals],[commits]]</f>
        <v>4.6477904404246225E-6</v>
      </c>
      <c r="I8477" s="5">
        <f>Tabelle13[[#This Row],[%]]+I8476</f>
        <v>0.99735075944884943</v>
      </c>
      <c r="J8477" s="4">
        <f t="shared" si="297"/>
        <v>1.105583195135434E-4</v>
      </c>
      <c r="K8477" s="5">
        <f t="shared" si="298"/>
        <v>0.93698175787740512</v>
      </c>
    </row>
    <row r="8478" spans="1:11" x14ac:dyDescent="0.25">
      <c r="A8478" t="s">
        <v>16547</v>
      </c>
      <c r="C8478" t="s">
        <v>16548</v>
      </c>
      <c r="D8478" t="s">
        <v>5</v>
      </c>
      <c r="E8478" t="s">
        <v>6</v>
      </c>
      <c r="F8478" t="s">
        <v>251</v>
      </c>
      <c r="G8478">
        <v>1</v>
      </c>
      <c r="H8478" s="2">
        <f>Tabelle13[[#This Row],[commits]]/Tabelle13[[#Totals],[commits]]</f>
        <v>4.6477904404246225E-6</v>
      </c>
      <c r="I8478" s="5">
        <f>Tabelle13[[#This Row],[%]]+I8477</f>
        <v>0.99735540723928984</v>
      </c>
      <c r="J8478" s="4">
        <f t="shared" si="297"/>
        <v>1.105583195135434E-4</v>
      </c>
      <c r="K8478" s="5">
        <f t="shared" si="298"/>
        <v>0.93709231619691868</v>
      </c>
    </row>
    <row r="8479" spans="1:11" x14ac:dyDescent="0.25">
      <c r="A8479" t="s">
        <v>16549</v>
      </c>
      <c r="C8479" t="s">
        <v>16550</v>
      </c>
      <c r="D8479" t="s">
        <v>5</v>
      </c>
      <c r="E8479" t="s">
        <v>6</v>
      </c>
      <c r="F8479" t="s">
        <v>251</v>
      </c>
      <c r="G8479">
        <v>1</v>
      </c>
      <c r="H8479" s="2">
        <f>Tabelle13[[#This Row],[commits]]/Tabelle13[[#Totals],[commits]]</f>
        <v>4.6477904404246225E-6</v>
      </c>
      <c r="I8479" s="5">
        <f>Tabelle13[[#This Row],[%]]+I8478</f>
        <v>0.99736005502973024</v>
      </c>
      <c r="J8479" s="4">
        <f t="shared" si="297"/>
        <v>1.105583195135434E-4</v>
      </c>
      <c r="K8479" s="5">
        <f t="shared" si="298"/>
        <v>0.93720287451643225</v>
      </c>
    </row>
    <row r="8480" spans="1:11" x14ac:dyDescent="0.25">
      <c r="A8480" t="s">
        <v>16551</v>
      </c>
      <c r="C8480" t="s">
        <v>2001</v>
      </c>
      <c r="D8480" t="s">
        <v>5</v>
      </c>
      <c r="E8480" t="s">
        <v>6</v>
      </c>
      <c r="F8480" t="s">
        <v>251</v>
      </c>
      <c r="G8480">
        <v>1</v>
      </c>
      <c r="H8480" s="2">
        <f>Tabelle13[[#This Row],[commits]]/Tabelle13[[#Totals],[commits]]</f>
        <v>4.6477904404246225E-6</v>
      </c>
      <c r="I8480" s="5">
        <f>Tabelle13[[#This Row],[%]]+I8479</f>
        <v>0.99736470282017065</v>
      </c>
      <c r="J8480" s="4">
        <f t="shared" si="297"/>
        <v>1.105583195135434E-4</v>
      </c>
      <c r="K8480" s="5">
        <f t="shared" si="298"/>
        <v>0.93731343283594581</v>
      </c>
    </row>
    <row r="8481" spans="1:11" x14ac:dyDescent="0.25">
      <c r="A8481" t="s">
        <v>16552</v>
      </c>
      <c r="C8481" t="s">
        <v>16553</v>
      </c>
      <c r="D8481" t="s">
        <v>16554</v>
      </c>
      <c r="E8481" t="s">
        <v>6</v>
      </c>
      <c r="F8481" t="s">
        <v>251</v>
      </c>
      <c r="G8481">
        <v>1</v>
      </c>
      <c r="H8481" s="2">
        <f>Tabelle13[[#This Row],[commits]]/Tabelle13[[#Totals],[commits]]</f>
        <v>4.6477904404246225E-6</v>
      </c>
      <c r="I8481" s="5">
        <f>Tabelle13[[#This Row],[%]]+I8480</f>
        <v>0.99736935061061105</v>
      </c>
      <c r="J8481" s="4">
        <f t="shared" si="297"/>
        <v>1.105583195135434E-4</v>
      </c>
      <c r="K8481" s="5">
        <f t="shared" si="298"/>
        <v>0.93742399115545938</v>
      </c>
    </row>
    <row r="8482" spans="1:11" x14ac:dyDescent="0.25">
      <c r="A8482" t="s">
        <v>16555</v>
      </c>
      <c r="C8482" t="s">
        <v>16556</v>
      </c>
      <c r="D8482" t="s">
        <v>5</v>
      </c>
      <c r="E8482" t="s">
        <v>6</v>
      </c>
      <c r="F8482" t="s">
        <v>251</v>
      </c>
      <c r="G8482">
        <v>1</v>
      </c>
      <c r="H8482" s="2">
        <f>Tabelle13[[#This Row],[commits]]/Tabelle13[[#Totals],[commits]]</f>
        <v>4.6477904404246225E-6</v>
      </c>
      <c r="I8482" s="5">
        <f>Tabelle13[[#This Row],[%]]+I8481</f>
        <v>0.99737399840105145</v>
      </c>
      <c r="J8482" s="4">
        <f t="shared" si="297"/>
        <v>1.105583195135434E-4</v>
      </c>
      <c r="K8482" s="5">
        <f t="shared" si="298"/>
        <v>0.93753454947497294</v>
      </c>
    </row>
    <row r="8483" spans="1:11" x14ac:dyDescent="0.25">
      <c r="A8483" t="s">
        <v>16557</v>
      </c>
      <c r="C8483" t="s">
        <v>16558</v>
      </c>
      <c r="D8483" t="s">
        <v>5</v>
      </c>
      <c r="E8483" t="s">
        <v>6</v>
      </c>
      <c r="F8483" t="s">
        <v>251</v>
      </c>
      <c r="G8483">
        <v>1</v>
      </c>
      <c r="H8483" s="2">
        <f>Tabelle13[[#This Row],[commits]]/Tabelle13[[#Totals],[commits]]</f>
        <v>4.6477904404246225E-6</v>
      </c>
      <c r="I8483" s="5">
        <f>Tabelle13[[#This Row],[%]]+I8482</f>
        <v>0.99737864619149186</v>
      </c>
      <c r="J8483" s="4">
        <f t="shared" si="297"/>
        <v>1.105583195135434E-4</v>
      </c>
      <c r="K8483" s="5">
        <f t="shared" si="298"/>
        <v>0.93764510779448651</v>
      </c>
    </row>
    <row r="8484" spans="1:11" x14ac:dyDescent="0.25">
      <c r="A8484" t="s">
        <v>16559</v>
      </c>
      <c r="C8484" t="s">
        <v>16560</v>
      </c>
      <c r="D8484" t="s">
        <v>5</v>
      </c>
      <c r="E8484" t="s">
        <v>6</v>
      </c>
      <c r="F8484" t="s">
        <v>251</v>
      </c>
      <c r="G8484">
        <v>1</v>
      </c>
      <c r="H8484" s="2">
        <f>Tabelle13[[#This Row],[commits]]/Tabelle13[[#Totals],[commits]]</f>
        <v>4.6477904404246225E-6</v>
      </c>
      <c r="I8484" s="5">
        <f>Tabelle13[[#This Row],[%]]+I8483</f>
        <v>0.99738329398193226</v>
      </c>
      <c r="J8484" s="4">
        <f t="shared" si="297"/>
        <v>1.105583195135434E-4</v>
      </c>
      <c r="K8484" s="5">
        <f t="shared" si="298"/>
        <v>0.93775566611400007</v>
      </c>
    </row>
    <row r="8485" spans="1:11" x14ac:dyDescent="0.25">
      <c r="A8485" t="s">
        <v>16561</v>
      </c>
      <c r="C8485" t="s">
        <v>16562</v>
      </c>
      <c r="D8485" t="s">
        <v>5</v>
      </c>
      <c r="E8485" t="s">
        <v>6</v>
      </c>
      <c r="F8485" t="s">
        <v>251</v>
      </c>
      <c r="G8485">
        <v>1</v>
      </c>
      <c r="H8485" s="2">
        <f>Tabelle13[[#This Row],[commits]]/Tabelle13[[#Totals],[commits]]</f>
        <v>4.6477904404246225E-6</v>
      </c>
      <c r="I8485" s="5">
        <f>Tabelle13[[#This Row],[%]]+I8484</f>
        <v>0.99738794177237267</v>
      </c>
      <c r="J8485" s="4">
        <f t="shared" si="297"/>
        <v>1.105583195135434E-4</v>
      </c>
      <c r="K8485" s="5">
        <f t="shared" si="298"/>
        <v>0.93786622443351364</v>
      </c>
    </row>
    <row r="8486" spans="1:11" x14ac:dyDescent="0.25">
      <c r="A8486" t="s">
        <v>16563</v>
      </c>
      <c r="C8486" t="s">
        <v>16564</v>
      </c>
      <c r="D8486" t="s">
        <v>5</v>
      </c>
      <c r="E8486" t="s">
        <v>6</v>
      </c>
      <c r="F8486" t="s">
        <v>251</v>
      </c>
      <c r="G8486">
        <v>1</v>
      </c>
      <c r="H8486" s="2">
        <f>Tabelle13[[#This Row],[commits]]/Tabelle13[[#Totals],[commits]]</f>
        <v>4.6477904404246225E-6</v>
      </c>
      <c r="I8486" s="5">
        <f>Tabelle13[[#This Row],[%]]+I8485</f>
        <v>0.99739258956281307</v>
      </c>
      <c r="J8486" s="4">
        <f t="shared" si="297"/>
        <v>1.105583195135434E-4</v>
      </c>
      <c r="K8486" s="5">
        <f t="shared" si="298"/>
        <v>0.93797678275302721</v>
      </c>
    </row>
    <row r="8487" spans="1:11" x14ac:dyDescent="0.25">
      <c r="A8487" t="s">
        <v>16565</v>
      </c>
      <c r="C8487" t="s">
        <v>16566</v>
      </c>
      <c r="D8487" t="s">
        <v>5</v>
      </c>
      <c r="E8487" t="s">
        <v>6</v>
      </c>
      <c r="F8487" t="s">
        <v>251</v>
      </c>
      <c r="G8487">
        <v>1</v>
      </c>
      <c r="H8487" s="2">
        <f>Tabelle13[[#This Row],[commits]]/Tabelle13[[#Totals],[commits]]</f>
        <v>4.6477904404246225E-6</v>
      </c>
      <c r="I8487" s="5">
        <f>Tabelle13[[#This Row],[%]]+I8486</f>
        <v>0.99739723735325347</v>
      </c>
      <c r="J8487" s="4">
        <f t="shared" si="297"/>
        <v>1.105583195135434E-4</v>
      </c>
      <c r="K8487" s="5">
        <f t="shared" si="298"/>
        <v>0.93808734107254077</v>
      </c>
    </row>
    <row r="8488" spans="1:11" x14ac:dyDescent="0.25">
      <c r="A8488" t="s">
        <v>16567</v>
      </c>
      <c r="C8488" t="s">
        <v>16568</v>
      </c>
      <c r="D8488" t="s">
        <v>5</v>
      </c>
      <c r="E8488" t="s">
        <v>6</v>
      </c>
      <c r="F8488" t="s">
        <v>251</v>
      </c>
      <c r="G8488">
        <v>1</v>
      </c>
      <c r="H8488" s="2">
        <f>Tabelle13[[#This Row],[commits]]/Tabelle13[[#Totals],[commits]]</f>
        <v>4.6477904404246225E-6</v>
      </c>
      <c r="I8488" s="5">
        <f>Tabelle13[[#This Row],[%]]+I8487</f>
        <v>0.99740188514369388</v>
      </c>
      <c r="J8488" s="4">
        <f t="shared" si="297"/>
        <v>1.105583195135434E-4</v>
      </c>
      <c r="K8488" s="5">
        <f t="shared" si="298"/>
        <v>0.93819789939205434</v>
      </c>
    </row>
    <row r="8489" spans="1:11" x14ac:dyDescent="0.25">
      <c r="A8489" t="s">
        <v>16569</v>
      </c>
      <c r="C8489" t="s">
        <v>16570</v>
      </c>
      <c r="D8489" t="s">
        <v>5</v>
      </c>
      <c r="E8489" t="s">
        <v>6</v>
      </c>
      <c r="F8489" t="s">
        <v>251</v>
      </c>
      <c r="G8489">
        <v>1</v>
      </c>
      <c r="H8489" s="2">
        <f>Tabelle13[[#This Row],[commits]]/Tabelle13[[#Totals],[commits]]</f>
        <v>4.6477904404246225E-6</v>
      </c>
      <c r="I8489" s="5">
        <f>Tabelle13[[#This Row],[%]]+I8488</f>
        <v>0.99740653293413428</v>
      </c>
      <c r="J8489" s="4">
        <f t="shared" si="297"/>
        <v>1.105583195135434E-4</v>
      </c>
      <c r="K8489" s="5">
        <f t="shared" si="298"/>
        <v>0.9383084577115679</v>
      </c>
    </row>
    <row r="8490" spans="1:11" x14ac:dyDescent="0.25">
      <c r="A8490" t="s">
        <v>16571</v>
      </c>
      <c r="C8490" t="s">
        <v>16572</v>
      </c>
      <c r="D8490" t="s">
        <v>5</v>
      </c>
      <c r="E8490" t="s">
        <v>6</v>
      </c>
      <c r="F8490" t="s">
        <v>251</v>
      </c>
      <c r="G8490">
        <v>1</v>
      </c>
      <c r="H8490" s="2">
        <f>Tabelle13[[#This Row],[commits]]/Tabelle13[[#Totals],[commits]]</f>
        <v>4.6477904404246225E-6</v>
      </c>
      <c r="I8490" s="5">
        <f>Tabelle13[[#This Row],[%]]+I8489</f>
        <v>0.99741118072457469</v>
      </c>
      <c r="J8490" s="4">
        <f t="shared" si="297"/>
        <v>1.105583195135434E-4</v>
      </c>
      <c r="K8490" s="5">
        <f t="shared" si="298"/>
        <v>0.93841901603108147</v>
      </c>
    </row>
    <row r="8491" spans="1:11" x14ac:dyDescent="0.25">
      <c r="A8491" t="s">
        <v>16573</v>
      </c>
      <c r="C8491" t="s">
        <v>16574</v>
      </c>
      <c r="D8491" t="s">
        <v>5</v>
      </c>
      <c r="E8491" t="s">
        <v>6</v>
      </c>
      <c r="F8491" t="s">
        <v>251</v>
      </c>
      <c r="G8491">
        <v>1</v>
      </c>
      <c r="H8491" s="2">
        <f>Tabelle13[[#This Row],[commits]]/Tabelle13[[#Totals],[commits]]</f>
        <v>4.6477904404246225E-6</v>
      </c>
      <c r="I8491" s="5">
        <f>Tabelle13[[#This Row],[%]]+I8490</f>
        <v>0.99741582851501509</v>
      </c>
      <c r="J8491" s="4">
        <f t="shared" si="297"/>
        <v>1.105583195135434E-4</v>
      </c>
      <c r="K8491" s="5">
        <f t="shared" si="298"/>
        <v>0.93852957435059503</v>
      </c>
    </row>
    <row r="8492" spans="1:11" x14ac:dyDescent="0.25">
      <c r="A8492" t="s">
        <v>16575</v>
      </c>
      <c r="C8492" t="s">
        <v>16576</v>
      </c>
      <c r="D8492" t="s">
        <v>5</v>
      </c>
      <c r="E8492" t="s">
        <v>6</v>
      </c>
      <c r="F8492" t="s">
        <v>251</v>
      </c>
      <c r="G8492">
        <v>1</v>
      </c>
      <c r="H8492" s="2">
        <f>Tabelle13[[#This Row],[commits]]/Tabelle13[[#Totals],[commits]]</f>
        <v>4.6477904404246225E-6</v>
      </c>
      <c r="I8492" s="5">
        <f>Tabelle13[[#This Row],[%]]+I8491</f>
        <v>0.99742047630545549</v>
      </c>
      <c r="J8492" s="4">
        <f t="shared" si="297"/>
        <v>1.105583195135434E-4</v>
      </c>
      <c r="K8492" s="5">
        <f t="shared" si="298"/>
        <v>0.9386401326701086</v>
      </c>
    </row>
    <row r="8493" spans="1:11" x14ac:dyDescent="0.25">
      <c r="A8493" t="s">
        <v>16577</v>
      </c>
      <c r="C8493" t="s">
        <v>16578</v>
      </c>
      <c r="D8493" t="s">
        <v>309</v>
      </c>
      <c r="E8493" t="s">
        <v>6</v>
      </c>
      <c r="F8493" t="s">
        <v>251</v>
      </c>
      <c r="G8493">
        <v>1</v>
      </c>
      <c r="H8493" s="2">
        <f>Tabelle13[[#This Row],[commits]]/Tabelle13[[#Totals],[commits]]</f>
        <v>4.6477904404246225E-6</v>
      </c>
      <c r="I8493" s="5">
        <f>Tabelle13[[#This Row],[%]]+I8492</f>
        <v>0.9974251240958959</v>
      </c>
      <c r="J8493" s="4">
        <f t="shared" si="297"/>
        <v>1.105583195135434E-4</v>
      </c>
      <c r="K8493" s="5">
        <f t="shared" si="298"/>
        <v>0.93875069098962216</v>
      </c>
    </row>
    <row r="8494" spans="1:11" x14ac:dyDescent="0.25">
      <c r="A8494" t="s">
        <v>16579</v>
      </c>
      <c r="C8494" t="s">
        <v>362</v>
      </c>
      <c r="D8494" t="s">
        <v>5</v>
      </c>
      <c r="E8494" t="s">
        <v>6</v>
      </c>
      <c r="F8494" t="s">
        <v>251</v>
      </c>
      <c r="G8494">
        <v>1</v>
      </c>
      <c r="H8494" s="2">
        <f>Tabelle13[[#This Row],[commits]]/Tabelle13[[#Totals],[commits]]</f>
        <v>4.6477904404246225E-6</v>
      </c>
      <c r="I8494" s="5">
        <f>Tabelle13[[#This Row],[%]]+I8493</f>
        <v>0.9974297718863363</v>
      </c>
      <c r="J8494" s="4">
        <f t="shared" si="297"/>
        <v>1.105583195135434E-4</v>
      </c>
      <c r="K8494" s="5">
        <f t="shared" si="298"/>
        <v>0.93886124930913573</v>
      </c>
    </row>
    <row r="8495" spans="1:11" x14ac:dyDescent="0.25">
      <c r="A8495" t="s">
        <v>16580</v>
      </c>
      <c r="C8495" t="s">
        <v>16581</v>
      </c>
      <c r="D8495" t="s">
        <v>5</v>
      </c>
      <c r="E8495" t="s">
        <v>6</v>
      </c>
      <c r="F8495" t="s">
        <v>251</v>
      </c>
      <c r="G8495">
        <v>1</v>
      </c>
      <c r="H8495" s="2">
        <f>Tabelle13[[#This Row],[commits]]/Tabelle13[[#Totals],[commits]]</f>
        <v>4.6477904404246225E-6</v>
      </c>
      <c r="I8495" s="5">
        <f>Tabelle13[[#This Row],[%]]+I8494</f>
        <v>0.99743441967677671</v>
      </c>
      <c r="J8495" s="4">
        <f t="shared" si="297"/>
        <v>1.105583195135434E-4</v>
      </c>
      <c r="K8495" s="5">
        <f t="shared" si="298"/>
        <v>0.93897180762864929</v>
      </c>
    </row>
    <row r="8496" spans="1:11" x14ac:dyDescent="0.25">
      <c r="A8496" t="s">
        <v>16582</v>
      </c>
      <c r="C8496" t="s">
        <v>16583</v>
      </c>
      <c r="D8496" t="s">
        <v>5</v>
      </c>
      <c r="E8496" t="s">
        <v>6</v>
      </c>
      <c r="F8496" t="s">
        <v>251</v>
      </c>
      <c r="G8496">
        <v>1</v>
      </c>
      <c r="H8496" s="2">
        <f>Tabelle13[[#This Row],[commits]]/Tabelle13[[#Totals],[commits]]</f>
        <v>4.6477904404246225E-6</v>
      </c>
      <c r="I8496" s="5">
        <f>Tabelle13[[#This Row],[%]]+I8495</f>
        <v>0.99743906746721711</v>
      </c>
      <c r="J8496" s="4">
        <f t="shared" si="297"/>
        <v>1.105583195135434E-4</v>
      </c>
      <c r="K8496" s="5">
        <f t="shared" si="298"/>
        <v>0.93908236594816286</v>
      </c>
    </row>
    <row r="8497" spans="1:11" x14ac:dyDescent="0.25">
      <c r="A8497" t="s">
        <v>16584</v>
      </c>
      <c r="C8497" t="s">
        <v>1451</v>
      </c>
      <c r="D8497" t="s">
        <v>5</v>
      </c>
      <c r="E8497" t="s">
        <v>6</v>
      </c>
      <c r="F8497" t="s">
        <v>251</v>
      </c>
      <c r="G8497">
        <v>1</v>
      </c>
      <c r="H8497" s="2">
        <f>Tabelle13[[#This Row],[commits]]/Tabelle13[[#Totals],[commits]]</f>
        <v>4.6477904404246225E-6</v>
      </c>
      <c r="I8497" s="5">
        <f>Tabelle13[[#This Row],[%]]+I8496</f>
        <v>0.99744371525765751</v>
      </c>
      <c r="J8497" s="4">
        <f t="shared" si="297"/>
        <v>1.105583195135434E-4</v>
      </c>
      <c r="K8497" s="5">
        <f t="shared" si="298"/>
        <v>0.93919292426767642</v>
      </c>
    </row>
    <row r="8498" spans="1:11" x14ac:dyDescent="0.25">
      <c r="A8498" t="s">
        <v>16585</v>
      </c>
      <c r="C8498" t="s">
        <v>16586</v>
      </c>
      <c r="D8498" t="s">
        <v>5</v>
      </c>
      <c r="E8498" t="s">
        <v>6</v>
      </c>
      <c r="F8498" t="s">
        <v>251</v>
      </c>
      <c r="G8498">
        <v>1</v>
      </c>
      <c r="H8498" s="2">
        <f>Tabelle13[[#This Row],[commits]]/Tabelle13[[#Totals],[commits]]</f>
        <v>4.6477904404246225E-6</v>
      </c>
      <c r="I8498" s="5">
        <f>Tabelle13[[#This Row],[%]]+I8497</f>
        <v>0.99744836304809792</v>
      </c>
      <c r="J8498" s="4">
        <f t="shared" si="297"/>
        <v>1.105583195135434E-4</v>
      </c>
      <c r="K8498" s="5">
        <f t="shared" si="298"/>
        <v>0.93930348258718999</v>
      </c>
    </row>
    <row r="8499" spans="1:11" x14ac:dyDescent="0.25">
      <c r="A8499" t="s">
        <v>16587</v>
      </c>
      <c r="C8499" t="s">
        <v>16588</v>
      </c>
      <c r="D8499" t="s">
        <v>5</v>
      </c>
      <c r="E8499" t="s">
        <v>6</v>
      </c>
      <c r="F8499" t="s">
        <v>251</v>
      </c>
      <c r="G8499">
        <v>1</v>
      </c>
      <c r="H8499" s="2">
        <f>Tabelle13[[#This Row],[commits]]/Tabelle13[[#Totals],[commits]]</f>
        <v>4.6477904404246225E-6</v>
      </c>
      <c r="I8499" s="5">
        <f>Tabelle13[[#This Row],[%]]+I8498</f>
        <v>0.99745301083853832</v>
      </c>
      <c r="J8499" s="4">
        <f t="shared" si="297"/>
        <v>1.105583195135434E-4</v>
      </c>
      <c r="K8499" s="5">
        <f t="shared" si="298"/>
        <v>0.93941404090670355</v>
      </c>
    </row>
    <row r="8500" spans="1:11" x14ac:dyDescent="0.25">
      <c r="A8500" t="s">
        <v>16589</v>
      </c>
      <c r="C8500" t="s">
        <v>16590</v>
      </c>
      <c r="D8500" t="s">
        <v>5</v>
      </c>
      <c r="E8500" t="s">
        <v>6</v>
      </c>
      <c r="F8500" t="s">
        <v>251</v>
      </c>
      <c r="G8500">
        <v>1</v>
      </c>
      <c r="H8500" s="2">
        <f>Tabelle13[[#This Row],[commits]]/Tabelle13[[#Totals],[commits]]</f>
        <v>4.6477904404246225E-6</v>
      </c>
      <c r="I8500" s="5">
        <f>Tabelle13[[#This Row],[%]]+I8499</f>
        <v>0.99745765862897873</v>
      </c>
      <c r="J8500" s="4">
        <f t="shared" si="297"/>
        <v>1.105583195135434E-4</v>
      </c>
      <c r="K8500" s="5">
        <f t="shared" si="298"/>
        <v>0.93952459922621712</v>
      </c>
    </row>
    <row r="8501" spans="1:11" x14ac:dyDescent="0.25">
      <c r="A8501" t="s">
        <v>16591</v>
      </c>
      <c r="C8501" t="s">
        <v>16592</v>
      </c>
      <c r="D8501" t="s">
        <v>5</v>
      </c>
      <c r="E8501" t="s">
        <v>6</v>
      </c>
      <c r="F8501" t="s">
        <v>251</v>
      </c>
      <c r="G8501">
        <v>1</v>
      </c>
      <c r="H8501" s="2">
        <f>Tabelle13[[#This Row],[commits]]/Tabelle13[[#Totals],[commits]]</f>
        <v>4.6477904404246225E-6</v>
      </c>
      <c r="I8501" s="5">
        <f>Tabelle13[[#This Row],[%]]+I8500</f>
        <v>0.99746230641941913</v>
      </c>
      <c r="J8501" s="4">
        <f t="shared" si="297"/>
        <v>1.105583195135434E-4</v>
      </c>
      <c r="K8501" s="5">
        <f t="shared" si="298"/>
        <v>0.93963515754573068</v>
      </c>
    </row>
    <row r="8502" spans="1:11" x14ac:dyDescent="0.25">
      <c r="A8502" t="s">
        <v>16593</v>
      </c>
      <c r="C8502" t="s">
        <v>16594</v>
      </c>
      <c r="D8502" t="s">
        <v>16554</v>
      </c>
      <c r="E8502" t="s">
        <v>6</v>
      </c>
      <c r="F8502" t="s">
        <v>251</v>
      </c>
      <c r="G8502">
        <v>1</v>
      </c>
      <c r="H8502" s="2">
        <f>Tabelle13[[#This Row],[commits]]/Tabelle13[[#Totals],[commits]]</f>
        <v>4.6477904404246225E-6</v>
      </c>
      <c r="I8502" s="5">
        <f>Tabelle13[[#This Row],[%]]+I8501</f>
        <v>0.99746695420985954</v>
      </c>
      <c r="J8502" s="4">
        <f t="shared" si="297"/>
        <v>1.105583195135434E-4</v>
      </c>
      <c r="K8502" s="5">
        <f t="shared" si="298"/>
        <v>0.93974571586524425</v>
      </c>
    </row>
    <row r="8503" spans="1:11" x14ac:dyDescent="0.25">
      <c r="A8503" t="s">
        <v>16595</v>
      </c>
      <c r="C8503" t="s">
        <v>16596</v>
      </c>
      <c r="D8503" t="s">
        <v>5</v>
      </c>
      <c r="E8503" t="s">
        <v>6</v>
      </c>
      <c r="F8503" t="s">
        <v>251</v>
      </c>
      <c r="G8503">
        <v>1</v>
      </c>
      <c r="H8503" s="2">
        <f>Tabelle13[[#This Row],[commits]]/Tabelle13[[#Totals],[commits]]</f>
        <v>4.6477904404246225E-6</v>
      </c>
      <c r="I8503" s="5">
        <f>Tabelle13[[#This Row],[%]]+I8502</f>
        <v>0.99747160200029994</v>
      </c>
      <c r="J8503" s="4">
        <f t="shared" si="297"/>
        <v>1.105583195135434E-4</v>
      </c>
      <c r="K8503" s="5">
        <f t="shared" si="298"/>
        <v>0.93985627418475781</v>
      </c>
    </row>
    <row r="8504" spans="1:11" x14ac:dyDescent="0.25">
      <c r="A8504" t="s">
        <v>16597</v>
      </c>
      <c r="C8504" t="s">
        <v>16598</v>
      </c>
      <c r="D8504" t="s">
        <v>5</v>
      </c>
      <c r="E8504" t="s">
        <v>6</v>
      </c>
      <c r="F8504" t="s">
        <v>251</v>
      </c>
      <c r="G8504">
        <v>1</v>
      </c>
      <c r="H8504" s="2">
        <f>Tabelle13[[#This Row],[commits]]/Tabelle13[[#Totals],[commits]]</f>
        <v>4.6477904404246225E-6</v>
      </c>
      <c r="I8504" s="5">
        <f>Tabelle13[[#This Row],[%]]+I8503</f>
        <v>0.99747624979074034</v>
      </c>
      <c r="J8504" s="4">
        <f t="shared" si="297"/>
        <v>1.105583195135434E-4</v>
      </c>
      <c r="K8504" s="5">
        <f t="shared" si="298"/>
        <v>0.93996683250427138</v>
      </c>
    </row>
    <row r="8505" spans="1:11" x14ac:dyDescent="0.25">
      <c r="A8505" t="s">
        <v>16599</v>
      </c>
      <c r="C8505" t="s">
        <v>16600</v>
      </c>
      <c r="D8505" t="s">
        <v>5</v>
      </c>
      <c r="E8505" t="s">
        <v>6</v>
      </c>
      <c r="F8505" t="s">
        <v>251</v>
      </c>
      <c r="G8505">
        <v>1</v>
      </c>
      <c r="H8505" s="2">
        <f>Tabelle13[[#This Row],[commits]]/Tabelle13[[#Totals],[commits]]</f>
        <v>4.6477904404246225E-6</v>
      </c>
      <c r="I8505" s="5">
        <f>Tabelle13[[#This Row],[%]]+I8504</f>
        <v>0.99748089758118075</v>
      </c>
      <c r="J8505" s="4">
        <f t="shared" si="297"/>
        <v>1.105583195135434E-4</v>
      </c>
      <c r="K8505" s="5">
        <f t="shared" si="298"/>
        <v>0.94007739082378494</v>
      </c>
    </row>
    <row r="8506" spans="1:11" x14ac:dyDescent="0.25">
      <c r="A8506" t="s">
        <v>16601</v>
      </c>
      <c r="C8506" t="s">
        <v>16602</v>
      </c>
      <c r="D8506" t="s">
        <v>5</v>
      </c>
      <c r="E8506" t="s">
        <v>6</v>
      </c>
      <c r="F8506" t="s">
        <v>251</v>
      </c>
      <c r="G8506">
        <v>1</v>
      </c>
      <c r="H8506" s="2">
        <f>Tabelle13[[#This Row],[commits]]/Tabelle13[[#Totals],[commits]]</f>
        <v>4.6477904404246225E-6</v>
      </c>
      <c r="I8506" s="5">
        <f>Tabelle13[[#This Row],[%]]+I8505</f>
        <v>0.99748554537162115</v>
      </c>
      <c r="J8506" s="4">
        <f t="shared" si="297"/>
        <v>1.105583195135434E-4</v>
      </c>
      <c r="K8506" s="5">
        <f t="shared" si="298"/>
        <v>0.94018794914329851</v>
      </c>
    </row>
    <row r="8507" spans="1:11" x14ac:dyDescent="0.25">
      <c r="A8507" t="s">
        <v>16603</v>
      </c>
      <c r="C8507" t="s">
        <v>16604</v>
      </c>
      <c r="D8507" t="s">
        <v>5</v>
      </c>
      <c r="E8507" t="s">
        <v>6</v>
      </c>
      <c r="F8507" t="s">
        <v>251</v>
      </c>
      <c r="G8507">
        <v>1</v>
      </c>
      <c r="H8507" s="2">
        <f>Tabelle13[[#This Row],[commits]]/Tabelle13[[#Totals],[commits]]</f>
        <v>4.6477904404246225E-6</v>
      </c>
      <c r="I8507" s="5">
        <f>Tabelle13[[#This Row],[%]]+I8506</f>
        <v>0.99749019316206156</v>
      </c>
      <c r="J8507" s="4">
        <f t="shared" si="297"/>
        <v>1.105583195135434E-4</v>
      </c>
      <c r="K8507" s="5">
        <f t="shared" si="298"/>
        <v>0.94029850746281207</v>
      </c>
    </row>
    <row r="8508" spans="1:11" x14ac:dyDescent="0.25">
      <c r="A8508" t="s">
        <v>16605</v>
      </c>
      <c r="C8508" t="s">
        <v>16606</v>
      </c>
      <c r="D8508" t="s">
        <v>5</v>
      </c>
      <c r="E8508" t="s">
        <v>6</v>
      </c>
      <c r="F8508" t="s">
        <v>251</v>
      </c>
      <c r="G8508">
        <v>1</v>
      </c>
      <c r="H8508" s="2">
        <f>Tabelle13[[#This Row],[commits]]/Tabelle13[[#Totals],[commits]]</f>
        <v>4.6477904404246225E-6</v>
      </c>
      <c r="I8508" s="5">
        <f>Tabelle13[[#This Row],[%]]+I8507</f>
        <v>0.99749484095250196</v>
      </c>
      <c r="J8508" s="4">
        <f t="shared" si="297"/>
        <v>1.105583195135434E-4</v>
      </c>
      <c r="K8508" s="5">
        <f t="shared" si="298"/>
        <v>0.94040906578232564</v>
      </c>
    </row>
    <row r="8509" spans="1:11" x14ac:dyDescent="0.25">
      <c r="A8509" t="s">
        <v>16607</v>
      </c>
      <c r="C8509" t="s">
        <v>16608</v>
      </c>
      <c r="D8509" t="s">
        <v>5</v>
      </c>
      <c r="E8509" t="s">
        <v>6</v>
      </c>
      <c r="F8509" t="s">
        <v>251</v>
      </c>
      <c r="G8509">
        <v>1</v>
      </c>
      <c r="H8509" s="2">
        <f>Tabelle13[[#This Row],[commits]]/Tabelle13[[#Totals],[commits]]</f>
        <v>4.6477904404246225E-6</v>
      </c>
      <c r="I8509" s="5">
        <f>Tabelle13[[#This Row],[%]]+I8508</f>
        <v>0.99749948874294236</v>
      </c>
      <c r="J8509" s="4">
        <f t="shared" si="297"/>
        <v>1.105583195135434E-4</v>
      </c>
      <c r="K8509" s="5">
        <f t="shared" si="298"/>
        <v>0.9405196241018392</v>
      </c>
    </row>
    <row r="8510" spans="1:11" x14ac:dyDescent="0.25">
      <c r="A8510" t="s">
        <v>16609</v>
      </c>
      <c r="C8510" t="s">
        <v>16610</v>
      </c>
      <c r="D8510" t="s">
        <v>5</v>
      </c>
      <c r="E8510" t="s">
        <v>6</v>
      </c>
      <c r="F8510" t="s">
        <v>251</v>
      </c>
      <c r="G8510">
        <v>1</v>
      </c>
      <c r="H8510" s="2">
        <f>Tabelle13[[#This Row],[commits]]/Tabelle13[[#Totals],[commits]]</f>
        <v>4.6477904404246225E-6</v>
      </c>
      <c r="I8510" s="5">
        <f>Tabelle13[[#This Row],[%]]+I8509</f>
        <v>0.99750413653338277</v>
      </c>
      <c r="J8510" s="4">
        <f t="shared" si="297"/>
        <v>1.105583195135434E-4</v>
      </c>
      <c r="K8510" s="5">
        <f t="shared" si="298"/>
        <v>0.94063018242135277</v>
      </c>
    </row>
    <row r="8511" spans="1:11" x14ac:dyDescent="0.25">
      <c r="A8511" t="s">
        <v>16611</v>
      </c>
      <c r="C8511" t="s">
        <v>16612</v>
      </c>
      <c r="D8511" t="s">
        <v>5</v>
      </c>
      <c r="E8511" t="s">
        <v>6</v>
      </c>
      <c r="F8511" t="s">
        <v>251</v>
      </c>
      <c r="G8511">
        <v>1</v>
      </c>
      <c r="H8511" s="2">
        <f>Tabelle13[[#This Row],[commits]]/Tabelle13[[#Totals],[commits]]</f>
        <v>4.6477904404246225E-6</v>
      </c>
      <c r="I8511" s="5">
        <f>Tabelle13[[#This Row],[%]]+I8510</f>
        <v>0.99750878432382317</v>
      </c>
      <c r="J8511" s="4">
        <f t="shared" si="297"/>
        <v>1.105583195135434E-4</v>
      </c>
      <c r="K8511" s="5">
        <f t="shared" si="298"/>
        <v>0.94074074074086633</v>
      </c>
    </row>
    <row r="8512" spans="1:11" x14ac:dyDescent="0.25">
      <c r="A8512" t="s">
        <v>16613</v>
      </c>
      <c r="C8512" t="s">
        <v>16614</v>
      </c>
      <c r="D8512" t="s">
        <v>5</v>
      </c>
      <c r="E8512" t="s">
        <v>6</v>
      </c>
      <c r="F8512" t="s">
        <v>251</v>
      </c>
      <c r="G8512">
        <v>1</v>
      </c>
      <c r="H8512" s="2">
        <f>Tabelle13[[#This Row],[commits]]/Tabelle13[[#Totals],[commits]]</f>
        <v>4.6477904404246225E-6</v>
      </c>
      <c r="I8512" s="5">
        <f>Tabelle13[[#This Row],[%]]+I8511</f>
        <v>0.99751343211426358</v>
      </c>
      <c r="J8512" s="4">
        <f t="shared" si="297"/>
        <v>1.105583195135434E-4</v>
      </c>
      <c r="K8512" s="5">
        <f t="shared" si="298"/>
        <v>0.9408512990603799</v>
      </c>
    </row>
    <row r="8513" spans="1:11" x14ac:dyDescent="0.25">
      <c r="A8513" t="s">
        <v>16615</v>
      </c>
      <c r="C8513" t="s">
        <v>16616</v>
      </c>
      <c r="D8513" t="s">
        <v>5</v>
      </c>
      <c r="E8513" t="s">
        <v>6</v>
      </c>
      <c r="F8513" t="s">
        <v>251</v>
      </c>
      <c r="G8513">
        <v>1</v>
      </c>
      <c r="H8513" s="2">
        <f>Tabelle13[[#This Row],[commits]]/Tabelle13[[#Totals],[commits]]</f>
        <v>4.6477904404246225E-6</v>
      </c>
      <c r="I8513" s="5">
        <f>Tabelle13[[#This Row],[%]]+I8512</f>
        <v>0.99751807990470398</v>
      </c>
      <c r="J8513" s="4">
        <f t="shared" si="297"/>
        <v>1.105583195135434E-4</v>
      </c>
      <c r="K8513" s="5">
        <f t="shared" si="298"/>
        <v>0.94096185737989346</v>
      </c>
    </row>
    <row r="8514" spans="1:11" x14ac:dyDescent="0.25">
      <c r="A8514" t="s">
        <v>16617</v>
      </c>
      <c r="C8514" t="s">
        <v>16618</v>
      </c>
      <c r="D8514" t="s">
        <v>5</v>
      </c>
      <c r="E8514" t="s">
        <v>6</v>
      </c>
      <c r="F8514" t="s">
        <v>251</v>
      </c>
      <c r="G8514">
        <v>1</v>
      </c>
      <c r="H8514" s="2">
        <f>Tabelle13[[#This Row],[commits]]/Tabelle13[[#Totals],[commits]]</f>
        <v>4.6477904404246225E-6</v>
      </c>
      <c r="I8514" s="5">
        <f>Tabelle13[[#This Row],[%]]+I8513</f>
        <v>0.99752272769514438</v>
      </c>
      <c r="J8514" s="4">
        <f t="shared" si="297"/>
        <v>1.105583195135434E-4</v>
      </c>
      <c r="K8514" s="5">
        <f t="shared" si="298"/>
        <v>0.94107241569940703</v>
      </c>
    </row>
    <row r="8515" spans="1:11" x14ac:dyDescent="0.25">
      <c r="A8515" t="s">
        <v>16619</v>
      </c>
      <c r="C8515" t="s">
        <v>16620</v>
      </c>
      <c r="D8515" t="s">
        <v>5</v>
      </c>
      <c r="E8515" t="s">
        <v>6</v>
      </c>
      <c r="F8515" t="s">
        <v>251</v>
      </c>
      <c r="G8515">
        <v>1</v>
      </c>
      <c r="H8515" s="2">
        <f>Tabelle13[[#This Row],[commits]]/Tabelle13[[#Totals],[commits]]</f>
        <v>4.6477904404246225E-6</v>
      </c>
      <c r="I8515" s="5">
        <f>Tabelle13[[#This Row],[%]]+I8514</f>
        <v>0.99752737548558479</v>
      </c>
      <c r="J8515" s="4">
        <f t="shared" ref="J8515:J8578" si="299">1/9045</f>
        <v>1.105583195135434E-4</v>
      </c>
      <c r="K8515" s="5">
        <f t="shared" si="298"/>
        <v>0.94118297401892059</v>
      </c>
    </row>
    <row r="8516" spans="1:11" x14ac:dyDescent="0.25">
      <c r="A8516" t="s">
        <v>16621</v>
      </c>
      <c r="C8516" t="s">
        <v>16622</v>
      </c>
      <c r="D8516" t="s">
        <v>5</v>
      </c>
      <c r="E8516" t="s">
        <v>6</v>
      </c>
      <c r="F8516" t="s">
        <v>251</v>
      </c>
      <c r="G8516">
        <v>1</v>
      </c>
      <c r="H8516" s="2">
        <f>Tabelle13[[#This Row],[commits]]/Tabelle13[[#Totals],[commits]]</f>
        <v>4.6477904404246225E-6</v>
      </c>
      <c r="I8516" s="5">
        <f>Tabelle13[[#This Row],[%]]+I8515</f>
        <v>0.99753202327602519</v>
      </c>
      <c r="J8516" s="4">
        <f t="shared" si="299"/>
        <v>1.105583195135434E-4</v>
      </c>
      <c r="K8516" s="5">
        <f t="shared" si="298"/>
        <v>0.94129353233843416</v>
      </c>
    </row>
    <row r="8517" spans="1:11" x14ac:dyDescent="0.25">
      <c r="A8517" t="s">
        <v>16623</v>
      </c>
      <c r="C8517" t="s">
        <v>16624</v>
      </c>
      <c r="D8517" t="s">
        <v>5</v>
      </c>
      <c r="E8517" t="s">
        <v>6</v>
      </c>
      <c r="F8517" t="s">
        <v>251</v>
      </c>
      <c r="G8517">
        <v>1</v>
      </c>
      <c r="H8517" s="2">
        <f>Tabelle13[[#This Row],[commits]]/Tabelle13[[#Totals],[commits]]</f>
        <v>4.6477904404246225E-6</v>
      </c>
      <c r="I8517" s="5">
        <f>Tabelle13[[#This Row],[%]]+I8516</f>
        <v>0.9975366710664656</v>
      </c>
      <c r="J8517" s="4">
        <f t="shared" si="299"/>
        <v>1.105583195135434E-4</v>
      </c>
      <c r="K8517" s="5">
        <f t="shared" si="298"/>
        <v>0.94140409065794772</v>
      </c>
    </row>
    <row r="8518" spans="1:11" x14ac:dyDescent="0.25">
      <c r="A8518" t="s">
        <v>16625</v>
      </c>
      <c r="C8518" t="s">
        <v>16626</v>
      </c>
      <c r="D8518" t="s">
        <v>5</v>
      </c>
      <c r="E8518" t="s">
        <v>6</v>
      </c>
      <c r="F8518" t="s">
        <v>251</v>
      </c>
      <c r="G8518">
        <v>1</v>
      </c>
      <c r="H8518" s="2">
        <f>Tabelle13[[#This Row],[commits]]/Tabelle13[[#Totals],[commits]]</f>
        <v>4.6477904404246225E-6</v>
      </c>
      <c r="I8518" s="5">
        <f>Tabelle13[[#This Row],[%]]+I8517</f>
        <v>0.997541318856906</v>
      </c>
      <c r="J8518" s="4">
        <f t="shared" si="299"/>
        <v>1.105583195135434E-4</v>
      </c>
      <c r="K8518" s="5">
        <f t="shared" ref="K8518:K8581" si="300">J8518+K8517</f>
        <v>0.94151464897746129</v>
      </c>
    </row>
    <row r="8519" spans="1:11" x14ac:dyDescent="0.25">
      <c r="A8519" t="s">
        <v>16627</v>
      </c>
      <c r="C8519" t="s">
        <v>16628</v>
      </c>
      <c r="D8519" t="s">
        <v>5</v>
      </c>
      <c r="E8519" t="s">
        <v>6</v>
      </c>
      <c r="F8519" t="s">
        <v>251</v>
      </c>
      <c r="G8519">
        <v>1</v>
      </c>
      <c r="H8519" s="2">
        <f>Tabelle13[[#This Row],[commits]]/Tabelle13[[#Totals],[commits]]</f>
        <v>4.6477904404246225E-6</v>
      </c>
      <c r="I8519" s="5">
        <f>Tabelle13[[#This Row],[%]]+I8518</f>
        <v>0.9975459666473464</v>
      </c>
      <c r="J8519" s="4">
        <f t="shared" si="299"/>
        <v>1.105583195135434E-4</v>
      </c>
      <c r="K8519" s="5">
        <f t="shared" si="300"/>
        <v>0.94162520729697485</v>
      </c>
    </row>
    <row r="8520" spans="1:11" x14ac:dyDescent="0.25">
      <c r="A8520" t="s">
        <v>16629</v>
      </c>
      <c r="C8520" t="s">
        <v>16630</v>
      </c>
      <c r="D8520" t="s">
        <v>5</v>
      </c>
      <c r="E8520" t="s">
        <v>6</v>
      </c>
      <c r="F8520" t="s">
        <v>251</v>
      </c>
      <c r="G8520">
        <v>1</v>
      </c>
      <c r="H8520" s="2">
        <f>Tabelle13[[#This Row],[commits]]/Tabelle13[[#Totals],[commits]]</f>
        <v>4.6477904404246225E-6</v>
      </c>
      <c r="I8520" s="5">
        <f>Tabelle13[[#This Row],[%]]+I8519</f>
        <v>0.99755061443778681</v>
      </c>
      <c r="J8520" s="4">
        <f t="shared" si="299"/>
        <v>1.105583195135434E-4</v>
      </c>
      <c r="K8520" s="5">
        <f t="shared" si="300"/>
        <v>0.94173576561648842</v>
      </c>
    </row>
    <row r="8521" spans="1:11" x14ac:dyDescent="0.25">
      <c r="A8521" t="s">
        <v>16631</v>
      </c>
      <c r="C8521" t="s">
        <v>16632</v>
      </c>
      <c r="D8521" t="s">
        <v>5</v>
      </c>
      <c r="E8521" t="s">
        <v>6</v>
      </c>
      <c r="F8521" t="s">
        <v>251</v>
      </c>
      <c r="G8521">
        <v>1</v>
      </c>
      <c r="H8521" s="2">
        <f>Tabelle13[[#This Row],[commits]]/Tabelle13[[#Totals],[commits]]</f>
        <v>4.6477904404246225E-6</v>
      </c>
      <c r="I8521" s="5">
        <f>Tabelle13[[#This Row],[%]]+I8520</f>
        <v>0.99755526222822721</v>
      </c>
      <c r="J8521" s="4">
        <f t="shared" si="299"/>
        <v>1.105583195135434E-4</v>
      </c>
      <c r="K8521" s="5">
        <f t="shared" si="300"/>
        <v>0.94184632393600198</v>
      </c>
    </row>
    <row r="8522" spans="1:11" x14ac:dyDescent="0.25">
      <c r="A8522" t="s">
        <v>16633</v>
      </c>
      <c r="C8522" t="s">
        <v>7537</v>
      </c>
      <c r="D8522" t="s">
        <v>5</v>
      </c>
      <c r="E8522" t="s">
        <v>6</v>
      </c>
      <c r="F8522" t="s">
        <v>251</v>
      </c>
      <c r="G8522">
        <v>1</v>
      </c>
      <c r="H8522" s="2">
        <f>Tabelle13[[#This Row],[commits]]/Tabelle13[[#Totals],[commits]]</f>
        <v>4.6477904404246225E-6</v>
      </c>
      <c r="I8522" s="5">
        <f>Tabelle13[[#This Row],[%]]+I8521</f>
        <v>0.99755991001866762</v>
      </c>
      <c r="J8522" s="4">
        <f t="shared" si="299"/>
        <v>1.105583195135434E-4</v>
      </c>
      <c r="K8522" s="5">
        <f t="shared" si="300"/>
        <v>0.94195688225551555</v>
      </c>
    </row>
    <row r="8523" spans="1:11" x14ac:dyDescent="0.25">
      <c r="A8523" t="s">
        <v>16634</v>
      </c>
      <c r="C8523" t="s">
        <v>16635</v>
      </c>
      <c r="D8523" t="s">
        <v>5</v>
      </c>
      <c r="E8523" t="s">
        <v>6</v>
      </c>
      <c r="F8523" t="s">
        <v>251</v>
      </c>
      <c r="G8523">
        <v>1</v>
      </c>
      <c r="H8523" s="2">
        <f>Tabelle13[[#This Row],[commits]]/Tabelle13[[#Totals],[commits]]</f>
        <v>4.6477904404246225E-6</v>
      </c>
      <c r="I8523" s="5">
        <f>Tabelle13[[#This Row],[%]]+I8522</f>
        <v>0.99756455780910802</v>
      </c>
      <c r="J8523" s="4">
        <f t="shared" si="299"/>
        <v>1.105583195135434E-4</v>
      </c>
      <c r="K8523" s="5">
        <f t="shared" si="300"/>
        <v>0.94206744057502911</v>
      </c>
    </row>
    <row r="8524" spans="1:11" x14ac:dyDescent="0.25">
      <c r="A8524" t="s">
        <v>16636</v>
      </c>
      <c r="C8524" t="s">
        <v>16637</v>
      </c>
      <c r="D8524" t="s">
        <v>5</v>
      </c>
      <c r="E8524" t="s">
        <v>6</v>
      </c>
      <c r="F8524" t="s">
        <v>251</v>
      </c>
      <c r="G8524">
        <v>1</v>
      </c>
      <c r="H8524" s="2">
        <f>Tabelle13[[#This Row],[commits]]/Tabelle13[[#Totals],[commits]]</f>
        <v>4.6477904404246225E-6</v>
      </c>
      <c r="I8524" s="5">
        <f>Tabelle13[[#This Row],[%]]+I8523</f>
        <v>0.99756920559954843</v>
      </c>
      <c r="J8524" s="4">
        <f t="shared" si="299"/>
        <v>1.105583195135434E-4</v>
      </c>
      <c r="K8524" s="5">
        <f t="shared" si="300"/>
        <v>0.94217799889454268</v>
      </c>
    </row>
    <row r="8525" spans="1:11" x14ac:dyDescent="0.25">
      <c r="A8525" t="s">
        <v>16638</v>
      </c>
      <c r="C8525" t="s">
        <v>16639</v>
      </c>
      <c r="D8525" t="s">
        <v>5</v>
      </c>
      <c r="E8525" t="s">
        <v>6</v>
      </c>
      <c r="F8525" t="s">
        <v>251</v>
      </c>
      <c r="G8525">
        <v>1</v>
      </c>
      <c r="H8525" s="2">
        <f>Tabelle13[[#This Row],[commits]]/Tabelle13[[#Totals],[commits]]</f>
        <v>4.6477904404246225E-6</v>
      </c>
      <c r="I8525" s="5">
        <f>Tabelle13[[#This Row],[%]]+I8524</f>
        <v>0.99757385338998883</v>
      </c>
      <c r="J8525" s="4">
        <f t="shared" si="299"/>
        <v>1.105583195135434E-4</v>
      </c>
      <c r="K8525" s="5">
        <f t="shared" si="300"/>
        <v>0.94228855721405624</v>
      </c>
    </row>
    <row r="8526" spans="1:11" x14ac:dyDescent="0.25">
      <c r="A8526" t="s">
        <v>16640</v>
      </c>
      <c r="C8526" t="s">
        <v>16641</v>
      </c>
      <c r="D8526" t="s">
        <v>5</v>
      </c>
      <c r="E8526" t="s">
        <v>6</v>
      </c>
      <c r="F8526" t="s">
        <v>251</v>
      </c>
      <c r="G8526">
        <v>1</v>
      </c>
      <c r="H8526" s="2">
        <f>Tabelle13[[#This Row],[commits]]/Tabelle13[[#Totals],[commits]]</f>
        <v>4.6477904404246225E-6</v>
      </c>
      <c r="I8526" s="5">
        <f>Tabelle13[[#This Row],[%]]+I8525</f>
        <v>0.99757850118042923</v>
      </c>
      <c r="J8526" s="4">
        <f t="shared" si="299"/>
        <v>1.105583195135434E-4</v>
      </c>
      <c r="K8526" s="5">
        <f t="shared" si="300"/>
        <v>0.94239911553356981</v>
      </c>
    </row>
    <row r="8527" spans="1:11" x14ac:dyDescent="0.25">
      <c r="A8527" t="s">
        <v>16642</v>
      </c>
      <c r="C8527" t="s">
        <v>16643</v>
      </c>
      <c r="D8527" t="s">
        <v>5</v>
      </c>
      <c r="E8527" t="s">
        <v>6</v>
      </c>
      <c r="F8527" t="s">
        <v>251</v>
      </c>
      <c r="G8527">
        <v>1</v>
      </c>
      <c r="H8527" s="2">
        <f>Tabelle13[[#This Row],[commits]]/Tabelle13[[#Totals],[commits]]</f>
        <v>4.6477904404246225E-6</v>
      </c>
      <c r="I8527" s="5">
        <f>Tabelle13[[#This Row],[%]]+I8526</f>
        <v>0.99758314897086964</v>
      </c>
      <c r="J8527" s="4">
        <f t="shared" si="299"/>
        <v>1.105583195135434E-4</v>
      </c>
      <c r="K8527" s="5">
        <f t="shared" si="300"/>
        <v>0.94250967385308337</v>
      </c>
    </row>
    <row r="8528" spans="1:11" x14ac:dyDescent="0.25">
      <c r="A8528" t="s">
        <v>16644</v>
      </c>
      <c r="C8528" t="s">
        <v>16645</v>
      </c>
      <c r="D8528" t="s">
        <v>5</v>
      </c>
      <c r="E8528" t="s">
        <v>6</v>
      </c>
      <c r="F8528" t="s">
        <v>251</v>
      </c>
      <c r="G8528">
        <v>1</v>
      </c>
      <c r="H8528" s="2">
        <f>Tabelle13[[#This Row],[commits]]/Tabelle13[[#Totals],[commits]]</f>
        <v>4.6477904404246225E-6</v>
      </c>
      <c r="I8528" s="5">
        <f>Tabelle13[[#This Row],[%]]+I8527</f>
        <v>0.99758779676131004</v>
      </c>
      <c r="J8528" s="4">
        <f t="shared" si="299"/>
        <v>1.105583195135434E-4</v>
      </c>
      <c r="K8528" s="5">
        <f t="shared" si="300"/>
        <v>0.94262023217259694</v>
      </c>
    </row>
    <row r="8529" spans="1:11" x14ac:dyDescent="0.25">
      <c r="A8529" t="s">
        <v>16646</v>
      </c>
      <c r="C8529" t="s">
        <v>16647</v>
      </c>
      <c r="D8529" t="s">
        <v>5</v>
      </c>
      <c r="E8529" t="s">
        <v>6</v>
      </c>
      <c r="F8529" t="s">
        <v>251</v>
      </c>
      <c r="G8529">
        <v>1</v>
      </c>
      <c r="H8529" s="2">
        <f>Tabelle13[[#This Row],[commits]]/Tabelle13[[#Totals],[commits]]</f>
        <v>4.6477904404246225E-6</v>
      </c>
      <c r="I8529" s="5">
        <f>Tabelle13[[#This Row],[%]]+I8528</f>
        <v>0.99759244455175045</v>
      </c>
      <c r="J8529" s="4">
        <f t="shared" si="299"/>
        <v>1.105583195135434E-4</v>
      </c>
      <c r="K8529" s="5">
        <f t="shared" si="300"/>
        <v>0.9427307904921105</v>
      </c>
    </row>
    <row r="8530" spans="1:11" x14ac:dyDescent="0.25">
      <c r="A8530" t="s">
        <v>16648</v>
      </c>
      <c r="C8530" t="s">
        <v>16649</v>
      </c>
      <c r="D8530" t="s">
        <v>5</v>
      </c>
      <c r="E8530" t="s">
        <v>6</v>
      </c>
      <c r="F8530" t="s">
        <v>251</v>
      </c>
      <c r="G8530">
        <v>1</v>
      </c>
      <c r="H8530" s="2">
        <f>Tabelle13[[#This Row],[commits]]/Tabelle13[[#Totals],[commits]]</f>
        <v>4.6477904404246225E-6</v>
      </c>
      <c r="I8530" s="5">
        <f>Tabelle13[[#This Row],[%]]+I8529</f>
        <v>0.99759709234219085</v>
      </c>
      <c r="J8530" s="4">
        <f t="shared" si="299"/>
        <v>1.105583195135434E-4</v>
      </c>
      <c r="K8530" s="5">
        <f t="shared" si="300"/>
        <v>0.94284134881162407</v>
      </c>
    </row>
    <row r="8531" spans="1:11" x14ac:dyDescent="0.25">
      <c r="A8531" t="s">
        <v>16650</v>
      </c>
      <c r="C8531" t="s">
        <v>16651</v>
      </c>
      <c r="D8531" t="s">
        <v>5</v>
      </c>
      <c r="E8531" t="s">
        <v>6</v>
      </c>
      <c r="F8531" t="s">
        <v>251</v>
      </c>
      <c r="G8531">
        <v>1</v>
      </c>
      <c r="H8531" s="2">
        <f>Tabelle13[[#This Row],[commits]]/Tabelle13[[#Totals],[commits]]</f>
        <v>4.6477904404246225E-6</v>
      </c>
      <c r="I8531" s="5">
        <f>Tabelle13[[#This Row],[%]]+I8530</f>
        <v>0.99760174013263125</v>
      </c>
      <c r="J8531" s="4">
        <f t="shared" si="299"/>
        <v>1.105583195135434E-4</v>
      </c>
      <c r="K8531" s="5">
        <f t="shared" si="300"/>
        <v>0.94295190713113763</v>
      </c>
    </row>
    <row r="8532" spans="1:11" x14ac:dyDescent="0.25">
      <c r="A8532" t="s">
        <v>16652</v>
      </c>
      <c r="C8532" t="s">
        <v>187</v>
      </c>
      <c r="D8532" t="s">
        <v>5</v>
      </c>
      <c r="E8532" t="s">
        <v>6</v>
      </c>
      <c r="F8532" t="s">
        <v>251</v>
      </c>
      <c r="G8532">
        <v>1</v>
      </c>
      <c r="H8532" s="2">
        <f>Tabelle13[[#This Row],[commits]]/Tabelle13[[#Totals],[commits]]</f>
        <v>4.6477904404246225E-6</v>
      </c>
      <c r="I8532" s="5">
        <f>Tabelle13[[#This Row],[%]]+I8531</f>
        <v>0.99760638792307166</v>
      </c>
      <c r="J8532" s="4">
        <f t="shared" si="299"/>
        <v>1.105583195135434E-4</v>
      </c>
      <c r="K8532" s="5">
        <f t="shared" si="300"/>
        <v>0.9430624654506512</v>
      </c>
    </row>
    <row r="8533" spans="1:11" x14ac:dyDescent="0.25">
      <c r="A8533" t="s">
        <v>16653</v>
      </c>
      <c r="C8533" t="s">
        <v>16654</v>
      </c>
      <c r="D8533" t="s">
        <v>5</v>
      </c>
      <c r="E8533" t="s">
        <v>6</v>
      </c>
      <c r="F8533" t="s">
        <v>251</v>
      </c>
      <c r="G8533">
        <v>1</v>
      </c>
      <c r="H8533" s="2">
        <f>Tabelle13[[#This Row],[commits]]/Tabelle13[[#Totals],[commits]]</f>
        <v>4.6477904404246225E-6</v>
      </c>
      <c r="I8533" s="5">
        <f>Tabelle13[[#This Row],[%]]+I8532</f>
        <v>0.99761103571351206</v>
      </c>
      <c r="J8533" s="4">
        <f t="shared" si="299"/>
        <v>1.105583195135434E-4</v>
      </c>
      <c r="K8533" s="5">
        <f t="shared" si="300"/>
        <v>0.94317302377016476</v>
      </c>
    </row>
    <row r="8534" spans="1:11" x14ac:dyDescent="0.25">
      <c r="A8534" t="s">
        <v>16655</v>
      </c>
      <c r="C8534" t="s">
        <v>16656</v>
      </c>
      <c r="D8534" t="s">
        <v>5</v>
      </c>
      <c r="E8534" t="s">
        <v>6</v>
      </c>
      <c r="F8534" t="s">
        <v>251</v>
      </c>
      <c r="G8534">
        <v>1</v>
      </c>
      <c r="H8534" s="2">
        <f>Tabelle13[[#This Row],[commits]]/Tabelle13[[#Totals],[commits]]</f>
        <v>4.6477904404246225E-6</v>
      </c>
      <c r="I8534" s="5">
        <f>Tabelle13[[#This Row],[%]]+I8533</f>
        <v>0.99761568350395247</v>
      </c>
      <c r="J8534" s="4">
        <f t="shared" si="299"/>
        <v>1.105583195135434E-4</v>
      </c>
      <c r="K8534" s="5">
        <f t="shared" si="300"/>
        <v>0.94328358208967833</v>
      </c>
    </row>
    <row r="8535" spans="1:11" x14ac:dyDescent="0.25">
      <c r="A8535" t="s">
        <v>16657</v>
      </c>
      <c r="C8535" t="s">
        <v>16658</v>
      </c>
      <c r="D8535" t="s">
        <v>5</v>
      </c>
      <c r="E8535" t="s">
        <v>6</v>
      </c>
      <c r="F8535" t="s">
        <v>251</v>
      </c>
      <c r="G8535">
        <v>1</v>
      </c>
      <c r="H8535" s="2">
        <f>Tabelle13[[#This Row],[commits]]/Tabelle13[[#Totals],[commits]]</f>
        <v>4.6477904404246225E-6</v>
      </c>
      <c r="I8535" s="5">
        <f>Tabelle13[[#This Row],[%]]+I8534</f>
        <v>0.99762033129439287</v>
      </c>
      <c r="J8535" s="4">
        <f t="shared" si="299"/>
        <v>1.105583195135434E-4</v>
      </c>
      <c r="K8535" s="5">
        <f t="shared" si="300"/>
        <v>0.94339414040919189</v>
      </c>
    </row>
    <row r="8536" spans="1:11" x14ac:dyDescent="0.25">
      <c r="A8536" t="s">
        <v>16659</v>
      </c>
      <c r="C8536" t="s">
        <v>16660</v>
      </c>
      <c r="D8536" t="s">
        <v>5</v>
      </c>
      <c r="E8536" t="s">
        <v>6</v>
      </c>
      <c r="F8536" t="s">
        <v>251</v>
      </c>
      <c r="G8536">
        <v>1</v>
      </c>
      <c r="H8536" s="2">
        <f>Tabelle13[[#This Row],[commits]]/Tabelle13[[#Totals],[commits]]</f>
        <v>4.6477904404246225E-6</v>
      </c>
      <c r="I8536" s="5">
        <f>Tabelle13[[#This Row],[%]]+I8535</f>
        <v>0.99762497908483327</v>
      </c>
      <c r="J8536" s="4">
        <f t="shared" si="299"/>
        <v>1.105583195135434E-4</v>
      </c>
      <c r="K8536" s="5">
        <f t="shared" si="300"/>
        <v>0.94350469872870546</v>
      </c>
    </row>
    <row r="8537" spans="1:11" x14ac:dyDescent="0.25">
      <c r="A8537" t="s">
        <v>16661</v>
      </c>
      <c r="C8537" t="s">
        <v>16662</v>
      </c>
      <c r="D8537" t="s">
        <v>5</v>
      </c>
      <c r="E8537" t="s">
        <v>6</v>
      </c>
      <c r="F8537" t="s">
        <v>251</v>
      </c>
      <c r="G8537">
        <v>1</v>
      </c>
      <c r="H8537" s="2">
        <f>Tabelle13[[#This Row],[commits]]/Tabelle13[[#Totals],[commits]]</f>
        <v>4.6477904404246225E-6</v>
      </c>
      <c r="I8537" s="5">
        <f>Tabelle13[[#This Row],[%]]+I8536</f>
        <v>0.99762962687527368</v>
      </c>
      <c r="J8537" s="4">
        <f t="shared" si="299"/>
        <v>1.105583195135434E-4</v>
      </c>
      <c r="K8537" s="5">
        <f t="shared" si="300"/>
        <v>0.94361525704821902</v>
      </c>
    </row>
    <row r="8538" spans="1:11" x14ac:dyDescent="0.25">
      <c r="A8538" t="s">
        <v>16663</v>
      </c>
      <c r="C8538" t="s">
        <v>16664</v>
      </c>
      <c r="D8538" t="s">
        <v>5</v>
      </c>
      <c r="E8538" t="s">
        <v>6</v>
      </c>
      <c r="F8538" t="s">
        <v>251</v>
      </c>
      <c r="G8538">
        <v>1</v>
      </c>
      <c r="H8538" s="2">
        <f>Tabelle13[[#This Row],[commits]]/Tabelle13[[#Totals],[commits]]</f>
        <v>4.6477904404246225E-6</v>
      </c>
      <c r="I8538" s="5">
        <f>Tabelle13[[#This Row],[%]]+I8537</f>
        <v>0.99763427466571408</v>
      </c>
      <c r="J8538" s="4">
        <f t="shared" si="299"/>
        <v>1.105583195135434E-4</v>
      </c>
      <c r="K8538" s="5">
        <f t="shared" si="300"/>
        <v>0.94372581536773259</v>
      </c>
    </row>
    <row r="8539" spans="1:11" x14ac:dyDescent="0.25">
      <c r="A8539" t="s">
        <v>16665</v>
      </c>
      <c r="C8539" t="s">
        <v>5053</v>
      </c>
      <c r="D8539" t="s">
        <v>5</v>
      </c>
      <c r="E8539" t="s">
        <v>6</v>
      </c>
      <c r="F8539" t="s">
        <v>251</v>
      </c>
      <c r="G8539">
        <v>1</v>
      </c>
      <c r="H8539" s="2">
        <f>Tabelle13[[#This Row],[commits]]/Tabelle13[[#Totals],[commits]]</f>
        <v>4.6477904404246225E-6</v>
      </c>
      <c r="I8539" s="5">
        <f>Tabelle13[[#This Row],[%]]+I8538</f>
        <v>0.99763892245615449</v>
      </c>
      <c r="J8539" s="4">
        <f t="shared" si="299"/>
        <v>1.105583195135434E-4</v>
      </c>
      <c r="K8539" s="5">
        <f t="shared" si="300"/>
        <v>0.94383637368724616</v>
      </c>
    </row>
    <row r="8540" spans="1:11" x14ac:dyDescent="0.25">
      <c r="A8540" t="s">
        <v>16666</v>
      </c>
      <c r="C8540" t="s">
        <v>16667</v>
      </c>
      <c r="D8540" t="s">
        <v>5</v>
      </c>
      <c r="E8540" t="s">
        <v>6</v>
      </c>
      <c r="F8540" t="s">
        <v>251</v>
      </c>
      <c r="G8540">
        <v>1</v>
      </c>
      <c r="H8540" s="2">
        <f>Tabelle13[[#This Row],[commits]]/Tabelle13[[#Totals],[commits]]</f>
        <v>4.6477904404246225E-6</v>
      </c>
      <c r="I8540" s="5">
        <f>Tabelle13[[#This Row],[%]]+I8539</f>
        <v>0.99764357024659489</v>
      </c>
      <c r="J8540" s="4">
        <f t="shared" si="299"/>
        <v>1.105583195135434E-4</v>
      </c>
      <c r="K8540" s="5">
        <f t="shared" si="300"/>
        <v>0.94394693200675972</v>
      </c>
    </row>
    <row r="8541" spans="1:11" x14ac:dyDescent="0.25">
      <c r="A8541" t="s">
        <v>16668</v>
      </c>
      <c r="C8541" t="s">
        <v>16669</v>
      </c>
      <c r="D8541" t="s">
        <v>5</v>
      </c>
      <c r="E8541" t="s">
        <v>6</v>
      </c>
      <c r="F8541" t="s">
        <v>251</v>
      </c>
      <c r="G8541">
        <v>1</v>
      </c>
      <c r="H8541" s="2">
        <f>Tabelle13[[#This Row],[commits]]/Tabelle13[[#Totals],[commits]]</f>
        <v>4.6477904404246225E-6</v>
      </c>
      <c r="I8541" s="5">
        <f>Tabelle13[[#This Row],[%]]+I8540</f>
        <v>0.99764821803703529</v>
      </c>
      <c r="J8541" s="4">
        <f t="shared" si="299"/>
        <v>1.105583195135434E-4</v>
      </c>
      <c r="K8541" s="5">
        <f t="shared" si="300"/>
        <v>0.94405749032627329</v>
      </c>
    </row>
    <row r="8542" spans="1:11" x14ac:dyDescent="0.25">
      <c r="A8542" t="s">
        <v>16670</v>
      </c>
      <c r="C8542" t="s">
        <v>16671</v>
      </c>
      <c r="D8542" t="s">
        <v>5</v>
      </c>
      <c r="E8542" t="s">
        <v>6</v>
      </c>
      <c r="F8542" t="s">
        <v>251</v>
      </c>
      <c r="G8542">
        <v>1</v>
      </c>
      <c r="H8542" s="2">
        <f>Tabelle13[[#This Row],[commits]]/Tabelle13[[#Totals],[commits]]</f>
        <v>4.6477904404246225E-6</v>
      </c>
      <c r="I8542" s="5">
        <f>Tabelle13[[#This Row],[%]]+I8541</f>
        <v>0.9976528658274757</v>
      </c>
      <c r="J8542" s="4">
        <f t="shared" si="299"/>
        <v>1.105583195135434E-4</v>
      </c>
      <c r="K8542" s="5">
        <f t="shared" si="300"/>
        <v>0.94416804864578685</v>
      </c>
    </row>
    <row r="8543" spans="1:11" x14ac:dyDescent="0.25">
      <c r="A8543" t="s">
        <v>16672</v>
      </c>
      <c r="C8543" t="s">
        <v>16673</v>
      </c>
      <c r="D8543" t="s">
        <v>5</v>
      </c>
      <c r="E8543" t="s">
        <v>6</v>
      </c>
      <c r="F8543" t="s">
        <v>251</v>
      </c>
      <c r="G8543">
        <v>1</v>
      </c>
      <c r="H8543" s="2">
        <f>Tabelle13[[#This Row],[commits]]/Tabelle13[[#Totals],[commits]]</f>
        <v>4.6477904404246225E-6</v>
      </c>
      <c r="I8543" s="5">
        <f>Tabelle13[[#This Row],[%]]+I8542</f>
        <v>0.9976575136179161</v>
      </c>
      <c r="J8543" s="4">
        <f t="shared" si="299"/>
        <v>1.105583195135434E-4</v>
      </c>
      <c r="K8543" s="5">
        <f t="shared" si="300"/>
        <v>0.94427860696530042</v>
      </c>
    </row>
    <row r="8544" spans="1:11" x14ac:dyDescent="0.25">
      <c r="A8544" t="s">
        <v>16674</v>
      </c>
      <c r="C8544" t="s">
        <v>16675</v>
      </c>
      <c r="D8544" t="s">
        <v>5</v>
      </c>
      <c r="E8544" t="s">
        <v>6</v>
      </c>
      <c r="F8544" t="s">
        <v>251</v>
      </c>
      <c r="G8544">
        <v>1</v>
      </c>
      <c r="H8544" s="2">
        <f>Tabelle13[[#This Row],[commits]]/Tabelle13[[#Totals],[commits]]</f>
        <v>4.6477904404246225E-6</v>
      </c>
      <c r="I8544" s="5">
        <f>Tabelle13[[#This Row],[%]]+I8543</f>
        <v>0.99766216140835651</v>
      </c>
      <c r="J8544" s="4">
        <f t="shared" si="299"/>
        <v>1.105583195135434E-4</v>
      </c>
      <c r="K8544" s="5">
        <f t="shared" si="300"/>
        <v>0.94438916528481398</v>
      </c>
    </row>
    <row r="8545" spans="1:11" x14ac:dyDescent="0.25">
      <c r="A8545" t="s">
        <v>16676</v>
      </c>
      <c r="C8545" t="s">
        <v>16677</v>
      </c>
      <c r="D8545" t="s">
        <v>5</v>
      </c>
      <c r="E8545" t="s">
        <v>6</v>
      </c>
      <c r="F8545" t="s">
        <v>251</v>
      </c>
      <c r="G8545">
        <v>1</v>
      </c>
      <c r="H8545" s="2">
        <f>Tabelle13[[#This Row],[commits]]/Tabelle13[[#Totals],[commits]]</f>
        <v>4.6477904404246225E-6</v>
      </c>
      <c r="I8545" s="5">
        <f>Tabelle13[[#This Row],[%]]+I8544</f>
        <v>0.99766680919879691</v>
      </c>
      <c r="J8545" s="4">
        <f t="shared" si="299"/>
        <v>1.105583195135434E-4</v>
      </c>
      <c r="K8545" s="5">
        <f t="shared" si="300"/>
        <v>0.94449972360432755</v>
      </c>
    </row>
    <row r="8546" spans="1:11" x14ac:dyDescent="0.25">
      <c r="A8546" t="s">
        <v>16678</v>
      </c>
      <c r="C8546" t="s">
        <v>16679</v>
      </c>
      <c r="D8546" t="s">
        <v>16680</v>
      </c>
      <c r="E8546" t="s">
        <v>6</v>
      </c>
      <c r="F8546" t="s">
        <v>251</v>
      </c>
      <c r="G8546">
        <v>1</v>
      </c>
      <c r="H8546" s="2">
        <f>Tabelle13[[#This Row],[commits]]/Tabelle13[[#Totals],[commits]]</f>
        <v>4.6477904404246225E-6</v>
      </c>
      <c r="I8546" s="5">
        <f>Tabelle13[[#This Row],[%]]+I8545</f>
        <v>0.99767145698923732</v>
      </c>
      <c r="J8546" s="4">
        <f t="shared" si="299"/>
        <v>1.105583195135434E-4</v>
      </c>
      <c r="K8546" s="5">
        <f t="shared" si="300"/>
        <v>0.94461028192384111</v>
      </c>
    </row>
    <row r="8547" spans="1:11" x14ac:dyDescent="0.25">
      <c r="A8547" t="s">
        <v>16681</v>
      </c>
      <c r="C8547" t="s">
        <v>16682</v>
      </c>
      <c r="D8547" t="s">
        <v>16683</v>
      </c>
      <c r="E8547" t="s">
        <v>6</v>
      </c>
      <c r="F8547" t="s">
        <v>251</v>
      </c>
      <c r="G8547">
        <v>1</v>
      </c>
      <c r="H8547" s="2">
        <f>Tabelle13[[#This Row],[commits]]/Tabelle13[[#Totals],[commits]]</f>
        <v>4.6477904404246225E-6</v>
      </c>
      <c r="I8547" s="5">
        <f>Tabelle13[[#This Row],[%]]+I8546</f>
        <v>0.99767610477967772</v>
      </c>
      <c r="J8547" s="4">
        <f t="shared" si="299"/>
        <v>1.105583195135434E-4</v>
      </c>
      <c r="K8547" s="5">
        <f t="shared" si="300"/>
        <v>0.94472084024335468</v>
      </c>
    </row>
    <row r="8548" spans="1:11" x14ac:dyDescent="0.25">
      <c r="A8548" t="s">
        <v>16684</v>
      </c>
      <c r="C8548" t="s">
        <v>16685</v>
      </c>
      <c r="D8548" t="s">
        <v>5</v>
      </c>
      <c r="E8548" t="s">
        <v>6</v>
      </c>
      <c r="F8548" t="s">
        <v>251</v>
      </c>
      <c r="G8548">
        <v>1</v>
      </c>
      <c r="H8548" s="2">
        <f>Tabelle13[[#This Row],[commits]]/Tabelle13[[#Totals],[commits]]</f>
        <v>4.6477904404246225E-6</v>
      </c>
      <c r="I8548" s="5">
        <f>Tabelle13[[#This Row],[%]]+I8547</f>
        <v>0.99768075257011812</v>
      </c>
      <c r="J8548" s="4">
        <f t="shared" si="299"/>
        <v>1.105583195135434E-4</v>
      </c>
      <c r="K8548" s="5">
        <f t="shared" si="300"/>
        <v>0.94483139856286824</v>
      </c>
    </row>
    <row r="8549" spans="1:11" x14ac:dyDescent="0.25">
      <c r="A8549" t="s">
        <v>16686</v>
      </c>
      <c r="C8549" t="s">
        <v>16687</v>
      </c>
      <c r="D8549" t="s">
        <v>5</v>
      </c>
      <c r="E8549" t="s">
        <v>6</v>
      </c>
      <c r="F8549" t="s">
        <v>251</v>
      </c>
      <c r="G8549">
        <v>1</v>
      </c>
      <c r="H8549" s="2">
        <f>Tabelle13[[#This Row],[commits]]/Tabelle13[[#Totals],[commits]]</f>
        <v>4.6477904404246225E-6</v>
      </c>
      <c r="I8549" s="5">
        <f>Tabelle13[[#This Row],[%]]+I8548</f>
        <v>0.99768540036055853</v>
      </c>
      <c r="J8549" s="4">
        <f t="shared" si="299"/>
        <v>1.105583195135434E-4</v>
      </c>
      <c r="K8549" s="5">
        <f t="shared" si="300"/>
        <v>0.94494195688238181</v>
      </c>
    </row>
    <row r="8550" spans="1:11" x14ac:dyDescent="0.25">
      <c r="A8550" t="s">
        <v>16688</v>
      </c>
      <c r="C8550" t="s">
        <v>16689</v>
      </c>
      <c r="D8550" t="s">
        <v>5</v>
      </c>
      <c r="E8550" t="s">
        <v>6</v>
      </c>
      <c r="F8550" t="s">
        <v>251</v>
      </c>
      <c r="G8550">
        <v>1</v>
      </c>
      <c r="H8550" s="2">
        <f>Tabelle13[[#This Row],[commits]]/Tabelle13[[#Totals],[commits]]</f>
        <v>4.6477904404246225E-6</v>
      </c>
      <c r="I8550" s="5">
        <f>Tabelle13[[#This Row],[%]]+I8549</f>
        <v>0.99769004815099893</v>
      </c>
      <c r="J8550" s="4">
        <f t="shared" si="299"/>
        <v>1.105583195135434E-4</v>
      </c>
      <c r="K8550" s="5">
        <f t="shared" si="300"/>
        <v>0.94505251520189537</v>
      </c>
    </row>
    <row r="8551" spans="1:11" x14ac:dyDescent="0.25">
      <c r="A8551" t="s">
        <v>16690</v>
      </c>
      <c r="C8551" t="s">
        <v>16691</v>
      </c>
      <c r="D8551" t="s">
        <v>11836</v>
      </c>
      <c r="E8551" t="s">
        <v>6</v>
      </c>
      <c r="F8551" t="s">
        <v>251</v>
      </c>
      <c r="G8551">
        <v>1</v>
      </c>
      <c r="H8551" s="2">
        <f>Tabelle13[[#This Row],[commits]]/Tabelle13[[#Totals],[commits]]</f>
        <v>4.6477904404246225E-6</v>
      </c>
      <c r="I8551" s="5">
        <f>Tabelle13[[#This Row],[%]]+I8550</f>
        <v>0.99769469594143934</v>
      </c>
      <c r="J8551" s="4">
        <f t="shared" si="299"/>
        <v>1.105583195135434E-4</v>
      </c>
      <c r="K8551" s="5">
        <f t="shared" si="300"/>
        <v>0.94516307352140894</v>
      </c>
    </row>
    <row r="8552" spans="1:11" x14ac:dyDescent="0.25">
      <c r="A8552" t="s">
        <v>16692</v>
      </c>
      <c r="C8552" t="s">
        <v>16693</v>
      </c>
      <c r="D8552" t="s">
        <v>5</v>
      </c>
      <c r="E8552" t="s">
        <v>6</v>
      </c>
      <c r="F8552" t="s">
        <v>251</v>
      </c>
      <c r="G8552">
        <v>1</v>
      </c>
      <c r="H8552" s="2">
        <f>Tabelle13[[#This Row],[commits]]/Tabelle13[[#Totals],[commits]]</f>
        <v>4.6477904404246225E-6</v>
      </c>
      <c r="I8552" s="5">
        <f>Tabelle13[[#This Row],[%]]+I8551</f>
        <v>0.99769934373187974</v>
      </c>
      <c r="J8552" s="4">
        <f t="shared" si="299"/>
        <v>1.105583195135434E-4</v>
      </c>
      <c r="K8552" s="5">
        <f t="shared" si="300"/>
        <v>0.9452736318409225</v>
      </c>
    </row>
    <row r="8553" spans="1:11" x14ac:dyDescent="0.25">
      <c r="A8553" t="s">
        <v>16694</v>
      </c>
      <c r="C8553" t="s">
        <v>16695</v>
      </c>
      <c r="D8553" t="s">
        <v>5</v>
      </c>
      <c r="E8553" t="s">
        <v>6</v>
      </c>
      <c r="F8553" t="s">
        <v>251</v>
      </c>
      <c r="G8553">
        <v>1</v>
      </c>
      <c r="H8553" s="2">
        <f>Tabelle13[[#This Row],[commits]]/Tabelle13[[#Totals],[commits]]</f>
        <v>4.6477904404246225E-6</v>
      </c>
      <c r="I8553" s="5">
        <f>Tabelle13[[#This Row],[%]]+I8552</f>
        <v>0.99770399152232014</v>
      </c>
      <c r="J8553" s="4">
        <f t="shared" si="299"/>
        <v>1.105583195135434E-4</v>
      </c>
      <c r="K8553" s="5">
        <f t="shared" si="300"/>
        <v>0.94538419016043607</v>
      </c>
    </row>
    <row r="8554" spans="1:11" x14ac:dyDescent="0.25">
      <c r="A8554" t="s">
        <v>16696</v>
      </c>
      <c r="C8554" t="s">
        <v>16697</v>
      </c>
      <c r="D8554" t="s">
        <v>5</v>
      </c>
      <c r="E8554" t="s">
        <v>6</v>
      </c>
      <c r="F8554" t="s">
        <v>251</v>
      </c>
      <c r="G8554">
        <v>1</v>
      </c>
      <c r="H8554" s="2">
        <f>Tabelle13[[#This Row],[commits]]/Tabelle13[[#Totals],[commits]]</f>
        <v>4.6477904404246225E-6</v>
      </c>
      <c r="I8554" s="5">
        <f>Tabelle13[[#This Row],[%]]+I8553</f>
        <v>0.99770863931276055</v>
      </c>
      <c r="J8554" s="4">
        <f t="shared" si="299"/>
        <v>1.105583195135434E-4</v>
      </c>
      <c r="K8554" s="5">
        <f t="shared" si="300"/>
        <v>0.94549474847994963</v>
      </c>
    </row>
    <row r="8555" spans="1:11" x14ac:dyDescent="0.25">
      <c r="A8555" t="s">
        <v>16698</v>
      </c>
      <c r="C8555" t="s">
        <v>16699</v>
      </c>
      <c r="D8555" t="s">
        <v>5</v>
      </c>
      <c r="E8555" t="s">
        <v>6</v>
      </c>
      <c r="F8555" t="s">
        <v>251</v>
      </c>
      <c r="G8555">
        <v>1</v>
      </c>
      <c r="H8555" s="2">
        <f>Tabelle13[[#This Row],[commits]]/Tabelle13[[#Totals],[commits]]</f>
        <v>4.6477904404246225E-6</v>
      </c>
      <c r="I8555" s="5">
        <f>Tabelle13[[#This Row],[%]]+I8554</f>
        <v>0.99771328710320095</v>
      </c>
      <c r="J8555" s="4">
        <f t="shared" si="299"/>
        <v>1.105583195135434E-4</v>
      </c>
      <c r="K8555" s="5">
        <f t="shared" si="300"/>
        <v>0.9456053067994632</v>
      </c>
    </row>
    <row r="8556" spans="1:11" x14ac:dyDescent="0.25">
      <c r="A8556" t="s">
        <v>16700</v>
      </c>
      <c r="C8556" t="s">
        <v>16701</v>
      </c>
      <c r="D8556" t="s">
        <v>5</v>
      </c>
      <c r="E8556" t="s">
        <v>6</v>
      </c>
      <c r="F8556" t="s">
        <v>251</v>
      </c>
      <c r="G8556">
        <v>1</v>
      </c>
      <c r="H8556" s="2">
        <f>Tabelle13[[#This Row],[commits]]/Tabelle13[[#Totals],[commits]]</f>
        <v>4.6477904404246225E-6</v>
      </c>
      <c r="I8556" s="5">
        <f>Tabelle13[[#This Row],[%]]+I8555</f>
        <v>0.99771793489364136</v>
      </c>
      <c r="J8556" s="4">
        <f t="shared" si="299"/>
        <v>1.105583195135434E-4</v>
      </c>
      <c r="K8556" s="5">
        <f t="shared" si="300"/>
        <v>0.94571586511897676</v>
      </c>
    </row>
    <row r="8557" spans="1:11" x14ac:dyDescent="0.25">
      <c r="A8557" t="s">
        <v>16702</v>
      </c>
      <c r="C8557" t="s">
        <v>16703</v>
      </c>
      <c r="D8557" t="s">
        <v>5</v>
      </c>
      <c r="E8557" t="s">
        <v>6</v>
      </c>
      <c r="F8557" t="s">
        <v>251</v>
      </c>
      <c r="G8557">
        <v>1</v>
      </c>
      <c r="H8557" s="2">
        <f>Tabelle13[[#This Row],[commits]]/Tabelle13[[#Totals],[commits]]</f>
        <v>4.6477904404246225E-6</v>
      </c>
      <c r="I8557" s="5">
        <f>Tabelle13[[#This Row],[%]]+I8556</f>
        <v>0.99772258268408176</v>
      </c>
      <c r="J8557" s="4">
        <f t="shared" si="299"/>
        <v>1.105583195135434E-4</v>
      </c>
      <c r="K8557" s="5">
        <f t="shared" si="300"/>
        <v>0.94582642343849033</v>
      </c>
    </row>
    <row r="8558" spans="1:11" x14ac:dyDescent="0.25">
      <c r="A8558" t="s">
        <v>16704</v>
      </c>
      <c r="C8558" t="s">
        <v>16705</v>
      </c>
      <c r="D8558" t="s">
        <v>5</v>
      </c>
      <c r="E8558" t="s">
        <v>6</v>
      </c>
      <c r="F8558" t="s">
        <v>251</v>
      </c>
      <c r="G8558">
        <v>1</v>
      </c>
      <c r="H8558" s="2">
        <f>Tabelle13[[#This Row],[commits]]/Tabelle13[[#Totals],[commits]]</f>
        <v>4.6477904404246225E-6</v>
      </c>
      <c r="I8558" s="5">
        <f>Tabelle13[[#This Row],[%]]+I8557</f>
        <v>0.99772723047452216</v>
      </c>
      <c r="J8558" s="4">
        <f t="shared" si="299"/>
        <v>1.105583195135434E-4</v>
      </c>
      <c r="K8558" s="5">
        <f t="shared" si="300"/>
        <v>0.94593698175800389</v>
      </c>
    </row>
    <row r="8559" spans="1:11" x14ac:dyDescent="0.25">
      <c r="A8559" t="s">
        <v>16706</v>
      </c>
      <c r="C8559" t="s">
        <v>16707</v>
      </c>
      <c r="D8559" t="s">
        <v>5</v>
      </c>
      <c r="E8559" t="s">
        <v>6</v>
      </c>
      <c r="F8559" t="s">
        <v>251</v>
      </c>
      <c r="G8559">
        <v>1</v>
      </c>
      <c r="H8559" s="2">
        <f>Tabelle13[[#This Row],[commits]]/Tabelle13[[#Totals],[commits]]</f>
        <v>4.6477904404246225E-6</v>
      </c>
      <c r="I8559" s="5">
        <f>Tabelle13[[#This Row],[%]]+I8558</f>
        <v>0.99773187826496257</v>
      </c>
      <c r="J8559" s="4">
        <f t="shared" si="299"/>
        <v>1.105583195135434E-4</v>
      </c>
      <c r="K8559" s="5">
        <f t="shared" si="300"/>
        <v>0.94604754007751746</v>
      </c>
    </row>
    <row r="8560" spans="1:11" x14ac:dyDescent="0.25">
      <c r="A8560" t="s">
        <v>16708</v>
      </c>
      <c r="C8560" t="s">
        <v>16709</v>
      </c>
      <c r="D8560" t="s">
        <v>5</v>
      </c>
      <c r="E8560" t="s">
        <v>6</v>
      </c>
      <c r="F8560" t="s">
        <v>251</v>
      </c>
      <c r="G8560">
        <v>1</v>
      </c>
      <c r="H8560" s="2">
        <f>Tabelle13[[#This Row],[commits]]/Tabelle13[[#Totals],[commits]]</f>
        <v>4.6477904404246225E-6</v>
      </c>
      <c r="I8560" s="5">
        <f>Tabelle13[[#This Row],[%]]+I8559</f>
        <v>0.99773652605540297</v>
      </c>
      <c r="J8560" s="4">
        <f t="shared" si="299"/>
        <v>1.105583195135434E-4</v>
      </c>
      <c r="K8560" s="5">
        <f t="shared" si="300"/>
        <v>0.94615809839703102</v>
      </c>
    </row>
    <row r="8561" spans="1:11" x14ac:dyDescent="0.25">
      <c r="A8561" t="s">
        <v>16710</v>
      </c>
      <c r="C8561" t="s">
        <v>16711</v>
      </c>
      <c r="D8561" t="s">
        <v>5</v>
      </c>
      <c r="E8561" t="s">
        <v>6</v>
      </c>
      <c r="F8561" t="s">
        <v>251</v>
      </c>
      <c r="G8561">
        <v>1</v>
      </c>
      <c r="H8561" s="2">
        <f>Tabelle13[[#This Row],[commits]]/Tabelle13[[#Totals],[commits]]</f>
        <v>4.6477904404246225E-6</v>
      </c>
      <c r="I8561" s="5">
        <f>Tabelle13[[#This Row],[%]]+I8560</f>
        <v>0.99774117384584338</v>
      </c>
      <c r="J8561" s="4">
        <f t="shared" si="299"/>
        <v>1.105583195135434E-4</v>
      </c>
      <c r="K8561" s="5">
        <f t="shared" si="300"/>
        <v>0.94626865671654459</v>
      </c>
    </row>
    <row r="8562" spans="1:11" x14ac:dyDescent="0.25">
      <c r="A8562" t="s">
        <v>16712</v>
      </c>
      <c r="C8562" t="s">
        <v>16713</v>
      </c>
      <c r="D8562" t="s">
        <v>5</v>
      </c>
      <c r="E8562" t="s">
        <v>6</v>
      </c>
      <c r="F8562" t="s">
        <v>251</v>
      </c>
      <c r="G8562">
        <v>1</v>
      </c>
      <c r="H8562" s="2">
        <f>Tabelle13[[#This Row],[commits]]/Tabelle13[[#Totals],[commits]]</f>
        <v>4.6477904404246225E-6</v>
      </c>
      <c r="I8562" s="5">
        <f>Tabelle13[[#This Row],[%]]+I8561</f>
        <v>0.99774582163628378</v>
      </c>
      <c r="J8562" s="4">
        <f t="shared" si="299"/>
        <v>1.105583195135434E-4</v>
      </c>
      <c r="K8562" s="5">
        <f t="shared" si="300"/>
        <v>0.94637921503605815</v>
      </c>
    </row>
    <row r="8563" spans="1:11" x14ac:dyDescent="0.25">
      <c r="A8563" t="s">
        <v>16714</v>
      </c>
      <c r="C8563" t="s">
        <v>16715</v>
      </c>
      <c r="D8563" t="s">
        <v>5</v>
      </c>
      <c r="E8563" t="s">
        <v>6</v>
      </c>
      <c r="F8563" t="s">
        <v>251</v>
      </c>
      <c r="G8563">
        <v>1</v>
      </c>
      <c r="H8563" s="2">
        <f>Tabelle13[[#This Row],[commits]]/Tabelle13[[#Totals],[commits]]</f>
        <v>4.6477904404246225E-6</v>
      </c>
      <c r="I8563" s="5">
        <f>Tabelle13[[#This Row],[%]]+I8562</f>
        <v>0.99775046942672418</v>
      </c>
      <c r="J8563" s="4">
        <f t="shared" si="299"/>
        <v>1.105583195135434E-4</v>
      </c>
      <c r="K8563" s="5">
        <f t="shared" si="300"/>
        <v>0.94648977335557172</v>
      </c>
    </row>
    <row r="8564" spans="1:11" x14ac:dyDescent="0.25">
      <c r="A8564" t="s">
        <v>16716</v>
      </c>
      <c r="C8564" t="s">
        <v>16717</v>
      </c>
      <c r="D8564" t="s">
        <v>5</v>
      </c>
      <c r="E8564" t="s">
        <v>6</v>
      </c>
      <c r="F8564" t="s">
        <v>251</v>
      </c>
      <c r="G8564">
        <v>1</v>
      </c>
      <c r="H8564" s="2">
        <f>Tabelle13[[#This Row],[commits]]/Tabelle13[[#Totals],[commits]]</f>
        <v>4.6477904404246225E-6</v>
      </c>
      <c r="I8564" s="5">
        <f>Tabelle13[[#This Row],[%]]+I8563</f>
        <v>0.99775511721716459</v>
      </c>
      <c r="J8564" s="4">
        <f t="shared" si="299"/>
        <v>1.105583195135434E-4</v>
      </c>
      <c r="K8564" s="5">
        <f t="shared" si="300"/>
        <v>0.94660033167508528</v>
      </c>
    </row>
    <row r="8565" spans="1:11" x14ac:dyDescent="0.25">
      <c r="A8565" t="s">
        <v>16718</v>
      </c>
      <c r="C8565" t="s">
        <v>16719</v>
      </c>
      <c r="D8565" t="s">
        <v>5</v>
      </c>
      <c r="E8565" t="s">
        <v>6</v>
      </c>
      <c r="F8565" t="s">
        <v>251</v>
      </c>
      <c r="G8565">
        <v>1</v>
      </c>
      <c r="H8565" s="2">
        <f>Tabelle13[[#This Row],[commits]]/Tabelle13[[#Totals],[commits]]</f>
        <v>4.6477904404246225E-6</v>
      </c>
      <c r="I8565" s="5">
        <f>Tabelle13[[#This Row],[%]]+I8564</f>
        <v>0.99775976500760499</v>
      </c>
      <c r="J8565" s="4">
        <f t="shared" si="299"/>
        <v>1.105583195135434E-4</v>
      </c>
      <c r="K8565" s="5">
        <f t="shared" si="300"/>
        <v>0.94671088999459885</v>
      </c>
    </row>
    <row r="8566" spans="1:11" x14ac:dyDescent="0.25">
      <c r="A8566" t="s">
        <v>16720</v>
      </c>
      <c r="C8566" t="s">
        <v>16721</v>
      </c>
      <c r="D8566" t="s">
        <v>5</v>
      </c>
      <c r="E8566" t="s">
        <v>6</v>
      </c>
      <c r="F8566" t="s">
        <v>251</v>
      </c>
      <c r="G8566">
        <v>1</v>
      </c>
      <c r="H8566" s="2">
        <f>Tabelle13[[#This Row],[commits]]/Tabelle13[[#Totals],[commits]]</f>
        <v>4.6477904404246225E-6</v>
      </c>
      <c r="I8566" s="5">
        <f>Tabelle13[[#This Row],[%]]+I8565</f>
        <v>0.9977644127980454</v>
      </c>
      <c r="J8566" s="4">
        <f t="shared" si="299"/>
        <v>1.105583195135434E-4</v>
      </c>
      <c r="K8566" s="5">
        <f t="shared" si="300"/>
        <v>0.94682144831411241</v>
      </c>
    </row>
    <row r="8567" spans="1:11" x14ac:dyDescent="0.25">
      <c r="A8567" t="s">
        <v>16722</v>
      </c>
      <c r="C8567" t="s">
        <v>16723</v>
      </c>
      <c r="D8567" t="s">
        <v>5</v>
      </c>
      <c r="E8567" t="s">
        <v>6</v>
      </c>
      <c r="F8567" t="s">
        <v>251</v>
      </c>
      <c r="G8567">
        <v>1</v>
      </c>
      <c r="H8567" s="2">
        <f>Tabelle13[[#This Row],[commits]]/Tabelle13[[#Totals],[commits]]</f>
        <v>4.6477904404246225E-6</v>
      </c>
      <c r="I8567" s="5">
        <f>Tabelle13[[#This Row],[%]]+I8566</f>
        <v>0.9977690605884858</v>
      </c>
      <c r="J8567" s="4">
        <f t="shared" si="299"/>
        <v>1.105583195135434E-4</v>
      </c>
      <c r="K8567" s="5">
        <f t="shared" si="300"/>
        <v>0.94693200663362598</v>
      </c>
    </row>
    <row r="8568" spans="1:11" x14ac:dyDescent="0.25">
      <c r="A8568" t="s">
        <v>16724</v>
      </c>
      <c r="C8568" t="s">
        <v>16725</v>
      </c>
      <c r="D8568" t="s">
        <v>5</v>
      </c>
      <c r="E8568" t="s">
        <v>6</v>
      </c>
      <c r="F8568" t="s">
        <v>251</v>
      </c>
      <c r="G8568">
        <v>1</v>
      </c>
      <c r="H8568" s="2">
        <f>Tabelle13[[#This Row],[commits]]/Tabelle13[[#Totals],[commits]]</f>
        <v>4.6477904404246225E-6</v>
      </c>
      <c r="I8568" s="5">
        <f>Tabelle13[[#This Row],[%]]+I8567</f>
        <v>0.99777370837892621</v>
      </c>
      <c r="J8568" s="4">
        <f t="shared" si="299"/>
        <v>1.105583195135434E-4</v>
      </c>
      <c r="K8568" s="5">
        <f t="shared" si="300"/>
        <v>0.94704256495313954</v>
      </c>
    </row>
    <row r="8569" spans="1:11" x14ac:dyDescent="0.25">
      <c r="A8569" t="s">
        <v>16726</v>
      </c>
      <c r="C8569" t="s">
        <v>16727</v>
      </c>
      <c r="D8569" t="s">
        <v>5</v>
      </c>
      <c r="E8569" t="s">
        <v>6</v>
      </c>
      <c r="F8569" t="s">
        <v>251</v>
      </c>
      <c r="G8569">
        <v>1</v>
      </c>
      <c r="H8569" s="2">
        <f>Tabelle13[[#This Row],[commits]]/Tabelle13[[#Totals],[commits]]</f>
        <v>4.6477904404246225E-6</v>
      </c>
      <c r="I8569" s="5">
        <f>Tabelle13[[#This Row],[%]]+I8568</f>
        <v>0.99777835616936661</v>
      </c>
      <c r="J8569" s="4">
        <f t="shared" si="299"/>
        <v>1.105583195135434E-4</v>
      </c>
      <c r="K8569" s="5">
        <f t="shared" si="300"/>
        <v>0.94715312327265311</v>
      </c>
    </row>
    <row r="8570" spans="1:11" x14ac:dyDescent="0.25">
      <c r="A8570" t="s">
        <v>16728</v>
      </c>
      <c r="C8570" t="s">
        <v>16729</v>
      </c>
      <c r="D8570" t="s">
        <v>5</v>
      </c>
      <c r="E8570" t="s">
        <v>6</v>
      </c>
      <c r="F8570" t="s">
        <v>251</v>
      </c>
      <c r="G8570">
        <v>1</v>
      </c>
      <c r="H8570" s="2">
        <f>Tabelle13[[#This Row],[commits]]/Tabelle13[[#Totals],[commits]]</f>
        <v>4.6477904404246225E-6</v>
      </c>
      <c r="I8570" s="5">
        <f>Tabelle13[[#This Row],[%]]+I8569</f>
        <v>0.99778300395980701</v>
      </c>
      <c r="J8570" s="4">
        <f t="shared" si="299"/>
        <v>1.105583195135434E-4</v>
      </c>
      <c r="K8570" s="5">
        <f t="shared" si="300"/>
        <v>0.94726368159216667</v>
      </c>
    </row>
    <row r="8571" spans="1:11" x14ac:dyDescent="0.25">
      <c r="A8571" t="s">
        <v>16730</v>
      </c>
      <c r="C8571" t="s">
        <v>16731</v>
      </c>
      <c r="D8571" t="s">
        <v>5</v>
      </c>
      <c r="E8571" t="s">
        <v>6</v>
      </c>
      <c r="F8571" t="s">
        <v>251</v>
      </c>
      <c r="G8571">
        <v>1</v>
      </c>
      <c r="H8571" s="2">
        <f>Tabelle13[[#This Row],[commits]]/Tabelle13[[#Totals],[commits]]</f>
        <v>4.6477904404246225E-6</v>
      </c>
      <c r="I8571" s="5">
        <f>Tabelle13[[#This Row],[%]]+I8570</f>
        <v>0.99778765175024742</v>
      </c>
      <c r="J8571" s="4">
        <f t="shared" si="299"/>
        <v>1.105583195135434E-4</v>
      </c>
      <c r="K8571" s="5">
        <f t="shared" si="300"/>
        <v>0.94737423991168024</v>
      </c>
    </row>
    <row r="8572" spans="1:11" x14ac:dyDescent="0.25">
      <c r="A8572" t="s">
        <v>16732</v>
      </c>
      <c r="C8572" t="s">
        <v>16733</v>
      </c>
      <c r="D8572" t="s">
        <v>5</v>
      </c>
      <c r="E8572" t="s">
        <v>6</v>
      </c>
      <c r="F8572" t="s">
        <v>251</v>
      </c>
      <c r="G8572">
        <v>1</v>
      </c>
      <c r="H8572" s="2">
        <f>Tabelle13[[#This Row],[commits]]/Tabelle13[[#Totals],[commits]]</f>
        <v>4.6477904404246225E-6</v>
      </c>
      <c r="I8572" s="5">
        <f>Tabelle13[[#This Row],[%]]+I8571</f>
        <v>0.99779229954068782</v>
      </c>
      <c r="J8572" s="4">
        <f t="shared" si="299"/>
        <v>1.105583195135434E-4</v>
      </c>
      <c r="K8572" s="5">
        <f t="shared" si="300"/>
        <v>0.9474847982311938</v>
      </c>
    </row>
    <row r="8573" spans="1:11" x14ac:dyDescent="0.25">
      <c r="A8573" t="s">
        <v>16734</v>
      </c>
      <c r="C8573" t="s">
        <v>16735</v>
      </c>
      <c r="D8573" t="s">
        <v>309</v>
      </c>
      <c r="E8573" t="s">
        <v>6</v>
      </c>
      <c r="F8573" t="s">
        <v>251</v>
      </c>
      <c r="G8573">
        <v>1</v>
      </c>
      <c r="H8573" s="2">
        <f>Tabelle13[[#This Row],[commits]]/Tabelle13[[#Totals],[commits]]</f>
        <v>4.6477904404246225E-6</v>
      </c>
      <c r="I8573" s="5">
        <f>Tabelle13[[#This Row],[%]]+I8572</f>
        <v>0.99779694733112823</v>
      </c>
      <c r="J8573" s="4">
        <f t="shared" si="299"/>
        <v>1.105583195135434E-4</v>
      </c>
      <c r="K8573" s="5">
        <f t="shared" si="300"/>
        <v>0.94759535655070737</v>
      </c>
    </row>
    <row r="8574" spans="1:11" x14ac:dyDescent="0.25">
      <c r="A8574" t="s">
        <v>16736</v>
      </c>
      <c r="C8574" t="s">
        <v>16737</v>
      </c>
      <c r="D8574" t="s">
        <v>16738</v>
      </c>
      <c r="E8574" t="s">
        <v>6</v>
      </c>
      <c r="F8574" t="s">
        <v>251</v>
      </c>
      <c r="G8574">
        <v>1</v>
      </c>
      <c r="H8574" s="2">
        <f>Tabelle13[[#This Row],[commits]]/Tabelle13[[#Totals],[commits]]</f>
        <v>4.6477904404246225E-6</v>
      </c>
      <c r="I8574" s="5">
        <f>Tabelle13[[#This Row],[%]]+I8573</f>
        <v>0.99780159512156863</v>
      </c>
      <c r="J8574" s="4">
        <f t="shared" si="299"/>
        <v>1.105583195135434E-4</v>
      </c>
      <c r="K8574" s="5">
        <f t="shared" si="300"/>
        <v>0.94770591487022093</v>
      </c>
    </row>
    <row r="8575" spans="1:11" x14ac:dyDescent="0.25">
      <c r="A8575" t="s">
        <v>16739</v>
      </c>
      <c r="C8575" t="s">
        <v>16740</v>
      </c>
      <c r="D8575" t="s">
        <v>5</v>
      </c>
      <c r="E8575" t="s">
        <v>6</v>
      </c>
      <c r="F8575" t="s">
        <v>251</v>
      </c>
      <c r="G8575">
        <v>1</v>
      </c>
      <c r="H8575" s="2">
        <f>Tabelle13[[#This Row],[commits]]/Tabelle13[[#Totals],[commits]]</f>
        <v>4.6477904404246225E-6</v>
      </c>
      <c r="I8575" s="5">
        <f>Tabelle13[[#This Row],[%]]+I8574</f>
        <v>0.99780624291200903</v>
      </c>
      <c r="J8575" s="4">
        <f t="shared" si="299"/>
        <v>1.105583195135434E-4</v>
      </c>
      <c r="K8575" s="5">
        <f t="shared" si="300"/>
        <v>0.9478164731897345</v>
      </c>
    </row>
    <row r="8576" spans="1:11" x14ac:dyDescent="0.25">
      <c r="A8576" t="s">
        <v>16741</v>
      </c>
      <c r="C8576" t="s">
        <v>16742</v>
      </c>
      <c r="D8576" t="s">
        <v>5</v>
      </c>
      <c r="E8576" t="s">
        <v>6</v>
      </c>
      <c r="F8576" t="s">
        <v>251</v>
      </c>
      <c r="G8576">
        <v>1</v>
      </c>
      <c r="H8576" s="2">
        <f>Tabelle13[[#This Row],[commits]]/Tabelle13[[#Totals],[commits]]</f>
        <v>4.6477904404246225E-6</v>
      </c>
      <c r="I8576" s="5">
        <f>Tabelle13[[#This Row],[%]]+I8575</f>
        <v>0.99781089070244944</v>
      </c>
      <c r="J8576" s="4">
        <f t="shared" si="299"/>
        <v>1.105583195135434E-4</v>
      </c>
      <c r="K8576" s="5">
        <f t="shared" si="300"/>
        <v>0.94792703150924806</v>
      </c>
    </row>
    <row r="8577" spans="1:11" x14ac:dyDescent="0.25">
      <c r="A8577" t="s">
        <v>16743</v>
      </c>
      <c r="C8577" t="s">
        <v>16744</v>
      </c>
      <c r="D8577" t="s">
        <v>5</v>
      </c>
      <c r="E8577" t="s">
        <v>6</v>
      </c>
      <c r="F8577" t="s">
        <v>251</v>
      </c>
      <c r="G8577">
        <v>1</v>
      </c>
      <c r="H8577" s="2">
        <f>Tabelle13[[#This Row],[commits]]/Tabelle13[[#Totals],[commits]]</f>
        <v>4.6477904404246225E-6</v>
      </c>
      <c r="I8577" s="5">
        <f>Tabelle13[[#This Row],[%]]+I8576</f>
        <v>0.99781553849288984</v>
      </c>
      <c r="J8577" s="4">
        <f t="shared" si="299"/>
        <v>1.105583195135434E-4</v>
      </c>
      <c r="K8577" s="5">
        <f t="shared" si="300"/>
        <v>0.94803758982876163</v>
      </c>
    </row>
    <row r="8578" spans="1:11" x14ac:dyDescent="0.25">
      <c r="A8578" t="s">
        <v>16745</v>
      </c>
      <c r="C8578" t="s">
        <v>16746</v>
      </c>
      <c r="D8578" t="s">
        <v>5</v>
      </c>
      <c r="E8578" t="s">
        <v>6</v>
      </c>
      <c r="F8578" t="s">
        <v>251</v>
      </c>
      <c r="G8578">
        <v>1</v>
      </c>
      <c r="H8578" s="2">
        <f>Tabelle13[[#This Row],[commits]]/Tabelle13[[#Totals],[commits]]</f>
        <v>4.6477904404246225E-6</v>
      </c>
      <c r="I8578" s="5">
        <f>Tabelle13[[#This Row],[%]]+I8577</f>
        <v>0.99782018628333025</v>
      </c>
      <c r="J8578" s="4">
        <f t="shared" si="299"/>
        <v>1.105583195135434E-4</v>
      </c>
      <c r="K8578" s="5">
        <f t="shared" si="300"/>
        <v>0.94814814814827519</v>
      </c>
    </row>
    <row r="8579" spans="1:11" x14ac:dyDescent="0.25">
      <c r="A8579" t="s">
        <v>16747</v>
      </c>
      <c r="C8579" t="s">
        <v>16748</v>
      </c>
      <c r="D8579" t="s">
        <v>5</v>
      </c>
      <c r="E8579" t="s">
        <v>6</v>
      </c>
      <c r="F8579" t="s">
        <v>251</v>
      </c>
      <c r="G8579">
        <v>1</v>
      </c>
      <c r="H8579" s="2">
        <f>Tabelle13[[#This Row],[commits]]/Tabelle13[[#Totals],[commits]]</f>
        <v>4.6477904404246225E-6</v>
      </c>
      <c r="I8579" s="5">
        <f>Tabelle13[[#This Row],[%]]+I8578</f>
        <v>0.99782483407377065</v>
      </c>
      <c r="J8579" s="4">
        <f t="shared" ref="J8579:J8642" si="301">1/9045</f>
        <v>1.105583195135434E-4</v>
      </c>
      <c r="K8579" s="5">
        <f t="shared" si="300"/>
        <v>0.94825870646778876</v>
      </c>
    </row>
    <row r="8580" spans="1:11" x14ac:dyDescent="0.25">
      <c r="A8580" t="s">
        <v>16749</v>
      </c>
      <c r="C8580" t="s">
        <v>16750</v>
      </c>
      <c r="D8580" t="s">
        <v>5</v>
      </c>
      <c r="E8580" t="s">
        <v>6</v>
      </c>
      <c r="F8580" t="s">
        <v>251</v>
      </c>
      <c r="G8580">
        <v>1</v>
      </c>
      <c r="H8580" s="2">
        <f>Tabelle13[[#This Row],[commits]]/Tabelle13[[#Totals],[commits]]</f>
        <v>4.6477904404246225E-6</v>
      </c>
      <c r="I8580" s="5">
        <f>Tabelle13[[#This Row],[%]]+I8579</f>
        <v>0.99782948186421105</v>
      </c>
      <c r="J8580" s="4">
        <f t="shared" si="301"/>
        <v>1.105583195135434E-4</v>
      </c>
      <c r="K8580" s="5">
        <f t="shared" si="300"/>
        <v>0.94836926478730232</v>
      </c>
    </row>
    <row r="8581" spans="1:11" x14ac:dyDescent="0.25">
      <c r="A8581" t="s">
        <v>16751</v>
      </c>
      <c r="C8581" t="s">
        <v>16752</v>
      </c>
      <c r="D8581" t="s">
        <v>5</v>
      </c>
      <c r="E8581" t="s">
        <v>6</v>
      </c>
      <c r="F8581" t="s">
        <v>251</v>
      </c>
      <c r="G8581">
        <v>1</v>
      </c>
      <c r="H8581" s="2">
        <f>Tabelle13[[#This Row],[commits]]/Tabelle13[[#Totals],[commits]]</f>
        <v>4.6477904404246225E-6</v>
      </c>
      <c r="I8581" s="5">
        <f>Tabelle13[[#This Row],[%]]+I8580</f>
        <v>0.99783412965465146</v>
      </c>
      <c r="J8581" s="4">
        <f t="shared" si="301"/>
        <v>1.105583195135434E-4</v>
      </c>
      <c r="K8581" s="5">
        <f t="shared" si="300"/>
        <v>0.94847982310681589</v>
      </c>
    </row>
    <row r="8582" spans="1:11" x14ac:dyDescent="0.25">
      <c r="A8582" t="s">
        <v>16753</v>
      </c>
      <c r="C8582" t="s">
        <v>16754</v>
      </c>
      <c r="D8582" t="s">
        <v>9062</v>
      </c>
      <c r="E8582" t="s">
        <v>6</v>
      </c>
      <c r="F8582" t="s">
        <v>251</v>
      </c>
      <c r="G8582">
        <v>1</v>
      </c>
      <c r="H8582" s="2">
        <f>Tabelle13[[#This Row],[commits]]/Tabelle13[[#Totals],[commits]]</f>
        <v>4.6477904404246225E-6</v>
      </c>
      <c r="I8582" s="5">
        <f>Tabelle13[[#This Row],[%]]+I8581</f>
        <v>0.99783877744509186</v>
      </c>
      <c r="J8582" s="4">
        <f t="shared" si="301"/>
        <v>1.105583195135434E-4</v>
      </c>
      <c r="K8582" s="5">
        <f t="shared" ref="K8582:K8645" si="302">J8582+K8581</f>
        <v>0.94859038142632945</v>
      </c>
    </row>
    <row r="8583" spans="1:11" x14ac:dyDescent="0.25">
      <c r="A8583" t="s">
        <v>16755</v>
      </c>
      <c r="C8583" t="s">
        <v>16756</v>
      </c>
      <c r="D8583" t="s">
        <v>2471</v>
      </c>
      <c r="E8583" t="s">
        <v>6</v>
      </c>
      <c r="F8583" t="s">
        <v>251</v>
      </c>
      <c r="G8583">
        <v>1</v>
      </c>
      <c r="H8583" s="2">
        <f>Tabelle13[[#This Row],[commits]]/Tabelle13[[#Totals],[commits]]</f>
        <v>4.6477904404246225E-6</v>
      </c>
      <c r="I8583" s="5">
        <f>Tabelle13[[#This Row],[%]]+I8582</f>
        <v>0.99784342523553227</v>
      </c>
      <c r="J8583" s="4">
        <f t="shared" si="301"/>
        <v>1.105583195135434E-4</v>
      </c>
      <c r="K8583" s="5">
        <f t="shared" si="302"/>
        <v>0.94870093974584302</v>
      </c>
    </row>
    <row r="8584" spans="1:11" x14ac:dyDescent="0.25">
      <c r="A8584" t="s">
        <v>16757</v>
      </c>
      <c r="C8584" t="s">
        <v>16758</v>
      </c>
      <c r="D8584" t="s">
        <v>5</v>
      </c>
      <c r="E8584" t="s">
        <v>6</v>
      </c>
      <c r="F8584" t="s">
        <v>251</v>
      </c>
      <c r="G8584">
        <v>1</v>
      </c>
      <c r="H8584" s="2">
        <f>Tabelle13[[#This Row],[commits]]/Tabelle13[[#Totals],[commits]]</f>
        <v>4.6477904404246225E-6</v>
      </c>
      <c r="I8584" s="5">
        <f>Tabelle13[[#This Row],[%]]+I8583</f>
        <v>0.99784807302597267</v>
      </c>
      <c r="J8584" s="4">
        <f t="shared" si="301"/>
        <v>1.105583195135434E-4</v>
      </c>
      <c r="K8584" s="5">
        <f t="shared" si="302"/>
        <v>0.94881149806535658</v>
      </c>
    </row>
    <row r="8585" spans="1:11" x14ac:dyDescent="0.25">
      <c r="A8585" t="s">
        <v>16759</v>
      </c>
      <c r="C8585" t="s">
        <v>16760</v>
      </c>
      <c r="D8585" t="s">
        <v>5</v>
      </c>
      <c r="E8585" t="s">
        <v>6</v>
      </c>
      <c r="F8585" t="s">
        <v>251</v>
      </c>
      <c r="G8585">
        <v>1</v>
      </c>
      <c r="H8585" s="2">
        <f>Tabelle13[[#This Row],[commits]]/Tabelle13[[#Totals],[commits]]</f>
        <v>4.6477904404246225E-6</v>
      </c>
      <c r="I8585" s="5">
        <f>Tabelle13[[#This Row],[%]]+I8584</f>
        <v>0.99785272081641307</v>
      </c>
      <c r="J8585" s="4">
        <f t="shared" si="301"/>
        <v>1.105583195135434E-4</v>
      </c>
      <c r="K8585" s="5">
        <f t="shared" si="302"/>
        <v>0.94892205638487015</v>
      </c>
    </row>
    <row r="8586" spans="1:11" x14ac:dyDescent="0.25">
      <c r="A8586" t="s">
        <v>16761</v>
      </c>
      <c r="C8586" t="s">
        <v>16762</v>
      </c>
      <c r="D8586" t="s">
        <v>5</v>
      </c>
      <c r="E8586" t="s">
        <v>6</v>
      </c>
      <c r="F8586" t="s">
        <v>251</v>
      </c>
      <c r="G8586">
        <v>1</v>
      </c>
      <c r="H8586" s="2">
        <f>Tabelle13[[#This Row],[commits]]/Tabelle13[[#Totals],[commits]]</f>
        <v>4.6477904404246225E-6</v>
      </c>
      <c r="I8586" s="5">
        <f>Tabelle13[[#This Row],[%]]+I8585</f>
        <v>0.99785736860685348</v>
      </c>
      <c r="J8586" s="4">
        <f t="shared" si="301"/>
        <v>1.105583195135434E-4</v>
      </c>
      <c r="K8586" s="5">
        <f t="shared" si="302"/>
        <v>0.94903261470438371</v>
      </c>
    </row>
    <row r="8587" spans="1:11" x14ac:dyDescent="0.25">
      <c r="A8587" t="s">
        <v>16763</v>
      </c>
      <c r="C8587" t="s">
        <v>16764</v>
      </c>
      <c r="D8587" t="s">
        <v>5</v>
      </c>
      <c r="E8587" t="s">
        <v>6</v>
      </c>
      <c r="F8587" t="s">
        <v>251</v>
      </c>
      <c r="G8587">
        <v>1</v>
      </c>
      <c r="H8587" s="2">
        <f>Tabelle13[[#This Row],[commits]]/Tabelle13[[#Totals],[commits]]</f>
        <v>4.6477904404246225E-6</v>
      </c>
      <c r="I8587" s="5">
        <f>Tabelle13[[#This Row],[%]]+I8586</f>
        <v>0.99786201639729388</v>
      </c>
      <c r="J8587" s="4">
        <f t="shared" si="301"/>
        <v>1.105583195135434E-4</v>
      </c>
      <c r="K8587" s="5">
        <f t="shared" si="302"/>
        <v>0.94914317302389728</v>
      </c>
    </row>
    <row r="8588" spans="1:11" x14ac:dyDescent="0.25">
      <c r="A8588" t="s">
        <v>16765</v>
      </c>
      <c r="C8588" t="s">
        <v>16766</v>
      </c>
      <c r="D8588" t="s">
        <v>15818</v>
      </c>
      <c r="E8588" t="s">
        <v>6</v>
      </c>
      <c r="F8588" t="s">
        <v>251</v>
      </c>
      <c r="G8588">
        <v>1</v>
      </c>
      <c r="H8588" s="2">
        <f>Tabelle13[[#This Row],[commits]]/Tabelle13[[#Totals],[commits]]</f>
        <v>4.6477904404246225E-6</v>
      </c>
      <c r="I8588" s="5">
        <f>Tabelle13[[#This Row],[%]]+I8587</f>
        <v>0.99786666418773429</v>
      </c>
      <c r="J8588" s="4">
        <f t="shared" si="301"/>
        <v>1.105583195135434E-4</v>
      </c>
      <c r="K8588" s="5">
        <f t="shared" si="302"/>
        <v>0.94925373134341084</v>
      </c>
    </row>
    <row r="8589" spans="1:11" x14ac:dyDescent="0.25">
      <c r="A8589" t="s">
        <v>16767</v>
      </c>
      <c r="C8589" t="s">
        <v>16768</v>
      </c>
      <c r="D8589" t="s">
        <v>5</v>
      </c>
      <c r="E8589" t="s">
        <v>6</v>
      </c>
      <c r="F8589" t="s">
        <v>251</v>
      </c>
      <c r="G8589">
        <v>1</v>
      </c>
      <c r="H8589" s="2">
        <f>Tabelle13[[#This Row],[commits]]/Tabelle13[[#Totals],[commits]]</f>
        <v>4.6477904404246225E-6</v>
      </c>
      <c r="I8589" s="5">
        <f>Tabelle13[[#This Row],[%]]+I8588</f>
        <v>0.99787131197817469</v>
      </c>
      <c r="J8589" s="4">
        <f t="shared" si="301"/>
        <v>1.105583195135434E-4</v>
      </c>
      <c r="K8589" s="5">
        <f t="shared" si="302"/>
        <v>0.94936428966292441</v>
      </c>
    </row>
    <row r="8590" spans="1:11" x14ac:dyDescent="0.25">
      <c r="A8590" t="s">
        <v>16769</v>
      </c>
      <c r="C8590" t="s">
        <v>16770</v>
      </c>
      <c r="D8590" t="s">
        <v>5</v>
      </c>
      <c r="E8590" t="s">
        <v>6</v>
      </c>
      <c r="F8590" t="s">
        <v>251</v>
      </c>
      <c r="G8590">
        <v>1</v>
      </c>
      <c r="H8590" s="2">
        <f>Tabelle13[[#This Row],[commits]]/Tabelle13[[#Totals],[commits]]</f>
        <v>4.6477904404246225E-6</v>
      </c>
      <c r="I8590" s="5">
        <f>Tabelle13[[#This Row],[%]]+I8589</f>
        <v>0.9978759597686151</v>
      </c>
      <c r="J8590" s="4">
        <f t="shared" si="301"/>
        <v>1.105583195135434E-4</v>
      </c>
      <c r="K8590" s="5">
        <f t="shared" si="302"/>
        <v>0.94947484798243797</v>
      </c>
    </row>
    <row r="8591" spans="1:11" x14ac:dyDescent="0.25">
      <c r="A8591" t="s">
        <v>16771</v>
      </c>
      <c r="C8591" t="s">
        <v>16772</v>
      </c>
      <c r="D8591" t="s">
        <v>5</v>
      </c>
      <c r="E8591" t="s">
        <v>6</v>
      </c>
      <c r="F8591" t="s">
        <v>251</v>
      </c>
      <c r="G8591">
        <v>1</v>
      </c>
      <c r="H8591" s="2">
        <f>Tabelle13[[#This Row],[commits]]/Tabelle13[[#Totals],[commits]]</f>
        <v>4.6477904404246225E-6</v>
      </c>
      <c r="I8591" s="5">
        <f>Tabelle13[[#This Row],[%]]+I8590</f>
        <v>0.9978806075590555</v>
      </c>
      <c r="J8591" s="4">
        <f t="shared" si="301"/>
        <v>1.105583195135434E-4</v>
      </c>
      <c r="K8591" s="5">
        <f t="shared" si="302"/>
        <v>0.94958540630195154</v>
      </c>
    </row>
    <row r="8592" spans="1:11" x14ac:dyDescent="0.25">
      <c r="A8592" t="s">
        <v>16773</v>
      </c>
      <c r="C8592" t="s">
        <v>16774</v>
      </c>
      <c r="D8592" t="s">
        <v>309</v>
      </c>
      <c r="E8592" t="s">
        <v>6</v>
      </c>
      <c r="F8592" t="s">
        <v>251</v>
      </c>
      <c r="G8592">
        <v>1</v>
      </c>
      <c r="H8592" s="2">
        <f>Tabelle13[[#This Row],[commits]]/Tabelle13[[#Totals],[commits]]</f>
        <v>4.6477904404246225E-6</v>
      </c>
      <c r="I8592" s="5">
        <f>Tabelle13[[#This Row],[%]]+I8591</f>
        <v>0.9978852553494959</v>
      </c>
      <c r="J8592" s="4">
        <f t="shared" si="301"/>
        <v>1.105583195135434E-4</v>
      </c>
      <c r="K8592" s="5">
        <f t="shared" si="302"/>
        <v>0.94969596462146511</v>
      </c>
    </row>
    <row r="8593" spans="1:11" x14ac:dyDescent="0.25">
      <c r="A8593" t="s">
        <v>16775</v>
      </c>
      <c r="C8593" t="s">
        <v>16776</v>
      </c>
      <c r="D8593" t="s">
        <v>5</v>
      </c>
      <c r="E8593" t="s">
        <v>6</v>
      </c>
      <c r="F8593" t="s">
        <v>251</v>
      </c>
      <c r="G8593">
        <v>1</v>
      </c>
      <c r="H8593" s="2">
        <f>Tabelle13[[#This Row],[commits]]/Tabelle13[[#Totals],[commits]]</f>
        <v>4.6477904404246225E-6</v>
      </c>
      <c r="I8593" s="5">
        <f>Tabelle13[[#This Row],[%]]+I8592</f>
        <v>0.99788990313993631</v>
      </c>
      <c r="J8593" s="4">
        <f t="shared" si="301"/>
        <v>1.105583195135434E-4</v>
      </c>
      <c r="K8593" s="5">
        <f t="shared" si="302"/>
        <v>0.94980652294097867</v>
      </c>
    </row>
    <row r="8594" spans="1:11" x14ac:dyDescent="0.25">
      <c r="A8594" t="s">
        <v>16777</v>
      </c>
      <c r="C8594" t="s">
        <v>16778</v>
      </c>
      <c r="D8594" t="s">
        <v>5</v>
      </c>
      <c r="E8594" t="s">
        <v>6</v>
      </c>
      <c r="F8594" t="s">
        <v>251</v>
      </c>
      <c r="G8594">
        <v>1</v>
      </c>
      <c r="H8594" s="2">
        <f>Tabelle13[[#This Row],[commits]]/Tabelle13[[#Totals],[commits]]</f>
        <v>4.6477904404246225E-6</v>
      </c>
      <c r="I8594" s="5">
        <f>Tabelle13[[#This Row],[%]]+I8593</f>
        <v>0.99789455093037671</v>
      </c>
      <c r="J8594" s="4">
        <f t="shared" si="301"/>
        <v>1.105583195135434E-4</v>
      </c>
      <c r="K8594" s="5">
        <f t="shared" si="302"/>
        <v>0.94991708126049224</v>
      </c>
    </row>
    <row r="8595" spans="1:11" x14ac:dyDescent="0.25">
      <c r="A8595" t="s">
        <v>16779</v>
      </c>
      <c r="C8595" t="s">
        <v>16780</v>
      </c>
      <c r="D8595" t="s">
        <v>5</v>
      </c>
      <c r="E8595" t="s">
        <v>6</v>
      </c>
      <c r="F8595" t="s">
        <v>251</v>
      </c>
      <c r="G8595">
        <v>1</v>
      </c>
      <c r="H8595" s="2">
        <f>Tabelle13[[#This Row],[commits]]/Tabelle13[[#Totals],[commits]]</f>
        <v>4.6477904404246225E-6</v>
      </c>
      <c r="I8595" s="5">
        <f>Tabelle13[[#This Row],[%]]+I8594</f>
        <v>0.99789919872081712</v>
      </c>
      <c r="J8595" s="4">
        <f t="shared" si="301"/>
        <v>1.105583195135434E-4</v>
      </c>
      <c r="K8595" s="5">
        <f t="shared" si="302"/>
        <v>0.9500276395800058</v>
      </c>
    </row>
    <row r="8596" spans="1:11" x14ac:dyDescent="0.25">
      <c r="A8596" t="s">
        <v>16781</v>
      </c>
      <c r="C8596" t="s">
        <v>16782</v>
      </c>
      <c r="D8596" t="s">
        <v>5</v>
      </c>
      <c r="E8596" t="s">
        <v>6</v>
      </c>
      <c r="F8596" t="s">
        <v>251</v>
      </c>
      <c r="G8596">
        <v>1</v>
      </c>
      <c r="H8596" s="2">
        <f>Tabelle13[[#This Row],[commits]]/Tabelle13[[#Totals],[commits]]</f>
        <v>4.6477904404246225E-6</v>
      </c>
      <c r="I8596" s="5">
        <f>Tabelle13[[#This Row],[%]]+I8595</f>
        <v>0.99790384651125752</v>
      </c>
      <c r="J8596" s="4">
        <f t="shared" si="301"/>
        <v>1.105583195135434E-4</v>
      </c>
      <c r="K8596" s="5">
        <f t="shared" si="302"/>
        <v>0.95013819789951937</v>
      </c>
    </row>
    <row r="8597" spans="1:11" x14ac:dyDescent="0.25">
      <c r="A8597" t="s">
        <v>16783</v>
      </c>
      <c r="C8597" t="s">
        <v>16784</v>
      </c>
      <c r="D8597" t="s">
        <v>5</v>
      </c>
      <c r="E8597" t="s">
        <v>6</v>
      </c>
      <c r="F8597" t="s">
        <v>251</v>
      </c>
      <c r="G8597">
        <v>1</v>
      </c>
      <c r="H8597" s="2">
        <f>Tabelle13[[#This Row],[commits]]/Tabelle13[[#Totals],[commits]]</f>
        <v>4.6477904404246225E-6</v>
      </c>
      <c r="I8597" s="5">
        <f>Tabelle13[[#This Row],[%]]+I8596</f>
        <v>0.99790849430169792</v>
      </c>
      <c r="J8597" s="4">
        <f t="shared" si="301"/>
        <v>1.105583195135434E-4</v>
      </c>
      <c r="K8597" s="5">
        <f t="shared" si="302"/>
        <v>0.95024875621903293</v>
      </c>
    </row>
    <row r="8598" spans="1:11" x14ac:dyDescent="0.25">
      <c r="A8598" t="s">
        <v>16785</v>
      </c>
      <c r="C8598" t="s">
        <v>16786</v>
      </c>
      <c r="D8598" t="s">
        <v>5</v>
      </c>
      <c r="E8598" t="s">
        <v>6</v>
      </c>
      <c r="F8598" t="s">
        <v>251</v>
      </c>
      <c r="G8598">
        <v>1</v>
      </c>
      <c r="H8598" s="2">
        <f>Tabelle13[[#This Row],[commits]]/Tabelle13[[#Totals],[commits]]</f>
        <v>4.6477904404246225E-6</v>
      </c>
      <c r="I8598" s="5">
        <f>Tabelle13[[#This Row],[%]]+I8597</f>
        <v>0.99791314209213833</v>
      </c>
      <c r="J8598" s="4">
        <f t="shared" si="301"/>
        <v>1.105583195135434E-4</v>
      </c>
      <c r="K8598" s="5">
        <f t="shared" si="302"/>
        <v>0.9503593145385465</v>
      </c>
    </row>
    <row r="8599" spans="1:11" x14ac:dyDescent="0.25">
      <c r="A8599" t="s">
        <v>16787</v>
      </c>
      <c r="C8599" t="s">
        <v>16788</v>
      </c>
      <c r="D8599" t="s">
        <v>5</v>
      </c>
      <c r="E8599" t="s">
        <v>6</v>
      </c>
      <c r="F8599" t="s">
        <v>251</v>
      </c>
      <c r="G8599">
        <v>1</v>
      </c>
      <c r="H8599" s="2">
        <f>Tabelle13[[#This Row],[commits]]/Tabelle13[[#Totals],[commits]]</f>
        <v>4.6477904404246225E-6</v>
      </c>
      <c r="I8599" s="5">
        <f>Tabelle13[[#This Row],[%]]+I8598</f>
        <v>0.99791778988257873</v>
      </c>
      <c r="J8599" s="4">
        <f t="shared" si="301"/>
        <v>1.105583195135434E-4</v>
      </c>
      <c r="K8599" s="5">
        <f t="shared" si="302"/>
        <v>0.95046987285806006</v>
      </c>
    </row>
    <row r="8600" spans="1:11" x14ac:dyDescent="0.25">
      <c r="A8600" t="s">
        <v>16789</v>
      </c>
      <c r="C8600" t="s">
        <v>16790</v>
      </c>
      <c r="D8600" t="s">
        <v>5</v>
      </c>
      <c r="E8600" t="s">
        <v>6</v>
      </c>
      <c r="F8600" t="s">
        <v>251</v>
      </c>
      <c r="G8600">
        <v>1</v>
      </c>
      <c r="H8600" s="2">
        <f>Tabelle13[[#This Row],[commits]]/Tabelle13[[#Totals],[commits]]</f>
        <v>4.6477904404246225E-6</v>
      </c>
      <c r="I8600" s="5">
        <f>Tabelle13[[#This Row],[%]]+I8599</f>
        <v>0.99792243767301914</v>
      </c>
      <c r="J8600" s="4">
        <f t="shared" si="301"/>
        <v>1.105583195135434E-4</v>
      </c>
      <c r="K8600" s="5">
        <f t="shared" si="302"/>
        <v>0.95058043117757363</v>
      </c>
    </row>
    <row r="8601" spans="1:11" x14ac:dyDescent="0.25">
      <c r="A8601" t="s">
        <v>16791</v>
      </c>
      <c r="C8601" t="s">
        <v>16792</v>
      </c>
      <c r="D8601" t="s">
        <v>16793</v>
      </c>
      <c r="E8601" t="s">
        <v>6</v>
      </c>
      <c r="F8601" t="s">
        <v>251</v>
      </c>
      <c r="G8601">
        <v>1</v>
      </c>
      <c r="H8601" s="2">
        <f>Tabelle13[[#This Row],[commits]]/Tabelle13[[#Totals],[commits]]</f>
        <v>4.6477904404246225E-6</v>
      </c>
      <c r="I8601" s="5">
        <f>Tabelle13[[#This Row],[%]]+I8600</f>
        <v>0.99792708546345954</v>
      </c>
      <c r="J8601" s="4">
        <f t="shared" si="301"/>
        <v>1.105583195135434E-4</v>
      </c>
      <c r="K8601" s="5">
        <f t="shared" si="302"/>
        <v>0.95069098949708719</v>
      </c>
    </row>
    <row r="8602" spans="1:11" x14ac:dyDescent="0.25">
      <c r="A8602" t="s">
        <v>16794</v>
      </c>
      <c r="C8602" t="s">
        <v>16795</v>
      </c>
      <c r="D8602" t="s">
        <v>5</v>
      </c>
      <c r="E8602" t="s">
        <v>6</v>
      </c>
      <c r="F8602" t="s">
        <v>251</v>
      </c>
      <c r="G8602">
        <v>1</v>
      </c>
      <c r="H8602" s="2">
        <f>Tabelle13[[#This Row],[commits]]/Tabelle13[[#Totals],[commits]]</f>
        <v>4.6477904404246225E-6</v>
      </c>
      <c r="I8602" s="5">
        <f>Tabelle13[[#This Row],[%]]+I8601</f>
        <v>0.99793173325389994</v>
      </c>
      <c r="J8602" s="4">
        <f t="shared" si="301"/>
        <v>1.105583195135434E-4</v>
      </c>
      <c r="K8602" s="5">
        <f t="shared" si="302"/>
        <v>0.95080154781660076</v>
      </c>
    </row>
    <row r="8603" spans="1:11" x14ac:dyDescent="0.25">
      <c r="A8603" t="s">
        <v>16796</v>
      </c>
      <c r="C8603" t="s">
        <v>16797</v>
      </c>
      <c r="D8603" t="s">
        <v>5</v>
      </c>
      <c r="E8603" t="s">
        <v>6</v>
      </c>
      <c r="F8603" t="s">
        <v>251</v>
      </c>
      <c r="G8603">
        <v>1</v>
      </c>
      <c r="H8603" s="2">
        <f>Tabelle13[[#This Row],[commits]]/Tabelle13[[#Totals],[commits]]</f>
        <v>4.6477904404246225E-6</v>
      </c>
      <c r="I8603" s="5">
        <f>Tabelle13[[#This Row],[%]]+I8602</f>
        <v>0.99793638104434035</v>
      </c>
      <c r="J8603" s="4">
        <f t="shared" si="301"/>
        <v>1.105583195135434E-4</v>
      </c>
      <c r="K8603" s="5">
        <f t="shared" si="302"/>
        <v>0.95091210613611432</v>
      </c>
    </row>
    <row r="8604" spans="1:11" x14ac:dyDescent="0.25">
      <c r="A8604" t="s">
        <v>16798</v>
      </c>
      <c r="C8604" t="s">
        <v>16799</v>
      </c>
      <c r="D8604" t="s">
        <v>5</v>
      </c>
      <c r="E8604" t="s">
        <v>6</v>
      </c>
      <c r="F8604" t="s">
        <v>251</v>
      </c>
      <c r="G8604">
        <v>1</v>
      </c>
      <c r="H8604" s="2">
        <f>Tabelle13[[#This Row],[commits]]/Tabelle13[[#Totals],[commits]]</f>
        <v>4.6477904404246225E-6</v>
      </c>
      <c r="I8604" s="5">
        <f>Tabelle13[[#This Row],[%]]+I8603</f>
        <v>0.99794102883478075</v>
      </c>
      <c r="J8604" s="4">
        <f t="shared" si="301"/>
        <v>1.105583195135434E-4</v>
      </c>
      <c r="K8604" s="5">
        <f t="shared" si="302"/>
        <v>0.95102266445562789</v>
      </c>
    </row>
    <row r="8605" spans="1:11" x14ac:dyDescent="0.25">
      <c r="A8605" t="s">
        <v>16800</v>
      </c>
      <c r="C8605" t="s">
        <v>16801</v>
      </c>
      <c r="D8605" t="s">
        <v>5</v>
      </c>
      <c r="E8605" t="s">
        <v>6</v>
      </c>
      <c r="F8605" t="s">
        <v>251</v>
      </c>
      <c r="G8605">
        <v>1</v>
      </c>
      <c r="H8605" s="2">
        <f>Tabelle13[[#This Row],[commits]]/Tabelle13[[#Totals],[commits]]</f>
        <v>4.6477904404246225E-6</v>
      </c>
      <c r="I8605" s="5">
        <f>Tabelle13[[#This Row],[%]]+I8604</f>
        <v>0.99794567662522116</v>
      </c>
      <c r="J8605" s="4">
        <f t="shared" si="301"/>
        <v>1.105583195135434E-4</v>
      </c>
      <c r="K8605" s="5">
        <f t="shared" si="302"/>
        <v>0.95113322277514145</v>
      </c>
    </row>
    <row r="8606" spans="1:11" x14ac:dyDescent="0.25">
      <c r="A8606" t="s">
        <v>16802</v>
      </c>
      <c r="C8606" t="s">
        <v>16803</v>
      </c>
      <c r="D8606" t="s">
        <v>5</v>
      </c>
      <c r="E8606" t="s">
        <v>6</v>
      </c>
      <c r="F8606" t="s">
        <v>251</v>
      </c>
      <c r="G8606">
        <v>1</v>
      </c>
      <c r="H8606" s="2">
        <f>Tabelle13[[#This Row],[commits]]/Tabelle13[[#Totals],[commits]]</f>
        <v>4.6477904404246225E-6</v>
      </c>
      <c r="I8606" s="5">
        <f>Tabelle13[[#This Row],[%]]+I8605</f>
        <v>0.99795032441566156</v>
      </c>
      <c r="J8606" s="4">
        <f t="shared" si="301"/>
        <v>1.105583195135434E-4</v>
      </c>
      <c r="K8606" s="5">
        <f t="shared" si="302"/>
        <v>0.95124378109465502</v>
      </c>
    </row>
    <row r="8607" spans="1:11" x14ac:dyDescent="0.25">
      <c r="A8607" t="s">
        <v>16804</v>
      </c>
      <c r="C8607" t="s">
        <v>16805</v>
      </c>
      <c r="D8607" t="s">
        <v>5</v>
      </c>
      <c r="E8607" t="s">
        <v>6</v>
      </c>
      <c r="F8607" t="s">
        <v>251</v>
      </c>
      <c r="G8607">
        <v>1</v>
      </c>
      <c r="H8607" s="2">
        <f>Tabelle13[[#This Row],[commits]]/Tabelle13[[#Totals],[commits]]</f>
        <v>4.6477904404246225E-6</v>
      </c>
      <c r="I8607" s="5">
        <f>Tabelle13[[#This Row],[%]]+I8606</f>
        <v>0.99795497220610196</v>
      </c>
      <c r="J8607" s="4">
        <f t="shared" si="301"/>
        <v>1.105583195135434E-4</v>
      </c>
      <c r="K8607" s="5">
        <f t="shared" si="302"/>
        <v>0.95135433941416858</v>
      </c>
    </row>
    <row r="8608" spans="1:11" x14ac:dyDescent="0.25">
      <c r="A8608" t="s">
        <v>16806</v>
      </c>
      <c r="C8608" t="s">
        <v>2735</v>
      </c>
      <c r="D8608" t="s">
        <v>16807</v>
      </c>
      <c r="E8608" t="s">
        <v>6</v>
      </c>
      <c r="F8608" t="s">
        <v>251</v>
      </c>
      <c r="G8608">
        <v>1</v>
      </c>
      <c r="H8608" s="2">
        <f>Tabelle13[[#This Row],[commits]]/Tabelle13[[#Totals],[commits]]</f>
        <v>4.6477904404246225E-6</v>
      </c>
      <c r="I8608" s="5">
        <f>Tabelle13[[#This Row],[%]]+I8607</f>
        <v>0.99795961999654237</v>
      </c>
      <c r="J8608" s="4">
        <f t="shared" si="301"/>
        <v>1.105583195135434E-4</v>
      </c>
      <c r="K8608" s="5">
        <f t="shared" si="302"/>
        <v>0.95146489773368215</v>
      </c>
    </row>
    <row r="8609" spans="1:11" x14ac:dyDescent="0.25">
      <c r="A8609" t="s">
        <v>16808</v>
      </c>
      <c r="C8609" t="s">
        <v>16809</v>
      </c>
      <c r="D8609" t="s">
        <v>8948</v>
      </c>
      <c r="E8609" t="s">
        <v>6</v>
      </c>
      <c r="F8609" t="s">
        <v>251</v>
      </c>
      <c r="G8609">
        <v>1</v>
      </c>
      <c r="H8609" s="2">
        <f>Tabelle13[[#This Row],[commits]]/Tabelle13[[#Totals],[commits]]</f>
        <v>4.6477904404246225E-6</v>
      </c>
      <c r="I8609" s="5">
        <f>Tabelle13[[#This Row],[%]]+I8608</f>
        <v>0.99796426778698277</v>
      </c>
      <c r="J8609" s="4">
        <f t="shared" si="301"/>
        <v>1.105583195135434E-4</v>
      </c>
      <c r="K8609" s="5">
        <f t="shared" si="302"/>
        <v>0.95157545605319571</v>
      </c>
    </row>
    <row r="8610" spans="1:11" x14ac:dyDescent="0.25">
      <c r="A8610" t="s">
        <v>16810</v>
      </c>
      <c r="C8610" t="s">
        <v>16811</v>
      </c>
      <c r="D8610" t="s">
        <v>16812</v>
      </c>
      <c r="E8610" t="s">
        <v>6</v>
      </c>
      <c r="F8610" t="s">
        <v>251</v>
      </c>
      <c r="G8610">
        <v>1</v>
      </c>
      <c r="H8610" s="2">
        <f>Tabelle13[[#This Row],[commits]]/Tabelle13[[#Totals],[commits]]</f>
        <v>4.6477904404246225E-6</v>
      </c>
      <c r="I8610" s="5">
        <f>Tabelle13[[#This Row],[%]]+I8609</f>
        <v>0.99796891557742318</v>
      </c>
      <c r="J8610" s="4">
        <f t="shared" si="301"/>
        <v>1.105583195135434E-4</v>
      </c>
      <c r="K8610" s="5">
        <f t="shared" si="302"/>
        <v>0.95168601437270928</v>
      </c>
    </row>
    <row r="8611" spans="1:11" x14ac:dyDescent="0.25">
      <c r="A8611" t="s">
        <v>16813</v>
      </c>
      <c r="C8611" t="s">
        <v>16814</v>
      </c>
      <c r="D8611" t="s">
        <v>5</v>
      </c>
      <c r="E8611" t="s">
        <v>6</v>
      </c>
      <c r="F8611" t="s">
        <v>251</v>
      </c>
      <c r="G8611">
        <v>1</v>
      </c>
      <c r="H8611" s="2">
        <f>Tabelle13[[#This Row],[commits]]/Tabelle13[[#Totals],[commits]]</f>
        <v>4.6477904404246225E-6</v>
      </c>
      <c r="I8611" s="5">
        <f>Tabelle13[[#This Row],[%]]+I8610</f>
        <v>0.99797356336786358</v>
      </c>
      <c r="J8611" s="4">
        <f t="shared" si="301"/>
        <v>1.105583195135434E-4</v>
      </c>
      <c r="K8611" s="5">
        <f t="shared" si="302"/>
        <v>0.95179657269222284</v>
      </c>
    </row>
    <row r="8612" spans="1:11" x14ac:dyDescent="0.25">
      <c r="A8612" t="s">
        <v>16815</v>
      </c>
      <c r="C8612" t="s">
        <v>16816</v>
      </c>
      <c r="D8612" t="s">
        <v>5</v>
      </c>
      <c r="E8612" t="s">
        <v>6</v>
      </c>
      <c r="F8612" t="s">
        <v>251</v>
      </c>
      <c r="G8612">
        <v>1</v>
      </c>
      <c r="H8612" s="2">
        <f>Tabelle13[[#This Row],[commits]]/Tabelle13[[#Totals],[commits]]</f>
        <v>4.6477904404246225E-6</v>
      </c>
      <c r="I8612" s="5">
        <f>Tabelle13[[#This Row],[%]]+I8611</f>
        <v>0.99797821115830398</v>
      </c>
      <c r="J8612" s="4">
        <f t="shared" si="301"/>
        <v>1.105583195135434E-4</v>
      </c>
      <c r="K8612" s="5">
        <f t="shared" si="302"/>
        <v>0.95190713101173641</v>
      </c>
    </row>
    <row r="8613" spans="1:11" x14ac:dyDescent="0.25">
      <c r="A8613" t="s">
        <v>16817</v>
      </c>
      <c r="C8613" t="s">
        <v>16818</v>
      </c>
      <c r="D8613" t="s">
        <v>309</v>
      </c>
      <c r="E8613" t="s">
        <v>6</v>
      </c>
      <c r="F8613" t="s">
        <v>251</v>
      </c>
      <c r="G8613">
        <v>1</v>
      </c>
      <c r="H8613" s="2">
        <f>Tabelle13[[#This Row],[commits]]/Tabelle13[[#Totals],[commits]]</f>
        <v>4.6477904404246225E-6</v>
      </c>
      <c r="I8613" s="5">
        <f>Tabelle13[[#This Row],[%]]+I8612</f>
        <v>0.99798285894874439</v>
      </c>
      <c r="J8613" s="4">
        <f t="shared" si="301"/>
        <v>1.105583195135434E-4</v>
      </c>
      <c r="K8613" s="5">
        <f t="shared" si="302"/>
        <v>0.95201768933124997</v>
      </c>
    </row>
    <row r="8614" spans="1:11" x14ac:dyDescent="0.25">
      <c r="A8614" t="s">
        <v>16819</v>
      </c>
      <c r="C8614" t="s">
        <v>16820</v>
      </c>
      <c r="D8614" t="s">
        <v>5</v>
      </c>
      <c r="E8614" t="s">
        <v>6</v>
      </c>
      <c r="F8614" t="s">
        <v>251</v>
      </c>
      <c r="G8614">
        <v>1</v>
      </c>
      <c r="H8614" s="2">
        <f>Tabelle13[[#This Row],[commits]]/Tabelle13[[#Totals],[commits]]</f>
        <v>4.6477904404246225E-6</v>
      </c>
      <c r="I8614" s="5">
        <f>Tabelle13[[#This Row],[%]]+I8613</f>
        <v>0.99798750673918479</v>
      </c>
      <c r="J8614" s="4">
        <f t="shared" si="301"/>
        <v>1.105583195135434E-4</v>
      </c>
      <c r="K8614" s="5">
        <f t="shared" si="302"/>
        <v>0.95212824765076354</v>
      </c>
    </row>
    <row r="8615" spans="1:11" x14ac:dyDescent="0.25">
      <c r="A8615" t="s">
        <v>16821</v>
      </c>
      <c r="C8615" t="s">
        <v>16822</v>
      </c>
      <c r="D8615" t="s">
        <v>5</v>
      </c>
      <c r="E8615" t="s">
        <v>6</v>
      </c>
      <c r="F8615" t="s">
        <v>251</v>
      </c>
      <c r="G8615">
        <v>1</v>
      </c>
      <c r="H8615" s="2">
        <f>Tabelle13[[#This Row],[commits]]/Tabelle13[[#Totals],[commits]]</f>
        <v>4.6477904404246225E-6</v>
      </c>
      <c r="I8615" s="5">
        <f>Tabelle13[[#This Row],[%]]+I8614</f>
        <v>0.9979921545296252</v>
      </c>
      <c r="J8615" s="4">
        <f t="shared" si="301"/>
        <v>1.105583195135434E-4</v>
      </c>
      <c r="K8615" s="5">
        <f t="shared" si="302"/>
        <v>0.9522388059702771</v>
      </c>
    </row>
    <row r="8616" spans="1:11" x14ac:dyDescent="0.25">
      <c r="A8616" t="s">
        <v>16823</v>
      </c>
      <c r="C8616" t="s">
        <v>16824</v>
      </c>
      <c r="D8616" t="s">
        <v>5</v>
      </c>
      <c r="E8616" t="s">
        <v>6</v>
      </c>
      <c r="F8616" t="s">
        <v>251</v>
      </c>
      <c r="G8616">
        <v>1</v>
      </c>
      <c r="H8616" s="2">
        <f>Tabelle13[[#This Row],[commits]]/Tabelle13[[#Totals],[commits]]</f>
        <v>4.6477904404246225E-6</v>
      </c>
      <c r="I8616" s="5">
        <f>Tabelle13[[#This Row],[%]]+I8615</f>
        <v>0.9979968023200656</v>
      </c>
      <c r="J8616" s="4">
        <f t="shared" si="301"/>
        <v>1.105583195135434E-4</v>
      </c>
      <c r="K8616" s="5">
        <f t="shared" si="302"/>
        <v>0.95234936428979067</v>
      </c>
    </row>
    <row r="8617" spans="1:11" x14ac:dyDescent="0.25">
      <c r="A8617" t="s">
        <v>16825</v>
      </c>
      <c r="C8617" t="s">
        <v>16826</v>
      </c>
      <c r="D8617" t="s">
        <v>5</v>
      </c>
      <c r="E8617" t="s">
        <v>6</v>
      </c>
      <c r="F8617" t="s">
        <v>251</v>
      </c>
      <c r="G8617">
        <v>1</v>
      </c>
      <c r="H8617" s="2">
        <f>Tabelle13[[#This Row],[commits]]/Tabelle13[[#Totals],[commits]]</f>
        <v>4.6477904404246225E-6</v>
      </c>
      <c r="I8617" s="5">
        <f>Tabelle13[[#This Row],[%]]+I8616</f>
        <v>0.99800145011050601</v>
      </c>
      <c r="J8617" s="4">
        <f t="shared" si="301"/>
        <v>1.105583195135434E-4</v>
      </c>
      <c r="K8617" s="5">
        <f t="shared" si="302"/>
        <v>0.95245992260930423</v>
      </c>
    </row>
    <row r="8618" spans="1:11" x14ac:dyDescent="0.25">
      <c r="A8618" t="s">
        <v>16827</v>
      </c>
      <c r="C8618" t="s">
        <v>16828</v>
      </c>
      <c r="D8618" t="s">
        <v>5</v>
      </c>
      <c r="E8618" t="s">
        <v>6</v>
      </c>
      <c r="F8618" t="s">
        <v>251</v>
      </c>
      <c r="G8618">
        <v>1</v>
      </c>
      <c r="H8618" s="2">
        <f>Tabelle13[[#This Row],[commits]]/Tabelle13[[#Totals],[commits]]</f>
        <v>4.6477904404246225E-6</v>
      </c>
      <c r="I8618" s="5">
        <f>Tabelle13[[#This Row],[%]]+I8617</f>
        <v>0.99800609790094641</v>
      </c>
      <c r="J8618" s="4">
        <f t="shared" si="301"/>
        <v>1.105583195135434E-4</v>
      </c>
      <c r="K8618" s="5">
        <f t="shared" si="302"/>
        <v>0.9525704809288178</v>
      </c>
    </row>
    <row r="8619" spans="1:11" x14ac:dyDescent="0.25">
      <c r="A8619" t="s">
        <v>16829</v>
      </c>
      <c r="C8619" t="s">
        <v>16830</v>
      </c>
      <c r="D8619" t="s">
        <v>5</v>
      </c>
      <c r="E8619" t="s">
        <v>6</v>
      </c>
      <c r="F8619" t="s">
        <v>251</v>
      </c>
      <c r="G8619">
        <v>1</v>
      </c>
      <c r="H8619" s="2">
        <f>Tabelle13[[#This Row],[commits]]/Tabelle13[[#Totals],[commits]]</f>
        <v>4.6477904404246225E-6</v>
      </c>
      <c r="I8619" s="5">
        <f>Tabelle13[[#This Row],[%]]+I8618</f>
        <v>0.99801074569138681</v>
      </c>
      <c r="J8619" s="4">
        <f t="shared" si="301"/>
        <v>1.105583195135434E-4</v>
      </c>
      <c r="K8619" s="5">
        <f t="shared" si="302"/>
        <v>0.95268103924833136</v>
      </c>
    </row>
    <row r="8620" spans="1:11" x14ac:dyDescent="0.25">
      <c r="A8620" t="s">
        <v>16831</v>
      </c>
      <c r="C8620" t="s">
        <v>16832</v>
      </c>
      <c r="D8620" t="s">
        <v>5</v>
      </c>
      <c r="E8620" t="s">
        <v>6</v>
      </c>
      <c r="F8620" t="s">
        <v>251</v>
      </c>
      <c r="G8620">
        <v>1</v>
      </c>
      <c r="H8620" s="2">
        <f>Tabelle13[[#This Row],[commits]]/Tabelle13[[#Totals],[commits]]</f>
        <v>4.6477904404246225E-6</v>
      </c>
      <c r="I8620" s="5">
        <f>Tabelle13[[#This Row],[%]]+I8619</f>
        <v>0.99801539348182722</v>
      </c>
      <c r="J8620" s="4">
        <f t="shared" si="301"/>
        <v>1.105583195135434E-4</v>
      </c>
      <c r="K8620" s="5">
        <f t="shared" si="302"/>
        <v>0.95279159756784493</v>
      </c>
    </row>
    <row r="8621" spans="1:11" x14ac:dyDescent="0.25">
      <c r="A8621" t="s">
        <v>16833</v>
      </c>
      <c r="C8621" t="s">
        <v>16834</v>
      </c>
      <c r="D8621" t="s">
        <v>5</v>
      </c>
      <c r="E8621" t="s">
        <v>6</v>
      </c>
      <c r="F8621" t="s">
        <v>251</v>
      </c>
      <c r="G8621">
        <v>1</v>
      </c>
      <c r="H8621" s="2">
        <f>Tabelle13[[#This Row],[commits]]/Tabelle13[[#Totals],[commits]]</f>
        <v>4.6477904404246225E-6</v>
      </c>
      <c r="I8621" s="5">
        <f>Tabelle13[[#This Row],[%]]+I8620</f>
        <v>0.99802004127226762</v>
      </c>
      <c r="J8621" s="4">
        <f t="shared" si="301"/>
        <v>1.105583195135434E-4</v>
      </c>
      <c r="K8621" s="5">
        <f t="shared" si="302"/>
        <v>0.95290215588735849</v>
      </c>
    </row>
    <row r="8622" spans="1:11" x14ac:dyDescent="0.25">
      <c r="A8622" t="s">
        <v>16835</v>
      </c>
      <c r="C8622" t="s">
        <v>16836</v>
      </c>
      <c r="D8622" t="s">
        <v>16837</v>
      </c>
      <c r="E8622" t="s">
        <v>6</v>
      </c>
      <c r="F8622" t="s">
        <v>251</v>
      </c>
      <c r="G8622">
        <v>1</v>
      </c>
      <c r="H8622" s="2">
        <f>Tabelle13[[#This Row],[commits]]/Tabelle13[[#Totals],[commits]]</f>
        <v>4.6477904404246225E-6</v>
      </c>
      <c r="I8622" s="5">
        <f>Tabelle13[[#This Row],[%]]+I8621</f>
        <v>0.99802468906270803</v>
      </c>
      <c r="J8622" s="4">
        <f t="shared" si="301"/>
        <v>1.105583195135434E-4</v>
      </c>
      <c r="K8622" s="5">
        <f t="shared" si="302"/>
        <v>0.95301271420687206</v>
      </c>
    </row>
    <row r="8623" spans="1:11" x14ac:dyDescent="0.25">
      <c r="A8623" t="s">
        <v>16838</v>
      </c>
      <c r="C8623" t="s">
        <v>16839</v>
      </c>
      <c r="D8623" t="s">
        <v>5</v>
      </c>
      <c r="E8623" t="s">
        <v>6</v>
      </c>
      <c r="F8623" t="s">
        <v>251</v>
      </c>
      <c r="G8623">
        <v>1</v>
      </c>
      <c r="H8623" s="2">
        <f>Tabelle13[[#This Row],[commits]]/Tabelle13[[#Totals],[commits]]</f>
        <v>4.6477904404246225E-6</v>
      </c>
      <c r="I8623" s="5">
        <f>Tabelle13[[#This Row],[%]]+I8622</f>
        <v>0.99802933685314843</v>
      </c>
      <c r="J8623" s="4">
        <f t="shared" si="301"/>
        <v>1.105583195135434E-4</v>
      </c>
      <c r="K8623" s="5">
        <f t="shared" si="302"/>
        <v>0.95312327252638562</v>
      </c>
    </row>
    <row r="8624" spans="1:11" x14ac:dyDescent="0.25">
      <c r="A8624" t="s">
        <v>16840</v>
      </c>
      <c r="C8624" t="s">
        <v>16841</v>
      </c>
      <c r="D8624" t="s">
        <v>309</v>
      </c>
      <c r="E8624" t="s">
        <v>6</v>
      </c>
      <c r="F8624" t="s">
        <v>251</v>
      </c>
      <c r="G8624">
        <v>1</v>
      </c>
      <c r="H8624" s="2">
        <f>Tabelle13[[#This Row],[commits]]/Tabelle13[[#Totals],[commits]]</f>
        <v>4.6477904404246225E-6</v>
      </c>
      <c r="I8624" s="5">
        <f>Tabelle13[[#This Row],[%]]+I8623</f>
        <v>0.99803398464358883</v>
      </c>
      <c r="J8624" s="4">
        <f t="shared" si="301"/>
        <v>1.105583195135434E-4</v>
      </c>
      <c r="K8624" s="5">
        <f t="shared" si="302"/>
        <v>0.95323383084589919</v>
      </c>
    </row>
    <row r="8625" spans="1:11" x14ac:dyDescent="0.25">
      <c r="A8625" t="s">
        <v>16842</v>
      </c>
      <c r="C8625" t="s">
        <v>16843</v>
      </c>
      <c r="D8625" t="s">
        <v>16844</v>
      </c>
      <c r="E8625" t="s">
        <v>6</v>
      </c>
      <c r="F8625" t="s">
        <v>251</v>
      </c>
      <c r="G8625">
        <v>1</v>
      </c>
      <c r="H8625" s="2">
        <f>Tabelle13[[#This Row],[commits]]/Tabelle13[[#Totals],[commits]]</f>
        <v>4.6477904404246225E-6</v>
      </c>
      <c r="I8625" s="5">
        <f>Tabelle13[[#This Row],[%]]+I8624</f>
        <v>0.99803863243402924</v>
      </c>
      <c r="J8625" s="4">
        <f t="shared" si="301"/>
        <v>1.105583195135434E-4</v>
      </c>
      <c r="K8625" s="5">
        <f t="shared" si="302"/>
        <v>0.95334438916541275</v>
      </c>
    </row>
    <row r="8626" spans="1:11" x14ac:dyDescent="0.25">
      <c r="A8626" t="s">
        <v>16845</v>
      </c>
      <c r="C8626" t="s">
        <v>16846</v>
      </c>
      <c r="D8626" t="s">
        <v>5</v>
      </c>
      <c r="E8626" t="s">
        <v>6</v>
      </c>
      <c r="F8626" t="s">
        <v>251</v>
      </c>
      <c r="G8626">
        <v>1</v>
      </c>
      <c r="H8626" s="2">
        <f>Tabelle13[[#This Row],[commits]]/Tabelle13[[#Totals],[commits]]</f>
        <v>4.6477904404246225E-6</v>
      </c>
      <c r="I8626" s="5">
        <f>Tabelle13[[#This Row],[%]]+I8625</f>
        <v>0.99804328022446964</v>
      </c>
      <c r="J8626" s="4">
        <f t="shared" si="301"/>
        <v>1.105583195135434E-4</v>
      </c>
      <c r="K8626" s="5">
        <f t="shared" si="302"/>
        <v>0.95345494748492632</v>
      </c>
    </row>
    <row r="8627" spans="1:11" x14ac:dyDescent="0.25">
      <c r="A8627" t="s">
        <v>16847</v>
      </c>
      <c r="C8627" t="s">
        <v>16848</v>
      </c>
      <c r="D8627" t="s">
        <v>5</v>
      </c>
      <c r="E8627" t="s">
        <v>6</v>
      </c>
      <c r="F8627" t="s">
        <v>251</v>
      </c>
      <c r="G8627">
        <v>1</v>
      </c>
      <c r="H8627" s="2">
        <f>Tabelle13[[#This Row],[commits]]/Tabelle13[[#Totals],[commits]]</f>
        <v>4.6477904404246225E-6</v>
      </c>
      <c r="I8627" s="5">
        <f>Tabelle13[[#This Row],[%]]+I8626</f>
        <v>0.99804792801491005</v>
      </c>
      <c r="J8627" s="4">
        <f t="shared" si="301"/>
        <v>1.105583195135434E-4</v>
      </c>
      <c r="K8627" s="5">
        <f t="shared" si="302"/>
        <v>0.95356550580443988</v>
      </c>
    </row>
    <row r="8628" spans="1:11" x14ac:dyDescent="0.25">
      <c r="A8628" t="s">
        <v>16849</v>
      </c>
      <c r="C8628" t="s">
        <v>16850</v>
      </c>
      <c r="D8628" t="s">
        <v>5</v>
      </c>
      <c r="E8628" t="s">
        <v>6</v>
      </c>
      <c r="F8628" t="s">
        <v>251</v>
      </c>
      <c r="G8628">
        <v>1</v>
      </c>
      <c r="H8628" s="2">
        <f>Tabelle13[[#This Row],[commits]]/Tabelle13[[#Totals],[commits]]</f>
        <v>4.6477904404246225E-6</v>
      </c>
      <c r="I8628" s="5">
        <f>Tabelle13[[#This Row],[%]]+I8627</f>
        <v>0.99805257580535045</v>
      </c>
      <c r="J8628" s="4">
        <f t="shared" si="301"/>
        <v>1.105583195135434E-4</v>
      </c>
      <c r="K8628" s="5">
        <f t="shared" si="302"/>
        <v>0.95367606412395345</v>
      </c>
    </row>
    <row r="8629" spans="1:11" x14ac:dyDescent="0.25">
      <c r="A8629" t="s">
        <v>16851</v>
      </c>
      <c r="C8629" t="s">
        <v>16852</v>
      </c>
      <c r="D8629" t="s">
        <v>5</v>
      </c>
      <c r="E8629" t="s">
        <v>6</v>
      </c>
      <c r="F8629" t="s">
        <v>251</v>
      </c>
      <c r="G8629">
        <v>1</v>
      </c>
      <c r="H8629" s="2">
        <f>Tabelle13[[#This Row],[commits]]/Tabelle13[[#Totals],[commits]]</f>
        <v>4.6477904404246225E-6</v>
      </c>
      <c r="I8629" s="5">
        <f>Tabelle13[[#This Row],[%]]+I8628</f>
        <v>0.99805722359579085</v>
      </c>
      <c r="J8629" s="4">
        <f t="shared" si="301"/>
        <v>1.105583195135434E-4</v>
      </c>
      <c r="K8629" s="5">
        <f t="shared" si="302"/>
        <v>0.95378662244346701</v>
      </c>
    </row>
    <row r="8630" spans="1:11" x14ac:dyDescent="0.25">
      <c r="A8630" t="s">
        <v>16853</v>
      </c>
      <c r="C8630" t="s">
        <v>16854</v>
      </c>
      <c r="D8630" t="s">
        <v>5</v>
      </c>
      <c r="E8630" t="s">
        <v>6</v>
      </c>
      <c r="F8630" t="s">
        <v>251</v>
      </c>
      <c r="G8630">
        <v>1</v>
      </c>
      <c r="H8630" s="2">
        <f>Tabelle13[[#This Row],[commits]]/Tabelle13[[#Totals],[commits]]</f>
        <v>4.6477904404246225E-6</v>
      </c>
      <c r="I8630" s="5">
        <f>Tabelle13[[#This Row],[%]]+I8629</f>
        <v>0.99806187138623126</v>
      </c>
      <c r="J8630" s="4">
        <f t="shared" si="301"/>
        <v>1.105583195135434E-4</v>
      </c>
      <c r="K8630" s="5">
        <f t="shared" si="302"/>
        <v>0.95389718076298058</v>
      </c>
    </row>
    <row r="8631" spans="1:11" x14ac:dyDescent="0.25">
      <c r="A8631" t="s">
        <v>16855</v>
      </c>
      <c r="C8631" t="s">
        <v>16856</v>
      </c>
      <c r="D8631" t="s">
        <v>5</v>
      </c>
      <c r="E8631" t="s">
        <v>6</v>
      </c>
      <c r="F8631" t="s">
        <v>251</v>
      </c>
      <c r="G8631">
        <v>1</v>
      </c>
      <c r="H8631" s="2">
        <f>Tabelle13[[#This Row],[commits]]/Tabelle13[[#Totals],[commits]]</f>
        <v>4.6477904404246225E-6</v>
      </c>
      <c r="I8631" s="5">
        <f>Tabelle13[[#This Row],[%]]+I8630</f>
        <v>0.99806651917667166</v>
      </c>
      <c r="J8631" s="4">
        <f t="shared" si="301"/>
        <v>1.105583195135434E-4</v>
      </c>
      <c r="K8631" s="5">
        <f t="shared" si="302"/>
        <v>0.95400773908249414</v>
      </c>
    </row>
    <row r="8632" spans="1:11" x14ac:dyDescent="0.25">
      <c r="A8632" t="s">
        <v>16857</v>
      </c>
      <c r="C8632" t="s">
        <v>16858</v>
      </c>
      <c r="D8632" t="s">
        <v>5</v>
      </c>
      <c r="E8632" t="s">
        <v>6</v>
      </c>
      <c r="F8632" t="s">
        <v>251</v>
      </c>
      <c r="G8632">
        <v>1</v>
      </c>
      <c r="H8632" s="2">
        <f>Tabelle13[[#This Row],[commits]]/Tabelle13[[#Totals],[commits]]</f>
        <v>4.6477904404246225E-6</v>
      </c>
      <c r="I8632" s="5">
        <f>Tabelle13[[#This Row],[%]]+I8631</f>
        <v>0.99807116696711207</v>
      </c>
      <c r="J8632" s="4">
        <f t="shared" si="301"/>
        <v>1.105583195135434E-4</v>
      </c>
      <c r="K8632" s="5">
        <f t="shared" si="302"/>
        <v>0.95411829740200771</v>
      </c>
    </row>
    <row r="8633" spans="1:11" x14ac:dyDescent="0.25">
      <c r="A8633" t="s">
        <v>16859</v>
      </c>
      <c r="C8633" t="s">
        <v>16860</v>
      </c>
      <c r="D8633" t="s">
        <v>5</v>
      </c>
      <c r="E8633" t="s">
        <v>6</v>
      </c>
      <c r="F8633" t="s">
        <v>251</v>
      </c>
      <c r="G8633">
        <v>1</v>
      </c>
      <c r="H8633" s="2">
        <f>Tabelle13[[#This Row],[commits]]/Tabelle13[[#Totals],[commits]]</f>
        <v>4.6477904404246225E-6</v>
      </c>
      <c r="I8633" s="5">
        <f>Tabelle13[[#This Row],[%]]+I8632</f>
        <v>0.99807581475755247</v>
      </c>
      <c r="J8633" s="4">
        <f t="shared" si="301"/>
        <v>1.105583195135434E-4</v>
      </c>
      <c r="K8633" s="5">
        <f t="shared" si="302"/>
        <v>0.95422885572152127</v>
      </c>
    </row>
    <row r="8634" spans="1:11" x14ac:dyDescent="0.25">
      <c r="A8634" t="s">
        <v>16861</v>
      </c>
      <c r="C8634" t="s">
        <v>16862</v>
      </c>
      <c r="D8634" t="s">
        <v>5</v>
      </c>
      <c r="E8634" t="s">
        <v>6</v>
      </c>
      <c r="F8634" t="s">
        <v>251</v>
      </c>
      <c r="G8634">
        <v>1</v>
      </c>
      <c r="H8634" s="2">
        <f>Tabelle13[[#This Row],[commits]]/Tabelle13[[#Totals],[commits]]</f>
        <v>4.6477904404246225E-6</v>
      </c>
      <c r="I8634" s="5">
        <f>Tabelle13[[#This Row],[%]]+I8633</f>
        <v>0.99808046254799287</v>
      </c>
      <c r="J8634" s="4">
        <f t="shared" si="301"/>
        <v>1.105583195135434E-4</v>
      </c>
      <c r="K8634" s="5">
        <f t="shared" si="302"/>
        <v>0.95433941404103484</v>
      </c>
    </row>
    <row r="8635" spans="1:11" x14ac:dyDescent="0.25">
      <c r="A8635" t="s">
        <v>16863</v>
      </c>
      <c r="C8635" t="s">
        <v>16864</v>
      </c>
      <c r="D8635" t="s">
        <v>5</v>
      </c>
      <c r="E8635" t="s">
        <v>6</v>
      </c>
      <c r="F8635" t="s">
        <v>251</v>
      </c>
      <c r="G8635">
        <v>1</v>
      </c>
      <c r="H8635" s="2">
        <f>Tabelle13[[#This Row],[commits]]/Tabelle13[[#Totals],[commits]]</f>
        <v>4.6477904404246225E-6</v>
      </c>
      <c r="I8635" s="5">
        <f>Tabelle13[[#This Row],[%]]+I8634</f>
        <v>0.99808511033843328</v>
      </c>
      <c r="J8635" s="4">
        <f t="shared" si="301"/>
        <v>1.105583195135434E-4</v>
      </c>
      <c r="K8635" s="5">
        <f t="shared" si="302"/>
        <v>0.9544499723605484</v>
      </c>
    </row>
    <row r="8636" spans="1:11" x14ac:dyDescent="0.25">
      <c r="A8636" t="s">
        <v>16865</v>
      </c>
      <c r="C8636" t="s">
        <v>16866</v>
      </c>
      <c r="D8636" t="s">
        <v>5</v>
      </c>
      <c r="E8636" t="s">
        <v>6</v>
      </c>
      <c r="F8636" t="s">
        <v>251</v>
      </c>
      <c r="G8636">
        <v>1</v>
      </c>
      <c r="H8636" s="2">
        <f>Tabelle13[[#This Row],[commits]]/Tabelle13[[#Totals],[commits]]</f>
        <v>4.6477904404246225E-6</v>
      </c>
      <c r="I8636" s="5">
        <f>Tabelle13[[#This Row],[%]]+I8635</f>
        <v>0.99808975812887368</v>
      </c>
      <c r="J8636" s="4">
        <f t="shared" si="301"/>
        <v>1.105583195135434E-4</v>
      </c>
      <c r="K8636" s="5">
        <f t="shared" si="302"/>
        <v>0.95456053068006197</v>
      </c>
    </row>
    <row r="8637" spans="1:11" x14ac:dyDescent="0.25">
      <c r="A8637" t="s">
        <v>16867</v>
      </c>
      <c r="C8637" t="s">
        <v>16868</v>
      </c>
      <c r="D8637" t="s">
        <v>5</v>
      </c>
      <c r="E8637" t="s">
        <v>6</v>
      </c>
      <c r="F8637" t="s">
        <v>251</v>
      </c>
      <c r="G8637">
        <v>1</v>
      </c>
      <c r="H8637" s="2">
        <f>Tabelle13[[#This Row],[commits]]/Tabelle13[[#Totals],[commits]]</f>
        <v>4.6477904404246225E-6</v>
      </c>
      <c r="I8637" s="5">
        <f>Tabelle13[[#This Row],[%]]+I8636</f>
        <v>0.99809440591931409</v>
      </c>
      <c r="J8637" s="4">
        <f t="shared" si="301"/>
        <v>1.105583195135434E-4</v>
      </c>
      <c r="K8637" s="5">
        <f t="shared" si="302"/>
        <v>0.95467108899957553</v>
      </c>
    </row>
    <row r="8638" spans="1:11" x14ac:dyDescent="0.25">
      <c r="A8638" t="s">
        <v>16869</v>
      </c>
      <c r="C8638" t="s">
        <v>16870</v>
      </c>
      <c r="D8638" t="s">
        <v>5</v>
      </c>
      <c r="E8638" t="s">
        <v>6</v>
      </c>
      <c r="F8638" t="s">
        <v>251</v>
      </c>
      <c r="G8638">
        <v>1</v>
      </c>
      <c r="H8638" s="2">
        <f>Tabelle13[[#This Row],[commits]]/Tabelle13[[#Totals],[commits]]</f>
        <v>4.6477904404246225E-6</v>
      </c>
      <c r="I8638" s="5">
        <f>Tabelle13[[#This Row],[%]]+I8637</f>
        <v>0.99809905370975449</v>
      </c>
      <c r="J8638" s="4">
        <f t="shared" si="301"/>
        <v>1.105583195135434E-4</v>
      </c>
      <c r="K8638" s="5">
        <f t="shared" si="302"/>
        <v>0.9547816473190891</v>
      </c>
    </row>
    <row r="8639" spans="1:11" x14ac:dyDescent="0.25">
      <c r="A8639" t="s">
        <v>16871</v>
      </c>
      <c r="C8639" t="s">
        <v>16872</v>
      </c>
      <c r="D8639" t="s">
        <v>5</v>
      </c>
      <c r="E8639" t="s">
        <v>6</v>
      </c>
      <c r="F8639" t="s">
        <v>251</v>
      </c>
      <c r="G8639">
        <v>1</v>
      </c>
      <c r="H8639" s="2">
        <f>Tabelle13[[#This Row],[commits]]/Tabelle13[[#Totals],[commits]]</f>
        <v>4.6477904404246225E-6</v>
      </c>
      <c r="I8639" s="5">
        <f>Tabelle13[[#This Row],[%]]+I8638</f>
        <v>0.9981037015001949</v>
      </c>
      <c r="J8639" s="4">
        <f t="shared" si="301"/>
        <v>1.105583195135434E-4</v>
      </c>
      <c r="K8639" s="5">
        <f t="shared" si="302"/>
        <v>0.95489220563860266</v>
      </c>
    </row>
    <row r="8640" spans="1:11" x14ac:dyDescent="0.25">
      <c r="A8640" t="s">
        <v>16873</v>
      </c>
      <c r="C8640" t="s">
        <v>16874</v>
      </c>
      <c r="D8640" t="s">
        <v>5</v>
      </c>
      <c r="E8640" t="s">
        <v>6</v>
      </c>
      <c r="F8640" t="s">
        <v>251</v>
      </c>
      <c r="G8640">
        <v>1</v>
      </c>
      <c r="H8640" s="2">
        <f>Tabelle13[[#This Row],[commits]]/Tabelle13[[#Totals],[commits]]</f>
        <v>4.6477904404246225E-6</v>
      </c>
      <c r="I8640" s="5">
        <f>Tabelle13[[#This Row],[%]]+I8639</f>
        <v>0.9981083492906353</v>
      </c>
      <c r="J8640" s="4">
        <f t="shared" si="301"/>
        <v>1.105583195135434E-4</v>
      </c>
      <c r="K8640" s="5">
        <f t="shared" si="302"/>
        <v>0.95500276395811623</v>
      </c>
    </row>
    <row r="8641" spans="1:11" x14ac:dyDescent="0.25">
      <c r="A8641" t="s">
        <v>16875</v>
      </c>
      <c r="C8641" t="s">
        <v>16876</v>
      </c>
      <c r="D8641" t="s">
        <v>5</v>
      </c>
      <c r="E8641" t="s">
        <v>6</v>
      </c>
      <c r="F8641" t="s">
        <v>251</v>
      </c>
      <c r="G8641">
        <v>1</v>
      </c>
      <c r="H8641" s="2">
        <f>Tabelle13[[#This Row],[commits]]/Tabelle13[[#Totals],[commits]]</f>
        <v>4.6477904404246225E-6</v>
      </c>
      <c r="I8641" s="5">
        <f>Tabelle13[[#This Row],[%]]+I8640</f>
        <v>0.9981129970810757</v>
      </c>
      <c r="J8641" s="4">
        <f t="shared" si="301"/>
        <v>1.105583195135434E-4</v>
      </c>
      <c r="K8641" s="5">
        <f t="shared" si="302"/>
        <v>0.95511332227762979</v>
      </c>
    </row>
    <row r="8642" spans="1:11" x14ac:dyDescent="0.25">
      <c r="A8642" t="s">
        <v>16877</v>
      </c>
      <c r="C8642" t="s">
        <v>16878</v>
      </c>
      <c r="D8642" t="s">
        <v>5</v>
      </c>
      <c r="E8642" t="s">
        <v>6</v>
      </c>
      <c r="F8642" t="s">
        <v>251</v>
      </c>
      <c r="G8642">
        <v>1</v>
      </c>
      <c r="H8642" s="2">
        <f>Tabelle13[[#This Row],[commits]]/Tabelle13[[#Totals],[commits]]</f>
        <v>4.6477904404246225E-6</v>
      </c>
      <c r="I8642" s="5">
        <f>Tabelle13[[#This Row],[%]]+I8641</f>
        <v>0.99811764487151611</v>
      </c>
      <c r="J8642" s="4">
        <f t="shared" si="301"/>
        <v>1.105583195135434E-4</v>
      </c>
      <c r="K8642" s="5">
        <f t="shared" si="302"/>
        <v>0.95522388059714336</v>
      </c>
    </row>
    <row r="8643" spans="1:11" x14ac:dyDescent="0.25">
      <c r="A8643" t="s">
        <v>16879</v>
      </c>
      <c r="C8643" t="s">
        <v>11433</v>
      </c>
      <c r="D8643" t="s">
        <v>5</v>
      </c>
      <c r="E8643" t="s">
        <v>6</v>
      </c>
      <c r="F8643" t="s">
        <v>251</v>
      </c>
      <c r="G8643">
        <v>1</v>
      </c>
      <c r="H8643" s="2">
        <f>Tabelle13[[#This Row],[commits]]/Tabelle13[[#Totals],[commits]]</f>
        <v>4.6477904404246225E-6</v>
      </c>
      <c r="I8643" s="5">
        <f>Tabelle13[[#This Row],[%]]+I8642</f>
        <v>0.99812229266195651</v>
      </c>
      <c r="J8643" s="4">
        <f t="shared" ref="J8643:J8706" si="303">1/9045</f>
        <v>1.105583195135434E-4</v>
      </c>
      <c r="K8643" s="5">
        <f t="shared" si="302"/>
        <v>0.95533443891665693</v>
      </c>
    </row>
    <row r="8644" spans="1:11" x14ac:dyDescent="0.25">
      <c r="A8644" t="s">
        <v>16880</v>
      </c>
      <c r="C8644" t="s">
        <v>16881</v>
      </c>
      <c r="D8644" t="s">
        <v>5</v>
      </c>
      <c r="E8644" t="s">
        <v>6</v>
      </c>
      <c r="F8644" t="s">
        <v>251</v>
      </c>
      <c r="G8644">
        <v>1</v>
      </c>
      <c r="H8644" s="2">
        <f>Tabelle13[[#This Row],[commits]]/Tabelle13[[#Totals],[commits]]</f>
        <v>4.6477904404246225E-6</v>
      </c>
      <c r="I8644" s="5">
        <f>Tabelle13[[#This Row],[%]]+I8643</f>
        <v>0.99812694045239692</v>
      </c>
      <c r="J8644" s="4">
        <f t="shared" si="303"/>
        <v>1.105583195135434E-4</v>
      </c>
      <c r="K8644" s="5">
        <f t="shared" si="302"/>
        <v>0.95544499723617049</v>
      </c>
    </row>
    <row r="8645" spans="1:11" x14ac:dyDescent="0.25">
      <c r="A8645" t="s">
        <v>16882</v>
      </c>
      <c r="C8645" t="s">
        <v>16883</v>
      </c>
      <c r="D8645" t="s">
        <v>5</v>
      </c>
      <c r="E8645" t="s">
        <v>6</v>
      </c>
      <c r="F8645" t="s">
        <v>251</v>
      </c>
      <c r="G8645">
        <v>1</v>
      </c>
      <c r="H8645" s="2">
        <f>Tabelle13[[#This Row],[commits]]/Tabelle13[[#Totals],[commits]]</f>
        <v>4.6477904404246225E-6</v>
      </c>
      <c r="I8645" s="5">
        <f>Tabelle13[[#This Row],[%]]+I8644</f>
        <v>0.99813158824283732</v>
      </c>
      <c r="J8645" s="4">
        <f t="shared" si="303"/>
        <v>1.105583195135434E-4</v>
      </c>
      <c r="K8645" s="5">
        <f t="shared" si="302"/>
        <v>0.95555555555568406</v>
      </c>
    </row>
    <row r="8646" spans="1:11" x14ac:dyDescent="0.25">
      <c r="A8646" t="s">
        <v>16884</v>
      </c>
      <c r="C8646" t="s">
        <v>16885</v>
      </c>
      <c r="D8646" t="s">
        <v>5</v>
      </c>
      <c r="E8646" t="s">
        <v>6</v>
      </c>
      <c r="F8646" t="s">
        <v>251</v>
      </c>
      <c r="G8646">
        <v>1</v>
      </c>
      <c r="H8646" s="2">
        <f>Tabelle13[[#This Row],[commits]]/Tabelle13[[#Totals],[commits]]</f>
        <v>4.6477904404246225E-6</v>
      </c>
      <c r="I8646" s="5">
        <f>Tabelle13[[#This Row],[%]]+I8645</f>
        <v>0.99813623603327772</v>
      </c>
      <c r="J8646" s="4">
        <f t="shared" si="303"/>
        <v>1.105583195135434E-4</v>
      </c>
      <c r="K8646" s="5">
        <f t="shared" ref="K8646:K8709" si="304">J8646+K8645</f>
        <v>0.95566611387519762</v>
      </c>
    </row>
    <row r="8647" spans="1:11" x14ac:dyDescent="0.25">
      <c r="A8647" t="s">
        <v>16886</v>
      </c>
      <c r="C8647" t="s">
        <v>16887</v>
      </c>
      <c r="D8647" t="s">
        <v>5</v>
      </c>
      <c r="E8647" t="s">
        <v>6</v>
      </c>
      <c r="F8647" t="s">
        <v>251</v>
      </c>
      <c r="G8647">
        <v>1</v>
      </c>
      <c r="H8647" s="2">
        <f>Tabelle13[[#This Row],[commits]]/Tabelle13[[#Totals],[commits]]</f>
        <v>4.6477904404246225E-6</v>
      </c>
      <c r="I8647" s="5">
        <f>Tabelle13[[#This Row],[%]]+I8646</f>
        <v>0.99814088382371813</v>
      </c>
      <c r="J8647" s="4">
        <f t="shared" si="303"/>
        <v>1.105583195135434E-4</v>
      </c>
      <c r="K8647" s="5">
        <f t="shared" si="304"/>
        <v>0.95577667219471119</v>
      </c>
    </row>
    <row r="8648" spans="1:11" x14ac:dyDescent="0.25">
      <c r="A8648" t="s">
        <v>16888</v>
      </c>
      <c r="C8648" t="s">
        <v>16889</v>
      </c>
      <c r="D8648" t="s">
        <v>5</v>
      </c>
      <c r="E8648" t="s">
        <v>6</v>
      </c>
      <c r="F8648" t="s">
        <v>251</v>
      </c>
      <c r="G8648">
        <v>1</v>
      </c>
      <c r="H8648" s="2">
        <f>Tabelle13[[#This Row],[commits]]/Tabelle13[[#Totals],[commits]]</f>
        <v>4.6477904404246225E-6</v>
      </c>
      <c r="I8648" s="5">
        <f>Tabelle13[[#This Row],[%]]+I8647</f>
        <v>0.99814553161415853</v>
      </c>
      <c r="J8648" s="4">
        <f t="shared" si="303"/>
        <v>1.105583195135434E-4</v>
      </c>
      <c r="K8648" s="5">
        <f t="shared" si="304"/>
        <v>0.95588723051422475</v>
      </c>
    </row>
    <row r="8649" spans="1:11" x14ac:dyDescent="0.25">
      <c r="A8649" t="s">
        <v>16890</v>
      </c>
      <c r="C8649" t="s">
        <v>16891</v>
      </c>
      <c r="D8649" t="s">
        <v>7531</v>
      </c>
      <c r="E8649" t="s">
        <v>6</v>
      </c>
      <c r="F8649" t="s">
        <v>251</v>
      </c>
      <c r="G8649">
        <v>1</v>
      </c>
      <c r="H8649" s="2">
        <f>Tabelle13[[#This Row],[commits]]/Tabelle13[[#Totals],[commits]]</f>
        <v>4.6477904404246225E-6</v>
      </c>
      <c r="I8649" s="5">
        <f>Tabelle13[[#This Row],[%]]+I8648</f>
        <v>0.99815017940459894</v>
      </c>
      <c r="J8649" s="4">
        <f t="shared" si="303"/>
        <v>1.105583195135434E-4</v>
      </c>
      <c r="K8649" s="5">
        <f t="shared" si="304"/>
        <v>0.95599778883373832</v>
      </c>
    </row>
    <row r="8650" spans="1:11" x14ac:dyDescent="0.25">
      <c r="A8650" t="s">
        <v>16892</v>
      </c>
      <c r="C8650" t="s">
        <v>16893</v>
      </c>
      <c r="D8650" t="s">
        <v>5</v>
      </c>
      <c r="E8650" t="s">
        <v>6</v>
      </c>
      <c r="F8650" t="s">
        <v>251</v>
      </c>
      <c r="G8650">
        <v>1</v>
      </c>
      <c r="H8650" s="2">
        <f>Tabelle13[[#This Row],[commits]]/Tabelle13[[#Totals],[commits]]</f>
        <v>4.6477904404246225E-6</v>
      </c>
      <c r="I8650" s="5">
        <f>Tabelle13[[#This Row],[%]]+I8649</f>
        <v>0.99815482719503934</v>
      </c>
      <c r="J8650" s="4">
        <f t="shared" si="303"/>
        <v>1.105583195135434E-4</v>
      </c>
      <c r="K8650" s="5">
        <f t="shared" si="304"/>
        <v>0.95610834715325188</v>
      </c>
    </row>
    <row r="8651" spans="1:11" x14ac:dyDescent="0.25">
      <c r="A8651" t="s">
        <v>16894</v>
      </c>
      <c r="C8651" t="s">
        <v>16895</v>
      </c>
      <c r="D8651" t="s">
        <v>5</v>
      </c>
      <c r="E8651" t="s">
        <v>6</v>
      </c>
      <c r="F8651" t="s">
        <v>251</v>
      </c>
      <c r="G8651">
        <v>1</v>
      </c>
      <c r="H8651" s="2">
        <f>Tabelle13[[#This Row],[commits]]/Tabelle13[[#Totals],[commits]]</f>
        <v>4.6477904404246225E-6</v>
      </c>
      <c r="I8651" s="5">
        <f>Tabelle13[[#This Row],[%]]+I8650</f>
        <v>0.99815947498547974</v>
      </c>
      <c r="J8651" s="4">
        <f t="shared" si="303"/>
        <v>1.105583195135434E-4</v>
      </c>
      <c r="K8651" s="5">
        <f t="shared" si="304"/>
        <v>0.95621890547276545</v>
      </c>
    </row>
    <row r="8652" spans="1:11" x14ac:dyDescent="0.25">
      <c r="A8652" t="s">
        <v>16896</v>
      </c>
      <c r="C8652" t="s">
        <v>16897</v>
      </c>
      <c r="D8652" t="s">
        <v>5</v>
      </c>
      <c r="E8652" t="s">
        <v>6</v>
      </c>
      <c r="F8652" t="s">
        <v>251</v>
      </c>
      <c r="G8652">
        <v>1</v>
      </c>
      <c r="H8652" s="2">
        <f>Tabelle13[[#This Row],[commits]]/Tabelle13[[#Totals],[commits]]</f>
        <v>4.6477904404246225E-6</v>
      </c>
      <c r="I8652" s="5">
        <f>Tabelle13[[#This Row],[%]]+I8651</f>
        <v>0.99816412277592015</v>
      </c>
      <c r="J8652" s="4">
        <f t="shared" si="303"/>
        <v>1.105583195135434E-4</v>
      </c>
      <c r="K8652" s="5">
        <f t="shared" si="304"/>
        <v>0.95632946379227901</v>
      </c>
    </row>
    <row r="8653" spans="1:11" x14ac:dyDescent="0.25">
      <c r="A8653" t="s">
        <v>16898</v>
      </c>
      <c r="C8653" t="s">
        <v>16899</v>
      </c>
      <c r="D8653" t="s">
        <v>5</v>
      </c>
      <c r="E8653" t="s">
        <v>6</v>
      </c>
      <c r="F8653" t="s">
        <v>251</v>
      </c>
      <c r="G8653">
        <v>1</v>
      </c>
      <c r="H8653" s="2">
        <f>Tabelle13[[#This Row],[commits]]/Tabelle13[[#Totals],[commits]]</f>
        <v>4.6477904404246225E-6</v>
      </c>
      <c r="I8653" s="5">
        <f>Tabelle13[[#This Row],[%]]+I8652</f>
        <v>0.99816877056636055</v>
      </c>
      <c r="J8653" s="4">
        <f t="shared" si="303"/>
        <v>1.105583195135434E-4</v>
      </c>
      <c r="K8653" s="5">
        <f t="shared" si="304"/>
        <v>0.95644002211179258</v>
      </c>
    </row>
    <row r="8654" spans="1:11" x14ac:dyDescent="0.25">
      <c r="A8654" t="s">
        <v>16900</v>
      </c>
      <c r="C8654" t="s">
        <v>16901</v>
      </c>
      <c r="D8654" t="s">
        <v>5</v>
      </c>
      <c r="E8654" t="s">
        <v>6</v>
      </c>
      <c r="F8654" t="s">
        <v>251</v>
      </c>
      <c r="G8654">
        <v>1</v>
      </c>
      <c r="H8654" s="2">
        <f>Tabelle13[[#This Row],[commits]]/Tabelle13[[#Totals],[commits]]</f>
        <v>4.6477904404246225E-6</v>
      </c>
      <c r="I8654" s="5">
        <f>Tabelle13[[#This Row],[%]]+I8653</f>
        <v>0.99817341835680096</v>
      </c>
      <c r="J8654" s="4">
        <f t="shared" si="303"/>
        <v>1.105583195135434E-4</v>
      </c>
      <c r="K8654" s="5">
        <f t="shared" si="304"/>
        <v>0.95655058043130614</v>
      </c>
    </row>
    <row r="8655" spans="1:11" x14ac:dyDescent="0.25">
      <c r="A8655" t="s">
        <v>16902</v>
      </c>
      <c r="C8655" t="s">
        <v>16903</v>
      </c>
      <c r="D8655" t="s">
        <v>5</v>
      </c>
      <c r="E8655" t="s">
        <v>6</v>
      </c>
      <c r="F8655" t="s">
        <v>251</v>
      </c>
      <c r="G8655">
        <v>1</v>
      </c>
      <c r="H8655" s="2">
        <f>Tabelle13[[#This Row],[commits]]/Tabelle13[[#Totals],[commits]]</f>
        <v>4.6477904404246225E-6</v>
      </c>
      <c r="I8655" s="5">
        <f>Tabelle13[[#This Row],[%]]+I8654</f>
        <v>0.99817806614724136</v>
      </c>
      <c r="J8655" s="4">
        <f t="shared" si="303"/>
        <v>1.105583195135434E-4</v>
      </c>
      <c r="K8655" s="5">
        <f t="shared" si="304"/>
        <v>0.95666113875081971</v>
      </c>
    </row>
    <row r="8656" spans="1:11" x14ac:dyDescent="0.25">
      <c r="A8656" t="s">
        <v>16904</v>
      </c>
      <c r="C8656" t="s">
        <v>16905</v>
      </c>
      <c r="D8656" t="s">
        <v>5</v>
      </c>
      <c r="E8656" t="s">
        <v>6</v>
      </c>
      <c r="F8656" t="s">
        <v>251</v>
      </c>
      <c r="G8656">
        <v>1</v>
      </c>
      <c r="H8656" s="2">
        <f>Tabelle13[[#This Row],[commits]]/Tabelle13[[#Totals],[commits]]</f>
        <v>4.6477904404246225E-6</v>
      </c>
      <c r="I8656" s="5">
        <f>Tabelle13[[#This Row],[%]]+I8655</f>
        <v>0.99818271393768176</v>
      </c>
      <c r="J8656" s="4">
        <f t="shared" si="303"/>
        <v>1.105583195135434E-4</v>
      </c>
      <c r="K8656" s="5">
        <f t="shared" si="304"/>
        <v>0.95677169707033327</v>
      </c>
    </row>
    <row r="8657" spans="1:11" x14ac:dyDescent="0.25">
      <c r="A8657" t="s">
        <v>16906</v>
      </c>
      <c r="C8657" t="s">
        <v>16907</v>
      </c>
      <c r="D8657" t="s">
        <v>5</v>
      </c>
      <c r="E8657" t="s">
        <v>6</v>
      </c>
      <c r="F8657" t="s">
        <v>251</v>
      </c>
      <c r="G8657">
        <v>1</v>
      </c>
      <c r="H8657" s="2">
        <f>Tabelle13[[#This Row],[commits]]/Tabelle13[[#Totals],[commits]]</f>
        <v>4.6477904404246225E-6</v>
      </c>
      <c r="I8657" s="5">
        <f>Tabelle13[[#This Row],[%]]+I8656</f>
        <v>0.99818736172812217</v>
      </c>
      <c r="J8657" s="4">
        <f t="shared" si="303"/>
        <v>1.105583195135434E-4</v>
      </c>
      <c r="K8657" s="5">
        <f t="shared" si="304"/>
        <v>0.95688225538984684</v>
      </c>
    </row>
    <row r="8658" spans="1:11" x14ac:dyDescent="0.25">
      <c r="A8658" t="s">
        <v>16908</v>
      </c>
      <c r="C8658" t="s">
        <v>16909</v>
      </c>
      <c r="D8658" t="s">
        <v>5</v>
      </c>
      <c r="E8658" t="s">
        <v>6</v>
      </c>
      <c r="F8658" t="s">
        <v>251</v>
      </c>
      <c r="G8658">
        <v>1</v>
      </c>
      <c r="H8658" s="2">
        <f>Tabelle13[[#This Row],[commits]]/Tabelle13[[#Totals],[commits]]</f>
        <v>4.6477904404246225E-6</v>
      </c>
      <c r="I8658" s="5">
        <f>Tabelle13[[#This Row],[%]]+I8657</f>
        <v>0.99819200951856257</v>
      </c>
      <c r="J8658" s="4">
        <f t="shared" si="303"/>
        <v>1.105583195135434E-4</v>
      </c>
      <c r="K8658" s="5">
        <f t="shared" si="304"/>
        <v>0.9569928137093604</v>
      </c>
    </row>
    <row r="8659" spans="1:11" x14ac:dyDescent="0.25">
      <c r="A8659" t="s">
        <v>16910</v>
      </c>
      <c r="C8659" t="s">
        <v>16911</v>
      </c>
      <c r="D8659" t="s">
        <v>11502</v>
      </c>
      <c r="E8659" t="s">
        <v>6</v>
      </c>
      <c r="F8659" t="s">
        <v>251</v>
      </c>
      <c r="G8659">
        <v>1</v>
      </c>
      <c r="H8659" s="2">
        <f>Tabelle13[[#This Row],[commits]]/Tabelle13[[#Totals],[commits]]</f>
        <v>4.6477904404246225E-6</v>
      </c>
      <c r="I8659" s="5">
        <f>Tabelle13[[#This Row],[%]]+I8658</f>
        <v>0.99819665730900298</v>
      </c>
      <c r="J8659" s="4">
        <f t="shared" si="303"/>
        <v>1.105583195135434E-4</v>
      </c>
      <c r="K8659" s="5">
        <f t="shared" si="304"/>
        <v>0.95710337202887397</v>
      </c>
    </row>
    <row r="8660" spans="1:11" x14ac:dyDescent="0.25">
      <c r="A8660" t="s">
        <v>16912</v>
      </c>
      <c r="C8660" t="s">
        <v>16913</v>
      </c>
      <c r="D8660" t="s">
        <v>5</v>
      </c>
      <c r="E8660" t="s">
        <v>6</v>
      </c>
      <c r="F8660" t="s">
        <v>251</v>
      </c>
      <c r="G8660">
        <v>1</v>
      </c>
      <c r="H8660" s="2">
        <f>Tabelle13[[#This Row],[commits]]/Tabelle13[[#Totals],[commits]]</f>
        <v>4.6477904404246225E-6</v>
      </c>
      <c r="I8660" s="5">
        <f>Tabelle13[[#This Row],[%]]+I8659</f>
        <v>0.99820130509944338</v>
      </c>
      <c r="J8660" s="4">
        <f t="shared" si="303"/>
        <v>1.105583195135434E-4</v>
      </c>
      <c r="K8660" s="5">
        <f t="shared" si="304"/>
        <v>0.95721393034838753</v>
      </c>
    </row>
    <row r="8661" spans="1:11" x14ac:dyDescent="0.25">
      <c r="A8661" t="s">
        <v>16914</v>
      </c>
      <c r="C8661" t="s">
        <v>16915</v>
      </c>
      <c r="D8661" t="s">
        <v>5</v>
      </c>
      <c r="E8661" t="s">
        <v>6</v>
      </c>
      <c r="F8661" t="s">
        <v>251</v>
      </c>
      <c r="G8661">
        <v>1</v>
      </c>
      <c r="H8661" s="2">
        <f>Tabelle13[[#This Row],[commits]]/Tabelle13[[#Totals],[commits]]</f>
        <v>4.6477904404246225E-6</v>
      </c>
      <c r="I8661" s="5">
        <f>Tabelle13[[#This Row],[%]]+I8660</f>
        <v>0.99820595288988379</v>
      </c>
      <c r="J8661" s="4">
        <f t="shared" si="303"/>
        <v>1.105583195135434E-4</v>
      </c>
      <c r="K8661" s="5">
        <f t="shared" si="304"/>
        <v>0.9573244886679011</v>
      </c>
    </row>
    <row r="8662" spans="1:11" x14ac:dyDescent="0.25">
      <c r="A8662" t="s">
        <v>16916</v>
      </c>
      <c r="C8662" t="s">
        <v>16917</v>
      </c>
      <c r="D8662" t="s">
        <v>5</v>
      </c>
      <c r="E8662" t="s">
        <v>6</v>
      </c>
      <c r="F8662" t="s">
        <v>251</v>
      </c>
      <c r="G8662">
        <v>1</v>
      </c>
      <c r="H8662" s="2">
        <f>Tabelle13[[#This Row],[commits]]/Tabelle13[[#Totals],[commits]]</f>
        <v>4.6477904404246225E-6</v>
      </c>
      <c r="I8662" s="5">
        <f>Tabelle13[[#This Row],[%]]+I8661</f>
        <v>0.99821060068032419</v>
      </c>
      <c r="J8662" s="4">
        <f t="shared" si="303"/>
        <v>1.105583195135434E-4</v>
      </c>
      <c r="K8662" s="5">
        <f t="shared" si="304"/>
        <v>0.95743504698741466</v>
      </c>
    </row>
    <row r="8663" spans="1:11" x14ac:dyDescent="0.25">
      <c r="A8663" t="s">
        <v>16918</v>
      </c>
      <c r="C8663" t="s">
        <v>16919</v>
      </c>
      <c r="D8663" t="s">
        <v>5</v>
      </c>
      <c r="E8663" t="s">
        <v>6</v>
      </c>
      <c r="F8663" t="s">
        <v>251</v>
      </c>
      <c r="G8663">
        <v>1</v>
      </c>
      <c r="H8663" s="2">
        <f>Tabelle13[[#This Row],[commits]]/Tabelle13[[#Totals],[commits]]</f>
        <v>4.6477904404246225E-6</v>
      </c>
      <c r="I8663" s="5">
        <f>Tabelle13[[#This Row],[%]]+I8662</f>
        <v>0.99821524847076459</v>
      </c>
      <c r="J8663" s="4">
        <f t="shared" si="303"/>
        <v>1.105583195135434E-4</v>
      </c>
      <c r="K8663" s="5">
        <f t="shared" si="304"/>
        <v>0.95754560530692823</v>
      </c>
    </row>
    <row r="8664" spans="1:11" x14ac:dyDescent="0.25">
      <c r="A8664" t="s">
        <v>16920</v>
      </c>
      <c r="C8664" t="s">
        <v>16921</v>
      </c>
      <c r="D8664" t="s">
        <v>5</v>
      </c>
      <c r="E8664" t="s">
        <v>6</v>
      </c>
      <c r="F8664" t="s">
        <v>251</v>
      </c>
      <c r="G8664">
        <v>1</v>
      </c>
      <c r="H8664" s="2">
        <f>Tabelle13[[#This Row],[commits]]/Tabelle13[[#Totals],[commits]]</f>
        <v>4.6477904404246225E-6</v>
      </c>
      <c r="I8664" s="5">
        <f>Tabelle13[[#This Row],[%]]+I8663</f>
        <v>0.998219896261205</v>
      </c>
      <c r="J8664" s="4">
        <f t="shared" si="303"/>
        <v>1.105583195135434E-4</v>
      </c>
      <c r="K8664" s="5">
        <f t="shared" si="304"/>
        <v>0.95765616362644179</v>
      </c>
    </row>
    <row r="8665" spans="1:11" x14ac:dyDescent="0.25">
      <c r="A8665" t="s">
        <v>16922</v>
      </c>
      <c r="C8665" t="s">
        <v>16923</v>
      </c>
      <c r="D8665" t="s">
        <v>5</v>
      </c>
      <c r="E8665" t="s">
        <v>6</v>
      </c>
      <c r="F8665" t="s">
        <v>251</v>
      </c>
      <c r="G8665">
        <v>1</v>
      </c>
      <c r="H8665" s="2">
        <f>Tabelle13[[#This Row],[commits]]/Tabelle13[[#Totals],[commits]]</f>
        <v>4.6477904404246225E-6</v>
      </c>
      <c r="I8665" s="5">
        <f>Tabelle13[[#This Row],[%]]+I8664</f>
        <v>0.9982245440516454</v>
      </c>
      <c r="J8665" s="4">
        <f t="shared" si="303"/>
        <v>1.105583195135434E-4</v>
      </c>
      <c r="K8665" s="5">
        <f t="shared" si="304"/>
        <v>0.95776672194595536</v>
      </c>
    </row>
    <row r="8666" spans="1:11" x14ac:dyDescent="0.25">
      <c r="A8666" t="s">
        <v>16924</v>
      </c>
      <c r="C8666" t="s">
        <v>16925</v>
      </c>
      <c r="D8666" t="s">
        <v>5</v>
      </c>
      <c r="E8666" t="s">
        <v>6</v>
      </c>
      <c r="F8666" t="s">
        <v>251</v>
      </c>
      <c r="G8666">
        <v>1</v>
      </c>
      <c r="H8666" s="2">
        <f>Tabelle13[[#This Row],[commits]]/Tabelle13[[#Totals],[commits]]</f>
        <v>4.6477904404246225E-6</v>
      </c>
      <c r="I8666" s="5">
        <f>Tabelle13[[#This Row],[%]]+I8665</f>
        <v>0.99822919184208581</v>
      </c>
      <c r="J8666" s="4">
        <f t="shared" si="303"/>
        <v>1.105583195135434E-4</v>
      </c>
      <c r="K8666" s="5">
        <f t="shared" si="304"/>
        <v>0.95787728026546892</v>
      </c>
    </row>
    <row r="8667" spans="1:11" x14ac:dyDescent="0.25">
      <c r="A8667" t="s">
        <v>16926</v>
      </c>
      <c r="C8667" t="s">
        <v>16927</v>
      </c>
      <c r="D8667" t="s">
        <v>5</v>
      </c>
      <c r="E8667" t="s">
        <v>6</v>
      </c>
      <c r="F8667" t="s">
        <v>251</v>
      </c>
      <c r="G8667">
        <v>1</v>
      </c>
      <c r="H8667" s="2">
        <f>Tabelle13[[#This Row],[commits]]/Tabelle13[[#Totals],[commits]]</f>
        <v>4.6477904404246225E-6</v>
      </c>
      <c r="I8667" s="5">
        <f>Tabelle13[[#This Row],[%]]+I8666</f>
        <v>0.99823383963252621</v>
      </c>
      <c r="J8667" s="4">
        <f t="shared" si="303"/>
        <v>1.105583195135434E-4</v>
      </c>
      <c r="K8667" s="5">
        <f t="shared" si="304"/>
        <v>0.95798783858498249</v>
      </c>
    </row>
    <row r="8668" spans="1:11" x14ac:dyDescent="0.25">
      <c r="A8668" t="s">
        <v>16928</v>
      </c>
      <c r="C8668" t="s">
        <v>16929</v>
      </c>
      <c r="D8668" t="s">
        <v>5</v>
      </c>
      <c r="E8668" t="s">
        <v>6</v>
      </c>
      <c r="F8668" t="s">
        <v>251</v>
      </c>
      <c r="G8668">
        <v>1</v>
      </c>
      <c r="H8668" s="2">
        <f>Tabelle13[[#This Row],[commits]]/Tabelle13[[#Totals],[commits]]</f>
        <v>4.6477904404246225E-6</v>
      </c>
      <c r="I8668" s="5">
        <f>Tabelle13[[#This Row],[%]]+I8667</f>
        <v>0.99823848742296661</v>
      </c>
      <c r="J8668" s="4">
        <f t="shared" si="303"/>
        <v>1.105583195135434E-4</v>
      </c>
      <c r="K8668" s="5">
        <f t="shared" si="304"/>
        <v>0.95809839690449605</v>
      </c>
    </row>
    <row r="8669" spans="1:11" x14ac:dyDescent="0.25">
      <c r="A8669" t="s">
        <v>16930</v>
      </c>
      <c r="C8669" t="s">
        <v>16931</v>
      </c>
      <c r="D8669" t="s">
        <v>5</v>
      </c>
      <c r="E8669" t="s">
        <v>6</v>
      </c>
      <c r="F8669" t="s">
        <v>251</v>
      </c>
      <c r="G8669">
        <v>1</v>
      </c>
      <c r="H8669" s="2">
        <f>Tabelle13[[#This Row],[commits]]/Tabelle13[[#Totals],[commits]]</f>
        <v>4.6477904404246225E-6</v>
      </c>
      <c r="I8669" s="5">
        <f>Tabelle13[[#This Row],[%]]+I8668</f>
        <v>0.99824313521340702</v>
      </c>
      <c r="J8669" s="4">
        <f t="shared" si="303"/>
        <v>1.105583195135434E-4</v>
      </c>
      <c r="K8669" s="5">
        <f t="shared" si="304"/>
        <v>0.95820895522400962</v>
      </c>
    </row>
    <row r="8670" spans="1:11" x14ac:dyDescent="0.25">
      <c r="A8670" t="s">
        <v>16932</v>
      </c>
      <c r="C8670" t="s">
        <v>16933</v>
      </c>
      <c r="D8670" t="s">
        <v>15945</v>
      </c>
      <c r="E8670" t="s">
        <v>6</v>
      </c>
      <c r="F8670" t="s">
        <v>251</v>
      </c>
      <c r="G8670">
        <v>1</v>
      </c>
      <c r="H8670" s="2">
        <f>Tabelle13[[#This Row],[commits]]/Tabelle13[[#Totals],[commits]]</f>
        <v>4.6477904404246225E-6</v>
      </c>
      <c r="I8670" s="5">
        <f>Tabelle13[[#This Row],[%]]+I8669</f>
        <v>0.99824778300384742</v>
      </c>
      <c r="J8670" s="4">
        <f t="shared" si="303"/>
        <v>1.105583195135434E-4</v>
      </c>
      <c r="K8670" s="5">
        <f t="shared" si="304"/>
        <v>0.95831951354352318</v>
      </c>
    </row>
    <row r="8671" spans="1:11" x14ac:dyDescent="0.25">
      <c r="A8671" t="s">
        <v>16934</v>
      </c>
      <c r="C8671" t="s">
        <v>16935</v>
      </c>
      <c r="D8671" t="s">
        <v>5</v>
      </c>
      <c r="E8671" t="s">
        <v>6</v>
      </c>
      <c r="F8671" t="s">
        <v>251</v>
      </c>
      <c r="G8671">
        <v>1</v>
      </c>
      <c r="H8671" s="2">
        <f>Tabelle13[[#This Row],[commits]]/Tabelle13[[#Totals],[commits]]</f>
        <v>4.6477904404246225E-6</v>
      </c>
      <c r="I8671" s="5">
        <f>Tabelle13[[#This Row],[%]]+I8670</f>
        <v>0.99825243079428783</v>
      </c>
      <c r="J8671" s="4">
        <f t="shared" si="303"/>
        <v>1.105583195135434E-4</v>
      </c>
      <c r="K8671" s="5">
        <f t="shared" si="304"/>
        <v>0.95843007186303675</v>
      </c>
    </row>
    <row r="8672" spans="1:11" x14ac:dyDescent="0.25">
      <c r="A8672" t="s">
        <v>16936</v>
      </c>
      <c r="C8672" t="s">
        <v>11</v>
      </c>
      <c r="D8672" t="s">
        <v>5</v>
      </c>
      <c r="E8672" t="s">
        <v>6</v>
      </c>
      <c r="F8672" t="s">
        <v>251</v>
      </c>
      <c r="G8672">
        <v>1</v>
      </c>
      <c r="H8672" s="2">
        <f>Tabelle13[[#This Row],[commits]]/Tabelle13[[#Totals],[commits]]</f>
        <v>4.6477904404246225E-6</v>
      </c>
      <c r="I8672" s="5">
        <f>Tabelle13[[#This Row],[%]]+I8671</f>
        <v>0.99825707858472823</v>
      </c>
      <c r="J8672" s="4">
        <f t="shared" si="303"/>
        <v>1.105583195135434E-4</v>
      </c>
      <c r="K8672" s="5">
        <f t="shared" si="304"/>
        <v>0.95854063018255031</v>
      </c>
    </row>
    <row r="8673" spans="1:11" x14ac:dyDescent="0.25">
      <c r="A8673" t="s">
        <v>16937</v>
      </c>
      <c r="C8673" t="s">
        <v>16938</v>
      </c>
      <c r="D8673" t="s">
        <v>5</v>
      </c>
      <c r="E8673" t="s">
        <v>6</v>
      </c>
      <c r="F8673" t="s">
        <v>251</v>
      </c>
      <c r="G8673">
        <v>1</v>
      </c>
      <c r="H8673" s="2">
        <f>Tabelle13[[#This Row],[commits]]/Tabelle13[[#Totals],[commits]]</f>
        <v>4.6477904404246225E-6</v>
      </c>
      <c r="I8673" s="5">
        <f>Tabelle13[[#This Row],[%]]+I8672</f>
        <v>0.99826172637516863</v>
      </c>
      <c r="J8673" s="4">
        <f t="shared" si="303"/>
        <v>1.105583195135434E-4</v>
      </c>
      <c r="K8673" s="5">
        <f t="shared" si="304"/>
        <v>0.95865118850206388</v>
      </c>
    </row>
    <row r="8674" spans="1:11" x14ac:dyDescent="0.25">
      <c r="A8674" t="s">
        <v>16939</v>
      </c>
      <c r="C8674" t="s">
        <v>16940</v>
      </c>
      <c r="D8674" t="s">
        <v>5</v>
      </c>
      <c r="E8674" t="s">
        <v>6</v>
      </c>
      <c r="F8674" t="s">
        <v>251</v>
      </c>
      <c r="G8674">
        <v>1</v>
      </c>
      <c r="H8674" s="2">
        <f>Tabelle13[[#This Row],[commits]]/Tabelle13[[#Totals],[commits]]</f>
        <v>4.6477904404246225E-6</v>
      </c>
      <c r="I8674" s="5">
        <f>Tabelle13[[#This Row],[%]]+I8673</f>
        <v>0.99826637416560904</v>
      </c>
      <c r="J8674" s="4">
        <f t="shared" si="303"/>
        <v>1.105583195135434E-4</v>
      </c>
      <c r="K8674" s="5">
        <f t="shared" si="304"/>
        <v>0.95876174682157744</v>
      </c>
    </row>
    <row r="8675" spans="1:11" x14ac:dyDescent="0.25">
      <c r="A8675" t="s">
        <v>16941</v>
      </c>
      <c r="C8675" t="s">
        <v>16942</v>
      </c>
      <c r="D8675" t="s">
        <v>5</v>
      </c>
      <c r="E8675" t="s">
        <v>6</v>
      </c>
      <c r="F8675" t="s">
        <v>251</v>
      </c>
      <c r="G8675">
        <v>1</v>
      </c>
      <c r="H8675" s="2">
        <f>Tabelle13[[#This Row],[commits]]/Tabelle13[[#Totals],[commits]]</f>
        <v>4.6477904404246225E-6</v>
      </c>
      <c r="I8675" s="5">
        <f>Tabelle13[[#This Row],[%]]+I8674</f>
        <v>0.99827102195604944</v>
      </c>
      <c r="J8675" s="4">
        <f t="shared" si="303"/>
        <v>1.105583195135434E-4</v>
      </c>
      <c r="K8675" s="5">
        <f t="shared" si="304"/>
        <v>0.95887230514109101</v>
      </c>
    </row>
    <row r="8676" spans="1:11" x14ac:dyDescent="0.25">
      <c r="A8676" t="s">
        <v>16943</v>
      </c>
      <c r="C8676" t="s">
        <v>16944</v>
      </c>
      <c r="D8676" t="s">
        <v>5</v>
      </c>
      <c r="E8676" t="s">
        <v>6</v>
      </c>
      <c r="F8676" t="s">
        <v>251</v>
      </c>
      <c r="G8676">
        <v>1</v>
      </c>
      <c r="H8676" s="2">
        <f>Tabelle13[[#This Row],[commits]]/Tabelle13[[#Totals],[commits]]</f>
        <v>4.6477904404246225E-6</v>
      </c>
      <c r="I8676" s="5">
        <f>Tabelle13[[#This Row],[%]]+I8675</f>
        <v>0.99827566974648985</v>
      </c>
      <c r="J8676" s="4">
        <f t="shared" si="303"/>
        <v>1.105583195135434E-4</v>
      </c>
      <c r="K8676" s="5">
        <f t="shared" si="304"/>
        <v>0.95898286346060457</v>
      </c>
    </row>
    <row r="8677" spans="1:11" x14ac:dyDescent="0.25">
      <c r="A8677" t="s">
        <v>16945</v>
      </c>
      <c r="C8677" t="s">
        <v>16946</v>
      </c>
      <c r="D8677" t="s">
        <v>5</v>
      </c>
      <c r="E8677" t="s">
        <v>6</v>
      </c>
      <c r="F8677" t="s">
        <v>251</v>
      </c>
      <c r="G8677">
        <v>1</v>
      </c>
      <c r="H8677" s="2">
        <f>Tabelle13[[#This Row],[commits]]/Tabelle13[[#Totals],[commits]]</f>
        <v>4.6477904404246225E-6</v>
      </c>
      <c r="I8677" s="5">
        <f>Tabelle13[[#This Row],[%]]+I8676</f>
        <v>0.99828031753693025</v>
      </c>
      <c r="J8677" s="4">
        <f t="shared" si="303"/>
        <v>1.105583195135434E-4</v>
      </c>
      <c r="K8677" s="5">
        <f t="shared" si="304"/>
        <v>0.95909342178011814</v>
      </c>
    </row>
    <row r="8678" spans="1:11" x14ac:dyDescent="0.25">
      <c r="A8678" t="s">
        <v>16947</v>
      </c>
      <c r="C8678" t="s">
        <v>16948</v>
      </c>
      <c r="D8678" t="s">
        <v>5</v>
      </c>
      <c r="E8678" t="s">
        <v>6</v>
      </c>
      <c r="F8678" t="s">
        <v>251</v>
      </c>
      <c r="G8678">
        <v>1</v>
      </c>
      <c r="H8678" s="2">
        <f>Tabelle13[[#This Row],[commits]]/Tabelle13[[#Totals],[commits]]</f>
        <v>4.6477904404246225E-6</v>
      </c>
      <c r="I8678" s="5">
        <f>Tabelle13[[#This Row],[%]]+I8677</f>
        <v>0.99828496532737065</v>
      </c>
      <c r="J8678" s="4">
        <f t="shared" si="303"/>
        <v>1.105583195135434E-4</v>
      </c>
      <c r="K8678" s="5">
        <f t="shared" si="304"/>
        <v>0.9592039800996317</v>
      </c>
    </row>
    <row r="8679" spans="1:11" x14ac:dyDescent="0.25">
      <c r="A8679" t="s">
        <v>16949</v>
      </c>
      <c r="C8679" t="s">
        <v>16950</v>
      </c>
      <c r="D8679" t="s">
        <v>5</v>
      </c>
      <c r="E8679" t="s">
        <v>6</v>
      </c>
      <c r="F8679" t="s">
        <v>251</v>
      </c>
      <c r="G8679">
        <v>1</v>
      </c>
      <c r="H8679" s="2">
        <f>Tabelle13[[#This Row],[commits]]/Tabelle13[[#Totals],[commits]]</f>
        <v>4.6477904404246225E-6</v>
      </c>
      <c r="I8679" s="5">
        <f>Tabelle13[[#This Row],[%]]+I8678</f>
        <v>0.99828961311781106</v>
      </c>
      <c r="J8679" s="4">
        <f t="shared" si="303"/>
        <v>1.105583195135434E-4</v>
      </c>
      <c r="K8679" s="5">
        <f t="shared" si="304"/>
        <v>0.95931453841914527</v>
      </c>
    </row>
    <row r="8680" spans="1:11" x14ac:dyDescent="0.25">
      <c r="A8680" t="s">
        <v>16951</v>
      </c>
      <c r="C8680" t="s">
        <v>16952</v>
      </c>
      <c r="D8680" t="s">
        <v>5</v>
      </c>
      <c r="E8680" t="s">
        <v>6</v>
      </c>
      <c r="F8680" t="s">
        <v>251</v>
      </c>
      <c r="G8680">
        <v>1</v>
      </c>
      <c r="H8680" s="2">
        <f>Tabelle13[[#This Row],[commits]]/Tabelle13[[#Totals],[commits]]</f>
        <v>4.6477904404246225E-6</v>
      </c>
      <c r="I8680" s="5">
        <f>Tabelle13[[#This Row],[%]]+I8679</f>
        <v>0.99829426090825146</v>
      </c>
      <c r="J8680" s="4">
        <f t="shared" si="303"/>
        <v>1.105583195135434E-4</v>
      </c>
      <c r="K8680" s="5">
        <f t="shared" si="304"/>
        <v>0.95942509673865883</v>
      </c>
    </row>
    <row r="8681" spans="1:11" x14ac:dyDescent="0.25">
      <c r="A8681" t="s">
        <v>16953</v>
      </c>
      <c r="C8681" t="s">
        <v>16954</v>
      </c>
      <c r="D8681" t="s">
        <v>5</v>
      </c>
      <c r="E8681" t="s">
        <v>6</v>
      </c>
      <c r="F8681" t="s">
        <v>251</v>
      </c>
      <c r="G8681">
        <v>1</v>
      </c>
      <c r="H8681" s="2">
        <f>Tabelle13[[#This Row],[commits]]/Tabelle13[[#Totals],[commits]]</f>
        <v>4.6477904404246225E-6</v>
      </c>
      <c r="I8681" s="5">
        <f>Tabelle13[[#This Row],[%]]+I8680</f>
        <v>0.99829890869869187</v>
      </c>
      <c r="J8681" s="4">
        <f t="shared" si="303"/>
        <v>1.105583195135434E-4</v>
      </c>
      <c r="K8681" s="5">
        <f t="shared" si="304"/>
        <v>0.9595356550581724</v>
      </c>
    </row>
    <row r="8682" spans="1:11" x14ac:dyDescent="0.25">
      <c r="A8682" t="s">
        <v>16955</v>
      </c>
      <c r="C8682" t="s">
        <v>16956</v>
      </c>
      <c r="D8682" t="s">
        <v>5</v>
      </c>
      <c r="E8682" t="s">
        <v>6</v>
      </c>
      <c r="F8682" t="s">
        <v>251</v>
      </c>
      <c r="G8682">
        <v>1</v>
      </c>
      <c r="H8682" s="2">
        <f>Tabelle13[[#This Row],[commits]]/Tabelle13[[#Totals],[commits]]</f>
        <v>4.6477904404246225E-6</v>
      </c>
      <c r="I8682" s="5">
        <f>Tabelle13[[#This Row],[%]]+I8681</f>
        <v>0.99830355648913227</v>
      </c>
      <c r="J8682" s="4">
        <f t="shared" si="303"/>
        <v>1.105583195135434E-4</v>
      </c>
      <c r="K8682" s="5">
        <f t="shared" si="304"/>
        <v>0.95964621337768596</v>
      </c>
    </row>
    <row r="8683" spans="1:11" x14ac:dyDescent="0.25">
      <c r="A8683" t="s">
        <v>16957</v>
      </c>
      <c r="C8683" t="s">
        <v>16958</v>
      </c>
      <c r="D8683" t="s">
        <v>5</v>
      </c>
      <c r="E8683" t="s">
        <v>6</v>
      </c>
      <c r="F8683" t="s">
        <v>251</v>
      </c>
      <c r="G8683">
        <v>1</v>
      </c>
      <c r="H8683" s="2">
        <f>Tabelle13[[#This Row],[commits]]/Tabelle13[[#Totals],[commits]]</f>
        <v>4.6477904404246225E-6</v>
      </c>
      <c r="I8683" s="5">
        <f>Tabelle13[[#This Row],[%]]+I8682</f>
        <v>0.99830820427957268</v>
      </c>
      <c r="J8683" s="4">
        <f t="shared" si="303"/>
        <v>1.105583195135434E-4</v>
      </c>
      <c r="K8683" s="5">
        <f t="shared" si="304"/>
        <v>0.95975677169719953</v>
      </c>
    </row>
    <row r="8684" spans="1:11" x14ac:dyDescent="0.25">
      <c r="A8684" t="s">
        <v>16959</v>
      </c>
      <c r="C8684" t="s">
        <v>16960</v>
      </c>
      <c r="D8684" t="s">
        <v>5</v>
      </c>
      <c r="E8684" t="s">
        <v>6</v>
      </c>
      <c r="F8684" t="s">
        <v>251</v>
      </c>
      <c r="G8684">
        <v>1</v>
      </c>
      <c r="H8684" s="2">
        <f>Tabelle13[[#This Row],[commits]]/Tabelle13[[#Totals],[commits]]</f>
        <v>4.6477904404246225E-6</v>
      </c>
      <c r="I8684" s="5">
        <f>Tabelle13[[#This Row],[%]]+I8683</f>
        <v>0.99831285207001308</v>
      </c>
      <c r="J8684" s="4">
        <f t="shared" si="303"/>
        <v>1.105583195135434E-4</v>
      </c>
      <c r="K8684" s="5">
        <f t="shared" si="304"/>
        <v>0.95986733001671309</v>
      </c>
    </row>
    <row r="8685" spans="1:11" x14ac:dyDescent="0.25">
      <c r="A8685" t="s">
        <v>16961</v>
      </c>
      <c r="C8685" t="s">
        <v>3451</v>
      </c>
      <c r="D8685" t="s">
        <v>5</v>
      </c>
      <c r="E8685" t="s">
        <v>6</v>
      </c>
      <c r="F8685" t="s">
        <v>251</v>
      </c>
      <c r="G8685">
        <v>1</v>
      </c>
      <c r="H8685" s="2">
        <f>Tabelle13[[#This Row],[commits]]/Tabelle13[[#Totals],[commits]]</f>
        <v>4.6477904404246225E-6</v>
      </c>
      <c r="I8685" s="5">
        <f>Tabelle13[[#This Row],[%]]+I8684</f>
        <v>0.99831749986045348</v>
      </c>
      <c r="J8685" s="4">
        <f t="shared" si="303"/>
        <v>1.105583195135434E-4</v>
      </c>
      <c r="K8685" s="5">
        <f t="shared" si="304"/>
        <v>0.95997788833622666</v>
      </c>
    </row>
    <row r="8686" spans="1:11" x14ac:dyDescent="0.25">
      <c r="A8686" t="s">
        <v>16962</v>
      </c>
      <c r="C8686" t="s">
        <v>16963</v>
      </c>
      <c r="D8686" t="s">
        <v>5</v>
      </c>
      <c r="E8686" t="s">
        <v>6</v>
      </c>
      <c r="F8686" t="s">
        <v>251</v>
      </c>
      <c r="G8686">
        <v>1</v>
      </c>
      <c r="H8686" s="2">
        <f>Tabelle13[[#This Row],[commits]]/Tabelle13[[#Totals],[commits]]</f>
        <v>4.6477904404246225E-6</v>
      </c>
      <c r="I8686" s="5">
        <f>Tabelle13[[#This Row],[%]]+I8685</f>
        <v>0.99832214765089389</v>
      </c>
      <c r="J8686" s="4">
        <f t="shared" si="303"/>
        <v>1.105583195135434E-4</v>
      </c>
      <c r="K8686" s="5">
        <f t="shared" si="304"/>
        <v>0.96008844665574022</v>
      </c>
    </row>
    <row r="8687" spans="1:11" x14ac:dyDescent="0.25">
      <c r="A8687" t="s">
        <v>16964</v>
      </c>
      <c r="C8687" t="s">
        <v>16965</v>
      </c>
      <c r="D8687" t="s">
        <v>5</v>
      </c>
      <c r="E8687" t="s">
        <v>6</v>
      </c>
      <c r="F8687" t="s">
        <v>251</v>
      </c>
      <c r="G8687">
        <v>1</v>
      </c>
      <c r="H8687" s="2">
        <f>Tabelle13[[#This Row],[commits]]/Tabelle13[[#Totals],[commits]]</f>
        <v>4.6477904404246225E-6</v>
      </c>
      <c r="I8687" s="5">
        <f>Tabelle13[[#This Row],[%]]+I8686</f>
        <v>0.99832679544133429</v>
      </c>
      <c r="J8687" s="4">
        <f t="shared" si="303"/>
        <v>1.105583195135434E-4</v>
      </c>
      <c r="K8687" s="5">
        <f t="shared" si="304"/>
        <v>0.96019900497525379</v>
      </c>
    </row>
    <row r="8688" spans="1:11" x14ac:dyDescent="0.25">
      <c r="A8688" t="s">
        <v>16966</v>
      </c>
      <c r="C8688" t="s">
        <v>16967</v>
      </c>
      <c r="D8688" t="s">
        <v>5</v>
      </c>
      <c r="E8688" t="s">
        <v>6</v>
      </c>
      <c r="F8688" t="s">
        <v>251</v>
      </c>
      <c r="G8688">
        <v>1</v>
      </c>
      <c r="H8688" s="2">
        <f>Tabelle13[[#This Row],[commits]]/Tabelle13[[#Totals],[commits]]</f>
        <v>4.6477904404246225E-6</v>
      </c>
      <c r="I8688" s="5">
        <f>Tabelle13[[#This Row],[%]]+I8687</f>
        <v>0.9983314432317747</v>
      </c>
      <c r="J8688" s="4">
        <f t="shared" si="303"/>
        <v>1.105583195135434E-4</v>
      </c>
      <c r="K8688" s="5">
        <f t="shared" si="304"/>
        <v>0.96030956329476735</v>
      </c>
    </row>
    <row r="8689" spans="1:11" x14ac:dyDescent="0.25">
      <c r="A8689" t="s">
        <v>16968</v>
      </c>
      <c r="C8689" t="s">
        <v>16913</v>
      </c>
      <c r="D8689" t="s">
        <v>16969</v>
      </c>
      <c r="E8689" t="s">
        <v>6</v>
      </c>
      <c r="F8689" t="s">
        <v>251</v>
      </c>
      <c r="G8689">
        <v>1</v>
      </c>
      <c r="H8689" s="2">
        <f>Tabelle13[[#This Row],[commits]]/Tabelle13[[#Totals],[commits]]</f>
        <v>4.6477904404246225E-6</v>
      </c>
      <c r="I8689" s="5">
        <f>Tabelle13[[#This Row],[%]]+I8688</f>
        <v>0.9983360910222151</v>
      </c>
      <c r="J8689" s="4">
        <f t="shared" si="303"/>
        <v>1.105583195135434E-4</v>
      </c>
      <c r="K8689" s="5">
        <f t="shared" si="304"/>
        <v>0.96042012161428092</v>
      </c>
    </row>
    <row r="8690" spans="1:11" x14ac:dyDescent="0.25">
      <c r="A8690" t="s">
        <v>16970</v>
      </c>
      <c r="C8690" t="s">
        <v>16971</v>
      </c>
      <c r="D8690" t="s">
        <v>5</v>
      </c>
      <c r="E8690" t="s">
        <v>6</v>
      </c>
      <c r="F8690" t="s">
        <v>251</v>
      </c>
      <c r="G8690">
        <v>1</v>
      </c>
      <c r="H8690" s="2">
        <f>Tabelle13[[#This Row],[commits]]/Tabelle13[[#Totals],[commits]]</f>
        <v>4.6477904404246225E-6</v>
      </c>
      <c r="I8690" s="5">
        <f>Tabelle13[[#This Row],[%]]+I8689</f>
        <v>0.9983407388126555</v>
      </c>
      <c r="J8690" s="4">
        <f t="shared" si="303"/>
        <v>1.105583195135434E-4</v>
      </c>
      <c r="K8690" s="5">
        <f t="shared" si="304"/>
        <v>0.96053067993379448</v>
      </c>
    </row>
    <row r="8691" spans="1:11" x14ac:dyDescent="0.25">
      <c r="A8691" t="s">
        <v>16972</v>
      </c>
      <c r="C8691" t="s">
        <v>16973</v>
      </c>
      <c r="D8691" t="s">
        <v>5</v>
      </c>
      <c r="E8691" t="s">
        <v>6</v>
      </c>
      <c r="F8691" t="s">
        <v>251</v>
      </c>
      <c r="G8691">
        <v>1</v>
      </c>
      <c r="H8691" s="2">
        <f>Tabelle13[[#This Row],[commits]]/Tabelle13[[#Totals],[commits]]</f>
        <v>4.6477904404246225E-6</v>
      </c>
      <c r="I8691" s="5">
        <f>Tabelle13[[#This Row],[%]]+I8690</f>
        <v>0.99834538660309591</v>
      </c>
      <c r="J8691" s="4">
        <f t="shared" si="303"/>
        <v>1.105583195135434E-4</v>
      </c>
      <c r="K8691" s="5">
        <f t="shared" si="304"/>
        <v>0.96064123825330805</v>
      </c>
    </row>
    <row r="8692" spans="1:11" x14ac:dyDescent="0.25">
      <c r="A8692" t="s">
        <v>16974</v>
      </c>
      <c r="C8692" t="s">
        <v>16975</v>
      </c>
      <c r="D8692" t="s">
        <v>5</v>
      </c>
      <c r="E8692" t="s">
        <v>6</v>
      </c>
      <c r="F8692" t="s">
        <v>251</v>
      </c>
      <c r="G8692">
        <v>1</v>
      </c>
      <c r="H8692" s="2">
        <f>Tabelle13[[#This Row],[commits]]/Tabelle13[[#Totals],[commits]]</f>
        <v>4.6477904404246225E-6</v>
      </c>
      <c r="I8692" s="5">
        <f>Tabelle13[[#This Row],[%]]+I8691</f>
        <v>0.99835003439353631</v>
      </c>
      <c r="J8692" s="4">
        <f t="shared" si="303"/>
        <v>1.105583195135434E-4</v>
      </c>
      <c r="K8692" s="5">
        <f t="shared" si="304"/>
        <v>0.96075179657282161</v>
      </c>
    </row>
    <row r="8693" spans="1:11" x14ac:dyDescent="0.25">
      <c r="A8693" t="s">
        <v>16976</v>
      </c>
      <c r="C8693" t="s">
        <v>16977</v>
      </c>
      <c r="D8693" t="s">
        <v>5</v>
      </c>
      <c r="E8693" t="s">
        <v>6</v>
      </c>
      <c r="F8693" t="s">
        <v>251</v>
      </c>
      <c r="G8693">
        <v>1</v>
      </c>
      <c r="H8693" s="2">
        <f>Tabelle13[[#This Row],[commits]]/Tabelle13[[#Totals],[commits]]</f>
        <v>4.6477904404246225E-6</v>
      </c>
      <c r="I8693" s="5">
        <f>Tabelle13[[#This Row],[%]]+I8692</f>
        <v>0.99835468218397672</v>
      </c>
      <c r="J8693" s="4">
        <f t="shared" si="303"/>
        <v>1.105583195135434E-4</v>
      </c>
      <c r="K8693" s="5">
        <f t="shared" si="304"/>
        <v>0.96086235489233518</v>
      </c>
    </row>
    <row r="8694" spans="1:11" x14ac:dyDescent="0.25">
      <c r="A8694" t="s">
        <v>16978</v>
      </c>
      <c r="C8694" t="s">
        <v>16979</v>
      </c>
      <c r="D8694" t="s">
        <v>5</v>
      </c>
      <c r="E8694" t="s">
        <v>6</v>
      </c>
      <c r="F8694" t="s">
        <v>251</v>
      </c>
      <c r="G8694">
        <v>1</v>
      </c>
      <c r="H8694" s="2">
        <f>Tabelle13[[#This Row],[commits]]/Tabelle13[[#Totals],[commits]]</f>
        <v>4.6477904404246225E-6</v>
      </c>
      <c r="I8694" s="5">
        <f>Tabelle13[[#This Row],[%]]+I8693</f>
        <v>0.99835932997441712</v>
      </c>
      <c r="J8694" s="4">
        <f t="shared" si="303"/>
        <v>1.105583195135434E-4</v>
      </c>
      <c r="K8694" s="5">
        <f t="shared" si="304"/>
        <v>0.96097291321184874</v>
      </c>
    </row>
    <row r="8695" spans="1:11" x14ac:dyDescent="0.25">
      <c r="A8695" t="s">
        <v>16980</v>
      </c>
      <c r="C8695" t="s">
        <v>16981</v>
      </c>
      <c r="D8695" t="s">
        <v>5</v>
      </c>
      <c r="E8695" t="s">
        <v>6</v>
      </c>
      <c r="F8695" t="s">
        <v>251</v>
      </c>
      <c r="G8695">
        <v>1</v>
      </c>
      <c r="H8695" s="2">
        <f>Tabelle13[[#This Row],[commits]]/Tabelle13[[#Totals],[commits]]</f>
        <v>4.6477904404246225E-6</v>
      </c>
      <c r="I8695" s="5">
        <f>Tabelle13[[#This Row],[%]]+I8694</f>
        <v>0.99836397776485752</v>
      </c>
      <c r="J8695" s="4">
        <f t="shared" si="303"/>
        <v>1.105583195135434E-4</v>
      </c>
      <c r="K8695" s="5">
        <f t="shared" si="304"/>
        <v>0.96108347153136231</v>
      </c>
    </row>
    <row r="8696" spans="1:11" x14ac:dyDescent="0.25">
      <c r="A8696" t="s">
        <v>16982</v>
      </c>
      <c r="C8696" t="s">
        <v>16983</v>
      </c>
      <c r="D8696" t="s">
        <v>5</v>
      </c>
      <c r="E8696" t="s">
        <v>6</v>
      </c>
      <c r="F8696" t="s">
        <v>251</v>
      </c>
      <c r="G8696">
        <v>1</v>
      </c>
      <c r="H8696" s="2">
        <f>Tabelle13[[#This Row],[commits]]/Tabelle13[[#Totals],[commits]]</f>
        <v>4.6477904404246225E-6</v>
      </c>
      <c r="I8696" s="5">
        <f>Tabelle13[[#This Row],[%]]+I8695</f>
        <v>0.99836862555529793</v>
      </c>
      <c r="J8696" s="4">
        <f t="shared" si="303"/>
        <v>1.105583195135434E-4</v>
      </c>
      <c r="K8696" s="5">
        <f t="shared" si="304"/>
        <v>0.96119402985087588</v>
      </c>
    </row>
    <row r="8697" spans="1:11" x14ac:dyDescent="0.25">
      <c r="A8697" t="s">
        <v>16984</v>
      </c>
      <c r="C8697" t="s">
        <v>16985</v>
      </c>
      <c r="D8697" t="s">
        <v>5</v>
      </c>
      <c r="E8697" t="s">
        <v>6</v>
      </c>
      <c r="F8697" t="s">
        <v>251</v>
      </c>
      <c r="G8697">
        <v>1</v>
      </c>
      <c r="H8697" s="2">
        <f>Tabelle13[[#This Row],[commits]]/Tabelle13[[#Totals],[commits]]</f>
        <v>4.6477904404246225E-6</v>
      </c>
      <c r="I8697" s="5">
        <f>Tabelle13[[#This Row],[%]]+I8696</f>
        <v>0.99837327334573833</v>
      </c>
      <c r="J8697" s="4">
        <f t="shared" si="303"/>
        <v>1.105583195135434E-4</v>
      </c>
      <c r="K8697" s="5">
        <f t="shared" si="304"/>
        <v>0.96130458817038944</v>
      </c>
    </row>
    <row r="8698" spans="1:11" x14ac:dyDescent="0.25">
      <c r="A8698" t="s">
        <v>16986</v>
      </c>
      <c r="C8698" t="s">
        <v>16987</v>
      </c>
      <c r="D8698" t="s">
        <v>16988</v>
      </c>
      <c r="E8698" t="s">
        <v>6</v>
      </c>
      <c r="F8698" t="s">
        <v>251</v>
      </c>
      <c r="G8698">
        <v>1</v>
      </c>
      <c r="H8698" s="2">
        <f>Tabelle13[[#This Row],[commits]]/Tabelle13[[#Totals],[commits]]</f>
        <v>4.6477904404246225E-6</v>
      </c>
      <c r="I8698" s="5">
        <f>Tabelle13[[#This Row],[%]]+I8697</f>
        <v>0.99837792113617874</v>
      </c>
      <c r="J8698" s="4">
        <f t="shared" si="303"/>
        <v>1.105583195135434E-4</v>
      </c>
      <c r="K8698" s="5">
        <f t="shared" si="304"/>
        <v>0.96141514648990301</v>
      </c>
    </row>
    <row r="8699" spans="1:11" x14ac:dyDescent="0.25">
      <c r="A8699" t="s">
        <v>16989</v>
      </c>
      <c r="C8699" t="s">
        <v>16990</v>
      </c>
      <c r="D8699" t="s">
        <v>5</v>
      </c>
      <c r="E8699" t="s">
        <v>6</v>
      </c>
      <c r="F8699" t="s">
        <v>251</v>
      </c>
      <c r="G8699">
        <v>1</v>
      </c>
      <c r="H8699" s="2">
        <f>Tabelle13[[#This Row],[commits]]/Tabelle13[[#Totals],[commits]]</f>
        <v>4.6477904404246225E-6</v>
      </c>
      <c r="I8699" s="5">
        <f>Tabelle13[[#This Row],[%]]+I8698</f>
        <v>0.99838256892661914</v>
      </c>
      <c r="J8699" s="4">
        <f t="shared" si="303"/>
        <v>1.105583195135434E-4</v>
      </c>
      <c r="K8699" s="5">
        <f t="shared" si="304"/>
        <v>0.96152570480941657</v>
      </c>
    </row>
    <row r="8700" spans="1:11" x14ac:dyDescent="0.25">
      <c r="A8700" t="s">
        <v>16991</v>
      </c>
      <c r="C8700" t="s">
        <v>16992</v>
      </c>
      <c r="D8700" t="s">
        <v>16993</v>
      </c>
      <c r="E8700" t="s">
        <v>6</v>
      </c>
      <c r="F8700" t="s">
        <v>251</v>
      </c>
      <c r="G8700">
        <v>1</v>
      </c>
      <c r="H8700" s="2">
        <f>Tabelle13[[#This Row],[commits]]/Tabelle13[[#Totals],[commits]]</f>
        <v>4.6477904404246225E-6</v>
      </c>
      <c r="I8700" s="5">
        <f>Tabelle13[[#This Row],[%]]+I8699</f>
        <v>0.99838721671705954</v>
      </c>
      <c r="J8700" s="4">
        <f t="shared" si="303"/>
        <v>1.105583195135434E-4</v>
      </c>
      <c r="K8700" s="5">
        <f t="shared" si="304"/>
        <v>0.96163626312893014</v>
      </c>
    </row>
    <row r="8701" spans="1:11" x14ac:dyDescent="0.25">
      <c r="A8701" t="s">
        <v>16994</v>
      </c>
      <c r="C8701" t="s">
        <v>16356</v>
      </c>
      <c r="D8701" t="s">
        <v>5</v>
      </c>
      <c r="E8701" t="s">
        <v>6</v>
      </c>
      <c r="F8701" t="s">
        <v>251</v>
      </c>
      <c r="G8701">
        <v>1</v>
      </c>
      <c r="H8701" s="2">
        <f>Tabelle13[[#This Row],[commits]]/Tabelle13[[#Totals],[commits]]</f>
        <v>4.6477904404246225E-6</v>
      </c>
      <c r="I8701" s="5">
        <f>Tabelle13[[#This Row],[%]]+I8700</f>
        <v>0.99839186450749995</v>
      </c>
      <c r="J8701" s="4">
        <f t="shared" si="303"/>
        <v>1.105583195135434E-4</v>
      </c>
      <c r="K8701" s="5">
        <f t="shared" si="304"/>
        <v>0.9617468214484437</v>
      </c>
    </row>
    <row r="8702" spans="1:11" x14ac:dyDescent="0.25">
      <c r="A8702" t="s">
        <v>16995</v>
      </c>
      <c r="C8702" t="s">
        <v>16996</v>
      </c>
      <c r="D8702" t="s">
        <v>5</v>
      </c>
      <c r="E8702" t="s">
        <v>6</v>
      </c>
      <c r="F8702" t="s">
        <v>251</v>
      </c>
      <c r="G8702">
        <v>1</v>
      </c>
      <c r="H8702" s="2">
        <f>Tabelle13[[#This Row],[commits]]/Tabelle13[[#Totals],[commits]]</f>
        <v>4.6477904404246225E-6</v>
      </c>
      <c r="I8702" s="5">
        <f>Tabelle13[[#This Row],[%]]+I8701</f>
        <v>0.99839651229794035</v>
      </c>
      <c r="J8702" s="4">
        <f t="shared" si="303"/>
        <v>1.105583195135434E-4</v>
      </c>
      <c r="K8702" s="5">
        <f t="shared" si="304"/>
        <v>0.96185737976795727</v>
      </c>
    </row>
    <row r="8703" spans="1:11" x14ac:dyDescent="0.25">
      <c r="A8703" t="s">
        <v>16997</v>
      </c>
      <c r="C8703" t="s">
        <v>16998</v>
      </c>
      <c r="D8703" t="s">
        <v>10755</v>
      </c>
      <c r="E8703" t="s">
        <v>6</v>
      </c>
      <c r="F8703" t="s">
        <v>251</v>
      </c>
      <c r="G8703">
        <v>1</v>
      </c>
      <c r="H8703" s="2">
        <f>Tabelle13[[#This Row],[commits]]/Tabelle13[[#Totals],[commits]]</f>
        <v>4.6477904404246225E-6</v>
      </c>
      <c r="I8703" s="5">
        <f>Tabelle13[[#This Row],[%]]+I8702</f>
        <v>0.99840116008838076</v>
      </c>
      <c r="J8703" s="4">
        <f t="shared" si="303"/>
        <v>1.105583195135434E-4</v>
      </c>
      <c r="K8703" s="5">
        <f t="shared" si="304"/>
        <v>0.96196793808747083</v>
      </c>
    </row>
    <row r="8704" spans="1:11" x14ac:dyDescent="0.25">
      <c r="A8704" t="s">
        <v>16999</v>
      </c>
      <c r="C8704" t="s">
        <v>17000</v>
      </c>
      <c r="D8704" t="s">
        <v>5</v>
      </c>
      <c r="E8704" t="s">
        <v>6</v>
      </c>
      <c r="F8704" t="s">
        <v>251</v>
      </c>
      <c r="G8704">
        <v>1</v>
      </c>
      <c r="H8704" s="2">
        <f>Tabelle13[[#This Row],[commits]]/Tabelle13[[#Totals],[commits]]</f>
        <v>4.6477904404246225E-6</v>
      </c>
      <c r="I8704" s="5">
        <f>Tabelle13[[#This Row],[%]]+I8703</f>
        <v>0.99840580787882116</v>
      </c>
      <c r="J8704" s="4">
        <f t="shared" si="303"/>
        <v>1.105583195135434E-4</v>
      </c>
      <c r="K8704" s="5">
        <f t="shared" si="304"/>
        <v>0.9620784964069844</v>
      </c>
    </row>
    <row r="8705" spans="1:11" x14ac:dyDescent="0.25">
      <c r="A8705" t="s">
        <v>17001</v>
      </c>
      <c r="C8705" t="s">
        <v>17002</v>
      </c>
      <c r="D8705" t="s">
        <v>5</v>
      </c>
      <c r="E8705" t="s">
        <v>6</v>
      </c>
      <c r="F8705" t="s">
        <v>251</v>
      </c>
      <c r="G8705">
        <v>1</v>
      </c>
      <c r="H8705" s="2">
        <f>Tabelle13[[#This Row],[commits]]/Tabelle13[[#Totals],[commits]]</f>
        <v>4.6477904404246225E-6</v>
      </c>
      <c r="I8705" s="5">
        <f>Tabelle13[[#This Row],[%]]+I8704</f>
        <v>0.99841045566926157</v>
      </c>
      <c r="J8705" s="4">
        <f t="shared" si="303"/>
        <v>1.105583195135434E-4</v>
      </c>
      <c r="K8705" s="5">
        <f t="shared" si="304"/>
        <v>0.96218905472649796</v>
      </c>
    </row>
    <row r="8706" spans="1:11" x14ac:dyDescent="0.25">
      <c r="A8706" t="s">
        <v>17003</v>
      </c>
      <c r="C8706" t="s">
        <v>17004</v>
      </c>
      <c r="D8706" t="s">
        <v>5</v>
      </c>
      <c r="E8706" t="s">
        <v>6</v>
      </c>
      <c r="F8706" t="s">
        <v>251</v>
      </c>
      <c r="G8706">
        <v>1</v>
      </c>
      <c r="H8706" s="2">
        <f>Tabelle13[[#This Row],[commits]]/Tabelle13[[#Totals],[commits]]</f>
        <v>4.6477904404246225E-6</v>
      </c>
      <c r="I8706" s="5">
        <f>Tabelle13[[#This Row],[%]]+I8705</f>
        <v>0.99841510345970197</v>
      </c>
      <c r="J8706" s="4">
        <f t="shared" si="303"/>
        <v>1.105583195135434E-4</v>
      </c>
      <c r="K8706" s="5">
        <f t="shared" si="304"/>
        <v>0.96229961304601153</v>
      </c>
    </row>
    <row r="8707" spans="1:11" x14ac:dyDescent="0.25">
      <c r="A8707" t="s">
        <v>17005</v>
      </c>
      <c r="C8707" t="s">
        <v>17006</v>
      </c>
      <c r="D8707" t="s">
        <v>5</v>
      </c>
      <c r="E8707" t="s">
        <v>6</v>
      </c>
      <c r="F8707" t="s">
        <v>251</v>
      </c>
      <c r="G8707">
        <v>1</v>
      </c>
      <c r="H8707" s="2">
        <f>Tabelle13[[#This Row],[commits]]/Tabelle13[[#Totals],[commits]]</f>
        <v>4.6477904404246225E-6</v>
      </c>
      <c r="I8707" s="5">
        <f>Tabelle13[[#This Row],[%]]+I8706</f>
        <v>0.99841975125014237</v>
      </c>
      <c r="J8707" s="4">
        <f t="shared" ref="J8707:J8770" si="305">1/9045</f>
        <v>1.105583195135434E-4</v>
      </c>
      <c r="K8707" s="5">
        <f t="shared" si="304"/>
        <v>0.96241017136552509</v>
      </c>
    </row>
    <row r="8708" spans="1:11" x14ac:dyDescent="0.25">
      <c r="A8708" t="s">
        <v>17007</v>
      </c>
      <c r="C8708" t="s">
        <v>17008</v>
      </c>
      <c r="D8708" t="s">
        <v>17009</v>
      </c>
      <c r="E8708" t="s">
        <v>6</v>
      </c>
      <c r="F8708" t="s">
        <v>251</v>
      </c>
      <c r="G8708">
        <v>1</v>
      </c>
      <c r="H8708" s="2">
        <f>Tabelle13[[#This Row],[commits]]/Tabelle13[[#Totals],[commits]]</f>
        <v>4.6477904404246225E-6</v>
      </c>
      <c r="I8708" s="5">
        <f>Tabelle13[[#This Row],[%]]+I8707</f>
        <v>0.99842439904058278</v>
      </c>
      <c r="J8708" s="4">
        <f t="shared" si="305"/>
        <v>1.105583195135434E-4</v>
      </c>
      <c r="K8708" s="5">
        <f t="shared" si="304"/>
        <v>0.96252072968503866</v>
      </c>
    </row>
    <row r="8709" spans="1:11" x14ac:dyDescent="0.25">
      <c r="A8709" t="s">
        <v>17010</v>
      </c>
      <c r="C8709" t="s">
        <v>17011</v>
      </c>
      <c r="D8709" t="s">
        <v>10755</v>
      </c>
      <c r="E8709" t="s">
        <v>6</v>
      </c>
      <c r="F8709" t="s">
        <v>251</v>
      </c>
      <c r="G8709">
        <v>1</v>
      </c>
      <c r="H8709" s="2">
        <f>Tabelle13[[#This Row],[commits]]/Tabelle13[[#Totals],[commits]]</f>
        <v>4.6477904404246225E-6</v>
      </c>
      <c r="I8709" s="5">
        <f>Tabelle13[[#This Row],[%]]+I8708</f>
        <v>0.99842904683102318</v>
      </c>
      <c r="J8709" s="4">
        <f t="shared" si="305"/>
        <v>1.105583195135434E-4</v>
      </c>
      <c r="K8709" s="5">
        <f t="shared" si="304"/>
        <v>0.96263128800455222</v>
      </c>
    </row>
    <row r="8710" spans="1:11" x14ac:dyDescent="0.25">
      <c r="A8710" t="s">
        <v>17012</v>
      </c>
      <c r="C8710" t="s">
        <v>17013</v>
      </c>
      <c r="D8710" t="s">
        <v>5</v>
      </c>
      <c r="E8710" t="s">
        <v>6</v>
      </c>
      <c r="F8710" t="s">
        <v>251</v>
      </c>
      <c r="G8710">
        <v>1</v>
      </c>
      <c r="H8710" s="2">
        <f>Tabelle13[[#This Row],[commits]]/Tabelle13[[#Totals],[commits]]</f>
        <v>4.6477904404246225E-6</v>
      </c>
      <c r="I8710" s="5">
        <f>Tabelle13[[#This Row],[%]]+I8709</f>
        <v>0.99843369462146359</v>
      </c>
      <c r="J8710" s="4">
        <f t="shared" si="305"/>
        <v>1.105583195135434E-4</v>
      </c>
      <c r="K8710" s="5">
        <f t="shared" ref="K8710:K8773" si="306">J8710+K8709</f>
        <v>0.96274184632406579</v>
      </c>
    </row>
    <row r="8711" spans="1:11" x14ac:dyDescent="0.25">
      <c r="A8711" t="s">
        <v>17014</v>
      </c>
      <c r="C8711" t="s">
        <v>17015</v>
      </c>
      <c r="D8711" t="s">
        <v>5</v>
      </c>
      <c r="E8711" t="s">
        <v>6</v>
      </c>
      <c r="F8711" t="s">
        <v>251</v>
      </c>
      <c r="G8711">
        <v>1</v>
      </c>
      <c r="H8711" s="2">
        <f>Tabelle13[[#This Row],[commits]]/Tabelle13[[#Totals],[commits]]</f>
        <v>4.6477904404246225E-6</v>
      </c>
      <c r="I8711" s="5">
        <f>Tabelle13[[#This Row],[%]]+I8710</f>
        <v>0.99843834241190399</v>
      </c>
      <c r="J8711" s="4">
        <f t="shared" si="305"/>
        <v>1.105583195135434E-4</v>
      </c>
      <c r="K8711" s="5">
        <f t="shared" si="306"/>
        <v>0.96285240464357935</v>
      </c>
    </row>
    <row r="8712" spans="1:11" x14ac:dyDescent="0.25">
      <c r="A8712" t="s">
        <v>17016</v>
      </c>
      <c r="C8712" t="s">
        <v>17017</v>
      </c>
      <c r="D8712" t="s">
        <v>5</v>
      </c>
      <c r="E8712" t="s">
        <v>6</v>
      </c>
      <c r="F8712" t="s">
        <v>251</v>
      </c>
      <c r="G8712">
        <v>1</v>
      </c>
      <c r="H8712" s="2">
        <f>Tabelle13[[#This Row],[commits]]/Tabelle13[[#Totals],[commits]]</f>
        <v>4.6477904404246225E-6</v>
      </c>
      <c r="I8712" s="5">
        <f>Tabelle13[[#This Row],[%]]+I8711</f>
        <v>0.99844299020234439</v>
      </c>
      <c r="J8712" s="4">
        <f t="shared" si="305"/>
        <v>1.105583195135434E-4</v>
      </c>
      <c r="K8712" s="5">
        <f t="shared" si="306"/>
        <v>0.96296296296309292</v>
      </c>
    </row>
    <row r="8713" spans="1:11" x14ac:dyDescent="0.25">
      <c r="A8713" t="s">
        <v>17018</v>
      </c>
      <c r="C8713" t="s">
        <v>17019</v>
      </c>
      <c r="D8713" t="s">
        <v>309</v>
      </c>
      <c r="E8713" t="s">
        <v>6</v>
      </c>
      <c r="F8713" t="s">
        <v>251</v>
      </c>
      <c r="G8713">
        <v>1</v>
      </c>
      <c r="H8713" s="2">
        <f>Tabelle13[[#This Row],[commits]]/Tabelle13[[#Totals],[commits]]</f>
        <v>4.6477904404246225E-6</v>
      </c>
      <c r="I8713" s="5">
        <f>Tabelle13[[#This Row],[%]]+I8712</f>
        <v>0.9984476379927848</v>
      </c>
      <c r="J8713" s="4">
        <f t="shared" si="305"/>
        <v>1.105583195135434E-4</v>
      </c>
      <c r="K8713" s="5">
        <f t="shared" si="306"/>
        <v>0.96307352128260648</v>
      </c>
    </row>
    <row r="8714" spans="1:11" x14ac:dyDescent="0.25">
      <c r="A8714" t="s">
        <v>17020</v>
      </c>
      <c r="C8714" t="s">
        <v>17021</v>
      </c>
      <c r="D8714" t="s">
        <v>5</v>
      </c>
      <c r="E8714" t="s">
        <v>6</v>
      </c>
      <c r="F8714" t="s">
        <v>251</v>
      </c>
      <c r="G8714">
        <v>1</v>
      </c>
      <c r="H8714" s="2">
        <f>Tabelle13[[#This Row],[commits]]/Tabelle13[[#Totals],[commits]]</f>
        <v>4.6477904404246225E-6</v>
      </c>
      <c r="I8714" s="5">
        <f>Tabelle13[[#This Row],[%]]+I8713</f>
        <v>0.9984522857832252</v>
      </c>
      <c r="J8714" s="4">
        <f t="shared" si="305"/>
        <v>1.105583195135434E-4</v>
      </c>
      <c r="K8714" s="5">
        <f t="shared" si="306"/>
        <v>0.96318407960212005</v>
      </c>
    </row>
    <row r="8715" spans="1:11" x14ac:dyDescent="0.25">
      <c r="A8715" t="s">
        <v>17022</v>
      </c>
      <c r="C8715" t="s">
        <v>187</v>
      </c>
      <c r="D8715" t="s">
        <v>5</v>
      </c>
      <c r="E8715" t="s">
        <v>6</v>
      </c>
      <c r="F8715" t="s">
        <v>251</v>
      </c>
      <c r="G8715">
        <v>1</v>
      </c>
      <c r="H8715" s="2">
        <f>Tabelle13[[#This Row],[commits]]/Tabelle13[[#Totals],[commits]]</f>
        <v>4.6477904404246225E-6</v>
      </c>
      <c r="I8715" s="5">
        <f>Tabelle13[[#This Row],[%]]+I8714</f>
        <v>0.99845693357366561</v>
      </c>
      <c r="J8715" s="4">
        <f t="shared" si="305"/>
        <v>1.105583195135434E-4</v>
      </c>
      <c r="K8715" s="5">
        <f t="shared" si="306"/>
        <v>0.96329463792163361</v>
      </c>
    </row>
    <row r="8716" spans="1:11" x14ac:dyDescent="0.25">
      <c r="A8716" t="s">
        <v>17023</v>
      </c>
      <c r="C8716" t="s">
        <v>17024</v>
      </c>
      <c r="D8716" t="s">
        <v>5</v>
      </c>
      <c r="E8716" t="s">
        <v>6</v>
      </c>
      <c r="F8716" t="s">
        <v>251</v>
      </c>
      <c r="G8716">
        <v>1</v>
      </c>
      <c r="H8716" s="2">
        <f>Tabelle13[[#This Row],[commits]]/Tabelle13[[#Totals],[commits]]</f>
        <v>4.6477904404246225E-6</v>
      </c>
      <c r="I8716" s="5">
        <f>Tabelle13[[#This Row],[%]]+I8715</f>
        <v>0.99846158136410601</v>
      </c>
      <c r="J8716" s="4">
        <f t="shared" si="305"/>
        <v>1.105583195135434E-4</v>
      </c>
      <c r="K8716" s="5">
        <f t="shared" si="306"/>
        <v>0.96340519624114718</v>
      </c>
    </row>
    <row r="8717" spans="1:11" x14ac:dyDescent="0.25">
      <c r="A8717" t="s">
        <v>17025</v>
      </c>
      <c r="C8717" t="s">
        <v>17026</v>
      </c>
      <c r="D8717" t="s">
        <v>5</v>
      </c>
      <c r="E8717" t="s">
        <v>6</v>
      </c>
      <c r="F8717" t="s">
        <v>251</v>
      </c>
      <c r="G8717">
        <v>1</v>
      </c>
      <c r="H8717" s="2">
        <f>Tabelle13[[#This Row],[commits]]/Tabelle13[[#Totals],[commits]]</f>
        <v>4.6477904404246225E-6</v>
      </c>
      <c r="I8717" s="5">
        <f>Tabelle13[[#This Row],[%]]+I8716</f>
        <v>0.99846622915454641</v>
      </c>
      <c r="J8717" s="4">
        <f t="shared" si="305"/>
        <v>1.105583195135434E-4</v>
      </c>
      <c r="K8717" s="5">
        <f t="shared" si="306"/>
        <v>0.96351575456066074</v>
      </c>
    </row>
    <row r="8718" spans="1:11" x14ac:dyDescent="0.25">
      <c r="A8718" t="s">
        <v>17027</v>
      </c>
      <c r="C8718" t="s">
        <v>17028</v>
      </c>
      <c r="D8718" t="s">
        <v>5</v>
      </c>
      <c r="E8718" t="s">
        <v>6</v>
      </c>
      <c r="F8718" t="s">
        <v>251</v>
      </c>
      <c r="G8718">
        <v>1</v>
      </c>
      <c r="H8718" s="2">
        <f>Tabelle13[[#This Row],[commits]]/Tabelle13[[#Totals],[commits]]</f>
        <v>4.6477904404246225E-6</v>
      </c>
      <c r="I8718" s="5">
        <f>Tabelle13[[#This Row],[%]]+I8717</f>
        <v>0.99847087694498682</v>
      </c>
      <c r="J8718" s="4">
        <f t="shared" si="305"/>
        <v>1.105583195135434E-4</v>
      </c>
      <c r="K8718" s="5">
        <f t="shared" si="306"/>
        <v>0.96362631288017431</v>
      </c>
    </row>
    <row r="8719" spans="1:11" x14ac:dyDescent="0.25">
      <c r="A8719" t="s">
        <v>17029</v>
      </c>
      <c r="C8719" t="s">
        <v>17030</v>
      </c>
      <c r="D8719" t="s">
        <v>5</v>
      </c>
      <c r="E8719" t="s">
        <v>6</v>
      </c>
      <c r="F8719" t="s">
        <v>251</v>
      </c>
      <c r="G8719">
        <v>1</v>
      </c>
      <c r="H8719" s="2">
        <f>Tabelle13[[#This Row],[commits]]/Tabelle13[[#Totals],[commits]]</f>
        <v>4.6477904404246225E-6</v>
      </c>
      <c r="I8719" s="5">
        <f>Tabelle13[[#This Row],[%]]+I8718</f>
        <v>0.99847552473542722</v>
      </c>
      <c r="J8719" s="4">
        <f t="shared" si="305"/>
        <v>1.105583195135434E-4</v>
      </c>
      <c r="K8719" s="5">
        <f t="shared" si="306"/>
        <v>0.96373687119968787</v>
      </c>
    </row>
    <row r="8720" spans="1:11" x14ac:dyDescent="0.25">
      <c r="A8720" t="s">
        <v>17031</v>
      </c>
      <c r="C8720" t="s">
        <v>17032</v>
      </c>
      <c r="D8720" t="s">
        <v>5</v>
      </c>
      <c r="E8720" t="s">
        <v>6</v>
      </c>
      <c r="F8720" t="s">
        <v>251</v>
      </c>
      <c r="G8720">
        <v>1</v>
      </c>
      <c r="H8720" s="2">
        <f>Tabelle13[[#This Row],[commits]]/Tabelle13[[#Totals],[commits]]</f>
        <v>4.6477904404246225E-6</v>
      </c>
      <c r="I8720" s="5">
        <f>Tabelle13[[#This Row],[%]]+I8719</f>
        <v>0.99848017252586763</v>
      </c>
      <c r="J8720" s="4">
        <f t="shared" si="305"/>
        <v>1.105583195135434E-4</v>
      </c>
      <c r="K8720" s="5">
        <f t="shared" si="306"/>
        <v>0.96384742951920144</v>
      </c>
    </row>
    <row r="8721" spans="1:11" x14ac:dyDescent="0.25">
      <c r="A8721" t="s">
        <v>17033</v>
      </c>
      <c r="C8721" t="s">
        <v>17034</v>
      </c>
      <c r="D8721" t="s">
        <v>5</v>
      </c>
      <c r="E8721" t="s">
        <v>6</v>
      </c>
      <c r="F8721" t="s">
        <v>251</v>
      </c>
      <c r="G8721">
        <v>1</v>
      </c>
      <c r="H8721" s="2">
        <f>Tabelle13[[#This Row],[commits]]/Tabelle13[[#Totals],[commits]]</f>
        <v>4.6477904404246225E-6</v>
      </c>
      <c r="I8721" s="5">
        <f>Tabelle13[[#This Row],[%]]+I8720</f>
        <v>0.99848482031630803</v>
      </c>
      <c r="J8721" s="4">
        <f t="shared" si="305"/>
        <v>1.105583195135434E-4</v>
      </c>
      <c r="K8721" s="5">
        <f t="shared" si="306"/>
        <v>0.963957987838715</v>
      </c>
    </row>
    <row r="8722" spans="1:11" x14ac:dyDescent="0.25">
      <c r="A8722" t="s">
        <v>17035</v>
      </c>
      <c r="C8722" t="s">
        <v>17036</v>
      </c>
      <c r="D8722" t="s">
        <v>5</v>
      </c>
      <c r="E8722" t="s">
        <v>6</v>
      </c>
      <c r="F8722" t="s">
        <v>251</v>
      </c>
      <c r="G8722">
        <v>1</v>
      </c>
      <c r="H8722" s="2">
        <f>Tabelle13[[#This Row],[commits]]/Tabelle13[[#Totals],[commits]]</f>
        <v>4.6477904404246225E-6</v>
      </c>
      <c r="I8722" s="5">
        <f>Tabelle13[[#This Row],[%]]+I8721</f>
        <v>0.99848946810674843</v>
      </c>
      <c r="J8722" s="4">
        <f t="shared" si="305"/>
        <v>1.105583195135434E-4</v>
      </c>
      <c r="K8722" s="5">
        <f t="shared" si="306"/>
        <v>0.96406854615822857</v>
      </c>
    </row>
    <row r="8723" spans="1:11" x14ac:dyDescent="0.25">
      <c r="A8723" t="s">
        <v>17037</v>
      </c>
      <c r="C8723" t="s">
        <v>17038</v>
      </c>
      <c r="D8723" t="s">
        <v>5</v>
      </c>
      <c r="E8723" t="s">
        <v>6</v>
      </c>
      <c r="F8723" t="s">
        <v>251</v>
      </c>
      <c r="G8723">
        <v>1</v>
      </c>
      <c r="H8723" s="2">
        <f>Tabelle13[[#This Row],[commits]]/Tabelle13[[#Totals],[commits]]</f>
        <v>4.6477904404246225E-6</v>
      </c>
      <c r="I8723" s="5">
        <f>Tabelle13[[#This Row],[%]]+I8722</f>
        <v>0.99849411589718884</v>
      </c>
      <c r="J8723" s="4">
        <f t="shared" si="305"/>
        <v>1.105583195135434E-4</v>
      </c>
      <c r="K8723" s="5">
        <f t="shared" si="306"/>
        <v>0.96417910447774213</v>
      </c>
    </row>
    <row r="8724" spans="1:11" x14ac:dyDescent="0.25">
      <c r="A8724" t="s">
        <v>17039</v>
      </c>
      <c r="C8724" t="s">
        <v>17040</v>
      </c>
      <c r="D8724" t="s">
        <v>5</v>
      </c>
      <c r="E8724" t="s">
        <v>6</v>
      </c>
      <c r="F8724" t="s">
        <v>251</v>
      </c>
      <c r="G8724">
        <v>1</v>
      </c>
      <c r="H8724" s="2">
        <f>Tabelle13[[#This Row],[commits]]/Tabelle13[[#Totals],[commits]]</f>
        <v>4.6477904404246225E-6</v>
      </c>
      <c r="I8724" s="5">
        <f>Tabelle13[[#This Row],[%]]+I8723</f>
        <v>0.99849876368762924</v>
      </c>
      <c r="J8724" s="4">
        <f t="shared" si="305"/>
        <v>1.105583195135434E-4</v>
      </c>
      <c r="K8724" s="5">
        <f t="shared" si="306"/>
        <v>0.9642896627972557</v>
      </c>
    </row>
    <row r="8725" spans="1:11" x14ac:dyDescent="0.25">
      <c r="A8725" t="s">
        <v>17041</v>
      </c>
      <c r="C8725" t="s">
        <v>17042</v>
      </c>
      <c r="D8725" t="s">
        <v>5</v>
      </c>
      <c r="E8725" t="s">
        <v>6</v>
      </c>
      <c r="F8725" t="s">
        <v>251</v>
      </c>
      <c r="G8725">
        <v>1</v>
      </c>
      <c r="H8725" s="2">
        <f>Tabelle13[[#This Row],[commits]]/Tabelle13[[#Totals],[commits]]</f>
        <v>4.6477904404246225E-6</v>
      </c>
      <c r="I8725" s="5">
        <f>Tabelle13[[#This Row],[%]]+I8724</f>
        <v>0.99850341147806965</v>
      </c>
      <c r="J8725" s="4">
        <f t="shared" si="305"/>
        <v>1.105583195135434E-4</v>
      </c>
      <c r="K8725" s="5">
        <f t="shared" si="306"/>
        <v>0.96440022111676926</v>
      </c>
    </row>
    <row r="8726" spans="1:11" x14ac:dyDescent="0.25">
      <c r="A8726" t="s">
        <v>17043</v>
      </c>
      <c r="C8726" t="s">
        <v>17044</v>
      </c>
      <c r="D8726" t="s">
        <v>5</v>
      </c>
      <c r="E8726" t="s">
        <v>6</v>
      </c>
      <c r="F8726" t="s">
        <v>251</v>
      </c>
      <c r="G8726">
        <v>1</v>
      </c>
      <c r="H8726" s="2">
        <f>Tabelle13[[#This Row],[commits]]/Tabelle13[[#Totals],[commits]]</f>
        <v>4.6477904404246225E-6</v>
      </c>
      <c r="I8726" s="5">
        <f>Tabelle13[[#This Row],[%]]+I8725</f>
        <v>0.99850805926851005</v>
      </c>
      <c r="J8726" s="4">
        <f t="shared" si="305"/>
        <v>1.105583195135434E-4</v>
      </c>
      <c r="K8726" s="5">
        <f t="shared" si="306"/>
        <v>0.96451077943628283</v>
      </c>
    </row>
    <row r="8727" spans="1:11" x14ac:dyDescent="0.25">
      <c r="A8727" t="s">
        <v>17045</v>
      </c>
      <c r="C8727" t="s">
        <v>17046</v>
      </c>
      <c r="D8727" t="s">
        <v>5</v>
      </c>
      <c r="E8727" t="s">
        <v>6</v>
      </c>
      <c r="F8727" t="s">
        <v>251</v>
      </c>
      <c r="G8727">
        <v>1</v>
      </c>
      <c r="H8727" s="2">
        <f>Tabelle13[[#This Row],[commits]]/Tabelle13[[#Totals],[commits]]</f>
        <v>4.6477904404246225E-6</v>
      </c>
      <c r="I8727" s="5">
        <f>Tabelle13[[#This Row],[%]]+I8726</f>
        <v>0.99851270705895045</v>
      </c>
      <c r="J8727" s="4">
        <f t="shared" si="305"/>
        <v>1.105583195135434E-4</v>
      </c>
      <c r="K8727" s="5">
        <f t="shared" si="306"/>
        <v>0.96462133775579639</v>
      </c>
    </row>
    <row r="8728" spans="1:11" x14ac:dyDescent="0.25">
      <c r="A8728" t="s">
        <v>17047</v>
      </c>
      <c r="C8728" t="s">
        <v>17048</v>
      </c>
      <c r="D8728" t="s">
        <v>309</v>
      </c>
      <c r="E8728" t="s">
        <v>6</v>
      </c>
      <c r="F8728" t="s">
        <v>251</v>
      </c>
      <c r="G8728">
        <v>1</v>
      </c>
      <c r="H8728" s="2">
        <f>Tabelle13[[#This Row],[commits]]/Tabelle13[[#Totals],[commits]]</f>
        <v>4.6477904404246225E-6</v>
      </c>
      <c r="I8728" s="5">
        <f>Tabelle13[[#This Row],[%]]+I8727</f>
        <v>0.99851735484939086</v>
      </c>
      <c r="J8728" s="4">
        <f t="shared" si="305"/>
        <v>1.105583195135434E-4</v>
      </c>
      <c r="K8728" s="5">
        <f t="shared" si="306"/>
        <v>0.96473189607530996</v>
      </c>
    </row>
    <row r="8729" spans="1:11" x14ac:dyDescent="0.25">
      <c r="A8729" t="s">
        <v>17049</v>
      </c>
      <c r="C8729" t="s">
        <v>17050</v>
      </c>
      <c r="D8729" t="s">
        <v>5</v>
      </c>
      <c r="E8729" t="s">
        <v>6</v>
      </c>
      <c r="F8729" t="s">
        <v>251</v>
      </c>
      <c r="G8729">
        <v>1</v>
      </c>
      <c r="H8729" s="2">
        <f>Tabelle13[[#This Row],[commits]]/Tabelle13[[#Totals],[commits]]</f>
        <v>4.6477904404246225E-6</v>
      </c>
      <c r="I8729" s="5">
        <f>Tabelle13[[#This Row],[%]]+I8728</f>
        <v>0.99852200263983126</v>
      </c>
      <c r="J8729" s="4">
        <f t="shared" si="305"/>
        <v>1.105583195135434E-4</v>
      </c>
      <c r="K8729" s="5">
        <f t="shared" si="306"/>
        <v>0.96484245439482352</v>
      </c>
    </row>
    <row r="8730" spans="1:11" x14ac:dyDescent="0.25">
      <c r="A8730" t="s">
        <v>17051</v>
      </c>
      <c r="C8730" t="s">
        <v>17052</v>
      </c>
      <c r="D8730" t="s">
        <v>5</v>
      </c>
      <c r="E8730" t="s">
        <v>6</v>
      </c>
      <c r="F8730" t="s">
        <v>251</v>
      </c>
      <c r="G8730">
        <v>1</v>
      </c>
      <c r="H8730" s="2">
        <f>Tabelle13[[#This Row],[commits]]/Tabelle13[[#Totals],[commits]]</f>
        <v>4.6477904404246225E-6</v>
      </c>
      <c r="I8730" s="5">
        <f>Tabelle13[[#This Row],[%]]+I8729</f>
        <v>0.99852665043027167</v>
      </c>
      <c r="J8730" s="4">
        <f t="shared" si="305"/>
        <v>1.105583195135434E-4</v>
      </c>
      <c r="K8730" s="5">
        <f t="shared" si="306"/>
        <v>0.96495301271433709</v>
      </c>
    </row>
    <row r="8731" spans="1:11" x14ac:dyDescent="0.25">
      <c r="A8731" t="s">
        <v>17053</v>
      </c>
      <c r="C8731" t="s">
        <v>17054</v>
      </c>
      <c r="D8731" t="s">
        <v>5</v>
      </c>
      <c r="E8731" t="s">
        <v>6</v>
      </c>
      <c r="F8731" t="s">
        <v>251</v>
      </c>
      <c r="G8731">
        <v>1</v>
      </c>
      <c r="H8731" s="2">
        <f>Tabelle13[[#This Row],[commits]]/Tabelle13[[#Totals],[commits]]</f>
        <v>4.6477904404246225E-6</v>
      </c>
      <c r="I8731" s="5">
        <f>Tabelle13[[#This Row],[%]]+I8730</f>
        <v>0.99853129822071207</v>
      </c>
      <c r="J8731" s="4">
        <f t="shared" si="305"/>
        <v>1.105583195135434E-4</v>
      </c>
      <c r="K8731" s="5">
        <f t="shared" si="306"/>
        <v>0.96506357103385065</v>
      </c>
    </row>
    <row r="8732" spans="1:11" x14ac:dyDescent="0.25">
      <c r="A8732" t="s">
        <v>17055</v>
      </c>
      <c r="C8732" t="s">
        <v>17056</v>
      </c>
      <c r="D8732" t="s">
        <v>5</v>
      </c>
      <c r="E8732" t="s">
        <v>6</v>
      </c>
      <c r="F8732" t="s">
        <v>251</v>
      </c>
      <c r="G8732">
        <v>1</v>
      </c>
      <c r="H8732" s="2">
        <f>Tabelle13[[#This Row],[commits]]/Tabelle13[[#Totals],[commits]]</f>
        <v>4.6477904404246225E-6</v>
      </c>
      <c r="I8732" s="5">
        <f>Tabelle13[[#This Row],[%]]+I8731</f>
        <v>0.99853594601115248</v>
      </c>
      <c r="J8732" s="4">
        <f t="shared" si="305"/>
        <v>1.105583195135434E-4</v>
      </c>
      <c r="K8732" s="5">
        <f t="shared" si="306"/>
        <v>0.96517412935336422</v>
      </c>
    </row>
    <row r="8733" spans="1:11" x14ac:dyDescent="0.25">
      <c r="A8733" t="s">
        <v>17057</v>
      </c>
      <c r="C8733" t="s">
        <v>17058</v>
      </c>
      <c r="D8733" t="s">
        <v>5</v>
      </c>
      <c r="E8733" t="s">
        <v>6</v>
      </c>
      <c r="F8733" t="s">
        <v>251</v>
      </c>
      <c r="G8733">
        <v>1</v>
      </c>
      <c r="H8733" s="2">
        <f>Tabelle13[[#This Row],[commits]]/Tabelle13[[#Totals],[commits]]</f>
        <v>4.6477904404246225E-6</v>
      </c>
      <c r="I8733" s="5">
        <f>Tabelle13[[#This Row],[%]]+I8732</f>
        <v>0.99854059380159288</v>
      </c>
      <c r="J8733" s="4">
        <f t="shared" si="305"/>
        <v>1.105583195135434E-4</v>
      </c>
      <c r="K8733" s="5">
        <f t="shared" si="306"/>
        <v>0.96528468767287778</v>
      </c>
    </row>
    <row r="8734" spans="1:11" x14ac:dyDescent="0.25">
      <c r="A8734" t="s">
        <v>17059</v>
      </c>
      <c r="C8734" t="s">
        <v>17060</v>
      </c>
      <c r="D8734" t="s">
        <v>5</v>
      </c>
      <c r="E8734" t="s">
        <v>6</v>
      </c>
      <c r="F8734" t="s">
        <v>251</v>
      </c>
      <c r="G8734">
        <v>1</v>
      </c>
      <c r="H8734" s="2">
        <f>Tabelle13[[#This Row],[commits]]/Tabelle13[[#Totals],[commits]]</f>
        <v>4.6477904404246225E-6</v>
      </c>
      <c r="I8734" s="5">
        <f>Tabelle13[[#This Row],[%]]+I8733</f>
        <v>0.99854524159203328</v>
      </c>
      <c r="J8734" s="4">
        <f t="shared" si="305"/>
        <v>1.105583195135434E-4</v>
      </c>
      <c r="K8734" s="5">
        <f t="shared" si="306"/>
        <v>0.96539524599239135</v>
      </c>
    </row>
    <row r="8735" spans="1:11" x14ac:dyDescent="0.25">
      <c r="A8735" t="s">
        <v>17061</v>
      </c>
      <c r="C8735" t="s">
        <v>17062</v>
      </c>
      <c r="D8735" t="s">
        <v>5</v>
      </c>
      <c r="E8735" t="s">
        <v>6</v>
      </c>
      <c r="F8735" t="s">
        <v>251</v>
      </c>
      <c r="G8735">
        <v>1</v>
      </c>
      <c r="H8735" s="2">
        <f>Tabelle13[[#This Row],[commits]]/Tabelle13[[#Totals],[commits]]</f>
        <v>4.6477904404246225E-6</v>
      </c>
      <c r="I8735" s="5">
        <f>Tabelle13[[#This Row],[%]]+I8734</f>
        <v>0.99854988938247369</v>
      </c>
      <c r="J8735" s="4">
        <f t="shared" si="305"/>
        <v>1.105583195135434E-4</v>
      </c>
      <c r="K8735" s="5">
        <f t="shared" si="306"/>
        <v>0.96550580431190491</v>
      </c>
    </row>
    <row r="8736" spans="1:11" x14ac:dyDescent="0.25">
      <c r="A8736" t="s">
        <v>17063</v>
      </c>
      <c r="C8736" t="s">
        <v>17064</v>
      </c>
      <c r="D8736" t="s">
        <v>5</v>
      </c>
      <c r="E8736" t="s">
        <v>6</v>
      </c>
      <c r="F8736" t="s">
        <v>251</v>
      </c>
      <c r="G8736">
        <v>1</v>
      </c>
      <c r="H8736" s="2">
        <f>Tabelle13[[#This Row],[commits]]/Tabelle13[[#Totals],[commits]]</f>
        <v>4.6477904404246225E-6</v>
      </c>
      <c r="I8736" s="5">
        <f>Tabelle13[[#This Row],[%]]+I8735</f>
        <v>0.99855453717291409</v>
      </c>
      <c r="J8736" s="4">
        <f t="shared" si="305"/>
        <v>1.105583195135434E-4</v>
      </c>
      <c r="K8736" s="5">
        <f t="shared" si="306"/>
        <v>0.96561636263141848</v>
      </c>
    </row>
    <row r="8737" spans="1:11" x14ac:dyDescent="0.25">
      <c r="A8737" t="s">
        <v>17065</v>
      </c>
      <c r="C8737" t="s">
        <v>17066</v>
      </c>
      <c r="D8737" t="s">
        <v>5</v>
      </c>
      <c r="E8737" t="s">
        <v>6</v>
      </c>
      <c r="F8737" t="s">
        <v>251</v>
      </c>
      <c r="G8737">
        <v>1</v>
      </c>
      <c r="H8737" s="2">
        <f>Tabelle13[[#This Row],[commits]]/Tabelle13[[#Totals],[commits]]</f>
        <v>4.6477904404246225E-6</v>
      </c>
      <c r="I8737" s="5">
        <f>Tabelle13[[#This Row],[%]]+I8736</f>
        <v>0.9985591849633545</v>
      </c>
      <c r="J8737" s="4">
        <f t="shared" si="305"/>
        <v>1.105583195135434E-4</v>
      </c>
      <c r="K8737" s="5">
        <f t="shared" si="306"/>
        <v>0.96572692095093204</v>
      </c>
    </row>
    <row r="8738" spans="1:11" x14ac:dyDescent="0.25">
      <c r="A8738" t="s">
        <v>17067</v>
      </c>
      <c r="C8738" t="s">
        <v>17068</v>
      </c>
      <c r="D8738" t="s">
        <v>5</v>
      </c>
      <c r="E8738" t="s">
        <v>6</v>
      </c>
      <c r="F8738" t="s">
        <v>251</v>
      </c>
      <c r="G8738">
        <v>1</v>
      </c>
      <c r="H8738" s="2">
        <f>Tabelle13[[#This Row],[commits]]/Tabelle13[[#Totals],[commits]]</f>
        <v>4.6477904404246225E-6</v>
      </c>
      <c r="I8738" s="5">
        <f>Tabelle13[[#This Row],[%]]+I8737</f>
        <v>0.9985638327537949</v>
      </c>
      <c r="J8738" s="4">
        <f t="shared" si="305"/>
        <v>1.105583195135434E-4</v>
      </c>
      <c r="K8738" s="5">
        <f t="shared" si="306"/>
        <v>0.96583747927044561</v>
      </c>
    </row>
    <row r="8739" spans="1:11" x14ac:dyDescent="0.25">
      <c r="A8739" t="s">
        <v>17069</v>
      </c>
      <c r="C8739" t="s">
        <v>17070</v>
      </c>
      <c r="D8739" t="s">
        <v>309</v>
      </c>
      <c r="E8739" t="s">
        <v>6</v>
      </c>
      <c r="F8739" t="s">
        <v>251</v>
      </c>
      <c r="G8739">
        <v>1</v>
      </c>
      <c r="H8739" s="2">
        <f>Tabelle13[[#This Row],[commits]]/Tabelle13[[#Totals],[commits]]</f>
        <v>4.6477904404246225E-6</v>
      </c>
      <c r="I8739" s="5">
        <f>Tabelle13[[#This Row],[%]]+I8738</f>
        <v>0.9985684805442353</v>
      </c>
      <c r="J8739" s="4">
        <f t="shared" si="305"/>
        <v>1.105583195135434E-4</v>
      </c>
      <c r="K8739" s="5">
        <f t="shared" si="306"/>
        <v>0.96594803758995917</v>
      </c>
    </row>
    <row r="8740" spans="1:11" x14ac:dyDescent="0.25">
      <c r="A8740" t="s">
        <v>17071</v>
      </c>
      <c r="C8740" t="s">
        <v>17072</v>
      </c>
      <c r="D8740" t="s">
        <v>5</v>
      </c>
      <c r="E8740" t="s">
        <v>6</v>
      </c>
      <c r="F8740" t="s">
        <v>251</v>
      </c>
      <c r="G8740">
        <v>1</v>
      </c>
      <c r="H8740" s="2">
        <f>Tabelle13[[#This Row],[commits]]/Tabelle13[[#Totals],[commits]]</f>
        <v>4.6477904404246225E-6</v>
      </c>
      <c r="I8740" s="5">
        <f>Tabelle13[[#This Row],[%]]+I8739</f>
        <v>0.99857312833467571</v>
      </c>
      <c r="J8740" s="4">
        <f t="shared" si="305"/>
        <v>1.105583195135434E-4</v>
      </c>
      <c r="K8740" s="5">
        <f t="shared" si="306"/>
        <v>0.96605859590947274</v>
      </c>
    </row>
    <row r="8741" spans="1:11" x14ac:dyDescent="0.25">
      <c r="A8741" t="s">
        <v>17073</v>
      </c>
      <c r="C8741" t="s">
        <v>17074</v>
      </c>
      <c r="D8741" t="s">
        <v>5</v>
      </c>
      <c r="E8741" t="s">
        <v>6</v>
      </c>
      <c r="F8741" t="s">
        <v>251</v>
      </c>
      <c r="G8741">
        <v>1</v>
      </c>
      <c r="H8741" s="2">
        <f>Tabelle13[[#This Row],[commits]]/Tabelle13[[#Totals],[commits]]</f>
        <v>4.6477904404246225E-6</v>
      </c>
      <c r="I8741" s="5">
        <f>Tabelle13[[#This Row],[%]]+I8740</f>
        <v>0.99857777612511611</v>
      </c>
      <c r="J8741" s="4">
        <f t="shared" si="305"/>
        <v>1.105583195135434E-4</v>
      </c>
      <c r="K8741" s="5">
        <f t="shared" si="306"/>
        <v>0.9661691542289863</v>
      </c>
    </row>
    <row r="8742" spans="1:11" x14ac:dyDescent="0.25">
      <c r="A8742" t="s">
        <v>17075</v>
      </c>
      <c r="C8742" t="s">
        <v>17076</v>
      </c>
      <c r="D8742" t="s">
        <v>5</v>
      </c>
      <c r="E8742" t="s">
        <v>6</v>
      </c>
      <c r="F8742" t="s">
        <v>251</v>
      </c>
      <c r="G8742">
        <v>1</v>
      </c>
      <c r="H8742" s="2">
        <f>Tabelle13[[#This Row],[commits]]/Tabelle13[[#Totals],[commits]]</f>
        <v>4.6477904404246225E-6</v>
      </c>
      <c r="I8742" s="5">
        <f>Tabelle13[[#This Row],[%]]+I8741</f>
        <v>0.99858242391555652</v>
      </c>
      <c r="J8742" s="4">
        <f t="shared" si="305"/>
        <v>1.105583195135434E-4</v>
      </c>
      <c r="K8742" s="5">
        <f t="shared" si="306"/>
        <v>0.96627971254849987</v>
      </c>
    </row>
    <row r="8743" spans="1:11" x14ac:dyDescent="0.25">
      <c r="A8743" t="s">
        <v>17077</v>
      </c>
      <c r="C8743" t="s">
        <v>17078</v>
      </c>
      <c r="D8743" t="s">
        <v>5</v>
      </c>
      <c r="E8743" t="s">
        <v>6</v>
      </c>
      <c r="F8743" t="s">
        <v>251</v>
      </c>
      <c r="G8743">
        <v>1</v>
      </c>
      <c r="H8743" s="2">
        <f>Tabelle13[[#This Row],[commits]]/Tabelle13[[#Totals],[commits]]</f>
        <v>4.6477904404246225E-6</v>
      </c>
      <c r="I8743" s="5">
        <f>Tabelle13[[#This Row],[%]]+I8742</f>
        <v>0.99858707170599692</v>
      </c>
      <c r="J8743" s="4">
        <f t="shared" si="305"/>
        <v>1.105583195135434E-4</v>
      </c>
      <c r="K8743" s="5">
        <f t="shared" si="306"/>
        <v>0.96639027086801343</v>
      </c>
    </row>
    <row r="8744" spans="1:11" x14ac:dyDescent="0.25">
      <c r="A8744" t="s">
        <v>17079</v>
      </c>
      <c r="C8744" t="s">
        <v>17080</v>
      </c>
      <c r="D8744" t="s">
        <v>5</v>
      </c>
      <c r="E8744" t="s">
        <v>6</v>
      </c>
      <c r="F8744" t="s">
        <v>251</v>
      </c>
      <c r="G8744">
        <v>1</v>
      </c>
      <c r="H8744" s="2">
        <f>Tabelle13[[#This Row],[commits]]/Tabelle13[[#Totals],[commits]]</f>
        <v>4.6477904404246225E-6</v>
      </c>
      <c r="I8744" s="5">
        <f>Tabelle13[[#This Row],[%]]+I8743</f>
        <v>0.99859171949643732</v>
      </c>
      <c r="J8744" s="4">
        <f t="shared" si="305"/>
        <v>1.105583195135434E-4</v>
      </c>
      <c r="K8744" s="5">
        <f t="shared" si="306"/>
        <v>0.966500829187527</v>
      </c>
    </row>
    <row r="8745" spans="1:11" x14ac:dyDescent="0.25">
      <c r="A8745" t="s">
        <v>17081</v>
      </c>
      <c r="C8745" t="s">
        <v>17082</v>
      </c>
      <c r="D8745" t="s">
        <v>5</v>
      </c>
      <c r="E8745" t="s">
        <v>6</v>
      </c>
      <c r="F8745" t="s">
        <v>251</v>
      </c>
      <c r="G8745">
        <v>1</v>
      </c>
      <c r="H8745" s="2">
        <f>Tabelle13[[#This Row],[commits]]/Tabelle13[[#Totals],[commits]]</f>
        <v>4.6477904404246225E-6</v>
      </c>
      <c r="I8745" s="5">
        <f>Tabelle13[[#This Row],[%]]+I8744</f>
        <v>0.99859636728687773</v>
      </c>
      <c r="J8745" s="4">
        <f t="shared" si="305"/>
        <v>1.105583195135434E-4</v>
      </c>
      <c r="K8745" s="5">
        <f t="shared" si="306"/>
        <v>0.96661138750704056</v>
      </c>
    </row>
    <row r="8746" spans="1:11" x14ac:dyDescent="0.25">
      <c r="A8746" t="s">
        <v>17083</v>
      </c>
      <c r="C8746" t="s">
        <v>17084</v>
      </c>
      <c r="D8746" t="s">
        <v>2471</v>
      </c>
      <c r="E8746" t="s">
        <v>6</v>
      </c>
      <c r="F8746" t="s">
        <v>251</v>
      </c>
      <c r="G8746">
        <v>1</v>
      </c>
      <c r="H8746" s="2">
        <f>Tabelle13[[#This Row],[commits]]/Tabelle13[[#Totals],[commits]]</f>
        <v>4.6477904404246225E-6</v>
      </c>
      <c r="I8746" s="5">
        <f>Tabelle13[[#This Row],[%]]+I8745</f>
        <v>0.99860101507731813</v>
      </c>
      <c r="J8746" s="4">
        <f t="shared" si="305"/>
        <v>1.105583195135434E-4</v>
      </c>
      <c r="K8746" s="5">
        <f t="shared" si="306"/>
        <v>0.96672194582655413</v>
      </c>
    </row>
    <row r="8747" spans="1:11" x14ac:dyDescent="0.25">
      <c r="A8747" t="s">
        <v>17085</v>
      </c>
      <c r="C8747" t="s">
        <v>17086</v>
      </c>
      <c r="D8747" t="s">
        <v>5</v>
      </c>
      <c r="E8747" t="s">
        <v>6</v>
      </c>
      <c r="F8747" t="s">
        <v>251</v>
      </c>
      <c r="G8747">
        <v>1</v>
      </c>
      <c r="H8747" s="2">
        <f>Tabelle13[[#This Row],[commits]]/Tabelle13[[#Totals],[commits]]</f>
        <v>4.6477904404246225E-6</v>
      </c>
      <c r="I8747" s="5">
        <f>Tabelle13[[#This Row],[%]]+I8746</f>
        <v>0.99860566286775854</v>
      </c>
      <c r="J8747" s="4">
        <f t="shared" si="305"/>
        <v>1.105583195135434E-4</v>
      </c>
      <c r="K8747" s="5">
        <f t="shared" si="306"/>
        <v>0.96683250414606769</v>
      </c>
    </row>
    <row r="8748" spans="1:11" x14ac:dyDescent="0.25">
      <c r="A8748" t="s">
        <v>17087</v>
      </c>
      <c r="C8748" t="s">
        <v>17088</v>
      </c>
      <c r="D8748" t="s">
        <v>5</v>
      </c>
      <c r="E8748" t="s">
        <v>6</v>
      </c>
      <c r="F8748" t="s">
        <v>251</v>
      </c>
      <c r="G8748">
        <v>1</v>
      </c>
      <c r="H8748" s="2">
        <f>Tabelle13[[#This Row],[commits]]/Tabelle13[[#Totals],[commits]]</f>
        <v>4.6477904404246225E-6</v>
      </c>
      <c r="I8748" s="5">
        <f>Tabelle13[[#This Row],[%]]+I8747</f>
        <v>0.99861031065819894</v>
      </c>
      <c r="J8748" s="4">
        <f t="shared" si="305"/>
        <v>1.105583195135434E-4</v>
      </c>
      <c r="K8748" s="5">
        <f t="shared" si="306"/>
        <v>0.96694306246558126</v>
      </c>
    </row>
    <row r="8749" spans="1:11" x14ac:dyDescent="0.25">
      <c r="A8749" t="s">
        <v>17089</v>
      </c>
      <c r="C8749" t="s">
        <v>17090</v>
      </c>
      <c r="D8749" t="s">
        <v>5</v>
      </c>
      <c r="E8749" t="s">
        <v>6</v>
      </c>
      <c r="F8749" t="s">
        <v>251</v>
      </c>
      <c r="G8749">
        <v>1</v>
      </c>
      <c r="H8749" s="2">
        <f>Tabelle13[[#This Row],[commits]]/Tabelle13[[#Totals],[commits]]</f>
        <v>4.6477904404246225E-6</v>
      </c>
      <c r="I8749" s="5">
        <f>Tabelle13[[#This Row],[%]]+I8748</f>
        <v>0.99861495844863934</v>
      </c>
      <c r="J8749" s="4">
        <f t="shared" si="305"/>
        <v>1.105583195135434E-4</v>
      </c>
      <c r="K8749" s="5">
        <f t="shared" si="306"/>
        <v>0.96705362078509483</v>
      </c>
    </row>
    <row r="8750" spans="1:11" x14ac:dyDescent="0.25">
      <c r="A8750" t="s">
        <v>17091</v>
      </c>
      <c r="C8750" t="s">
        <v>17092</v>
      </c>
      <c r="D8750" t="s">
        <v>5</v>
      </c>
      <c r="E8750" t="s">
        <v>6</v>
      </c>
      <c r="F8750" t="s">
        <v>251</v>
      </c>
      <c r="G8750">
        <v>1</v>
      </c>
      <c r="H8750" s="2">
        <f>Tabelle13[[#This Row],[commits]]/Tabelle13[[#Totals],[commits]]</f>
        <v>4.6477904404246225E-6</v>
      </c>
      <c r="I8750" s="5">
        <f>Tabelle13[[#This Row],[%]]+I8749</f>
        <v>0.99861960623907975</v>
      </c>
      <c r="J8750" s="4">
        <f t="shared" si="305"/>
        <v>1.105583195135434E-4</v>
      </c>
      <c r="K8750" s="5">
        <f t="shared" si="306"/>
        <v>0.96716417910460839</v>
      </c>
    </row>
    <row r="8751" spans="1:11" x14ac:dyDescent="0.25">
      <c r="A8751" t="s">
        <v>17093</v>
      </c>
      <c r="C8751" t="s">
        <v>17094</v>
      </c>
      <c r="D8751" t="s">
        <v>5</v>
      </c>
      <c r="E8751" t="s">
        <v>6</v>
      </c>
      <c r="F8751" t="s">
        <v>251</v>
      </c>
      <c r="G8751">
        <v>1</v>
      </c>
      <c r="H8751" s="2">
        <f>Tabelle13[[#This Row],[commits]]/Tabelle13[[#Totals],[commits]]</f>
        <v>4.6477904404246225E-6</v>
      </c>
      <c r="I8751" s="5">
        <f>Tabelle13[[#This Row],[%]]+I8750</f>
        <v>0.99862425402952015</v>
      </c>
      <c r="J8751" s="4">
        <f t="shared" si="305"/>
        <v>1.105583195135434E-4</v>
      </c>
      <c r="K8751" s="5">
        <f t="shared" si="306"/>
        <v>0.96727473742412196</v>
      </c>
    </row>
    <row r="8752" spans="1:11" x14ac:dyDescent="0.25">
      <c r="A8752" t="s">
        <v>17095</v>
      </c>
      <c r="C8752" t="s">
        <v>17096</v>
      </c>
      <c r="D8752" t="s">
        <v>5</v>
      </c>
      <c r="E8752" t="s">
        <v>6</v>
      </c>
      <c r="F8752" t="s">
        <v>251</v>
      </c>
      <c r="G8752">
        <v>1</v>
      </c>
      <c r="H8752" s="2">
        <f>Tabelle13[[#This Row],[commits]]/Tabelle13[[#Totals],[commits]]</f>
        <v>4.6477904404246225E-6</v>
      </c>
      <c r="I8752" s="5">
        <f>Tabelle13[[#This Row],[%]]+I8751</f>
        <v>0.99862890181996056</v>
      </c>
      <c r="J8752" s="4">
        <f t="shared" si="305"/>
        <v>1.105583195135434E-4</v>
      </c>
      <c r="K8752" s="5">
        <f t="shared" si="306"/>
        <v>0.96738529574363552</v>
      </c>
    </row>
    <row r="8753" spans="1:11" x14ac:dyDescent="0.25">
      <c r="A8753" t="s">
        <v>17097</v>
      </c>
      <c r="C8753" t="s">
        <v>17098</v>
      </c>
      <c r="D8753" t="s">
        <v>5</v>
      </c>
      <c r="E8753" t="s">
        <v>6</v>
      </c>
      <c r="F8753" t="s">
        <v>251</v>
      </c>
      <c r="G8753">
        <v>1</v>
      </c>
      <c r="H8753" s="2">
        <f>Tabelle13[[#This Row],[commits]]/Tabelle13[[#Totals],[commits]]</f>
        <v>4.6477904404246225E-6</v>
      </c>
      <c r="I8753" s="5">
        <f>Tabelle13[[#This Row],[%]]+I8752</f>
        <v>0.99863354961040096</v>
      </c>
      <c r="J8753" s="4">
        <f t="shared" si="305"/>
        <v>1.105583195135434E-4</v>
      </c>
      <c r="K8753" s="5">
        <f t="shared" si="306"/>
        <v>0.96749585406314909</v>
      </c>
    </row>
    <row r="8754" spans="1:11" x14ac:dyDescent="0.25">
      <c r="A8754" t="s">
        <v>17099</v>
      </c>
      <c r="C8754" t="s">
        <v>17100</v>
      </c>
      <c r="D8754" t="s">
        <v>5</v>
      </c>
      <c r="E8754" t="s">
        <v>6</v>
      </c>
      <c r="F8754" t="s">
        <v>251</v>
      </c>
      <c r="G8754">
        <v>1</v>
      </c>
      <c r="H8754" s="2">
        <f>Tabelle13[[#This Row],[commits]]/Tabelle13[[#Totals],[commits]]</f>
        <v>4.6477904404246225E-6</v>
      </c>
      <c r="I8754" s="5">
        <f>Tabelle13[[#This Row],[%]]+I8753</f>
        <v>0.99863819740084137</v>
      </c>
      <c r="J8754" s="4">
        <f t="shared" si="305"/>
        <v>1.105583195135434E-4</v>
      </c>
      <c r="K8754" s="5">
        <f t="shared" si="306"/>
        <v>0.96760641238266265</v>
      </c>
    </row>
    <row r="8755" spans="1:11" x14ac:dyDescent="0.25">
      <c r="A8755" t="s">
        <v>17101</v>
      </c>
      <c r="C8755" t="s">
        <v>17102</v>
      </c>
      <c r="D8755" t="s">
        <v>5</v>
      </c>
      <c r="E8755" t="s">
        <v>6</v>
      </c>
      <c r="F8755" t="s">
        <v>251</v>
      </c>
      <c r="G8755">
        <v>1</v>
      </c>
      <c r="H8755" s="2">
        <f>Tabelle13[[#This Row],[commits]]/Tabelle13[[#Totals],[commits]]</f>
        <v>4.6477904404246225E-6</v>
      </c>
      <c r="I8755" s="5">
        <f>Tabelle13[[#This Row],[%]]+I8754</f>
        <v>0.99864284519128177</v>
      </c>
      <c r="J8755" s="4">
        <f t="shared" si="305"/>
        <v>1.105583195135434E-4</v>
      </c>
      <c r="K8755" s="5">
        <f t="shared" si="306"/>
        <v>0.96771697070217622</v>
      </c>
    </row>
    <row r="8756" spans="1:11" x14ac:dyDescent="0.25">
      <c r="A8756" t="s">
        <v>17103</v>
      </c>
      <c r="C8756" t="s">
        <v>17104</v>
      </c>
      <c r="D8756" t="s">
        <v>5</v>
      </c>
      <c r="E8756" t="s">
        <v>6</v>
      </c>
      <c r="F8756" t="s">
        <v>251</v>
      </c>
      <c r="G8756">
        <v>1</v>
      </c>
      <c r="H8756" s="2">
        <f>Tabelle13[[#This Row],[commits]]/Tabelle13[[#Totals],[commits]]</f>
        <v>4.6477904404246225E-6</v>
      </c>
      <c r="I8756" s="5">
        <f>Tabelle13[[#This Row],[%]]+I8755</f>
        <v>0.99864749298172217</v>
      </c>
      <c r="J8756" s="4">
        <f t="shared" si="305"/>
        <v>1.105583195135434E-4</v>
      </c>
      <c r="K8756" s="5">
        <f t="shared" si="306"/>
        <v>0.96782752902168978</v>
      </c>
    </row>
    <row r="8757" spans="1:11" x14ac:dyDescent="0.25">
      <c r="A8757" t="s">
        <v>17105</v>
      </c>
      <c r="C8757" t="s">
        <v>187</v>
      </c>
      <c r="D8757" t="s">
        <v>5</v>
      </c>
      <c r="E8757" t="s">
        <v>6</v>
      </c>
      <c r="F8757" t="s">
        <v>251</v>
      </c>
      <c r="G8757">
        <v>1</v>
      </c>
      <c r="H8757" s="2">
        <f>Tabelle13[[#This Row],[commits]]/Tabelle13[[#Totals],[commits]]</f>
        <v>4.6477904404246225E-6</v>
      </c>
      <c r="I8757" s="5">
        <f>Tabelle13[[#This Row],[%]]+I8756</f>
        <v>0.99865214077216258</v>
      </c>
      <c r="J8757" s="4">
        <f t="shared" si="305"/>
        <v>1.105583195135434E-4</v>
      </c>
      <c r="K8757" s="5">
        <f t="shared" si="306"/>
        <v>0.96793808734120335</v>
      </c>
    </row>
    <row r="8758" spans="1:11" x14ac:dyDescent="0.25">
      <c r="A8758" t="s">
        <v>17106</v>
      </c>
      <c r="C8758" t="s">
        <v>17107</v>
      </c>
      <c r="D8758" t="s">
        <v>5</v>
      </c>
      <c r="E8758" t="s">
        <v>6</v>
      </c>
      <c r="F8758" t="s">
        <v>251</v>
      </c>
      <c r="G8758">
        <v>1</v>
      </c>
      <c r="H8758" s="2">
        <f>Tabelle13[[#This Row],[commits]]/Tabelle13[[#Totals],[commits]]</f>
        <v>4.6477904404246225E-6</v>
      </c>
      <c r="I8758" s="5">
        <f>Tabelle13[[#This Row],[%]]+I8757</f>
        <v>0.99865678856260298</v>
      </c>
      <c r="J8758" s="4">
        <f t="shared" si="305"/>
        <v>1.105583195135434E-4</v>
      </c>
      <c r="K8758" s="5">
        <f t="shared" si="306"/>
        <v>0.96804864566071691</v>
      </c>
    </row>
    <row r="8759" spans="1:11" x14ac:dyDescent="0.25">
      <c r="A8759" t="s">
        <v>17108</v>
      </c>
      <c r="C8759" t="s">
        <v>17109</v>
      </c>
      <c r="D8759" t="s">
        <v>5</v>
      </c>
      <c r="E8759" t="s">
        <v>6</v>
      </c>
      <c r="F8759" t="s">
        <v>251</v>
      </c>
      <c r="G8759">
        <v>1</v>
      </c>
      <c r="H8759" s="2">
        <f>Tabelle13[[#This Row],[commits]]/Tabelle13[[#Totals],[commits]]</f>
        <v>4.6477904404246225E-6</v>
      </c>
      <c r="I8759" s="5">
        <f>Tabelle13[[#This Row],[%]]+I8758</f>
        <v>0.99866143635304339</v>
      </c>
      <c r="J8759" s="4">
        <f t="shared" si="305"/>
        <v>1.105583195135434E-4</v>
      </c>
      <c r="K8759" s="5">
        <f t="shared" si="306"/>
        <v>0.96815920398023048</v>
      </c>
    </row>
    <row r="8760" spans="1:11" x14ac:dyDescent="0.25">
      <c r="A8760" t="s">
        <v>17110</v>
      </c>
      <c r="C8760" t="s">
        <v>17111</v>
      </c>
      <c r="D8760" t="s">
        <v>5</v>
      </c>
      <c r="E8760" t="s">
        <v>6</v>
      </c>
      <c r="F8760" t="s">
        <v>251</v>
      </c>
      <c r="G8760">
        <v>1</v>
      </c>
      <c r="H8760" s="2">
        <f>Tabelle13[[#This Row],[commits]]/Tabelle13[[#Totals],[commits]]</f>
        <v>4.6477904404246225E-6</v>
      </c>
      <c r="I8760" s="5">
        <f>Tabelle13[[#This Row],[%]]+I8759</f>
        <v>0.99866608414348379</v>
      </c>
      <c r="J8760" s="4">
        <f t="shared" si="305"/>
        <v>1.105583195135434E-4</v>
      </c>
      <c r="K8760" s="5">
        <f t="shared" si="306"/>
        <v>0.96826976229974404</v>
      </c>
    </row>
    <row r="8761" spans="1:11" x14ac:dyDescent="0.25">
      <c r="A8761" t="s">
        <v>17112</v>
      </c>
      <c r="C8761" t="s">
        <v>17113</v>
      </c>
      <c r="D8761" t="s">
        <v>5</v>
      </c>
      <c r="E8761" t="s">
        <v>6</v>
      </c>
      <c r="F8761" t="s">
        <v>251</v>
      </c>
      <c r="G8761">
        <v>1</v>
      </c>
      <c r="H8761" s="2">
        <f>Tabelle13[[#This Row],[commits]]/Tabelle13[[#Totals],[commits]]</f>
        <v>4.6477904404246225E-6</v>
      </c>
      <c r="I8761" s="5">
        <f>Tabelle13[[#This Row],[%]]+I8760</f>
        <v>0.99867073193392419</v>
      </c>
      <c r="J8761" s="4">
        <f t="shared" si="305"/>
        <v>1.105583195135434E-4</v>
      </c>
      <c r="K8761" s="5">
        <f t="shared" si="306"/>
        <v>0.96838032061925761</v>
      </c>
    </row>
    <row r="8762" spans="1:11" x14ac:dyDescent="0.25">
      <c r="A8762" t="s">
        <v>17114</v>
      </c>
      <c r="C8762" t="s">
        <v>17115</v>
      </c>
      <c r="D8762" t="s">
        <v>5</v>
      </c>
      <c r="E8762" t="s">
        <v>6</v>
      </c>
      <c r="F8762" t="s">
        <v>251</v>
      </c>
      <c r="G8762">
        <v>1</v>
      </c>
      <c r="H8762" s="2">
        <f>Tabelle13[[#This Row],[commits]]/Tabelle13[[#Totals],[commits]]</f>
        <v>4.6477904404246225E-6</v>
      </c>
      <c r="I8762" s="5">
        <f>Tabelle13[[#This Row],[%]]+I8761</f>
        <v>0.9986753797243646</v>
      </c>
      <c r="J8762" s="4">
        <f t="shared" si="305"/>
        <v>1.105583195135434E-4</v>
      </c>
      <c r="K8762" s="5">
        <f t="shared" si="306"/>
        <v>0.96849087893877117</v>
      </c>
    </row>
    <row r="8763" spans="1:11" x14ac:dyDescent="0.25">
      <c r="A8763" t="s">
        <v>17116</v>
      </c>
      <c r="C8763" t="s">
        <v>17117</v>
      </c>
      <c r="D8763" t="s">
        <v>5</v>
      </c>
      <c r="E8763" t="s">
        <v>6</v>
      </c>
      <c r="F8763" t="s">
        <v>251</v>
      </c>
      <c r="G8763">
        <v>1</v>
      </c>
      <c r="H8763" s="2">
        <f>Tabelle13[[#This Row],[commits]]/Tabelle13[[#Totals],[commits]]</f>
        <v>4.6477904404246225E-6</v>
      </c>
      <c r="I8763" s="5">
        <f>Tabelle13[[#This Row],[%]]+I8762</f>
        <v>0.998680027514805</v>
      </c>
      <c r="J8763" s="4">
        <f t="shared" si="305"/>
        <v>1.105583195135434E-4</v>
      </c>
      <c r="K8763" s="5">
        <f t="shared" si="306"/>
        <v>0.96860143725828474</v>
      </c>
    </row>
    <row r="8764" spans="1:11" x14ac:dyDescent="0.25">
      <c r="A8764" t="s">
        <v>17118</v>
      </c>
      <c r="C8764" t="s">
        <v>17119</v>
      </c>
      <c r="D8764" t="s">
        <v>5</v>
      </c>
      <c r="E8764" t="s">
        <v>6</v>
      </c>
      <c r="F8764" t="s">
        <v>251</v>
      </c>
      <c r="G8764">
        <v>1</v>
      </c>
      <c r="H8764" s="2">
        <f>Tabelle13[[#This Row],[commits]]/Tabelle13[[#Totals],[commits]]</f>
        <v>4.6477904404246225E-6</v>
      </c>
      <c r="I8764" s="5">
        <f>Tabelle13[[#This Row],[%]]+I8763</f>
        <v>0.99868467530524541</v>
      </c>
      <c r="J8764" s="4">
        <f t="shared" si="305"/>
        <v>1.105583195135434E-4</v>
      </c>
      <c r="K8764" s="5">
        <f t="shared" si="306"/>
        <v>0.9687119955777983</v>
      </c>
    </row>
    <row r="8765" spans="1:11" x14ac:dyDescent="0.25">
      <c r="A8765" t="s">
        <v>17120</v>
      </c>
      <c r="C8765" t="s">
        <v>17121</v>
      </c>
      <c r="D8765" t="s">
        <v>5</v>
      </c>
      <c r="E8765" t="s">
        <v>6</v>
      </c>
      <c r="F8765" t="s">
        <v>251</v>
      </c>
      <c r="G8765">
        <v>1</v>
      </c>
      <c r="H8765" s="2">
        <f>Tabelle13[[#This Row],[commits]]/Tabelle13[[#Totals],[commits]]</f>
        <v>4.6477904404246225E-6</v>
      </c>
      <c r="I8765" s="5">
        <f>Tabelle13[[#This Row],[%]]+I8764</f>
        <v>0.99868932309568581</v>
      </c>
      <c r="J8765" s="4">
        <f t="shared" si="305"/>
        <v>1.105583195135434E-4</v>
      </c>
      <c r="K8765" s="5">
        <f t="shared" si="306"/>
        <v>0.96882255389731187</v>
      </c>
    </row>
    <row r="8766" spans="1:11" x14ac:dyDescent="0.25">
      <c r="A8766" t="s">
        <v>17122</v>
      </c>
      <c r="C8766" t="s">
        <v>17123</v>
      </c>
      <c r="D8766" t="s">
        <v>5</v>
      </c>
      <c r="E8766" t="s">
        <v>6</v>
      </c>
      <c r="F8766" t="s">
        <v>251</v>
      </c>
      <c r="G8766">
        <v>1</v>
      </c>
      <c r="H8766" s="2">
        <f>Tabelle13[[#This Row],[commits]]/Tabelle13[[#Totals],[commits]]</f>
        <v>4.6477904404246225E-6</v>
      </c>
      <c r="I8766" s="5">
        <f>Tabelle13[[#This Row],[%]]+I8765</f>
        <v>0.99869397088612621</v>
      </c>
      <c r="J8766" s="4">
        <f t="shared" si="305"/>
        <v>1.105583195135434E-4</v>
      </c>
      <c r="K8766" s="5">
        <f t="shared" si="306"/>
        <v>0.96893311221682543</v>
      </c>
    </row>
    <row r="8767" spans="1:11" x14ac:dyDescent="0.25">
      <c r="A8767" t="s">
        <v>17124</v>
      </c>
      <c r="C8767" t="s">
        <v>17125</v>
      </c>
      <c r="D8767" t="s">
        <v>15724</v>
      </c>
      <c r="E8767" t="s">
        <v>6</v>
      </c>
      <c r="F8767" t="s">
        <v>251</v>
      </c>
      <c r="G8767">
        <v>1</v>
      </c>
      <c r="H8767" s="2">
        <f>Tabelle13[[#This Row],[commits]]/Tabelle13[[#Totals],[commits]]</f>
        <v>4.6477904404246225E-6</v>
      </c>
      <c r="I8767" s="5">
        <f>Tabelle13[[#This Row],[%]]+I8766</f>
        <v>0.99869861867656662</v>
      </c>
      <c r="J8767" s="4">
        <f t="shared" si="305"/>
        <v>1.105583195135434E-4</v>
      </c>
      <c r="K8767" s="5">
        <f t="shared" si="306"/>
        <v>0.969043670536339</v>
      </c>
    </row>
    <row r="8768" spans="1:11" x14ac:dyDescent="0.25">
      <c r="A8768" t="s">
        <v>17126</v>
      </c>
      <c r="C8768" t="s">
        <v>17127</v>
      </c>
      <c r="D8768" t="s">
        <v>5</v>
      </c>
      <c r="E8768" t="s">
        <v>6</v>
      </c>
      <c r="F8768" t="s">
        <v>251</v>
      </c>
      <c r="G8768">
        <v>1</v>
      </c>
      <c r="H8768" s="2">
        <f>Tabelle13[[#This Row],[commits]]/Tabelle13[[#Totals],[commits]]</f>
        <v>4.6477904404246225E-6</v>
      </c>
      <c r="I8768" s="5">
        <f>Tabelle13[[#This Row],[%]]+I8767</f>
        <v>0.99870326646700702</v>
      </c>
      <c r="J8768" s="4">
        <f t="shared" si="305"/>
        <v>1.105583195135434E-4</v>
      </c>
      <c r="K8768" s="5">
        <f t="shared" si="306"/>
        <v>0.96915422885585256</v>
      </c>
    </row>
    <row r="8769" spans="1:11" x14ac:dyDescent="0.25">
      <c r="A8769" t="s">
        <v>17275</v>
      </c>
      <c r="C8769" t="s">
        <v>17276</v>
      </c>
      <c r="D8769" t="s">
        <v>5</v>
      </c>
      <c r="E8769" t="s">
        <v>6</v>
      </c>
      <c r="F8769" t="s">
        <v>334</v>
      </c>
      <c r="G8769">
        <v>1</v>
      </c>
      <c r="H8769" s="2">
        <f>Tabelle13[[#This Row],[commits]]/Tabelle13[[#Totals],[commits]]</f>
        <v>4.6477904404246225E-6</v>
      </c>
      <c r="I8769" s="5">
        <f>Tabelle13[[#This Row],[%]]+I8768</f>
        <v>0.99870791425744743</v>
      </c>
      <c r="J8769" s="4">
        <f t="shared" si="305"/>
        <v>1.105583195135434E-4</v>
      </c>
      <c r="K8769" s="5">
        <f t="shared" si="306"/>
        <v>0.96926478717536613</v>
      </c>
    </row>
    <row r="8770" spans="1:11" x14ac:dyDescent="0.25">
      <c r="A8770" t="s">
        <v>17277</v>
      </c>
      <c r="C8770" t="s">
        <v>17278</v>
      </c>
      <c r="D8770" t="s">
        <v>5</v>
      </c>
      <c r="E8770" t="s">
        <v>6</v>
      </c>
      <c r="F8770" t="s">
        <v>334</v>
      </c>
      <c r="G8770">
        <v>1</v>
      </c>
      <c r="H8770" s="2">
        <f>Tabelle13[[#This Row],[commits]]/Tabelle13[[#Totals],[commits]]</f>
        <v>4.6477904404246225E-6</v>
      </c>
      <c r="I8770" s="5">
        <f>Tabelle13[[#This Row],[%]]+I8769</f>
        <v>0.99871256204788783</v>
      </c>
      <c r="J8770" s="4">
        <f t="shared" si="305"/>
        <v>1.105583195135434E-4</v>
      </c>
      <c r="K8770" s="5">
        <f t="shared" si="306"/>
        <v>0.96937534549487969</v>
      </c>
    </row>
    <row r="8771" spans="1:11" x14ac:dyDescent="0.25">
      <c r="A8771" t="s">
        <v>17279</v>
      </c>
      <c r="C8771" t="s">
        <v>17280</v>
      </c>
      <c r="D8771" t="s">
        <v>5</v>
      </c>
      <c r="E8771" t="s">
        <v>6</v>
      </c>
      <c r="F8771" t="s">
        <v>334</v>
      </c>
      <c r="G8771">
        <v>1</v>
      </c>
      <c r="H8771" s="2">
        <f>Tabelle13[[#This Row],[commits]]/Tabelle13[[#Totals],[commits]]</f>
        <v>4.6477904404246225E-6</v>
      </c>
      <c r="I8771" s="5">
        <f>Tabelle13[[#This Row],[%]]+I8770</f>
        <v>0.99871720983832823</v>
      </c>
      <c r="J8771" s="4">
        <f t="shared" ref="J8771:J8834" si="307">1/9045</f>
        <v>1.105583195135434E-4</v>
      </c>
      <c r="K8771" s="5">
        <f t="shared" si="306"/>
        <v>0.96948590381439326</v>
      </c>
    </row>
    <row r="8772" spans="1:11" x14ac:dyDescent="0.25">
      <c r="A8772" t="s">
        <v>17281</v>
      </c>
      <c r="C8772" t="s">
        <v>17282</v>
      </c>
      <c r="D8772" t="s">
        <v>5</v>
      </c>
      <c r="E8772" t="s">
        <v>6</v>
      </c>
      <c r="F8772" t="s">
        <v>334</v>
      </c>
      <c r="G8772">
        <v>1</v>
      </c>
      <c r="H8772" s="2">
        <f>Tabelle13[[#This Row],[commits]]/Tabelle13[[#Totals],[commits]]</f>
        <v>4.6477904404246225E-6</v>
      </c>
      <c r="I8772" s="5">
        <f>Tabelle13[[#This Row],[%]]+I8771</f>
        <v>0.99872185762876864</v>
      </c>
      <c r="J8772" s="4">
        <f t="shared" si="307"/>
        <v>1.105583195135434E-4</v>
      </c>
      <c r="K8772" s="5">
        <f t="shared" si="306"/>
        <v>0.96959646213390682</v>
      </c>
    </row>
    <row r="8773" spans="1:11" x14ac:dyDescent="0.25">
      <c r="A8773" t="s">
        <v>17283</v>
      </c>
      <c r="C8773" t="s">
        <v>17284</v>
      </c>
      <c r="D8773" t="s">
        <v>5</v>
      </c>
      <c r="E8773" t="s">
        <v>6</v>
      </c>
      <c r="F8773" t="s">
        <v>334</v>
      </c>
      <c r="G8773">
        <v>1</v>
      </c>
      <c r="H8773" s="2">
        <f>Tabelle13[[#This Row],[commits]]/Tabelle13[[#Totals],[commits]]</f>
        <v>4.6477904404246225E-6</v>
      </c>
      <c r="I8773" s="5">
        <f>Tabelle13[[#This Row],[%]]+I8772</f>
        <v>0.99872650541920904</v>
      </c>
      <c r="J8773" s="4">
        <f t="shared" si="307"/>
        <v>1.105583195135434E-4</v>
      </c>
      <c r="K8773" s="5">
        <f t="shared" si="306"/>
        <v>0.96970702045342039</v>
      </c>
    </row>
    <row r="8774" spans="1:11" x14ac:dyDescent="0.25">
      <c r="A8774" t="s">
        <v>17285</v>
      </c>
      <c r="C8774" t="s">
        <v>17286</v>
      </c>
      <c r="D8774" t="s">
        <v>17287</v>
      </c>
      <c r="E8774" t="s">
        <v>6</v>
      </c>
      <c r="F8774" t="s">
        <v>334</v>
      </c>
      <c r="G8774">
        <v>1</v>
      </c>
      <c r="H8774" s="2">
        <f>Tabelle13[[#This Row],[commits]]/Tabelle13[[#Totals],[commits]]</f>
        <v>4.6477904404246225E-6</v>
      </c>
      <c r="I8774" s="5">
        <f>Tabelle13[[#This Row],[%]]+I8773</f>
        <v>0.99873115320964945</v>
      </c>
      <c r="J8774" s="4">
        <f t="shared" si="307"/>
        <v>1.105583195135434E-4</v>
      </c>
      <c r="K8774" s="5">
        <f t="shared" ref="K8774:K8837" si="308">J8774+K8773</f>
        <v>0.96981757877293395</v>
      </c>
    </row>
    <row r="8775" spans="1:11" x14ac:dyDescent="0.25">
      <c r="A8775" t="s">
        <v>17288</v>
      </c>
      <c r="C8775" t="s">
        <v>17289</v>
      </c>
      <c r="D8775" t="s">
        <v>5</v>
      </c>
      <c r="E8775" t="s">
        <v>6</v>
      </c>
      <c r="F8775" t="s">
        <v>334</v>
      </c>
      <c r="G8775">
        <v>1</v>
      </c>
      <c r="H8775" s="2">
        <f>Tabelle13[[#This Row],[commits]]/Tabelle13[[#Totals],[commits]]</f>
        <v>4.6477904404246225E-6</v>
      </c>
      <c r="I8775" s="5">
        <f>Tabelle13[[#This Row],[%]]+I8774</f>
        <v>0.99873580100008985</v>
      </c>
      <c r="J8775" s="4">
        <f t="shared" si="307"/>
        <v>1.105583195135434E-4</v>
      </c>
      <c r="K8775" s="5">
        <f t="shared" si="308"/>
        <v>0.96992813709244752</v>
      </c>
    </row>
    <row r="8776" spans="1:11" x14ac:dyDescent="0.25">
      <c r="A8776" t="s">
        <v>17290</v>
      </c>
      <c r="C8776" t="s">
        <v>17291</v>
      </c>
      <c r="D8776" t="s">
        <v>5</v>
      </c>
      <c r="E8776" t="s">
        <v>6</v>
      </c>
      <c r="F8776" t="s">
        <v>334</v>
      </c>
      <c r="G8776">
        <v>1</v>
      </c>
      <c r="H8776" s="2">
        <f>Tabelle13[[#This Row],[commits]]/Tabelle13[[#Totals],[commits]]</f>
        <v>4.6477904404246225E-6</v>
      </c>
      <c r="I8776" s="5">
        <f>Tabelle13[[#This Row],[%]]+I8775</f>
        <v>0.99874044879053026</v>
      </c>
      <c r="J8776" s="4">
        <f t="shared" si="307"/>
        <v>1.105583195135434E-4</v>
      </c>
      <c r="K8776" s="5">
        <f t="shared" si="308"/>
        <v>0.97003869541196108</v>
      </c>
    </row>
    <row r="8777" spans="1:11" x14ac:dyDescent="0.25">
      <c r="A8777" t="s">
        <v>17292</v>
      </c>
      <c r="C8777" t="s">
        <v>17293</v>
      </c>
      <c r="D8777" t="s">
        <v>5</v>
      </c>
      <c r="E8777" t="s">
        <v>6</v>
      </c>
      <c r="F8777" t="s">
        <v>334</v>
      </c>
      <c r="G8777">
        <v>1</v>
      </c>
      <c r="H8777" s="2">
        <f>Tabelle13[[#This Row],[commits]]/Tabelle13[[#Totals],[commits]]</f>
        <v>4.6477904404246225E-6</v>
      </c>
      <c r="I8777" s="5">
        <f>Tabelle13[[#This Row],[%]]+I8776</f>
        <v>0.99874509658097066</v>
      </c>
      <c r="J8777" s="4">
        <f t="shared" si="307"/>
        <v>1.105583195135434E-4</v>
      </c>
      <c r="K8777" s="5">
        <f t="shared" si="308"/>
        <v>0.97014925373147465</v>
      </c>
    </row>
    <row r="8778" spans="1:11" x14ac:dyDescent="0.25">
      <c r="A8778" t="s">
        <v>17294</v>
      </c>
      <c r="C8778" t="s">
        <v>17295</v>
      </c>
      <c r="D8778" t="s">
        <v>5</v>
      </c>
      <c r="E8778" t="s">
        <v>6</v>
      </c>
      <c r="F8778" t="s">
        <v>334</v>
      </c>
      <c r="G8778">
        <v>1</v>
      </c>
      <c r="H8778" s="2">
        <f>Tabelle13[[#This Row],[commits]]/Tabelle13[[#Totals],[commits]]</f>
        <v>4.6477904404246225E-6</v>
      </c>
      <c r="I8778" s="5">
        <f>Tabelle13[[#This Row],[%]]+I8777</f>
        <v>0.99874974437141106</v>
      </c>
      <c r="J8778" s="4">
        <f t="shared" si="307"/>
        <v>1.105583195135434E-4</v>
      </c>
      <c r="K8778" s="5">
        <f t="shared" si="308"/>
        <v>0.97025981205098821</v>
      </c>
    </row>
    <row r="8779" spans="1:11" x14ac:dyDescent="0.25">
      <c r="A8779" t="s">
        <v>17296</v>
      </c>
      <c r="C8779">
        <v>951412526</v>
      </c>
      <c r="D8779" t="s">
        <v>5</v>
      </c>
      <c r="E8779" t="s">
        <v>6</v>
      </c>
      <c r="F8779" t="s">
        <v>334</v>
      </c>
      <c r="G8779">
        <v>1</v>
      </c>
      <c r="H8779" s="2">
        <f>Tabelle13[[#This Row],[commits]]/Tabelle13[[#Totals],[commits]]</f>
        <v>4.6477904404246225E-6</v>
      </c>
      <c r="I8779" s="5">
        <f>Tabelle13[[#This Row],[%]]+I8778</f>
        <v>0.99875439216185147</v>
      </c>
      <c r="J8779" s="4">
        <f t="shared" si="307"/>
        <v>1.105583195135434E-4</v>
      </c>
      <c r="K8779" s="5">
        <f t="shared" si="308"/>
        <v>0.97037037037050178</v>
      </c>
    </row>
    <row r="8780" spans="1:11" x14ac:dyDescent="0.25">
      <c r="A8780" t="s">
        <v>17297</v>
      </c>
      <c r="C8780" t="s">
        <v>17298</v>
      </c>
      <c r="D8780" t="s">
        <v>5</v>
      </c>
      <c r="E8780" t="s">
        <v>6</v>
      </c>
      <c r="F8780" t="s">
        <v>334</v>
      </c>
      <c r="G8780">
        <v>1</v>
      </c>
      <c r="H8780" s="2">
        <f>Tabelle13[[#This Row],[commits]]/Tabelle13[[#Totals],[commits]]</f>
        <v>4.6477904404246225E-6</v>
      </c>
      <c r="I8780" s="5">
        <f>Tabelle13[[#This Row],[%]]+I8779</f>
        <v>0.99875903995229187</v>
      </c>
      <c r="J8780" s="4">
        <f t="shared" si="307"/>
        <v>1.105583195135434E-4</v>
      </c>
      <c r="K8780" s="5">
        <f t="shared" si="308"/>
        <v>0.97048092869001534</v>
      </c>
    </row>
    <row r="8781" spans="1:11" x14ac:dyDescent="0.25">
      <c r="A8781" t="s">
        <v>17299</v>
      </c>
      <c r="C8781" t="s">
        <v>17300</v>
      </c>
      <c r="D8781" t="s">
        <v>5</v>
      </c>
      <c r="E8781" t="s">
        <v>6</v>
      </c>
      <c r="F8781" t="s">
        <v>334</v>
      </c>
      <c r="G8781">
        <v>1</v>
      </c>
      <c r="H8781" s="2">
        <f>Tabelle13[[#This Row],[commits]]/Tabelle13[[#Totals],[commits]]</f>
        <v>4.6477904404246225E-6</v>
      </c>
      <c r="I8781" s="5">
        <f>Tabelle13[[#This Row],[%]]+I8780</f>
        <v>0.99876368774273228</v>
      </c>
      <c r="J8781" s="4">
        <f t="shared" si="307"/>
        <v>1.105583195135434E-4</v>
      </c>
      <c r="K8781" s="5">
        <f t="shared" si="308"/>
        <v>0.97059148700952891</v>
      </c>
    </row>
    <row r="8782" spans="1:11" x14ac:dyDescent="0.25">
      <c r="A8782" t="s">
        <v>17301</v>
      </c>
      <c r="C8782" t="s">
        <v>17302</v>
      </c>
      <c r="D8782" t="s">
        <v>5</v>
      </c>
      <c r="E8782" t="s">
        <v>6</v>
      </c>
      <c r="F8782" t="s">
        <v>334</v>
      </c>
      <c r="G8782">
        <v>1</v>
      </c>
      <c r="H8782" s="2">
        <f>Tabelle13[[#This Row],[commits]]/Tabelle13[[#Totals],[commits]]</f>
        <v>4.6477904404246225E-6</v>
      </c>
      <c r="I8782" s="5">
        <f>Tabelle13[[#This Row],[%]]+I8781</f>
        <v>0.99876833553317268</v>
      </c>
      <c r="J8782" s="4">
        <f t="shared" si="307"/>
        <v>1.105583195135434E-4</v>
      </c>
      <c r="K8782" s="5">
        <f t="shared" si="308"/>
        <v>0.97070204532904247</v>
      </c>
    </row>
    <row r="8783" spans="1:11" x14ac:dyDescent="0.25">
      <c r="A8783" t="s">
        <v>17303</v>
      </c>
      <c r="C8783" t="s">
        <v>17212</v>
      </c>
      <c r="D8783" t="s">
        <v>17304</v>
      </c>
      <c r="E8783" t="s">
        <v>6</v>
      </c>
      <c r="F8783" t="s">
        <v>334</v>
      </c>
      <c r="G8783">
        <v>1</v>
      </c>
      <c r="H8783" s="2">
        <f>Tabelle13[[#This Row],[commits]]/Tabelle13[[#Totals],[commits]]</f>
        <v>4.6477904404246225E-6</v>
      </c>
      <c r="I8783" s="5">
        <f>Tabelle13[[#This Row],[%]]+I8782</f>
        <v>0.99877298332361308</v>
      </c>
      <c r="J8783" s="4">
        <f t="shared" si="307"/>
        <v>1.105583195135434E-4</v>
      </c>
      <c r="K8783" s="5">
        <f t="shared" si="308"/>
        <v>0.97081260364855604</v>
      </c>
    </row>
    <row r="8784" spans="1:11" x14ac:dyDescent="0.25">
      <c r="A8784" t="s">
        <v>17305</v>
      </c>
      <c r="C8784" t="s">
        <v>17306</v>
      </c>
      <c r="D8784" t="s">
        <v>5</v>
      </c>
      <c r="E8784" t="s">
        <v>6</v>
      </c>
      <c r="F8784" t="s">
        <v>334</v>
      </c>
      <c r="G8784">
        <v>1</v>
      </c>
      <c r="H8784" s="2">
        <f>Tabelle13[[#This Row],[commits]]/Tabelle13[[#Totals],[commits]]</f>
        <v>4.6477904404246225E-6</v>
      </c>
      <c r="I8784" s="5">
        <f>Tabelle13[[#This Row],[%]]+I8783</f>
        <v>0.99877763111405349</v>
      </c>
      <c r="J8784" s="4">
        <f t="shared" si="307"/>
        <v>1.105583195135434E-4</v>
      </c>
      <c r="K8784" s="5">
        <f t="shared" si="308"/>
        <v>0.9709231619680696</v>
      </c>
    </row>
    <row r="8785" spans="1:11" x14ac:dyDescent="0.25">
      <c r="A8785" t="s">
        <v>17307</v>
      </c>
      <c r="C8785" t="s">
        <v>17308</v>
      </c>
      <c r="D8785" t="s">
        <v>5</v>
      </c>
      <c r="E8785" t="s">
        <v>6</v>
      </c>
      <c r="F8785" t="s">
        <v>334</v>
      </c>
      <c r="G8785">
        <v>1</v>
      </c>
      <c r="H8785" s="2">
        <f>Tabelle13[[#This Row],[commits]]/Tabelle13[[#Totals],[commits]]</f>
        <v>4.6477904404246225E-6</v>
      </c>
      <c r="I8785" s="5">
        <f>Tabelle13[[#This Row],[%]]+I8784</f>
        <v>0.99878227890449389</v>
      </c>
      <c r="J8785" s="4">
        <f t="shared" si="307"/>
        <v>1.105583195135434E-4</v>
      </c>
      <c r="K8785" s="5">
        <f t="shared" si="308"/>
        <v>0.97103372028758317</v>
      </c>
    </row>
    <row r="8786" spans="1:11" x14ac:dyDescent="0.25">
      <c r="A8786" t="s">
        <v>17309</v>
      </c>
      <c r="C8786" t="s">
        <v>17310</v>
      </c>
      <c r="D8786" t="s">
        <v>5</v>
      </c>
      <c r="E8786" t="s">
        <v>6</v>
      </c>
      <c r="F8786" t="s">
        <v>334</v>
      </c>
      <c r="G8786">
        <v>1</v>
      </c>
      <c r="H8786" s="2">
        <f>Tabelle13[[#This Row],[commits]]/Tabelle13[[#Totals],[commits]]</f>
        <v>4.6477904404246225E-6</v>
      </c>
      <c r="I8786" s="5">
        <f>Tabelle13[[#This Row],[%]]+I8785</f>
        <v>0.9987869266949343</v>
      </c>
      <c r="J8786" s="4">
        <f t="shared" si="307"/>
        <v>1.105583195135434E-4</v>
      </c>
      <c r="K8786" s="5">
        <f t="shared" si="308"/>
        <v>0.97114427860709673</v>
      </c>
    </row>
    <row r="8787" spans="1:11" x14ac:dyDescent="0.25">
      <c r="A8787" t="s">
        <v>17311</v>
      </c>
      <c r="C8787" t="s">
        <v>17312</v>
      </c>
      <c r="D8787" t="s">
        <v>5</v>
      </c>
      <c r="E8787" t="s">
        <v>6</v>
      </c>
      <c r="F8787" t="s">
        <v>334</v>
      </c>
      <c r="G8787">
        <v>1</v>
      </c>
      <c r="H8787" s="2">
        <f>Tabelle13[[#This Row],[commits]]/Tabelle13[[#Totals],[commits]]</f>
        <v>4.6477904404246225E-6</v>
      </c>
      <c r="I8787" s="5">
        <f>Tabelle13[[#This Row],[%]]+I8786</f>
        <v>0.9987915744853747</v>
      </c>
      <c r="J8787" s="4">
        <f t="shared" si="307"/>
        <v>1.105583195135434E-4</v>
      </c>
      <c r="K8787" s="5">
        <f t="shared" si="308"/>
        <v>0.9712548369266103</v>
      </c>
    </row>
    <row r="8788" spans="1:11" x14ac:dyDescent="0.25">
      <c r="A8788" t="s">
        <v>17313</v>
      </c>
      <c r="C8788" t="s">
        <v>26</v>
      </c>
      <c r="D8788" t="s">
        <v>5</v>
      </c>
      <c r="E8788" t="s">
        <v>6</v>
      </c>
      <c r="F8788" t="s">
        <v>334</v>
      </c>
      <c r="G8788">
        <v>1</v>
      </c>
      <c r="H8788" s="2">
        <f>Tabelle13[[#This Row],[commits]]/Tabelle13[[#Totals],[commits]]</f>
        <v>4.6477904404246225E-6</v>
      </c>
      <c r="I8788" s="5">
        <f>Tabelle13[[#This Row],[%]]+I8787</f>
        <v>0.9987962222758151</v>
      </c>
      <c r="J8788" s="4">
        <f t="shared" si="307"/>
        <v>1.105583195135434E-4</v>
      </c>
      <c r="K8788" s="5">
        <f t="shared" si="308"/>
        <v>0.97136539524612386</v>
      </c>
    </row>
    <row r="8789" spans="1:11" x14ac:dyDescent="0.25">
      <c r="A8789" t="s">
        <v>17314</v>
      </c>
      <c r="C8789" t="s">
        <v>17315</v>
      </c>
      <c r="D8789" t="s">
        <v>5</v>
      </c>
      <c r="E8789" t="s">
        <v>6</v>
      </c>
      <c r="F8789" t="s">
        <v>334</v>
      </c>
      <c r="G8789">
        <v>1</v>
      </c>
      <c r="H8789" s="2">
        <f>Tabelle13[[#This Row],[commits]]/Tabelle13[[#Totals],[commits]]</f>
        <v>4.6477904404246225E-6</v>
      </c>
      <c r="I8789" s="5">
        <f>Tabelle13[[#This Row],[%]]+I8788</f>
        <v>0.99880087006625551</v>
      </c>
      <c r="J8789" s="4">
        <f t="shared" si="307"/>
        <v>1.105583195135434E-4</v>
      </c>
      <c r="K8789" s="5">
        <f t="shared" si="308"/>
        <v>0.97147595356563743</v>
      </c>
    </row>
    <row r="8790" spans="1:11" x14ac:dyDescent="0.25">
      <c r="A8790" t="s">
        <v>17316</v>
      </c>
      <c r="C8790">
        <v>1138674510</v>
      </c>
      <c r="D8790" t="s">
        <v>5</v>
      </c>
      <c r="E8790" t="s">
        <v>6</v>
      </c>
      <c r="F8790" t="s">
        <v>334</v>
      </c>
      <c r="G8790">
        <v>1</v>
      </c>
      <c r="H8790" s="2">
        <f>Tabelle13[[#This Row],[commits]]/Tabelle13[[#Totals],[commits]]</f>
        <v>4.6477904404246225E-6</v>
      </c>
      <c r="I8790" s="5">
        <f>Tabelle13[[#This Row],[%]]+I8789</f>
        <v>0.99880551785669591</v>
      </c>
      <c r="J8790" s="4">
        <f t="shared" si="307"/>
        <v>1.105583195135434E-4</v>
      </c>
      <c r="K8790" s="5">
        <f t="shared" si="308"/>
        <v>0.97158651188515099</v>
      </c>
    </row>
    <row r="8791" spans="1:11" x14ac:dyDescent="0.25">
      <c r="A8791" t="s">
        <v>17317</v>
      </c>
      <c r="C8791" t="s">
        <v>17318</v>
      </c>
      <c r="D8791" t="s">
        <v>5</v>
      </c>
      <c r="E8791" t="s">
        <v>6</v>
      </c>
      <c r="F8791" t="s">
        <v>334</v>
      </c>
      <c r="G8791">
        <v>1</v>
      </c>
      <c r="H8791" s="2">
        <f>Tabelle13[[#This Row],[commits]]/Tabelle13[[#Totals],[commits]]</f>
        <v>4.6477904404246225E-6</v>
      </c>
      <c r="I8791" s="5">
        <f>Tabelle13[[#This Row],[%]]+I8790</f>
        <v>0.99881016564713632</v>
      </c>
      <c r="J8791" s="4">
        <f t="shared" si="307"/>
        <v>1.105583195135434E-4</v>
      </c>
      <c r="K8791" s="5">
        <f t="shared" si="308"/>
        <v>0.97169707020466456</v>
      </c>
    </row>
    <row r="8792" spans="1:11" x14ac:dyDescent="0.25">
      <c r="A8792" t="s">
        <v>17319</v>
      </c>
      <c r="C8792" t="s">
        <v>17320</v>
      </c>
      <c r="D8792" t="s">
        <v>5</v>
      </c>
      <c r="E8792" t="s">
        <v>6</v>
      </c>
      <c r="F8792" t="s">
        <v>334</v>
      </c>
      <c r="G8792">
        <v>1</v>
      </c>
      <c r="H8792" s="2">
        <f>Tabelle13[[#This Row],[commits]]/Tabelle13[[#Totals],[commits]]</f>
        <v>4.6477904404246225E-6</v>
      </c>
      <c r="I8792" s="5">
        <f>Tabelle13[[#This Row],[%]]+I8791</f>
        <v>0.99881481343757672</v>
      </c>
      <c r="J8792" s="4">
        <f t="shared" si="307"/>
        <v>1.105583195135434E-4</v>
      </c>
      <c r="K8792" s="5">
        <f t="shared" si="308"/>
        <v>0.97180762852417812</v>
      </c>
    </row>
    <row r="8793" spans="1:11" x14ac:dyDescent="0.25">
      <c r="A8793" t="s">
        <v>17321</v>
      </c>
      <c r="C8793" t="s">
        <v>17322</v>
      </c>
      <c r="D8793" t="s">
        <v>5</v>
      </c>
      <c r="E8793" t="s">
        <v>6</v>
      </c>
      <c r="F8793" t="s">
        <v>334</v>
      </c>
      <c r="G8793">
        <v>1</v>
      </c>
      <c r="H8793" s="2">
        <f>Tabelle13[[#This Row],[commits]]/Tabelle13[[#Totals],[commits]]</f>
        <v>4.6477904404246225E-6</v>
      </c>
      <c r="I8793" s="5">
        <f>Tabelle13[[#This Row],[%]]+I8792</f>
        <v>0.99881946122801712</v>
      </c>
      <c r="J8793" s="4">
        <f t="shared" si="307"/>
        <v>1.105583195135434E-4</v>
      </c>
      <c r="K8793" s="5">
        <f t="shared" si="308"/>
        <v>0.97191818684369169</v>
      </c>
    </row>
    <row r="8794" spans="1:11" x14ac:dyDescent="0.25">
      <c r="A8794" t="s">
        <v>17323</v>
      </c>
      <c r="C8794" t="s">
        <v>17324</v>
      </c>
      <c r="D8794" t="s">
        <v>5</v>
      </c>
      <c r="E8794" t="s">
        <v>6</v>
      </c>
      <c r="F8794" t="s">
        <v>334</v>
      </c>
      <c r="G8794">
        <v>1</v>
      </c>
      <c r="H8794" s="2">
        <f>Tabelle13[[#This Row],[commits]]/Tabelle13[[#Totals],[commits]]</f>
        <v>4.6477904404246225E-6</v>
      </c>
      <c r="I8794" s="5">
        <f>Tabelle13[[#This Row],[%]]+I8793</f>
        <v>0.99882410901845753</v>
      </c>
      <c r="J8794" s="4">
        <f t="shared" si="307"/>
        <v>1.105583195135434E-4</v>
      </c>
      <c r="K8794" s="5">
        <f t="shared" si="308"/>
        <v>0.97202874516320525</v>
      </c>
    </row>
    <row r="8795" spans="1:11" x14ac:dyDescent="0.25">
      <c r="A8795" t="s">
        <v>17325</v>
      </c>
      <c r="C8795">
        <v>914053923</v>
      </c>
      <c r="D8795" t="s">
        <v>5</v>
      </c>
      <c r="E8795" t="s">
        <v>6</v>
      </c>
      <c r="F8795" t="s">
        <v>334</v>
      </c>
      <c r="G8795">
        <v>1</v>
      </c>
      <c r="H8795" s="2">
        <f>Tabelle13[[#This Row],[commits]]/Tabelle13[[#Totals],[commits]]</f>
        <v>4.6477904404246225E-6</v>
      </c>
      <c r="I8795" s="5">
        <f>Tabelle13[[#This Row],[%]]+I8794</f>
        <v>0.99882875680889793</v>
      </c>
      <c r="J8795" s="4">
        <f t="shared" si="307"/>
        <v>1.105583195135434E-4</v>
      </c>
      <c r="K8795" s="5">
        <f t="shared" si="308"/>
        <v>0.97213930348271882</v>
      </c>
    </row>
    <row r="8796" spans="1:11" x14ac:dyDescent="0.25">
      <c r="A8796" t="s">
        <v>17326</v>
      </c>
      <c r="C8796" t="s">
        <v>17327</v>
      </c>
      <c r="D8796" t="s">
        <v>5</v>
      </c>
      <c r="E8796" t="s">
        <v>6</v>
      </c>
      <c r="F8796" t="s">
        <v>334</v>
      </c>
      <c r="G8796">
        <v>1</v>
      </c>
      <c r="H8796" s="2">
        <f>Tabelle13[[#This Row],[commits]]/Tabelle13[[#Totals],[commits]]</f>
        <v>4.6477904404246225E-6</v>
      </c>
      <c r="I8796" s="5">
        <f>Tabelle13[[#This Row],[%]]+I8795</f>
        <v>0.99883340459933834</v>
      </c>
      <c r="J8796" s="4">
        <f t="shared" si="307"/>
        <v>1.105583195135434E-4</v>
      </c>
      <c r="K8796" s="5">
        <f t="shared" si="308"/>
        <v>0.97224986180223238</v>
      </c>
    </row>
    <row r="8797" spans="1:11" x14ac:dyDescent="0.25">
      <c r="A8797" t="s">
        <v>17328</v>
      </c>
      <c r="C8797" t="s">
        <v>17329</v>
      </c>
      <c r="D8797" t="s">
        <v>5</v>
      </c>
      <c r="E8797" t="s">
        <v>6</v>
      </c>
      <c r="F8797" t="s">
        <v>334</v>
      </c>
      <c r="G8797">
        <v>1</v>
      </c>
      <c r="H8797" s="2">
        <f>Tabelle13[[#This Row],[commits]]/Tabelle13[[#Totals],[commits]]</f>
        <v>4.6477904404246225E-6</v>
      </c>
      <c r="I8797" s="5">
        <f>Tabelle13[[#This Row],[%]]+I8796</f>
        <v>0.99883805238977874</v>
      </c>
      <c r="J8797" s="4">
        <f t="shared" si="307"/>
        <v>1.105583195135434E-4</v>
      </c>
      <c r="K8797" s="5">
        <f t="shared" si="308"/>
        <v>0.97236042012174595</v>
      </c>
    </row>
    <row r="8798" spans="1:11" x14ac:dyDescent="0.25">
      <c r="A8798" t="s">
        <v>17330</v>
      </c>
      <c r="C8798" t="s">
        <v>17331</v>
      </c>
      <c r="D8798" t="s">
        <v>5</v>
      </c>
      <c r="E8798" t="s">
        <v>6</v>
      </c>
      <c r="F8798" t="s">
        <v>334</v>
      </c>
      <c r="G8798">
        <v>1</v>
      </c>
      <c r="H8798" s="2">
        <f>Tabelle13[[#This Row],[commits]]/Tabelle13[[#Totals],[commits]]</f>
        <v>4.6477904404246225E-6</v>
      </c>
      <c r="I8798" s="5">
        <f>Tabelle13[[#This Row],[%]]+I8797</f>
        <v>0.99884270018021915</v>
      </c>
      <c r="J8798" s="4">
        <f t="shared" si="307"/>
        <v>1.105583195135434E-4</v>
      </c>
      <c r="K8798" s="5">
        <f t="shared" si="308"/>
        <v>0.97247097844125951</v>
      </c>
    </row>
    <row r="8799" spans="1:11" x14ac:dyDescent="0.25">
      <c r="A8799" t="s">
        <v>17332</v>
      </c>
      <c r="C8799" t="s">
        <v>626</v>
      </c>
      <c r="D8799" t="s">
        <v>5</v>
      </c>
      <c r="E8799" t="s">
        <v>6</v>
      </c>
      <c r="F8799" t="s">
        <v>334</v>
      </c>
      <c r="G8799">
        <v>1</v>
      </c>
      <c r="H8799" s="2">
        <f>Tabelle13[[#This Row],[commits]]/Tabelle13[[#Totals],[commits]]</f>
        <v>4.6477904404246225E-6</v>
      </c>
      <c r="I8799" s="5">
        <f>Tabelle13[[#This Row],[%]]+I8798</f>
        <v>0.99884734797065955</v>
      </c>
      <c r="J8799" s="4">
        <f t="shared" si="307"/>
        <v>1.105583195135434E-4</v>
      </c>
      <c r="K8799" s="5">
        <f t="shared" si="308"/>
        <v>0.97258153676077308</v>
      </c>
    </row>
    <row r="8800" spans="1:11" x14ac:dyDescent="0.25">
      <c r="A8800" t="s">
        <v>17333</v>
      </c>
      <c r="C8800" t="s">
        <v>17334</v>
      </c>
      <c r="D8800" t="s">
        <v>5</v>
      </c>
      <c r="E8800" t="s">
        <v>6</v>
      </c>
      <c r="F8800" t="s">
        <v>334</v>
      </c>
      <c r="G8800">
        <v>1</v>
      </c>
      <c r="H8800" s="2">
        <f>Tabelle13[[#This Row],[commits]]/Tabelle13[[#Totals],[commits]]</f>
        <v>4.6477904404246225E-6</v>
      </c>
      <c r="I8800" s="5">
        <f>Tabelle13[[#This Row],[%]]+I8799</f>
        <v>0.99885199576109995</v>
      </c>
      <c r="J8800" s="4">
        <f t="shared" si="307"/>
        <v>1.105583195135434E-4</v>
      </c>
      <c r="K8800" s="5">
        <f t="shared" si="308"/>
        <v>0.97269209508028665</v>
      </c>
    </row>
    <row r="8801" spans="1:11" x14ac:dyDescent="0.25">
      <c r="A8801" t="s">
        <v>17335</v>
      </c>
      <c r="C8801" t="s">
        <v>17336</v>
      </c>
      <c r="D8801" t="s">
        <v>5</v>
      </c>
      <c r="E8801" t="s">
        <v>6</v>
      </c>
      <c r="F8801" t="s">
        <v>334</v>
      </c>
      <c r="G8801">
        <v>1</v>
      </c>
      <c r="H8801" s="2">
        <f>Tabelle13[[#This Row],[commits]]/Tabelle13[[#Totals],[commits]]</f>
        <v>4.6477904404246225E-6</v>
      </c>
      <c r="I8801" s="5">
        <f>Tabelle13[[#This Row],[%]]+I8800</f>
        <v>0.99885664355154036</v>
      </c>
      <c r="J8801" s="4">
        <f t="shared" si="307"/>
        <v>1.105583195135434E-4</v>
      </c>
      <c r="K8801" s="5">
        <f t="shared" si="308"/>
        <v>0.97280265339980021</v>
      </c>
    </row>
    <row r="8802" spans="1:11" x14ac:dyDescent="0.25">
      <c r="A8802" t="s">
        <v>17337</v>
      </c>
      <c r="C8802">
        <v>308487730</v>
      </c>
      <c r="D8802" t="s">
        <v>5</v>
      </c>
      <c r="E8802" t="s">
        <v>6</v>
      </c>
      <c r="F8802" t="s">
        <v>334</v>
      </c>
      <c r="G8802">
        <v>1</v>
      </c>
      <c r="H8802" s="2">
        <f>Tabelle13[[#This Row],[commits]]/Tabelle13[[#Totals],[commits]]</f>
        <v>4.6477904404246225E-6</v>
      </c>
      <c r="I8802" s="5">
        <f>Tabelle13[[#This Row],[%]]+I8801</f>
        <v>0.99886129134198076</v>
      </c>
      <c r="J8802" s="4">
        <f t="shared" si="307"/>
        <v>1.105583195135434E-4</v>
      </c>
      <c r="K8802" s="5">
        <f t="shared" si="308"/>
        <v>0.97291321171931378</v>
      </c>
    </row>
    <row r="8803" spans="1:11" x14ac:dyDescent="0.25">
      <c r="A8803" t="s">
        <v>17338</v>
      </c>
      <c r="C8803" t="s">
        <v>17339</v>
      </c>
      <c r="D8803" t="s">
        <v>5</v>
      </c>
      <c r="E8803" t="s">
        <v>6</v>
      </c>
      <c r="F8803" t="s">
        <v>334</v>
      </c>
      <c r="G8803">
        <v>1</v>
      </c>
      <c r="H8803" s="2">
        <f>Tabelle13[[#This Row],[commits]]/Tabelle13[[#Totals],[commits]]</f>
        <v>4.6477904404246225E-6</v>
      </c>
      <c r="I8803" s="5">
        <f>Tabelle13[[#This Row],[%]]+I8802</f>
        <v>0.99886593913242117</v>
      </c>
      <c r="J8803" s="4">
        <f t="shared" si="307"/>
        <v>1.105583195135434E-4</v>
      </c>
      <c r="K8803" s="5">
        <f t="shared" si="308"/>
        <v>0.97302377003882734</v>
      </c>
    </row>
    <row r="8804" spans="1:11" x14ac:dyDescent="0.25">
      <c r="A8804" t="s">
        <v>17340</v>
      </c>
      <c r="C8804" t="s">
        <v>17341</v>
      </c>
      <c r="D8804" t="s">
        <v>5</v>
      </c>
      <c r="E8804" t="s">
        <v>6</v>
      </c>
      <c r="F8804" t="s">
        <v>334</v>
      </c>
      <c r="G8804">
        <v>1</v>
      </c>
      <c r="H8804" s="2">
        <f>Tabelle13[[#This Row],[commits]]/Tabelle13[[#Totals],[commits]]</f>
        <v>4.6477904404246225E-6</v>
      </c>
      <c r="I8804" s="5">
        <f>Tabelle13[[#This Row],[%]]+I8803</f>
        <v>0.99887058692286157</v>
      </c>
      <c r="J8804" s="4">
        <f t="shared" si="307"/>
        <v>1.105583195135434E-4</v>
      </c>
      <c r="K8804" s="5">
        <f t="shared" si="308"/>
        <v>0.97313432835834091</v>
      </c>
    </row>
    <row r="8805" spans="1:11" x14ac:dyDescent="0.25">
      <c r="A8805" t="s">
        <v>17342</v>
      </c>
      <c r="C8805" t="s">
        <v>17343</v>
      </c>
      <c r="D8805" t="s">
        <v>5</v>
      </c>
      <c r="E8805" t="s">
        <v>6</v>
      </c>
      <c r="F8805" t="s">
        <v>334</v>
      </c>
      <c r="G8805">
        <v>1</v>
      </c>
      <c r="H8805" s="2">
        <f>Tabelle13[[#This Row],[commits]]/Tabelle13[[#Totals],[commits]]</f>
        <v>4.6477904404246225E-6</v>
      </c>
      <c r="I8805" s="5">
        <f>Tabelle13[[#This Row],[%]]+I8804</f>
        <v>0.99887523471330197</v>
      </c>
      <c r="J8805" s="4">
        <f t="shared" si="307"/>
        <v>1.105583195135434E-4</v>
      </c>
      <c r="K8805" s="5">
        <f t="shared" si="308"/>
        <v>0.97324488667785447</v>
      </c>
    </row>
    <row r="8806" spans="1:11" x14ac:dyDescent="0.25">
      <c r="A8806" t="s">
        <v>17344</v>
      </c>
      <c r="C8806" t="s">
        <v>17345</v>
      </c>
      <c r="D8806" t="s">
        <v>5</v>
      </c>
      <c r="E8806" t="s">
        <v>6</v>
      </c>
      <c r="F8806" t="s">
        <v>334</v>
      </c>
      <c r="G8806">
        <v>1</v>
      </c>
      <c r="H8806" s="2">
        <f>Tabelle13[[#This Row],[commits]]/Tabelle13[[#Totals],[commits]]</f>
        <v>4.6477904404246225E-6</v>
      </c>
      <c r="I8806" s="5">
        <f>Tabelle13[[#This Row],[%]]+I8805</f>
        <v>0.99887988250374238</v>
      </c>
      <c r="J8806" s="4">
        <f t="shared" si="307"/>
        <v>1.105583195135434E-4</v>
      </c>
      <c r="K8806" s="5">
        <f t="shared" si="308"/>
        <v>0.97335544499736804</v>
      </c>
    </row>
    <row r="8807" spans="1:11" x14ac:dyDescent="0.25">
      <c r="A8807" t="s">
        <v>17346</v>
      </c>
      <c r="C8807" t="s">
        <v>17347</v>
      </c>
      <c r="D8807" t="s">
        <v>5</v>
      </c>
      <c r="E8807" t="s">
        <v>6</v>
      </c>
      <c r="F8807" t="s">
        <v>334</v>
      </c>
      <c r="G8807">
        <v>1</v>
      </c>
      <c r="H8807" s="2">
        <f>Tabelle13[[#This Row],[commits]]/Tabelle13[[#Totals],[commits]]</f>
        <v>4.6477904404246225E-6</v>
      </c>
      <c r="I8807" s="5">
        <f>Tabelle13[[#This Row],[%]]+I8806</f>
        <v>0.99888453029418278</v>
      </c>
      <c r="J8807" s="4">
        <f t="shared" si="307"/>
        <v>1.105583195135434E-4</v>
      </c>
      <c r="K8807" s="5">
        <f t="shared" si="308"/>
        <v>0.9734660033168816</v>
      </c>
    </row>
    <row r="8808" spans="1:11" x14ac:dyDescent="0.25">
      <c r="A8808" t="s">
        <v>17348</v>
      </c>
      <c r="C8808">
        <v>308929264</v>
      </c>
      <c r="D8808" t="s">
        <v>5</v>
      </c>
      <c r="E8808" t="s">
        <v>6</v>
      </c>
      <c r="F8808" t="s">
        <v>334</v>
      </c>
      <c r="G8808">
        <v>1</v>
      </c>
      <c r="H8808" s="2">
        <f>Tabelle13[[#This Row],[commits]]/Tabelle13[[#Totals],[commits]]</f>
        <v>4.6477904404246225E-6</v>
      </c>
      <c r="I8808" s="5">
        <f>Tabelle13[[#This Row],[%]]+I8807</f>
        <v>0.99888917808462319</v>
      </c>
      <c r="J8808" s="4">
        <f t="shared" si="307"/>
        <v>1.105583195135434E-4</v>
      </c>
      <c r="K8808" s="5">
        <f t="shared" si="308"/>
        <v>0.97357656163639517</v>
      </c>
    </row>
    <row r="8809" spans="1:11" x14ac:dyDescent="0.25">
      <c r="A8809" t="s">
        <v>17349</v>
      </c>
      <c r="C8809" t="s">
        <v>17350</v>
      </c>
      <c r="D8809" t="s">
        <v>5</v>
      </c>
      <c r="E8809" t="s">
        <v>6</v>
      </c>
      <c r="F8809" t="s">
        <v>334</v>
      </c>
      <c r="G8809">
        <v>1</v>
      </c>
      <c r="H8809" s="2">
        <f>Tabelle13[[#This Row],[commits]]/Tabelle13[[#Totals],[commits]]</f>
        <v>4.6477904404246225E-6</v>
      </c>
      <c r="I8809" s="5">
        <f>Tabelle13[[#This Row],[%]]+I8808</f>
        <v>0.99889382587506359</v>
      </c>
      <c r="J8809" s="4">
        <f t="shared" si="307"/>
        <v>1.105583195135434E-4</v>
      </c>
      <c r="K8809" s="5">
        <f t="shared" si="308"/>
        <v>0.97368711995590873</v>
      </c>
    </row>
    <row r="8810" spans="1:11" x14ac:dyDescent="0.25">
      <c r="A8810" t="s">
        <v>17351</v>
      </c>
      <c r="C8810" t="s">
        <v>17352</v>
      </c>
      <c r="D8810" t="s">
        <v>5</v>
      </c>
      <c r="E8810" t="s">
        <v>6</v>
      </c>
      <c r="F8810" t="s">
        <v>334</v>
      </c>
      <c r="G8810">
        <v>1</v>
      </c>
      <c r="H8810" s="2">
        <f>Tabelle13[[#This Row],[commits]]/Tabelle13[[#Totals],[commits]]</f>
        <v>4.6477904404246225E-6</v>
      </c>
      <c r="I8810" s="5">
        <f>Tabelle13[[#This Row],[%]]+I8809</f>
        <v>0.99889847366550399</v>
      </c>
      <c r="J8810" s="4">
        <f t="shared" si="307"/>
        <v>1.105583195135434E-4</v>
      </c>
      <c r="K8810" s="5">
        <f t="shared" si="308"/>
        <v>0.9737976782754223</v>
      </c>
    </row>
    <row r="8811" spans="1:11" x14ac:dyDescent="0.25">
      <c r="A8811" t="s">
        <v>17353</v>
      </c>
      <c r="C8811" t="s">
        <v>17354</v>
      </c>
      <c r="D8811" t="s">
        <v>5</v>
      </c>
      <c r="E8811" t="s">
        <v>6</v>
      </c>
      <c r="F8811" t="s">
        <v>334</v>
      </c>
      <c r="G8811">
        <v>1</v>
      </c>
      <c r="H8811" s="2">
        <f>Tabelle13[[#This Row],[commits]]/Tabelle13[[#Totals],[commits]]</f>
        <v>4.6477904404246225E-6</v>
      </c>
      <c r="I8811" s="5">
        <f>Tabelle13[[#This Row],[%]]+I8810</f>
        <v>0.9989031214559444</v>
      </c>
      <c r="J8811" s="4">
        <f t="shared" si="307"/>
        <v>1.105583195135434E-4</v>
      </c>
      <c r="K8811" s="5">
        <f t="shared" si="308"/>
        <v>0.97390823659493586</v>
      </c>
    </row>
    <row r="8812" spans="1:11" x14ac:dyDescent="0.25">
      <c r="A8812" t="s">
        <v>17355</v>
      </c>
      <c r="C8812" t="s">
        <v>17356</v>
      </c>
      <c r="D8812" t="s">
        <v>5</v>
      </c>
      <c r="E8812" t="s">
        <v>6</v>
      </c>
      <c r="F8812" t="s">
        <v>334</v>
      </c>
      <c r="G8812">
        <v>1</v>
      </c>
      <c r="H8812" s="2">
        <f>Tabelle13[[#This Row],[commits]]/Tabelle13[[#Totals],[commits]]</f>
        <v>4.6477904404246225E-6</v>
      </c>
      <c r="I8812" s="5">
        <f>Tabelle13[[#This Row],[%]]+I8811</f>
        <v>0.9989077692463848</v>
      </c>
      <c r="J8812" s="4">
        <f t="shared" si="307"/>
        <v>1.105583195135434E-4</v>
      </c>
      <c r="K8812" s="5">
        <f t="shared" si="308"/>
        <v>0.97401879491444943</v>
      </c>
    </row>
    <row r="8813" spans="1:11" x14ac:dyDescent="0.25">
      <c r="A8813" t="s">
        <v>17357</v>
      </c>
      <c r="C8813" t="s">
        <v>17358</v>
      </c>
      <c r="D8813" t="s">
        <v>5</v>
      </c>
      <c r="E8813" t="s">
        <v>6</v>
      </c>
      <c r="F8813" t="s">
        <v>334</v>
      </c>
      <c r="G8813">
        <v>1</v>
      </c>
      <c r="H8813" s="2">
        <f>Tabelle13[[#This Row],[commits]]/Tabelle13[[#Totals],[commits]]</f>
        <v>4.6477904404246225E-6</v>
      </c>
      <c r="I8813" s="5">
        <f>Tabelle13[[#This Row],[%]]+I8812</f>
        <v>0.99891241703682521</v>
      </c>
      <c r="J8813" s="4">
        <f t="shared" si="307"/>
        <v>1.105583195135434E-4</v>
      </c>
      <c r="K8813" s="5">
        <f t="shared" si="308"/>
        <v>0.97412935323396299</v>
      </c>
    </row>
    <row r="8814" spans="1:11" x14ac:dyDescent="0.25">
      <c r="A8814" t="s">
        <v>17359</v>
      </c>
      <c r="C8814" t="s">
        <v>17360</v>
      </c>
      <c r="D8814" t="s">
        <v>5</v>
      </c>
      <c r="E8814" t="s">
        <v>6</v>
      </c>
      <c r="F8814" t="s">
        <v>334</v>
      </c>
      <c r="G8814">
        <v>1</v>
      </c>
      <c r="H8814" s="2">
        <f>Tabelle13[[#This Row],[commits]]/Tabelle13[[#Totals],[commits]]</f>
        <v>4.6477904404246225E-6</v>
      </c>
      <c r="I8814" s="5">
        <f>Tabelle13[[#This Row],[%]]+I8813</f>
        <v>0.99891706482726561</v>
      </c>
      <c r="J8814" s="4">
        <f t="shared" si="307"/>
        <v>1.105583195135434E-4</v>
      </c>
      <c r="K8814" s="5">
        <f t="shared" si="308"/>
        <v>0.97423991155347656</v>
      </c>
    </row>
    <row r="8815" spans="1:11" x14ac:dyDescent="0.25">
      <c r="A8815" t="s">
        <v>17361</v>
      </c>
      <c r="C8815" t="s">
        <v>17362</v>
      </c>
      <c r="D8815" t="s">
        <v>5</v>
      </c>
      <c r="E8815" t="s">
        <v>6</v>
      </c>
      <c r="F8815" t="s">
        <v>334</v>
      </c>
      <c r="G8815">
        <v>1</v>
      </c>
      <c r="H8815" s="2">
        <f>Tabelle13[[#This Row],[commits]]/Tabelle13[[#Totals],[commits]]</f>
        <v>4.6477904404246225E-6</v>
      </c>
      <c r="I8815" s="5">
        <f>Tabelle13[[#This Row],[%]]+I8814</f>
        <v>0.99892171261770601</v>
      </c>
      <c r="J8815" s="4">
        <f t="shared" si="307"/>
        <v>1.105583195135434E-4</v>
      </c>
      <c r="K8815" s="5">
        <f t="shared" si="308"/>
        <v>0.97435046987299012</v>
      </c>
    </row>
    <row r="8816" spans="1:11" x14ac:dyDescent="0.25">
      <c r="A8816" t="s">
        <v>17363</v>
      </c>
      <c r="C8816" t="s">
        <v>17364</v>
      </c>
      <c r="D8816" t="s">
        <v>5</v>
      </c>
      <c r="E8816" t="s">
        <v>6</v>
      </c>
      <c r="F8816" t="s">
        <v>334</v>
      </c>
      <c r="G8816">
        <v>1</v>
      </c>
      <c r="H8816" s="2">
        <f>Tabelle13[[#This Row],[commits]]/Tabelle13[[#Totals],[commits]]</f>
        <v>4.6477904404246225E-6</v>
      </c>
      <c r="I8816" s="5">
        <f>Tabelle13[[#This Row],[%]]+I8815</f>
        <v>0.99892636040814642</v>
      </c>
      <c r="J8816" s="4">
        <f t="shared" si="307"/>
        <v>1.105583195135434E-4</v>
      </c>
      <c r="K8816" s="5">
        <f t="shared" si="308"/>
        <v>0.97446102819250369</v>
      </c>
    </row>
    <row r="8817" spans="1:11" x14ac:dyDescent="0.25">
      <c r="A8817" t="s">
        <v>17365</v>
      </c>
      <c r="C8817" t="s">
        <v>17366</v>
      </c>
      <c r="D8817" t="s">
        <v>5</v>
      </c>
      <c r="E8817" t="s">
        <v>6</v>
      </c>
      <c r="F8817" t="s">
        <v>334</v>
      </c>
      <c r="G8817">
        <v>1</v>
      </c>
      <c r="H8817" s="2">
        <f>Tabelle13[[#This Row],[commits]]/Tabelle13[[#Totals],[commits]]</f>
        <v>4.6477904404246225E-6</v>
      </c>
      <c r="I8817" s="5">
        <f>Tabelle13[[#This Row],[%]]+I8816</f>
        <v>0.99893100819858682</v>
      </c>
      <c r="J8817" s="4">
        <f t="shared" si="307"/>
        <v>1.105583195135434E-4</v>
      </c>
      <c r="K8817" s="5">
        <f t="shared" si="308"/>
        <v>0.97457158651201725</v>
      </c>
    </row>
    <row r="8818" spans="1:11" x14ac:dyDescent="0.25">
      <c r="A8818" t="s">
        <v>17367</v>
      </c>
      <c r="C8818" t="s">
        <v>17368</v>
      </c>
      <c r="D8818" t="s">
        <v>5</v>
      </c>
      <c r="E8818" t="s">
        <v>6</v>
      </c>
      <c r="F8818" t="s">
        <v>334</v>
      </c>
      <c r="G8818">
        <v>1</v>
      </c>
      <c r="H8818" s="2">
        <f>Tabelle13[[#This Row],[commits]]/Tabelle13[[#Totals],[commits]]</f>
        <v>4.6477904404246225E-6</v>
      </c>
      <c r="I8818" s="5">
        <f>Tabelle13[[#This Row],[%]]+I8817</f>
        <v>0.99893565598902723</v>
      </c>
      <c r="J8818" s="4">
        <f t="shared" si="307"/>
        <v>1.105583195135434E-4</v>
      </c>
      <c r="K8818" s="5">
        <f t="shared" si="308"/>
        <v>0.97468214483153082</v>
      </c>
    </row>
    <row r="8819" spans="1:11" x14ac:dyDescent="0.25">
      <c r="A8819" t="s">
        <v>17369</v>
      </c>
      <c r="C8819" t="s">
        <v>17370</v>
      </c>
      <c r="D8819" t="s">
        <v>5</v>
      </c>
      <c r="E8819" t="s">
        <v>6</v>
      </c>
      <c r="F8819" t="s">
        <v>334</v>
      </c>
      <c r="G8819">
        <v>1</v>
      </c>
      <c r="H8819" s="2">
        <f>Tabelle13[[#This Row],[commits]]/Tabelle13[[#Totals],[commits]]</f>
        <v>4.6477904404246225E-6</v>
      </c>
      <c r="I8819" s="5">
        <f>Tabelle13[[#This Row],[%]]+I8818</f>
        <v>0.99894030377946763</v>
      </c>
      <c r="J8819" s="4">
        <f t="shared" si="307"/>
        <v>1.105583195135434E-4</v>
      </c>
      <c r="K8819" s="5">
        <f t="shared" si="308"/>
        <v>0.97479270315104438</v>
      </c>
    </row>
    <row r="8820" spans="1:11" x14ac:dyDescent="0.25">
      <c r="A8820" t="s">
        <v>17371</v>
      </c>
      <c r="C8820">
        <v>82787816</v>
      </c>
      <c r="D8820" t="s">
        <v>5</v>
      </c>
      <c r="E8820" t="s">
        <v>6</v>
      </c>
      <c r="F8820" t="s">
        <v>334</v>
      </c>
      <c r="G8820">
        <v>1</v>
      </c>
      <c r="H8820" s="2">
        <f>Tabelle13[[#This Row],[commits]]/Tabelle13[[#Totals],[commits]]</f>
        <v>4.6477904404246225E-6</v>
      </c>
      <c r="I8820" s="5">
        <f>Tabelle13[[#This Row],[%]]+I8819</f>
        <v>0.99894495156990804</v>
      </c>
      <c r="J8820" s="4">
        <f t="shared" si="307"/>
        <v>1.105583195135434E-4</v>
      </c>
      <c r="K8820" s="5">
        <f t="shared" si="308"/>
        <v>0.97490326147055795</v>
      </c>
    </row>
    <row r="8821" spans="1:11" x14ac:dyDescent="0.25">
      <c r="A8821" t="s">
        <v>17372</v>
      </c>
      <c r="C8821" t="s">
        <v>17373</v>
      </c>
      <c r="D8821" t="s">
        <v>5</v>
      </c>
      <c r="E8821" t="s">
        <v>6</v>
      </c>
      <c r="F8821" t="s">
        <v>334</v>
      </c>
      <c r="G8821">
        <v>1</v>
      </c>
      <c r="H8821" s="2">
        <f>Tabelle13[[#This Row],[commits]]/Tabelle13[[#Totals],[commits]]</f>
        <v>4.6477904404246225E-6</v>
      </c>
      <c r="I8821" s="5">
        <f>Tabelle13[[#This Row],[%]]+I8820</f>
        <v>0.99894959936034844</v>
      </c>
      <c r="J8821" s="4">
        <f t="shared" si="307"/>
        <v>1.105583195135434E-4</v>
      </c>
      <c r="K8821" s="5">
        <f t="shared" si="308"/>
        <v>0.97501381979007151</v>
      </c>
    </row>
    <row r="8822" spans="1:11" x14ac:dyDescent="0.25">
      <c r="A8822" t="s">
        <v>17374</v>
      </c>
      <c r="C8822" t="s">
        <v>17375</v>
      </c>
      <c r="D8822" t="s">
        <v>5</v>
      </c>
      <c r="E8822" t="s">
        <v>6</v>
      </c>
      <c r="F8822" t="s">
        <v>334</v>
      </c>
      <c r="G8822">
        <v>1</v>
      </c>
      <c r="H8822" s="2">
        <f>Tabelle13[[#This Row],[commits]]/Tabelle13[[#Totals],[commits]]</f>
        <v>4.6477904404246225E-6</v>
      </c>
      <c r="I8822" s="5">
        <f>Tabelle13[[#This Row],[%]]+I8821</f>
        <v>0.99895424715078884</v>
      </c>
      <c r="J8822" s="4">
        <f t="shared" si="307"/>
        <v>1.105583195135434E-4</v>
      </c>
      <c r="K8822" s="5">
        <f t="shared" si="308"/>
        <v>0.97512437810958508</v>
      </c>
    </row>
    <row r="8823" spans="1:11" x14ac:dyDescent="0.25">
      <c r="A8823" t="s">
        <v>17376</v>
      </c>
      <c r="C8823" t="s">
        <v>17377</v>
      </c>
      <c r="D8823" t="s">
        <v>5</v>
      </c>
      <c r="E8823" t="s">
        <v>6</v>
      </c>
      <c r="F8823" t="s">
        <v>334</v>
      </c>
      <c r="G8823">
        <v>1</v>
      </c>
      <c r="H8823" s="2">
        <f>Tabelle13[[#This Row],[commits]]/Tabelle13[[#Totals],[commits]]</f>
        <v>4.6477904404246225E-6</v>
      </c>
      <c r="I8823" s="5">
        <f>Tabelle13[[#This Row],[%]]+I8822</f>
        <v>0.99895889494122925</v>
      </c>
      <c r="J8823" s="4">
        <f t="shared" si="307"/>
        <v>1.105583195135434E-4</v>
      </c>
      <c r="K8823" s="5">
        <f t="shared" si="308"/>
        <v>0.97523493642909864</v>
      </c>
    </row>
    <row r="8824" spans="1:11" x14ac:dyDescent="0.25">
      <c r="A8824" t="s">
        <v>17378</v>
      </c>
      <c r="C8824" t="s">
        <v>17379</v>
      </c>
      <c r="D8824" t="s">
        <v>5</v>
      </c>
      <c r="E8824" t="s">
        <v>6</v>
      </c>
      <c r="F8824" t="s">
        <v>334</v>
      </c>
      <c r="G8824">
        <v>1</v>
      </c>
      <c r="H8824" s="2">
        <f>Tabelle13[[#This Row],[commits]]/Tabelle13[[#Totals],[commits]]</f>
        <v>4.6477904404246225E-6</v>
      </c>
      <c r="I8824" s="5">
        <f>Tabelle13[[#This Row],[%]]+I8823</f>
        <v>0.99896354273166965</v>
      </c>
      <c r="J8824" s="4">
        <f t="shared" si="307"/>
        <v>1.105583195135434E-4</v>
      </c>
      <c r="K8824" s="5">
        <f t="shared" si="308"/>
        <v>0.97534549474861221</v>
      </c>
    </row>
    <row r="8825" spans="1:11" x14ac:dyDescent="0.25">
      <c r="A8825" t="s">
        <v>17380</v>
      </c>
      <c r="C8825" t="s">
        <v>17381</v>
      </c>
      <c r="D8825" t="s">
        <v>5</v>
      </c>
      <c r="E8825" t="s">
        <v>6</v>
      </c>
      <c r="F8825" t="s">
        <v>334</v>
      </c>
      <c r="G8825">
        <v>1</v>
      </c>
      <c r="H8825" s="2">
        <f>Tabelle13[[#This Row],[commits]]/Tabelle13[[#Totals],[commits]]</f>
        <v>4.6477904404246225E-6</v>
      </c>
      <c r="I8825" s="5">
        <f>Tabelle13[[#This Row],[%]]+I8824</f>
        <v>0.99896819052211006</v>
      </c>
      <c r="J8825" s="4">
        <f t="shared" si="307"/>
        <v>1.105583195135434E-4</v>
      </c>
      <c r="K8825" s="5">
        <f t="shared" si="308"/>
        <v>0.97545605306812577</v>
      </c>
    </row>
    <row r="8826" spans="1:11" x14ac:dyDescent="0.25">
      <c r="A8826" t="s">
        <v>17382</v>
      </c>
      <c r="C8826" t="s">
        <v>17383</v>
      </c>
      <c r="D8826" t="s">
        <v>5</v>
      </c>
      <c r="E8826" t="s">
        <v>6</v>
      </c>
      <c r="F8826" t="s">
        <v>334</v>
      </c>
      <c r="G8826">
        <v>1</v>
      </c>
      <c r="H8826" s="2">
        <f>Tabelle13[[#This Row],[commits]]/Tabelle13[[#Totals],[commits]]</f>
        <v>4.6477904404246225E-6</v>
      </c>
      <c r="I8826" s="5">
        <f>Tabelle13[[#This Row],[%]]+I8825</f>
        <v>0.99897283831255046</v>
      </c>
      <c r="J8826" s="4">
        <f t="shared" si="307"/>
        <v>1.105583195135434E-4</v>
      </c>
      <c r="K8826" s="5">
        <f t="shared" si="308"/>
        <v>0.97556661138763934</v>
      </c>
    </row>
    <row r="8827" spans="1:11" x14ac:dyDescent="0.25">
      <c r="A8827" t="s">
        <v>17384</v>
      </c>
      <c r="C8827" t="s">
        <v>17385</v>
      </c>
      <c r="D8827" t="s">
        <v>5</v>
      </c>
      <c r="E8827" t="s">
        <v>6</v>
      </c>
      <c r="F8827" t="s">
        <v>334</v>
      </c>
      <c r="G8827">
        <v>1</v>
      </c>
      <c r="H8827" s="2">
        <f>Tabelle13[[#This Row],[commits]]/Tabelle13[[#Totals],[commits]]</f>
        <v>4.6477904404246225E-6</v>
      </c>
      <c r="I8827" s="5">
        <f>Tabelle13[[#This Row],[%]]+I8826</f>
        <v>0.99897748610299086</v>
      </c>
      <c r="J8827" s="4">
        <f t="shared" si="307"/>
        <v>1.105583195135434E-4</v>
      </c>
      <c r="K8827" s="5">
        <f t="shared" si="308"/>
        <v>0.9756771697071529</v>
      </c>
    </row>
    <row r="8828" spans="1:11" x14ac:dyDescent="0.25">
      <c r="A8828" t="s">
        <v>17386</v>
      </c>
      <c r="C8828" t="s">
        <v>17387</v>
      </c>
      <c r="D8828" t="s">
        <v>5</v>
      </c>
      <c r="E8828" t="s">
        <v>6</v>
      </c>
      <c r="F8828" t="s">
        <v>334</v>
      </c>
      <c r="G8828">
        <v>1</v>
      </c>
      <c r="H8828" s="2">
        <f>Tabelle13[[#This Row],[commits]]/Tabelle13[[#Totals],[commits]]</f>
        <v>4.6477904404246225E-6</v>
      </c>
      <c r="I8828" s="5">
        <f>Tabelle13[[#This Row],[%]]+I8827</f>
        <v>0.99898213389343127</v>
      </c>
      <c r="J8828" s="4">
        <f t="shared" si="307"/>
        <v>1.105583195135434E-4</v>
      </c>
      <c r="K8828" s="5">
        <f t="shared" si="308"/>
        <v>0.97578772802666647</v>
      </c>
    </row>
    <row r="8829" spans="1:11" x14ac:dyDescent="0.25">
      <c r="A8829" t="s">
        <v>17388</v>
      </c>
      <c r="C8829" t="s">
        <v>17389</v>
      </c>
      <c r="D8829" t="s">
        <v>5</v>
      </c>
      <c r="E8829" t="s">
        <v>6</v>
      </c>
      <c r="F8829" t="s">
        <v>334</v>
      </c>
      <c r="G8829">
        <v>1</v>
      </c>
      <c r="H8829" s="2">
        <f>Tabelle13[[#This Row],[commits]]/Tabelle13[[#Totals],[commits]]</f>
        <v>4.6477904404246225E-6</v>
      </c>
      <c r="I8829" s="5">
        <f>Tabelle13[[#This Row],[%]]+I8828</f>
        <v>0.99898678168387167</v>
      </c>
      <c r="J8829" s="4">
        <f t="shared" si="307"/>
        <v>1.105583195135434E-4</v>
      </c>
      <c r="K8829" s="5">
        <f t="shared" si="308"/>
        <v>0.97589828634618003</v>
      </c>
    </row>
    <row r="8830" spans="1:11" x14ac:dyDescent="0.25">
      <c r="A8830" t="s">
        <v>17390</v>
      </c>
      <c r="C8830" t="s">
        <v>17391</v>
      </c>
      <c r="D8830" t="s">
        <v>5</v>
      </c>
      <c r="E8830" t="s">
        <v>6</v>
      </c>
      <c r="F8830" t="s">
        <v>334</v>
      </c>
      <c r="G8830">
        <v>1</v>
      </c>
      <c r="H8830" s="2">
        <f>Tabelle13[[#This Row],[commits]]/Tabelle13[[#Totals],[commits]]</f>
        <v>4.6477904404246225E-6</v>
      </c>
      <c r="I8830" s="5">
        <f>Tabelle13[[#This Row],[%]]+I8829</f>
        <v>0.99899142947431208</v>
      </c>
      <c r="J8830" s="4">
        <f t="shared" si="307"/>
        <v>1.105583195135434E-4</v>
      </c>
      <c r="K8830" s="5">
        <f t="shared" si="308"/>
        <v>0.9760088446656936</v>
      </c>
    </row>
    <row r="8831" spans="1:11" x14ac:dyDescent="0.25">
      <c r="A8831" t="s">
        <v>17392</v>
      </c>
      <c r="C8831">
        <v>504595380</v>
      </c>
      <c r="D8831" t="s">
        <v>5</v>
      </c>
      <c r="E8831" t="s">
        <v>6</v>
      </c>
      <c r="F8831" t="s">
        <v>334</v>
      </c>
      <c r="G8831">
        <v>1</v>
      </c>
      <c r="H8831" s="2">
        <f>Tabelle13[[#This Row],[commits]]/Tabelle13[[#Totals],[commits]]</f>
        <v>4.6477904404246225E-6</v>
      </c>
      <c r="I8831" s="5">
        <f>Tabelle13[[#This Row],[%]]+I8830</f>
        <v>0.99899607726475248</v>
      </c>
      <c r="J8831" s="4">
        <f t="shared" si="307"/>
        <v>1.105583195135434E-4</v>
      </c>
      <c r="K8831" s="5">
        <f t="shared" si="308"/>
        <v>0.97611940298520716</v>
      </c>
    </row>
    <row r="8832" spans="1:11" x14ac:dyDescent="0.25">
      <c r="A8832" t="s">
        <v>17393</v>
      </c>
      <c r="C8832" t="s">
        <v>17394</v>
      </c>
      <c r="D8832" t="s">
        <v>5</v>
      </c>
      <c r="E8832" t="s">
        <v>6</v>
      </c>
      <c r="F8832" t="s">
        <v>334</v>
      </c>
      <c r="G8832">
        <v>1</v>
      </c>
      <c r="H8832" s="2">
        <f>Tabelle13[[#This Row],[commits]]/Tabelle13[[#Totals],[commits]]</f>
        <v>4.6477904404246225E-6</v>
      </c>
      <c r="I8832" s="5">
        <f>Tabelle13[[#This Row],[%]]+I8831</f>
        <v>0.99900072505519288</v>
      </c>
      <c r="J8832" s="4">
        <f t="shared" si="307"/>
        <v>1.105583195135434E-4</v>
      </c>
      <c r="K8832" s="5">
        <f t="shared" si="308"/>
        <v>0.97622996130472073</v>
      </c>
    </row>
    <row r="8833" spans="1:11" x14ac:dyDescent="0.25">
      <c r="A8833" t="s">
        <v>17395</v>
      </c>
      <c r="C8833" t="s">
        <v>17396</v>
      </c>
      <c r="D8833" t="s">
        <v>5</v>
      </c>
      <c r="E8833" t="s">
        <v>6</v>
      </c>
      <c r="F8833" t="s">
        <v>334</v>
      </c>
      <c r="G8833">
        <v>1</v>
      </c>
      <c r="H8833" s="2">
        <f>Tabelle13[[#This Row],[commits]]/Tabelle13[[#Totals],[commits]]</f>
        <v>4.6477904404246225E-6</v>
      </c>
      <c r="I8833" s="5">
        <f>Tabelle13[[#This Row],[%]]+I8832</f>
        <v>0.99900537284563329</v>
      </c>
      <c r="J8833" s="4">
        <f t="shared" si="307"/>
        <v>1.105583195135434E-4</v>
      </c>
      <c r="K8833" s="5">
        <f t="shared" si="308"/>
        <v>0.97634051962423429</v>
      </c>
    </row>
    <row r="8834" spans="1:11" x14ac:dyDescent="0.25">
      <c r="A8834" t="s">
        <v>17397</v>
      </c>
      <c r="C8834" t="s">
        <v>17398</v>
      </c>
      <c r="D8834" t="s">
        <v>5</v>
      </c>
      <c r="E8834" t="s">
        <v>6</v>
      </c>
      <c r="F8834" t="s">
        <v>334</v>
      </c>
      <c r="G8834">
        <v>1</v>
      </c>
      <c r="H8834" s="2">
        <f>Tabelle13[[#This Row],[commits]]/Tabelle13[[#Totals],[commits]]</f>
        <v>4.6477904404246225E-6</v>
      </c>
      <c r="I8834" s="5">
        <f>Tabelle13[[#This Row],[%]]+I8833</f>
        <v>0.99901002063607369</v>
      </c>
      <c r="J8834" s="4">
        <f t="shared" si="307"/>
        <v>1.105583195135434E-4</v>
      </c>
      <c r="K8834" s="5">
        <f t="shared" si="308"/>
        <v>0.97645107794374786</v>
      </c>
    </row>
    <row r="8835" spans="1:11" x14ac:dyDescent="0.25">
      <c r="A8835" t="s">
        <v>17399</v>
      </c>
      <c r="C8835" t="s">
        <v>17400</v>
      </c>
      <c r="D8835" t="s">
        <v>5</v>
      </c>
      <c r="E8835" t="s">
        <v>6</v>
      </c>
      <c r="F8835" t="s">
        <v>334</v>
      </c>
      <c r="G8835">
        <v>1</v>
      </c>
      <c r="H8835" s="2">
        <f>Tabelle13[[#This Row],[commits]]/Tabelle13[[#Totals],[commits]]</f>
        <v>4.6477904404246225E-6</v>
      </c>
      <c r="I8835" s="5">
        <f>Tabelle13[[#This Row],[%]]+I8834</f>
        <v>0.9990146684265141</v>
      </c>
      <c r="J8835" s="4">
        <f t="shared" ref="J8835:J8898" si="309">1/9045</f>
        <v>1.105583195135434E-4</v>
      </c>
      <c r="K8835" s="5">
        <f t="shared" si="308"/>
        <v>0.97656163626326142</v>
      </c>
    </row>
    <row r="8836" spans="1:11" x14ac:dyDescent="0.25">
      <c r="A8836" t="s">
        <v>17401</v>
      </c>
      <c r="C8836" t="s">
        <v>17402</v>
      </c>
      <c r="D8836" t="s">
        <v>5</v>
      </c>
      <c r="E8836" t="s">
        <v>6</v>
      </c>
      <c r="F8836" t="s">
        <v>334</v>
      </c>
      <c r="G8836">
        <v>1</v>
      </c>
      <c r="H8836" s="2">
        <f>Tabelle13[[#This Row],[commits]]/Tabelle13[[#Totals],[commits]]</f>
        <v>4.6477904404246225E-6</v>
      </c>
      <c r="I8836" s="5">
        <f>Tabelle13[[#This Row],[%]]+I8835</f>
        <v>0.9990193162169545</v>
      </c>
      <c r="J8836" s="4">
        <f t="shared" si="309"/>
        <v>1.105583195135434E-4</v>
      </c>
      <c r="K8836" s="5">
        <f t="shared" si="308"/>
        <v>0.97667219458277499</v>
      </c>
    </row>
    <row r="8837" spans="1:11" x14ac:dyDescent="0.25">
      <c r="A8837" t="s">
        <v>17403</v>
      </c>
      <c r="C8837" t="s">
        <v>17404</v>
      </c>
      <c r="D8837" t="s">
        <v>5</v>
      </c>
      <c r="E8837" t="s">
        <v>6</v>
      </c>
      <c r="F8837" t="s">
        <v>334</v>
      </c>
      <c r="G8837">
        <v>1</v>
      </c>
      <c r="H8837" s="2">
        <f>Tabelle13[[#This Row],[commits]]/Tabelle13[[#Totals],[commits]]</f>
        <v>4.6477904404246225E-6</v>
      </c>
      <c r="I8837" s="5">
        <f>Tabelle13[[#This Row],[%]]+I8836</f>
        <v>0.9990239640073949</v>
      </c>
      <c r="J8837" s="4">
        <f t="shared" si="309"/>
        <v>1.105583195135434E-4</v>
      </c>
      <c r="K8837" s="5">
        <f t="shared" si="308"/>
        <v>0.97678275290228855</v>
      </c>
    </row>
    <row r="8838" spans="1:11" x14ac:dyDescent="0.25">
      <c r="A8838" t="s">
        <v>17405</v>
      </c>
      <c r="C8838" t="s">
        <v>17406</v>
      </c>
      <c r="D8838" t="s">
        <v>5</v>
      </c>
      <c r="E8838" t="s">
        <v>6</v>
      </c>
      <c r="F8838" t="s">
        <v>334</v>
      </c>
      <c r="G8838">
        <v>1</v>
      </c>
      <c r="H8838" s="2">
        <f>Tabelle13[[#This Row],[commits]]/Tabelle13[[#Totals],[commits]]</f>
        <v>4.6477904404246225E-6</v>
      </c>
      <c r="I8838" s="5">
        <f>Tabelle13[[#This Row],[%]]+I8837</f>
        <v>0.99902861179783531</v>
      </c>
      <c r="J8838" s="4">
        <f t="shared" si="309"/>
        <v>1.105583195135434E-4</v>
      </c>
      <c r="K8838" s="5">
        <f t="shared" ref="K8838:K8901" si="310">J8838+K8837</f>
        <v>0.97689331122180212</v>
      </c>
    </row>
    <row r="8839" spans="1:11" x14ac:dyDescent="0.25">
      <c r="A8839" t="s">
        <v>17407</v>
      </c>
      <c r="C8839" t="s">
        <v>17408</v>
      </c>
      <c r="D8839" t="s">
        <v>17409</v>
      </c>
      <c r="E8839" t="s">
        <v>6</v>
      </c>
      <c r="F8839" t="s">
        <v>334</v>
      </c>
      <c r="G8839">
        <v>1</v>
      </c>
      <c r="H8839" s="2">
        <f>Tabelle13[[#This Row],[commits]]/Tabelle13[[#Totals],[commits]]</f>
        <v>4.6477904404246225E-6</v>
      </c>
      <c r="I8839" s="5">
        <f>Tabelle13[[#This Row],[%]]+I8838</f>
        <v>0.99903325958827571</v>
      </c>
      <c r="J8839" s="4">
        <f t="shared" si="309"/>
        <v>1.105583195135434E-4</v>
      </c>
      <c r="K8839" s="5">
        <f t="shared" si="310"/>
        <v>0.97700386954131568</v>
      </c>
    </row>
    <row r="8840" spans="1:11" x14ac:dyDescent="0.25">
      <c r="A8840" t="s">
        <v>17410</v>
      </c>
      <c r="C8840" t="s">
        <v>17411</v>
      </c>
      <c r="D8840" t="s">
        <v>5</v>
      </c>
      <c r="E8840" t="s">
        <v>6</v>
      </c>
      <c r="F8840" t="s">
        <v>334</v>
      </c>
      <c r="G8840">
        <v>1</v>
      </c>
      <c r="H8840" s="2">
        <f>Tabelle13[[#This Row],[commits]]/Tabelle13[[#Totals],[commits]]</f>
        <v>4.6477904404246225E-6</v>
      </c>
      <c r="I8840" s="5">
        <f>Tabelle13[[#This Row],[%]]+I8839</f>
        <v>0.99903790737871612</v>
      </c>
      <c r="J8840" s="4">
        <f t="shared" si="309"/>
        <v>1.105583195135434E-4</v>
      </c>
      <c r="K8840" s="5">
        <f t="shared" si="310"/>
        <v>0.97711442786082925</v>
      </c>
    </row>
    <row r="8841" spans="1:11" x14ac:dyDescent="0.25">
      <c r="A8841" t="s">
        <v>17412</v>
      </c>
      <c r="C8841" t="s">
        <v>17413</v>
      </c>
      <c r="D8841" t="s">
        <v>5</v>
      </c>
      <c r="E8841" t="s">
        <v>6</v>
      </c>
      <c r="F8841" t="s">
        <v>334</v>
      </c>
      <c r="G8841">
        <v>1</v>
      </c>
      <c r="H8841" s="2">
        <f>Tabelle13[[#This Row],[commits]]/Tabelle13[[#Totals],[commits]]</f>
        <v>4.6477904404246225E-6</v>
      </c>
      <c r="I8841" s="5">
        <f>Tabelle13[[#This Row],[%]]+I8840</f>
        <v>0.99904255516915652</v>
      </c>
      <c r="J8841" s="4">
        <f t="shared" si="309"/>
        <v>1.105583195135434E-4</v>
      </c>
      <c r="K8841" s="5">
        <f t="shared" si="310"/>
        <v>0.97722498618034281</v>
      </c>
    </row>
    <row r="8842" spans="1:11" x14ac:dyDescent="0.25">
      <c r="A8842" t="s">
        <v>17414</v>
      </c>
      <c r="C8842" t="s">
        <v>17415</v>
      </c>
      <c r="D8842" t="s">
        <v>17416</v>
      </c>
      <c r="E8842" t="s">
        <v>6</v>
      </c>
      <c r="F8842" t="s">
        <v>334</v>
      </c>
      <c r="G8842">
        <v>1</v>
      </c>
      <c r="H8842" s="2">
        <f>Tabelle13[[#This Row],[commits]]/Tabelle13[[#Totals],[commits]]</f>
        <v>4.6477904404246225E-6</v>
      </c>
      <c r="I8842" s="5">
        <f>Tabelle13[[#This Row],[%]]+I8841</f>
        <v>0.99904720295959692</v>
      </c>
      <c r="J8842" s="4">
        <f t="shared" si="309"/>
        <v>1.105583195135434E-4</v>
      </c>
      <c r="K8842" s="5">
        <f t="shared" si="310"/>
        <v>0.97733554449985638</v>
      </c>
    </row>
    <row r="8843" spans="1:11" x14ac:dyDescent="0.25">
      <c r="A8843" t="s">
        <v>17417</v>
      </c>
      <c r="C8843">
        <v>905852308</v>
      </c>
      <c r="D8843" t="s">
        <v>5</v>
      </c>
      <c r="E8843" t="s">
        <v>6</v>
      </c>
      <c r="F8843" t="s">
        <v>334</v>
      </c>
      <c r="G8843">
        <v>1</v>
      </c>
      <c r="H8843" s="2">
        <f>Tabelle13[[#This Row],[commits]]/Tabelle13[[#Totals],[commits]]</f>
        <v>4.6477904404246225E-6</v>
      </c>
      <c r="I8843" s="5">
        <f>Tabelle13[[#This Row],[%]]+I8842</f>
        <v>0.99905185075003733</v>
      </c>
      <c r="J8843" s="4">
        <f t="shared" si="309"/>
        <v>1.105583195135434E-4</v>
      </c>
      <c r="K8843" s="5">
        <f t="shared" si="310"/>
        <v>0.97744610281936994</v>
      </c>
    </row>
    <row r="8844" spans="1:11" x14ac:dyDescent="0.25">
      <c r="A8844" t="s">
        <v>17418</v>
      </c>
      <c r="C8844" t="s">
        <v>17419</v>
      </c>
      <c r="D8844" t="s">
        <v>5</v>
      </c>
      <c r="E8844" t="s">
        <v>6</v>
      </c>
      <c r="F8844" t="s">
        <v>334</v>
      </c>
      <c r="G8844">
        <v>1</v>
      </c>
      <c r="H8844" s="2">
        <f>Tabelle13[[#This Row],[commits]]/Tabelle13[[#Totals],[commits]]</f>
        <v>4.6477904404246225E-6</v>
      </c>
      <c r="I8844" s="5">
        <f>Tabelle13[[#This Row],[%]]+I8843</f>
        <v>0.99905649854047773</v>
      </c>
      <c r="J8844" s="4">
        <f t="shared" si="309"/>
        <v>1.105583195135434E-4</v>
      </c>
      <c r="K8844" s="5">
        <f t="shared" si="310"/>
        <v>0.97755666113888351</v>
      </c>
    </row>
    <row r="8845" spans="1:11" x14ac:dyDescent="0.25">
      <c r="A8845" t="s">
        <v>17420</v>
      </c>
      <c r="C8845" t="s">
        <v>17421</v>
      </c>
      <c r="D8845" t="s">
        <v>5</v>
      </c>
      <c r="E8845" t="s">
        <v>6</v>
      </c>
      <c r="F8845" t="s">
        <v>334</v>
      </c>
      <c r="G8845">
        <v>1</v>
      </c>
      <c r="H8845" s="2">
        <f>Tabelle13[[#This Row],[commits]]/Tabelle13[[#Totals],[commits]]</f>
        <v>4.6477904404246225E-6</v>
      </c>
      <c r="I8845" s="5">
        <f>Tabelle13[[#This Row],[%]]+I8844</f>
        <v>0.99906114633091814</v>
      </c>
      <c r="J8845" s="4">
        <f t="shared" si="309"/>
        <v>1.105583195135434E-4</v>
      </c>
      <c r="K8845" s="5">
        <f t="shared" si="310"/>
        <v>0.97766721945839707</v>
      </c>
    </row>
    <row r="8846" spans="1:11" x14ac:dyDescent="0.25">
      <c r="A8846" t="s">
        <v>17422</v>
      </c>
      <c r="C8846" t="s">
        <v>17423</v>
      </c>
      <c r="D8846" t="s">
        <v>5</v>
      </c>
      <c r="E8846" t="s">
        <v>6</v>
      </c>
      <c r="F8846" t="s">
        <v>334</v>
      </c>
      <c r="G8846">
        <v>1</v>
      </c>
      <c r="H8846" s="2">
        <f>Tabelle13[[#This Row],[commits]]/Tabelle13[[#Totals],[commits]]</f>
        <v>4.6477904404246225E-6</v>
      </c>
      <c r="I8846" s="5">
        <f>Tabelle13[[#This Row],[%]]+I8845</f>
        <v>0.99906579412135854</v>
      </c>
      <c r="J8846" s="4">
        <f t="shared" si="309"/>
        <v>1.105583195135434E-4</v>
      </c>
      <c r="K8846" s="5">
        <f t="shared" si="310"/>
        <v>0.97777777777791064</v>
      </c>
    </row>
    <row r="8847" spans="1:11" x14ac:dyDescent="0.25">
      <c r="A8847" t="s">
        <v>17424</v>
      </c>
      <c r="C8847" t="s">
        <v>17425</v>
      </c>
      <c r="D8847" t="s">
        <v>5</v>
      </c>
      <c r="E8847" t="s">
        <v>6</v>
      </c>
      <c r="F8847" t="s">
        <v>334</v>
      </c>
      <c r="G8847">
        <v>1</v>
      </c>
      <c r="H8847" s="2">
        <f>Tabelle13[[#This Row],[commits]]/Tabelle13[[#Totals],[commits]]</f>
        <v>4.6477904404246225E-6</v>
      </c>
      <c r="I8847" s="5">
        <f>Tabelle13[[#This Row],[%]]+I8846</f>
        <v>0.99907044191179895</v>
      </c>
      <c r="J8847" s="4">
        <f t="shared" si="309"/>
        <v>1.105583195135434E-4</v>
      </c>
      <c r="K8847" s="5">
        <f t="shared" si="310"/>
        <v>0.9778883360974242</v>
      </c>
    </row>
    <row r="8848" spans="1:11" x14ac:dyDescent="0.25">
      <c r="A8848" t="s">
        <v>17426</v>
      </c>
      <c r="C8848" t="s">
        <v>17427</v>
      </c>
      <c r="D8848" t="s">
        <v>5</v>
      </c>
      <c r="E8848" t="s">
        <v>6</v>
      </c>
      <c r="F8848" t="s">
        <v>334</v>
      </c>
      <c r="G8848">
        <v>1</v>
      </c>
      <c r="H8848" s="2">
        <f>Tabelle13[[#This Row],[commits]]/Tabelle13[[#Totals],[commits]]</f>
        <v>4.6477904404246225E-6</v>
      </c>
      <c r="I8848" s="5">
        <f>Tabelle13[[#This Row],[%]]+I8847</f>
        <v>0.99907508970223935</v>
      </c>
      <c r="J8848" s="4">
        <f t="shared" si="309"/>
        <v>1.105583195135434E-4</v>
      </c>
      <c r="K8848" s="5">
        <f t="shared" si="310"/>
        <v>0.97799889441693777</v>
      </c>
    </row>
    <row r="8849" spans="1:11" x14ac:dyDescent="0.25">
      <c r="A8849" t="s">
        <v>17428</v>
      </c>
      <c r="C8849" t="s">
        <v>17429</v>
      </c>
      <c r="D8849" t="s">
        <v>5</v>
      </c>
      <c r="E8849" t="s">
        <v>6</v>
      </c>
      <c r="F8849" t="s">
        <v>334</v>
      </c>
      <c r="G8849">
        <v>1</v>
      </c>
      <c r="H8849" s="2">
        <f>Tabelle13[[#This Row],[commits]]/Tabelle13[[#Totals],[commits]]</f>
        <v>4.6477904404246225E-6</v>
      </c>
      <c r="I8849" s="5">
        <f>Tabelle13[[#This Row],[%]]+I8848</f>
        <v>0.99907973749267975</v>
      </c>
      <c r="J8849" s="4">
        <f t="shared" si="309"/>
        <v>1.105583195135434E-4</v>
      </c>
      <c r="K8849" s="5">
        <f t="shared" si="310"/>
        <v>0.97810945273645133</v>
      </c>
    </row>
    <row r="8850" spans="1:11" x14ac:dyDescent="0.25">
      <c r="A8850" t="s">
        <v>17430</v>
      </c>
      <c r="C8850" t="s">
        <v>17431</v>
      </c>
      <c r="D8850" t="s">
        <v>5</v>
      </c>
      <c r="E8850" t="s">
        <v>6</v>
      </c>
      <c r="F8850" t="s">
        <v>334</v>
      </c>
      <c r="G8850">
        <v>1</v>
      </c>
      <c r="H8850" s="2">
        <f>Tabelle13[[#This Row],[commits]]/Tabelle13[[#Totals],[commits]]</f>
        <v>4.6477904404246225E-6</v>
      </c>
      <c r="I8850" s="5">
        <f>Tabelle13[[#This Row],[%]]+I8849</f>
        <v>0.99908438528312016</v>
      </c>
      <c r="J8850" s="4">
        <f t="shared" si="309"/>
        <v>1.105583195135434E-4</v>
      </c>
      <c r="K8850" s="5">
        <f t="shared" si="310"/>
        <v>0.9782200110559649</v>
      </c>
    </row>
    <row r="8851" spans="1:11" x14ac:dyDescent="0.25">
      <c r="A8851" t="s">
        <v>17432</v>
      </c>
      <c r="C8851" t="s">
        <v>17433</v>
      </c>
      <c r="D8851" t="s">
        <v>5</v>
      </c>
      <c r="E8851" t="s">
        <v>6</v>
      </c>
      <c r="F8851" t="s">
        <v>334</v>
      </c>
      <c r="G8851">
        <v>1</v>
      </c>
      <c r="H8851" s="2">
        <f>Tabelle13[[#This Row],[commits]]/Tabelle13[[#Totals],[commits]]</f>
        <v>4.6477904404246225E-6</v>
      </c>
      <c r="I8851" s="5">
        <f>Tabelle13[[#This Row],[%]]+I8850</f>
        <v>0.99908903307356056</v>
      </c>
      <c r="J8851" s="4">
        <f t="shared" si="309"/>
        <v>1.105583195135434E-4</v>
      </c>
      <c r="K8851" s="5">
        <f t="shared" si="310"/>
        <v>0.97833056937547846</v>
      </c>
    </row>
    <row r="8852" spans="1:11" x14ac:dyDescent="0.25">
      <c r="A8852" t="s">
        <v>17434</v>
      </c>
      <c r="C8852" t="s">
        <v>17435</v>
      </c>
      <c r="D8852" t="s">
        <v>5</v>
      </c>
      <c r="E8852" t="s">
        <v>6</v>
      </c>
      <c r="F8852" t="s">
        <v>334</v>
      </c>
      <c r="G8852">
        <v>1</v>
      </c>
      <c r="H8852" s="2">
        <f>Tabelle13[[#This Row],[commits]]/Tabelle13[[#Totals],[commits]]</f>
        <v>4.6477904404246225E-6</v>
      </c>
      <c r="I8852" s="5">
        <f>Tabelle13[[#This Row],[%]]+I8851</f>
        <v>0.99909368086400097</v>
      </c>
      <c r="J8852" s="4">
        <f t="shared" si="309"/>
        <v>1.105583195135434E-4</v>
      </c>
      <c r="K8852" s="5">
        <f t="shared" si="310"/>
        <v>0.97844112769499203</v>
      </c>
    </row>
    <row r="8853" spans="1:11" x14ac:dyDescent="0.25">
      <c r="A8853" t="s">
        <v>17436</v>
      </c>
      <c r="C8853" t="s">
        <v>17437</v>
      </c>
      <c r="D8853" t="s">
        <v>5</v>
      </c>
      <c r="E8853" t="s">
        <v>6</v>
      </c>
      <c r="F8853" t="s">
        <v>334</v>
      </c>
      <c r="G8853">
        <v>1</v>
      </c>
      <c r="H8853" s="2">
        <f>Tabelle13[[#This Row],[commits]]/Tabelle13[[#Totals],[commits]]</f>
        <v>4.6477904404246225E-6</v>
      </c>
      <c r="I8853" s="5">
        <f>Tabelle13[[#This Row],[%]]+I8852</f>
        <v>0.99909832865444137</v>
      </c>
      <c r="J8853" s="4">
        <f t="shared" si="309"/>
        <v>1.105583195135434E-4</v>
      </c>
      <c r="K8853" s="5">
        <f t="shared" si="310"/>
        <v>0.9785516860145056</v>
      </c>
    </row>
    <row r="8854" spans="1:11" x14ac:dyDescent="0.25">
      <c r="A8854" t="s">
        <v>17438</v>
      </c>
      <c r="C8854" t="s">
        <v>17439</v>
      </c>
      <c r="D8854" t="s">
        <v>5</v>
      </c>
      <c r="E8854" t="s">
        <v>6</v>
      </c>
      <c r="F8854" t="s">
        <v>334</v>
      </c>
      <c r="G8854">
        <v>1</v>
      </c>
      <c r="H8854" s="2">
        <f>Tabelle13[[#This Row],[commits]]/Tabelle13[[#Totals],[commits]]</f>
        <v>4.6477904404246225E-6</v>
      </c>
      <c r="I8854" s="5">
        <f>Tabelle13[[#This Row],[%]]+I8853</f>
        <v>0.99910297644488177</v>
      </c>
      <c r="J8854" s="4">
        <f t="shared" si="309"/>
        <v>1.105583195135434E-4</v>
      </c>
      <c r="K8854" s="5">
        <f t="shared" si="310"/>
        <v>0.97866224433401916</v>
      </c>
    </row>
    <row r="8855" spans="1:11" x14ac:dyDescent="0.25">
      <c r="A8855" t="s">
        <v>17440</v>
      </c>
      <c r="C8855" t="s">
        <v>17441</v>
      </c>
      <c r="D8855" t="s">
        <v>5</v>
      </c>
      <c r="E8855" t="s">
        <v>6</v>
      </c>
      <c r="F8855" t="s">
        <v>334</v>
      </c>
      <c r="G8855">
        <v>1</v>
      </c>
      <c r="H8855" s="2">
        <f>Tabelle13[[#This Row],[commits]]/Tabelle13[[#Totals],[commits]]</f>
        <v>4.6477904404246225E-6</v>
      </c>
      <c r="I8855" s="5">
        <f>Tabelle13[[#This Row],[%]]+I8854</f>
        <v>0.99910762423532218</v>
      </c>
      <c r="J8855" s="4">
        <f t="shared" si="309"/>
        <v>1.105583195135434E-4</v>
      </c>
      <c r="K8855" s="5">
        <f t="shared" si="310"/>
        <v>0.97877280265353273</v>
      </c>
    </row>
    <row r="8856" spans="1:11" x14ac:dyDescent="0.25">
      <c r="A8856" t="s">
        <v>17442</v>
      </c>
      <c r="C8856">
        <v>2878354193</v>
      </c>
      <c r="D8856" t="s">
        <v>5</v>
      </c>
      <c r="E8856" t="s">
        <v>6</v>
      </c>
      <c r="F8856" t="s">
        <v>334</v>
      </c>
      <c r="G8856">
        <v>1</v>
      </c>
      <c r="H8856" s="2">
        <f>Tabelle13[[#This Row],[commits]]/Tabelle13[[#Totals],[commits]]</f>
        <v>4.6477904404246225E-6</v>
      </c>
      <c r="I8856" s="5">
        <f>Tabelle13[[#This Row],[%]]+I8855</f>
        <v>0.99911227202576258</v>
      </c>
      <c r="J8856" s="4">
        <f t="shared" si="309"/>
        <v>1.105583195135434E-4</v>
      </c>
      <c r="K8856" s="5">
        <f t="shared" si="310"/>
        <v>0.97888336097304629</v>
      </c>
    </row>
    <row r="8857" spans="1:11" x14ac:dyDescent="0.25">
      <c r="A8857" t="s">
        <v>17443</v>
      </c>
      <c r="C8857" t="s">
        <v>17444</v>
      </c>
      <c r="D8857" t="s">
        <v>5</v>
      </c>
      <c r="E8857" t="s">
        <v>6</v>
      </c>
      <c r="F8857" t="s">
        <v>334</v>
      </c>
      <c r="G8857">
        <v>1</v>
      </c>
      <c r="H8857" s="2">
        <f>Tabelle13[[#This Row],[commits]]/Tabelle13[[#Totals],[commits]]</f>
        <v>4.6477904404246225E-6</v>
      </c>
      <c r="I8857" s="5">
        <f>Tabelle13[[#This Row],[%]]+I8856</f>
        <v>0.99911691981620299</v>
      </c>
      <c r="J8857" s="4">
        <f t="shared" si="309"/>
        <v>1.105583195135434E-4</v>
      </c>
      <c r="K8857" s="5">
        <f t="shared" si="310"/>
        <v>0.97899391929255986</v>
      </c>
    </row>
    <row r="8858" spans="1:11" x14ac:dyDescent="0.25">
      <c r="A8858" t="s">
        <v>17445</v>
      </c>
      <c r="C8858" t="s">
        <v>17446</v>
      </c>
      <c r="D8858" t="s">
        <v>5</v>
      </c>
      <c r="E8858" t="s">
        <v>6</v>
      </c>
      <c r="F8858" t="s">
        <v>334</v>
      </c>
      <c r="G8858">
        <v>1</v>
      </c>
      <c r="H8858" s="2">
        <f>Tabelle13[[#This Row],[commits]]/Tabelle13[[#Totals],[commits]]</f>
        <v>4.6477904404246225E-6</v>
      </c>
      <c r="I8858" s="5">
        <f>Tabelle13[[#This Row],[%]]+I8857</f>
        <v>0.99912156760664339</v>
      </c>
      <c r="J8858" s="4">
        <f t="shared" si="309"/>
        <v>1.105583195135434E-4</v>
      </c>
      <c r="K8858" s="5">
        <f t="shared" si="310"/>
        <v>0.97910447761207342</v>
      </c>
    </row>
    <row r="8859" spans="1:11" x14ac:dyDescent="0.25">
      <c r="A8859" t="s">
        <v>17447</v>
      </c>
      <c r="C8859" t="s">
        <v>17448</v>
      </c>
      <c r="D8859" t="s">
        <v>5</v>
      </c>
      <c r="E8859" t="s">
        <v>6</v>
      </c>
      <c r="F8859" t="s">
        <v>334</v>
      </c>
      <c r="G8859">
        <v>1</v>
      </c>
      <c r="H8859" s="2">
        <f>Tabelle13[[#This Row],[commits]]/Tabelle13[[#Totals],[commits]]</f>
        <v>4.6477904404246225E-6</v>
      </c>
      <c r="I8859" s="5">
        <f>Tabelle13[[#This Row],[%]]+I8858</f>
        <v>0.99912621539708379</v>
      </c>
      <c r="J8859" s="4">
        <f t="shared" si="309"/>
        <v>1.105583195135434E-4</v>
      </c>
      <c r="K8859" s="5">
        <f t="shared" si="310"/>
        <v>0.97921503593158699</v>
      </c>
    </row>
    <row r="8860" spans="1:11" x14ac:dyDescent="0.25">
      <c r="A8860" t="s">
        <v>17449</v>
      </c>
      <c r="C8860" t="s">
        <v>17450</v>
      </c>
      <c r="D8860" t="s">
        <v>5</v>
      </c>
      <c r="E8860" t="s">
        <v>6</v>
      </c>
      <c r="F8860" t="s">
        <v>334</v>
      </c>
      <c r="G8860">
        <v>1</v>
      </c>
      <c r="H8860" s="2">
        <f>Tabelle13[[#This Row],[commits]]/Tabelle13[[#Totals],[commits]]</f>
        <v>4.6477904404246225E-6</v>
      </c>
      <c r="I8860" s="5">
        <f>Tabelle13[[#This Row],[%]]+I8859</f>
        <v>0.9991308631875242</v>
      </c>
      <c r="J8860" s="4">
        <f t="shared" si="309"/>
        <v>1.105583195135434E-4</v>
      </c>
      <c r="K8860" s="5">
        <f t="shared" si="310"/>
        <v>0.97932559425110055</v>
      </c>
    </row>
    <row r="8861" spans="1:11" x14ac:dyDescent="0.25">
      <c r="A8861" t="s">
        <v>17451</v>
      </c>
      <c r="C8861" t="s">
        <v>17452</v>
      </c>
      <c r="D8861" t="s">
        <v>5</v>
      </c>
      <c r="E8861" t="s">
        <v>6</v>
      </c>
      <c r="F8861" t="s">
        <v>334</v>
      </c>
      <c r="G8861">
        <v>1</v>
      </c>
      <c r="H8861" s="2">
        <f>Tabelle13[[#This Row],[commits]]/Tabelle13[[#Totals],[commits]]</f>
        <v>4.6477904404246225E-6</v>
      </c>
      <c r="I8861" s="5">
        <f>Tabelle13[[#This Row],[%]]+I8860</f>
        <v>0.9991355109779646</v>
      </c>
      <c r="J8861" s="4">
        <f t="shared" si="309"/>
        <v>1.105583195135434E-4</v>
      </c>
      <c r="K8861" s="5">
        <f t="shared" si="310"/>
        <v>0.97943615257061412</v>
      </c>
    </row>
    <row r="8862" spans="1:11" x14ac:dyDescent="0.25">
      <c r="A8862" t="s">
        <v>17453</v>
      </c>
      <c r="C8862" t="s">
        <v>17454</v>
      </c>
      <c r="D8862" t="s">
        <v>5</v>
      </c>
      <c r="E8862" t="s">
        <v>6</v>
      </c>
      <c r="F8862" t="s">
        <v>334</v>
      </c>
      <c r="G8862">
        <v>1</v>
      </c>
      <c r="H8862" s="2">
        <f>Tabelle13[[#This Row],[commits]]/Tabelle13[[#Totals],[commits]]</f>
        <v>4.6477904404246225E-6</v>
      </c>
      <c r="I8862" s="5">
        <f>Tabelle13[[#This Row],[%]]+I8861</f>
        <v>0.99914015876840501</v>
      </c>
      <c r="J8862" s="4">
        <f t="shared" si="309"/>
        <v>1.105583195135434E-4</v>
      </c>
      <c r="K8862" s="5">
        <f t="shared" si="310"/>
        <v>0.97954671089012768</v>
      </c>
    </row>
    <row r="8863" spans="1:11" x14ac:dyDescent="0.25">
      <c r="A8863" t="s">
        <v>17455</v>
      </c>
      <c r="C8863" t="s">
        <v>17456</v>
      </c>
      <c r="D8863" t="s">
        <v>5</v>
      </c>
      <c r="E8863" t="s">
        <v>6</v>
      </c>
      <c r="F8863" t="s">
        <v>334</v>
      </c>
      <c r="G8863">
        <v>1</v>
      </c>
      <c r="H8863" s="2">
        <f>Tabelle13[[#This Row],[commits]]/Tabelle13[[#Totals],[commits]]</f>
        <v>4.6477904404246225E-6</v>
      </c>
      <c r="I8863" s="5">
        <f>Tabelle13[[#This Row],[%]]+I8862</f>
        <v>0.99914480655884541</v>
      </c>
      <c r="J8863" s="4">
        <f t="shared" si="309"/>
        <v>1.105583195135434E-4</v>
      </c>
      <c r="K8863" s="5">
        <f t="shared" si="310"/>
        <v>0.97965726920964125</v>
      </c>
    </row>
    <row r="8864" spans="1:11" x14ac:dyDescent="0.25">
      <c r="A8864" t="s">
        <v>17457</v>
      </c>
      <c r="C8864" t="s">
        <v>17458</v>
      </c>
      <c r="D8864" t="s">
        <v>17459</v>
      </c>
      <c r="E8864" t="s">
        <v>6</v>
      </c>
      <c r="F8864" t="s">
        <v>334</v>
      </c>
      <c r="G8864">
        <v>1</v>
      </c>
      <c r="H8864" s="2">
        <f>Tabelle13[[#This Row],[commits]]/Tabelle13[[#Totals],[commits]]</f>
        <v>4.6477904404246225E-6</v>
      </c>
      <c r="I8864" s="5">
        <f>Tabelle13[[#This Row],[%]]+I8863</f>
        <v>0.99914945434928581</v>
      </c>
      <c r="J8864" s="4">
        <f t="shared" si="309"/>
        <v>1.105583195135434E-4</v>
      </c>
      <c r="K8864" s="5">
        <f t="shared" si="310"/>
        <v>0.97976782752915481</v>
      </c>
    </row>
    <row r="8865" spans="1:11" x14ac:dyDescent="0.25">
      <c r="A8865" t="s">
        <v>17460</v>
      </c>
      <c r="C8865" t="s">
        <v>1955</v>
      </c>
      <c r="D8865" t="s">
        <v>5</v>
      </c>
      <c r="E8865" t="s">
        <v>6</v>
      </c>
      <c r="F8865" t="s">
        <v>334</v>
      </c>
      <c r="G8865">
        <v>1</v>
      </c>
      <c r="H8865" s="2">
        <f>Tabelle13[[#This Row],[commits]]/Tabelle13[[#Totals],[commits]]</f>
        <v>4.6477904404246225E-6</v>
      </c>
      <c r="I8865" s="5">
        <f>Tabelle13[[#This Row],[%]]+I8864</f>
        <v>0.99915410213972622</v>
      </c>
      <c r="J8865" s="4">
        <f t="shared" si="309"/>
        <v>1.105583195135434E-4</v>
      </c>
      <c r="K8865" s="5">
        <f t="shared" si="310"/>
        <v>0.97987838584866838</v>
      </c>
    </row>
    <row r="8866" spans="1:11" x14ac:dyDescent="0.25">
      <c r="A8866" t="s">
        <v>17461</v>
      </c>
      <c r="C8866" t="s">
        <v>17462</v>
      </c>
      <c r="D8866" t="s">
        <v>5</v>
      </c>
      <c r="E8866" t="s">
        <v>6</v>
      </c>
      <c r="F8866" t="s">
        <v>334</v>
      </c>
      <c r="G8866">
        <v>1</v>
      </c>
      <c r="H8866" s="2">
        <f>Tabelle13[[#This Row],[commits]]/Tabelle13[[#Totals],[commits]]</f>
        <v>4.6477904404246225E-6</v>
      </c>
      <c r="I8866" s="5">
        <f>Tabelle13[[#This Row],[%]]+I8865</f>
        <v>0.99915874993016662</v>
      </c>
      <c r="J8866" s="4">
        <f t="shared" si="309"/>
        <v>1.105583195135434E-4</v>
      </c>
      <c r="K8866" s="5">
        <f t="shared" si="310"/>
        <v>0.97998894416818194</v>
      </c>
    </row>
    <row r="8867" spans="1:11" x14ac:dyDescent="0.25">
      <c r="A8867" t="s">
        <v>17463</v>
      </c>
      <c r="C8867" t="s">
        <v>17464</v>
      </c>
      <c r="D8867" t="s">
        <v>5</v>
      </c>
      <c r="E8867" t="s">
        <v>6</v>
      </c>
      <c r="F8867" t="s">
        <v>334</v>
      </c>
      <c r="G8867">
        <v>1</v>
      </c>
      <c r="H8867" s="2">
        <f>Tabelle13[[#This Row],[commits]]/Tabelle13[[#Totals],[commits]]</f>
        <v>4.6477904404246225E-6</v>
      </c>
      <c r="I8867" s="5">
        <f>Tabelle13[[#This Row],[%]]+I8866</f>
        <v>0.99916339772060703</v>
      </c>
      <c r="J8867" s="4">
        <f t="shared" si="309"/>
        <v>1.105583195135434E-4</v>
      </c>
      <c r="K8867" s="5">
        <f t="shared" si="310"/>
        <v>0.98009950248769551</v>
      </c>
    </row>
    <row r="8868" spans="1:11" x14ac:dyDescent="0.25">
      <c r="A8868" t="s">
        <v>17465</v>
      </c>
      <c r="C8868" t="s">
        <v>532</v>
      </c>
      <c r="D8868" t="s">
        <v>5</v>
      </c>
      <c r="E8868" t="s">
        <v>6</v>
      </c>
      <c r="F8868" t="s">
        <v>334</v>
      </c>
      <c r="G8868">
        <v>1</v>
      </c>
      <c r="H8868" s="2">
        <f>Tabelle13[[#This Row],[commits]]/Tabelle13[[#Totals],[commits]]</f>
        <v>4.6477904404246225E-6</v>
      </c>
      <c r="I8868" s="5">
        <f>Tabelle13[[#This Row],[%]]+I8867</f>
        <v>0.99916804551104743</v>
      </c>
      <c r="J8868" s="4">
        <f t="shared" si="309"/>
        <v>1.105583195135434E-4</v>
      </c>
      <c r="K8868" s="5">
        <f t="shared" si="310"/>
        <v>0.98021006080720907</v>
      </c>
    </row>
    <row r="8869" spans="1:11" x14ac:dyDescent="0.25">
      <c r="A8869" t="s">
        <v>17466</v>
      </c>
      <c r="C8869" t="s">
        <v>2036</v>
      </c>
      <c r="D8869" t="s">
        <v>5</v>
      </c>
      <c r="E8869" t="s">
        <v>6</v>
      </c>
      <c r="F8869" t="s">
        <v>334</v>
      </c>
      <c r="G8869">
        <v>1</v>
      </c>
      <c r="H8869" s="2">
        <f>Tabelle13[[#This Row],[commits]]/Tabelle13[[#Totals],[commits]]</f>
        <v>4.6477904404246225E-6</v>
      </c>
      <c r="I8869" s="5">
        <f>Tabelle13[[#This Row],[%]]+I8868</f>
        <v>0.99917269330148784</v>
      </c>
      <c r="J8869" s="4">
        <f t="shared" si="309"/>
        <v>1.105583195135434E-4</v>
      </c>
      <c r="K8869" s="5">
        <f t="shared" si="310"/>
        <v>0.98032061912672264</v>
      </c>
    </row>
    <row r="8870" spans="1:11" x14ac:dyDescent="0.25">
      <c r="A8870" t="s">
        <v>17467</v>
      </c>
      <c r="C8870" t="s">
        <v>17468</v>
      </c>
      <c r="D8870" t="s">
        <v>17469</v>
      </c>
      <c r="E8870" t="s">
        <v>6</v>
      </c>
      <c r="F8870" t="s">
        <v>334</v>
      </c>
      <c r="G8870">
        <v>1</v>
      </c>
      <c r="H8870" s="2">
        <f>Tabelle13[[#This Row],[commits]]/Tabelle13[[#Totals],[commits]]</f>
        <v>4.6477904404246225E-6</v>
      </c>
      <c r="I8870" s="5">
        <f>Tabelle13[[#This Row],[%]]+I8869</f>
        <v>0.99917734109192824</v>
      </c>
      <c r="J8870" s="4">
        <f t="shared" si="309"/>
        <v>1.105583195135434E-4</v>
      </c>
      <c r="K8870" s="5">
        <f t="shared" si="310"/>
        <v>0.9804311774462362</v>
      </c>
    </row>
    <row r="8871" spans="1:11" x14ac:dyDescent="0.25">
      <c r="A8871" t="s">
        <v>17470</v>
      </c>
      <c r="C8871" t="s">
        <v>17471</v>
      </c>
      <c r="D8871" t="s">
        <v>5</v>
      </c>
      <c r="E8871" t="s">
        <v>6</v>
      </c>
      <c r="F8871" t="s">
        <v>334</v>
      </c>
      <c r="G8871">
        <v>1</v>
      </c>
      <c r="H8871" s="2">
        <f>Tabelle13[[#This Row],[commits]]/Tabelle13[[#Totals],[commits]]</f>
        <v>4.6477904404246225E-6</v>
      </c>
      <c r="I8871" s="5">
        <f>Tabelle13[[#This Row],[%]]+I8870</f>
        <v>0.99918198888236864</v>
      </c>
      <c r="J8871" s="4">
        <f t="shared" si="309"/>
        <v>1.105583195135434E-4</v>
      </c>
      <c r="K8871" s="5">
        <f t="shared" si="310"/>
        <v>0.98054173576574977</v>
      </c>
    </row>
    <row r="8872" spans="1:11" x14ac:dyDescent="0.25">
      <c r="A8872" t="s">
        <v>17472</v>
      </c>
      <c r="C8872" t="s">
        <v>151</v>
      </c>
      <c r="D8872" t="s">
        <v>5</v>
      </c>
      <c r="E8872" t="s">
        <v>6</v>
      </c>
      <c r="F8872" t="s">
        <v>334</v>
      </c>
      <c r="G8872">
        <v>1</v>
      </c>
      <c r="H8872" s="2">
        <f>Tabelle13[[#This Row],[commits]]/Tabelle13[[#Totals],[commits]]</f>
        <v>4.6477904404246225E-6</v>
      </c>
      <c r="I8872" s="5">
        <f>Tabelle13[[#This Row],[%]]+I8871</f>
        <v>0.99918663667280905</v>
      </c>
      <c r="J8872" s="4">
        <f t="shared" si="309"/>
        <v>1.105583195135434E-4</v>
      </c>
      <c r="K8872" s="5">
        <f t="shared" si="310"/>
        <v>0.98065229408526333</v>
      </c>
    </row>
    <row r="8873" spans="1:11" x14ac:dyDescent="0.25">
      <c r="A8873" t="s">
        <v>17473</v>
      </c>
      <c r="C8873" t="s">
        <v>17474</v>
      </c>
      <c r="D8873" t="s">
        <v>5</v>
      </c>
      <c r="E8873" t="s">
        <v>6</v>
      </c>
      <c r="F8873" t="s">
        <v>334</v>
      </c>
      <c r="G8873">
        <v>1</v>
      </c>
      <c r="H8873" s="2">
        <f>Tabelle13[[#This Row],[commits]]/Tabelle13[[#Totals],[commits]]</f>
        <v>4.6477904404246225E-6</v>
      </c>
      <c r="I8873" s="5">
        <f>Tabelle13[[#This Row],[%]]+I8872</f>
        <v>0.99919128446324945</v>
      </c>
      <c r="J8873" s="4">
        <f t="shared" si="309"/>
        <v>1.105583195135434E-4</v>
      </c>
      <c r="K8873" s="5">
        <f t="shared" si="310"/>
        <v>0.9807628524047769</v>
      </c>
    </row>
    <row r="8874" spans="1:11" x14ac:dyDescent="0.25">
      <c r="A8874" t="s">
        <v>17475</v>
      </c>
      <c r="C8874" t="s">
        <v>17476</v>
      </c>
      <c r="D8874" t="s">
        <v>5</v>
      </c>
      <c r="E8874" t="s">
        <v>6</v>
      </c>
      <c r="F8874" t="s">
        <v>334</v>
      </c>
      <c r="G8874">
        <v>1</v>
      </c>
      <c r="H8874" s="2">
        <f>Tabelle13[[#This Row],[commits]]/Tabelle13[[#Totals],[commits]]</f>
        <v>4.6477904404246225E-6</v>
      </c>
      <c r="I8874" s="5">
        <f>Tabelle13[[#This Row],[%]]+I8873</f>
        <v>0.99919593225368986</v>
      </c>
      <c r="J8874" s="4">
        <f t="shared" si="309"/>
        <v>1.105583195135434E-4</v>
      </c>
      <c r="K8874" s="5">
        <f t="shared" si="310"/>
        <v>0.98087341072429046</v>
      </c>
    </row>
    <row r="8875" spans="1:11" x14ac:dyDescent="0.25">
      <c r="A8875" t="s">
        <v>17477</v>
      </c>
      <c r="C8875" t="s">
        <v>17478</v>
      </c>
      <c r="D8875" t="s">
        <v>5</v>
      </c>
      <c r="E8875" t="s">
        <v>6</v>
      </c>
      <c r="F8875" t="s">
        <v>334</v>
      </c>
      <c r="G8875">
        <v>1</v>
      </c>
      <c r="H8875" s="2">
        <f>Tabelle13[[#This Row],[commits]]/Tabelle13[[#Totals],[commits]]</f>
        <v>4.6477904404246225E-6</v>
      </c>
      <c r="I8875" s="5">
        <f>Tabelle13[[#This Row],[%]]+I8874</f>
        <v>0.99920058004413026</v>
      </c>
      <c r="J8875" s="4">
        <f t="shared" si="309"/>
        <v>1.105583195135434E-4</v>
      </c>
      <c r="K8875" s="5">
        <f t="shared" si="310"/>
        <v>0.98098396904380403</v>
      </c>
    </row>
    <row r="8876" spans="1:11" x14ac:dyDescent="0.25">
      <c r="A8876" t="s">
        <v>17479</v>
      </c>
      <c r="C8876" t="s">
        <v>17480</v>
      </c>
      <c r="D8876" t="s">
        <v>5</v>
      </c>
      <c r="E8876" t="s">
        <v>6</v>
      </c>
      <c r="F8876" t="s">
        <v>334</v>
      </c>
      <c r="G8876">
        <v>1</v>
      </c>
      <c r="H8876" s="2">
        <f>Tabelle13[[#This Row],[commits]]/Tabelle13[[#Totals],[commits]]</f>
        <v>4.6477904404246225E-6</v>
      </c>
      <c r="I8876" s="5">
        <f>Tabelle13[[#This Row],[%]]+I8875</f>
        <v>0.99920522783457066</v>
      </c>
      <c r="J8876" s="4">
        <f t="shared" si="309"/>
        <v>1.105583195135434E-4</v>
      </c>
      <c r="K8876" s="5">
        <f t="shared" si="310"/>
        <v>0.98109452736331759</v>
      </c>
    </row>
    <row r="8877" spans="1:11" x14ac:dyDescent="0.25">
      <c r="A8877" t="s">
        <v>17481</v>
      </c>
      <c r="C8877" t="s">
        <v>17482</v>
      </c>
      <c r="D8877" t="s">
        <v>5</v>
      </c>
      <c r="E8877" t="s">
        <v>6</v>
      </c>
      <c r="F8877" t="s">
        <v>334</v>
      </c>
      <c r="G8877">
        <v>1</v>
      </c>
      <c r="H8877" s="2">
        <f>Tabelle13[[#This Row],[commits]]/Tabelle13[[#Totals],[commits]]</f>
        <v>4.6477904404246225E-6</v>
      </c>
      <c r="I8877" s="5">
        <f>Tabelle13[[#This Row],[%]]+I8876</f>
        <v>0.99920987562501107</v>
      </c>
      <c r="J8877" s="4">
        <f t="shared" si="309"/>
        <v>1.105583195135434E-4</v>
      </c>
      <c r="K8877" s="5">
        <f t="shared" si="310"/>
        <v>0.98120508568283116</v>
      </c>
    </row>
    <row r="8878" spans="1:11" x14ac:dyDescent="0.25">
      <c r="A8878" t="s">
        <v>17483</v>
      </c>
      <c r="C8878" t="s">
        <v>17484</v>
      </c>
      <c r="D8878" t="s">
        <v>5</v>
      </c>
      <c r="E8878" t="s">
        <v>6</v>
      </c>
      <c r="F8878" t="s">
        <v>334</v>
      </c>
      <c r="G8878">
        <v>1</v>
      </c>
      <c r="H8878" s="2">
        <f>Tabelle13[[#This Row],[commits]]/Tabelle13[[#Totals],[commits]]</f>
        <v>4.6477904404246225E-6</v>
      </c>
      <c r="I8878" s="5">
        <f>Tabelle13[[#This Row],[%]]+I8877</f>
        <v>0.99921452341545147</v>
      </c>
      <c r="J8878" s="4">
        <f t="shared" si="309"/>
        <v>1.105583195135434E-4</v>
      </c>
      <c r="K8878" s="5">
        <f t="shared" si="310"/>
        <v>0.98131564400234472</v>
      </c>
    </row>
    <row r="8879" spans="1:11" x14ac:dyDescent="0.25">
      <c r="A8879" t="s">
        <v>17485</v>
      </c>
      <c r="C8879" t="s">
        <v>17486</v>
      </c>
      <c r="D8879" t="s">
        <v>5</v>
      </c>
      <c r="E8879" t="s">
        <v>6</v>
      </c>
      <c r="F8879" t="s">
        <v>334</v>
      </c>
      <c r="G8879">
        <v>1</v>
      </c>
      <c r="H8879" s="2">
        <f>Tabelle13[[#This Row],[commits]]/Tabelle13[[#Totals],[commits]]</f>
        <v>4.6477904404246225E-6</v>
      </c>
      <c r="I8879" s="5">
        <f>Tabelle13[[#This Row],[%]]+I8878</f>
        <v>0.99921917120589188</v>
      </c>
      <c r="J8879" s="4">
        <f t="shared" si="309"/>
        <v>1.105583195135434E-4</v>
      </c>
      <c r="K8879" s="5">
        <f t="shared" si="310"/>
        <v>0.98142620232185829</v>
      </c>
    </row>
    <row r="8880" spans="1:11" x14ac:dyDescent="0.25">
      <c r="A8880" t="s">
        <v>17487</v>
      </c>
      <c r="C8880" t="s">
        <v>17488</v>
      </c>
      <c r="D8880" t="s">
        <v>17489</v>
      </c>
      <c r="E8880" t="s">
        <v>6</v>
      </c>
      <c r="F8880" t="s">
        <v>334</v>
      </c>
      <c r="G8880">
        <v>1</v>
      </c>
      <c r="H8880" s="2">
        <f>Tabelle13[[#This Row],[commits]]/Tabelle13[[#Totals],[commits]]</f>
        <v>4.6477904404246225E-6</v>
      </c>
      <c r="I8880" s="5">
        <f>Tabelle13[[#This Row],[%]]+I8879</f>
        <v>0.99922381899633228</v>
      </c>
      <c r="J8880" s="4">
        <f t="shared" si="309"/>
        <v>1.105583195135434E-4</v>
      </c>
      <c r="K8880" s="5">
        <f t="shared" si="310"/>
        <v>0.98153676064137185</v>
      </c>
    </row>
    <row r="8881" spans="1:11" x14ac:dyDescent="0.25">
      <c r="A8881" t="s">
        <v>17490</v>
      </c>
      <c r="C8881" t="s">
        <v>17491</v>
      </c>
      <c r="D8881" t="s">
        <v>5</v>
      </c>
      <c r="E8881" t="s">
        <v>6</v>
      </c>
      <c r="F8881" t="s">
        <v>334</v>
      </c>
      <c r="G8881">
        <v>1</v>
      </c>
      <c r="H8881" s="2">
        <f>Tabelle13[[#This Row],[commits]]/Tabelle13[[#Totals],[commits]]</f>
        <v>4.6477904404246225E-6</v>
      </c>
      <c r="I8881" s="5">
        <f>Tabelle13[[#This Row],[%]]+I8880</f>
        <v>0.99922846678677268</v>
      </c>
      <c r="J8881" s="4">
        <f t="shared" si="309"/>
        <v>1.105583195135434E-4</v>
      </c>
      <c r="K8881" s="5">
        <f t="shared" si="310"/>
        <v>0.98164731896088542</v>
      </c>
    </row>
    <row r="8882" spans="1:11" x14ac:dyDescent="0.25">
      <c r="A8882" t="s">
        <v>17492</v>
      </c>
      <c r="C8882" t="s">
        <v>17493</v>
      </c>
      <c r="D8882" t="s">
        <v>5</v>
      </c>
      <c r="E8882" t="s">
        <v>6</v>
      </c>
      <c r="F8882" t="s">
        <v>334</v>
      </c>
      <c r="G8882">
        <v>1</v>
      </c>
      <c r="H8882" s="2">
        <f>Tabelle13[[#This Row],[commits]]/Tabelle13[[#Totals],[commits]]</f>
        <v>4.6477904404246225E-6</v>
      </c>
      <c r="I8882" s="5">
        <f>Tabelle13[[#This Row],[%]]+I8881</f>
        <v>0.99923311457721309</v>
      </c>
      <c r="J8882" s="4">
        <f t="shared" si="309"/>
        <v>1.105583195135434E-4</v>
      </c>
      <c r="K8882" s="5">
        <f t="shared" si="310"/>
        <v>0.98175787728039898</v>
      </c>
    </row>
    <row r="8883" spans="1:11" x14ac:dyDescent="0.25">
      <c r="A8883" t="s">
        <v>17494</v>
      </c>
      <c r="C8883">
        <v>504427021</v>
      </c>
      <c r="D8883" t="s">
        <v>5</v>
      </c>
      <c r="E8883" t="s">
        <v>6</v>
      </c>
      <c r="F8883" t="s">
        <v>334</v>
      </c>
      <c r="G8883">
        <v>1</v>
      </c>
      <c r="H8883" s="2">
        <f>Tabelle13[[#This Row],[commits]]/Tabelle13[[#Totals],[commits]]</f>
        <v>4.6477904404246225E-6</v>
      </c>
      <c r="I8883" s="5">
        <f>Tabelle13[[#This Row],[%]]+I8882</f>
        <v>0.99923776236765349</v>
      </c>
      <c r="J8883" s="4">
        <f t="shared" si="309"/>
        <v>1.105583195135434E-4</v>
      </c>
      <c r="K8883" s="5">
        <f t="shared" si="310"/>
        <v>0.98186843559991255</v>
      </c>
    </row>
    <row r="8884" spans="1:11" x14ac:dyDescent="0.25">
      <c r="A8884" t="s">
        <v>17495</v>
      </c>
      <c r="C8884" t="s">
        <v>17496</v>
      </c>
      <c r="D8884" t="s">
        <v>5</v>
      </c>
      <c r="E8884" t="s">
        <v>6</v>
      </c>
      <c r="F8884" t="s">
        <v>334</v>
      </c>
      <c r="G8884">
        <v>1</v>
      </c>
      <c r="H8884" s="2">
        <f>Tabelle13[[#This Row],[commits]]/Tabelle13[[#Totals],[commits]]</f>
        <v>4.6477904404246225E-6</v>
      </c>
      <c r="I8884" s="5">
        <f>Tabelle13[[#This Row],[%]]+I8883</f>
        <v>0.9992424101580939</v>
      </c>
      <c r="J8884" s="4">
        <f t="shared" si="309"/>
        <v>1.105583195135434E-4</v>
      </c>
      <c r="K8884" s="5">
        <f t="shared" si="310"/>
        <v>0.98197899391942611</v>
      </c>
    </row>
    <row r="8885" spans="1:11" x14ac:dyDescent="0.25">
      <c r="A8885" t="s">
        <v>17497</v>
      </c>
      <c r="C8885" t="s">
        <v>17498</v>
      </c>
      <c r="D8885" t="s">
        <v>5</v>
      </c>
      <c r="E8885" t="s">
        <v>6</v>
      </c>
      <c r="F8885" t="s">
        <v>334</v>
      </c>
      <c r="G8885">
        <v>1</v>
      </c>
      <c r="H8885" s="2">
        <f>Tabelle13[[#This Row],[commits]]/Tabelle13[[#Totals],[commits]]</f>
        <v>4.6477904404246225E-6</v>
      </c>
      <c r="I8885" s="5">
        <f>Tabelle13[[#This Row],[%]]+I8884</f>
        <v>0.9992470579485343</v>
      </c>
      <c r="J8885" s="4">
        <f t="shared" si="309"/>
        <v>1.105583195135434E-4</v>
      </c>
      <c r="K8885" s="5">
        <f t="shared" si="310"/>
        <v>0.98208955223893968</v>
      </c>
    </row>
    <row r="8886" spans="1:11" x14ac:dyDescent="0.25">
      <c r="A8886" t="s">
        <v>17499</v>
      </c>
      <c r="C8886" t="s">
        <v>17500</v>
      </c>
      <c r="D8886" t="s">
        <v>5</v>
      </c>
      <c r="E8886" t="s">
        <v>6</v>
      </c>
      <c r="F8886" t="s">
        <v>334</v>
      </c>
      <c r="G8886">
        <v>1</v>
      </c>
      <c r="H8886" s="2">
        <f>Tabelle13[[#This Row],[commits]]/Tabelle13[[#Totals],[commits]]</f>
        <v>4.6477904404246225E-6</v>
      </c>
      <c r="I8886" s="5">
        <f>Tabelle13[[#This Row],[%]]+I8885</f>
        <v>0.9992517057389747</v>
      </c>
      <c r="J8886" s="4">
        <f t="shared" si="309"/>
        <v>1.105583195135434E-4</v>
      </c>
      <c r="K8886" s="5">
        <f t="shared" si="310"/>
        <v>0.98220011055845324</v>
      </c>
    </row>
    <row r="8887" spans="1:11" x14ac:dyDescent="0.25">
      <c r="A8887" t="s">
        <v>17501</v>
      </c>
      <c r="C8887" t="s">
        <v>17502</v>
      </c>
      <c r="D8887" t="s">
        <v>5</v>
      </c>
      <c r="E8887" t="s">
        <v>6</v>
      </c>
      <c r="F8887" t="s">
        <v>334</v>
      </c>
      <c r="G8887">
        <v>1</v>
      </c>
      <c r="H8887" s="2">
        <f>Tabelle13[[#This Row],[commits]]/Tabelle13[[#Totals],[commits]]</f>
        <v>4.6477904404246225E-6</v>
      </c>
      <c r="I8887" s="5">
        <f>Tabelle13[[#This Row],[%]]+I8886</f>
        <v>0.99925635352941511</v>
      </c>
      <c r="J8887" s="4">
        <f t="shared" si="309"/>
        <v>1.105583195135434E-4</v>
      </c>
      <c r="K8887" s="5">
        <f t="shared" si="310"/>
        <v>0.98231066887796681</v>
      </c>
    </row>
    <row r="8888" spans="1:11" x14ac:dyDescent="0.25">
      <c r="A8888" t="s">
        <v>17503</v>
      </c>
      <c r="C8888" t="s">
        <v>17504</v>
      </c>
      <c r="D8888" t="s">
        <v>5</v>
      </c>
      <c r="E8888" t="s">
        <v>6</v>
      </c>
      <c r="F8888" t="s">
        <v>334</v>
      </c>
      <c r="G8888">
        <v>1</v>
      </c>
      <c r="H8888" s="2">
        <f>Tabelle13[[#This Row],[commits]]/Tabelle13[[#Totals],[commits]]</f>
        <v>4.6477904404246225E-6</v>
      </c>
      <c r="I8888" s="5">
        <f>Tabelle13[[#This Row],[%]]+I8887</f>
        <v>0.99926100131985551</v>
      </c>
      <c r="J8888" s="4">
        <f t="shared" si="309"/>
        <v>1.105583195135434E-4</v>
      </c>
      <c r="K8888" s="5">
        <f t="shared" si="310"/>
        <v>0.98242122719748037</v>
      </c>
    </row>
    <row r="8889" spans="1:11" x14ac:dyDescent="0.25">
      <c r="A8889" t="s">
        <v>17505</v>
      </c>
      <c r="C8889" t="s">
        <v>17506</v>
      </c>
      <c r="D8889" t="s">
        <v>5</v>
      </c>
      <c r="E8889" t="s">
        <v>6</v>
      </c>
      <c r="F8889" t="s">
        <v>334</v>
      </c>
      <c r="G8889">
        <v>1</v>
      </c>
      <c r="H8889" s="2">
        <f>Tabelle13[[#This Row],[commits]]/Tabelle13[[#Totals],[commits]]</f>
        <v>4.6477904404246225E-6</v>
      </c>
      <c r="I8889" s="5">
        <f>Tabelle13[[#This Row],[%]]+I8888</f>
        <v>0.99926564911029592</v>
      </c>
      <c r="J8889" s="4">
        <f t="shared" si="309"/>
        <v>1.105583195135434E-4</v>
      </c>
      <c r="K8889" s="5">
        <f t="shared" si="310"/>
        <v>0.98253178551699394</v>
      </c>
    </row>
    <row r="8890" spans="1:11" x14ac:dyDescent="0.25">
      <c r="A8890" t="s">
        <v>17507</v>
      </c>
      <c r="C8890" t="s">
        <v>17508</v>
      </c>
      <c r="D8890" t="s">
        <v>5</v>
      </c>
      <c r="E8890" t="s">
        <v>6</v>
      </c>
      <c r="F8890" t="s">
        <v>334</v>
      </c>
      <c r="G8890">
        <v>1</v>
      </c>
      <c r="H8890" s="2">
        <f>Tabelle13[[#This Row],[commits]]/Tabelle13[[#Totals],[commits]]</f>
        <v>4.6477904404246225E-6</v>
      </c>
      <c r="I8890" s="5">
        <f>Tabelle13[[#This Row],[%]]+I8889</f>
        <v>0.99927029690073632</v>
      </c>
      <c r="J8890" s="4">
        <f t="shared" si="309"/>
        <v>1.105583195135434E-4</v>
      </c>
      <c r="K8890" s="5">
        <f t="shared" si="310"/>
        <v>0.9826423438365075</v>
      </c>
    </row>
    <row r="8891" spans="1:11" x14ac:dyDescent="0.25">
      <c r="A8891" t="s">
        <v>17509</v>
      </c>
      <c r="C8891" t="s">
        <v>17510</v>
      </c>
      <c r="D8891" t="s">
        <v>5</v>
      </c>
      <c r="E8891" t="s">
        <v>6</v>
      </c>
      <c r="F8891" t="s">
        <v>334</v>
      </c>
      <c r="G8891">
        <v>1</v>
      </c>
      <c r="H8891" s="2">
        <f>Tabelle13[[#This Row],[commits]]/Tabelle13[[#Totals],[commits]]</f>
        <v>4.6477904404246225E-6</v>
      </c>
      <c r="I8891" s="5">
        <f>Tabelle13[[#This Row],[%]]+I8890</f>
        <v>0.99927494469117673</v>
      </c>
      <c r="J8891" s="4">
        <f t="shared" si="309"/>
        <v>1.105583195135434E-4</v>
      </c>
      <c r="K8891" s="5">
        <f t="shared" si="310"/>
        <v>0.98275290215602107</v>
      </c>
    </row>
    <row r="8892" spans="1:11" x14ac:dyDescent="0.25">
      <c r="A8892" t="s">
        <v>17511</v>
      </c>
      <c r="C8892" t="s">
        <v>17512</v>
      </c>
      <c r="D8892" t="s">
        <v>5</v>
      </c>
      <c r="E8892" t="s">
        <v>6</v>
      </c>
      <c r="F8892" t="s">
        <v>334</v>
      </c>
      <c r="G8892">
        <v>1</v>
      </c>
      <c r="H8892" s="2">
        <f>Tabelle13[[#This Row],[commits]]/Tabelle13[[#Totals],[commits]]</f>
        <v>4.6477904404246225E-6</v>
      </c>
      <c r="I8892" s="5">
        <f>Tabelle13[[#This Row],[%]]+I8891</f>
        <v>0.99927959248161713</v>
      </c>
      <c r="J8892" s="4">
        <f t="shared" si="309"/>
        <v>1.105583195135434E-4</v>
      </c>
      <c r="K8892" s="5">
        <f t="shared" si="310"/>
        <v>0.98286346047553463</v>
      </c>
    </row>
    <row r="8893" spans="1:11" x14ac:dyDescent="0.25">
      <c r="A8893" t="s">
        <v>17513</v>
      </c>
      <c r="C8893" t="s">
        <v>17514</v>
      </c>
      <c r="D8893" t="s">
        <v>5</v>
      </c>
      <c r="E8893" t="s">
        <v>6</v>
      </c>
      <c r="F8893" t="s">
        <v>334</v>
      </c>
      <c r="G8893">
        <v>1</v>
      </c>
      <c r="H8893" s="2">
        <f>Tabelle13[[#This Row],[commits]]/Tabelle13[[#Totals],[commits]]</f>
        <v>4.6477904404246225E-6</v>
      </c>
      <c r="I8893" s="5">
        <f>Tabelle13[[#This Row],[%]]+I8892</f>
        <v>0.99928424027205753</v>
      </c>
      <c r="J8893" s="4">
        <f t="shared" si="309"/>
        <v>1.105583195135434E-4</v>
      </c>
      <c r="K8893" s="5">
        <f t="shared" si="310"/>
        <v>0.9829740187950482</v>
      </c>
    </row>
    <row r="8894" spans="1:11" x14ac:dyDescent="0.25">
      <c r="A8894" t="s">
        <v>17515</v>
      </c>
      <c r="C8894" t="s">
        <v>17516</v>
      </c>
      <c r="D8894" t="s">
        <v>5</v>
      </c>
      <c r="E8894" t="s">
        <v>6</v>
      </c>
      <c r="F8894" t="s">
        <v>334</v>
      </c>
      <c r="G8894">
        <v>1</v>
      </c>
      <c r="H8894" s="2">
        <f>Tabelle13[[#This Row],[commits]]/Tabelle13[[#Totals],[commits]]</f>
        <v>4.6477904404246225E-6</v>
      </c>
      <c r="I8894" s="5">
        <f>Tabelle13[[#This Row],[%]]+I8893</f>
        <v>0.99928888806249794</v>
      </c>
      <c r="J8894" s="4">
        <f t="shared" si="309"/>
        <v>1.105583195135434E-4</v>
      </c>
      <c r="K8894" s="5">
        <f t="shared" si="310"/>
        <v>0.98308457711456176</v>
      </c>
    </row>
    <row r="8895" spans="1:11" x14ac:dyDescent="0.25">
      <c r="A8895" t="s">
        <v>17517</v>
      </c>
      <c r="C8895" t="s">
        <v>17518</v>
      </c>
      <c r="D8895" t="s">
        <v>5</v>
      </c>
      <c r="E8895" t="s">
        <v>6</v>
      </c>
      <c r="F8895" t="s">
        <v>334</v>
      </c>
      <c r="G8895">
        <v>1</v>
      </c>
      <c r="H8895" s="2">
        <f>Tabelle13[[#This Row],[commits]]/Tabelle13[[#Totals],[commits]]</f>
        <v>4.6477904404246225E-6</v>
      </c>
      <c r="I8895" s="5">
        <f>Tabelle13[[#This Row],[%]]+I8894</f>
        <v>0.99929353585293834</v>
      </c>
      <c r="J8895" s="4">
        <f t="shared" si="309"/>
        <v>1.105583195135434E-4</v>
      </c>
      <c r="K8895" s="5">
        <f t="shared" si="310"/>
        <v>0.98319513543407533</v>
      </c>
    </row>
    <row r="8896" spans="1:11" x14ac:dyDescent="0.25">
      <c r="A8896" t="s">
        <v>17519</v>
      </c>
      <c r="C8896" t="s">
        <v>17520</v>
      </c>
      <c r="D8896" t="s">
        <v>5</v>
      </c>
      <c r="E8896" t="s">
        <v>6</v>
      </c>
      <c r="F8896" t="s">
        <v>334</v>
      </c>
      <c r="G8896">
        <v>1</v>
      </c>
      <c r="H8896" s="2">
        <f>Tabelle13[[#This Row],[commits]]/Tabelle13[[#Totals],[commits]]</f>
        <v>4.6477904404246225E-6</v>
      </c>
      <c r="I8896" s="5">
        <f>Tabelle13[[#This Row],[%]]+I8895</f>
        <v>0.99929818364337875</v>
      </c>
      <c r="J8896" s="4">
        <f t="shared" si="309"/>
        <v>1.105583195135434E-4</v>
      </c>
      <c r="K8896" s="5">
        <f t="shared" si="310"/>
        <v>0.98330569375358889</v>
      </c>
    </row>
    <row r="8897" spans="1:11" x14ac:dyDescent="0.25">
      <c r="A8897" t="s">
        <v>17521</v>
      </c>
      <c r="C8897" t="s">
        <v>17522</v>
      </c>
      <c r="D8897" t="s">
        <v>5</v>
      </c>
      <c r="E8897" t="s">
        <v>6</v>
      </c>
      <c r="F8897" t="s">
        <v>334</v>
      </c>
      <c r="G8897">
        <v>1</v>
      </c>
      <c r="H8897" s="2">
        <f>Tabelle13[[#This Row],[commits]]/Tabelle13[[#Totals],[commits]]</f>
        <v>4.6477904404246225E-6</v>
      </c>
      <c r="I8897" s="5">
        <f>Tabelle13[[#This Row],[%]]+I8896</f>
        <v>0.99930283143381915</v>
      </c>
      <c r="J8897" s="4">
        <f t="shared" si="309"/>
        <v>1.105583195135434E-4</v>
      </c>
      <c r="K8897" s="5">
        <f t="shared" si="310"/>
        <v>0.98341625207310246</v>
      </c>
    </row>
    <row r="8898" spans="1:11" x14ac:dyDescent="0.25">
      <c r="A8898" t="s">
        <v>17523</v>
      </c>
      <c r="C8898" t="s">
        <v>17524</v>
      </c>
      <c r="D8898" t="s">
        <v>17525</v>
      </c>
      <c r="E8898" t="s">
        <v>6</v>
      </c>
      <c r="F8898" t="s">
        <v>334</v>
      </c>
      <c r="G8898">
        <v>1</v>
      </c>
      <c r="H8898" s="2">
        <f>Tabelle13[[#This Row],[commits]]/Tabelle13[[#Totals],[commits]]</f>
        <v>4.6477904404246225E-6</v>
      </c>
      <c r="I8898" s="5">
        <f>Tabelle13[[#This Row],[%]]+I8897</f>
        <v>0.99930747922425955</v>
      </c>
      <c r="J8898" s="4">
        <f t="shared" si="309"/>
        <v>1.105583195135434E-4</v>
      </c>
      <c r="K8898" s="5">
        <f t="shared" si="310"/>
        <v>0.98352681039261602</v>
      </c>
    </row>
    <row r="8899" spans="1:11" x14ac:dyDescent="0.25">
      <c r="A8899" t="s">
        <v>17526</v>
      </c>
      <c r="C8899" t="s">
        <v>17527</v>
      </c>
      <c r="D8899" t="s">
        <v>5</v>
      </c>
      <c r="E8899" t="s">
        <v>6</v>
      </c>
      <c r="F8899" t="s">
        <v>334</v>
      </c>
      <c r="G8899">
        <v>1</v>
      </c>
      <c r="H8899" s="2">
        <f>Tabelle13[[#This Row],[commits]]/Tabelle13[[#Totals],[commits]]</f>
        <v>4.6477904404246225E-6</v>
      </c>
      <c r="I8899" s="5">
        <f>Tabelle13[[#This Row],[%]]+I8898</f>
        <v>0.99931212701469996</v>
      </c>
      <c r="J8899" s="4">
        <f t="shared" ref="J8899:J8962" si="311">1/9045</f>
        <v>1.105583195135434E-4</v>
      </c>
      <c r="K8899" s="5">
        <f t="shared" si="310"/>
        <v>0.98363736871212959</v>
      </c>
    </row>
    <row r="8900" spans="1:11" x14ac:dyDescent="0.25">
      <c r="A8900" t="s">
        <v>17528</v>
      </c>
      <c r="C8900" t="s">
        <v>17529</v>
      </c>
      <c r="D8900" t="s">
        <v>5</v>
      </c>
      <c r="E8900" t="s">
        <v>6</v>
      </c>
      <c r="F8900" t="s">
        <v>334</v>
      </c>
      <c r="G8900">
        <v>1</v>
      </c>
      <c r="H8900" s="2">
        <f>Tabelle13[[#This Row],[commits]]/Tabelle13[[#Totals],[commits]]</f>
        <v>4.6477904404246225E-6</v>
      </c>
      <c r="I8900" s="5">
        <f>Tabelle13[[#This Row],[%]]+I8899</f>
        <v>0.99931677480514036</v>
      </c>
      <c r="J8900" s="4">
        <f t="shared" si="311"/>
        <v>1.105583195135434E-4</v>
      </c>
      <c r="K8900" s="5">
        <f t="shared" si="310"/>
        <v>0.98374792703164315</v>
      </c>
    </row>
    <row r="8901" spans="1:11" x14ac:dyDescent="0.25">
      <c r="A8901" t="s">
        <v>17530</v>
      </c>
      <c r="C8901" t="s">
        <v>17531</v>
      </c>
      <c r="D8901" t="s">
        <v>5</v>
      </c>
      <c r="E8901" t="s">
        <v>6</v>
      </c>
      <c r="F8901" t="s">
        <v>334</v>
      </c>
      <c r="G8901">
        <v>1</v>
      </c>
      <c r="H8901" s="2">
        <f>Tabelle13[[#This Row],[commits]]/Tabelle13[[#Totals],[commits]]</f>
        <v>4.6477904404246225E-6</v>
      </c>
      <c r="I8901" s="5">
        <f>Tabelle13[[#This Row],[%]]+I8900</f>
        <v>0.99932142259558077</v>
      </c>
      <c r="J8901" s="4">
        <f t="shared" si="311"/>
        <v>1.105583195135434E-4</v>
      </c>
      <c r="K8901" s="5">
        <f t="shared" si="310"/>
        <v>0.98385848535115672</v>
      </c>
    </row>
    <row r="8902" spans="1:11" x14ac:dyDescent="0.25">
      <c r="A8902" t="s">
        <v>17532</v>
      </c>
      <c r="C8902" t="s">
        <v>17533</v>
      </c>
      <c r="D8902" t="s">
        <v>5</v>
      </c>
      <c r="E8902" t="s">
        <v>6</v>
      </c>
      <c r="F8902" t="s">
        <v>334</v>
      </c>
      <c r="G8902">
        <v>1</v>
      </c>
      <c r="H8902" s="2">
        <f>Tabelle13[[#This Row],[commits]]/Tabelle13[[#Totals],[commits]]</f>
        <v>4.6477904404246225E-6</v>
      </c>
      <c r="I8902" s="5">
        <f>Tabelle13[[#This Row],[%]]+I8901</f>
        <v>0.99932607038602117</v>
      </c>
      <c r="J8902" s="4">
        <f t="shared" si="311"/>
        <v>1.105583195135434E-4</v>
      </c>
      <c r="K8902" s="5">
        <f t="shared" ref="K8902:K8965" si="312">J8902+K8901</f>
        <v>0.98396904367067028</v>
      </c>
    </row>
    <row r="8903" spans="1:11" x14ac:dyDescent="0.25">
      <c r="A8903" t="s">
        <v>17534</v>
      </c>
      <c r="C8903" t="s">
        <v>17535</v>
      </c>
      <c r="D8903" t="s">
        <v>5</v>
      </c>
      <c r="E8903" t="s">
        <v>6</v>
      </c>
      <c r="F8903" t="s">
        <v>334</v>
      </c>
      <c r="G8903">
        <v>1</v>
      </c>
      <c r="H8903" s="2">
        <f>Tabelle13[[#This Row],[commits]]/Tabelle13[[#Totals],[commits]]</f>
        <v>4.6477904404246225E-6</v>
      </c>
      <c r="I8903" s="5">
        <f>Tabelle13[[#This Row],[%]]+I8902</f>
        <v>0.99933071817646157</v>
      </c>
      <c r="J8903" s="4">
        <f t="shared" si="311"/>
        <v>1.105583195135434E-4</v>
      </c>
      <c r="K8903" s="5">
        <f t="shared" si="312"/>
        <v>0.98407960199018385</v>
      </c>
    </row>
    <row r="8904" spans="1:11" x14ac:dyDescent="0.25">
      <c r="A8904" t="s">
        <v>17536</v>
      </c>
      <c r="C8904" t="s">
        <v>17537</v>
      </c>
      <c r="D8904" t="s">
        <v>17538</v>
      </c>
      <c r="E8904" t="s">
        <v>6</v>
      </c>
      <c r="F8904" t="s">
        <v>334</v>
      </c>
      <c r="G8904">
        <v>1</v>
      </c>
      <c r="H8904" s="2">
        <f>Tabelle13[[#This Row],[commits]]/Tabelle13[[#Totals],[commits]]</f>
        <v>4.6477904404246225E-6</v>
      </c>
      <c r="I8904" s="5">
        <f>Tabelle13[[#This Row],[%]]+I8903</f>
        <v>0.99933536596690198</v>
      </c>
      <c r="J8904" s="4">
        <f t="shared" si="311"/>
        <v>1.105583195135434E-4</v>
      </c>
      <c r="K8904" s="5">
        <f t="shared" si="312"/>
        <v>0.98419016030969741</v>
      </c>
    </row>
    <row r="8905" spans="1:11" x14ac:dyDescent="0.25">
      <c r="A8905" t="s">
        <v>17539</v>
      </c>
      <c r="C8905" t="s">
        <v>17540</v>
      </c>
      <c r="D8905" t="s">
        <v>5</v>
      </c>
      <c r="E8905" t="s">
        <v>6</v>
      </c>
      <c r="F8905" t="s">
        <v>334</v>
      </c>
      <c r="G8905">
        <v>1</v>
      </c>
      <c r="H8905" s="2">
        <f>Tabelle13[[#This Row],[commits]]/Tabelle13[[#Totals],[commits]]</f>
        <v>4.6477904404246225E-6</v>
      </c>
      <c r="I8905" s="5">
        <f>Tabelle13[[#This Row],[%]]+I8904</f>
        <v>0.99934001375734238</v>
      </c>
      <c r="J8905" s="4">
        <f t="shared" si="311"/>
        <v>1.105583195135434E-4</v>
      </c>
      <c r="K8905" s="5">
        <f t="shared" si="312"/>
        <v>0.98430071862921098</v>
      </c>
    </row>
    <row r="8906" spans="1:11" x14ac:dyDescent="0.25">
      <c r="A8906" t="s">
        <v>17541</v>
      </c>
      <c r="C8906" t="s">
        <v>17542</v>
      </c>
      <c r="D8906" t="s">
        <v>5</v>
      </c>
      <c r="E8906" t="s">
        <v>6</v>
      </c>
      <c r="F8906" t="s">
        <v>334</v>
      </c>
      <c r="G8906">
        <v>1</v>
      </c>
      <c r="H8906" s="2">
        <f>Tabelle13[[#This Row],[commits]]/Tabelle13[[#Totals],[commits]]</f>
        <v>4.6477904404246225E-6</v>
      </c>
      <c r="I8906" s="5">
        <f>Tabelle13[[#This Row],[%]]+I8905</f>
        <v>0.99934466154778279</v>
      </c>
      <c r="J8906" s="4">
        <f t="shared" si="311"/>
        <v>1.105583195135434E-4</v>
      </c>
      <c r="K8906" s="5">
        <f t="shared" si="312"/>
        <v>0.98441127694872455</v>
      </c>
    </row>
    <row r="8907" spans="1:11" x14ac:dyDescent="0.25">
      <c r="A8907" t="s">
        <v>17543</v>
      </c>
      <c r="C8907" t="s">
        <v>17544</v>
      </c>
      <c r="D8907" t="s">
        <v>5</v>
      </c>
      <c r="E8907" t="s">
        <v>6</v>
      </c>
      <c r="F8907" t="s">
        <v>334</v>
      </c>
      <c r="G8907">
        <v>1</v>
      </c>
      <c r="H8907" s="2">
        <f>Tabelle13[[#This Row],[commits]]/Tabelle13[[#Totals],[commits]]</f>
        <v>4.6477904404246225E-6</v>
      </c>
      <c r="I8907" s="5">
        <f>Tabelle13[[#This Row],[%]]+I8906</f>
        <v>0.99934930933822319</v>
      </c>
      <c r="J8907" s="4">
        <f t="shared" si="311"/>
        <v>1.105583195135434E-4</v>
      </c>
      <c r="K8907" s="5">
        <f t="shared" si="312"/>
        <v>0.98452183526823811</v>
      </c>
    </row>
    <row r="8908" spans="1:11" x14ac:dyDescent="0.25">
      <c r="A8908" t="s">
        <v>17545</v>
      </c>
      <c r="C8908">
        <v>569628556</v>
      </c>
      <c r="D8908" t="s">
        <v>5</v>
      </c>
      <c r="E8908" t="s">
        <v>6</v>
      </c>
      <c r="F8908" t="s">
        <v>334</v>
      </c>
      <c r="G8908">
        <v>1</v>
      </c>
      <c r="H8908" s="2">
        <f>Tabelle13[[#This Row],[commits]]/Tabelle13[[#Totals],[commits]]</f>
        <v>4.6477904404246225E-6</v>
      </c>
      <c r="I8908" s="5">
        <f>Tabelle13[[#This Row],[%]]+I8907</f>
        <v>0.99935395712866359</v>
      </c>
      <c r="J8908" s="4">
        <f t="shared" si="311"/>
        <v>1.105583195135434E-4</v>
      </c>
      <c r="K8908" s="5">
        <f t="shared" si="312"/>
        <v>0.98463239358775168</v>
      </c>
    </row>
    <row r="8909" spans="1:11" x14ac:dyDescent="0.25">
      <c r="A8909" t="s">
        <v>17546</v>
      </c>
      <c r="C8909" t="s">
        <v>17547</v>
      </c>
      <c r="D8909" t="s">
        <v>5</v>
      </c>
      <c r="E8909" t="s">
        <v>6</v>
      </c>
      <c r="F8909" t="s">
        <v>334</v>
      </c>
      <c r="G8909">
        <v>1</v>
      </c>
      <c r="H8909" s="2">
        <f>Tabelle13[[#This Row],[commits]]/Tabelle13[[#Totals],[commits]]</f>
        <v>4.6477904404246225E-6</v>
      </c>
      <c r="I8909" s="5">
        <f>Tabelle13[[#This Row],[%]]+I8908</f>
        <v>0.999358604919104</v>
      </c>
      <c r="J8909" s="4">
        <f t="shared" si="311"/>
        <v>1.105583195135434E-4</v>
      </c>
      <c r="K8909" s="5">
        <f t="shared" si="312"/>
        <v>0.98474295190726524</v>
      </c>
    </row>
    <row r="8910" spans="1:11" x14ac:dyDescent="0.25">
      <c r="A8910" t="s">
        <v>17548</v>
      </c>
      <c r="C8910" t="s">
        <v>17549</v>
      </c>
      <c r="D8910" t="s">
        <v>5</v>
      </c>
      <c r="E8910" t="s">
        <v>6</v>
      </c>
      <c r="F8910" t="s">
        <v>334</v>
      </c>
      <c r="G8910">
        <v>1</v>
      </c>
      <c r="H8910" s="2">
        <f>Tabelle13[[#This Row],[commits]]/Tabelle13[[#Totals],[commits]]</f>
        <v>4.6477904404246225E-6</v>
      </c>
      <c r="I8910" s="5">
        <f>Tabelle13[[#This Row],[%]]+I8909</f>
        <v>0.9993632527095444</v>
      </c>
      <c r="J8910" s="4">
        <f t="shared" si="311"/>
        <v>1.105583195135434E-4</v>
      </c>
      <c r="K8910" s="5">
        <f t="shared" si="312"/>
        <v>0.98485351022677881</v>
      </c>
    </row>
    <row r="8911" spans="1:11" x14ac:dyDescent="0.25">
      <c r="A8911" t="s">
        <v>17550</v>
      </c>
      <c r="C8911">
        <v>1219571443</v>
      </c>
      <c r="D8911" t="s">
        <v>5</v>
      </c>
      <c r="E8911" t="s">
        <v>6</v>
      </c>
      <c r="F8911" t="s">
        <v>334</v>
      </c>
      <c r="G8911">
        <v>1</v>
      </c>
      <c r="H8911" s="2">
        <f>Tabelle13[[#This Row],[commits]]/Tabelle13[[#Totals],[commits]]</f>
        <v>4.6477904404246225E-6</v>
      </c>
      <c r="I8911" s="5">
        <f>Tabelle13[[#This Row],[%]]+I8910</f>
        <v>0.99936790049998481</v>
      </c>
      <c r="J8911" s="4">
        <f t="shared" si="311"/>
        <v>1.105583195135434E-4</v>
      </c>
      <c r="K8911" s="5">
        <f t="shared" si="312"/>
        <v>0.98496406854629237</v>
      </c>
    </row>
    <row r="8912" spans="1:11" x14ac:dyDescent="0.25">
      <c r="A8912" t="s">
        <v>17551</v>
      </c>
      <c r="C8912" t="s">
        <v>17552</v>
      </c>
      <c r="D8912" t="s">
        <v>5</v>
      </c>
      <c r="E8912" t="s">
        <v>6</v>
      </c>
      <c r="F8912" t="s">
        <v>334</v>
      </c>
      <c r="G8912">
        <v>1</v>
      </c>
      <c r="H8912" s="2">
        <f>Tabelle13[[#This Row],[commits]]/Tabelle13[[#Totals],[commits]]</f>
        <v>4.6477904404246225E-6</v>
      </c>
      <c r="I8912" s="5">
        <f>Tabelle13[[#This Row],[%]]+I8911</f>
        <v>0.99937254829042521</v>
      </c>
      <c r="J8912" s="4">
        <f t="shared" si="311"/>
        <v>1.105583195135434E-4</v>
      </c>
      <c r="K8912" s="5">
        <f t="shared" si="312"/>
        <v>0.98507462686580594</v>
      </c>
    </row>
    <row r="8913" spans="1:11" x14ac:dyDescent="0.25">
      <c r="A8913" t="s">
        <v>17553</v>
      </c>
      <c r="C8913" t="s">
        <v>17554</v>
      </c>
      <c r="D8913" t="s">
        <v>5</v>
      </c>
      <c r="E8913" t="s">
        <v>6</v>
      </c>
      <c r="F8913" t="s">
        <v>334</v>
      </c>
      <c r="G8913">
        <v>1</v>
      </c>
      <c r="H8913" s="2">
        <f>Tabelle13[[#This Row],[commits]]/Tabelle13[[#Totals],[commits]]</f>
        <v>4.6477904404246225E-6</v>
      </c>
      <c r="I8913" s="5">
        <f>Tabelle13[[#This Row],[%]]+I8912</f>
        <v>0.99937719608086562</v>
      </c>
      <c r="J8913" s="4">
        <f t="shared" si="311"/>
        <v>1.105583195135434E-4</v>
      </c>
      <c r="K8913" s="5">
        <f t="shared" si="312"/>
        <v>0.9851851851853195</v>
      </c>
    </row>
    <row r="8914" spans="1:11" x14ac:dyDescent="0.25">
      <c r="A8914" t="s">
        <v>17555</v>
      </c>
      <c r="C8914" t="s">
        <v>17556</v>
      </c>
      <c r="D8914" t="s">
        <v>5</v>
      </c>
      <c r="E8914" t="s">
        <v>6</v>
      </c>
      <c r="F8914" t="s">
        <v>334</v>
      </c>
      <c r="G8914">
        <v>1</v>
      </c>
      <c r="H8914" s="2">
        <f>Tabelle13[[#This Row],[commits]]/Tabelle13[[#Totals],[commits]]</f>
        <v>4.6477904404246225E-6</v>
      </c>
      <c r="I8914" s="5">
        <f>Tabelle13[[#This Row],[%]]+I8913</f>
        <v>0.99938184387130602</v>
      </c>
      <c r="J8914" s="4">
        <f t="shared" si="311"/>
        <v>1.105583195135434E-4</v>
      </c>
      <c r="K8914" s="5">
        <f t="shared" si="312"/>
        <v>0.98529574350483307</v>
      </c>
    </row>
    <row r="8915" spans="1:11" x14ac:dyDescent="0.25">
      <c r="A8915" t="s">
        <v>17557</v>
      </c>
      <c r="C8915" t="s">
        <v>17558</v>
      </c>
      <c r="D8915" t="s">
        <v>5</v>
      </c>
      <c r="E8915" t="s">
        <v>6</v>
      </c>
      <c r="F8915" t="s">
        <v>334</v>
      </c>
      <c r="G8915">
        <v>1</v>
      </c>
      <c r="H8915" s="2">
        <f>Tabelle13[[#This Row],[commits]]/Tabelle13[[#Totals],[commits]]</f>
        <v>4.6477904404246225E-6</v>
      </c>
      <c r="I8915" s="5">
        <f>Tabelle13[[#This Row],[%]]+I8914</f>
        <v>0.99938649166174642</v>
      </c>
      <c r="J8915" s="4">
        <f t="shared" si="311"/>
        <v>1.105583195135434E-4</v>
      </c>
      <c r="K8915" s="5">
        <f t="shared" si="312"/>
        <v>0.98540630182434663</v>
      </c>
    </row>
    <row r="8916" spans="1:11" x14ac:dyDescent="0.25">
      <c r="A8916" t="s">
        <v>17559</v>
      </c>
      <c r="C8916" t="s">
        <v>17560</v>
      </c>
      <c r="D8916" t="s">
        <v>17561</v>
      </c>
      <c r="E8916" t="s">
        <v>6</v>
      </c>
      <c r="F8916" t="s">
        <v>334</v>
      </c>
      <c r="G8916">
        <v>1</v>
      </c>
      <c r="H8916" s="2">
        <f>Tabelle13[[#This Row],[commits]]/Tabelle13[[#Totals],[commits]]</f>
        <v>4.6477904404246225E-6</v>
      </c>
      <c r="I8916" s="5">
        <f>Tabelle13[[#This Row],[%]]+I8915</f>
        <v>0.99939113945218683</v>
      </c>
      <c r="J8916" s="4">
        <f t="shared" si="311"/>
        <v>1.105583195135434E-4</v>
      </c>
      <c r="K8916" s="5">
        <f t="shared" si="312"/>
        <v>0.9855168601438602</v>
      </c>
    </row>
    <row r="8917" spans="1:11" x14ac:dyDescent="0.25">
      <c r="A8917" t="s">
        <v>17562</v>
      </c>
      <c r="C8917" t="s">
        <v>17563</v>
      </c>
      <c r="D8917" t="s">
        <v>5</v>
      </c>
      <c r="E8917" t="s">
        <v>6</v>
      </c>
      <c r="F8917" t="s">
        <v>334</v>
      </c>
      <c r="G8917">
        <v>1</v>
      </c>
      <c r="H8917" s="2">
        <f>Tabelle13[[#This Row],[commits]]/Tabelle13[[#Totals],[commits]]</f>
        <v>4.6477904404246225E-6</v>
      </c>
      <c r="I8917" s="5">
        <f>Tabelle13[[#This Row],[%]]+I8916</f>
        <v>0.99939578724262723</v>
      </c>
      <c r="J8917" s="4">
        <f t="shared" si="311"/>
        <v>1.105583195135434E-4</v>
      </c>
      <c r="K8917" s="5">
        <f t="shared" si="312"/>
        <v>0.98562741846337376</v>
      </c>
    </row>
    <row r="8918" spans="1:11" x14ac:dyDescent="0.25">
      <c r="A8918" t="s">
        <v>17564</v>
      </c>
      <c r="C8918" t="s">
        <v>17565</v>
      </c>
      <c r="D8918" t="s">
        <v>5</v>
      </c>
      <c r="E8918" t="s">
        <v>6</v>
      </c>
      <c r="F8918" t="s">
        <v>334</v>
      </c>
      <c r="G8918">
        <v>1</v>
      </c>
      <c r="H8918" s="2">
        <f>Tabelle13[[#This Row],[commits]]/Tabelle13[[#Totals],[commits]]</f>
        <v>4.6477904404246225E-6</v>
      </c>
      <c r="I8918" s="5">
        <f>Tabelle13[[#This Row],[%]]+I8917</f>
        <v>0.99940043503306764</v>
      </c>
      <c r="J8918" s="4">
        <f t="shared" si="311"/>
        <v>1.105583195135434E-4</v>
      </c>
      <c r="K8918" s="5">
        <f t="shared" si="312"/>
        <v>0.98573797678288733</v>
      </c>
    </row>
    <row r="8919" spans="1:11" x14ac:dyDescent="0.25">
      <c r="A8919" t="s">
        <v>17566</v>
      </c>
      <c r="C8919" t="s">
        <v>17567</v>
      </c>
      <c r="D8919" t="s">
        <v>5</v>
      </c>
      <c r="E8919" t="s">
        <v>6</v>
      </c>
      <c r="F8919" t="s">
        <v>334</v>
      </c>
      <c r="G8919">
        <v>1</v>
      </c>
      <c r="H8919" s="2">
        <f>Tabelle13[[#This Row],[commits]]/Tabelle13[[#Totals],[commits]]</f>
        <v>4.6477904404246225E-6</v>
      </c>
      <c r="I8919" s="5">
        <f>Tabelle13[[#This Row],[%]]+I8918</f>
        <v>0.99940508282350804</v>
      </c>
      <c r="J8919" s="4">
        <f t="shared" si="311"/>
        <v>1.105583195135434E-4</v>
      </c>
      <c r="K8919" s="5">
        <f t="shared" si="312"/>
        <v>0.98584853510240089</v>
      </c>
    </row>
    <row r="8920" spans="1:11" x14ac:dyDescent="0.25">
      <c r="A8920" t="s">
        <v>17568</v>
      </c>
      <c r="C8920" t="s">
        <v>17569</v>
      </c>
      <c r="D8920" t="s">
        <v>5</v>
      </c>
      <c r="E8920" t="s">
        <v>6</v>
      </c>
      <c r="F8920" t="s">
        <v>334</v>
      </c>
      <c r="G8920">
        <v>1</v>
      </c>
      <c r="H8920" s="2">
        <f>Tabelle13[[#This Row],[commits]]/Tabelle13[[#Totals],[commits]]</f>
        <v>4.6477904404246225E-6</v>
      </c>
      <c r="I8920" s="5">
        <f>Tabelle13[[#This Row],[%]]+I8919</f>
        <v>0.99940973061394844</v>
      </c>
      <c r="J8920" s="4">
        <f t="shared" si="311"/>
        <v>1.105583195135434E-4</v>
      </c>
      <c r="K8920" s="5">
        <f t="shared" si="312"/>
        <v>0.98595909342191446</v>
      </c>
    </row>
    <row r="8921" spans="1:11" x14ac:dyDescent="0.25">
      <c r="A8921" t="s">
        <v>17570</v>
      </c>
      <c r="C8921" t="s">
        <v>17571</v>
      </c>
      <c r="D8921" t="s">
        <v>5</v>
      </c>
      <c r="E8921" t="s">
        <v>6</v>
      </c>
      <c r="F8921" t="s">
        <v>334</v>
      </c>
      <c r="G8921">
        <v>1</v>
      </c>
      <c r="H8921" s="2">
        <f>Tabelle13[[#This Row],[commits]]/Tabelle13[[#Totals],[commits]]</f>
        <v>4.6477904404246225E-6</v>
      </c>
      <c r="I8921" s="5">
        <f>Tabelle13[[#This Row],[%]]+I8920</f>
        <v>0.99941437840438885</v>
      </c>
      <c r="J8921" s="4">
        <f t="shared" si="311"/>
        <v>1.105583195135434E-4</v>
      </c>
      <c r="K8921" s="5">
        <f t="shared" si="312"/>
        <v>0.98606965174142802</v>
      </c>
    </row>
    <row r="8922" spans="1:11" x14ac:dyDescent="0.25">
      <c r="A8922" t="s">
        <v>17572</v>
      </c>
      <c r="C8922" t="s">
        <v>17573</v>
      </c>
      <c r="D8922" t="s">
        <v>5</v>
      </c>
      <c r="E8922" t="s">
        <v>6</v>
      </c>
      <c r="F8922" t="s">
        <v>334</v>
      </c>
      <c r="G8922">
        <v>1</v>
      </c>
      <c r="H8922" s="2">
        <f>Tabelle13[[#This Row],[commits]]/Tabelle13[[#Totals],[commits]]</f>
        <v>4.6477904404246225E-6</v>
      </c>
      <c r="I8922" s="5">
        <f>Tabelle13[[#This Row],[%]]+I8921</f>
        <v>0.99941902619482925</v>
      </c>
      <c r="J8922" s="4">
        <f t="shared" si="311"/>
        <v>1.105583195135434E-4</v>
      </c>
      <c r="K8922" s="5">
        <f t="shared" si="312"/>
        <v>0.98618021006094159</v>
      </c>
    </row>
    <row r="8923" spans="1:11" x14ac:dyDescent="0.25">
      <c r="A8923" t="s">
        <v>17574</v>
      </c>
      <c r="C8923" t="s">
        <v>17575</v>
      </c>
      <c r="D8923" t="s">
        <v>5</v>
      </c>
      <c r="E8923" t="s">
        <v>6</v>
      </c>
      <c r="F8923" t="s">
        <v>334</v>
      </c>
      <c r="G8923">
        <v>1</v>
      </c>
      <c r="H8923" s="2">
        <f>Tabelle13[[#This Row],[commits]]/Tabelle13[[#Totals],[commits]]</f>
        <v>4.6477904404246225E-6</v>
      </c>
      <c r="I8923" s="5">
        <f>Tabelle13[[#This Row],[%]]+I8922</f>
        <v>0.99942367398526966</v>
      </c>
      <c r="J8923" s="4">
        <f t="shared" si="311"/>
        <v>1.105583195135434E-4</v>
      </c>
      <c r="K8923" s="5">
        <f t="shared" si="312"/>
        <v>0.98629076838045515</v>
      </c>
    </row>
    <row r="8924" spans="1:11" x14ac:dyDescent="0.25">
      <c r="A8924" t="s">
        <v>17576</v>
      </c>
      <c r="C8924" t="s">
        <v>17577</v>
      </c>
      <c r="D8924" t="s">
        <v>5</v>
      </c>
      <c r="E8924" t="s">
        <v>6</v>
      </c>
      <c r="F8924" t="s">
        <v>334</v>
      </c>
      <c r="G8924">
        <v>1</v>
      </c>
      <c r="H8924" s="2">
        <f>Tabelle13[[#This Row],[commits]]/Tabelle13[[#Totals],[commits]]</f>
        <v>4.6477904404246225E-6</v>
      </c>
      <c r="I8924" s="5">
        <f>Tabelle13[[#This Row],[%]]+I8923</f>
        <v>0.99942832177571006</v>
      </c>
      <c r="J8924" s="4">
        <f t="shared" si="311"/>
        <v>1.105583195135434E-4</v>
      </c>
      <c r="K8924" s="5">
        <f t="shared" si="312"/>
        <v>0.98640132669996872</v>
      </c>
    </row>
    <row r="8925" spans="1:11" x14ac:dyDescent="0.25">
      <c r="A8925" t="s">
        <v>17578</v>
      </c>
      <c r="C8925" t="s">
        <v>17579</v>
      </c>
      <c r="D8925" t="s">
        <v>5</v>
      </c>
      <c r="E8925" t="s">
        <v>6</v>
      </c>
      <c r="F8925" t="s">
        <v>334</v>
      </c>
      <c r="G8925">
        <v>1</v>
      </c>
      <c r="H8925" s="2">
        <f>Tabelle13[[#This Row],[commits]]/Tabelle13[[#Totals],[commits]]</f>
        <v>4.6477904404246225E-6</v>
      </c>
      <c r="I8925" s="5">
        <f>Tabelle13[[#This Row],[%]]+I8924</f>
        <v>0.99943296956615046</v>
      </c>
      <c r="J8925" s="4">
        <f t="shared" si="311"/>
        <v>1.105583195135434E-4</v>
      </c>
      <c r="K8925" s="5">
        <f t="shared" si="312"/>
        <v>0.98651188501948228</v>
      </c>
    </row>
    <row r="8926" spans="1:11" x14ac:dyDescent="0.25">
      <c r="A8926" t="s">
        <v>17580</v>
      </c>
      <c r="C8926" t="s">
        <v>17581</v>
      </c>
      <c r="D8926" t="s">
        <v>5</v>
      </c>
      <c r="E8926" t="s">
        <v>6</v>
      </c>
      <c r="F8926" t="s">
        <v>334</v>
      </c>
      <c r="G8926">
        <v>1</v>
      </c>
      <c r="H8926" s="2">
        <f>Tabelle13[[#This Row],[commits]]/Tabelle13[[#Totals],[commits]]</f>
        <v>4.6477904404246225E-6</v>
      </c>
      <c r="I8926" s="5">
        <f>Tabelle13[[#This Row],[%]]+I8925</f>
        <v>0.99943761735659087</v>
      </c>
      <c r="J8926" s="4">
        <f t="shared" si="311"/>
        <v>1.105583195135434E-4</v>
      </c>
      <c r="K8926" s="5">
        <f t="shared" si="312"/>
        <v>0.98662244333899585</v>
      </c>
    </row>
    <row r="8927" spans="1:11" x14ac:dyDescent="0.25">
      <c r="A8927" t="s">
        <v>17582</v>
      </c>
      <c r="C8927" t="s">
        <v>17583</v>
      </c>
      <c r="D8927" t="s">
        <v>5</v>
      </c>
      <c r="E8927" t="s">
        <v>6</v>
      </c>
      <c r="F8927" t="s">
        <v>334</v>
      </c>
      <c r="G8927">
        <v>1</v>
      </c>
      <c r="H8927" s="2">
        <f>Tabelle13[[#This Row],[commits]]/Tabelle13[[#Totals],[commits]]</f>
        <v>4.6477904404246225E-6</v>
      </c>
      <c r="I8927" s="5">
        <f>Tabelle13[[#This Row],[%]]+I8926</f>
        <v>0.99944226514703127</v>
      </c>
      <c r="J8927" s="4">
        <f t="shared" si="311"/>
        <v>1.105583195135434E-4</v>
      </c>
      <c r="K8927" s="5">
        <f t="shared" si="312"/>
        <v>0.98673300165850941</v>
      </c>
    </row>
    <row r="8928" spans="1:11" x14ac:dyDescent="0.25">
      <c r="A8928" t="s">
        <v>17584</v>
      </c>
      <c r="C8928" t="s">
        <v>17585</v>
      </c>
      <c r="D8928" t="s">
        <v>5</v>
      </c>
      <c r="E8928" t="s">
        <v>6</v>
      </c>
      <c r="F8928" t="s">
        <v>334</v>
      </c>
      <c r="G8928">
        <v>1</v>
      </c>
      <c r="H8928" s="2">
        <f>Tabelle13[[#This Row],[commits]]/Tabelle13[[#Totals],[commits]]</f>
        <v>4.6477904404246225E-6</v>
      </c>
      <c r="I8928" s="5">
        <f>Tabelle13[[#This Row],[%]]+I8927</f>
        <v>0.99944691293747168</v>
      </c>
      <c r="J8928" s="4">
        <f t="shared" si="311"/>
        <v>1.105583195135434E-4</v>
      </c>
      <c r="K8928" s="5">
        <f t="shared" si="312"/>
        <v>0.98684355997802298</v>
      </c>
    </row>
    <row r="8929" spans="1:11" x14ac:dyDescent="0.25">
      <c r="A8929" t="s">
        <v>17586</v>
      </c>
      <c r="C8929" t="s">
        <v>17587</v>
      </c>
      <c r="D8929" t="s">
        <v>5</v>
      </c>
      <c r="E8929" t="s">
        <v>6</v>
      </c>
      <c r="F8929" t="s">
        <v>334</v>
      </c>
      <c r="G8929">
        <v>1</v>
      </c>
      <c r="H8929" s="2">
        <f>Tabelle13[[#This Row],[commits]]/Tabelle13[[#Totals],[commits]]</f>
        <v>4.6477904404246225E-6</v>
      </c>
      <c r="I8929" s="5">
        <f>Tabelle13[[#This Row],[%]]+I8928</f>
        <v>0.99945156072791208</v>
      </c>
      <c r="J8929" s="4">
        <f t="shared" si="311"/>
        <v>1.105583195135434E-4</v>
      </c>
      <c r="K8929" s="5">
        <f t="shared" si="312"/>
        <v>0.98695411829753654</v>
      </c>
    </row>
    <row r="8930" spans="1:11" x14ac:dyDescent="0.25">
      <c r="A8930" t="s">
        <v>17588</v>
      </c>
      <c r="C8930" t="s">
        <v>17589</v>
      </c>
      <c r="D8930" t="s">
        <v>5</v>
      </c>
      <c r="E8930" t="s">
        <v>6</v>
      </c>
      <c r="F8930" t="s">
        <v>334</v>
      </c>
      <c r="G8930">
        <v>1</v>
      </c>
      <c r="H8930" s="2">
        <f>Tabelle13[[#This Row],[commits]]/Tabelle13[[#Totals],[commits]]</f>
        <v>4.6477904404246225E-6</v>
      </c>
      <c r="I8930" s="5">
        <f>Tabelle13[[#This Row],[%]]+I8929</f>
        <v>0.99945620851835248</v>
      </c>
      <c r="J8930" s="4">
        <f t="shared" si="311"/>
        <v>1.105583195135434E-4</v>
      </c>
      <c r="K8930" s="5">
        <f t="shared" si="312"/>
        <v>0.98706467661705011</v>
      </c>
    </row>
    <row r="8931" spans="1:11" x14ac:dyDescent="0.25">
      <c r="A8931" t="s">
        <v>17590</v>
      </c>
      <c r="C8931" t="s">
        <v>17591</v>
      </c>
      <c r="D8931" t="s">
        <v>17592</v>
      </c>
      <c r="E8931" t="s">
        <v>6</v>
      </c>
      <c r="F8931" t="s">
        <v>334</v>
      </c>
      <c r="G8931">
        <v>1</v>
      </c>
      <c r="H8931" s="2">
        <f>Tabelle13[[#This Row],[commits]]/Tabelle13[[#Totals],[commits]]</f>
        <v>4.6477904404246225E-6</v>
      </c>
      <c r="I8931" s="5">
        <f>Tabelle13[[#This Row],[%]]+I8930</f>
        <v>0.99946085630879289</v>
      </c>
      <c r="J8931" s="4">
        <f t="shared" si="311"/>
        <v>1.105583195135434E-4</v>
      </c>
      <c r="K8931" s="5">
        <f t="shared" si="312"/>
        <v>0.98717523493656367</v>
      </c>
    </row>
    <row r="8932" spans="1:11" x14ac:dyDescent="0.25">
      <c r="A8932" t="s">
        <v>17593</v>
      </c>
      <c r="C8932" t="s">
        <v>17594</v>
      </c>
      <c r="D8932" t="s">
        <v>17595</v>
      </c>
      <c r="E8932" t="s">
        <v>6</v>
      </c>
      <c r="F8932" t="s">
        <v>334</v>
      </c>
      <c r="G8932">
        <v>1</v>
      </c>
      <c r="H8932" s="2">
        <f>Tabelle13[[#This Row],[commits]]/Tabelle13[[#Totals],[commits]]</f>
        <v>4.6477904404246225E-6</v>
      </c>
      <c r="I8932" s="5">
        <f>Tabelle13[[#This Row],[%]]+I8931</f>
        <v>0.99946550409923329</v>
      </c>
      <c r="J8932" s="4">
        <f t="shared" si="311"/>
        <v>1.105583195135434E-4</v>
      </c>
      <c r="K8932" s="5">
        <f t="shared" si="312"/>
        <v>0.98728579325607724</v>
      </c>
    </row>
    <row r="8933" spans="1:11" x14ac:dyDescent="0.25">
      <c r="A8933" t="s">
        <v>17596</v>
      </c>
      <c r="C8933" t="s">
        <v>17597</v>
      </c>
      <c r="D8933" t="s">
        <v>5</v>
      </c>
      <c r="E8933" t="s">
        <v>6</v>
      </c>
      <c r="F8933" t="s">
        <v>334</v>
      </c>
      <c r="G8933">
        <v>1</v>
      </c>
      <c r="H8933" s="2">
        <f>Tabelle13[[#This Row],[commits]]/Tabelle13[[#Totals],[commits]]</f>
        <v>4.6477904404246225E-6</v>
      </c>
      <c r="I8933" s="5">
        <f>Tabelle13[[#This Row],[%]]+I8932</f>
        <v>0.9994701518896737</v>
      </c>
      <c r="J8933" s="4">
        <f t="shared" si="311"/>
        <v>1.105583195135434E-4</v>
      </c>
      <c r="K8933" s="5">
        <f t="shared" si="312"/>
        <v>0.9873963515755908</v>
      </c>
    </row>
    <row r="8934" spans="1:11" x14ac:dyDescent="0.25">
      <c r="A8934" t="s">
        <v>17598</v>
      </c>
      <c r="C8934" t="s">
        <v>532</v>
      </c>
      <c r="D8934" t="s">
        <v>5</v>
      </c>
      <c r="E8934" t="s">
        <v>6</v>
      </c>
      <c r="F8934" t="s">
        <v>334</v>
      </c>
      <c r="G8934">
        <v>1</v>
      </c>
      <c r="H8934" s="2">
        <f>Tabelle13[[#This Row],[commits]]/Tabelle13[[#Totals],[commits]]</f>
        <v>4.6477904404246225E-6</v>
      </c>
      <c r="I8934" s="5">
        <f>Tabelle13[[#This Row],[%]]+I8933</f>
        <v>0.9994747996801141</v>
      </c>
      <c r="J8934" s="4">
        <f t="shared" si="311"/>
        <v>1.105583195135434E-4</v>
      </c>
      <c r="K8934" s="5">
        <f t="shared" si="312"/>
        <v>0.98750690989510437</v>
      </c>
    </row>
    <row r="8935" spans="1:11" x14ac:dyDescent="0.25">
      <c r="A8935" t="s">
        <v>17599</v>
      </c>
      <c r="C8935">
        <v>384709054</v>
      </c>
      <c r="D8935" t="s">
        <v>5</v>
      </c>
      <c r="E8935" t="s">
        <v>6</v>
      </c>
      <c r="F8935" t="s">
        <v>334</v>
      </c>
      <c r="G8935">
        <v>1</v>
      </c>
      <c r="H8935" s="2">
        <f>Tabelle13[[#This Row],[commits]]/Tabelle13[[#Totals],[commits]]</f>
        <v>4.6477904404246225E-6</v>
      </c>
      <c r="I8935" s="5">
        <f>Tabelle13[[#This Row],[%]]+I8934</f>
        <v>0.99947944747055451</v>
      </c>
      <c r="J8935" s="4">
        <f t="shared" si="311"/>
        <v>1.105583195135434E-4</v>
      </c>
      <c r="K8935" s="5">
        <f t="shared" si="312"/>
        <v>0.98761746821461793</v>
      </c>
    </row>
    <row r="8936" spans="1:11" x14ac:dyDescent="0.25">
      <c r="A8936" t="s">
        <v>17600</v>
      </c>
      <c r="C8936" t="s">
        <v>17601</v>
      </c>
      <c r="D8936" t="s">
        <v>5</v>
      </c>
      <c r="E8936" t="s">
        <v>6</v>
      </c>
      <c r="F8936" t="s">
        <v>334</v>
      </c>
      <c r="G8936">
        <v>1</v>
      </c>
      <c r="H8936" s="2">
        <f>Tabelle13[[#This Row],[commits]]/Tabelle13[[#Totals],[commits]]</f>
        <v>4.6477904404246225E-6</v>
      </c>
      <c r="I8936" s="5">
        <f>Tabelle13[[#This Row],[%]]+I8935</f>
        <v>0.99948409526099491</v>
      </c>
      <c r="J8936" s="4">
        <f t="shared" si="311"/>
        <v>1.105583195135434E-4</v>
      </c>
      <c r="K8936" s="5">
        <f t="shared" si="312"/>
        <v>0.9877280265341315</v>
      </c>
    </row>
    <row r="8937" spans="1:11" x14ac:dyDescent="0.25">
      <c r="A8937" t="s">
        <v>17602</v>
      </c>
      <c r="C8937" t="s">
        <v>17603</v>
      </c>
      <c r="D8937" t="s">
        <v>5</v>
      </c>
      <c r="E8937" t="s">
        <v>6</v>
      </c>
      <c r="F8937" t="s">
        <v>334</v>
      </c>
      <c r="G8937">
        <v>1</v>
      </c>
      <c r="H8937" s="2">
        <f>Tabelle13[[#This Row],[commits]]/Tabelle13[[#Totals],[commits]]</f>
        <v>4.6477904404246225E-6</v>
      </c>
      <c r="I8937" s="5">
        <f>Tabelle13[[#This Row],[%]]+I8936</f>
        <v>0.99948874305143531</v>
      </c>
      <c r="J8937" s="4">
        <f t="shared" si="311"/>
        <v>1.105583195135434E-4</v>
      </c>
      <c r="K8937" s="5">
        <f t="shared" si="312"/>
        <v>0.98783858485364506</v>
      </c>
    </row>
    <row r="8938" spans="1:11" x14ac:dyDescent="0.25">
      <c r="A8938" t="s">
        <v>17604</v>
      </c>
      <c r="C8938" t="s">
        <v>17605</v>
      </c>
      <c r="D8938" t="s">
        <v>5</v>
      </c>
      <c r="E8938" t="s">
        <v>6</v>
      </c>
      <c r="F8938" t="s">
        <v>334</v>
      </c>
      <c r="G8938">
        <v>1</v>
      </c>
      <c r="H8938" s="2">
        <f>Tabelle13[[#This Row],[commits]]/Tabelle13[[#Totals],[commits]]</f>
        <v>4.6477904404246225E-6</v>
      </c>
      <c r="I8938" s="5">
        <f>Tabelle13[[#This Row],[%]]+I8937</f>
        <v>0.99949339084187572</v>
      </c>
      <c r="J8938" s="4">
        <f t="shared" si="311"/>
        <v>1.105583195135434E-4</v>
      </c>
      <c r="K8938" s="5">
        <f t="shared" si="312"/>
        <v>0.98794914317315863</v>
      </c>
    </row>
    <row r="8939" spans="1:11" x14ac:dyDescent="0.25">
      <c r="A8939" t="s">
        <v>17606</v>
      </c>
      <c r="C8939" t="s">
        <v>211</v>
      </c>
      <c r="D8939" t="s">
        <v>5</v>
      </c>
      <c r="E8939" t="s">
        <v>6</v>
      </c>
      <c r="F8939" t="s">
        <v>334</v>
      </c>
      <c r="G8939">
        <v>1</v>
      </c>
      <c r="H8939" s="2">
        <f>Tabelle13[[#This Row],[commits]]/Tabelle13[[#Totals],[commits]]</f>
        <v>4.6477904404246225E-6</v>
      </c>
      <c r="I8939" s="5">
        <f>Tabelle13[[#This Row],[%]]+I8938</f>
        <v>0.99949803863231612</v>
      </c>
      <c r="J8939" s="4">
        <f t="shared" si="311"/>
        <v>1.105583195135434E-4</v>
      </c>
      <c r="K8939" s="5">
        <f t="shared" si="312"/>
        <v>0.98805970149267219</v>
      </c>
    </row>
    <row r="8940" spans="1:11" x14ac:dyDescent="0.25">
      <c r="A8940" t="s">
        <v>17607</v>
      </c>
      <c r="C8940" t="s">
        <v>17608</v>
      </c>
      <c r="D8940" t="s">
        <v>5</v>
      </c>
      <c r="E8940" t="s">
        <v>6</v>
      </c>
      <c r="F8940" t="s">
        <v>334</v>
      </c>
      <c r="G8940">
        <v>1</v>
      </c>
      <c r="H8940" s="2">
        <f>Tabelle13[[#This Row],[commits]]/Tabelle13[[#Totals],[commits]]</f>
        <v>4.6477904404246225E-6</v>
      </c>
      <c r="I8940" s="5">
        <f>Tabelle13[[#This Row],[%]]+I8939</f>
        <v>0.99950268642275653</v>
      </c>
      <c r="J8940" s="4">
        <f t="shared" si="311"/>
        <v>1.105583195135434E-4</v>
      </c>
      <c r="K8940" s="5">
        <f t="shared" si="312"/>
        <v>0.98817025981218576</v>
      </c>
    </row>
    <row r="8941" spans="1:11" x14ac:dyDescent="0.25">
      <c r="A8941" t="s">
        <v>17609</v>
      </c>
      <c r="C8941" t="s">
        <v>17610</v>
      </c>
      <c r="D8941" t="s">
        <v>5</v>
      </c>
      <c r="E8941" t="s">
        <v>6</v>
      </c>
      <c r="F8941" t="s">
        <v>334</v>
      </c>
      <c r="G8941">
        <v>1</v>
      </c>
      <c r="H8941" s="2">
        <f>Tabelle13[[#This Row],[commits]]/Tabelle13[[#Totals],[commits]]</f>
        <v>4.6477904404246225E-6</v>
      </c>
      <c r="I8941" s="5">
        <f>Tabelle13[[#This Row],[%]]+I8940</f>
        <v>0.99950733421319693</v>
      </c>
      <c r="J8941" s="4">
        <f t="shared" si="311"/>
        <v>1.105583195135434E-4</v>
      </c>
      <c r="K8941" s="5">
        <f t="shared" si="312"/>
        <v>0.98828081813169932</v>
      </c>
    </row>
    <row r="8942" spans="1:11" x14ac:dyDescent="0.25">
      <c r="A8942" t="s">
        <v>17611</v>
      </c>
      <c r="C8942" t="s">
        <v>114</v>
      </c>
      <c r="D8942" t="s">
        <v>5</v>
      </c>
      <c r="E8942" t="s">
        <v>6</v>
      </c>
      <c r="F8942" t="s">
        <v>334</v>
      </c>
      <c r="G8942">
        <v>1</v>
      </c>
      <c r="H8942" s="2">
        <f>Tabelle13[[#This Row],[commits]]/Tabelle13[[#Totals],[commits]]</f>
        <v>4.6477904404246225E-6</v>
      </c>
      <c r="I8942" s="5">
        <f>Tabelle13[[#This Row],[%]]+I8941</f>
        <v>0.99951198200363733</v>
      </c>
      <c r="J8942" s="4">
        <f t="shared" si="311"/>
        <v>1.105583195135434E-4</v>
      </c>
      <c r="K8942" s="5">
        <f t="shared" si="312"/>
        <v>0.98839137645121289</v>
      </c>
    </row>
    <row r="8943" spans="1:11" x14ac:dyDescent="0.25">
      <c r="A8943" t="s">
        <v>17612</v>
      </c>
      <c r="C8943" t="s">
        <v>17613</v>
      </c>
      <c r="D8943" t="s">
        <v>5</v>
      </c>
      <c r="E8943" t="s">
        <v>6</v>
      </c>
      <c r="F8943" t="s">
        <v>334</v>
      </c>
      <c r="G8943">
        <v>1</v>
      </c>
      <c r="H8943" s="2">
        <f>Tabelle13[[#This Row],[commits]]/Tabelle13[[#Totals],[commits]]</f>
        <v>4.6477904404246225E-6</v>
      </c>
      <c r="I8943" s="5">
        <f>Tabelle13[[#This Row],[%]]+I8942</f>
        <v>0.99951662979407774</v>
      </c>
      <c r="J8943" s="4">
        <f t="shared" si="311"/>
        <v>1.105583195135434E-4</v>
      </c>
      <c r="K8943" s="5">
        <f t="shared" si="312"/>
        <v>0.98850193477072645</v>
      </c>
    </row>
    <row r="8944" spans="1:11" x14ac:dyDescent="0.25">
      <c r="A8944" t="s">
        <v>17614</v>
      </c>
      <c r="C8944" t="s">
        <v>17615</v>
      </c>
      <c r="D8944" t="s">
        <v>5</v>
      </c>
      <c r="E8944" t="s">
        <v>6</v>
      </c>
      <c r="F8944" t="s">
        <v>334</v>
      </c>
      <c r="G8944">
        <v>1</v>
      </c>
      <c r="H8944" s="2">
        <f>Tabelle13[[#This Row],[commits]]/Tabelle13[[#Totals],[commits]]</f>
        <v>4.6477904404246225E-6</v>
      </c>
      <c r="I8944" s="5">
        <f>Tabelle13[[#This Row],[%]]+I8943</f>
        <v>0.99952127758451814</v>
      </c>
      <c r="J8944" s="4">
        <f t="shared" si="311"/>
        <v>1.105583195135434E-4</v>
      </c>
      <c r="K8944" s="5">
        <f t="shared" si="312"/>
        <v>0.98861249309024002</v>
      </c>
    </row>
    <row r="8945" spans="1:11" x14ac:dyDescent="0.25">
      <c r="A8945" t="s">
        <v>17616</v>
      </c>
      <c r="C8945" t="s">
        <v>17617</v>
      </c>
      <c r="D8945" t="s">
        <v>5</v>
      </c>
      <c r="E8945" t="s">
        <v>6</v>
      </c>
      <c r="F8945" t="s">
        <v>334</v>
      </c>
      <c r="G8945">
        <v>1</v>
      </c>
      <c r="H8945" s="2">
        <f>Tabelle13[[#This Row],[commits]]/Tabelle13[[#Totals],[commits]]</f>
        <v>4.6477904404246225E-6</v>
      </c>
      <c r="I8945" s="5">
        <f>Tabelle13[[#This Row],[%]]+I8944</f>
        <v>0.99952592537495855</v>
      </c>
      <c r="J8945" s="4">
        <f t="shared" si="311"/>
        <v>1.105583195135434E-4</v>
      </c>
      <c r="K8945" s="5">
        <f t="shared" si="312"/>
        <v>0.98872305140975358</v>
      </c>
    </row>
    <row r="8946" spans="1:11" x14ac:dyDescent="0.25">
      <c r="A8946" t="s">
        <v>17618</v>
      </c>
      <c r="C8946">
        <v>330346580</v>
      </c>
      <c r="D8946" t="s">
        <v>5</v>
      </c>
      <c r="E8946" t="s">
        <v>6</v>
      </c>
      <c r="F8946" t="s">
        <v>334</v>
      </c>
      <c r="G8946">
        <v>1</v>
      </c>
      <c r="H8946" s="2">
        <f>Tabelle13[[#This Row],[commits]]/Tabelle13[[#Totals],[commits]]</f>
        <v>4.6477904404246225E-6</v>
      </c>
      <c r="I8946" s="5">
        <f>Tabelle13[[#This Row],[%]]+I8945</f>
        <v>0.99953057316539895</v>
      </c>
      <c r="J8946" s="4">
        <f t="shared" si="311"/>
        <v>1.105583195135434E-4</v>
      </c>
      <c r="K8946" s="5">
        <f t="shared" si="312"/>
        <v>0.98883360972926715</v>
      </c>
    </row>
    <row r="8947" spans="1:11" x14ac:dyDescent="0.25">
      <c r="A8947" t="s">
        <v>17619</v>
      </c>
      <c r="C8947" t="s">
        <v>17620</v>
      </c>
      <c r="D8947" t="s">
        <v>5</v>
      </c>
      <c r="E8947" t="s">
        <v>6</v>
      </c>
      <c r="F8947" t="s">
        <v>334</v>
      </c>
      <c r="G8947">
        <v>1</v>
      </c>
      <c r="H8947" s="2">
        <f>Tabelle13[[#This Row],[commits]]/Tabelle13[[#Totals],[commits]]</f>
        <v>4.6477904404246225E-6</v>
      </c>
      <c r="I8947" s="5">
        <f>Tabelle13[[#This Row],[%]]+I8946</f>
        <v>0.99953522095583935</v>
      </c>
      <c r="J8947" s="4">
        <f t="shared" si="311"/>
        <v>1.105583195135434E-4</v>
      </c>
      <c r="K8947" s="5">
        <f t="shared" si="312"/>
        <v>0.98894416804878071</v>
      </c>
    </row>
    <row r="8948" spans="1:11" x14ac:dyDescent="0.25">
      <c r="A8948" t="s">
        <v>17621</v>
      </c>
      <c r="C8948" t="s">
        <v>17622</v>
      </c>
      <c r="D8948" t="s">
        <v>5</v>
      </c>
      <c r="E8948" t="s">
        <v>6</v>
      </c>
      <c r="F8948" t="s">
        <v>334</v>
      </c>
      <c r="G8948">
        <v>1</v>
      </c>
      <c r="H8948" s="2">
        <f>Tabelle13[[#This Row],[commits]]/Tabelle13[[#Totals],[commits]]</f>
        <v>4.6477904404246225E-6</v>
      </c>
      <c r="I8948" s="5">
        <f>Tabelle13[[#This Row],[%]]+I8947</f>
        <v>0.99953986874627976</v>
      </c>
      <c r="J8948" s="4">
        <f t="shared" si="311"/>
        <v>1.105583195135434E-4</v>
      </c>
      <c r="K8948" s="5">
        <f t="shared" si="312"/>
        <v>0.98905472636829428</v>
      </c>
    </row>
    <row r="8949" spans="1:11" x14ac:dyDescent="0.25">
      <c r="A8949" t="s">
        <v>17623</v>
      </c>
      <c r="C8949" t="s">
        <v>17624</v>
      </c>
      <c r="D8949" t="s">
        <v>5</v>
      </c>
      <c r="E8949" t="s">
        <v>6</v>
      </c>
      <c r="F8949" t="s">
        <v>334</v>
      </c>
      <c r="G8949">
        <v>1</v>
      </c>
      <c r="H8949" s="2">
        <f>Tabelle13[[#This Row],[commits]]/Tabelle13[[#Totals],[commits]]</f>
        <v>4.6477904404246225E-6</v>
      </c>
      <c r="I8949" s="5">
        <f>Tabelle13[[#This Row],[%]]+I8948</f>
        <v>0.99954451653672016</v>
      </c>
      <c r="J8949" s="4">
        <f t="shared" si="311"/>
        <v>1.105583195135434E-4</v>
      </c>
      <c r="K8949" s="5">
        <f t="shared" si="312"/>
        <v>0.98916528468780784</v>
      </c>
    </row>
    <row r="8950" spans="1:11" x14ac:dyDescent="0.25">
      <c r="A8950" t="s">
        <v>17625</v>
      </c>
      <c r="C8950" t="s">
        <v>17626</v>
      </c>
      <c r="D8950" t="s">
        <v>5</v>
      </c>
      <c r="E8950" t="s">
        <v>6</v>
      </c>
      <c r="F8950" t="s">
        <v>334</v>
      </c>
      <c r="G8950">
        <v>1</v>
      </c>
      <c r="H8950" s="2">
        <f>Tabelle13[[#This Row],[commits]]/Tabelle13[[#Totals],[commits]]</f>
        <v>4.6477904404246225E-6</v>
      </c>
      <c r="I8950" s="5">
        <f>Tabelle13[[#This Row],[%]]+I8949</f>
        <v>0.99954916432716057</v>
      </c>
      <c r="J8950" s="4">
        <f t="shared" si="311"/>
        <v>1.105583195135434E-4</v>
      </c>
      <c r="K8950" s="5">
        <f t="shared" si="312"/>
        <v>0.98927584300732141</v>
      </c>
    </row>
    <row r="8951" spans="1:11" x14ac:dyDescent="0.25">
      <c r="A8951" t="s">
        <v>17627</v>
      </c>
      <c r="C8951" t="s">
        <v>17628</v>
      </c>
      <c r="D8951" t="s">
        <v>5</v>
      </c>
      <c r="E8951" t="s">
        <v>6</v>
      </c>
      <c r="F8951" t="s">
        <v>334</v>
      </c>
      <c r="G8951">
        <v>1</v>
      </c>
      <c r="H8951" s="2">
        <f>Tabelle13[[#This Row],[commits]]/Tabelle13[[#Totals],[commits]]</f>
        <v>4.6477904404246225E-6</v>
      </c>
      <c r="I8951" s="5">
        <f>Tabelle13[[#This Row],[%]]+I8950</f>
        <v>0.99955381211760097</v>
      </c>
      <c r="J8951" s="4">
        <f t="shared" si="311"/>
        <v>1.105583195135434E-4</v>
      </c>
      <c r="K8951" s="5">
        <f t="shared" si="312"/>
        <v>0.98938640132683497</v>
      </c>
    </row>
    <row r="8952" spans="1:11" x14ac:dyDescent="0.25">
      <c r="A8952" t="s">
        <v>17629</v>
      </c>
      <c r="C8952" t="s">
        <v>17630</v>
      </c>
      <c r="D8952" t="s">
        <v>5</v>
      </c>
      <c r="E8952" t="s">
        <v>6</v>
      </c>
      <c r="F8952" t="s">
        <v>334</v>
      </c>
      <c r="G8952">
        <v>1</v>
      </c>
      <c r="H8952" s="2">
        <f>Tabelle13[[#This Row],[commits]]/Tabelle13[[#Totals],[commits]]</f>
        <v>4.6477904404246225E-6</v>
      </c>
      <c r="I8952" s="5">
        <f>Tabelle13[[#This Row],[%]]+I8951</f>
        <v>0.99955845990804137</v>
      </c>
      <c r="J8952" s="4">
        <f t="shared" si="311"/>
        <v>1.105583195135434E-4</v>
      </c>
      <c r="K8952" s="5">
        <f t="shared" si="312"/>
        <v>0.98949695964634854</v>
      </c>
    </row>
    <row r="8953" spans="1:11" x14ac:dyDescent="0.25">
      <c r="A8953" t="s">
        <v>17631</v>
      </c>
      <c r="C8953" t="s">
        <v>17632</v>
      </c>
      <c r="D8953" t="s">
        <v>5</v>
      </c>
      <c r="E8953" t="s">
        <v>6</v>
      </c>
      <c r="F8953" t="s">
        <v>334</v>
      </c>
      <c r="G8953">
        <v>1</v>
      </c>
      <c r="H8953" s="2">
        <f>Tabelle13[[#This Row],[commits]]/Tabelle13[[#Totals],[commits]]</f>
        <v>4.6477904404246225E-6</v>
      </c>
      <c r="I8953" s="5">
        <f>Tabelle13[[#This Row],[%]]+I8952</f>
        <v>0.99956310769848178</v>
      </c>
      <c r="J8953" s="4">
        <f t="shared" si="311"/>
        <v>1.105583195135434E-4</v>
      </c>
      <c r="K8953" s="5">
        <f t="shared" si="312"/>
        <v>0.9896075179658621</v>
      </c>
    </row>
    <row r="8954" spans="1:11" x14ac:dyDescent="0.25">
      <c r="A8954" t="s">
        <v>17633</v>
      </c>
      <c r="C8954" t="s">
        <v>17634</v>
      </c>
      <c r="D8954" t="s">
        <v>5</v>
      </c>
      <c r="E8954" t="s">
        <v>6</v>
      </c>
      <c r="F8954" t="s">
        <v>334</v>
      </c>
      <c r="G8954">
        <v>1</v>
      </c>
      <c r="H8954" s="2">
        <f>Tabelle13[[#This Row],[commits]]/Tabelle13[[#Totals],[commits]]</f>
        <v>4.6477904404246225E-6</v>
      </c>
      <c r="I8954" s="5">
        <f>Tabelle13[[#This Row],[%]]+I8953</f>
        <v>0.99956775548892218</v>
      </c>
      <c r="J8954" s="4">
        <f t="shared" si="311"/>
        <v>1.105583195135434E-4</v>
      </c>
      <c r="K8954" s="5">
        <f t="shared" si="312"/>
        <v>0.98971807628537567</v>
      </c>
    </row>
    <row r="8955" spans="1:11" x14ac:dyDescent="0.25">
      <c r="A8955" t="s">
        <v>17635</v>
      </c>
      <c r="C8955" t="s">
        <v>17636</v>
      </c>
      <c r="D8955" t="s">
        <v>5</v>
      </c>
      <c r="E8955" t="s">
        <v>6</v>
      </c>
      <c r="F8955" t="s">
        <v>334</v>
      </c>
      <c r="G8955">
        <v>1</v>
      </c>
      <c r="H8955" s="2">
        <f>Tabelle13[[#This Row],[commits]]/Tabelle13[[#Totals],[commits]]</f>
        <v>4.6477904404246225E-6</v>
      </c>
      <c r="I8955" s="5">
        <f>Tabelle13[[#This Row],[%]]+I8954</f>
        <v>0.99957240327936259</v>
      </c>
      <c r="J8955" s="4">
        <f t="shared" si="311"/>
        <v>1.105583195135434E-4</v>
      </c>
      <c r="K8955" s="5">
        <f t="shared" si="312"/>
        <v>0.98982863460488923</v>
      </c>
    </row>
    <row r="8956" spans="1:11" x14ac:dyDescent="0.25">
      <c r="A8956" t="s">
        <v>17637</v>
      </c>
      <c r="C8956" t="s">
        <v>2036</v>
      </c>
      <c r="D8956" t="s">
        <v>17638</v>
      </c>
      <c r="E8956" t="s">
        <v>6</v>
      </c>
      <c r="F8956" t="s">
        <v>334</v>
      </c>
      <c r="G8956">
        <v>1</v>
      </c>
      <c r="H8956" s="2">
        <f>Tabelle13[[#This Row],[commits]]/Tabelle13[[#Totals],[commits]]</f>
        <v>4.6477904404246225E-6</v>
      </c>
      <c r="I8956" s="5">
        <f>Tabelle13[[#This Row],[%]]+I8955</f>
        <v>0.99957705106980299</v>
      </c>
      <c r="J8956" s="4">
        <f t="shared" si="311"/>
        <v>1.105583195135434E-4</v>
      </c>
      <c r="K8956" s="5">
        <f t="shared" si="312"/>
        <v>0.9899391929244028</v>
      </c>
    </row>
    <row r="8957" spans="1:11" x14ac:dyDescent="0.25">
      <c r="A8957" t="s">
        <v>17639</v>
      </c>
      <c r="C8957" t="s">
        <v>17640</v>
      </c>
      <c r="D8957" t="s">
        <v>5</v>
      </c>
      <c r="E8957" t="s">
        <v>6</v>
      </c>
      <c r="F8957" t="s">
        <v>334</v>
      </c>
      <c r="G8957">
        <v>1</v>
      </c>
      <c r="H8957" s="2">
        <f>Tabelle13[[#This Row],[commits]]/Tabelle13[[#Totals],[commits]]</f>
        <v>4.6477904404246225E-6</v>
      </c>
      <c r="I8957" s="5">
        <f>Tabelle13[[#This Row],[%]]+I8956</f>
        <v>0.9995816988602434</v>
      </c>
      <c r="J8957" s="4">
        <f t="shared" si="311"/>
        <v>1.105583195135434E-4</v>
      </c>
      <c r="K8957" s="5">
        <f t="shared" si="312"/>
        <v>0.99004975124391636</v>
      </c>
    </row>
    <row r="8958" spans="1:11" x14ac:dyDescent="0.25">
      <c r="A8958" t="s">
        <v>17641</v>
      </c>
      <c r="C8958" t="s">
        <v>17642</v>
      </c>
      <c r="D8958" t="s">
        <v>5</v>
      </c>
      <c r="E8958" t="s">
        <v>6</v>
      </c>
      <c r="F8958" t="s">
        <v>334</v>
      </c>
      <c r="G8958">
        <v>1</v>
      </c>
      <c r="H8958" s="2">
        <f>Tabelle13[[#This Row],[commits]]/Tabelle13[[#Totals],[commits]]</f>
        <v>4.6477904404246225E-6</v>
      </c>
      <c r="I8958" s="5">
        <f>Tabelle13[[#This Row],[%]]+I8957</f>
        <v>0.9995863466506838</v>
      </c>
      <c r="J8958" s="4">
        <f t="shared" si="311"/>
        <v>1.105583195135434E-4</v>
      </c>
      <c r="K8958" s="5">
        <f t="shared" si="312"/>
        <v>0.99016030956342993</v>
      </c>
    </row>
    <row r="8959" spans="1:11" x14ac:dyDescent="0.25">
      <c r="A8959" t="s">
        <v>17643</v>
      </c>
      <c r="C8959" t="s">
        <v>17644</v>
      </c>
      <c r="D8959" t="s">
        <v>5</v>
      </c>
      <c r="E8959" t="s">
        <v>6</v>
      </c>
      <c r="F8959" t="s">
        <v>334</v>
      </c>
      <c r="G8959">
        <v>1</v>
      </c>
      <c r="H8959" s="2">
        <f>Tabelle13[[#This Row],[commits]]/Tabelle13[[#Totals],[commits]]</f>
        <v>4.6477904404246225E-6</v>
      </c>
      <c r="I8959" s="5">
        <f>Tabelle13[[#This Row],[%]]+I8958</f>
        <v>0.9995909944411242</v>
      </c>
      <c r="J8959" s="4">
        <f t="shared" si="311"/>
        <v>1.105583195135434E-4</v>
      </c>
      <c r="K8959" s="5">
        <f t="shared" si="312"/>
        <v>0.9902708678829435</v>
      </c>
    </row>
    <row r="8960" spans="1:11" x14ac:dyDescent="0.25">
      <c r="A8960" t="s">
        <v>17645</v>
      </c>
      <c r="C8960" t="s">
        <v>17646</v>
      </c>
      <c r="D8960" t="s">
        <v>5</v>
      </c>
      <c r="E8960" t="s">
        <v>6</v>
      </c>
      <c r="F8960" t="s">
        <v>334</v>
      </c>
      <c r="G8960">
        <v>1</v>
      </c>
      <c r="H8960" s="2">
        <f>Tabelle13[[#This Row],[commits]]/Tabelle13[[#Totals],[commits]]</f>
        <v>4.6477904404246225E-6</v>
      </c>
      <c r="I8960" s="5">
        <f>Tabelle13[[#This Row],[%]]+I8959</f>
        <v>0.99959564223156461</v>
      </c>
      <c r="J8960" s="4">
        <f t="shared" si="311"/>
        <v>1.105583195135434E-4</v>
      </c>
      <c r="K8960" s="5">
        <f t="shared" si="312"/>
        <v>0.99038142620245706</v>
      </c>
    </row>
    <row r="8961" spans="1:11" x14ac:dyDescent="0.25">
      <c r="A8961" t="s">
        <v>17647</v>
      </c>
      <c r="C8961" t="s">
        <v>17648</v>
      </c>
      <c r="D8961" t="s">
        <v>5</v>
      </c>
      <c r="E8961" t="s">
        <v>6</v>
      </c>
      <c r="F8961" t="s">
        <v>334</v>
      </c>
      <c r="G8961">
        <v>1</v>
      </c>
      <c r="H8961" s="2">
        <f>Tabelle13[[#This Row],[commits]]/Tabelle13[[#Totals],[commits]]</f>
        <v>4.6477904404246225E-6</v>
      </c>
      <c r="I8961" s="5">
        <f>Tabelle13[[#This Row],[%]]+I8960</f>
        <v>0.99960029002200501</v>
      </c>
      <c r="J8961" s="4">
        <f t="shared" si="311"/>
        <v>1.105583195135434E-4</v>
      </c>
      <c r="K8961" s="5">
        <f t="shared" si="312"/>
        <v>0.99049198452197063</v>
      </c>
    </row>
    <row r="8962" spans="1:11" x14ac:dyDescent="0.25">
      <c r="A8962" t="s">
        <v>17649</v>
      </c>
      <c r="C8962" t="s">
        <v>17650</v>
      </c>
      <c r="D8962" t="s">
        <v>5</v>
      </c>
      <c r="E8962" t="s">
        <v>6</v>
      </c>
      <c r="F8962" t="s">
        <v>334</v>
      </c>
      <c r="G8962">
        <v>1</v>
      </c>
      <c r="H8962" s="2">
        <f>Tabelle13[[#This Row],[commits]]/Tabelle13[[#Totals],[commits]]</f>
        <v>4.6477904404246225E-6</v>
      </c>
      <c r="I8962" s="5">
        <f>Tabelle13[[#This Row],[%]]+I8961</f>
        <v>0.99960493781244542</v>
      </c>
      <c r="J8962" s="4">
        <f t="shared" si="311"/>
        <v>1.105583195135434E-4</v>
      </c>
      <c r="K8962" s="5">
        <f t="shared" si="312"/>
        <v>0.99060254284148419</v>
      </c>
    </row>
    <row r="8963" spans="1:11" x14ac:dyDescent="0.25">
      <c r="A8963" t="s">
        <v>17651</v>
      </c>
      <c r="C8963">
        <v>120797887</v>
      </c>
      <c r="D8963" t="s">
        <v>5</v>
      </c>
      <c r="E8963" t="s">
        <v>6</v>
      </c>
      <c r="F8963" t="s">
        <v>334</v>
      </c>
      <c r="G8963">
        <v>1</v>
      </c>
      <c r="H8963" s="2">
        <f>Tabelle13[[#This Row],[commits]]/Tabelle13[[#Totals],[commits]]</f>
        <v>4.6477904404246225E-6</v>
      </c>
      <c r="I8963" s="5">
        <f>Tabelle13[[#This Row],[%]]+I8962</f>
        <v>0.99960958560288582</v>
      </c>
      <c r="J8963" s="4">
        <f t="shared" ref="J8963:J9026" si="313">1/9045</f>
        <v>1.105583195135434E-4</v>
      </c>
      <c r="K8963" s="5">
        <f t="shared" si="312"/>
        <v>0.99071310116099776</v>
      </c>
    </row>
    <row r="8964" spans="1:11" x14ac:dyDescent="0.25">
      <c r="A8964" t="s">
        <v>17652</v>
      </c>
      <c r="C8964" t="s">
        <v>17653</v>
      </c>
      <c r="D8964" t="s">
        <v>5</v>
      </c>
      <c r="E8964" t="s">
        <v>6</v>
      </c>
      <c r="F8964" t="s">
        <v>334</v>
      </c>
      <c r="G8964">
        <v>1</v>
      </c>
      <c r="H8964" s="2">
        <f>Tabelle13[[#This Row],[commits]]/Tabelle13[[#Totals],[commits]]</f>
        <v>4.6477904404246225E-6</v>
      </c>
      <c r="I8964" s="5">
        <f>Tabelle13[[#This Row],[%]]+I8963</f>
        <v>0.99961423339332622</v>
      </c>
      <c r="J8964" s="4">
        <f t="shared" si="313"/>
        <v>1.105583195135434E-4</v>
      </c>
      <c r="K8964" s="5">
        <f t="shared" si="312"/>
        <v>0.99082365948051132</v>
      </c>
    </row>
    <row r="8965" spans="1:11" x14ac:dyDescent="0.25">
      <c r="A8965" t="s">
        <v>17654</v>
      </c>
      <c r="C8965" t="s">
        <v>17655</v>
      </c>
      <c r="D8965" t="s">
        <v>5</v>
      </c>
      <c r="E8965" t="s">
        <v>6</v>
      </c>
      <c r="F8965" t="s">
        <v>334</v>
      </c>
      <c r="G8965">
        <v>1</v>
      </c>
      <c r="H8965" s="2">
        <f>Tabelle13[[#This Row],[commits]]/Tabelle13[[#Totals],[commits]]</f>
        <v>4.6477904404246225E-6</v>
      </c>
      <c r="I8965" s="5">
        <f>Tabelle13[[#This Row],[%]]+I8964</f>
        <v>0.99961888118376663</v>
      </c>
      <c r="J8965" s="4">
        <f t="shared" si="313"/>
        <v>1.105583195135434E-4</v>
      </c>
      <c r="K8965" s="5">
        <f t="shared" si="312"/>
        <v>0.99093421780002489</v>
      </c>
    </row>
    <row r="8966" spans="1:11" x14ac:dyDescent="0.25">
      <c r="A8966" t="s">
        <v>17656</v>
      </c>
      <c r="C8966" t="s">
        <v>17657</v>
      </c>
      <c r="D8966" t="s">
        <v>5</v>
      </c>
      <c r="E8966" t="s">
        <v>6</v>
      </c>
      <c r="F8966" t="s">
        <v>334</v>
      </c>
      <c r="G8966">
        <v>1</v>
      </c>
      <c r="H8966" s="2">
        <f>Tabelle13[[#This Row],[commits]]/Tabelle13[[#Totals],[commits]]</f>
        <v>4.6477904404246225E-6</v>
      </c>
      <c r="I8966" s="5">
        <f>Tabelle13[[#This Row],[%]]+I8965</f>
        <v>0.99962352897420703</v>
      </c>
      <c r="J8966" s="4">
        <f t="shared" si="313"/>
        <v>1.105583195135434E-4</v>
      </c>
      <c r="K8966" s="5">
        <f t="shared" ref="K8966:K9029" si="314">J8966+K8965</f>
        <v>0.99104477611953845</v>
      </c>
    </row>
    <row r="8967" spans="1:11" x14ac:dyDescent="0.25">
      <c r="A8967" t="s">
        <v>17658</v>
      </c>
      <c r="C8967" t="s">
        <v>17659</v>
      </c>
      <c r="D8967" t="s">
        <v>5</v>
      </c>
      <c r="E8967" t="s">
        <v>6</v>
      </c>
      <c r="F8967" t="s">
        <v>334</v>
      </c>
      <c r="G8967">
        <v>1</v>
      </c>
      <c r="H8967" s="2">
        <f>Tabelle13[[#This Row],[commits]]/Tabelle13[[#Totals],[commits]]</f>
        <v>4.6477904404246225E-6</v>
      </c>
      <c r="I8967" s="5">
        <f>Tabelle13[[#This Row],[%]]+I8966</f>
        <v>0.99962817676464744</v>
      </c>
      <c r="J8967" s="4">
        <f t="shared" si="313"/>
        <v>1.105583195135434E-4</v>
      </c>
      <c r="K8967" s="5">
        <f t="shared" si="314"/>
        <v>0.99115533443905202</v>
      </c>
    </row>
    <row r="8968" spans="1:11" x14ac:dyDescent="0.25">
      <c r="A8968" t="s">
        <v>17660</v>
      </c>
      <c r="C8968" t="s">
        <v>17661</v>
      </c>
      <c r="D8968" t="s">
        <v>5</v>
      </c>
      <c r="E8968" t="s">
        <v>6</v>
      </c>
      <c r="F8968" t="s">
        <v>334</v>
      </c>
      <c r="G8968">
        <v>1</v>
      </c>
      <c r="H8968" s="2">
        <f>Tabelle13[[#This Row],[commits]]/Tabelle13[[#Totals],[commits]]</f>
        <v>4.6477904404246225E-6</v>
      </c>
      <c r="I8968" s="5">
        <f>Tabelle13[[#This Row],[%]]+I8967</f>
        <v>0.99963282455508784</v>
      </c>
      <c r="J8968" s="4">
        <f t="shared" si="313"/>
        <v>1.105583195135434E-4</v>
      </c>
      <c r="K8968" s="5">
        <f t="shared" si="314"/>
        <v>0.99126589275856558</v>
      </c>
    </row>
    <row r="8969" spans="1:11" x14ac:dyDescent="0.25">
      <c r="A8969" t="s">
        <v>17662</v>
      </c>
      <c r="C8969">
        <v>383109956</v>
      </c>
      <c r="D8969" t="s">
        <v>5</v>
      </c>
      <c r="E8969" t="s">
        <v>6</v>
      </c>
      <c r="F8969" t="s">
        <v>334</v>
      </c>
      <c r="G8969">
        <v>1</v>
      </c>
      <c r="H8969" s="2">
        <f>Tabelle13[[#This Row],[commits]]/Tabelle13[[#Totals],[commits]]</f>
        <v>4.6477904404246225E-6</v>
      </c>
      <c r="I8969" s="5">
        <f>Tabelle13[[#This Row],[%]]+I8968</f>
        <v>0.99963747234552824</v>
      </c>
      <c r="J8969" s="4">
        <f t="shared" si="313"/>
        <v>1.105583195135434E-4</v>
      </c>
      <c r="K8969" s="5">
        <f t="shared" si="314"/>
        <v>0.99137645107807915</v>
      </c>
    </row>
    <row r="8970" spans="1:11" x14ac:dyDescent="0.25">
      <c r="A8970" t="s">
        <v>17663</v>
      </c>
      <c r="C8970" t="s">
        <v>17664</v>
      </c>
      <c r="D8970" t="s">
        <v>5</v>
      </c>
      <c r="E8970" t="s">
        <v>6</v>
      </c>
      <c r="F8970" t="s">
        <v>334</v>
      </c>
      <c r="G8970">
        <v>1</v>
      </c>
      <c r="H8970" s="2">
        <f>Tabelle13[[#This Row],[commits]]/Tabelle13[[#Totals],[commits]]</f>
        <v>4.6477904404246225E-6</v>
      </c>
      <c r="I8970" s="5">
        <f>Tabelle13[[#This Row],[%]]+I8969</f>
        <v>0.99964212013596865</v>
      </c>
      <c r="J8970" s="4">
        <f t="shared" si="313"/>
        <v>1.105583195135434E-4</v>
      </c>
      <c r="K8970" s="5">
        <f t="shared" si="314"/>
        <v>0.99148700939759271</v>
      </c>
    </row>
    <row r="8971" spans="1:11" x14ac:dyDescent="0.25">
      <c r="A8971" t="s">
        <v>17665</v>
      </c>
      <c r="C8971" t="s">
        <v>17666</v>
      </c>
      <c r="D8971" t="s">
        <v>5</v>
      </c>
      <c r="E8971" t="s">
        <v>6</v>
      </c>
      <c r="F8971" t="s">
        <v>334</v>
      </c>
      <c r="G8971">
        <v>1</v>
      </c>
      <c r="H8971" s="2">
        <f>Tabelle13[[#This Row],[commits]]/Tabelle13[[#Totals],[commits]]</f>
        <v>4.6477904404246225E-6</v>
      </c>
      <c r="I8971" s="5">
        <f>Tabelle13[[#This Row],[%]]+I8970</f>
        <v>0.99964676792640905</v>
      </c>
      <c r="J8971" s="4">
        <f t="shared" si="313"/>
        <v>1.105583195135434E-4</v>
      </c>
      <c r="K8971" s="5">
        <f t="shared" si="314"/>
        <v>0.99159756771710628</v>
      </c>
    </row>
    <row r="8972" spans="1:11" x14ac:dyDescent="0.25">
      <c r="A8972" t="s">
        <v>17667</v>
      </c>
      <c r="C8972" t="s">
        <v>17668</v>
      </c>
      <c r="D8972" t="s">
        <v>5</v>
      </c>
      <c r="E8972" t="s">
        <v>6</v>
      </c>
      <c r="F8972" t="s">
        <v>334</v>
      </c>
      <c r="G8972">
        <v>1</v>
      </c>
      <c r="H8972" s="2">
        <f>Tabelle13[[#This Row],[commits]]/Tabelle13[[#Totals],[commits]]</f>
        <v>4.6477904404246225E-6</v>
      </c>
      <c r="I8972" s="5">
        <f>Tabelle13[[#This Row],[%]]+I8971</f>
        <v>0.99965141571684946</v>
      </c>
      <c r="J8972" s="4">
        <f t="shared" si="313"/>
        <v>1.105583195135434E-4</v>
      </c>
      <c r="K8972" s="5">
        <f t="shared" si="314"/>
        <v>0.99170812603661984</v>
      </c>
    </row>
    <row r="8973" spans="1:11" x14ac:dyDescent="0.25">
      <c r="A8973" t="s">
        <v>17669</v>
      </c>
      <c r="C8973" t="s">
        <v>17670</v>
      </c>
      <c r="D8973" t="s">
        <v>5</v>
      </c>
      <c r="E8973" t="s">
        <v>6</v>
      </c>
      <c r="F8973" t="s">
        <v>334</v>
      </c>
      <c r="G8973">
        <v>1</v>
      </c>
      <c r="H8973" s="2">
        <f>Tabelle13[[#This Row],[commits]]/Tabelle13[[#Totals],[commits]]</f>
        <v>4.6477904404246225E-6</v>
      </c>
      <c r="I8973" s="5">
        <f>Tabelle13[[#This Row],[%]]+I8972</f>
        <v>0.99965606350728986</v>
      </c>
      <c r="J8973" s="4">
        <f t="shared" si="313"/>
        <v>1.105583195135434E-4</v>
      </c>
      <c r="K8973" s="5">
        <f t="shared" si="314"/>
        <v>0.99181868435613341</v>
      </c>
    </row>
    <row r="8974" spans="1:11" x14ac:dyDescent="0.25">
      <c r="A8974" t="s">
        <v>17671</v>
      </c>
      <c r="C8974" t="s">
        <v>17672</v>
      </c>
      <c r="D8974" t="s">
        <v>5</v>
      </c>
      <c r="E8974" t="s">
        <v>6</v>
      </c>
      <c r="F8974" t="s">
        <v>334</v>
      </c>
      <c r="G8974">
        <v>1</v>
      </c>
      <c r="H8974" s="2">
        <f>Tabelle13[[#This Row],[commits]]/Tabelle13[[#Totals],[commits]]</f>
        <v>4.6477904404246225E-6</v>
      </c>
      <c r="I8974" s="5">
        <f>Tabelle13[[#This Row],[%]]+I8973</f>
        <v>0.99966071129773026</v>
      </c>
      <c r="J8974" s="4">
        <f t="shared" si="313"/>
        <v>1.105583195135434E-4</v>
      </c>
      <c r="K8974" s="5">
        <f t="shared" si="314"/>
        <v>0.99192924267564697</v>
      </c>
    </row>
    <row r="8975" spans="1:11" x14ac:dyDescent="0.25">
      <c r="A8975" t="s">
        <v>17673</v>
      </c>
      <c r="C8975" t="s">
        <v>17674</v>
      </c>
      <c r="D8975" t="s">
        <v>5</v>
      </c>
      <c r="E8975" t="s">
        <v>6</v>
      </c>
      <c r="F8975" t="s">
        <v>334</v>
      </c>
      <c r="G8975">
        <v>1</v>
      </c>
      <c r="H8975" s="2">
        <f>Tabelle13[[#This Row],[commits]]/Tabelle13[[#Totals],[commits]]</f>
        <v>4.6477904404246225E-6</v>
      </c>
      <c r="I8975" s="5">
        <f>Tabelle13[[#This Row],[%]]+I8974</f>
        <v>0.99966535908817067</v>
      </c>
      <c r="J8975" s="4">
        <f t="shared" si="313"/>
        <v>1.105583195135434E-4</v>
      </c>
      <c r="K8975" s="5">
        <f t="shared" si="314"/>
        <v>0.99203980099516054</v>
      </c>
    </row>
    <row r="8976" spans="1:11" x14ac:dyDescent="0.25">
      <c r="A8976" t="s">
        <v>17675</v>
      </c>
      <c r="C8976" t="s">
        <v>17676</v>
      </c>
      <c r="D8976" t="s">
        <v>5</v>
      </c>
      <c r="E8976" t="s">
        <v>6</v>
      </c>
      <c r="F8976" t="s">
        <v>334</v>
      </c>
      <c r="G8976">
        <v>1</v>
      </c>
      <c r="H8976" s="2">
        <f>Tabelle13[[#This Row],[commits]]/Tabelle13[[#Totals],[commits]]</f>
        <v>4.6477904404246225E-6</v>
      </c>
      <c r="I8976" s="5">
        <f>Tabelle13[[#This Row],[%]]+I8975</f>
        <v>0.99967000687861107</v>
      </c>
      <c r="J8976" s="4">
        <f t="shared" si="313"/>
        <v>1.105583195135434E-4</v>
      </c>
      <c r="K8976" s="5">
        <f t="shared" si="314"/>
        <v>0.9921503593146741</v>
      </c>
    </row>
    <row r="8977" spans="1:11" x14ac:dyDescent="0.25">
      <c r="A8977" t="s">
        <v>17677</v>
      </c>
      <c r="C8977" t="s">
        <v>17678</v>
      </c>
      <c r="D8977" t="s">
        <v>5</v>
      </c>
      <c r="E8977" t="s">
        <v>6</v>
      </c>
      <c r="F8977" t="s">
        <v>334</v>
      </c>
      <c r="G8977">
        <v>1</v>
      </c>
      <c r="H8977" s="2">
        <f>Tabelle13[[#This Row],[commits]]/Tabelle13[[#Totals],[commits]]</f>
        <v>4.6477904404246225E-6</v>
      </c>
      <c r="I8977" s="5">
        <f>Tabelle13[[#This Row],[%]]+I8976</f>
        <v>0.99967465466905148</v>
      </c>
      <c r="J8977" s="4">
        <f t="shared" si="313"/>
        <v>1.105583195135434E-4</v>
      </c>
      <c r="K8977" s="5">
        <f t="shared" si="314"/>
        <v>0.99226091763418767</v>
      </c>
    </row>
    <row r="8978" spans="1:11" x14ac:dyDescent="0.25">
      <c r="A8978" t="s">
        <v>17679</v>
      </c>
      <c r="C8978" t="s">
        <v>17680</v>
      </c>
      <c r="D8978" t="s">
        <v>5</v>
      </c>
      <c r="E8978" t="s">
        <v>6</v>
      </c>
      <c r="F8978" t="s">
        <v>334</v>
      </c>
      <c r="G8978">
        <v>1</v>
      </c>
      <c r="H8978" s="2">
        <f>Tabelle13[[#This Row],[commits]]/Tabelle13[[#Totals],[commits]]</f>
        <v>4.6477904404246225E-6</v>
      </c>
      <c r="I8978" s="5">
        <f>Tabelle13[[#This Row],[%]]+I8977</f>
        <v>0.99967930245949188</v>
      </c>
      <c r="J8978" s="4">
        <f t="shared" si="313"/>
        <v>1.105583195135434E-4</v>
      </c>
      <c r="K8978" s="5">
        <f t="shared" si="314"/>
        <v>0.99237147595370123</v>
      </c>
    </row>
    <row r="8979" spans="1:11" x14ac:dyDescent="0.25">
      <c r="A8979" t="s">
        <v>17681</v>
      </c>
      <c r="C8979" t="s">
        <v>17682</v>
      </c>
      <c r="D8979" t="s">
        <v>5</v>
      </c>
      <c r="E8979" t="s">
        <v>6</v>
      </c>
      <c r="F8979" t="s">
        <v>334</v>
      </c>
      <c r="G8979">
        <v>1</v>
      </c>
      <c r="H8979" s="2">
        <f>Tabelle13[[#This Row],[commits]]/Tabelle13[[#Totals],[commits]]</f>
        <v>4.6477904404246225E-6</v>
      </c>
      <c r="I8979" s="5">
        <f>Tabelle13[[#This Row],[%]]+I8978</f>
        <v>0.99968395024993228</v>
      </c>
      <c r="J8979" s="4">
        <f t="shared" si="313"/>
        <v>1.105583195135434E-4</v>
      </c>
      <c r="K8979" s="5">
        <f t="shared" si="314"/>
        <v>0.9924820342732148</v>
      </c>
    </row>
    <row r="8980" spans="1:11" x14ac:dyDescent="0.25">
      <c r="A8980" t="s">
        <v>17683</v>
      </c>
      <c r="C8980" t="s">
        <v>17684</v>
      </c>
      <c r="D8980" t="s">
        <v>5</v>
      </c>
      <c r="E8980" t="s">
        <v>6</v>
      </c>
      <c r="F8980" t="s">
        <v>334</v>
      </c>
      <c r="G8980">
        <v>1</v>
      </c>
      <c r="H8980" s="2">
        <f>Tabelle13[[#This Row],[commits]]/Tabelle13[[#Totals],[commits]]</f>
        <v>4.6477904404246225E-6</v>
      </c>
      <c r="I8980" s="5">
        <f>Tabelle13[[#This Row],[%]]+I8979</f>
        <v>0.99968859804037269</v>
      </c>
      <c r="J8980" s="4">
        <f t="shared" si="313"/>
        <v>1.105583195135434E-4</v>
      </c>
      <c r="K8980" s="5">
        <f t="shared" si="314"/>
        <v>0.99259259259272836</v>
      </c>
    </row>
    <row r="8981" spans="1:11" x14ac:dyDescent="0.25">
      <c r="A8981" t="s">
        <v>17685</v>
      </c>
      <c r="C8981" t="s">
        <v>17686</v>
      </c>
      <c r="D8981" t="s">
        <v>5</v>
      </c>
      <c r="E8981" t="s">
        <v>6</v>
      </c>
      <c r="F8981" t="s">
        <v>334</v>
      </c>
      <c r="G8981">
        <v>1</v>
      </c>
      <c r="H8981" s="2">
        <f>Tabelle13[[#This Row],[commits]]/Tabelle13[[#Totals],[commits]]</f>
        <v>4.6477904404246225E-6</v>
      </c>
      <c r="I8981" s="5">
        <f>Tabelle13[[#This Row],[%]]+I8980</f>
        <v>0.99969324583081309</v>
      </c>
      <c r="J8981" s="4">
        <f t="shared" si="313"/>
        <v>1.105583195135434E-4</v>
      </c>
      <c r="K8981" s="5">
        <f t="shared" si="314"/>
        <v>0.99270315091224193</v>
      </c>
    </row>
    <row r="8982" spans="1:11" x14ac:dyDescent="0.25">
      <c r="A8982" t="s">
        <v>17687</v>
      </c>
      <c r="C8982" t="s">
        <v>17688</v>
      </c>
      <c r="D8982" t="s">
        <v>5</v>
      </c>
      <c r="E8982" t="s">
        <v>6</v>
      </c>
      <c r="F8982" t="s">
        <v>334</v>
      </c>
      <c r="G8982">
        <v>1</v>
      </c>
      <c r="H8982" s="2">
        <f>Tabelle13[[#This Row],[commits]]/Tabelle13[[#Totals],[commits]]</f>
        <v>4.6477904404246225E-6</v>
      </c>
      <c r="I8982" s="5">
        <f>Tabelle13[[#This Row],[%]]+I8981</f>
        <v>0.9996978936212535</v>
      </c>
      <c r="J8982" s="4">
        <f t="shared" si="313"/>
        <v>1.105583195135434E-4</v>
      </c>
      <c r="K8982" s="5">
        <f t="shared" si="314"/>
        <v>0.99281370923175549</v>
      </c>
    </row>
    <row r="8983" spans="1:11" x14ac:dyDescent="0.25">
      <c r="A8983" t="s">
        <v>17689</v>
      </c>
      <c r="C8983" t="s">
        <v>17690</v>
      </c>
      <c r="D8983" t="s">
        <v>5</v>
      </c>
      <c r="E8983" t="s">
        <v>6</v>
      </c>
      <c r="F8983" t="s">
        <v>334</v>
      </c>
      <c r="G8983">
        <v>1</v>
      </c>
      <c r="H8983" s="2">
        <f>Tabelle13[[#This Row],[commits]]/Tabelle13[[#Totals],[commits]]</f>
        <v>4.6477904404246225E-6</v>
      </c>
      <c r="I8983" s="5">
        <f>Tabelle13[[#This Row],[%]]+I8982</f>
        <v>0.9997025414116939</v>
      </c>
      <c r="J8983" s="4">
        <f t="shared" si="313"/>
        <v>1.105583195135434E-4</v>
      </c>
      <c r="K8983" s="5">
        <f t="shared" si="314"/>
        <v>0.99292426755126906</v>
      </c>
    </row>
    <row r="8984" spans="1:11" x14ac:dyDescent="0.25">
      <c r="A8984" t="s">
        <v>17691</v>
      </c>
      <c r="C8984" t="s">
        <v>17692</v>
      </c>
      <c r="D8984" t="s">
        <v>5</v>
      </c>
      <c r="E8984" t="s">
        <v>6</v>
      </c>
      <c r="F8984" t="s">
        <v>334</v>
      </c>
      <c r="G8984">
        <v>1</v>
      </c>
      <c r="H8984" s="2">
        <f>Tabelle13[[#This Row],[commits]]/Tabelle13[[#Totals],[commits]]</f>
        <v>4.6477904404246225E-6</v>
      </c>
      <c r="I8984" s="5">
        <f>Tabelle13[[#This Row],[%]]+I8983</f>
        <v>0.99970718920213431</v>
      </c>
      <c r="J8984" s="4">
        <f t="shared" si="313"/>
        <v>1.105583195135434E-4</v>
      </c>
      <c r="K8984" s="5">
        <f t="shared" si="314"/>
        <v>0.99303482587078262</v>
      </c>
    </row>
    <row r="8985" spans="1:11" x14ac:dyDescent="0.25">
      <c r="A8985" t="s">
        <v>17693</v>
      </c>
      <c r="C8985" t="s">
        <v>17694</v>
      </c>
      <c r="D8985" t="s">
        <v>5</v>
      </c>
      <c r="E8985" t="s">
        <v>6</v>
      </c>
      <c r="F8985" t="s">
        <v>334</v>
      </c>
      <c r="G8985">
        <v>1</v>
      </c>
      <c r="H8985" s="2">
        <f>Tabelle13[[#This Row],[commits]]/Tabelle13[[#Totals],[commits]]</f>
        <v>4.6477904404246225E-6</v>
      </c>
      <c r="I8985" s="5">
        <f>Tabelle13[[#This Row],[%]]+I8984</f>
        <v>0.99971183699257471</v>
      </c>
      <c r="J8985" s="4">
        <f t="shared" si="313"/>
        <v>1.105583195135434E-4</v>
      </c>
      <c r="K8985" s="5">
        <f t="shared" si="314"/>
        <v>0.99314538419029619</v>
      </c>
    </row>
    <row r="8986" spans="1:11" x14ac:dyDescent="0.25">
      <c r="A8986" t="s">
        <v>17695</v>
      </c>
      <c r="C8986" t="s">
        <v>17696</v>
      </c>
      <c r="D8986" t="s">
        <v>5</v>
      </c>
      <c r="E8986" t="s">
        <v>6</v>
      </c>
      <c r="F8986" t="s">
        <v>334</v>
      </c>
      <c r="G8986">
        <v>1</v>
      </c>
      <c r="H8986" s="2">
        <f>Tabelle13[[#This Row],[commits]]/Tabelle13[[#Totals],[commits]]</f>
        <v>4.6477904404246225E-6</v>
      </c>
      <c r="I8986" s="5">
        <f>Tabelle13[[#This Row],[%]]+I8985</f>
        <v>0.99971648478301511</v>
      </c>
      <c r="J8986" s="4">
        <f t="shared" si="313"/>
        <v>1.105583195135434E-4</v>
      </c>
      <c r="K8986" s="5">
        <f t="shared" si="314"/>
        <v>0.99325594250980975</v>
      </c>
    </row>
    <row r="8987" spans="1:11" x14ac:dyDescent="0.25">
      <c r="A8987" t="s">
        <v>17697</v>
      </c>
      <c r="C8987" t="s">
        <v>17698</v>
      </c>
      <c r="D8987" t="s">
        <v>5</v>
      </c>
      <c r="E8987" t="s">
        <v>6</v>
      </c>
      <c r="F8987" t="s">
        <v>334</v>
      </c>
      <c r="G8987">
        <v>1</v>
      </c>
      <c r="H8987" s="2">
        <f>Tabelle13[[#This Row],[commits]]/Tabelle13[[#Totals],[commits]]</f>
        <v>4.6477904404246225E-6</v>
      </c>
      <c r="I8987" s="5">
        <f>Tabelle13[[#This Row],[%]]+I8986</f>
        <v>0.99972113257345552</v>
      </c>
      <c r="J8987" s="4">
        <f t="shared" si="313"/>
        <v>1.105583195135434E-4</v>
      </c>
      <c r="K8987" s="5">
        <f t="shared" si="314"/>
        <v>0.99336650082932332</v>
      </c>
    </row>
    <row r="8988" spans="1:11" x14ac:dyDescent="0.25">
      <c r="A8988" t="s">
        <v>17699</v>
      </c>
      <c r="C8988" t="s">
        <v>17700</v>
      </c>
      <c r="D8988" t="s">
        <v>5</v>
      </c>
      <c r="E8988" t="s">
        <v>6</v>
      </c>
      <c r="F8988" t="s">
        <v>334</v>
      </c>
      <c r="G8988">
        <v>1</v>
      </c>
      <c r="H8988" s="2">
        <f>Tabelle13[[#This Row],[commits]]/Tabelle13[[#Totals],[commits]]</f>
        <v>4.6477904404246225E-6</v>
      </c>
      <c r="I8988" s="5">
        <f>Tabelle13[[#This Row],[%]]+I8987</f>
        <v>0.99972578036389592</v>
      </c>
      <c r="J8988" s="4">
        <f t="shared" si="313"/>
        <v>1.105583195135434E-4</v>
      </c>
      <c r="K8988" s="5">
        <f t="shared" si="314"/>
        <v>0.99347705914883688</v>
      </c>
    </row>
    <row r="8989" spans="1:11" x14ac:dyDescent="0.25">
      <c r="A8989" t="s">
        <v>17701</v>
      </c>
      <c r="C8989" t="s">
        <v>17702</v>
      </c>
      <c r="D8989" t="s">
        <v>5</v>
      </c>
      <c r="E8989" t="s">
        <v>6</v>
      </c>
      <c r="F8989" t="s">
        <v>334</v>
      </c>
      <c r="G8989">
        <v>1</v>
      </c>
      <c r="H8989" s="2">
        <f>Tabelle13[[#This Row],[commits]]/Tabelle13[[#Totals],[commits]]</f>
        <v>4.6477904404246225E-6</v>
      </c>
      <c r="I8989" s="5">
        <f>Tabelle13[[#This Row],[%]]+I8988</f>
        <v>0.99973042815433633</v>
      </c>
      <c r="J8989" s="4">
        <f t="shared" si="313"/>
        <v>1.105583195135434E-4</v>
      </c>
      <c r="K8989" s="5">
        <f t="shared" si="314"/>
        <v>0.99358761746835045</v>
      </c>
    </row>
    <row r="8990" spans="1:11" x14ac:dyDescent="0.25">
      <c r="A8990" t="s">
        <v>17703</v>
      </c>
      <c r="C8990" t="s">
        <v>17704</v>
      </c>
      <c r="D8990" t="s">
        <v>5</v>
      </c>
      <c r="E8990" t="s">
        <v>6</v>
      </c>
      <c r="F8990" t="s">
        <v>334</v>
      </c>
      <c r="G8990">
        <v>1</v>
      </c>
      <c r="H8990" s="2">
        <f>Tabelle13[[#This Row],[commits]]/Tabelle13[[#Totals],[commits]]</f>
        <v>4.6477904404246225E-6</v>
      </c>
      <c r="I8990" s="5">
        <f>Tabelle13[[#This Row],[%]]+I8989</f>
        <v>0.99973507594477673</v>
      </c>
      <c r="J8990" s="4">
        <f t="shared" si="313"/>
        <v>1.105583195135434E-4</v>
      </c>
      <c r="K8990" s="5">
        <f t="shared" si="314"/>
        <v>0.99369817578786401</v>
      </c>
    </row>
    <row r="8991" spans="1:11" x14ac:dyDescent="0.25">
      <c r="A8991" t="s">
        <v>17705</v>
      </c>
      <c r="C8991" t="s">
        <v>17706</v>
      </c>
      <c r="D8991" t="s">
        <v>5</v>
      </c>
      <c r="E8991" t="s">
        <v>6</v>
      </c>
      <c r="F8991" t="s">
        <v>334</v>
      </c>
      <c r="G8991">
        <v>1</v>
      </c>
      <c r="H8991" s="2">
        <f>Tabelle13[[#This Row],[commits]]/Tabelle13[[#Totals],[commits]]</f>
        <v>4.6477904404246225E-6</v>
      </c>
      <c r="I8991" s="5">
        <f>Tabelle13[[#This Row],[%]]+I8990</f>
        <v>0.99973972373521713</v>
      </c>
      <c r="J8991" s="4">
        <f t="shared" si="313"/>
        <v>1.105583195135434E-4</v>
      </c>
      <c r="K8991" s="5">
        <f t="shared" si="314"/>
        <v>0.99380873410737758</v>
      </c>
    </row>
    <row r="8992" spans="1:11" x14ac:dyDescent="0.25">
      <c r="A8992" t="s">
        <v>17707</v>
      </c>
      <c r="C8992" t="s">
        <v>17708</v>
      </c>
      <c r="D8992" t="s">
        <v>5</v>
      </c>
      <c r="E8992" t="s">
        <v>6</v>
      </c>
      <c r="F8992" t="s">
        <v>334</v>
      </c>
      <c r="G8992">
        <v>1</v>
      </c>
      <c r="H8992" s="2">
        <f>Tabelle13[[#This Row],[commits]]/Tabelle13[[#Totals],[commits]]</f>
        <v>4.6477904404246225E-6</v>
      </c>
      <c r="I8992" s="5">
        <f>Tabelle13[[#This Row],[%]]+I8991</f>
        <v>0.99974437152565754</v>
      </c>
      <c r="J8992" s="4">
        <f t="shared" si="313"/>
        <v>1.105583195135434E-4</v>
      </c>
      <c r="K8992" s="5">
        <f t="shared" si="314"/>
        <v>0.99391929242689114</v>
      </c>
    </row>
    <row r="8993" spans="1:11" x14ac:dyDescent="0.25">
      <c r="A8993" t="s">
        <v>17709</v>
      </c>
      <c r="C8993" t="s">
        <v>17710</v>
      </c>
      <c r="D8993" t="s">
        <v>5</v>
      </c>
      <c r="E8993" t="s">
        <v>6</v>
      </c>
      <c r="F8993" t="s">
        <v>334</v>
      </c>
      <c r="G8993">
        <v>1</v>
      </c>
      <c r="H8993" s="2">
        <f>Tabelle13[[#This Row],[commits]]/Tabelle13[[#Totals],[commits]]</f>
        <v>4.6477904404246225E-6</v>
      </c>
      <c r="I8993" s="5">
        <f>Tabelle13[[#This Row],[%]]+I8992</f>
        <v>0.99974901931609794</v>
      </c>
      <c r="J8993" s="4">
        <f t="shared" si="313"/>
        <v>1.105583195135434E-4</v>
      </c>
      <c r="K8993" s="5">
        <f t="shared" si="314"/>
        <v>0.99402985074640471</v>
      </c>
    </row>
    <row r="8994" spans="1:11" x14ac:dyDescent="0.25">
      <c r="A8994" t="s">
        <v>17711</v>
      </c>
      <c r="C8994" t="s">
        <v>17712</v>
      </c>
      <c r="D8994" t="s">
        <v>7531</v>
      </c>
      <c r="E8994" t="s">
        <v>6</v>
      </c>
      <c r="F8994" t="s">
        <v>334</v>
      </c>
      <c r="G8994">
        <v>1</v>
      </c>
      <c r="H8994" s="2">
        <f>Tabelle13[[#This Row],[commits]]/Tabelle13[[#Totals],[commits]]</f>
        <v>4.6477904404246225E-6</v>
      </c>
      <c r="I8994" s="5">
        <f>Tabelle13[[#This Row],[%]]+I8993</f>
        <v>0.99975366710653835</v>
      </c>
      <c r="J8994" s="4">
        <f t="shared" si="313"/>
        <v>1.105583195135434E-4</v>
      </c>
      <c r="K8994" s="5">
        <f t="shared" si="314"/>
        <v>0.99414040906591827</v>
      </c>
    </row>
    <row r="8995" spans="1:11" x14ac:dyDescent="0.25">
      <c r="A8995" t="s">
        <v>17713</v>
      </c>
      <c r="C8995" t="s">
        <v>211</v>
      </c>
      <c r="D8995" t="s">
        <v>5</v>
      </c>
      <c r="E8995" t="s">
        <v>6</v>
      </c>
      <c r="F8995" t="s">
        <v>334</v>
      </c>
      <c r="G8995">
        <v>1</v>
      </c>
      <c r="H8995" s="2">
        <f>Tabelle13[[#This Row],[commits]]/Tabelle13[[#Totals],[commits]]</f>
        <v>4.6477904404246225E-6</v>
      </c>
      <c r="I8995" s="5">
        <f>Tabelle13[[#This Row],[%]]+I8994</f>
        <v>0.99975831489697875</v>
      </c>
      <c r="J8995" s="4">
        <f t="shared" si="313"/>
        <v>1.105583195135434E-4</v>
      </c>
      <c r="K8995" s="5">
        <f t="shared" si="314"/>
        <v>0.99425096738543184</v>
      </c>
    </row>
    <row r="8996" spans="1:11" x14ac:dyDescent="0.25">
      <c r="A8996" t="s">
        <v>17714</v>
      </c>
      <c r="C8996" t="s">
        <v>17715</v>
      </c>
      <c r="D8996" t="s">
        <v>5</v>
      </c>
      <c r="E8996" t="s">
        <v>6</v>
      </c>
      <c r="F8996" t="s">
        <v>334</v>
      </c>
      <c r="G8996">
        <v>1</v>
      </c>
      <c r="H8996" s="2">
        <f>Tabelle13[[#This Row],[commits]]/Tabelle13[[#Totals],[commits]]</f>
        <v>4.6477904404246225E-6</v>
      </c>
      <c r="I8996" s="5">
        <f>Tabelle13[[#This Row],[%]]+I8995</f>
        <v>0.99976296268741915</v>
      </c>
      <c r="J8996" s="4">
        <f t="shared" si="313"/>
        <v>1.105583195135434E-4</v>
      </c>
      <c r="K8996" s="5">
        <f t="shared" si="314"/>
        <v>0.9943615257049454</v>
      </c>
    </row>
    <row r="8997" spans="1:11" x14ac:dyDescent="0.25">
      <c r="A8997" t="s">
        <v>17716</v>
      </c>
      <c r="C8997" t="s">
        <v>17717</v>
      </c>
      <c r="D8997" t="s">
        <v>17718</v>
      </c>
      <c r="E8997" t="s">
        <v>6</v>
      </c>
      <c r="F8997" t="s">
        <v>334</v>
      </c>
      <c r="G8997">
        <v>1</v>
      </c>
      <c r="H8997" s="2">
        <f>Tabelle13[[#This Row],[commits]]/Tabelle13[[#Totals],[commits]]</f>
        <v>4.6477904404246225E-6</v>
      </c>
      <c r="I8997" s="5">
        <f>Tabelle13[[#This Row],[%]]+I8996</f>
        <v>0.99976761047785956</v>
      </c>
      <c r="J8997" s="4">
        <f t="shared" si="313"/>
        <v>1.105583195135434E-4</v>
      </c>
      <c r="K8997" s="5">
        <f t="shared" si="314"/>
        <v>0.99447208402445897</v>
      </c>
    </row>
    <row r="8998" spans="1:11" x14ac:dyDescent="0.25">
      <c r="A8998" t="s">
        <v>17719</v>
      </c>
      <c r="C8998" t="s">
        <v>17720</v>
      </c>
      <c r="D8998" t="s">
        <v>5</v>
      </c>
      <c r="E8998" t="s">
        <v>6</v>
      </c>
      <c r="F8998" t="s">
        <v>334</v>
      </c>
      <c r="G8998">
        <v>1</v>
      </c>
      <c r="H8998" s="2">
        <f>Tabelle13[[#This Row],[commits]]/Tabelle13[[#Totals],[commits]]</f>
        <v>4.6477904404246225E-6</v>
      </c>
      <c r="I8998" s="5">
        <f>Tabelle13[[#This Row],[%]]+I8997</f>
        <v>0.99977225826829996</v>
      </c>
      <c r="J8998" s="4">
        <f t="shared" si="313"/>
        <v>1.105583195135434E-4</v>
      </c>
      <c r="K8998" s="5">
        <f t="shared" si="314"/>
        <v>0.99458264234397253</v>
      </c>
    </row>
    <row r="8999" spans="1:11" x14ac:dyDescent="0.25">
      <c r="A8999" t="s">
        <v>17721</v>
      </c>
      <c r="C8999" t="s">
        <v>17722</v>
      </c>
      <c r="D8999" t="s">
        <v>5</v>
      </c>
      <c r="E8999" t="s">
        <v>6</v>
      </c>
      <c r="F8999" t="s">
        <v>334</v>
      </c>
      <c r="G8999">
        <v>1</v>
      </c>
      <c r="H8999" s="2">
        <f>Tabelle13[[#This Row],[commits]]/Tabelle13[[#Totals],[commits]]</f>
        <v>4.6477904404246225E-6</v>
      </c>
      <c r="I8999" s="5">
        <f>Tabelle13[[#This Row],[%]]+I8998</f>
        <v>0.99977690605874037</v>
      </c>
      <c r="J8999" s="4">
        <f t="shared" si="313"/>
        <v>1.105583195135434E-4</v>
      </c>
      <c r="K8999" s="5">
        <f t="shared" si="314"/>
        <v>0.9946932006634861</v>
      </c>
    </row>
    <row r="9000" spans="1:11" x14ac:dyDescent="0.25">
      <c r="A9000" t="s">
        <v>17723</v>
      </c>
      <c r="C9000" t="s">
        <v>17724</v>
      </c>
      <c r="D9000" t="s">
        <v>5</v>
      </c>
      <c r="E9000" t="s">
        <v>6</v>
      </c>
      <c r="F9000" t="s">
        <v>334</v>
      </c>
      <c r="G9000">
        <v>1</v>
      </c>
      <c r="H9000" s="2">
        <f>Tabelle13[[#This Row],[commits]]/Tabelle13[[#Totals],[commits]]</f>
        <v>4.6477904404246225E-6</v>
      </c>
      <c r="I9000" s="5">
        <f>Tabelle13[[#This Row],[%]]+I8999</f>
        <v>0.99978155384918077</v>
      </c>
      <c r="J9000" s="4">
        <f t="shared" si="313"/>
        <v>1.105583195135434E-4</v>
      </c>
      <c r="K9000" s="5">
        <f t="shared" si="314"/>
        <v>0.99480375898299966</v>
      </c>
    </row>
    <row r="9001" spans="1:11" x14ac:dyDescent="0.25">
      <c r="A9001" t="s">
        <v>17725</v>
      </c>
      <c r="C9001" t="s">
        <v>17726</v>
      </c>
      <c r="D9001" t="s">
        <v>5</v>
      </c>
      <c r="E9001" t="s">
        <v>6</v>
      </c>
      <c r="F9001" t="s">
        <v>334</v>
      </c>
      <c r="G9001">
        <v>1</v>
      </c>
      <c r="H9001" s="2">
        <f>Tabelle13[[#This Row],[commits]]/Tabelle13[[#Totals],[commits]]</f>
        <v>4.6477904404246225E-6</v>
      </c>
      <c r="I9001" s="5">
        <f>Tabelle13[[#This Row],[%]]+I9000</f>
        <v>0.99978620163962117</v>
      </c>
      <c r="J9001" s="4">
        <f t="shared" si="313"/>
        <v>1.105583195135434E-4</v>
      </c>
      <c r="K9001" s="5">
        <f t="shared" si="314"/>
        <v>0.99491431730251323</v>
      </c>
    </row>
    <row r="9002" spans="1:11" x14ac:dyDescent="0.25">
      <c r="A9002" t="s">
        <v>17727</v>
      </c>
      <c r="C9002" t="s">
        <v>17728</v>
      </c>
      <c r="D9002" t="s">
        <v>5</v>
      </c>
      <c r="E9002" t="s">
        <v>6</v>
      </c>
      <c r="F9002" t="s">
        <v>334</v>
      </c>
      <c r="G9002">
        <v>1</v>
      </c>
      <c r="H9002" s="2">
        <f>Tabelle13[[#This Row],[commits]]/Tabelle13[[#Totals],[commits]]</f>
        <v>4.6477904404246225E-6</v>
      </c>
      <c r="I9002" s="5">
        <f>Tabelle13[[#This Row],[%]]+I9001</f>
        <v>0.99979084943006158</v>
      </c>
      <c r="J9002" s="4">
        <f t="shared" si="313"/>
        <v>1.105583195135434E-4</v>
      </c>
      <c r="K9002" s="5">
        <f t="shared" si="314"/>
        <v>0.99502487562202679</v>
      </c>
    </row>
    <row r="9003" spans="1:11" x14ac:dyDescent="0.25">
      <c r="A9003" t="s">
        <v>17729</v>
      </c>
      <c r="C9003" t="s">
        <v>17730</v>
      </c>
      <c r="D9003" t="s">
        <v>5</v>
      </c>
      <c r="E9003" t="s">
        <v>6</v>
      </c>
      <c r="F9003" t="s">
        <v>334</v>
      </c>
      <c r="G9003">
        <v>1</v>
      </c>
      <c r="H9003" s="2">
        <f>Tabelle13[[#This Row],[commits]]/Tabelle13[[#Totals],[commits]]</f>
        <v>4.6477904404246225E-6</v>
      </c>
      <c r="I9003" s="5">
        <f>Tabelle13[[#This Row],[%]]+I9002</f>
        <v>0.99979549722050198</v>
      </c>
      <c r="J9003" s="4">
        <f t="shared" si="313"/>
        <v>1.105583195135434E-4</v>
      </c>
      <c r="K9003" s="5">
        <f t="shared" si="314"/>
        <v>0.99513543394154036</v>
      </c>
    </row>
    <row r="9004" spans="1:11" x14ac:dyDescent="0.25">
      <c r="A9004" t="s">
        <v>17731</v>
      </c>
      <c r="C9004" t="s">
        <v>17732</v>
      </c>
      <c r="D9004" t="s">
        <v>5</v>
      </c>
      <c r="E9004" t="s">
        <v>6</v>
      </c>
      <c r="F9004" t="s">
        <v>334</v>
      </c>
      <c r="G9004">
        <v>1</v>
      </c>
      <c r="H9004" s="2">
        <f>Tabelle13[[#This Row],[commits]]/Tabelle13[[#Totals],[commits]]</f>
        <v>4.6477904404246225E-6</v>
      </c>
      <c r="I9004" s="5">
        <f>Tabelle13[[#This Row],[%]]+I9003</f>
        <v>0.99980014501094239</v>
      </c>
      <c r="J9004" s="4">
        <f t="shared" si="313"/>
        <v>1.105583195135434E-4</v>
      </c>
      <c r="K9004" s="5">
        <f t="shared" si="314"/>
        <v>0.99524599226105392</v>
      </c>
    </row>
    <row r="9005" spans="1:11" x14ac:dyDescent="0.25">
      <c r="A9005" t="s">
        <v>17733</v>
      </c>
      <c r="C9005" t="s">
        <v>17734</v>
      </c>
      <c r="D9005" t="s">
        <v>5</v>
      </c>
      <c r="E9005" t="s">
        <v>6</v>
      </c>
      <c r="F9005" t="s">
        <v>334</v>
      </c>
      <c r="G9005">
        <v>1</v>
      </c>
      <c r="H9005" s="2">
        <f>Tabelle13[[#This Row],[commits]]/Tabelle13[[#Totals],[commits]]</f>
        <v>4.6477904404246225E-6</v>
      </c>
      <c r="I9005" s="5">
        <f>Tabelle13[[#This Row],[%]]+I9004</f>
        <v>0.99980479280138279</v>
      </c>
      <c r="J9005" s="4">
        <f t="shared" si="313"/>
        <v>1.105583195135434E-4</v>
      </c>
      <c r="K9005" s="5">
        <f t="shared" si="314"/>
        <v>0.99535655058056749</v>
      </c>
    </row>
    <row r="9006" spans="1:11" x14ac:dyDescent="0.25">
      <c r="A9006" t="s">
        <v>17735</v>
      </c>
      <c r="C9006" t="s">
        <v>17736</v>
      </c>
      <c r="D9006" t="s">
        <v>5</v>
      </c>
      <c r="E9006" t="s">
        <v>6</v>
      </c>
      <c r="F9006" t="s">
        <v>334</v>
      </c>
      <c r="G9006">
        <v>1</v>
      </c>
      <c r="H9006" s="2">
        <f>Tabelle13[[#This Row],[commits]]/Tabelle13[[#Totals],[commits]]</f>
        <v>4.6477904404246225E-6</v>
      </c>
      <c r="I9006" s="5">
        <f>Tabelle13[[#This Row],[%]]+I9005</f>
        <v>0.9998094405918232</v>
      </c>
      <c r="J9006" s="4">
        <f t="shared" si="313"/>
        <v>1.105583195135434E-4</v>
      </c>
      <c r="K9006" s="5">
        <f t="shared" si="314"/>
        <v>0.99546710890008105</v>
      </c>
    </row>
    <row r="9007" spans="1:11" x14ac:dyDescent="0.25">
      <c r="A9007" t="s">
        <v>17737</v>
      </c>
      <c r="C9007" t="s">
        <v>17738</v>
      </c>
      <c r="D9007" t="s">
        <v>5</v>
      </c>
      <c r="E9007" t="s">
        <v>6</v>
      </c>
      <c r="F9007" t="s">
        <v>334</v>
      </c>
      <c r="G9007">
        <v>1</v>
      </c>
      <c r="H9007" s="2">
        <f>Tabelle13[[#This Row],[commits]]/Tabelle13[[#Totals],[commits]]</f>
        <v>4.6477904404246225E-6</v>
      </c>
      <c r="I9007" s="5">
        <f>Tabelle13[[#This Row],[%]]+I9006</f>
        <v>0.9998140883822636</v>
      </c>
      <c r="J9007" s="4">
        <f t="shared" si="313"/>
        <v>1.105583195135434E-4</v>
      </c>
      <c r="K9007" s="5">
        <f t="shared" si="314"/>
        <v>0.99557766721959462</v>
      </c>
    </row>
    <row r="9008" spans="1:11" x14ac:dyDescent="0.25">
      <c r="A9008" t="s">
        <v>17739</v>
      </c>
      <c r="C9008" t="s">
        <v>17740</v>
      </c>
      <c r="D9008" t="s">
        <v>5</v>
      </c>
      <c r="E9008" t="s">
        <v>6</v>
      </c>
      <c r="F9008" t="s">
        <v>334</v>
      </c>
      <c r="G9008">
        <v>1</v>
      </c>
      <c r="H9008" s="2">
        <f>Tabelle13[[#This Row],[commits]]/Tabelle13[[#Totals],[commits]]</f>
        <v>4.6477904404246225E-6</v>
      </c>
      <c r="I9008" s="5">
        <f>Tabelle13[[#This Row],[%]]+I9007</f>
        <v>0.999818736172704</v>
      </c>
      <c r="J9008" s="4">
        <f t="shared" si="313"/>
        <v>1.105583195135434E-4</v>
      </c>
      <c r="K9008" s="5">
        <f t="shared" si="314"/>
        <v>0.99568822553910818</v>
      </c>
    </row>
    <row r="9009" spans="1:11" x14ac:dyDescent="0.25">
      <c r="A9009" t="s">
        <v>17741</v>
      </c>
      <c r="C9009" t="s">
        <v>17742</v>
      </c>
      <c r="D9009" t="s">
        <v>5</v>
      </c>
      <c r="E9009" t="s">
        <v>6</v>
      </c>
      <c r="F9009" t="s">
        <v>334</v>
      </c>
      <c r="G9009">
        <v>1</v>
      </c>
      <c r="H9009" s="2">
        <f>Tabelle13[[#This Row],[commits]]/Tabelle13[[#Totals],[commits]]</f>
        <v>4.6477904404246225E-6</v>
      </c>
      <c r="I9009" s="5">
        <f>Tabelle13[[#This Row],[%]]+I9008</f>
        <v>0.99982338396314441</v>
      </c>
      <c r="J9009" s="4">
        <f t="shared" si="313"/>
        <v>1.105583195135434E-4</v>
      </c>
      <c r="K9009" s="5">
        <f t="shared" si="314"/>
        <v>0.99579878385862175</v>
      </c>
    </row>
    <row r="9010" spans="1:11" x14ac:dyDescent="0.25">
      <c r="A9010" t="s">
        <v>17743</v>
      </c>
      <c r="C9010" t="s">
        <v>17744</v>
      </c>
      <c r="D9010" t="s">
        <v>5</v>
      </c>
      <c r="E9010" t="s">
        <v>6</v>
      </c>
      <c r="F9010" t="s">
        <v>334</v>
      </c>
      <c r="G9010">
        <v>1</v>
      </c>
      <c r="H9010" s="2">
        <f>Tabelle13[[#This Row],[commits]]/Tabelle13[[#Totals],[commits]]</f>
        <v>4.6477904404246225E-6</v>
      </c>
      <c r="I9010" s="5">
        <f>Tabelle13[[#This Row],[%]]+I9009</f>
        <v>0.99982803175358481</v>
      </c>
      <c r="J9010" s="4">
        <f t="shared" si="313"/>
        <v>1.105583195135434E-4</v>
      </c>
      <c r="K9010" s="5">
        <f t="shared" si="314"/>
        <v>0.99590934217813532</v>
      </c>
    </row>
    <row r="9011" spans="1:11" x14ac:dyDescent="0.25">
      <c r="A9011" t="s">
        <v>17745</v>
      </c>
      <c r="C9011" t="s">
        <v>17746</v>
      </c>
      <c r="D9011" t="s">
        <v>5</v>
      </c>
      <c r="E9011" t="s">
        <v>6</v>
      </c>
      <c r="F9011" t="s">
        <v>334</v>
      </c>
      <c r="G9011">
        <v>1</v>
      </c>
      <c r="H9011" s="2">
        <f>Tabelle13[[#This Row],[commits]]/Tabelle13[[#Totals],[commits]]</f>
        <v>4.6477904404246225E-6</v>
      </c>
      <c r="I9011" s="5">
        <f>Tabelle13[[#This Row],[%]]+I9010</f>
        <v>0.99983267954402522</v>
      </c>
      <c r="J9011" s="4">
        <f t="shared" si="313"/>
        <v>1.105583195135434E-4</v>
      </c>
      <c r="K9011" s="5">
        <f t="shared" si="314"/>
        <v>0.99601990049764888</v>
      </c>
    </row>
    <row r="9012" spans="1:11" x14ac:dyDescent="0.25">
      <c r="A9012" t="s">
        <v>17747</v>
      </c>
      <c r="C9012" t="s">
        <v>17748</v>
      </c>
      <c r="D9012" t="s">
        <v>5</v>
      </c>
      <c r="E9012" t="s">
        <v>6</v>
      </c>
      <c r="F9012" t="s">
        <v>334</v>
      </c>
      <c r="G9012">
        <v>1</v>
      </c>
      <c r="H9012" s="2">
        <f>Tabelle13[[#This Row],[commits]]/Tabelle13[[#Totals],[commits]]</f>
        <v>4.6477904404246225E-6</v>
      </c>
      <c r="I9012" s="5">
        <f>Tabelle13[[#This Row],[%]]+I9011</f>
        <v>0.99983732733446562</v>
      </c>
      <c r="J9012" s="4">
        <f t="shared" si="313"/>
        <v>1.105583195135434E-4</v>
      </c>
      <c r="K9012" s="5">
        <f t="shared" si="314"/>
        <v>0.99613045881716245</v>
      </c>
    </row>
    <row r="9013" spans="1:11" x14ac:dyDescent="0.25">
      <c r="A9013" t="s">
        <v>17749</v>
      </c>
      <c r="C9013" t="s">
        <v>17750</v>
      </c>
      <c r="D9013" t="s">
        <v>5</v>
      </c>
      <c r="E9013" t="s">
        <v>6</v>
      </c>
      <c r="F9013" t="s">
        <v>334</v>
      </c>
      <c r="G9013">
        <v>1</v>
      </c>
      <c r="H9013" s="2">
        <f>Tabelle13[[#This Row],[commits]]/Tabelle13[[#Totals],[commits]]</f>
        <v>4.6477904404246225E-6</v>
      </c>
      <c r="I9013" s="5">
        <f>Tabelle13[[#This Row],[%]]+I9012</f>
        <v>0.99984197512490602</v>
      </c>
      <c r="J9013" s="4">
        <f t="shared" si="313"/>
        <v>1.105583195135434E-4</v>
      </c>
      <c r="K9013" s="5">
        <f t="shared" si="314"/>
        <v>0.99624101713667601</v>
      </c>
    </row>
    <row r="9014" spans="1:11" x14ac:dyDescent="0.25">
      <c r="A9014" t="s">
        <v>17751</v>
      </c>
      <c r="C9014" t="s">
        <v>17752</v>
      </c>
      <c r="D9014" t="s">
        <v>5</v>
      </c>
      <c r="E9014" t="s">
        <v>6</v>
      </c>
      <c r="F9014" t="s">
        <v>334</v>
      </c>
      <c r="G9014">
        <v>1</v>
      </c>
      <c r="H9014" s="2">
        <f>Tabelle13[[#This Row],[commits]]/Tabelle13[[#Totals],[commits]]</f>
        <v>4.6477904404246225E-6</v>
      </c>
      <c r="I9014" s="5">
        <f>Tabelle13[[#This Row],[%]]+I9013</f>
        <v>0.99984662291534643</v>
      </c>
      <c r="J9014" s="4">
        <f t="shared" si="313"/>
        <v>1.105583195135434E-4</v>
      </c>
      <c r="K9014" s="5">
        <f t="shared" si="314"/>
        <v>0.99635157545618958</v>
      </c>
    </row>
    <row r="9015" spans="1:11" x14ac:dyDescent="0.25">
      <c r="A9015" t="s">
        <v>17753</v>
      </c>
      <c r="C9015" t="s">
        <v>17754</v>
      </c>
      <c r="D9015" t="s">
        <v>5</v>
      </c>
      <c r="E9015" t="s">
        <v>6</v>
      </c>
      <c r="F9015" t="s">
        <v>334</v>
      </c>
      <c r="G9015">
        <v>1</v>
      </c>
      <c r="H9015" s="2">
        <f>Tabelle13[[#This Row],[commits]]/Tabelle13[[#Totals],[commits]]</f>
        <v>4.6477904404246225E-6</v>
      </c>
      <c r="I9015" s="5">
        <f>Tabelle13[[#This Row],[%]]+I9014</f>
        <v>0.99985127070578683</v>
      </c>
      <c r="J9015" s="4">
        <f t="shared" si="313"/>
        <v>1.105583195135434E-4</v>
      </c>
      <c r="K9015" s="5">
        <f t="shared" si="314"/>
        <v>0.99646213377570314</v>
      </c>
    </row>
    <row r="9016" spans="1:11" x14ac:dyDescent="0.25">
      <c r="A9016" t="s">
        <v>17755</v>
      </c>
      <c r="C9016" t="s">
        <v>17756</v>
      </c>
      <c r="D9016" t="s">
        <v>5</v>
      </c>
      <c r="E9016" t="s">
        <v>6</v>
      </c>
      <c r="F9016" t="s">
        <v>334</v>
      </c>
      <c r="G9016">
        <v>1</v>
      </c>
      <c r="H9016" s="2">
        <f>Tabelle13[[#This Row],[commits]]/Tabelle13[[#Totals],[commits]]</f>
        <v>4.6477904404246225E-6</v>
      </c>
      <c r="I9016" s="5">
        <f>Tabelle13[[#This Row],[%]]+I9015</f>
        <v>0.99985591849622724</v>
      </c>
      <c r="J9016" s="4">
        <f t="shared" si="313"/>
        <v>1.105583195135434E-4</v>
      </c>
      <c r="K9016" s="5">
        <f t="shared" si="314"/>
        <v>0.99657269209521671</v>
      </c>
    </row>
    <row r="9017" spans="1:11" x14ac:dyDescent="0.25">
      <c r="A9017" t="s">
        <v>17757</v>
      </c>
      <c r="C9017" t="s">
        <v>17758</v>
      </c>
      <c r="D9017" t="s">
        <v>17759</v>
      </c>
      <c r="E9017" t="s">
        <v>6</v>
      </c>
      <c r="F9017" t="s">
        <v>334</v>
      </c>
      <c r="G9017">
        <v>1</v>
      </c>
      <c r="H9017" s="2">
        <f>Tabelle13[[#This Row],[commits]]/Tabelle13[[#Totals],[commits]]</f>
        <v>4.6477904404246225E-6</v>
      </c>
      <c r="I9017" s="5">
        <f>Tabelle13[[#This Row],[%]]+I9016</f>
        <v>0.99986056628666764</v>
      </c>
      <c r="J9017" s="4">
        <f t="shared" si="313"/>
        <v>1.105583195135434E-4</v>
      </c>
      <c r="K9017" s="5">
        <f t="shared" si="314"/>
        <v>0.99668325041473027</v>
      </c>
    </row>
    <row r="9018" spans="1:11" x14ac:dyDescent="0.25">
      <c r="A9018" t="s">
        <v>17760</v>
      </c>
      <c r="C9018" t="s">
        <v>17761</v>
      </c>
      <c r="D9018" t="s">
        <v>5</v>
      </c>
      <c r="E9018" t="s">
        <v>6</v>
      </c>
      <c r="F9018" t="s">
        <v>334</v>
      </c>
      <c r="G9018">
        <v>1</v>
      </c>
      <c r="H9018" s="2">
        <f>Tabelle13[[#This Row],[commits]]/Tabelle13[[#Totals],[commits]]</f>
        <v>4.6477904404246225E-6</v>
      </c>
      <c r="I9018" s="5">
        <f>Tabelle13[[#This Row],[%]]+I9017</f>
        <v>0.99986521407710804</v>
      </c>
      <c r="J9018" s="4">
        <f t="shared" si="313"/>
        <v>1.105583195135434E-4</v>
      </c>
      <c r="K9018" s="5">
        <f t="shared" si="314"/>
        <v>0.99679380873424384</v>
      </c>
    </row>
    <row r="9019" spans="1:11" x14ac:dyDescent="0.25">
      <c r="A9019" t="s">
        <v>17762</v>
      </c>
      <c r="C9019" t="s">
        <v>17763</v>
      </c>
      <c r="D9019" t="s">
        <v>5</v>
      </c>
      <c r="E9019" t="s">
        <v>6</v>
      </c>
      <c r="F9019" t="s">
        <v>334</v>
      </c>
      <c r="G9019">
        <v>1</v>
      </c>
      <c r="H9019" s="2">
        <f>Tabelle13[[#This Row],[commits]]/Tabelle13[[#Totals],[commits]]</f>
        <v>4.6477904404246225E-6</v>
      </c>
      <c r="I9019" s="5">
        <f>Tabelle13[[#This Row],[%]]+I9018</f>
        <v>0.99986986186754845</v>
      </c>
      <c r="J9019" s="4">
        <f t="shared" si="313"/>
        <v>1.105583195135434E-4</v>
      </c>
      <c r="K9019" s="5">
        <f t="shared" si="314"/>
        <v>0.9969043670537574</v>
      </c>
    </row>
    <row r="9020" spans="1:11" x14ac:dyDescent="0.25">
      <c r="A9020" t="s">
        <v>17764</v>
      </c>
      <c r="C9020" t="s">
        <v>17765</v>
      </c>
      <c r="D9020" t="s">
        <v>5</v>
      </c>
      <c r="E9020" t="s">
        <v>6</v>
      </c>
      <c r="F9020" t="s">
        <v>334</v>
      </c>
      <c r="G9020">
        <v>1</v>
      </c>
      <c r="H9020" s="2">
        <f>Tabelle13[[#This Row],[commits]]/Tabelle13[[#Totals],[commits]]</f>
        <v>4.6477904404246225E-6</v>
      </c>
      <c r="I9020" s="5">
        <f>Tabelle13[[#This Row],[%]]+I9019</f>
        <v>0.99987450965798885</v>
      </c>
      <c r="J9020" s="4">
        <f t="shared" si="313"/>
        <v>1.105583195135434E-4</v>
      </c>
      <c r="K9020" s="5">
        <f t="shared" si="314"/>
        <v>0.99701492537327097</v>
      </c>
    </row>
    <row r="9021" spans="1:11" x14ac:dyDescent="0.25">
      <c r="A9021" t="s">
        <v>17766</v>
      </c>
      <c r="C9021" t="s">
        <v>17767</v>
      </c>
      <c r="D9021" t="s">
        <v>5</v>
      </c>
      <c r="E9021" t="s">
        <v>6</v>
      </c>
      <c r="F9021" t="s">
        <v>334</v>
      </c>
      <c r="G9021">
        <v>1</v>
      </c>
      <c r="H9021" s="2">
        <f>Tabelle13[[#This Row],[commits]]/Tabelle13[[#Totals],[commits]]</f>
        <v>4.6477904404246225E-6</v>
      </c>
      <c r="I9021" s="5">
        <f>Tabelle13[[#This Row],[%]]+I9020</f>
        <v>0.99987915744842926</v>
      </c>
      <c r="J9021" s="4">
        <f t="shared" si="313"/>
        <v>1.105583195135434E-4</v>
      </c>
      <c r="K9021" s="5">
        <f t="shared" si="314"/>
        <v>0.99712548369278453</v>
      </c>
    </row>
    <row r="9022" spans="1:11" x14ac:dyDescent="0.25">
      <c r="A9022" t="s">
        <v>17768</v>
      </c>
      <c r="C9022" t="s">
        <v>17769</v>
      </c>
      <c r="D9022" t="s">
        <v>5</v>
      </c>
      <c r="E9022" t="s">
        <v>6</v>
      </c>
      <c r="F9022" t="s">
        <v>334</v>
      </c>
      <c r="G9022">
        <v>1</v>
      </c>
      <c r="H9022" s="2">
        <f>Tabelle13[[#This Row],[commits]]/Tabelle13[[#Totals],[commits]]</f>
        <v>4.6477904404246225E-6</v>
      </c>
      <c r="I9022" s="5">
        <f>Tabelle13[[#This Row],[%]]+I9021</f>
        <v>0.99988380523886966</v>
      </c>
      <c r="J9022" s="4">
        <f t="shared" si="313"/>
        <v>1.105583195135434E-4</v>
      </c>
      <c r="K9022" s="5">
        <f t="shared" si="314"/>
        <v>0.9972360420122981</v>
      </c>
    </row>
    <row r="9023" spans="1:11" x14ac:dyDescent="0.25">
      <c r="A9023" t="s">
        <v>17770</v>
      </c>
      <c r="C9023" t="s">
        <v>17771</v>
      </c>
      <c r="D9023" t="s">
        <v>5</v>
      </c>
      <c r="E9023" t="s">
        <v>6</v>
      </c>
      <c r="F9023" t="s">
        <v>334</v>
      </c>
      <c r="G9023">
        <v>1</v>
      </c>
      <c r="H9023" s="2">
        <f>Tabelle13[[#This Row],[commits]]/Tabelle13[[#Totals],[commits]]</f>
        <v>4.6477904404246225E-6</v>
      </c>
      <c r="I9023" s="5">
        <f>Tabelle13[[#This Row],[%]]+I9022</f>
        <v>0.99988845302931006</v>
      </c>
      <c r="J9023" s="4">
        <f t="shared" si="313"/>
        <v>1.105583195135434E-4</v>
      </c>
      <c r="K9023" s="5">
        <f t="shared" si="314"/>
        <v>0.99734660033181166</v>
      </c>
    </row>
    <row r="9024" spans="1:11" x14ac:dyDescent="0.25">
      <c r="A9024" t="s">
        <v>17772</v>
      </c>
      <c r="C9024" t="s">
        <v>17773</v>
      </c>
      <c r="D9024" t="s">
        <v>5</v>
      </c>
      <c r="E9024" t="s">
        <v>6</v>
      </c>
      <c r="F9024" t="s">
        <v>334</v>
      </c>
      <c r="G9024">
        <v>1</v>
      </c>
      <c r="H9024" s="2">
        <f>Tabelle13[[#This Row],[commits]]/Tabelle13[[#Totals],[commits]]</f>
        <v>4.6477904404246225E-6</v>
      </c>
      <c r="I9024" s="5">
        <f>Tabelle13[[#This Row],[%]]+I9023</f>
        <v>0.99989310081975047</v>
      </c>
      <c r="J9024" s="4">
        <f t="shared" si="313"/>
        <v>1.105583195135434E-4</v>
      </c>
      <c r="K9024" s="5">
        <f t="shared" si="314"/>
        <v>0.99745715865132523</v>
      </c>
    </row>
    <row r="9025" spans="1:11" x14ac:dyDescent="0.25">
      <c r="A9025" t="s">
        <v>17774</v>
      </c>
      <c r="C9025" t="s">
        <v>17775</v>
      </c>
      <c r="D9025" t="s">
        <v>5</v>
      </c>
      <c r="E9025" t="s">
        <v>6</v>
      </c>
      <c r="F9025" t="s">
        <v>334</v>
      </c>
      <c r="G9025">
        <v>1</v>
      </c>
      <c r="H9025" s="2">
        <f>Tabelle13[[#This Row],[commits]]/Tabelle13[[#Totals],[commits]]</f>
        <v>4.6477904404246225E-6</v>
      </c>
      <c r="I9025" s="5">
        <f>Tabelle13[[#This Row],[%]]+I9024</f>
        <v>0.99989774861019087</v>
      </c>
      <c r="J9025" s="4">
        <f t="shared" si="313"/>
        <v>1.105583195135434E-4</v>
      </c>
      <c r="K9025" s="5">
        <f t="shared" si="314"/>
        <v>0.99756771697083879</v>
      </c>
    </row>
    <row r="9026" spans="1:11" x14ac:dyDescent="0.25">
      <c r="A9026" t="s">
        <v>17776</v>
      </c>
      <c r="C9026" t="s">
        <v>17777</v>
      </c>
      <c r="D9026" t="s">
        <v>5</v>
      </c>
      <c r="E9026" t="s">
        <v>6</v>
      </c>
      <c r="F9026" t="s">
        <v>334</v>
      </c>
      <c r="G9026">
        <v>1</v>
      </c>
      <c r="H9026" s="2">
        <f>Tabelle13[[#This Row],[commits]]/Tabelle13[[#Totals],[commits]]</f>
        <v>4.6477904404246225E-6</v>
      </c>
      <c r="I9026" s="5">
        <f>Tabelle13[[#This Row],[%]]+I9025</f>
        <v>0.99990239640063128</v>
      </c>
      <c r="J9026" s="4">
        <f t="shared" si="313"/>
        <v>1.105583195135434E-4</v>
      </c>
      <c r="K9026" s="5">
        <f t="shared" si="314"/>
        <v>0.99767827529035236</v>
      </c>
    </row>
    <row r="9027" spans="1:11" x14ac:dyDescent="0.25">
      <c r="A9027" t="s">
        <v>17778</v>
      </c>
      <c r="C9027" t="s">
        <v>2775</v>
      </c>
      <c r="D9027" t="s">
        <v>5</v>
      </c>
      <c r="E9027" t="s">
        <v>6</v>
      </c>
      <c r="F9027" t="s">
        <v>334</v>
      </c>
      <c r="G9027">
        <v>1</v>
      </c>
      <c r="H9027" s="2">
        <f>Tabelle13[[#This Row],[commits]]/Tabelle13[[#Totals],[commits]]</f>
        <v>4.6477904404246225E-6</v>
      </c>
      <c r="I9027" s="5">
        <f>Tabelle13[[#This Row],[%]]+I9026</f>
        <v>0.99990704419107168</v>
      </c>
      <c r="J9027" s="4">
        <f t="shared" ref="J9027:J9047" si="315">1/9045</f>
        <v>1.105583195135434E-4</v>
      </c>
      <c r="K9027" s="5">
        <f t="shared" si="314"/>
        <v>0.99778883360986592</v>
      </c>
    </row>
    <row r="9028" spans="1:11" x14ac:dyDescent="0.25">
      <c r="A9028" t="s">
        <v>17779</v>
      </c>
      <c r="C9028" t="s">
        <v>17780</v>
      </c>
      <c r="D9028" t="s">
        <v>5</v>
      </c>
      <c r="E9028" t="s">
        <v>6</v>
      </c>
      <c r="F9028" t="s">
        <v>334</v>
      </c>
      <c r="G9028">
        <v>1</v>
      </c>
      <c r="H9028" s="2">
        <f>Tabelle13[[#This Row],[commits]]/Tabelle13[[#Totals],[commits]]</f>
        <v>4.6477904404246225E-6</v>
      </c>
      <c r="I9028" s="5">
        <f>Tabelle13[[#This Row],[%]]+I9027</f>
        <v>0.99991169198151209</v>
      </c>
      <c r="J9028" s="4">
        <f t="shared" si="315"/>
        <v>1.105583195135434E-4</v>
      </c>
      <c r="K9028" s="5">
        <f t="shared" si="314"/>
        <v>0.99789939192937949</v>
      </c>
    </row>
    <row r="9029" spans="1:11" x14ac:dyDescent="0.25">
      <c r="A9029" t="s">
        <v>17781</v>
      </c>
      <c r="C9029" t="s">
        <v>26</v>
      </c>
      <c r="D9029" t="s">
        <v>5</v>
      </c>
      <c r="E9029" t="s">
        <v>6</v>
      </c>
      <c r="F9029" t="s">
        <v>334</v>
      </c>
      <c r="G9029">
        <v>1</v>
      </c>
      <c r="H9029" s="2">
        <f>Tabelle13[[#This Row],[commits]]/Tabelle13[[#Totals],[commits]]</f>
        <v>4.6477904404246225E-6</v>
      </c>
      <c r="I9029" s="5">
        <f>Tabelle13[[#This Row],[%]]+I9028</f>
        <v>0.99991633977195249</v>
      </c>
      <c r="J9029" s="4">
        <f t="shared" si="315"/>
        <v>1.105583195135434E-4</v>
      </c>
      <c r="K9029" s="5">
        <f t="shared" si="314"/>
        <v>0.99800995024889305</v>
      </c>
    </row>
    <row r="9030" spans="1:11" x14ac:dyDescent="0.25">
      <c r="A9030" t="s">
        <v>17782</v>
      </c>
      <c r="C9030" t="s">
        <v>17783</v>
      </c>
      <c r="D9030" t="s">
        <v>5</v>
      </c>
      <c r="E9030" t="s">
        <v>6</v>
      </c>
      <c r="F9030" t="s">
        <v>334</v>
      </c>
      <c r="G9030">
        <v>1</v>
      </c>
      <c r="H9030" s="2">
        <f>Tabelle13[[#This Row],[commits]]/Tabelle13[[#Totals],[commits]]</f>
        <v>4.6477904404246225E-6</v>
      </c>
      <c r="I9030" s="5">
        <f>Tabelle13[[#This Row],[%]]+I9029</f>
        <v>0.99992098756239289</v>
      </c>
      <c r="J9030" s="4">
        <f t="shared" si="315"/>
        <v>1.105583195135434E-4</v>
      </c>
      <c r="K9030" s="5">
        <f t="shared" ref="K9030:K9047" si="316">J9030+K9029</f>
        <v>0.99812050856840662</v>
      </c>
    </row>
    <row r="9031" spans="1:11" x14ac:dyDescent="0.25">
      <c r="A9031" t="s">
        <v>17784</v>
      </c>
      <c r="C9031" t="s">
        <v>17785</v>
      </c>
      <c r="D9031" t="s">
        <v>5</v>
      </c>
      <c r="E9031" t="s">
        <v>6</v>
      </c>
      <c r="F9031" t="s">
        <v>334</v>
      </c>
      <c r="G9031">
        <v>1</v>
      </c>
      <c r="H9031" s="2">
        <f>Tabelle13[[#This Row],[commits]]/Tabelle13[[#Totals],[commits]]</f>
        <v>4.6477904404246225E-6</v>
      </c>
      <c r="I9031" s="5">
        <f>Tabelle13[[#This Row],[%]]+I9030</f>
        <v>0.9999256353528333</v>
      </c>
      <c r="J9031" s="4">
        <f t="shared" si="315"/>
        <v>1.105583195135434E-4</v>
      </c>
      <c r="K9031" s="5">
        <f t="shared" si="316"/>
        <v>0.99823106688792018</v>
      </c>
    </row>
    <row r="9032" spans="1:11" x14ac:dyDescent="0.25">
      <c r="A9032" t="s">
        <v>17786</v>
      </c>
      <c r="C9032" t="s">
        <v>17787</v>
      </c>
      <c r="D9032" t="s">
        <v>5</v>
      </c>
      <c r="E9032" t="s">
        <v>6</v>
      </c>
      <c r="F9032" t="s">
        <v>334</v>
      </c>
      <c r="G9032">
        <v>1</v>
      </c>
      <c r="H9032" s="2">
        <f>Tabelle13[[#This Row],[commits]]/Tabelle13[[#Totals],[commits]]</f>
        <v>4.6477904404246225E-6</v>
      </c>
      <c r="I9032" s="5">
        <f>Tabelle13[[#This Row],[%]]+I9031</f>
        <v>0.9999302831432737</v>
      </c>
      <c r="J9032" s="4">
        <f t="shared" si="315"/>
        <v>1.105583195135434E-4</v>
      </c>
      <c r="K9032" s="5">
        <f t="shared" si="316"/>
        <v>0.99834162520743375</v>
      </c>
    </row>
    <row r="9033" spans="1:11" x14ac:dyDescent="0.25">
      <c r="A9033" t="s">
        <v>17788</v>
      </c>
      <c r="C9033" t="s">
        <v>17789</v>
      </c>
      <c r="D9033" t="s">
        <v>5</v>
      </c>
      <c r="E9033" t="s">
        <v>6</v>
      </c>
      <c r="F9033" t="s">
        <v>334</v>
      </c>
      <c r="G9033">
        <v>1</v>
      </c>
      <c r="H9033" s="2">
        <f>Tabelle13[[#This Row],[commits]]/Tabelle13[[#Totals],[commits]]</f>
        <v>4.6477904404246225E-6</v>
      </c>
      <c r="I9033" s="5">
        <f>Tabelle13[[#This Row],[%]]+I9032</f>
        <v>0.99993493093371411</v>
      </c>
      <c r="J9033" s="4">
        <f t="shared" si="315"/>
        <v>1.105583195135434E-4</v>
      </c>
      <c r="K9033" s="5">
        <f t="shared" si="316"/>
        <v>0.99845218352694731</v>
      </c>
    </row>
    <row r="9034" spans="1:11" x14ac:dyDescent="0.25">
      <c r="A9034" t="s">
        <v>17790</v>
      </c>
      <c r="C9034" t="s">
        <v>17791</v>
      </c>
      <c r="D9034" t="s">
        <v>5</v>
      </c>
      <c r="E9034" t="s">
        <v>6</v>
      </c>
      <c r="F9034" t="s">
        <v>334</v>
      </c>
      <c r="G9034">
        <v>1</v>
      </c>
      <c r="H9034" s="2">
        <f>Tabelle13[[#This Row],[commits]]/Tabelle13[[#Totals],[commits]]</f>
        <v>4.6477904404246225E-6</v>
      </c>
      <c r="I9034" s="5">
        <f>Tabelle13[[#This Row],[%]]+I9033</f>
        <v>0.99993957872415451</v>
      </c>
      <c r="J9034" s="4">
        <f t="shared" si="315"/>
        <v>1.105583195135434E-4</v>
      </c>
      <c r="K9034" s="5">
        <f t="shared" si="316"/>
        <v>0.99856274184646088</v>
      </c>
    </row>
    <row r="9035" spans="1:11" x14ac:dyDescent="0.25">
      <c r="A9035" t="s">
        <v>17792</v>
      </c>
      <c r="C9035" t="s">
        <v>17793</v>
      </c>
      <c r="D9035" t="s">
        <v>5</v>
      </c>
      <c r="E9035" t="s">
        <v>6</v>
      </c>
      <c r="F9035" t="s">
        <v>334</v>
      </c>
      <c r="G9035">
        <v>1</v>
      </c>
      <c r="H9035" s="2">
        <f>Tabelle13[[#This Row],[commits]]/Tabelle13[[#Totals],[commits]]</f>
        <v>4.6477904404246225E-6</v>
      </c>
      <c r="I9035" s="5">
        <f>Tabelle13[[#This Row],[%]]+I9034</f>
        <v>0.99994422651459491</v>
      </c>
      <c r="J9035" s="4">
        <f t="shared" si="315"/>
        <v>1.105583195135434E-4</v>
      </c>
      <c r="K9035" s="5">
        <f t="shared" si="316"/>
        <v>0.99867330016597444</v>
      </c>
    </row>
    <row r="9036" spans="1:11" x14ac:dyDescent="0.25">
      <c r="A9036" t="s">
        <v>17794</v>
      </c>
      <c r="C9036" t="s">
        <v>17795</v>
      </c>
      <c r="D9036" t="s">
        <v>5</v>
      </c>
      <c r="E9036" t="s">
        <v>6</v>
      </c>
      <c r="F9036" t="s">
        <v>334</v>
      </c>
      <c r="G9036">
        <v>1</v>
      </c>
      <c r="H9036" s="2">
        <f>Tabelle13[[#This Row],[commits]]/Tabelle13[[#Totals],[commits]]</f>
        <v>4.6477904404246225E-6</v>
      </c>
      <c r="I9036" s="5">
        <f>Tabelle13[[#This Row],[%]]+I9035</f>
        <v>0.99994887430503532</v>
      </c>
      <c r="J9036" s="4">
        <f t="shared" si="315"/>
        <v>1.105583195135434E-4</v>
      </c>
      <c r="K9036" s="5">
        <f t="shared" si="316"/>
        <v>0.99878385848548801</v>
      </c>
    </row>
    <row r="9037" spans="1:11" x14ac:dyDescent="0.25">
      <c r="A9037" t="s">
        <v>17796</v>
      </c>
      <c r="C9037" t="s">
        <v>17797</v>
      </c>
      <c r="D9037" t="s">
        <v>5</v>
      </c>
      <c r="E9037" t="s">
        <v>6</v>
      </c>
      <c r="F9037" t="s">
        <v>334</v>
      </c>
      <c r="G9037">
        <v>1</v>
      </c>
      <c r="H9037" s="2">
        <f>Tabelle13[[#This Row],[commits]]/Tabelle13[[#Totals],[commits]]</f>
        <v>4.6477904404246225E-6</v>
      </c>
      <c r="I9037" s="5">
        <f>Tabelle13[[#This Row],[%]]+I9036</f>
        <v>0.99995352209547572</v>
      </c>
      <c r="J9037" s="4">
        <f t="shared" si="315"/>
        <v>1.105583195135434E-4</v>
      </c>
      <c r="K9037" s="5">
        <f t="shared" si="316"/>
        <v>0.99889441680500157</v>
      </c>
    </row>
    <row r="9038" spans="1:11" x14ac:dyDescent="0.25">
      <c r="A9038" t="s">
        <v>17798</v>
      </c>
      <c r="C9038" t="s">
        <v>17799</v>
      </c>
      <c r="D9038" t="s">
        <v>5</v>
      </c>
      <c r="E9038" t="s">
        <v>6</v>
      </c>
      <c r="F9038" t="s">
        <v>334</v>
      </c>
      <c r="G9038">
        <v>1</v>
      </c>
      <c r="H9038" s="2">
        <f>Tabelle13[[#This Row],[commits]]/Tabelle13[[#Totals],[commits]]</f>
        <v>4.6477904404246225E-6</v>
      </c>
      <c r="I9038" s="5">
        <f>Tabelle13[[#This Row],[%]]+I9037</f>
        <v>0.99995816988591613</v>
      </c>
      <c r="J9038" s="4">
        <f t="shared" si="315"/>
        <v>1.105583195135434E-4</v>
      </c>
      <c r="K9038" s="5">
        <f t="shared" si="316"/>
        <v>0.99900497512451514</v>
      </c>
    </row>
    <row r="9039" spans="1:11" x14ac:dyDescent="0.25">
      <c r="A9039" t="s">
        <v>17800</v>
      </c>
      <c r="C9039" t="s">
        <v>17801</v>
      </c>
      <c r="D9039" t="s">
        <v>5</v>
      </c>
      <c r="E9039" t="s">
        <v>6</v>
      </c>
      <c r="F9039" t="s">
        <v>334</v>
      </c>
      <c r="G9039">
        <v>1</v>
      </c>
      <c r="H9039" s="2">
        <f>Tabelle13[[#This Row],[commits]]/Tabelle13[[#Totals],[commits]]</f>
        <v>4.6477904404246225E-6</v>
      </c>
      <c r="I9039" s="5">
        <f>Tabelle13[[#This Row],[%]]+I9038</f>
        <v>0.99996281767635653</v>
      </c>
      <c r="J9039" s="4">
        <f t="shared" si="315"/>
        <v>1.105583195135434E-4</v>
      </c>
      <c r="K9039" s="5">
        <f t="shared" si="316"/>
        <v>0.9991155334440287</v>
      </c>
    </row>
    <row r="9040" spans="1:11" x14ac:dyDescent="0.25">
      <c r="A9040" t="s">
        <v>17802</v>
      </c>
      <c r="C9040" t="s">
        <v>17803</v>
      </c>
      <c r="D9040" t="s">
        <v>5</v>
      </c>
      <c r="E9040" t="s">
        <v>6</v>
      </c>
      <c r="F9040" t="s">
        <v>334</v>
      </c>
      <c r="G9040">
        <v>1</v>
      </c>
      <c r="H9040" s="2">
        <f>Tabelle13[[#This Row],[commits]]/Tabelle13[[#Totals],[commits]]</f>
        <v>4.6477904404246225E-6</v>
      </c>
      <c r="I9040" s="5">
        <f>Tabelle13[[#This Row],[%]]+I9039</f>
        <v>0.99996746546679693</v>
      </c>
      <c r="J9040" s="4">
        <f t="shared" si="315"/>
        <v>1.105583195135434E-4</v>
      </c>
      <c r="K9040" s="5">
        <f t="shared" si="316"/>
        <v>0.99922609176354227</v>
      </c>
    </row>
    <row r="9041" spans="1:11" x14ac:dyDescent="0.25">
      <c r="A9041" t="s">
        <v>17804</v>
      </c>
      <c r="C9041" t="s">
        <v>17805</v>
      </c>
      <c r="D9041" t="s">
        <v>5</v>
      </c>
      <c r="E9041" t="s">
        <v>6</v>
      </c>
      <c r="F9041" t="s">
        <v>334</v>
      </c>
      <c r="G9041">
        <v>1</v>
      </c>
      <c r="H9041" s="2">
        <f>Tabelle13[[#This Row],[commits]]/Tabelle13[[#Totals],[commits]]</f>
        <v>4.6477904404246225E-6</v>
      </c>
      <c r="I9041" s="5">
        <f>Tabelle13[[#This Row],[%]]+I9040</f>
        <v>0.99997211325723734</v>
      </c>
      <c r="J9041" s="4">
        <f t="shared" si="315"/>
        <v>1.105583195135434E-4</v>
      </c>
      <c r="K9041" s="5">
        <f t="shared" si="316"/>
        <v>0.99933665008305583</v>
      </c>
    </row>
    <row r="9042" spans="1:11" x14ac:dyDescent="0.25">
      <c r="A9042" t="s">
        <v>17806</v>
      </c>
      <c r="C9042" t="s">
        <v>17807</v>
      </c>
      <c r="D9042" t="s">
        <v>5</v>
      </c>
      <c r="E9042" t="s">
        <v>6</v>
      </c>
      <c r="F9042" t="s">
        <v>334</v>
      </c>
      <c r="G9042">
        <v>1</v>
      </c>
      <c r="H9042" s="2">
        <f>Tabelle13[[#This Row],[commits]]/Tabelle13[[#Totals],[commits]]</f>
        <v>4.6477904404246225E-6</v>
      </c>
      <c r="I9042" s="5">
        <f>Tabelle13[[#This Row],[%]]+I9041</f>
        <v>0.99997676104767774</v>
      </c>
      <c r="J9042" s="4">
        <f t="shared" si="315"/>
        <v>1.105583195135434E-4</v>
      </c>
      <c r="K9042" s="5">
        <f t="shared" si="316"/>
        <v>0.9994472084025694</v>
      </c>
    </row>
    <row r="9043" spans="1:11" x14ac:dyDescent="0.25">
      <c r="A9043" t="s">
        <v>17808</v>
      </c>
      <c r="C9043" t="s">
        <v>17809</v>
      </c>
      <c r="D9043" t="s">
        <v>5</v>
      </c>
      <c r="E9043" t="s">
        <v>6</v>
      </c>
      <c r="F9043" t="s">
        <v>334</v>
      </c>
      <c r="G9043">
        <v>1</v>
      </c>
      <c r="H9043" s="2">
        <f>Tabelle13[[#This Row],[commits]]/Tabelle13[[#Totals],[commits]]</f>
        <v>4.6477904404246225E-6</v>
      </c>
      <c r="I9043" s="5">
        <f>Tabelle13[[#This Row],[%]]+I9042</f>
        <v>0.99998140883811815</v>
      </c>
      <c r="J9043" s="4">
        <f t="shared" si="315"/>
        <v>1.105583195135434E-4</v>
      </c>
      <c r="K9043" s="5">
        <f t="shared" si="316"/>
        <v>0.99955776672208296</v>
      </c>
    </row>
    <row r="9044" spans="1:11" x14ac:dyDescent="0.25">
      <c r="A9044" t="s">
        <v>17810</v>
      </c>
      <c r="C9044" t="s">
        <v>17811</v>
      </c>
      <c r="D9044" t="s">
        <v>5</v>
      </c>
      <c r="E9044" t="s">
        <v>6</v>
      </c>
      <c r="F9044" t="s">
        <v>334</v>
      </c>
      <c r="G9044">
        <v>1</v>
      </c>
      <c r="H9044" s="2">
        <f>Tabelle13[[#This Row],[commits]]/Tabelle13[[#Totals],[commits]]</f>
        <v>4.6477904404246225E-6</v>
      </c>
      <c r="I9044" s="5">
        <f>Tabelle13[[#This Row],[%]]+I9043</f>
        <v>0.99998605662855855</v>
      </c>
      <c r="J9044" s="4">
        <f t="shared" si="315"/>
        <v>1.105583195135434E-4</v>
      </c>
      <c r="K9044" s="5">
        <f t="shared" si="316"/>
        <v>0.99966832504159653</v>
      </c>
    </row>
    <row r="9045" spans="1:11" x14ac:dyDescent="0.25">
      <c r="A9045" t="s">
        <v>17812</v>
      </c>
      <c r="C9045" t="s">
        <v>17813</v>
      </c>
      <c r="D9045" t="s">
        <v>5</v>
      </c>
      <c r="E9045" t="s">
        <v>6</v>
      </c>
      <c r="F9045" t="s">
        <v>334</v>
      </c>
      <c r="G9045">
        <v>1</v>
      </c>
      <c r="H9045" s="2">
        <f>Tabelle13[[#This Row],[commits]]/Tabelle13[[#Totals],[commits]]</f>
        <v>4.6477904404246225E-6</v>
      </c>
      <c r="I9045" s="5">
        <f>Tabelle13[[#This Row],[%]]+I9044</f>
        <v>0.99999070441899895</v>
      </c>
      <c r="J9045" s="4">
        <f t="shared" si="315"/>
        <v>1.105583195135434E-4</v>
      </c>
      <c r="K9045" s="5">
        <f t="shared" si="316"/>
        <v>0.99977888336111009</v>
      </c>
    </row>
    <row r="9046" spans="1:11" x14ac:dyDescent="0.25">
      <c r="A9046" t="s">
        <v>17814</v>
      </c>
      <c r="C9046" t="s">
        <v>17815</v>
      </c>
      <c r="D9046" t="s">
        <v>5</v>
      </c>
      <c r="E9046" t="s">
        <v>6</v>
      </c>
      <c r="F9046" t="s">
        <v>334</v>
      </c>
      <c r="G9046">
        <v>1</v>
      </c>
      <c r="H9046" s="2">
        <f>Tabelle13[[#This Row],[commits]]/Tabelle13[[#Totals],[commits]]</f>
        <v>4.6477904404246225E-6</v>
      </c>
      <c r="I9046" s="5">
        <f>Tabelle13[[#This Row],[%]]+I9045</f>
        <v>0.99999535220943936</v>
      </c>
      <c r="J9046" s="4">
        <f t="shared" si="315"/>
        <v>1.105583195135434E-4</v>
      </c>
      <c r="K9046" s="5">
        <f t="shared" si="316"/>
        <v>0.99988944168062366</v>
      </c>
    </row>
    <row r="9047" spans="1:11" x14ac:dyDescent="0.25">
      <c r="A9047" t="s">
        <v>17816</v>
      </c>
      <c r="C9047" t="s">
        <v>17817</v>
      </c>
      <c r="D9047" t="s">
        <v>5</v>
      </c>
      <c r="E9047" t="s">
        <v>6</v>
      </c>
      <c r="F9047" t="s">
        <v>334</v>
      </c>
      <c r="G9047">
        <v>1</v>
      </c>
      <c r="H9047" s="2">
        <f>Tabelle13[[#This Row],[commits]]/Tabelle13[[#Totals],[commits]]</f>
        <v>4.6477904404246225E-6</v>
      </c>
      <c r="I9047" s="5">
        <f>Tabelle13[[#This Row],[%]]+I9046</f>
        <v>0.99999999999987976</v>
      </c>
      <c r="J9047" s="4">
        <f t="shared" si="315"/>
        <v>1.105583195135434E-4</v>
      </c>
      <c r="K9047" s="5">
        <f t="shared" si="316"/>
        <v>1.0000000000001372</v>
      </c>
    </row>
    <row r="9048" spans="1:11" x14ac:dyDescent="0.25">
      <c r="G9048">
        <f>SUBTOTAL(109,Tabelle13[commits])</f>
        <v>215156</v>
      </c>
    </row>
  </sheetData>
  <pageMargins left="0.7" right="0.7" top="0.78740157499999996" bottom="0.78740157499999996" header="0.3" footer="0.3"/>
  <pageSetup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Org_Nodes_Lorenzkurve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</dc:creator>
  <cp:lastModifiedBy>Roland Robert Schreiber</cp:lastModifiedBy>
  <cp:lastPrinted>2024-11-26T19:06:21Z</cp:lastPrinted>
  <dcterms:created xsi:type="dcterms:W3CDTF">2024-04-27T13:21:28Z</dcterms:created>
  <dcterms:modified xsi:type="dcterms:W3CDTF">2025-11-16T11:36:58Z</dcterms:modified>
</cp:coreProperties>
</file>